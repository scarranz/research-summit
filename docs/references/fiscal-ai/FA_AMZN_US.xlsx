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Summit\Docs\Extras\Team\SAB\"/>
    </mc:Choice>
  </mc:AlternateContent>
  <xr:revisionPtr revIDLastSave="0" documentId="8_{FF2E4375-749F-4E4C-B05B-8E9BEE9D63F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Multiple Periods Values" sheetId="3" r:id="rId1"/>
    <sheet name="Multiple Periods bb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7" i="2" l="1"/>
  <c r="F117" i="2"/>
  <c r="W144" i="2"/>
  <c r="U131" i="2"/>
  <c r="L94" i="2"/>
  <c r="L19" i="2"/>
  <c r="L103" i="2"/>
  <c r="W96" i="2"/>
  <c r="W25" i="2"/>
  <c r="M71" i="2"/>
  <c r="M3" i="2"/>
  <c r="S144" i="2"/>
  <c r="N87" i="2"/>
  <c r="N14" i="2"/>
  <c r="P64" i="2"/>
  <c r="S60" i="2"/>
  <c r="S10" i="2"/>
  <c r="M86" i="2"/>
  <c r="P56" i="2"/>
  <c r="H68" i="2"/>
  <c r="E93" i="2"/>
  <c r="E18" i="2"/>
  <c r="N79" i="2"/>
  <c r="Q32" i="2"/>
  <c r="Q124" i="2"/>
  <c r="X3" i="2"/>
  <c r="X113" i="2"/>
  <c r="U78" i="2"/>
  <c r="W127" i="2"/>
  <c r="X172" i="2"/>
  <c r="W69" i="2"/>
  <c r="M79" i="2"/>
  <c r="K3" i="2"/>
  <c r="F104" i="2"/>
  <c r="H63" i="2"/>
  <c r="U3" i="2"/>
  <c r="U53" i="2"/>
  <c r="W4" i="2"/>
  <c r="W53" i="2"/>
  <c r="T165" i="2"/>
  <c r="G46" i="2"/>
  <c r="F119" i="2"/>
  <c r="M85" i="2"/>
  <c r="G106" i="2"/>
  <c r="W85" i="2"/>
  <c r="H46" i="2"/>
  <c r="W73" i="2"/>
  <c r="R51" i="2"/>
  <c r="F156" i="2"/>
  <c r="H85" i="2"/>
  <c r="G57" i="2"/>
  <c r="N69" i="2"/>
  <c r="U47" i="2"/>
  <c r="H53" i="2"/>
  <c r="E49" i="2"/>
  <c r="J120" i="2"/>
  <c r="H51" i="2"/>
  <c r="Q23" i="2"/>
  <c r="Q101" i="2"/>
  <c r="W79" i="2"/>
  <c r="S127" i="2"/>
  <c r="Q68" i="2"/>
  <c r="W131" i="2"/>
  <c r="O102" i="2"/>
  <c r="E77" i="2"/>
  <c r="K93" i="2"/>
  <c r="K18" i="2"/>
  <c r="U68" i="2"/>
  <c r="U117" i="2"/>
  <c r="Q99" i="2"/>
  <c r="Q22" i="2"/>
  <c r="W103" i="2"/>
  <c r="Q78" i="2"/>
  <c r="X127" i="2"/>
  <c r="T113" i="2"/>
  <c r="S49" i="2"/>
  <c r="N95" i="2"/>
  <c r="N24" i="2"/>
  <c r="M53" i="2"/>
  <c r="P96" i="2"/>
  <c r="P25" i="2"/>
  <c r="X114" i="2"/>
  <c r="P131" i="2"/>
  <c r="P130" i="2"/>
  <c r="Q56" i="2"/>
  <c r="S114" i="2"/>
  <c r="H3" i="2"/>
  <c r="M78" i="2"/>
  <c r="M87" i="2"/>
  <c r="M14" i="2"/>
  <c r="P63" i="2"/>
  <c r="Q64" i="2"/>
  <c r="V29" i="2"/>
  <c r="V112" i="2"/>
  <c r="K130" i="2"/>
  <c r="H79" i="2"/>
  <c r="Q107" i="2"/>
  <c r="W118" i="2"/>
  <c r="O4" i="2"/>
  <c r="V69" i="2"/>
  <c r="U141" i="2"/>
  <c r="M51" i="2"/>
  <c r="G47" i="2"/>
  <c r="F106" i="2"/>
  <c r="V87" i="2"/>
  <c r="V14" i="2"/>
  <c r="P4" i="2"/>
  <c r="K172" i="2"/>
  <c r="E56" i="2"/>
  <c r="K106" i="2"/>
  <c r="S54" i="2"/>
  <c r="P100" i="2"/>
  <c r="W175" i="2"/>
  <c r="H72" i="2"/>
  <c r="E60" i="2"/>
  <c r="E10" i="2"/>
  <c r="L47" i="2"/>
  <c r="E71" i="2"/>
  <c r="M73" i="2"/>
  <c r="T108" i="2"/>
  <c r="W54" i="2"/>
  <c r="N104" i="2"/>
  <c r="R60" i="2"/>
  <c r="R10" i="2"/>
  <c r="I118" i="2"/>
  <c r="O121" i="2"/>
  <c r="M77" i="2"/>
  <c r="M76" i="2"/>
  <c r="Q76" i="2"/>
  <c r="M63" i="2"/>
  <c r="N63" i="2"/>
  <c r="V49" i="2"/>
  <c r="L63" i="2"/>
  <c r="U84" i="2"/>
  <c r="U13" i="2"/>
  <c r="X102" i="2"/>
  <c r="M55" i="2"/>
  <c r="M114" i="2"/>
  <c r="W68" i="2"/>
  <c r="P68" i="2"/>
  <c r="W64" i="2"/>
  <c r="P151" i="2"/>
  <c r="S168" i="2"/>
  <c r="H168" i="2"/>
  <c r="P76" i="2"/>
  <c r="M94" i="2"/>
  <c r="M19" i="2"/>
  <c r="W86" i="2"/>
  <c r="H88" i="2"/>
  <c r="H15" i="2"/>
  <c r="G129" i="2"/>
  <c r="V76" i="2"/>
  <c r="X90" i="2"/>
  <c r="X17" i="2"/>
  <c r="X158" i="2"/>
  <c r="N55" i="2"/>
  <c r="S76" i="2"/>
  <c r="R63" i="2"/>
  <c r="N4" i="2"/>
  <c r="N78" i="2"/>
  <c r="K174" i="2"/>
  <c r="E78" i="2"/>
  <c r="N73" i="2"/>
  <c r="I103" i="2"/>
  <c r="G190" i="2"/>
  <c r="L51" i="2"/>
  <c r="X147" i="2"/>
  <c r="E107" i="2"/>
  <c r="N86" i="2"/>
  <c r="P102" i="2"/>
  <c r="G168" i="2"/>
  <c r="I135" i="2"/>
  <c r="S71" i="2"/>
  <c r="U102" i="2"/>
  <c r="J99" i="2"/>
  <c r="J22" i="2"/>
  <c r="O96" i="2"/>
  <c r="O25" i="2"/>
  <c r="I105" i="2"/>
  <c r="E79" i="2"/>
  <c r="S68" i="2"/>
  <c r="H64" i="2"/>
  <c r="U107" i="2"/>
  <c r="U86" i="2"/>
  <c r="S51" i="2"/>
  <c r="E100" i="2"/>
  <c r="H87" i="2"/>
  <c r="H14" i="2"/>
  <c r="F147" i="2"/>
  <c r="R69" i="2"/>
  <c r="M68" i="2"/>
  <c r="S73" i="2"/>
  <c r="S4" i="2"/>
  <c r="S78" i="2"/>
  <c r="E105" i="2"/>
  <c r="V103" i="2"/>
  <c r="I156" i="2"/>
  <c r="F130" i="2"/>
  <c r="T3" i="2"/>
  <c r="V4" i="2"/>
  <c r="P113" i="2"/>
  <c r="M119" i="2"/>
  <c r="E69" i="2"/>
  <c r="Q103" i="2"/>
  <c r="H57" i="2"/>
  <c r="N3" i="2"/>
  <c r="U49" i="2"/>
  <c r="O115" i="2"/>
  <c r="P90" i="2"/>
  <c r="P17" i="2"/>
  <c r="P158" i="2"/>
  <c r="O3" i="2"/>
  <c r="N51" i="2"/>
  <c r="W88" i="2"/>
  <c r="W15" i="2"/>
  <c r="G7" i="2"/>
  <c r="G163" i="2"/>
  <c r="S23" i="2"/>
  <c r="S101" i="2"/>
  <c r="V47" i="2"/>
  <c r="N56" i="2"/>
  <c r="S177" i="2"/>
  <c r="S79" i="2"/>
  <c r="U4" i="2"/>
  <c r="P54" i="2"/>
  <c r="V46" i="2"/>
  <c r="R46" i="2"/>
  <c r="P132" i="2"/>
  <c r="R73" i="2"/>
  <c r="E57" i="2"/>
  <c r="X100" i="2"/>
  <c r="S53" i="2"/>
  <c r="S132" i="2"/>
  <c r="F108" i="2"/>
  <c r="R47" i="2"/>
  <c r="U54" i="2"/>
  <c r="E55" i="2"/>
  <c r="W57" i="2"/>
  <c r="R55" i="2"/>
  <c r="N85" i="2"/>
  <c r="N60" i="2"/>
  <c r="N10" i="2"/>
  <c r="N76" i="2"/>
  <c r="L60" i="2"/>
  <c r="L10" i="2"/>
  <c r="M4" i="2"/>
  <c r="P53" i="2"/>
  <c r="G49" i="2"/>
  <c r="G180" i="2"/>
  <c r="G4" i="2"/>
  <c r="P77" i="2"/>
  <c r="Q77" i="2"/>
  <c r="Q30" i="2"/>
  <c r="Q116" i="2"/>
  <c r="O176" i="2"/>
  <c r="K131" i="2"/>
  <c r="E87" i="2"/>
  <c r="E14" i="2"/>
  <c r="N71" i="2"/>
  <c r="N107" i="2"/>
  <c r="N77" i="2"/>
  <c r="V183" i="2"/>
  <c r="R76" i="2"/>
  <c r="V72" i="2"/>
  <c r="V144" i="2"/>
  <c r="S47" i="2"/>
  <c r="R71" i="2"/>
  <c r="U126" i="2"/>
  <c r="O120" i="2"/>
  <c r="X117" i="2"/>
  <c r="G3" i="2"/>
  <c r="E103" i="2"/>
  <c r="E84" i="2"/>
  <c r="E13" i="2"/>
  <c r="E86" i="2"/>
  <c r="R72" i="2"/>
  <c r="K168" i="2"/>
  <c r="K185" i="2"/>
  <c r="H86" i="2"/>
  <c r="K228" i="2"/>
  <c r="U88" i="2"/>
  <c r="U15" i="2"/>
  <c r="P78" i="2"/>
  <c r="N84" i="2"/>
  <c r="N13" i="2"/>
  <c r="V57" i="2"/>
  <c r="N114" i="2"/>
  <c r="Q114" i="2"/>
  <c r="U57" i="2"/>
  <c r="Q96" i="2"/>
  <c r="Q25" i="2"/>
  <c r="E68" i="2"/>
  <c r="K113" i="2"/>
  <c r="E4" i="2"/>
  <c r="P144" i="2"/>
  <c r="Q4" i="2"/>
  <c r="L202" i="2"/>
  <c r="E63" i="2"/>
  <c r="H84" i="2"/>
  <c r="H13" i="2"/>
  <c r="K94" i="2"/>
  <c r="K19" i="2"/>
  <c r="I141" i="2"/>
  <c r="S72" i="2"/>
  <c r="S84" i="2"/>
  <c r="S13" i="2"/>
  <c r="U115" i="2"/>
  <c r="S103" i="2"/>
  <c r="Q86" i="2"/>
  <c r="L168" i="2"/>
  <c r="N32" i="2"/>
  <c r="N124" i="2"/>
  <c r="P126" i="2"/>
  <c r="R68" i="2"/>
  <c r="E73" i="2"/>
  <c r="U69" i="2"/>
  <c r="V99" i="2"/>
  <c r="V22" i="2"/>
  <c r="M107" i="2"/>
  <c r="Q73" i="2"/>
  <c r="Q71" i="2"/>
  <c r="V53" i="2"/>
  <c r="V3" i="2"/>
  <c r="N88" i="2"/>
  <c r="N15" i="2"/>
  <c r="Q3" i="2"/>
  <c r="E54" i="2"/>
  <c r="V114" i="2"/>
  <c r="N64" i="2"/>
  <c r="Q88" i="2"/>
  <c r="Q15" i="2"/>
  <c r="S85" i="2"/>
  <c r="S94" i="2"/>
  <c r="S19" i="2"/>
  <c r="N53" i="2"/>
  <c r="V118" i="2"/>
  <c r="Q87" i="2"/>
  <c r="Q14" i="2"/>
  <c r="L46" i="2"/>
  <c r="P72" i="2"/>
  <c r="P60" i="2"/>
  <c r="P10" i="2"/>
  <c r="N49" i="2"/>
  <c r="R181" i="2"/>
  <c r="W93" i="2"/>
  <c r="W18" i="2"/>
  <c r="Q108" i="2"/>
  <c r="L57" i="2"/>
  <c r="L3" i="2"/>
  <c r="H78" i="2"/>
  <c r="G94" i="2"/>
  <c r="G19" i="2"/>
  <c r="L108" i="2"/>
  <c r="V71" i="2"/>
  <c r="N47" i="2"/>
  <c r="L106" i="2"/>
  <c r="X104" i="2"/>
  <c r="L100" i="2"/>
  <c r="P55" i="2"/>
  <c r="R49" i="2"/>
  <c r="P51" i="2"/>
  <c r="M47" i="2"/>
  <c r="M64" i="2"/>
  <c r="O100" i="2"/>
  <c r="Q201" i="2"/>
  <c r="Q55" i="2"/>
  <c r="O106" i="2"/>
  <c r="Q46" i="2"/>
  <c r="S211" i="2"/>
  <c r="O108" i="2"/>
  <c r="L121" i="2"/>
  <c r="V33" i="2"/>
  <c r="V128" i="2"/>
  <c r="P71" i="2"/>
  <c r="Q121" i="2"/>
  <c r="P108" i="2"/>
  <c r="W47" i="2"/>
  <c r="W51" i="2"/>
  <c r="Q53" i="2"/>
  <c r="L56" i="2"/>
  <c r="S55" i="2"/>
  <c r="U100" i="2"/>
  <c r="L54" i="2"/>
  <c r="Q225" i="2"/>
  <c r="K108" i="2"/>
  <c r="Q57" i="2"/>
  <c r="E51" i="2"/>
  <c r="E118" i="2"/>
  <c r="W65" i="2"/>
  <c r="W153" i="2"/>
  <c r="U71" i="2"/>
  <c r="H77" i="2"/>
  <c r="I120" i="2"/>
  <c r="J183" i="2"/>
  <c r="G138" i="2"/>
  <c r="X196" i="2"/>
  <c r="W105" i="2"/>
  <c r="J224" i="2"/>
  <c r="X198" i="2"/>
  <c r="M84" i="2"/>
  <c r="M13" i="2"/>
  <c r="L4" i="2"/>
  <c r="G54" i="2"/>
  <c r="K4" i="2"/>
  <c r="L96" i="2"/>
  <c r="L25" i="2"/>
  <c r="E46" i="2"/>
  <c r="X228" i="2"/>
  <c r="S130" i="2"/>
  <c r="J130" i="2"/>
  <c r="T183" i="2"/>
  <c r="L113" i="2"/>
  <c r="V175" i="2"/>
  <c r="V86" i="2"/>
  <c r="K105" i="2"/>
  <c r="L55" i="2"/>
  <c r="U55" i="2"/>
  <c r="J3" i="2"/>
  <c r="G177" i="2"/>
  <c r="J4" i="2"/>
  <c r="G23" i="2"/>
  <c r="G101" i="2"/>
  <c r="L64" i="2"/>
  <c r="Q72" i="2"/>
  <c r="T4" i="2"/>
  <c r="R3" i="2"/>
  <c r="J105" i="2"/>
  <c r="M106" i="2"/>
  <c r="T126" i="2"/>
  <c r="H49" i="2"/>
  <c r="G96" i="2"/>
  <c r="G25" i="2"/>
  <c r="H4" i="2"/>
  <c r="U64" i="2"/>
  <c r="W76" i="2"/>
  <c r="V105" i="2"/>
  <c r="K118" i="2"/>
  <c r="W156" i="2"/>
  <c r="W78" i="2"/>
  <c r="V100" i="2"/>
  <c r="V68" i="2"/>
  <c r="L125" i="2"/>
  <c r="U72" i="2"/>
  <c r="F121" i="2"/>
  <c r="Q84" i="2"/>
  <c r="Q13" i="2"/>
  <c r="P47" i="2"/>
  <c r="K120" i="2"/>
  <c r="G104" i="2"/>
  <c r="J32" i="2"/>
  <c r="J124" i="2"/>
  <c r="V54" i="2"/>
  <c r="Q175" i="2"/>
  <c r="S3" i="2"/>
  <c r="V64" i="2"/>
  <c r="O194" i="2"/>
  <c r="Q51" i="2"/>
  <c r="U56" i="2"/>
  <c r="M57" i="2"/>
  <c r="V78" i="2"/>
  <c r="P138" i="2"/>
  <c r="F127" i="2"/>
  <c r="N23" i="2"/>
  <c r="N101" i="2"/>
  <c r="W3" i="2"/>
  <c r="P46" i="2"/>
  <c r="V60" i="2"/>
  <c r="V10" i="2"/>
  <c r="W60" i="2"/>
  <c r="W10" i="2"/>
  <c r="J190" i="2"/>
  <c r="J151" i="2"/>
  <c r="E3" i="2"/>
  <c r="S64" i="2"/>
  <c r="J29" i="2"/>
  <c r="J112" i="2"/>
  <c r="V84" i="2"/>
  <c r="V13" i="2"/>
  <c r="U95" i="2"/>
  <c r="U24" i="2"/>
  <c r="V63" i="2"/>
  <c r="Q131" i="2"/>
  <c r="U77" i="2"/>
  <c r="W49" i="2"/>
  <c r="O95" i="2"/>
  <c r="O24" i="2"/>
  <c r="U125" i="2"/>
  <c r="T127" i="2"/>
  <c r="O113" i="2"/>
  <c r="H47" i="2"/>
  <c r="N46" i="2"/>
  <c r="M105" i="2"/>
  <c r="M151" i="2"/>
  <c r="Q63" i="2"/>
  <c r="I183" i="2"/>
  <c r="R88" i="2"/>
  <c r="R15" i="2"/>
  <c r="G121" i="2"/>
  <c r="M138" i="2"/>
  <c r="M46" i="2"/>
  <c r="G55" i="2"/>
  <c r="Q60" i="2"/>
  <c r="Q10" i="2"/>
  <c r="K100" i="2"/>
  <c r="M120" i="2"/>
  <c r="O107" i="2"/>
  <c r="N126" i="2"/>
  <c r="L179" i="2"/>
  <c r="P73" i="2"/>
  <c r="M202" i="2"/>
  <c r="S69" i="2"/>
  <c r="V282" i="2"/>
  <c r="I138" i="2"/>
  <c r="P175" i="2"/>
  <c r="M88" i="2"/>
  <c r="M15" i="2"/>
  <c r="V224" i="2"/>
  <c r="V56" i="2"/>
  <c r="W56" i="2"/>
  <c r="M168" i="2"/>
  <c r="X4" i="2"/>
  <c r="M174" i="2"/>
  <c r="J93" i="2"/>
  <c r="J18" i="2"/>
  <c r="V132" i="2"/>
  <c r="W125" i="2"/>
  <c r="M7" i="2"/>
  <c r="M163" i="2"/>
  <c r="T102" i="2"/>
  <c r="S141" i="2"/>
  <c r="P179" i="2"/>
  <c r="P141" i="2"/>
  <c r="L193" i="2"/>
  <c r="P177" i="2"/>
  <c r="P79" i="2"/>
  <c r="P62" i="2"/>
  <c r="P152" i="2"/>
  <c r="P228" i="2"/>
  <c r="X246" i="2"/>
  <c r="V243" i="2"/>
  <c r="W172" i="2"/>
  <c r="O77" i="2"/>
  <c r="O76" i="2"/>
  <c r="H60" i="2"/>
  <c r="H10" i="2"/>
  <c r="O71" i="2"/>
  <c r="O78" i="2"/>
  <c r="O72" i="2"/>
  <c r="O73" i="2"/>
  <c r="O79" i="2"/>
  <c r="H54" i="2"/>
  <c r="H171" i="2"/>
  <c r="E130" i="2"/>
  <c r="M56" i="2"/>
  <c r="R56" i="2"/>
  <c r="J33" i="2"/>
  <c r="J128" i="2"/>
  <c r="E85" i="2"/>
  <c r="H73" i="2"/>
  <c r="E179" i="2"/>
  <c r="V65" i="2"/>
  <c r="V153" i="2"/>
  <c r="L53" i="2"/>
  <c r="N177" i="2"/>
  <c r="M228" i="2"/>
  <c r="M183" i="2"/>
  <c r="J7" i="2"/>
  <c r="J163" i="2"/>
  <c r="K141" i="2"/>
  <c r="Q125" i="2"/>
  <c r="U76" i="2"/>
  <c r="M23" i="2"/>
  <c r="M101" i="2"/>
  <c r="W55" i="2"/>
  <c r="S117" i="2"/>
  <c r="W84" i="2"/>
  <c r="W13" i="2"/>
  <c r="T117" i="2"/>
  <c r="H76" i="2"/>
  <c r="H196" i="2"/>
  <c r="W147" i="2"/>
  <c r="T144" i="2"/>
  <c r="N68" i="2"/>
  <c r="K125" i="2"/>
  <c r="F129" i="2"/>
  <c r="S63" i="2"/>
  <c r="M99" i="2"/>
  <c r="M22" i="2"/>
  <c r="P125" i="2"/>
  <c r="P3" i="2"/>
  <c r="P277" i="2"/>
  <c r="H69" i="2"/>
  <c r="J138" i="2"/>
  <c r="R84" i="2"/>
  <c r="R13" i="2"/>
  <c r="T115" i="2"/>
  <c r="R86" i="2"/>
  <c r="V88" i="2"/>
  <c r="V15" i="2"/>
  <c r="R78" i="2"/>
  <c r="R53" i="2"/>
  <c r="J131" i="2"/>
  <c r="L172" i="2"/>
  <c r="U113" i="2"/>
  <c r="R87" i="2"/>
  <c r="R14" i="2"/>
  <c r="M29" i="2"/>
  <c r="M112" i="2"/>
  <c r="X94" i="2"/>
  <c r="X19" i="2"/>
  <c r="Q79" i="2"/>
  <c r="R4" i="2"/>
  <c r="M32" i="2"/>
  <c r="M124" i="2"/>
  <c r="G236" i="2"/>
  <c r="G51" i="2"/>
  <c r="P88" i="2"/>
  <c r="P15" i="2"/>
  <c r="R54" i="2"/>
  <c r="K181" i="2"/>
  <c r="R227" i="2"/>
  <c r="G174" i="2"/>
  <c r="V206" i="2"/>
  <c r="N99" i="2"/>
  <c r="N22" i="2"/>
  <c r="P30" i="2"/>
  <c r="P116" i="2"/>
  <c r="S231" i="2"/>
  <c r="N204" i="2"/>
  <c r="Q47" i="2"/>
  <c r="H208" i="2"/>
  <c r="I107" i="2"/>
  <c r="G130" i="2"/>
  <c r="U79" i="2"/>
  <c r="G151" i="2"/>
  <c r="V77" i="2"/>
  <c r="H56" i="2"/>
  <c r="Q130" i="2"/>
  <c r="F220" i="2"/>
  <c r="R85" i="2"/>
  <c r="V179" i="2"/>
  <c r="V177" i="2"/>
  <c r="U118" i="2"/>
  <c r="H55" i="2"/>
  <c r="I104" i="2"/>
  <c r="X156" i="2"/>
  <c r="V55" i="2"/>
  <c r="K119" i="2"/>
  <c r="E119" i="2"/>
  <c r="H71" i="2"/>
  <c r="P65" i="2"/>
  <c r="P153" i="2"/>
  <c r="U60" i="2"/>
  <c r="U10" i="2"/>
  <c r="X185" i="2"/>
  <c r="R176" i="2"/>
  <c r="R204" i="2"/>
  <c r="S32" i="2"/>
  <c r="S124" i="2"/>
  <c r="R77" i="2"/>
  <c r="P245" i="2"/>
  <c r="P115" i="2"/>
  <c r="P190" i="2"/>
  <c r="P264" i="2"/>
  <c r="W135" i="2"/>
  <c r="W87" i="2"/>
  <c r="W14" i="2"/>
  <c r="Q49" i="2"/>
  <c r="N141" i="2"/>
  <c r="F103" i="2"/>
  <c r="M194" i="2"/>
  <c r="W217" i="2"/>
  <c r="N38" i="2"/>
  <c r="N188" i="2"/>
  <c r="N172" i="2"/>
  <c r="F135" i="2"/>
  <c r="W71" i="2"/>
  <c r="M190" i="2"/>
  <c r="M236" i="2"/>
  <c r="J102" i="2"/>
  <c r="E88" i="2"/>
  <c r="E15" i="2"/>
  <c r="P49" i="2"/>
  <c r="Q95" i="2"/>
  <c r="Q24" i="2"/>
  <c r="X23" i="2"/>
  <c r="X101" i="2"/>
  <c r="T99" i="2"/>
  <c r="T22" i="2"/>
  <c r="T73" i="2"/>
  <c r="K171" i="2"/>
  <c r="T91" i="2"/>
  <c r="T20" i="2"/>
  <c r="T159" i="2"/>
  <c r="T60" i="2"/>
  <c r="T10" i="2"/>
  <c r="J141" i="2"/>
  <c r="T78" i="2"/>
  <c r="T65" i="2"/>
  <c r="T153" i="2"/>
  <c r="P93" i="2"/>
  <c r="P18" i="2"/>
  <c r="K129" i="2"/>
  <c r="L171" i="2"/>
  <c r="P172" i="2"/>
  <c r="L37" i="2"/>
  <c r="L187" i="2"/>
  <c r="K268" i="2"/>
  <c r="L185" i="2"/>
  <c r="U63" i="2"/>
  <c r="J90" i="2"/>
  <c r="J17" i="2"/>
  <c r="J158" i="2"/>
  <c r="T76" i="2"/>
  <c r="R64" i="2"/>
  <c r="X119" i="2"/>
  <c r="U87" i="2"/>
  <c r="U14" i="2"/>
  <c r="X115" i="2"/>
  <c r="F102" i="2"/>
  <c r="M69" i="2"/>
  <c r="Q193" i="2"/>
  <c r="Q91" i="2"/>
  <c r="Q20" i="2"/>
  <c r="Q159" i="2"/>
  <c r="V113" i="2"/>
  <c r="T77" i="2"/>
  <c r="W141" i="2"/>
  <c r="G119" i="2"/>
  <c r="T181" i="2"/>
  <c r="K193" i="2"/>
  <c r="K92" i="2"/>
  <c r="K21" i="2"/>
  <c r="K160" i="2"/>
  <c r="M235" i="2"/>
  <c r="M60" i="2"/>
  <c r="M10" i="2"/>
  <c r="W72" i="2"/>
  <c r="H181" i="2"/>
  <c r="J172" i="2"/>
  <c r="W62" i="2"/>
  <c r="W152" i="2"/>
  <c r="T72" i="2"/>
  <c r="T54" i="2"/>
  <c r="M172" i="2"/>
  <c r="M62" i="2"/>
  <c r="M152" i="2"/>
  <c r="V51" i="2"/>
  <c r="M95" i="2"/>
  <c r="M24" i="2"/>
  <c r="S90" i="2"/>
  <c r="S17" i="2"/>
  <c r="S158" i="2"/>
  <c r="V73" i="2"/>
  <c r="W114" i="2"/>
  <c r="T79" i="2"/>
  <c r="X126" i="2"/>
  <c r="R79" i="2"/>
  <c r="K104" i="2"/>
  <c r="R266" i="2"/>
  <c r="T100" i="2"/>
  <c r="G56" i="2"/>
  <c r="I275" i="2"/>
  <c r="S62" i="2"/>
  <c r="S152" i="2"/>
  <c r="S193" i="2"/>
  <c r="E72" i="2"/>
  <c r="N135" i="2"/>
  <c r="T71" i="2"/>
  <c r="G62" i="2"/>
  <c r="G152" i="2"/>
  <c r="M93" i="2"/>
  <c r="M18" i="2"/>
  <c r="H190" i="2"/>
  <c r="I108" i="2"/>
  <c r="M72" i="2"/>
  <c r="M156" i="2"/>
  <c r="N57" i="2"/>
  <c r="M208" i="2"/>
  <c r="K223" i="2"/>
  <c r="X106" i="2"/>
  <c r="P57" i="2"/>
  <c r="S56" i="2"/>
  <c r="Q54" i="2"/>
  <c r="P193" i="2"/>
  <c r="I179" i="2"/>
  <c r="N165" i="2"/>
  <c r="V6" i="2"/>
  <c r="V212" i="2"/>
  <c r="W33" i="2"/>
  <c r="W128" i="2"/>
  <c r="E244" i="2"/>
  <c r="W185" i="2"/>
  <c r="W106" i="2"/>
  <c r="U104" i="2"/>
  <c r="W46" i="2"/>
  <c r="V104" i="2"/>
  <c r="W104" i="2"/>
  <c r="W77" i="2"/>
  <c r="O60" i="2"/>
  <c r="O10" i="2"/>
  <c r="R57" i="2"/>
  <c r="M49" i="2"/>
  <c r="G33" i="2"/>
  <c r="G128" i="2"/>
  <c r="K121" i="2"/>
  <c r="G53" i="2"/>
  <c r="S46" i="2"/>
  <c r="O179" i="2"/>
  <c r="G73" i="2"/>
  <c r="S30" i="2"/>
  <c r="S116" i="2"/>
  <c r="U151" i="2"/>
  <c r="S57" i="2"/>
  <c r="W132" i="2"/>
  <c r="G76" i="2"/>
  <c r="T220" i="2"/>
  <c r="T173" i="2"/>
  <c r="F107" i="2"/>
  <c r="E166" i="2"/>
  <c r="E76" i="2"/>
  <c r="G165" i="2"/>
  <c r="G60" i="2"/>
  <c r="G10" i="2"/>
  <c r="E53" i="2"/>
  <c r="G78" i="2"/>
  <c r="G79" i="2"/>
  <c r="G72" i="2"/>
  <c r="S77" i="2"/>
  <c r="G77" i="2"/>
  <c r="S7" i="2"/>
  <c r="S163" i="2"/>
  <c r="L117" i="2"/>
  <c r="Q69" i="2"/>
  <c r="J193" i="2"/>
  <c r="M129" i="2"/>
  <c r="J166" i="2"/>
  <c r="V93" i="2"/>
  <c r="V18" i="2"/>
  <c r="F138" i="2"/>
  <c r="I147" i="2"/>
  <c r="U229" i="2"/>
  <c r="X107" i="2"/>
  <c r="O63" i="2"/>
  <c r="O68" i="2"/>
  <c r="O55" i="2"/>
  <c r="M131" i="2"/>
  <c r="O114" i="2"/>
  <c r="M125" i="2"/>
  <c r="O87" i="2"/>
  <c r="O14" i="2"/>
  <c r="J107" i="2"/>
  <c r="I151" i="2"/>
  <c r="J211" i="2"/>
  <c r="W63" i="2"/>
  <c r="P69" i="2"/>
  <c r="I224" i="2"/>
  <c r="O94" i="2"/>
  <c r="O19" i="2"/>
  <c r="Q102" i="2"/>
  <c r="F165" i="2"/>
  <c r="O171" i="2"/>
  <c r="F65" i="2"/>
  <c r="F153" i="2"/>
  <c r="V23" i="2"/>
  <c r="V101" i="2"/>
  <c r="E95" i="2"/>
  <c r="E24" i="2"/>
  <c r="T104" i="2"/>
  <c r="O182" i="2"/>
  <c r="Q29" i="2"/>
  <c r="Q112" i="2"/>
  <c r="P105" i="2"/>
  <c r="J95" i="2"/>
  <c r="J24" i="2"/>
  <c r="T177" i="2"/>
  <c r="T206" i="2"/>
  <c r="N29" i="2"/>
  <c r="N112" i="2"/>
  <c r="W23" i="2"/>
  <c r="W101" i="2"/>
  <c r="S29" i="2"/>
  <c r="S112" i="2"/>
  <c r="M254" i="2"/>
  <c r="O252" i="2"/>
  <c r="O172" i="2"/>
  <c r="S181" i="2"/>
  <c r="S173" i="2"/>
  <c r="V79" i="2"/>
  <c r="V196" i="2"/>
  <c r="L174" i="2"/>
  <c r="L7" i="2"/>
  <c r="L163" i="2"/>
  <c r="F224" i="2"/>
  <c r="F265" i="2"/>
  <c r="G254" i="2"/>
  <c r="M54" i="2"/>
  <c r="L6" i="2"/>
  <c r="L212" i="2"/>
  <c r="M211" i="2"/>
  <c r="X222" i="2"/>
  <c r="N62" i="2"/>
  <c r="N152" i="2"/>
  <c r="E64" i="2"/>
  <c r="X93" i="2"/>
  <c r="X18" i="2"/>
  <c r="G181" i="2"/>
  <c r="I266" i="2"/>
  <c r="M100" i="2"/>
  <c r="O165" i="2"/>
  <c r="N54" i="2"/>
  <c r="U62" i="2"/>
  <c r="U152" i="2"/>
  <c r="U85" i="2"/>
  <c r="V30" i="2"/>
  <c r="V116" i="2"/>
  <c r="S99" i="2"/>
  <c r="S22" i="2"/>
  <c r="F276" i="2"/>
  <c r="S106" i="2"/>
  <c r="W30" i="2"/>
  <c r="W116" i="2"/>
  <c r="U46" i="2"/>
  <c r="E47" i="2"/>
  <c r="U51" i="2"/>
  <c r="G108" i="2"/>
  <c r="U73" i="2"/>
  <c r="N219" i="2"/>
  <c r="N169" i="2"/>
  <c r="K178" i="2"/>
  <c r="K245" i="2"/>
  <c r="G86" i="2"/>
  <c r="R179" i="2"/>
  <c r="G88" i="2"/>
  <c r="G15" i="2"/>
  <c r="U121" i="2"/>
  <c r="T196" i="2"/>
  <c r="S175" i="2"/>
  <c r="Q85" i="2"/>
  <c r="L49" i="2"/>
  <c r="O177" i="2"/>
  <c r="E151" i="2"/>
  <c r="G84" i="2"/>
  <c r="G13" i="2"/>
  <c r="T179" i="2"/>
  <c r="G85" i="2"/>
  <c r="V108" i="2"/>
  <c r="O86" i="2"/>
  <c r="J35" i="2"/>
  <c r="J184" i="2"/>
  <c r="O84" i="2"/>
  <c r="O13" i="2"/>
  <c r="E120" i="2"/>
  <c r="G63" i="2"/>
  <c r="O85" i="2"/>
  <c r="P89" i="2"/>
  <c r="P16" i="2"/>
  <c r="P157" i="2"/>
  <c r="T85" i="2"/>
  <c r="T84" i="2"/>
  <c r="T13" i="2"/>
  <c r="V117" i="2"/>
  <c r="O56" i="2"/>
  <c r="O64" i="2"/>
  <c r="E132" i="2"/>
  <c r="E126" i="2"/>
  <c r="X135" i="2"/>
  <c r="M38" i="2"/>
  <c r="M188" i="2"/>
  <c r="L127" i="2"/>
  <c r="S115" i="2"/>
  <c r="F176" i="2"/>
  <c r="F166" i="2"/>
  <c r="T63" i="2"/>
  <c r="T55" i="2"/>
  <c r="L224" i="2"/>
  <c r="N117" i="2"/>
  <c r="X120" i="2"/>
  <c r="M115" i="2"/>
  <c r="U138" i="2"/>
  <c r="K173" i="2"/>
  <c r="V91" i="2"/>
  <c r="V20" i="2"/>
  <c r="V159" i="2"/>
  <c r="G87" i="2"/>
  <c r="G14" i="2"/>
  <c r="N115" i="2"/>
  <c r="F132" i="2"/>
  <c r="H172" i="2"/>
  <c r="S107" i="2"/>
  <c r="Q126" i="2"/>
  <c r="U127" i="2"/>
  <c r="F126" i="2"/>
  <c r="U89" i="2"/>
  <c r="U16" i="2"/>
  <c r="U157" i="2"/>
  <c r="X105" i="2"/>
  <c r="X118" i="2"/>
  <c r="L32" i="2"/>
  <c r="L124" i="2"/>
  <c r="N131" i="2"/>
  <c r="N125" i="2"/>
  <c r="I132" i="2"/>
  <c r="I126" i="2"/>
  <c r="P99" i="2"/>
  <c r="P22" i="2"/>
  <c r="T193" i="2"/>
  <c r="T62" i="2"/>
  <c r="T152" i="2"/>
  <c r="F23" i="2"/>
  <c r="F101" i="2"/>
  <c r="O88" i="2"/>
  <c r="O15" i="2"/>
  <c r="E89" i="2"/>
  <c r="E16" i="2"/>
  <c r="E157" i="2"/>
  <c r="O54" i="2"/>
  <c r="I252" i="2"/>
  <c r="O47" i="2"/>
  <c r="O51" i="2"/>
  <c r="O69" i="2"/>
  <c r="I264" i="2"/>
  <c r="O46" i="2"/>
  <c r="O57" i="2"/>
  <c r="O49" i="2"/>
  <c r="E275" i="2"/>
  <c r="G226" i="2"/>
  <c r="G196" i="2"/>
  <c r="Q178" i="2"/>
  <c r="G71" i="2"/>
  <c r="T243" i="2"/>
  <c r="N201" i="2"/>
  <c r="O53" i="2"/>
  <c r="L120" i="2"/>
  <c r="E35" i="2"/>
  <c r="E184" i="2"/>
  <c r="E156" i="2"/>
  <c r="T64" i="2"/>
  <c r="Q174" i="2"/>
  <c r="U217" i="2"/>
  <c r="N72" i="2"/>
  <c r="T277" i="2"/>
  <c r="Q180" i="2"/>
  <c r="X173" i="2"/>
  <c r="O118" i="2"/>
  <c r="Q35" i="2"/>
  <c r="Q184" i="2"/>
  <c r="W102" i="2"/>
  <c r="P87" i="2"/>
  <c r="P14" i="2"/>
  <c r="R175" i="2"/>
  <c r="H7" i="2"/>
  <c r="H163" i="2"/>
  <c r="N223" i="2"/>
  <c r="X252" i="2"/>
  <c r="E253" i="2"/>
  <c r="J119" i="2"/>
  <c r="S86" i="2"/>
  <c r="J168" i="2"/>
  <c r="J202" i="2"/>
  <c r="T202" i="2"/>
  <c r="L230" i="2"/>
  <c r="M113" i="2"/>
  <c r="Q214" i="2"/>
  <c r="E113" i="2"/>
  <c r="I276" i="2"/>
  <c r="S131" i="2"/>
  <c r="S125" i="2"/>
  <c r="J106" i="2"/>
  <c r="R243" i="2"/>
  <c r="F118" i="2"/>
  <c r="Q100" i="2"/>
  <c r="G65" i="2"/>
  <c r="G153" i="2"/>
  <c r="R211" i="2"/>
  <c r="P121" i="2"/>
  <c r="I259" i="2"/>
  <c r="V85" i="2"/>
  <c r="H182" i="2"/>
  <c r="N244" i="2"/>
  <c r="S65" i="2"/>
  <c r="S153" i="2"/>
  <c r="X30" i="2"/>
  <c r="X116" i="2"/>
  <c r="M130" i="2"/>
  <c r="E265" i="2"/>
  <c r="I119" i="2"/>
  <c r="X33" i="2"/>
  <c r="X128" i="2"/>
  <c r="P118" i="2"/>
  <c r="E65" i="2"/>
  <c r="E153" i="2"/>
  <c r="K107" i="2"/>
  <c r="P135" i="2"/>
  <c r="W129" i="2"/>
  <c r="X51" i="2"/>
  <c r="X49" i="2"/>
  <c r="K99" i="2"/>
  <c r="K22" i="2"/>
  <c r="G120" i="2"/>
  <c r="W117" i="2"/>
  <c r="S102" i="2"/>
  <c r="G115" i="2"/>
  <c r="E144" i="2"/>
  <c r="X53" i="2"/>
  <c r="X54" i="2"/>
  <c r="X76" i="2"/>
  <c r="X103" i="2"/>
  <c r="O23" i="2"/>
  <c r="O101" i="2"/>
  <c r="I129" i="2"/>
  <c r="M117" i="2"/>
  <c r="X79" i="2"/>
  <c r="F105" i="2"/>
  <c r="I206" i="2"/>
  <c r="P183" i="2"/>
  <c r="P248" i="2"/>
  <c r="G117" i="2"/>
  <c r="N113" i="2"/>
  <c r="S126" i="2"/>
  <c r="V115" i="2"/>
  <c r="Q115" i="2"/>
  <c r="P85" i="2"/>
  <c r="P86" i="2"/>
  <c r="P84" i="2"/>
  <c r="P13" i="2"/>
  <c r="U144" i="2"/>
  <c r="G93" i="2"/>
  <c r="G18" i="2"/>
  <c r="L29" i="2"/>
  <c r="L112" i="2"/>
  <c r="O260" i="2"/>
  <c r="E125" i="2"/>
  <c r="M249" i="2"/>
  <c r="W138" i="2"/>
  <c r="T68" i="2"/>
  <c r="G92" i="2"/>
  <c r="G21" i="2"/>
  <c r="G160" i="2"/>
  <c r="Q120" i="2"/>
  <c r="I202" i="2"/>
  <c r="E94" i="2"/>
  <c r="E19" i="2"/>
  <c r="I304" i="2"/>
  <c r="G95" i="2"/>
  <c r="G24" i="2"/>
  <c r="I173" i="2"/>
  <c r="L99" i="2"/>
  <c r="L22" i="2"/>
  <c r="I297" i="2"/>
  <c r="R201" i="2"/>
  <c r="X91" i="2"/>
  <c r="X20" i="2"/>
  <c r="X159" i="2"/>
  <c r="W91" i="2"/>
  <c r="W20" i="2"/>
  <c r="W159" i="2"/>
  <c r="V126" i="2"/>
  <c r="G118" i="2"/>
  <c r="L95" i="2"/>
  <c r="L24" i="2"/>
  <c r="T131" i="2"/>
  <c r="M135" i="2"/>
  <c r="T57" i="2"/>
  <c r="X144" i="2"/>
  <c r="F151" i="2"/>
  <c r="E138" i="2"/>
  <c r="Q165" i="2"/>
  <c r="K235" i="2"/>
  <c r="X132" i="2"/>
  <c r="M108" i="2"/>
  <c r="T103" i="2"/>
  <c r="V102" i="2"/>
  <c r="N100" i="2"/>
  <c r="E106" i="2"/>
  <c r="W248" i="2"/>
  <c r="K175" i="2"/>
  <c r="Q270" i="2"/>
  <c r="N121" i="2"/>
  <c r="Q106" i="2"/>
  <c r="U30" i="2"/>
  <c r="U116" i="2"/>
  <c r="J121" i="2"/>
  <c r="N108" i="2"/>
  <c r="I121" i="2"/>
  <c r="T121" i="2"/>
  <c r="I106" i="2"/>
  <c r="M180" i="2"/>
  <c r="U65" i="2"/>
  <c r="U153" i="2"/>
  <c r="T151" i="2"/>
  <c r="H206" i="2"/>
  <c r="W183" i="2"/>
  <c r="W206" i="2"/>
  <c r="T69" i="2"/>
  <c r="J147" i="2"/>
  <c r="J96" i="2"/>
  <c r="J25" i="2"/>
  <c r="E129" i="2"/>
  <c r="T114" i="2"/>
  <c r="O99" i="2"/>
  <c r="O22" i="2"/>
  <c r="S88" i="2"/>
  <c r="S15" i="2"/>
  <c r="S87" i="2"/>
  <c r="S14" i="2"/>
  <c r="F73" i="2"/>
  <c r="E117" i="2"/>
  <c r="E182" i="2"/>
  <c r="E178" i="2"/>
  <c r="E208" i="2"/>
  <c r="F72" i="2"/>
  <c r="F71" i="2"/>
  <c r="F77" i="2"/>
  <c r="J129" i="2"/>
  <c r="F79" i="2"/>
  <c r="F78" i="2"/>
  <c r="U120" i="2"/>
  <c r="P114" i="2"/>
  <c r="R165" i="2"/>
  <c r="R185" i="2"/>
  <c r="W32" i="2"/>
  <c r="W124" i="2"/>
  <c r="K247" i="2"/>
  <c r="N283" i="2"/>
  <c r="S220" i="2"/>
  <c r="S236" i="2"/>
  <c r="V125" i="2"/>
  <c r="N120" i="2"/>
  <c r="I168" i="2"/>
  <c r="N221" i="2"/>
  <c r="N181" i="2"/>
  <c r="R177" i="2"/>
  <c r="N228" i="2"/>
  <c r="N193" i="2"/>
  <c r="N171" i="2"/>
  <c r="N270" i="2"/>
  <c r="N35" i="2"/>
  <c r="N184" i="2"/>
  <c r="T89" i="2"/>
  <c r="T16" i="2"/>
  <c r="T157" i="2"/>
  <c r="F114" i="2"/>
  <c r="K103" i="2"/>
  <c r="T107" i="2"/>
  <c r="X29" i="2"/>
  <c r="X112" i="2"/>
  <c r="P23" i="2"/>
  <c r="P101" i="2"/>
  <c r="P176" i="2"/>
  <c r="O168" i="2"/>
  <c r="N174" i="2"/>
  <c r="N7" i="2"/>
  <c r="N163" i="2"/>
  <c r="O29" i="2"/>
  <c r="O112" i="2"/>
  <c r="M96" i="2"/>
  <c r="M25" i="2"/>
  <c r="Q113" i="2"/>
  <c r="O32" i="2"/>
  <c r="O124" i="2"/>
  <c r="V96" i="2"/>
  <c r="V25" i="2"/>
  <c r="T23" i="2"/>
  <c r="T101" i="2"/>
  <c r="T86" i="2"/>
  <c r="M141" i="2"/>
  <c r="G107" i="2"/>
  <c r="V127" i="2"/>
  <c r="U132" i="2"/>
  <c r="I130" i="2"/>
  <c r="U103" i="2"/>
  <c r="W168" i="2"/>
  <c r="E190" i="2"/>
  <c r="K117" i="2"/>
  <c r="I288" i="2"/>
  <c r="M147" i="2"/>
  <c r="E127" i="2"/>
  <c r="T90" i="2"/>
  <c r="T17" i="2"/>
  <c r="T158" i="2"/>
  <c r="G105" i="2"/>
  <c r="J171" i="2"/>
  <c r="J220" i="2"/>
  <c r="T174" i="2"/>
  <c r="I231" i="2"/>
  <c r="N6" i="2"/>
  <c r="N212" i="2"/>
  <c r="Q94" i="2"/>
  <c r="Q19" i="2"/>
  <c r="E147" i="2"/>
  <c r="L107" i="2"/>
  <c r="E135" i="2"/>
  <c r="P178" i="2"/>
  <c r="O211" i="2"/>
  <c r="P37" i="2"/>
  <c r="P187" i="2"/>
  <c r="P204" i="2"/>
  <c r="N268" i="2"/>
  <c r="S100" i="2"/>
  <c r="N138" i="2"/>
  <c r="U23" i="2"/>
  <c r="U101" i="2"/>
  <c r="N166" i="2"/>
  <c r="M244" i="2"/>
  <c r="F246" i="2"/>
  <c r="F120" i="2"/>
  <c r="J231" i="2"/>
  <c r="I238" i="2"/>
  <c r="G64" i="2"/>
  <c r="P221" i="2"/>
  <c r="O185" i="2"/>
  <c r="P214" i="2"/>
  <c r="M118" i="2"/>
  <c r="O190" i="2"/>
  <c r="O119" i="2"/>
  <c r="U225" i="2"/>
  <c r="V130" i="2"/>
  <c r="S196" i="2"/>
  <c r="Q179" i="2"/>
  <c r="J108" i="2"/>
  <c r="M104" i="2"/>
  <c r="T132" i="2"/>
  <c r="W108" i="2"/>
  <c r="K151" i="2"/>
  <c r="W130" i="2"/>
  <c r="T130" i="2"/>
  <c r="V121" i="2"/>
  <c r="F89" i="2"/>
  <c r="F16" i="2"/>
  <c r="F157" i="2"/>
  <c r="X125" i="2"/>
  <c r="X131" i="2"/>
  <c r="U32" i="2"/>
  <c r="U124" i="2"/>
  <c r="S247" i="2"/>
  <c r="J135" i="2"/>
  <c r="K135" i="2"/>
  <c r="S285" i="2"/>
  <c r="X65" i="2"/>
  <c r="X153" i="2"/>
  <c r="X73" i="2"/>
  <c r="S96" i="2"/>
  <c r="S25" i="2"/>
  <c r="X71" i="2"/>
  <c r="X77" i="2"/>
  <c r="X60" i="2"/>
  <c r="X10" i="2"/>
  <c r="X72" i="2"/>
  <c r="X78" i="2"/>
  <c r="F99" i="2"/>
  <c r="F22" i="2"/>
  <c r="O93" i="2"/>
  <c r="O18" i="2"/>
  <c r="N89" i="2"/>
  <c r="N16" i="2"/>
  <c r="N157" i="2"/>
  <c r="T51" i="2"/>
  <c r="T53" i="2"/>
  <c r="G220" i="2"/>
  <c r="T38" i="2"/>
  <c r="T188" i="2"/>
  <c r="G198" i="2"/>
  <c r="G267" i="2"/>
  <c r="E199" i="2"/>
  <c r="I267" i="2"/>
  <c r="V90" i="2"/>
  <c r="V17" i="2"/>
  <c r="V158" i="2"/>
  <c r="I282" i="2"/>
  <c r="W29" i="2"/>
  <c r="W112" i="2"/>
  <c r="Q248" i="2"/>
  <c r="Q176" i="2"/>
  <c r="T141" i="2"/>
  <c r="N199" i="2"/>
  <c r="V229" i="2"/>
  <c r="L105" i="2"/>
  <c r="T49" i="2"/>
  <c r="T224" i="2"/>
  <c r="P32" i="2"/>
  <c r="P124" i="2"/>
  <c r="T229" i="2"/>
  <c r="T29" i="2"/>
  <c r="T112" i="2"/>
  <c r="I226" i="2"/>
  <c r="I209" i="2"/>
  <c r="V131" i="2"/>
  <c r="S95" i="2"/>
  <c r="S24" i="2"/>
  <c r="F68" i="2"/>
  <c r="N93" i="2"/>
  <c r="N18" i="2"/>
  <c r="Q129" i="2"/>
  <c r="J94" i="2"/>
  <c r="J19" i="2"/>
  <c r="O174" i="2"/>
  <c r="T88" i="2"/>
  <c r="T15" i="2"/>
  <c r="G147" i="2"/>
  <c r="M271" i="2"/>
  <c r="S120" i="2"/>
  <c r="T30" i="2"/>
  <c r="T116" i="2"/>
  <c r="T32" i="2"/>
  <c r="T124" i="2"/>
  <c r="T87" i="2"/>
  <c r="T14" i="2"/>
  <c r="K138" i="2"/>
  <c r="J37" i="2"/>
  <c r="J187" i="2"/>
  <c r="F32" i="2"/>
  <c r="F124" i="2"/>
  <c r="S89" i="2"/>
  <c r="S16" i="2"/>
  <c r="S157" i="2"/>
  <c r="G126" i="2"/>
  <c r="G132" i="2"/>
  <c r="N96" i="2"/>
  <c r="N25" i="2"/>
  <c r="X141" i="2"/>
  <c r="S113" i="2"/>
  <c r="U114" i="2"/>
  <c r="F255" i="2"/>
  <c r="I115" i="2"/>
  <c r="G166" i="2"/>
  <c r="E114" i="2"/>
  <c r="E259" i="2"/>
  <c r="V202" i="2"/>
  <c r="V272" i="2"/>
  <c r="X99" i="2"/>
  <c r="X22" i="2"/>
  <c r="W126" i="2"/>
  <c r="X68" i="2"/>
  <c r="F229" i="2"/>
  <c r="H166" i="2"/>
  <c r="G37" i="2"/>
  <c r="G187" i="2"/>
  <c r="M176" i="2"/>
  <c r="F4" i="2"/>
  <c r="E230" i="2"/>
  <c r="N118" i="2"/>
  <c r="P120" i="2"/>
  <c r="V62" i="2"/>
  <c r="V152" i="2"/>
  <c r="P247" i="2"/>
  <c r="O202" i="2"/>
  <c r="P225" i="2"/>
  <c r="N94" i="2"/>
  <c r="N19" i="2"/>
  <c r="W181" i="2"/>
  <c r="U99" i="2"/>
  <c r="U22" i="2"/>
  <c r="N147" i="2"/>
  <c r="G35" i="2"/>
  <c r="G184" i="2"/>
  <c r="E33" i="2"/>
  <c r="E128" i="2"/>
  <c r="M230" i="2"/>
  <c r="G255" i="2"/>
  <c r="P95" i="2"/>
  <c r="P24" i="2"/>
  <c r="E37" i="2"/>
  <c r="E187" i="2"/>
  <c r="P174" i="2"/>
  <c r="S151" i="2"/>
  <c r="L208" i="2"/>
  <c r="J174" i="2"/>
  <c r="V174" i="2"/>
  <c r="W179" i="2"/>
  <c r="J198" i="2"/>
  <c r="G68" i="2"/>
  <c r="G209" i="2"/>
  <c r="F87" i="2"/>
  <c r="F14" i="2"/>
  <c r="N129" i="2"/>
  <c r="E246" i="2"/>
  <c r="T46" i="2"/>
  <c r="T96" i="2"/>
  <c r="T25" i="2"/>
  <c r="P180" i="2"/>
  <c r="P315" i="2"/>
  <c r="J236" i="2"/>
  <c r="Q202" i="2"/>
  <c r="F69" i="2"/>
  <c r="Q237" i="2"/>
  <c r="Q194" i="2"/>
  <c r="W89" i="2"/>
  <c r="W16" i="2"/>
  <c r="W157" i="2"/>
  <c r="W121" i="2"/>
  <c r="K166" i="2"/>
  <c r="M6" i="2"/>
  <c r="M212" i="2"/>
  <c r="V237" i="2"/>
  <c r="I100" i="2"/>
  <c r="K60" i="2"/>
  <c r="K10" i="2"/>
  <c r="K71" i="2"/>
  <c r="K49" i="2"/>
  <c r="K53" i="2"/>
  <c r="K35" i="2"/>
  <c r="K184" i="2"/>
  <c r="X47" i="2"/>
  <c r="X46" i="2"/>
  <c r="K51" i="2"/>
  <c r="M177" i="2"/>
  <c r="H35" i="2"/>
  <c r="H184" i="2"/>
  <c r="S37" i="2"/>
  <c r="S187" i="2"/>
  <c r="I236" i="2"/>
  <c r="G156" i="2"/>
  <c r="H178" i="2"/>
  <c r="P106" i="2"/>
  <c r="E104" i="2"/>
  <c r="X57" i="2"/>
  <c r="T56" i="2"/>
  <c r="X177" i="2"/>
  <c r="N33" i="2"/>
  <c r="N128" i="2"/>
  <c r="S108" i="2"/>
  <c r="N119" i="2"/>
  <c r="X62" i="2"/>
  <c r="X152" i="2"/>
  <c r="I269" i="2"/>
  <c r="J118" i="2"/>
  <c r="L104" i="2"/>
  <c r="T47" i="2"/>
  <c r="V278" i="2"/>
  <c r="N106" i="2"/>
  <c r="N130" i="2"/>
  <c r="W100" i="2"/>
  <c r="M121" i="2"/>
  <c r="L173" i="2"/>
  <c r="R225" i="2"/>
  <c r="U130" i="2"/>
  <c r="K156" i="2"/>
  <c r="J156" i="2"/>
  <c r="J180" i="2"/>
  <c r="F3" i="2"/>
  <c r="F76" i="2"/>
  <c r="F51" i="2"/>
  <c r="I286" i="2"/>
  <c r="F7" i="2"/>
  <c r="F163" i="2"/>
  <c r="F60" i="2"/>
  <c r="F10" i="2"/>
  <c r="F53" i="2"/>
  <c r="F49" i="2"/>
  <c r="F54" i="2"/>
  <c r="J117" i="2"/>
  <c r="F85" i="2"/>
  <c r="F84" i="2"/>
  <c r="F13" i="2"/>
  <c r="F86" i="2"/>
  <c r="T182" i="2"/>
  <c r="O199" i="2"/>
  <c r="T204" i="2"/>
  <c r="T176" i="2"/>
  <c r="I127" i="2"/>
  <c r="L23" i="2"/>
  <c r="L101" i="2"/>
  <c r="N176" i="2"/>
  <c r="N194" i="2"/>
  <c r="F92" i="2"/>
  <c r="F21" i="2"/>
  <c r="F160" i="2"/>
  <c r="X84" i="2"/>
  <c r="X13" i="2"/>
  <c r="X85" i="2"/>
  <c r="T95" i="2"/>
  <c r="T24" i="2"/>
  <c r="S289" i="2"/>
  <c r="N151" i="2"/>
  <c r="T120" i="2"/>
  <c r="T168" i="2"/>
  <c r="X86" i="2"/>
  <c r="V32" i="2"/>
  <c r="V124" i="2"/>
  <c r="K127" i="2"/>
  <c r="X32" i="2"/>
  <c r="X124" i="2"/>
  <c r="N105" i="2"/>
  <c r="X56" i="2"/>
  <c r="V138" i="2"/>
  <c r="X69" i="2"/>
  <c r="X64" i="2"/>
  <c r="F47" i="2"/>
  <c r="T138" i="2"/>
  <c r="X208" i="2"/>
  <c r="L166" i="2"/>
  <c r="F91" i="2"/>
  <c r="F20" i="2"/>
  <c r="F159" i="2"/>
  <c r="F46" i="2"/>
  <c r="F93" i="2"/>
  <c r="F18" i="2"/>
  <c r="L129" i="2"/>
  <c r="L182" i="2"/>
  <c r="I166" i="2"/>
  <c r="X55" i="2"/>
  <c r="X63" i="2"/>
  <c r="E102" i="2"/>
  <c r="W90" i="2"/>
  <c r="W17" i="2"/>
  <c r="W158" i="2"/>
  <c r="P94" i="2"/>
  <c r="P19" i="2"/>
  <c r="G144" i="2"/>
  <c r="I102" i="2"/>
  <c r="P129" i="2"/>
  <c r="F55" i="2"/>
  <c r="S138" i="2"/>
  <c r="W113" i="2"/>
  <c r="V141" i="2"/>
  <c r="W115" i="2"/>
  <c r="T125" i="2"/>
  <c r="O105" i="2"/>
  <c r="F95" i="2"/>
  <c r="F24" i="2"/>
  <c r="F96" i="2"/>
  <c r="F25" i="2"/>
  <c r="S182" i="2"/>
  <c r="S178" i="2"/>
  <c r="S176" i="2"/>
  <c r="S221" i="2"/>
  <c r="P107" i="2"/>
  <c r="L190" i="2"/>
  <c r="L93" i="2"/>
  <c r="L18" i="2"/>
  <c r="F94" i="2"/>
  <c r="F19" i="2"/>
  <c r="F63" i="2"/>
  <c r="X284" i="2"/>
  <c r="Q168" i="2"/>
  <c r="L176" i="2"/>
  <c r="G89" i="2"/>
  <c r="G16" i="2"/>
  <c r="G157" i="2"/>
  <c r="L92" i="2"/>
  <c r="L21" i="2"/>
  <c r="L160" i="2"/>
  <c r="Q7" i="2"/>
  <c r="Q163" i="2"/>
  <c r="E92" i="2"/>
  <c r="E21" i="2"/>
  <c r="E160" i="2"/>
  <c r="L198" i="2"/>
  <c r="L220" i="2"/>
  <c r="V89" i="2"/>
  <c r="V16" i="2"/>
  <c r="V157" i="2"/>
  <c r="U29" i="2"/>
  <c r="U112" i="2"/>
  <c r="E115" i="2"/>
  <c r="P29" i="2"/>
  <c r="P112" i="2"/>
  <c r="X87" i="2"/>
  <c r="X14" i="2"/>
  <c r="R172" i="2"/>
  <c r="X88" i="2"/>
  <c r="X15" i="2"/>
  <c r="F173" i="2"/>
  <c r="K32" i="2"/>
  <c r="K124" i="2"/>
  <c r="K33" i="2"/>
  <c r="K128" i="2"/>
  <c r="J127" i="2"/>
  <c r="W99" i="2"/>
  <c r="W22" i="2"/>
  <c r="F30" i="2"/>
  <c r="F116" i="2"/>
  <c r="I176" i="2"/>
  <c r="F115" i="2"/>
  <c r="I171" i="2"/>
  <c r="T236" i="2"/>
  <c r="P6" i="2"/>
  <c r="P212" i="2"/>
  <c r="P168" i="2"/>
  <c r="S194" i="2"/>
  <c r="M92" i="2"/>
  <c r="M21" i="2"/>
  <c r="M160" i="2"/>
  <c r="U96" i="2"/>
  <c r="U25" i="2"/>
  <c r="P7" i="2"/>
  <c r="P163" i="2"/>
  <c r="F182" i="2"/>
  <c r="X194" i="2"/>
  <c r="G103" i="2"/>
  <c r="G135" i="2"/>
  <c r="R174" i="2"/>
  <c r="X37" i="2"/>
  <c r="X187" i="2"/>
  <c r="O166" i="2"/>
  <c r="M37" i="2"/>
  <c r="M187" i="2"/>
  <c r="M221" i="2"/>
  <c r="F180" i="2"/>
  <c r="S172" i="2"/>
  <c r="E175" i="2"/>
  <c r="M102" i="2"/>
  <c r="J104" i="2"/>
  <c r="M171" i="2"/>
  <c r="I182" i="2"/>
  <c r="O214" i="2"/>
  <c r="R6" i="2"/>
  <c r="R212" i="2"/>
  <c r="M33" i="2"/>
  <c r="M128" i="2"/>
  <c r="K260" i="2"/>
  <c r="M165" i="2"/>
  <c r="W198" i="2"/>
  <c r="X179" i="2"/>
  <c r="J173" i="2"/>
  <c r="N156" i="2"/>
  <c r="P119" i="2"/>
  <c r="J30" i="2"/>
  <c r="J116" i="2"/>
  <c r="E30" i="2"/>
  <c r="E116" i="2"/>
  <c r="L119" i="2"/>
  <c r="F33" i="2"/>
  <c r="F128" i="2"/>
  <c r="V151" i="2"/>
  <c r="V35" i="2"/>
  <c r="V184" i="2"/>
  <c r="L33" i="2"/>
  <c r="L128" i="2"/>
  <c r="E23" i="2"/>
  <c r="E101" i="2"/>
  <c r="J103" i="2"/>
  <c r="R180" i="2"/>
  <c r="J91" i="2"/>
  <c r="J20" i="2"/>
  <c r="J159" i="2"/>
  <c r="H199" i="2"/>
  <c r="J69" i="2"/>
  <c r="H192" i="2"/>
  <c r="G91" i="2"/>
  <c r="G20" i="2"/>
  <c r="G159" i="2"/>
  <c r="F144" i="2"/>
  <c r="R272" i="2"/>
  <c r="G29" i="2"/>
  <c r="G112" i="2"/>
  <c r="R166" i="2"/>
  <c r="I73" i="2"/>
  <c r="J49" i="2"/>
  <c r="S129" i="2"/>
  <c r="K147" i="2"/>
  <c r="J53" i="2"/>
  <c r="I79" i="2"/>
  <c r="I78" i="2"/>
  <c r="I71" i="2"/>
  <c r="I65" i="2"/>
  <c r="I153" i="2"/>
  <c r="K68" i="2"/>
  <c r="O250" i="2"/>
  <c r="F56" i="2"/>
  <c r="G102" i="2"/>
  <c r="F88" i="2"/>
  <c r="F15" i="2"/>
  <c r="F64" i="2"/>
  <c r="O277" i="2"/>
  <c r="G127" i="2"/>
  <c r="L118" i="2"/>
  <c r="J144" i="2"/>
  <c r="J199" i="2"/>
  <c r="S119" i="2"/>
  <c r="I51" i="2"/>
  <c r="I54" i="2"/>
  <c r="I53" i="2"/>
  <c r="I76" i="2"/>
  <c r="I72" i="2"/>
  <c r="I49" i="2"/>
  <c r="I62" i="2"/>
  <c r="I152" i="2"/>
  <c r="I77" i="2"/>
  <c r="J132" i="2"/>
  <c r="J126" i="2"/>
  <c r="E91" i="2"/>
  <c r="E20" i="2"/>
  <c r="E159" i="2"/>
  <c r="K269" i="2"/>
  <c r="W6" i="2"/>
  <c r="W212" i="2"/>
  <c r="O204" i="2"/>
  <c r="W190" i="2"/>
  <c r="O178" i="2"/>
  <c r="X7" i="2"/>
  <c r="X163" i="2"/>
  <c r="G69" i="2"/>
  <c r="L114" i="2"/>
  <c r="I131" i="2"/>
  <c r="I192" i="2"/>
  <c r="F57" i="2"/>
  <c r="U108" i="2"/>
  <c r="W222" i="2"/>
  <c r="J192" i="2"/>
  <c r="Q171" i="2"/>
  <c r="R237" i="2"/>
  <c r="W194" i="2"/>
  <c r="V106" i="2"/>
  <c r="E165" i="2"/>
  <c r="Q117" i="2"/>
  <c r="E209" i="2"/>
  <c r="Q119" i="2"/>
  <c r="J55" i="2"/>
  <c r="J47" i="2"/>
  <c r="G30" i="2"/>
  <c r="G116" i="2"/>
  <c r="G261" i="2"/>
  <c r="S121" i="2"/>
  <c r="X206" i="2"/>
  <c r="X229" i="2"/>
  <c r="X217" i="2"/>
  <c r="O117" i="2"/>
  <c r="V95" i="2"/>
  <c r="V24" i="2"/>
  <c r="K64" i="2"/>
  <c r="S147" i="2"/>
  <c r="K56" i="2"/>
  <c r="V171" i="2"/>
  <c r="X89" i="2"/>
  <c r="X16" i="2"/>
  <c r="X157" i="2"/>
  <c r="U105" i="2"/>
  <c r="E90" i="2"/>
  <c r="E17" i="2"/>
  <c r="E158" i="2"/>
  <c r="F38" i="2"/>
  <c r="F188" i="2"/>
  <c r="V180" i="2"/>
  <c r="N102" i="2"/>
  <c r="F222" i="2"/>
  <c r="O92" i="2"/>
  <c r="O21" i="2"/>
  <c r="O160" i="2"/>
  <c r="K90" i="2"/>
  <c r="K17" i="2"/>
  <c r="K158" i="2"/>
  <c r="V178" i="2"/>
  <c r="L175" i="2"/>
  <c r="V214" i="2"/>
  <c r="K115" i="2"/>
  <c r="L250" i="2"/>
  <c r="V182" i="2"/>
  <c r="T129" i="2"/>
  <c r="T93" i="2"/>
  <c r="T18" i="2"/>
  <c r="I84" i="2"/>
  <c r="I13" i="2"/>
  <c r="I85" i="2"/>
  <c r="I86" i="2"/>
  <c r="K102" i="2"/>
  <c r="I68" i="2"/>
  <c r="K114" i="2"/>
  <c r="O103" i="2"/>
  <c r="P156" i="2"/>
  <c r="J115" i="2"/>
  <c r="P195" i="2"/>
  <c r="P166" i="2"/>
  <c r="E227" i="2"/>
  <c r="I165" i="2"/>
  <c r="N192" i="2"/>
  <c r="I239" i="2"/>
  <c r="V107" i="2"/>
  <c r="N173" i="2"/>
  <c r="K57" i="2"/>
  <c r="M30" i="2"/>
  <c r="M116" i="2"/>
  <c r="J113" i="2"/>
  <c r="O175" i="2"/>
  <c r="N239" i="2"/>
  <c r="L209" i="2"/>
  <c r="Q33" i="2"/>
  <c r="Q128" i="2"/>
  <c r="S156" i="2"/>
  <c r="E217" i="2"/>
  <c r="K46" i="2"/>
  <c r="K47" i="2"/>
  <c r="K62" i="2"/>
  <c r="K152" i="2"/>
  <c r="K72" i="2"/>
  <c r="K76" i="2"/>
  <c r="I57" i="2"/>
  <c r="I30" i="2"/>
  <c r="I116" i="2"/>
  <c r="X151" i="2"/>
  <c r="O104" i="2"/>
  <c r="T106" i="2"/>
  <c r="J100" i="2"/>
  <c r="K54" i="2"/>
  <c r="K73" i="2"/>
  <c r="K65" i="2"/>
  <c r="K153" i="2"/>
  <c r="K77" i="2"/>
  <c r="K79" i="2"/>
  <c r="I64" i="2"/>
  <c r="I56" i="2"/>
  <c r="K78" i="2"/>
  <c r="L72" i="2"/>
  <c r="L73" i="2"/>
  <c r="L71" i="2"/>
  <c r="L78" i="2"/>
  <c r="L77" i="2"/>
  <c r="L76" i="2"/>
  <c r="L79" i="2"/>
  <c r="L115" i="2"/>
  <c r="O91" i="2"/>
  <c r="O20" i="2"/>
  <c r="O159" i="2"/>
  <c r="T135" i="2"/>
  <c r="J89" i="2"/>
  <c r="J16" i="2"/>
  <c r="J157" i="2"/>
  <c r="T94" i="2"/>
  <c r="T19" i="2"/>
  <c r="M127" i="2"/>
  <c r="E131" i="2"/>
  <c r="K231" i="2"/>
  <c r="K291" i="2"/>
  <c r="G114" i="2"/>
  <c r="Q195" i="2"/>
  <c r="Q93" i="2"/>
  <c r="Q18" i="2"/>
  <c r="J76" i="2"/>
  <c r="K91" i="2"/>
  <c r="K20" i="2"/>
  <c r="K159" i="2"/>
  <c r="K23" i="2"/>
  <c r="K101" i="2"/>
  <c r="O249" i="2"/>
  <c r="I3" i="2"/>
  <c r="I261" i="2"/>
  <c r="I7" i="2"/>
  <c r="I163" i="2"/>
  <c r="S214" i="2"/>
  <c r="I88" i="2"/>
  <c r="I15" i="2"/>
  <c r="I32" i="2"/>
  <c r="I124" i="2"/>
  <c r="S180" i="2"/>
  <c r="I87" i="2"/>
  <c r="I14" i="2"/>
  <c r="I144" i="2"/>
  <c r="G141" i="2"/>
  <c r="Q105" i="2"/>
  <c r="K95" i="2"/>
  <c r="K24" i="2"/>
  <c r="I69" i="2"/>
  <c r="K96" i="2"/>
  <c r="K25" i="2"/>
  <c r="M126" i="2"/>
  <c r="M103" i="2"/>
  <c r="I63" i="2"/>
  <c r="I23" i="2"/>
  <c r="I101" i="2"/>
  <c r="I4" i="2"/>
  <c r="I55" i="2"/>
  <c r="I60" i="2"/>
  <c r="I10" i="2"/>
  <c r="I37" i="2"/>
  <c r="I187" i="2"/>
  <c r="S135" i="2"/>
  <c r="P92" i="2"/>
  <c r="P21" i="2"/>
  <c r="P160" i="2"/>
  <c r="U129" i="2"/>
  <c r="K250" i="2"/>
  <c r="K304" i="2"/>
  <c r="G260" i="2"/>
  <c r="V129" i="2"/>
  <c r="I95" i="2"/>
  <c r="I24" i="2"/>
  <c r="E38" i="2"/>
  <c r="E188" i="2"/>
  <c r="G32" i="2"/>
  <c r="G124" i="2"/>
  <c r="W176" i="2"/>
  <c r="X138" i="2"/>
  <c r="G329" i="2"/>
  <c r="G192" i="2"/>
  <c r="G171" i="2"/>
  <c r="G291" i="2"/>
  <c r="I29" i="2"/>
  <c r="I112" i="2"/>
  <c r="I93" i="2"/>
  <c r="I18" i="2"/>
  <c r="X96" i="2"/>
  <c r="X25" i="2"/>
  <c r="I94" i="2"/>
  <c r="I19" i="2"/>
  <c r="G282" i="2"/>
  <c r="L238" i="2"/>
  <c r="L192" i="2"/>
  <c r="K87" i="2"/>
  <c r="K14" i="2"/>
  <c r="G99" i="2"/>
  <c r="G22" i="2"/>
  <c r="E264" i="2"/>
  <c r="O209" i="2"/>
  <c r="E252" i="2"/>
  <c r="P147" i="2"/>
  <c r="W95" i="2"/>
  <c r="W24" i="2"/>
  <c r="H175" i="2"/>
  <c r="Q104" i="2"/>
  <c r="I96" i="2"/>
  <c r="I25" i="2"/>
  <c r="T222" i="2"/>
  <c r="F125" i="2"/>
  <c r="I114" i="2"/>
  <c r="W7" i="2"/>
  <c r="W163" i="2"/>
  <c r="V120" i="2"/>
  <c r="F113" i="2"/>
  <c r="E181" i="2"/>
  <c r="Q173" i="2"/>
  <c r="W346" i="2"/>
  <c r="V92" i="2"/>
  <c r="V21" i="2"/>
  <c r="V160" i="2"/>
  <c r="H165" i="2"/>
  <c r="I99" i="2"/>
  <c r="I22" i="2"/>
  <c r="G125" i="2"/>
  <c r="J23" i="2"/>
  <c r="J101" i="2"/>
  <c r="N260" i="2"/>
  <c r="N282" i="2"/>
  <c r="I92" i="2"/>
  <c r="I21" i="2"/>
  <c r="I160" i="2"/>
  <c r="I89" i="2"/>
  <c r="I16" i="2"/>
  <c r="I157" i="2"/>
  <c r="I90" i="2"/>
  <c r="I17" i="2"/>
  <c r="I158" i="2"/>
  <c r="M173" i="2"/>
  <c r="X130" i="2"/>
  <c r="F131" i="2"/>
  <c r="X274" i="2"/>
  <c r="M231" i="2"/>
  <c r="V94" i="2"/>
  <c r="V19" i="2"/>
  <c r="H211" i="2"/>
  <c r="X221" i="2"/>
  <c r="X204" i="2"/>
  <c r="X226" i="2"/>
  <c r="P104" i="2"/>
  <c r="R171" i="2"/>
  <c r="Q262" i="2"/>
  <c r="L126" i="2"/>
  <c r="O30" i="2"/>
  <c r="O116" i="2"/>
  <c r="F227" i="2"/>
  <c r="J56" i="2"/>
  <c r="G201" i="2"/>
  <c r="I47" i="2"/>
  <c r="I46" i="2"/>
  <c r="P33" i="2"/>
  <c r="P128" i="2"/>
  <c r="W246" i="2"/>
  <c r="J57" i="2"/>
  <c r="I33" i="2"/>
  <c r="I128" i="2"/>
  <c r="W151" i="2"/>
  <c r="W35" i="2"/>
  <c r="W184" i="2"/>
  <c r="J177" i="2"/>
  <c r="Q118" i="2"/>
  <c r="F100" i="2"/>
  <c r="L30" i="2"/>
  <c r="L116" i="2"/>
  <c r="O271" i="2"/>
  <c r="L69" i="2"/>
  <c r="X121" i="2"/>
  <c r="T119" i="2"/>
  <c r="U106" i="2"/>
  <c r="N30" i="2"/>
  <c r="N116" i="2"/>
  <c r="X35" i="2"/>
  <c r="X184" i="2"/>
  <c r="X108" i="2"/>
  <c r="J60" i="2"/>
  <c r="J10" i="2"/>
  <c r="T178" i="2"/>
  <c r="J73" i="2"/>
  <c r="J71" i="2"/>
  <c r="J77" i="2"/>
  <c r="J62" i="2"/>
  <c r="J152" i="2"/>
  <c r="J294" i="2"/>
  <c r="J78" i="2"/>
  <c r="S273" i="2"/>
  <c r="P229" i="2"/>
  <c r="P243" i="2"/>
  <c r="W263" i="2"/>
  <c r="W238" i="2"/>
  <c r="W235" i="2"/>
  <c r="W255" i="2"/>
  <c r="W251" i="2"/>
  <c r="J287" i="2"/>
  <c r="J51" i="2"/>
  <c r="J65" i="2"/>
  <c r="J153" i="2"/>
  <c r="J54" i="2"/>
  <c r="J79" i="2"/>
  <c r="J72" i="2"/>
  <c r="V147" i="2"/>
  <c r="O6" i="2"/>
  <c r="O212" i="2"/>
  <c r="N277" i="2"/>
  <c r="K89" i="2"/>
  <c r="K16" i="2"/>
  <c r="K157" i="2"/>
  <c r="N287" i="2"/>
  <c r="J86" i="2"/>
  <c r="J85" i="2"/>
  <c r="E168" i="2"/>
  <c r="E220" i="2"/>
  <c r="J84" i="2"/>
  <c r="J13" i="2"/>
  <c r="J63" i="2"/>
  <c r="J250" i="2"/>
  <c r="J228" i="2"/>
  <c r="K29" i="2"/>
  <c r="K112" i="2"/>
  <c r="W178" i="2"/>
  <c r="X176" i="2"/>
  <c r="K84" i="2"/>
  <c r="K13" i="2"/>
  <c r="K55" i="2"/>
  <c r="K63" i="2"/>
  <c r="W180" i="2"/>
  <c r="K85" i="2"/>
  <c r="K176" i="2"/>
  <c r="K86" i="2"/>
  <c r="N91" i="2"/>
  <c r="N20" i="2"/>
  <c r="N159" i="2"/>
  <c r="M65" i="2"/>
  <c r="M153" i="2"/>
  <c r="T105" i="2"/>
  <c r="S91" i="2"/>
  <c r="S20" i="2"/>
  <c r="S159" i="2"/>
  <c r="T92" i="2"/>
  <c r="T21" i="2"/>
  <c r="T160" i="2"/>
  <c r="T217" i="2"/>
  <c r="K132" i="2"/>
  <c r="W171" i="2"/>
  <c r="K126" i="2"/>
  <c r="E99" i="2"/>
  <c r="E22" i="2"/>
  <c r="V119" i="2"/>
  <c r="W107" i="2"/>
  <c r="P103" i="2"/>
  <c r="J38" i="2"/>
  <c r="J188" i="2"/>
  <c r="N127" i="2"/>
  <c r="O224" i="2"/>
  <c r="L272" i="2"/>
  <c r="L288" i="2"/>
  <c r="K144" i="2"/>
  <c r="N248" i="2"/>
  <c r="S93" i="2"/>
  <c r="S18" i="2"/>
  <c r="L236" i="2"/>
  <c r="O236" i="2"/>
  <c r="N237" i="2"/>
  <c r="L87" i="2"/>
  <c r="L14" i="2"/>
  <c r="X92" i="2"/>
  <c r="X21" i="2"/>
  <c r="X160" i="2"/>
  <c r="U93" i="2"/>
  <c r="U18" i="2"/>
  <c r="I125" i="2"/>
  <c r="I113" i="2"/>
  <c r="L88" i="2"/>
  <c r="L15" i="2"/>
  <c r="P127" i="2"/>
  <c r="O239" i="2"/>
  <c r="I254" i="2"/>
  <c r="X95" i="2"/>
  <c r="X24" i="2"/>
  <c r="F141" i="2"/>
  <c r="E29" i="2"/>
  <c r="E112" i="2"/>
  <c r="N103" i="2"/>
  <c r="I185" i="2"/>
  <c r="I347" i="2"/>
  <c r="I329" i="2"/>
  <c r="S284" i="2"/>
  <c r="S246" i="2"/>
  <c r="X253" i="2"/>
  <c r="J88" i="2"/>
  <c r="J15" i="2"/>
  <c r="Q221" i="2"/>
  <c r="Q204" i="2"/>
  <c r="G131" i="2"/>
  <c r="U135" i="2"/>
  <c r="E32" i="2"/>
  <c r="E124" i="2"/>
  <c r="U147" i="2"/>
  <c r="R217" i="2"/>
  <c r="R141" i="2"/>
  <c r="J87" i="2"/>
  <c r="J14" i="2"/>
  <c r="J68" i="2"/>
  <c r="G172" i="2"/>
  <c r="I172" i="2"/>
  <c r="O192" i="2"/>
  <c r="O173" i="2"/>
  <c r="U94" i="2"/>
  <c r="U19" i="2"/>
  <c r="W120" i="2"/>
  <c r="R65" i="2"/>
  <c r="R153" i="2"/>
  <c r="R151" i="2"/>
  <c r="R182" i="2"/>
  <c r="R196" i="2"/>
  <c r="E141" i="2"/>
  <c r="R62" i="2"/>
  <c r="R152" i="2"/>
  <c r="T33" i="2"/>
  <c r="T128" i="2"/>
  <c r="R250" i="2"/>
  <c r="G245" i="2"/>
  <c r="G270" i="2"/>
  <c r="K165" i="2"/>
  <c r="P297" i="2"/>
  <c r="J6" i="2"/>
  <c r="J212" i="2"/>
  <c r="O195" i="2"/>
  <c r="O248" i="2"/>
  <c r="S166" i="2"/>
  <c r="W231" i="2"/>
  <c r="W262" i="2"/>
  <c r="F171" i="2"/>
  <c r="P209" i="2"/>
  <c r="E7" i="2"/>
  <c r="E163" i="2"/>
  <c r="U226" i="2"/>
  <c r="H201" i="2"/>
  <c r="X182" i="2"/>
  <c r="L201" i="2"/>
  <c r="N132" i="2"/>
  <c r="P173" i="2"/>
  <c r="L219" i="2"/>
  <c r="L169" i="2"/>
  <c r="M214" i="2"/>
  <c r="F263" i="2"/>
  <c r="O180" i="2"/>
  <c r="V37" i="2"/>
  <c r="V187" i="2"/>
  <c r="I268" i="2"/>
  <c r="N65" i="2"/>
  <c r="N153" i="2"/>
  <c r="U119" i="2"/>
  <c r="Q273" i="2"/>
  <c r="K192" i="2"/>
  <c r="F185" i="2"/>
  <c r="S33" i="2"/>
  <c r="S128" i="2"/>
  <c r="H185" i="2"/>
  <c r="F62" i="2"/>
  <c r="F152" i="2"/>
  <c r="Q192" i="2"/>
  <c r="F183" i="2"/>
  <c r="R103" i="2"/>
  <c r="R107" i="2"/>
  <c r="R102" i="2"/>
  <c r="R108" i="2"/>
  <c r="R105" i="2"/>
  <c r="R100" i="2"/>
  <c r="R99" i="2"/>
  <c r="R22" i="2"/>
  <c r="R23" i="2"/>
  <c r="R101" i="2"/>
  <c r="K331" i="2"/>
  <c r="R104" i="2"/>
  <c r="K285" i="2"/>
  <c r="R106" i="2"/>
  <c r="P331" i="2"/>
  <c r="P285" i="2"/>
  <c r="R183" i="2"/>
  <c r="X183" i="2"/>
  <c r="L102" i="2"/>
  <c r="S277" i="2"/>
  <c r="S292" i="2"/>
  <c r="T195" i="2"/>
  <c r="R206" i="2"/>
  <c r="M260" i="2"/>
  <c r="M270" i="2"/>
  <c r="X199" i="2"/>
  <c r="L86" i="2"/>
  <c r="X223" i="2"/>
  <c r="W94" i="2"/>
  <c r="W19" i="2"/>
  <c r="L85" i="2"/>
  <c r="L84" i="2"/>
  <c r="L13" i="2"/>
  <c r="K38" i="2"/>
  <c r="K188" i="2"/>
  <c r="G113" i="2"/>
  <c r="S105" i="2"/>
  <c r="P117" i="2"/>
  <c r="R222" i="2"/>
  <c r="X219" i="2"/>
  <c r="X169" i="2"/>
  <c r="R315" i="2"/>
  <c r="G38" i="2"/>
  <c r="G188" i="2"/>
  <c r="F168" i="2"/>
  <c r="W195" i="2"/>
  <c r="J125" i="2"/>
  <c r="F179" i="2"/>
  <c r="G199" i="2"/>
  <c r="R195" i="2"/>
  <c r="J64" i="2"/>
  <c r="W331" i="2"/>
  <c r="R239" i="2"/>
  <c r="M90" i="2"/>
  <c r="M17" i="2"/>
  <c r="M158" i="2"/>
  <c r="R192" i="2"/>
  <c r="W272" i="2"/>
  <c r="Q182" i="2"/>
  <c r="P239" i="2"/>
  <c r="R260" i="2"/>
  <c r="E211" i="2"/>
  <c r="Q222" i="2"/>
  <c r="Q196" i="2"/>
  <c r="I271" i="2"/>
  <c r="K221" i="2"/>
  <c r="I6" i="2"/>
  <c r="I212" i="2"/>
  <c r="I249" i="2"/>
  <c r="H38" i="2"/>
  <c r="H188" i="2"/>
  <c r="W225" i="2"/>
  <c r="W92" i="2"/>
  <c r="W21" i="2"/>
  <c r="W160" i="2"/>
  <c r="J165" i="2"/>
  <c r="I228" i="2"/>
  <c r="W237" i="2"/>
  <c r="L91" i="2"/>
  <c r="L20" i="2"/>
  <c r="L159" i="2"/>
  <c r="V285" i="2"/>
  <c r="Q127" i="2"/>
  <c r="V270" i="2"/>
  <c r="K88" i="2"/>
  <c r="K15" i="2"/>
  <c r="F90" i="2"/>
  <c r="F17" i="2"/>
  <c r="F158" i="2"/>
  <c r="V264" i="2"/>
  <c r="W37" i="2"/>
  <c r="W187" i="2"/>
  <c r="W208" i="2"/>
  <c r="G275" i="2"/>
  <c r="V135" i="2"/>
  <c r="I244" i="2"/>
  <c r="P224" i="2"/>
  <c r="R89" i="2"/>
  <c r="R16" i="2"/>
  <c r="R157" i="2"/>
  <c r="G309" i="2"/>
  <c r="T147" i="2"/>
  <c r="I245" i="2"/>
  <c r="I193" i="2"/>
  <c r="T225" i="2"/>
  <c r="S250" i="2"/>
  <c r="T237" i="2"/>
  <c r="E192" i="2"/>
  <c r="P181" i="2"/>
  <c r="K69" i="2"/>
  <c r="I223" i="2"/>
  <c r="Q181" i="2"/>
  <c r="Q229" i="2"/>
  <c r="I219" i="2"/>
  <c r="I169" i="2"/>
  <c r="F266" i="2"/>
  <c r="F29" i="2"/>
  <c r="F112" i="2"/>
  <c r="F231" i="2"/>
  <c r="F282" i="2"/>
  <c r="F260" i="2"/>
  <c r="S179" i="2"/>
  <c r="J114" i="2"/>
  <c r="S291" i="2"/>
  <c r="U222" i="2"/>
  <c r="T180" i="2"/>
  <c r="S264" i="2"/>
  <c r="I309" i="2"/>
  <c r="P252" i="2"/>
  <c r="S350" i="2"/>
  <c r="V166" i="2"/>
  <c r="J175" i="2"/>
  <c r="P260" i="2"/>
  <c r="V297" i="2"/>
  <c r="T315" i="2"/>
  <c r="J194" i="2"/>
  <c r="T284" i="2"/>
  <c r="M268" i="2"/>
  <c r="F37" i="2"/>
  <c r="F187" i="2"/>
  <c r="F275" i="2"/>
  <c r="M175" i="2"/>
  <c r="X166" i="2"/>
  <c r="M266" i="2"/>
  <c r="K277" i="2"/>
  <c r="M204" i="2"/>
  <c r="M225" i="2"/>
  <c r="K262" i="2"/>
  <c r="W239" i="2"/>
  <c r="I201" i="2"/>
  <c r="H209" i="2"/>
  <c r="W165" i="2"/>
  <c r="K270" i="2"/>
  <c r="K30" i="2"/>
  <c r="K116" i="2"/>
  <c r="P317" i="2"/>
  <c r="G266" i="2"/>
  <c r="K252" i="2"/>
  <c r="N264" i="2"/>
  <c r="F268" i="2"/>
  <c r="T118" i="2"/>
  <c r="E62" i="2"/>
  <c r="E152" i="2"/>
  <c r="K297" i="2"/>
  <c r="G100" i="2"/>
  <c r="T261" i="2"/>
  <c r="M193" i="2"/>
  <c r="J46" i="2"/>
  <c r="Q243" i="2"/>
  <c r="E121" i="2"/>
  <c r="I291" i="2"/>
  <c r="T198" i="2"/>
  <c r="L177" i="2"/>
  <c r="E318" i="2"/>
  <c r="O227" i="2"/>
  <c r="E185" i="2"/>
  <c r="S118" i="2"/>
  <c r="U156" i="2"/>
  <c r="V156" i="2"/>
  <c r="H121" i="2"/>
  <c r="R147" i="2"/>
  <c r="R125" i="2"/>
  <c r="H120" i="2"/>
  <c r="W119" i="2"/>
  <c r="H30" i="2"/>
  <c r="H116" i="2"/>
  <c r="R32" i="2"/>
  <c r="R124" i="2"/>
  <c r="R126" i="2"/>
  <c r="H118" i="2"/>
  <c r="T156" i="2"/>
  <c r="H114" i="2"/>
  <c r="H117" i="2"/>
  <c r="R130" i="2"/>
  <c r="R33" i="2"/>
  <c r="R128" i="2"/>
  <c r="R127" i="2"/>
  <c r="R132" i="2"/>
  <c r="R129" i="2"/>
  <c r="R131" i="2"/>
  <c r="H202" i="2"/>
  <c r="E299" i="2"/>
  <c r="W264" i="2"/>
  <c r="E198" i="2"/>
  <c r="T228" i="2"/>
  <c r="M144" i="2"/>
  <c r="E183" i="2"/>
  <c r="J245" i="2"/>
  <c r="J297" i="2"/>
  <c r="J268" i="2"/>
  <c r="S272" i="2"/>
  <c r="R117" i="2"/>
  <c r="S237" i="2"/>
  <c r="R114" i="2"/>
  <c r="S315" i="2"/>
  <c r="R113" i="2"/>
  <c r="R115" i="2"/>
  <c r="T285" i="2"/>
  <c r="R121" i="2"/>
  <c r="W285" i="2"/>
  <c r="R29" i="2"/>
  <c r="R112" i="2"/>
  <c r="R120" i="2"/>
  <c r="R30" i="2"/>
  <c r="R116" i="2"/>
  <c r="R118" i="2"/>
  <c r="F299" i="2"/>
  <c r="F283" i="2"/>
  <c r="S183" i="2"/>
  <c r="S206" i="2"/>
  <c r="S217" i="2"/>
  <c r="P211" i="2"/>
  <c r="P353" i="2"/>
  <c r="R277" i="2"/>
  <c r="R248" i="2"/>
  <c r="J239" i="2"/>
  <c r="F35" i="2"/>
  <c r="F184" i="2"/>
  <c r="G183" i="2"/>
  <c r="S331" i="2"/>
  <c r="S204" i="2"/>
  <c r="S228" i="2"/>
  <c r="F351" i="2"/>
  <c r="S266" i="2"/>
  <c r="S317" i="2"/>
  <c r="P220" i="2"/>
  <c r="R135" i="2"/>
  <c r="G249" i="2"/>
  <c r="H131" i="2"/>
  <c r="F244" i="2"/>
  <c r="H141" i="2"/>
  <c r="J291" i="2"/>
  <c r="J262" i="2"/>
  <c r="J304" i="2"/>
  <c r="H129" i="2"/>
  <c r="H125" i="2"/>
  <c r="H33" i="2"/>
  <c r="H128" i="2"/>
  <c r="E96" i="2"/>
  <c r="E25" i="2"/>
  <c r="H32" i="2"/>
  <c r="H124" i="2"/>
  <c r="L268" i="2"/>
  <c r="W38" i="2"/>
  <c r="W188" i="2"/>
  <c r="L262" i="2"/>
  <c r="J266" i="2"/>
  <c r="J329" i="2"/>
  <c r="L245" i="2"/>
  <c r="R93" i="2"/>
  <c r="R18" i="2"/>
  <c r="R94" i="2"/>
  <c r="R19" i="2"/>
  <c r="R96" i="2"/>
  <c r="R25" i="2"/>
  <c r="R246" i="2"/>
  <c r="X277" i="2"/>
  <c r="R274" i="2"/>
  <c r="R284" i="2"/>
  <c r="X225" i="2"/>
  <c r="E206" i="2"/>
  <c r="G244" i="2"/>
  <c r="E226" i="2"/>
  <c r="G299" i="2"/>
  <c r="R92" i="2"/>
  <c r="R21" i="2"/>
  <c r="R160" i="2"/>
  <c r="N175" i="2"/>
  <c r="G351" i="2"/>
  <c r="X238" i="2"/>
  <c r="J288" i="2"/>
  <c r="X251" i="2"/>
  <c r="J282" i="2"/>
  <c r="X38" i="2"/>
  <c r="X188" i="2"/>
  <c r="R95" i="2"/>
  <c r="R24" i="2"/>
  <c r="G90" i="2"/>
  <c r="G17" i="2"/>
  <c r="G158" i="2"/>
  <c r="H132" i="2"/>
  <c r="N195" i="2"/>
  <c r="G223" i="2"/>
  <c r="R270" i="2"/>
  <c r="J230" i="2"/>
  <c r="J336" i="2"/>
  <c r="N144" i="2"/>
  <c r="K220" i="2"/>
  <c r="R138" i="2"/>
  <c r="K239" i="2"/>
  <c r="H193" i="2"/>
  <c r="T214" i="2"/>
  <c r="H173" i="2"/>
  <c r="H105" i="2"/>
  <c r="R262" i="2"/>
  <c r="V248" i="2"/>
  <c r="T221" i="2"/>
  <c r="X235" i="2"/>
  <c r="X263" i="2"/>
  <c r="K224" i="2"/>
  <c r="E266" i="2"/>
  <c r="E282" i="2"/>
  <c r="X261" i="2"/>
  <c r="H107" i="2"/>
  <c r="E231" i="2"/>
  <c r="G208" i="2"/>
  <c r="E260" i="2"/>
  <c r="J219" i="2"/>
  <c r="J169" i="2"/>
  <c r="H106" i="2"/>
  <c r="L204" i="2"/>
  <c r="R144" i="2"/>
  <c r="L225" i="2"/>
  <c r="E224" i="2"/>
  <c r="E254" i="2"/>
  <c r="E239" i="2"/>
  <c r="N202" i="2"/>
  <c r="S195" i="2"/>
  <c r="J201" i="2"/>
  <c r="Q268" i="2"/>
  <c r="W304" i="2"/>
  <c r="I174" i="2"/>
  <c r="V195" i="2"/>
  <c r="X129" i="2"/>
  <c r="I247" i="2"/>
  <c r="O272" i="2"/>
  <c r="N90" i="2"/>
  <c r="N17" i="2"/>
  <c r="N158" i="2"/>
  <c r="O237" i="2"/>
  <c r="L68" i="2"/>
  <c r="I190" i="2"/>
  <c r="Q245" i="2"/>
  <c r="G230" i="2"/>
  <c r="M220" i="2"/>
  <c r="H65" i="2"/>
  <c r="H153" i="2"/>
  <c r="M201" i="2"/>
  <c r="V239" i="2"/>
  <c r="M89" i="2"/>
  <c r="M16" i="2"/>
  <c r="M157" i="2"/>
  <c r="W196" i="2"/>
  <c r="L211" i="2"/>
  <c r="L231" i="2"/>
  <c r="M192" i="2"/>
  <c r="W182" i="2"/>
  <c r="F254" i="2"/>
  <c r="H62" i="2"/>
  <c r="H152" i="2"/>
  <c r="H151" i="2"/>
  <c r="X266" i="2"/>
  <c r="V181" i="2"/>
  <c r="E247" i="2"/>
  <c r="F288" i="2"/>
  <c r="V222" i="2"/>
  <c r="V226" i="2"/>
  <c r="O270" i="2"/>
  <c r="X268" i="2"/>
  <c r="L194" i="2"/>
  <c r="E201" i="2"/>
  <c r="F347" i="2"/>
  <c r="N214" i="2"/>
  <c r="S35" i="2"/>
  <c r="S184" i="2"/>
  <c r="X180" i="2"/>
  <c r="N178" i="2"/>
  <c r="P194" i="2"/>
  <c r="P270" i="2"/>
  <c r="V208" i="2"/>
  <c r="R214" i="2"/>
  <c r="V7" i="2"/>
  <c r="V163" i="2"/>
  <c r="F250" i="2"/>
  <c r="R178" i="2"/>
  <c r="F251" i="2"/>
  <c r="L221" i="2"/>
  <c r="E172" i="2"/>
  <c r="V198" i="2"/>
  <c r="R90" i="2"/>
  <c r="R17" i="2"/>
  <c r="R158" i="2"/>
  <c r="W319" i="2"/>
  <c r="E219" i="2"/>
  <c r="E169" i="2"/>
  <c r="G211" i="2"/>
  <c r="V185" i="2"/>
  <c r="V274" i="2"/>
  <c r="W214" i="2"/>
  <c r="M132" i="2"/>
  <c r="G293" i="2"/>
  <c r="G235" i="2"/>
  <c r="G227" i="2"/>
  <c r="T35" i="2"/>
  <c r="T184" i="2"/>
  <c r="I211" i="2"/>
  <c r="X165" i="2"/>
  <c r="G217" i="2"/>
  <c r="I251" i="2"/>
  <c r="E108" i="2"/>
  <c r="U33" i="2"/>
  <c r="U128" i="2"/>
  <c r="S104" i="2"/>
  <c r="Q272" i="2"/>
  <c r="P304" i="2"/>
  <c r="G347" i="2"/>
  <c r="R156" i="2"/>
  <c r="R119" i="2"/>
  <c r="T300" i="2"/>
  <c r="F329" i="2"/>
  <c r="T185" i="2"/>
  <c r="M178" i="2"/>
  <c r="N179" i="2"/>
  <c r="I227" i="2"/>
  <c r="Q177" i="2"/>
  <c r="F273" i="2"/>
  <c r="F235" i="2"/>
  <c r="W292" i="2"/>
  <c r="F309" i="2"/>
  <c r="P286" i="2"/>
  <c r="T292" i="2"/>
  <c r="M209" i="2"/>
  <c r="V176" i="2"/>
  <c r="P356" i="2"/>
  <c r="M273" i="2"/>
  <c r="P165" i="2"/>
  <c r="T266" i="2"/>
  <c r="T245" i="2"/>
  <c r="T250" i="2"/>
  <c r="N288" i="2"/>
  <c r="H113" i="2"/>
  <c r="S254" i="2"/>
  <c r="H115" i="2"/>
  <c r="H29" i="2"/>
  <c r="H112" i="2"/>
  <c r="O228" i="2"/>
  <c r="K288" i="2"/>
  <c r="X243" i="2"/>
  <c r="V292" i="2"/>
  <c r="H130" i="2"/>
  <c r="H127" i="2"/>
  <c r="I230" i="2"/>
  <c r="H126" i="2"/>
  <c r="S252" i="2"/>
  <c r="O245" i="2"/>
  <c r="W298" i="2"/>
  <c r="O262" i="2"/>
  <c r="O264" i="2"/>
  <c r="S262" i="2"/>
  <c r="I283" i="2"/>
  <c r="J283" i="2"/>
  <c r="J309" i="2"/>
  <c r="N211" i="2"/>
  <c r="N231" i="2"/>
  <c r="W350" i="2"/>
  <c r="H104" i="2"/>
  <c r="H23" i="2"/>
  <c r="H101" i="2"/>
  <c r="W317" i="2"/>
  <c r="H100" i="2"/>
  <c r="V250" i="2"/>
  <c r="V245" i="2"/>
  <c r="V252" i="2"/>
  <c r="V204" i="2"/>
  <c r="V221" i="2"/>
  <c r="I199" i="2"/>
  <c r="H102" i="2"/>
  <c r="H108" i="2"/>
  <c r="H103" i="2"/>
  <c r="H138" i="2"/>
  <c r="H99" i="2"/>
  <c r="H22" i="2"/>
  <c r="I38" i="2"/>
  <c r="I188" i="2"/>
  <c r="S309" i="2"/>
  <c r="X195" i="2"/>
  <c r="P278" i="2"/>
  <c r="H92" i="2"/>
  <c r="H21" i="2"/>
  <c r="H160" i="2"/>
  <c r="S353" i="2"/>
  <c r="P299" i="2"/>
  <c r="R173" i="2"/>
  <c r="P231" i="2"/>
  <c r="H93" i="2"/>
  <c r="H18" i="2"/>
  <c r="R202" i="2"/>
  <c r="H94" i="2"/>
  <c r="H19" i="2"/>
  <c r="H37" i="2"/>
  <c r="H187" i="2"/>
  <c r="P288" i="2"/>
  <c r="Q231" i="2"/>
  <c r="S6" i="2"/>
  <c r="S212" i="2"/>
  <c r="Q224" i="2"/>
  <c r="L199" i="2"/>
  <c r="X181" i="2"/>
  <c r="H95" i="2"/>
  <c r="H24" i="2"/>
  <c r="T288" i="2"/>
  <c r="H96" i="2"/>
  <c r="H25" i="2"/>
  <c r="P236" i="2"/>
  <c r="J254" i="2"/>
  <c r="T254" i="2"/>
  <c r="L227" i="2"/>
  <c r="H135" i="2"/>
  <c r="H147" i="2"/>
  <c r="U221" i="2"/>
  <c r="O220" i="2"/>
  <c r="Q260" i="2"/>
  <c r="M247" i="2"/>
  <c r="E238" i="2"/>
  <c r="Q250" i="2"/>
  <c r="T262" i="2"/>
  <c r="E235" i="2"/>
  <c r="X248" i="2"/>
  <c r="H91" i="2"/>
  <c r="H20" i="2"/>
  <c r="H159" i="2"/>
  <c r="N247" i="2"/>
  <c r="P202" i="2"/>
  <c r="E223" i="2"/>
  <c r="L247" i="2"/>
  <c r="J209" i="2"/>
  <c r="T194" i="2"/>
  <c r="H198" i="2"/>
  <c r="O193" i="2"/>
  <c r="R254" i="2"/>
  <c r="Q6" i="2"/>
  <c r="Q212" i="2"/>
  <c r="I336" i="2"/>
  <c r="U228" i="2"/>
  <c r="O201" i="2"/>
  <c r="I208" i="2"/>
  <c r="N275" i="2"/>
  <c r="F219" i="2"/>
  <c r="F169" i="2"/>
  <c r="R194" i="2"/>
  <c r="J275" i="2"/>
  <c r="K190" i="2"/>
  <c r="F238" i="2"/>
  <c r="Q236" i="2"/>
  <c r="T272" i="2"/>
  <c r="T273" i="2"/>
  <c r="H119" i="2"/>
  <c r="J227" i="2"/>
  <c r="E320" i="2"/>
  <c r="K278" i="2"/>
  <c r="V275" i="2"/>
  <c r="N252" i="2"/>
  <c r="W268" i="2"/>
  <c r="G185" i="2"/>
  <c r="P271" i="2"/>
  <c r="P249" i="2"/>
  <c r="T247" i="2"/>
  <c r="M227" i="2"/>
  <c r="T289" i="2"/>
  <c r="L251" i="2"/>
  <c r="X285" i="2"/>
  <c r="X254" i="2"/>
  <c r="X214" i="2"/>
  <c r="J182" i="2"/>
  <c r="E195" i="2"/>
  <c r="T172" i="2"/>
  <c r="J206" i="2"/>
  <c r="T211" i="2"/>
  <c r="W177" i="2"/>
  <c r="H144" i="2"/>
  <c r="J235" i="2"/>
  <c r="X6" i="2"/>
  <c r="X212" i="2"/>
  <c r="W221" i="2"/>
  <c r="J249" i="2"/>
  <c r="J271" i="2"/>
  <c r="I246" i="2"/>
  <c r="J244" i="2"/>
  <c r="I255" i="2"/>
  <c r="G229" i="2"/>
  <c r="O223" i="2"/>
  <c r="O244" i="2"/>
  <c r="G222" i="2"/>
  <c r="I217" i="2"/>
  <c r="G265" i="2"/>
  <c r="X231" i="2"/>
  <c r="O230" i="2"/>
  <c r="L263" i="2"/>
  <c r="W236" i="2"/>
  <c r="H180" i="2"/>
  <c r="X175" i="2"/>
  <c r="S201" i="2"/>
  <c r="S192" i="2"/>
  <c r="W202" i="2"/>
  <c r="G182" i="2"/>
  <c r="N168" i="2"/>
  <c r="V260" i="2"/>
  <c r="W250" i="2"/>
  <c r="W204" i="2"/>
  <c r="R220" i="2"/>
  <c r="R231" i="2"/>
  <c r="W228" i="2"/>
  <c r="L131" i="2"/>
  <c r="J267" i="2"/>
  <c r="J276" i="2"/>
  <c r="L132" i="2"/>
  <c r="L130" i="2"/>
  <c r="L283" i="2"/>
  <c r="V262" i="2"/>
  <c r="L289" i="2"/>
  <c r="E180" i="2"/>
  <c r="K7" i="2"/>
  <c r="K163" i="2"/>
  <c r="F181" i="2"/>
  <c r="M166" i="2"/>
  <c r="E196" i="2"/>
  <c r="J223" i="2"/>
  <c r="F320" i="2"/>
  <c r="W278" i="2"/>
  <c r="W275" i="2"/>
  <c r="F226" i="2"/>
  <c r="W252" i="2"/>
  <c r="J208" i="2"/>
  <c r="W245" i="2"/>
  <c r="W300" i="2"/>
  <c r="K259" i="2"/>
  <c r="W173" i="2"/>
  <c r="X239" i="2"/>
  <c r="K37" i="2"/>
  <c r="K187" i="2"/>
  <c r="J185" i="2"/>
  <c r="K226" i="2"/>
  <c r="N235" i="2"/>
  <c r="Q209" i="2"/>
  <c r="Q190" i="2"/>
  <c r="L269" i="2"/>
  <c r="P201" i="2"/>
  <c r="P192" i="2"/>
  <c r="S171" i="2"/>
  <c r="S300" i="2"/>
  <c r="N273" i="2"/>
  <c r="L35" i="2"/>
  <c r="L184" i="2"/>
  <c r="K183" i="2"/>
  <c r="R193" i="2"/>
  <c r="V273" i="2"/>
  <c r="P171" i="2"/>
  <c r="E177" i="2"/>
  <c r="S336" i="2"/>
  <c r="E286" i="2"/>
  <c r="V286" i="2"/>
  <c r="O283" i="2"/>
  <c r="L65" i="2"/>
  <c r="L153" i="2"/>
  <c r="L151" i="2"/>
  <c r="V289" i="2"/>
  <c r="V247" i="2"/>
  <c r="I91" i="2"/>
  <c r="I20" i="2"/>
  <c r="I159" i="2"/>
  <c r="M199" i="2"/>
  <c r="L38" i="2"/>
  <c r="L188" i="2"/>
  <c r="L165" i="2"/>
  <c r="L135" i="2"/>
  <c r="I311" i="2"/>
  <c r="I234" i="2"/>
  <c r="I351" i="2"/>
  <c r="I320" i="2"/>
  <c r="R168" i="2"/>
  <c r="W174" i="2"/>
  <c r="W310" i="2"/>
  <c r="F267" i="2"/>
  <c r="H183" i="2"/>
  <c r="W353" i="2"/>
  <c r="P199" i="2"/>
  <c r="Q172" i="2"/>
  <c r="L141" i="2"/>
  <c r="Q166" i="2"/>
  <c r="H90" i="2"/>
  <c r="H17" i="2"/>
  <c r="H158" i="2"/>
  <c r="L144" i="2"/>
  <c r="H89" i="2"/>
  <c r="H16" i="2"/>
  <c r="H157" i="2"/>
  <c r="S174" i="2"/>
  <c r="G40" i="2"/>
  <c r="G324" i="2"/>
  <c r="S224" i="2"/>
  <c r="J356" i="2"/>
  <c r="F354" i="2"/>
  <c r="L147" i="2"/>
  <c r="R289" i="2"/>
  <c r="F40" i="2"/>
  <c r="F324" i="2"/>
  <c r="R300" i="2"/>
  <c r="G294" i="2"/>
  <c r="G238" i="2"/>
  <c r="K230" i="2"/>
  <c r="I181" i="2"/>
  <c r="G320" i="2"/>
  <c r="I294" i="2"/>
  <c r="G179" i="2"/>
  <c r="G339" i="2"/>
  <c r="J92" i="2"/>
  <c r="J21" i="2"/>
  <c r="J160" i="2"/>
  <c r="G206" i="2"/>
  <c r="N208" i="2"/>
  <c r="Q211" i="2"/>
  <c r="T175" i="2"/>
  <c r="S278" i="2"/>
  <c r="O38" i="2"/>
  <c r="O188" i="2"/>
  <c r="P269" i="2"/>
  <c r="S239" i="2"/>
  <c r="V194" i="2"/>
  <c r="P336" i="2"/>
  <c r="I198" i="2"/>
  <c r="S202" i="2"/>
  <c r="T6" i="2"/>
  <c r="T212" i="2"/>
  <c r="X264" i="2"/>
  <c r="I339" i="2"/>
  <c r="K219" i="2"/>
  <c r="K169" i="2"/>
  <c r="N227" i="2"/>
  <c r="N209" i="2"/>
  <c r="N190" i="2"/>
  <c r="L138" i="2"/>
  <c r="R236" i="2"/>
  <c r="O247" i="2"/>
  <c r="M185" i="2"/>
  <c r="E269" i="2"/>
  <c r="P41" i="2"/>
  <c r="P326" i="2"/>
  <c r="M198" i="2"/>
  <c r="V193" i="2"/>
  <c r="U220" i="2"/>
  <c r="F178" i="2"/>
  <c r="I196" i="2"/>
  <c r="O219" i="2"/>
  <c r="O169" i="2"/>
  <c r="I35" i="2"/>
  <c r="I184" i="2"/>
  <c r="H156" i="2"/>
  <c r="X178" i="2"/>
  <c r="F253" i="2"/>
  <c r="M238" i="2"/>
  <c r="S227" i="2"/>
  <c r="W224" i="2"/>
  <c r="J261" i="2"/>
  <c r="K294" i="2"/>
  <c r="K283" i="2"/>
  <c r="T278" i="2"/>
  <c r="N37" i="2"/>
  <c r="N187" i="2"/>
  <c r="V173" i="2"/>
  <c r="O7" i="2"/>
  <c r="O163" i="2"/>
  <c r="L62" i="2"/>
  <c r="L152" i="2"/>
  <c r="L156" i="2"/>
  <c r="L183" i="2"/>
  <c r="O37" i="2"/>
  <c r="O187" i="2"/>
  <c r="W356" i="2"/>
  <c r="W201" i="2"/>
  <c r="W273" i="2"/>
  <c r="X211" i="2"/>
  <c r="X286" i="2"/>
  <c r="W289" i="2"/>
  <c r="W290" i="2"/>
  <c r="R304" i="2"/>
  <c r="K229" i="2"/>
  <c r="H195" i="2"/>
  <c r="S356" i="2"/>
  <c r="S190" i="2"/>
  <c r="Q144" i="2"/>
  <c r="I229" i="2"/>
  <c r="M229" i="2"/>
  <c r="T171" i="2"/>
  <c r="K246" i="2"/>
  <c r="F287" i="2"/>
  <c r="L195" i="2"/>
  <c r="T271" i="2"/>
  <c r="T249" i="2"/>
  <c r="T267" i="2"/>
  <c r="F270" i="2"/>
  <c r="Q249" i="2"/>
  <c r="F294" i="2"/>
  <c r="F291" i="2"/>
  <c r="Q271" i="2"/>
  <c r="F303" i="2"/>
  <c r="Q38" i="2"/>
  <c r="Q188" i="2"/>
  <c r="I301" i="2"/>
  <c r="T255" i="2"/>
  <c r="O284" i="2"/>
  <c r="T263" i="2"/>
  <c r="G287" i="2"/>
  <c r="T251" i="2"/>
  <c r="Q89" i="2"/>
  <c r="Q16" i="2"/>
  <c r="Q157" i="2"/>
  <c r="Q90" i="2"/>
  <c r="Q17" i="2"/>
  <c r="Q158" i="2"/>
  <c r="K180" i="2"/>
  <c r="K253" i="2"/>
  <c r="P339" i="2"/>
  <c r="K217" i="2"/>
  <c r="K255" i="2"/>
  <c r="P238" i="2"/>
  <c r="P265" i="2"/>
  <c r="M245" i="2"/>
  <c r="V201" i="2"/>
  <c r="V227" i="2"/>
  <c r="V192" i="2"/>
  <c r="I40" i="2"/>
  <c r="I324" i="2"/>
  <c r="X292" i="2"/>
  <c r="U192" i="2"/>
  <c r="T192" i="2"/>
  <c r="T201" i="2"/>
  <c r="N183" i="2"/>
  <c r="N269" i="2"/>
  <c r="F327" i="2"/>
  <c r="F357" i="2"/>
  <c r="F313" i="2"/>
  <c r="F318" i="2"/>
  <c r="S199" i="2"/>
  <c r="U180" i="2"/>
  <c r="U165" i="2"/>
  <c r="U173" i="2"/>
  <c r="M255" i="2"/>
  <c r="M267" i="2"/>
  <c r="F284" i="2"/>
  <c r="U211" i="2"/>
  <c r="U174" i="2"/>
  <c r="U35" i="2"/>
  <c r="U184" i="2"/>
  <c r="Q199" i="2"/>
  <c r="E248" i="2"/>
  <c r="U196" i="2"/>
  <c r="Q230" i="2"/>
  <c r="W220" i="2"/>
  <c r="U183" i="2"/>
  <c r="F177" i="2"/>
  <c r="N185" i="2"/>
  <c r="V172" i="2"/>
  <c r="S276" i="2"/>
  <c r="V220" i="2"/>
  <c r="Q219" i="2"/>
  <c r="Q169" i="2"/>
  <c r="S302" i="2"/>
  <c r="N246" i="2"/>
  <c r="X272" i="2"/>
  <c r="X237" i="2"/>
  <c r="X262" i="2"/>
  <c r="X250" i="2"/>
  <c r="N226" i="2"/>
  <c r="Q147" i="2"/>
  <c r="N206" i="2"/>
  <c r="G214" i="2"/>
  <c r="J339" i="2"/>
  <c r="G173" i="2"/>
  <c r="P38" i="2"/>
  <c r="P188" i="2"/>
  <c r="N198" i="2"/>
  <c r="R219" i="2"/>
  <c r="R169" i="2"/>
  <c r="R249" i="2"/>
  <c r="W192" i="2"/>
  <c r="R199" i="2"/>
  <c r="S41" i="2"/>
  <c r="S326" i="2"/>
  <c r="U171" i="2"/>
  <c r="J222" i="2"/>
  <c r="Q138" i="2"/>
  <c r="U181" i="2"/>
  <c r="U206" i="2"/>
  <c r="S92" i="2"/>
  <c r="S21" i="2"/>
  <c r="S160" i="2"/>
  <c r="S269" i="2"/>
  <c r="X202" i="2"/>
  <c r="L226" i="2"/>
  <c r="L206" i="2"/>
  <c r="L90" i="2"/>
  <c r="L17" i="2"/>
  <c r="L158" i="2"/>
  <c r="R244" i="2"/>
  <c r="W166" i="2"/>
  <c r="L89" i="2"/>
  <c r="L16" i="2"/>
  <c r="L157" i="2"/>
  <c r="Q265" i="2"/>
  <c r="L243" i="2"/>
  <c r="U219" i="2"/>
  <c r="U169" i="2"/>
  <c r="X236" i="2"/>
  <c r="Q238" i="2"/>
  <c r="M246" i="2"/>
  <c r="Q251" i="2"/>
  <c r="K254" i="2"/>
  <c r="M259" i="2"/>
  <c r="M222" i="2"/>
  <c r="S209" i="2"/>
  <c r="M91" i="2"/>
  <c r="M20" i="2"/>
  <c r="M159" i="2"/>
  <c r="X224" i="2"/>
  <c r="J359" i="2"/>
  <c r="K227" i="2"/>
  <c r="F248" i="2"/>
  <c r="F237" i="2"/>
  <c r="Q263" i="2"/>
  <c r="K266" i="2"/>
  <c r="U176" i="2"/>
  <c r="K244" i="2"/>
  <c r="U193" i="2"/>
  <c r="T209" i="2"/>
  <c r="T190" i="2"/>
  <c r="V230" i="2"/>
  <c r="W315" i="2"/>
  <c r="S244" i="2"/>
  <c r="W359" i="2"/>
  <c r="W336" i="2"/>
  <c r="Q247" i="2"/>
  <c r="N238" i="2"/>
  <c r="U182" i="2"/>
  <c r="Q261" i="2"/>
  <c r="Q226" i="2"/>
  <c r="K267" i="2"/>
  <c r="T244" i="2"/>
  <c r="L267" i="2"/>
  <c r="L276" i="2"/>
  <c r="M182" i="2"/>
  <c r="F175" i="2"/>
  <c r="G253" i="2"/>
  <c r="U194" i="2"/>
  <c r="X174" i="2"/>
  <c r="K182" i="2"/>
  <c r="L222" i="2"/>
  <c r="O131" i="2"/>
  <c r="U185" i="2"/>
  <c r="J237" i="2"/>
  <c r="U178" i="2"/>
  <c r="J214" i="2"/>
  <c r="K265" i="2"/>
  <c r="W223" i="2"/>
  <c r="E225" i="2"/>
  <c r="E237" i="2"/>
  <c r="E204" i="2"/>
  <c r="W230" i="2"/>
  <c r="P268" i="2"/>
  <c r="P291" i="2"/>
  <c r="K276" i="2"/>
  <c r="U38" i="2"/>
  <c r="U188" i="2"/>
  <c r="H179" i="2"/>
  <c r="F221" i="2"/>
  <c r="N251" i="2"/>
  <c r="X193" i="2"/>
  <c r="L259" i="2"/>
  <c r="Q253" i="2"/>
  <c r="U175" i="2"/>
  <c r="N263" i="2"/>
  <c r="J226" i="2"/>
  <c r="M243" i="2"/>
  <c r="W193" i="2"/>
  <c r="E221" i="2"/>
  <c r="M248" i="2"/>
  <c r="E174" i="2"/>
  <c r="U190" i="2"/>
  <c r="G178" i="2"/>
  <c r="V211" i="2"/>
  <c r="Q151" i="2"/>
  <c r="P311" i="2"/>
  <c r="P234" i="2"/>
  <c r="P208" i="2"/>
  <c r="P235" i="2"/>
  <c r="E194" i="2"/>
  <c r="L237" i="2"/>
  <c r="J347" i="2"/>
  <c r="I180" i="2"/>
  <c r="L196" i="2"/>
  <c r="E243" i="2"/>
  <c r="O235" i="2"/>
  <c r="H177" i="2"/>
  <c r="O208" i="2"/>
  <c r="S346" i="2"/>
  <c r="M35" i="2"/>
  <c r="M184" i="2"/>
  <c r="G243" i="2"/>
  <c r="G224" i="2"/>
  <c r="T294" i="2"/>
  <c r="K177" i="2"/>
  <c r="I214" i="2"/>
  <c r="M179" i="2"/>
  <c r="K225" i="2"/>
  <c r="I178" i="2"/>
  <c r="X289" i="2"/>
  <c r="X273" i="2"/>
  <c r="G195" i="2"/>
  <c r="E287" i="2"/>
  <c r="Q92" i="2"/>
  <c r="Q21" i="2"/>
  <c r="Q160" i="2"/>
  <c r="S363" i="2"/>
  <c r="I222" i="2"/>
  <c r="E173" i="2"/>
  <c r="Q198" i="2"/>
  <c r="Q185" i="2"/>
  <c r="E176" i="2"/>
  <c r="M251" i="2"/>
  <c r="S165" i="2"/>
  <c r="S271" i="2"/>
  <c r="S249" i="2"/>
  <c r="M206" i="2"/>
  <c r="M226" i="2"/>
  <c r="I287" i="2"/>
  <c r="S38" i="2"/>
  <c r="S188" i="2"/>
  <c r="H176" i="2"/>
  <c r="M261" i="2"/>
  <c r="V165" i="2"/>
  <c r="X168" i="2"/>
  <c r="Q141" i="2"/>
  <c r="X192" i="2"/>
  <c r="O222" i="2"/>
  <c r="M263" i="2"/>
  <c r="R230" i="2"/>
  <c r="U90" i="2"/>
  <c r="U17" i="2"/>
  <c r="U158" i="2"/>
  <c r="R38" i="2"/>
  <c r="R188" i="2"/>
  <c r="X171" i="2"/>
  <c r="G221" i="2"/>
  <c r="O135" i="2"/>
  <c r="R265" i="2"/>
  <c r="M195" i="2"/>
  <c r="G6" i="2"/>
  <c r="G212" i="2"/>
  <c r="G342" i="2"/>
  <c r="R253" i="2"/>
  <c r="R302" i="2"/>
  <c r="S235" i="2"/>
  <c r="S260" i="2"/>
  <c r="N230" i="2"/>
  <c r="M269" i="2"/>
  <c r="N92" i="2"/>
  <c r="N21" i="2"/>
  <c r="N160" i="2"/>
  <c r="L181" i="2"/>
  <c r="T166" i="2"/>
  <c r="T7" i="2"/>
  <c r="T163" i="2"/>
  <c r="R271" i="2"/>
  <c r="P223" i="2"/>
  <c r="P230" i="2"/>
  <c r="O259" i="2"/>
  <c r="R208" i="2"/>
  <c r="R235" i="2"/>
  <c r="R223" i="2"/>
  <c r="S223" i="2"/>
  <c r="O269" i="2"/>
  <c r="L255" i="2"/>
  <c r="L246" i="2"/>
  <c r="T37" i="2"/>
  <c r="T187" i="2"/>
  <c r="J229" i="2"/>
  <c r="O255" i="2"/>
  <c r="T312" i="2"/>
  <c r="G228" i="2"/>
  <c r="O198" i="2"/>
  <c r="O267" i="2"/>
  <c r="S219" i="2"/>
  <c r="S169" i="2"/>
  <c r="I221" i="2"/>
  <c r="O65" i="2"/>
  <c r="O153" i="2"/>
  <c r="S312" i="2"/>
  <c r="N217" i="2"/>
  <c r="O156" i="2"/>
  <c r="Q208" i="2"/>
  <c r="H214" i="2"/>
  <c r="F277" i="2"/>
  <c r="F245" i="2"/>
  <c r="W211" i="2"/>
  <c r="V249" i="2"/>
  <c r="I342" i="2"/>
  <c r="I175" i="2"/>
  <c r="N182" i="2"/>
  <c r="O151" i="2"/>
  <c r="G311" i="2"/>
  <c r="G234" i="2"/>
  <c r="X278" i="2"/>
  <c r="R209" i="2"/>
  <c r="Q37" i="2"/>
  <c r="Q187" i="2"/>
  <c r="K179" i="2"/>
  <c r="E311" i="2"/>
  <c r="E234" i="2"/>
  <c r="J313" i="2"/>
  <c r="V236" i="2"/>
  <c r="Q235" i="2"/>
  <c r="O62" i="2"/>
  <c r="O152" i="2"/>
  <c r="K248" i="2"/>
  <c r="J181" i="2"/>
  <c r="R190" i="2"/>
  <c r="O276" i="2"/>
  <c r="E214" i="2"/>
  <c r="J246" i="2"/>
  <c r="K243" i="2"/>
  <c r="F223" i="2"/>
  <c r="S339" i="2"/>
  <c r="W341" i="2"/>
  <c r="E171" i="2"/>
  <c r="E274" i="2"/>
  <c r="S251" i="2"/>
  <c r="J255" i="2"/>
  <c r="K237" i="2"/>
  <c r="K41" i="2"/>
  <c r="K326" i="2"/>
  <c r="F243" i="2"/>
  <c r="X201" i="2"/>
  <c r="S283" i="2"/>
  <c r="K302" i="2"/>
  <c r="O246" i="2"/>
  <c r="K329" i="2"/>
  <c r="K40" i="2"/>
  <c r="K324" i="2"/>
  <c r="K309" i="2"/>
  <c r="U177" i="2"/>
  <c r="J196" i="2"/>
  <c r="T227" i="2"/>
  <c r="J217" i="2"/>
  <c r="F225" i="2"/>
  <c r="I225" i="2"/>
  <c r="O261" i="2"/>
  <c r="O35" i="2"/>
  <c r="O184" i="2"/>
  <c r="X220" i="2"/>
  <c r="F342" i="2"/>
  <c r="V295" i="2"/>
  <c r="E309" i="2"/>
  <c r="E250" i="2"/>
  <c r="V199" i="2"/>
  <c r="V223" i="2"/>
  <c r="I195" i="2"/>
  <c r="E40" i="2"/>
  <c r="E324" i="2"/>
  <c r="V38" i="2"/>
  <c r="V188" i="2"/>
  <c r="F363" i="2"/>
  <c r="J363" i="2"/>
  <c r="U7" i="2"/>
  <c r="U163" i="2"/>
  <c r="U168" i="2"/>
  <c r="U37" i="2"/>
  <c r="U187" i="2"/>
  <c r="P309" i="2"/>
  <c r="J41" i="2"/>
  <c r="J326" i="2"/>
  <c r="U208" i="2"/>
  <c r="G202" i="2"/>
  <c r="U172" i="2"/>
  <c r="U199" i="2"/>
  <c r="F339" i="2"/>
  <c r="U214" i="2"/>
  <c r="E301" i="2"/>
  <c r="U204" i="2"/>
  <c r="E296" i="2"/>
  <c r="F334" i="2"/>
  <c r="U195" i="2"/>
  <c r="E228" i="2"/>
  <c r="E6" i="2"/>
  <c r="E212" i="2"/>
  <c r="G193" i="2"/>
  <c r="P276" i="2"/>
  <c r="P283" i="2"/>
  <c r="O141" i="2"/>
  <c r="N259" i="2"/>
  <c r="N196" i="2"/>
  <c r="N276" i="2"/>
  <c r="I279" i="2"/>
  <c r="I256" i="2"/>
  <c r="F279" i="2"/>
  <c r="F256" i="2"/>
  <c r="F296" i="2"/>
  <c r="F274" i="2"/>
  <c r="L214" i="2"/>
  <c r="S198" i="2"/>
  <c r="S185" i="2"/>
  <c r="O89" i="2"/>
  <c r="O16" i="2"/>
  <c r="O157" i="2"/>
  <c r="S238" i="2"/>
  <c r="S263" i="2"/>
  <c r="U201" i="2"/>
  <c r="V168" i="2"/>
  <c r="F301" i="2"/>
  <c r="O90" i="2"/>
  <c r="O17" i="2"/>
  <c r="O158" i="2"/>
  <c r="J353" i="2"/>
  <c r="V190" i="2"/>
  <c r="O138" i="2"/>
  <c r="O147" i="2"/>
  <c r="K317" i="2"/>
  <c r="K272" i="2"/>
  <c r="U209" i="2"/>
  <c r="K315" i="2"/>
  <c r="F286" i="2"/>
  <c r="L178" i="2"/>
  <c r="U198" i="2"/>
  <c r="Q217" i="2"/>
  <c r="Q183" i="2"/>
  <c r="P198" i="2"/>
  <c r="X271" i="2"/>
  <c r="G176" i="2"/>
  <c r="U6" i="2"/>
  <c r="U212" i="2"/>
  <c r="J331" i="2"/>
  <c r="O144" i="2"/>
  <c r="G354" i="2"/>
  <c r="G204" i="2"/>
  <c r="U202" i="2"/>
  <c r="I359" i="2"/>
  <c r="X249" i="2"/>
  <c r="Q206" i="2"/>
  <c r="G225" i="2"/>
  <c r="Q246" i="2"/>
  <c r="H6" i="2"/>
  <c r="H212" i="2"/>
  <c r="U230" i="2"/>
  <c r="R7" i="2"/>
  <c r="R163" i="2"/>
  <c r="O33" i="2"/>
  <c r="O128" i="2"/>
  <c r="R37" i="2"/>
  <c r="R187" i="2"/>
  <c r="S248" i="2"/>
  <c r="G304" i="2"/>
  <c r="G297" i="2"/>
  <c r="P359" i="2"/>
  <c r="O129" i="2"/>
  <c r="J225" i="2"/>
  <c r="X244" i="2"/>
  <c r="O231" i="2"/>
  <c r="X265" i="2"/>
  <c r="M196" i="2"/>
  <c r="O125" i="2"/>
  <c r="O132" i="2"/>
  <c r="O130" i="2"/>
  <c r="M217" i="2"/>
  <c r="Q132" i="2"/>
  <c r="M181" i="2"/>
  <c r="U223" i="2"/>
  <c r="P35" i="2"/>
  <c r="P184" i="2"/>
  <c r="T295" i="2"/>
  <c r="J40" i="2"/>
  <c r="J324" i="2"/>
  <c r="J179" i="2"/>
  <c r="O126" i="2"/>
  <c r="O127" i="2"/>
  <c r="N229" i="2"/>
  <c r="N222" i="2"/>
  <c r="O196" i="2"/>
  <c r="T219" i="2"/>
  <c r="T169" i="2"/>
  <c r="T199" i="2"/>
  <c r="R288" i="2"/>
  <c r="R294" i="2"/>
  <c r="J195" i="2"/>
  <c r="J178" i="2"/>
  <c r="S259" i="2"/>
  <c r="G290" i="2"/>
  <c r="U166" i="2"/>
  <c r="S261" i="2"/>
  <c r="W209" i="2"/>
  <c r="P182" i="2"/>
  <c r="W295" i="2"/>
  <c r="W312" i="2"/>
  <c r="W267" i="2"/>
  <c r="J204" i="2"/>
  <c r="P196" i="2"/>
  <c r="J176" i="2"/>
  <c r="S226" i="2"/>
  <c r="G248" i="2"/>
  <c r="P91" i="2"/>
  <c r="P20" i="2"/>
  <c r="P159" i="2"/>
  <c r="I194" i="2"/>
  <c r="V219" i="2"/>
  <c r="V169" i="2"/>
  <c r="U179" i="2"/>
  <c r="W199" i="2"/>
  <c r="I253" i="2"/>
  <c r="I243" i="2"/>
  <c r="N180" i="2"/>
  <c r="H174" i="2"/>
  <c r="T310" i="2"/>
  <c r="S295" i="2"/>
  <c r="W41" i="2"/>
  <c r="W326" i="2"/>
  <c r="S359" i="2"/>
  <c r="W328" i="2"/>
  <c r="S319" i="2"/>
  <c r="V284" i="2"/>
  <c r="V271" i="2"/>
  <c r="E293" i="2"/>
  <c r="E290" i="2"/>
  <c r="L229" i="2"/>
  <c r="W302" i="2"/>
  <c r="V277" i="2"/>
  <c r="K284" i="2"/>
  <c r="R91" i="2"/>
  <c r="R20" i="2"/>
  <c r="R159" i="2"/>
  <c r="O183" i="2"/>
  <c r="O206" i="2"/>
  <c r="H194" i="2"/>
  <c r="P302" i="2"/>
  <c r="P261" i="2"/>
  <c r="P253" i="2"/>
  <c r="P185" i="2"/>
  <c r="I356" i="2"/>
  <c r="I299" i="2"/>
  <c r="W227" i="2"/>
  <c r="P342" i="2"/>
  <c r="U91" i="2"/>
  <c r="U20" i="2"/>
  <c r="U159" i="2"/>
  <c r="U92" i="2"/>
  <c r="U21" i="2"/>
  <c r="U160" i="2"/>
  <c r="T238" i="2"/>
  <c r="T235" i="2"/>
  <c r="P274" i="2"/>
  <c r="P217" i="2"/>
  <c r="X279" i="2"/>
  <c r="X256" i="2"/>
  <c r="S270" i="2"/>
  <c r="P206" i="2"/>
  <c r="P267" i="2"/>
  <c r="F239" i="2"/>
  <c r="F252" i="2"/>
  <c r="F264" i="2"/>
  <c r="R292" i="2"/>
  <c r="P284" i="2"/>
  <c r="P300" i="2"/>
  <c r="Q156" i="2"/>
  <c r="S297" i="2"/>
  <c r="S304" i="2"/>
  <c r="Q62" i="2"/>
  <c r="Q152" i="2"/>
  <c r="Q65" i="2"/>
  <c r="Q153" i="2"/>
  <c r="P259" i="2"/>
  <c r="N284" i="2"/>
  <c r="R261" i="2"/>
  <c r="R226" i="2"/>
  <c r="V267" i="2"/>
  <c r="G175" i="2"/>
  <c r="I177" i="2"/>
  <c r="W244" i="2"/>
  <c r="H204" i="2"/>
  <c r="V209" i="2"/>
  <c r="I296" i="2"/>
  <c r="I363" i="2"/>
  <c r="R198" i="2"/>
  <c r="F228" i="2"/>
  <c r="V265" i="2"/>
  <c r="G194" i="2"/>
  <c r="R312" i="2"/>
  <c r="G363" i="2"/>
  <c r="G359" i="2"/>
  <c r="G336" i="2"/>
  <c r="R297" i="2"/>
  <c r="I285" i="2"/>
  <c r="L228" i="2"/>
  <c r="F172" i="2"/>
  <c r="W219" i="2"/>
  <c r="W169" i="2"/>
  <c r="I278" i="2"/>
  <c r="K282" i="2"/>
  <c r="I308" i="2"/>
  <c r="I205" i="2"/>
  <c r="K275" i="2"/>
  <c r="K287" i="2"/>
  <c r="X295" i="2"/>
  <c r="E308" i="2"/>
  <c r="E205" i="2"/>
  <c r="S286" i="2"/>
  <c r="S265" i="2"/>
  <c r="S279" i="2"/>
  <c r="S256" i="2"/>
  <c r="X209" i="2"/>
  <c r="O229" i="2"/>
  <c r="X190" i="2"/>
  <c r="S274" i="2"/>
  <c r="O181" i="2"/>
  <c r="V255" i="2"/>
  <c r="V238" i="2"/>
  <c r="V298" i="2"/>
  <c r="V235" i="2"/>
  <c r="V253" i="2"/>
  <c r="V251" i="2"/>
  <c r="T302" i="2"/>
  <c r="F285" i="2"/>
  <c r="E291" i="2"/>
  <c r="E285" i="2"/>
  <c r="E222" i="2"/>
  <c r="F352" i="2"/>
  <c r="F272" i="2"/>
  <c r="F278" i="2"/>
  <c r="Q135" i="2"/>
  <c r="V261" i="2"/>
  <c r="V217" i="2"/>
  <c r="E202" i="2"/>
  <c r="E313" i="2"/>
  <c r="P294" i="2"/>
  <c r="E193" i="2"/>
  <c r="P350" i="2"/>
  <c r="P363" i="2"/>
  <c r="O268" i="2"/>
  <c r="I265" i="2"/>
  <c r="J299" i="2"/>
  <c r="T253" i="2"/>
  <c r="T265" i="2"/>
  <c r="L180" i="2"/>
  <c r="T286" i="2"/>
  <c r="F174" i="2"/>
  <c r="Q259" i="2"/>
  <c r="K299" i="2"/>
  <c r="G296" i="2"/>
  <c r="G274" i="2"/>
  <c r="G301" i="2"/>
  <c r="W342" i="2"/>
  <c r="K311" i="2"/>
  <c r="K234" i="2"/>
  <c r="R35" i="2"/>
  <c r="R184" i="2"/>
  <c r="K320" i="2"/>
  <c r="T208" i="2"/>
  <c r="Q269" i="2"/>
  <c r="W288" i="2"/>
  <c r="I274" i="2"/>
  <c r="W309" i="2"/>
  <c r="I303" i="2"/>
  <c r="I273" i="2"/>
  <c r="J325" i="2"/>
  <c r="J342" i="2"/>
  <c r="K303" i="2"/>
  <c r="J302" i="2"/>
  <c r="V263" i="2"/>
  <c r="I204" i="2"/>
  <c r="S208" i="2"/>
  <c r="G327" i="2"/>
  <c r="F355" i="2"/>
  <c r="G318" i="2"/>
  <c r="G313" i="2"/>
  <c r="G357" i="2"/>
  <c r="G334" i="2"/>
  <c r="G264" i="2"/>
  <c r="F271" i="2"/>
  <c r="S287" i="2"/>
  <c r="L290" i="2"/>
  <c r="S275" i="2"/>
  <c r="G298" i="2"/>
  <c r="N279" i="2"/>
  <c r="N256" i="2"/>
  <c r="S313" i="2"/>
  <c r="W329" i="2"/>
  <c r="L287" i="2"/>
  <c r="F236" i="2"/>
  <c r="V291" i="2"/>
  <c r="V283" i="2"/>
  <c r="G239" i="2"/>
  <c r="T309" i="2"/>
  <c r="T283" i="2"/>
  <c r="Q255" i="2"/>
  <c r="Q267" i="2"/>
  <c r="I325" i="2"/>
  <c r="I348" i="2"/>
  <c r="I237" i="2"/>
  <c r="J327" i="2"/>
  <c r="N286" i="2"/>
  <c r="N274" i="2"/>
  <c r="G252" i="2"/>
  <c r="G286" i="2"/>
  <c r="K301" i="2"/>
  <c r="K296" i="2"/>
  <c r="K286" i="2"/>
  <c r="J320" i="2"/>
  <c r="J351" i="2"/>
  <c r="J253" i="2"/>
  <c r="F259" i="2"/>
  <c r="K279" i="2"/>
  <c r="K256" i="2"/>
  <c r="W294" i="2"/>
  <c r="W351" i="2"/>
  <c r="R299" i="2"/>
  <c r="F325" i="2"/>
  <c r="R311" i="2"/>
  <c r="R234" i="2"/>
  <c r="F348" i="2"/>
  <c r="F247" i="2"/>
  <c r="G345" i="2"/>
  <c r="G303" i="2"/>
  <c r="R309" i="2"/>
  <c r="R291" i="2"/>
  <c r="F290" i="2"/>
  <c r="J274" i="2"/>
  <c r="S299" i="2"/>
  <c r="J264" i="2"/>
  <c r="J252" i="2"/>
  <c r="J286" i="2"/>
  <c r="F316" i="2"/>
  <c r="S311" i="2"/>
  <c r="S234" i="2"/>
  <c r="P279" i="2"/>
  <c r="P256" i="2"/>
  <c r="P246" i="2"/>
  <c r="P340" i="2"/>
  <c r="P364" i="2"/>
  <c r="K327" i="2"/>
  <c r="X269" i="2"/>
  <c r="V299" i="2"/>
  <c r="F293" i="2"/>
  <c r="K318" i="2"/>
  <c r="K313" i="2"/>
  <c r="X276" i="2"/>
  <c r="V268" i="2"/>
  <c r="X291" i="2"/>
  <c r="O263" i="2"/>
  <c r="M265" i="2"/>
  <c r="F292" i="2"/>
  <c r="F361" i="2"/>
  <c r="O273" i="2"/>
  <c r="F338" i="2"/>
  <c r="F328" i="2"/>
  <c r="X260" i="2"/>
  <c r="N278" i="2"/>
  <c r="N285" i="2"/>
  <c r="P293" i="2"/>
  <c r="K312" i="2"/>
  <c r="P323" i="2"/>
  <c r="P361" i="2"/>
  <c r="K292" i="2"/>
  <c r="P295" i="2"/>
  <c r="W277" i="2"/>
  <c r="W261" i="2"/>
  <c r="W271" i="2"/>
  <c r="X267" i="2"/>
  <c r="W363" i="2"/>
  <c r="W284" i="2"/>
  <c r="X275" i="2"/>
  <c r="X282" i="2"/>
  <c r="X255" i="2"/>
  <c r="P263" i="2"/>
  <c r="P251" i="2"/>
  <c r="P273" i="2"/>
  <c r="J318" i="2"/>
  <c r="I357" i="2"/>
  <c r="T304" i="2"/>
  <c r="J357" i="2"/>
  <c r="I327" i="2"/>
  <c r="J354" i="2"/>
  <c r="P310" i="2"/>
  <c r="F340" i="2"/>
  <c r="F364" i="2"/>
  <c r="T297" i="2"/>
  <c r="I337" i="2"/>
  <c r="J334" i="2"/>
  <c r="S327" i="2"/>
  <c r="J316" i="2"/>
  <c r="S360" i="2"/>
  <c r="J337" i="2"/>
  <c r="S229" i="2"/>
  <c r="Q244" i="2"/>
  <c r="E295" i="2"/>
  <c r="Q227" i="2"/>
  <c r="S337" i="2"/>
  <c r="E270" i="2"/>
  <c r="E289" i="2"/>
  <c r="L244" i="2"/>
  <c r="L275" i="2"/>
  <c r="L254" i="2"/>
  <c r="W249" i="2"/>
  <c r="L282" i="2"/>
  <c r="W339" i="2"/>
  <c r="L266" i="2"/>
  <c r="J279" i="2"/>
  <c r="J256" i="2"/>
  <c r="J301" i="2"/>
  <c r="J360" i="2"/>
  <c r="J296" i="2"/>
  <c r="J293" i="2"/>
  <c r="J290" i="2"/>
  <c r="G317" i="2"/>
  <c r="S354" i="2"/>
  <c r="S255" i="2"/>
  <c r="S245" i="2"/>
  <c r="S267" i="2"/>
  <c r="S282" i="2"/>
  <c r="S268" i="2"/>
  <c r="G350" i="2"/>
  <c r="I316" i="2"/>
  <c r="I290" i="2"/>
  <c r="T259" i="2"/>
  <c r="I360" i="2"/>
  <c r="I293" i="2"/>
  <c r="T276" i="2"/>
  <c r="T269" i="2"/>
  <c r="R269" i="2"/>
  <c r="R276" i="2"/>
  <c r="R247" i="2"/>
  <c r="M223" i="2"/>
  <c r="M239" i="2"/>
  <c r="R259" i="2"/>
  <c r="E303" i="2"/>
  <c r="F262" i="2"/>
  <c r="I263" i="2"/>
  <c r="M253" i="2"/>
  <c r="G315" i="2"/>
  <c r="F330" i="2"/>
  <c r="F345" i="2"/>
  <c r="V254" i="2"/>
  <c r="V228" i="2"/>
  <c r="I364" i="2"/>
  <c r="V244" i="2"/>
  <c r="E262" i="2"/>
  <c r="Q252" i="2"/>
  <c r="Q264" i="2"/>
  <c r="E272" i="2"/>
  <c r="F337" i="2"/>
  <c r="F360" i="2"/>
  <c r="T291" i="2"/>
  <c r="E316" i="2"/>
  <c r="E263" i="2"/>
  <c r="J265" i="2"/>
  <c r="J243" i="2"/>
  <c r="V231" i="2"/>
  <c r="S288" i="2"/>
  <c r="S294" i="2"/>
  <c r="E278" i="2"/>
  <c r="G273" i="2"/>
  <c r="W334" i="2"/>
  <c r="R283" i="2"/>
  <c r="S298" i="2"/>
  <c r="I340" i="2"/>
  <c r="S358" i="2"/>
  <c r="W357" i="2"/>
  <c r="F192" i="2"/>
  <c r="F195" i="2"/>
  <c r="F211" i="2"/>
  <c r="S40" i="2"/>
  <c r="S324" i="2"/>
  <c r="P347" i="2"/>
  <c r="S342" i="2"/>
  <c r="G364" i="2"/>
  <c r="F193" i="2"/>
  <c r="G251" i="2"/>
  <c r="S308" i="2"/>
  <c r="S205" i="2"/>
  <c r="E251" i="2"/>
  <c r="E273" i="2"/>
  <c r="P329" i="2"/>
  <c r="F214" i="2"/>
  <c r="F6" i="2"/>
  <c r="F212" i="2"/>
  <c r="P40" i="2"/>
  <c r="P324" i="2"/>
  <c r="S335" i="2"/>
  <c r="F190" i="2"/>
  <c r="F208" i="2"/>
  <c r="W260" i="2"/>
  <c r="R229" i="2"/>
  <c r="I319" i="2"/>
  <c r="I312" i="2"/>
  <c r="F206" i="2"/>
  <c r="I365" i="2"/>
  <c r="I341" i="2"/>
  <c r="R245" i="2"/>
  <c r="J361" i="2"/>
  <c r="F202" i="2"/>
  <c r="W40" i="2"/>
  <c r="W324" i="2"/>
  <c r="P351" i="2"/>
  <c r="J260" i="2"/>
  <c r="J248" i="2"/>
  <c r="P255" i="2"/>
  <c r="W347" i="2"/>
  <c r="P282" i="2"/>
  <c r="P313" i="2"/>
  <c r="P287" i="2"/>
  <c r="P318" i="2"/>
  <c r="S323" i="2"/>
  <c r="S338" i="2"/>
  <c r="S361" i="2"/>
  <c r="R296" i="2"/>
  <c r="R287" i="2"/>
  <c r="O282" i="2"/>
  <c r="G289" i="2"/>
  <c r="G338" i="2"/>
  <c r="G358" i="2"/>
  <c r="R275" i="2"/>
  <c r="O287" i="2"/>
  <c r="P320" i="2"/>
  <c r="R313" i="2"/>
  <c r="G295" i="2"/>
  <c r="R282" i="2"/>
  <c r="P354" i="2"/>
  <c r="J312" i="2"/>
  <c r="R301" i="2"/>
  <c r="G271" i="2"/>
  <c r="G335" i="2"/>
  <c r="J341" i="2"/>
  <c r="J365" i="2"/>
  <c r="G323" i="2"/>
  <c r="V294" i="2"/>
  <c r="V288" i="2"/>
  <c r="N245" i="2"/>
  <c r="N267" i="2"/>
  <c r="J364" i="2"/>
  <c r="G337" i="2"/>
  <c r="P275" i="2"/>
  <c r="P337" i="2"/>
  <c r="J238" i="2"/>
  <c r="G263" i="2"/>
  <c r="F302" i="2"/>
  <c r="P334" i="2"/>
  <c r="N255" i="2"/>
  <c r="T260" i="2"/>
  <c r="T248" i="2"/>
  <c r="T270" i="2"/>
  <c r="F331" i="2"/>
  <c r="J340" i="2"/>
  <c r="S316" i="2"/>
  <c r="S296" i="2"/>
  <c r="O254" i="2"/>
  <c r="V276" i="2"/>
  <c r="L249" i="2"/>
  <c r="O266" i="2"/>
  <c r="V269" i="2"/>
  <c r="V259" i="2"/>
  <c r="G340" i="2"/>
  <c r="L261" i="2"/>
  <c r="G316" i="2"/>
  <c r="G360" i="2"/>
  <c r="J308" i="2"/>
  <c r="J205" i="2"/>
  <c r="G219" i="2"/>
  <c r="G169" i="2"/>
  <c r="G237" i="2"/>
  <c r="F353" i="2"/>
  <c r="F41" i="2"/>
  <c r="F326" i="2"/>
  <c r="S301" i="2"/>
  <c r="S345" i="2"/>
  <c r="J298" i="2"/>
  <c r="N254" i="2"/>
  <c r="N266" i="2"/>
  <c r="S329" i="2"/>
  <c r="S347" i="2"/>
  <c r="I334" i="2"/>
  <c r="W354" i="2"/>
  <c r="I313" i="2"/>
  <c r="I318" i="2"/>
  <c r="S293" i="2"/>
  <c r="K264" i="2"/>
  <c r="P296" i="2"/>
  <c r="P301" i="2"/>
  <c r="J345" i="2"/>
  <c r="K196" i="2"/>
  <c r="K195" i="2"/>
  <c r="W320" i="2"/>
  <c r="K209" i="2"/>
  <c r="K194" i="2"/>
  <c r="K6" i="2"/>
  <c r="K212" i="2"/>
  <c r="P226" i="2"/>
  <c r="K274" i="2"/>
  <c r="L253" i="2"/>
  <c r="R285" i="2"/>
  <c r="K206" i="2"/>
  <c r="K208" i="2"/>
  <c r="K198" i="2"/>
  <c r="K308" i="2"/>
  <c r="K205" i="2"/>
  <c r="K201" i="2"/>
  <c r="K211" i="2"/>
  <c r="K214" i="2"/>
  <c r="T308" i="2"/>
  <c r="T205" i="2"/>
  <c r="K204" i="2"/>
  <c r="K199" i="2"/>
  <c r="L265" i="2"/>
  <c r="P244" i="2"/>
  <c r="P227" i="2"/>
  <c r="J284" i="2"/>
  <c r="I354" i="2"/>
  <c r="S320" i="2"/>
  <c r="J292" i="2"/>
  <c r="J270" i="2"/>
  <c r="R286" i="2"/>
  <c r="E327" i="2"/>
  <c r="R279" i="2"/>
  <c r="R256" i="2"/>
  <c r="J277" i="2"/>
  <c r="J319" i="2"/>
  <c r="W286" i="2"/>
  <c r="W308" i="2"/>
  <c r="W205" i="2"/>
  <c r="E340" i="2"/>
  <c r="P292" i="2"/>
  <c r="P346" i="2"/>
  <c r="W323" i="2"/>
  <c r="R273" i="2"/>
  <c r="R278" i="2"/>
  <c r="R263" i="2"/>
  <c r="R295" i="2"/>
  <c r="W338" i="2"/>
  <c r="E328" i="2"/>
  <c r="E335" i="2"/>
  <c r="E346" i="2"/>
  <c r="F196" i="2"/>
  <c r="G328" i="2"/>
  <c r="L285" i="2"/>
  <c r="G361" i="2"/>
  <c r="G277" i="2"/>
  <c r="W287" i="2"/>
  <c r="L278" i="2"/>
  <c r="G284" i="2"/>
  <c r="I289" i="2"/>
  <c r="W301" i="2"/>
  <c r="I295" i="2"/>
  <c r="G292" i="2"/>
  <c r="W348" i="2"/>
  <c r="F204" i="2"/>
  <c r="E338" i="2"/>
  <c r="P319" i="2"/>
  <c r="P312" i="2"/>
  <c r="F308" i="2"/>
  <c r="F205" i="2"/>
  <c r="F201" i="2"/>
  <c r="E325" i="2"/>
  <c r="E337" i="2"/>
  <c r="F315" i="2"/>
  <c r="J295" i="2"/>
  <c r="J328" i="2"/>
  <c r="F317" i="2"/>
  <c r="J289" i="2"/>
  <c r="J338" i="2"/>
  <c r="O279" i="2"/>
  <c r="O256" i="2"/>
  <c r="O286" i="2"/>
  <c r="O274" i="2"/>
  <c r="I361" i="2"/>
  <c r="L239" i="2"/>
  <c r="L264" i="2"/>
  <c r="I328" i="2"/>
  <c r="F198" i="2"/>
  <c r="L286" i="2"/>
  <c r="L252" i="2"/>
  <c r="K295" i="2"/>
  <c r="E331" i="2"/>
  <c r="L274" i="2"/>
  <c r="K328" i="2"/>
  <c r="K289" i="2"/>
  <c r="F199" i="2"/>
  <c r="F194" i="2"/>
  <c r="F217" i="2"/>
  <c r="I338" i="2"/>
  <c r="E339" i="2"/>
  <c r="E354" i="2"/>
  <c r="E329" i="2"/>
  <c r="E334" i="2"/>
  <c r="E352" i="2"/>
  <c r="E330" i="2"/>
  <c r="W355" i="2"/>
  <c r="W266" i="2"/>
  <c r="K238" i="2"/>
  <c r="K251" i="2"/>
  <c r="K273" i="2"/>
  <c r="K263" i="2"/>
  <c r="P289" i="2"/>
  <c r="P272" i="2"/>
  <c r="P262" i="2"/>
  <c r="P341" i="2"/>
  <c r="P355" i="2"/>
  <c r="P308" i="2"/>
  <c r="P205" i="2"/>
  <c r="P328" i="2"/>
  <c r="W254" i="2"/>
  <c r="P219" i="2"/>
  <c r="P169" i="2"/>
  <c r="P365" i="2"/>
  <c r="F209" i="2"/>
  <c r="L273" i="2"/>
  <c r="J285" i="2"/>
  <c r="J330" i="2"/>
  <c r="G355" i="2"/>
  <c r="S340" i="2"/>
  <c r="S364" i="2"/>
  <c r="J348" i="2"/>
  <c r="G310" i="2"/>
  <c r="F300" i="2"/>
  <c r="F346" i="2"/>
  <c r="J300" i="2"/>
  <c r="J247" i="2"/>
  <c r="O278" i="2"/>
  <c r="J273" i="2"/>
  <c r="W291" i="2"/>
  <c r="W269" i="2"/>
  <c r="E229" i="2"/>
  <c r="E284" i="2"/>
  <c r="J272" i="2"/>
  <c r="E292" i="2"/>
  <c r="E319" i="2"/>
  <c r="J346" i="2"/>
  <c r="E341" i="2"/>
  <c r="J278" i="2"/>
  <c r="E277" i="2"/>
  <c r="E245" i="2"/>
  <c r="O285" i="2"/>
  <c r="X287" i="2"/>
  <c r="W352" i="2"/>
  <c r="W325" i="2"/>
  <c r="W330" i="2"/>
  <c r="W296" i="2"/>
  <c r="O217" i="2"/>
  <c r="E336" i="2"/>
  <c r="E348" i="2"/>
  <c r="G285" i="2"/>
  <c r="G278" i="2"/>
  <c r="N253" i="2"/>
  <c r="N243" i="2"/>
  <c r="N265" i="2"/>
  <c r="T290" i="2"/>
  <c r="T303" i="2"/>
  <c r="M272" i="2"/>
  <c r="V287" i="2"/>
  <c r="I323" i="2"/>
  <c r="I310" i="2"/>
  <c r="I335" i="2"/>
  <c r="M262" i="2"/>
  <c r="F295" i="2"/>
  <c r="F289" i="2"/>
  <c r="I358" i="2"/>
  <c r="O251" i="2"/>
  <c r="S330" i="2"/>
  <c r="O238" i="2"/>
  <c r="V266" i="2"/>
  <c r="L248" i="2"/>
  <c r="S290" i="2"/>
  <c r="S303" i="2"/>
  <c r="L260" i="2"/>
  <c r="I350" i="2"/>
  <c r="I317" i="2"/>
  <c r="I315" i="2"/>
  <c r="K249" i="2"/>
  <c r="K236" i="2"/>
  <c r="R267" i="2"/>
  <c r="R255" i="2"/>
  <c r="P290" i="2"/>
  <c r="X259" i="2"/>
  <c r="X283" i="2"/>
  <c r="X247" i="2"/>
  <c r="S325" i="2"/>
  <c r="L235" i="2"/>
  <c r="L270" i="2"/>
  <c r="W364" i="2"/>
  <c r="P348" i="2"/>
  <c r="L279" i="2"/>
  <c r="L256" i="2"/>
  <c r="S328" i="2"/>
  <c r="S355" i="2"/>
  <c r="E288" i="2"/>
  <c r="I260" i="2"/>
  <c r="W297" i="2"/>
  <c r="I292" i="2"/>
  <c r="I277" i="2"/>
  <c r="W313" i="2"/>
  <c r="W316" i="2"/>
  <c r="E268" i="2"/>
  <c r="I248" i="2"/>
  <c r="E283" i="2"/>
  <c r="I284" i="2"/>
  <c r="I235" i="2"/>
  <c r="P237" i="2"/>
  <c r="E261" i="2"/>
  <c r="J315" i="2"/>
  <c r="T239" i="2"/>
  <c r="P250" i="2"/>
  <c r="E249" i="2"/>
  <c r="W247" i="2"/>
  <c r="W283" i="2"/>
  <c r="W276" i="2"/>
  <c r="I270" i="2"/>
  <c r="E267" i="2"/>
  <c r="E255" i="2"/>
  <c r="J317" i="2"/>
  <c r="F261" i="2"/>
  <c r="F249" i="2"/>
  <c r="F356" i="2"/>
  <c r="F230" i="2"/>
  <c r="T223" i="2"/>
  <c r="T252" i="2"/>
  <c r="I330" i="2"/>
  <c r="R264" i="2"/>
  <c r="T275" i="2"/>
  <c r="G272" i="2"/>
  <c r="G250" i="2"/>
  <c r="T313" i="2"/>
  <c r="T282" i="2"/>
  <c r="T287" i="2"/>
  <c r="T301" i="2"/>
  <c r="R252" i="2"/>
  <c r="P325" i="2"/>
  <c r="J310" i="2"/>
  <c r="J355" i="2"/>
  <c r="P303" i="2"/>
  <c r="W303" i="2"/>
  <c r="W293" i="2"/>
  <c r="G302" i="2"/>
  <c r="G262" i="2"/>
  <c r="G308" i="2"/>
  <c r="G205" i="2"/>
  <c r="N250" i="2"/>
  <c r="N272" i="2"/>
  <c r="N262" i="2"/>
  <c r="T231" i="2"/>
  <c r="S318" i="2"/>
  <c r="W311" i="2"/>
  <c r="W234" i="2"/>
  <c r="W226" i="2"/>
  <c r="T230" i="2"/>
  <c r="F298" i="2"/>
  <c r="T246" i="2"/>
  <c r="F319" i="2"/>
  <c r="F312" i="2"/>
  <c r="W318" i="2"/>
  <c r="G331" i="2"/>
  <c r="E279" i="2"/>
  <c r="E256" i="2"/>
  <c r="W360" i="2"/>
  <c r="W337" i="2"/>
  <c r="X288" i="2"/>
  <c r="F365" i="2"/>
  <c r="G353" i="2"/>
  <c r="G41" i="2"/>
  <c r="G326" i="2"/>
  <c r="W243" i="2"/>
  <c r="J358" i="2"/>
  <c r="W327" i="2"/>
  <c r="F341" i="2"/>
  <c r="X230" i="2"/>
  <c r="X294" i="2"/>
  <c r="X245" i="2"/>
  <c r="M237" i="2"/>
  <c r="W253" i="2"/>
  <c r="M250" i="2"/>
  <c r="E276" i="2"/>
  <c r="G365" i="2"/>
  <c r="K293" i="2"/>
  <c r="G288" i="2"/>
  <c r="G341" i="2"/>
  <c r="K290" i="2"/>
  <c r="K316" i="2"/>
  <c r="N224" i="2"/>
  <c r="I346" i="2"/>
  <c r="P335" i="2"/>
  <c r="S351" i="2"/>
  <c r="E41" i="2"/>
  <c r="E326" i="2"/>
  <c r="E236" i="2"/>
  <c r="G247" i="2"/>
  <c r="E310" i="2"/>
  <c r="E317" i="2"/>
  <c r="G259" i="2"/>
  <c r="I262" i="2"/>
  <c r="I272" i="2"/>
  <c r="E323" i="2"/>
  <c r="P298" i="2"/>
  <c r="E271" i="2"/>
  <c r="E315" i="2"/>
  <c r="F304" i="2"/>
  <c r="E294" i="2"/>
  <c r="I345" i="2"/>
  <c r="J259" i="2"/>
  <c r="L277" i="2"/>
  <c r="L284" i="2"/>
  <c r="T268" i="2"/>
  <c r="J269" i="2"/>
  <c r="I250" i="2"/>
  <c r="F359" i="2"/>
  <c r="P358" i="2"/>
  <c r="G330" i="2"/>
  <c r="F269" i="2"/>
  <c r="K202" i="2"/>
  <c r="Q223" i="2"/>
  <c r="F297" i="2"/>
  <c r="T311" i="2"/>
  <c r="T234" i="2"/>
  <c r="F350" i="2"/>
  <c r="T299" i="2"/>
  <c r="Q239" i="2"/>
  <c r="R238" i="2"/>
  <c r="G325" i="2"/>
  <c r="G348" i="2"/>
  <c r="R221" i="2"/>
  <c r="K330" i="2"/>
  <c r="G319" i="2"/>
  <c r="K298" i="2"/>
  <c r="K310" i="2"/>
  <c r="W358" i="2"/>
  <c r="G312" i="2"/>
  <c r="W345" i="2"/>
  <c r="N225" i="2"/>
  <c r="P345" i="2"/>
  <c r="P316" i="2"/>
  <c r="K261" i="2"/>
  <c r="K271" i="2"/>
  <c r="W282" i="2"/>
  <c r="R251" i="2"/>
  <c r="R308" i="2"/>
  <c r="R205" i="2"/>
  <c r="G346" i="2"/>
  <c r="P352" i="2"/>
  <c r="S348" i="2"/>
  <c r="P330" i="2"/>
  <c r="E298" i="2"/>
  <c r="F358" i="2"/>
  <c r="T264" i="2"/>
  <c r="F310" i="2"/>
  <c r="F323" i="2"/>
  <c r="F335" i="2"/>
  <c r="S222" i="2"/>
  <c r="S225" i="2"/>
  <c r="G279" i="2"/>
  <c r="G256" i="2"/>
  <c r="G276" i="2"/>
  <c r="G283" i="2"/>
  <c r="G268" i="2"/>
  <c r="O226" i="2"/>
  <c r="S243" i="2"/>
  <c r="S253" i="2"/>
  <c r="O253" i="2"/>
  <c r="V246" i="2"/>
  <c r="V279" i="2"/>
  <c r="V256" i="2"/>
  <c r="N249" i="2"/>
  <c r="W340" i="2"/>
  <c r="I298" i="2"/>
  <c r="K222" i="2"/>
  <c r="W270" i="2"/>
  <c r="I355" i="2"/>
  <c r="T274" i="2"/>
  <c r="I331" i="2"/>
  <c r="W274" i="2"/>
  <c r="W279" i="2"/>
  <c r="W256" i="2"/>
  <c r="O265" i="2"/>
  <c r="U224" i="2"/>
  <c r="O243" i="2"/>
  <c r="W299" i="2"/>
  <c r="T279" i="2"/>
  <c r="T256" i="2"/>
  <c r="Q266" i="2"/>
  <c r="S334" i="2"/>
  <c r="R303" i="2"/>
  <c r="G246" i="2"/>
  <c r="G231" i="2"/>
  <c r="I353" i="2"/>
  <c r="R290" i="2"/>
  <c r="Q254" i="2"/>
  <c r="M264" i="2"/>
  <c r="M252" i="2"/>
  <c r="J352" i="2"/>
  <c r="W265" i="2"/>
  <c r="I302" i="2"/>
  <c r="V290" i="2"/>
  <c r="K325" i="2"/>
  <c r="L223" i="2"/>
  <c r="R228" i="2"/>
  <c r="S230" i="2"/>
  <c r="V293" i="2"/>
  <c r="S357" i="2"/>
  <c r="Q228" i="2"/>
  <c r="O275" i="2"/>
  <c r="R293" i="2"/>
  <c r="X293" i="2"/>
  <c r="W229" i="2"/>
  <c r="R224" i="2"/>
  <c r="F311" i="2"/>
  <c r="F234" i="2"/>
  <c r="G300" i="2"/>
  <c r="E312" i="2"/>
  <c r="E302" i="2"/>
  <c r="J263" i="2"/>
  <c r="J303" i="2"/>
  <c r="M224" i="2"/>
  <c r="P266" i="2"/>
  <c r="V225" i="2"/>
  <c r="J251" i="2"/>
  <c r="X270" i="2"/>
  <c r="E297" i="2"/>
  <c r="N236" i="2"/>
  <c r="P327" i="2"/>
  <c r="J335" i="2"/>
  <c r="J311" i="2"/>
  <c r="J234" i="2"/>
  <c r="R268" i="2"/>
  <c r="J323" i="2"/>
  <c r="P360" i="2"/>
  <c r="P222" i="2"/>
  <c r="T226" i="2"/>
  <c r="G269" i="2"/>
  <c r="X296" i="2"/>
  <c r="W335" i="2"/>
  <c r="K323" i="2"/>
  <c r="S310" i="2"/>
  <c r="P254" i="2"/>
  <c r="S341" i="2"/>
  <c r="W259" i="2"/>
  <c r="N220" i="2"/>
  <c r="R310" i="2"/>
  <c r="G352" i="2"/>
  <c r="T296" i="2"/>
  <c r="E300" i="2"/>
  <c r="S352" i="2"/>
  <c r="T298" i="2"/>
  <c r="J221" i="2"/>
  <c r="O225" i="2"/>
  <c r="N271" i="2"/>
  <c r="N261" i="2"/>
  <c r="I41" i="2"/>
  <c r="I326" i="2"/>
  <c r="R298" i="2"/>
  <c r="M219" i="2"/>
  <c r="M169" i="2"/>
  <c r="O221" i="2"/>
  <c r="L217" i="2"/>
  <c r="P357" i="2"/>
  <c r="V296" i="2"/>
  <c r="T293" i="2"/>
  <c r="U227" i="2"/>
  <c r="I220" i="2"/>
  <c r="X290" i="2"/>
  <c r="I300" i="2"/>
  <c r="I352" i="2"/>
  <c r="P338" i="2"/>
  <c r="L271" i="2"/>
  <c r="X227" i="2"/>
  <c r="Q220" i="2"/>
  <c r="E304" i="2"/>
  <c r="K319" i="2"/>
  <c r="K300" i="2"/>
  <c r="W361" i="2"/>
  <c r="J350" i="2"/>
  <c r="H226" i="2"/>
  <c r="W365" i="2"/>
  <c r="H222" i="2"/>
  <c r="G356" i="2"/>
  <c r="H310" i="2"/>
  <c r="H317" i="2"/>
  <c r="H311" i="2"/>
  <c r="H234" i="2"/>
  <c r="H292" i="2"/>
  <c r="H298" i="2"/>
  <c r="H336" i="2"/>
  <c r="H302" i="2"/>
  <c r="H299" i="2"/>
  <c r="H301" i="2"/>
  <c r="H293" i="2"/>
  <c r="H315" i="2"/>
  <c r="H294" i="2"/>
  <c r="H335" i="2"/>
  <c r="H291" i="2"/>
  <c r="H300" i="2"/>
  <c r="H309" i="2"/>
  <c r="H313" i="2"/>
  <c r="H285" i="2"/>
  <c r="H289" i="2"/>
  <c r="H295" i="2"/>
  <c r="H312" i="2"/>
  <c r="H286" i="2"/>
  <c r="H308" i="2"/>
  <c r="H205" i="2"/>
  <c r="H284" i="2"/>
  <c r="H287" i="2"/>
  <c r="E364" i="2"/>
  <c r="E360" i="2"/>
  <c r="E355" i="2"/>
  <c r="E357" i="2"/>
  <c r="E347" i="2"/>
  <c r="H223" i="2"/>
  <c r="H245" i="2"/>
  <c r="E356" i="2"/>
  <c r="H227" i="2"/>
  <c r="H221" i="2"/>
  <c r="E361" i="2"/>
  <c r="E365" i="2"/>
  <c r="H219" i="2"/>
  <c r="H169" i="2"/>
  <c r="E351" i="2"/>
  <c r="E359" i="2"/>
  <c r="H224" i="2"/>
  <c r="E353" i="2"/>
  <c r="H243" i="2"/>
  <c r="H225" i="2"/>
  <c r="E358" i="2"/>
  <c r="E345" i="2"/>
  <c r="H217" i="2"/>
  <c r="E342" i="2"/>
  <c r="E363" i="2"/>
  <c r="E350" i="2"/>
  <c r="F336" i="2"/>
  <c r="Q286" i="2"/>
  <c r="Q308" i="2"/>
  <c r="Q205" i="2"/>
  <c r="Q293" i="2"/>
  <c r="Q312" i="2"/>
  <c r="Q296" i="2"/>
  <c r="Q298" i="2"/>
  <c r="Q325" i="2"/>
  <c r="Q290" i="2"/>
  <c r="Q319" i="2"/>
  <c r="Q300" i="2"/>
  <c r="Q288" i="2"/>
  <c r="Q315" i="2"/>
  <c r="Q299" i="2"/>
  <c r="Q311" i="2"/>
  <c r="Q234" i="2"/>
  <c r="Q292" i="2"/>
  <c r="Q301" i="2"/>
  <c r="Q297" i="2"/>
  <c r="Q309" i="2"/>
  <c r="Q294" i="2"/>
  <c r="Q295" i="2"/>
  <c r="Q291" i="2"/>
  <c r="Q302" i="2"/>
  <c r="Q304" i="2"/>
  <c r="Q303" i="2"/>
  <c r="Q289" i="2"/>
  <c r="X340" i="2"/>
  <c r="X345" i="2"/>
  <c r="X350" i="2"/>
  <c r="X353" i="2"/>
  <c r="X339" i="2"/>
  <c r="X341" i="2"/>
  <c r="X356" i="2"/>
  <c r="X348" i="2"/>
  <c r="X358" i="2"/>
  <c r="X357" i="2"/>
  <c r="Q335" i="2"/>
  <c r="T364" i="2"/>
  <c r="X359" i="2"/>
  <c r="X352" i="2"/>
  <c r="X364" i="2"/>
  <c r="Q41" i="2"/>
  <c r="Q326" i="2"/>
  <c r="X336" i="2"/>
  <c r="X325" i="2"/>
  <c r="X329" i="2"/>
  <c r="X347" i="2"/>
  <c r="X361" i="2"/>
  <c r="X351" i="2"/>
  <c r="X360" i="2"/>
  <c r="X355" i="2"/>
  <c r="X363" i="2"/>
  <c r="X337" i="2"/>
  <c r="X354" i="2"/>
  <c r="Q330" i="2"/>
  <c r="Q338" i="2"/>
  <c r="Q313" i="2"/>
  <c r="Q339" i="2"/>
  <c r="X365" i="2"/>
  <c r="Q329" i="2"/>
  <c r="Q341" i="2"/>
  <c r="Q327" i="2"/>
  <c r="Q342" i="2"/>
  <c r="Q337" i="2"/>
  <c r="Q336" i="2"/>
  <c r="Q317" i="2"/>
  <c r="Q40" i="2"/>
  <c r="Q324" i="2"/>
  <c r="Q318" i="2"/>
  <c r="Q331" i="2"/>
  <c r="Q340" i="2"/>
  <c r="M290" i="2"/>
  <c r="Q345" i="2"/>
  <c r="Q310" i="2"/>
  <c r="Q334" i="2"/>
  <c r="Q323" i="2"/>
  <c r="Q320" i="2"/>
  <c r="R335" i="2"/>
  <c r="L356" i="2"/>
  <c r="Q328" i="2"/>
  <c r="M282" i="2"/>
  <c r="M274" i="2"/>
  <c r="V335" i="2"/>
  <c r="M293" i="2"/>
  <c r="M277" i="2"/>
  <c r="Q316" i="2"/>
  <c r="M291" i="2"/>
  <c r="L363" i="2"/>
  <c r="M275" i="2"/>
  <c r="M296" i="2"/>
  <c r="L364" i="2"/>
  <c r="L365" i="2"/>
  <c r="M295" i="2"/>
  <c r="M289" i="2"/>
  <c r="M294" i="2"/>
  <c r="M288" i="2"/>
  <c r="L361" i="2"/>
  <c r="M286" i="2"/>
  <c r="M283" i="2"/>
  <c r="L358" i="2"/>
  <c r="M284" i="2"/>
  <c r="L360" i="2"/>
  <c r="M287" i="2"/>
  <c r="L357" i="2"/>
  <c r="M276" i="2"/>
  <c r="T351" i="2"/>
  <c r="O334" i="2"/>
  <c r="O342" i="2"/>
  <c r="O318" i="2"/>
  <c r="O323" i="2"/>
  <c r="Q279" i="2"/>
  <c r="Q256" i="2"/>
  <c r="O345" i="2"/>
  <c r="O339" i="2"/>
  <c r="O325" i="2"/>
  <c r="O328" i="2"/>
  <c r="O327" i="2"/>
  <c r="O331" i="2"/>
  <c r="O337" i="2"/>
  <c r="O41" i="2"/>
  <c r="O326" i="2"/>
  <c r="O336" i="2"/>
  <c r="O40" i="2"/>
  <c r="O324" i="2"/>
  <c r="O316" i="2"/>
  <c r="O350" i="2"/>
  <c r="O315" i="2"/>
  <c r="O330" i="2"/>
  <c r="O319" i="2"/>
  <c r="Q277" i="2"/>
  <c r="M327" i="2"/>
  <c r="O346" i="2"/>
  <c r="O335" i="2"/>
  <c r="M339" i="2"/>
  <c r="M298" i="2"/>
  <c r="V319" i="2"/>
  <c r="O341" i="2"/>
  <c r="M336" i="2"/>
  <c r="O340" i="2"/>
  <c r="M299" i="2"/>
  <c r="M301" i="2"/>
  <c r="M316" i="2"/>
  <c r="M335" i="2"/>
  <c r="M319" i="2"/>
  <c r="M300" i="2"/>
  <c r="M304" i="2"/>
  <c r="V331" i="2"/>
  <c r="M302" i="2"/>
  <c r="M308" i="2"/>
  <c r="M205" i="2"/>
  <c r="M312" i="2"/>
  <c r="M297" i="2"/>
  <c r="M40" i="2"/>
  <c r="M324" i="2"/>
  <c r="U346" i="2"/>
  <c r="M318" i="2"/>
  <c r="V328" i="2"/>
  <c r="V315" i="2"/>
  <c r="M303" i="2"/>
  <c r="V325" i="2"/>
  <c r="V308" i="2"/>
  <c r="V205" i="2"/>
  <c r="V337" i="2"/>
  <c r="M292" i="2"/>
  <c r="M313" i="2"/>
  <c r="V356" i="2"/>
  <c r="M329" i="2"/>
  <c r="V345" i="2"/>
  <c r="M311" i="2"/>
  <c r="M234" i="2"/>
  <c r="V334" i="2"/>
  <c r="V327" i="2"/>
  <c r="V339" i="2"/>
  <c r="V320" i="2"/>
  <c r="M315" i="2"/>
  <c r="V313" i="2"/>
  <c r="V317" i="2"/>
  <c r="V40" i="2"/>
  <c r="V324" i="2"/>
  <c r="V301" i="2"/>
  <c r="M310" i="2"/>
  <c r="V336" i="2"/>
  <c r="M309" i="2"/>
  <c r="V330" i="2"/>
  <c r="V350" i="2"/>
  <c r="V312" i="2"/>
  <c r="V329" i="2"/>
  <c r="U328" i="2"/>
  <c r="V323" i="2"/>
  <c r="V365" i="2"/>
  <c r="U329" i="2"/>
  <c r="U338" i="2"/>
  <c r="U357" i="2"/>
  <c r="U318" i="2"/>
  <c r="U316" i="2"/>
  <c r="U41" i="2"/>
  <c r="U326" i="2"/>
  <c r="U317" i="2"/>
  <c r="U325" i="2"/>
  <c r="U320" i="2"/>
  <c r="U319" i="2"/>
  <c r="U336" i="2"/>
  <c r="U327" i="2"/>
  <c r="U334" i="2"/>
  <c r="U345" i="2"/>
  <c r="U340" i="2"/>
  <c r="U330" i="2"/>
  <c r="U339" i="2"/>
  <c r="U335" i="2"/>
  <c r="U40" i="2"/>
  <c r="U324" i="2"/>
  <c r="U351" i="2"/>
  <c r="U315" i="2"/>
  <c r="U331" i="2"/>
  <c r="U313" i="2"/>
  <c r="X40" i="2"/>
  <c r="X324" i="2"/>
  <c r="X311" i="2"/>
  <c r="X234" i="2"/>
  <c r="X41" i="2"/>
  <c r="X326" i="2"/>
  <c r="X338" i="2"/>
  <c r="X298" i="2"/>
  <c r="X346" i="2"/>
  <c r="X315" i="2"/>
  <c r="X331" i="2"/>
  <c r="X317" i="2"/>
  <c r="X323" i="2"/>
  <c r="X330" i="2"/>
  <c r="X327" i="2"/>
  <c r="X304" i="2"/>
  <c r="X319" i="2"/>
  <c r="X328" i="2"/>
  <c r="X342" i="2"/>
  <c r="X313" i="2"/>
  <c r="X300" i="2"/>
  <c r="X335" i="2"/>
  <c r="X320" i="2"/>
  <c r="X334" i="2"/>
  <c r="X308" i="2"/>
  <c r="X205" i="2"/>
  <c r="X312" i="2"/>
  <c r="X318" i="2"/>
  <c r="U282" i="2"/>
  <c r="X316" i="2"/>
  <c r="U292" i="2"/>
  <c r="U263" i="2"/>
  <c r="U266" i="2"/>
  <c r="U299" i="2"/>
  <c r="U284" i="2"/>
  <c r="U265" i="2"/>
  <c r="N296" i="2"/>
  <c r="N301" i="2"/>
  <c r="U279" i="2"/>
  <c r="U256" i="2"/>
  <c r="N331" i="2"/>
  <c r="N41" i="2"/>
  <c r="N326" i="2"/>
  <c r="U277" i="2"/>
  <c r="U269" i="2"/>
  <c r="N316" i="2"/>
  <c r="N297" i="2"/>
  <c r="U264" i="2"/>
  <c r="U278" i="2"/>
  <c r="N339" i="2"/>
  <c r="N308" i="2"/>
  <c r="N205" i="2"/>
  <c r="N338" i="2"/>
  <c r="U272" i="2"/>
  <c r="U270" i="2"/>
  <c r="U274" i="2"/>
  <c r="N303" i="2"/>
  <c r="U283" i="2"/>
  <c r="N299" i="2"/>
  <c r="N302" i="2"/>
  <c r="U276" i="2"/>
  <c r="N330" i="2"/>
  <c r="U262" i="2"/>
  <c r="N336" i="2"/>
  <c r="U275" i="2"/>
  <c r="N327" i="2"/>
  <c r="N323" i="2"/>
  <c r="U273" i="2"/>
  <c r="N328" i="2"/>
  <c r="U268" i="2"/>
  <c r="U291" i="2"/>
  <c r="N317" i="2"/>
  <c r="N329" i="2"/>
  <c r="U267" i="2"/>
  <c r="N318" i="2"/>
  <c r="U271" i="2"/>
  <c r="U304" i="2"/>
  <c r="N335" i="2"/>
  <c r="N359" i="2"/>
  <c r="N298" i="2"/>
  <c r="N325" i="2"/>
  <c r="N313" i="2"/>
  <c r="M347" i="2"/>
  <c r="U287" i="2"/>
  <c r="U285" i="2"/>
  <c r="U300" i="2"/>
  <c r="U337" i="2"/>
  <c r="U308" i="2"/>
  <c r="U205" i="2"/>
  <c r="U303" i="2"/>
  <c r="U295" i="2"/>
  <c r="U290" i="2"/>
  <c r="U350" i="2"/>
  <c r="U296" i="2"/>
  <c r="U302" i="2"/>
  <c r="U297" i="2"/>
  <c r="U323" i="2"/>
  <c r="U289" i="2"/>
  <c r="U294" i="2"/>
  <c r="U293" i="2"/>
  <c r="U309" i="2"/>
  <c r="U342" i="2"/>
  <c r="U301" i="2"/>
  <c r="U298" i="2"/>
  <c r="U341" i="2"/>
  <c r="U310" i="2"/>
  <c r="U312" i="2"/>
  <c r="M356" i="2"/>
  <c r="U288" i="2"/>
  <c r="M334" i="2"/>
  <c r="U311" i="2"/>
  <c r="U234" i="2"/>
  <c r="M331" i="2"/>
  <c r="N320" i="2"/>
  <c r="M346" i="2"/>
  <c r="M325" i="2"/>
  <c r="M342" i="2"/>
  <c r="M348" i="2"/>
  <c r="N309" i="2"/>
  <c r="M323" i="2"/>
  <c r="M338" i="2"/>
  <c r="M337" i="2"/>
  <c r="M351" i="2"/>
  <c r="M345" i="2"/>
  <c r="M41" i="2"/>
  <c r="M326" i="2"/>
  <c r="M320" i="2"/>
  <c r="N310" i="2"/>
  <c r="M340" i="2"/>
  <c r="M328" i="2"/>
  <c r="M317" i="2"/>
  <c r="N311" i="2"/>
  <c r="N234" i="2"/>
  <c r="N351" i="2"/>
  <c r="M341" i="2"/>
  <c r="N315" i="2"/>
  <c r="M330" i="2"/>
  <c r="N350" i="2"/>
  <c r="N354" i="2"/>
  <c r="N340" i="2"/>
  <c r="N342" i="2"/>
  <c r="N348" i="2"/>
  <c r="N360" i="2"/>
  <c r="N345" i="2"/>
  <c r="N357" i="2"/>
  <c r="N347" i="2"/>
  <c r="N364" i="2"/>
  <c r="N353" i="2"/>
  <c r="N361" i="2"/>
  <c r="N358" i="2"/>
  <c r="N365" i="2"/>
  <c r="N355" i="2"/>
  <c r="N341" i="2"/>
  <c r="N346" i="2"/>
  <c r="N337" i="2"/>
  <c r="H329" i="2"/>
  <c r="N334" i="2"/>
  <c r="H320" i="2"/>
  <c r="N356" i="2"/>
  <c r="N363" i="2"/>
  <c r="N352" i="2"/>
  <c r="O317" i="2"/>
  <c r="O296" i="2"/>
  <c r="H325" i="2"/>
  <c r="H351" i="2"/>
  <c r="H330" i="2"/>
  <c r="H347" i="2"/>
  <c r="H331" i="2"/>
  <c r="H318" i="2"/>
  <c r="H342" i="2"/>
  <c r="H316" i="2"/>
  <c r="H323" i="2"/>
  <c r="H334" i="2"/>
  <c r="H283" i="2"/>
  <c r="H319" i="2"/>
  <c r="H262" i="2"/>
  <c r="H337" i="2"/>
  <c r="H356" i="2"/>
  <c r="H328" i="2"/>
  <c r="H41" i="2"/>
  <c r="H326" i="2"/>
  <c r="H348" i="2"/>
  <c r="H40" i="2"/>
  <c r="H324" i="2"/>
  <c r="H327" i="2"/>
  <c r="H340" i="2"/>
  <c r="H338" i="2"/>
  <c r="H260" i="2"/>
  <c r="H358" i="2"/>
  <c r="H273" i="2"/>
  <c r="H263" i="2"/>
  <c r="H339" i="2"/>
  <c r="H341" i="2"/>
  <c r="H304" i="2"/>
  <c r="H266" i="2"/>
  <c r="H268" i="2"/>
  <c r="H271" i="2"/>
  <c r="H259" i="2"/>
  <c r="H252" i="2"/>
  <c r="H276" i="2"/>
  <c r="H288" i="2"/>
  <c r="H267" i="2"/>
  <c r="H274" i="2"/>
  <c r="H303" i="2"/>
  <c r="H297" i="2"/>
  <c r="H279" i="2"/>
  <c r="H256" i="2"/>
  <c r="H282" i="2"/>
  <c r="H270" i="2"/>
  <c r="O329" i="2"/>
  <c r="H275" i="2"/>
  <c r="H296" i="2"/>
  <c r="H278" i="2"/>
  <c r="H255" i="2"/>
  <c r="O310" i="2"/>
  <c r="H269" i="2"/>
  <c r="V347" i="2"/>
  <c r="O311" i="2"/>
  <c r="O234" i="2"/>
  <c r="O288" i="2"/>
  <c r="O290" i="2"/>
  <c r="O303" i="2"/>
  <c r="O291" i="2"/>
  <c r="O338" i="2"/>
  <c r="O302" i="2"/>
  <c r="O298" i="2"/>
  <c r="O299" i="2"/>
  <c r="O304" i="2"/>
  <c r="O292" i="2"/>
  <c r="O297" i="2"/>
  <c r="V360" i="2"/>
  <c r="O300" i="2"/>
  <c r="O309" i="2"/>
  <c r="O301" i="2"/>
  <c r="O294" i="2"/>
  <c r="O313" i="2"/>
  <c r="O312" i="2"/>
  <c r="O295" i="2"/>
  <c r="O308" i="2"/>
  <c r="O205" i="2"/>
  <c r="V342" i="2"/>
  <c r="X299" i="2"/>
  <c r="V352" i="2"/>
  <c r="V348" i="2"/>
  <c r="O320" i="2"/>
  <c r="O293" i="2"/>
  <c r="O289" i="2"/>
  <c r="X302" i="2"/>
  <c r="V353" i="2"/>
  <c r="V354" i="2"/>
  <c r="V359" i="2"/>
  <c r="X297" i="2"/>
  <c r="V346" i="2"/>
  <c r="V340" i="2"/>
  <c r="X303" i="2"/>
  <c r="V351" i="2"/>
  <c r="V358" i="2"/>
  <c r="V357" i="2"/>
  <c r="V363" i="2"/>
  <c r="V341" i="2"/>
  <c r="X301" i="2"/>
  <c r="V361" i="2"/>
  <c r="X310" i="2"/>
  <c r="X309" i="2"/>
  <c r="Q355" i="2"/>
  <c r="V364" i="2"/>
  <c r="V355" i="2"/>
  <c r="Q352" i="2"/>
  <c r="Q361" i="2"/>
  <c r="Q356" i="2"/>
  <c r="Q365" i="2"/>
  <c r="Q354" i="2"/>
  <c r="R328" i="2"/>
  <c r="Q347" i="2"/>
  <c r="Q359" i="2"/>
  <c r="Q360" i="2"/>
  <c r="R330" i="2"/>
  <c r="Q348" i="2"/>
  <c r="R320" i="2"/>
  <c r="Q350" i="2"/>
  <c r="R316" i="2"/>
  <c r="Q346" i="2"/>
  <c r="Q353" i="2"/>
  <c r="K347" i="2"/>
  <c r="Q358" i="2"/>
  <c r="Q351" i="2"/>
  <c r="Q357" i="2"/>
  <c r="R40" i="2"/>
  <c r="R324" i="2"/>
  <c r="L299" i="2"/>
  <c r="K335" i="2"/>
  <c r="K355" i="2"/>
  <c r="R317" i="2"/>
  <c r="R319" i="2"/>
  <c r="K348" i="2"/>
  <c r="L302" i="2"/>
  <c r="Q364" i="2"/>
  <c r="K352" i="2"/>
  <c r="L342" i="2"/>
  <c r="U251" i="2"/>
  <c r="Q363" i="2"/>
  <c r="K341" i="2"/>
  <c r="L328" i="2"/>
  <c r="L354" i="2"/>
  <c r="M285" i="2"/>
  <c r="L347" i="2"/>
  <c r="L348" i="2"/>
  <c r="L352" i="2"/>
  <c r="L340" i="2"/>
  <c r="L350" i="2"/>
  <c r="L353" i="2"/>
  <c r="L346" i="2"/>
  <c r="M278" i="2"/>
  <c r="L330" i="2"/>
  <c r="L335" i="2"/>
  <c r="O348" i="2"/>
  <c r="L325" i="2"/>
  <c r="M279" i="2"/>
  <c r="M256" i="2"/>
  <c r="L345" i="2"/>
  <c r="L351" i="2"/>
  <c r="L334" i="2"/>
  <c r="L329" i="2"/>
  <c r="O353" i="2"/>
  <c r="L341" i="2"/>
  <c r="L336" i="2"/>
  <c r="L355" i="2"/>
  <c r="L309" i="2"/>
  <c r="O360" i="2"/>
  <c r="L359" i="2"/>
  <c r="L41" i="2"/>
  <c r="L326" i="2"/>
  <c r="Q274" i="2"/>
  <c r="O356" i="2"/>
  <c r="O361" i="2"/>
  <c r="O359" i="2"/>
  <c r="Q284" i="2"/>
  <c r="O354" i="2"/>
  <c r="Q276" i="2"/>
  <c r="O357" i="2"/>
  <c r="L317" i="2"/>
  <c r="L320" i="2"/>
  <c r="Q278" i="2"/>
  <c r="O347" i="2"/>
  <c r="Q287" i="2"/>
  <c r="L310" i="2"/>
  <c r="L296" i="2"/>
  <c r="O358" i="2"/>
  <c r="L312" i="2"/>
  <c r="L318" i="2"/>
  <c r="Q275" i="2"/>
  <c r="O364" i="2"/>
  <c r="L327" i="2"/>
  <c r="L300" i="2"/>
  <c r="Q285" i="2"/>
  <c r="O351" i="2"/>
  <c r="L331" i="2"/>
  <c r="L311" i="2"/>
  <c r="L234" i="2"/>
  <c r="Q283" i="2"/>
  <c r="O352" i="2"/>
  <c r="O363" i="2"/>
  <c r="O365" i="2"/>
  <c r="L338" i="2"/>
  <c r="Q282" i="2"/>
  <c r="L298" i="2"/>
  <c r="L301" i="2"/>
  <c r="L303" i="2"/>
  <c r="L323" i="2"/>
  <c r="O355" i="2"/>
  <c r="L40" i="2"/>
  <c r="L324" i="2"/>
  <c r="L308" i="2"/>
  <c r="L205" i="2"/>
  <c r="L297" i="2"/>
  <c r="V310" i="2"/>
  <c r="V309" i="2"/>
  <c r="U352" i="2"/>
  <c r="L319" i="2"/>
  <c r="L316" i="2"/>
  <c r="L313" i="2"/>
  <c r="L337" i="2"/>
  <c r="U356" i="2"/>
  <c r="L304" i="2"/>
  <c r="L339" i="2"/>
  <c r="V318" i="2"/>
  <c r="U361" i="2"/>
  <c r="U347" i="2"/>
  <c r="U364" i="2"/>
  <c r="V338" i="2"/>
  <c r="U360" i="2"/>
  <c r="U363" i="2"/>
  <c r="U355" i="2"/>
  <c r="U354" i="2"/>
  <c r="V41" i="2"/>
  <c r="V326" i="2"/>
  <c r="U365" i="2"/>
  <c r="V303" i="2"/>
  <c r="V311" i="2"/>
  <c r="V234" i="2"/>
  <c r="V300" i="2"/>
  <c r="U359" i="2"/>
  <c r="V304" i="2"/>
  <c r="U358" i="2"/>
  <c r="U353" i="2"/>
  <c r="T360" i="2"/>
  <c r="V316" i="2"/>
  <c r="T354" i="2"/>
  <c r="T341" i="2"/>
  <c r="T353" i="2"/>
  <c r="T338" i="2"/>
  <c r="T356" i="2"/>
  <c r="T352" i="2"/>
  <c r="T342" i="2"/>
  <c r="T350" i="2"/>
  <c r="T337" i="2"/>
  <c r="T329" i="2"/>
  <c r="U238" i="2"/>
  <c r="T347" i="2"/>
  <c r="U255" i="2"/>
  <c r="T340" i="2"/>
  <c r="T359" i="2"/>
  <c r="T346" i="2"/>
  <c r="T348" i="2"/>
  <c r="T358" i="2"/>
  <c r="T339" i="2"/>
  <c r="T334" i="2"/>
  <c r="T355" i="2"/>
  <c r="U247" i="2"/>
  <c r="T331" i="2"/>
  <c r="L295" i="2"/>
  <c r="K354" i="2"/>
  <c r="U252" i="2"/>
  <c r="U259" i="2"/>
  <c r="K357" i="2"/>
  <c r="N304" i="2"/>
  <c r="N319" i="2"/>
  <c r="K361" i="2"/>
  <c r="K364" i="2"/>
  <c r="M361" i="2"/>
  <c r="M354" i="2"/>
  <c r="K360" i="2"/>
  <c r="L291" i="2"/>
  <c r="L293" i="2"/>
  <c r="M352" i="2"/>
  <c r="M365" i="2"/>
  <c r="L292" i="2"/>
  <c r="N290" i="2"/>
  <c r="M359" i="2"/>
  <c r="K353" i="2"/>
  <c r="K365" i="2"/>
  <c r="K350" i="2"/>
  <c r="L315" i="2"/>
  <c r="K342" i="2"/>
  <c r="K358" i="2"/>
  <c r="M357" i="2"/>
  <c r="N289" i="2"/>
  <c r="L294" i="2"/>
  <c r="N312" i="2"/>
  <c r="K356" i="2"/>
  <c r="N300" i="2"/>
  <c r="N40" i="2"/>
  <c r="N324" i="2"/>
  <c r="U236" i="2"/>
  <c r="M353" i="2"/>
  <c r="M363" i="2"/>
  <c r="U260" i="2"/>
  <c r="U286" i="2"/>
  <c r="N295" i="2"/>
  <c r="U244" i="2"/>
  <c r="U239" i="2"/>
  <c r="U254" i="2"/>
  <c r="U250" i="2"/>
  <c r="M358" i="2"/>
  <c r="N293" i="2"/>
  <c r="T365" i="2"/>
  <c r="U249" i="2"/>
  <c r="N294" i="2"/>
  <c r="M360" i="2"/>
  <c r="U261" i="2"/>
  <c r="U245" i="2"/>
  <c r="M364" i="2"/>
  <c r="M355" i="2"/>
  <c r="U237" i="2"/>
  <c r="M350" i="2"/>
  <c r="U246" i="2"/>
  <c r="U231" i="2"/>
  <c r="U235" i="2"/>
  <c r="T363" i="2"/>
  <c r="U243" i="2"/>
  <c r="N292" i="2"/>
  <c r="T357" i="2"/>
  <c r="U248" i="2"/>
  <c r="U253" i="2"/>
  <c r="T361" i="2"/>
  <c r="N291" i="2"/>
  <c r="R361" i="2"/>
  <c r="R356" i="2"/>
  <c r="T317" i="2"/>
  <c r="R354" i="2"/>
  <c r="R364" i="2"/>
  <c r="T40" i="2"/>
  <c r="T324" i="2"/>
  <c r="S365" i="2"/>
  <c r="T327" i="2"/>
  <c r="T319" i="2"/>
  <c r="T323" i="2"/>
  <c r="R352" i="2"/>
  <c r="T328" i="2"/>
  <c r="R365" i="2"/>
  <c r="R360" i="2"/>
  <c r="R355" i="2"/>
  <c r="T41" i="2"/>
  <c r="T326" i="2"/>
  <c r="R358" i="2"/>
  <c r="R357" i="2"/>
  <c r="T335" i="2"/>
  <c r="T325" i="2"/>
  <c r="R363" i="2"/>
  <c r="T316" i="2"/>
  <c r="R359" i="2"/>
  <c r="T336" i="2"/>
  <c r="T318" i="2"/>
  <c r="H251" i="2"/>
  <c r="H235" i="2"/>
  <c r="H231" i="2"/>
  <c r="H236" i="2"/>
  <c r="H228" i="2"/>
  <c r="H220" i="2"/>
  <c r="H249" i="2"/>
  <c r="H248" i="2"/>
  <c r="H261" i="2"/>
  <c r="H230" i="2"/>
  <c r="H264" i="2"/>
  <c r="H253" i="2"/>
  <c r="H244" i="2"/>
  <c r="H277" i="2"/>
  <c r="H265" i="2"/>
  <c r="H247" i="2"/>
  <c r="H239" i="2"/>
  <c r="H272" i="2"/>
  <c r="H237" i="2"/>
  <c r="H250" i="2"/>
  <c r="H229" i="2"/>
  <c r="H254" i="2"/>
  <c r="H238" i="2"/>
  <c r="H246" i="2"/>
  <c r="H290" i="2"/>
  <c r="U348" i="2"/>
  <c r="K338" i="2"/>
  <c r="V302" i="2"/>
  <c r="H364" i="2"/>
  <c r="K337" i="2"/>
  <c r="K363" i="2"/>
  <c r="H357" i="2"/>
  <c r="H365" i="2"/>
  <c r="H354" i="2"/>
  <c r="H359" i="2"/>
  <c r="H355" i="2"/>
  <c r="H345" i="2"/>
  <c r="H363" i="2"/>
  <c r="K336" i="2"/>
  <c r="K345" i="2"/>
  <c r="K334" i="2"/>
  <c r="H353" i="2"/>
  <c r="K346" i="2"/>
  <c r="H346" i="2"/>
  <c r="K339" i="2"/>
  <c r="H352" i="2"/>
  <c r="K351" i="2"/>
  <c r="H360" i="2"/>
  <c r="K340" i="2"/>
  <c r="H361" i="2"/>
  <c r="K359" i="2"/>
  <c r="R325" i="2"/>
  <c r="H350" i="2"/>
  <c r="T330" i="2"/>
  <c r="R346" i="2"/>
  <c r="R353" i="2"/>
  <c r="R337" i="2"/>
  <c r="R340" i="2"/>
  <c r="R341" i="2"/>
  <c r="R329" i="2"/>
  <c r="R338" i="2"/>
  <c r="R342" i="2"/>
  <c r="T320" i="2"/>
  <c r="R336" i="2"/>
  <c r="R351" i="2"/>
  <c r="R327" i="2"/>
  <c r="R339" i="2"/>
  <c r="R331" i="2"/>
  <c r="R41" i="2"/>
  <c r="R326" i="2"/>
  <c r="R345" i="2"/>
  <c r="R350" i="2"/>
  <c r="R318" i="2"/>
  <c r="R323" i="2"/>
  <c r="T345" i="2"/>
  <c r="R348" i="2"/>
  <c r="R347" i="2"/>
  <c r="R334" i="2"/>
</calcChain>
</file>

<file path=xl/sharedStrings.xml><?xml version="1.0" encoding="utf-8"?>
<sst xmlns="http://schemas.openxmlformats.org/spreadsheetml/2006/main" count="2705" uniqueCount="667">
  <si>
    <t>AMZN US Equity- Company Financial (Multiple Periods)</t>
  </si>
  <si>
    <t>AMZN US Equity    Periodicity:Q    Currency:USD    Estimate Source:BST    Actual Source:Bloomberg</t>
  </si>
  <si>
    <t>In Millions of USD</t>
  </si>
  <si>
    <t>3 Months Ending</t>
  </si>
  <si>
    <t>Field Expression</t>
  </si>
  <si>
    <t>Calcrt Field</t>
  </si>
  <si>
    <t>Segment Id</t>
  </si>
  <si>
    <t xml:space="preserve">  Highlights</t>
  </si>
  <si>
    <t xml:space="preserve">  Diluted EPS</t>
  </si>
  <si>
    <t>IS_COMP_EPS_GAAP</t>
  </si>
  <si>
    <t>IS901</t>
  </si>
  <si>
    <t xml:space="preserve">  Revenue</t>
  </si>
  <si>
    <t>IS_COMP_SALES</t>
  </si>
  <si>
    <t>IS902</t>
  </si>
  <si>
    <t xml:space="preserve">  </t>
  </si>
  <si>
    <t xml:space="preserve">  Seller Unit Mix</t>
  </si>
  <si>
    <t xml:space="preserve">    Third-Party Products</t>
  </si>
  <si>
    <t>SLLR_UNIT_MIX_AS_OF_PCT_OF_PD_U</t>
  </si>
  <si>
    <t>M5490</t>
  </si>
  <si>
    <t xml:space="preserve">  Segment Revenue</t>
  </si>
  <si>
    <t xml:space="preserve">    Online Stores</t>
  </si>
  <si>
    <t>SALES_REV_TURN</t>
  </si>
  <si>
    <t>IS010</t>
  </si>
  <si>
    <t>SEG0000227382 Segment</t>
  </si>
  <si>
    <t xml:space="preserve">    Physical Stores</t>
  </si>
  <si>
    <t>SEG0000227467 Segment</t>
  </si>
  <si>
    <t xml:space="preserve">      Sales Growth at Constant Currency (%)</t>
  </si>
  <si>
    <t>REVENUE_GROWTH_CC_1_YR</t>
  </si>
  <si>
    <t>M0025</t>
  </si>
  <si>
    <t xml:space="preserve">    Retail Third-Party Seller Services</t>
  </si>
  <si>
    <t>SEG0000227433 Segment</t>
  </si>
  <si>
    <t xml:space="preserve">    Advertising Services</t>
  </si>
  <si>
    <t>SEG0000612092 Segment</t>
  </si>
  <si>
    <t xml:space="preserve">    Retail Subscription Services</t>
  </si>
  <si>
    <t>SEG0000227476 Segment</t>
  </si>
  <si>
    <t xml:space="preserve">    Amazon Web Services (AWS)</t>
  </si>
  <si>
    <t>SEG0000227465 Segment</t>
  </si>
  <si>
    <t xml:space="preserve">    Other</t>
  </si>
  <si>
    <t>SEG0000612093 Segment</t>
  </si>
  <si>
    <t xml:space="preserve">  Regional Breakdown</t>
  </si>
  <si>
    <t xml:space="preserve">    North America</t>
  </si>
  <si>
    <t xml:space="preserve">      Revenue</t>
  </si>
  <si>
    <t>SEG0000227430 Segment</t>
  </si>
  <si>
    <t xml:space="preserve">      Operating Margin (%)</t>
  </si>
  <si>
    <t>CB_IS_OPERATING_MARGIN</t>
  </si>
  <si>
    <t>IC231</t>
  </si>
  <si>
    <t xml:space="preserve">    International</t>
  </si>
  <si>
    <t>SEG0000227462 Segment</t>
  </si>
  <si>
    <t xml:space="preserve">  Fulfillment Expenses</t>
  </si>
  <si>
    <t>CB_IS_OTHER_OPEX</t>
  </si>
  <si>
    <t>IC410</t>
  </si>
  <si>
    <t xml:space="preserve">  Operating Income</t>
  </si>
  <si>
    <t>IS_COMPARABLE_EBIT</t>
  </si>
  <si>
    <t>IM132</t>
  </si>
  <si>
    <t xml:space="preserve">    Operating Margin (%)</t>
  </si>
  <si>
    <t>OPER_MARGIN</t>
  </si>
  <si>
    <t>RR026</t>
  </si>
  <si>
    <t xml:space="preserve">  Capital Expenditures</t>
  </si>
  <si>
    <t>HEADLINE_CAPEX</t>
  </si>
  <si>
    <t>F1705</t>
  </si>
  <si>
    <t xml:space="preserve">    Cash Capex</t>
  </si>
  <si>
    <t>CF_CHG_IN_FIXED_AND_INTANG_ASSETS</t>
  </si>
  <si>
    <t>CF293</t>
  </si>
  <si>
    <t xml:space="preserve">  Company Operating Metrics</t>
  </si>
  <si>
    <t xml:space="preserve">  Company-Level Industry Statistics</t>
  </si>
  <si>
    <t xml:space="preserve">  Total Prime Membership</t>
  </si>
  <si>
    <t>NUM_OF_SUBSCRIBERS_END_OF_PERIOD</t>
  </si>
  <si>
    <t>M6042</t>
  </si>
  <si>
    <t xml:space="preserve">    Net Adds</t>
  </si>
  <si>
    <t>NET_SUBSCRIBER_ADDITIONS</t>
  </si>
  <si>
    <t>M6039</t>
  </si>
  <si>
    <t xml:space="preserve">  Constant Currency Sales Growth</t>
  </si>
  <si>
    <t xml:space="preserve">  Shipping Cost</t>
  </si>
  <si>
    <t>TOTAL_SHIPPING_COST</t>
  </si>
  <si>
    <t>M5489</t>
  </si>
  <si>
    <t xml:space="preserve">  Paid Units</t>
  </si>
  <si>
    <t>NUM_UNIT_SOLD</t>
  </si>
  <si>
    <t>IM897</t>
  </si>
  <si>
    <t xml:space="preserve">    YoY Growth (%)</t>
  </si>
  <si>
    <t>UNIT_PER_TRANSACTIONS_GROWTH</t>
  </si>
  <si>
    <t>M6032</t>
  </si>
  <si>
    <t xml:space="preserve">    1P</t>
  </si>
  <si>
    <t xml:space="preserve">    3P</t>
  </si>
  <si>
    <t xml:space="preserve">      FBA</t>
  </si>
  <si>
    <t>SEG0000227453 Segment</t>
  </si>
  <si>
    <t xml:space="preserve">  Gross Merchandise Value (GMV) (Not Disclosed by the Company)</t>
  </si>
  <si>
    <t>INTERNET_GMV</t>
  </si>
  <si>
    <t>FS859</t>
  </si>
  <si>
    <t xml:space="preserve">    1P GMV</t>
  </si>
  <si>
    <t xml:space="preserve">    3P GMV</t>
  </si>
  <si>
    <t xml:space="preserve">  Take Rate (3P) (Not Disclosed by the Company)</t>
  </si>
  <si>
    <t>NET_TAKE_RATE</t>
  </si>
  <si>
    <t>M0906</t>
  </si>
  <si>
    <t xml:space="preserve">  GMV by Region</t>
  </si>
  <si>
    <t xml:space="preserve">  Remaining Performance Obligations</t>
  </si>
  <si>
    <t>BS_REMAINING_PERFORMANCE_OBLIG</t>
  </si>
  <si>
    <t>BL016</t>
  </si>
  <si>
    <t xml:space="preserve">  Number of Employees</t>
  </si>
  <si>
    <t>BS_NUMBER_EMPLOYEES</t>
  </si>
  <si>
    <t>BM383</t>
  </si>
  <si>
    <t xml:space="preserve">  Restricted Stock Units Granted</t>
  </si>
  <si>
    <t>BS_NUM_RSU_GRANTED</t>
  </si>
  <si>
    <t>BL749</t>
  </si>
  <si>
    <t xml:space="preserve">  Balance Sheet &amp; Cash Flow Metrics</t>
  </si>
  <si>
    <t xml:space="preserve">  Inventory Turnover</t>
  </si>
  <si>
    <t>INVENT_TURN</t>
  </si>
  <si>
    <t>RR056</t>
  </si>
  <si>
    <t xml:space="preserve">  Avg. Days Payable Outstanding</t>
  </si>
  <si>
    <t>ACCOUNTS_PAYABLE_TURNOVER_DAYS</t>
  </si>
  <si>
    <t>RR774</t>
  </si>
  <si>
    <t xml:space="preserve">  Current Ratio</t>
  </si>
  <si>
    <t>CUR_RATIO</t>
  </si>
  <si>
    <t>RR053</t>
  </si>
  <si>
    <t xml:space="preserve">  Current Liabilities To Total Liabilities &amp; Equity</t>
  </si>
  <si>
    <t>CUR_LIAB_TO_TOT_LIAB_AND_EQY</t>
  </si>
  <si>
    <t>RR339</t>
  </si>
  <si>
    <t xml:space="preserve">  Business Breakdown</t>
  </si>
  <si>
    <t xml:space="preserve">  Global Retail</t>
  </si>
  <si>
    <t xml:space="preserve">    Revenue</t>
  </si>
  <si>
    <t xml:space="preserve">      Online Stores</t>
  </si>
  <si>
    <t xml:space="preserve">        As % of Revenue</t>
  </si>
  <si>
    <t>IS_PERCENTAGE_OF_REVENUE</t>
  </si>
  <si>
    <t>IC214</t>
  </si>
  <si>
    <t xml:space="preserve">        Sales Growth at Constant Currency (%)</t>
  </si>
  <si>
    <t xml:space="preserve">      Physical Stores</t>
  </si>
  <si>
    <t xml:space="preserve">      Retail Third-Party Seller Services</t>
  </si>
  <si>
    <t xml:space="preserve">      Retail Subscription Services</t>
  </si>
  <si>
    <t xml:space="preserve">      Advertising Services</t>
  </si>
  <si>
    <t xml:space="preserve">      Other</t>
  </si>
  <si>
    <t xml:space="preserve">  Amazon Web Services (AWS)</t>
  </si>
  <si>
    <t xml:space="preserve">      As % of Revenue</t>
  </si>
  <si>
    <t xml:space="preserve">    Operating Expenses</t>
  </si>
  <si>
    <t>IS_TOT_OPER_EXP</t>
  </si>
  <si>
    <t>IS105</t>
  </si>
  <si>
    <t xml:space="preserve">    Operating Income</t>
  </si>
  <si>
    <t>IS_OPER_INC</t>
  </si>
  <si>
    <t>IS033</t>
  </si>
  <si>
    <t xml:space="preserve">    Depreciation &amp; Amortization</t>
  </si>
  <si>
    <t>IS_DEPR_EXP</t>
  </si>
  <si>
    <t>IS070</t>
  </si>
  <si>
    <t xml:space="preserve">    Property, Plant &amp; Equipment</t>
  </si>
  <si>
    <t>CB_BS_PP_AND_E_NET</t>
  </si>
  <si>
    <t>BM788</t>
  </si>
  <si>
    <t xml:space="preserve">    Net Additions to Property and Equipment</t>
  </si>
  <si>
    <t>IS_CAPEX_AS_REPORTED</t>
  </si>
  <si>
    <t>IM168</t>
  </si>
  <si>
    <t xml:space="preserve">    Sales Change - Mix (%)</t>
  </si>
  <si>
    <t>IS_SALES_CHANGE_MIX_PERCENTAGE</t>
  </si>
  <si>
    <t>IC058</t>
  </si>
  <si>
    <t xml:space="preserve">  North America</t>
  </si>
  <si>
    <t xml:space="preserve">      United States</t>
  </si>
  <si>
    <t>SEG0000227410 Segment</t>
  </si>
  <si>
    <t xml:space="preserve">  International</t>
  </si>
  <si>
    <t xml:space="preserve">    Depreciation Expenses</t>
  </si>
  <si>
    <t xml:space="preserve">  United States</t>
  </si>
  <si>
    <t>SEG0000227449 Segment</t>
  </si>
  <si>
    <t xml:space="preserve">  Germany</t>
  </si>
  <si>
    <t>SEG0000227509 Segment</t>
  </si>
  <si>
    <t xml:space="preserve">  United Kingdom</t>
  </si>
  <si>
    <t>SEG0000227510 Segment</t>
  </si>
  <si>
    <t xml:space="preserve">  Japan</t>
  </si>
  <si>
    <t>SEG0000227500 Segment</t>
  </si>
  <si>
    <t xml:space="preserve">  Rest of World</t>
  </si>
  <si>
    <t>SEG0000227504 Segment</t>
  </si>
  <si>
    <t xml:space="preserve">  Product Breakdown</t>
  </si>
  <si>
    <t xml:space="preserve">  Products</t>
  </si>
  <si>
    <t>CB_IS_PRODUCT_REVENUE</t>
  </si>
  <si>
    <t>IL276</t>
  </si>
  <si>
    <t xml:space="preserve">      Gross Merchandise Value (GMV) (Not Disclosed by the Company)</t>
  </si>
  <si>
    <t xml:space="preserve">      Take Rate (3P) (Not Disclosed by the Company)</t>
  </si>
  <si>
    <t xml:space="preserve">  Services</t>
  </si>
  <si>
    <t>CB_IS_SERVICE_REVENUE</t>
  </si>
  <si>
    <t>IL277</t>
  </si>
  <si>
    <t xml:space="preserve">  Income Statement</t>
  </si>
  <si>
    <t xml:space="preserve">  Total Revenue</t>
  </si>
  <si>
    <t xml:space="preserve">  Cost of Revenue</t>
  </si>
  <si>
    <t>IS_COGS_TO_FE_AND_PP_AND_G</t>
  </si>
  <si>
    <t>IS021</t>
  </si>
  <si>
    <t xml:space="preserve">    As % of Revenue</t>
  </si>
  <si>
    <t>COGS_TO_NET_SALES</t>
  </si>
  <si>
    <t>RR279</t>
  </si>
  <si>
    <t xml:space="preserve">  Gross Profit</t>
  </si>
  <si>
    <t>GROSS_PROFIT</t>
  </si>
  <si>
    <t>RR861</t>
  </si>
  <si>
    <t xml:space="preserve">    Gross Margin (%)</t>
  </si>
  <si>
    <t>IS_COMP_GROSS_MARGIN_PERCENTAGE</t>
  </si>
  <si>
    <t>IM092</t>
  </si>
  <si>
    <t xml:space="preserve">  Total Costs &amp; Expenses</t>
  </si>
  <si>
    <t>TOTAL_OPEX_AS_A_PERCENTAGE_SALES</t>
  </si>
  <si>
    <t>F0049</t>
  </si>
  <si>
    <t xml:space="preserve">  Operating Expenses</t>
  </si>
  <si>
    <t>IS_OPERATING_EXPN</t>
  </si>
  <si>
    <t>IS032</t>
  </si>
  <si>
    <t>OPERATING_EXPENSES_TO_NET_SALES</t>
  </si>
  <si>
    <t>RR280</t>
  </si>
  <si>
    <t xml:space="preserve">    Technology &amp; Infrastructure (R&amp;D)</t>
  </si>
  <si>
    <t>IS_OPEX_R_AND_D_GAAP</t>
  </si>
  <si>
    <t>IM441</t>
  </si>
  <si>
    <t>RD_EXPEND_TO_NET_SALES</t>
  </si>
  <si>
    <t>RR295</t>
  </si>
  <si>
    <t xml:space="preserve">      Digital Video and Music Content Expense</t>
  </si>
  <si>
    <t>TOTAL_CONTENT_COST</t>
  </si>
  <si>
    <t>IL570</t>
  </si>
  <si>
    <t xml:space="preserve">    Marketing</t>
  </si>
  <si>
    <t>CB_IS_S_AND_M_EXPENSE</t>
  </si>
  <si>
    <t>IM736</t>
  </si>
  <si>
    <t xml:space="preserve">      As % of Sales</t>
  </si>
  <si>
    <t>CB_IS_ADVERTISING_EXPENSE_PCT_REV</t>
  </si>
  <si>
    <t>IM873</t>
  </si>
  <si>
    <t xml:space="preserve">    General &amp; Administrative</t>
  </si>
  <si>
    <t>CB_IS_GENL_AND_ADMIN_EXPN</t>
  </si>
  <si>
    <t>IM737</t>
  </si>
  <si>
    <t>G_AND_A_COST_PCT_REVENUES</t>
  </si>
  <si>
    <t>RR786</t>
  </si>
  <si>
    <t xml:space="preserve">    Advertising &amp; other Promotional Costs</t>
  </si>
  <si>
    <t>IS_ADVERTISING_EXPENSES</t>
  </si>
  <si>
    <t>IM557</t>
  </si>
  <si>
    <t xml:space="preserve">    Depreciation Expense - Headline</t>
  </si>
  <si>
    <t>HEADLINE_DEPR_EXPN</t>
  </si>
  <si>
    <t>F1702</t>
  </si>
  <si>
    <t xml:space="preserve">    Fulfillment Expenses</t>
  </si>
  <si>
    <t xml:space="preserve">    Other Operating Expenses, Net</t>
  </si>
  <si>
    <t>IS_OTHER_OPERATING_INCOME_EXPN</t>
  </si>
  <si>
    <t>IC348</t>
  </si>
  <si>
    <t xml:space="preserve">  EBITDA</t>
  </si>
  <si>
    <t>IS_EBITDA</t>
  </si>
  <si>
    <t>IS938</t>
  </si>
  <si>
    <t xml:space="preserve">  Non-Operating Income (Expense)</t>
  </si>
  <si>
    <t>IS_NON_OPERATING_INC_LOSS_GAAP</t>
  </si>
  <si>
    <t>IM437</t>
  </si>
  <si>
    <t xml:space="preserve">    Interest Expense, Net</t>
  </si>
  <si>
    <t>IS_NET_INTEREST_EXPENSE</t>
  </si>
  <si>
    <t>IS325</t>
  </si>
  <si>
    <t xml:space="preserve">      Interest Income</t>
  </si>
  <si>
    <t>IS_INT_INC</t>
  </si>
  <si>
    <t>IS011</t>
  </si>
  <si>
    <t xml:space="preserve">      Interest Expense</t>
  </si>
  <si>
    <t>IS_INT_EXPENSE</t>
  </si>
  <si>
    <t>IS034</t>
  </si>
  <si>
    <t xml:space="preserve">    Other Income (Expense), Net</t>
  </si>
  <si>
    <t>CB_IS_OTHER_NON_OPER_INC_EXPN</t>
  </si>
  <si>
    <t>IC447</t>
  </si>
  <si>
    <t xml:space="preserve">  Pre-Tax Income</t>
  </si>
  <si>
    <t>IS_COMP_PTP_EX_STK_BASED_COMP</t>
  </si>
  <si>
    <t>IM383</t>
  </si>
  <si>
    <t xml:space="preserve">    Pre-Tax Margin (%)</t>
  </si>
  <si>
    <t>PRETAX_MARGIN</t>
  </si>
  <si>
    <t>RR027</t>
  </si>
  <si>
    <t xml:space="preserve">  Income Tax Expense</t>
  </si>
  <si>
    <t>IS_INC_TAX_EXP</t>
  </si>
  <si>
    <t>IS038</t>
  </si>
  <si>
    <t xml:space="preserve">    Tax Rate (%)</t>
  </si>
  <si>
    <t>EFF_TAX_RATE</t>
  </si>
  <si>
    <t>RR037</t>
  </si>
  <si>
    <t xml:space="preserve">  Equity-Method Investment Activity, Net of Tax</t>
  </si>
  <si>
    <t>IS_SH_PRO_EQY_MT_INV_NET_OF_TAX</t>
  </si>
  <si>
    <t>IM196</t>
  </si>
  <si>
    <t xml:space="preserve">  Net Income</t>
  </si>
  <si>
    <t>IS_COMP_NET_INCOME_GAAP</t>
  </si>
  <si>
    <t>IS904</t>
  </si>
  <si>
    <t xml:space="preserve">    Net Margin (%)</t>
  </si>
  <si>
    <t>PROF_MARGIN</t>
  </si>
  <si>
    <t>RR243</t>
  </si>
  <si>
    <t xml:space="preserve">  Basic Weighted Avg. Shares</t>
  </si>
  <si>
    <t>IS_AVG_NUM_SH_FOR_EPS</t>
  </si>
  <si>
    <t>IS060</t>
  </si>
  <si>
    <t xml:space="preserve">  Basic EPS</t>
  </si>
  <si>
    <t>IS_EPS</t>
  </si>
  <si>
    <t>IS061</t>
  </si>
  <si>
    <t xml:space="preserve">  Diluted Weighted Avg. Shares</t>
  </si>
  <si>
    <t>IS_SH_FOR_DILUTED_EPS</t>
  </si>
  <si>
    <t>IS062</t>
  </si>
  <si>
    <t xml:space="preserve">  Dividend per Share</t>
  </si>
  <si>
    <t>IS_REGULAR_CASH_DIVIDEND_PER_SH</t>
  </si>
  <si>
    <t>IM303</t>
  </si>
  <si>
    <t xml:space="preserve">  Adjusted Results</t>
  </si>
  <si>
    <t xml:space="preserve">    Cost of Revenue</t>
  </si>
  <si>
    <t>IS_ADJUSTED_COGS_AS_REPORTED</t>
  </si>
  <si>
    <t>IM057</t>
  </si>
  <si>
    <t xml:space="preserve">    Gross Profit</t>
  </si>
  <si>
    <t xml:space="preserve">      Gross Margin (%)</t>
  </si>
  <si>
    <t>CB_IS_ADJUSTED_OPEX</t>
  </si>
  <si>
    <t>IM744</t>
  </si>
  <si>
    <t xml:space="preserve">    Technology &amp; Infrastructure</t>
  </si>
  <si>
    <t>IS_ADJ_R_AND_D_AS_REPORTED</t>
  </si>
  <si>
    <t>IS925</t>
  </si>
  <si>
    <t>ADJ_R_AND_D_TO_SALES</t>
  </si>
  <si>
    <t>RX612</t>
  </si>
  <si>
    <t xml:space="preserve">    Marketing Expense</t>
  </si>
  <si>
    <t>IS_ADJ_SELLING_AND_MRKTG_EXPN_AR</t>
  </si>
  <si>
    <t>IM059</t>
  </si>
  <si>
    <t>IS_ADJ_SG_AND_A_AS_REPORTED</t>
  </si>
  <si>
    <t>IS926</t>
  </si>
  <si>
    <t xml:space="preserve">    Fulfillment Expense</t>
  </si>
  <si>
    <t>CB_IS_ADJ_OPER_AND_MAIN_EXPN</t>
  </si>
  <si>
    <t>IM747</t>
  </si>
  <si>
    <t>IS_ADJ_EBIT_OP_INC_AS_REPORTED</t>
  </si>
  <si>
    <t>IS922</t>
  </si>
  <si>
    <t xml:space="preserve">      Operating Margin(%)</t>
  </si>
  <si>
    <t>CB_IS_ADJ_OPERATING_MARGIN</t>
  </si>
  <si>
    <t>IM731</t>
  </si>
  <si>
    <t xml:space="preserve">    EBITDA</t>
  </si>
  <si>
    <t>IS_COMPARABLE_EBITDA</t>
  </si>
  <si>
    <t>IM131</t>
  </si>
  <si>
    <t xml:space="preserve">      EBITDA Margin (%)</t>
  </si>
  <si>
    <t>EBITDA_TO_REVENUE</t>
  </si>
  <si>
    <t>RX225</t>
  </si>
  <si>
    <t xml:space="preserve">    Net Income</t>
  </si>
  <si>
    <t>IS_COMP_NET_INC_EXCL_STOCK_COMP</t>
  </si>
  <si>
    <t>IS908</t>
  </si>
  <si>
    <t xml:space="preserve">    Diluted EPS</t>
  </si>
  <si>
    <t>IS_COMP_EPS_EXCL_STOCK_COMP</t>
  </si>
  <si>
    <t>IS907</t>
  </si>
  <si>
    <t xml:space="preserve">  Special Company Adjustments</t>
  </si>
  <si>
    <t xml:space="preserve">    Stock-Based Compensation</t>
  </si>
  <si>
    <t>CF_STOCK_BASED_COMPENSATION</t>
  </si>
  <si>
    <t>CF283</t>
  </si>
  <si>
    <t xml:space="preserve">      Cost of Revenue</t>
  </si>
  <si>
    <t>IS_SBC_ATTRIB_TO_COGS_PRETX</t>
  </si>
  <si>
    <t>IM496</t>
  </si>
  <si>
    <t xml:space="preserve">      Marketing</t>
  </si>
  <si>
    <t>IS_SBC_ATT_TO_S_AND_M_PRETX</t>
  </si>
  <si>
    <t>IM498</t>
  </si>
  <si>
    <t xml:space="preserve">      Technology &amp; Content</t>
  </si>
  <si>
    <t>IS_SBC_ATTRIBUTABLE_TO_R_AND_D_PRETX</t>
  </si>
  <si>
    <t>IM494</t>
  </si>
  <si>
    <t xml:space="preserve">      General &amp; Administrative</t>
  </si>
  <si>
    <t>IS_SBC_ATT_TO_GENL_AND_ADMIN_PRETX</t>
  </si>
  <si>
    <t>IM497</t>
  </si>
  <si>
    <t xml:space="preserve">      Fulfillment</t>
  </si>
  <si>
    <t>IS_SBC_ATTRIBUTABLE_TO_OTH_PRETX</t>
  </si>
  <si>
    <t>IM499</t>
  </si>
  <si>
    <t xml:space="preserve">  Condensed Balance Sheet</t>
  </si>
  <si>
    <t xml:space="preserve">  Assets</t>
  </si>
  <si>
    <t xml:space="preserve">    Current Assets</t>
  </si>
  <si>
    <t>BS_CUR_ASSET_REPORT</t>
  </si>
  <si>
    <t>BS015</t>
  </si>
  <si>
    <t xml:space="preserve">      Cash &amp; Marketable Securities</t>
  </si>
  <si>
    <t>BS_CASH_CASH_EQUIVALENTS_AND_STI</t>
  </si>
  <si>
    <t>BM289</t>
  </si>
  <si>
    <t xml:space="preserve">        Cash &amp; Cash Equivalents</t>
  </si>
  <si>
    <t>BS_CASH_NEAR_CASH_ITEM</t>
  </si>
  <si>
    <t>BS010</t>
  </si>
  <si>
    <t xml:space="preserve">        Marketable Securities</t>
  </si>
  <si>
    <t>BS_MKT_SEC_OTHER_ST_INVEST</t>
  </si>
  <si>
    <t>BS011</t>
  </si>
  <si>
    <t xml:space="preserve">      Inventories</t>
  </si>
  <si>
    <t>BS_INVENTORIES</t>
  </si>
  <si>
    <t>BS013</t>
  </si>
  <si>
    <t xml:space="preserve">      Accounts Receivable, Net &amp; Other</t>
  </si>
  <si>
    <t>BS_ACCTS_REC_EXCL_NOTES_REC</t>
  </si>
  <si>
    <t>BS496</t>
  </si>
  <si>
    <t xml:space="preserve">        As % of Total Revenue</t>
  </si>
  <si>
    <t>INVENT_TO_SALES</t>
  </si>
  <si>
    <t>RR731</t>
  </si>
  <si>
    <t xml:space="preserve">    Non-Current Assets</t>
  </si>
  <si>
    <t>BS_TOT_NON_CUR_ASSET</t>
  </si>
  <si>
    <t>RR015</t>
  </si>
  <si>
    <t xml:space="preserve">      Fixed Assets, Net</t>
  </si>
  <si>
    <t>BS_NET_FIX_ASSET</t>
  </si>
  <si>
    <t>BS032</t>
  </si>
  <si>
    <t xml:space="preserve">        Property &amp; Equipment, Net</t>
  </si>
  <si>
    <t xml:space="preserve">        Operating Leases</t>
  </si>
  <si>
    <t>BS_OPER_LEA_RT_OF_USE_ASSETS</t>
  </si>
  <si>
    <t>BM659</t>
  </si>
  <si>
    <t xml:space="preserve">      Goodwill</t>
  </si>
  <si>
    <t>BS_GOODWILL</t>
  </si>
  <si>
    <t>BS161</t>
  </si>
  <si>
    <t xml:space="preserve">      Other Non-Current Assets</t>
  </si>
  <si>
    <t>CB_BS_OTHER_NONCURRENT_ASSETS</t>
  </si>
  <si>
    <t>BM784</t>
  </si>
  <si>
    <t xml:space="preserve">    Total Assets</t>
  </si>
  <si>
    <t>BS_TOT_ASSET</t>
  </si>
  <si>
    <t>BS035</t>
  </si>
  <si>
    <t xml:space="preserve">  Liabilities &amp; Equity</t>
  </si>
  <si>
    <t xml:space="preserve">    Current Liabilities</t>
  </si>
  <si>
    <t>BS_CUR_LIAB</t>
  </si>
  <si>
    <t>BS050</t>
  </si>
  <si>
    <t xml:space="preserve">      Accounts Payable</t>
  </si>
  <si>
    <t>BS_ACCT_PAYABLE</t>
  </si>
  <si>
    <t>BS036</t>
  </si>
  <si>
    <t xml:space="preserve">      Accrued Expenses &amp; Other</t>
  </si>
  <si>
    <t>BS_ACCRUD_EXPNSS_AND_OTHR</t>
  </si>
  <si>
    <t>BL255</t>
  </si>
  <si>
    <t xml:space="preserve">      Unearned Revenue</t>
  </si>
  <si>
    <t>ST_DEFERRED_REVENUE</t>
  </si>
  <si>
    <t>BS515</t>
  </si>
  <si>
    <t xml:space="preserve">      Current Portion of Long Term Debt Company Basis</t>
  </si>
  <si>
    <t>CB_BS_CURRENT_PORTION_OF_LT_DEBT</t>
  </si>
  <si>
    <t>BL299</t>
  </si>
  <si>
    <t xml:space="preserve">      Total Lease Cost</t>
  </si>
  <si>
    <t>BS_ST_PORTION_OF_LT_DEBT</t>
  </si>
  <si>
    <t>BS071</t>
  </si>
  <si>
    <t xml:space="preserve">    Non-Current Liabilities</t>
  </si>
  <si>
    <t>BS_ADJ_TOTAL_LT_LIABILITIES</t>
  </si>
  <si>
    <t>BS814</t>
  </si>
  <si>
    <t xml:space="preserve">      Long-Term Debt</t>
  </si>
  <si>
    <t>BS_LONG_TERM_BORROWINGS</t>
  </si>
  <si>
    <t>BM286</t>
  </si>
  <si>
    <t xml:space="preserve">      Long-Term Borrowings</t>
  </si>
  <si>
    <t>BS_LT_BORROW</t>
  </si>
  <si>
    <t>BS051</t>
  </si>
  <si>
    <t xml:space="preserve">      Long-Term Lease Liabilities</t>
  </si>
  <si>
    <t>BS_LT_CPTL_LEA_AND_OP_LEA_LIABS</t>
  </si>
  <si>
    <t>BL137</t>
  </si>
  <si>
    <t xml:space="preserve">        Long-Term Capital Lease Obligations</t>
  </si>
  <si>
    <t>LT_CAPITAL_LEASE_OBLIGATIONS</t>
  </si>
  <si>
    <t>BS159</t>
  </si>
  <si>
    <t xml:space="preserve">        Long-Term Operating Lease Liabilities</t>
  </si>
  <si>
    <t>BS_LT_OPERATING_LEASE_LIABS</t>
  </si>
  <si>
    <t>BM661</t>
  </si>
  <si>
    <t xml:space="preserve">      Other Non-Current Liabilities</t>
  </si>
  <si>
    <t>CB_BS_OTHER_NONCURRENT_LIABS</t>
  </si>
  <si>
    <t>BM785</t>
  </si>
  <si>
    <t xml:space="preserve">    Total Liabilities</t>
  </si>
  <si>
    <t>BS_TOTAL_LIABILITIES</t>
  </si>
  <si>
    <t>BS729</t>
  </si>
  <si>
    <t xml:space="preserve">    Total Shareholder Equity</t>
  </si>
  <si>
    <t>HEADLINE_NAV</t>
  </si>
  <si>
    <t>F1706</t>
  </si>
  <si>
    <t xml:space="preserve">      Common Stock</t>
  </si>
  <si>
    <t>BS_COMMON_STOCK</t>
  </si>
  <si>
    <t>BS121</t>
  </si>
  <si>
    <t xml:space="preserve">      Treasury Stock</t>
  </si>
  <si>
    <t>BS_AMT_OF_TSY_STOCK</t>
  </si>
  <si>
    <t>BS092</t>
  </si>
  <si>
    <t xml:space="preserve">      Additional Paid-In Capital</t>
  </si>
  <si>
    <t>BS_ADD_PAID_IN_CAP</t>
  </si>
  <si>
    <t>BS122</t>
  </si>
  <si>
    <t xml:space="preserve">      Accumulated Other Comprehensive Income (Loss)</t>
  </si>
  <si>
    <t>BS_CAPITAL_RESERVE</t>
  </si>
  <si>
    <t>BS143</t>
  </si>
  <si>
    <t xml:space="preserve">      Retained Earnings</t>
  </si>
  <si>
    <t>BS_PURE_RETAINED_EARNINGS</t>
  </si>
  <si>
    <t>BS190</t>
  </si>
  <si>
    <t xml:space="preserve">    Total Liabilities &amp; Shareholders' Equity</t>
  </si>
  <si>
    <t xml:space="preserve">  Special Company Reference Items</t>
  </si>
  <si>
    <t xml:space="preserve">    Total Debt </t>
  </si>
  <si>
    <t>CB_BS_TOTAL_DEBT_FROM_SCHEDULE</t>
  </si>
  <si>
    <t>BL346</t>
  </si>
  <si>
    <t xml:space="preserve">      Unamortized Premium/Discount</t>
  </si>
  <si>
    <t>CB_BS_UNAMORT_PREMIUM_DISCOUNT</t>
  </si>
  <si>
    <t>BL440</t>
  </si>
  <si>
    <t xml:space="preserve">    Quick Ratio</t>
  </si>
  <si>
    <t>QUICK_RATIO</t>
  </si>
  <si>
    <t>RR054</t>
  </si>
  <si>
    <t xml:space="preserve">    Return on Assets (%)</t>
  </si>
  <si>
    <t>HEADLINE_ROA</t>
  </si>
  <si>
    <t>F1703</t>
  </si>
  <si>
    <t xml:space="preserve">    Return On Equity (%)</t>
  </si>
  <si>
    <t>RETURN_COM_EQY</t>
  </si>
  <si>
    <t>RR029</t>
  </si>
  <si>
    <t xml:space="preserve">    Asset Turnover</t>
  </si>
  <si>
    <t>ASSET_TURNOVER</t>
  </si>
  <si>
    <t>RR138</t>
  </si>
  <si>
    <t xml:space="preserve">    Average Total Assets</t>
  </si>
  <si>
    <t>AVERAGE_TOTAL_ASSETS</t>
  </si>
  <si>
    <t>F0790</t>
  </si>
  <si>
    <t xml:space="preserve">    Annualized Days Sales Outstanding</t>
  </si>
  <si>
    <t>ANNUALIZED_DAYS_SALES_OUTSTDG</t>
  </si>
  <si>
    <t>F0837</t>
  </si>
  <si>
    <t xml:space="preserve">    Total Values Shares Authorized Under Repurchase Program</t>
  </si>
  <si>
    <t>BS_AMT_SHRS_AUTH_FOR_REPURCHASE</t>
  </si>
  <si>
    <t>BM004</t>
  </si>
  <si>
    <t xml:space="preserve">    Shares Outstanding</t>
  </si>
  <si>
    <t>BS_SH_OUT</t>
  </si>
  <si>
    <t>BS081</t>
  </si>
  <si>
    <t xml:space="preserve">    Book Value per Share</t>
  </si>
  <si>
    <t>BV_PER_WEIGHTED_DILUTED_SHARE</t>
  </si>
  <si>
    <t>F0061</t>
  </si>
  <si>
    <t xml:space="preserve">    Property, Plant &amp; Equipment, Gross</t>
  </si>
  <si>
    <t>CB_BS_GROSS_FIXED_ASSETS</t>
  </si>
  <si>
    <t>BL303</t>
  </si>
  <si>
    <t xml:space="preserve">        Land &amp; Buildings </t>
  </si>
  <si>
    <t>CB_BS_LAND_AND_BLDGS_GROSS</t>
  </si>
  <si>
    <t>BL543</t>
  </si>
  <si>
    <t xml:space="preserve">        Equipment</t>
  </si>
  <si>
    <t>BS_MACHINERY_EQUIPMENT_FURN_GR</t>
  </si>
  <si>
    <t>BM956</t>
  </si>
  <si>
    <t xml:space="preserve">        Other Assets</t>
  </si>
  <si>
    <t>BS_OTHER_PPE_GROSS</t>
  </si>
  <si>
    <t>BM957</t>
  </si>
  <si>
    <t xml:space="preserve">        Construction in Progress</t>
  </si>
  <si>
    <t>BS_PLANT_CONST_IN_PROG</t>
  </si>
  <si>
    <t>BS106</t>
  </si>
  <si>
    <t xml:space="preserve">    Total Accumulated Depreciation &amp; Amortization </t>
  </si>
  <si>
    <t>BS_ACCUM_DEPR</t>
  </si>
  <si>
    <t>BS031</t>
  </si>
  <si>
    <t xml:space="preserve">    Total Lease Cost</t>
  </si>
  <si>
    <t>IS_TOT_FIN_LEA_AND_OPER_LEA_CST</t>
  </si>
  <si>
    <t>IC956</t>
  </si>
  <si>
    <t xml:space="preserve">      Operating Lease Cost</t>
  </si>
  <si>
    <t>IS_CAPITALIZED_OPERATING_LEA_CST</t>
  </si>
  <si>
    <t>IC953</t>
  </si>
  <si>
    <t xml:space="preserve">      Amortization of Lease Assets</t>
  </si>
  <si>
    <t>IS_AMO_RT_OF_USE_AST_FIN_LS</t>
  </si>
  <si>
    <t>IC067</t>
  </si>
  <si>
    <t xml:space="preserve">      Interest on Lease Liabilities</t>
  </si>
  <si>
    <t>IS_INTEREST_ON_FIN_LEASE_LIABS</t>
  </si>
  <si>
    <t>IC068</t>
  </si>
  <si>
    <t xml:space="preserve">        Finance Lease Cost </t>
  </si>
  <si>
    <t>IS_TOTAL_FINANCE_LEASE_COST</t>
  </si>
  <si>
    <t>IC069</t>
  </si>
  <si>
    <t xml:space="preserve">      Variable Lease Cost</t>
  </si>
  <si>
    <t>IS_VARIABLE_LEASE_COST</t>
  </si>
  <si>
    <t>IC951</t>
  </si>
  <si>
    <t xml:space="preserve">  Condensed Cash Flow Statement</t>
  </si>
  <si>
    <t xml:space="preserve">  Cash From Operating Activities</t>
  </si>
  <si>
    <t>CF_DEPR_AMORT</t>
  </si>
  <si>
    <t>CF011</t>
  </si>
  <si>
    <t xml:space="preserve">      As % of Total Revenue</t>
  </si>
  <si>
    <t>D_AND_A_TO_SALES</t>
  </si>
  <si>
    <t>RX877</t>
  </si>
  <si>
    <t xml:space="preserve">    Deferred Income Taxes</t>
  </si>
  <si>
    <t>CF_DEF_INC_TAX</t>
  </si>
  <si>
    <t>CF103</t>
  </si>
  <si>
    <t xml:space="preserve">    Other Non-Cash Items</t>
  </si>
  <si>
    <t>CB_CF_OTHR_NONCSH_ITEMS</t>
  </si>
  <si>
    <t>CF442</t>
  </si>
  <si>
    <t xml:space="preserve">    Changes in Working Capital</t>
  </si>
  <si>
    <t>CF_ACCT_RCV_UNBILLED_REV</t>
  </si>
  <si>
    <t>CF107</t>
  </si>
  <si>
    <t>CF_CHANGE_IN_INVENTORIES</t>
  </si>
  <si>
    <t>CF109</t>
  </si>
  <si>
    <t>CF_CHANGE_IN_ACCOUNTS_PAYABLE</t>
  </si>
  <si>
    <t>CF278</t>
  </si>
  <si>
    <t>CF_CHANGE_IN_ACCRUD_EXPNSS</t>
  </si>
  <si>
    <t>CF435</t>
  </si>
  <si>
    <t xml:space="preserve">      Additions to Unearned Revenue</t>
  </si>
  <si>
    <t>CF_CHG_IN_DEFER_UNEARND_REV_ST</t>
  </si>
  <si>
    <t>CF434</t>
  </si>
  <si>
    <t xml:space="preserve">  Cash Flow from Operations</t>
  </si>
  <si>
    <t>CB_CF_NET_CASH_OPERATING_ACT</t>
  </si>
  <si>
    <t>CF376</t>
  </si>
  <si>
    <t xml:space="preserve">  Cash From Investing Activities</t>
  </si>
  <si>
    <t xml:space="preserve">    Disposal of Fixed and Intangibles</t>
  </si>
  <si>
    <t>CF_DISPOSAL_OF_FXD_AND_INTANGIBLES</t>
  </si>
  <si>
    <t>CF294</t>
  </si>
  <si>
    <t xml:space="preserve">    Capital Expenditures</t>
  </si>
  <si>
    <t xml:space="preserve">      As a % of Revenue</t>
  </si>
  <si>
    <t>CAP_EXPEND_TO_SALES</t>
  </si>
  <si>
    <t>RR166</t>
  </si>
  <si>
    <t xml:space="preserve">      Purchases of Property &amp; Equipment, Net</t>
  </si>
  <si>
    <t xml:space="preserve">    Acquisitions, Net of Cash Acquired, &amp; Other</t>
  </si>
  <si>
    <t>CF_CASH_FOR_ACQUIS_SUBSIDIARIES</t>
  </si>
  <si>
    <t>CF316</t>
  </si>
  <si>
    <t xml:space="preserve">    Other Investing Activities</t>
  </si>
  <si>
    <t>OTHER_INVESTING_ACT_DETAILED</t>
  </si>
  <si>
    <t>F1219</t>
  </si>
  <si>
    <t xml:space="preserve">      Purchases of Marketable Securities &amp; Other</t>
  </si>
  <si>
    <t>CF_PURCHSS_OF_INVSTMNTS</t>
  </si>
  <si>
    <t>CF449</t>
  </si>
  <si>
    <t xml:space="preserve">      Sales &amp; Maturities of Marketable Securities &amp; Other</t>
  </si>
  <si>
    <t>CF_PROCDS_FROM_INVSTMNTS</t>
  </si>
  <si>
    <t>CF450</t>
  </si>
  <si>
    <t xml:space="preserve">  Cash Flow from Investing</t>
  </si>
  <si>
    <t>CB_CF_NET_CASH_INVESTING_ACT</t>
  </si>
  <si>
    <t>CF377</t>
  </si>
  <si>
    <t xml:space="preserve">  Cash from Financing Activities</t>
  </si>
  <si>
    <t xml:space="preserve">    Repayments of Long-Term Debt &amp; Short-Term Debt</t>
  </si>
  <si>
    <t>CB_CF_DECRSE_IN_ST_AND_LT_BORROWINGS</t>
  </si>
  <si>
    <t>CF519</t>
  </si>
  <si>
    <t xml:space="preserve">    Proceeds from Short-Term Debt, &amp; Other</t>
  </si>
  <si>
    <t>CB_CF_INCREASE_IN_ST_BORROWINGS</t>
  </si>
  <si>
    <t>CF515</t>
  </si>
  <si>
    <t xml:space="preserve">    Repayments of Short-Term Debt, &amp; Other</t>
  </si>
  <si>
    <t>CB_CF_DECREASE_IN_ST_BORROWINGS</t>
  </si>
  <si>
    <t>CF516</t>
  </si>
  <si>
    <t xml:space="preserve">    Proceeds from Long-Term Debt &amp; Other</t>
  </si>
  <si>
    <t>CF_PROC_LT_DEBT_AND_CAPITAL_LEASE</t>
  </si>
  <si>
    <t>CF324</t>
  </si>
  <si>
    <t xml:space="preserve">    Repayment of Long-Term Borrowings</t>
  </si>
  <si>
    <t>CB_CF_REPAYMENT_LT_DEBT</t>
  </si>
  <si>
    <t>CF486</t>
  </si>
  <si>
    <t xml:space="preserve">    Principal Repayments For Capital Lease Obligations</t>
  </si>
  <si>
    <t>CF_FINANCING_CF_FINANCE_LEASES</t>
  </si>
  <si>
    <t>CF384</t>
  </si>
  <si>
    <t xml:space="preserve">    Assets Acquired Under Operating Leases</t>
  </si>
  <si>
    <t>CF_RT_OF_AST_OBTAINED_FOR_OP_LS</t>
  </si>
  <si>
    <t>CF385</t>
  </si>
  <si>
    <t xml:space="preserve">    Principal Repayments for Finance Lease Obligations</t>
  </si>
  <si>
    <t>CF_OTHER_FINANCING_ACT_EXCL_FX</t>
  </si>
  <si>
    <t>CF290</t>
  </si>
  <si>
    <t xml:space="preserve">  Cash Flow from Financing</t>
  </si>
  <si>
    <t>CB_CF_NET_CASH_FINANCING_ACT</t>
  </si>
  <si>
    <t>CF378</t>
  </si>
  <si>
    <t xml:space="preserve">    Effect of Exchange Rates on Cash &amp; Cash Equivalents</t>
  </si>
  <si>
    <t>CF_EFFECT_FOREIGN_EXCHANGES</t>
  </si>
  <si>
    <t>CF291</t>
  </si>
  <si>
    <t xml:space="preserve">    Net Change in Cash, Cash Equivalents &amp; Restricted Cash</t>
  </si>
  <si>
    <t>CF_NET_CHNG_CASH</t>
  </si>
  <si>
    <t>CF036</t>
  </si>
  <si>
    <t xml:space="preserve">      Cash &amp; Cash Equivalents (BOP)</t>
  </si>
  <si>
    <t>CF_CASH_AND_CASH_EQUIV_BEG_BAL</t>
  </si>
  <si>
    <t>CF224</t>
  </si>
  <si>
    <t xml:space="preserve">      Cash &amp; Cash Equivalents (EOP)</t>
  </si>
  <si>
    <t>CF_CASH_AND_CASH_EQUIV_END_BAL</t>
  </si>
  <si>
    <t>CF227</t>
  </si>
  <si>
    <t xml:space="preserve">    </t>
  </si>
  <si>
    <t xml:space="preserve">    Cash Paid for Taxes</t>
  </si>
  <si>
    <t>CF_CASH_PAID_FOR_TAX</t>
  </si>
  <si>
    <t>CF073</t>
  </si>
  <si>
    <t xml:space="preserve">    Interest Paid</t>
  </si>
  <si>
    <t>CF_ACT_CASH_PAID_FOR_INT_DEBT</t>
  </si>
  <si>
    <t>CF120</t>
  </si>
  <si>
    <t xml:space="preserve">    Principal Repayments of All Other Finance Leases</t>
  </si>
  <si>
    <t>CB_IS_LEASE_TERMINATION_COST</t>
  </si>
  <si>
    <t>IC442</t>
  </si>
  <si>
    <t xml:space="preserve">    Cash Paid for Operating Leases</t>
  </si>
  <si>
    <t>CF_OCF_OPERATING_LEASES</t>
  </si>
  <si>
    <t>CF382</t>
  </si>
  <si>
    <t xml:space="preserve">    Cash Paid for Interest on Finance Leases</t>
  </si>
  <si>
    <t>CF_OCF_FINANCE_LEASES</t>
  </si>
  <si>
    <t>CF383</t>
  </si>
  <si>
    <t xml:space="preserve">    Free Cash Flow/Diluted Share</t>
  </si>
  <si>
    <t>FCF_PER_DIL_SHR</t>
  </si>
  <si>
    <t>RR228</t>
  </si>
  <si>
    <t xml:space="preserve">    Operating Cash Flow per Share</t>
  </si>
  <si>
    <t>CF_PER_DILUTED_SHARE</t>
  </si>
  <si>
    <t>RR238</t>
  </si>
  <si>
    <t xml:space="preserve">    Free Cash Flow Less Equipment Finance Leases &amp; Principal Repayments of All Other Finance Leases &amp; Financing Obligations</t>
  </si>
  <si>
    <t>CB_IS_ADJUSTED_CF_FROM_OPERATING</t>
  </si>
  <si>
    <t>IM758</t>
  </si>
  <si>
    <t xml:space="preserve">    Free Cash Flow</t>
  </si>
  <si>
    <t>CF_FREE_CASH_FLOW</t>
  </si>
  <si>
    <t>RR008</t>
  </si>
  <si>
    <t xml:space="preserve">    Free Cash Flow (FCF)</t>
  </si>
  <si>
    <t>CF_FREE_CASH_FLOW_AS_REPORTED</t>
  </si>
  <si>
    <t>CF282</t>
  </si>
  <si>
    <t xml:space="preserve">    Cash Flow per Share</t>
  </si>
  <si>
    <t>CASH_FLOW_PER_SH</t>
  </si>
  <si>
    <t>RR022</t>
  </si>
  <si>
    <t xml:space="preserve">    CFO to Sales(%)</t>
  </si>
  <si>
    <t>CFO_TO_SALES</t>
  </si>
  <si>
    <t>RR139</t>
  </si>
  <si>
    <t xml:space="preserve">    Property, Plant &amp; Equipment Acquired</t>
  </si>
  <si>
    <t xml:space="preserve">      Under Capital Leases</t>
  </si>
  <si>
    <t>CF_RT_OF_AST_OBTAINED_FOR_FIN_LS</t>
  </si>
  <si>
    <t>CF386</t>
  </si>
  <si>
    <t xml:space="preserve">    Property and Equipment Recognized During the Construction Period of Build-to-Suit Lease Arrangements</t>
  </si>
  <si>
    <t>CF_INV_FIN_LEA_RT_USE_ASSET</t>
  </si>
  <si>
    <t>CF424</t>
  </si>
  <si>
    <t xml:space="preserve">    Funds Flow from Operations</t>
  </si>
  <si>
    <t>CFO_BEF_NON_CASH_WC</t>
  </si>
  <si>
    <t>RR499</t>
  </si>
  <si>
    <t>Source: Bloomberg</t>
  </si>
  <si>
    <t>2023 Q1 (Rep)</t>
  </si>
  <si>
    <t>2023 Q2 (Rep)</t>
  </si>
  <si>
    <t>2023 Q3 (Rep)</t>
  </si>
  <si>
    <t>2023 Q4 (Rep)</t>
  </si>
  <si>
    <t>2024 Q1 (Rep)</t>
  </si>
  <si>
    <t>2024 Q2 (Rep)</t>
  </si>
  <si>
    <t>2024 Q3 (Rep)</t>
  </si>
  <si>
    <t>2024 Q4 (Rep)</t>
  </si>
  <si>
    <t>2025 Q1 (Rep)</t>
  </si>
  <si>
    <t>2025 Q2 (Rep)</t>
  </si>
  <si>
    <t>2025 Q3 (Rep)</t>
  </si>
  <si>
    <t>2025 Q4 (Rep)</t>
  </si>
  <si>
    <t>2026 Q1 (Rep)</t>
  </si>
  <si>
    <t>2026 Q2 (Fwd)</t>
  </si>
  <si>
    <t>2026 Q3 (Fwd)</t>
  </si>
  <si>
    <t>2026 Q4 (Fwd)</t>
  </si>
  <si>
    <t>2027 Q1 (Fwd)</t>
  </si>
  <si>
    <t>2027 Q2 (Fwd)</t>
  </si>
  <si>
    <t>2027 Q3 (Fwd)</t>
  </si>
  <si>
    <t>2027 Q4 (Fwd)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</si>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</sst>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b/>
      <sz val="10"/>
      <color indexed="9"/>
      <name val="Arial"/>
      <family val="2"/>
    </font>
    <font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0" fontId="24" fillId="12" borderId="0" applyNumberFormat="0" applyBorder="0" applyAlignment="0" applyProtection="0"/>
    <xf numFmtId="0" fontId="24" fillId="16" borderId="0" applyNumberFormat="0" applyBorder="0" applyAlignment="0" applyProtection="0"/>
    <xf numFmtId="0" fontId="24" fillId="20" borderId="0" applyNumberFormat="0" applyBorder="0" applyAlignment="0" applyProtection="0"/>
    <xf numFmtId="0" fontId="24" fillId="24" borderId="0" applyNumberFormat="0" applyBorder="0" applyAlignment="0" applyProtection="0"/>
    <xf numFmtId="0" fontId="24" fillId="28" borderId="0" applyNumberFormat="0" applyBorder="0" applyAlignment="0" applyProtection="0"/>
    <xf numFmtId="0" fontId="24" fillId="32" borderId="0" applyNumberFormat="0" applyBorder="0" applyAlignment="0" applyProtection="0"/>
    <xf numFmtId="0" fontId="24" fillId="9" borderId="0" applyNumberFormat="0" applyBorder="0" applyAlignment="0" applyProtection="0"/>
    <xf numFmtId="0" fontId="24" fillId="13" borderId="0" applyNumberFormat="0" applyBorder="0" applyAlignment="0" applyProtection="0"/>
    <xf numFmtId="0" fontId="24" fillId="17" borderId="0" applyNumberFormat="0" applyBorder="0" applyAlignment="0" applyProtection="0"/>
    <xf numFmtId="0" fontId="24" fillId="21" borderId="0" applyNumberFormat="0" applyBorder="0" applyAlignment="0" applyProtection="0"/>
    <xf numFmtId="0" fontId="24" fillId="25" borderId="0" applyNumberFormat="0" applyBorder="0" applyAlignment="0" applyProtection="0"/>
    <xf numFmtId="0" fontId="24" fillId="29" borderId="0" applyNumberFormat="0" applyBorder="0" applyAlignment="0" applyProtection="0"/>
    <xf numFmtId="0" fontId="14" fillId="3" borderId="0" applyNumberFormat="0" applyBorder="0" applyAlignment="0" applyProtection="0"/>
    <xf numFmtId="0" fontId="18" fillId="6" borderId="9" applyNumberFormat="0" applyAlignment="0" applyProtection="0"/>
    <xf numFmtId="0" fontId="20" fillId="7" borderId="12" applyNumberFormat="0" applyAlignment="0" applyProtection="0"/>
    <xf numFmtId="0" fontId="22" fillId="0" borderId="0" applyNumberFormat="0" applyFill="0" applyBorder="0" applyAlignment="0" applyProtection="0"/>
    <xf numFmtId="0" fontId="5" fillId="33" borderId="3">
      <alignment horizontal="left"/>
    </xf>
    <xf numFmtId="4" fontId="1" fillId="34" borderId="2"/>
    <xf numFmtId="0" fontId="7" fillId="35" borderId="4" applyNumberFormat="0" applyAlignment="0" applyProtection="0"/>
    <xf numFmtId="0" fontId="3" fillId="0" borderId="0"/>
    <xf numFmtId="0" fontId="6" fillId="34" borderId="5"/>
    <xf numFmtId="0" fontId="13" fillId="2" borderId="0" applyNumberFormat="0" applyBorder="0" applyAlignment="0" applyProtection="0"/>
    <xf numFmtId="0" fontId="10" fillId="0" borderId="6" applyNumberFormat="0" applyFill="0" applyAlignment="0" applyProtection="0"/>
    <xf numFmtId="0" fontId="11" fillId="0" borderId="7" applyNumberFormat="0" applyFill="0" applyAlignment="0" applyProtection="0"/>
    <xf numFmtId="0" fontId="12" fillId="0" borderId="8" applyNumberFormat="0" applyFill="0" applyAlignment="0" applyProtection="0"/>
    <xf numFmtId="0" fontId="12" fillId="0" borderId="0" applyNumberFormat="0" applyFill="0" applyBorder="0" applyAlignment="0" applyProtection="0"/>
    <xf numFmtId="0" fontId="16" fillId="5" borderId="9" applyNumberFormat="0" applyAlignment="0" applyProtection="0"/>
    <xf numFmtId="0" fontId="19" fillId="0" borderId="11" applyNumberFormat="0" applyFill="0" applyAlignment="0" applyProtection="0"/>
    <xf numFmtId="0" fontId="15" fillId="4" borderId="0" applyNumberFormat="0" applyBorder="0" applyAlignment="0" applyProtection="0"/>
    <xf numFmtId="0" fontId="8" fillId="8" borderId="13" applyNumberFormat="0" applyFont="0" applyAlignment="0" applyProtection="0"/>
    <xf numFmtId="0" fontId="17" fillId="6" borderId="10" applyNumberFormat="0" applyAlignment="0" applyProtection="0"/>
    <xf numFmtId="0" fontId="9" fillId="0" borderId="0" applyNumberFormat="0" applyFill="0" applyBorder="0" applyAlignment="0" applyProtection="0"/>
    <xf numFmtId="0" fontId="23" fillId="0" borderId="14" applyNumberFormat="0" applyFill="0" applyAlignment="0" applyProtection="0"/>
    <xf numFmtId="0" fontId="21" fillId="0" borderId="0" applyNumberFormat="0" applyFill="0" applyBorder="0" applyAlignment="0" applyProtection="0"/>
    <xf numFmtId="0" fontId="4" fillId="33" borderId="15" applyNumberFormat="0" applyProtection="0">
      <alignment horizontal="left" vertical="center" readingOrder="1"/>
    </xf>
    <xf numFmtId="0" fontId="5" fillId="33" borderId="1">
      <alignment horizontal="left"/>
    </xf>
    <xf numFmtId="4" fontId="1" fillId="34" borderId="2">
      <alignment horizontal="right"/>
    </xf>
  </cellStyleXfs>
  <cellXfs count="10">
    <xf numFmtId="0" fontId="0" fillId="0" borderId="0" xfId="0"/>
    <xf numFmtId="14" fontId="5" fillId="33" borderId="1" xfId="48" applyNumberFormat="1">
      <alignment horizontal="left"/>
    </xf>
    <xf numFmtId="0" fontId="3" fillId="0" borderId="0" xfId="32"/>
    <xf numFmtId="0" fontId="5" fillId="33" borderId="3" xfId="29">
      <alignment horizontal="left"/>
    </xf>
    <xf numFmtId="4" fontId="1" fillId="34" borderId="2" xfId="30"/>
    <xf numFmtId="0" fontId="7" fillId="35" borderId="4" xfId="31"/>
    <xf numFmtId="0" fontId="4" fillId="33" borderId="15" xfId="47">
      <alignment horizontal="left" vertical="center" readingOrder="1"/>
    </xf>
    <xf numFmtId="0" fontId="5" fillId="33" borderId="1" xfId="48">
      <alignment horizontal="left"/>
    </xf>
    <xf numFmtId="0" fontId="2" fillId="34" borderId="5" xfId="33" applyFont="1"/>
    <xf numFmtId="4" fontId="1" fillId="34" borderId="2" xfId="49">
      <alignment horizontal="right"/>
    </xf>
  </cellXfs>
  <cellStyles count="50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title_header_row_left" xfId="47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fa_column_header_bottom_left" xfId="48" xr:uid="{00000000-0005-0000-0000-00001D000000}"/>
    <cellStyle name="fa_column_header_top_left" xfId="29" xr:uid="{00000000-0005-0000-0000-00001E000000}"/>
    <cellStyle name="fa_data_standard" xfId="30" xr:uid="{00000000-0005-0000-0000-00001F000000}"/>
    <cellStyle name="fa_data_standard_2_grouped" xfId="49" xr:uid="{00000000-0005-0000-0000-000020000000}"/>
    <cellStyle name="fa_footer_italic" xfId="31" xr:uid="{00000000-0005-0000-0000-000021000000}"/>
    <cellStyle name="fa_grey_text_italics" xfId="32" xr:uid="{00000000-0005-0000-0000-000022000000}"/>
    <cellStyle name="fa_row_header_standard" xfId="33" xr:uid="{00000000-0005-0000-0000-000023000000}"/>
    <cellStyle name="Good" xfId="34" builtinId="26" customBuiltin="1"/>
    <cellStyle name="Heading 1" xfId="35" builtinId="16" customBuiltin="1"/>
    <cellStyle name="Heading 2" xfId="36" builtinId="17" customBuiltin="1"/>
    <cellStyle name="Heading 3" xfId="37" builtinId="18" customBuiltin="1"/>
    <cellStyle name="Heading 4" xfId="38" builtinId="19" customBuiltin="1"/>
    <cellStyle name="Input" xfId="39" builtinId="20" customBuiltin="1"/>
    <cellStyle name="Linked Cell" xfId="40" builtinId="24" customBuiltin="1"/>
    <cellStyle name="Neutral" xfId="41" builtinId="28" customBuiltin="1"/>
    <cellStyle name="Normal" xfId="0" builtinId="0"/>
    <cellStyle name="Note" xfId="42" builtinId="10" customBuiltin="1"/>
    <cellStyle name="Output" xfId="43" builtinId="21" customBuiltin="1"/>
    <cellStyle name="Title" xfId="44" builtinId="15" customBuiltin="1"/>
    <cellStyle name="Total" xfId="45" builtinId="25" customBuiltin="1"/>
    <cellStyle name="Warning Text" xfId="4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BQL|16123325291812140160</stp>
        <tr r="V180" s="2"/>
      </tp>
      <tp t="s">
        <v>#N/A N/A</v>
        <stp/>
        <stp>BQL|16740266448199425689</stp>
        <tr r="R117" s="2"/>
      </tp>
      <tp t="s">
        <v>#N/A N/A</v>
        <stp/>
        <stp>BQL|13807754902102917939</stp>
        <tr r="P340" s="2"/>
      </tp>
      <tp t="s">
        <v>#N/A N/A</v>
        <stp/>
        <stp>BQL|17797295084235752786</stp>
        <tr r="L102" s="2"/>
      </tp>
      <tp t="s">
        <v>#N/A N/A</v>
        <stp/>
        <stp>BQL|12952209168980570910</stp>
        <tr r="J147" s="2"/>
      </tp>
      <tp t="s">
        <v>#N/A N/A</v>
        <stp/>
        <stp>BQL|13467338883802597548</stp>
        <tr r="S108" s="2"/>
      </tp>
      <tp t="s">
        <v>#N/A N/A</v>
        <stp/>
        <stp>BQL|10173752379717829806</stp>
        <tr r="I320" s="2"/>
      </tp>
      <tp t="s">
        <v>#N/A N/A</v>
        <stp/>
        <stp>BQL|10104492570118960440</stp>
        <tr r="H345" s="2"/>
      </tp>
      <tp t="s">
        <v>#N/A N/A</v>
        <stp/>
        <stp>BQL|13557399392462966435</stp>
        <tr r="L15" s="2"/>
        <tr r="L88" s="2"/>
      </tp>
      <tp t="s">
        <v>#N/A N/A</v>
        <stp/>
        <stp>BQL|14900897209455591683</stp>
        <tr r="V310" s="2"/>
      </tp>
      <tp t="s">
        <v>#N/A N/A</v>
        <stp/>
        <stp>BQL|15635104473344620878</stp>
        <tr r="T108" s="2"/>
      </tp>
      <tp t="s">
        <v>#N/A N/A</v>
        <stp/>
        <stp>BQL|15876903020664585594</stp>
        <tr r="I184" s="2"/>
        <tr r="I35" s="2"/>
      </tp>
      <tp t="s">
        <v>#N/A N/A</v>
        <stp/>
        <stp>BQL|17986803538210735327</stp>
        <tr r="O228" s="2"/>
      </tp>
      <tp t="s">
        <v>#N/A N/A</v>
        <stp/>
        <stp>BQL|18136439324259647840</stp>
        <tr r="N22" s="2"/>
        <tr r="N99" s="2"/>
      </tp>
      <tp t="s">
        <v>#N/A N/A</v>
        <stp/>
        <stp>BQL|15974613778403620821</stp>
        <tr r="G102" s="2"/>
      </tp>
      <tp t="s">
        <v>#N/A N/A</v>
        <stp/>
        <stp>BQL|18228338594368025519</stp>
        <tr r="I198" s="2"/>
      </tp>
      <tp t="s">
        <v>#N/A N/A</v>
        <stp/>
        <stp>BQL|10353022868688965146</stp>
        <tr r="G327" s="2"/>
      </tp>
      <tp t="s">
        <v>#N/A N/A</v>
        <stp/>
        <stp>BQL|16251508294925579073</stp>
        <tr r="E320" s="2"/>
      </tp>
      <tp t="s">
        <v>#N/A N/A</v>
        <stp/>
        <stp>BQL|10123622911760079867</stp>
        <tr r="W236" s="2"/>
      </tp>
      <tp t="s">
        <v>#N/A N/A</v>
        <stp/>
        <stp>BQL|16999687447148607349</stp>
        <tr r="X326" s="2"/>
        <tr r="X41" s="2"/>
      </tp>
      <tp t="s">
        <v>#N/A N/A</v>
        <stp/>
        <stp>BQL|11586915695078328654</stp>
        <tr r="L354" s="2"/>
      </tp>
      <tp t="s">
        <v>#N/A N/A</v>
        <stp/>
        <stp>BQL|17181007488421850160</stp>
        <tr r="P179" s="2"/>
      </tp>
      <tp t="s">
        <v>#N/A N/A</v>
        <stp/>
        <stp>BQL|17724589859730497858</stp>
        <tr r="W117" s="2"/>
      </tp>
      <tp t="s">
        <v>#N/A N/A</v>
        <stp/>
        <stp>BQL|11052332091094616034</stp>
        <tr r="U254" s="2"/>
      </tp>
      <tp t="s">
        <v>#N/A N/A</v>
        <stp/>
        <stp>BQL|17883352553999162782</stp>
        <tr r="S119" s="2"/>
      </tp>
      <tp t="s">
        <v>#N/A N/A</v>
        <stp/>
        <stp>BQL|10348521874509565471</stp>
        <tr r="R57" s="2"/>
      </tp>
      <tp t="s">
        <v>#N/A N/A</v>
        <stp/>
        <stp>BQL|18412856896144060218</stp>
        <tr r="L202" s="2"/>
      </tp>
      <tp t="s">
        <v>#N/A N/A</v>
        <stp/>
        <stp>BQL|10203473520171043839</stp>
        <tr r="M224" s="2"/>
      </tp>
      <tp t="s">
        <v>#N/A N/A</v>
        <stp/>
        <stp>BQL|10259034195652047421</stp>
        <tr r="X231" s="2"/>
      </tp>
      <tp t="s">
        <v>#N/A N/A</v>
        <stp/>
        <stp>BQL|10910142656602529980</stp>
        <tr r="T270" s="2"/>
      </tp>
      <tp t="s">
        <v>#N/A N/A</v>
        <stp/>
        <stp>BQL|10191909077142070300</stp>
        <tr r="X85" s="2"/>
      </tp>
      <tp t="s">
        <v>#N/A N/A</v>
        <stp/>
        <stp>BQL|10140836663089504827</stp>
        <tr r="O328" s="2"/>
      </tp>
      <tp t="s">
        <v>#N/A N/A</v>
        <stp/>
        <stp>BQL|12077833412097490339</stp>
        <tr r="K118" s="2"/>
      </tp>
      <tp t="s">
        <v>#N/A N/A</v>
        <stp/>
        <stp>BQL|14463539447193057912</stp>
        <tr r="G188" s="2"/>
        <tr r="G38" s="2"/>
      </tp>
      <tp t="s">
        <v>#N/A N/A</v>
        <stp/>
        <stp>BQL|17380077387480316017</stp>
        <tr r="M214" s="2"/>
      </tp>
      <tp t="s">
        <v>#N/A N/A</v>
        <stp/>
        <stp>BQL|18309375457847661646</stp>
        <tr r="V255" s="2"/>
      </tp>
      <tp t="s">
        <v>#N/A N/A</v>
        <stp/>
        <stp>BQL|13582793226679953024</stp>
        <tr r="H101" s="2"/>
        <tr r="H23" s="2"/>
      </tp>
      <tp t="s">
        <v>#N/A N/A</v>
        <stp/>
        <stp>BQL|14665941281472128832</stp>
        <tr r="I261" s="2"/>
      </tp>
      <tp t="s">
        <v>#N/A N/A</v>
        <stp/>
        <stp>BQL|11435936213947396162</stp>
        <tr r="P225" s="2"/>
      </tp>
      <tp t="s">
        <v>#N/A N/A</v>
        <stp/>
        <stp>BQL|10205667127952515979</stp>
        <tr r="W312" s="2"/>
      </tp>
      <tp t="s">
        <v>#N/A N/A</v>
        <stp/>
        <stp>BQL|17400191883006603794</stp>
        <tr r="W326" s="2"/>
        <tr r="W41" s="2"/>
      </tp>
      <tp t="s">
        <v>#N/A N/A</v>
        <stp/>
        <stp>BQL|11254495340178927636</stp>
        <tr r="S329" s="2"/>
      </tp>
      <tp t="s">
        <v>#N/A N/A</v>
        <stp/>
        <stp>BQL|14040886268311003414</stp>
        <tr r="Q107" s="2"/>
      </tp>
      <tp t="s">
        <v>#N/A N/A</v>
        <stp/>
        <stp>BQL|14920800726203730297</stp>
        <tr r="S323" s="2"/>
      </tp>
      <tp t="s">
        <v>#N/A N/A</v>
        <stp/>
        <stp>BQL|10369744983654697439</stp>
        <tr r="E230" s="2"/>
      </tp>
      <tp t="s">
        <v>#N/A N/A</v>
        <stp/>
        <stp>BQL|17319976208931507095</stp>
        <tr r="E10" s="2"/>
        <tr r="E60" s="2"/>
      </tp>
      <tp t="s">
        <v>#N/A N/A</v>
        <stp/>
        <stp>BQL|14312830422274637543</stp>
        <tr r="N348" s="2"/>
      </tp>
      <tp t="s">
        <v>#N/A N/A</v>
        <stp/>
        <stp>BQL|16729888319423057369</stp>
        <tr r="H18" s="2"/>
        <tr r="H93" s="2"/>
      </tp>
      <tp t="s">
        <v>#N/A N/A</v>
        <stp/>
        <stp>BQL|13442864540125307513</stp>
        <tr r="G182" s="2"/>
      </tp>
      <tp t="s">
        <v>#N/A N/A</v>
        <stp/>
        <stp>BQL|18342481401747218483</stp>
        <tr r="R256" s="2"/>
        <tr r="R279" s="2"/>
      </tp>
      <tp t="s">
        <v>#N/A N/A</v>
        <stp/>
        <stp>BQL|12154457561539489627</stp>
        <tr r="S125" s="2"/>
      </tp>
      <tp t="s">
        <v>#N/A N/A</v>
        <stp/>
        <stp>BQL|16777615052923213952</stp>
        <tr r="L211" s="2"/>
      </tp>
      <tp t="s">
        <v>#N/A N/A</v>
        <stp/>
        <stp>BQL|14902884305874767702</stp>
        <tr r="P268" s="2"/>
      </tp>
      <tp t="s">
        <v>#N/A N/A</v>
        <stp/>
        <stp>BQL|10519631590776290678</stp>
        <tr r="O217" s="2"/>
      </tp>
      <tp t="s">
        <v>#N/A N/A</v>
        <stp/>
        <stp>BQL|11696546223801747856</stp>
        <tr r="K259" s="2"/>
      </tp>
      <tp t="s">
        <v>#N/A N/A</v>
        <stp/>
        <stp>BQL|15006405215428694713</stp>
        <tr r="U318" s="2"/>
      </tp>
      <tp t="s">
        <v>#N/A N/A</v>
        <stp/>
        <stp>BQL|11438709684733731257</stp>
        <tr r="X251" s="2"/>
      </tp>
      <tp t="s">
        <v>#N/A N/A</v>
        <stp/>
        <stp>BQL|10142608590596631653</stp>
        <tr r="F77" s="2"/>
      </tp>
      <tp t="s">
        <v>#N/A N/A</v>
        <stp/>
        <stp>BQL|12462249444729256244</stp>
        <tr r="T247" s="2"/>
      </tp>
      <tp t="s">
        <v>#N/A N/A</v>
        <stp/>
        <stp>BQL|17414421989521557583</stp>
        <tr r="H351" s="2"/>
      </tp>
      <tp t="s">
        <v>#N/A N/A</v>
        <stp/>
        <stp>BQL|18388551379422595785</stp>
        <tr r="E225" s="2"/>
      </tp>
      <tp t="s">
        <v>#N/A N/A</v>
        <stp/>
        <stp>BQL|16004538122929327707</stp>
        <tr r="E220" s="2"/>
      </tp>
      <tp t="s">
        <v>#N/A N/A</v>
        <stp/>
        <stp>BQL|16453355563758788484</stp>
        <tr r="K312" s="2"/>
      </tp>
      <tp t="s">
        <v>#N/A N/A</v>
        <stp/>
        <stp>BQL|14696346986524916401</stp>
        <tr r="K252" s="2"/>
      </tp>
      <tp t="s">
        <v>#N/A N/A</v>
        <stp/>
        <stp>BQL|12868557055875408813</stp>
        <tr r="M135" s="2"/>
      </tp>
      <tp t="s">
        <v>#N/A N/A</v>
        <stp/>
        <stp>BQL|11102999771615116557</stp>
        <tr r="G125" s="2"/>
      </tp>
      <tp t="s">
        <v>#N/A N/A</v>
        <stp/>
        <stp>BQL|14415370624542374891</stp>
        <tr r="U182" s="2"/>
      </tp>
      <tp t="s">
        <v>#N/A N/A</v>
        <stp/>
        <stp>BQL|13811337403488019752</stp>
        <tr r="X345" s="2"/>
      </tp>
      <tp t="s">
        <v>#N/A N/A</v>
        <stp/>
        <stp>BQL|14526940848836482002</stp>
        <tr r="G220" s="2"/>
      </tp>
      <tp t="s">
        <v>#N/A N/A</v>
        <stp/>
        <stp>BQL|17115923980681743890</stp>
        <tr r="L106" s="2"/>
      </tp>
      <tp t="s">
        <v>#N/A N/A</v>
        <stp/>
        <stp>BQL|17065029097812904310</stp>
        <tr r="X284" s="2"/>
      </tp>
      <tp t="s">
        <v>#N/A N/A</v>
        <stp/>
        <stp>BQL|18126941088355119317</stp>
        <tr r="V318" s="2"/>
      </tp>
      <tp t="s">
        <v>#N/A N/A</v>
        <stp/>
        <stp>BQL|11083798971399307766</stp>
        <tr r="J285" s="2"/>
      </tp>
      <tp t="s">
        <v>#N/A N/A</v>
        <stp/>
        <stp>BQL|10760172323199987579</stp>
        <tr r="J125" s="2"/>
      </tp>
      <tp t="s">
        <v>#N/A N/A</v>
        <stp/>
        <stp>BQL|16390300769885396953</stp>
        <tr r="R124" s="2"/>
        <tr r="R32" s="2"/>
      </tp>
      <tp t="s">
        <v>#N/A N/A</v>
        <stp/>
        <stp>BQL|13652666734841936815</stp>
        <tr r="Q342" s="2"/>
      </tp>
      <tp t="s">
        <v>#N/A N/A</v>
        <stp/>
        <stp>BQL|13705096735767768800</stp>
        <tr r="T160" s="2"/>
        <tr r="T21" s="2"/>
        <tr r="T92" s="2"/>
      </tp>
      <tp t="s">
        <v>#N/A N/A</v>
        <stp/>
        <stp>BQL|16514394798416150591</stp>
        <tr r="F131" s="2"/>
      </tp>
      <tp t="s">
        <v>#N/A N/A</v>
        <stp/>
        <stp>BQL|11862428890874797726</stp>
        <tr r="F262" s="2"/>
      </tp>
      <tp t="s">
        <v>#N/A N/A</v>
        <stp/>
        <stp>BQL|13218893610975404005</stp>
        <tr r="H249" s="2"/>
      </tp>
      <tp t="s">
        <v>#N/A N/A</v>
        <stp/>
        <stp>BQL|15757762366573097885</stp>
        <tr r="W220" s="2"/>
      </tp>
      <tp t="s">
        <v>#N/A N/A</v>
        <stp/>
        <stp>BQL|14214778507625923943</stp>
        <tr r="E355" s="2"/>
      </tp>
      <tp t="s">
        <v>#N/A N/A</v>
        <stp/>
        <stp>BQL|12552237400048080797</stp>
        <tr r="T312" s="2"/>
      </tp>
      <tp t="s">
        <v>#N/A N/A</v>
        <stp/>
        <stp>BQL|12589759026239199186</stp>
        <tr r="K147" s="2"/>
      </tp>
      <tp t="s">
        <v>#N/A N/A</v>
        <stp/>
        <stp>BQL|17882274177484626919</stp>
        <tr r="J124" s="2"/>
        <tr r="J32" s="2"/>
      </tp>
      <tp t="s">
        <v>#N/A N/A</v>
        <stp/>
        <stp>BQL|10295507187906810425</stp>
        <tr r="J288" s="2"/>
      </tp>
      <tp t="s">
        <v>#N/A N/A</v>
        <stp/>
        <stp>BQL|12473681722768658170</stp>
        <tr r="X64" s="2"/>
      </tp>
      <tp t="s">
        <v>#N/A N/A</v>
        <stp/>
        <stp>BQL|10912763030682489957</stp>
        <tr r="Q315" s="2"/>
      </tp>
      <tp t="s">
        <v>#N/A N/A</v>
        <stp/>
        <stp>BQL|14018239991072937251</stp>
        <tr r="F104" s="2"/>
      </tp>
      <tp t="s">
        <v>#N/A N/A</v>
        <stp/>
        <stp>BQL|16469987801436141622</stp>
        <tr r="O195" s="2"/>
      </tp>
      <tp t="s">
        <v>#N/A N/A</v>
        <stp/>
        <stp>BQL|16059536535696079980</stp>
        <tr r="X269" s="2"/>
      </tp>
      <tp t="s">
        <v>#N/A N/A</v>
        <stp/>
        <stp>BQL|14827915442554449216</stp>
        <tr r="L244" s="2"/>
      </tp>
      <tp t="s">
        <v>#N/A N/A</v>
        <stp/>
        <stp>BQL|11518765841185463884</stp>
        <tr r="K211" s="2"/>
      </tp>
      <tp t="s">
        <v>#N/A N/A</v>
        <stp/>
        <stp>BQL|18432072250413843156</stp>
        <tr r="M336" s="2"/>
      </tp>
      <tp t="s">
        <v>#N/A N/A</v>
        <stp/>
        <stp>BQL|11672156798082528406</stp>
        <tr r="X238" s="2"/>
      </tp>
      <tp t="s">
        <v>#N/A N/A</v>
        <stp/>
        <stp>BQL|15888349290895691544</stp>
        <tr r="I361" s="2"/>
      </tp>
      <tp t="s">
        <v>#N/A N/A</v>
        <stp/>
        <stp>BQL|10956861905006773148</stp>
        <tr r="W269" s="2"/>
      </tp>
      <tp t="s">
        <v>#N/A N/A</v>
        <stp/>
        <stp>BQL|14201508742122959805</stp>
        <tr r="J266" s="2"/>
      </tp>
      <tp t="s">
        <v>#N/A N/A</v>
        <stp/>
        <stp>BQL|17495932624412203181</stp>
        <tr r="O68" s="2"/>
      </tp>
      <tp t="s">
        <v>#N/A N/A</v>
        <stp/>
        <stp>BQL|18289308650398994924</stp>
        <tr r="M206" s="2"/>
      </tp>
      <tp t="s">
        <v>#N/A N/A</v>
        <stp/>
        <stp>BQL|18163891148473095896</stp>
        <tr r="Q231" s="2"/>
      </tp>
      <tp t="s">
        <v>#N/A N/A</v>
        <stp/>
        <stp>BQL|16072682901779957694</stp>
        <tr r="N309" s="2"/>
      </tp>
      <tp t="s">
        <v>#N/A N/A</v>
        <stp/>
        <stp>BQL|14203801149056113132</stp>
        <tr r="Q105" s="2"/>
      </tp>
      <tp t="s">
        <v>#N/A N/A</v>
        <stp/>
        <stp>BQL|16716821742681971468</stp>
        <tr r="G108" s="2"/>
      </tp>
      <tp t="s">
        <v>#N/A N/A</v>
        <stp/>
        <stp>BQL|16240952728041260359</stp>
        <tr r="Q341" s="2"/>
      </tp>
      <tp t="s">
        <v>#N/A N/A</v>
        <stp/>
        <stp>BQL|14861941240375586315</stp>
        <tr r="W356" s="2"/>
      </tp>
      <tp t="s">
        <v>#N/A N/A</v>
        <stp/>
        <stp>BQL|13043939318791102525</stp>
        <tr r="O4" s="2"/>
      </tp>
      <tp t="s">
        <v>#N/A N/A</v>
        <stp/>
        <stp>BQL|15979967235193585374</stp>
        <tr r="V290" s="2"/>
      </tp>
      <tp t="s">
        <v>#N/A N/A</v>
        <stp/>
        <stp>BQL|10209498909762899924</stp>
        <tr r="N299" s="2"/>
      </tp>
      <tp t="s">
        <v>#N/A N/A</v>
        <stp/>
        <stp>BQL|12382902843164988416</stp>
        <tr r="E313" s="2"/>
      </tp>
      <tp t="s">
        <v>#N/A N/A</v>
        <stp/>
        <stp>BQL|17547427015335354890</stp>
        <tr r="U247" s="2"/>
      </tp>
      <tp t="s">
        <v>#N/A N/A</v>
        <stp/>
        <stp>BQL|14252920263361948518</stp>
        <tr r="U299" s="2"/>
      </tp>
      <tp t="s">
        <v>#N/A N/A</v>
        <stp/>
        <stp>BQL|14839731390232114711</stp>
        <tr r="M301" s="2"/>
      </tp>
      <tp t="s">
        <v>#N/A N/A</v>
        <stp/>
        <stp>BQL|17219993118032833218</stp>
        <tr r="U180" s="2"/>
      </tp>
      <tp t="s">
        <v>#N/A N/A</v>
        <stp/>
        <stp>BQL|13457369669448428152</stp>
        <tr r="L264" s="2"/>
      </tp>
      <tp t="s">
        <v>#N/A N/A</v>
        <stp/>
        <stp>BQL|15334354045835167887</stp>
        <tr r="O229" s="2"/>
      </tp>
      <tp t="s">
        <v>#N/A N/A</v>
        <stp/>
        <stp>BQL|16916489101128356592</stp>
        <tr r="G244" s="2"/>
      </tp>
      <tp t="s">
        <v>#N/A N/A</v>
        <stp/>
        <stp>BQL|11757998637670691451</stp>
        <tr r="J260" s="2"/>
      </tp>
      <tp t="s">
        <v>#N/A N/A</v>
        <stp/>
        <stp>BQL|11273922769015742447</stp>
        <tr r="R327" s="2"/>
      </tp>
      <tp t="s">
        <v>#N/A N/A</v>
        <stp/>
        <stp>BQL|12160085047048434106</stp>
        <tr r="R102" s="2"/>
      </tp>
      <tp t="s">
        <v>#N/A N/A</v>
        <stp/>
        <stp>BQL|10831950601513242547</stp>
        <tr r="R330" s="2"/>
      </tp>
      <tp t="s">
        <v>#N/A N/A</v>
        <stp/>
        <stp>BQL|14064438845659732340</stp>
        <tr r="G165" s="2"/>
      </tp>
      <tp t="s">
        <v>#N/A N/A</v>
        <stp/>
        <stp>BQL|17675978113236654713</stp>
        <tr r="M180" s="2"/>
      </tp>
      <tp t="s">
        <v>#N/A N/A</v>
        <stp/>
        <stp>BQL|18023942725048493502</stp>
        <tr r="P105" s="2"/>
      </tp>
      <tp t="s">
        <v>#N/A N/A</v>
        <stp/>
        <stp>BQL|18089040635723542612</stp>
        <tr r="V144" s="2"/>
      </tp>
      <tp t="s">
        <v>#N/A N/A</v>
        <stp/>
        <stp>BQL|15235579946348510231</stp>
        <tr r="T244" s="2"/>
      </tp>
      <tp t="s">
        <v>#N/A N/A</v>
        <stp/>
        <stp>BQL|15459018128431093888</stp>
        <tr r="X277" s="2"/>
      </tp>
      <tp t="s">
        <v>#N/A N/A</v>
        <stp/>
        <stp>BQL|16981440467489974365</stp>
        <tr r="L340" s="2"/>
      </tp>
      <tp t="s">
        <v>#N/A N/A</v>
        <stp/>
        <stp>BQL|18384169242381557279</stp>
        <tr r="G328" s="2"/>
      </tp>
      <tp t="s">
        <v>#N/A N/A</v>
        <stp/>
        <stp>BQL|11123872661921701057</stp>
        <tr r="P77" s="2"/>
      </tp>
      <tp t="s">
        <v>#N/A N/A</v>
        <stp/>
        <stp>BQL|11434445623621069867</stp>
        <tr r="K141" s="2"/>
      </tp>
      <tp t="s">
        <v>#N/A N/A</v>
        <stp/>
        <stp>BQL|14142315838689509386</stp>
        <tr r="J153" s="2"/>
        <tr r="J65" s="2"/>
      </tp>
      <tp t="s">
        <v>#N/A N/A</v>
        <stp/>
        <stp>BQL|14647562884684701361</stp>
        <tr r="W135" s="2"/>
      </tp>
      <tp t="s">
        <v>#N/A N/A</v>
        <stp/>
        <stp>BQL|13166154702728253417</stp>
        <tr r="L46" s="2"/>
      </tp>
      <tp t="s">
        <v>#N/A N/A</v>
        <stp/>
        <stp>BQL|16916941609116101704</stp>
        <tr r="S76" s="2"/>
      </tp>
      <tp t="s">
        <v>#N/A N/A</v>
        <stp/>
        <stp>BQL|15372326474577884888</stp>
        <tr r="Q18" s="2"/>
        <tr r="Q93" s="2"/>
      </tp>
      <tp t="s">
        <v>#N/A N/A</v>
        <stp/>
        <stp>BQL|17119936927236013400</stp>
        <tr r="E51" s="2"/>
      </tp>
      <tp t="s">
        <v>#N/A N/A</v>
        <stp/>
        <stp>BQL|15869401705286188984</stp>
        <tr r="U225" s="2"/>
      </tp>
      <tp t="s">
        <v>#N/A N/A</v>
        <stp/>
        <stp>BQL|13354148660279172320</stp>
        <tr r="O201" s="2"/>
      </tp>
      <tp t="s">
        <v>#N/A N/A</v>
        <stp/>
        <stp>BQL|14588700920516465954</stp>
        <tr r="P166" s="2"/>
      </tp>
      <tp t="s">
        <v>#N/A N/A</v>
        <stp/>
        <stp>BQL|13319693241417878872</stp>
        <tr r="W361" s="2"/>
      </tp>
      <tp t="s">
        <v>#N/A N/A</v>
        <stp/>
        <stp>BQL|16317951165211588628</stp>
        <tr r="S100" s="2"/>
      </tp>
      <tp t="s">
        <v>#N/A N/A</v>
        <stp/>
        <stp>BQL|11773475484532215124</stp>
        <tr r="K288" s="2"/>
      </tp>
      <tp t="s">
        <v>#N/A N/A</v>
        <stp/>
        <stp>BQL|16268935466261550664</stp>
        <tr r="S158" s="2"/>
        <tr r="S17" s="2"/>
        <tr r="S90" s="2"/>
      </tp>
      <tp t="s">
        <v>#N/A N/A</v>
        <stp/>
        <stp>BQL|13679557306369102106</stp>
        <tr r="P18" s="2"/>
        <tr r="P93" s="2"/>
      </tp>
      <tp t="s">
        <v>#N/A N/A</v>
        <stp/>
        <stp>BQL|15753307705400343869</stp>
        <tr r="I292" s="2"/>
      </tp>
      <tp t="s">
        <v>#N/A N/A</v>
        <stp/>
        <stp>BQL|11659517657998413730</stp>
        <tr r="R198" s="2"/>
      </tp>
      <tp t="s">
        <v>#N/A N/A</v>
        <stp/>
        <stp>BQL|12177927653875527522</stp>
        <tr r="F275" s="2"/>
      </tp>
      <tp t="s">
        <v>#N/A N/A</v>
        <stp/>
        <stp>BQL|16045959433763502147</stp>
        <tr r="G119" s="2"/>
      </tp>
      <tp t="s">
        <v>#N/A N/A</v>
        <stp/>
        <stp>BQL|17098544728176918821</stp>
        <tr r="O190" s="2"/>
      </tp>
      <tp t="s">
        <v>#N/A N/A</v>
        <stp/>
        <stp>BQL|15097800844064034339</stp>
        <tr r="X324" s="2"/>
        <tr r="X40" s="2"/>
      </tp>
      <tp t="s">
        <v>#N/A N/A</v>
        <stp/>
        <stp>BQL|11770652281725771436</stp>
        <tr r="P181" s="2"/>
      </tp>
      <tp t="s">
        <v>#N/A N/A</v>
        <stp/>
        <stp>BQL|11763236406055616833</stp>
        <tr r="X225" s="2"/>
      </tp>
      <tp t="s">
        <v>#N/A N/A</v>
        <stp/>
        <stp>BQL|12080975682559537479</stp>
        <tr r="T285" s="2"/>
      </tp>
      <tp t="s">
        <v>#N/A N/A</v>
        <stp/>
        <stp>BQL|12144903404772622742</stp>
        <tr r="X173" s="2"/>
      </tp>
      <tp t="s">
        <v>#N/A N/A</v>
        <stp/>
        <stp>BQL|12743379530668784403</stp>
        <tr r="O51" s="2"/>
      </tp>
      <tp t="s">
        <v>#N/A N/A</v>
        <stp/>
        <stp>BQL|12532732894060223275</stp>
        <tr r="Q266" s="2"/>
      </tp>
      <tp t="s">
        <v>#N/A N/A</v>
        <stp/>
        <stp>BQL|13313815297159061525</stp>
        <tr r="M253" s="2"/>
      </tp>
      <tp t="s">
        <v>#N/A N/A</v>
        <stp/>
        <stp>BQL|17533806913069058916</stp>
        <tr r="N231" s="2"/>
      </tp>
      <tp t="s">
        <v>#N/A N/A</v>
        <stp/>
        <stp>BQL|10515637993942081323</stp>
        <tr r="X188" s="2"/>
        <tr r="X38" s="2"/>
      </tp>
      <tp t="s">
        <v>#N/A N/A</v>
        <stp/>
        <stp>BQL|11132627822699592221</stp>
        <tr r="I264" s="2"/>
      </tp>
      <tp t="s">
        <v>#N/A N/A</v>
        <stp/>
        <stp>BQL|13105932833655757209</stp>
        <tr r="P144" s="2"/>
      </tp>
      <tp t="s">
        <v>#N/A N/A</v>
        <stp/>
        <stp>BQL|18234724457985460150</stp>
        <tr r="F172" s="2"/>
      </tp>
      <tp t="s">
        <v>#N/A N/A</v>
        <stp/>
        <stp>BQL|12191131872688795219</stp>
        <tr r="N18" s="2"/>
        <tr r="N93" s="2"/>
      </tp>
      <tp t="s">
        <v>#N/A N/A</v>
        <stp/>
        <stp>BQL|14929806073085418089</stp>
        <tr r="F105" s="2"/>
      </tp>
      <tp t="s">
        <v>#N/A N/A</v>
        <stp/>
        <stp>BQL|12852802383794907842</stp>
        <tr r="X105" s="2"/>
      </tp>
      <tp t="s">
        <v>#N/A N/A</v>
        <stp/>
        <stp>BQL|18154312691994767808</stp>
        <tr r="L239" s="2"/>
      </tp>
      <tp t="s">
        <v>#N/A N/A</v>
        <stp/>
        <stp>BQL|12630918720985617273</stp>
        <tr r="E202" s="2"/>
      </tp>
      <tp t="s">
        <v>#N/A N/A</v>
        <stp/>
        <stp>BQL|11448005276369578110</stp>
        <tr r="G79" s="2"/>
      </tp>
      <tp t="s">
        <v>#N/A N/A</v>
        <stp/>
        <stp>BQL|12473359112696446818</stp>
        <tr r="G236" s="2"/>
      </tp>
      <tp t="s">
        <v>#N/A N/A</v>
        <stp/>
        <stp>BQL|15798720922819615774</stp>
        <tr r="Q329" s="2"/>
      </tp>
      <tp t="s">
        <v>#N/A N/A</v>
        <stp/>
        <stp>BQL|16254138482192416367</stp>
        <tr r="U138" s="2"/>
      </tp>
      <tp t="s">
        <v>#N/A N/A</v>
        <stp/>
        <stp>BQL|18152010732004050139</stp>
        <tr r="U13" s="2"/>
        <tr r="U84" s="2"/>
      </tp>
      <tp t="s">
        <v>#N/A N/A</v>
        <stp/>
        <stp>BQL|11773967324896637224</stp>
        <tr r="L55" s="2"/>
      </tp>
      <tp t="s">
        <v>#N/A N/A</v>
        <stp/>
        <stp>BQL|16872364629479317059</stp>
        <tr r="O275" s="2"/>
      </tp>
      <tp t="s">
        <v>#N/A N/A</v>
        <stp/>
        <stp>BQL|11192819642032388104</stp>
        <tr r="H245" s="2"/>
      </tp>
      <tp t="s">
        <v>#N/A N/A</v>
        <stp/>
        <stp>BQL|11555360142030433845</stp>
        <tr r="K361" s="2"/>
      </tp>
      <tp t="s">
        <v>#N/A N/A</v>
        <stp/>
        <stp>BQL|12260815877320517300</stp>
        <tr r="T180" s="2"/>
      </tp>
      <tp t="s">
        <v>#N/A N/A</v>
        <stp/>
        <stp>BQL|14820472099685444232</stp>
        <tr r="F276" s="2"/>
      </tp>
      <tp t="s">
        <v>#N/A N/A</v>
        <stp/>
        <stp>BQL|12395066021229030744</stp>
        <tr r="M318" s="2"/>
      </tp>
      <tp t="s">
        <v>#N/A N/A</v>
        <stp/>
        <stp>BQL|16763773134389772539</stp>
        <tr r="V174" s="2"/>
      </tp>
      <tp t="s">
        <v>#N/A N/A</v>
        <stp/>
        <stp>BQL|17605768812556592979</stp>
        <tr r="S295" s="2"/>
      </tp>
      <tp t="s">
        <v>#N/A N/A</v>
        <stp/>
        <stp>BQL|13028035896306188240</stp>
        <tr r="K194" s="2"/>
      </tp>
      <tp t="s">
        <v>#N/A N/A</v>
        <stp/>
        <stp>BQL|12545979132337294121</stp>
        <tr r="L255" s="2"/>
      </tp>
      <tp t="s">
        <v>#N/A N/A</v>
        <stp/>
        <stp>BQL|16141399329949134001</stp>
        <tr r="M124" s="2"/>
        <tr r="M32" s="2"/>
      </tp>
      <tp t="s">
        <v>#N/A N/A</v>
        <stp/>
        <stp>BQL|14321591959568271215</stp>
        <tr r="E360" s="2"/>
      </tp>
      <tp t="s">
        <v>#N/A N/A</v>
        <stp/>
        <stp>BQL|17351724916659069648</stp>
        <tr r="T364" s="2"/>
      </tp>
      <tp t="s">
        <v>#N/A N/A</v>
        <stp/>
        <stp>BQL|10964480521880118826</stp>
        <tr r="W287" s="2"/>
      </tp>
      <tp t="s">
        <v>#N/A N/A</v>
        <stp/>
        <stp>BQL|13383815654892607238</stp>
        <tr r="E108" s="2"/>
      </tp>
      <tp t="s">
        <v>#N/A N/A</v>
        <stp/>
        <stp>BQL|13315853424996649172</stp>
        <tr r="S101" s="2"/>
        <tr r="S23" s="2"/>
      </tp>
      <tp t="s">
        <v>#N/A N/A</v>
        <stp/>
        <stp>BQL|16457414080435015169</stp>
        <tr r="V238" s="2"/>
      </tp>
      <tp t="s">
        <v>#N/A N/A</v>
        <stp/>
        <stp>BQL|16464040989332863223</stp>
        <tr r="S131" s="2"/>
      </tp>
      <tp t="s">
        <v>#N/A N/A</v>
        <stp/>
        <stp>BQL|15440832631992215278</stp>
        <tr r="T198" s="2"/>
      </tp>
      <tp t="s">
        <v>#N/A N/A</v>
        <stp/>
        <stp>BQL|13469306826684015812</stp>
        <tr r="K13" s="2"/>
        <tr r="K84" s="2"/>
      </tp>
      <tp t="s">
        <v>#N/A N/A</v>
        <stp/>
        <stp>BQL|17705979447407350362</stp>
        <tr r="H317" s="2"/>
      </tp>
      <tp t="s">
        <v>#N/A N/A</v>
        <stp/>
        <stp>BQL|15602868575412505625</stp>
        <tr r="P151" s="2"/>
      </tp>
      <tp t="s">
        <v>#N/A N/A</v>
        <stp/>
        <stp>BQL|17809677018067078952</stp>
        <tr r="K158" s="2"/>
        <tr r="K17" s="2"/>
        <tr r="K90" s="2"/>
      </tp>
      <tp t="s">
        <v>#N/A N/A</v>
        <stp/>
        <stp>BQL|18416450967174382079</stp>
        <tr r="X104" s="2"/>
      </tp>
      <tp t="s">
        <v>#N/A N/A</v>
        <stp/>
        <stp>BQL|14358019866364675809</stp>
        <tr r="O115" s="2"/>
      </tp>
      <tp t="s">
        <v>#N/A N/A</v>
        <stp/>
        <stp>BQL|17200164809758706084</stp>
        <tr r="O268" s="2"/>
      </tp>
      <tp t="s">
        <v>#N/A N/A</v>
        <stp/>
        <stp>BQL|13657516454534824991</stp>
        <tr r="P173" s="2"/>
      </tp>
      <tp t="s">
        <v>#N/A N/A</v>
        <stp/>
        <stp>BQL|11419824458163076138</stp>
        <tr r="P15" s="2"/>
        <tr r="P88" s="2"/>
      </tp>
      <tp t="s">
        <v>#N/A N/A</v>
        <stp/>
        <stp>BQL|15855833501923278053</stp>
        <tr r="T262" s="2"/>
      </tp>
      <tp t="s">
        <v>#N/A N/A</v>
        <stp/>
        <stp>BQL|12875538027649744264</stp>
        <tr r="L285" s="2"/>
      </tp>
      <tp t="s">
        <v>#N/A N/A</v>
        <stp/>
        <stp>BQL|17179146174227989859</stp>
        <tr r="N181" s="2"/>
      </tp>
      <tp t="s">
        <v>#N/A N/A</v>
        <stp/>
        <stp>BQL|13050836183788562583</stp>
        <tr r="T175" s="2"/>
      </tp>
      <tp t="s">
        <v>#N/A N/A</v>
        <stp/>
        <stp>BQL|16276853662433970512</stp>
        <tr r="G121" s="2"/>
      </tp>
      <tp t="s">
        <v>#N/A N/A</v>
        <stp/>
        <stp>BQL|11046192126234179829</stp>
        <tr r="R248" s="2"/>
      </tp>
      <tp t="s">
        <v>#N/A N/A</v>
        <stp/>
        <stp>BQL|15151719618698269563</stp>
        <tr r="R236" s="2"/>
      </tp>
      <tp t="s">
        <v>#N/A N/A</v>
        <stp/>
        <stp>BQL|14091841209533505143</stp>
        <tr r="R341" s="2"/>
      </tp>
      <tp t="s">
        <v>#N/A N/A</v>
        <stp/>
        <stp>BQL|14908036598925609681</stp>
        <tr r="F185" s="2"/>
      </tp>
      <tp t="s">
        <v>#N/A N/A</v>
        <stp/>
        <stp>BQL|17500166639139095263</stp>
        <tr r="R223" s="2"/>
      </tp>
      <tp t="s">
        <v>#N/A N/A</v>
        <stp/>
        <stp>BQL|18231524669114399163</stp>
        <tr r="R312" s="2"/>
      </tp>
      <tp t="s">
        <v>#N/A N/A</v>
        <stp/>
        <stp>BQL|15134983273361417423</stp>
        <tr r="E264" s="2"/>
      </tp>
      <tp t="s">
        <v>#N/A N/A</v>
        <stp/>
        <stp>BQL|15317336468199608727</stp>
        <tr r="G152" s="2"/>
        <tr r="G62" s="2"/>
      </tp>
      <tp t="s">
        <v>#N/A N/A</v>
        <stp/>
        <stp>BQL|13350243508446217913</stp>
        <tr r="L289" s="2"/>
      </tp>
      <tp t="s">
        <v>#N/A N/A</v>
        <stp/>
        <stp>BQL|15018337092930401198</stp>
        <tr r="I339" s="2"/>
      </tp>
      <tp t="s">
        <v>#N/A N/A</v>
        <stp/>
        <stp>BQL|14966223662178307660</stp>
        <tr r="Q217" s="2"/>
      </tp>
      <tp t="s">
        <v>#N/A N/A</v>
        <stp/>
        <stp>BQL|16889386795596319490</stp>
        <tr r="E224" s="2"/>
      </tp>
      <tp t="s">
        <v>#N/A N/A</v>
        <stp/>
        <stp>BQL|12647499998353055282</stp>
        <tr r="M294" s="2"/>
      </tp>
      <tp t="s">
        <v>#N/A N/A</v>
        <stp/>
        <stp>BQL|18221529103605929656</stp>
        <tr r="T253" s="2"/>
      </tp>
      <tp t="s">
        <v>#N/A N/A</v>
        <stp/>
        <stp>BQL|15951441812996003804</stp>
        <tr r="J352" s="2"/>
      </tp>
      <tp t="s">
        <v>#N/A N/A</v>
        <stp/>
        <stp>BQL|10976671214400583902</stp>
        <tr r="K231" s="2"/>
      </tp>
      <tp t="s">
        <v>#N/A N/A</v>
        <stp/>
        <stp>BQL|10564343788944472127</stp>
        <tr r="T187" s="2"/>
        <tr r="T37" s="2"/>
      </tp>
      <tp t="s">
        <v>#N/A N/A</v>
        <stp/>
        <stp>BQL|12832003966723279932</stp>
        <tr r="X317" s="2"/>
      </tp>
      <tp t="s">
        <v>#N/A N/A</v>
        <stp/>
        <stp>BQL|15237981615997581453</stp>
        <tr r="V46" s="2"/>
      </tp>
      <tp t="s">
        <v>#N/A N/A</v>
        <stp/>
        <stp>BQL|10169349691846336281</stp>
        <tr r="X102" s="2"/>
      </tp>
      <tp t="s">
        <v>#N/A N/A</v>
        <stp/>
        <stp>BQL|18170784924046276500</stp>
        <tr r="Q130" s="2"/>
      </tp>
      <tp t="s">
        <v>#N/A N/A</v>
        <stp/>
        <stp>BQL|12711568628778373347</stp>
        <tr r="U303" s="2"/>
      </tp>
      <tp t="s">
        <v>#N/A N/A</v>
        <stp/>
        <stp>BQL|11256556981701118399</stp>
        <tr r="N303" s="2"/>
      </tp>
      <tp t="s">
        <v>#N/A N/A</v>
        <stp/>
        <stp>BQL|13879791090916639590</stp>
        <tr r="W212" s="2"/>
        <tr r="W6" s="2"/>
      </tp>
      <tp t="s">
        <v>#N/A N/A</v>
        <stp/>
        <stp>BQL|11515250461093676896</stp>
        <tr r="R208" s="2"/>
      </tp>
      <tp t="s">
        <v>#N/A N/A</v>
        <stp/>
        <stp>BQL|14839917431139620907</stp>
        <tr r="M361" s="2"/>
      </tp>
      <tp t="s">
        <v>#N/A N/A</v>
        <stp/>
        <stp>BQL|10073794982202459314</stp>
        <tr r="E113" s="2"/>
      </tp>
      <tp t="s">
        <v>#N/A N/A</v>
        <stp/>
        <stp>BQL|15003131582364161698</stp>
        <tr r="O182" s="2"/>
      </tp>
      <tp t="s">
        <v>#N/A N/A</v>
        <stp/>
        <stp>BQL|11271457971525961961</stp>
        <tr r="O278" s="2"/>
      </tp>
      <tp t="s">
        <v>#N/A N/A</v>
        <stp/>
        <stp>BQL|11544923255383974026</stp>
        <tr r="I294" s="2"/>
      </tp>
      <tp t="s">
        <v>#N/A N/A</v>
        <stp/>
        <stp>BQL|10999047134789248436</stp>
        <tr r="V205" s="2"/>
        <tr r="V308" s="2"/>
      </tp>
      <tp t="s">
        <v>#N/A N/A</v>
        <stp/>
        <stp>BQL|14217560948063481800</stp>
        <tr r="U364" s="2"/>
      </tp>
      <tp t="s">
        <v>#N/A N/A</v>
        <stp/>
        <stp>BQL|14172621157318548199</stp>
        <tr r="P138" s="2"/>
      </tp>
      <tp t="s">
        <v>#N/A N/A</v>
        <stp/>
        <stp>BQL|11884450183694045767</stp>
        <tr r="R113" s="2"/>
      </tp>
      <tp t="s">
        <v>#N/A N/A</v>
        <stp/>
        <stp>BQL|11062320791730972524</stp>
        <tr r="U211" s="2"/>
      </tp>
      <tp t="s">
        <v>#N/A N/A</v>
        <stp/>
        <stp>BQL|13327996164923186175</stp>
        <tr r="J221" s="2"/>
      </tp>
      <tp t="s">
        <v>#N/A N/A</v>
        <stp/>
        <stp>BQL|15687858036379479993</stp>
        <tr r="W268" s="2"/>
      </tp>
      <tp t="s">
        <v>#N/A N/A</v>
        <stp/>
        <stp>BQL|15562462628189154427</stp>
        <tr r="T274" s="2"/>
      </tp>
      <tp t="s">
        <v>#N/A N/A</v>
        <stp/>
        <stp>BQL|12247985540223045221</stp>
        <tr r="P104" s="2"/>
      </tp>
      <tp t="s">
        <v>#N/A N/A</v>
        <stp/>
        <stp>BQL|16324781898175871331</stp>
        <tr r="W278" s="2"/>
      </tp>
      <tp t="s">
        <v>#N/A N/A</v>
        <stp/>
        <stp>BQL|12835169085447361236</stp>
        <tr r="Q284" s="2"/>
      </tp>
      <tp t="s">
        <v>#N/A N/A</v>
        <stp/>
        <stp>BQL|13889405230538711244</stp>
        <tr r="G100" s="2"/>
      </tp>
      <tp t="s">
        <v>#N/A N/A</v>
        <stp/>
        <stp>BQL|10233234759369705042</stp>
        <tr r="M166" s="2"/>
      </tp>
      <tp t="s">
        <v>#N/A N/A</v>
        <stp/>
        <stp>BQL|18025041461578744894</stp>
        <tr r="N296" s="2"/>
      </tp>
      <tp t="s">
        <v>#N/A N/A</v>
        <stp/>
        <stp>BQL|18331235162640855211</stp>
        <tr r="O160" s="2"/>
        <tr r="O21" s="2"/>
        <tr r="O92" s="2"/>
      </tp>
      <tp t="s">
        <v>#N/A N/A</v>
        <stp/>
        <stp>BQL|12870308241138702344</stp>
        <tr r="T310" s="2"/>
      </tp>
      <tp t="s">
        <v>#N/A N/A</v>
        <stp/>
        <stp>BQL|11809189375190928962</stp>
        <tr r="L278" s="2"/>
      </tp>
      <tp t="s">
        <v>#N/A N/A</v>
        <stp/>
        <stp>BQL|11690940325275433197</stp>
        <tr r="T168" s="2"/>
      </tp>
      <tp t="s">
        <v>#N/A N/A</v>
        <stp/>
        <stp>BQL|14453119346757923806</stp>
        <tr r="P108" s="2"/>
      </tp>
      <tp t="s">
        <v>#N/A N/A</v>
        <stp/>
        <stp>BQL|12041191245740193975</stp>
        <tr r="P14" s="2"/>
        <tr r="P87" s="2"/>
      </tp>
      <tp t="s">
        <v>#N/A N/A</v>
        <stp/>
        <stp>BQL|16036192531369353319</stp>
        <tr r="N319" s="2"/>
      </tp>
      <tp t="s">
        <v>#N/A N/A</v>
        <stp/>
        <stp>BQL|17781455992192225683</stp>
        <tr r="I245" s="2"/>
      </tp>
      <tp t="s">
        <v>#N/A N/A</v>
        <stp/>
        <stp>BQL|14187560805428072787</stp>
        <tr r="W102" s="2"/>
      </tp>
      <tp t="s">
        <v>#N/A N/A</v>
        <stp/>
        <stp>BQL|13431435944598966509</stp>
        <tr r="M126" s="2"/>
      </tp>
      <tp t="s">
        <v>#N/A N/A</v>
        <stp/>
        <stp>BQL|13313644449047507813</stp>
        <tr r="O175" s="2"/>
      </tp>
      <tp t="s">
        <v>#N/A N/A</v>
        <stp/>
        <stp>BQL|11533942549340235207</stp>
        <tr r="V130" s="2"/>
      </tp>
      <tp t="s">
        <v>#N/A N/A</v>
        <stp/>
        <stp>BQL|14980476688095173023</stp>
        <tr r="J85" s="2"/>
      </tp>
      <tp t="s">
        <v>#N/A N/A</v>
        <stp/>
        <stp>BQL|11765876742825731506</stp>
        <tr r="M223" s="2"/>
      </tp>
      <tp t="s">
        <v>#N/A N/A</v>
        <stp/>
        <stp>BQL|16073878321026251716</stp>
        <tr r="R72" s="2"/>
      </tp>
      <tp t="s">
        <v>#N/A N/A</v>
        <stp/>
        <stp>BQL|18388259662729340821</stp>
        <tr r="J71" s="2"/>
      </tp>
      <tp t="s">
        <v>#N/A N/A</v>
        <stp/>
        <stp>BQL|10537033042120930981</stp>
        <tr r="Q251" s="2"/>
      </tp>
      <tp t="s">
        <v>#N/A N/A</v>
        <stp/>
        <stp>BQL|14147918122423690112</stp>
        <tr r="X180" s="2"/>
      </tp>
      <tp t="s">
        <v>#N/A N/A</v>
        <stp/>
        <stp>BQL|12169332801608753414</stp>
        <tr r="H132" s="2"/>
      </tp>
      <tp t="s">
        <v>#N/A N/A</v>
        <stp/>
        <stp>BQL|11515540848099957453</stp>
        <tr r="P180" s="2"/>
      </tp>
      <tp t="s">
        <v>#N/A N/A</v>
        <stp/>
        <stp>BQL|16027832782373564813</stp>
        <tr r="T113" s="2"/>
      </tp>
      <tp t="s">
        <v>#N/A N/A</v>
        <stp/>
        <stp>BQL|10885392595813333438</stp>
        <tr r="K202" s="2"/>
      </tp>
      <tp t="s">
        <v>#N/A N/A</v>
        <stp/>
        <stp>BQL|18435348079936590785</stp>
        <tr r="E121" s="2"/>
      </tp>
      <tp t="s">
        <v>#N/A N/A</v>
        <stp/>
        <stp>BQL|11719456689818844876</stp>
        <tr r="G320" s="2"/>
      </tp>
      <tp t="s">
        <v>#N/A N/A</v>
        <stp/>
        <stp>BQL|11185215083756493030</stp>
        <tr r="H277" s="2"/>
      </tp>
      <tp t="s">
        <v>#N/A N/A</v>
        <stp/>
        <stp>BQL|17523910304905099640</stp>
        <tr r="I327" s="2"/>
      </tp>
      <tp t="s">
        <v>#N/A N/A</v>
        <stp/>
        <stp>BQL|14351196499135652410</stp>
        <tr r="N198" s="2"/>
      </tp>
      <tp t="s">
        <v>#N/A N/A</v>
        <stp/>
        <stp>BQL|15380146397699241957</stp>
        <tr r="P72" s="2"/>
      </tp>
      <tp t="s">
        <v>#N/A N/A</v>
        <stp/>
        <stp>BQL|13651205594063198642</stp>
        <tr r="I174" s="2"/>
      </tp>
      <tp t="s">
        <v>#N/A N/A</v>
        <stp/>
        <stp>BQL|11147577529729162299</stp>
        <tr r="W350" s="2"/>
      </tp>
      <tp t="s">
        <v>#N/A N/A</v>
        <stp/>
        <stp>BQL|17482871158090404780</stp>
        <tr r="Q221" s="2"/>
      </tp>
      <tp t="s">
        <v>#N/A N/A</v>
        <stp/>
        <stp>BQL|17724926576915008145</stp>
        <tr r="U259" s="2"/>
      </tp>
      <tp t="s">
        <v>#N/A N/A</v>
        <stp/>
        <stp>BQL|14835364458569884692</stp>
        <tr r="F250" s="2"/>
      </tp>
      <tp t="s">
        <v>#N/A N/A</v>
        <stp/>
        <stp>BQL|15991447693476916304</stp>
        <tr r="P294" s="2"/>
      </tp>
      <tp t="s">
        <v>#N/A N/A</v>
        <stp/>
        <stp>BQL|15551947206725420449</stp>
        <tr r="O112" s="2"/>
        <tr r="O29" s="2"/>
      </tp>
      <tp t="s">
        <v>#N/A N/A</v>
        <stp/>
        <stp>BQL|17323117191401781335</stp>
        <tr r="H251" s="2"/>
      </tp>
      <tp t="s">
        <v>#N/A N/A</v>
        <stp/>
        <stp>BQL|10376315992454610314</stp>
        <tr r="G347" s="2"/>
      </tp>
      <tp t="s">
        <v>#N/A N/A</v>
        <stp/>
        <stp>BQL|11068022428199941740</stp>
        <tr r="E249" s="2"/>
      </tp>
      <tp t="s">
        <v>#N/A N/A</v>
        <stp/>
        <stp>BQL|13072846565754300456</stp>
        <tr r="S106" s="2"/>
      </tp>
      <tp t="s">
        <v>#N/A N/A</v>
        <stp/>
        <stp>BQL|16511331055398256561</stp>
        <tr r="E25" s="2"/>
        <tr r="E96" s="2"/>
      </tp>
      <tp t="s">
        <v>#N/A N/A</v>
        <stp/>
        <stp>BQL|16237510805606838890</stp>
        <tr r="U214" s="2"/>
      </tp>
      <tp t="s">
        <v>#N/A N/A</v>
        <stp/>
        <stp>BQL|16859018489033100076</stp>
        <tr r="N259" s="2"/>
      </tp>
      <tp t="s">
        <v>#N/A N/A</v>
        <stp/>
        <stp>BQL|15373095856234887921</stp>
        <tr r="P289" s="2"/>
      </tp>
      <tp t="s">
        <v>#N/A N/A</v>
        <stp/>
        <stp>BQL|17962326389866684729</stp>
        <tr r="F221" s="2"/>
      </tp>
      <tp t="s">
        <v>#N/A N/A</v>
        <stp/>
        <stp>BQL|15378960750013681757</stp>
        <tr r="H113" s="2"/>
      </tp>
      <tp t="s">
        <v>#N/A N/A</v>
        <stp/>
        <stp>BQL|16574705412858407552</stp>
        <tr r="I159" s="2"/>
        <tr r="I20" s="2"/>
        <tr r="I91" s="2"/>
      </tp>
      <tp t="s">
        <v>#N/A N/A</v>
        <stp/>
        <stp>BQL|17881392900690082979</stp>
        <tr r="H266" s="2"/>
      </tp>
      <tp t="s">
        <v>#N/A N/A</v>
        <stp/>
        <stp>BQL|13139073869580804819</stp>
        <tr r="O277" s="2"/>
      </tp>
      <tp t="s">
        <v>#N/A N/A</v>
        <stp/>
        <stp>BQL|16861086992903343171</stp>
        <tr r="K348" s="2"/>
      </tp>
      <tp t="s">
        <v>#N/A N/A</v>
        <stp/>
        <stp>BQL|11986438671349489698</stp>
        <tr r="P272" s="2"/>
      </tp>
      <tp t="s">
        <v>#N/A N/A</v>
        <stp/>
        <stp>BQL|13952427971845513898</stp>
        <tr r="X248" s="2"/>
      </tp>
      <tp t="s">
        <v>#N/A N/A</v>
        <stp/>
        <stp>BQL|17018814343032224465</stp>
        <tr r="J144" s="2"/>
      </tp>
      <tp t="s">
        <v>#N/A N/A</v>
        <stp/>
        <stp>BQL|12762076741283574827</stp>
        <tr r="G361" s="2"/>
      </tp>
      <tp t="s">
        <v>#N/A N/A</v>
        <stp/>
        <stp>BQL|12789415378399836576</stp>
        <tr r="P278" s="2"/>
      </tp>
      <tp t="s">
        <v>#N/A N/A</v>
        <stp/>
        <stp>BQL|12197359906975004931</stp>
        <tr r="V298" s="2"/>
      </tp>
      <tp t="s">
        <v>#N/A N/A</v>
        <stp/>
        <stp>BQL|13888026515187919871</stp>
        <tr r="K330" s="2"/>
      </tp>
      <tp t="s">
        <v>#N/A N/A</v>
        <stp/>
        <stp>BQL|10397017385915233048</stp>
        <tr r="X156" s="2"/>
      </tp>
      <tp t="s">
        <v>#N/A N/A</v>
        <stp/>
        <stp>BQL|11333629583562556069</stp>
        <tr r="M338" s="2"/>
      </tp>
      <tp t="s">
        <v>#N/A N/A</v>
        <stp/>
        <stp>BQL|12142896571544869403</stp>
        <tr r="F271" s="2"/>
      </tp>
      <tp t="s">
        <v>#N/A N/A</v>
        <stp/>
        <stp>BQL|16149835540570521764</stp>
        <tr r="O3" s="2"/>
      </tp>
      <tp t="s">
        <v>#N/A N/A</v>
        <stp/>
        <stp>BQL|14567356919708959310</stp>
        <tr r="W286" s="2"/>
      </tp>
      <tp t="s">
        <v>#N/A N/A</v>
        <stp/>
        <stp>BQL|16531353786102277257</stp>
        <tr r="I336" s="2"/>
      </tp>
      <tp t="s">
        <v>#N/A N/A</v>
        <stp/>
        <stp>BQL|12100471279984695886</stp>
        <tr r="G300" s="2"/>
      </tp>
      <tp t="s">
        <v>#N/A N/A</v>
        <stp/>
        <stp>BQL|13236942652774642634</stp>
        <tr r="P320" s="2"/>
      </tp>
      <tp t="s">
        <v>#N/A N/A</v>
        <stp/>
        <stp>BQL|13378092679851104838</stp>
        <tr r="V54" s="2"/>
      </tp>
      <tp t="s">
        <v>#N/A N/A</v>
        <stp/>
        <stp>BQL|11444029386277266325</stp>
        <tr r="H55" s="2"/>
      </tp>
      <tp t="s">
        <v>#N/A N/A</v>
        <stp/>
        <stp>BQL|10066485057799720584</stp>
        <tr r="M179" s="2"/>
      </tp>
      <tp t="s">
        <v>#N/A N/A</v>
        <stp/>
        <stp>BQL|17606062022490605847</stp>
        <tr r="G86" s="2"/>
      </tp>
      <tp t="s">
        <v>#N/A N/A</v>
        <stp/>
        <stp>BQL|15534657812716319917</stp>
        <tr r="U79" s="2"/>
      </tp>
      <tp t="s">
        <v>#N/A N/A</v>
        <stp/>
        <stp>BQL|13017712481145837485</stp>
        <tr r="T55" s="2"/>
      </tp>
      <tp t="s">
        <v>#N/A N/A</v>
        <stp/>
        <stp>BQL|14750379705628574236</stp>
        <tr r="J47" s="2"/>
      </tp>
      <tp t="s">
        <v>#N/A N/A</v>
        <stp/>
        <stp>BQL|12455421782911201256</stp>
        <tr r="J160" s="2"/>
        <tr r="J21" s="2"/>
        <tr r="J92" s="2"/>
      </tp>
      <tp t="s">
        <v>#N/A N/A</v>
        <stp/>
        <stp>BQL|10056708031761323811</stp>
        <tr r="F239" s="2"/>
      </tp>
      <tp t="s">
        <v>#N/A N/A</v>
        <stp/>
        <stp>BQL|13676635995425464478</stp>
        <tr r="O174" s="2"/>
      </tp>
      <tp t="s">
        <v>#N/A N/A</v>
        <stp/>
        <stp>BQL|13676449565455602925</stp>
        <tr r="W261" s="2"/>
      </tp>
      <tp t="s">
        <v>#N/A N/A</v>
        <stp/>
        <stp>BQL|15970516151339352198</stp>
        <tr r="H131" s="2"/>
      </tp>
      <tp t="s">
        <v>#N/A N/A</v>
        <stp/>
        <stp>BQL|14033717280555667348</stp>
        <tr r="Q119" s="2"/>
      </tp>
      <tp t="s">
        <v>#N/A N/A</v>
        <stp/>
        <stp>BQL|10019149398535768085</stp>
        <tr r="M303" s="2"/>
      </tp>
      <tp t="s">
        <v>#N/A N/A</v>
        <stp/>
        <stp>BQL|15672156186998566932</stp>
        <tr r="F229" s="2"/>
      </tp>
      <tp t="s">
        <v>#N/A N/A</v>
        <stp/>
        <stp>BQL|14661416789242826751</stp>
        <tr r="V120" s="2"/>
      </tp>
      <tp t="s">
        <v>#N/A N/A</v>
        <stp/>
        <stp>BQL|12089921976734688516</stp>
        <tr r="K254" s="2"/>
      </tp>
      <tp t="s">
        <v>#N/A N/A</v>
        <stp/>
        <stp>BQL|11305105582511113431</stp>
        <tr r="P347" s="2"/>
      </tp>
      <tp t="s">
        <v>#N/A N/A</v>
        <stp/>
        <stp>BQL|13855588153839868784</stp>
        <tr r="E181" s="2"/>
      </tp>
      <tp t="s">
        <v>#N/A N/A</v>
        <stp/>
        <stp>BQL|11206847790765204875</stp>
        <tr r="E18" s="2"/>
        <tr r="E93" s="2"/>
      </tp>
      <tp t="s">
        <v>#N/A N/A</v>
        <stp/>
        <stp>BQL|12839899212067581156</stp>
        <tr r="V14" s="2"/>
        <tr r="V87" s="2"/>
      </tp>
      <tp t="s">
        <v>#N/A N/A</v>
        <stp/>
        <stp>BQL|14083736712616477977</stp>
        <tr r="G350" s="2"/>
      </tp>
      <tp t="s">
        <v>#N/A N/A</v>
        <stp/>
        <stp>BQL|17858873477043892622</stp>
        <tr r="M298" s="2"/>
      </tp>
      <tp t="s">
        <v>#N/A N/A</v>
        <stp/>
        <stp>BQL|10620742733380462977</stp>
        <tr r="S173" s="2"/>
      </tp>
      <tp t="s">
        <v>#N/A N/A</v>
        <stp/>
        <stp>BQL|13346747321023751834</stp>
        <tr r="R169" s="2"/>
        <tr r="R219" s="2"/>
      </tp>
      <tp t="s">
        <v>#N/A N/A</v>
        <stp/>
        <stp>BQL|16340676754089009120</stp>
        <tr r="M335" s="2"/>
      </tp>
      <tp t="s">
        <v>#N/A N/A</v>
        <stp/>
        <stp>BQL|13089526446877509834</stp>
        <tr r="L198" s="2"/>
      </tp>
      <tp t="s">
        <v>#N/A N/A</v>
        <stp/>
        <stp>BQL|15563458411168065538</stp>
        <tr r="Q296" s="2"/>
      </tp>
      <tp t="s">
        <v>#N/A N/A</v>
        <stp/>
        <stp>BQL|14544649046393786823</stp>
        <tr r="M331" s="2"/>
      </tp>
      <tp t="s">
        <v>#N/A N/A</v>
        <stp/>
        <stp>BQL|12116189334519377430</stp>
        <tr r="U256" s="2"/>
        <tr r="U279" s="2"/>
      </tp>
      <tp t="s">
        <v>#N/A N/A</v>
        <stp/>
        <stp>BQL|10378585486967432746</stp>
        <tr r="K53" s="2"/>
      </tp>
      <tp t="s">
        <v>#N/A N/A</v>
        <stp/>
        <stp>BQL|14915392118183170848</stp>
        <tr r="E244" s="2"/>
      </tp>
      <tp t="s">
        <v>#N/A N/A</v>
        <stp/>
        <stp>BQL|10695392995065334245</stp>
        <tr r="O330" s="2"/>
      </tp>
      <tp t="s">
        <v>#N/A N/A</v>
        <stp/>
        <stp>BQL|15103336813998999254</stp>
        <tr r="V278" s="2"/>
      </tp>
      <tp t="s">
        <v>#N/A N/A</v>
        <stp/>
        <stp>BQL|14023988985680186816</stp>
        <tr r="U205" s="2"/>
        <tr r="U308" s="2"/>
      </tp>
      <tp t="s">
        <v>#N/A N/A</v>
        <stp/>
        <stp>BQL|13435352045058992108</stp>
        <tr r="X15" s="2"/>
        <tr r="X88" s="2"/>
      </tp>
      <tp t="s">
        <v>#N/A N/A</v>
        <stp/>
        <stp>BQL|16427831548550546775</stp>
        <tr r="L234" s="2"/>
        <tr r="L311" s="2"/>
      </tp>
      <tp t="s">
        <v>#N/A N/A</v>
        <stp/>
        <stp>BQL|16806230537483568947</stp>
        <tr r="V106" s="2"/>
      </tp>
      <tp t="s">
        <v>#N/A N/A</v>
        <stp/>
        <stp>BQL|10040511258539416405</stp>
        <tr r="J120" s="2"/>
      </tp>
      <tp t="s">
        <v>#N/A N/A</v>
        <stp/>
        <stp>BQL|15299833018302380368</stp>
        <tr r="R177" s="2"/>
      </tp>
      <tp t="s">
        <v>#N/A N/A</v>
        <stp/>
        <stp>BQL|17546551809857634831</stp>
        <tr r="X181" s="2"/>
      </tp>
      <tp t="s">
        <v>#N/A N/A</v>
        <stp/>
        <stp>BQL|12128942450900832314</stp>
        <tr r="P359" s="2"/>
      </tp>
      <tp t="s">
        <v>#N/A N/A</v>
        <stp/>
        <stp>BQL|15081465148519545172</stp>
        <tr r="O104" s="2"/>
      </tp>
      <tp t="s">
        <v>#N/A N/A</v>
        <stp/>
        <stp>BQL|14011907979413786426</stp>
        <tr r="N347" s="2"/>
      </tp>
      <tp t="s">
        <v>#N/A N/A</v>
        <stp/>
        <stp>BQL|12056904748460452202</stp>
        <tr r="X292" s="2"/>
      </tp>
      <tp t="s">
        <v>#N/A N/A</v>
        <stp/>
        <stp>BQL|15825857748056999208</stp>
        <tr r="T327" s="2"/>
      </tp>
      <tp t="s">
        <v>#N/A N/A</v>
        <stp/>
        <stp>BQL|17383935360581828472</stp>
        <tr r="J315" s="2"/>
      </tp>
      <tp t="s">
        <v>#N/A N/A</v>
        <stp/>
        <stp>BQL|12341987952124762717</stp>
        <tr r="W355" s="2"/>
      </tp>
      <tp t="s">
        <v>#N/A N/A</v>
        <stp/>
        <stp>BQL|17762276999734477520</stp>
        <tr r="P334" s="2"/>
      </tp>
      <tp t="s">
        <v>#N/A N/A</v>
        <stp/>
        <stp>BQL|12386382994784723166</stp>
        <tr r="E300" s="2"/>
      </tp>
      <tp t="s">
        <v>#N/A N/A</v>
        <stp/>
        <stp>BQL|14384548172433386884</stp>
        <tr r="K341" s="2"/>
      </tp>
      <tp t="s">
        <v>#N/A N/A</v>
        <stp/>
        <stp>BQL|16374051719698091217</stp>
        <tr r="W127" s="2"/>
      </tp>
      <tp t="s">
        <v>#N/A N/A</v>
        <stp/>
        <stp>BQL|15016293096040052315</stp>
        <tr r="H236" s="2"/>
      </tp>
      <tp t="s">
        <v>#N/A N/A</v>
        <stp/>
        <stp>BQL|14626173697564958510</stp>
        <tr r="X276" s="2"/>
      </tp>
      <tp t="s">
        <v>#N/A N/A</v>
        <stp/>
        <stp>BQL|12432321111309157484</stp>
        <tr r="O282" s="2"/>
      </tp>
      <tp t="s">
        <v>#N/A N/A</v>
        <stp/>
        <stp>BQL|17242323305671262897</stp>
        <tr r="I128" s="2"/>
        <tr r="I33" s="2"/>
      </tp>
      <tp t="s">
        <v>#N/A N/A</v>
        <stp/>
        <stp>BQL|17113088621568284044</stp>
        <tr r="V239" s="2"/>
      </tp>
      <tp t="s">
        <v>#N/A N/A</v>
        <stp/>
        <stp>BQL|13126446431419935047</stp>
        <tr r="W309" s="2"/>
      </tp>
      <tp t="s">
        <v>#N/A N/A</v>
        <stp/>
        <stp>BQL|16316444452559970346</stp>
        <tr r="U208" s="2"/>
      </tp>
      <tp t="s">
        <v>#N/A N/A</v>
        <stp/>
        <stp>BQL|12647248598254690041</stp>
        <tr r="N147" s="2"/>
      </tp>
      <tp t="s">
        <v>#N/A N/A</v>
        <stp/>
        <stp>BQL|15987018581682825291</stp>
        <tr r="E227" s="2"/>
      </tp>
      <tp t="s">
        <v>#N/A N/A</v>
        <stp/>
        <stp>BQL|16068065698434233640</stp>
        <tr r="K283" s="2"/>
      </tp>
      <tp t="s">
        <v>#N/A N/A</v>
        <stp/>
        <stp>BQL|17288988209376354582</stp>
        <tr r="S310" s="2"/>
      </tp>
      <tp t="s">
        <v>#N/A N/A</v>
        <stp/>
        <stp>BQL|16601087700949512206</stp>
        <tr r="W77" s="2"/>
      </tp>
      <tp t="s">
        <v>#N/A N/A</v>
        <stp/>
        <stp>BQL|13107111170971946923</stp>
        <tr r="N287" s="2"/>
      </tp>
      <tp t="s">
        <v>#N/A N/A</v>
        <stp/>
        <stp>BQL|12194912198406248916</stp>
        <tr r="Q248" s="2"/>
      </tp>
      <tp t="s">
        <v>#N/A N/A</v>
        <stp/>
        <stp>BQL|15127059789717692709</stp>
        <tr r="J292" s="2"/>
      </tp>
      <tp t="s">
        <v>#N/A N/A</v>
        <stp/>
        <stp>BQL|13715886661413694338</stp>
        <tr r="K165" s="2"/>
      </tp>
      <tp t="s">
        <v>#N/A N/A</v>
        <stp/>
        <stp>BQL|15867532796704551036</stp>
        <tr r="P177" s="2"/>
      </tp>
      <tp t="s">
        <v>#N/A N/A</v>
        <stp/>
        <stp>BQL|17704865608627721556</stp>
        <tr r="L320" s="2"/>
      </tp>
      <tp t="s">
        <v>#N/A N/A</v>
        <stp/>
        <stp>BQL|14897611482617342020</stp>
        <tr r="E255" s="2"/>
      </tp>
      <tp t="s">
        <v>#N/A N/A</v>
        <stp/>
        <stp>BQL|16338130684704935678</stp>
        <tr r="O326" s="2"/>
        <tr r="O41" s="2"/>
      </tp>
      <tp t="s">
        <v>#N/A N/A</v>
        <stp/>
        <stp>BQL|12158985928610243495</stp>
        <tr r="T356" s="2"/>
      </tp>
      <tp t="s">
        <v>#N/A N/A</v>
        <stp/>
        <stp>BQL|18159016236585900353</stp>
        <tr r="K277" s="2"/>
      </tp>
      <tp t="s">
        <v>#N/A N/A</v>
        <stp/>
        <stp>BQL|10035085022397791983</stp>
        <tr r="J175" s="2"/>
      </tp>
      <tp t="s">
        <v>#N/A N/A</v>
        <stp/>
        <stp>BQL|17227918255973783445</stp>
        <tr r="K130" s="2"/>
      </tp>
      <tp t="s">
        <v>#N/A N/A</v>
        <stp/>
        <stp>BQL|14811392695482286033</stp>
        <tr r="M277" s="2"/>
      </tp>
      <tp t="s">
        <v>#N/A N/A</v>
        <stp/>
        <stp>BQL|17423674414149747550</stp>
        <tr r="N331" s="2"/>
      </tp>
      <tp t="s">
        <v>#N/A N/A</v>
        <stp/>
        <stp>BQL|15397649592320063607</stp>
        <tr r="O237" s="2"/>
      </tp>
      <tp t="s">
        <v>#N/A N/A</v>
        <stp/>
        <stp>BQL|14620158641988360545</stp>
        <tr r="H151" s="2"/>
      </tp>
      <tp t="s">
        <v>#N/A N/A</v>
        <stp/>
        <stp>BQL|18150216616192237517</stp>
        <tr r="P118" s="2"/>
      </tp>
      <tp t="s">
        <v>#N/A N/A</v>
        <stp/>
        <stp>BQL|13326036087343089429</stp>
        <tr r="R188" s="2"/>
        <tr r="R38" s="2"/>
      </tp>
      <tp t="s">
        <v>#N/A N/A</v>
        <stp/>
        <stp>BQL|13001360743520892888</stp>
        <tr r="E317" s="2"/>
      </tp>
      <tp t="s">
        <v>#N/A N/A</v>
        <stp/>
        <stp>BQL|10380011796763416645</stp>
        <tr r="G76" s="2"/>
      </tp>
      <tp t="s">
        <v>#N/A N/A</v>
        <stp/>
        <stp>BQL|10636704991943055132</stp>
        <tr r="L254" s="2"/>
      </tp>
      <tp t="s">
        <v>#N/A N/A</v>
        <stp/>
        <stp>BQL|12129659459404037995</stp>
        <tr r="X331" s="2"/>
      </tp>
      <tp t="s">
        <v>#N/A N/A</v>
        <stp/>
        <stp>BQL|10034347594865742330</stp>
        <tr r="L176" s="2"/>
      </tp>
      <tp t="s">
        <v>#N/A N/A</v>
        <stp/>
        <stp>BQL|13188870887968593700</stp>
        <tr r="V353" s="2"/>
      </tp>
      <tp t="s">
        <v>#N/A N/A</v>
        <stp/>
        <stp>BQL|15222708786032564454</stp>
        <tr r="S130" s="2"/>
      </tp>
      <tp t="s">
        <v>#N/A N/A</v>
        <stp/>
        <stp>BQL|16128919627368708947</stp>
        <tr r="K238" s="2"/>
      </tp>
      <tp t="s">
        <v>#N/A N/A</v>
        <stp/>
        <stp>BQL|13602718658768890538</stp>
        <tr r="G274" s="2"/>
      </tp>
      <tp t="s">
        <v>#N/A N/A</v>
        <stp/>
        <stp>BQL|13649682642685099884</stp>
        <tr r="Q144" s="2"/>
      </tp>
      <tp t="s">
        <v>#N/A N/A</v>
        <stp/>
        <stp>BQL|11401056316595593968</stp>
        <tr r="K248" s="2"/>
      </tp>
      <tp t="s">
        <v>#N/A N/A</v>
        <stp/>
        <stp>BQL|14483576843201548823</stp>
        <tr r="S244" s="2"/>
      </tp>
      <tp t="s">
        <v>#N/A N/A</v>
        <stp/>
        <stp>BQL|12391880359714765726</stp>
        <tr r="X165" s="2"/>
      </tp>
      <tp t="s">
        <v>#N/A N/A</v>
        <stp/>
        <stp>BQL|10252174131919586760</stp>
        <tr r="K169" s="2"/>
        <tr r="K219" s="2"/>
      </tp>
      <tp t="s">
        <v>#N/A N/A</v>
        <stp/>
        <stp>BQL|13565780599428013933</stp>
        <tr r="E316" s="2"/>
      </tp>
      <tp t="s">
        <v>#N/A N/A</v>
        <stp/>
        <stp>BQL|17976682016055210924</stp>
        <tr r="W115" s="2"/>
      </tp>
      <tp t="s">
        <v>#N/A N/A</v>
        <stp/>
        <stp>BQL|18344539132565582707</stp>
        <tr r="E3" s="2"/>
      </tp>
      <tp t="s">
        <v>#N/A N/A</v>
        <stp/>
        <stp>BQL|13002175420984572845</stp>
        <tr r="U360" s="2"/>
      </tp>
      <tp t="s">
        <v>#N/A N/A</v>
        <stp/>
        <stp>BQL|16758520831304219809</stp>
        <tr r="G271" s="2"/>
      </tp>
      <tp t="s">
        <v>#N/A N/A</v>
        <stp/>
        <stp>BQL|16401597119786260805</stp>
        <tr r="N351" s="2"/>
      </tp>
      <tp t="s">
        <v>#N/A N/A</v>
        <stp/>
        <stp>BQL|10458373580775060254</stp>
        <tr r="F24" s="2"/>
        <tr r="F95" s="2"/>
      </tp>
      <tp t="s">
        <v>#N/A N/A</v>
        <stp/>
        <stp>BQL|16576933831004556443</stp>
        <tr r="E168" s="2"/>
      </tp>
      <tp t="s">
        <v>#N/A N/A</v>
        <stp/>
        <stp>BQL|13374664590755542567</stp>
        <tr r="N251" s="2"/>
      </tp>
      <tp t="s">
        <v>#N/A N/A</v>
        <stp/>
        <stp>BQL|17571125283966467469</stp>
        <tr r="G68" s="2"/>
      </tp>
      <tp t="s">
        <v>#N/A N/A</v>
        <stp/>
        <stp>BQL|15393705849563917922</stp>
        <tr r="H102" s="2"/>
      </tp>
      <tp t="s">
        <v>#N/A N/A</v>
        <stp/>
        <stp>BQL|17615972068572138696</stp>
        <tr r="S316" s="2"/>
      </tp>
      <tp t="s">
        <v>#N/A N/A</v>
        <stp/>
        <stp>BQL|18358702943823881494</stp>
        <tr r="K193" s="2"/>
      </tp>
      <tp t="s">
        <v>#N/A N/A</v>
        <stp/>
        <stp>BQL|14248936427437222456</stp>
        <tr r="U319" s="2"/>
      </tp>
      <tp t="s">
        <v>#N/A N/A</v>
        <stp/>
        <stp>BQL|13378294099543667742</stp>
        <tr r="H264" s="2"/>
      </tp>
      <tp t="s">
        <v>#N/A N/A</v>
        <stp/>
        <stp>BQL|17554636315414754850</stp>
        <tr r="S234" s="2"/>
        <tr r="S311" s="2"/>
      </tp>
      <tp t="s">
        <v>#N/A N/A</v>
        <stp/>
        <stp>BQL|16691294735112996925</stp>
        <tr r="H130" s="2"/>
      </tp>
      <tp t="s">
        <v>#N/A N/A</v>
        <stp/>
        <stp>BQL|14845720089267738053</stp>
        <tr r="L114" s="2"/>
      </tp>
      <tp t="s">
        <v>#N/A N/A</v>
        <stp/>
        <stp>BQL|14959247524790164897</stp>
        <tr r="L184" s="2"/>
        <tr r="L35" s="2"/>
      </tp>
      <tp t="s">
        <v>#N/A N/A</v>
        <stp/>
        <stp>BQL|14797404416554300927</stp>
        <tr r="X298" s="2"/>
      </tp>
      <tp t="s">
        <v>#N/A N/A</v>
        <stp/>
        <stp>BQL|14879686464321186958</stp>
        <tr r="L156" s="2"/>
      </tp>
      <tp t="s">
        <v>#N/A N/A</v>
        <stp/>
        <stp>BQL|15721000962099015652</stp>
        <tr r="S206" s="2"/>
      </tp>
      <tp t="s">
        <v>#N/A N/A</v>
        <stp/>
        <stp>BQL|12926874555456301587</stp>
        <tr r="E302" s="2"/>
      </tp>
      <tp t="s">
        <v>#N/A N/A</v>
        <stp/>
        <stp>BQL|15391972575901755662</stp>
        <tr r="E4" s="2"/>
      </tp>
      <tp t="s">
        <v>#N/A N/A</v>
        <stp/>
        <stp>BQL|16871643842780420898</stp>
        <tr r="L204" s="2"/>
      </tp>
      <tp t="s">
        <v>#N/A N/A</v>
        <stp/>
        <stp>BQL|18405390759991035375</stp>
        <tr r="T129" s="2"/>
      </tp>
      <tp t="s">
        <v>#N/A N/A</v>
        <stp/>
        <stp>BQL|12989853464755970524</stp>
        <tr r="J336" s="2"/>
      </tp>
      <tp t="s">
        <v>#N/A N/A</v>
        <stp/>
        <stp>BQL|18331446919662802350</stp>
        <tr r="X340" s="2"/>
      </tp>
      <tp t="s">
        <v>#N/A N/A</v>
        <stp/>
        <stp>BQL|13149821867708209953</stp>
        <tr r="E56" s="2"/>
      </tp>
      <tp t="s">
        <v>#N/A N/A</v>
        <stp/>
        <stp>BQL|12642512678029955554</stp>
        <tr r="R126" s="2"/>
      </tp>
      <tp t="s">
        <v>#N/A N/A</v>
        <stp/>
        <stp>BQL|16331946674290871485</stp>
        <tr r="E250" s="2"/>
      </tp>
      <tp t="s">
        <v>#N/A N/A</v>
        <stp/>
        <stp>BQL|16302943977681482579</stp>
        <tr r="Q208" s="2"/>
      </tp>
      <tp t="s">
        <v>#N/A N/A</v>
        <stp/>
        <stp>BQL|10619821663883006153</stp>
        <tr r="J152" s="2"/>
        <tr r="J62" s="2"/>
      </tp>
      <tp t="s">
        <v>#N/A N/A</v>
        <stp/>
        <stp>BQL|15672113883198683806</stp>
        <tr r="I267" s="2"/>
      </tp>
      <tp t="s">
        <v>#N/A N/A</v>
        <stp/>
        <stp>BQL|16158909636079616937</stp>
        <tr r="U337" s="2"/>
      </tp>
      <tp t="s">
        <v>#N/A N/A</v>
        <stp/>
        <stp>BQL|12786000453552602904</stp>
        <tr r="J247" s="2"/>
      </tp>
      <tp t="s">
        <v>#N/A N/A</v>
        <stp/>
        <stp>BQL|11439850965930610307</stp>
        <tr r="V194" s="2"/>
      </tp>
      <tp t="s">
        <v>#N/A N/A</v>
        <stp/>
        <stp>BQL|10665855797694716912</stp>
        <tr r="P255" s="2"/>
      </tp>
      <tp t="s">
        <v>#N/A N/A</v>
        <stp/>
        <stp>BQL|18431615852282718521</stp>
        <tr r="U356" s="2"/>
      </tp>
      <tp t="s">
        <v>#N/A N/A</v>
        <stp/>
        <stp>BQL|11589525593189953801</stp>
        <tr r="O299" s="2"/>
      </tp>
      <tp t="s">
        <v>#N/A N/A</v>
        <stp/>
        <stp>BQL|12701097696411378669</stp>
        <tr r="H319" s="2"/>
      </tp>
      <tp t="s">
        <v>#N/A N/A</v>
        <stp/>
        <stp>BQL|11587223080036305198</stp>
        <tr r="X120" s="2"/>
      </tp>
      <tp t="s">
        <v>#N/A N/A</v>
        <stp/>
        <stp>BQL|12562101682336271182</stp>
        <tr r="W85" s="2"/>
      </tp>
      <tp t="s">
        <v>#N/A N/A</v>
        <stp/>
        <stp>BQL|18170160545488624991</stp>
        <tr r="S86" s="2"/>
      </tp>
      <tp t="s">
        <v>#N/A N/A</v>
        <stp/>
        <stp>BQL|10843452613301278814</stp>
        <tr r="U55" s="2"/>
      </tp>
      <tp t="s">
        <v>#N/A N/A</v>
        <stp/>
        <stp>BQL|13049357463178209294</stp>
        <tr r="K363" s="2"/>
      </tp>
      <tp t="s">
        <v>#N/A N/A</v>
        <stp/>
        <stp>BQL|10863347515949485705</stp>
        <tr r="U365" s="2"/>
      </tp>
      <tp t="s">
        <v>#N/A N/A</v>
        <stp/>
        <stp>BQL|12043287293430333551</stp>
        <tr r="T144" s="2"/>
      </tp>
      <tp t="s">
        <v>#N/A N/A</v>
        <stp/>
        <stp>BQL|16816967021915184429</stp>
        <tr r="V116" s="2"/>
        <tr r="V30" s="2"/>
      </tp>
      <tp t="s">
        <v>#N/A N/A</v>
        <stp/>
        <stp>BQL|17203681086691899480</stp>
        <tr r="Q156" s="2"/>
      </tp>
      <tp t="s">
        <v>#N/A N/A</v>
        <stp/>
        <stp>BQL|11416291697037702113</stp>
        <tr r="S212" s="2"/>
        <tr r="S6" s="2"/>
      </tp>
      <tp t="s">
        <v>#N/A N/A</v>
        <stp/>
        <stp>BQL|14872343197233271153</stp>
        <tr r="E282" s="2"/>
      </tp>
      <tp t="s">
        <v>#N/A N/A</v>
        <stp/>
        <stp>BQL|11972562582794563445</stp>
        <tr r="S57" s="2"/>
      </tp>
      <tp t="s">
        <v>#N/A N/A</v>
        <stp/>
        <stp>BQL|12987939931424417035</stp>
        <tr r="K125" s="2"/>
      </tp>
      <tp t="s">
        <v>#N/A N/A</v>
        <stp/>
        <stp>BQL|17962520713557521810</stp>
        <tr r="Q172" s="2"/>
      </tp>
      <tp t="s">
        <v>#N/A N/A</v>
        <stp/>
        <stp>BQL|15824183795722835312</stp>
        <tr r="R269" s="2"/>
      </tp>
      <tp t="s">
        <v>#N/A N/A</v>
        <stp/>
        <stp>BQL|10915398731654895850</stp>
        <tr r="W328" s="2"/>
      </tp>
      <tp t="s">
        <v>#N/A N/A</v>
        <stp/>
        <stp>BQL|17138032591820553291</stp>
        <tr r="W272" s="2"/>
      </tp>
      <tp t="s">
        <v>#N/A N/A</v>
        <stp/>
        <stp>BQL|10166395167181769879</stp>
        <tr r="I125" s="2"/>
      </tp>
      <tp t="s">
        <v>#N/A N/A</v>
        <stp/>
        <stp>BQL|15531344758797065867</stp>
        <tr r="U190" s="2"/>
      </tp>
      <tp t="s">
        <v>#N/A N/A</v>
        <stp/>
        <stp>BQL|13839913124435662142</stp>
        <tr r="G359" s="2"/>
      </tp>
      <tp t="s">
        <v>#N/A N/A</v>
        <stp/>
        <stp>BQL|11324263315377630991</stp>
        <tr r="K76" s="2"/>
      </tp>
      <tp t="s">
        <v>#N/A N/A</v>
        <stp/>
        <stp>BQL|10530388019549819739</stp>
        <tr r="M63" s="2"/>
      </tp>
      <tp t="s">
        <v>#N/A N/A</v>
        <stp/>
        <stp>BQL|12856374790432765677</stp>
        <tr r="P237" s="2"/>
      </tp>
      <tp t="s">
        <v>#N/A N/A</v>
        <stp/>
        <stp>BQL|17892648590835028124</stp>
        <tr r="G243" s="2"/>
      </tp>
      <tp t="s">
        <v>#N/A N/A</v>
        <stp/>
        <stp>BQL|17476383682525773579</stp>
        <tr r="L312" s="2"/>
      </tp>
      <tp t="s">
        <v>#N/A N/A</v>
        <stp/>
        <stp>BQL|10808401070296385957</stp>
        <tr r="P234" s="2"/>
        <tr r="P311" s="2"/>
      </tp>
      <tp t="s">
        <v>#N/A N/A</v>
        <stp/>
        <stp>BQL|14087053939908531372</stp>
        <tr r="R352" s="2"/>
      </tp>
      <tp t="s">
        <v>#N/A N/A</v>
        <stp/>
        <stp>BQL|14762831529006268412</stp>
        <tr r="G262" s="2"/>
      </tp>
      <tp t="s">
        <v>#N/A N/A</v>
        <stp/>
        <stp>BQL|18193321703581882666</stp>
        <tr r="F273" s="2"/>
      </tp>
      <tp t="s">
        <v>#N/A N/A</v>
        <stp/>
        <stp>BQL|15819636147262378910</stp>
        <tr r="V299" s="2"/>
      </tp>
      <tp t="s">
        <v>#N/A N/A</v>
        <stp/>
        <stp>BQL|17343745986360659496</stp>
        <tr r="E228" s="2"/>
      </tp>
      <tp t="s">
        <v>#N/A N/A</v>
        <stp/>
        <stp>BQL|10021820232984739399</stp>
        <tr r="U238" s="2"/>
      </tp>
      <tp t="s">
        <v>#N/A N/A</v>
        <stp/>
        <stp>BQL|14094202581722890007</stp>
        <tr r="I68" s="2"/>
      </tp>
      <tp t="s">
        <v>#N/A N/A</v>
        <stp/>
        <stp>BQL|16265826473941286487</stp>
        <tr r="R288" s="2"/>
      </tp>
      <tp t="s">
        <v>#N/A N/A</v>
        <stp/>
        <stp>BQL|10083241267541897923</stp>
        <tr r="R267" s="2"/>
      </tp>
      <tp t="s">
        <v>#N/A N/A</v>
        <stp/>
        <stp>BQL|17355785400388632444</stp>
        <tr r="S132" s="2"/>
      </tp>
      <tp t="s">
        <v>#N/A N/A</v>
        <stp/>
        <stp>BQL|16593892532958323944</stp>
        <tr r="V342" s="2"/>
      </tp>
      <tp t="s">
        <v>#N/A N/A</v>
        <stp/>
        <stp>BQL|16880880854672978550</stp>
        <tr r="Q327" s="2"/>
      </tp>
      <tp t="s">
        <v>#N/A N/A</v>
        <stp/>
        <stp>BQL|13491089657872055833</stp>
        <tr r="V243" s="2"/>
      </tp>
      <tp t="s">
        <v>#N/A N/A</v>
        <stp/>
        <stp>BQL|12997492234320515994</stp>
        <tr r="O302" s="2"/>
      </tp>
      <tp t="s">
        <v>#N/A N/A</v>
        <stp/>
        <stp>BQL|10720851619017087238</stp>
        <tr r="N119" s="2"/>
      </tp>
      <tp t="s">
        <v>#N/A N/A</v>
        <stp/>
        <stp>BQL|15262783900487360915</stp>
        <tr r="I275" s="2"/>
      </tp>
      <tp t="s">
        <v>#N/A N/A</v>
        <stp/>
        <stp>BQL|12635939809361488600</stp>
        <tr r="O247" s="2"/>
      </tp>
      <tp t="s">
        <v>#N/A N/A</v>
        <stp/>
        <stp>BQL|17861326632463310835</stp>
        <tr r="I254" s="2"/>
      </tp>
      <tp t="s">
        <v>#N/A N/A</v>
        <stp/>
        <stp>BQL|17718610405699270497</stp>
        <tr r="O63" s="2"/>
      </tp>
      <tp t="s">
        <v>#N/A N/A</v>
        <stp/>
        <stp>BQL|12220576789023163055</stp>
        <tr r="E298" s="2"/>
      </tp>
      <tp t="s">
        <v>#N/A N/A</v>
        <stp/>
        <stp>BQL|11043353185153288594</stp>
        <tr r="R205" s="2"/>
        <tr r="R308" s="2"/>
      </tp>
      <tp t="s">
        <v>#N/A N/A</v>
        <stp/>
        <stp>BQL|11223203131574090887</stp>
        <tr r="N187" s="2"/>
        <tr r="N37" s="2"/>
      </tp>
      <tp t="s">
        <v>#N/A N/A</v>
        <stp/>
        <stp>BQL|14364799391310242622</stp>
        <tr r="R276" s="2"/>
      </tp>
      <tp t="s">
        <v>#N/A N/A</v>
        <stp/>
        <stp>BQL|14822041815909571075</stp>
        <tr r="M352" s="2"/>
      </tp>
      <tp t="s">
        <v>#N/A N/A</v>
        <stp/>
        <stp>BQL|10580437560356946846</stp>
        <tr r="R220" s="2"/>
      </tp>
      <tp t="s">
        <v>#N/A N/A</v>
        <stp/>
        <stp>BQL|12564746788518126934</stp>
        <tr r="P316" s="2"/>
      </tp>
      <tp t="s">
        <v>#N/A N/A</v>
        <stp/>
        <stp>BQL|18290718631021957106</stp>
        <tr r="L226" s="2"/>
      </tp>
      <tp t="s">
        <v>#N/A N/A</v>
        <stp/>
        <stp>BQL|10673588807801745853</stp>
        <tr r="X264" s="2"/>
      </tp>
      <tp t="s">
        <v>#N/A N/A</v>
        <stp/>
        <stp>BQL|17876007747077404800</stp>
        <tr r="O254" s="2"/>
      </tp>
      <tp t="s">
        <v>#N/A N/A</v>
        <stp/>
        <stp>BQL|14951311639769345190</stp>
        <tr r="W337" s="2"/>
      </tp>
      <tp t="s">
        <v>#N/A N/A</v>
        <stp/>
        <stp>BQL|15453982712807184640</stp>
        <tr r="R271" s="2"/>
      </tp>
      <tp t="s">
        <v>#N/A N/A</v>
        <stp/>
        <stp>BQL|14312841805757106781</stp>
        <tr r="M127" s="2"/>
      </tp>
      <tp t="s">
        <v>#N/A N/A</v>
        <stp/>
        <stp>BQL|18360132449298667945</stp>
        <tr r="E182" s="2"/>
      </tp>
      <tp t="s">
        <v>#N/A N/A</v>
        <stp/>
        <stp>BQL|12618503997176298495</stp>
        <tr r="U354" s="2"/>
      </tp>
      <tp t="s">
        <v>#N/A N/A</v>
        <stp/>
        <stp>BQL|12534112546712140990</stp>
        <tr r="V262" s="2"/>
      </tp>
      <tp t="s">
        <v>#N/A N/A</v>
        <stp/>
        <stp>BQL|11710097795961094516</stp>
        <tr r="E176" s="2"/>
      </tp>
      <tp t="s">
        <v>#N/A N/A</v>
        <stp/>
        <stp>BQL|16914790478718485269</stp>
        <tr r="I251" s="2"/>
      </tp>
      <tp t="s">
        <v>#N/A N/A</v>
        <stp/>
        <stp>BQL|12670135290014538558</stp>
        <tr r="L166" s="2"/>
      </tp>
      <tp t="s">
        <v>#N/A N/A</v>
        <stp/>
        <stp>BQL|11575748243928460138</stp>
        <tr r="J205" s="2"/>
        <tr r="J308" s="2"/>
      </tp>
      <tp t="s">
        <v>#N/A N/A</v>
        <stp/>
        <stp>BQL|13257824700577112748</stp>
        <tr r="F297" s="2"/>
      </tp>
      <tp t="s">
        <v>#N/A N/A</v>
        <stp/>
        <stp>BQL|17965201400256590891</stp>
        <tr r="H193" s="2"/>
      </tp>
      <tp t="s">
        <v>#N/A N/A</v>
        <stp/>
        <stp>BQL|16254835608735816047</stp>
        <tr r="N277" s="2"/>
      </tp>
      <tp t="s">
        <v>#N/A N/A</v>
        <stp/>
        <stp>BQL|17037196450829506187</stp>
        <tr r="S68" s="2"/>
      </tp>
      <tp t="s">
        <v>#N/A N/A</v>
        <stp/>
        <stp>BQL|15744712503151799861</stp>
        <tr r="N180" s="2"/>
      </tp>
      <tp t="s">
        <v>#N/A N/A</v>
        <stp/>
        <stp>BQL|16893477136033853955</stp>
        <tr r="E166" s="2"/>
      </tp>
      <tp t="s">
        <v>#N/A N/A</v>
        <stp/>
        <stp>BQL|10990761800305829934</stp>
        <tr r="L309" s="2"/>
      </tp>
      <tp t="s">
        <v>#N/A N/A</v>
        <stp/>
        <stp>BQL|11657330751799488546</stp>
        <tr r="H103" s="2"/>
      </tp>
      <tp t="s">
        <v>#N/A N/A</v>
        <stp/>
        <stp>BQL|16980350506506689887</stp>
        <tr r="H15" s="2"/>
        <tr r="H88" s="2"/>
      </tp>
      <tp t="s">
        <v>#N/A N/A</v>
        <stp/>
        <stp>BQL|11075212798325466491</stp>
        <tr r="N365" s="2"/>
      </tp>
      <tp t="s">
        <v>#N/A N/A</v>
        <stp/>
        <stp>BQL|15675613284275260551</stp>
        <tr r="J156" s="2"/>
      </tp>
      <tp t="s">
        <v>#N/A N/A</v>
        <stp/>
        <stp>BQL|14268779285410498003</stp>
        <tr r="F346" s="2"/>
      </tp>
      <tp t="s">
        <v>#N/A N/A</v>
        <stp/>
        <stp>BQL|12388564102868454476</stp>
        <tr r="T151" s="2"/>
      </tp>
      <tp t="s">
        <v>#N/A N/A</v>
        <stp/>
        <stp>BQL|13794767281314772302</stp>
        <tr r="E125" s="2"/>
      </tp>
      <tp t="s">
        <v>#N/A N/A</v>
        <stp/>
        <stp>BQL|10848009498755709704</stp>
        <tr r="P159" s="2"/>
        <tr r="P20" s="2"/>
        <tr r="P91" s="2"/>
      </tp>
      <tp t="s">
        <v>#N/A N/A</v>
        <stp/>
        <stp>BQL|10480968823860770013</stp>
        <tr r="E178" s="2"/>
      </tp>
      <tp t="s">
        <v>#N/A N/A</v>
        <stp/>
        <stp>BQL|18215415551234450610</stp>
        <tr r="Q187" s="2"/>
        <tr r="Q37" s="2"/>
      </tp>
      <tp t="s">
        <v>#N/A N/A</v>
        <stp/>
        <stp>BQL|11370670266953355968</stp>
        <tr r="H271" s="2"/>
      </tp>
      <tp t="s">
        <v>#N/A N/A</v>
        <stp/>
        <stp>BQL|11653842370176006354</stp>
        <tr r="S271" s="2"/>
      </tp>
      <tp t="s">
        <v>#N/A N/A</v>
        <stp/>
        <stp>BQL|10398244794023522306</stp>
        <tr r="E151" s="2"/>
      </tp>
      <tp t="s">
        <v>#N/A N/A</v>
        <stp/>
        <stp>BQL|11635614784984618037</stp>
        <tr r="S103" s="2"/>
      </tp>
      <tp t="s">
        <v>#N/A N/A</v>
        <stp/>
        <stp>BQL|11019359702880797965</stp>
        <tr r="O298" s="2"/>
      </tp>
      <tp t="s">
        <v>#N/A N/A</v>
        <stp/>
        <stp>BQL|14312030585500323704</stp>
        <tr r="L185" s="2"/>
      </tp>
      <tp t="s">
        <v>#N/A N/A</v>
        <stp/>
        <stp>BQL|10358719697944513165</stp>
        <tr r="F112" s="2"/>
        <tr r="F29" s="2"/>
      </tp>
      <tp t="s">
        <v>#N/A N/A</v>
        <stp/>
        <stp>BQL|11078363094585459504</stp>
        <tr r="X169" s="2"/>
        <tr r="X219" s="2"/>
      </tp>
      <tp t="s">
        <v>#N/A N/A</v>
        <stp/>
        <stp>BQL|14357622015961045952</stp>
        <tr r="G205" s="2"/>
        <tr r="G308" s="2"/>
      </tp>
      <tp t="s">
        <v>#N/A N/A</v>
        <stp/>
        <stp>BQL|17211461928842858852</stp>
        <tr r="K171" s="2"/>
      </tp>
      <tp t="s">
        <v>#N/A N/A</v>
        <stp/>
        <stp>BQL|15685374286290026561</stp>
        <tr r="J181" s="2"/>
      </tp>
      <tp t="s">
        <v>#N/A N/A</v>
        <stp/>
        <stp>BQL|12085118395625262473</stp>
        <tr r="S156" s="2"/>
      </tp>
      <tp t="s">
        <v>#N/A N/A</v>
        <stp/>
        <stp>BQL|10227757501194428835</stp>
        <tr r="Q174" s="2"/>
      </tp>
      <tp t="s">
        <v>#N/A N/A</v>
        <stp/>
        <stp>BQL|17706699675908905532</stp>
        <tr r="G227" s="2"/>
      </tp>
      <tp t="s">
        <v>#N/A N/A</v>
        <stp/>
        <stp>BQL|12266314095467179461</stp>
        <tr r="J255" s="2"/>
      </tp>
      <tp t="s">
        <v>#N/A N/A</v>
        <stp/>
        <stp>BQL|10569522270580307957</stp>
        <tr r="T263" s="2"/>
      </tp>
      <tp t="s">
        <v>#N/A N/A</v>
        <stp/>
        <stp>BQL|18229404128906239398</stp>
        <tr r="Q103" s="2"/>
      </tp>
      <tp t="s">
        <v>#N/A N/A</v>
        <stp/>
        <stp>BQL|10613604502238388575</stp>
        <tr r="E266" s="2"/>
      </tp>
      <tp t="s">
        <v>#N/A N/A</v>
        <stp/>
        <stp>BQL|16374794925939835174</stp>
        <tr r="U169" s="2"/>
        <tr r="U219" s="2"/>
      </tp>
      <tp t="s">
        <v>#N/A N/A</v>
        <stp/>
        <stp>BQL|14562092898940017640</stp>
        <tr r="H298" s="2"/>
      </tp>
      <tp t="s">
        <v>#N/A N/A</v>
        <stp/>
        <stp>BQL|10844951445255186393</stp>
        <tr r="E152" s="2"/>
        <tr r="E62" s="2"/>
      </tp>
      <tp t="s">
        <v>#N/A N/A</v>
        <stp/>
        <stp>BQL|15104087609537695968</stp>
        <tr r="L318" s="2"/>
      </tp>
      <tp t="s">
        <v>#N/A N/A</v>
        <stp/>
        <stp>BQL|16078230863010420946</stp>
        <tr r="E267" s="2"/>
      </tp>
      <tp t="s">
        <v>#N/A N/A</v>
        <stp/>
        <stp>BQL|10374203703731657867</stp>
        <tr r="P158" s="2"/>
        <tr r="P17" s="2"/>
        <tr r="P90" s="2"/>
      </tp>
      <tp t="s">
        <v>#N/A N/A</v>
        <stp/>
        <stp>BQL|10634732105434207824</stp>
        <tr r="I64" s="2"/>
      </tp>
      <tp t="s">
        <v>#N/A N/A</v>
        <stp/>
        <stp>BQL|16904754414732963915</stp>
        <tr r="I138" s="2"/>
      </tp>
      <tp t="s">
        <v>#N/A N/A</v>
        <stp/>
        <stp>BQL|15468618157908161508</stp>
        <tr r="G228" s="2"/>
      </tp>
      <tp t="s">
        <v>#N/A N/A</v>
        <stp/>
        <stp>BQL|15052236726368506632</stp>
        <tr r="W147" s="2"/>
      </tp>
      <tp t="s">
        <v>#N/A N/A</v>
        <stp/>
        <stp>BQL|14979595036250751925</stp>
        <tr r="N243" s="2"/>
      </tp>
      <tp t="s">
        <v>#N/A N/A</v>
        <stp/>
        <stp>BQL|15101830774696191748</stp>
        <tr r="I269" s="2"/>
      </tp>
      <tp t="s">
        <v>#N/A N/A</v>
        <stp/>
        <stp>BQL|17179137403579047427</stp>
        <tr r="T56" s="2"/>
      </tp>
      <tp t="s">
        <v>#N/A N/A</v>
        <stp/>
        <stp>BQL|10556643982072304730</stp>
        <tr r="U105" s="2"/>
      </tp>
      <tp t="s">
        <v>#N/A N/A</v>
        <stp/>
        <stp>BQL|10452925596459359207</stp>
        <tr r="M102" s="2"/>
      </tp>
      <tp t="s">
        <v>#N/A N/A</v>
        <stp/>
        <stp>BQL|17594849043199229935</stp>
        <tr r="E312" s="2"/>
      </tp>
      <tp t="s">
        <v>#N/A N/A</v>
        <stp/>
        <stp>BQL|12215994937336650596</stp>
        <tr r="F56" s="2"/>
      </tp>
      <tp t="s">
        <v>#N/A N/A</v>
        <stp/>
        <stp>BQL|17221373305388105727</stp>
        <tr r="R364" s="2"/>
      </tp>
      <tp t="s">
        <v>#N/A N/A</v>
        <stp/>
        <stp>BQL|12167746201639799715</stp>
        <tr r="V176" s="2"/>
      </tp>
      <tp t="s">
        <v>#N/A N/A</v>
        <stp/>
        <stp>BQL|13921867349411014549</stp>
        <tr r="F202" s="2"/>
      </tp>
      <tp t="s">
        <v>#N/A N/A</v>
        <stp/>
        <stp>BQL|12927272688926093548</stp>
        <tr r="G245" s="2"/>
      </tp>
      <tp t="s">
        <v>#N/A N/A</v>
        <stp/>
        <stp>BQL|16934229408727192807</stp>
        <tr r="H121" s="2"/>
      </tp>
      <tp t="s">
        <v>#N/A N/A</v>
        <stp/>
        <stp>BQL|15014746275589168726</stp>
        <tr r="S214" s="2"/>
      </tp>
      <tp t="s">
        <v>#N/A N/A</v>
        <stp/>
        <stp>BQL|18243443004005018206</stp>
        <tr r="Q195" s="2"/>
      </tp>
      <tp t="s">
        <v>#N/A N/A</v>
        <stp/>
        <stp>BQL|11362502742782549967</stp>
        <tr r="P125" s="2"/>
      </tp>
      <tp t="s">
        <v>#N/A N/A</v>
        <stp/>
        <stp>BQL|16572405117629880188</stp>
        <tr r="U244" s="2"/>
      </tp>
      <tp t="s">
        <v>#N/A N/A</v>
        <stp/>
        <stp>BQL|15443348574062974803</stp>
        <tr r="Q68" s="2"/>
      </tp>
      <tp t="s">
        <v>#N/A N/A</v>
        <stp/>
        <stp>BQL|17364022074562961918</stp>
        <tr r="K157" s="2"/>
        <tr r="K16" s="2"/>
        <tr r="K89" s="2"/>
      </tp>
      <tp t="s">
        <v>#N/A N/A</v>
        <stp/>
        <stp>BQL|11208838345864152289</stp>
        <tr r="H354" s="2"/>
      </tp>
      <tp t="s">
        <v>#N/A N/A</v>
        <stp/>
        <stp>BQL|11529509724798468586</stp>
        <tr r="G127" s="2"/>
      </tp>
      <tp t="s">
        <v>#N/A N/A</v>
        <stp/>
        <stp>BQL|15918805095709784668</stp>
        <tr r="P184" s="2"/>
        <tr r="P35" s="2"/>
      </tp>
      <tp t="s">
        <v>#N/A N/A</v>
        <stp/>
        <stp>BQL|11183891405641793374</stp>
        <tr r="J19" s="2"/>
        <tr r="J94" s="2"/>
      </tp>
      <tp t="s">
        <v>#N/A N/A</v>
        <stp/>
        <stp>BQL|16974403665456703965</stp>
        <tr r="S325" s="2"/>
      </tp>
      <tp t="s">
        <v>#N/A N/A</v>
        <stp/>
        <stp>BQL|11844845278622907702</stp>
        <tr r="I79" s="2"/>
      </tp>
      <tp t="s">
        <v>#N/A N/A</v>
        <stp/>
        <stp>BQL|14545204799230796470</stp>
        <tr r="N100" s="2"/>
      </tp>
      <tp t="s">
        <v>#N/A N/A</v>
        <stp/>
        <stp>BQL|15051327013665534989</stp>
        <tr r="I157" s="2"/>
        <tr r="I16" s="2"/>
        <tr r="I89" s="2"/>
      </tp>
      <tp t="s">
        <v>#N/A N/A</v>
        <stp/>
        <stp>BQL|17888638537771906895</stp>
        <tr r="G337" s="2"/>
      </tp>
      <tp t="s">
        <v>#N/A N/A</v>
        <stp/>
        <stp>BQL|10710864669081700437</stp>
        <tr r="J57" s="2"/>
      </tp>
      <tp t="s">
        <v>#N/A N/A</v>
        <stp/>
        <stp>BQL|14435515003153805926</stp>
        <tr r="Q57" s="2"/>
      </tp>
      <tp t="s">
        <v>#N/A N/A</v>
        <stp/>
        <stp>BQL|12547256413429875370</stp>
        <tr r="W174" s="2"/>
      </tp>
      <tp t="s">
        <v>#N/A N/A</v>
        <stp/>
        <stp>BQL|16494029809139246412</stp>
        <tr r="G276" s="2"/>
      </tp>
      <tp t="s">
        <v>#N/A N/A</v>
        <stp/>
        <stp>BQL|16667443942085419882</stp>
        <tr r="S179" s="2"/>
      </tp>
      <tp t="s">
        <v>#N/A N/A</v>
        <stp/>
        <stp>BQL|14726420886513765087</stp>
        <tr r="N316" s="2"/>
      </tp>
      <tp t="s">
        <v>#N/A N/A</v>
        <stp/>
        <stp>BQL|11939988158335742316</stp>
        <tr r="W234" s="2"/>
        <tr r="W311" s="2"/>
      </tp>
      <tp t="s">
        <v>#N/A N/A</v>
        <stp/>
        <stp>BQL|13144745930214205889</stp>
        <tr r="S265" s="2"/>
      </tp>
      <tp t="s">
        <v>#N/A N/A</v>
        <stp/>
        <stp>BQL|14942565662699697544</stp>
        <tr r="R159" s="2"/>
        <tr r="R20" s="2"/>
        <tr r="R91" s="2"/>
      </tp>
      <tp t="s">
        <v>#N/A N/A</v>
        <stp/>
        <stp>BQL|11015427722949619596</stp>
        <tr r="T326" s="2"/>
        <tr r="T41" s="2"/>
      </tp>
      <tp t="s">
        <v>#N/A N/A</v>
        <stp/>
        <stp>BQL|17696820366832503089</stp>
        <tr r="T255" s="2"/>
      </tp>
      <tp t="s">
        <v>#N/A N/A</v>
        <stp/>
        <stp>BQL|12024632559219749328</stp>
        <tr r="X187" s="2"/>
        <tr r="X37" s="2"/>
      </tp>
      <tp t="s">
        <v>#N/A N/A</v>
        <stp/>
        <stp>BQL|15442560095641029383</stp>
        <tr r="F192" s="2"/>
      </tp>
      <tp t="s">
        <v>#N/A N/A</v>
        <stp/>
        <stp>BQL|13948033882465667517</stp>
        <tr r="W153" s="2"/>
        <tr r="W65" s="2"/>
      </tp>
      <tp t="s">
        <v>#N/A N/A</v>
        <stp/>
        <stp>BQL|18049778192775330898</stp>
        <tr r="S195" s="2"/>
      </tp>
      <tp t="s">
        <v>#N/A N/A</v>
        <stp/>
        <stp>BQL|12536730271400903911</stp>
        <tr r="Q324" s="2"/>
        <tr r="Q40" s="2"/>
      </tp>
      <tp t="s">
        <v>#N/A N/A</v>
        <stp/>
        <stp>BQL|18004144729494223419</stp>
        <tr r="E119" s="2"/>
      </tp>
      <tp t="s">
        <v>#N/A N/A</v>
        <stp/>
        <stp>BQL|17386251481524118282</stp>
        <tr r="L77" s="2"/>
      </tp>
      <tp t="s">
        <v>#N/A N/A</v>
        <stp/>
        <stp>BQL|11579888342105261337</stp>
        <tr r="M289" s="2"/>
      </tp>
      <tp t="s">
        <v>#N/A N/A</v>
        <stp/>
        <stp>BQL|14041584889365850778</stp>
        <tr r="O19" s="2"/>
        <tr r="O94" s="2"/>
      </tp>
      <tp t="s">
        <v>#N/A N/A</v>
        <stp/>
        <stp>BQL|11018244553309166483</stp>
        <tr r="V354" s="2"/>
      </tp>
      <tp t="s">
        <v>#N/A N/A</v>
        <stp/>
        <stp>BQL|13014326913023913961</stp>
        <tr r="W57" s="2"/>
      </tp>
      <tp t="s">
        <v>#N/A N/A</v>
        <stp/>
        <stp>BQL|12611506675879897251</stp>
        <tr r="Q209" s="2"/>
      </tp>
      <tp t="s">
        <v>#N/A N/A</v>
        <stp/>
        <stp>BQL|17888530100780300969</stp>
        <tr r="R325" s="2"/>
      </tp>
      <tp t="s">
        <v>#N/A N/A</v>
        <stp/>
        <stp>BQL|14706889670189619907</stp>
        <tr r="L365" s="2"/>
      </tp>
      <tp t="s">
        <v>#N/A N/A</v>
        <stp/>
        <stp>BQL|15496559179794392822</stp>
        <tr r="P69" s="2"/>
      </tp>
      <tp t="s">
        <v>#N/A N/A</v>
        <stp/>
        <stp>BQL|14468259678913939999</stp>
        <tr r="U265" s="2"/>
      </tp>
      <tp t="s">
        <v>#N/A N/A</v>
        <stp/>
        <stp>BQL|10548468605639989663</stp>
        <tr r="F166" s="2"/>
      </tp>
      <tp t="s">
        <v>#N/A N/A</v>
        <stp/>
        <stp>BQL|15025684058089829415</stp>
        <tr r="M132" s="2"/>
      </tp>
      <tp t="s">
        <v>#N/A N/A</v>
        <stp/>
        <stp>BQL|11200290023192134805</stp>
        <tr r="Q127" s="2"/>
      </tp>
      <tp t="s">
        <v>#N/A N/A</v>
        <stp/>
        <stp>BQL|16854673620409415027</stp>
        <tr r="J283" s="2"/>
      </tp>
      <tp t="s">
        <v>#N/A N/A</v>
        <stp/>
        <stp>BQL|14817247597277067338</stp>
        <tr r="G113" s="2"/>
      </tp>
      <tp t="s">
        <v>#N/A N/A</v>
        <stp/>
        <stp>BQL|16841139060018626256</stp>
        <tr r="T268" s="2"/>
      </tp>
      <tp t="s">
        <v>#N/A N/A</v>
        <stp/>
        <stp>BQL|12145232487444578786</stp>
        <tr r="I53" s="2"/>
      </tp>
      <tp t="s">
        <v>#N/A N/A</v>
        <stp/>
        <stp>BQL|13264813840073309784</stp>
        <tr r="R69" s="2"/>
      </tp>
      <tp t="s">
        <v>#N/A N/A</v>
        <stp/>
        <stp>BQL|16185711379768569548</stp>
        <tr r="N3" s="2"/>
      </tp>
      <tp t="s">
        <v>#N/A N/A</v>
        <stp/>
        <stp>BQL|13693972219613497344</stp>
        <tr r="L160" s="2"/>
        <tr r="L21" s="2"/>
        <tr r="L92" s="2"/>
      </tp>
      <tp t="s">
        <v>#N/A N/A</v>
        <stp/>
        <stp>BQL|15813917276343710300</stp>
        <tr r="I310" s="2"/>
      </tp>
      <tp t="s">
        <v>#N/A N/A</v>
        <stp/>
        <stp>BQL|17254289682990593662</stp>
        <tr r="J209" s="2"/>
      </tp>
      <tp t="s">
        <v>#N/A N/A</v>
        <stp/>
        <stp>BQL|14818836412011011724</stp>
        <tr r="G365" s="2"/>
      </tp>
      <tp t="s">
        <v>#N/A N/A</v>
        <stp/>
        <stp>BQL|16886050697956743265</stp>
        <tr r="E13" s="2"/>
        <tr r="E84" s="2"/>
      </tp>
      <tp t="s">
        <v>#N/A N/A</v>
        <stp/>
        <stp>BQL|14098772895698932908</stp>
        <tr r="H77" s="2"/>
      </tp>
      <tp t="s">
        <v>#N/A N/A</v>
        <stp/>
        <stp>BQL|10209211042945940827</stp>
        <tr r="X159" s="2"/>
        <tr r="X20" s="2"/>
        <tr r="X91" s="2"/>
      </tp>
      <tp t="s">
        <v>#N/A N/A</v>
        <stp/>
        <stp>BQL|15848351723356058940</stp>
        <tr r="H120" s="2"/>
      </tp>
      <tp t="s">
        <v>#N/A N/A</v>
        <stp/>
        <stp>BQL|11153124591044065685</stp>
        <tr r="O114" s="2"/>
      </tp>
      <tp t="s">
        <v>#N/A N/A</v>
        <stp/>
        <stp>BQL|18153241839563458122</stp>
        <tr r="H10" s="2"/>
        <tr r="H60" s="2"/>
      </tp>
      <tp t="s">
        <v>#N/A N/A</v>
        <stp/>
        <stp>BQL|11096160575134073899</stp>
        <tr r="T114" s="2"/>
      </tp>
      <tp t="s">
        <v>#N/A N/A</v>
        <stp/>
        <stp>BQL|12707989190719532008</stp>
        <tr r="W354" s="2"/>
      </tp>
      <tp t="s">
        <v>#N/A N/A</v>
        <stp/>
        <stp>BQL|13124936044411507495</stp>
        <tr r="K220" s="2"/>
      </tp>
      <tp t="s">
        <v>#N/A N/A</v>
        <stp/>
        <stp>BQL|15440768200199572120</stp>
        <tr r="O356" s="2"/>
      </tp>
      <tp t="s">
        <v>#N/A N/A</v>
        <stp/>
        <stp>BQL|11542898858475710366</stp>
        <tr r="P364" s="2"/>
      </tp>
      <tp t="s">
        <v>#N/A N/A</v>
        <stp/>
        <stp>BQL|10490040033550661909</stp>
        <tr r="O125" s="2"/>
      </tp>
      <tp t="s">
        <v>#N/A N/A</v>
        <stp/>
        <stp>BQL|14406769490418281856</stp>
        <tr r="H179" s="2"/>
      </tp>
      <tp t="s">
        <v>#N/A N/A</v>
        <stp/>
        <stp>BQL|12004259288091098382</stp>
        <tr r="V326" s="2"/>
        <tr r="V41" s="2"/>
      </tp>
      <tp t="s">
        <v>#N/A N/A</v>
        <stp/>
        <stp>BQL|10229584064471253896</stp>
        <tr r="V250" s="2"/>
      </tp>
      <tp t="s">
        <v>#N/A N/A</v>
        <stp/>
        <stp>BQL|14828936361001637096</stp>
        <tr r="R103" s="2"/>
      </tp>
      <tp t="s">
        <v>#N/A N/A</v>
        <stp/>
        <stp>BQL|16365696629190500831</stp>
        <tr r="O339" s="2"/>
      </tp>
      <tp t="s">
        <v>#N/A N/A</v>
        <stp/>
        <stp>BQL|11672654658569733190</stp>
        <tr r="K273" s="2"/>
      </tp>
      <tp t="s">
        <v>#N/A N/A</v>
        <stp/>
        <stp>BQL|12688931245174719136</stp>
        <tr r="N253" s="2"/>
      </tp>
      <tp t="s">
        <v>#N/A N/A</v>
        <stp/>
        <stp>BQL|10943149096873688190</stp>
        <tr r="N212" s="2"/>
        <tr r="N6" s="2"/>
      </tp>
      <tp t="s">
        <v>#N/A N/A</v>
        <stp/>
        <stp>BQL|18101488258964101743</stp>
        <tr r="W15" s="2"/>
        <tr r="W88" s="2"/>
      </tp>
      <tp t="s">
        <v>#N/A N/A</v>
        <stp/>
        <stp>BQL|12583821105854708417</stp>
        <tr r="P24" s="2"/>
        <tr r="P95" s="2"/>
      </tp>
      <tp t="s">
        <v>#N/A N/A</v>
        <stp/>
        <stp>BQL|14212012417269904697</stp>
        <tr r="L172" s="2"/>
      </tp>
      <tp t="s">
        <v>#N/A N/A</v>
        <stp/>
        <stp>BQL|10972950803997979412</stp>
        <tr r="V3" s="2"/>
      </tp>
      <tp t="s">
        <v>#N/A N/A</v>
        <stp/>
        <stp>BQL|12442957327395038618</stp>
        <tr r="T127" s="2"/>
      </tp>
      <tp t="s">
        <v>#N/A N/A</v>
        <stp/>
        <stp>BQL|13830295928670720998</stp>
        <tr r="P211" s="2"/>
      </tp>
      <tp t="s">
        <v>#N/A N/A</v>
        <stp/>
        <stp>BQL|13132928046015439160</stp>
        <tr r="Q356" s="2"/>
      </tp>
      <tp t="s">
        <v>#N/A N/A</v>
        <stp/>
        <stp>BQL|15716280730257144998</stp>
        <tr r="F108" s="2"/>
      </tp>
      <tp t="s">
        <v>#N/A N/A</v>
        <stp/>
        <stp>BQL|13262487409795489802</stp>
        <tr r="Q365" s="2"/>
      </tp>
      <tp t="s">
        <v>#N/A N/A</v>
        <stp/>
        <stp>BQL|17563033735627346977</stp>
        <tr r="L296" s="2"/>
      </tp>
      <tp t="s">
        <v>#N/A N/A</v>
        <stp/>
        <stp>BQL|11174944378025308094</stp>
        <tr r="P324" s="2"/>
        <tr r="P40" s="2"/>
      </tp>
      <tp t="s">
        <v>#N/A N/A</v>
        <stp/>
        <stp>BQL|13968746745213807969</stp>
        <tr r="W221" s="2"/>
      </tp>
      <tp t="s">
        <v>#N/A N/A</v>
        <stp/>
        <stp>BQL|16691160746361437842</stp>
        <tr r="P352" s="2"/>
      </tp>
      <tp t="s">
        <v>#N/A N/A</v>
        <stp/>
        <stp>BQL|14027018456118804393</stp>
        <tr r="V141" s="2"/>
      </tp>
      <tp t="s">
        <v>#N/A N/A</v>
        <stp/>
        <stp>BQL|17658978475394265705</stp>
        <tr r="I230" s="2"/>
      </tp>
      <tp t="s">
        <v>#N/A N/A</v>
        <stp/>
        <stp>BQL|13666331821171411961</stp>
        <tr r="S25" s="2"/>
        <tr r="S96" s="2"/>
      </tp>
      <tp t="s">
        <v>#N/A N/A</v>
        <stp/>
        <stp>BQL|16769805985179207519</stp>
        <tr r="N340" s="2"/>
      </tp>
      <tp t="s">
        <v>#N/A N/A</v>
        <stp/>
        <stp>BQL|13913296127568618109</stp>
        <tr r="T256" s="2"/>
        <tr r="T279" s="2"/>
      </tp>
      <tp t="s">
        <v>#N/A N/A</v>
        <stp/>
        <stp>BQL|10135224750229026428</stp>
        <tr r="M247" s="2"/>
      </tp>
      <tp t="s">
        <v>#N/A N/A</v>
        <stp/>
        <stp>BQL|12246711087566629131</stp>
        <tr r="I69" s="2"/>
      </tp>
      <tp t="s">
        <v>#N/A N/A</v>
        <stp/>
        <stp>BQL|12228729147482183976</stp>
        <tr r="T158" s="2"/>
        <tr r="T17" s="2"/>
        <tr r="T90" s="2"/>
      </tp>
      <tp t="s">
        <v>#N/A N/A</v>
        <stp/>
        <stp>BQL|10671699160408696283</stp>
        <tr r="W249" s="2"/>
      </tp>
      <tp t="s">
        <v>#N/A N/A</v>
        <stp/>
        <stp>BQL|15319006792572841481</stp>
        <tr r="W345" s="2"/>
      </tp>
      <tp t="s">
        <v>#N/A N/A</v>
        <stp/>
        <stp>BQL|14748359364679125272</stp>
        <tr r="E256" s="2"/>
        <tr r="E279" s="2"/>
      </tp>
      <tp t="s">
        <v>#N/A N/A</v>
        <stp/>
        <stp>BQL|13034979230281779205</stp>
        <tr r="S237" s="2"/>
      </tp>
      <tp t="s">
        <v>#N/A N/A</v>
        <stp/>
        <stp>BQL|11474220580973543235</stp>
        <tr r="S217" s="2"/>
      </tp>
      <tp t="s">
        <v>#N/A N/A</v>
        <stp/>
        <stp>BQL|10463677950191573868</stp>
        <tr r="J117" s="2"/>
      </tp>
      <tp t="s">
        <v>#N/A N/A</v>
        <stp/>
        <stp>BQL|18148257973384262358</stp>
        <tr r="K267" s="2"/>
      </tp>
      <tp t="s">
        <v>#N/A N/A</v>
        <stp/>
        <stp>BQL|11651341581243210319</stp>
        <tr r="F330" s="2"/>
      </tp>
      <tp t="s">
        <v>#N/A N/A</v>
        <stp/>
        <stp>BQL|17854254475958873002</stp>
        <tr r="T196" s="2"/>
      </tp>
      <tp t="s">
        <v>#N/A N/A</v>
        <stp/>
        <stp>BQL|14727529836060699850</stp>
        <tr r="V71" s="2"/>
      </tp>
      <tp t="s">
        <v>#N/A N/A</v>
        <stp/>
        <stp>BQL|14647027335719627472</stp>
        <tr r="G268" s="2"/>
      </tp>
      <tp t="s">
        <v>#N/A N/A</v>
        <stp/>
        <stp>BQL|13786149990653547258</stp>
        <tr r="F342" s="2"/>
      </tp>
      <tp t="s">
        <v>#N/A N/A</v>
        <stp/>
        <stp>BQL|17789472577357397978</stp>
        <tr r="I357" s="2"/>
      </tp>
      <tp t="s">
        <v>#N/A N/A</v>
        <stp/>
        <stp>BQL|11048249188248901962</stp>
        <tr r="L248" s="2"/>
      </tp>
      <tp t="s">
        <v>#N/A N/A</v>
        <stp/>
        <stp>BQL|15650733892768514913</stp>
        <tr r="S54" s="2"/>
      </tp>
      <tp t="s">
        <v>#N/A N/A</v>
        <stp/>
        <stp>BQL|17191937023240061629</stp>
        <tr r="R55" s="2"/>
      </tp>
      <tp t="s">
        <v>#N/A N/A</v>
        <stp/>
        <stp>BQL|11576763761148806294</stp>
        <tr r="S172" s="2"/>
      </tp>
      <tp t="s">
        <v>#N/A N/A</v>
        <stp/>
        <stp>BQL|10071202456338222572</stp>
        <tr r="I190" s="2"/>
      </tp>
      <tp t="s">
        <v>#N/A N/A</v>
        <stp/>
        <stp>BQL|13214608139369952504</stp>
        <tr r="M327" s="2"/>
      </tp>
      <tp t="s">
        <v>#N/A N/A</v>
        <stp/>
        <stp>BQL|13928880307699270869</stp>
        <tr r="N106" s="2"/>
      </tp>
      <tp t="s">
        <v>#N/A N/A</v>
        <stp/>
        <stp>BQL|13193053917211779967</stp>
        <tr r="K173" s="2"/>
      </tp>
      <tp t="s">
        <v>#N/A N/A</v>
        <stp/>
        <stp>BQL|10588068417869653200</stp>
        <tr r="T190" s="2"/>
      </tp>
      <tp t="s">
        <v>#N/A N/A</v>
        <stp/>
        <stp>BQL|12630816493668105170</stp>
        <tr r="I188" s="2"/>
        <tr r="I38" s="2"/>
      </tp>
      <tp t="s">
        <v>#N/A N/A</v>
        <stp/>
        <stp>BQL|16443959825840316756</stp>
        <tr r="F254" s="2"/>
      </tp>
      <tp t="s">
        <v>#N/A N/A</v>
        <stp/>
        <stp>BQL|15629831117415783378</stp>
        <tr r="Q182" s="2"/>
      </tp>
      <tp t="s">
        <v>#N/A N/A</v>
        <stp/>
        <stp>BQL|12876274183525665785</stp>
        <tr r="L121" s="2"/>
      </tp>
      <tp t="s">
        <v>#N/A N/A</v>
        <stp/>
        <stp>BQL|17599430476196386814</stp>
        <tr r="V315" s="2"/>
      </tp>
      <tp t="s">
        <v>#N/A N/A</v>
        <stp/>
        <stp>BQL|16393696045559702753</stp>
        <tr r="S211" s="2"/>
      </tp>
      <tp t="s">
        <v>#N/A N/A</v>
        <stp/>
        <stp>BQL|13154499909614531996</stp>
        <tr r="F288" s="2"/>
      </tp>
      <tp t="s">
        <v>#N/A N/A</v>
        <stp/>
        <stp>BQL|16933482743125987966</stp>
        <tr r="G249" s="2"/>
      </tp>
      <tp t="s">
        <v>#N/A N/A</v>
        <stp/>
        <stp>BQL|10595725674998987270</stp>
        <tr r="H334" s="2"/>
      </tp>
      <tp t="s">
        <v>#N/A N/A</v>
        <stp/>
        <stp>BQL|15087409499337371578</stp>
        <tr r="E254" s="2"/>
      </tp>
      <tp t="s">
        <v>#N/A N/A</v>
        <stp/>
        <stp>BQL|16916041702738680443</stp>
        <tr r="J102" s="2"/>
      </tp>
      <tp t="s">
        <v>#N/A N/A</v>
        <stp/>
        <stp>BQL|15258892272434542410</stp>
        <tr r="X195" s="2"/>
      </tp>
      <tp t="s">
        <v>#N/A N/A</v>
        <stp/>
        <stp>BQL|15841346141331675961</stp>
        <tr r="X341" s="2"/>
      </tp>
      <tp t="s">
        <v>#N/A N/A</v>
        <stp/>
        <stp>BQL|16525084583015390109</stp>
        <tr r="I325" s="2"/>
      </tp>
      <tp t="s">
        <v>#N/A N/A</v>
        <stp/>
        <stp>BQL|14491757348668176559</stp>
        <tr r="K337" s="2"/>
      </tp>
      <tp t="s">
        <v>#N/A N/A</v>
        <stp/>
        <stp>BQL|12267506148651294846</stp>
        <tr r="M173" s="2"/>
      </tp>
      <tp t="s">
        <v>#N/A N/A</v>
        <stp/>
        <stp>BQL|11591626679053703952</stp>
        <tr r="M69" s="2"/>
      </tp>
      <tp t="s">
        <v>#N/A N/A</v>
        <stp/>
        <stp>BQL|13030646248169271223</stp>
        <tr r="O78" s="2"/>
      </tp>
      <tp t="s">
        <v>#N/A N/A</v>
        <stp/>
        <stp>BQL|12777257621411877974</stp>
        <tr r="V78" s="2"/>
      </tp>
      <tp t="s">
        <v>#N/A N/A</v>
        <stp/>
        <stp>BQL|12182159298108351830</stp>
        <tr r="U350" s="2"/>
      </tp>
      <tp t="s">
        <v>#N/A N/A</v>
        <stp/>
        <stp>BQL|17557069938547727936</stp>
        <tr r="W182" s="2"/>
      </tp>
      <tp t="s">
        <v>#N/A N/A</v>
        <stp/>
        <stp>BQL|17704526398850335111</stp>
        <tr r="O54" s="2"/>
      </tp>
      <tp t="s">
        <v>#N/A N/A</v>
        <stp/>
        <stp>BQL|14513292354629349046</stp>
        <tr r="Q124" s="2"/>
        <tr r="Q32" s="2"/>
      </tp>
      <tp t="s">
        <v>#N/A N/A</v>
        <stp/>
        <stp>BQL|11440674743741686898</stp>
        <tr r="M271" s="2"/>
      </tp>
      <tp t="s">
        <v>#N/A N/A</v>
        <stp/>
        <stp>BQL|11337485467970709950</stp>
        <tr r="W319" s="2"/>
      </tp>
      <tp t="s">
        <v>#N/A N/A</v>
        <stp/>
        <stp>BQL|18057228739251418210</stp>
        <tr r="H56" s="2"/>
      </tp>
      <tp t="s">
        <v>#N/A N/A</v>
        <stp/>
        <stp>BQL|14880522842426790914</stp>
        <tr r="R187" s="2"/>
        <tr r="R37" s="2"/>
      </tp>
      <tp t="s">
        <v>#N/A N/A</v>
        <stp/>
        <stp>BQL|12785815605704590480</stp>
        <tr r="V338" s="2"/>
      </tp>
      <tp t="s">
        <v>#N/A N/A</v>
        <stp/>
        <stp>BQL|14317995105702819593</stp>
        <tr r="U223" s="2"/>
      </tp>
      <tp t="s">
        <v>#N/A N/A</v>
        <stp/>
        <stp>BQL|12797575896667937318</stp>
        <tr r="M290" s="2"/>
      </tp>
      <tp t="s">
        <v>#N/A N/A</v>
        <stp/>
        <stp>BQL|15946013568088952172</stp>
        <tr r="I120" s="2"/>
      </tp>
      <tp t="s">
        <v>#N/A N/A</v>
        <stp/>
        <stp>BQL|11013937818732144143</stp>
        <tr r="F169" s="2"/>
        <tr r="F219" s="2"/>
      </tp>
      <tp t="s">
        <v>#N/A N/A</v>
        <stp/>
        <stp>BQL|15994662641064199917</stp>
        <tr r="Q330" s="2"/>
      </tp>
      <tp t="s">
        <v>#N/A N/A</v>
        <stp/>
        <stp>BQL|15027971778473334221</stp>
        <tr r="G263" s="2"/>
      </tp>
      <tp t="s">
        <v>#N/A N/A</v>
        <stp/>
        <stp>BQL|16757256882677895168</stp>
        <tr r="T172" s="2"/>
      </tp>
      <tp t="s">
        <v>#N/A N/A</v>
        <stp/>
        <stp>BQL|13674425301265832837</stp>
        <tr r="T25" s="2"/>
        <tr r="T96" s="2"/>
      </tp>
      <tp t="s">
        <v>#N/A N/A</v>
        <stp/>
        <stp>BQL|12626942813920101093</stp>
        <tr r="J193" s="2"/>
      </tp>
      <tp t="s">
        <v>#N/A N/A</v>
        <stp/>
        <stp>BQL|17923146304008660468</stp>
        <tr r="I246" s="2"/>
      </tp>
      <tp t="s">
        <v>#N/A N/A</v>
        <stp/>
        <stp>BQL|10270832160761136598</stp>
        <tr r="G24" s="2"/>
        <tr r="G95" s="2"/>
      </tp>
      <tp t="s">
        <v>#N/A N/A</v>
        <stp/>
        <stp>BQL|13923889403267900626</stp>
        <tr r="M78" s="2"/>
      </tp>
      <tp t="s">
        <v>#N/A N/A</v>
        <stp/>
        <stp>BQL|15084123561068366092</stp>
        <tr r="Q69" s="2"/>
      </tp>
      <tp t="s">
        <v>#N/A N/A</v>
        <stp/>
        <stp>BQL|10159699133819046622</stp>
        <tr r="S351" s="2"/>
      </tp>
      <tp t="s">
        <v>#N/A N/A</v>
        <stp/>
        <stp>BQL|14100803469087041710</stp>
        <tr r="G225" s="2"/>
      </tp>
      <tp t="s">
        <v>#N/A N/A</v>
        <stp/>
        <stp>BQL|10974658069203536999</stp>
        <tr r="W271" s="2"/>
      </tp>
      <tp t="s">
        <v>#N/A N/A</v>
        <stp/>
        <stp>BQL|14575311930159516783</stp>
        <tr r="W222" s="2"/>
      </tp>
      <tp t="s">
        <v>#N/A N/A</v>
        <stp/>
        <stp>BQL|16695482324252147837</stp>
        <tr r="L283" s="2"/>
      </tp>
      <tp t="s">
        <v>#N/A N/A</v>
        <stp/>
        <stp>BQL|12149636857863883850</stp>
        <tr r="O361" s="2"/>
      </tp>
      <tp t="s">
        <v>#N/A N/A</v>
        <stp/>
        <stp>BQL|15424825747562024192</stp>
        <tr r="U228" s="2"/>
      </tp>
      <tp t="s">
        <v>#N/A N/A</v>
        <stp/>
        <stp>BQL|12938945125697001400</stp>
        <tr r="R114" s="2"/>
      </tp>
      <tp t="s">
        <v>#N/A N/A</v>
        <stp/>
        <stp>BQL|16867917011143901790</stp>
        <tr r="N71" s="2"/>
      </tp>
      <tp t="s">
        <v>#N/A N/A</v>
        <stp/>
        <stp>BQL|11218828608094787777</stp>
        <tr r="S266" s="2"/>
      </tp>
      <tp t="s">
        <v>#N/A N/A</v>
        <stp/>
        <stp>BQL|16446189782753458615</stp>
        <tr r="F165" s="2"/>
      </tp>
      <tp t="s">
        <v>#N/A N/A</v>
        <stp/>
        <stp>BQL|10594015229458069061</stp>
        <tr r="T185" s="2"/>
      </tp>
      <tp t="s">
        <v>#N/A N/A</v>
        <stp/>
        <stp>BQL|16335853646769333985</stp>
        <tr r="X339" s="2"/>
      </tp>
      <tp t="s">
        <v>#N/A N/A</v>
        <stp/>
        <stp>BQL|15711702518300708937</stp>
        <tr r="R254" s="2"/>
      </tp>
      <tp t="s">
        <v>#N/A N/A</v>
        <stp/>
        <stp>BQL|12878513935007149966</stp>
        <tr r="M53" s="2"/>
      </tp>
      <tp t="s">
        <v>#N/A N/A</v>
        <stp/>
        <stp>BQL|12708922880888677188</stp>
        <tr r="F144" s="2"/>
      </tp>
      <tp t="s">
        <v>#N/A N/A</v>
        <stp/>
        <stp>BQL|15933498830660322897</stp>
        <tr r="L141" s="2"/>
      </tp>
      <tp t="s">
        <v>#N/A N/A</v>
        <stp/>
        <stp>BQL|14390161299795427322</stp>
        <tr r="L238" s="2"/>
      </tp>
      <tp t="s">
        <v>#N/A N/A</v>
        <stp/>
        <stp>BQL|14206596525729045048</stp>
        <tr r="P86" s="2"/>
      </tp>
      <tp t="s">
        <v>#N/A N/A</v>
        <stp/>
        <stp>BQL|17670632993643521194</stp>
        <tr r="H292" s="2"/>
      </tp>
      <tp t="s">
        <v>#N/A N/A</v>
        <stp/>
        <stp>BQL|16114241987331064781</stp>
        <tr r="K57" s="2"/>
      </tp>
      <tp t="s">
        <v>#N/A N/A</v>
        <stp/>
        <stp>BQL|15456996938925840387</stp>
        <tr r="W179" s="2"/>
      </tp>
      <tp t="s">
        <v>#N/A N/A</v>
        <stp/>
        <stp>BQL|13056842966102793606</stp>
        <tr r="G273" s="2"/>
      </tp>
      <tp t="s">
        <v>#N/A N/A</v>
        <stp/>
        <stp>BQL|11312695981033620588</stp>
        <tr r="S263" s="2"/>
      </tp>
      <tp t="s">
        <v>#N/A N/A</v>
        <stp/>
        <stp>BQL|14437545798390905149</stp>
        <tr r="F117" s="2"/>
      </tp>
      <tp t="s">
        <v>#N/A N/A</v>
        <stp/>
        <stp>BQL|10695948583759310176</stp>
        <tr r="E54" s="2"/>
      </tp>
      <tp t="s">
        <v>#N/A N/A</v>
        <stp/>
        <stp>BQL|14972984974151138211</stp>
        <tr r="V177" s="2"/>
      </tp>
      <tp t="s">
        <v>#N/A N/A</v>
        <stp/>
        <stp>BQL|14339799028091280955</stp>
        <tr r="I304" s="2"/>
      </tp>
      <tp t="s">
        <v>#N/A N/A</v>
        <stp/>
        <stp>BQL|14646522375407212866</stp>
        <tr r="O250" s="2"/>
      </tp>
      <tp t="s">
        <v>#N/A N/A</v>
        <stp/>
        <stp>BQL|11756633035548157552</stp>
        <tr r="T104" s="2"/>
      </tp>
      <tp t="s">
        <v>#N/A N/A</v>
        <stp/>
        <stp>BQL|17954057087710749688</stp>
        <tr r="O227" s="2"/>
      </tp>
      <tp t="s">
        <v>#N/A N/A</v>
        <stp/>
        <stp>BQL|17856945004804575397</stp>
        <tr r="P47" s="2"/>
      </tp>
      <tp t="s">
        <v>#N/A N/A</v>
        <stp/>
        <stp>BQL|11247853037190360377</stp>
        <tr r="I194" s="2"/>
      </tp>
      <tp t="s">
        <v>#N/A N/A</v>
        <stp/>
        <stp>BQL|16597242040738388161</stp>
        <tr r="G289" s="2"/>
      </tp>
      <tp t="s">
        <v>#N/A N/A</v>
        <stp/>
        <stp>BQL|14604598210938379182</stp>
        <tr r="N221" s="2"/>
      </tp>
      <tp t="s">
        <v>#N/A N/A</v>
        <stp/>
        <stp>BQL|13722580039654446859</stp>
        <tr r="V107" s="2"/>
      </tp>
      <tp t="s">
        <v>#N/A N/A</v>
        <stp/>
        <stp>BQL|11887766199020133612</stp>
        <tr r="K255" s="2"/>
      </tp>
      <tp t="s">
        <v>#N/A N/A</v>
        <stp/>
        <stp>BQL|12041845878381845535</stp>
        <tr r="R229" s="2"/>
      </tp>
      <tp t="s">
        <v>#N/A N/A</v>
        <stp/>
        <stp>BQL|14578443110691733912</stp>
        <tr r="U316" s="2"/>
      </tp>
      <tp t="s">
        <v>#N/A N/A</v>
        <stp/>
        <stp>BQL|16577767418619578093</stp>
        <tr r="V172" s="2"/>
      </tp>
      <tp t="s">
        <v>#N/A N/A</v>
        <stp/>
        <stp>BQL|11512817710614320503</stp>
        <tr r="J350" s="2"/>
      </tp>
      <tp t="s">
        <v>#N/A N/A</v>
        <stp/>
        <stp>BQL|11763968893869191148</stp>
        <tr r="G14" s="2"/>
        <tr r="G87" s="2"/>
      </tp>
      <tp t="s">
        <v>#N/A N/A</v>
        <stp/>
        <stp>BQL|17269837578929784897</stp>
        <tr r="J358" s="2"/>
      </tp>
      <tp t="s">
        <v>#N/A N/A</v>
        <stp/>
        <stp>BQL|13557276655158738577</stp>
        <tr r="N54" s="2"/>
      </tp>
      <tp t="s">
        <v>#N/A N/A</v>
        <stp/>
        <stp>BQL|10762709281503289534</stp>
        <tr r="V229" s="2"/>
      </tp>
      <tp t="s">
        <v>#N/A N/A</v>
        <stp/>
        <stp>BQL|18002478611063692777</stp>
        <tr r="L356" s="2"/>
      </tp>
      <tp t="s">
        <v>#N/A N/A</v>
        <stp/>
        <stp>BQL|17881050546789943344</stp>
        <tr r="Q253" s="2"/>
      </tp>
      <tp t="s">
        <v>#N/A N/A</v>
        <stp/>
        <stp>BQL|14331585697847340699</stp>
        <tr r="V294" s="2"/>
      </tp>
      <tp t="s">
        <v>#N/A N/A</v>
        <stp/>
        <stp>BQL|15805603444386253887</stp>
        <tr r="U14" s="2"/>
        <tr r="U87" s="2"/>
      </tp>
      <tp t="s">
        <v>#N/A N/A</v>
        <stp/>
        <stp>BQL|13535424540843052918</stp>
        <tr r="I51" s="2"/>
      </tp>
      <tp t="s">
        <v>#N/A N/A</v>
        <stp/>
        <stp>BQL|14551836734542492475</stp>
        <tr r="E19" s="2"/>
        <tr r="E94" s="2"/>
      </tp>
      <tp t="s">
        <v>#N/A N/A</v>
        <stp/>
        <stp>BQL|11224611997114487312</stp>
        <tr r="R297" s="2"/>
      </tp>
      <tp t="s">
        <v>#N/A N/A</v>
        <stp/>
        <stp>BQL|13614818903771770326</stp>
        <tr r="H299" s="2"/>
      </tp>
      <tp t="s">
        <v>#N/A N/A</v>
        <stp/>
        <stp>BQL|15213816357528621933</stp>
        <tr r="X175" s="2"/>
      </tp>
      <tp t="s">
        <v>#N/A N/A</v>
        <stp/>
        <stp>BQL|15924753775434990818</stp>
        <tr r="M285" s="2"/>
      </tp>
      <tp t="s">
        <v>#N/A N/A</v>
        <stp/>
        <stp>BQL|15024070536089616678</stp>
        <tr r="P350" s="2"/>
      </tp>
      <tp t="s">
        <v>#N/A N/A</v>
        <stp/>
        <stp>BQL|14865436190851944127</stp>
        <tr r="R4" s="2"/>
      </tp>
      <tp t="s">
        <v>#N/A N/A</v>
        <stp/>
        <stp>BQL|15020048664223209921</stp>
        <tr r="U317" s="2"/>
      </tp>
      <tp t="s">
        <v>#N/A N/A</v>
        <stp/>
        <stp>BQL|13557816824666724679</stp>
        <tr r="X174" s="2"/>
      </tp>
      <tp t="s">
        <v>#N/A N/A</v>
        <stp/>
        <stp>BQL|10040017987838065963</stp>
        <tr r="T290" s="2"/>
      </tp>
      <tp t="s">
        <v>#N/A N/A</v>
        <stp/>
        <stp>BQL|17625532225710018905</stp>
        <tr r="E251" s="2"/>
      </tp>
      <tp t="s">
        <v>#N/A N/A</v>
        <stp/>
        <stp>BQL|16522536014269420267</stp>
        <tr r="H318" s="2"/>
      </tp>
      <tp t="s">
        <v>#N/A N/A</v>
        <stp/>
        <stp>BQL|12391621381770685567</stp>
        <tr r="O71" s="2"/>
      </tp>
      <tp t="s">
        <v>#N/A N/A</v>
        <stp/>
        <stp>BQL|16069349154380696962</stp>
        <tr r="U115" s="2"/>
      </tp>
      <tp t="s">
        <v>#N/A N/A</v>
        <stp/>
        <stp>BQL|17599971396349798737</stp>
        <tr r="S10" s="2"/>
        <tr r="S60" s="2"/>
      </tp>
      <tp t="s">
        <v>#N/A N/A</v>
        <stp/>
        <stp>BQL|13852060388880171243</stp>
        <tr r="N312" s="2"/>
      </tp>
      <tp t="s">
        <v>#N/A N/A</v>
        <stp/>
        <stp>BQL|16194490499426116431</stp>
        <tr r="F180" s="2"/>
      </tp>
      <tp t="s">
        <v>#N/A N/A</v>
        <stp/>
        <stp>BQL|14131074363668734310</stp>
        <tr r="H180" s="2"/>
      </tp>
      <tp t="s">
        <v>#N/A N/A</v>
        <stp/>
        <stp>BQL|16155703277766147945</stp>
        <tr r="U47" s="2"/>
      </tp>
      <tp t="s">
        <v>#N/A N/A</v>
        <stp/>
        <stp>BQL|14384318793842182535</stp>
        <tr r="X283" s="2"/>
      </tp>
      <tp t="s">
        <v>#N/A N/A</v>
        <stp/>
        <stp>BQL|18340193410918078982</stp>
        <tr r="Q223" s="2"/>
      </tp>
      <tp t="s">
        <v>#N/A N/A</v>
        <stp/>
        <stp>BQL|17072609350729004422</stp>
        <tr r="J104" s="2"/>
      </tp>
      <tp t="s">
        <v>#N/A N/A</v>
        <stp/>
        <stp>BQL|17522037137065183826</stp>
        <tr r="Q313" s="2"/>
      </tp>
      <tp t="s">
        <v>#N/A N/A</v>
        <stp/>
        <stp>BQL|18373963562658513602</stp>
        <tr r="X131" s="2"/>
      </tp>
      <tp t="s">
        <v>#N/A N/A</v>
        <stp/>
        <stp>BQL|10710049906590782904</stp>
        <tr r="S104" s="2"/>
      </tp>
      <tp t="s">
        <v>#N/A N/A</v>
        <stp/>
        <stp>BQL|16862294164673606811</stp>
        <tr r="U85" s="2"/>
      </tp>
      <tp t="s">
        <v>#N/A N/A</v>
        <stp/>
        <stp>BQL|13157767659161415978</stp>
        <tr r="S360" s="2"/>
      </tp>
      <tp t="s">
        <v>#N/A N/A</v>
        <stp/>
        <stp>BQL|16884774646314125854</stp>
        <tr r="I10" s="2"/>
        <tr r="I60" s="2"/>
      </tp>
      <tp t="s">
        <v>#N/A N/A</v>
        <stp/>
        <stp>BQL|15923346584835739232</stp>
        <tr r="X265" s="2"/>
      </tp>
      <tp t="s">
        <v>#N/A N/A</v>
        <stp/>
        <stp>BQL|17854422508989941367</stp>
        <tr r="W159" s="2"/>
        <tr r="W20" s="2"/>
        <tr r="W91" s="2"/>
      </tp>
      <tp t="s">
        <v>#N/A N/A</v>
        <stp/>
        <stp>BQL|10409438984713834660</stp>
        <tr r="T105" s="2"/>
      </tp>
      <tp t="s">
        <v>#N/A N/A</v>
        <stp/>
        <stp>BQL|14746131788124820096</stp>
        <tr r="T259" s="2"/>
      </tp>
      <tp t="s">
        <v>#N/A N/A</v>
        <stp/>
        <stp>BQL|18432865645648359590</stp>
        <tr r="O272" s="2"/>
      </tp>
      <tp t="s">
        <v>#N/A N/A</v>
        <stp/>
        <stp>BQL|17936924976875104504</stp>
        <tr r="K54" s="2"/>
      </tp>
      <tp t="s">
        <v>#N/A N/A</v>
        <stp/>
        <stp>BQL|11351309012328454294</stp>
        <tr r="I85" s="2"/>
      </tp>
      <tp t="s">
        <v>#N/A N/A</v>
        <stp/>
        <stp>BQL|14568052515639065597</stp>
        <tr r="P119" s="2"/>
      </tp>
      <tp t="s">
        <v>#N/A N/A</v>
        <stp/>
        <stp>BQL|11366713343132907947</stp>
        <tr r="T228" s="2"/>
      </tp>
      <tp t="s">
        <v>#N/A N/A</v>
        <stp/>
        <stp>BQL|18264424043960989163</stp>
        <tr r="H310" s="2"/>
      </tp>
      <tp t="s">
        <v>#N/A N/A</v>
        <stp/>
        <stp>BQL|15577772178849697504</stp>
        <tr r="Q117" s="2"/>
      </tp>
      <tp t="s">
        <v>#N/A N/A</v>
        <stp/>
        <stp>BQL|14364191687466720261</stp>
        <tr r="O359" s="2"/>
      </tp>
      <tp t="s">
        <v>#N/A N/A</v>
        <stp/>
        <stp>BQL|13743341704648259190</stp>
        <tr r="P360" s="2"/>
      </tp>
      <tp t="s">
        <v>#N/A N/A</v>
        <stp/>
        <stp>BQL|15993265517898057747</stp>
        <tr r="S334" s="2"/>
      </tp>
      <tp t="s">
        <v>#N/A N/A</v>
        <stp/>
        <stp>BQL|13795895271783457644</stp>
        <tr r="N300" s="2"/>
      </tp>
      <tp t="s">
        <v>#N/A N/A</v>
        <stp/>
        <stp>BQL|12493952920421854169</stp>
        <tr r="N174" s="2"/>
      </tp>
      <tp t="s">
        <v>#N/A N/A</v>
        <stp/>
        <stp>BQL|15271447403500933835</stp>
        <tr r="O348" s="2"/>
      </tp>
      <tp t="s">
        <v>#N/A N/A</v>
        <stp/>
        <stp>BQL|18012158461935886338</stp>
        <tr r="M334" s="2"/>
      </tp>
      <tp t="s">
        <v>#N/A N/A</v>
        <stp/>
        <stp>BQL|10215883848375551081</stp>
        <tr r="K73" s="2"/>
      </tp>
      <tp t="s">
        <v>#N/A N/A</v>
        <stp/>
        <stp>BQL|16760493920431399831</stp>
        <tr r="W116" s="2"/>
        <tr r="W30" s="2"/>
      </tp>
      <tp t="s">
        <v>#N/A N/A</v>
        <stp/>
        <stp>BQL|14053670776049702588</stp>
        <tr r="G10" s="2"/>
        <tr r="G60" s="2"/>
      </tp>
      <tp t="s">
        <v>#N/A N/A</v>
        <stp/>
        <stp>BQL|15088352421399978432</stp>
        <tr r="P256" s="2"/>
        <tr r="P279" s="2"/>
      </tp>
      <tp t="s">
        <v>#N/A N/A</v>
        <stp/>
        <stp>BQL|15930065127887517933</stp>
        <tr r="L181" s="2"/>
      </tp>
      <tp t="s">
        <v>#N/A N/A</v>
        <stp/>
        <stp>BQL|12989995121820735084</stp>
        <tr r="M13" s="2"/>
        <tr r="M84" s="2"/>
      </tp>
      <tp t="s">
        <v>#N/A N/A</v>
        <stp/>
        <stp>BQL|14234831348347738603</stp>
        <tr r="M304" s="2"/>
      </tp>
      <tp t="s">
        <v>#N/A N/A</v>
        <stp/>
        <stp>BQL|14607929909777277319</stp>
        <tr r="E112" s="2"/>
        <tr r="E29" s="2"/>
      </tp>
      <tp t="s">
        <v>#N/A N/A</v>
        <stp/>
        <stp>BQL|15020771291464819600</stp>
        <tr r="L57" s="2"/>
      </tp>
      <tp t="s">
        <v>#N/A N/A</v>
        <stp/>
        <stp>BQL|18083159858194346100</stp>
        <tr r="F295" s="2"/>
      </tp>
      <tp t="s">
        <v>#N/A N/A</v>
        <stp/>
        <stp>BQL|16820586840698710697</stp>
        <tr r="K107" s="2"/>
      </tp>
      <tp t="s">
        <v>#N/A N/A</v>
        <stp/>
        <stp>BQL|13908625778278395394</stp>
        <tr r="J329" s="2"/>
      </tp>
      <tp t="s">
        <v>#N/A N/A</v>
        <stp/>
        <stp>BQL|15095896348597860706</stp>
        <tr r="J275" s="2"/>
      </tp>
      <tp t="s">
        <v>#N/A N/A</v>
        <stp/>
        <stp>BQL|15507406061507412998</stp>
        <tr r="L223" s="2"/>
      </tp>
      <tp t="s">
        <v>#N/A N/A</v>
        <stp/>
        <stp>BQL|10320199877699066641</stp>
        <tr r="J293" s="2"/>
      </tp>
      <tp t="s">
        <v>#N/A N/A</v>
        <stp/>
        <stp>BQL|15231797499052884035</stp>
        <tr r="J182" s="2"/>
      </tp>
      <tp t="s">
        <v>#N/A N/A</v>
        <stp/>
        <stp>BQL|14848804396504559829</stp>
        <tr r="E172" s="2"/>
      </tp>
      <tp t="s">
        <v>#N/A N/A</v>
        <stp/>
        <stp>BQL|13926755711888676420</stp>
        <tr r="P147" s="2"/>
      </tp>
      <tp t="s">
        <v>#N/A N/A</v>
        <stp/>
        <stp>BQL|13091866309646241442</stp>
        <tr r="L119" s="2"/>
      </tp>
      <tp t="s">
        <v>#N/A N/A</v>
        <stp/>
        <stp>BQL|10997366626261217920</stp>
        <tr r="H323" s="2"/>
      </tp>
      <tp t="s">
        <v>#N/A N/A</v>
        <stp/>
        <stp>BQL|16736162130579803406</stp>
        <tr r="J354" s="2"/>
      </tp>
      <tp t="s">
        <v>#N/A N/A</v>
        <stp/>
        <stp>BQL|11670175439313629977</stp>
        <tr r="I199" s="2"/>
      </tp>
      <tp t="s">
        <v>#N/A N/A</v>
        <stp/>
        <stp>BQL|14827185749981672970</stp>
        <tr r="U201" s="2"/>
      </tp>
      <tp t="s">
        <v>#N/A N/A</v>
        <stp/>
        <stp>BQL|11981470182347356373</stp>
        <tr r="X129" s="2"/>
      </tp>
      <tp t="s">
        <v>#N/A N/A</v>
        <stp/>
        <stp>BQL|14244868841668876951</stp>
        <tr r="U285" s="2"/>
      </tp>
      <tp t="s">
        <v>#N/A N/A</v>
        <stp/>
        <stp>BQL|12868632924267748800</stp>
        <tr r="E309" s="2"/>
      </tp>
      <tp t="s">
        <v>#N/A N/A</v>
        <stp/>
        <stp>BQL|13694949376495811142</stp>
        <tr r="X226" s="2"/>
      </tp>
      <tp t="s">
        <v>#N/A N/A</v>
        <stp/>
        <stp>BQL|14747781182137517502</stp>
        <tr r="U284" s="2"/>
      </tp>
      <tp t="s">
        <v>#N/A N/A</v>
        <stp/>
        <stp>BQL|10884239796602685039</stp>
        <tr r="J130" s="2"/>
      </tp>
      <tp t="s">
        <v>#N/A N/A</v>
        <stp/>
        <stp>BQL|17131311961672183988</stp>
        <tr r="M282" s="2"/>
      </tp>
      <tp t="s">
        <v>#N/A N/A</v>
        <stp/>
        <stp>BQL|16333048201266541985</stp>
        <tr r="N159" s="2"/>
        <tr r="N20" s="2"/>
        <tr r="N91" s="2"/>
      </tp>
      <tp t="s">
        <v>#N/A N/A</v>
        <stp/>
        <stp>BQL|15458024715395876803</stp>
        <tr r="K270" s="2"/>
      </tp>
      <tp t="s">
        <v>#N/A N/A</v>
        <stp/>
        <stp>BQL|15969989127325438286</stp>
        <tr r="T141" s="2"/>
      </tp>
      <tp t="s">
        <v>#N/A N/A</v>
        <stp/>
        <stp>BQL|11988466957330663949</stp>
        <tr r="W250" s="2"/>
      </tp>
      <tp t="s">
        <v>#N/A N/A</v>
        <stp/>
        <stp>BQL|10558954008231149135</stp>
        <tr r="G107" s="2"/>
      </tp>
      <tp t="s">
        <v>#N/A N/A</v>
        <stp/>
        <stp>BQL|16418532630951493892</stp>
        <tr r="W229" s="2"/>
      </tp>
      <tp t="s">
        <v>#N/A N/A</v>
        <stp/>
        <stp>BQL|12293991161777761378</stp>
        <tr r="L224" s="2"/>
      </tp>
      <tp t="s">
        <v>#N/A N/A</v>
        <stp/>
        <stp>BQL|10694963919370162128</stp>
        <tr r="N270" s="2"/>
      </tp>
      <tp t="s">
        <v>#N/A N/A</v>
        <stp/>
        <stp>BQL|17304922976410854055</stp>
        <tr r="F76" s="2"/>
      </tp>
      <tp t="s">
        <v>#N/A N/A</v>
        <stp/>
        <stp>BQL|17523127947598401218</stp>
        <tr r="L347" s="2"/>
      </tp>
      <tp t="s">
        <v>#N/A N/A</v>
        <stp/>
        <stp>BQL|15864169798544040130</stp>
        <tr r="K338" s="2"/>
      </tp>
      <tp t="s">
        <v>#N/A N/A</v>
        <stp/>
        <stp>BQL|15499004555779248163</stp>
        <tr r="T323" s="2"/>
      </tp>
      <tp t="s">
        <v>#N/A N/A</v>
        <stp/>
        <stp>BQL|11519932396829156042</stp>
        <tr r="X282" s="2"/>
      </tp>
      <tp t="s">
        <v>#N/A N/A</v>
        <stp/>
        <stp>BQL|17430993012315976236</stp>
        <tr r="S183" s="2"/>
      </tp>
      <tp t="s">
        <v>#N/A N/A</v>
        <stp/>
        <stp>BQL|13439234786184723535</stp>
        <tr r="H365" s="2"/>
      </tp>
      <tp t="s">
        <v>#N/A N/A</v>
        <stp/>
        <stp>BQL|17121917599957450889</stp>
        <tr r="U236" s="2"/>
      </tp>
      <tp t="s">
        <v>#N/A N/A</v>
        <stp/>
        <stp>BQL|11957883063001329640</stp>
        <tr r="Q354" s="2"/>
      </tp>
      <tp t="s">
        <v>#N/A N/A</v>
        <stp/>
        <stp>BQL|11761998058635742056</stp>
        <tr r="H204" s="2"/>
      </tp>
      <tp t="s">
        <v>#N/A N/A</v>
        <stp/>
        <stp>BQL|17933086422238079579</stp>
        <tr r="H127" s="2"/>
      </tp>
      <tp t="s">
        <v>#N/A N/A</v>
        <stp/>
        <stp>BQL|17475161601928163664</stp>
        <tr r="O327" s="2"/>
      </tp>
      <tp t="s">
        <v>#N/A N/A</v>
        <stp/>
        <stp>BQL|18122485516306349383</stp>
        <tr r="L201" s="2"/>
      </tp>
      <tp t="s">
        <v>#N/A N/A</v>
        <stp/>
        <stp>BQL|11845206389306557507</stp>
        <tr r="S252" s="2"/>
      </tp>
      <tp t="s">
        <v>#N/A N/A</v>
        <stp/>
        <stp>BQL|18115108201965198459</stp>
        <tr r="P172" s="2"/>
      </tp>
      <tp t="s">
        <v>#N/A N/A</v>
        <stp/>
        <stp>BQL|11046074053824069808</stp>
        <tr r="X323" s="2"/>
      </tp>
      <tp t="s">
        <v>#N/A N/A</v>
        <stp/>
        <stp>BQL|13605556590587764003</stp>
        <tr r="Q263" s="2"/>
      </tp>
      <tp t="s">
        <v>#N/A N/A</v>
        <stp/>
        <stp>BQL|12020513865439650066</stp>
        <tr r="E304" s="2"/>
      </tp>
      <tp t="s">
        <v>#N/A N/A</v>
        <stp/>
        <stp>BQL|16211427144537304936</stp>
        <tr r="T57" s="2"/>
      </tp>
      <tp t="s">
        <v>#N/A N/A</v>
        <stp/>
        <stp>BQL|14874246799292113506</stp>
        <tr r="S320" s="2"/>
      </tp>
      <tp t="s">
        <v>#N/A N/A</v>
        <stp/>
        <stp>BQL|10645371394701606376</stp>
        <tr r="I289" s="2"/>
      </tp>
      <tp t="s">
        <v>#N/A N/A</v>
        <stp/>
        <stp>BQL|13599843845214542358</stp>
        <tr r="R303" s="2"/>
      </tp>
      <tp t="s">
        <v>#N/A N/A</v>
        <stp/>
        <stp>BQL|15954995603524584016</stp>
        <tr r="I179" s="2"/>
      </tp>
      <tp t="s">
        <v>#N/A N/A</v>
        <stp/>
        <stp>BQL|12502924649920944703</stp>
        <tr r="S124" s="2"/>
        <tr r="S32" s="2"/>
      </tp>
      <tp t="s">
        <v>#N/A N/A</v>
        <stp/>
        <stp>BQL|17071831862183297243</stp>
        <tr r="X275" s="2"/>
      </tp>
      <tp t="s">
        <v>#N/A N/A</v>
        <stp/>
        <stp>BQL|10112765094864343274</stp>
        <tr r="V175" s="2"/>
      </tp>
      <tp t="s">
        <v>#N/A N/A</v>
        <stp/>
        <stp>BQL|18037179075294496210</stp>
        <tr r="Q212" s="2"/>
        <tr r="Q6" s="2"/>
      </tp>
      <tp t="s">
        <v>#N/A N/A</v>
        <stp/>
        <stp>BQL|13658426042479213231</stp>
        <tr r="T353" s="2"/>
      </tp>
      <tp t="s">
        <v>#N/A N/A</v>
        <stp/>
        <stp>BQL|13319452982103240412</stp>
        <tr r="F361" s="2"/>
      </tp>
      <tp t="s">
        <v>#N/A N/A</v>
        <stp/>
        <stp>BQL|17903154889800552663</stp>
        <tr r="E221" s="2"/>
      </tp>
      <tp t="s">
        <v>#N/A N/A</v>
        <stp/>
        <stp>BQL|10546063892806350744</stp>
        <tr r="K214" s="2"/>
      </tp>
      <tp t="s">
        <v>#N/A N/A</v>
        <stp/>
        <stp>BQL|13752463298767671194</stp>
        <tr r="W176" s="2"/>
      </tp>
      <tp t="s">
        <v>#N/A N/A</v>
        <stp/>
        <stp>BQL|11249715894625574241</stp>
        <tr r="Q267" s="2"/>
      </tp>
      <tp t="s">
        <v>#N/A N/A</v>
        <stp/>
        <stp>BQL|13074930439174470586</stp>
        <tr r="T63" s="2"/>
      </tp>
      <tp t="s">
        <v>#N/A N/A</v>
        <stp/>
        <stp>BQL|13757829187798248369</stp>
        <tr r="U325" s="2"/>
      </tp>
      <tp t="s">
        <v>#N/A N/A</v>
        <stp/>
        <stp>BQL|18368233432140089149</stp>
        <tr r="F256" s="2"/>
        <tr r="F279" s="2"/>
      </tp>
      <tp t="s">
        <v>#N/A N/A</v>
        <stp/>
        <stp>BQL|18086139692411682965</stp>
        <tr r="T295" s="2"/>
      </tp>
      <tp t="s">
        <v>#N/A N/A</v>
        <stp/>
        <stp>BQL|11751537045028184014</stp>
        <tr r="V271" s="2"/>
      </tp>
      <tp t="s">
        <v>#N/A N/A</v>
        <stp/>
        <stp>BQL|14637054388424996039</stp>
        <tr r="Q22" s="2"/>
        <tr r="Q99" s="2"/>
      </tp>
      <tp t="s">
        <v>#N/A N/A</v>
        <stp/>
        <stp>BQL|13090581566840634891</stp>
        <tr r="P351" s="2"/>
      </tp>
      <tp t="s">
        <v>#N/A N/A</v>
        <stp/>
        <stp>BQL|17537954764277370763</stp>
        <tr r="S247" s="2"/>
      </tp>
      <tp t="s">
        <v>#N/A N/A</v>
        <stp/>
        <stp>BQL|13625173453146455972</stp>
        <tr r="E194" s="2"/>
      </tp>
      <tp t="s">
        <v>#N/A N/A</v>
        <stp/>
        <stp>BQL|10326891959080044522</stp>
        <tr r="S300" s="2"/>
      </tp>
      <tp t="s">
        <v>#N/A N/A</v>
        <stp/>
        <stp>BQL|10321124513949149130</stp>
        <tr r="T328" s="2"/>
      </tp>
      <tp t="s">
        <v>#N/A N/A</v>
        <stp/>
        <stp>BQL|13512582977979845025</stp>
        <tr r="F245" s="2"/>
      </tp>
      <tp t="s">
        <v>#N/A N/A</v>
        <stp/>
        <stp>BQL|16281025985077234176</stp>
        <tr r="H199" s="2"/>
      </tp>
      <tp t="s">
        <v>#N/A N/A</v>
        <stp/>
        <stp>BQL|16399956077040788069</stp>
        <tr r="R156" s="2"/>
      </tp>
      <tp t="s">
        <v>#N/A N/A</v>
        <stp/>
        <stp>BQL|12320199486481546297</stp>
        <tr r="G246" s="2"/>
      </tp>
      <tp t="s">
        <v>#N/A N/A</v>
        <stp/>
        <stp>BQL|15278980539601500662</stp>
        <tr r="F296" s="2"/>
      </tp>
      <tp t="s">
        <v>#N/A N/A</v>
        <stp/>
        <stp>BQL|13307221148825135889</stp>
        <tr r="N56" s="2"/>
      </tp>
      <tp t="s">
        <v>#N/A N/A</v>
        <stp/>
        <stp>BQL|16649354636588708627</stp>
        <tr r="R209" s="2"/>
      </tp>
      <tp t="s">
        <v>#N/A N/A</v>
        <stp/>
        <stp>BQL|15752609750817343941</stp>
        <tr r="L174" s="2"/>
      </tp>
      <tp t="s">
        <v>#N/A N/A</v>
        <stp/>
        <stp>BQL|18012665911341143663</stp>
        <tr r="X353" s="2"/>
      </tp>
      <tp t="s">
        <v>#N/A N/A</v>
        <stp/>
        <stp>BQL|16920279009924743801</stp>
        <tr r="U64" s="2"/>
      </tp>
      <tp t="s">
        <v>#N/A N/A</v>
        <stp/>
        <stp>BQL|10783718285525779244</stp>
        <tr r="J18" s="2"/>
        <tr r="J93" s="2"/>
      </tp>
      <tp t="s">
        <v>#N/A N/A</v>
        <stp/>
        <stp>BQL|15875870840484677592</stp>
        <tr r="Q262" s="2"/>
      </tp>
      <tp t="s">
        <v>#N/A N/A</v>
        <stp/>
        <stp>BQL|10489114397720098018</stp>
        <tr r="T183" s="2"/>
      </tp>
      <tp t="s">
        <v>#N/A N/A</v>
        <stp/>
        <stp>BQL|13111980005950832272</stp>
        <tr r="O152" s="2"/>
        <tr r="O62" s="2"/>
      </tp>
      <tp t="s">
        <v>#N/A N/A</v>
        <stp/>
        <stp>BQL|16331558922548066177</stp>
        <tr r="X51" s="2"/>
      </tp>
      <tp t="s">
        <v>#N/A N/A</v>
        <stp/>
        <stp>BQL|15990223248363191812</stp>
        <tr r="H181" s="2"/>
      </tp>
      <tp t="s">
        <v>#N/A N/A</v>
        <stp/>
        <stp>BQL|12767836706201866393</stp>
        <tr r="L290" s="2"/>
      </tp>
      <tp t="s">
        <v>#N/A N/A</v>
        <stp/>
        <stp>BQL|16212976159736862470</stp>
        <tr r="E128" s="2"/>
        <tr r="E33" s="2"/>
      </tp>
      <tp t="s">
        <v>#N/A N/A</v>
        <stp/>
        <stp>BQL|11374267371135146960</stp>
        <tr r="L291" s="2"/>
      </tp>
      <tp t="s">
        <v>#N/A N/A</v>
        <stp/>
        <stp>BQL|16637827585026088828</stp>
        <tr r="L348" s="2"/>
      </tp>
      <tp t="s">
        <v>#N/A N/A</v>
        <stp/>
        <stp>BQL|14785556150914456849</stp>
        <tr r="F222" s="2"/>
      </tp>
      <tp t="s">
        <v>#N/A N/A</v>
        <stp/>
        <stp>BQL|18276971354569750549</stp>
        <tr r="Q147" s="2"/>
      </tp>
      <tp t="s">
        <v>#N/A N/A</v>
        <stp/>
        <stp>BQL|15194557452005231861</stp>
        <tr r="P309" s="2"/>
      </tp>
      <tp t="s">
        <v>#N/A N/A</v>
        <stp/>
        <stp>BQL|17824414131991256988</stp>
        <tr r="F4" s="2"/>
      </tp>
      <tp t="s">
        <v>#N/A N/A</v>
        <stp/>
        <stp>BQL|16163588776624532889</stp>
        <tr r="L227" s="2"/>
      </tp>
      <tp t="s">
        <v>#N/A N/A</v>
        <stp/>
        <stp>BQL|13140476192060657605</stp>
        <tr r="W313" s="2"/>
      </tp>
      <tp t="s">
        <v>#N/A N/A</v>
        <stp/>
        <stp>BQL|16548862122330626456</stp>
        <tr r="G363" s="2"/>
      </tp>
      <tp t="s">
        <v>#N/A N/A</v>
        <stp/>
        <stp>BQL|10998242333040582993</stp>
        <tr r="H359" s="2"/>
      </tp>
      <tp t="s">
        <v>#N/A N/A</v>
        <stp/>
        <stp>BQL|16224688422493037952</stp>
        <tr r="K250" s="2"/>
      </tp>
      <tp t="s">
        <v>#N/A N/A</v>
        <stp/>
        <stp>BQL|14172193957450786856</stp>
        <tr r="M357" s="2"/>
      </tp>
      <tp t="s">
        <v>#N/A N/A</v>
        <stp/>
        <stp>BQL|12323864826301816169</stp>
        <tr r="Q331" s="2"/>
      </tp>
      <tp t="s">
        <v>#N/A N/A</v>
        <stp/>
        <stp>BQL|17208399187181347521</stp>
        <tr r="G294" s="2"/>
      </tp>
      <tp t="s">
        <v>#N/A N/A</v>
        <stp/>
        <stp>BQL|13126688768768458384</stp>
        <tr r="P339" s="2"/>
      </tp>
      <tp t="s">
        <v>#N/A N/A</v>
        <stp/>
        <stp>BQL|11590910754912842758</stp>
        <tr r="Q193" s="2"/>
      </tp>
      <tp t="s">
        <v>#N/A N/A</v>
        <stp/>
        <stp>BQL|18008512490059542595</stp>
        <tr r="R313" s="2"/>
      </tp>
      <tp t="s">
        <v>#N/A N/A</v>
        <stp/>
        <stp>BQL|15654789257179575619</stp>
        <tr r="E340" s="2"/>
      </tp>
      <tp t="s">
        <v>#N/A N/A</v>
        <stp/>
        <stp>BQL|15672827139604044201</stp>
        <tr r="L331" s="2"/>
      </tp>
      <tp t="s">
        <v>#N/A N/A</v>
        <stp/>
        <stp>BQL|12545747329749701627</stp>
        <tr r="G180" s="2"/>
      </tp>
      <tp t="s">
        <v>#N/A N/A</v>
        <stp/>
        <stp>BQL|14710560687242336381</stp>
        <tr r="F119" s="2"/>
      </tp>
      <tp t="s">
        <v>#N/A N/A</v>
        <stp/>
        <stp>BQL|17555802225625917041</stp>
        <tr r="Q226" s="2"/>
      </tp>
      <tp t="s">
        <v>#N/A N/A</v>
        <stp/>
        <stp>BQL|16723236152421922822</stp>
        <tr r="G25" s="2"/>
        <tr r="G96" s="2"/>
      </tp>
      <tp t="s">
        <v>#N/A N/A</v>
        <stp/>
        <stp>BQL|12865987800984493797</stp>
        <tr r="E198" s="2"/>
      </tp>
      <tp t="s">
        <v>#N/A N/A</v>
        <stp/>
        <stp>BQL|13529622857930424880</stp>
        <tr r="T64" s="2"/>
      </tp>
      <tp t="s">
        <v>#N/A N/A</v>
        <stp/>
        <stp>BQL|14827648298260951316</stp>
        <tr r="V118" s="2"/>
      </tp>
      <tp t="s">
        <v>#N/A N/A</v>
        <stp/>
        <stp>BQL|13086491779059426182</stp>
        <tr r="V57" s="2"/>
      </tp>
      <tp t="s">
        <v>#N/A N/A</v>
        <stp/>
        <stp>BQL|13886296987537951632</stp>
        <tr r="E324" s="2"/>
        <tr r="E40" s="2"/>
      </tp>
      <tp t="s">
        <v>#N/A N/A</v>
        <stp/>
        <stp>BQL|16838227396487641267</stp>
        <tr r="X299" s="2"/>
      </tp>
      <tp t="s">
        <v>#N/A N/A</v>
        <stp/>
        <stp>BQL|14903466985831052169</stp>
        <tr r="O324" s="2"/>
        <tr r="O40" s="2"/>
      </tp>
      <tp t="s">
        <v>#N/A N/A</v>
        <stp/>
        <stp>BQL|12893265057474410918</stp>
        <tr r="H168" s="2"/>
      </tp>
      <tp t="s">
        <v>#N/A N/A</v>
        <stp/>
        <stp>BQL|17939418266798294505</stp>
        <tr r="L259" s="2"/>
      </tp>
      <tp t="s">
        <v>#N/A N/A</v>
        <stp/>
        <stp>BQL|16318508651699886763</stp>
        <tr r="E268" s="2"/>
      </tp>
      <tp t="s">
        <v>#N/A N/A</v>
        <stp/>
        <stp>BQL|13103464788966756176</stp>
        <tr r="I283" s="2"/>
      </tp>
      <tp t="s">
        <v>#N/A N/A</v>
        <stp/>
        <stp>BQL|10459083346639698537</stp>
        <tr r="E192" s="2"/>
      </tp>
      <tp t="s">
        <v>#N/A N/A</v>
        <stp/>
        <stp>BQL|13302756888745170105</stp>
        <tr r="H54" s="2"/>
      </tp>
      <tp t="s">
        <v>#N/A N/A</v>
        <stp/>
        <stp>BQL|17553101559593529864</stp>
        <tr r="W223" s="2"/>
      </tp>
      <tp t="s">
        <v>#N/A N/A</v>
        <stp/>
        <stp>BQL|13053012817072079895</stp>
        <tr r="L72" s="2"/>
      </tp>
      <tp t="s">
        <v>#N/A N/A</v>
        <stp/>
        <stp>BQL|14373418186118348897</stp>
        <tr r="O47" s="2"/>
      </tp>
      <tp t="s">
        <v>#N/A N/A</v>
        <stp/>
        <stp>BQL|10502422748630882890</stp>
        <tr r="K303" s="2"/>
      </tp>
      <tp t="s">
        <v>#N/A N/A</v>
        <stp/>
        <stp>BQL|11124886436273108105</stp>
        <tr r="F364" s="2"/>
      </tp>
      <tp t="s">
        <v>#N/A N/A</v>
        <stp/>
        <stp>BQL|14219927350750667085</stp>
        <tr r="F340" s="2"/>
      </tp>
      <tp t="s">
        <v>#N/A N/A</v>
        <stp/>
        <stp>BQL|17966536984770634263</stp>
        <tr r="E116" s="2"/>
        <tr r="E30" s="2"/>
      </tp>
      <tp t="s">
        <v>#N/A N/A</v>
        <stp/>
        <stp>BQL|11158957715783864276</stp>
        <tr r="F312" s="2"/>
      </tp>
      <tp t="s">
        <v>#N/A N/A</v>
        <stp/>
        <stp>BQL|14975801114311173426</stp>
        <tr r="O303" s="2"/>
      </tp>
      <tp t="s">
        <v>#N/A N/A</v>
        <stp/>
        <stp>BQL|16500830041140779298</stp>
        <tr r="J335" s="2"/>
      </tp>
      <tp t="s">
        <v>#N/A N/A</v>
        <stp/>
        <stp>BQL|17533248074482457884</stp>
        <tr r="O325" s="2"/>
      </tp>
      <tp t="s">
        <v>#N/A N/A</v>
        <stp/>
        <stp>BQL|14948775082937573401</stp>
        <tr r="T184" s="2"/>
        <tr r="T35" s="2"/>
      </tp>
      <tp t="s">
        <v>#N/A N/A</v>
        <stp/>
        <stp>BQL|12159627075539668296</stp>
        <tr r="N199" s="2"/>
      </tp>
      <tp t="s">
        <v>#N/A N/A</v>
        <stp/>
        <stp>BQL|16002233246008459080</stp>
        <tr r="T296" s="2"/>
      </tp>
      <tp t="s">
        <v>#N/A N/A</v>
        <stp/>
        <stp>BQL|11038603847239747290</stp>
        <tr r="V124" s="2"/>
        <tr r="V32" s="2"/>
      </tp>
      <tp t="s">
        <v>#N/A N/A</v>
        <stp/>
        <stp>BQL|11801906066604055270</stp>
        <tr r="Q318" s="2"/>
      </tp>
      <tp t="s">
        <v>#N/A N/A</v>
        <stp/>
        <stp>BQL|17100964293029568686</stp>
        <tr r="L300" s="2"/>
      </tp>
      <tp t="s">
        <v>#N/A N/A</v>
        <stp/>
        <stp>BQL|15599526880510906060</stp>
        <tr r="G177" s="2"/>
      </tp>
      <tp t="s">
        <v>#N/A N/A</v>
        <stp/>
        <stp>BQL|17546756224812866841</stp>
        <tr r="K106" s="2"/>
      </tp>
      <tp t="s">
        <v>#N/A N/A</v>
        <stp/>
        <stp>BQL|18277053499460608902</stp>
        <tr r="N79" s="2"/>
      </tp>
      <tp t="s">
        <v>#N/A N/A</v>
        <stp/>
        <stp>BQL|16040881530833345605</stp>
        <tr r="E160" s="2"/>
        <tr r="E21" s="2"/>
        <tr r="E92" s="2"/>
      </tp>
      <tp t="s">
        <v>#N/A N/A</v>
        <stp/>
        <stp>BQL|12759244732332932933</stp>
        <tr r="W86" s="2"/>
      </tp>
      <tp t="s">
        <v>#N/A N/A</v>
        <stp/>
        <stp>BQL|10615763466800834959</stp>
        <tr r="H221" s="2"/>
      </tp>
      <tp t="s">
        <v>#N/A N/A</v>
        <stp/>
        <stp>BQL|17974770254868687570</stp>
        <tr r="Q160" s="2"/>
        <tr r="Q21" s="2"/>
        <tr r="Q92" s="2"/>
      </tp>
      <tp t="s">
        <v>#N/A N/A</v>
        <stp/>
        <stp>BQL|13928333350505268835</stp>
        <tr r="K236" s="2"/>
      </tp>
      <tp t="s">
        <v>#N/A N/A</v>
        <stp/>
        <stp>BQL|16445541291381384398</stp>
        <tr r="U57" s="2"/>
      </tp>
      <tp t="s">
        <v>#N/A N/A</v>
        <stp/>
        <stp>BQL|10869674221438061455</stp>
        <tr r="O337" s="2"/>
      </tp>
      <tp t="s">
        <v>#N/A N/A</v>
        <stp/>
        <stp>BQL|16070988003617338023</stp>
        <tr r="V100" s="2"/>
      </tp>
      <tp t="s">
        <v>#N/A N/A</v>
        <stp/>
        <stp>BQL|17452963931993805617</stp>
        <tr r="H347" s="2"/>
      </tp>
      <tp t="s">
        <v>#N/A N/A</v>
        <stp/>
        <stp>BQL|13273694841700795972</stp>
        <tr r="I299" s="2"/>
      </tp>
      <tp t="s">
        <v>#N/A N/A</v>
        <stp/>
        <stp>BQL|14394760139580343857</stp>
        <tr r="U18" s="2"/>
        <tr r="U93" s="2"/>
      </tp>
      <tp t="s">
        <v>#N/A N/A</v>
        <stp/>
        <stp>BQL|10482947849466777343</stp>
        <tr r="R175" s="2"/>
      </tp>
      <tp t="s">
        <v>#N/A N/A</v>
        <stp/>
        <stp>BQL|13796289768288556786</stp>
        <tr r="S24" s="2"/>
        <tr r="S95" s="2"/>
      </tp>
      <tp t="s">
        <v>#N/A N/A</v>
        <stp/>
        <stp>BQL|15574224727338835522</stp>
        <tr r="G57" s="2"/>
      </tp>
      <tp t="s">
        <v>#N/A N/A</v>
        <stp/>
        <stp>BQL|16643289809845503983</stp>
        <tr r="O192" s="2"/>
      </tp>
      <tp t="s">
        <v>#N/A N/A</v>
        <stp/>
        <stp>BQL|16968125651062813884</stp>
        <tr r="E124" s="2"/>
        <tr r="E32" s="2"/>
      </tp>
      <tp t="s">
        <v>#N/A N/A</v>
        <stp/>
        <stp>BQL|13859827143494765344</stp>
        <tr r="S180" s="2"/>
      </tp>
      <tp t="s">
        <v>#N/A N/A</v>
        <stp/>
        <stp>BQL|12877974539824861449</stp>
        <tr r="Q268" s="2"/>
      </tp>
      <tp t="s">
        <v>#N/A N/A</v>
        <stp/>
        <stp>BQL|16372704572942370377</stp>
        <tr r="Q51" s="2"/>
      </tp>
      <tp t="s">
        <v>#N/A N/A</v>
        <stp/>
        <stp>BQL|14137127440356293046</stp>
        <tr r="F365" s="2"/>
      </tp>
      <tp t="s">
        <v>#N/A N/A</v>
        <stp/>
        <stp>BQL|13708416746992722625</stp>
        <tr r="X221" s="2"/>
      </tp>
      <tp t="s">
        <v>#N/A N/A</v>
        <stp/>
        <stp>BQL|12242361504476491015</stp>
        <tr r="W18" s="2"/>
        <tr r="W93" s="2"/>
      </tp>
      <tp t="s">
        <v>#N/A N/A</v>
        <stp/>
        <stp>BQL|10728628659442145689</stp>
        <tr r="H291" s="2"/>
      </tp>
      <tp t="s">
        <v>#N/A N/A</v>
        <stp/>
        <stp>BQL|13474187498384328827</stp>
        <tr r="L364" s="2"/>
      </tp>
      <tp t="s">
        <v>#N/A N/A</v>
        <stp/>
        <stp>BQL|13245554630492629043</stp>
        <tr r="M112" s="2"/>
        <tr r="M29" s="2"/>
      </tp>
      <tp t="s">
        <v>#N/A N/A</v>
        <stp/>
        <stp>BQL|17027747242887431465</stp>
        <tr r="L209" s="2"/>
      </tp>
      <tp t="s">
        <v>#N/A N/A</v>
        <stp/>
        <stp>BQL|15542771105963703646</stp>
        <tr r="T341" s="2"/>
      </tp>
      <tp t="s">
        <v>#N/A N/A</v>
        <stp/>
        <stp>BQL|16812155818696883793</stp>
        <tr r="Q293" s="2"/>
      </tp>
      <tp t="s">
        <v>#N/A N/A</v>
        <stp/>
        <stp>BQL|14086130708563830170</stp>
        <tr r="P187" s="2"/>
        <tr r="P37" s="2"/>
      </tp>
      <tp t="s">
        <v>#N/A N/A</v>
        <stp/>
        <stp>BQL|15212187915992992028</stp>
        <tr r="P160" s="2"/>
        <tr r="P21" s="2"/>
        <tr r="P92" s="2"/>
      </tp>
      <tp t="s">
        <v>#N/A N/A</v>
        <stp/>
        <stp>BQL|18026333594245786047</stp>
        <tr r="L171" s="2"/>
      </tp>
      <tp t="s">
        <v>#N/A N/A</v>
        <stp/>
        <stp>BQL|15272725366870076321</stp>
        <tr r="X115" s="2"/>
      </tp>
      <tp t="s">
        <v>#N/A N/A</v>
        <stp/>
        <stp>BQL|17637630043126156434</stp>
        <tr r="X222" s="2"/>
      </tp>
      <tp t="s">
        <v>#N/A N/A</v>
        <stp/>
        <stp>BQL|15543777131193486538</stp>
        <tr r="V286" s="2"/>
      </tp>
      <tp t="s">
        <v>#N/A N/A</v>
        <stp/>
        <stp>BQL|15484644383964737804</stp>
        <tr r="L196" s="2"/>
      </tp>
      <tp t="s">
        <v>#N/A N/A</v>
        <stp/>
        <stp>BQL|16906851468786364931</stp>
        <tr r="X125" s="2"/>
      </tp>
      <tp t="s">
        <v>#N/A N/A</v>
        <stp/>
        <stp>BQL|15660221591089628070</stp>
        <tr r="H357" s="2"/>
      </tp>
      <tp t="s">
        <v>#N/A N/A</v>
        <stp/>
        <stp>BQL|18194684592878652895</stp>
        <tr r="U292" s="2"/>
      </tp>
      <tp t="s">
        <v>#N/A N/A</v>
        <stp/>
        <stp>BQL|10547284066101907265</stp>
        <tr r="I76" s="2"/>
      </tp>
      <tp t="s">
        <v>#N/A N/A</v>
        <stp/>
        <stp>BQL|17768492245421431188</stp>
        <tr r="J192" s="2"/>
      </tp>
      <tp t="s">
        <v>#N/A N/A</v>
        <stp/>
        <stp>BQL|16713199271371975613</stp>
        <tr r="V352" s="2"/>
      </tp>
      <tp t="s">
        <v>#N/A N/A</v>
        <stp/>
        <stp>BQL|14028628177653458165</stp>
        <tr r="V79" s="2"/>
      </tp>
      <tp t="s">
        <v>#N/A N/A</v>
        <stp/>
        <stp>BQL|17289143554976021251</stp>
        <tr r="H135" s="2"/>
      </tp>
      <tp t="s">
        <v>#N/A N/A</v>
        <stp/>
        <stp>BQL|13219775622945005408</stp>
        <tr r="N130" s="2"/>
      </tp>
      <tp t="s">
        <v>#N/A N/A</v>
        <stp/>
        <stp>BQL|17094310626888074902</stp>
        <tr r="S331" s="2"/>
      </tp>
      <tp t="s">
        <v>#N/A N/A</v>
        <stp/>
        <stp>BQL|12502927190425332034</stp>
        <tr r="J114" s="2"/>
      </tp>
      <tp t="s">
        <v>#N/A N/A</v>
        <stp/>
        <stp>BQL|17423564151617230778</stp>
        <tr r="O329" s="2"/>
      </tp>
      <tp t="s">
        <v>#N/A N/A</v>
        <stp/>
        <stp>BQL|16785578252226591711</stp>
        <tr r="J263" s="2"/>
      </tp>
      <tp t="s">
        <v>#N/A N/A</v>
        <stp/>
        <stp>BQL|11680637008718385889</stp>
        <tr r="S22" s="2"/>
        <tr r="S99" s="2"/>
      </tp>
      <tp t="s">
        <v>#N/A N/A</v>
        <stp/>
        <stp>BQL|15373909465618609560</stp>
        <tr r="W131" s="2"/>
      </tp>
      <tp t="s">
        <v>#N/A N/A</v>
        <stp/>
        <stp>BQL|16672233690893369902</stp>
        <tr r="L237" s="2"/>
      </tp>
      <tp t="s">
        <v>#N/A N/A</v>
        <stp/>
        <stp>BQL|15414611945703685301</stp>
        <tr r="R275" s="2"/>
      </tp>
      <tp t="s">
        <v>#N/A N/A</v>
        <stp/>
        <stp>BQL|10380562797773364875</stp>
        <tr r="J3" s="2"/>
      </tp>
      <tp t="s">
        <v>#N/A N/A</v>
        <stp/>
        <stp>BQL|17373583818784495014</stp>
        <tr r="X350" s="2"/>
      </tp>
      <tp t="s">
        <v>#N/A N/A</v>
        <stp/>
        <stp>BQL|17120023751601297462</stp>
        <tr r="W267" s="2"/>
      </tp>
      <tp t="s">
        <v>#N/A N/A</v>
        <stp/>
        <stp>BQL|15623597173551215183</stp>
        <tr r="G275" s="2"/>
      </tp>
      <tp t="s">
        <v>#N/A N/A</v>
        <stp/>
        <stp>BQL|14475876002083209850</stp>
        <tr r="S53" s="2"/>
      </tp>
      <tp t="s">
        <v>#N/A N/A</v>
        <stp/>
        <stp>BQL|11264445402173634140</stp>
        <tr r="V292" s="2"/>
      </tp>
      <tp t="s">
        <v>#N/A N/A</v>
        <stp/>
        <stp>BQL|17149472501060307420</stp>
        <tr r="U100" s="2"/>
      </tp>
      <tp t="s">
        <v>#N/A N/A</v>
        <stp/>
        <stp>BQL|13277245003587789149</stp>
        <tr r="X126" s="2"/>
      </tp>
      <tp t="s">
        <v>#N/A N/A</v>
        <stp/>
        <stp>BQL|12049315050007150460</stp>
        <tr r="G214" s="2"/>
      </tp>
      <tp t="s">
        <v>#N/A N/A</v>
        <stp/>
        <stp>BQL|16892913098580246120</stp>
        <tr r="Q211" s="2"/>
      </tp>
      <tp t="s">
        <v>#N/A N/A</v>
        <stp/>
        <stp>BQL|15454107526512491376</stp>
        <tr r="M260" s="2"/>
      </tp>
      <tp t="s">
        <v>#N/A N/A</v>
        <stp/>
        <stp>BQL|14896559078090480107</stp>
        <tr r="M25" s="2"/>
        <tr r="M96" s="2"/>
      </tp>
      <tp t="s">
        <v>#N/A N/A</v>
        <stp/>
        <stp>BQL|16483504826532328405</stp>
        <tr r="V319" s="2"/>
      </tp>
      <tp t="s">
        <v>#N/A N/A</v>
        <stp/>
        <stp>BQL|13421093420675938359</stp>
        <tr r="M235" s="2"/>
      </tp>
      <tp t="s">
        <v>#N/A N/A</v>
        <stp/>
        <stp>BQL|12961777936895961403</stp>
        <tr r="M263" s="2"/>
      </tp>
      <tp t="s">
        <v>#N/A N/A</v>
        <stp/>
        <stp>BQL|13883073817131804419</stp>
        <tr r="R76" s="2"/>
      </tp>
      <tp t="s">
        <v>#N/A N/A</v>
        <stp/>
        <stp>BQL|14393546263166250679</stp>
        <tr r="L168" s="2"/>
      </tp>
      <tp t="s">
        <v>#N/A N/A</v>
        <stp/>
        <stp>BQL|15106255563200077661</stp>
        <tr r="L350" s="2"/>
      </tp>
      <tp t="s">
        <v>#N/A N/A</v>
        <stp/>
        <stp>BQL|15189973896915917783</stp>
        <tr r="J168" s="2"/>
      </tp>
      <tp t="s">
        <v>#N/A N/A</v>
        <stp/>
        <stp>BQL|16618462696305101965</stp>
        <tr r="I285" s="2"/>
      </tp>
      <tp t="s">
        <v>#N/A N/A</v>
        <stp/>
        <stp>BQL|12610436570066748037</stp>
        <tr r="R342" s="2"/>
      </tp>
      <tp t="s">
        <v>#N/A N/A</v>
        <stp/>
        <stp>BQL|14301315672104646374</stp>
        <tr r="M274" s="2"/>
      </tp>
      <tp t="s">
        <v>#N/A N/A</v>
        <stp/>
        <stp>BQL|16828059173555869362</stp>
        <tr r="U175" s="2"/>
      </tp>
      <tp t="s">
        <v>#N/A N/A</v>
        <stp/>
        <stp>BQL|13674320331440017458</stp>
        <tr r="M156" s="2"/>
      </tp>
      <tp t="s">
        <v>#N/A N/A</v>
        <stp/>
        <stp>BQL|17642722355821585348</stp>
        <tr r="Q339" s="2"/>
      </tp>
      <tp t="s">
        <v>#N/A N/A</v>
        <stp/>
        <stp>BQL|11557608424517347521</stp>
        <tr r="H335" s="2"/>
      </tp>
      <tp t="s">
        <v>#N/A N/A</v>
        <stp/>
        <stp>BQL|17308784267095407489</stp>
        <tr r="S245" s="2"/>
      </tp>
      <tp t="s">
        <v>#N/A N/A</v>
        <stp/>
        <stp>BQL|14714331575376596147</stp>
        <tr r="N157" s="2"/>
        <tr r="N16" s="2"/>
        <tr r="N89" s="2"/>
      </tp>
      <tp t="s">
        <v>#N/A N/A</v>
        <stp/>
        <stp>BQL|14130589678148219936</stp>
        <tr r="J265" s="2"/>
      </tp>
      <tp t="s">
        <v>#N/A N/A</v>
        <stp/>
        <stp>BQL|18282802364250674103</stp>
        <tr r="Q269" s="2"/>
      </tp>
      <tp t="s">
        <v>#N/A N/A</v>
        <stp/>
        <stp>BQL|14850463828073064663</stp>
        <tr r="I291" s="2"/>
      </tp>
      <tp t="s">
        <v>#N/A N/A</v>
        <stp/>
        <stp>BQL|16469652177145147572</stp>
        <tr r="L194" s="2"/>
      </tp>
      <tp t="s">
        <v>#N/A N/A</v>
        <stp/>
        <stp>BQL|16665177490189071015</stp>
        <tr r="R86" s="2"/>
      </tp>
      <tp t="s">
        <v>#N/A N/A</v>
        <stp/>
        <stp>BQL|10136379328022880463</stp>
        <tr r="V166" s="2"/>
      </tp>
      <tp t="s">
        <v>#N/A N/A</v>
        <stp/>
        <stp>BQL|13558074835880481736</stp>
        <tr r="H185" s="2"/>
      </tp>
      <tp t="s">
        <v>#N/A N/A</v>
        <stp/>
        <stp>BQL|13820599850107646378</stp>
        <tr r="W247" s="2"/>
      </tp>
      <tp t="s">
        <v>#N/A N/A</v>
        <stp/>
        <stp>BQL|10242255741113517235</stp>
        <tr r="H309" s="2"/>
      </tp>
      <tp t="s">
        <v>#N/A N/A</v>
        <stp/>
        <stp>BQL|16209478980475450821</stp>
        <tr r="U287" s="2"/>
      </tp>
      <tp t="s">
        <v>#N/A N/A</v>
        <stp/>
        <stp>BQL|11898760116947877734</stp>
        <tr r="K188" s="2"/>
        <tr r="K38" s="2"/>
      </tp>
      <tp t="s">
        <v>#N/A N/A</v>
        <stp/>
        <stp>BQL|13087381838874214011</stp>
        <tr r="T179" s="2"/>
      </tp>
      <tp t="s">
        <v>#N/A N/A</v>
        <stp/>
        <stp>BQL|14602372965237072177</stp>
        <tr r="N51" s="2"/>
      </tp>
      <tp t="s">
        <v>#N/A N/A</v>
        <stp/>
        <stp>BQL|15619137456712729473</stp>
        <tr r="N297" s="2"/>
      </tp>
      <tp t="s">
        <v>#N/A N/A</v>
        <stp/>
        <stp>BQL|13297666772827288266</stp>
        <tr r="Q300" s="2"/>
      </tp>
      <tp t="s">
        <v>#N/A N/A</v>
        <stp/>
        <stp>BQL|11787761355041098568</stp>
        <tr r="O176" s="2"/>
      </tp>
      <tp t="s">
        <v>#N/A N/A</v>
        <stp/>
        <stp>BQL|11222436604042585024</stp>
        <tr r="V348" s="2"/>
      </tp>
      <tp t="s">
        <v>#N/A N/A</v>
        <stp/>
        <stp>BQL|11212131226962116746</stp>
        <tr r="E323" s="2"/>
      </tp>
      <tp t="s">
        <v>#N/A N/A</v>
        <stp/>
        <stp>BQL|10505371523440397602</stp>
        <tr r="N69" s="2"/>
      </tp>
      <tp t="s">
        <v>#N/A N/A</v>
        <stp/>
        <stp>BQL|14297578056676226538</stp>
        <tr r="P337" s="2"/>
      </tp>
      <tp t="s">
        <v>#N/A N/A</v>
        <stp/>
        <stp>BQL|17871529576467939578</stp>
        <tr r="P317" s="2"/>
      </tp>
      <tp t="s">
        <v>#N/A N/A</v>
        <stp/>
        <stp>BQL|12927202210270858636</stp>
        <tr r="O128" s="2"/>
        <tr r="O33" s="2"/>
      </tp>
      <tp t="s">
        <v>#N/A N/A</v>
        <stp/>
        <stp>BQL|17822278783499789397</stp>
        <tr r="G239" s="2"/>
      </tp>
      <tp t="s">
        <v>#N/A N/A</v>
        <stp/>
        <stp>BQL|13126026075066128551</stp>
        <tr r="L86" s="2"/>
      </tp>
      <tp t="s">
        <v>#N/A N/A</v>
        <stp/>
        <stp>BQL|14104057660377099294</stp>
        <tr r="M266" s="2"/>
      </tp>
      <tp t="s">
        <v>#N/A N/A</v>
        <stp/>
        <stp>BQL|13612289840274078635</stp>
        <tr r="E253" s="2"/>
      </tp>
      <tp t="s">
        <v>#N/A N/A</v>
        <stp/>
        <stp>BQL|12028469261205817226</stp>
        <tr r="N252" s="2"/>
      </tp>
      <tp t="s">
        <v>#N/A N/A</v>
        <stp/>
        <stp>BQL|12389549858832607747</stp>
        <tr r="F338" s="2"/>
      </tp>
      <tp t="s">
        <v>#N/A N/A</v>
        <stp/>
        <stp>BQL|16862991678647604821</stp>
        <tr r="E73" s="2"/>
      </tp>
      <tp t="s">
        <v>#N/A N/A</v>
        <stp/>
        <stp>BQL|14932696168826742529</stp>
        <tr r="M300" s="2"/>
      </tp>
      <tp t="s">
        <v>#N/A N/A</v>
        <stp/>
        <stp>BQL|15341758952917838712</stp>
        <tr r="F116" s="2"/>
        <tr r="F30" s="2"/>
      </tp>
      <tp t="s">
        <v>#N/A N/A</v>
        <stp/>
        <stp>BQL|10529053452120689282</stp>
        <tr r="H300" s="2"/>
      </tp>
      <tp t="s">
        <v>#N/A N/A</v>
        <stp/>
        <stp>BQL|17790997892004656466</stp>
        <tr r="P275" s="2"/>
      </tp>
      <tp t="s">
        <v>#N/A N/A</v>
        <stp/>
        <stp>BQL|10291383921006026074</stp>
        <tr r="J313" s="2"/>
      </tp>
      <tp t="s">
        <v>#N/A N/A</v>
        <stp/>
        <stp>BQL|14674104446062828443</stp>
        <tr r="H220" s="2"/>
      </tp>
      <tp t="s">
        <v>#N/A N/A</v>
        <stp/>
        <stp>BQL|16923503633960327758</stp>
        <tr r="V22" s="2"/>
        <tr r="V99" s="2"/>
      </tp>
      <tp t="s">
        <v>#N/A N/A</v>
        <stp/>
        <stp>BQL|10617070960093888258</stp>
        <tr r="I338" s="2"/>
      </tp>
      <tp t="s">
        <v>#N/A N/A</v>
        <stp/>
        <stp>BQL|12067235112522568480</stp>
        <tr r="V275" s="2"/>
      </tp>
      <tp t="s">
        <v>#N/A N/A</v>
        <stp/>
        <stp>BQL|12967221255784326615</stp>
        <tr r="H208" s="2"/>
      </tp>
      <tp t="s">
        <v>#N/A N/A</v>
        <stp/>
        <stp>BQL|15889277250777741249</stp>
        <tr r="F237" s="2"/>
      </tp>
      <tp t="s">
        <v>#N/A N/A</v>
        <stp/>
        <stp>BQL|18039256684065434093</stp>
        <tr r="Q220" s="2"/>
      </tp>
      <tp t="s">
        <v>#N/A N/A</v>
        <stp/>
        <stp>BQL|15968115227815776448</stp>
        <tr r="H228" s="2"/>
      </tp>
      <tp t="s">
        <v>#N/A N/A</v>
        <stp/>
        <stp>BQL|18127187197586235139</stp>
        <tr r="K347" s="2"/>
      </tp>
      <tp t="s">
        <v>#N/A N/A</v>
        <stp/>
        <stp>BQL|12356446889000037919</stp>
        <tr r="V125" s="2"/>
      </tp>
      <tp t="s">
        <v>#N/A N/A</v>
        <stp/>
        <stp>BQL|10928029825251631473</stp>
        <tr r="U296" s="2"/>
      </tp>
      <tp t="s">
        <v>#N/A N/A</v>
        <stp/>
        <stp>BQL|13529521647533873679</stp>
        <tr r="T14" s="2"/>
        <tr r="T87" s="2"/>
      </tp>
      <tp t="s">
        <v>#N/A N/A</v>
        <stp/>
        <stp>BQL|11883075388777977915</stp>
        <tr r="I335" s="2"/>
      </tp>
      <tp t="s">
        <v>#N/A N/A</v>
        <stp/>
        <stp>BQL|17736083963866159025</stp>
        <tr r="Q120" s="2"/>
      </tp>
      <tp t="s">
        <v>#N/A N/A</v>
        <stp/>
        <stp>BQL|11839458542716743077</stp>
        <tr r="Q254" s="2"/>
      </tp>
      <tp t="s">
        <v>#N/A N/A</v>
        <stp/>
        <stp>BQL|16734470110946972263</stp>
        <tr r="K15" s="2"/>
        <tr r="K88" s="2"/>
      </tp>
      <tp t="s">
        <v>#N/A N/A</v>
        <stp/>
        <stp>BQL|14992038952983756501</stp>
        <tr r="K301" s="2"/>
      </tp>
      <tp t="s">
        <v>#N/A N/A</v>
        <stp/>
        <stp>BQL|16888590471745949667</stp>
        <tr r="L352" s="2"/>
      </tp>
      <tp t="s">
        <v>#N/A N/A</v>
        <stp/>
        <stp>BQL|14453762440615449596</stp>
        <tr r="L190" s="2"/>
      </tp>
      <tp t="s">
        <v>#N/A N/A</v>
        <stp/>
        <stp>BQL|13419701548705140221</stp>
        <tr r="G338" s="2"/>
      </tp>
      <tp t="s">
        <v>#N/A N/A</v>
        <stp/>
        <stp>BQL|16809197110997644688</stp>
        <tr r="G261" s="2"/>
      </tp>
      <tp t="s">
        <v>#N/A N/A</v>
        <stp/>
        <stp>BQL|11403598820912766356</stp>
        <tr r="W114" s="2"/>
      </tp>
      <tp t="s">
        <v>#N/A N/A</v>
        <stp/>
        <stp>BQL|11371511677642897629</stp>
        <tr r="N14" s="2"/>
        <tr r="N87" s="2"/>
      </tp>
      <tp t="s">
        <v>#N/A N/A</v>
        <stp/>
        <stp>BQL|17455392320889616849</stp>
        <tr r="E132" s="2"/>
      </tp>
      <tp t="s">
        <v>#N/A N/A</v>
        <stp/>
        <stp>BQL|11964832467781600945</stp>
        <tr r="N205" s="2"/>
        <tr r="N308" s="2"/>
      </tp>
      <tp t="s">
        <v>#N/A N/A</v>
        <stp/>
        <stp>BQL|11730288440107993795</stp>
        <tr r="F71" s="2"/>
      </tp>
      <tp t="s">
        <v>#N/A N/A</v>
        <stp/>
        <stp>BQL|12092928126997957929</stp>
        <tr r="H156" s="2"/>
      </tp>
      <tp t="s">
        <v>#N/A N/A</v>
        <stp/>
        <stp>BQL|17152069720526054496</stp>
        <tr r="K249" s="2"/>
      </tp>
      <tp t="s">
        <v>#N/A N/A</v>
        <stp/>
        <stp>BQL|14981475481548230732</stp>
        <tr r="K282" s="2"/>
      </tp>
      <tp t="s">
        <v>#N/A N/A</v>
        <stp/>
        <stp>BQL|17417643969847077773</stp>
        <tr r="P338" s="2"/>
      </tp>
      <tp t="s">
        <v>#N/A N/A</v>
        <stp/>
        <stp>BQL|14401682507186696339</stp>
        <tr r="J272" s="2"/>
      </tp>
      <tp t="s">
        <v>#N/A N/A</v>
        <stp/>
        <stp>BQL|15907240769267820120</stp>
        <tr r="E105" s="2"/>
      </tp>
      <tp t="s">
        <v>#N/A N/A</v>
        <stp/>
        <stp>BQL|14454672704974088191</stp>
        <tr r="X190" s="2"/>
      </tp>
      <tp t="s">
        <v>#N/A N/A</v>
        <stp/>
        <stp>BQL|13758703214501824357</stp>
        <tr r="O18" s="2"/>
        <tr r="O93" s="2"/>
      </tp>
      <tp t="s">
        <v>#N/A N/A</v>
        <stp/>
        <stp>BQL|14793984975624793934</stp>
        <tr r="P226" s="2"/>
      </tp>
      <tp t="s">
        <v>#N/A N/A</v>
        <stp/>
        <stp>BQL|10346628639153595131</stp>
        <tr r="L236" s="2"/>
      </tp>
      <tp t="s">
        <v>#N/A N/A</v>
        <stp/>
        <stp>BQL|12049302984749402799</stp>
        <tr r="L73" s="2"/>
      </tp>
      <tp t="s">
        <v>#N/A N/A</v>
        <stp/>
        <stp>BQL|17364523592464387891</stp>
        <tr r="R222" s="2"/>
      </tp>
      <tp t="s">
        <v>#N/A N/A</v>
        <stp/>
        <stp>BQL|17327077510963808253</stp>
        <tr r="K104" s="2"/>
      </tp>
      <tp t="s">
        <v>#N/A N/A</v>
        <stp/>
        <stp>BQL|14128609442394204586</stp>
        <tr r="X236" s="2"/>
      </tp>
      <tp t="s">
        <v>#N/A N/A</v>
        <stp/>
        <stp>BQL|11623828210258419794</stp>
        <tr r="W72" s="2"/>
      </tp>
      <tp t="s">
        <v>#N/A N/A</v>
        <stp/>
        <stp>BQL|10399629453174992025</stp>
        <tr r="L113" s="2"/>
      </tp>
      <tp t="s">
        <v>#N/A N/A</v>
        <stp/>
        <stp>BQL|18129141819349279676</stp>
        <tr r="G302" s="2"/>
      </tp>
      <tp t="s">
        <v>#N/A N/A</v>
        <stp/>
        <stp>BQL|10553543405343920146</stp>
        <tr r="E328" s="2"/>
      </tp>
      <tp t="s">
        <v>#N/A N/A</v>
        <stp/>
        <stp>BQL|14784783996564596950</stp>
        <tr r="K159" s="2"/>
        <tr r="K20" s="2"/>
        <tr r="K91" s="2"/>
      </tp>
      <tp t="s">
        <v>#N/A N/A</v>
        <stp/>
        <stp>BQL|13308186926446388161</stp>
        <tr r="J290" s="2"/>
      </tp>
      <tp t="s">
        <v>#N/A N/A</v>
        <stp/>
        <stp>BQL|17967628478926912728</stp>
        <tr r="S254" s="2"/>
      </tp>
      <tp t="s">
        <v>#N/A N/A</v>
        <stp/>
        <stp>BQL|13608586443311111449</stp>
        <tr r="F234" s="2"/>
        <tr r="F311" s="2"/>
      </tp>
      <tp t="s">
        <v>#N/A N/A</v>
        <stp/>
        <stp>BQL|10774531617505912620</stp>
        <tr r="V198" s="2"/>
      </tp>
      <tp t="s">
        <v>#N/A N/A</v>
        <stp/>
        <stp>BQL|15447025437171963001</stp>
        <tr r="H188" s="2"/>
        <tr r="H38" s="2"/>
      </tp>
      <tp t="s">
        <v>#N/A N/A</v>
        <stp/>
        <stp>BQL|14234902289777308500</stp>
        <tr r="X245" s="2"/>
      </tp>
      <tp t="s">
        <v>#N/A N/A</v>
        <stp/>
        <stp>BQL|14090309079832155508</stp>
        <tr r="R107" s="2"/>
      </tp>
      <tp t="s">
        <v>#N/A N/A</v>
        <stp/>
        <stp>BQL|15260198468532196798</stp>
        <tr r="H331" s="2"/>
      </tp>
      <tp t="s">
        <v>#N/A N/A</v>
        <stp/>
        <stp>BQL|17490197305249679853</stp>
        <tr r="O141" s="2"/>
      </tp>
      <tp t="s">
        <v>#N/A N/A</v>
        <stp/>
        <stp>BQL|15027889847319633725</stp>
        <tr r="U224" s="2"/>
      </tp>
      <tp t="s">
        <v>#N/A N/A</v>
        <stp/>
        <stp>BQL|15890738825204143349</stp>
        <tr r="G171" s="2"/>
      </tp>
      <tp t="s">
        <v>#N/A N/A</v>
        <stp/>
        <stp>BQL|13823640235549431867</stp>
        <tr r="M230" s="2"/>
      </tp>
      <tp t="s">
        <v>#N/A N/A</v>
        <stp/>
        <stp>BQL|10039292964554104777</stp>
        <tr r="U249" s="2"/>
      </tp>
      <tp t="s">
        <v>#N/A N/A</v>
        <stp/>
        <stp>BQL|16440406224653904426</stp>
        <tr r="F85" s="2"/>
      </tp>
      <tp t="s">
        <v>#N/A N/A</v>
        <stp/>
        <stp>BQL|15597184927135018405</stp>
        <tr r="O270" s="2"/>
      </tp>
      <tp t="s">
        <v>#N/A N/A</v>
        <stp/>
        <stp>BQL|15324896827930772807</stp>
        <tr r="H129" s="2"/>
      </tp>
      <tp t="s">
        <v>#N/A N/A</v>
        <stp/>
        <stp>BQL|10838607122414028703</stp>
        <tr r="R128" s="2"/>
        <tr r="R33" s="2"/>
      </tp>
      <tp t="s">
        <v>#N/A N/A</v>
        <stp/>
        <stp>BQL|14782676441003600325</stp>
        <tr r="M64" s="2"/>
      </tp>
      <tp t="s">
        <v>#N/A N/A</v>
        <stp/>
        <stp>BQL|11080951780014824281</stp>
        <tr r="W288" s="2"/>
      </tp>
      <tp t="s">
        <v>#N/A N/A</v>
        <stp/>
        <stp>BQL|11729098173600975014</stp>
        <tr r="S117" s="2"/>
      </tp>
      <tp t="s">
        <v>#N/A N/A</v>
        <stp/>
        <stp>BQL|10975248169283397128</stp>
        <tr r="Q317" s="2"/>
      </tp>
      <tp t="s">
        <v>#N/A N/A</v>
        <stp/>
        <stp>BQL|15681597153813024094</stp>
        <tr r="W243" s="2"/>
      </tp>
      <tp t="s">
        <v>#N/A N/A</v>
        <stp/>
        <stp>BQL|14552724716132368676</stp>
        <tr r="M275" s="2"/>
      </tp>
      <tp t="s">
        <v>#N/A N/A</v>
        <stp/>
        <stp>BQL|18071079800078460668</stp>
        <tr r="Q19" s="2"/>
        <tr r="Q94" s="2"/>
      </tp>
      <tp t="s">
        <v>#N/A N/A</v>
        <stp/>
        <stp>BQL|16555813241215253921</stp>
        <tr r="P249" s="2"/>
      </tp>
      <tp t="s">
        <v>#N/A N/A</v>
        <stp/>
        <stp>BQL|10871900055249972315</stp>
        <tr r="R206" s="2"/>
      </tp>
      <tp t="s">
        <v>#N/A N/A</v>
        <stp/>
        <stp>BQL|10710583923411177087</stp>
        <tr r="X79" s="2"/>
      </tp>
      <tp t="s">
        <v>#N/A N/A</v>
        <stp/>
        <stp>BQL|10106186090228881648</stp>
        <tr r="F130" s="2"/>
      </tp>
      <tp t="s">
        <v>#N/A N/A</v>
        <stp/>
        <stp>BQL|18032133412267378968</stp>
        <tr r="X171" s="2"/>
      </tp>
      <tp t="s">
        <v>#N/A N/A</v>
        <stp/>
        <stp>BQL|10516709219826831602</stp>
        <tr r="V195" s="2"/>
      </tp>
      <tp t="s">
        <v>#N/A N/A</v>
        <stp/>
        <stp>BQL|14283367950317158318</stp>
        <tr r="J208" s="2"/>
      </tp>
      <tp t="s">
        <v>#N/A N/A</v>
        <stp/>
        <stp>BQL|10362297664011897328</stp>
        <tr r="H108" s="2"/>
      </tp>
      <tp t="s">
        <v>#N/A N/A</v>
        <stp/>
        <stp>BQL|15962344417509899869</stp>
        <tr r="S144" s="2"/>
      </tp>
      <tp t="s">
        <v>#N/A N/A</v>
        <stp/>
        <stp>BQL|10535750188971543899</stp>
        <tr r="V199" s="2"/>
      </tp>
      <tp t="s">
        <v>#N/A N/A</v>
        <stp/>
        <stp>BQL|13605141870406222541</stp>
        <tr r="Q274" s="2"/>
      </tp>
      <tp t="s">
        <v>#N/A N/A</v>
        <stp/>
        <stp>BQL|18354744804030528925</stp>
        <tr r="O342" s="2"/>
      </tp>
      <tp t="s">
        <v>#N/A N/A</v>
        <stp/>
        <stp>BQL|17331113575100488742</stp>
        <tr r="I356" s="2"/>
      </tp>
      <tp t="s">
        <v>#N/A N/A</v>
        <stp/>
        <stp>BQL|16979486892495699825</stp>
        <tr r="S318" s="2"/>
      </tp>
      <tp t="s">
        <v>#N/A N/A</v>
        <stp/>
        <stp>BQL|16730092723095862728</stp>
        <tr r="U125" s="2"/>
      </tp>
      <tp t="s">
        <v>#N/A N/A</v>
        <stp/>
        <stp>BQL|16857189310467669712</stp>
        <tr r="X199" s="2"/>
      </tp>
      <tp t="s">
        <v>#N/A N/A</v>
        <stp/>
        <stp>BQL|10535847357483722860</stp>
        <tr r="J310" s="2"/>
      </tp>
      <tp t="s">
        <v>#N/A N/A</v>
        <stp/>
        <stp>BQL|13792049067755444671</stp>
        <tr r="Q15" s="2"/>
        <tr r="Q88" s="2"/>
      </tp>
      <tp t="s">
        <v>#N/A N/A</v>
        <stp/>
        <stp>BQL|13262295943266936563</stp>
        <tr r="T69" s="2"/>
      </tp>
      <tp t="s">
        <v>#N/A N/A</v>
        <stp/>
        <stp>BQL|11632543924122993288</stp>
        <tr r="J341" s="2"/>
      </tp>
      <tp t="s">
        <v>#N/A N/A</v>
        <stp/>
        <stp>BQL|14605250530977181451</stp>
        <tr r="F55" s="2"/>
      </tp>
      <tp t="s">
        <v>#N/A N/A</v>
        <stp/>
        <stp>BQL|10176859070349282015</stp>
        <tr r="P193" s="2"/>
      </tp>
      <tp t="s">
        <v>#N/A N/A</v>
        <stp/>
        <stp>BQL|17280719271266661732</stp>
        <tr r="I132" s="2"/>
      </tp>
      <tp t="s">
        <v>#N/A N/A</v>
        <stp/>
        <stp>BQL|15007432108304811347</stp>
        <tr r="K352" s="2"/>
      </tp>
      <tp t="s">
        <v>#N/A N/A</v>
        <stp/>
        <stp>BQL|11000630160197322076</stp>
        <tr r="H3" s="2"/>
      </tp>
      <tp t="s">
        <v>#N/A N/A</v>
        <stp/>
        <stp>BQL|15453314768025340391</stp>
        <tr r="H192" s="2"/>
      </tp>
      <tp t="s">
        <v>#N/A N/A</v>
        <stp/>
        <stp>BQL|14080624794099114416</stp>
        <tr r="K229" s="2"/>
      </tp>
      <tp t="s">
        <v>#N/A N/A</v>
        <stp/>
        <stp>BQL|16097473951536433746</stp>
        <tr r="N131" s="2"/>
      </tp>
      <tp t="s">
        <v>#N/A N/A</v>
        <stp/>
        <stp>BQL|14349530020752281742</stp>
        <tr r="E217" s="2"/>
      </tp>
      <tp t="s">
        <v>#N/A N/A</v>
        <stp/>
        <stp>BQL|12127382387267188895</stp>
        <tr r="E326" s="2"/>
        <tr r="E41" s="2"/>
      </tp>
      <tp t="s">
        <v>#N/A N/A</v>
        <stp/>
        <stp>BQL|17720516270207209428</stp>
        <tr r="M71" s="2"/>
      </tp>
      <tp t="s">
        <v>#N/A N/A</v>
        <stp/>
        <stp>BQL|17110629512914455237</stp>
        <tr r="T120" s="2"/>
      </tp>
      <tp t="s">
        <v>#N/A N/A</v>
        <stp/>
        <stp>BQL|11621643293510359841</stp>
        <tr r="H223" s="2"/>
      </tp>
      <tp t="s">
        <v>#N/A N/A</v>
        <stp/>
        <stp>BQL|17292923491311291050</stp>
        <tr r="V185" s="2"/>
      </tp>
      <tp t="s">
        <v>#N/A N/A</v>
        <stp/>
        <stp>BQL|12968294674425444464</stp>
        <tr r="P131" s="2"/>
      </tp>
      <tp t="s">
        <v>#N/A N/A</v>
        <stp/>
        <stp>BQL|16364527920896191165</stp>
        <tr r="S175" s="2"/>
      </tp>
      <tp t="s">
        <v>#N/A N/A</v>
        <stp/>
        <stp>BQL|11509611167154319364</stp>
        <tr r="W4" s="2"/>
      </tp>
      <tp t="s">
        <v>#N/A N/A</v>
        <stp/>
        <stp>BQL|16746159294089005177</stp>
        <tr r="H304" s="2"/>
      </tp>
      <tp t="s">
        <v>#N/A N/A</v>
        <stp/>
        <stp>BQL|10491256259043878211</stp>
        <tr r="I303" s="2"/>
      </tp>
      <tp t="s">
        <v>#N/A N/A</v>
        <stp/>
        <stp>BQL|18057900562463190221</stp>
        <tr r="Q104" s="2"/>
      </tp>
      <tp t="s">
        <v>#N/A N/A</v>
        <stp/>
        <stp>BQL|14175102770343479749</stp>
        <tr r="Q138" s="2"/>
      </tp>
      <tp t="s">
        <v>#N/A N/A</v>
        <stp/>
        <stp>BQL|10401301851965199559</stp>
        <tr r="W226" s="2"/>
      </tp>
      <tp t="s">
        <v>#N/A N/A</v>
        <stp/>
        <stp>BQL|11363435021576899780</stp>
        <tr r="J325" s="2"/>
      </tp>
      <tp t="s">
        <v>#N/A N/A</v>
        <stp/>
        <stp>BQL|17313472110306560205</stp>
        <tr r="I229" s="2"/>
      </tp>
      <tp t="s">
        <v>#N/A N/A</v>
        <stp/>
        <stp>BQL|12313822782165699149</stp>
        <tr r="R365" s="2"/>
      </tp>
      <tp t="s">
        <v>#N/A N/A</v>
        <stp/>
        <stp>BQL|14106366331667469537</stp>
        <tr r="Q290" s="2"/>
      </tp>
      <tp t="s">
        <v>#N/A N/A</v>
        <stp/>
        <stp>BQL|16193022343882144607</stp>
        <tr r="P329" s="2"/>
      </tp>
      <tp t="s">
        <v>#N/A N/A</v>
        <stp/>
        <stp>BQL|12445253635904267178</stp>
        <tr r="K364" s="2"/>
      </tp>
      <tp t="s">
        <v>#N/A N/A</v>
        <stp/>
        <stp>BQL|11903457929890678132</stp>
        <tr r="G131" s="2"/>
      </tp>
      <tp t="s">
        <v>#N/A N/A</v>
        <stp/>
        <stp>BQL|17420099283121908874</stp>
        <tr r="I348" s="2"/>
      </tp>
      <tp t="s">
        <v>#N/A N/A</v>
        <stp/>
        <stp>BQL|12076018702430499470</stp>
        <tr r="M198" s="2"/>
      </tp>
      <tp t="s">
        <v>#N/A N/A</v>
        <stp/>
        <stp>BQL|10740065006365659310</stp>
        <tr r="U336" s="2"/>
      </tp>
      <tp t="s">
        <v>#N/A N/A</v>
        <stp/>
        <stp>BQL|14292551694679412779</stp>
        <tr r="U117" s="2"/>
      </tp>
      <tp t="s">
        <v>#N/A N/A</v>
        <stp/>
        <stp>BQL|15612328182678403014</stp>
        <tr r="G221" s="2"/>
      </tp>
      <tp t="s">
        <v>#N/A N/A</v>
        <stp/>
        <stp>BQL|16299832424102773817</stp>
        <tr r="R253" s="2"/>
      </tp>
      <tp t="s">
        <v>#N/A N/A</v>
        <stp/>
        <stp>BQL|15740627836523243528</stp>
        <tr r="X25" s="2"/>
        <tr r="X96" s="2"/>
      </tp>
      <tp t="s">
        <v>#N/A N/A</v>
        <stp/>
        <stp>BQL|14178567823824343146</stp>
        <tr r="I313" s="2"/>
      </tp>
      <tp t="s">
        <v>#N/A N/A</v>
        <stp/>
        <stp>BQL|13606428057411208525</stp>
        <tr r="G238" s="2"/>
      </tp>
      <tp t="s">
        <v>#N/A N/A</v>
        <stp/>
        <stp>BQL|13408110824542790455</stp>
        <tr r="T319" s="2"/>
      </tp>
      <tp t="s">
        <v>#N/A N/A</v>
        <stp/>
        <stp>BQL|15800224203849279886</stp>
        <tr r="P195" s="2"/>
      </tp>
      <tp t="s">
        <v>#N/A N/A</v>
        <stp/>
        <stp>BQL|10460613472853764436</stp>
        <tr r="X243" s="2"/>
      </tp>
      <tp t="s">
        <v>#N/A N/A</v>
        <stp/>
        <stp>BQL|15914260858746292263</stp>
        <tr r="J345" s="2"/>
      </tp>
      <tp t="s">
        <v>#N/A N/A</v>
        <stp/>
        <stp>BQL|12518602133532767320</stp>
        <tr r="E292" s="2"/>
      </tp>
      <tp t="s">
        <v>#N/A N/A</v>
        <stp/>
        <stp>BQL|17332365855141255615</stp>
        <tr r="U131" s="2"/>
      </tp>
      <tp t="s">
        <v>#N/A N/A</v>
        <stp/>
        <stp>BQL|17074083671290969637</stp>
        <tr r="G315" s="2"/>
      </tp>
      <tp t="s">
        <v>#N/A N/A</v>
        <stp/>
        <stp>BQL|14950035922001262192</stp>
        <tr r="G101" s="2"/>
        <tr r="G23" s="2"/>
      </tp>
      <tp t="s">
        <v>#N/A N/A</v>
        <stp/>
        <stp>BQL|11833375229764798237</stp>
        <tr r="Q276" s="2"/>
      </tp>
      <tp t="s">
        <v>#N/A N/A</v>
        <stp/>
        <stp>BQL|12325546566145700247</stp>
        <tr r="F255" s="2"/>
      </tp>
      <tp t="s">
        <v>#N/A N/A</v>
        <stp/>
        <stp>BQL|11532362557613472221</stp>
        <tr r="O72" s="2"/>
      </tp>
      <tp t="s">
        <v>#N/A N/A</v>
        <stp/>
        <stp>BQL|17474056133804703678</stp>
        <tr r="G56" s="2"/>
      </tp>
      <tp t="s">
        <v>#N/A N/A</v>
        <stp/>
        <stp>BQL|15421590208270421632</stp>
        <tr r="S171" s="2"/>
      </tp>
      <tp t="s">
        <v>#N/A N/A</v>
        <stp/>
        <stp>BQL|17464602302824447308</stp>
        <tr r="R204" s="2"/>
      </tp>
      <tp t="s">
        <v>#N/A N/A</v>
        <stp/>
        <stp>BQL|10985290936112096546</stp>
        <tr r="M117" s="2"/>
      </tp>
      <tp t="s">
        <v>#N/A N/A</v>
        <stp/>
        <stp>BQL|15782182790682338914</stp>
        <tr r="R24" s="2"/>
        <tr r="R95" s="2"/>
      </tp>
      <tp t="s">
        <v>#N/A N/A</v>
        <stp/>
        <stp>BQL|17055787830054744129</stp>
        <tr r="O77" s="2"/>
      </tp>
      <tp t="s">
        <v>#N/A N/A</v>
        <stp/>
        <stp>BQL|15434103755951831645</stp>
        <tr r="Q272" s="2"/>
      </tp>
      <tp t="s">
        <v>#N/A N/A</v>
        <stp/>
        <stp>BQL|10434853875578807116</stp>
        <tr r="Q243" s="2"/>
      </tp>
      <tp t="s">
        <v>#N/A N/A</v>
        <stp/>
        <stp>BQL|16337261677432817774</stp>
        <tr r="F47" s="2"/>
      </tp>
      <tp t="s">
        <v>#N/A N/A</v>
        <stp/>
        <stp>BQL|14119493369359800940</stp>
        <tr r="R179" s="2"/>
      </tp>
      <tp t="s">
        <v>#N/A N/A</v>
        <stp/>
        <stp>BQL|14316785656368628863</stp>
        <tr r="X239" s="2"/>
      </tp>
      <tp t="s">
        <v>#N/A N/A</v>
        <stp/>
        <stp>BQL|15413145879593700635</stp>
        <tr r="V249" s="2"/>
      </tp>
      <tp t="s">
        <v>#N/A N/A</v>
        <stp/>
        <stp>BQL|13458340888316660829</stp>
        <tr r="V335" s="2"/>
      </tp>
      <tp t="s">
        <v>#N/A N/A</v>
        <stp/>
        <stp>BQL|17235564874352417188</stp>
        <tr r="K152" s="2"/>
        <tr r="K62" s="2"/>
      </tp>
      <tp t="s">
        <v>#N/A N/A</v>
        <stp/>
        <stp>BQL|18087997544235942685</stp>
        <tr r="V328" s="2"/>
      </tp>
      <tp t="s">
        <v>#N/A N/A</v>
        <stp/>
        <stp>BQL|12849728345793484472</stp>
        <tr r="N245" s="2"/>
      </tp>
      <tp t="s">
        <v>#N/A N/A</v>
        <stp/>
        <stp>BQL|10195089735276302332</stp>
        <tr r="X158" s="2"/>
        <tr r="X17" s="2"/>
        <tr r="X90" s="2"/>
      </tp>
      <tp t="s">
        <v>#N/A N/A</v>
        <stp/>
        <stp>BQL|16452375835294839426</stp>
        <tr r="U199" s="2"/>
      </tp>
      <tp t="s">
        <v>#N/A N/A</v>
        <stp/>
        <stp>BQL|10053944896405859364</stp>
        <tr r="V291" s="2"/>
      </tp>
      <tp t="s">
        <v>#N/A N/A</v>
        <stp/>
        <stp>BQL|15596248235727397586</stp>
        <tr r="T248" s="2"/>
      </tp>
      <tp t="s">
        <v>#N/A N/A</v>
        <stp/>
        <stp>BQL|10460639416514634584</stp>
        <tr r="G309" s="2"/>
      </tp>
      <tp t="s">
        <v>#N/A N/A</v>
        <stp/>
        <stp>BQL|13003749899733655847</stp>
        <tr r="O253" s="2"/>
      </tp>
      <tp t="s">
        <v>#N/A N/A</v>
        <stp/>
        <stp>BQL|11137925013907910862</stp>
        <tr r="U141" s="2"/>
      </tp>
      <tp t="s">
        <v>#N/A N/A</v>
        <stp/>
        <stp>BQL|17322934088055427537</stp>
        <tr r="L152" s="2"/>
        <tr r="L62" s="2"/>
      </tp>
      <tp t="s">
        <v>#N/A N/A</v>
        <stp/>
        <stp>BQL|17577047942031812443</stp>
        <tr r="M226" s="2"/>
      </tp>
      <tp t="s">
        <v>#N/A N/A</v>
        <stp/>
        <stp>BQL|13503425809218547942</stp>
        <tr r="S352" s="2"/>
      </tp>
      <tp t="s">
        <v>#N/A N/A</v>
        <stp/>
        <stp>BQL|10732695962720040635</stp>
        <tr r="F317" s="2"/>
      </tp>
      <tp t="s">
        <v>#N/A N/A</v>
        <stp/>
        <stp>BQL|10849701258333753783</stp>
        <tr r="V267" s="2"/>
      </tp>
      <tp t="s">
        <v>#N/A N/A</v>
        <stp/>
        <stp>BQL|10279626066712175486</stp>
        <tr r="F147" s="2"/>
      </tp>
      <tp t="s">
        <v>#N/A N/A</v>
        <stp/>
        <stp>BQL|13516615520268956927</stp>
        <tr r="E15" s="2"/>
        <tr r="E88" s="2"/>
      </tp>
      <tp t="s">
        <v>#N/A N/A</v>
        <stp/>
        <stp>BQL|15585689564544598724</stp>
        <tr r="M299" s="2"/>
      </tp>
      <tp t="s">
        <v>#N/A N/A</v>
        <stp/>
        <stp>BQL|11203662015643696394</stp>
        <tr r="T288" s="2"/>
      </tp>
      <tp t="s">
        <v>#N/A N/A</v>
        <stp/>
        <stp>BQL|17375275813342104089</stp>
        <tr r="H51" s="2"/>
      </tp>
      <tp t="s">
        <v>#N/A N/A</v>
        <stp/>
        <stp>BQL|11968071434390498401</stp>
        <tr r="W217" s="2"/>
      </tp>
      <tp t="s">
        <v>#N/A N/A</v>
        <stp/>
        <stp>BQL|11226114765035017586</stp>
        <tr r="R360" s="2"/>
      </tp>
      <tp t="s">
        <v>#N/A N/A</v>
        <stp/>
        <stp>BQL|10565825307217775992</stp>
        <tr r="F224" s="2"/>
      </tp>
      <tp t="s">
        <v>#N/A N/A</v>
        <stp/>
        <stp>BQL|11581317409537650326</stp>
        <tr r="X141" s="2"/>
      </tp>
      <tp t="s">
        <v>#N/A N/A</v>
        <stp/>
        <stp>BQL|12495599741536345369</stp>
        <tr r="V158" s="2"/>
        <tr r="V17" s="2"/>
        <tr r="V90" s="2"/>
      </tp>
      <tp t="s">
        <v>#N/A N/A</v>
        <stp/>
        <stp>BQL|11239537017527689496</stp>
        <tr r="Q326" s="2"/>
        <tr r="Q41" s="2"/>
      </tp>
      <tp t="s">
        <v>#N/A N/A</v>
        <stp/>
        <stp>BQL|16110752648761616239</stp>
        <tr r="I129" s="2"/>
      </tp>
      <tp t="s">
        <v>#N/A N/A</v>
        <stp/>
        <stp>BQL|17018061812673802355</stp>
        <tr r="F188" s="2"/>
        <tr r="F38" s="2"/>
      </tp>
      <tp t="s">
        <v>#N/A N/A</v>
        <stp/>
        <stp>BQL|16403192007536257713</stp>
        <tr r="K114" s="2"/>
      </tp>
      <tp t="s">
        <v>#N/A N/A</v>
        <stp/>
        <stp>BQL|12927070695849254408</stp>
        <tr r="V86" s="2"/>
      </tp>
      <tp t="s">
        <v>#N/A N/A</v>
        <stp/>
        <stp>BQL|12857277723311163540</stp>
        <tr r="F351" s="2"/>
      </tp>
      <tp t="s">
        <v>#N/A N/A</v>
        <stp/>
        <stp>BQL|16009817584056869644</stp>
        <tr r="M231" s="2"/>
      </tp>
      <tp t="s">
        <v>#N/A N/A</v>
        <stp/>
        <stp>BQL|11657265664331994252</stp>
        <tr r="N129" s="2"/>
      </tp>
      <tp t="s">
        <v>#N/A N/A</v>
        <stp/>
        <stp>BQL|16172766202827457093</stp>
        <tr r="H262" s="2"/>
      </tp>
      <tp t="s">
        <v>#N/A N/A</v>
        <stp/>
        <stp>BQL|10990016176102654305</stp>
        <tr r="M4" s="2"/>
      </tp>
      <tp t="s">
        <v>#N/A N/A</v>
        <stp/>
        <stp>BQL|10769676529185955786</stp>
        <tr r="G272" s="2"/>
      </tp>
      <tp t="s">
        <v>#N/A N/A</v>
        <stp/>
        <stp>BQL|15102466024181240496</stp>
        <tr r="M354" s="2"/>
      </tp>
      <tp t="s">
        <v>#N/A N/A</v>
        <stp/>
        <stp>BQL|15777452701591909625</stp>
        <tr r="U263" s="2"/>
      </tp>
      <tp t="s">
        <v>#N/A N/A</v>
        <stp/>
        <stp>BQL|17904367385908847293</stp>
        <tr r="U174" s="2"/>
      </tp>
      <tp t="s">
        <v>#N/A N/A</v>
        <stp/>
        <stp>BQL|10053681076366462111</stp>
        <tr r="F357" s="2"/>
      </tp>
      <tp t="s">
        <v>#N/A N/A</v>
        <stp/>
        <stp>BQL|11190088462604913596</stp>
        <tr r="E247" s="2"/>
      </tp>
      <tp t="s">
        <v>#N/A N/A</v>
        <stp/>
        <stp>BQL|13036282346665413611</stp>
        <tr r="H315" s="2"/>
      </tp>
      <tp t="s">
        <v>#N/A N/A</v>
        <stp/>
        <stp>BQL|12895446900929123962</stp>
        <tr r="T100" s="2"/>
      </tp>
      <tp t="s">
        <v>#N/A N/A</v>
        <stp/>
        <stp>BQL|17059371261032975645</stp>
        <tr r="F315" s="2"/>
      </tp>
      <tp t="s">
        <v>#N/A N/A</v>
        <stp/>
        <stp>BQL|16720290813534158777</stp>
        <tr r="K237" s="2"/>
      </tp>
      <tp t="s">
        <v>#N/A N/A</v>
        <stp/>
        <stp>BQL|10535365655566448693</stp>
        <tr r="U193" s="2"/>
      </tp>
      <tp t="s">
        <v>#N/A N/A</v>
        <stp/>
        <stp>BQL|17469193337337367424</stp>
        <tr r="Q100" s="2"/>
      </tp>
      <tp t="s">
        <v>#N/A N/A</v>
        <stp/>
        <stp>BQL|16397589840785445458</stp>
        <tr r="V18" s="2"/>
        <tr r="V93" s="2"/>
      </tp>
      <tp t="s">
        <v>#N/A N/A</v>
        <stp/>
        <stp>BQL|11432397243941623126</stp>
        <tr r="J176" s="2"/>
      </tp>
      <tp t="s">
        <v>#N/A N/A</v>
        <stp/>
        <stp>BQL|14942225357470296545</stp>
        <tr r="F353" s="2"/>
      </tp>
      <tp t="s">
        <v>#N/A N/A</v>
        <stp/>
        <stp>BQL|17305273228430401129</stp>
        <tr r="H187" s="2"/>
        <tr r="H37" s="2"/>
      </tp>
      <tp t="s">
        <v>#N/A N/A</v>
        <stp/>
        <stp>BQL|15064516314522985560</stp>
        <tr r="X348" s="2"/>
      </tp>
      <tp t="s">
        <v>#N/A N/A</v>
        <stp/>
        <stp>BQL|11885518025870053061</stp>
        <tr r="M115" s="2"/>
      </tp>
      <tp t="s">
        <v>#N/A N/A</v>
        <stp/>
        <stp>BQL|12776395660587453600</stp>
        <tr r="R298" s="2"/>
      </tp>
      <tp t="s">
        <v>#N/A N/A</v>
        <stp/>
        <stp>BQL|17639443881504907907</stp>
        <tr r="J204" s="2"/>
      </tp>
      <tp t="s">
        <v>#N/A N/A</v>
        <stp/>
        <stp>BQL|12365551239741510303</stp>
        <tr r="K208" s="2"/>
      </tp>
      <tp t="s">
        <v>#N/A N/A</v>
        <stp/>
        <stp>BQL|14490012834254382586</stp>
        <tr r="N171" s="2"/>
      </tp>
      <tp t="s">
        <v>#N/A N/A</v>
        <stp/>
        <stp>BQL|18181673254558882503</stp>
        <tr r="U352" s="2"/>
      </tp>
      <tp t="s">
        <v>#N/A N/A</v>
        <stp/>
        <stp>BQL|11035142121126945261</stp>
        <tr r="V359" s="2"/>
      </tp>
      <tp t="s">
        <v>#N/A N/A</v>
        <stp/>
        <stp>BQL|14099101698908749251</stp>
        <tr r="F337" s="2"/>
      </tp>
      <tp t="s">
        <v>#N/A N/A</v>
        <stp/>
        <stp>BQL|15242717751915045774</stp>
        <tr r="G223" s="2"/>
      </tp>
      <tp t="s">
        <v>#N/A N/A</v>
        <stp/>
        <stp>BQL|10119699925336102793</stp>
        <tr r="U361" s="2"/>
      </tp>
      <tp t="s">
        <v>#N/A N/A</v>
        <stp/>
        <stp>BQL|17845937777155826918</stp>
        <tr r="I192" s="2"/>
      </tp>
      <tp t="s">
        <v>#N/A N/A</v>
        <stp/>
        <stp>BQL|11149019078413570081</stp>
        <tr r="F15" s="2"/>
        <tr r="F88" s="2"/>
      </tp>
      <tp t="s">
        <v>#N/A N/A</v>
        <stp/>
        <stp>BQL|12373040600147631049</stp>
        <tr r="Q116" s="2"/>
        <tr r="Q30" s="2"/>
      </tp>
      <tp t="s">
        <v>#N/A N/A</v>
        <stp/>
        <stp>BQL|15779123773065466371</stp>
        <tr r="E297" s="2"/>
      </tp>
      <tp t="s">
        <v>#N/A N/A</v>
        <stp/>
        <stp>BQL|10206936007219119525</stp>
        <tr r="W291" s="2"/>
      </tp>
      <tp t="s">
        <v>#N/A N/A</v>
        <stp/>
        <stp>BQL|12678021162680660150</stp>
        <tr r="L295" s="2"/>
      </tp>
      <tp t="s">
        <v>#N/A N/A</v>
        <stp/>
        <stp>BQL|13357255561531797359</stp>
        <tr r="H24" s="2"/>
        <tr r="H95" s="2"/>
      </tp>
      <tp t="s">
        <v>#N/A N/A</v>
        <stp/>
        <stp>BQL|10542270647207846499</stp>
        <tr r="F235" s="2"/>
      </tp>
      <tp t="s">
        <v>#N/A N/A</v>
        <stp/>
        <stp>BQL|12588357331684275374</stp>
        <tr r="I259" s="2"/>
      </tp>
      <tp t="s">
        <v>#N/A N/A</v>
        <stp/>
        <stp>BQL|17466315381328683161</stp>
        <tr r="R346" s="2"/>
      </tp>
      <tp t="s">
        <v>#N/A N/A</v>
        <stp/>
        <stp>BQL|18031969114013031666</stp>
        <tr r="E174" s="2"/>
      </tp>
      <tp t="s">
        <v>#N/A N/A</v>
        <stp/>
        <stp>BQL|10171848618014087899</stp>
        <tr r="U217" s="2"/>
      </tp>
      <tp t="s">
        <v>#N/A N/A</v>
        <stp/>
        <stp>BQL|13379287459175114472</stp>
        <tr r="T282" s="2"/>
      </tp>
      <tp t="s">
        <v>#N/A N/A</v>
        <stp/>
        <stp>BQL|11491438538057812432</stp>
        <tr r="X106" s="2"/>
      </tp>
      <tp t="s">
        <v>#N/A N/A</v>
        <stp/>
        <stp>BQL|18422455285491750077</stp>
        <tr r="L328" s="2"/>
      </tp>
      <tp t="s">
        <v>#N/A N/A</v>
        <stp/>
        <stp>BQL|14684573463393593130</stp>
        <tr r="J234" s="2"/>
        <tr r="J311" s="2"/>
      </tp>
      <tp t="s">
        <v>#N/A N/A</v>
        <stp/>
        <stp>BQL|17185125966303986687</stp>
        <tr r="H234" s="2"/>
        <tr r="H311" s="2"/>
      </tp>
      <tp t="s">
        <v>#N/A N/A</v>
        <stp/>
        <stp>BQL|14354743200217172118</stp>
        <tr r="V204" s="2"/>
      </tp>
      <tp t="s">
        <v>#N/A N/A</v>
        <stp/>
        <stp>BQL|16140715504437182326</stp>
        <tr r="T209" s="2"/>
      </tp>
      <tp t="s">
        <v>#N/A N/A</v>
        <stp/>
        <stp>BQL|14900179024055445796</stp>
        <tr r="R193" s="2"/>
      </tp>
      <tp t="s">
        <v>#N/A N/A</v>
        <stp/>
        <stp>BQL|16192678087475242848</stp>
        <tr r="K251" s="2"/>
      </tp>
      <tp t="s">
        <v>#N/A N/A</v>
        <stp/>
        <stp>BQL|10621039840538568974</stp>
        <tr r="T338" s="2"/>
      </tp>
      <tp t="s">
        <v>#N/A N/A</v>
        <stp/>
        <stp>BQL|13586312003303639668</stp>
        <tr r="S102" s="2"/>
      </tp>
      <tp t="s">
        <v>#N/A N/A</v>
        <stp/>
        <stp>BQL|17245586939103779734</stp>
        <tr r="J277" s="2"/>
      </tp>
      <tp t="s">
        <v>#N/A N/A</v>
        <stp/>
        <stp>BQL|12612096355910890257</stp>
        <tr r="T278" s="2"/>
      </tp>
      <tp t="s">
        <v>#N/A N/A</v>
        <stp/>
        <stp>BQL|15896039928450266265</stp>
        <tr r="G46" s="2"/>
      </tp>
      <tp t="s">
        <v>#N/A N/A</v>
        <stp/>
        <stp>BQL|17188079340311072712</stp>
        <tr r="M160" s="2"/>
        <tr r="M21" s="2"/>
        <tr r="M92" s="2"/>
      </tp>
      <tp t="s">
        <v>#N/A N/A</v>
        <stp/>
        <stp>BQL|10225467713816000608</stp>
        <tr r="J103" s="2"/>
      </tp>
      <tp t="s">
        <v>#N/A N/A</v>
        <stp/>
        <stp>BQL|15289239903775052757</stp>
        <tr r="S168" s="2"/>
      </tp>
      <tp t="s">
        <v>#N/A N/A</v>
        <stp/>
        <stp>BQL|11928963888953858696</stp>
        <tr r="F18" s="2"/>
        <tr r="F93" s="2"/>
      </tp>
      <tp t="s">
        <v>#N/A N/A</v>
        <stp/>
        <stp>BQL|14513300152757783065</stp>
        <tr r="K304" s="2"/>
      </tp>
      <tp t="s">
        <v>#N/A N/A</v>
        <stp/>
        <stp>BQL|16290220874181360715</stp>
        <tr r="F14" s="2"/>
        <tr r="F87" s="2"/>
      </tp>
      <tp t="s">
        <v>#N/A N/A</v>
        <stp/>
        <stp>BQL|11627847550910370971</stp>
        <tr r="W163" s="2"/>
        <tr r="W7" s="2"/>
      </tp>
      <tp t="s">
        <v>#N/A N/A</v>
        <stp/>
        <stp>BQL|15786443910141555407</stp>
        <tr r="I252" s="2"/>
      </tp>
      <tp t="s">
        <v>#N/A N/A</v>
        <stp/>
        <stp>BQL|13909835958652318970</stp>
        <tr r="J230" s="2"/>
      </tp>
      <tp t="s">
        <v>#N/A N/A</v>
        <stp/>
        <stp>BQL|17156187084153938822</stp>
        <tr r="G192" s="2"/>
      </tp>
      <tp t="s">
        <v>#N/A N/A</v>
        <stp/>
        <stp>BQL|16521765958131467090</stp>
        <tr r="T324" s="2"/>
        <tr r="T40" s="2"/>
      </tp>
      <tp t="s">
        <v>#N/A N/A</v>
        <stp/>
        <stp>BQL|14143205322640010151</stp>
        <tr r="F360" s="2"/>
      </tp>
      <tp t="s">
        <v>#N/A N/A</v>
        <stp/>
        <stp>BQL|14079209783502585905</stp>
        <tr r="V165" s="2"/>
      </tp>
      <tp t="s">
        <v>#N/A N/A</v>
        <stp/>
        <stp>BQL|13490339385284559911</stp>
        <tr r="W204" s="2"/>
      </tp>
      <tp t="s">
        <v>#N/A N/A</v>
        <stp/>
        <stp>BQL|17930294645191711542</stp>
        <tr r="X113" s="2"/>
      </tp>
      <tp t="s">
        <v>#N/A N/A</v>
        <stp/>
        <stp>BQL|17560432406136644004</stp>
        <tr r="L275" s="2"/>
      </tp>
      <tp t="s">
        <v>#N/A N/A</v>
        <stp/>
        <stp>BQL|12564726532187525418</stp>
        <tr r="N357" s="2"/>
      </tp>
      <tp t="s">
        <v>#N/A N/A</v>
        <stp/>
        <stp>BQL|17197376409025869462</stp>
        <tr r="F300" s="2"/>
      </tp>
      <tp t="s">
        <v>#N/A N/A</v>
        <stp/>
        <stp>BQL|14546045918810137090</stp>
        <tr r="T292" s="2"/>
      </tp>
      <tp t="s">
        <v>#N/A N/A</v>
        <stp/>
        <stp>BQL|12714669224202079142</stp>
        <tr r="U71" s="2"/>
      </tp>
      <tp t="s">
        <v>#N/A N/A</v>
        <stp/>
        <stp>BQL|15427149061563512450</stp>
        <tr r="J284" s="2"/>
      </tp>
      <tp t="s">
        <v>#N/A N/A</v>
        <stp/>
        <stp>BQL|15729089249622515622</stp>
        <tr r="M169" s="2"/>
        <tr r="M219" s="2"/>
      </tp>
      <tp t="s">
        <v>#N/A N/A</v>
        <stp/>
        <stp>BQL|11163144039910835656</stp>
        <tr r="I342" s="2"/>
      </tp>
      <tp t="s">
        <v>#N/A N/A</v>
        <stp/>
        <stp>BQL|16048495572320284086</stp>
        <tr r="P313" s="2"/>
      </tp>
      <tp t="s">
        <v>#N/A N/A</v>
        <stp/>
        <stp>BQL|14018663560087660617</stp>
        <tr r="M163" s="2"/>
        <tr r="M7" s="2"/>
      </tp>
      <tp t="s">
        <v>#N/A N/A</v>
        <stp/>
        <stp>BQL|12457703832285367640</stp>
        <tr r="V225" s="2"/>
      </tp>
      <tp t="s">
        <v>#N/A N/A</v>
        <stp/>
        <stp>BQL|14330229912005685743</stp>
        <tr r="K22" s="2"/>
        <tr r="K99" s="2"/>
      </tp>
      <tp t="s">
        <v>#N/A N/A</v>
        <stp/>
        <stp>BQL|10924871139599475720</stp>
        <tr r="K183" s="2"/>
      </tp>
      <tp t="s">
        <v>#N/A N/A</v>
        <stp/>
        <stp>BQL|15849592195619331564</stp>
        <tr r="R172" s="2"/>
      </tp>
      <tp t="s">
        <v>#N/A N/A</v>
        <stp/>
        <stp>BQL|17609580912613470596</stp>
        <tr r="N354" s="2"/>
      </tp>
      <tp t="s">
        <v>#N/A N/A</v>
        <stp/>
        <stp>BQL|12844119418064888381</stp>
        <tr r="S85" s="2"/>
      </tp>
      <tp t="s">
        <v>#N/A N/A</v>
        <stp/>
        <stp>BQL|16119622365991702210</stp>
        <tr r="Q286" s="2"/>
      </tp>
      <tp t="s">
        <v>#N/A N/A</v>
        <stp/>
        <stp>BQL|15116523624886464134</stp>
        <tr r="H178" s="2"/>
      </tp>
      <tp t="s">
        <v>#N/A N/A</v>
        <stp/>
        <stp>BQL|14595055044165716032</stp>
        <tr r="S303" s="2"/>
      </tp>
      <tp t="s">
        <v>#N/A N/A</v>
        <stp/>
        <stp>BQL|17786569892326326801</stp>
        <tr r="O102" s="2"/>
      </tp>
      <tp t="s">
        <v>#N/A N/A</v>
        <stp/>
        <stp>BQL|16706007713966308478</stp>
        <tr r="S335" s="2"/>
      </tp>
      <tp t="s">
        <v>#N/A N/A</v>
        <stp/>
        <stp>BQL|13010428161113662761</stp>
        <tr r="Q125" s="2"/>
      </tp>
      <tp t="s">
        <v>#N/A N/A</v>
        <stp/>
        <stp>BQL|17851758474790906237</stp>
        <tr r="S169" s="2"/>
        <tr r="S219" s="2"/>
      </tp>
      <tp t="s">
        <v>#N/A N/A</v>
        <stp/>
        <stp>BQL|10633983697832215784</stp>
        <tr r="R286" s="2"/>
      </tp>
      <tp t="s">
        <v>#N/A N/A</v>
        <stp/>
        <stp>BQL|12830605129365517678</stp>
        <tr r="O135" s="2"/>
      </tp>
      <tp t="s">
        <v>#N/A N/A</v>
        <stp/>
        <stp>BQL|10745352517127557031</stp>
        <tr r="G222" s="2"/>
      </tp>
      <tp t="s">
        <v>#N/A N/A</v>
        <stp/>
        <stp>BQL|14832877805689927003</stp>
        <tr r="F57" s="2"/>
      </tp>
      <tp t="s">
        <v>#N/A N/A</v>
        <stp/>
        <stp>BQL|10611215830504465007</stp>
        <tr r="G296" s="2"/>
      </tp>
      <tp t="s">
        <v>#N/A N/A</v>
        <stp/>
        <stp>BQL|18428463776009684719</stp>
        <tr r="F298" s="2"/>
      </tp>
      <tp t="s">
        <v>#N/A N/A</v>
        <stp/>
        <stp>BQL|13227441674407121200</stp>
        <tr r="E293" s="2"/>
      </tp>
      <tp t="s">
        <v>#N/A N/A</v>
        <stp/>
        <stp>BQL|13657780725183135093</stp>
        <tr r="I54" s="2"/>
      </tp>
      <tp t="s">
        <v>#N/A N/A</v>
        <stp/>
        <stp>BQL|15113018044181287554</stp>
        <tr r="J294" s="2"/>
      </tp>
      <tp t="s">
        <v>#N/A N/A</v>
        <stp/>
        <stp>BQL|10362532433475434647</stp>
        <tr r="U282" s="2"/>
      </tp>
      <tp t="s">
        <v>#N/A N/A</v>
        <stp/>
        <stp>BQL|17549998295453947126</stp>
        <tr r="O284" s="2"/>
      </tp>
      <tp t="s">
        <v>#N/A N/A</v>
        <stp/>
        <stp>BQL|18284589859558582543</stp>
        <tr r="W353" s="2"/>
      </tp>
      <tp t="s">
        <v>#N/A N/A</v>
        <stp/>
        <stp>BQL|12507498558905395354</stp>
        <tr r="I131" s="2"/>
      </tp>
      <tp t="s">
        <v>#N/A N/A</v>
        <stp/>
        <stp>BQL|16026485849792014136</stp>
        <tr r="E180" s="2"/>
      </tp>
      <tp t="s">
        <v>#N/A N/A</v>
        <stp/>
        <stp>BQL|17878195660794165124</stp>
        <tr r="G159" s="2"/>
        <tr r="G20" s="2"/>
        <tr r="G91" s="2"/>
      </tp>
      <tp t="s">
        <v>#N/A N/A</v>
        <stp/>
        <stp>BQL|11627762152446557057</stp>
        <tr r="J295" s="2"/>
      </tp>
      <tp t="s">
        <v>#N/A N/A</v>
        <stp/>
        <stp>BQL|17097034538487640603</stp>
        <tr r="S78" s="2"/>
      </tp>
      <tp t="s">
        <v>#N/A N/A</v>
        <stp/>
        <stp>BQL|17950617807670072423</stp>
        <tr r="V360" s="2"/>
      </tp>
      <tp t="s">
        <v>#N/A N/A</v>
        <stp/>
        <stp>BQL|13433508709983463042</stp>
        <tr r="S291" s="2"/>
      </tp>
      <tp t="s">
        <v>#N/A N/A</v>
        <stp/>
        <stp>BQL|13933548430689410948</stp>
        <tr r="E46" s="2"/>
      </tp>
      <tp t="s">
        <v>#N/A N/A</v>
        <stp/>
        <stp>BQL|11904735604301247209</stp>
        <tr r="J224" s="2"/>
      </tp>
      <tp t="s">
        <v>#N/A N/A</v>
        <stp/>
        <stp>BQL|12623404876461888541</stp>
        <tr r="E211" s="2"/>
      </tp>
      <tp t="s">
        <v>#N/A N/A</v>
        <stp/>
        <stp>BQL|17925263525782477029</stp>
        <tr r="J351" s="2"/>
      </tp>
      <tp t="s">
        <v>#N/A N/A</v>
        <stp/>
        <stp>BQL|11779795355392485431</stp>
        <tr r="P361" s="2"/>
      </tp>
      <tp t="s">
        <v>#N/A N/A</v>
        <stp/>
        <stp>BQL|17832980871609994541</stp>
        <tr r="U188" s="2"/>
        <tr r="U38" s="2"/>
      </tp>
      <tp t="s">
        <v>#N/A N/A</v>
        <stp/>
        <stp>BQL|16446689890324325831</stp>
        <tr r="N214" s="2"/>
      </tp>
      <tp t="s">
        <v>#N/A N/A</v>
        <stp/>
        <stp>BQL|18430834859251258103</stp>
        <tr r="T51" s="2"/>
      </tp>
      <tp t="s">
        <v>#N/A N/A</v>
        <stp/>
        <stp>BQL|11368581807365215427</stp>
        <tr r="O357" s="2"/>
      </tp>
      <tp t="s">
        <v>#N/A N/A</v>
        <stp/>
        <stp>BQL|18124812256752869227</stp>
        <tr r="O323" s="2"/>
      </tp>
      <tp t="s">
        <v>#N/A N/A</v>
        <stp/>
        <stp>BQL|14109922299318538909</stp>
        <tr r="E117" s="2"/>
      </tp>
      <tp t="s">
        <v>#N/A N/A</v>
        <stp/>
        <stp>BQL|13367338218204153067</stp>
        <tr r="N152" s="2"/>
        <tr r="N62" s="2"/>
      </tp>
      <tp t="s">
        <v>#N/A N/A</v>
        <stp/>
        <stp>BQL|14540883621992092930</stp>
        <tr r="H302" s="2"/>
      </tp>
      <tp t="s">
        <v>#N/A N/A</v>
        <stp/>
        <stp>BQL|11284696805724186606</stp>
        <tr r="R153" s="2"/>
        <tr r="R65" s="2"/>
      </tp>
      <tp t="s">
        <v>#N/A N/A</v>
        <stp/>
        <stp>BQL|14069505622412565485</stp>
        <tr r="H182" s="2"/>
      </tp>
      <tp t="s">
        <v>#N/A N/A</v>
        <stp/>
        <stp>BQL|14463790407510090640</stp>
        <tr r="R214" s="2"/>
      </tp>
      <tp t="s">
        <v>#N/A N/A</v>
        <stp/>
        <stp>BQL|17542739399868896496</stp>
        <tr r="T53" s="2"/>
      </tp>
      <tp t="s">
        <v>#N/A N/A</v>
        <stp/>
        <stp>BQL|13345375478983642143</stp>
        <tr r="K243" s="2"/>
      </tp>
      <tp t="s">
        <v>#N/A N/A</v>
        <stp/>
        <stp>BQL|16632552777282387395</stp>
        <tr r="G166" s="2"/>
      </tp>
      <tp t="s">
        <v>#N/A N/A</v>
        <stp/>
        <stp>BQL|13905892104049953734</stp>
        <tr r="N250" s="2"/>
      </tp>
      <tp t="s">
        <v>#N/A N/A</v>
        <stp/>
        <stp>BQL|13301417439875255478</stp>
        <tr r="Q336" s="2"/>
      </tp>
      <tp t="s">
        <v>#N/A N/A</v>
        <stp/>
        <stp>BQL|18146053184686670387</stp>
        <tr r="T220" s="2"/>
      </tp>
      <tp t="s">
        <v>#N/A N/A</v>
        <stp/>
        <stp>BQL|12522520102062279095</stp>
        <tr r="Q14" s="2"/>
        <tr r="Q87" s="2"/>
      </tp>
      <tp t="s">
        <v>#N/A N/A</v>
        <stp/>
        <stp>BQL|14552054347554112183</stp>
        <tr r="F227" s="2"/>
      </tp>
      <tp t="s">
        <v>#N/A N/A</v>
        <stp/>
        <stp>BQL|11850205428155869162</stp>
        <tr r="L249" s="2"/>
      </tp>
      <tp t="s">
        <v>#N/A N/A</v>
        <stp/>
        <stp>BQL|10456022803875508095</stp>
        <tr r="L221" s="2"/>
      </tp>
      <tp t="s">
        <v>#N/A N/A</v>
        <stp/>
        <stp>BQL|10713270763355825429</stp>
        <tr r="T320" s="2"/>
      </tp>
      <tp t="s">
        <v>#N/A N/A</v>
        <stp/>
        <stp>BQL|16860554072946334750</stp>
        <tr r="P331" s="2"/>
      </tp>
      <tp t="s">
        <v>#N/A N/A</v>
        <stp/>
        <stp>BQL|10721014333297836148</stp>
        <tr r="R18" s="2"/>
        <tr r="R93" s="2"/>
      </tp>
      <tp t="s">
        <v>#N/A N/A</v>
        <stp/>
        <stp>BQL|11951631739772382395</stp>
        <tr r="R46" s="2"/>
      </tp>
      <tp t="s">
        <v>#N/A N/A</v>
        <stp/>
        <stp>BQL|16277155841837905166</stp>
        <tr r="J183" s="2"/>
      </tp>
      <tp t="s">
        <v>#N/A N/A</v>
        <stp/>
        <stp>BQL|14716958456965926840</stp>
        <tr r="O338" s="2"/>
      </tp>
      <tp t="s">
        <v>#N/A N/A</v>
        <stp/>
        <stp>BQL|10694729771482857741</stp>
        <tr r="K71" s="2"/>
      </tp>
      <tp t="s">
        <v>#N/A N/A</v>
        <stp/>
        <stp>BQL|13608687613140708136</stp>
        <tr r="W63" s="2"/>
      </tp>
      <tp t="s">
        <v>#N/A N/A</v>
        <stp/>
        <stp>BQL|13816622601567248705</stp>
        <tr r="J303" s="2"/>
      </tp>
      <tp t="s">
        <v>#N/A N/A</v>
        <stp/>
        <stp>BQL|18280433234333508980</stp>
        <tr r="F72" s="2"/>
      </tp>
      <tp t="s">
        <v>#N/A N/A</v>
        <stp/>
        <stp>BQL|14743368614580946343</stp>
        <tr r="J64" s="2"/>
      </tp>
      <tp t="s">
        <v>#N/A N/A</v>
        <stp/>
        <stp>BQL|10382703853747113090</stp>
        <tr r="E234" s="2"/>
        <tr r="E311" s="2"/>
      </tp>
      <tp t="s">
        <v>#N/A N/A</v>
        <stp/>
        <stp>BQL|13601447159651141628</stp>
        <tr r="E299" s="2"/>
      </tp>
      <tp t="s">
        <v>#N/A N/A</v>
        <stp/>
        <stp>BQL|18313515358784506973</stp>
        <tr r="U163" s="2"/>
        <tr r="U7" s="2"/>
      </tp>
      <tp t="s">
        <v>#N/A N/A</v>
        <stp/>
        <stp>BQL|13380709095021512988</stp>
        <tr r="P231" s="2"/>
      </tp>
      <tp t="s">
        <v>#N/A N/A</v>
        <stp/>
        <stp>BQL|15204600229920447442</stp>
        <tr r="I263" s="2"/>
      </tp>
      <tp t="s">
        <v>#N/A N/A</v>
        <stp/>
        <stp>BQL|10874059920655106276</stp>
        <tr r="G126" s="2"/>
      </tp>
      <tp t="s">
        <v>#N/A N/A</v>
        <stp/>
        <stp>BQL|15683128378455753302</stp>
        <tr r="R264" s="2"/>
      </tp>
      <tp t="s">
        <v>#N/A N/A</v>
        <stp/>
        <stp>BQL|10963630015855697724</stp>
        <tr r="W55" s="2"/>
      </tp>
      <tp t="s">
        <v>#N/A N/A</v>
        <stp/>
        <stp>BQL|15909757869696913772</stp>
        <tr r="X289" s="2"/>
      </tp>
      <tp t="s">
        <v>#N/A N/A</v>
        <stp/>
        <stp>BQL|11150906624158815762</stp>
        <tr r="Q24" s="2"/>
        <tr r="Q95" s="2"/>
      </tp>
      <tp t="s">
        <v>#N/A N/A</v>
        <stp/>
        <stp>BQL|15960401807076010250</stp>
        <tr r="L120" s="2"/>
      </tp>
      <tp t="s">
        <v>#N/A N/A</v>
        <stp/>
        <stp>BQL|15054469477163913038</stp>
        <tr r="K327" s="2"/>
      </tp>
      <tp t="s">
        <v>#N/A N/A</v>
        <stp/>
        <stp>BQL|16081090906460554302</stp>
        <tr r="S228" s="2"/>
      </tp>
      <tp t="s">
        <v>#N/A N/A</v>
        <stp/>
        <stp>BQL|14540570006934678083</stp>
        <tr r="W105" s="2"/>
      </tp>
      <tp t="s">
        <v>#N/A N/A</v>
        <stp/>
        <stp>BQL|17982737921615980288</stp>
        <tr r="F196" s="2"/>
      </tp>
      <tp t="s">
        <v>#N/A N/A</v>
        <stp/>
        <stp>BQL|12072493302016781563</stp>
        <tr r="E86" s="2"/>
      </tp>
      <tp t="s">
        <v>#N/A N/A</v>
        <stp/>
        <stp>BQL|18362067114708289492</stp>
        <tr r="T317" s="2"/>
      </tp>
      <tp t="s">
        <v>#N/A N/A</v>
        <stp/>
        <stp>BQL|12361612949181048413</stp>
        <tr r="K205" s="2"/>
        <tr r="K308" s="2"/>
      </tp>
      <tp t="s">
        <v>#N/A N/A</v>
        <stp/>
        <stp>BQL|11939189190259881531</stp>
        <tr r="E206" s="2"/>
      </tp>
      <tp t="s">
        <v>#N/A N/A</v>
        <stp/>
        <stp>BQL|14162271533634604496</stp>
        <tr r="S15" s="2"/>
        <tr r="S88" s="2"/>
      </tp>
      <tp t="s">
        <v>#N/A N/A</v>
        <stp/>
        <stp>BQL|12811601621776682559</stp>
        <tr r="S256" s="2"/>
        <tr r="S279" s="2"/>
      </tp>
      <tp t="s">
        <v>#N/A N/A</v>
        <stp/>
        <stp>BQL|17542286964085600357</stp>
        <tr r="M77" s="2"/>
      </tp>
      <tp t="s">
        <v>#N/A N/A</v>
        <stp/>
        <stp>BQL|12121126060225820510</stp>
        <tr r="V331" s="2"/>
      </tp>
      <tp t="s">
        <v>#N/A N/A</v>
        <stp/>
        <stp>BQL|10139064869275940729</stp>
        <tr r="G226" s="2"/>
      </tp>
      <tp t="s">
        <v>#N/A N/A</v>
        <stp/>
        <stp>BQL|13338849745432132961</stp>
        <tr r="M319" s="2"/>
      </tp>
      <tp t="s">
        <v>#N/A N/A</v>
        <stp/>
        <stp>BQL|11315623544991612666</stp>
        <tr r="W192" s="2"/>
      </tp>
      <tp t="s">
        <v>#N/A N/A</v>
        <stp/>
        <stp>BQL|15983398904780627276</stp>
        <tr r="M220" s="2"/>
      </tp>
      <tp t="s">
        <v>#N/A N/A</v>
        <stp/>
        <stp>BQL|18387755445537315858</stp>
        <tr r="E295" s="2"/>
      </tp>
      <tp t="s">
        <v>#N/A N/A</v>
        <stp/>
        <stp>BQL|10512151885065328833</stp>
        <tr r="R225" s="2"/>
      </tp>
      <tp t="s">
        <v>#N/A N/A</v>
        <stp/>
        <stp>BQL|16767734123243670447</stp>
        <tr r="E126" s="2"/>
      </tp>
      <tp t="s">
        <v>#N/A N/A</v>
        <stp/>
        <stp>BQL|10867433399068123160</stp>
        <tr r="J115" s="2"/>
      </tp>
      <tp t="s">
        <v>#N/A N/A</v>
        <stp/>
        <stp>BQL|10465627507053554111</stp>
        <tr r="V296" s="2"/>
      </tp>
      <tp t="s">
        <v>#N/A N/A</v>
        <stp/>
        <stp>BQL|12696580304644820778</stp>
        <tr r="K64" s="2"/>
      </tp>
      <tp t="s">
        <v>#N/A N/A</v>
        <stp/>
        <stp>BQL|14924776746726436594</stp>
        <tr r="J245" s="2"/>
      </tp>
      <tp t="s">
        <v>#N/A N/A</v>
        <stp/>
        <stp>BQL|13478378535126550171</stp>
        <tr r="J127" s="2"/>
      </tp>
      <tp t="s">
        <v>#N/A N/A</v>
        <stp/>
        <stp>BQL|14254271865365390174</stp>
        <tr r="F51" s="2"/>
      </tp>
      <tp t="s">
        <v>#N/A N/A</v>
        <stp/>
        <stp>BQL|12702485175910869566</stp>
        <tr r="E101" s="2"/>
        <tr r="E23" s="2"/>
      </tp>
      <tp t="s">
        <v>#N/A N/A</v>
        <stp/>
        <stp>BQL|14487450961856088449</stp>
        <tr r="M365" s="2"/>
      </tp>
      <tp t="s">
        <v>#N/A N/A</v>
        <stp/>
        <stp>BQL|17697674291474600829</stp>
        <tr r="M144" s="2"/>
      </tp>
      <tp t="s">
        <v>#N/A N/A</v>
        <stp/>
        <stp>BQL|18372063243020327813</stp>
        <tr r="L317" s="2"/>
      </tp>
      <tp t="s">
        <v>#N/A N/A</v>
        <stp/>
        <stp>BQL|10975038945821376184</stp>
        <tr r="Q359" s="2"/>
      </tp>
      <tp t="s">
        <v>#N/A N/A</v>
        <stp/>
        <stp>BQL|15274762032974005128</stp>
        <tr r="K299" s="2"/>
      </tp>
      <tp t="s">
        <v>#N/A N/A</v>
        <stp/>
        <stp>BQL|13530068160008588918</stp>
        <tr r="Q178" s="2"/>
      </tp>
      <tp t="s">
        <v>#N/A N/A</v>
        <stp/>
        <stp>BQL|18337156682990116525</stp>
        <tr r="O310" s="2"/>
      </tp>
      <tp t="s">
        <v>#N/A N/A</v>
        <stp/>
        <stp>BQL|16567824482034213601</stp>
        <tr r="W151" s="2"/>
      </tp>
      <tp t="s">
        <v>#N/A N/A</v>
        <stp/>
        <stp>BQL|12045720146772031737</stp>
        <tr r="V246" s="2"/>
      </tp>
      <tp t="s">
        <v>#N/A N/A</v>
        <stp/>
        <stp>BQL|12671119997969730702</stp>
        <tr r="M172" s="2"/>
      </tp>
      <tp t="s">
        <v>#N/A N/A</v>
        <stp/>
        <stp>BQL|11224530447610501442</stp>
        <tr r="R115" s="2"/>
      </tp>
      <tp t="s">
        <v>#N/A N/A</v>
        <stp/>
        <stp>BQL|13919009618275106363</stp>
        <tr r="K179" s="2"/>
      </tp>
      <tp t="s">
        <v>#N/A N/A</v>
        <stp/>
        <stp>BQL|13617513375512063749</stp>
        <tr r="M296" s="2"/>
      </tp>
      <tp t="s">
        <v>#N/A N/A</v>
        <stp/>
        <stp>BQL|17087081757331151787</stp>
        <tr r="T212" s="2"/>
        <tr r="T6" s="2"/>
      </tp>
      <tp t="s">
        <v>#N/A N/A</v>
        <stp/>
        <stp>BQL|10820788612081262362</stp>
        <tr r="Q135" s="2"/>
      </tp>
      <tp t="s">
        <v>#N/A N/A</v>
        <stp/>
        <stp>BQL|18425160154741138918</stp>
        <tr r="U209" s="2"/>
      </tp>
      <tp t="s">
        <v>#N/A N/A</v>
        <stp/>
        <stp>BQL|18003146246431453809</stp>
        <tr r="G141" s="2"/>
      </tp>
      <tp t="s">
        <v>#N/A N/A</v>
        <stp/>
        <stp>BQL|10249260021736555264</stp>
        <tr r="S341" s="2"/>
      </tp>
      <tp t="s">
        <v>#N/A N/A</v>
        <stp/>
        <stp>BQL|12221672773511618666</stp>
        <tr r="S138" s="2"/>
      </tp>
      <tp t="s">
        <v>#N/A N/A</v>
        <stp/>
        <stp>BQL|15086477076441495330</stp>
        <tr r="X293" s="2"/>
      </tp>
      <tp t="s">
        <v>#N/A N/A</v>
        <stp/>
        <stp>BQL|15444404145400015177</stp>
        <tr r="N342" s="2"/>
      </tp>
      <tp t="s">
        <v>#N/A N/A</v>
        <stp/>
        <stp>BQL|12140107966937381622</stp>
        <tr r="G224" s="2"/>
      </tp>
      <tp t="s">
        <v>#N/A N/A</v>
        <stp/>
        <stp>BQL|16906134667336372386</stp>
        <tr r="H329" s="2"/>
      </tp>
      <tp t="s">
        <v>#N/A N/A</v>
        <stp/>
        <stp>BQL|10997952819508590462</stp>
        <tr r="M302" s="2"/>
      </tp>
      <tp t="s">
        <v>#N/A N/A</v>
        <stp/>
        <stp>BQL|15873691518595931365</stp>
        <tr r="I274" s="2"/>
      </tp>
      <tp t="s">
        <v>#N/A N/A</v>
        <stp/>
        <stp>BQL|12441743016604732476</stp>
        <tr r="X202" s="2"/>
      </tp>
      <tp t="s">
        <v>#N/A N/A</v>
        <stp/>
        <stp>BQL|11024262973505291560</stp>
        <tr r="F363" s="2"/>
      </tp>
      <tp t="s">
        <v>#N/A N/A</v>
        <stp/>
        <stp>BQL|17173084807661776281</stp>
        <tr r="M199" s="2"/>
      </tp>
      <tp t="s">
        <v>#N/A N/A</v>
        <stp/>
        <stp>BQL|14054353272167008366</stp>
        <tr r="E22" s="2"/>
        <tr r="E99" s="2"/>
      </tp>
      <tp t="s">
        <v>#N/A N/A</v>
        <stp/>
        <stp>BQL|17183126928842366290</stp>
        <tr r="S223" s="2"/>
      </tp>
      <tp t="s">
        <v>#N/A N/A</v>
        <stp/>
        <stp>BQL|14617240321447163735</stp>
        <tr r="M342" s="2"/>
      </tp>
      <tp t="s">
        <v>#N/A N/A</v>
        <stp/>
        <stp>BQL|15643470476180251245</stp>
        <tr r="N225" s="2"/>
      </tp>
      <tp t="s">
        <v>#N/A N/A</v>
        <stp/>
        <stp>BQL|16533165324023718212</stp>
        <tr r="S330" s="2"/>
      </tp>
      <tp t="s">
        <v>#N/A N/A</v>
        <stp/>
        <stp>BQL|12799955993623091507</stp>
        <tr r="O318" s="2"/>
      </tp>
      <tp t="s">
        <v>#N/A N/A</v>
        <stp/>
        <stp>BQL|11999842497153228785</stp>
        <tr r="P209" s="2"/>
      </tp>
      <tp t="s">
        <v>#N/A N/A</v>
        <stp/>
        <stp>BQL|15591260302752351127</stp>
        <tr r="X86" s="2"/>
      </tp>
      <tp t="s">
        <v>#N/A N/A</v>
        <stp/>
        <stp>BQL|16398455646240153218</stp>
        <tr r="P342" s="2"/>
      </tp>
      <tp t="s">
        <v>#N/A N/A</v>
        <stp/>
        <stp>BQL|10139907272759198329</stp>
        <tr r="N78" s="2"/>
      </tp>
      <tp t="s">
        <v>#N/A N/A</v>
        <stp/>
        <stp>BQL|16649570746395270651</stp>
        <tr r="J206" s="2"/>
      </tp>
      <tp t="s">
        <v>#N/A N/A</v>
        <stp/>
        <stp>BQL|13705185018311299658</stp>
        <tr r="H330" s="2"/>
      </tp>
      <tp t="s">
        <v>#N/A N/A</v>
        <stp/>
        <stp>BQL|11542744797549272244</stp>
        <tr r="E138" s="2"/>
      </tp>
      <tp t="s">
        <v>#N/A N/A</v>
        <stp/>
        <stp>BQL|11803765270015684088</stp>
        <tr r="W3" s="2"/>
      </tp>
      <tp t="s">
        <v>#N/A N/A</v>
        <stp/>
        <stp>BQL|12305420613632153136</stp>
        <tr r="N124" s="2"/>
        <tr r="N32" s="2"/>
      </tp>
      <tp t="s">
        <v>#N/A N/A</v>
        <stp/>
        <stp>BQL|17254532167611279142</stp>
        <tr r="M339" s="2"/>
      </tp>
      <tp t="s">
        <v>#N/A N/A</v>
        <stp/>
        <stp>BQL|14087730265911347051</stp>
        <tr r="N289" s="2"/>
      </tp>
      <tp t="s">
        <v>#N/A N/A</v>
        <stp/>
        <stp>BQL|14707672110700668758</stp>
        <tr r="T3" s="2"/>
      </tp>
      <tp t="s">
        <v>#N/A N/A</v>
        <stp/>
        <stp>BQL|16789144045325015255</stp>
        <tr r="H141" s="2"/>
      </tp>
      <tp t="s">
        <v>#N/A N/A</v>
        <stp/>
        <stp>BQL|10386074485314419865</stp>
        <tr r="O24" s="2"/>
        <tr r="O95" s="2"/>
      </tp>
      <tp t="s">
        <v>#N/A N/A</v>
        <stp/>
        <stp>BQL|15811986477948108754</stp>
        <tr r="U25" s="2"/>
        <tr r="U96" s="2"/>
      </tp>
      <tp t="s">
        <v>#N/A N/A</v>
        <stp/>
        <stp>BQL|11465472757903126765</stp>
        <tr r="J177" s="2"/>
      </tp>
      <tp t="s">
        <v>#N/A N/A</v>
        <stp/>
        <stp>BQL|15876871507001380887</stp>
        <tr r="M24" s="2"/>
        <tr r="M95" s="2"/>
      </tp>
      <tp t="s">
        <v>#N/A N/A</v>
        <stp/>
        <stp>BQL|17373377444202386607</stp>
        <tr r="H158" s="2"/>
        <tr r="H17" s="2"/>
        <tr r="H90" s="2"/>
      </tp>
      <tp t="s">
        <v>#N/A N/A</v>
        <stp/>
        <stp>BQL|15566136555485777071</stp>
        <tr r="J113" s="2"/>
      </tp>
      <tp t="s">
        <v>#N/A N/A</v>
        <stp/>
        <stp>BQL|16731737418504745082</stp>
        <tr r="W56" s="2"/>
      </tp>
      <tp t="s">
        <v>#N/A N/A</v>
        <stp/>
        <stp>BQL|18171045408704878867</stp>
        <tr r="X204" s="2"/>
      </tp>
      <tp t="s">
        <v>#N/A N/A</v>
        <stp/>
        <stp>BQL|12434306310296689204</stp>
        <tr r="T347" s="2"/>
      </tp>
      <tp t="s">
        <v>#N/A N/A</v>
        <stp/>
        <stp>BQL|12428284588215213948</stp>
        <tr r="E246" s="2"/>
      </tp>
      <tp t="s">
        <v>#N/A N/A</v>
        <stp/>
        <stp>BQL|10710123979127614583</stp>
        <tr r="R144" s="2"/>
      </tp>
      <tp t="s">
        <v>#N/A N/A</v>
        <stp/>
        <stp>BQL|11094085432343872508</stp>
        <tr r="M325" s="2"/>
      </tp>
      <tp t="s">
        <v>#N/A N/A</v>
        <stp/>
        <stp>BQL|17097689414083670782</stp>
        <tr r="E337" s="2"/>
      </tp>
      <tp t="s">
        <v>#N/A N/A</v>
        <stp/>
        <stp>BQL|13174410618652180047</stp>
        <tr r="U347" s="2"/>
      </tp>
      <tp t="s">
        <v>#N/A N/A</v>
        <stp/>
        <stp>BQL|14443214212740984332</stp>
        <tr r="E248" s="2"/>
      </tp>
      <tp t="s">
        <v>#N/A N/A</v>
        <stp/>
        <stp>BQL|16272694443945266570</stp>
        <tr r="R337" s="2"/>
      </tp>
      <tp t="s">
        <v>#N/A N/A</v>
        <stp/>
        <stp>BQL|16826060510521437276</stp>
        <tr r="I244" s="2"/>
      </tp>
      <tp t="s">
        <v>#N/A N/A</v>
        <stp/>
        <stp>BQL|17303830107143349894</stp>
        <tr r="Q72" s="2"/>
      </tp>
      <tp t="s">
        <v>#N/A N/A</v>
        <stp/>
        <stp>BQL|13336018579890245041</stp>
        <tr r="V159" s="2"/>
        <tr r="V20" s="2"/>
        <tr r="V91" s="2"/>
      </tp>
      <tp t="s">
        <v>#N/A N/A</v>
        <stp/>
        <stp>BQL|16726958094047254599</stp>
        <tr r="Q338" s="2"/>
      </tp>
      <tp t="s">
        <v>#N/A N/A</v>
        <stp/>
        <stp>BQL|12333112426280806516</stp>
        <tr r="L169" s="2"/>
        <tr r="L219" s="2"/>
      </tp>
      <tp t="s">
        <v>#N/A N/A</v>
        <stp/>
        <stp>BQL|15920571916990798527</stp>
        <tr r="S312" s="2"/>
      </tp>
      <tp t="s">
        <v>#N/A N/A</v>
        <stp/>
        <stp>BQL|11536686068693100688</stp>
        <tr r="X183" s="2"/>
      </tp>
      <tp t="s">
        <v>#N/A N/A</v>
        <stp/>
        <stp>BQL|10019393742585093675</stp>
        <tr r="N248" s="2"/>
      </tp>
      <tp t="s">
        <v>#N/A N/A</v>
        <stp/>
        <stp>BQL|17383566216417718082</stp>
        <tr r="R302" s="2"/>
      </tp>
      <tp t="s">
        <v>#N/A N/A</v>
        <stp/>
        <stp>BQL|14550047616765887431</stp>
        <tr r="H336" s="2"/>
      </tp>
      <tp t="s">
        <v>#N/A N/A</v>
        <stp/>
        <stp>BQL|16128741401722061780</stp>
        <tr r="N183" s="2"/>
      </tp>
      <tp t="s">
        <v>#N/A N/A</v>
        <stp/>
        <stp>BQL|11822316420752669635</stp>
        <tr r="X330" s="2"/>
      </tp>
      <tp t="s">
        <v>#N/A N/A</v>
        <stp/>
        <stp>BQL|10616237079038385904</stp>
        <tr r="L116" s="2"/>
        <tr r="L30" s="2"/>
      </tp>
      <tp t="s">
        <v>#N/A N/A</v>
        <stp/>
        <stp>BQL|14795209153075294290</stp>
        <tr r="L187" s="2"/>
        <tr r="L37" s="2"/>
      </tp>
      <tp t="s">
        <v>#N/A N/A</v>
        <stp/>
        <stp>BQL|12481098690197616848</stp>
        <tr r="W168" s="2"/>
      </tp>
      <tp t="s">
        <v>#N/A N/A</v>
        <stp/>
        <stp>BQL|16310575279830567072</stp>
        <tr r="U286" s="2"/>
      </tp>
      <tp t="s">
        <v>#N/A N/A</v>
        <stp/>
        <stp>BQL|16139009806403011181</stp>
        <tr r="W329" s="2"/>
      </tp>
      <tp t="s">
        <v>#N/A N/A</v>
        <stp/>
        <stp>BQL|12882828033644439924</stp>
        <tr r="S356" s="2"/>
      </tp>
      <tp t="s">
        <v>#N/A N/A</v>
        <stp/>
        <stp>BQL|13858072475870568009</stp>
        <tr r="E284" s="2"/>
      </tp>
      <tp t="s">
        <v>#N/A N/A</v>
        <stp/>
        <stp>BQL|13176214545771806024</stp>
        <tr r="H342" s="2"/>
      </tp>
      <tp t="s">
        <v>#N/A N/A</v>
        <stp/>
        <stp>BQL|15569506258930561167</stp>
        <tr r="R299" s="2"/>
      </tp>
      <tp t="s">
        <v>#N/A N/A</v>
        <stp/>
        <stp>BQL|16323179412295811707</stp>
        <tr r="G193" s="2"/>
      </tp>
      <tp t="s">
        <v>#N/A N/A</v>
        <stp/>
        <stp>BQL|17240363661801302783</stp>
        <tr r="L310" s="2"/>
      </tp>
      <tp t="s">
        <v>#N/A N/A</v>
        <stp/>
        <stp>BQL|10258263368182171233</stp>
        <tr r="R56" s="2"/>
      </tp>
      <tp t="s">
        <v>#N/A N/A</v>
        <stp/>
        <stp>BQL|17760108235344914558</stp>
        <tr r="X73" s="2"/>
      </tp>
      <tp t="s">
        <v>#N/A N/A</v>
        <stp/>
        <stp>BQL|10469239594616863927</stp>
        <tr r="E187" s="2"/>
        <tr r="E37" s="2"/>
      </tp>
      <tp t="s">
        <v>#N/A N/A</v>
        <stp/>
        <stp>BQL|14016180937745433726</stp>
        <tr r="E357" s="2"/>
      </tp>
      <tp t="s">
        <v>#N/A N/A</v>
        <stp/>
        <stp>BQL|15185634459935659747</stp>
        <tr r="T252" s="2"/>
      </tp>
      <tp t="s">
        <v>#N/A N/A</v>
        <stp/>
        <stp>BQL|16970356802403048276</stp>
        <tr r="U106" s="2"/>
      </tp>
      <tp t="s">
        <v>#N/A N/A</v>
        <stp/>
        <stp>BQL|10104243711071578682</stp>
        <tr r="R19" s="2"/>
        <tr r="R94" s="2"/>
      </tp>
      <tp t="s">
        <v>#N/A N/A</v>
        <stp/>
        <stp>BQL|10434299424243770764</stp>
        <tr r="R105" s="2"/>
      </tp>
      <tp t="s">
        <v>#N/A N/A</v>
        <stp/>
        <stp>BQL|12718330111910865454</stp>
        <tr r="K168" s="2"/>
      </tp>
      <tp t="s">
        <v>#N/A N/A</v>
        <stp/>
        <stp>BQL|12138684237396296547</stp>
        <tr r="H175" s="2"/>
      </tp>
      <tp t="s">
        <v>#N/A N/A</v>
        <stp/>
        <stp>BQL|15942744607894131233</stp>
        <tr r="S365" s="2"/>
      </tp>
      <tp t="s">
        <v>#N/A N/A</v>
        <stp/>
        <stp>BQL|15989998354049580490</stp>
        <tr r="E235" s="2"/>
      </tp>
      <tp t="s">
        <v>#N/A N/A</v>
        <stp/>
        <stp>BQL|10992847195255616065</stp>
        <tr r="T287" s="2"/>
      </tp>
      <tp t="s">
        <v>#N/A N/A</v>
        <stp/>
        <stp>BQL|10870921503409088415</stp>
        <tr r="R358" s="2"/>
      </tp>
      <tp t="s">
        <v>#N/A N/A</v>
        <stp/>
        <stp>BQL|15989420840483539261</stp>
        <tr r="G147" s="2"/>
      </tp>
      <tp t="s">
        <v>#N/A N/A</v>
        <stp/>
        <stp>BQL|10029245129987103343</stp>
        <tr r="O46" s="2"/>
      </tp>
      <tp t="s">
        <v>#N/A N/A</v>
        <stp/>
        <stp>BQL|12681206346764881402</stp>
        <tr r="V117" s="2"/>
      </tp>
      <tp t="s">
        <v>#N/A N/A</v>
        <stp/>
        <stp>BQL|17907653598728825445</stp>
        <tr r="H177" s="2"/>
      </tp>
      <tp t="s">
        <v>#N/A N/A</v>
        <stp/>
        <stp>BQL|13302203934283662596</stp>
        <tr r="G118" s="2"/>
      </tp>
      <tp t="s">
        <v>#N/A N/A</v>
        <stp/>
        <stp>BQL|15813824155784430836</stp>
        <tr r="U63" s="2"/>
      </tp>
      <tp t="s">
        <v>#N/A N/A</v>
        <stp/>
        <stp>BQL|10159011908320121410</stp>
        <tr r="E104" s="2"/>
      </tp>
      <tp t="s">
        <v>#N/A N/A</v>
        <stp/>
        <stp>BQL|13152387933557535070</stp>
        <tr r="J196" s="2"/>
      </tp>
      <tp t="s">
        <v>#N/A N/A</v>
        <stp/>
        <stp>BQL|12399368614727857317</stp>
        <tr r="H259" s="2"/>
      </tp>
      <tp t="s">
        <v>#N/A N/A</v>
        <stp/>
        <stp>BQL|16974129421074325518</stp>
        <tr r="V68" s="2"/>
      </tp>
      <tp t="s">
        <v>#N/A N/A</v>
        <stp/>
        <stp>BQL|11884042716644150001</stp>
        <tr r="L206" s="2"/>
      </tp>
      <tp t="s">
        <v>#N/A N/A</v>
        <stp/>
        <stp>BQL|13736880825018087514</stp>
        <tr r="S198" s="2"/>
      </tp>
      <tp t="s">
        <v>#N/A N/A</v>
        <stp/>
        <stp>BQL|18008671646938909634</stp>
        <tr r="Q246" s="2"/>
      </tp>
      <tp t="s">
        <v>#N/A N/A</v>
        <stp/>
        <stp>BQL|12121159668197743608</stp>
        <tr r="H364" s="2"/>
      </tp>
      <tp t="s">
        <v>#N/A N/A</v>
        <stp/>
        <stp>BQL|11368736434513977264</stp>
        <tr r="Q347" s="2"/>
      </tp>
      <tp t="s">
        <v>#N/A N/A</v>
        <stp/>
        <stp>BQL|16786543187468631798</stp>
        <tr r="T73" s="2"/>
      </tp>
      <tp t="s">
        <v>#N/A N/A</v>
        <stp/>
        <stp>BQL|13634168579142261317</stp>
        <tr r="O286" s="2"/>
      </tp>
      <tp t="s">
        <v>#N/A N/A</v>
        <stp/>
        <stp>BQL|16035134962103297690</stp>
        <tr r="I3" s="2"/>
      </tp>
      <tp t="s">
        <v>#N/A N/A</v>
        <stp/>
        <stp>BQL|16631551932991929524</stp>
        <tr r="V119" s="2"/>
      </tp>
      <tp t="s">
        <v>#N/A N/A</v>
        <stp/>
        <stp>BQL|17864654827096347134</stp>
        <tr r="L268" s="2"/>
      </tp>
      <tp t="s">
        <v>#N/A N/A</v>
        <stp/>
        <stp>BQL|13829373668657856553</stp>
        <tr r="Q319" s="2"/>
      </tp>
      <tp t="s">
        <v>#N/A N/A</v>
        <stp/>
        <stp>BQL|15591278518216932490</stp>
        <tr r="G105" s="2"/>
      </tp>
      <tp t="s">
        <v>#N/A N/A</v>
        <stp/>
        <stp>BQL|15263212778315585148</stp>
        <tr r="U326" s="2"/>
        <tr r="U41" s="2"/>
      </tp>
      <tp t="s">
        <v>#N/A N/A</v>
        <stp/>
        <stp>BQL|15600338506922167080</stp>
        <tr r="O238" s="2"/>
      </tp>
      <tp t="s">
        <v>#N/A N/A</v>
        <stp/>
        <stp>BQL|10923697081959895333</stp>
        <tr r="R190" s="2"/>
      </tp>
      <tp t="s">
        <v>#N/A N/A</v>
        <stp/>
        <stp>BQL|11209606742936888123</stp>
        <tr r="W104" s="2"/>
      </tp>
      <tp t="s">
        <v>#N/A N/A</v>
        <stp/>
        <stp>BQL|17020183152323807378</stp>
        <tr r="M153" s="2"/>
        <tr r="M65" s="2"/>
      </tp>
      <tp t="s">
        <v>#N/A N/A</v>
        <stp/>
        <stp>BQL|14257543706903120147</stp>
        <tr r="S285" s="2"/>
      </tp>
      <tp t="s">
        <v>#N/A N/A</v>
        <stp/>
        <stp>BQL|12858306972056663399</stp>
        <tr r="L131" s="2"/>
      </tp>
      <tp t="s">
        <v>#N/A N/A</v>
        <stp/>
        <stp>BQL|17284135307376021330</stp>
        <tr r="P49" s="2"/>
      </tp>
      <tp t="s">
        <v>#N/A N/A</v>
        <stp/>
        <stp>BQL|17275727162663237657</stp>
        <tr r="H231" s="2"/>
      </tp>
      <tp t="s">
        <v>#N/A N/A</v>
        <stp/>
        <stp>BQL|15625711137347319560</stp>
        <tr r="Q199" s="2"/>
      </tp>
      <tp t="s">
        <v>#N/A N/A</v>
        <stp/>
        <stp>BQL|13549025673036040115</stp>
        <tr r="X315" s="2"/>
      </tp>
      <tp t="s">
        <v>#N/A N/A</v>
        <stp/>
        <stp>BQL|14868552080728179294</stp>
        <tr r="Q205" s="2"/>
        <tr r="Q308" s="2"/>
      </tp>
      <tp t="s">
        <v>#N/A N/A</v>
        <stp/>
        <stp>BQL|11670728602814322101</stp>
        <tr r="S359" s="2"/>
      </tp>
      <tp t="s">
        <v>#N/A N/A</v>
        <stp/>
        <stp>BQL|12107640600953745466</stp>
        <tr r="R277" s="2"/>
      </tp>
      <tp t="s">
        <v>#N/A N/A</v>
        <stp/>
        <stp>BQL|11863115540310592783</stp>
        <tr r="G4" s="2"/>
      </tp>
      <tp t="s">
        <v>#N/A N/A</v>
        <stp/>
        <stp>BQL|12234672377709250949</stp>
        <tr r="O350" s="2"/>
      </tp>
      <tp t="s">
        <v>#N/A N/A</v>
        <stp/>
        <stp>BQL|12344125345665581155</stp>
        <tr r="S113" s="2"/>
      </tp>
      <tp t="s">
        <v>#N/A N/A</v>
        <stp/>
        <stp>BQL|14063893794713994505</stp>
        <tr r="E63" s="2"/>
      </tp>
      <tp t="s">
        <v>#N/A N/A</v>
        <stp/>
        <stp>BQL|15134112761934054550</stp>
        <tr r="H320" s="2"/>
      </tp>
      <tp t="s">
        <v>#N/A N/A</v>
        <stp/>
        <stp>BQL|12972552058363383233</stp>
        <tr r="T138" s="2"/>
      </tp>
      <tp t="s">
        <v>#N/A N/A</v>
        <stp/>
        <stp>BQL|11522454324110220428</stp>
        <tr r="E55" s="2"/>
      </tp>
      <tp t="s">
        <v>#N/A N/A</v>
        <stp/>
        <stp>BQL|15862118437117876324</stp>
        <tr r="G291" s="2"/>
      </tp>
      <tp t="s">
        <v>#N/A N/A</v>
        <stp/>
        <stp>BQL|16788949492785204074</stp>
        <tr r="F214" s="2"/>
      </tp>
      <tp t="s">
        <v>#N/A N/A</v>
        <stp/>
        <stp>BQL|15090095936077320289</stp>
        <tr r="I255" s="2"/>
      </tp>
      <tp t="s">
        <v>#N/A N/A</v>
        <stp/>
        <stp>BQL|10174065321513033223</stp>
        <tr r="S354" s="2"/>
      </tp>
      <tp t="s">
        <v>#N/A N/A</v>
        <stp/>
        <stp>BQL|12319823849004958952</stp>
        <tr r="H116" s="2"/>
        <tr r="H30" s="2"/>
      </tp>
      <tp t="s">
        <v>#N/A N/A</v>
        <stp/>
        <stp>BQL|13700676107227336102</stp>
        <tr r="V337" s="2"/>
      </tp>
      <tp t="s">
        <v>#N/A N/A</v>
        <stp/>
        <stp>BQL|14867686603378672911</stp>
        <tr r="L288" s="2"/>
      </tp>
      <tp t="s">
        <v>#N/A N/A</v>
        <stp/>
        <stp>BQL|16564339626033566724</stp>
        <tr r="L277" s="2"/>
      </tp>
      <tp t="s">
        <v>#N/A N/A</v>
        <stp/>
        <stp>BQL|15570518550310599667</stp>
        <tr r="S165" s="2"/>
      </tp>
      <tp t="s">
        <v>#N/A N/A</v>
        <stp/>
        <stp>BQL|15727996569840081905</stp>
        <tr r="E130" s="2"/>
      </tp>
      <tp t="s">
        <v>#N/A N/A</v>
        <stp/>
        <stp>BQL|10325621511506068270</stp>
        <tr r="K360" s="2"/>
      </tp>
      <tp t="s">
        <v>#N/A N/A</v>
        <stp/>
        <stp>BQL|11341351613824723444</stp>
        <tr r="O221" s="2"/>
      </tp>
      <tp t="s">
        <v>#N/A N/A</v>
        <stp/>
        <stp>BQL|12148192169585511329</stp>
        <tr r="K129" s="2"/>
      </tp>
      <tp t="s">
        <v>#N/A N/A</v>
        <stp/>
        <stp>BQL|15882255994265816874</stp>
        <tr r="S296" s="2"/>
      </tp>
      <tp t="s">
        <v>#N/A N/A</v>
        <stp/>
        <stp>BQL|14324611821301004253</stp>
        <tr r="X259" s="2"/>
      </tp>
      <tp t="s">
        <v>#N/A N/A</v>
        <stp/>
        <stp>BQL|11836093027655453540</stp>
        <tr r="K201" s="2"/>
      </tp>
      <tp t="s">
        <v>#N/A N/A</v>
        <stp/>
        <stp>BQL|13073670275550770137</stp>
        <tr r="M222" s="2"/>
      </tp>
      <tp t="s">
        <v>#N/A N/A</v>
        <stp/>
        <stp>BQL|10186730203347398343</stp>
        <tr r="E329" s="2"/>
      </tp>
      <tp t="s">
        <v>#N/A N/A</v>
        <stp/>
        <stp>BQL|11650529082546603969</stp>
        <tr r="M297" s="2"/>
      </tp>
      <tp t="s">
        <v>#N/A N/A</v>
        <stp/>
        <stp>BQL|16772943244110953880</stp>
        <tr r="O223" s="2"/>
      </tp>
      <tp t="s">
        <v>#N/A N/A</v>
        <stp/>
        <stp>BQL|15790059341285266773</stp>
        <tr r="M291" s="2"/>
      </tp>
      <tp t="s">
        <v>#N/A N/A</v>
        <stp/>
        <stp>BQL|13387703654583024119</stp>
        <tr r="H293" s="2"/>
      </tp>
      <tp t="s">
        <v>#N/A N/A</v>
        <stp/>
        <stp>BQL|10266962996735422605</stp>
        <tr r="Q299" s="2"/>
      </tp>
      <tp t="s">
        <v>#N/A N/A</v>
        <stp/>
        <stp>BQL|11065463265752107246</stp>
        <tr r="J198" s="2"/>
      </tp>
      <tp t="s">
        <v>#N/A N/A</v>
        <stp/>
        <stp>BQL|17903947395296093296</stp>
        <tr r="U300" s="2"/>
      </tp>
      <tp t="s">
        <v>#N/A N/A</v>
        <stp/>
        <stp>BQL|10940092868153002699</stp>
        <tr r="G53" s="2"/>
      </tp>
      <tp t="s">
        <v>#N/A N/A</v>
        <stp/>
        <stp>BQL|10787055172927721368</stp>
        <tr r="F327" s="2"/>
      </tp>
      <tp t="s">
        <v>#N/A N/A</v>
        <stp/>
        <stp>BQL|16585921080742479624</stp>
        <tr r="S64" s="2"/>
      </tp>
      <tp t="s">
        <v>#N/A N/A</v>
        <stp/>
        <stp>BQL|12235251516543482143</stp>
        <tr r="U108" s="2"/>
      </tp>
      <tp t="s">
        <v>#N/A N/A</v>
        <stp/>
        <stp>BQL|13349215694042315943</stp>
        <tr r="X116" s="2"/>
        <tr r="X30" s="2"/>
      </tp>
      <tp t="s">
        <v>#N/A N/A</v>
        <stp/>
        <stp>BQL|11264394863791922604</stp>
        <tr r="K121" s="2"/>
      </tp>
      <tp t="s">
        <v>#N/A N/A</v>
        <stp/>
        <stp>BQL|10085429201094121331</stp>
        <tr r="Q239" s="2"/>
      </tp>
      <tp t="s">
        <v>#N/A N/A</v>
        <stp/>
        <stp>BQL|14827549882918832270</stp>
        <tr r="J202" s="2"/>
      </tp>
      <tp t="s">
        <v>#N/A N/A</v>
        <stp/>
        <stp>BQL|12696809826798833394</stp>
        <tr r="X121" s="2"/>
      </tp>
      <tp t="s">
        <v>#N/A N/A</v>
        <stp/>
        <stp>BQL|15558210972966741508</stp>
        <tr r="U328" s="2"/>
      </tp>
      <tp t="s">
        <v>#N/A N/A</v>
        <stp/>
        <stp>BQL|10619419653830328265</stp>
        <tr r="L353" s="2"/>
      </tp>
      <tp t="s">
        <v>#N/A N/A</v>
        <stp/>
        <stp>BQL|13425832673666682938</stp>
        <tr r="K354" s="2"/>
      </tp>
      <tp t="s">
        <v>#N/A N/A</v>
        <stp/>
        <stp>BQL|13814997309270917900</stp>
        <tr r="L235" s="2"/>
      </tp>
      <tp t="s">
        <v>#N/A N/A</v>
        <stp/>
        <stp>BQL|15353257759349631887</stp>
        <tr r="X56" s="2"/>
      </tp>
      <tp t="s">
        <v>#N/A N/A</v>
        <stp/>
        <stp>BQL|11811872181482672088</stp>
        <tr r="H166" s="2"/>
      </tp>
      <tp t="s">
        <v>#N/A N/A</v>
        <stp/>
        <stp>BQL|15274276113171588437</stp>
        <tr r="E177" s="2"/>
      </tp>
      <tp t="s">
        <v>#N/A N/A</v>
        <stp/>
        <stp>BQL|15589757707503374240</stp>
        <tr r="K325" s="2"/>
      </tp>
      <tp t="s">
        <v>#N/A N/A</v>
        <stp/>
        <stp>BQL|13546129817691413146</stp>
        <tr r="K331" s="2"/>
      </tp>
      <tp t="s">
        <v>#N/A N/A</v>
        <stp/>
        <stp>BQL|12104501249906895602</stp>
        <tr r="J112" s="2"/>
        <tr r="J29" s="2"/>
      </tp>
      <tp t="s">
        <v>#N/A N/A</v>
        <stp/>
        <stp>BQL|18218611970433444971</stp>
        <tr r="E175" s="2"/>
      </tp>
      <tp t="s">
        <v>#N/A N/A</v>
        <stp/>
        <stp>BQL|13177557721322363560</stp>
        <tr r="J328" s="2"/>
      </tp>
      <tp t="s">
        <v>#N/A N/A</v>
        <stp/>
        <stp>BQL|14716067205897469032</stp>
        <tr r="I100" s="2"/>
      </tp>
      <tp t="s">
        <v>#N/A N/A</v>
        <stp/>
        <stp>BQL|18295925027931671128</stp>
        <tr r="O288" s="2"/>
      </tp>
      <tp t="s">
        <v>#N/A N/A</v>
        <stp/>
        <stp>BQL|16940215868228685952</stp>
        <tr r="J317" s="2"/>
      </tp>
      <tp t="s">
        <v>#N/A N/A</v>
        <stp/>
        <stp>BQL|16548795046512850418</stp>
        <tr r="M10" s="2"/>
        <tr r="M60" s="2"/>
      </tp>
      <tp t="s">
        <v>#N/A N/A</v>
        <stp/>
        <stp>BQL|14268515030447868688</stp>
        <tr r="M46" s="2"/>
      </tp>
      <tp t="s">
        <v>#N/A N/A</v>
        <stp/>
        <stp>BQL|14686538627730471059</stp>
        <tr r="S49" s="2"/>
      </tp>
      <tp t="s">
        <v>#N/A N/A</v>
        <stp/>
        <stp>BQL|17548500807874571547</stp>
        <tr r="Q106" s="2"/>
      </tp>
      <tp t="s">
        <v>#N/A N/A</v>
        <stp/>
        <stp>BQL|16890039071752897012</stp>
        <tr r="W360" s="2"/>
      </tp>
      <tp t="s">
        <v>#N/A N/A</v>
        <stp/>
        <stp>BQL|15193695459515580072</stp>
        <tr r="V138" s="2"/>
      </tp>
      <tp t="s">
        <v>#N/A N/A</v>
        <stp/>
        <stp>BQL|13831256628552403220</stp>
        <tr r="S277" s="2"/>
      </tp>
      <tp t="s">
        <v>#N/A N/A</v>
        <stp/>
        <stp>BQL|11180234673366326106</stp>
        <tr r="E184" s="2"/>
        <tr r="E35" s="2"/>
      </tp>
      <tp t="s">
        <v>#N/A N/A</v>
        <stp/>
        <stp>BQL|15461640715526625719</stp>
        <tr r="U346" s="2"/>
      </tp>
      <tp t="s">
        <v>#N/A N/A</v>
        <stp/>
        <stp>BQL|14100191722490894402</stp>
        <tr r="W270" s="2"/>
      </tp>
      <tp t="s">
        <v>#N/A N/A</v>
        <stp/>
        <stp>BQL|14387002891499100710</stp>
        <tr r="W73" s="2"/>
      </tp>
      <tp t="s">
        <v>#N/A N/A</v>
        <stp/>
        <stp>BQL|15277545067955586063</stp>
        <tr r="F331" s="2"/>
      </tp>
      <tp t="s">
        <v>#N/A N/A</v>
        <stp/>
        <stp>BQL|10466223862634176372</stp>
        <tr r="N254" s="2"/>
      </tp>
      <tp t="s">
        <v>#N/A N/A</v>
        <stp/>
        <stp>BQL|10149064022620472135</stp>
        <tr r="R262" s="2"/>
      </tp>
      <tp t="s">
        <v>#N/A N/A</v>
        <stp/>
        <stp>BQL|13428162844334610126</stp>
        <tr r="J342" s="2"/>
      </tp>
      <tp t="s">
        <v>#N/A N/A</v>
        <stp/>
        <stp>BQL|11713869383073940166</stp>
        <tr r="R238" s="2"/>
      </tp>
      <tp t="s">
        <v>#N/A N/A</v>
        <stp/>
        <stp>BQL|16272334556847281489</stp>
        <tr r="S238" s="2"/>
      </tp>
      <tp t="s">
        <v>#N/A N/A</v>
        <stp/>
        <stp>BQL|12115399015043631068</stp>
        <tr r="N64" s="2"/>
      </tp>
      <tp t="s">
        <v>#N/A N/A</v>
        <stp/>
        <stp>BQL|11607014266921468589</stp>
        <tr r="N25" s="2"/>
        <tr r="N96" s="2"/>
      </tp>
      <tp t="s">
        <v>#N/A N/A</v>
        <stp/>
        <stp>BQL|14556156165302929210</stp>
        <tr r="P63" s="2"/>
      </tp>
      <tp t="s">
        <v>#N/A N/A</v>
        <stp/>
        <stp>BQL|17820663275816020370</stp>
        <tr r="M273" s="2"/>
      </tp>
      <tp t="s">
        <v>#N/A N/A</v>
        <stp/>
        <stp>BQL|17301337420191973458</stp>
        <tr r="K355" s="2"/>
      </tp>
      <tp t="s">
        <v>#N/A N/A</v>
        <stp/>
        <stp>BQL|10301493211896623011</stp>
        <tr r="I201" s="2"/>
      </tp>
      <tp t="s">
        <v>#N/A N/A</v>
        <stp/>
        <stp>BQL|14336782347424211028</stp>
        <tr r="X244" s="2"/>
      </tp>
      <tp t="s">
        <v>#N/A N/A</v>
        <stp/>
        <stp>BQL|14010706149120722424</stp>
        <tr r="Q298" s="2"/>
      </tp>
      <tp t="s">
        <v>#N/A N/A</v>
        <stp/>
        <stp>BQL|11156984845328038707</stp>
        <tr r="V202" s="2"/>
      </tp>
      <tp t="s">
        <v>#N/A N/A</v>
        <stp/>
        <stp>BQL|17354832881203440794</stp>
        <tr r="K163" s="2"/>
        <tr r="K7" s="2"/>
      </tp>
      <tp t="s">
        <v>#N/A N/A</v>
        <stp/>
        <stp>BQL|11389890664245161907</stp>
        <tr r="X356" s="2"/>
      </tp>
      <tp t="s">
        <v>#N/A N/A</v>
        <stp/>
        <stp>BQL|17783154623080977772</stp>
        <tr r="S202" s="2"/>
      </tp>
      <tp t="s">
        <v>#N/A N/A</v>
        <stp/>
        <stp>BQL|13588683157881738221</stp>
        <tr r="J54" s="2"/>
      </tp>
      <tp t="s">
        <v>#N/A N/A</v>
        <stp/>
        <stp>BQL|13846960461476550953</stp>
        <tr r="O256" s="2"/>
        <tr r="O279" s="2"/>
      </tp>
      <tp t="s">
        <v>#N/A N/A</v>
        <stp/>
        <stp>BQL|11175391496161165904</stp>
        <tr r="P304" s="2"/>
      </tp>
      <tp t="s">
        <v>#N/A N/A</v>
        <stp/>
        <stp>BQL|12483849442319898440</stp>
        <tr r="T309" s="2"/>
      </tp>
      <tp t="s">
        <v>#N/A N/A</v>
        <stp/>
        <stp>BQL|14798437833542026293</stp>
        <tr r="T101" s="2"/>
        <tr r="T23" s="2"/>
      </tp>
      <tp t="s">
        <v>#N/A N/A</v>
        <stp/>
        <stp>BQL|15997063558500120385</stp>
        <tr r="U151" s="2"/>
      </tp>
      <tp t="s">
        <v>#N/A N/A</v>
        <stp/>
        <stp>BQL|16581229071368099889</stp>
        <tr r="N304" s="2"/>
      </tp>
      <tp t="s">
        <v>#N/A N/A</v>
        <stp/>
        <stp>BQL|12919473942291099029</stp>
        <tr r="E173" s="2"/>
      </tp>
      <tp t="s">
        <v>#N/A N/A</v>
        <stp/>
        <stp>BQL|14438613863502972569</stp>
        <tr r="F13" s="2"/>
        <tr r="F84" s="2"/>
      </tp>
      <tp t="s">
        <v>#N/A N/A</v>
        <stp/>
        <stp>BQL|17870559210017563712</stp>
        <tr r="E179" s="2"/>
      </tp>
      <tp t="s">
        <v>#N/A N/A</v>
        <stp/>
        <stp>BQL|11475764475965848766</stp>
        <tr r="E147" s="2"/>
      </tp>
      <tp t="s">
        <v>#N/A N/A</v>
        <stp/>
        <stp>BQL|16116795951210777779</stp>
        <tr r="R361" s="2"/>
      </tp>
      <tp t="s">
        <v>#N/A N/A</v>
        <stp/>
        <stp>BQL|10307400609260798744</stp>
        <tr r="S229" s="2"/>
      </tp>
      <tp t="s">
        <v>#N/A N/A</v>
        <stp/>
        <stp>BQL|14564878681107914033</stp>
        <tr r="K269" s="2"/>
      </tp>
      <tp t="s">
        <v>#N/A N/A</v>
        <stp/>
        <stp>BQL|17659136452071914171</stp>
        <tr r="G103" s="2"/>
      </tp>
      <tp t="s">
        <v>#N/A N/A</v>
        <stp/>
        <stp>BQL|16345506438445055621</stp>
        <tr r="O22" s="2"/>
        <tr r="O99" s="2"/>
      </tp>
      <tp t="s">
        <v>#N/A N/A</v>
        <stp/>
        <stp>BQL|18358433745303456881</stp>
        <tr r="R246" s="2"/>
      </tp>
      <tp t="s">
        <v>#N/A N/A</v>
        <stp/>
        <stp>BQL|18358461158143404902</stp>
        <tr r="W201" s="2"/>
      </tp>
      <tp t="s">
        <v>#N/A N/A</v>
        <stp/>
        <stp>BQL|14258783641506311214</stp>
        <tr r="S327" s="2"/>
      </tp>
      <tp t="s">
        <v>#N/A N/A</v>
        <stp/>
        <stp>BQL|17489624123642434293</stp>
        <tr r="L49" s="2"/>
      </tp>
      <tp t="s">
        <v>#N/A N/A</v>
        <stp/>
        <stp>BQL|13802558151196006641</stp>
        <tr r="J107" s="2"/>
      </tp>
      <tp t="s">
        <v>#N/A N/A</v>
        <stp/>
        <stp>BQL|10274764672777832468</stp>
        <tr r="O166" s="2"/>
      </tp>
      <tp t="s">
        <v>#N/A N/A</v>
        <stp/>
        <stp>BQL|15757188710833060571</stp>
        <tr r="I365" s="2"/>
      </tp>
      <tp t="s">
        <v>#N/A N/A</v>
        <stp/>
        <stp>BQL|14892604540017511267</stp>
        <tr r="V85" s="2"/>
      </tp>
      <tp t="s">
        <v>#N/A N/A</v>
        <stp/>
        <stp>BQL|17906523967446312148</stp>
        <tr r="L64" s="2"/>
      </tp>
      <tp t="s">
        <v>#N/A N/A</v>
        <stp/>
        <stp>BQL|10383200008607654666</stp>
        <tr r="G355" s="2"/>
      </tp>
      <tp t="s">
        <v>#N/A N/A</v>
        <stp/>
        <stp>BQL|16742227137320047496</stp>
        <tr r="T235" s="2"/>
      </tp>
      <tp t="s">
        <v>#N/A N/A</v>
        <stp/>
        <stp>BQL|15734709248806729337</stp>
        <tr r="M106" s="2"/>
      </tp>
      <tp t="s">
        <v>#N/A N/A</v>
        <stp/>
        <stp>BQL|17434519948584100178</stp>
        <tr r="F325" s="2"/>
      </tp>
      <tp t="s">
        <v>#N/A N/A</v>
        <stp/>
        <stp>BQL|10810323554222065753</stp>
        <tr r="L361" s="2"/>
      </tp>
      <tp t="s">
        <v>#N/A N/A</v>
        <stp/>
        <stp>BQL|13571394087433594847</stp>
        <tr r="S194" s="2"/>
      </tp>
      <tp t="s">
        <v>#N/A N/A</v>
        <stp/>
        <stp>BQL|18444962377870619590</stp>
        <tr r="G3" s="2"/>
      </tp>
      <tp t="s">
        <v>#N/A N/A</v>
        <stp/>
        <stp>BQL|14246592439793867209</stp>
        <tr r="E348" s="2"/>
      </tp>
      <tp t="s">
        <v>#N/A N/A</v>
        <stp/>
        <stp>BQL|14368892201437989886</stp>
        <tr r="H230" s="2"/>
      </tp>
      <tp t="s">
        <v>#N/A N/A</v>
        <stp/>
        <stp>BQL|14446509849180206652</stp>
        <tr r="V284" s="2"/>
      </tp>
      <tp t="s">
        <v>#N/A N/A</v>
        <stp/>
        <stp>BQL|12570280011237789511</stp>
        <tr r="O336" s="2"/>
      </tp>
      <tp t="s">
        <v>#N/A N/A</v>
        <stp/>
        <stp>BQL|17417807789867064379</stp>
        <tr r="P157" s="2"/>
        <tr r="P16" s="2"/>
        <tr r="P89" s="2"/>
      </tp>
      <tp t="s">
        <v>#N/A N/A</v>
        <stp/>
        <stp>BQL|17066215045032648080</stp>
        <tr r="X271" s="2"/>
      </tp>
      <tp t="s">
        <v>#N/A N/A</v>
        <stp/>
        <stp>BQL|14032378722355964368</stp>
        <tr r="F248" s="2"/>
      </tp>
      <tp t="s">
        <v>#N/A N/A</v>
        <stp/>
        <stp>BQL|18061993651696636144</stp>
        <tr r="O157" s="2"/>
        <tr r="O16" s="2"/>
        <tr r="O89" s="2"/>
      </tp>
      <tp t="s">
        <v>#N/A N/A</v>
        <stp/>
        <stp>BQL|11007688552405810575</stp>
        <tr r="I253" s="2"/>
      </tp>
      <tp t="s">
        <v>#N/A N/A</v>
        <stp/>
        <stp>BQL|10916739476445891714</stp>
        <tr r="Q73" s="2"/>
      </tp>
      <tp t="s">
        <v>#N/A N/A</v>
        <stp/>
        <stp>BQL|15483630724754593737</stp>
        <tr r="W22" s="2"/>
        <tr r="W99" s="2"/>
      </tp>
      <tp t="s">
        <v>#N/A N/A</v>
        <stp/>
        <stp>BQL|15473071477122838292</stp>
        <tr r="G229" s="2"/>
      </tp>
      <tp t="s">
        <v>#N/A N/A</v>
        <stp/>
        <stp>BQL|17821560554230978561</stp>
        <tr r="Q128" s="2"/>
        <tr r="Q33" s="2"/>
      </tp>
      <tp t="s">
        <v>#N/A N/A</v>
        <stp/>
        <stp>BQL|16575475623466207460</stp>
        <tr r="V208" s="2"/>
      </tp>
      <tp t="s">
        <v>#N/A N/A</v>
        <stp/>
        <stp>BQL|13726465757477714747</stp>
        <tr r="T354" s="2"/>
      </tp>
      <tp t="s">
        <v>#N/A N/A</v>
        <stp/>
        <stp>BQL|10025195830112443286</stp>
        <tr r="L19" s="2"/>
        <tr r="L94" s="2"/>
      </tp>
      <tp t="s">
        <v>#N/A N/A</v>
        <stp/>
        <stp>BQL|10724477037187124232</stp>
        <tr r="O255" s="2"/>
      </tp>
      <tp t="s">
        <v>#N/A N/A</v>
        <stp/>
        <stp>BQL|11670658661477468426</stp>
        <tr r="Q337" s="2"/>
      </tp>
      <tp t="s">
        <v>#N/A N/A</v>
        <stp/>
        <stp>BQL|12733364315734992692</stp>
        <tr r="W47" s="2"/>
      </tp>
      <tp t="s">
        <v>#N/A N/A</v>
        <stp/>
        <stp>BQL|15834259758774061416</stp>
        <tr r="N121" s="2"/>
      </tp>
      <tp t="s">
        <v>#N/A N/A</v>
        <stp/>
        <stp>BQL|16235011060972413037</stp>
        <tr r="O360" s="2"/>
      </tp>
      <tp t="s">
        <v>#N/A N/A</v>
        <stp/>
        <stp>BQL|18277104612918397270</stp>
        <tr r="W340" s="2"/>
      </tp>
      <tp t="s">
        <v>#N/A N/A</v>
        <stp/>
        <stp>BQL|12750923823548431361</stp>
        <tr r="K357" s="2"/>
      </tp>
      <tp t="s">
        <v>#N/A N/A</v>
        <stp/>
        <stp>BQL|12542192029733207031</stp>
        <tr r="I185" s="2"/>
      </tp>
      <tp t="s">
        <v>#N/A N/A</v>
        <stp/>
        <stp>BQL|16830452525771974357</stp>
        <tr r="H144" s="2"/>
      </tp>
      <tp t="s">
        <v>#N/A N/A</v>
        <stp/>
        <stp>BQL|17226235954705306724</stp>
        <tr r="T239" s="2"/>
      </tp>
      <tp t="s">
        <v>#N/A N/A</v>
        <stp/>
        <stp>BQL|14401229485618535428</stp>
        <tr r="S204" s="2"/>
      </tp>
      <tp t="s">
        <v>#N/A N/A</v>
        <stp/>
        <stp>BQL|14215802576480693954</stp>
        <tr r="L205" s="2"/>
        <tr r="L308" s="2"/>
      </tp>
      <tp t="s">
        <v>#N/A N/A</v>
        <stp/>
        <stp>BQL|16898469978365815298</stp>
        <tr r="O234" s="2"/>
        <tr r="O311" s="2"/>
      </tp>
      <tp t="s">
        <v>#N/A N/A</v>
        <stp/>
        <stp>BQL|12431825478858153787</stp>
        <tr r="W320" s="2"/>
      </tp>
      <tp t="s">
        <v>#N/A N/A</v>
        <stp/>
        <stp>BQL|13020974808240821805</stp>
        <tr r="O354" s="2"/>
      </tp>
      <tp t="s">
        <v>#N/A N/A</v>
        <stp/>
        <stp>BQL|15236101581518143651</stp>
        <tr r="J356" s="2"/>
      </tp>
      <tp t="s">
        <v>#N/A N/A</v>
        <stp/>
        <stp>BQL|13079401566696039514</stp>
        <tr r="O244" s="2"/>
      </tp>
      <tp t="s">
        <v>#N/A N/A</v>
        <stp/>
        <stp>BQL|18393351812490686853</stp>
        <tr r="W275" s="2"/>
      </tp>
      <tp t="s">
        <v>#N/A N/A</v>
        <stp/>
        <stp>BQL|11601203724115216675</stp>
        <tr r="U156" s="2"/>
      </tp>
      <tp t="s">
        <v>#N/A N/A</v>
        <stp/>
        <stp>BQL|12557197064720680787</stp>
        <tr r="G208" s="2"/>
      </tp>
      <tp t="s">
        <v>#N/A N/A</v>
        <stp/>
        <stp>BQL|10077576465193105259</stp>
        <tr r="V223" s="2"/>
      </tp>
      <tp t="s">
        <v>#N/A N/A</v>
        <stp/>
        <stp>BQL|16465509228252313192</stp>
        <tr r="N320" s="2"/>
      </tp>
      <tp t="s">
        <v>#N/A N/A</v>
        <stp/>
        <stp>BQL|16163919122857474803</stp>
        <tr r="Q53" s="2"/>
      </tp>
      <tp t="s">
        <v>#N/A N/A</v>
        <stp/>
        <stp>BQL|14823002009553209555</stp>
        <tr r="P292" s="2"/>
      </tp>
      <tp t="s">
        <v>#N/A N/A</v>
        <stp/>
        <stp>BQL|15959902109589726710</stp>
        <tr r="Q335" s="2"/>
      </tp>
      <tp t="s">
        <v>#N/A N/A</v>
        <stp/>
        <stp>BQL|14646091835671828446</stp>
        <tr r="U171" s="2"/>
      </tp>
      <tp t="s">
        <v>#N/A N/A</v>
        <stp/>
        <stp>BQL|16650871491604456120</stp>
        <tr r="R64" s="2"/>
      </tp>
      <tp t="s">
        <v>#N/A N/A</v>
        <stp/>
        <stp>BQL|15343391901912982642</stp>
        <tr r="E274" s="2"/>
      </tp>
      <tp t="s">
        <v>#N/A N/A</v>
        <stp/>
        <stp>BQL|13303542481619057507</stp>
        <tr r="G135" s="2"/>
      </tp>
      <tp t="s">
        <v>#N/A N/A</v>
        <stp/>
        <stp>BQL|13562712037182265776</stp>
        <tr r="I364" s="2"/>
      </tp>
      <tp t="s">
        <v>#N/A N/A</v>
        <stp/>
        <stp>BQL|17565944987692803681</stp>
        <tr r="F176" s="2"/>
      </tp>
      <tp t="s">
        <v>#N/A N/A</v>
        <stp/>
        <stp>BQL|13545596173594646788</stp>
        <tr r="N53" s="2"/>
      </tp>
      <tp t="s">
        <v>#N/A N/A</v>
        <stp/>
        <stp>BQL|10440629257912536358</stp>
        <tr r="G124" s="2"/>
        <tr r="G32" s="2"/>
      </tp>
      <tp t="s">
        <v>#N/A N/A</v>
        <stp/>
        <stp>BQL|14686756621247058437</stp>
        <tr r="W315" s="2"/>
      </tp>
      <tp t="s">
        <v>#N/A N/A</v>
        <stp/>
        <stp>BQL|12919465259900678117</stp>
        <tr r="U185" s="2"/>
      </tp>
      <tp t="s">
        <v>#N/A N/A</v>
        <stp/>
        <stp>BQL|15014108241724963694</stp>
        <tr r="Q249" s="2"/>
      </tp>
      <tp t="s">
        <v>#N/A N/A</v>
        <stp/>
        <stp>BQL|17019476183409178048</stp>
        <tr r="N151" s="2"/>
      </tp>
      <tp t="s">
        <v>#N/A N/A</v>
        <stp/>
        <stp>BQL|12234726659634864604</stp>
        <tr r="G184" s="2"/>
        <tr r="G35" s="2"/>
      </tp>
      <tp t="s">
        <v>#N/A N/A</v>
        <stp/>
        <stp>BQL|14321260475613898083</stp>
        <tr r="X193" s="2"/>
      </tp>
      <tp t="s">
        <v>#N/A N/A</v>
        <stp/>
        <stp>BQL|15559526511281685207</stp>
        <tr r="U124" s="2"/>
        <tr r="U32" s="2"/>
      </tp>
      <tp t="s">
        <v>#N/A N/A</v>
        <stp/>
        <stp>BQL|16550560205817096665</stp>
        <tr r="X100" s="2"/>
      </tp>
      <tp t="s">
        <v>#N/A N/A</v>
        <stp/>
        <stp>BQL|11975639693858925405</stp>
        <tr r="V129" s="2"/>
      </tp>
      <tp t="s">
        <v>#N/A N/A</v>
        <stp/>
        <stp>BQL|17573586271926656196</stp>
        <tr r="K69" s="2"/>
      </tp>
      <tp t="s">
        <v>#N/A N/A</v>
        <stp/>
        <stp>BQL|17865110346803969352</stp>
        <tr r="R180" s="2"/>
      </tp>
      <tp t="s">
        <v>#N/A N/A</v>
        <stp/>
        <stp>BQL|15611156810016072109</stp>
        <tr r="W248" s="2"/>
      </tp>
      <tp t="s">
        <v>#N/A N/A</v>
        <stp/>
        <stp>BQL|16381670827269377932</stp>
        <tr r="R14" s="2"/>
        <tr r="R87" s="2"/>
      </tp>
      <tp t="s">
        <v>#N/A N/A</v>
        <stp/>
        <stp>BQL|17933547811162795382</stp>
        <tr r="J249" s="2"/>
      </tp>
      <tp t="s">
        <v>#N/A N/A</v>
        <stp/>
        <stp>BQL|11089102753212307535</stp>
        <tr r="K294" s="2"/>
      </tp>
      <tp t="s">
        <v>#N/A N/A</v>
        <stp/>
        <stp>BQL|13236308817937289449</stp>
        <tr r="U357" s="2"/>
      </tp>
      <tp t="s">
        <v>#N/A N/A</v>
        <stp/>
        <stp>BQL|14435767690851592944</stp>
        <tr r="M359" s="2"/>
      </tp>
      <tp t="s">
        <v>#N/A N/A</v>
        <stp/>
        <stp>BQL|15426179645617754528</stp>
        <tr r="K192" s="2"/>
      </tp>
      <tp t="s">
        <v>#N/A N/A</v>
        <stp/>
        <stp>BQL|18011534481320642772</stp>
        <tr r="G183" s="2"/>
      </tp>
      <tp t="s">
        <v>#N/A N/A</v>
        <stp/>
        <stp>BQL|10216722063554646779</stp>
        <tr r="W225" s="2"/>
      </tp>
      <tp t="s">
        <v>#N/A N/A</v>
        <stp/>
        <stp>BQL|17757640233984145431</stp>
        <tr r="L299" s="2"/>
      </tp>
      <tp t="s">
        <v>#N/A N/A</v>
        <stp/>
        <stp>BQL|14291434871567424265</stp>
        <tr r="N290" s="2"/>
      </tp>
      <tp t="s">
        <v>#N/A N/A</v>
        <stp/>
        <stp>BQL|13973683673731924192</stp>
        <tr r="J106" s="2"/>
      </tp>
      <tp t="s">
        <v>#N/A N/A</v>
        <stp/>
        <stp>BQL|12603652656042198169</stp>
        <tr r="U15" s="2"/>
        <tr r="U88" s="2"/>
      </tp>
      <tp t="s">
        <v>#N/A N/A</v>
        <stp/>
        <stp>BQL|17374811557641624915</stp>
        <tr r="K335" s="2"/>
      </tp>
      <tp t="s">
        <v>#N/A N/A</v>
        <stp/>
        <stp>BQL|10791979869739256494</stp>
        <tr r="F102" s="2"/>
      </tp>
      <tp t="s">
        <v>#N/A N/A</v>
        <stp/>
        <stp>BQL|15902178806230284687</stp>
        <tr r="W108" s="2"/>
      </tp>
      <tp t="s">
        <v>#N/A N/A</v>
        <stp/>
        <stp>BQL|12792185847525222070</stp>
        <tr r="I176" s="2"/>
      </tp>
      <tp t="s">
        <v>#N/A N/A</v>
        <stp/>
        <stp>BQL|16709399865313012260</stp>
        <tr r="H195" s="2"/>
      </tp>
      <tp t="s">
        <v>#N/A N/A</v>
        <stp/>
        <stp>BQL|16867152459598084893</stp>
        <tr r="N350" s="2"/>
      </tp>
      <tp t="s">
        <v>#N/A N/A</v>
        <stp/>
        <stp>BQL|10697090444576505036</stp>
        <tr r="V276" s="2"/>
      </tp>
      <tp t="s">
        <v>#N/A N/A</v>
        <stp/>
        <stp>BQL|10266018009534579625</stp>
        <tr r="G265" s="2"/>
      </tp>
      <tp t="s">
        <v>#N/A N/A</v>
        <stp/>
        <stp>BQL|10444381931373098107</stp>
        <tr r="M248" s="2"/>
      </tp>
      <tp t="s">
        <v>#N/A N/A</v>
        <stp/>
        <stp>BQL|12961779670697317706</stp>
        <tr r="H294" s="2"/>
      </tp>
      <tp t="s">
        <v>#N/A N/A</v>
        <stp/>
        <stp>BQL|17620146655270884120</stp>
        <tr r="I227" s="2"/>
      </tp>
      <tp t="s">
        <v>#N/A N/A</v>
        <stp/>
        <stp>BQL|15599429338420023025</stp>
        <tr r="O331" s="2"/>
      </tp>
      <tp t="s">
        <v>#N/A N/A</v>
        <stp/>
        <stp>BQL|13273973457579814473</stp>
        <tr r="V347" s="2"/>
      </tp>
      <tp t="s">
        <v>#N/A N/A</v>
        <stp/>
        <stp>BQL|18143983664170284535</stp>
        <tr r="M356" s="2"/>
      </tp>
      <tp t="s">
        <v>#N/A N/A</v>
        <stp/>
        <stp>BQL|15793531679602604775</stp>
        <tr r="T266" s="2"/>
      </tp>
      <tp t="s">
        <v>#N/A N/A</v>
        <stp/>
        <stp>BQL|12789902023143053887</stp>
        <tr r="G252" s="2"/>
      </tp>
      <tp t="s">
        <v>#N/A N/A</v>
        <stp/>
        <stp>BQL|11348397042170534418</stp>
        <tr r="J256" s="2"/>
        <tr r="J279" s="2"/>
      </tp>
      <tp t="s">
        <v>#N/A N/A</v>
        <stp/>
        <stp>BQL|16854358997667541930</stp>
        <tr r="G277" s="2"/>
      </tp>
      <tp t="s">
        <v>#N/A N/A</v>
        <stp/>
        <stp>BQL|13936382335848804904</stp>
        <tr r="T360" s="2"/>
      </tp>
      <tp t="s">
        <v>#N/A N/A</v>
        <stp/>
        <stp>BQL|15556190336275581039</stp>
        <tr r="K18" s="2"/>
        <tr r="K93" s="2"/>
      </tp>
      <tp t="s">
        <v>#N/A N/A</v>
        <stp/>
        <stp>BQL|12744401457346790786</stp>
        <tr r="W324" s="2"/>
        <tr r="W40" s="2"/>
      </tp>
      <tp t="s">
        <v>#N/A N/A</v>
        <stp/>
        <stp>BQL|13364246138857051704</stp>
        <tr r="R234" s="2"/>
        <tr r="R311" s="2"/>
      </tp>
      <tp t="s">
        <v>#N/A N/A</v>
        <stp/>
        <stp>BQL|15878014600881649600</stp>
        <tr r="K72" s="2"/>
      </tp>
      <tp t="s">
        <v>#N/A N/A</v>
        <stp/>
        <stp>BQL|12113418010856868378</stp>
        <tr r="I202" s="2"/>
      </tp>
      <tp t="s">
        <v>#N/A N/A</v>
        <stp/>
        <stp>BQL|15817748514691327040</stp>
        <tr r="W259" s="2"/>
      </tp>
      <tp t="s">
        <v>#N/A N/A</v>
        <stp/>
        <stp>BQL|11875420382689297655</stp>
        <tr r="X119" s="2"/>
      </tp>
      <tp t="s">
        <v>#N/A N/A</v>
        <stp/>
        <stp>BQL|12022368749997106013</stp>
        <tr r="P266" s="2"/>
      </tp>
      <tp t="s">
        <v>#N/A N/A</v>
        <stp/>
        <stp>BQL|10144731360527452495</stp>
        <tr r="N358" s="2"/>
      </tp>
      <tp t="s">
        <v>#N/A N/A</v>
        <stp/>
        <stp>BQL|10363350348420934584</stp>
        <tr r="S63" s="2"/>
      </tp>
      <tp t="s">
        <v>#N/A N/A</v>
        <stp/>
        <stp>BQL|17475623475684556093</stp>
        <tr r="X172" s="2"/>
      </tp>
      <tp t="s">
        <v>#N/A N/A</v>
        <stp/>
        <stp>BQL|16141791047011193618</stp>
        <tr r="I323" s="2"/>
      </tp>
      <tp t="s">
        <v>#N/A N/A</v>
        <stp/>
        <stp>BQL|17867824990813115750</stp>
        <tr r="F263" s="2"/>
      </tp>
      <tp t="s">
        <v>#N/A N/A</v>
        <stp/>
        <stp>BQL|13705740349317691520</stp>
        <tr r="I22" s="2"/>
        <tr r="I99" s="2"/>
      </tp>
      <tp t="s">
        <v>#N/A N/A</v>
        <stp/>
        <stp>BQL|17492636169753736673</stp>
        <tr r="O236" s="2"/>
      </tp>
      <tp t="s">
        <v>#N/A N/A</v>
        <stp/>
        <stp>BQL|16348759238564377433</stp>
        <tr r="S309" s="2"/>
      </tp>
      <tp t="s">
        <v>#N/A N/A</v>
        <stp/>
        <stp>BQL|16231283972898429928</stp>
        <tr r="F287" s="2"/>
      </tp>
      <tp t="s">
        <v>#N/A N/A</v>
        <stp/>
        <stp>BQL|12040694741560776213</stp>
        <tr r="P79" s="2"/>
      </tp>
      <tp t="s">
        <v>#N/A N/A</v>
        <stp/>
        <stp>BQL|15752952522415976975</stp>
        <tr r="W299" s="2"/>
      </tp>
      <tp t="s">
        <v>#N/A N/A</v>
        <stp/>
        <stp>BQL|16012605786453984918</stp>
        <tr r="P336" s="2"/>
      </tp>
      <tp t="s">
        <v>#N/A N/A</v>
        <stp/>
        <stp>BQL|12358216610221942250</stp>
        <tr r="U355" s="2"/>
      </tp>
      <tp t="s">
        <v>#N/A N/A</v>
        <stp/>
        <stp>BQL|11796062436898693881</stp>
        <tr r="L115" s="2"/>
      </tp>
      <tp t="s">
        <v>#N/A N/A</v>
        <stp/>
        <stp>BQL|16304783737017119749</stp>
        <tr r="S69" s="2"/>
      </tp>
      <tp t="s">
        <v>#N/A N/A</v>
        <stp/>
        <stp>BQL|11629935781734597683</stp>
        <tr r="Q114" s="2"/>
      </tp>
      <tp t="s">
        <v>#N/A N/A</v>
        <stp/>
        <stp>BQL|12330998494313362346</stp>
        <tr r="S112" s="2"/>
        <tr r="S29" s="2"/>
      </tp>
      <tp t="s">
        <v>#N/A N/A</v>
        <stp/>
        <stp>BQL|17994819690456681274</stp>
        <tr r="J51" s="2"/>
      </tp>
      <tp t="s">
        <v>#N/A N/A</v>
        <stp/>
        <stp>BQL|16830278500456367056</stp>
        <tr r="M182" s="2"/>
      </tp>
      <tp t="s">
        <v>#N/A N/A</v>
        <stp/>
        <stp>BQL|16299039734037864048</stp>
        <tr r="K198" s="2"/>
      </tp>
      <tp t="s">
        <v>#N/A N/A</v>
        <stp/>
        <stp>BQL|10983613146646020673</stp>
        <tr r="R336" s="2"/>
      </tp>
      <tp t="s">
        <v>#N/A N/A</v>
        <stp/>
        <stp>BQL|11796158128692077233</stp>
        <tr r="K105" s="2"/>
      </tp>
      <tp t="s">
        <v>#N/A N/A</v>
        <stp/>
        <stp>BQL|11459734513722928747</stp>
        <tr r="W152" s="2"/>
        <tr r="W62" s="2"/>
      </tp>
      <tp t="s">
        <v>#N/A N/A</v>
        <stp/>
        <stp>BQL|14078218133926340180</stp>
        <tr r="S276" s="2"/>
      </tp>
      <tp t="s">
        <v>#N/A N/A</v>
        <stp/>
        <stp>BQL|11157014999719833385</stp>
        <tr r="V69" s="2"/>
      </tp>
      <tp t="s">
        <v>#N/A N/A</v>
        <stp/>
        <stp>BQL|10104690430097025014</stp>
        <tr r="H49" s="2"/>
      </tp>
      <tp t="s">
        <v>#N/A N/A</v>
        <stp/>
        <stp>BQL|11181108507935782787</stp>
        <tr r="X209" s="2"/>
      </tp>
      <tp t="s">
        <v>#N/A N/A</v>
        <stp/>
        <stp>BQL|16935347910761324775</stp>
        <tr r="Q352" s="2"/>
      </tp>
      <tp t="s">
        <v>#N/A N/A</v>
        <stp/>
        <stp>BQL|18365694983667590346</stp>
        <tr r="I360" s="2"/>
      </tp>
      <tp t="s">
        <v>#N/A N/A</v>
        <stp/>
        <stp>BQL|16322462449636690224</stp>
        <tr r="M187" s="2"/>
        <tr r="M37" s="2"/>
      </tp>
      <tp t="s">
        <v>#N/A N/A</v>
        <stp/>
        <stp>BQL|11899821721341470874</stp>
        <tr r="Q171" s="2"/>
      </tp>
      <tp t="s">
        <v>#N/A N/A</v>
        <stp/>
        <stp>BQL|16073949394296903214</stp>
        <tr r="X132" s="2"/>
      </tp>
      <tp t="s">
        <v>#N/A N/A</v>
        <stp/>
        <stp>BQL|17659765315030483397</stp>
        <tr r="T182" s="2"/>
      </tp>
      <tp t="s">
        <v>#N/A N/A</v>
        <stp/>
        <stp>BQL|14416626378824227343</stp>
        <tr r="W68" s="2"/>
      </tp>
      <tp t="s">
        <v>#N/A N/A</v>
        <stp/>
        <stp>BQL|13167064109896754712</stp>
        <tr r="W231" s="2"/>
      </tp>
      <tp t="s">
        <v>#N/A N/A</v>
        <stp/>
        <stp>BQL|13966925792677221636</stp>
        <tr r="N339" s="2"/>
      </tp>
      <tp t="s">
        <v>#N/A N/A</v>
        <stp/>
        <stp>BQL|12063354655650848607</stp>
        <tr r="M49" s="2"/>
      </tp>
      <tp t="s">
        <v>#N/A N/A</v>
        <stp/>
        <stp>BQL|10335351829256071571</stp>
        <tr r="I347" s="2"/>
      </tp>
      <tp t="s">
        <v>#N/A N/A</v>
        <stp/>
        <stp>BQL|16921535807699130844</stp>
        <tr r="H68" s="2"/>
      </tp>
      <tp t="s">
        <v>#N/A N/A</v>
        <stp/>
        <stp>BQL|15729046445031731293</stp>
        <tr r="Q214" s="2"/>
      </tp>
      <tp t="s">
        <v>#N/A N/A</v>
        <stp/>
        <stp>BQL|13076787225166723227</stp>
        <tr r="U159" s="2"/>
        <tr r="U20" s="2"/>
        <tr r="U91" s="2"/>
      </tp>
      <tp t="s">
        <v>#N/A N/A</v>
        <stp/>
        <stp>BQL|13547396512842787129</stp>
        <tr r="L153" s="2"/>
        <tr r="L65" s="2"/>
      </tp>
      <tp t="s">
        <v>#N/A N/A</v>
        <stp/>
        <stp>BQL|13201031745837802273</stp>
        <tr r="E294" s="2"/>
      </tp>
      <tp t="s">
        <v>#N/A N/A</v>
        <stp/>
        <stp>BQL|14706636923894805647</stp>
        <tr r="V190" s="2"/>
      </tp>
      <tp t="s">
        <v>#N/A N/A</v>
        <stp/>
        <stp>BQL|17322041076983935131</stp>
        <tr r="G138" s="2"/>
      </tp>
      <tp t="s">
        <v>#N/A N/A</v>
        <stp/>
        <stp>BQL|13305698701095058202</stp>
        <tr r="F265" s="2"/>
      </tp>
      <tp t="s">
        <v>#N/A N/A</v>
        <stp/>
        <stp>BQL|17102012766254974749</stp>
        <tr r="S196" s="2"/>
      </tp>
      <tp t="s">
        <v>#N/A N/A</v>
        <stp/>
        <stp>BQL|16983376882029424630</stp>
        <tr r="X267" s="2"/>
      </tp>
      <tp t="s">
        <v>#N/A N/A</v>
        <stp/>
        <stp>BQL|18133148999497142568</stp>
        <tr r="H184" s="2"/>
        <tr r="H35" s="2"/>
      </tp>
      <tp t="s">
        <v>#N/A N/A</v>
        <stp/>
        <stp>BQL|13271581240545081519</stp>
        <tr r="Q361" s="2"/>
      </tp>
      <tp t="s">
        <v>#N/A N/A</v>
        <stp/>
        <stp>BQL|11053714188439064523</stp>
        <tr r="X302" s="2"/>
      </tp>
      <tp t="s">
        <v>#N/A N/A</v>
        <stp/>
        <stp>BQL|12020338394248483286</stp>
        <tr r="G341" s="2"/>
      </tp>
      <tp t="s">
        <v>#N/A N/A</v>
        <stp/>
        <stp>BQL|14931875191391478607</stp>
        <tr r="L284" s="2"/>
      </tp>
      <tp t="s">
        <v>#N/A N/A</v>
        <stp/>
        <stp>BQL|13203472901280740581</stp>
        <tr r="N345" s="2"/>
      </tp>
      <tp t="s">
        <v>#N/A N/A</v>
        <stp/>
        <stp>BQL|15749420118391480334</stp>
        <tr r="W79" s="2"/>
      </tp>
      <tp t="s">
        <v>#N/A N/A</v>
        <stp/>
        <stp>BQL|13119996997241288072</stp>
        <tr r="M190" s="2"/>
      </tp>
      <tp t="s">
        <v>#N/A N/A</v>
        <stp/>
        <stp>BQL|16118498745202677613</stp>
        <tr r="I262" s="2"/>
      </tp>
      <tp t="s">
        <v>#N/A N/A</v>
        <stp/>
        <stp>BQL|14206606151490090598</stp>
        <tr r="U295" s="2"/>
      </tp>
      <tp t="s">
        <v>#N/A N/A</v>
        <stp/>
        <stp>BQL|17300297357822446038</stp>
        <tr r="P271" s="2"/>
      </tp>
      <tp t="s">
        <v>#N/A N/A</v>
        <stp/>
        <stp>BQL|16413527139407269574</stp>
        <tr r="V114" s="2"/>
      </tp>
      <tp t="s">
        <v>#N/A N/A</v>
        <stp/>
        <stp>BQL|12117434831721918603</stp>
        <tr r="X253" s="2"/>
      </tp>
      <tp t="s">
        <v>#N/A N/A</v>
        <stp/>
        <stp>BQL|14873240647207070715</stp>
        <tr r="M316" s="2"/>
      </tp>
      <tp t="s">
        <v>#N/A N/A</v>
        <stp/>
        <stp>BQL|15248846756078339295</stp>
        <tr r="M57" s="2"/>
      </tp>
      <tp t="s">
        <v>#N/A N/A</v>
        <stp/>
        <stp>BQL|10031439285389764445</stp>
        <tr r="W346" s="2"/>
      </tp>
      <tp t="s">
        <v>#N/A N/A</v>
        <stp/>
        <stp>BQL|12193115552900056779</stp>
        <tr r="F190" s="2"/>
      </tp>
      <tp t="s">
        <v>#N/A N/A</v>
        <stp/>
        <stp>BQL|16527536690439111229</stp>
        <tr r="X234" s="2"/>
        <tr r="X311" s="2"/>
      </tp>
      <tp t="s">
        <v>#N/A N/A</v>
        <stp/>
        <stp>BQL|10820491805425139009</stp>
        <tr r="I350" s="2"/>
      </tp>
      <tp t="s">
        <v>#N/A N/A</v>
        <stp/>
        <stp>BQL|13237592373093546389</stp>
        <tr r="W244" s="2"/>
      </tp>
      <tp t="s">
        <v>#N/A N/A</v>
        <stp/>
        <stp>BQL|12479958665888933487</stp>
        <tr r="M249" s="2"/>
      </tp>
      <tp t="s">
        <v>#N/A N/A</v>
        <stp/>
        <stp>BQL|15034278234591189475</stp>
        <tr r="J86" s="2"/>
      </tp>
      <tp t="s">
        <v>#N/A N/A</v>
        <stp/>
        <stp>BQL|16331176670037936687</stp>
        <tr r="U194" s="2"/>
      </tp>
      <tp t="s">
        <v>#N/A N/A</v>
        <stp/>
        <stp>BQL|13037121827135953491</stp>
        <tr r="P182" s="2"/>
      </tp>
      <tp t="s">
        <v>#N/A N/A</v>
        <stp/>
        <stp>BQL|16429058175563799361</stp>
        <tr r="K178" s="2"/>
      </tp>
      <tp t="s">
        <v>#N/A N/A</v>
        <stp/>
        <stp>BQL|11861937263637883858</stp>
        <tr r="R328" s="2"/>
      </tp>
      <tp t="s">
        <v>#N/A N/A</v>
        <stp/>
        <stp>BQL|16748061005092574544</stp>
        <tr r="N211" s="2"/>
      </tp>
      <tp t="s">
        <v>#N/A N/A</v>
        <stp/>
        <stp>BQL|13218596905093942427</stp>
        <tr r="N178" s="2"/>
      </tp>
      <tp t="s">
        <v>#N/A N/A</v>
        <stp/>
        <stp>BQL|13725651238216689183</stp>
        <tr r="E347" s="2"/>
      </tp>
      <tp t="s">
        <v>#N/A N/A</v>
        <stp/>
        <stp>BQL|10645296736851416192</stp>
        <tr r="I113" s="2"/>
      </tp>
      <tp t="s">
        <v>#N/A N/A</v>
        <stp/>
        <stp>BQL|11197953717050727801</stp>
        <tr r="F195" s="2"/>
      </tp>
      <tp t="s">
        <v>#N/A N/A</v>
        <stp/>
        <stp>BQL|17783614632611130216</stp>
        <tr r="K206" s="2"/>
      </tp>
      <tp t="s">
        <v>#N/A N/A</v>
        <stp/>
        <stp>BQL|13102649376715171666</stp>
        <tr r="I177" s="2"/>
      </tp>
      <tp t="s">
        <v>#N/A N/A</v>
        <stp/>
        <stp>BQL|17010534909823915072</stp>
        <tr r="U266" s="2"/>
      </tp>
      <tp t="s">
        <v>#N/A N/A</v>
        <stp/>
        <stp>BQL|16258575126818295853</stp>
        <tr r="N326" s="2"/>
        <tr r="N41" s="2"/>
      </tp>
      <tp t="s">
        <v>#N/A N/A</v>
        <stp/>
        <stp>BQL|10625537377895112646</stp>
        <tr r="P358" s="2"/>
      </tp>
      <tp t="s">
        <v>#N/A N/A</v>
        <stp/>
        <stp>BQL|17384107931757250374</stp>
        <tr r="O101" s="2"/>
        <tr r="O23" s="2"/>
      </tp>
      <tp t="s">
        <v>#N/A N/A</v>
        <stp/>
        <stp>BQL|17082791852013466780</stp>
        <tr r="T302" s="2"/>
      </tp>
      <tp t="s">
        <v>#N/A N/A</v>
        <stp/>
        <stp>BQL|16637632353646547240</stp>
        <tr r="X338" s="2"/>
      </tp>
      <tp t="s">
        <v>#N/A N/A</v>
        <stp/>
        <stp>BQL|12240461675555768517</stp>
        <tr r="H174" s="2"/>
      </tp>
      <tp t="s">
        <v>#N/A N/A</v>
        <stp/>
        <stp>BQL|10847907989710201044</stp>
        <tr r="Q159" s="2"/>
        <tr r="Q20" s="2"/>
        <tr r="Q91" s="2"/>
      </tp>
      <tp t="s">
        <v>#N/A N/A</v>
        <stp/>
        <stp>BQL|11191319642184671336</stp>
        <tr r="T304" s="2"/>
      </tp>
      <tp t="s">
        <v>#N/A N/A</v>
        <stp/>
        <stp>BQL|12596139532253203216</stp>
        <tr r="E201" s="2"/>
      </tp>
      <tp t="s">
        <v>#N/A N/A</v>
        <stp/>
        <stp>BQL|13859203318216173778</stp>
        <tr r="L195" s="2"/>
      </tp>
      <tp t="s">
        <v>#N/A N/A</v>
        <stp/>
        <stp>BQL|14477657221958346957</stp>
        <tr r="R340" s="2"/>
      </tp>
      <tp t="s">
        <v>#N/A N/A</v>
        <stp/>
        <stp>BQL|16842736177354954338</stp>
        <tr r="P22" s="2"/>
        <tr r="P99" s="2"/>
      </tp>
      <tp t="s">
        <v>#N/A N/A</v>
        <stp/>
        <stp>BQL|18112212619479866371</stp>
        <tr r="H283" s="2"/>
      </tp>
      <tp t="s">
        <v>#N/A N/A</v>
        <stp/>
        <stp>BQL|11078043046266777248</stp>
        <tr r="R355" s="2"/>
      </tp>
      <tp t="s">
        <v>#N/A N/A</v>
        <stp/>
        <stp>BQL|12397940285770137224</stp>
        <tr r="X208" s="2"/>
      </tp>
      <tp t="s">
        <v>#N/A N/A</v>
        <stp/>
        <stp>BQL|14616703539854712592</stp>
        <tr r="X55" s="2"/>
      </tp>
      <tp t="s">
        <v>#N/A N/A</v>
        <stp/>
        <stp>BQL|13429064281998245204</stp>
        <tr r="O316" s="2"/>
      </tp>
      <tp t="s">
        <v>#N/A N/A</v>
        <stp/>
        <stp>BQL|15866289908615801317</stp>
        <tr r="F157" s="2"/>
        <tr r="F16" s="2"/>
        <tr r="F89" s="2"/>
      </tp>
      <tp t="s">
        <v>#N/A N/A</v>
        <stp/>
        <stp>BQL|13939795864420158349</stp>
        <tr r="J318" s="2"/>
      </tp>
      <tp t="s">
        <v>#N/A N/A</v>
        <stp/>
        <stp>BQL|16315462380108693329</stp>
        <tr r="T49" s="2"/>
      </tp>
      <tp t="s">
        <v>#N/A N/A</v>
        <stp/>
        <stp>BQL|17666347657538478803</stp>
        <tr r="E159" s="2"/>
        <tr r="E20" s="2"/>
        <tr r="E91" s="2"/>
      </tp>
      <tp t="s">
        <v>#N/A N/A</v>
        <stp/>
        <stp>BQL|10090949053969406429</stp>
        <tr r="I316" s="2"/>
      </tp>
      <tp t="s">
        <v>#N/A N/A</v>
        <stp/>
        <stp>BQL|14337254100851193663</stp>
        <tr r="Q152" s="2"/>
        <tr r="Q62" s="2"/>
      </tp>
      <tp t="s">
        <v>#N/A N/A</v>
        <stp/>
        <stp>BQL|12522340117676489738</stp>
        <tr r="Q288" s="2"/>
      </tp>
      <tp t="s">
        <v>#N/A N/A</v>
        <stp/>
        <stp>BQL|11184726522536182317</stp>
        <tr r="P198" s="2"/>
      </tp>
      <tp t="s">
        <v>#N/A N/A</v>
        <stp/>
        <stp>BQL|13867765109971775406</stp>
        <tr r="N255" s="2"/>
      </tp>
      <tp t="s">
        <v>#N/A N/A</v>
        <stp/>
        <stp>BQL|16582794173244630397</stp>
        <tr r="I270" s="2"/>
      </tp>
      <tp t="s">
        <v>#N/A N/A</v>
        <stp/>
        <stp>BQL|13323840153016739939</stp>
        <tr r="F350" s="2"/>
      </tp>
      <tp t="s">
        <v>#N/A N/A</v>
        <stp/>
        <stp>BQL|10995461306575109080</stp>
        <tr r="Q192" s="2"/>
      </tp>
      <tp t="s">
        <v>#N/A N/A</v>
        <stp/>
        <stp>BQL|13236275127880360214</stp>
        <tr r="R338" s="2"/>
      </tp>
      <tp t="s">
        <v>#N/A N/A</v>
        <stp/>
        <stp>BQL|13202579855473562158</stp>
        <tr r="O76" s="2"/>
      </tp>
      <tp t="s">
        <v>#N/A N/A</v>
        <stp/>
        <stp>BQL|17939586607043471020</stp>
        <tr r="H235" s="2"/>
      </tp>
      <tp t="s">
        <v>#N/A N/A</v>
        <stp/>
        <stp>BQL|14542074095229195569</stp>
        <tr r="S283" s="2"/>
      </tp>
      <tp t="s">
        <v>#N/A N/A</v>
        <stp/>
        <stp>BQL|10496060574375093362</stp>
        <tr r="I351" s="2"/>
      </tp>
      <tp t="s">
        <v>#N/A N/A</v>
        <stp/>
        <stp>BQL|12483106121886259672</stp>
        <tr r="K138" s="2"/>
      </tp>
      <tp t="s">
        <v>#N/A N/A</v>
        <stp/>
        <stp>BQL|16649217711081723511</stp>
        <tr r="P85" s="2"/>
      </tp>
      <tp t="s">
        <v>#N/A N/A</v>
        <stp/>
        <stp>BQL|14507210510833066570</stp>
        <tr r="R272" s="2"/>
      </tp>
      <tp t="s">
        <v>#N/A N/A</v>
        <stp/>
        <stp>BQL|16739349244348265862</stp>
        <tr r="U338" s="2"/>
      </tp>
      <tp t="s">
        <v>#N/A N/A</v>
        <stp/>
        <stp>BQL|11010501850789582962</stp>
        <tr r="K319" s="2"/>
      </tp>
      <tp t="s">
        <v>#N/A N/A</v>
        <stp/>
        <stp>BQL|17111035648156911408</stp>
        <tr r="P259" s="2"/>
      </tp>
      <tp t="s">
        <v>#N/A N/A</v>
        <stp/>
        <stp>BQL|16193832363588596174</stp>
        <tr r="P188" s="2"/>
        <tr r="P38" s="2"/>
      </tp>
      <tp t="s">
        <v>#N/A N/A</v>
        <stp/>
        <stp>BQL|13509951100658207314</stp>
        <tr r="K195" s="2"/>
      </tp>
      <tp t="s">
        <v>#N/A N/A</v>
        <stp/>
        <stp>BQL|14197055043370395175</stp>
        <tr r="G312" s="2"/>
      </tp>
      <tp t="s">
        <v>#N/A N/A</v>
        <stp/>
        <stp>BQL|14334719650040183700</stp>
        <tr r="G290" s="2"/>
      </tp>
      <tp t="s">
        <v>#N/A N/A</v>
        <stp/>
        <stp>BQL|12065359747666437258</stp>
        <tr r="N338" s="2"/>
      </tp>
      <tp t="s">
        <v>#N/A N/A</v>
        <stp/>
        <stp>BQL|12312859046927702841</stp>
        <tr r="U290" s="2"/>
      </tp>
      <tp t="s">
        <v>#N/A N/A</v>
        <stp/>
        <stp>BQL|10328644775365261534</stp>
        <tr r="R121" s="2"/>
      </tp>
      <tp t="s">
        <v>#N/A N/A</v>
        <stp/>
        <stp>BQL|14458822992152259649</stp>
        <tr r="W352" s="2"/>
      </tp>
      <tp t="s">
        <v>#N/A N/A</v>
        <stp/>
        <stp>BQL|17747317946868511973</stp>
        <tr r="R309" s="2"/>
      </tp>
      <tp t="s">
        <v>#N/A N/A</v>
        <stp/>
        <stp>BQL|15338332147231584204</stp>
        <tr r="H78" s="2"/>
      </tp>
      <tp t="s">
        <v>#N/A N/A</v>
        <stp/>
        <stp>BQL|15576385128566035379</stp>
        <tr r="J225" s="2"/>
      </tp>
      <tp t="s">
        <v>#N/A N/A</v>
        <stp/>
        <stp>BQL|16993245080028601591</stp>
        <tr r="N249" s="2"/>
      </tp>
      <tp t="s">
        <v>#N/A N/A</v>
        <stp/>
        <stp>BQL|13542344551641116534</stp>
        <tr r="H301" s="2"/>
      </tp>
      <tp t="s">
        <v>#N/A N/A</v>
        <stp/>
        <stp>BQL|10269055576981733748</stp>
        <tr r="J195" s="2"/>
      </tp>
      <tp t="s">
        <v>#N/A N/A</v>
        <stp/>
        <stp>BQL|14819960498522157756</stp>
        <tr r="L338" s="2"/>
      </tp>
      <tp t="s">
        <v>#N/A N/A</v>
        <stp/>
        <stp>BQL|11026645467165040515</stp>
        <tr r="I106" s="2"/>
      </tp>
      <tp t="s">
        <v>#N/A N/A</v>
        <stp/>
        <stp>BQL|17409604240710667400</stp>
        <tr r="H260" s="2"/>
      </tp>
      <tp t="s">
        <v>#N/A N/A</v>
        <stp/>
        <stp>BQL|12005280257590555485</stp>
        <tr r="V265" s="2"/>
      </tp>
      <tp t="s">
        <v>#N/A N/A</v>
        <stp/>
        <stp>BQL|17909499933968252930</stp>
        <tr r="E364" s="2"/>
      </tp>
      <tp t="s">
        <v>#N/A N/A</v>
        <stp/>
        <stp>BQL|11040983883149742819</stp>
        <tr r="W334" s="2"/>
      </tp>
      <tp t="s">
        <v>#N/A N/A</v>
        <stp/>
        <stp>BQL|16995445140284434344</stp>
        <tr r="L124" s="2"/>
        <tr r="L32" s="2"/>
      </tp>
      <tp t="s">
        <v>#N/A N/A</v>
        <stp/>
        <stp>BQL|16109678177244868245</stp>
        <tr r="U56" s="2"/>
      </tp>
      <tp t="s">
        <v>#N/A N/A</v>
        <stp/>
        <stp>BQL|11334240486969911352</stp>
        <tr r="I160" s="2"/>
        <tr r="I21" s="2"/>
        <tr r="I92" s="2"/>
      </tp>
      <tp t="s">
        <v>#N/A N/A</v>
        <stp/>
        <stp>BQL|14046983787053392711</stp>
        <tr r="F205" s="2"/>
        <tr r="F308" s="2"/>
      </tp>
      <tp t="s">
        <v>#N/A N/A</v>
        <stp/>
        <stp>BQL|17246014823277487399</stp>
        <tr r="I78" s="2"/>
      </tp>
      <tp t="s">
        <v>#N/A N/A</v>
        <stp/>
        <stp>BQL|11589792143797358418</stp>
        <tr r="U302" s="2"/>
      </tp>
      <tp t="s">
        <v>#N/A N/A</v>
        <stp/>
        <stp>BQL|12028404941650947354</stp>
        <tr r="S152" s="2"/>
        <tr r="S62" s="2"/>
      </tp>
      <tp t="s">
        <v>#N/A N/A</v>
        <stp/>
        <stp>BQL|12317490877665814580</stp>
        <tr r="J316" s="2"/>
      </tp>
      <tp t="s">
        <v>#N/A N/A</v>
        <stp/>
        <stp>BQL|12232794233057451014</stp>
        <tr r="W157" s="2"/>
        <tr r="W16" s="2"/>
        <tr r="W89" s="2"/>
      </tp>
      <tp t="s">
        <v>#N/A N/A</v>
        <stp/>
        <stp>BQL|10901135736920501349</stp>
        <tr r="N4" s="2"/>
      </tp>
      <tp t="s">
        <v>#N/A N/A</v>
        <stp/>
        <stp>BQL|12334021719130262271</stp>
        <tr r="L286" s="2"/>
      </tp>
      <tp t="s">
        <v>#N/A N/A</v>
        <stp/>
        <stp>BQL|11800639359335761693</stp>
        <tr r="O69" s="2"/>
      </tp>
      <tp t="s">
        <v>#N/A N/A</v>
        <stp/>
        <stp>BQL|14870532951880265545</stp>
        <tr r="N288" s="2"/>
      </tp>
      <tp t="s">
        <v>#N/A N/A</v>
        <stp/>
        <stp>BQL|17777485331807530677</stp>
        <tr r="M138" s="2"/>
      </tp>
      <tp t="s">
        <v>#N/A N/A</v>
        <stp/>
        <stp>BQL|15788464607257843726</stp>
        <tr r="G49" s="2"/>
      </tp>
      <tp t="s">
        <v>#N/A N/A</v>
        <stp/>
        <stp>BQL|15589480800557189703</stp>
        <tr r="J172" s="2"/>
      </tp>
      <tp t="s">
        <v>#N/A N/A</v>
        <stp/>
        <stp>BQL|10601175911678808947</stp>
        <tr r="J79" s="2"/>
      </tp>
      <tp t="s">
        <v>#N/A N/A</v>
        <stp/>
        <stp>BQL|13935811650657388843</stp>
        <tr r="Q237" s="2"/>
      </tp>
      <tp t="s">
        <v>#N/A N/A</v>
        <stp/>
        <stp>BQL|11272389785169885288</stp>
        <tr r="H138" s="2"/>
      </tp>
      <tp t="s">
        <v>#N/A N/A</v>
        <stp/>
        <stp>BQL|15546381418847232180</stp>
        <tr r="W187" s="2"/>
        <tr r="W37" s="2"/>
      </tp>
      <tp t="s">
        <v>#N/A N/A</v>
        <stp/>
        <stp>BQL|15276570500570967139</stp>
        <tr r="P19" s="2"/>
        <tr r="P94" s="2"/>
      </tp>
      <tp t="s">
        <v>#N/A N/A</v>
        <stp/>
        <stp>BQL|14232776090459378297</stp>
        <tr r="S261" s="2"/>
      </tp>
      <tp t="s">
        <v>#N/A N/A</v>
        <stp/>
        <stp>BQL|12456132626220907075</stp>
        <tr r="F132" s="2"/>
      </tp>
      <tp t="s">
        <v>#N/A N/A</v>
        <stp/>
        <stp>BQL|12151340877731878655</stp>
        <tr r="S302" s="2"/>
      </tp>
      <tp t="s">
        <v>#N/A N/A</v>
        <stp/>
        <stp>BQL|14261085186369008437</stp>
        <tr r="S326" s="2"/>
        <tr r="S41" s="2"/>
      </tp>
      <tp t="s">
        <v>#N/A N/A</v>
        <stp/>
        <stp>BQL|10054948288474474479</stp>
        <tr r="W208" s="2"/>
      </tp>
      <tp t="s">
        <v>#N/A N/A</v>
        <stp/>
        <stp>BQL|13121616766692131099</stp>
        <tr r="K112" s="2"/>
        <tr r="K29" s="2"/>
      </tp>
      <tp t="s">
        <v>#N/A N/A</v>
        <stp/>
        <stp>BQL|11094995691353546333</stp>
        <tr r="F354" s="2"/>
      </tp>
      <tp t="s">
        <v>#N/A N/A</v>
        <stp/>
        <stp>BQL|12644844712002890865</stp>
        <tr r="F168" s="2"/>
      </tp>
      <tp t="s">
        <v>#N/A N/A</v>
        <stp/>
        <stp>BQL|16136123232510646590</stp>
        <tr r="P298" s="2"/>
      </tp>
      <tp t="s">
        <v>#N/A N/A</v>
        <stp/>
        <stp>BQL|18325193603178268050</stp>
        <tr r="T351" s="2"/>
      </tp>
      <tp t="s">
        <v>#N/A N/A</v>
        <stp/>
        <stp>BQL|15470993861442102936</stp>
        <tr r="K128" s="2"/>
        <tr r="K33" s="2"/>
      </tp>
      <tp t="s">
        <v>#N/A N/A</v>
        <stp/>
        <stp>BQL|11585089056235216074</stp>
        <tr r="S46" s="2"/>
      </tp>
      <tp t="s">
        <v>#N/A N/A</v>
        <stp/>
        <stp>BQL|16453198566328669840</stp>
        <tr r="Q198" s="2"/>
      </tp>
      <tp t="s">
        <v>#N/A N/A</v>
        <stp/>
        <stp>BQL|11169897597688006968</stp>
        <tr r="K227" s="2"/>
      </tp>
      <tp t="s">
        <v>#N/A N/A</v>
        <stp/>
        <stp>BQL|16302164556655944634</stp>
        <tr r="M14" s="2"/>
        <tr r="M87" s="2"/>
      </tp>
      <tp t="s">
        <v>#N/A N/A</v>
        <stp/>
        <stp>BQL|15574340884646570997</stp>
        <tr r="W331" s="2"/>
      </tp>
      <tp t="s">
        <v>#N/A N/A</v>
        <stp/>
        <stp>BQL|15749036325157900117</stp>
        <tr r="X246" s="2"/>
      </tp>
      <tp t="s">
        <v>#N/A N/A</v>
        <stp/>
        <stp>BQL|14550183611531651432</stp>
        <tr r="E127" s="2"/>
      </tp>
      <tp t="s">
        <v>#N/A N/A</v>
        <stp/>
        <stp>BQL|15338562743541990474</stp>
        <tr r="N360" s="2"/>
      </tp>
      <tp t="s">
        <v>#N/A N/A</v>
        <stp/>
        <stp>BQL|11841735493089211728</stp>
        <tr r="E335" s="2"/>
      </tp>
      <tp t="s">
        <v>#N/A N/A</v>
        <stp/>
        <stp>BQL|13456848966885981975</stp>
        <tr r="T337" s="2"/>
      </tp>
      <tp t="s">
        <v>#N/A N/A</v>
        <stp/>
        <stp>BQL|13946190129414691576</stp>
        <tr r="W205" s="2"/>
        <tr r="W308" s="2"/>
      </tp>
      <tp t="s">
        <v>#N/A N/A</v>
        <stp/>
        <stp>BQL|11407199363516220140</stp>
        <tr r="O214" s="2"/>
      </tp>
      <tp t="s">
        <v>#N/A N/A</v>
        <stp/>
        <stp>BQL|14780303606675004393</stp>
        <tr r="V47" s="2"/>
      </tp>
      <tp t="s">
        <v>#N/A N/A</v>
        <stp/>
        <stp>BQL|15906828981440728450</stp>
        <tr r="W364" s="2"/>
      </tp>
      <tp t="s">
        <v>#N/A N/A</v>
        <stp/>
        <stp>BQL|10908372750893039465</stp>
        <tr r="P153" s="2"/>
        <tr r="P65" s="2"/>
      </tp>
      <tp t="s">
        <v>#N/A N/A</v>
        <stp/>
        <stp>BQL|12336153515413207098</stp>
        <tr r="E157" s="2"/>
        <tr r="E16" s="2"/>
        <tr r="E89" s="2"/>
      </tp>
      <tp t="s">
        <v>#N/A N/A</v>
        <stp/>
        <stp>BQL|12665929669274452819</stp>
        <tr r="V254" s="2"/>
      </tp>
      <tp t="s">
        <v>#N/A N/A</v>
        <stp/>
        <stp>BQL|12374753478975283641</stp>
        <tr r="W194" s="2"/>
      </tp>
      <tp t="s">
        <v>#N/A N/A</v>
        <stp/>
        <stp>BQL|11134097229085971738</stp>
        <tr r="L220" s="2"/>
      </tp>
      <tp t="s">
        <v>#N/A N/A</v>
        <stp/>
        <stp>BQL|16500441525521890076</stp>
        <tr r="O291" s="2"/>
      </tp>
      <tp t="s">
        <v>#N/A N/A</v>
        <stp/>
        <stp>BQL|10509449878031440365</stp>
        <tr r="I105" s="2"/>
      </tp>
      <tp t="s">
        <v>#N/A N/A</v>
        <stp/>
        <stp>BQL|11190696446553054150</stp>
        <tr r="U251" s="2"/>
      </tp>
      <tp t="s">
        <v>#N/A N/A</v>
        <stp/>
        <stp>BQL|13899445632607040253</stp>
        <tr r="W209" s="2"/>
      </tp>
      <tp t="s">
        <v>#N/A N/A</v>
        <stp/>
        <stp>BQL|12064302265041653783</stp>
        <tr r="V201" s="2"/>
      </tp>
      <tp t="s">
        <v>#N/A N/A</v>
        <stp/>
        <stp>BQL|10730290999003876944</stp>
        <tr r="X352" s="2"/>
      </tp>
      <tp t="s">
        <v>#N/A N/A</v>
        <stp/>
        <stp>BQL|11538353853581943716</stp>
        <tr r="K10" s="2"/>
        <tr r="K60" s="2"/>
      </tp>
      <tp t="s">
        <v>#N/A N/A</v>
        <stp/>
        <stp>BQL|10646126770654671394</stp>
        <tr r="O173" s="2"/>
      </tp>
      <tp t="s">
        <v>#N/A N/A</v>
        <stp/>
        <stp>BQL|11899118099010356881</stp>
        <tr r="E237" s="2"/>
      </tp>
      <tp t="s">
        <v>#N/A N/A</v>
        <stp/>
        <stp>BQL|16841408601950289309</stp>
        <tr r="R354" s="2"/>
      </tp>
      <tp t="s">
        <v>#N/A N/A</v>
        <stp/>
        <stp>BQL|18377924068456354016</stp>
        <tr r="U69" s="2"/>
      </tp>
      <tp t="s">
        <v>#N/A N/A</v>
        <stp/>
        <stp>BQL|16848008081007410875</stp>
        <tr r="I124" s="2"/>
        <tr r="I32" s="2"/>
      </tp>
      <tp t="s">
        <v>#N/A N/A</v>
        <stp/>
        <stp>BQL|13065875674804157981</stp>
        <tr r="P229" s="2"/>
      </tp>
      <tp t="s">
        <v>#N/A N/A</v>
        <stp/>
        <stp>BQL|10745680311132298460</stp>
        <tr r="O347" s="2"/>
      </tp>
      <tp t="s">
        <v>#N/A N/A</v>
        <stp/>
        <stp>BQL|16390329238635288212</stp>
        <tr r="J237" s="2"/>
      </tp>
      <tp t="s">
        <v>#N/A N/A</v>
        <stp/>
        <stp>BQL|13683318382870646990</stp>
        <tr r="X358" s="2"/>
      </tp>
      <tp t="s">
        <v>#N/A N/A</v>
        <stp/>
        <stp>BQL|17862575555797970190</stp>
        <tr r="I117" s="2"/>
      </tp>
      <tp t="s">
        <v>#N/A N/A</v>
        <stp/>
        <stp>BQL|16286275322653815458</stp>
        <tr r="Q238" s="2"/>
      </tp>
      <tp t="s">
        <v>#N/A N/A</v>
        <stp/>
        <stp>BQL|12906657932065675320</stp>
        <tr r="Q126" s="2"/>
      </tp>
      <tp t="s">
        <v>#N/A N/A</v>
        <stp/>
        <stp>BQL|12905511530454725152</stp>
        <tr r="J320" s="2"/>
      </tp>
      <tp t="s">
        <v>#N/A N/A</v>
        <stp/>
        <stp>BQL|12438366545234414092</stp>
        <tr r="O263" s="2"/>
      </tp>
      <tp t="s">
        <v>#N/A N/A</v>
        <stp/>
        <stp>BQL|15188412482559338046</stp>
        <tr r="V168" s="2"/>
      </tp>
      <tp t="s">
        <v>#N/A N/A</v>
        <stp/>
        <stp>BQL|10053364603721788277</stp>
        <tr r="R119" s="2"/>
      </tp>
      <tp t="s">
        <v>#N/A N/A</v>
        <stp/>
        <stp>BQL|14556724914812505036</stp>
        <tr r="G270" s="2"/>
      </tp>
      <tp t="s">
        <v>#N/A N/A</v>
        <stp/>
        <stp>BQL|12424986546328999761</stp>
        <tr r="V53" s="2"/>
      </tp>
      <tp t="s">
        <v>#N/A N/A</v>
        <stp/>
        <stp>BQL|10370313923194037548</stp>
        <tr r="J302" s="2"/>
      </tp>
      <tp t="s">
        <v>#N/A N/A</v>
        <stp/>
        <stp>BQL|11286601377261629165</stp>
        <tr r="G318" s="2"/>
      </tp>
      <tp t="s">
        <v>#N/A N/A</v>
        <stp/>
        <stp>BQL|12332136442775752204</stp>
        <tr r="I217" s="2"/>
      </tp>
      <tp t="s">
        <v>#N/A N/A</v>
        <stp/>
        <stp>BQL|14256587851103860764</stp>
        <tr r="F266" s="2"/>
      </tp>
      <tp t="s">
        <v>#N/A N/A</v>
        <stp/>
        <stp>BQL|12606471197147413874</stp>
        <tr r="K217" s="2"/>
      </tp>
      <tp t="s">
        <v>#N/A N/A</v>
        <stp/>
        <stp>BQL|11201561520360051612</stp>
        <tr r="Q287" s="2"/>
      </tp>
      <tp t="s">
        <v>#N/A N/A</v>
        <stp/>
        <stp>BQL|18299647244333534937</stp>
        <tr r="Q259" s="2"/>
      </tp>
      <tp t="s">
        <v>#N/A N/A</v>
        <stp/>
        <stp>BQL|17356681326004996704</stp>
        <tr r="V236" s="2"/>
      </tp>
      <tp t="s">
        <v>#N/A N/A</v>
        <stp/>
        <stp>BQL|10267209269123828774</stp>
        <tr r="U250" s="2"/>
      </tp>
      <tp t="s">
        <v>#N/A N/A</v>
        <stp/>
        <stp>BQL|17609909453328705362</stp>
        <tr r="P132" s="2"/>
      </tp>
      <tp t="s">
        <v>#N/A N/A</v>
        <stp/>
        <stp>BQL|10261875096024352549</stp>
        <tr r="Q355" s="2"/>
      </tp>
      <tp t="s">
        <v>#N/A N/A</v>
        <stp/>
        <stp>BQL|17042473177152204669</stp>
        <tr r="U260" s="2"/>
      </tp>
      <tp t="s">
        <v>#N/A N/A</v>
        <stp/>
        <stp>BQL|15479792738737095615</stp>
        <tr r="R353" s="2"/>
      </tp>
      <tp t="s">
        <v>#N/A N/A</v>
        <stp/>
        <stp>BQL|15575523945127428325</stp>
        <tr r="J141" s="2"/>
      </tp>
      <tp t="s">
        <v>#N/A N/A</v>
        <stp/>
        <stp>BQL|13872530249726552437</stp>
        <tr r="G301" s="2"/>
      </tp>
      <tp t="s">
        <v>#N/A N/A</v>
        <stp/>
        <stp>BQL|13077777369252819027</stp>
        <tr r="T260" s="2"/>
      </tp>
      <tp t="s">
        <v>#N/A N/A</v>
        <stp/>
        <stp>BQL|12563150532349737912</stp>
        <tr r="O315" s="2"/>
      </tp>
      <tp t="s">
        <v>#N/A N/A</v>
        <stp/>
        <stp>BQL|11879337557421399687</stp>
        <tr r="H63" s="2"/>
      </tp>
      <tp t="s">
        <v>#N/A N/A</v>
        <stp/>
        <stp>BQL|14007001363693691121</stp>
        <tr r="E336" s="2"/>
      </tp>
      <tp t="s">
        <v>#N/A N/A</v>
        <stp/>
        <stp>BQL|12665779547302753365</stp>
        <tr r="P323" s="2"/>
      </tp>
      <tp t="s">
        <v>#N/A N/A</v>
        <stp/>
        <stp>BQL|11655483302023301685</stp>
        <tr r="I300" s="2"/>
      </tp>
      <tp t="s">
        <v>#N/A N/A</v>
        <stp/>
        <stp>BQL|14880622734653054298</stp>
        <tr r="I181" s="2"/>
      </tp>
      <tp t="s">
        <v>#N/A N/A</v>
        <stp/>
        <stp>BQL|17974689626926746572</stp>
        <tr r="T103" s="2"/>
      </tp>
      <tp t="s">
        <v>#N/A N/A</v>
        <stp/>
        <stp>BQL|16802800139798167576</stp>
        <tr r="P185" s="2"/>
      </tp>
      <tp t="s">
        <v>#N/A N/A</v>
        <stp/>
        <stp>BQL|15977289222410683524</stp>
        <tr r="J353" s="2"/>
      </tp>
      <tp t="s">
        <v>#N/A N/A</v>
        <stp/>
        <stp>BQL|11246315992692386959</stp>
        <tr r="K115" s="2"/>
      </tp>
      <tp t="s">
        <v>#N/A N/A</v>
        <stp/>
        <stp>BQL|15905191810414261148</stp>
        <tr r="G176" s="2"/>
      </tp>
      <tp t="s">
        <v>#N/A N/A</v>
        <stp/>
        <stp>BQL|14524761777915712151</stp>
        <tr r="P112" s="2"/>
        <tr r="P29" s="2"/>
      </tp>
      <tp t="s">
        <v>#N/A N/A</v>
        <stp/>
        <stp>BQL|14654471443383581710</stp>
        <tr r="P208" s="2"/>
      </tp>
      <tp t="s">
        <v>#N/A N/A</v>
        <stp/>
        <stp>BQL|11760951570998361775</stp>
        <tr r="H165" s="2"/>
      </tp>
      <tp t="s">
        <v>#N/A N/A</v>
        <stp/>
        <stp>BQL|14992118898065295945</stp>
        <tr r="X196" s="2"/>
      </tp>
      <tp t="s">
        <v>#N/A N/A</v>
        <stp/>
        <stp>BQL|11328322134932339306</stp>
        <tr r="K55" s="2"/>
      </tp>
      <tp t="s">
        <v>#N/A N/A</v>
        <stp/>
        <stp>BQL|12325497907787974126</stp>
        <tr r="F187" s="2"/>
        <tr r="F37" s="2"/>
      </tp>
      <tp t="s">
        <v>#N/A N/A</v>
        <stp/>
        <stp>BQL|16640332651359139937</stp>
        <tr r="F194" s="2"/>
      </tp>
      <tp t="s">
        <v>#N/A N/A</v>
        <stp/>
        <stp>BQL|17092206444744492560</stp>
        <tr r="R125" s="2"/>
      </tp>
      <tp t="s">
        <v>#N/A N/A</v>
        <stp/>
        <stp>BQL|13830099256754299234</stp>
        <tr r="Q260" s="2"/>
      </tp>
      <tp t="s">
        <v>#N/A N/A</v>
        <stp/>
        <stp>BQL|12459139967043722618</stp>
        <tr r="G181" s="2"/>
      </tp>
      <tp t="s">
        <v>#N/A N/A</v>
        <stp/>
        <stp>BQL|17293007862395080463</stp>
        <tr r="T265" s="2"/>
      </tp>
      <tp t="s">
        <v>#N/A N/A</v>
        <stp/>
        <stp>BQL|17431675515905745501</stp>
        <tr r="F226" s="2"/>
      </tp>
      <tp t="s">
        <v>#N/A N/A</v>
        <stp/>
        <stp>BQL|17074077161634073578</stp>
        <tr r="G269" s="2"/>
      </tp>
      <tp t="s">
        <v>#N/A N/A</v>
        <stp/>
        <stp>BQL|13183894234750504882</stp>
        <tr r="P51" s="2"/>
      </tp>
      <tp t="s">
        <v>#N/A N/A</v>
        <stp/>
        <stp>BQL|14000690163974959024</stp>
        <tr r="O184" s="2"/>
        <tr r="O35" s="2"/>
      </tp>
      <tp t="s">
        <v>#N/A N/A</v>
        <stp/>
        <stp>BQL|14169778421964688507</stp>
        <tr r="Q325" s="2"/>
      </tp>
      <tp t="s">
        <v>#N/A N/A</v>
        <stp/>
        <stp>BQL|16963436218911711244</stp>
        <tr r="T330" s="2"/>
      </tp>
      <tp t="s">
        <v>#N/A N/A</v>
        <stp/>
        <stp>BQL|13297219924896282543</stp>
        <tr r="E64" s="2"/>
      </tp>
      <tp t="s">
        <v>#N/A N/A</v>
        <stp/>
        <stp>BQL|16147240454042865380</stp>
        <tr r="W195" s="2"/>
      </tp>
      <tp t="s">
        <v>#N/A N/A</v>
        <stp/>
        <stp>BQL|10778276176131309440</stp>
        <tr r="H263" s="2"/>
      </tp>
      <tp t="s">
        <v>#N/A N/A</v>
        <stp/>
        <stp>BQL|14661186059278012866</stp>
        <tr r="V115" s="2"/>
      </tp>
      <tp t="s">
        <v>#N/A N/A</v>
        <stp/>
        <stp>BQL|12683074772910778556</stp>
        <tr r="S288" s="2"/>
      </tp>
      <tp t="s">
        <v>#N/A N/A</v>
        <stp/>
        <stp>BQL|14256086151433853226</stp>
        <tr r="T245" s="2"/>
      </tp>
      <tp t="s">
        <v>#N/A N/A</v>
        <stp/>
        <stp>BQL|16348931140748911398</stp>
        <tr r="X211" s="2"/>
      </tp>
      <tp t="s">
        <v>#N/A N/A</v>
        <stp/>
        <stp>BQL|13881175954544251397</stp>
        <tr r="R329" s="2"/>
      </tp>
      <tp t="s">
        <v>#N/A N/A</v>
        <stp/>
        <stp>BQL|14851336578936258616</stp>
        <tr r="K103" s="2"/>
      </tp>
      <tp t="s">
        <v>#N/A N/A</v>
        <stp/>
        <stp>BQL|10648728972587253743</stp>
        <tr r="N163" s="2"/>
        <tr r="N7" s="2"/>
      </tp>
      <tp t="s">
        <v>#N/A N/A</v>
        <stp/>
        <stp>BQL|13687194604097808533</stp>
        <tr r="V211" s="2"/>
      </tp>
      <tp t="s">
        <v>#N/A N/A</v>
        <stp/>
        <stp>BQL|17565214574221380337</stp>
        <tr r="R263" s="2"/>
      </tp>
      <tp t="s">
        <v>#N/A N/A</v>
        <stp/>
        <stp>BQL|16128391035233915542</stp>
        <tr r="O168" s="2"/>
      </tp>
      <tp t="s">
        <v>#N/A N/A</v>
        <stp/>
        <stp>BQL|12670639767805020724</stp>
        <tr r="R283" s="2"/>
      </tp>
      <tp t="s">
        <v>#N/A N/A</v>
        <stp/>
        <stp>BQL|14225773540931096656</stp>
        <tr r="Q312" s="2"/>
      </tp>
      <tp t="s">
        <v>#N/A N/A</v>
        <stp/>
        <stp>BQL|10806187370082956497</stp>
        <tr r="P176" s="2"/>
      </tp>
      <tp t="s">
        <v>#N/A N/A</v>
        <stp/>
        <stp>BQL|17720254870460568271</stp>
        <tr r="P127" s="2"/>
      </tp>
      <tp t="s">
        <v>#N/A N/A</v>
        <stp/>
        <stp>BQL|10259255368810949456</stp>
        <tr r="X230" s="2"/>
      </tp>
      <tp t="s">
        <v>#N/A N/A</v>
        <stp/>
        <stp>BQL|10288600942896286410</stp>
        <tr r="R239" s="2"/>
      </tp>
      <tp t="s">
        <v>#N/A N/A</v>
        <stp/>
        <stp>BQL|11720194277822341592</stp>
        <tr r="S153" s="2"/>
        <tr r="S65" s="2"/>
      </tp>
      <tp t="s">
        <v>#N/A N/A</v>
        <stp/>
        <stp>BQL|14921889257070534900</stp>
        <tr r="L302" s="2"/>
      </tp>
      <tp t="s">
        <v>#N/A N/A</v>
        <stp/>
        <stp>BQL|17133766513086608718</stp>
        <tr r="J14" s="2"/>
        <tr r="J87" s="2"/>
      </tp>
      <tp t="s">
        <v>#N/A N/A</v>
        <stp/>
        <stp>BQL|11405956477647731823</stp>
        <tr r="U3" s="2"/>
      </tp>
      <tp t="s">
        <v>#N/A N/A</v>
        <stp/>
        <stp>BQL|17966370266375962724</stp>
        <tr r="W277" s="2"/>
      </tp>
      <tp t="s">
        <v>#N/A N/A</v>
        <stp/>
        <stp>BQL|15361092349165628463</stp>
        <tr r="F184" s="2"/>
        <tr r="F35" s="2"/>
      </tp>
      <tp t="s">
        <v>#N/A N/A</v>
        <stp/>
        <stp>BQL|18442835914941036010</stp>
        <tr r="Q78" s="2"/>
      </tp>
      <tp t="s">
        <v>#N/A N/A</v>
        <stp/>
        <stp>BQL|16488317184749527463</stp>
        <tr r="G69" s="2"/>
      </tp>
      <tp t="s">
        <v>#N/A N/A</v>
        <stp/>
        <stp>BQL|16512127871992641222</stp>
        <tr r="X108" s="2"/>
      </tp>
      <tp t="s">
        <v>#N/A N/A</v>
        <stp/>
        <stp>BQL|13887025050353829504</stp>
        <tr r="P102" s="2"/>
      </tp>
      <tp t="s">
        <v>#N/A N/A</v>
        <stp/>
        <stp>BQL|11916452058917400724</stp>
        <tr r="R260" s="2"/>
      </tp>
      <tp t="s">
        <v>#N/A N/A</v>
        <stp/>
        <stp>BQL|12229509352744541674</stp>
        <tr r="T229" s="2"/>
      </tp>
      <tp t="s">
        <v>#N/A N/A</v>
        <stp/>
        <stp>BQL|11517351852601577652</stp>
        <tr r="V263" s="2"/>
      </tp>
      <tp t="s">
        <v>#N/A N/A</v>
        <stp/>
        <stp>BQL|16674565075200404432</stp>
        <tr r="L276" s="2"/>
      </tp>
      <tp t="s">
        <v>#N/A N/A</v>
        <stp/>
        <stp>BQL|12943462520877871358</stp>
        <tr r="F3" s="2"/>
      </tp>
      <tp t="s">
        <v>#N/A N/A</v>
        <stp/>
        <stp>BQL|13335152062762335655</stp>
        <tr r="W118" s="2"/>
      </tp>
      <tp t="s">
        <v>#N/A N/A</v>
        <stp/>
        <stp>BQL|10977477690229870445</stp>
        <tr r="N361" s="2"/>
      </tp>
      <tp t="s">
        <v>#N/A N/A</v>
        <stp/>
        <stp>BQL|16058041945693323105</stp>
        <tr r="O345" s="2"/>
      </tp>
      <tp t="s">
        <v>#N/A N/A</v>
        <stp/>
        <stp>BQL|13281440350991267363</stp>
        <tr r="L262" s="2"/>
      </tp>
      <tp t="s">
        <v>#N/A N/A</v>
        <stp/>
        <stp>BQL|11508675935647271370</stp>
        <tr r="S353" s="2"/>
      </tp>
      <tp t="s">
        <v>#N/A N/A</v>
        <stp/>
        <stp>BQL|12378895246847601970</stp>
        <tr r="M205" s="2"/>
        <tr r="M308" s="2"/>
      </tp>
      <tp t="s">
        <v>#N/A N/A</v>
        <stp/>
        <stp>BQL|14737548339305058775</stp>
        <tr r="X49" s="2"/>
      </tp>
      <tp t="s">
        <v>#N/A N/A</v>
        <stp/>
        <stp>BQL|11773787203772736467</stp>
        <tr r="T271" s="2"/>
      </tp>
      <tp t="s">
        <v>#N/A N/A</v>
        <stp/>
        <stp>BQL|15519749333333826278</stp>
        <tr r="M239" s="2"/>
      </tp>
      <tp t="s">
        <v>#N/A N/A</v>
        <stp/>
        <stp>BQL|14174890242100446833</stp>
        <tr r="J274" s="2"/>
      </tp>
      <tp t="s">
        <v>#N/A N/A</v>
        <stp/>
        <stp>BQL|17898404823121136079</stp>
        <tr r="V309" s="2"/>
      </tp>
      <tp t="s">
        <v>#N/A N/A</v>
        <stp/>
        <stp>BQL|11895828501638782119</stp>
        <tr r="S270" s="2"/>
      </tp>
      <tp t="s">
        <v>#N/A N/A</v>
        <stp/>
        <stp>BQL|15764002078107461567</stp>
        <tr r="G230" s="2"/>
      </tp>
      <tp t="s">
        <v>#N/A N/A</v>
        <stp/>
        <stp>BQL|17819382079110509308</stp>
        <tr r="R356" s="2"/>
      </tp>
      <tp t="s">
        <v>#N/A N/A</v>
        <stp/>
        <stp>BQL|15671598330830283316</stp>
        <tr r="S135" s="2"/>
      </tp>
      <tp t="s">
        <v>#N/A N/A</v>
        <stp/>
        <stp>BQL|15776747320990636097</stp>
        <tr r="P274" s="2"/>
      </tp>
      <tp t="s">
        <v>#N/A N/A</v>
        <stp/>
        <stp>BQL|17255483139531706180</stp>
        <tr r="U176" s="2"/>
      </tp>
      <tp t="s">
        <v>#N/A N/A</v>
        <stp/>
        <stp>BQL|13313848061704387996</stp>
        <tr r="P178" s="2"/>
      </tp>
      <tp t="s">
        <v>#N/A N/A</v>
        <stp/>
        <stp>BQL|18184968123053840004</stp>
        <tr r="J300" s="2"/>
      </tp>
      <tp t="s">
        <v>#N/A N/A</v>
        <stp/>
        <stp>BQL|10795897497890350164</stp>
        <tr r="U297" s="2"/>
      </tp>
      <tp t="s">
        <v>#N/A N/A</v>
        <stp/>
        <stp>BQL|18090892605613495343</stp>
        <tr r="X228" s="2"/>
      </tp>
      <tp t="s">
        <v>#N/A N/A</v>
        <stp/>
        <stp>BQL|12957011743683653512</stp>
        <tr r="J227" s="2"/>
      </tp>
      <tp t="s">
        <v>#N/A N/A</v>
        <stp/>
        <stp>BQL|13573212801286131780</stp>
        <tr r="P152" s="2"/>
        <tr r="P62" s="2"/>
      </tp>
      <tp t="s">
        <v>#N/A N/A</v>
        <stp/>
        <stp>BQL|14741639715936960579</stp>
        <tr r="Q49" s="2"/>
      </tp>
      <tp t="s">
        <v>#N/A N/A</v>
        <stp/>
        <stp>BQL|12587677056676300782</stp>
        <tr r="N324" s="2"/>
        <tr r="N40" s="2"/>
      </tp>
      <tp t="s">
        <v>#N/A N/A</v>
        <stp/>
        <stp>BQL|13635197961342588644</stp>
        <tr r="P103" s="2"/>
      </tp>
      <tp t="s">
        <v>#N/A N/A</v>
        <stp/>
        <stp>BQL|10999522503781026475</stp>
        <tr r="I195" s="2"/>
      </tp>
      <tp t="s">
        <v>#N/A N/A</v>
        <stp/>
        <stp>BQL|13460223138765435758</stp>
        <tr r="R138" s="2"/>
      </tp>
      <tp t="s">
        <v>#N/A N/A</v>
        <stp/>
        <stp>BQL|16334974156823904940</stp>
        <tr r="G73" s="2"/>
      </tp>
      <tp t="s">
        <v>#N/A N/A</v>
        <stp/>
        <stp>BQL|17461587702104771664</stp>
        <tr r="J239" s="2"/>
      </tp>
      <tp t="s">
        <v>#N/A N/A</v>
        <stp/>
        <stp>BQL|11840199111130645199</stp>
        <tr r="P356" s="2"/>
      </tp>
      <tp t="s">
        <v>#N/A N/A</v>
        <stp/>
        <stp>BQL|10103562432170911632</stp>
        <tr r="L183" s="2"/>
      </tp>
      <tp t="s">
        <v>#N/A N/A</v>
        <stp/>
        <stp>BQL|16093490807180654279</stp>
        <tr r="M348" s="2"/>
      </tp>
      <tp t="s">
        <v>#N/A N/A</v>
        <stp/>
        <stp>BQL|10140727950374837658</stp>
        <tr r="F345" s="2"/>
      </tp>
      <tp t="s">
        <v>#N/A N/A</v>
        <stp/>
        <stp>BQL|15884565395539314065</stp>
        <tr r="S328" s="2"/>
      </tp>
      <tp t="s">
        <v>#N/A N/A</v>
        <stp/>
        <stp>BQL|10148870184296501696</stp>
        <tr r="M184" s="2"/>
        <tr r="M35" s="2"/>
      </tp>
      <tp t="s">
        <v>#N/A N/A</v>
        <stp/>
        <stp>BQL|14543350637263869714</stp>
        <tr r="E144" s="2"/>
      </tp>
      <tp t="s">
        <v>#N/A N/A</v>
        <stp/>
        <stp>BQL|11472844344875418891</stp>
        <tr r="F326" s="2"/>
        <tr r="F41" s="2"/>
      </tp>
      <tp t="s">
        <v>#N/A N/A</v>
        <stp/>
        <stp>BQL|15180807539817399924</stp>
        <tr r="N202" s="2"/>
      </tp>
      <tp t="s">
        <v>#N/A N/A</v>
        <stp/>
        <stp>BQL|15843009576096404434</stp>
        <tr r="S243" s="2"/>
      </tp>
      <tp t="s">
        <v>#N/A N/A</v>
        <stp/>
        <stp>BQL|12344350713237586790</stp>
        <tr r="J10" s="2"/>
        <tr r="J60" s="2"/>
      </tp>
      <tp t="s">
        <v>#N/A N/A</v>
        <stp/>
        <stp>BQL|10959819764288304662</stp>
        <tr r="S77" s="2"/>
      </tp>
      <tp t="s">
        <v>#N/A N/A</v>
        <stp/>
        <stp>BQL|10825774167642003311</stp>
        <tr r="I231" s="2"/>
      </tp>
      <tp t="s">
        <v>#N/A N/A</v>
        <stp/>
        <stp>BQL|17545674427541509295</stp>
        <tr r="G120" s="2"/>
      </tp>
      <tp t="s">
        <v>#N/A N/A</v>
        <stp/>
        <stp>BQL|15503823759741324946</stp>
        <tr r="K253" s="2"/>
      </tp>
      <tp t="s">
        <v>#N/A N/A</v>
        <stp/>
        <stp>BQL|17831078227661742469</stp>
        <tr r="N301" s="2"/>
      </tp>
      <tp t="s">
        <v>#N/A N/A</v>
        <stp/>
        <stp>BQL|13150354327137939536</stp>
        <tr r="F118" s="2"/>
      </tp>
      <tp t="s">
        <v>#N/A N/A</v>
        <stp/>
        <stp>BQL|14817664422617749723</stp>
        <tr r="O269" s="2"/>
      </tp>
      <tp t="s">
        <v>#N/A N/A</v>
        <stp/>
        <stp>BQL|12872089529037765762</stp>
        <tr r="W285" s="2"/>
      </tp>
      <tp t="s">
        <v>#N/A N/A</v>
        <stp/>
        <stp>BQL|10506262046761993743</stp>
        <tr r="Q169" s="2"/>
        <tr r="Q219" s="2"/>
      </tp>
      <tp t="s">
        <v>#N/A N/A</v>
        <stp/>
        <stp>BQL|17377011571533910322</stp>
        <tr r="L342" s="2"/>
      </tp>
      <tp t="s">
        <v>#N/A N/A</v>
        <stp/>
        <stp>BQL|17197280234470782622</stp>
        <tr r="L327" s="2"/>
      </tp>
      <tp t="s">
        <v>#N/A N/A</v>
        <stp/>
        <stp>BQL|17741001310060988656</stp>
        <tr r="P128" s="2"/>
        <tr r="P33" s="2"/>
      </tp>
      <tp t="s">
        <v>#N/A N/A</v>
        <stp/>
        <stp>BQL|13090027056127754181</stp>
        <tr r="O138" s="2"/>
      </tp>
      <tp t="s">
        <v>#N/A N/A</v>
        <stp/>
        <stp>BQL|17911353502996590208</stp>
        <tr r="I278" s="2"/>
      </tp>
      <tp t="s">
        <v>#N/A N/A</v>
        <stp/>
        <stp>BQL|17190723557401919467</stp>
        <tr r="H105" s="2"/>
      </tp>
      <tp t="s">
        <v>#N/A N/A</v>
        <stp/>
        <stp>BQL|15706898255030837886</stp>
        <tr r="S248" s="2"/>
      </tp>
      <tp t="s">
        <v>#N/A N/A</v>
        <stp/>
        <stp>BQL|15972808304268093567</stp>
        <tr r="U239" s="2"/>
      </tp>
      <tp t="s">
        <v>#N/A N/A</v>
        <stp/>
        <stp>BQL|12756207835554860711</stp>
        <tr r="U363" s="2"/>
      </tp>
      <tp t="s">
        <v>#N/A N/A</v>
        <stp/>
        <stp>BQL|16527970199734742276</stp>
        <tr r="O290" s="2"/>
      </tp>
      <tp t="s">
        <v>#N/A N/A</v>
        <stp/>
        <stp>BQL|12469376910777918712</stp>
        <tr r="P243" s="2"/>
      </tp>
      <tp t="s">
        <v>#N/A N/A</v>
        <stp/>
        <stp>BQL|17230490207806042563</stp>
        <tr r="L163" s="2"/>
        <tr r="L7" s="2"/>
      </tp>
      <tp t="s">
        <v>#N/A N/A</v>
        <stp/>
        <stp>BQL|15596404578945195361</stp>
        <tr r="V325" s="2"/>
      </tp>
      <tp t="s">
        <v>#N/A N/A</v>
        <stp/>
        <stp>BQL|17852066847523500065</stp>
        <tr r="N107" s="2"/>
      </tp>
      <tp t="s">
        <v>#N/A N/A</v>
        <stp/>
        <stp>BQL|11847903411238245110</stp>
        <tr r="N260" s="2"/>
      </tp>
      <tp t="s">
        <v>#N/A N/A</v>
        <stp/>
        <stp>BQL|15887708728016241685</stp>
        <tr r="T313" s="2"/>
      </tp>
      <tp t="s">
        <v>#N/A N/A</v>
        <stp/>
        <stp>BQL|14495361554733580196</stp>
        <tr r="P254" s="2"/>
      </tp>
      <tp t="s">
        <v>#N/A N/A</v>
        <stp/>
        <stp>BQL|10596037039341450218</stp>
        <tr r="M47" s="2"/>
      </tp>
      <tp t="s">
        <v>#N/A N/A</v>
        <stp/>
        <stp>BQL|15885328676195476421</stp>
        <tr r="V73" s="2"/>
      </tp>
      <tp t="s">
        <v>#N/A N/A</v>
        <stp/>
        <stp>BQL|16782697564434664268</stp>
        <tr r="O10" s="2"/>
        <tr r="O60" s="2"/>
      </tp>
      <tp t="s">
        <v>#N/A N/A</v>
        <stp/>
        <stp>BQL|14111212144777783598</stp>
        <tr r="P124" s="2"/>
        <tr r="P32" s="2"/>
      </tp>
    </main>
    <main first="bofaddin.rtdserver">
      <tp t="s">
        <v>#N/A N/A</v>
        <stp/>
        <stp>BQL|6970374094091656133</stp>
        <tr r="I250" s="2"/>
      </tp>
      <tp t="s">
        <v>#N/A N/A</v>
        <stp/>
        <stp>BQL|1760847850488902852</stp>
        <tr r="N76" s="2"/>
      </tp>
      <tp t="s">
        <v>#N/A N/A</v>
        <stp/>
        <stp>BQL|2431670509478480018</stp>
        <tr r="M250" s="2"/>
      </tp>
      <tp t="s">
        <v>#N/A N/A</v>
        <stp/>
        <stp>BQL|8994701729246794785</stp>
        <tr r="E263" s="2"/>
      </tp>
      <tp t="s">
        <v>#N/A N/A</v>
        <stp/>
        <stp>BQL|7507775798290402516</stp>
        <tr r="L325" s="2"/>
      </tp>
      <tp t="s">
        <v>#N/A N/A</v>
        <stp/>
        <stp>BQL|2403781086117728620</stp>
        <tr r="T358" s="2"/>
      </tp>
      <tp t="s">
        <v>#N/A N/A</v>
        <stp/>
        <stp>BQL|5095380148519974762</stp>
        <tr r="M244" s="2"/>
      </tp>
      <tp t="s">
        <v>#N/A N/A</v>
        <stp/>
        <stp>BQL|4617346194233042199</stp>
        <tr r="R196" s="2"/>
      </tp>
      <tp t="s">
        <v>#N/A N/A</v>
        <stp/>
        <stp>BQL|9706285907847409036</stp>
        <tr r="V340" s="2"/>
      </tp>
      <tp t="s">
        <v>#N/A N/A</v>
        <stp/>
        <stp>BQL|5706234058629001725</stp>
        <tr r="E325" s="2"/>
      </tp>
      <tp t="s">
        <v>#N/A N/A</v>
        <stp/>
        <stp>BQL|6459895990148156323</stp>
        <tr r="U293" s="2"/>
      </tp>
      <tp t="s">
        <v>#N/A N/A</v>
        <stp/>
        <stp>BQL|5471290911142781852</stp>
        <tr r="Q190" s="2"/>
      </tp>
      <tp t="s">
        <v>#N/A N/A</v>
        <stp/>
        <stp>BQL|1248277288906209115</stp>
        <tr r="G63" s="2"/>
      </tp>
      <tp t="s">
        <v>#N/A N/A</v>
        <stp/>
        <stp>BQL|1761509983256923636</stp>
        <tr r="V259" s="2"/>
      </tp>
      <tp t="s">
        <v>#N/A N/A</v>
        <stp/>
        <stp>BQL|3781090273368893085</stp>
        <tr r="Q196" s="2"/>
      </tp>
      <tp t="s">
        <v>#N/A N/A</v>
        <stp/>
        <stp>BQL|7469411098003062506</stp>
        <tr r="W107" s="2"/>
      </tp>
      <tp t="s">
        <v>#N/A N/A</v>
        <stp/>
        <stp>BQL|2535197284266429114</stp>
        <tr r="R348" s="2"/>
      </tp>
      <tp t="s">
        <v>#N/A N/A</v>
        <stp/>
        <stp>BQL|4165293794995477657</stp>
        <tr r="R71" s="2"/>
      </tp>
      <tp t="s">
        <v>#N/A N/A</v>
        <stp/>
        <stp>BQL|6636192671588009421</stp>
        <tr r="O297" s="2"/>
      </tp>
      <tp t="s">
        <v>#N/A N/A</v>
        <stp/>
        <stp>BQL|9263483401891144068</stp>
        <tr r="I268" s="2"/>
      </tp>
      <tp t="s">
        <v>#N/A N/A</v>
        <stp/>
        <stp>BQL|2336343343969986011</stp>
        <tr r="X365" s="2"/>
      </tp>
      <tp t="s">
        <v>#N/A N/A</v>
        <stp/>
        <stp>BQL|2282575115529484382</stp>
        <tr r="N256" s="2"/>
        <tr r="N279" s="2"/>
      </tp>
      <tp t="s">
        <v>#N/A N/A</v>
        <stp/>
        <stp>BQL|4731889532873544044</stp>
        <tr r="O220" s="2"/>
      </tp>
      <tp t="s">
        <v>#N/A N/A</v>
        <stp/>
        <stp>BQL|9533497717612099279</stp>
        <tr r="T15" s="2"/>
        <tr r="T88" s="2"/>
      </tp>
      <tp t="s">
        <v>#N/A N/A</v>
        <stp/>
        <stp>BQL|4502393787010731309</stp>
        <tr r="T267" s="2"/>
      </tp>
      <tp t="s">
        <v>#N/A N/A</v>
        <stp/>
        <stp>BQL|6034696457648085122</stp>
        <tr r="E223" s="2"/>
      </tp>
      <tp t="s">
        <v>#N/A N/A</v>
        <stp/>
        <stp>BQL|7477543662141146985</stp>
        <tr r="P222" s="2"/>
      </tp>
      <tp t="s">
        <v>#N/A N/A</v>
        <stp/>
        <stp>BQL|6671912186078230385</stp>
        <tr r="U289" s="2"/>
      </tp>
      <tp t="s">
        <v>#N/A N/A</v>
        <stp/>
        <stp>BQL|3017613098365335510</stp>
        <tr r="O181" s="2"/>
      </tp>
      <tp t="s">
        <v>#N/A N/A</v>
        <stp/>
        <stp>BQL|8464161046214747583</stp>
        <tr r="X177" s="2"/>
      </tp>
      <tp t="s">
        <v>#N/A N/A</v>
        <stp/>
        <stp>BQL|6885623732979441678</stp>
        <tr r="O251" s="2"/>
      </tp>
      <tp t="s">
        <v>#N/A N/A</v>
        <stp/>
        <stp>BQL|7984580362100953812</stp>
        <tr r="W274" s="2"/>
      </tp>
      <tp t="s">
        <v>#N/A N/A</v>
        <stp/>
        <stp>BQL|3683990866129036923</stp>
        <tr r="M68" s="2"/>
      </tp>
      <tp t="s">
        <v>#N/A N/A</v>
        <stp/>
        <stp>BQL|6891934941737512043</stp>
        <tr r="Q3" s="2"/>
      </tp>
      <tp t="s">
        <v>#N/A N/A</v>
        <stp/>
        <stp>BQL|7755688002219495433</stp>
        <tr r="I49" s="2"/>
      </tp>
      <tp t="s">
        <v>#N/A N/A</v>
        <stp/>
        <stp>BQL|1533731942547837961</stp>
        <tr r="E363" s="2"/>
      </tp>
      <tp t="s">
        <v>#N/A N/A</v>
        <stp/>
        <stp>BQL|3957824757177479523</stp>
        <tr r="T221" s="2"/>
      </tp>
      <tp t="s">
        <v>#N/A N/A</v>
        <stp/>
        <stp>BQL|6133496518797342894</stp>
        <tr r="J132" s="2"/>
      </tp>
      <tp t="s">
        <v>#N/A N/A</v>
        <stp/>
        <stp>BQL|9953569514208259939</stp>
        <tr r="J25" s="2"/>
        <tr r="J96" s="2"/>
      </tp>
      <tp t="s">
        <v>#N/A N/A</v>
        <stp/>
        <stp>BQL|8323188134487414116</stp>
        <tr r="N323" s="2"/>
      </tp>
      <tp t="s">
        <v>#N/A N/A</v>
        <stp/>
        <stp>BQL|4953672487810003637</stp>
        <tr r="X176" s="2"/>
      </tp>
      <tp t="s">
        <v>#N/A N/A</v>
        <stp/>
        <stp>BQL|9848414410941332102</stp>
        <tr r="W188" s="2"/>
        <tr r="W38" s="2"/>
      </tp>
      <tp t="s">
        <v>#N/A N/A</v>
        <stp/>
        <stp>BQL|6667449968088746070</stp>
        <tr r="I353" s="2"/>
      </tp>
      <tp t="s">
        <v>#N/A N/A</v>
        <stp/>
        <stp>BQL|4934095499392994399</stp>
        <tr r="U187" s="2"/>
        <tr r="U37" s="2"/>
      </tp>
      <tp t="s">
        <v>#N/A N/A</v>
        <stp/>
        <stp>BQL|5079984021522213022</stp>
        <tr r="M313" s="2"/>
      </tp>
      <tp t="s">
        <v>#N/A N/A</v>
        <stp/>
        <stp>BQL|7612274614668427082</stp>
        <tr r="W302" s="2"/>
      </tp>
      <tp t="s">
        <v>#N/A N/A</v>
        <stp/>
        <stp>BQL|3938469517729778368</stp>
        <tr r="G85" s="2"/>
      </tp>
      <tp t="s">
        <v>#N/A N/A</v>
        <stp/>
        <stp>BQL|7231828358677673177</stp>
        <tr r="V339" s="2"/>
      </tp>
      <tp t="s">
        <v>#N/A N/A</v>
        <stp/>
        <stp>BQL|3343992291229609649</stp>
        <tr r="L341" s="2"/>
      </tp>
      <tp t="s">
        <v>#N/A N/A</v>
        <stp/>
        <stp>BQL|1349115472408086390</stp>
        <tr r="F128" s="2"/>
        <tr r="F33" s="2"/>
      </tp>
      <tp t="s">
        <v>#N/A N/A</v>
        <stp/>
        <stp>BQL|3017382326336409838</stp>
        <tr r="W49" s="2"/>
      </tp>
      <tp t="s">
        <v>#N/A N/A</v>
        <stp/>
        <stp>BQL|1189286022968785554</stp>
        <tr r="Q141" s="2"/>
      </tp>
      <tp t="s">
        <v>#N/A N/A</v>
        <stp/>
        <stp>BQL|8554028049319362942</stp>
        <tr r="W238" s="2"/>
      </tp>
      <tp t="s">
        <v>#N/A N/A</v>
        <stp/>
        <stp>BQL|1181985232851049634</stp>
        <tr r="E68" s="2"/>
      </tp>
      <tp t="s">
        <v>#N/A N/A</v>
        <stp/>
        <stp>BQL|1466212233635908977</stp>
        <tr r="G194" s="2"/>
      </tp>
      <tp t="s">
        <v>#N/A N/A</v>
        <stp/>
        <stp>BQL|6950160961758089569</stp>
        <tr r="H248" s="2"/>
      </tp>
      <tp t="s">
        <v>#N/A N/A</v>
        <stp/>
        <stp>BQL|5379033891814077498</stp>
        <tr r="W265" s="2"/>
      </tp>
      <tp t="s">
        <v>#N/A N/A</v>
        <stp/>
        <stp>BQL|2757074573341364886</stp>
        <tr r="V103" s="2"/>
      </tp>
      <tp t="s">
        <v>#N/A N/A</v>
        <stp/>
        <stp>BQL|8882454565160637667</stp>
        <tr r="V334" s="2"/>
      </tp>
      <tp t="s">
        <v>#N/A N/A</v>
        <stp/>
        <stp>BQL|9040719812861773235</stp>
        <tr r="N355" s="2"/>
      </tp>
      <tp t="s">
        <v>#N/A N/A</v>
        <stp/>
        <stp>BQL|5194894857130048489</stp>
        <tr r="E14" s="2"/>
        <tr r="E87" s="2"/>
      </tp>
      <tp t="s">
        <v>#N/A N/A</v>
        <stp/>
        <stp>BQL|9234953956431227845</stp>
        <tr r="S278" s="2"/>
      </tp>
      <tp t="s">
        <v>#N/A N/A</v>
        <stp/>
        <stp>BQL|8428862602354531823</stp>
        <tr r="U119" s="2"/>
      </tp>
      <tp t="s">
        <v>#N/A N/A</v>
        <stp/>
        <stp>BQL|7892932726638900830</stp>
        <tr r="R49" s="2"/>
      </tp>
      <tp t="s">
        <v>#N/A N/A</v>
        <stp/>
        <stp>BQL|7164946200967676540</stp>
        <tr r="E285" s="2"/>
      </tp>
      <tp t="s">
        <v>#N/A N/A</v>
        <stp/>
        <stp>BQL|8883626318956398567</stp>
        <tr r="G129" s="2"/>
      </tp>
      <tp t="s">
        <v>#N/A N/A</v>
        <stp/>
        <stp>BQL|9543026915991796528</stp>
        <tr r="L303" s="2"/>
      </tp>
      <tp t="s">
        <v>#N/A N/A</v>
        <stp/>
        <stp>BQL|7274086090517435580</stp>
        <tr r="K256" s="2"/>
        <tr r="K279" s="2"/>
      </tp>
      <tp t="s">
        <v>#N/A N/A</v>
        <stp/>
        <stp>BQL|3263010475879443148</stp>
        <tr r="N156" s="2"/>
      </tp>
      <tp t="s">
        <v>#N/A N/A</v>
        <stp/>
        <stp>BQL|1277359571079108012</stp>
        <tr r="K212" s="2"/>
        <tr r="K6" s="2"/>
      </tp>
      <tp t="s">
        <v>#N/A N/A</v>
        <stp/>
        <stp>BQL|6614828173540517547</stp>
        <tr r="F206" s="2"/>
      </tp>
      <tp t="s">
        <v>#N/A N/A</v>
        <stp/>
        <stp>BQL|9385303275324922590</stp>
        <tr r="F179" s="2"/>
      </tp>
      <tp t="s">
        <v>#N/A N/A</v>
        <stp/>
        <stp>BQL|7241196607569149387</stp>
        <tr r="L100" s="2"/>
      </tp>
      <tp t="s">
        <v>#N/A N/A</v>
        <stp/>
        <stp>BQL|4671397055196952860</stp>
        <tr r="F160" s="2"/>
        <tr r="F21" s="2"/>
        <tr r="F92" s="2"/>
      </tp>
      <tp t="s">
        <v>#N/A N/A</v>
        <stp/>
        <stp>BQL|8413273787137982989</stp>
        <tr r="H100" s="2"/>
      </tp>
      <tp t="s">
        <v>#N/A N/A</v>
        <stp/>
        <stp>BQL|6456076941217448939</stp>
        <tr r="W359" s="2"/>
      </tp>
      <tp t="s">
        <v>#N/A N/A</v>
        <stp/>
        <stp>BQL|5457673314848659645</stp>
        <tr r="R316" s="2"/>
      </tp>
      <tp t="s">
        <v>#N/A N/A</v>
        <stp/>
        <stp>BQL|2382747881036005736</stp>
        <tr r="J299" s="2"/>
      </tp>
      <tp t="s">
        <v>#N/A N/A</v>
        <stp/>
        <stp>BQL|2935682890339096842</stp>
        <tr r="R318" s="2"/>
      </tp>
      <tp t="s">
        <v>#N/A N/A</v>
        <stp/>
        <stp>BQL|4885745814716844857</stp>
        <tr r="W124" s="2"/>
        <tr r="W32" s="2"/>
      </tp>
      <tp t="s">
        <v>#N/A N/A</v>
        <stp/>
        <stp>BQL|6801329397566145692</stp>
        <tr r="N185" s="2"/>
      </tp>
      <tp t="s">
        <v>#N/A N/A</v>
        <stp/>
        <stp>BQL|6589445601977308973</stp>
        <tr r="P301" s="2"/>
      </tp>
      <tp t="s">
        <v>#N/A N/A</v>
        <stp/>
        <stp>BQL|9874644169575553044</stp>
        <tr r="P341" s="2"/>
      </tp>
      <tp t="s">
        <v>#N/A N/A</v>
        <stp/>
        <stp>BQL|2081180713989916760</stp>
        <tr r="L316" s="2"/>
      </tp>
      <tp t="s">
        <v>#N/A N/A</v>
        <stp/>
        <stp>BQL|9391447121794586773</stp>
        <tr r="X274" s="2"/>
      </tp>
      <tp t="s">
        <v>#N/A N/A</v>
        <stp/>
        <stp>BQL|3865895635646408248</stp>
        <tr r="S346" s="2"/>
      </tp>
      <tp t="s">
        <v>#N/A N/A</v>
        <stp/>
        <stp>BQL|6736218993904396523</stp>
        <tr r="O334" s="2"/>
      </tp>
      <tp t="s">
        <v>#N/A N/A</v>
        <stp/>
        <stp>BQL|6581464628118841472</stp>
        <tr r="W266" s="2"/>
      </tp>
      <tp t="s">
        <v>#N/A N/A</v>
        <stp/>
        <stp>BQL|2508714181768593941</stp>
        <tr r="P235" s="2"/>
      </tp>
      <tp t="s">
        <v>#N/A N/A</v>
        <stp/>
        <stp>BQL|3848887565811732062</stp>
        <tr r="L358" s="2"/>
      </tp>
      <tp t="s">
        <v>#N/A N/A</v>
        <stp/>
        <stp>BQL|4640640410518503747</stp>
        <tr r="I171" s="2"/>
      </tp>
      <tp t="s">
        <v>#N/A N/A</v>
        <stp/>
        <stp>BQL|2392816904841354762</stp>
        <tr r="X295" s="2"/>
      </tp>
      <tp t="s">
        <v>#N/A N/A</v>
        <stp/>
        <stp>BQL|3463719747255011913</stp>
        <tr r="I153" s="2"/>
        <tr r="I65" s="2"/>
      </tp>
      <tp t="s">
        <v>#N/A N/A</v>
        <stp/>
        <stp>BQL|4626690149809558300</stp>
        <tr r="Q168" s="2"/>
      </tp>
      <tp t="s">
        <v>#N/A N/A</v>
        <stp/>
        <stp>BQL|3310555581380787230</stp>
        <tr r="W144" s="2"/>
      </tp>
      <tp t="s">
        <v>#N/A N/A</v>
        <stp/>
        <stp>BQL|7004829924093621233</stp>
        <tr r="T238" s="2"/>
      </tp>
      <tp t="s">
        <v>#N/A N/A</v>
        <stp/>
        <stp>BQL|5018156590376194777</stp>
        <tr r="W71" s="2"/>
      </tp>
      <tp t="s">
        <v>#N/A N/A</v>
        <stp/>
        <stp>BQL|7561314457074768963</stp>
        <tr r="X206" s="2"/>
      </tp>
      <tp t="s">
        <v>#N/A N/A</v>
        <stp/>
        <stp>BQL|3746420545499370611</stp>
        <tr r="M159" s="2"/>
        <tr r="M20" s="2"/>
        <tr r="M91" s="2"/>
      </tp>
      <tp t="s">
        <v>#N/A N/A</v>
        <stp/>
        <stp>BQL|1349870503677320266</stp>
        <tr r="Q270" s="2"/>
      </tp>
      <tp t="s">
        <v>#N/A N/A</v>
        <stp/>
        <stp>BQL|1101030995507248371</stp>
        <tr r="R104" s="2"/>
      </tp>
      <tp t="s">
        <v>#N/A N/A</v>
        <stp/>
        <stp>BQL|1300248996986303001</stp>
        <tr r="O79" s="2"/>
      </tp>
      <tp t="s">
        <v>#N/A N/A</v>
        <stp/>
        <stp>BQL|3059700899600838133</stp>
        <tr r="G247" s="2"/>
      </tp>
      <tp t="s">
        <v>#N/A N/A</v>
        <stp/>
        <stp>BQL|3436279483911237402</stp>
        <tr r="S181" s="2"/>
      </tp>
      <tp t="s">
        <v>#N/A N/A</v>
        <stp/>
        <stp>BQL|9166328574170558108</stp>
        <tr r="L263" s="2"/>
      </tp>
      <tp t="s">
        <v>#N/A N/A</v>
        <stp/>
        <stp>BQL|1950529288313552345</stp>
        <tr r="M171" s="2"/>
      </tp>
      <tp t="s">
        <v>#N/A N/A</v>
        <stp/>
        <stp>BQL|1729979174094466725</stp>
        <tr r="W237" s="2"/>
      </tp>
      <tp t="s">
        <v>#N/A N/A</v>
        <stp/>
        <stp>BQL|9393912745941079961</stp>
        <tr r="V147" s="2"/>
      </tp>
      <tp t="s">
        <v>#N/A N/A</v>
        <stp/>
        <stp>BQL|5713145173606962983</stp>
        <tr r="M175" s="2"/>
      </tp>
      <tp t="s">
        <v>#N/A N/A</v>
        <stp/>
        <stp>BQL|4043212497720409337</stp>
        <tr r="N126" s="2"/>
      </tp>
      <tp t="s">
        <v>#N/A N/A</v>
        <stp/>
        <stp>BQL|9206720817623421025</stp>
        <tr r="O249" s="2"/>
      </tp>
      <tp t="s">
        <v>#N/A N/A</v>
        <stp/>
        <stp>BQL|2020482788024572644</stp>
        <tr r="M287" s="2"/>
      </tp>
      <tp t="s">
        <v>#N/A N/A</v>
        <stp/>
        <stp>BQL|6886868798463005877</stp>
        <tr r="G132" s="2"/>
      </tp>
      <tp t="s">
        <v>#N/A N/A</v>
        <stp/>
        <stp>BQL|9587273934462011673</stp>
        <tr r="E169" s="2"/>
        <tr r="E219" s="2"/>
      </tp>
      <tp t="s">
        <v>#N/A N/A</v>
        <stp/>
        <stp>BQL|4701323819479526389</stp>
        <tr r="P284" s="2"/>
      </tp>
      <tp t="s">
        <v>#N/A N/A</v>
        <stp/>
        <stp>BQL|9639506923071030349</stp>
        <tr r="S19" s="2"/>
        <tr r="S94" s="2"/>
      </tp>
      <tp t="s">
        <v>#N/A N/A</v>
        <stp/>
        <stp>BQL|8142510343954620144</stp>
        <tr r="N113" s="2"/>
      </tp>
      <tp t="s">
        <v>#N/A N/A</v>
        <stp/>
        <stp>BQL|4003967313084048448</stp>
        <tr r="T315" s="2"/>
      </tp>
      <tp t="s">
        <v>#N/A N/A</v>
        <stp/>
        <stp>BQL|7673260242754638940</stp>
        <tr r="R320" s="2"/>
      </tp>
      <tp t="s">
        <v>#N/A N/A</v>
        <stp/>
        <stp>BQL|3821682190088130810</stp>
        <tr r="X237" s="2"/>
      </tp>
      <tp t="s">
        <v>#N/A N/A</v>
        <stp/>
        <stp>BQL|6309726998925027190</stp>
        <tr r="F10" s="2"/>
        <tr r="F60" s="2"/>
      </tp>
      <tp t="s">
        <v>#N/A N/A</v>
        <stp/>
        <stp>BQL|4353566565288792374</stp>
        <tr r="H194" s="2"/>
      </tp>
      <tp t="s">
        <v>#N/A N/A</v>
        <stp/>
        <stp>BQL|8129738701705384609</stp>
        <tr r="F223" s="2"/>
      </tp>
      <tp t="s">
        <v>#N/A N/A</v>
        <stp/>
        <stp>BQL|7480418090605613339</stp>
        <tr r="V214" s="2"/>
      </tp>
      <tp t="s">
        <v>#N/A N/A</v>
        <stp/>
        <stp>BQL|95055214663066711</stp>
        <tr r="E107" s="2"/>
      </tp>
      <tp t="s">
        <v>#N/A N/A</v>
        <stp/>
        <stp>BQL|87524730526201508</stp>
        <tr r="N352" s="2"/>
      </tp>
      <tp t="s">
        <v>#N/A N/A</v>
        <stp/>
        <stp>BQL|9562783216187326573</stp>
        <tr r="G331" s="2"/>
      </tp>
      <tp t="s">
        <v>#N/A N/A</v>
        <stp/>
        <stp>BQL|3505253018929267458</stp>
        <tr r="J77" s="2"/>
      </tp>
      <tp t="s">
        <v>#N/A N/A</v>
        <stp/>
        <stp>BQL|6598189631351659852</stp>
        <tr r="R363" s="2"/>
      </tp>
      <tp t="s">
        <v>#N/A N/A</v>
        <stp/>
        <stp>BQL|8467135251640977105</stp>
        <tr r="X185" s="2"/>
      </tp>
      <tp t="s">
        <v>#N/A N/A</v>
        <stp/>
        <stp>BQL|6985897349724207344</stp>
        <tr r="R231" s="2"/>
      </tp>
      <tp t="s">
        <v>#N/A N/A</v>
        <stp/>
        <stp>BQL|3358647312869970031</stp>
        <tr r="R266" s="2"/>
      </tp>
      <tp t="s">
        <v>#N/A N/A</v>
        <stp/>
        <stp>BQL|8295355499319257634</stp>
        <tr r="L256" s="2"/>
        <tr r="L279" s="2"/>
      </tp>
      <tp t="s">
        <v>#N/A N/A</v>
        <stp/>
        <stp>BQL|5699553805048124581</stp>
        <tr r="P282" s="2"/>
      </tp>
      <tp t="s">
        <v>#N/A N/A</v>
        <stp/>
        <stp>BQL|3757499398261006296</stp>
        <tr r="F212" s="2"/>
        <tr r="F6" s="2"/>
      </tp>
      <tp t="s">
        <v>#N/A N/A</v>
        <stp/>
        <stp>BQL|5624589368649191290</stp>
        <tr r="J267" s="2"/>
      </tp>
      <tp t="s">
        <v>#N/A N/A</v>
        <stp/>
        <stp>BQL|6318099524869556052</stp>
        <tr r="V272" s="2"/>
      </tp>
      <tp t="s">
        <v>#N/A N/A</v>
        <stp/>
        <stp>BQL|6899959411544151737</stp>
        <tr r="Q102" s="2"/>
      </tp>
      <tp t="s">
        <v>#N/A N/A</v>
        <stp/>
        <stp>BQL|8000925499701620431</stp>
        <tr r="Q121" s="2"/>
      </tp>
      <tp t="s">
        <v>#N/A N/A</v>
        <stp/>
        <stp>BQL|9049786427580741162</stp>
        <tr r="V160" s="2"/>
        <tr r="V21" s="2"/>
        <tr r="V92" s="2"/>
      </tp>
      <tp t="s">
        <v>#N/A N/A</v>
        <stp/>
        <stp>BQL|3002378984793468698</stp>
        <tr r="F114" s="2"/>
      </tp>
      <tp t="s">
        <v>#N/A N/A</v>
        <stp/>
        <stp>BQL|3573547320149656097</stp>
        <tr r="K224" s="2"/>
      </tp>
      <tp t="s">
        <v>#N/A N/A</v>
        <stp/>
        <stp>BQL|8556488803842625368</stp>
        <tr r="H202" s="2"/>
      </tp>
      <tp t="s">
        <v>#N/A N/A</v>
        <stp/>
        <stp>BQL|7497862332753615286</stp>
        <tr r="Q201" s="2"/>
      </tp>
      <tp t="s">
        <v>#N/A N/A</v>
        <stp/>
        <stp>BQL|1910893369221484332</stp>
        <tr r="X263" s="2"/>
      </tp>
      <tp t="s">
        <v>#N/A N/A</v>
        <stp/>
        <stp>BQL|8196377346153677182</stp>
        <tr r="V196" s="2"/>
      </tp>
      <tp t="s">
        <v>#N/A N/A</v>
        <stp/>
        <stp>BQL|9414265742107859557</stp>
        <tr r="T350" s="2"/>
      </tp>
      <tp t="s">
        <v>#N/A N/A</v>
        <stp/>
        <stp>BQL|4211380980132610016</stp>
        <tr r="T277" s="2"/>
      </tp>
      <tp t="s">
        <v>#N/A N/A</v>
        <stp/>
        <stp>BQL|4298477157970713880</stp>
        <tr r="J68" s="2"/>
      </tp>
      <tp t="s">
        <v>#N/A N/A</v>
        <stp/>
        <stp>BQL|5001092882590429025</stp>
        <tr r="I337" s="2"/>
      </tp>
      <tp t="s">
        <v>#N/A N/A</v>
        <stp/>
        <stp>BQL|3154154929325287824</stp>
        <tr r="G288" s="2"/>
      </tp>
      <tp t="s">
        <v>#N/A N/A</v>
        <stp/>
        <stp>BQL|9362650136078583984</stp>
        <tr r="I173" s="2"/>
      </tp>
      <tp t="s">
        <v>#N/A N/A</v>
        <stp/>
        <stp>BQL|8887681135325958515</stp>
        <tr r="W138" s="2"/>
      </tp>
      <tp t="s">
        <v>#N/A N/A</v>
        <stp/>
        <stp>BQL|6383420809658332779</stp>
        <tr r="W196" s="2"/>
      </tp>
      <tp t="s">
        <v>#N/A N/A</v>
        <stp/>
        <stp>BQL|7372296934432472966</stp>
        <tr r="H328" s="2"/>
      </tp>
      <tp t="s">
        <v>#N/A N/A</v>
        <stp/>
        <stp>BQL|1264599787978554954</stp>
        <tr r="G237" s="2"/>
      </tp>
      <tp t="s">
        <v>#N/A N/A</v>
        <stp/>
        <stp>BQL|9604538878911470750</stp>
        <tr r="N346" s="2"/>
      </tp>
      <tp t="s">
        <v>#N/A N/A</v>
        <stp/>
        <stp>BQL|8695058148337192667</stp>
        <tr r="X63" s="2"/>
      </tp>
      <tp t="s">
        <v>#N/A N/A</v>
        <stp/>
        <stp>BQL|9311098778766828563</stp>
        <tr r="L330" s="2"/>
      </tp>
      <tp t="s">
        <v>#N/A N/A</v>
        <stp/>
        <stp>BQL|3061133625858275580</stp>
        <tr r="M315" s="2"/>
      </tp>
      <tp t="s">
        <v>#N/A N/A</v>
        <stp/>
        <stp>BQL|8501335860700912045</stp>
        <tr r="J269" s="2"/>
      </tp>
      <tp t="s">
        <v>#N/A N/A</v>
        <stp/>
        <stp>BQL|6266783750410652977</stp>
        <tr r="F177" s="2"/>
      </tp>
      <tp t="s">
        <v>#N/A N/A</v>
        <stp/>
        <stp>BQL|9940315900244689356</stp>
        <tr r="V346" s="2"/>
      </tp>
      <tp t="s">
        <v>#N/A N/A</v>
        <stp/>
        <stp>BQL|4197355035271318892</stp>
        <tr r="Q320" s="2"/>
      </tp>
      <tp t="s">
        <v>#N/A N/A</v>
        <stp/>
        <stp>BQL|4064267620910400996</stp>
        <tr r="S342" s="2"/>
      </tp>
      <tp t="s">
        <v>#N/A N/A</v>
        <stp/>
        <stp>BQL|2870804725316183371</stp>
        <tr r="X268" s="2"/>
      </tp>
      <tp t="s">
        <v>#N/A N/A</v>
        <stp/>
        <stp>BQL|7049068759988214773</stp>
        <tr r="V212" s="2"/>
        <tr r="V6" s="2"/>
      </tp>
      <tp t="s">
        <v>#N/A N/A</v>
        <stp/>
        <stp>BQL|8691372925532719699</stp>
        <tr r="F319" s="2"/>
      </tp>
      <tp t="s">
        <v>#N/A N/A</v>
        <stp/>
        <stp>BQL|4568727380520569683</stp>
        <tr r="U126" s="2"/>
      </tp>
      <tp t="s">
        <v>#N/A N/A</v>
        <stp/>
        <stp>BQL|6619685085183943680</stp>
        <tr r="V363" s="2"/>
      </tp>
      <tp t="s">
        <v>#N/A N/A</v>
        <stp/>
        <stp>BQL|1356580044235060853</stp>
        <tr r="N176" s="2"/>
      </tp>
      <tp t="s">
        <v>#N/A N/A</v>
        <stp/>
        <stp>BQL|6469380594524798558</stp>
        <tr r="I47" s="2"/>
      </tp>
      <tp t="s">
        <v>#N/A N/A</v>
        <stp/>
        <stp>BQL|7385733514729761596</stp>
        <tr r="M201" s="2"/>
      </tp>
      <tp t="s">
        <v>#N/A N/A</v>
        <stp/>
        <stp>BQL|5633548238216629867</stp>
        <tr r="Q183" s="2"/>
      </tp>
      <tp t="s">
        <v>#N/A N/A</v>
        <stp/>
        <stp>BQL|5701055319970205933</stp>
        <tr r="T297" s="2"/>
      </tp>
      <tp t="s">
        <v>#N/A N/A</v>
        <stp/>
        <stp>BQL|9671829086906117298</stp>
        <tr r="V151" s="2"/>
      </tp>
      <tp t="s">
        <v>#N/A N/A</v>
        <stp/>
        <stp>BQL|3284896406746580029</stp>
        <tr r="M326" s="2"/>
        <tr r="M41" s="2"/>
      </tp>
      <tp t="s">
        <v>#N/A N/A</v>
        <stp/>
        <stp>BQL|2700991777304184522</stp>
        <tr r="M79" s="2"/>
      </tp>
      <tp t="s">
        <v>#N/A N/A</v>
        <stp/>
        <stp>BQL|5542925348331720415</stp>
        <tr r="S55" s="2"/>
      </tp>
      <tp t="s">
        <v>#N/A N/A</v>
        <stp/>
        <stp>BQL|6870795789666349225</stp>
        <tr r="O124" s="2"/>
        <tr r="O32" s="2"/>
      </tp>
      <tp t="s">
        <v>#N/A N/A</v>
        <stp/>
        <stp>BQL|4294108837982875948</stp>
        <tr r="T85" s="2"/>
      </tp>
      <tp t="s">
        <v>#N/A N/A</v>
        <stp/>
        <stp>BQL|2906320606204075844</stp>
        <tr r="H255" s="2"/>
      </tp>
      <tp t="s">
        <v>#N/A N/A</v>
        <stp/>
        <stp>BQL|7829889569867169314</stp>
        <tr r="J248" s="2"/>
      </tp>
      <tp t="s">
        <v>#N/A N/A</v>
        <stp/>
        <stp>BQL|6910964405005525764</stp>
        <tr r="E141" s="2"/>
      </tp>
      <tp t="s">
        <v>#N/A N/A</v>
        <stp/>
        <stp>BQL|5504631612367951845</stp>
        <tr r="O131" s="2"/>
      </tp>
      <tp t="s">
        <v>#N/A N/A</v>
        <stp/>
        <stp>BQL|6116265446588089585</stp>
        <tr r="M324" s="2"/>
        <tr r="M40" s="2"/>
      </tp>
      <tp t="s">
        <v>#N/A N/A</v>
        <stp/>
        <stp>BQL|6518157556937749880</stp>
        <tr r="G319" s="2"/>
      </tp>
      <tp t="s">
        <v>#N/A N/A</v>
        <stp/>
        <stp>BQL|1883753976869718545</stp>
        <tr r="T47" s="2"/>
      </tp>
      <tp t="s">
        <v>#N/A N/A</v>
        <stp/>
        <stp>BQL|1361320898145333323</stp>
        <tr r="Q364" s="2"/>
      </tp>
      <tp t="s">
        <v>#N/A N/A</v>
        <stp/>
        <stp>BQL|3538185162710678917</stp>
        <tr r="N274" s="2"/>
      </tp>
      <tp t="s">
        <v>#N/A N/A</v>
        <stp/>
        <stp>BQL|6306171421381479996</stp>
        <tr r="O313" s="2"/>
      </tp>
      <tp t="s">
        <v>#N/A N/A</v>
        <stp/>
        <stp>BQL|4112794098936193197</stp>
        <tr r="L173" s="2"/>
      </tp>
      <tp t="s">
        <v>#N/A N/A</v>
        <stp/>
        <stp>BQL|3648992180826202952</stp>
        <tr r="X256" s="2"/>
        <tr r="X279" s="2"/>
      </tp>
      <tp t="s">
        <v>#N/A N/A</v>
        <stp/>
        <stp>BQL|5833979113463236362</stp>
        <tr r="K46" s="2"/>
      </tp>
      <tp t="s">
        <v>#N/A N/A</v>
        <stp/>
        <stp>BQL|3069337892806978200</stp>
        <tr r="J220" s="2"/>
      </tp>
      <tp t="s">
        <v>#N/A N/A</v>
        <stp/>
        <stp>BQL|8371483130802137027</stp>
        <tr r="T249" s="2"/>
      </tp>
      <tp t="s">
        <v>#N/A N/A</v>
        <stp/>
        <stp>BQL|9047673263176243217</stp>
        <tr r="F64" s="2"/>
      </tp>
      <tp t="s">
        <v>#N/A N/A</v>
        <stp/>
        <stp>BQL|6728228381606584767</stp>
        <tr r="W348" s="2"/>
      </tp>
      <tp t="s">
        <v>#N/A N/A</v>
        <stp/>
        <stp>BQL|5003775621218689573</stp>
        <tr r="V156" s="2"/>
      </tp>
      <tp t="s">
        <v>#N/A N/A</v>
        <stp/>
        <stp>BQL|4006745084685295356</stp>
        <tr r="Q56" s="2"/>
      </tp>
      <tp t="s">
        <v>#N/A N/A</v>
        <stp/>
        <stp>BQL|6254664227556134958</stp>
        <tr r="H288" s="2"/>
      </tp>
      <tp t="s">
        <v>#N/A N/A</v>
        <stp/>
        <stp>BQL|3131985576345052589</stp>
        <tr r="H217" s="2"/>
      </tp>
      <tp t="s">
        <v>#N/A N/A</v>
        <stp/>
        <stp>BQL|5273139684363164231</stp>
        <tr r="S13" s="2"/>
        <tr r="S84" s="2"/>
      </tp>
      <tp t="s">
        <v>#N/A N/A</v>
        <stp/>
        <stp>BQL|1687632990477720449</stp>
        <tr r="F302" s="2"/>
      </tp>
      <tp t="s">
        <v>#N/A N/A</v>
        <stp/>
        <stp>BQL|9063317761848767918</stp>
        <tr r="N101" s="2"/>
        <tr r="N23" s="2"/>
      </tp>
      <tp t="s">
        <v>#N/A N/A</v>
        <stp/>
        <stp>BQL|7063805654181314614</stp>
        <tr r="U283" s="2"/>
      </tp>
      <tp t="s">
        <v>#N/A N/A</v>
        <stp/>
        <stp>BQL|1707847309112513691</stp>
        <tr r="X184" s="2"/>
        <tr r="X35" s="2"/>
      </tp>
      <tp t="s">
        <v>#N/A N/A</v>
        <stp/>
        <stp>BQL|3356751022458737353</stp>
        <tr r="U157" s="2"/>
        <tr r="U16" s="2"/>
        <tr r="U89" s="2"/>
      </tp>
      <tp t="s">
        <v>#N/A N/A</v>
        <stp/>
        <stp>BQL|4757659228639598490</stp>
        <tr r="N262" s="2"/>
      </tp>
      <tp t="s">
        <v>#N/A N/A</v>
        <stp/>
        <stp>BQL|8351970491806642357</stp>
        <tr r="I126" s="2"/>
      </tp>
      <tp t="s">
        <v>#N/A N/A</v>
        <stp/>
        <stp>BQL|3496236378113927839</stp>
        <tr r="T102" s="2"/>
      </tp>
      <tp t="s">
        <v>#N/A N/A</v>
        <stp/>
        <stp>BQL|1200022734377045811</stp>
        <tr r="N135" s="2"/>
      </tp>
      <tp t="s">
        <v>#N/A N/A</v>
        <stp/>
        <stp>BQL|9538112785604629923</stp>
        <tr r="H316" s="2"/>
      </tp>
      <tp t="s">
        <v>#N/A N/A</v>
        <stp/>
        <stp>BQL|6397726532467593831</stp>
        <tr r="J250" s="2"/>
      </tp>
      <tp t="s">
        <v>#N/A N/A</v>
        <stp/>
        <stp>BQL|4297045191723163330</stp>
        <tr r="V288" s="2"/>
      </tp>
      <tp t="s">
        <v>#N/A N/A</v>
        <stp/>
        <stp>BQL|9847756648000971799</stp>
        <tr r="G195" s="2"/>
      </tp>
      <tp t="s">
        <v>#N/A N/A</v>
        <stp/>
        <stp>BQL|1869019398413674622</stp>
        <tr r="R185" s="2"/>
      </tp>
      <tp t="s">
        <v>#N/A N/A</v>
        <stp/>
        <stp>BQL|7038974930061091127</stp>
        <tr r="Q202" s="2"/>
      </tp>
      <tp t="s">
        <v>#N/A N/A</v>
        <stp/>
        <stp>BQL|8358048681874087934</stp>
        <tr r="X19" s="2"/>
        <tr r="X94" s="2"/>
      </tp>
      <tp t="s">
        <v>#N/A N/A</v>
        <stp/>
        <stp>BQL|6720737989442137698</stp>
        <tr r="O252" s="2"/>
      </tp>
      <tp t="s">
        <v>#N/A N/A</v>
        <stp/>
        <stp>BQL|6443346112299079062</stp>
        <tr r="K350" s="2"/>
      </tp>
      <tp t="s">
        <v>#N/A N/A</v>
        <stp/>
        <stp>BQL|8380362715922649523</stp>
        <tr r="W254" s="2"/>
      </tp>
      <tp t="s">
        <v>#N/A N/A</v>
        <stp/>
        <stp>BQL|9328390830205979170</stp>
        <tr r="V178" s="2"/>
      </tp>
      <tp t="s">
        <v>#N/A N/A</v>
        <stp/>
        <stp>BQL|3988999663542459337</stp>
        <tr r="N356" s="2"/>
      </tp>
      <tp t="s">
        <v>#N/A N/A</v>
        <stp/>
        <stp>BQL|7887031348249493734</stp>
        <tr r="M337" s="2"/>
      </tp>
      <tp t="s">
        <v>#N/A N/A</v>
        <stp/>
        <stp>BQL|7222934556877194127</stp>
        <tr r="J165" s="2"/>
      </tp>
      <tp t="s">
        <v>#N/A N/A</v>
        <stp/>
        <stp>BQL|5266981568963287446</stp>
        <tr r="S298" s="2"/>
      </tp>
      <tp t="s">
        <v>#N/A N/A</v>
        <stp/>
        <stp>BQL|2646637212339145128</stp>
        <tr r="O301" s="2"/>
      </tp>
      <tp t="s">
        <v>#N/A N/A</v>
        <stp/>
        <stp>BQL|5011726227139209439</stp>
        <tr r="W276" s="2"/>
      </tp>
      <tp t="s">
        <v>#N/A N/A</v>
        <stp/>
        <stp>BQL|4775628305976300978</stp>
        <tr r="U255" s="2"/>
      </tp>
      <tp t="s">
        <v>#N/A N/A</v>
        <stp/>
        <stp>BQL|8959031341737857602</stp>
        <tr r="T107" s="2"/>
      </tp>
      <tp t="s">
        <v>#N/A N/A</v>
        <stp/>
        <stp>BQL|2287001770981037917</stp>
        <tr r="U291" s="2"/>
      </tp>
      <tp t="s">
        <v>#N/A N/A</v>
        <stp/>
        <stp>BQL|8943136656103808274</stp>
        <tr r="W273" s="2"/>
      </tp>
      <tp t="s">
        <v>#N/A N/A</v>
        <stp/>
        <stp>BQL|8207701530700746163</stp>
        <tr r="J174" s="2"/>
      </tp>
      <tp t="s">
        <v>#N/A N/A</v>
        <stp/>
        <stp>BQL|6576018299034677689</stp>
        <tr r="I182" s="2"/>
      </tp>
      <tp t="s">
        <v>#N/A N/A</v>
        <stp/>
        <stp>BQL|8168564396118674144</stp>
        <tr r="I363" s="2"/>
      </tp>
      <tp t="s">
        <v>#N/A N/A</v>
        <stp/>
        <stp>BQL|3319872897899683660</stp>
        <tr r="T46" s="2"/>
      </tp>
      <tp t="s">
        <v>#N/A N/A</v>
        <stp/>
        <stp>BQL|4682920090040530929</stp>
        <tr r="K263" s="2"/>
      </tp>
      <tp t="s">
        <v>#N/A N/A</v>
        <stp/>
        <stp>BQL|2763451224998084154</stp>
        <tr r="K230" s="2"/>
      </tp>
      <tp t="s">
        <v>#N/A N/A</v>
        <stp/>
        <stp>BQL|9394677547904584250</stp>
        <tr r="T365" s="2"/>
      </tp>
      <tp t="s">
        <v>#N/A N/A</v>
        <stp/>
        <stp>BQL|1568850672553261021</stp>
        <tr r="X291" s="2"/>
      </tp>
      <tp t="s">
        <v>#N/A N/A</v>
        <stp/>
        <stp>BQL|4847171839522123952</stp>
        <tr r="N194" s="2"/>
      </tp>
      <tp t="s">
        <v>#N/A N/A</v>
        <stp/>
        <stp>BQL|4276837119588345892</stp>
        <tr r="L199" s="2"/>
      </tp>
      <tp t="s">
        <v>#N/A N/A</v>
        <stp/>
        <stp>BQL|1077164347269212012</stp>
        <tr r="G51" s="2"/>
      </tp>
      <tp t="s">
        <v>#N/A N/A</v>
        <stp/>
        <stp>BQL|8841867881391858457</stp>
        <tr r="K317" s="2"/>
      </tp>
      <tp t="s">
        <v>#N/A N/A</v>
        <stp/>
        <stp>BQL|6757173982993643166</stp>
        <tr r="P130" s="2"/>
      </tp>
      <tp t="s">
        <v>#N/A N/A</v>
        <stp/>
        <stp>BQL|5060535226326343948</stp>
        <tr r="L79" s="2"/>
      </tp>
      <tp t="s">
        <v>#N/A N/A</v>
        <stp/>
        <stp>BQL|8998522302081230194</stp>
        <tr r="J346" s="2"/>
      </tp>
      <tp t="s">
        <v>#N/A N/A</v>
        <stp/>
        <stp>BQL|5973203899955005618</stp>
        <tr r="L214" s="2"/>
      </tp>
      <tp t="s">
        <v>#N/A N/A</v>
        <stp/>
        <stp>BQL|2739351453218023106</stp>
        <tr r="P55" s="2"/>
      </tp>
      <tp t="s">
        <v>#N/A N/A</v>
        <stp/>
        <stp>BQL|8396213133287194315</stp>
        <tr r="S272" s="2"/>
      </tp>
      <tp t="s">
        <v>#N/A N/A</v>
        <stp/>
        <stp>BQL|7247039995670689332</stp>
        <tr r="G287" s="2"/>
      </tp>
      <tp t="s">
        <v>#N/A N/A</v>
        <stp/>
        <stp>BQL|7664216139682613997</stp>
        <tr r="R243" s="2"/>
      </tp>
      <tp t="s">
        <v>#N/A N/A</v>
        <stp/>
        <stp>BQL|8582717070594411119</stp>
        <tr r="F199" s="2"/>
      </tp>
      <tp t="s">
        <v>#N/A N/A</v>
        <stp/>
        <stp>BQL|7029353910221589919</stp>
        <tr r="N125" s="2"/>
      </tp>
      <tp t="s">
        <v>#N/A N/A</v>
        <stp/>
        <stp>BQL|3424379096545210162</stp>
        <tr r="P319" s="2"/>
      </tp>
      <tp t="s">
        <v>#N/A N/A</v>
        <stp/>
        <stp>BQL|1054597671896137884</stp>
        <tr r="H269" s="2"/>
      </tp>
      <tp t="s">
        <v>#N/A N/A</v>
        <stp/>
        <stp>BQL|7610523882485499236</stp>
        <tr r="M251" s="2"/>
      </tp>
      <tp t="s">
        <v>#N/A N/A</v>
        <stp/>
        <stp>BQL|5296167506671226808</stp>
        <tr r="G112" s="2"/>
        <tr r="G29" s="2"/>
      </tp>
      <tp t="s">
        <v>#N/A N/A</v>
        <stp/>
        <stp>BQL|5982506610424855813</stp>
        <tr r="F251" s="2"/>
      </tp>
      <tp t="s">
        <v>#N/A N/A</v>
        <stp/>
        <stp>BQL|6197005284901293273</stp>
        <tr r="L222" s="2"/>
      </tp>
      <tp t="s">
        <v>#N/A N/A</v>
        <stp/>
        <stp>BQL|9164795313216331489</stp>
        <tr r="E265" s="2"/>
      </tp>
      <tp t="s">
        <v>#N/A N/A</v>
        <stp/>
        <stp>BQL|7174995259190590641</stp>
        <tr r="Q101" s="2"/>
        <tr r="Q23" s="2"/>
      </tp>
      <tp t="s">
        <v>#N/A N/A</v>
        <stp/>
        <stp>BQL|7680631763968130279</stp>
        <tr r="U320" s="2"/>
      </tp>
      <tp t="s">
        <v>#N/A N/A</v>
        <stp/>
        <stp>BQL|52067989848349462</stp>
        <tr r="P315" s="2"/>
      </tp>
      <tp t="s">
        <v>#N/A N/A</v>
        <stp/>
        <stp>BQL|6376366205649931263</stp>
        <tr r="E196" s="2"/>
      </tp>
      <tp t="s">
        <v>#N/A N/A</v>
        <stp/>
        <stp>BQL|7868152405649551121</stp>
        <tr r="O86" s="2"/>
      </tp>
      <tp t="s">
        <v>#N/A N/A</v>
        <stp/>
        <stp>BQL|8261167139057539373</stp>
        <tr r="H324" s="2"/>
        <tr r="H40" s="2"/>
      </tp>
      <tp t="s">
        <v>#N/A N/A</v>
        <stp/>
        <stp>BQL|2046280841132537834</stp>
        <tr r="W317" s="2"/>
      </tp>
      <tp t="s">
        <v>#N/A N/A</v>
        <stp/>
        <stp>BQL|3679481676289415738</stp>
        <tr r="H171" s="2"/>
      </tp>
      <tp t="s">
        <v>#N/A N/A</v>
        <stp/>
        <stp>BQL|8963691644343938728</stp>
        <tr r="N105" s="2"/>
      </tp>
      <tp t="s">
        <v>#N/A N/A</v>
        <stp/>
        <stp>BQL|3667179303584937840</stp>
        <tr r="X223" s="2"/>
      </tp>
      <tp t="s">
        <v>#N/A N/A</v>
        <stp/>
        <stp>BQL|1028637187810297183</stp>
        <tr r="J78" s="2"/>
      </tp>
      <tp t="s">
        <v>#N/A N/A</v>
        <stp/>
        <stp>BQL|5306585485981286726</stp>
        <tr r="K315" s="2"/>
      </tp>
      <tp t="s">
        <v>#N/A N/A</v>
        <stp/>
        <stp>BQL|3840139657951791855</stp>
        <tr r="K289" s="2"/>
      </tp>
      <tp t="s">
        <v>#N/A N/A</v>
        <stp/>
        <stp>BQL|8931813626435112920</stp>
        <tr r="N227" s="2"/>
      </tp>
      <tp t="s">
        <v>#N/A N/A</v>
        <stp/>
        <stp>BQL|1311744289534772442</stp>
        <tr r="J129" s="2"/>
      </tp>
      <tp t="s">
        <v>#N/A N/A</v>
        <stp/>
        <stp>BQL|7813012193195417536</stp>
        <tr r="K290" s="2"/>
      </tp>
      <tp t="s">
        <v>#N/A N/A</v>
        <stp/>
        <stp>BQL|3902603795392925087</stp>
        <tr r="E78" s="2"/>
      </tp>
      <tp t="s">
        <v>#N/A N/A</v>
        <stp/>
        <stp>BQL|2979744350907981997</stp>
        <tr r="P244" s="2"/>
      </tp>
      <tp t="s">
        <v>#N/A N/A</v>
        <stp/>
        <stp>BQL|3694264885337039089</stp>
        <tr r="L53" s="2"/>
      </tp>
      <tp t="s">
        <v>#N/A N/A</v>
        <stp/>
        <stp>BQL|3086088735688515651</stp>
        <tr r="U298" s="2"/>
      </tp>
      <tp t="s">
        <v>#N/A N/A</v>
        <stp/>
        <stp>BQL|8913452927049032966</stp>
        <tr r="G47" s="2"/>
      </tp>
      <tp t="s">
        <v>#N/A N/A</v>
        <stp/>
        <stp>BQL|4246577778578827088</stp>
        <tr r="N334" s="2"/>
      </tp>
      <tp t="s">
        <v>#N/A N/A</v>
        <stp/>
        <stp>BQL|3793981197575028851</stp>
        <tr r="L261" s="2"/>
      </tp>
      <tp t="s">
        <v>#N/A N/A</v>
        <stp/>
        <stp>BQL|6881267691413728057</stp>
        <tr r="N173" s="2"/>
      </tp>
      <tp t="s">
        <v>#N/A N/A</v>
        <stp/>
        <stp>BQL|9856823176189397127</stp>
        <tr r="V227" s="2"/>
      </tp>
      <tp t="s">
        <v>#N/A N/A</v>
        <stp/>
        <stp>BQL|7919084906491984831</stp>
        <tr r="E71" s="2"/>
      </tp>
      <tp t="s">
        <v>#N/A N/A</v>
        <stp/>
        <stp>BQL|8804832301449645719</stp>
        <tr r="V289" s="2"/>
      </tp>
      <tp t="s">
        <v>#N/A N/A</v>
        <stp/>
        <stp>BQL|6422250909303682932</stp>
        <tr r="T4" s="2"/>
      </tp>
      <tp t="s">
        <v>#N/A N/A</v>
        <stp/>
        <stp>BQL|9731643209757395644</stp>
        <tr r="U269" s="2"/>
      </tp>
      <tp t="s">
        <v>#N/A N/A</v>
        <stp/>
        <stp>BQL|1268806068003277242</stp>
        <tr r="X163" s="2"/>
        <tr r="X7" s="2"/>
      </tp>
      <tp t="s">
        <v>#N/A N/A</v>
        <stp/>
        <stp>BQL|5550789860463079918</stp>
        <tr r="M243" s="2"/>
      </tp>
      <tp t="s">
        <v>#N/A N/A</v>
        <stp/>
        <stp>BQL|5855071294255734703</stp>
        <tr r="V277" s="2"/>
      </tp>
      <tp t="s">
        <v>#N/A N/A</v>
        <stp/>
        <stp>BQL|3756589784379689915</stp>
        <tr r="L336" s="2"/>
      </tp>
      <tp t="s">
        <v>#N/A N/A</v>
        <stp/>
        <stp>BQL|9007758697261765892</stp>
        <tr r="I205" s="2"/>
        <tr r="I308" s="2"/>
      </tp>
      <tp t="s">
        <v>#N/A N/A</v>
        <stp/>
        <stp>BQL|9671296654209589925</stp>
        <tr r="I286" s="2"/>
      </tp>
      <tp t="s">
        <v>#N/A N/A</v>
        <stp/>
        <stp>BQL|8985309310107722328</stp>
        <tr r="N283" s="2"/>
      </tp>
      <tp t="s">
        <v>#N/A N/A</v>
        <stp/>
        <stp>BQL|5867365280403109342</stp>
        <tr r="F175" s="2"/>
      </tp>
      <tp t="s">
        <v>#N/A N/A</v>
        <stp/>
        <stp>BQL|7114498651290595875</stp>
        <tr r="T54" s="2"/>
      </tp>
      <tp t="s">
        <v>#N/A N/A</v>
        <stp/>
        <stp>BQL|6675119599799371969</stp>
        <tr r="Q301" s="2"/>
      </tp>
      <tp t="s">
        <v>#N/A N/A</v>
        <stp/>
        <stp>BQL|8664378557619576989</stp>
        <tr r="V15" s="2"/>
        <tr r="V88" s="2"/>
      </tp>
      <tp t="s">
        <v>#N/A N/A</v>
        <stp/>
        <stp>BQL|1457587882236039453</stp>
        <tr r="Q282" s="2"/>
      </tp>
      <tp t="s">
        <v>#N/A N/A</v>
        <stp/>
        <stp>BQL|7598602382050934758</stp>
        <tr r="L54" s="2"/>
      </tp>
      <tp t="s">
        <v>#N/A N/A</v>
        <stp/>
        <stp>BQL|1718092827398088520</stp>
        <tr r="K358" s="2"/>
      </tp>
      <tp t="s">
        <v>#N/A N/A</v>
        <stp/>
        <stp>BQL|4987068402023532939</stp>
        <tr r="P357" s="2"/>
      </tp>
      <tp t="s">
        <v>#N/A N/A</v>
        <stp/>
        <stp>BQL|1301355995881084491</stp>
        <tr r="Q185" s="2"/>
      </tp>
      <tp t="s">
        <v>#N/A N/A</v>
        <stp/>
        <stp>BQL|2932966922311735602</stp>
        <tr r="L274" s="2"/>
      </tp>
      <tp t="s">
        <v>#N/A N/A</v>
        <stp/>
        <stp>BQL|6993593893422095696</stp>
        <tr r="K3" s="2"/>
      </tp>
      <tp t="s">
        <v>#N/A N/A</v>
        <stp/>
        <stp>BQL|5513633288821135455</stp>
        <tr r="F309" s="2"/>
      </tp>
      <tp t="s">
        <v>#N/A N/A</v>
        <stp/>
        <stp>BQL|2729397631404682835</stp>
        <tr r="X217" s="2"/>
      </tp>
      <tp t="s">
        <v>#N/A N/A</v>
        <stp/>
        <stp>BQL|8321366745234280581</stp>
        <tr r="S225" s="2"/>
      </tp>
      <tp t="s">
        <v>#N/A N/A</v>
        <stp/>
        <stp>BQL|7562803258135054178</stp>
        <tr r="H190" s="2"/>
      </tp>
      <tp t="s">
        <v>#N/A N/A</v>
        <stp/>
        <stp>BQL|8349718059630727460</stp>
        <tr r="O105" s="2"/>
      </tp>
      <tp t="s">
        <v>#N/A N/A</v>
        <stp/>
        <stp>BQL|8441229829497366164</stp>
        <tr r="I208" s="2"/>
      </tp>
      <tp t="s">
        <v>#N/A N/A</v>
        <stp/>
        <stp>BQL|3469394197841753674</stp>
        <tr r="W46" s="2"/>
      </tp>
      <tp t="s">
        <v>#N/A N/A</v>
        <stp/>
        <stp>BQL|1572034191257927176</stp>
        <tr r="P312" s="2"/>
      </tp>
      <tp t="s">
        <v>#N/A N/A</v>
        <stp/>
        <stp>BQL|7803045282245369444</stp>
        <tr r="V56" s="2"/>
      </tp>
      <tp t="s">
        <v>#N/A N/A</v>
        <stp/>
        <stp>BQL|2495507355849164591</stp>
        <tr r="E85" s="2"/>
      </tp>
      <tp t="s">
        <v>#N/A N/A</v>
        <stp/>
        <stp>BQL|7930324787483693139</stp>
        <tr r="O178" s="2"/>
      </tp>
      <tp t="s">
        <v>#N/A N/A</v>
        <stp/>
        <stp>BQL|5157291789743177296</stp>
        <tr r="W230" s="2"/>
      </tp>
      <tp t="s">
        <v>#N/A N/A</v>
        <stp/>
        <stp>BQL|7718075499199789974</stp>
        <tr r="L266" s="2"/>
      </tp>
      <tp t="s">
        <v>#N/A N/A</v>
        <stp/>
        <stp>BQL|9576041261882128387</stp>
        <tr r="N236" s="2"/>
      </tp>
      <tp t="s">
        <v>#N/A N/A</v>
        <stp/>
        <stp>BQL|8042927580780890737</stp>
        <tr r="K181" s="2"/>
      </tp>
      <tp t="s">
        <v>#N/A N/A</v>
        <stp/>
        <stp>BQL|7320487937177159956</stp>
        <tr r="E287" s="2"/>
      </tp>
      <tp t="s">
        <v>#N/A N/A</v>
        <stp/>
        <stp>BQL|8614594663002017749</stp>
        <tr r="G106" s="2"/>
      </tp>
      <tp t="s">
        <v>#N/A N/A</v>
        <stp/>
        <stp>BQL|1737931349862500006</stp>
        <tr r="E286" s="2"/>
      </tp>
      <tp t="s">
        <v>#N/A N/A</v>
        <stp/>
        <stp>BQL|4142291903538244018</stp>
        <tr r="P236" s="2"/>
      </tp>
      <tp t="s">
        <v>#N/A N/A</v>
        <stp/>
        <stp>BQL|5995159869985417997</stp>
        <tr r="V63" s="2"/>
      </tp>
      <tp t="s">
        <v>#N/A N/A</v>
        <stp/>
        <stp>BQL|9895705711311300027</stp>
        <tr r="P228" s="2"/>
      </tp>
      <tp t="s">
        <v>#N/A N/A</v>
        <stp/>
        <stp>BQL|1883888687776666966</stp>
        <tr r="U147" s="2"/>
      </tp>
      <tp t="s">
        <v>#N/A N/A</v>
        <stp/>
        <stp>BQL|6878660007486867869</stp>
        <tr r="L159" s="2"/>
        <tr r="L20" s="2"/>
        <tr r="L91" s="2"/>
      </tp>
      <tp t="s">
        <v>#N/A N/A</v>
        <stp/>
        <stp>BQL|8246234893398175548</stp>
        <tr r="S355" s="2"/>
      </tp>
      <tp t="s">
        <v>#N/A N/A</v>
        <stp/>
        <stp>BQL|9331760973907012017</stp>
        <tr r="J55" s="2"/>
      </tp>
      <tp t="s">
        <v>#N/A N/A</v>
        <stp/>
        <stp>BQL|8504566441905164246</stp>
        <tr r="P126" s="2"/>
      </tp>
      <tp t="s">
        <v>#N/A N/A</v>
        <stp/>
        <stp>BQL|2463740963424798932</stp>
        <tr r="M270" s="2"/>
      </tp>
      <tp t="s">
        <v>#N/A N/A</v>
        <stp/>
        <stp>BQL|3635431961307387800</stp>
        <tr r="E345" s="2"/>
      </tp>
      <tp t="s">
        <v>#N/A N/A</v>
        <stp/>
        <stp>BQL|4273306180201197042</stp>
        <tr r="I237" s="2"/>
      </tp>
      <tp t="s">
        <v>#N/A N/A</v>
        <stp/>
        <stp>BQL|9124665226467293442</stp>
        <tr r="E243" s="2"/>
      </tp>
      <tp t="s">
        <v>#N/A N/A</v>
        <stp/>
        <stp>BQL|4257271344019136562</stp>
        <tr r="G336" s="2"/>
      </tp>
      <tp t="s">
        <v>#N/A N/A</v>
        <stp/>
        <stp>BQL|3459187043518006092</stp>
        <tr r="X201" s="2"/>
      </tp>
      <tp t="s">
        <v>#N/A N/A</v>
        <stp/>
        <stp>BQL|5202814475634761070</stp>
        <tr r="T298" s="2"/>
      </tp>
      <tp t="s">
        <v>#N/A N/A</v>
        <stp/>
        <stp>BQL|5919539945008146288</stp>
        <tr r="J173" s="2"/>
      </tp>
      <tp t="s">
        <v>#N/A N/A</v>
        <stp/>
        <stp>BQL|1437493608262664950</stp>
        <tr r="W336" s="2"/>
      </tp>
      <tp t="s">
        <v>#N/A N/A</v>
        <stp/>
        <stp>BQL|4605716560522744960</stp>
        <tr r="X337" s="2"/>
      </tp>
      <tp t="s">
        <v>#N/A N/A</v>
        <stp/>
        <stp>BQL|9187300176271396225</stp>
        <tr r="M256" s="2"/>
        <tr r="M279" s="2"/>
      </tp>
      <tp t="s">
        <v>#N/A N/A</v>
        <stp/>
        <stp>BQL|4712881698069622274</stp>
        <tr r="P346" s="2"/>
      </tp>
      <tp t="s">
        <v>#N/A N/A</v>
        <stp/>
        <stp>BQL|6053452702585535940</stp>
        <tr r="M118" s="2"/>
      </tp>
      <tp t="s">
        <v>#N/A N/A</v>
        <stp/>
        <stp>BQL|9488717564544632219</stp>
        <tr r="E72" s="2"/>
      </tp>
      <tp t="s">
        <v>#N/A N/A</v>
        <stp/>
        <stp>BQL|1132813147433778060</stp>
        <tr r="J100" s="2"/>
      </tp>
      <tp t="s">
        <v>#N/A N/A</v>
        <stp/>
        <stp>BQL|5001824836053710359</stp>
        <tr r="H64" s="2"/>
      </tp>
      <tp t="s">
        <v>#N/A N/A</v>
        <stp/>
        <stp>BQL|1878481714563001929</stp>
        <tr r="Q265" s="2"/>
      </tp>
      <tp t="s">
        <v>#N/A N/A</v>
        <stp/>
        <stp>BQL|9114675289728873120</stp>
        <tr r="H274" s="2"/>
      </tp>
      <tp t="s">
        <v>#N/A N/A</v>
        <stp/>
        <stp>BQL|2208316225204079930</stp>
        <tr r="R78" s="2"/>
      </tp>
      <tp t="s">
        <v>#N/A N/A</v>
        <stp/>
        <stp>BQL|6436442690514512109</stp>
        <tr r="I206" s="2"/>
      </tp>
      <tp t="s">
        <v>#N/A N/A</v>
        <stp/>
        <stp>BQL|7676826857607512339</stp>
        <tr r="V19" s="2"/>
        <tr r="V94" s="2"/>
      </tp>
      <tp t="s">
        <v>#N/A N/A</v>
        <stp/>
        <stp>BQL|2439739027798527101</stp>
        <tr r="H152" s="2"/>
        <tr r="H62" s="2"/>
      </tp>
      <tp t="s">
        <v>#N/A N/A</v>
        <stp/>
        <stp>BQL|6857798318876949858</stp>
        <tr r="O198" s="2"/>
      </tp>
      <tp t="s">
        <v>#N/A N/A</v>
        <stp/>
        <stp>BQL|2141875129922299488</stp>
        <tr r="W251" s="2"/>
      </tp>
      <tp t="s">
        <v>#N/A N/A</v>
        <stp/>
        <stp>BQL|6583149484638982994</stp>
        <tr r="T165" s="2"/>
      </tp>
      <tp t="s">
        <v>#N/A N/A</v>
        <stp/>
        <stp>BQL|9503354042661461123</stp>
        <tr r="L267" s="2"/>
      </tp>
      <tp t="s">
        <v>#N/A N/A</v>
        <stp/>
        <stp>BQL|8640349336947138116</stp>
        <tr r="W263" s="2"/>
      </tp>
      <tp t="s">
        <v>#N/A N/A</v>
        <stp/>
        <stp>BQL|9197125864846312605</stp>
        <tr r="M185" s="2"/>
      </tp>
      <tp t="s">
        <v>#N/A N/A</v>
        <stp/>
        <stp>BQL|2121020214928219518</stp>
        <tr r="T71" s="2"/>
      </tp>
      <tp t="s">
        <v>#N/A N/A</v>
        <stp/>
        <stp>BQL|9302348452355120405</stp>
        <tr r="U277" s="2"/>
      </tp>
      <tp t="s">
        <v>#N/A N/A</v>
        <stp/>
        <stp>BQL|9920207948928722921</stp>
        <tr r="H276" s="2"/>
      </tp>
      <tp t="s">
        <v>#N/A N/A</v>
        <stp/>
        <stp>BQL|8734569150994083252</stp>
        <tr r="K323" s="2"/>
      </tp>
      <tp t="s">
        <v>#N/A N/A</v>
        <stp/>
        <stp>BQL|8967672617396368794</stp>
        <tr r="H209" s="2"/>
      </tp>
      <tp t="s">
        <v>#N/A N/A</v>
        <stp/>
        <stp>BQL|5760567578209826027</stp>
        <tr r="N266" s="2"/>
      </tp>
      <tp t="s">
        <v>#N/A N/A</v>
        <stp/>
        <stp>BQL|4877615961023220991</stp>
        <tr r="X57" s="2"/>
      </tp>
      <tp t="s">
        <v>#N/A N/A</v>
        <stp/>
        <stp>BQL|3080038313175434970</stp>
        <tr r="J287" s="2"/>
      </tp>
      <tp t="s">
        <v>#N/A N/A</v>
        <stp/>
        <stp>BQL|8283163295117011929</stp>
        <tr r="G173" s="2"/>
      </tp>
      <tp t="s">
        <v>#N/A N/A</v>
        <stp/>
        <stp>BQL|5544896152814940243</stp>
        <tr r="K101" s="2"/>
        <tr r="K23" s="2"/>
      </tp>
      <tp t="s">
        <v>#N/A N/A</v>
        <stp/>
        <stp>BQL|2237229636739004451</stp>
        <tr r="F324" s="2"/>
        <tr r="F40" s="2"/>
      </tp>
      <tp t="s">
        <v>#N/A N/A</v>
        <stp/>
        <stp>BQL|3327885066862745190</stp>
        <tr r="W113" s="2"/>
      </tp>
      <tp t="s">
        <v>#N/A N/A</v>
        <stp/>
        <stp>BQL|4147447676560804992</stp>
        <tr r="L127" s="2"/>
      </tp>
      <tp t="s">
        <v>#N/A N/A</v>
        <stp/>
        <stp>BQL|1250986282147229984</stp>
        <tr r="Q334" s="2"/>
      </tp>
      <tp t="s">
        <v>#N/A N/A</v>
        <stp/>
        <stp>BQL|5360746341351726936</stp>
        <tr r="R183" s="2"/>
      </tp>
      <tp t="s">
        <v>#N/A N/A</v>
        <stp/>
        <stp>BQL|8300764341661757411</stp>
        <tr r="N184" s="2"/>
        <tr r="N35" s="2"/>
      </tp>
      <tp t="s">
        <v>#N/A N/A</v>
        <stp/>
        <stp>BQL|6451900012493035343</stp>
        <tr r="X130" s="2"/>
      </tp>
      <tp t="s">
        <v>#N/A N/A</v>
        <stp/>
        <stp>BQL|8604068401311015735</stp>
        <tr r="I172" s="2"/>
      </tp>
      <tp t="s">
        <v>#N/A N/A</v>
        <stp/>
        <stp>BQL|2191122117014362852</stp>
        <tr r="I284" s="2"/>
      </tp>
      <tp t="s">
        <v>#N/A N/A</v>
        <stp/>
        <stp>BQL|4287502883506672151</stp>
        <tr r="W190" s="2"/>
      </tp>
      <tp t="s">
        <v>#N/A N/A</v>
        <stp/>
        <stp>BQL|6784824054603554667</stp>
        <tr r="J214" s="2"/>
      </tp>
      <tp t="s">
        <v>#N/A N/A</v>
        <stp/>
        <stp>BQL|4490601626506761848</stp>
        <tr r="M268" s="2"/>
      </tp>
      <tp t="s">
        <v>#N/A N/A</v>
        <stp/>
        <stp>BQL|5622975891899367224</stp>
        <tr r="U340" s="2"/>
      </tp>
      <tp t="s">
        <v>#N/A N/A</v>
        <stp/>
        <stp>BQL|9235942056139326237</stp>
        <tr r="V345" s="2"/>
      </tp>
      <tp t="s">
        <v>#N/A N/A</v>
        <stp/>
        <stp>BQL|5558348464847162947</stp>
        <tr r="O265" s="2"/>
      </tp>
      <tp t="s">
        <v>#N/A N/A</v>
        <stp/>
        <stp>BQL|9856028089787082835</stp>
        <tr r="S47" s="2"/>
      </tp>
      <tp t="s">
        <v>#N/A N/A</v>
        <stp/>
        <stp>BQL|3857840465852947108</stp>
        <tr r="U4" s="2"/>
      </tp>
      <tp t="s">
        <v>#N/A N/A</v>
        <stp/>
        <stp>BQL|8758622763250258641</stp>
        <tr r="I330" s="2"/>
      </tp>
      <tp t="s">
        <v>#N/A N/A</v>
        <stp/>
        <stp>BQL|2571665232429242032</stp>
        <tr r="K177" s="2"/>
      </tp>
      <tp t="s">
        <v>#N/A N/A</v>
        <stp/>
        <stp>BQL|9305420756353414532</stp>
        <tr r="M295" s="2"/>
      </tp>
      <tp t="s">
        <v>#N/A N/A</v>
        <stp/>
        <stp>BQL|3619482493601573182</stp>
        <tr r="F115" s="2"/>
      </tp>
      <tp t="s">
        <v>#N/A N/A</v>
        <stp/>
        <stp>BQL|4239679491152725734</stp>
        <tr r="S294" s="2"/>
      </tp>
      <tp t="s">
        <v>#N/A N/A</v>
        <stp/>
        <stp>BQL|9396104666645276575</stp>
        <tr r="O204" s="2"/>
      </tp>
      <tp t="s">
        <v>#N/A N/A</v>
        <stp/>
        <stp>BQL|2934265224785227998</stp>
        <tr r="X212" s="2"/>
        <tr r="X6" s="2"/>
      </tp>
      <tp t="s">
        <v>#N/A N/A</v>
        <stp/>
        <stp>BQL|3560747787114321658</stp>
        <tr r="T18" s="2"/>
        <tr r="T93" s="2"/>
      </tp>
      <tp t="s">
        <v>#N/A N/A</v>
        <stp/>
        <stp>BQL|26571623492866293</stp>
        <tr r="G255" s="2"/>
      </tp>
      <tp t="s">
        <v>#N/A N/A</v>
        <stp/>
        <stp>BQL|35321873427481444</stp>
        <tr r="P365" s="2"/>
      </tp>
      <tp t="s">
        <v>#N/A N/A</v>
        <stp/>
        <stp>BQL|26548309612407089</stp>
        <tr r="H73" s="2"/>
      </tp>
      <tp t="s">
        <v>#N/A N/A</v>
        <stp/>
        <stp>BQL|10085756334017644</stp>
        <tr r="U304" s="2"/>
      </tp>
      <tp t="s">
        <v>#N/A N/A</v>
        <stp/>
        <stp>BQL|9331148474888908857</stp>
        <tr r="X272" s="2"/>
      </tp>
      <tp t="s">
        <v>#N/A N/A</v>
        <stp/>
        <stp>BQL|9886636130857652427</stp>
        <tr r="I225" s="2"/>
      </tp>
      <tp t="s">
        <v>#N/A N/A</v>
        <stp/>
        <stp>BQL|7798395190944155606</stp>
        <tr r="H211" s="2"/>
      </tp>
      <tp t="s">
        <v>#N/A N/A</v>
        <stp/>
        <stp>BQL|3051355795927792194</stp>
        <tr r="R10" s="2"/>
        <tr r="R60" s="2"/>
      </tp>
      <tp t="s">
        <v>#N/A N/A</v>
        <stp/>
        <stp>BQL|4504104802823958909</stp>
        <tr r="H295" s="2"/>
      </tp>
      <tp t="s">
        <v>#N/A N/A</v>
        <stp/>
        <stp>BQL|8547260958802195245</stp>
        <tr r="P248" s="2"/>
      </tp>
      <tp t="s">
        <v>#N/A N/A</v>
        <stp/>
        <stp>BQL|8960945282110911681</stp>
        <tr r="X270" s="2"/>
      </tp>
      <tp t="s">
        <v>#N/A N/A</v>
        <stp/>
        <stp>BQL|3524674511989941249</stp>
        <tr r="K340" s="2"/>
      </tp>
      <tp t="s">
        <v>#N/A N/A</v>
        <stp/>
        <stp>BQL|8979522174726995383</stp>
        <tr r="N128" s="2"/>
        <tr r="N33" s="2"/>
      </tp>
      <tp t="s">
        <v>#N/A N/A</v>
        <stp/>
        <stp>BQL|8519541040500984666</stp>
        <tr r="H265" s="2"/>
      </tp>
      <tp t="s">
        <v>#N/A N/A</v>
        <stp/>
        <stp>BQL|3849526603161613818</stp>
        <tr r="L270" s="2"/>
      </tp>
      <tp t="s">
        <v>#N/A N/A</v>
        <stp/>
        <stp>BQL|9022497733204676517</stp>
        <tr r="F163" s="2"/>
        <tr r="F7" s="2"/>
      </tp>
      <tp t="s">
        <v>#N/A N/A</v>
        <stp/>
        <stp>BQL|8352194559114909777</stp>
        <tr r="X68" s="2"/>
      </tp>
      <tp t="s">
        <v>#N/A N/A</v>
        <stp/>
        <stp>BQL|9222674411409840810</stp>
        <tr r="K24" s="2"/>
        <tr r="K95" s="2"/>
      </tp>
      <tp t="s">
        <v>#N/A N/A</v>
        <stp/>
        <stp>BQL|3657841967442080089</stp>
        <tr r="J116" s="2"/>
        <tr r="J30" s="2"/>
      </tp>
      <tp t="s">
        <v>#N/A N/A</v>
        <stp/>
        <stp>BQL|1262782515350064822</stp>
        <tr r="U267" s="2"/>
      </tp>
      <tp t="s">
        <v>#N/A N/A</v>
        <stp/>
        <stp>BQL|5047989893369506332</stp>
        <tr r="S226" s="2"/>
      </tp>
      <tp t="s">
        <v>#N/A N/A</v>
        <stp/>
        <stp>BQL|3498166766159960207</stp>
        <tr r="I239" s="2"/>
      </tp>
      <tp t="s">
        <v>#N/A N/A</v>
        <stp/>
        <stp>BQL|4664269389545508414</stp>
        <tr r="F329" s="2"/>
      </tp>
      <tp t="s">
        <v>#N/A N/A</v>
        <stp/>
        <stp>BQL|3763922008047967287</stp>
        <tr r="G234" s="2"/>
        <tr r="G311" s="2"/>
      </tp>
      <tp t="s">
        <v>#N/A N/A</v>
        <stp/>
        <stp>BQL|3756567492547619792</stp>
        <tr r="M108" s="2"/>
      </tp>
      <tp t="s">
        <v>#N/A N/A</v>
        <stp/>
        <stp>BQL|9418798826084793704</stp>
        <tr r="G358" s="2"/>
      </tp>
      <tp t="s">
        <v>#N/A N/A</v>
        <stp/>
        <stp>BQL|9463647045236861213</stp>
        <tr r="H273" s="2"/>
      </tp>
      <tp t="s">
        <v>#N/A N/A</v>
        <stp/>
        <stp>BQL|6463665669078382149</stp>
        <tr r="V317" s="2"/>
      </tp>
      <tp t="s">
        <v>#N/A N/A</v>
        <stp/>
        <stp>BQL|8772236458274520453</stp>
        <tr r="T236" s="2"/>
      </tp>
      <tp t="s">
        <v>#N/A N/A</v>
        <stp/>
        <stp>BQL|1170857477697624696</stp>
        <tr r="J261" s="2"/>
      </tp>
      <tp t="s">
        <v>#N/A N/A</v>
        <stp/>
        <stp>BQL|3546055008354560819</stp>
        <tr r="R118" s="2"/>
      </tp>
      <tp t="s">
        <v>#N/A N/A</v>
        <stp/>
        <stp>BQL|4254881075350073438</stp>
        <tr r="V274" s="2"/>
      </tp>
      <tp t="s">
        <v>#N/A N/A</v>
        <stp/>
        <stp>BQL|4239895241801506636</stp>
        <tr r="U172" s="2"/>
      </tp>
      <tp t="s">
        <v>#N/A N/A</v>
        <stp/>
        <stp>BQL|2978890672470816268</stp>
        <tr r="U310" s="2"/>
      </tp>
      <tp t="s">
        <v>#N/A N/A</v>
        <stp/>
        <stp>BQL|8342442939666133645</stp>
        <tr r="X107" s="2"/>
      </tp>
      <tp t="s">
        <v>#N/A N/A</v>
        <stp/>
        <stp>BQL|9969772246751052435</stp>
        <tr r="L346" s="2"/>
      </tp>
      <tp t="s">
        <v>#N/A N/A</v>
        <stp/>
        <stp>BQL|6161796283917742170</stp>
        <tr r="N206" s="2"/>
      </tp>
      <tp t="s">
        <v>#N/A N/A</v>
        <stp/>
        <stp>BQL|8020129017143975471</stp>
        <tr r="N235" s="2"/>
      </tp>
      <tp t="s">
        <v>#N/A N/A</v>
        <stp/>
        <stp>BQL|8579447061467347295</stp>
        <tr r="P252" s="2"/>
      </tp>
      <tp t="s">
        <v>#N/A N/A</v>
        <stp/>
        <stp>BQL|3895935843123794255</stp>
        <tr r="P325" s="2"/>
      </tp>
      <tp t="s">
        <v>#N/A N/A</v>
        <stp/>
        <stp>BQL|9138652379246508120</stp>
        <tr r="H244" s="2"/>
      </tp>
      <tp t="s">
        <v>#N/A N/A</v>
        <stp/>
        <stp>BQL|9181188911916418064</stp>
        <tr r="K174" s="2"/>
      </tp>
      <tp t="s">
        <v>#N/A N/A</v>
        <stp/>
        <stp>BQL|1192724293224342494</stp>
        <tr r="W284" s="2"/>
      </tp>
      <tp t="s">
        <v>#N/A N/A</v>
        <stp/>
        <stp>BQL|7753397425291076822</stp>
        <tr r="E269" s="2"/>
      </tp>
      <tp t="s">
        <v>#N/A N/A</v>
        <stp/>
        <stp>BQL|5145496886341470733</stp>
        <tr r="W128" s="2"/>
        <tr r="W33" s="2"/>
      </tp>
      <tp t="s">
        <v>#N/A N/A</v>
        <stp/>
        <stp>BQL|5993088985475846754</stp>
        <tr r="T214" s="2"/>
      </tp>
      <tp t="s">
        <v>#N/A N/A</v>
        <stp/>
        <stp>BQL|9646384324303764441</stp>
        <tr r="X214" s="2"/>
      </tp>
      <tp t="s">
        <v>#N/A N/A</v>
        <stp/>
        <stp>BQL|1563933176013875313</stp>
        <tr r="L355" s="2"/>
      </tp>
      <tp t="s">
        <v>#N/A N/A</v>
        <stp/>
        <stp>BQL|2284127295492499782</stp>
        <tr r="T223" s="2"/>
      </tp>
      <tp t="s">
        <v>#N/A N/A</v>
        <stp/>
        <stp>BQL|7095764677451822908</stp>
        <tr r="T335" s="2"/>
      </tp>
      <tp t="s">
        <v>#N/A N/A</v>
        <stp/>
        <stp>BQL|3206239375760952948</stp>
        <tr r="E358" s="2"/>
      </tp>
      <tp t="s">
        <v>#N/A N/A</v>
        <stp/>
        <stp>BQL|3189298039685802805</stp>
        <tr r="F243" s="2"/>
      </tp>
      <tp t="s">
        <v>#N/A N/A</v>
        <stp/>
        <stp>BQL|7685914619452462232</stp>
        <tr r="H346" s="2"/>
      </tp>
      <tp t="s">
        <v>#N/A N/A</v>
        <stp/>
        <stp>BQL|1075646903839635185</stp>
        <tr r="L326" s="2"/>
        <tr r="L41" s="2"/>
      </tp>
      <tp t="s">
        <v>#N/A N/A</v>
        <stp/>
        <stp>BQL|6404889590730758824</stp>
        <tr r="K276" s="2"/>
      </tp>
      <tp t="s">
        <v>#N/A N/A</v>
        <stp/>
        <stp>BQL|1235301854470655899</stp>
        <tr r="E245" s="2"/>
      </tp>
      <tp t="s">
        <v>#N/A N/A</v>
        <stp/>
        <stp>BQL|3388687474449547435</stp>
        <tr r="H107" s="2"/>
      </tp>
      <tp t="s">
        <v>#N/A N/A</v>
        <stp/>
        <stp>BQL|4869588985666554088</stp>
        <tr r="G317" s="2"/>
      </tp>
      <tp t="s">
        <v>#N/A N/A</v>
        <stp/>
        <stp>BQL|2569533298797346657</stp>
        <tr r="G160" s="2"/>
        <tr r="G21" s="2"/>
        <tr r="G92" s="2"/>
      </tp>
      <tp t="s">
        <v>#N/A N/A</v>
        <stp/>
        <stp>BQL|8100489128075020496</stp>
        <tr r="K19" s="2"/>
        <tr r="K94" s="2"/>
      </tp>
      <tp t="s">
        <v>#N/A N/A</v>
        <stp/>
        <stp>BQL|4902714976933137873</stp>
        <tr r="N204" s="2"/>
      </tp>
      <tp t="s">
        <v>#N/A N/A</v>
        <stp/>
        <stp>BQL|5961582859013238929</stp>
        <tr r="H53" s="2"/>
      </tp>
      <tp t="s">
        <v>#N/A N/A</v>
        <stp/>
        <stp>BQL|5820206054358718538</stp>
        <tr r="O126" s="2"/>
      </tp>
      <tp t="s">
        <v>#N/A N/A</v>
        <stp/>
        <stp>BQL|3981477490187982600</stp>
        <tr r="Q261" s="2"/>
      </tp>
      <tp t="s">
        <v>#N/A N/A</v>
        <stp/>
        <stp>BQL|8819812802947506899</stp>
        <tr r="X297" s="2"/>
      </tp>
      <tp t="s">
        <v>#N/A N/A</v>
        <stp/>
        <stp>BQL|4263704780567107345</stp>
        <tr r="S159" s="2"/>
        <tr r="S20" s="2"/>
        <tr r="S91" s="2"/>
      </tp>
      <tp t="s">
        <v>#N/A N/A</v>
        <stp/>
        <stp>BQL|4903067899992483054</stp>
        <tr r="W101" s="2"/>
        <tr r="W23" s="2"/>
      </tp>
      <tp t="s">
        <v>#N/A N/A</v>
        <stp/>
        <stp>BQL|9990482012616044540</stp>
        <tr r="J211" s="2"/>
      </tp>
      <tp t="s">
        <v>#N/A N/A</v>
        <stp/>
        <stp>BQL|1408741298895910561</stp>
        <tr r="X10" s="2"/>
        <tr r="X60" s="2"/>
      </tp>
      <tp t="s">
        <v>#N/A N/A</v>
        <stp/>
        <stp>BQL|4368150733139149038</stp>
        <tr r="H243" s="2"/>
      </tp>
      <tp t="s">
        <v>#N/A N/A</v>
        <stp/>
        <stp>BQL|8679834650282631849</stp>
        <tr r="M101" s="2"/>
        <tr r="M23" s="2"/>
      </tp>
      <tp t="s">
        <v>#N/A N/A</v>
        <stp/>
        <stp>BQL|7470247018819897267</stp>
        <tr r="J363" s="2"/>
      </tp>
      <tp t="s">
        <v>#N/A N/A</v>
        <stp/>
        <stp>BQL|3516288790860350787</stp>
        <tr r="M329" s="2"/>
      </tp>
      <tp t="s">
        <v>#N/A N/A</v>
        <stp/>
        <stp>BQL|3173976768732867103</stp>
        <tr r="N226" s="2"/>
      </tp>
      <tp t="s">
        <v>#N/A N/A</v>
        <stp/>
        <stp>BQL|5290869467564046053</stp>
        <tr r="Q229" s="2"/>
      </tp>
      <tp t="s">
        <v>#N/A N/A</v>
        <stp/>
        <stp>BQL|1260629287222159239</stp>
        <tr r="W357" s="2"/>
      </tp>
      <tp t="s">
        <v>#N/A N/A</v>
        <stp/>
        <stp>BQL|4342917421692655200</stp>
        <tr r="F260" s="2"/>
      </tp>
      <tp t="s">
        <v>#N/A N/A</v>
        <stp/>
        <stp>BQL|9778648985388385008</stp>
        <tr r="R108" s="2"/>
      </tp>
      <tp t="s">
        <v>#N/A N/A</v>
        <stp/>
        <stp>BQL|6700504184302507638</stp>
        <tr r="V252" s="2"/>
      </tp>
      <tp t="s">
        <v>#N/A N/A</v>
        <stp/>
        <stp>BQL|5036303207608716159</stp>
        <tr r="F193" s="2"/>
      </tp>
      <tp t="s">
        <v>#N/A N/A</v>
        <stp/>
        <stp>BQL|5408056964265026913</stp>
        <tr r="E291" s="2"/>
      </tp>
      <tp t="s">
        <v>#N/A N/A</v>
        <stp/>
        <stp>BQL|2648126628628027681</stp>
        <tr r="R184" s="2"/>
        <tr r="R35" s="2"/>
      </tp>
      <tp t="s">
        <v>#N/A N/A</v>
        <stp/>
        <stp>BQL|2841986897588204511</stp>
        <tr r="N282" s="2"/>
      </tp>
      <tp t="s">
        <v>#N/A N/A</v>
        <stp/>
        <stp>BQL|4254864824104741537</stp>
        <tr r="X360" s="2"/>
      </tp>
      <tp t="s">
        <v>#N/A N/A</v>
        <stp/>
        <stp>BQL|3769935806870689500</stp>
        <tr r="E76" s="2"/>
      </tp>
      <tp t="s">
        <v>#N/A N/A</v>
        <stp/>
        <stp>BQL|5998800803283646180</stp>
        <tr r="T291" s="2"/>
      </tp>
      <tp t="s">
        <v>#N/A N/A</v>
        <stp/>
        <stp>BQL|3502958965430043317</stp>
        <tr r="O206" s="2"/>
      </tp>
      <tp t="s">
        <v>#N/A N/A</v>
        <stp/>
        <stp>BQL|7867269974679765491</stp>
        <tr r="W256" s="2"/>
        <tr r="W279" s="2"/>
      </tp>
      <tp t="s">
        <v>#N/A N/A</v>
        <stp/>
        <stp>BQL|4446792689310983496</stp>
        <tr r="P217" s="2"/>
      </tp>
      <tp t="s">
        <v>#N/A N/A</v>
        <stp/>
        <stp>BQL|7702338580480623319</stp>
        <tr r="W264" s="2"/>
      </tp>
      <tp t="s">
        <v>#N/A N/A</v>
        <stp/>
        <stp>BQL|4070898954894728292</stp>
        <tr r="I296" s="2"/>
      </tp>
      <tp t="s">
        <v>#N/A N/A</v>
        <stp/>
        <stp>BQL|9668536603777483418</stp>
        <tr r="Q153" s="2"/>
        <tr r="Q65" s="2"/>
      </tp>
      <tp t="s">
        <v>#N/A N/A</v>
        <stp/>
        <stp>BQL|3487958473316454455</stp>
        <tr r="R255" s="2"/>
      </tp>
      <tp t="s">
        <v>#N/A N/A</v>
        <stp/>
        <stp>BQL|9905483715896678514</stp>
        <tr r="E356" s="2"/>
      </tp>
      <tp t="s">
        <v>#N/A N/A</v>
        <stp/>
        <stp>BQL|9684795400257823646</stp>
        <tr r="M208" s="2"/>
      </tp>
      <tp t="s">
        <v>#N/A N/A</v>
        <stp/>
        <stp>BQL|1229569513189047344</stp>
        <tr r="V152" s="2"/>
        <tr r="V62" s="2"/>
      </tp>
      <tp t="s">
        <v>#N/A N/A</v>
        <stp/>
        <stp>BQL|6502370890766443547</stp>
        <tr r="X198" s="2"/>
      </tp>
      <tp t="s">
        <v>#N/A N/A</v>
        <stp/>
        <stp>BQL|8793546892928465373</stp>
        <tr r="F267" s="2"/>
      </tp>
      <tp t="s">
        <v>#N/A N/A</v>
        <stp/>
        <stp>BQL|9054913657713518912</stp>
        <tr r="Q222" s="2"/>
      </tp>
      <tp t="s">
        <v>#N/A N/A</v>
        <stp/>
        <stp>BQL|6903682933884467845</stp>
        <tr r="I24" s="2"/>
        <tr r="I95" s="2"/>
      </tp>
      <tp t="s">
        <v>#N/A N/A</v>
        <stp/>
        <stp>BQL|5152704737988226663</stp>
        <tr r="E301" s="2"/>
      </tp>
      <tp t="s">
        <v>#N/A N/A</v>
        <stp/>
        <stp>BQL|6536310516812515952</stp>
        <tr r="T181" s="2"/>
      </tp>
      <tp t="s">
        <v>#N/A N/A</v>
        <stp/>
        <stp>BQL|7775103994963710358</stp>
        <tr r="X47" s="2"/>
      </tp>
      <tp t="s">
        <v>#N/A N/A</v>
        <stp/>
        <stp>BQL|1710221802905493924</stp>
        <tr r="X101" s="2"/>
        <tr r="X23" s="2"/>
      </tp>
      <tp t="s">
        <v>#N/A N/A</v>
        <stp/>
        <stp>BQL|1862157951329874356</stp>
        <tr r="X77" s="2"/>
      </tp>
      <tp t="s">
        <v>#N/A N/A</v>
        <stp/>
        <stp>BQL|5566243927889762307</stp>
        <tr r="T303" s="2"/>
      </tp>
      <tp t="s">
        <v>#N/A N/A</v>
        <stp/>
        <stp>BQL|6782440976259266365</stp>
        <tr r="P25" s="2"/>
        <tr r="P96" s="2"/>
      </tp>
      <tp t="s">
        <v>#N/A N/A</v>
        <stp/>
        <stp>BQL|6803874779730554633</stp>
        <tr r="R284" s="2"/>
      </tp>
      <tp t="s">
        <v>#N/A N/A</v>
        <stp/>
        <stp>BQL|5608632134826075919</stp>
        <tr r="P156" s="2"/>
      </tp>
      <tp t="s">
        <v>#N/A N/A</v>
        <stp/>
        <stp>BQL|1685145057369028358</stp>
        <tr r="W181" s="2"/>
      </tp>
      <tp t="s">
        <v>#N/A N/A</v>
        <stp/>
        <stp>BQL|2629890299928433428</stp>
        <tr r="E209" s="2"/>
      </tp>
      <tp t="s">
        <v>#N/A N/A</v>
        <stp/>
        <stp>BQL|3413883552127661688</stp>
        <tr r="L246" s="2"/>
      </tp>
      <tp t="s">
        <v>#N/A N/A</v>
        <stp/>
        <stp>BQL|6884427449191107823</stp>
        <tr r="E351" s="2"/>
      </tp>
      <tp t="s">
        <v>#N/A N/A</v>
        <stp/>
        <stp>BQL|3540653983325590761</stp>
        <tr r="W338" s="2"/>
      </tp>
      <tp t="s">
        <v>#N/A N/A</v>
        <stp/>
        <stp>BQL|7413559999555954116</stp>
        <tr r="T359" s="2"/>
      </tp>
      <tp t="s">
        <v>#N/A N/A</v>
        <stp/>
        <stp>BQL|8698734371981684626</stp>
        <tr r="O188" s="2"/>
        <tr r="O38" s="2"/>
      </tp>
      <tp t="s">
        <v>#N/A N/A</v>
        <stp/>
        <stp>BQL|7285938626957714402</stp>
        <tr r="G174" s="2"/>
      </tp>
      <tp t="s">
        <v>#N/A N/A</v>
        <stp/>
        <stp>BQL|12349712951112512</stp>
        <tr r="W304" s="2"/>
      </tp>
      <tp t="s">
        <v>#N/A N/A</v>
        <stp/>
        <stp>BQL|95641124366260421</stp>
        <tr r="T254" s="2"/>
      </tp>
      <tp t="s">
        <v>#N/A N/A</v>
        <stp/>
        <stp>BQL|94523809485934630</stp>
        <tr r="E350" s="2"/>
      </tp>
      <tp t="s">
        <v>#N/A N/A</v>
        <stp/>
        <stp>BQL|8140088615879127823</stp>
        <tr r="F261" s="2"/>
      </tp>
      <tp t="s">
        <v>#N/A N/A</v>
        <stp/>
        <stp>BQL|8998688038965672004</stp>
        <tr r="M181" s="2"/>
      </tp>
      <tp t="s">
        <v>#N/A N/A</v>
        <stp/>
        <stp>BQL|4847302756703829998</stp>
        <tr r="X296" s="2"/>
      </tp>
      <tp t="s">
        <v>#N/A N/A</v>
        <stp/>
        <stp>BQL|3543404499231771751</stp>
        <tr r="L192" s="2"/>
      </tp>
      <tp t="s">
        <v>#N/A N/A</v>
        <stp/>
        <stp>BQL|2713129186375591682</stp>
        <tr r="X354" s="2"/>
      </tp>
      <tp t="s">
        <v>#N/A N/A</v>
        <stp/>
        <stp>BQL|1664904844083907750</stp>
        <tr r="H338" s="2"/>
      </tp>
      <tp t="s">
        <v>#N/A N/A</v>
        <stp/>
        <stp>BQL|7727520289793604149</stp>
        <tr r="V303" s="2"/>
      </tp>
      <tp t="s">
        <v>#N/A N/A</v>
        <stp/>
        <stp>BQL|2289826407401837310</stp>
        <tr r="N165" s="2"/>
      </tp>
      <tp t="s">
        <v>#N/A N/A</v>
        <stp/>
        <stp>BQL|8558999241184359903</stp>
        <tr r="T283" s="2"/>
      </tp>
      <tp t="s">
        <v>#N/A N/A</v>
        <stp/>
        <stp>BQL|3861867191643697974</stp>
        <tr r="M119" s="2"/>
      </tp>
      <tp t="s">
        <v>#N/A N/A</v>
        <stp/>
        <stp>BQL|3187899424421015011</stp>
        <tr r="T117" s="2"/>
      </tp>
      <tp t="s">
        <v>#N/A N/A</v>
        <stp/>
        <stp>BQL|1228757988226265004</stp>
        <tr r="I147" s="2"/>
      </tp>
      <tp t="s">
        <v>#N/A N/A</v>
        <stp/>
        <stp>BQL|1665950515003998228</stp>
        <tr r="U253" s="2"/>
      </tp>
      <tp t="s">
        <v>#N/A N/A</v>
        <stp/>
        <stp>BQL|1816096390833588396</stp>
        <tr r="V55" s="2"/>
      </tp>
      <tp t="s">
        <v>#N/A N/A</v>
        <stp/>
        <stp>BQL|4811948172952608053</stp>
        <tr r="U324" s="2"/>
        <tr r="U40" s="2"/>
      </tp>
      <tp t="s">
        <v>#N/A N/A</v>
        <stp/>
        <stp>BQL|3654330599945090417</stp>
        <tr r="U342" s="2"/>
      </tp>
      <tp t="s">
        <v>#N/A N/A</v>
        <stp/>
        <stp>BQL|2077910758330399672</stp>
        <tr r="V171" s="2"/>
      </tp>
      <tp t="s">
        <v>#N/A N/A</v>
        <stp/>
        <stp>BQL|9820953782040790051</stp>
        <tr r="S358" s="2"/>
      </tp>
      <tp t="s">
        <v>#N/A N/A</v>
        <stp/>
        <stp>BQL|6939468019052340986</stp>
        <tr r="W169" s="2"/>
        <tr r="W219" s="2"/>
      </tp>
      <tp t="s">
        <v>#N/A N/A</v>
        <stp/>
        <stp>BQL|1389141981677829737</stp>
        <tr r="R165" s="2"/>
      </tp>
      <tp t="s">
        <v>#N/A N/A</v>
        <stp/>
        <stp>BQL|9889113013204773504</stp>
        <tr r="R63" s="2"/>
      </tp>
      <tp t="s">
        <v>#N/A N/A</v>
        <stp/>
        <stp>BQL|8702078119705130449</stp>
        <tr r="L175" s="2"/>
      </tp>
      <tp t="s">
        <v>#N/A N/A</v>
        <stp/>
        <stp>BQL|1027894178133872553</stp>
        <tr r="N24" s="2"/>
        <tr r="N95" s="2"/>
      </tp>
      <tp t="s">
        <v>#N/A N/A</v>
        <stp/>
        <stp>BQL|7639634989689074804</stp>
        <tr r="S199" s="2"/>
      </tp>
      <tp t="s">
        <v>#N/A N/A</v>
        <stp/>
        <stp>BQL|1290332980566436490</stp>
        <tr r="M121" s="2"/>
      </tp>
      <tp t="s">
        <v>#N/A N/A</v>
        <stp/>
        <stp>BQL|4013124722376983951</stp>
        <tr r="P13" s="2"/>
        <tr r="P84" s="2"/>
      </tp>
      <tp t="s">
        <v>#N/A N/A</v>
        <stp/>
        <stp>BQL|5175790287605672723</stp>
        <tr r="T171" s="2"/>
      </tp>
      <tp t="s">
        <v>#N/A N/A</v>
        <stp/>
        <stp>BQL|4919766534780442841</stp>
        <tr r="T106" s="2"/>
      </tp>
      <tp t="s">
        <v>#N/A N/A</v>
        <stp/>
        <stp>BQL|4641283602646549820</stp>
        <tr r="I315" s="2"/>
      </tp>
      <tp t="s">
        <v>#N/A N/A</v>
        <stp/>
        <stp>BQL|3883075495833359127</stp>
        <tr r="F290" s="2"/>
      </tp>
      <tp t="s">
        <v>#N/A N/A</v>
        <stp/>
        <stp>BQL|1028997326076469405</stp>
        <tr r="F152" s="2"/>
        <tr r="F62" s="2"/>
      </tp>
      <tp t="s">
        <v>#N/A N/A</v>
        <stp/>
        <stp>BQL|4374158623316844968</stp>
        <tr r="X334" s="2"/>
      </tp>
      <tp t="s">
        <v>#N/A N/A</v>
        <stp/>
        <stp>BQL|9938278231849418901</stp>
        <tr r="X364" s="2"/>
      </tp>
      <tp t="s">
        <v>#N/A N/A</v>
        <stp/>
        <stp>BQL|5569822858576216663</stp>
        <tr r="P100" s="2"/>
      </tp>
      <tp t="s">
        <v>#N/A N/A</v>
        <stp/>
        <stp>BQL|1293920412666027790</stp>
        <tr r="V72" s="2"/>
      </tp>
      <tp t="s">
        <v>#N/A N/A</v>
        <stp/>
        <stp>BQL|7290901580439944705</stp>
        <tr r="G339" s="2"/>
      </tp>
      <tp t="s">
        <v>#N/A N/A</v>
        <stp/>
        <stp>BQL|1843236511849660373</stp>
        <tr r="K78" s="2"/>
      </tp>
      <tp t="s">
        <v>#N/A N/A</v>
        <stp/>
        <stp>BQL|6811767785119548858</stp>
        <tr r="U274" s="2"/>
      </tp>
      <tp t="s">
        <v>#N/A N/A</v>
        <stp/>
        <stp>BQL|7064550472899890452</stp>
        <tr r="G360" s="2"/>
      </tp>
      <tp t="s">
        <v>#N/A N/A</v>
        <stp/>
        <stp>BQL|5025091146629261075</stp>
        <tr r="O108" s="2"/>
      </tp>
      <tp t="s">
        <v>#N/A N/A</v>
        <stp/>
        <stp>BQL|5598860569943759073</stp>
        <tr r="H22" s="2"/>
        <tr r="H99" s="2"/>
      </tp>
      <tp t="s">
        <v>#N/A N/A</v>
        <stp/>
        <stp>BQL|3633060959076204815</stp>
        <tr r="E276" s="2"/>
      </tp>
      <tp t="s">
        <v>#N/A N/A</v>
        <stp/>
        <stp>BQL|9390985605100036843</stp>
        <tr r="R274" s="2"/>
      </tp>
      <tp t="s">
        <v>#N/A N/A</v>
        <stp/>
        <stp>BQL|1352906739972820185</stp>
        <tr r="T346" s="2"/>
      </tp>
      <tp t="s">
        <v>#N/A N/A</v>
        <stp/>
        <stp>BQL|6253857453310882366</stp>
        <tr r="X124" s="2"/>
        <tr r="X32" s="2"/>
      </tp>
      <tp t="s">
        <v>#N/A N/A</v>
        <stp/>
        <stp>BQL|8222085136447027455</stp>
        <tr r="V121" s="2"/>
      </tp>
      <tp t="s">
        <v>#N/A N/A</v>
        <stp/>
        <stp>BQL|8944461700047496328</stp>
        <tr r="N196" s="2"/>
      </tp>
      <tp t="s">
        <v>#N/A N/A</v>
        <stp/>
        <stp>BQL|5305541119148442133</stp>
        <tr r="U132" s="2"/>
      </tp>
      <tp t="s">
        <v>#N/A N/A</v>
        <stp/>
        <stp>BQL|9906695929746762373</stp>
        <tr r="E261" s="2"/>
      </tp>
      <tp t="s">
        <v>#N/A N/A</v>
        <stp/>
        <stp>BQL|7621317958681665803</stp>
        <tr r="R226" s="2"/>
      </tp>
      <tp t="s">
        <v>#N/A N/A</v>
        <stp/>
        <stp>BQL|5747076001695023887</stp>
        <tr r="O73" s="2"/>
      </tp>
      <tp t="s">
        <v>#N/A N/A</v>
        <stp/>
        <stp>BQL|2082443229019322579</stp>
        <tr r="H239" s="2"/>
      </tp>
      <tp t="s">
        <v>#N/A N/A</v>
        <stp/>
        <stp>BQL|4962640786932253003</stp>
        <tr r="P190" s="2"/>
      </tp>
      <tp t="s">
        <v>#N/A N/A</v>
        <stp/>
        <stp>BQL|3403962718493280017</stp>
        <tr r="L180" s="2"/>
      </tp>
      <tp t="s">
        <v>#N/A N/A</v>
        <stp/>
        <stp>BQL|3775169766754663884</stp>
        <tr r="J158" s="2"/>
        <tr r="J17" s="2"/>
        <tr r="J90" s="2"/>
      </tp>
      <tp t="s">
        <v>#N/A N/A</v>
        <stp/>
        <stp>BQL|7847191522804861820</stp>
        <tr r="L51" s="2"/>
      </tp>
      <tp t="s">
        <v>#N/A N/A</v>
        <stp/>
        <stp>BQL|2821610089933844708</stp>
        <tr r="V312" s="2"/>
      </tp>
      <tp t="s">
        <v>#N/A N/A</v>
        <stp/>
        <stp>BQL|8629274355365827240</stp>
        <tr r="S246" s="2"/>
      </tp>
      <tp t="s">
        <v>#N/A N/A</v>
        <stp/>
        <stp>BQL|2422051966135825976</stp>
        <tr r="N234" s="2"/>
        <tr r="N311" s="2"/>
      </tp>
      <tp t="s">
        <v>#N/A N/A</v>
        <stp/>
        <stp>BQL|8435451878635131601</stp>
        <tr r="V351" s="2"/>
      </tp>
      <tp t="s">
        <v>#N/A N/A</v>
        <stp/>
        <stp>BQL|8896758249667937455</stp>
        <tr r="T169" s="2"/>
        <tr r="T219" s="2"/>
      </tp>
      <tp t="s">
        <v>#N/A N/A</v>
        <stp/>
        <stp>BQL|9851775067056697669</stp>
        <tr r="X319" s="2"/>
      </tp>
      <tp t="s">
        <v>#N/A N/A</v>
        <stp/>
        <stp>BQL|8695024109226389668</stp>
        <tr r="W51" s="2"/>
      </tp>
      <tp t="s">
        <v>#N/A N/A</v>
        <stp/>
        <stp>BQL|5490451627113921875</stp>
        <tr r="X336" s="2"/>
      </tp>
      <tp t="s">
        <v>#N/A N/A</v>
        <stp/>
        <stp>BQL|3796881731412737216</stp>
        <tr r="O231" s="2"/>
      </tp>
      <tp t="s">
        <v>#N/A N/A</v>
        <stp/>
        <stp>BQL|9618478628353407453</stp>
        <tr r="X327" s="2"/>
      </tp>
      <tp t="s">
        <v>#N/A N/A</v>
        <stp/>
        <stp>BQL|2473171793911866301</stp>
        <tr r="F334" s="2"/>
      </tp>
      <tp t="s">
        <v>#N/A N/A</v>
        <stp/>
        <stp>BQL|1766673928534948963</stp>
        <tr r="F283" s="2"/>
      </tp>
      <tp t="s">
        <v>#N/A N/A</v>
        <stp/>
        <stp>BQL|4817424395857042688</stp>
        <tr r="E212" s="2"/>
        <tr r="E6" s="2"/>
      </tp>
      <tp t="s">
        <v>#N/A N/A</v>
        <stp/>
        <stp>BQL|3682363025978259207</stp>
        <tr r="P64" s="2"/>
      </tp>
      <tp t="s">
        <v>#N/A N/A</v>
        <stp/>
        <stp>BQL|8079023519317558691</stp>
        <tr r="S287" s="2"/>
      </tp>
      <tp t="s">
        <v>#N/A N/A</v>
        <stp/>
        <stp>BQL|7082646643559714473</stp>
        <tr r="S147" s="2"/>
      </tp>
      <tp t="s">
        <v>#N/A N/A</v>
        <stp/>
        <stp>BQL|3547834308027109489</stp>
        <tr r="M176" s="2"/>
      </tp>
      <tp t="s">
        <v>#N/A N/A</v>
        <stp/>
        <stp>BQL|9080181929705301756</stp>
        <tr r="Q118" s="2"/>
      </tp>
      <tp t="s">
        <v>#N/A N/A</v>
        <stp/>
        <stp>BQL|6842679791131902007</stp>
        <tr r="K284" s="2"/>
      </tp>
      <tp t="s">
        <v>#N/A N/A</v>
        <stp/>
        <stp>BQL|3564144964819172536</stp>
        <tr r="R310" s="2"/>
      </tp>
      <tp t="s">
        <v>#N/A N/A</v>
        <stp/>
        <stp>BQL|9676679403217372061</stp>
        <tr r="W228" s="2"/>
      </tp>
      <tp t="s">
        <v>#N/A N/A</v>
        <stp/>
        <stp>BQL|8351486933411892674</stp>
        <tr r="G15" s="2"/>
        <tr r="G88" s="2"/>
      </tp>
      <tp t="s">
        <v>#N/A N/A</v>
        <stp/>
        <stp>BQL|9165503586004491858</stp>
        <tr r="N195" s="2"/>
      </tp>
      <tp t="s">
        <v>#N/A N/A</v>
        <stp/>
        <stp>BQL|8374660264794161460</stp>
        <tr r="J251" s="2"/>
      </tp>
      <tp t="s">
        <v>#N/A N/A</v>
        <stp/>
        <stp>BQL|3682965551077701001</stp>
        <tr r="E204" s="2"/>
      </tp>
      <tp t="s">
        <v>#N/A N/A</v>
        <stp/>
        <stp>BQL|3260404982895052266</stp>
        <tr r="V228" s="2"/>
      </tp>
      <tp t="s">
        <v>#N/A N/A</v>
        <stp/>
        <stp>BQL|3420461890147024148</stp>
        <tr r="J259" s="2"/>
      </tp>
      <tp t="s">
        <v>#N/A N/A</v>
        <stp/>
        <stp>BQL|8645746835903844794</stp>
        <tr r="H46" s="2"/>
      </tp>
      <tp t="s">
        <v>#N/A N/A</v>
        <stp/>
        <stp>BQL|1391015110331174952</stp>
        <tr r="W165" s="2"/>
      </tp>
      <tp t="s">
        <v>#N/A N/A</v>
        <stp/>
        <stp>BQL|9702116111670450161</stp>
        <tr r="K226" s="2"/>
      </tp>
      <tp t="s">
        <v>#N/A N/A</v>
        <stp/>
        <stp>BQL|5753554364346375802</stp>
        <tr r="X266" s="2"/>
      </tp>
      <tp t="s">
        <v>#N/A N/A</v>
        <stp/>
        <stp>BQL|4041007429459545793</stp>
        <tr r="J185" s="2"/>
      </tp>
      <tp t="s">
        <v>#N/A N/A</v>
        <stp/>
        <stp>BQL|9345790396116107985</stp>
        <tr r="W239" s="2"/>
      </tp>
      <tp t="s">
        <v>#N/A N/A</v>
        <stp/>
        <stp>BQL|8275714948250628380</stp>
        <tr r="S51" s="2"/>
      </tp>
      <tp t="s">
        <v>#N/A N/A</v>
        <stp/>
        <stp>BQL|1266462172863026932</stp>
        <tr r="H128" s="2"/>
        <tr r="H33" s="2"/>
      </tp>
      <tp t="s">
        <v>#N/A N/A</v>
        <stp/>
        <stp>BQL|1702780100837915936</stp>
        <tr r="E158" s="2"/>
        <tr r="E17" s="2"/>
        <tr r="E90" s="2"/>
      </tp>
      <tp t="s">
        <v>#N/A N/A</v>
        <stp/>
        <stp>BQL|9537751664941373123</stp>
        <tr r="K274" s="2"/>
      </tp>
      <tp t="s">
        <v>#N/A N/A</v>
        <stp/>
        <stp>BQL|1960608753919696397</stp>
        <tr r="F318" s="2"/>
      </tp>
      <tp t="s">
        <v>#N/A N/A</v>
        <stp/>
        <stp>BQL|8366806075098645743</stp>
        <tr r="K326" s="2"/>
        <tr r="K41" s="2"/>
      </tp>
      <tp t="s">
        <v>#N/A N/A</v>
        <stp/>
        <stp>BQL|7897866458906665446</stp>
        <tr r="X346" s="2"/>
      </tp>
      <tp t="s">
        <v>#N/A N/A</v>
        <stp/>
        <stp>BQL|7073010795603942595</stp>
        <tr r="P101" s="2"/>
        <tr r="P23" s="2"/>
      </tp>
      <tp t="s">
        <v>#N/A N/A</v>
        <stp/>
        <stp>BQL|3404823703252336122</stp>
        <tr r="S299" s="2"/>
      </tp>
      <tp t="s">
        <v>#N/A N/A</v>
        <stp/>
        <stp>BQL|7699545584857264502</stp>
        <tr r="V245" s="2"/>
      </tp>
      <tp t="s">
        <v>#N/A N/A</v>
        <stp/>
        <stp>BQL|6424937843710403341</stp>
        <tr r="G104" s="2"/>
      </tp>
      <tp t="s">
        <v>#N/A N/A</v>
        <stp/>
        <stp>BQL|9259195575124291384</stp>
        <tr r="X247" s="2"/>
      </tp>
      <tp t="s">
        <v>#N/A N/A</v>
        <stp/>
        <stp>BQL|9543948965218524629</stp>
        <tr r="W342" s="2"/>
      </tp>
      <tp t="s">
        <v>#N/A N/A</v>
        <stp/>
        <stp>BQL|6076611891316035732</stp>
        <tr r="I101" s="2"/>
        <tr r="I23" s="2"/>
      </tp>
      <tp t="s">
        <v>#N/A N/A</v>
        <stp/>
        <stp>BQL|8245392300237948411</stp>
        <tr r="L135" s="2"/>
      </tp>
      <tp t="s">
        <v>#N/A N/A</v>
        <stp/>
        <stp>BQL|3858597491547666050</stp>
        <tr r="G251" s="2"/>
      </tp>
      <tp t="s">
        <v>#N/A N/A</v>
        <stp/>
        <stp>BQL|8355651973693244244</stp>
        <tr r="H76" s="2"/>
      </tp>
      <tp t="s">
        <v>#N/A N/A</v>
        <stp/>
        <stp>BQL|4362801924044232269</stp>
        <tr r="J262" s="2"/>
      </tp>
      <tp t="s">
        <v>#N/A N/A</v>
        <stp/>
        <stp>BQL|6386083478629896088</stp>
        <tr r="F252" s="2"/>
      </tp>
      <tp t="s">
        <v>#N/A N/A</v>
        <stp/>
        <stp>BQL|9968681072419655968</stp>
        <tr r="M278" s="2"/>
      </tp>
      <tp t="s">
        <v>#N/A N/A</v>
        <stp/>
        <stp>BQL|3289024735010127874</stp>
        <tr r="X318" s="2"/>
      </tp>
      <tp t="s">
        <v>#N/A N/A</v>
        <stp/>
        <stp>BQL|7264751468757432997</stp>
        <tr r="T157" s="2"/>
        <tr r="T16" s="2"/>
        <tr r="T89" s="2"/>
      </tp>
      <tp t="s">
        <v>#N/A N/A</v>
        <stp/>
        <stp>BQL|8077073740714141043</stp>
        <tr r="T250" s="2"/>
      </tp>
      <tp t="s">
        <v>#N/A N/A</v>
        <stp/>
        <stp>BQL|5256014866758656317</stp>
        <tr r="I247" s="2"/>
      </tp>
      <tp t="s">
        <v>#N/A N/A</v>
        <stp/>
        <stp>BQL|1155431532067129931</stp>
        <tr r="H284" s="2"/>
      </tp>
      <tp t="s">
        <v>#N/A N/A</v>
        <stp/>
        <stp>BQL|3037005806982218969</stp>
        <tr r="S18" s="2"/>
        <tr r="S93" s="2"/>
      </tp>
      <tp t="s">
        <v>#N/A N/A</v>
        <stp/>
        <stp>BQL|8103147005264574574</stp>
        <tr r="V187" s="2"/>
        <tr r="V37" s="2"/>
      </tp>
      <tp t="s">
        <v>#N/A N/A</v>
        <stp/>
        <stp>BQL|3543312611089280058</stp>
        <tr r="K4" s="2"/>
      </tp>
      <tp t="s">
        <v>#N/A N/A</v>
        <stp/>
        <stp>BQL|4410179984885715020</stp>
        <tr r="Q340" s="2"/>
      </tp>
      <tp t="s">
        <v>#N/A N/A</v>
        <stp/>
        <stp>BQL|2556877917177366444</stp>
        <tr r="K247" s="2"/>
      </tp>
      <tp t="s">
        <v>#N/A N/A</v>
        <stp/>
        <stp>BQL|9831260569914209179</stp>
        <tr r="V234" s="2"/>
        <tr r="V311" s="2"/>
      </tp>
      <tp t="s">
        <v>#N/A N/A</v>
        <stp/>
        <stp>BQL|6763142939625146999</stp>
        <tr r="W141" s="2"/>
      </tp>
      <tp t="s">
        <v>#N/A N/A</v>
        <stp/>
        <stp>BQL|8446808881673332341</stp>
        <tr r="V256" s="2"/>
        <tr r="V279" s="2"/>
      </tp>
      <tp t="s">
        <v>#N/A N/A</v>
        <stp/>
        <stp>BQL|9947797575157323675</stp>
        <tr r="E315" s="2"/>
      </tp>
      <tp t="s">
        <v>#N/A N/A</v>
        <stp/>
        <stp>BQL|8037923147305615826</stp>
        <tr r="O259" s="2"/>
      </tp>
      <tp t="s">
        <v>#N/A N/A</v>
        <stp/>
        <stp>BQL|5972603205362974947</stp>
        <tr r="V126" s="2"/>
      </tp>
      <tp t="s">
        <v>#N/A N/A</v>
        <stp/>
        <stp>BQL|8049767205112030526</stp>
        <tr r="K334" s="2"/>
      </tp>
      <tp t="s">
        <v>#N/A N/A</v>
        <stp/>
        <stp>BQL|5486548785046775631</stp>
        <tr r="V127" s="2"/>
      </tp>
      <tp t="s">
        <v>#N/A N/A</v>
        <stp/>
        <stp>BQL|9314090408380045137</stp>
        <tr r="S350" s="2"/>
      </tp>
      <tp t="s">
        <v>#N/A N/A</v>
        <stp/>
        <stp>BQL|2858228391438900939</stp>
        <tr r="H119" s="2"/>
      </tp>
      <tp t="s">
        <v>#N/A N/A</v>
        <stp/>
        <stp>BQL|6049554932408049063</stp>
        <tr r="T152" s="2"/>
        <tr r="T62" s="2"/>
      </tp>
      <tp t="s">
        <v>#N/A N/A</v>
        <stp/>
        <stp>BQL|7671429371585017947</stp>
        <tr r="G144" s="2"/>
      </tp>
      <tp t="s">
        <v>#N/A N/A</v>
        <stp/>
        <stp>BQL|6427274089962960625</stp>
        <tr r="K68" s="2"/>
      </tp>
      <tp t="s">
        <v>#N/A N/A</v>
        <stp/>
        <stp>BQL|7329169765961980986</stp>
        <tr r="W160" s="2"/>
        <tr r="W21" s="2"/>
        <tr r="W92" s="2"/>
      </tp>
      <tp t="s">
        <v>#N/A N/A</v>
        <stp/>
        <stp>BQL|7569325351920340941</stp>
        <tr r="L301" s="2"/>
      </tp>
      <tp t="s">
        <v>#N/A N/A</v>
        <stp/>
        <stp>BQL|3163438978951354989</stp>
        <tr r="G357" s="2"/>
      </tp>
      <tp t="s">
        <v>#N/A N/A</v>
        <stp/>
        <stp>BQL|9127803290085008510</stp>
        <tr r="I319" s="2"/>
      </tp>
      <tp t="s">
        <v>#N/A N/A</v>
        <stp/>
        <stp>BQL|5200477998382808254</stp>
        <tr r="P174" s="2"/>
      </tp>
      <tp t="s">
        <v>#N/A N/A</v>
        <stp/>
        <stp>BQL|3181663946868055115</stp>
        <tr r="V128" s="2"/>
        <tr r="V33" s="2"/>
      </tp>
      <tp t="s">
        <v>#N/A N/A</v>
        <stp/>
        <stp>BQL|5036775699797830460</stp>
        <tr r="S176" s="2"/>
      </tp>
      <tp t="s">
        <v>#N/A N/A</v>
        <stp/>
        <stp>BQL|1350872285818839190</stp>
        <tr r="Q115" s="2"/>
      </tp>
      <tp t="s">
        <v>#N/A N/A</v>
        <stp/>
        <stp>BQL|4845130252729013199</stp>
        <tr r="R291" s="2"/>
      </tp>
      <tp t="s">
        <v>#N/A N/A</v>
        <stp/>
        <stp>BQL|41637811457588187</stp>
        <tr r="J166" s="2"/>
      </tp>
      <tp t="s">
        <v>#N/A N/A</v>
        <stp/>
        <stp>BQL|7229763795820765099</stp>
        <tr r="P363" s="2"/>
      </tp>
      <tp t="s">
        <v>#N/A N/A</v>
        <stp/>
        <stp>BQL|9943550707381321475</stp>
        <tr r="E290" s="2"/>
      </tp>
      <tp t="s">
        <v>#N/A N/A</v>
        <stp/>
        <stp>BQL|3982889951251639693</stp>
        <tr r="E352" s="2"/>
      </tp>
      <tp t="s">
        <v>#N/A N/A</v>
        <stp/>
        <stp>BQL|6566761207161287990</stp>
        <tr r="I112" s="2"/>
        <tr r="I29" s="2"/>
      </tp>
      <tp t="s">
        <v>#N/A N/A</v>
        <stp/>
        <stp>BQL|9224318318345496709</stp>
        <tr r="J323" s="2"/>
      </tp>
      <tp t="s">
        <v>#N/A N/A</v>
        <stp/>
        <stp>BQL|5982395884271910624</stp>
        <tr r="G153" s="2"/>
        <tr r="G65" s="2"/>
      </tp>
      <tp t="s">
        <v>#N/A N/A</v>
        <stp/>
        <stp>BQL|9797137954401765586</stp>
        <tr r="F25" s="2"/>
        <tr r="F96" s="2"/>
      </tp>
      <tp t="s">
        <v>#N/A N/A</v>
        <stp/>
        <stp>BQL|4575276981285860251</stp>
        <tr r="J76" s="2"/>
      </tp>
      <tp t="s">
        <v>#N/A N/A</v>
        <stp/>
        <stp>BQL|9886751316785592303</stp>
        <tr r="W121" s="2"/>
      </tp>
      <tp t="s">
        <v>#N/A N/A</v>
        <stp/>
        <stp>BQL|4404535088478105807</stp>
        <tr r="I119" s="2"/>
      </tp>
      <tp t="s">
        <v>#N/A N/A</v>
        <stp/>
        <stp>BQL|3717650351399913045</stp>
        <tr r="W125" s="2"/>
      </tp>
      <tp t="s">
        <v>#N/A N/A</v>
        <stp/>
        <stp>BQL|9416765416027993134</stp>
        <tr r="R357" s="2"/>
      </tp>
      <tp t="s">
        <v>#N/A N/A</v>
        <stp/>
        <stp>BQL|7823647783303475359</stp>
        <tr r="L76" s="2"/>
      </tp>
      <tp t="s">
        <v>#N/A N/A</v>
        <stp/>
        <stp>BQL|6358897513593412502</stp>
        <tr r="R151" s="2"/>
      </tp>
      <tp t="s">
        <v>#N/A N/A</v>
        <stp/>
        <stp>BQL|1610546995460828420</stp>
        <tr r="H312" s="2"/>
      </tp>
      <tp t="s">
        <v>#N/A N/A</v>
        <stp/>
        <stp>BQL|5604673059568015756</stp>
        <tr r="I345" s="2"/>
      </tp>
      <tp t="s">
        <v>#N/A N/A</v>
        <stp/>
        <stp>BQL|2037231589729065870</stp>
        <tr r="F158" s="2"/>
        <tr r="F17" s="2"/>
        <tr r="F90" s="2"/>
      </tp>
      <tp t="s">
        <v>#N/A N/A</v>
        <stp/>
        <stp>BQL|6980784694421137098</stp>
        <tr r="L117" s="2"/>
      </tp>
      <tp t="s">
        <v>#N/A N/A</v>
        <stp/>
        <stp>BQL|2425279288615545435</stp>
        <tr r="W156" s="2"/>
      </tp>
      <tp t="s">
        <v>#N/A N/A</v>
        <stp/>
        <stp>BQL|8938304570987070247</stp>
        <tr r="S114" s="2"/>
      </tp>
      <tp t="s">
        <v>#N/A N/A</v>
        <stp/>
        <stp>BQL|2088492280777521017</stp>
        <tr r="L229" s="2"/>
      </tp>
      <tp t="s">
        <v>#N/A N/A</v>
        <stp/>
        <stp>BQL|2438729844470743881</stp>
        <tr r="K116" s="2"/>
        <tr r="K30" s="2"/>
      </tp>
      <tp t="s">
        <v>#N/A N/A</v>
        <stp/>
        <stp>BQL|4347840978987154533</stp>
        <tr r="F247" s="2"/>
      </tp>
      <tp t="s">
        <v>#N/A N/A</v>
        <stp/>
        <stp>BQL|8516236531444272491</stp>
        <tr r="N209" s="2"/>
      </tp>
      <tp t="s">
        <v>#N/A N/A</v>
        <stp/>
        <stp>BQL|2912931251607635011</stp>
        <tr r="X261" s="2"/>
      </tp>
      <tp t="s">
        <v>#N/A N/A</v>
        <stp/>
        <stp>BQL|6205501191314820776</stp>
        <tr r="P141" s="2"/>
      </tp>
      <tp t="s">
        <v>#N/A N/A</v>
        <stp/>
        <stp>BQL|1513876108348232846</stp>
        <tr r="S160" s="2"/>
        <tr r="S21" s="2"/>
        <tr r="S92" s="2"/>
      </tp>
      <tp t="s">
        <v>#N/A N/A</v>
        <stp/>
        <stp>BQL|1122377431540245897</stp>
        <tr r="K135" s="2"/>
      </tp>
      <tp t="s">
        <v>#N/A N/A</v>
        <stp/>
        <stp>BQL|2702634689782989784</stp>
        <tr r="E354" s="2"/>
      </tp>
      <tp t="s">
        <v>#N/A N/A</v>
        <stp/>
        <stp>BQL|5863026486034385031</stp>
        <tr r="K328" s="2"/>
      </tp>
      <tp t="s">
        <v>#N/A N/A</v>
        <stp/>
        <stp>BQL|9295163575226834053</stp>
        <tr r="N49" s="2"/>
      </tp>
      <tp t="s">
        <v>#N/A N/A</v>
        <stp/>
        <stp>BQL|1649822988031755979</stp>
        <tr r="J151" s="2"/>
      </tp>
      <tp t="s">
        <v>#N/A N/A</v>
        <stp/>
        <stp>BQL|7583329277058847231</stp>
        <tr r="J340" s="2"/>
      </tp>
      <tp t="s">
        <v>#N/A N/A</v>
        <stp/>
        <stp>BQL|3907123995681463315</stp>
        <tr r="V4" s="2"/>
      </tp>
      <tp t="s">
        <v>#N/A N/A</v>
        <stp/>
        <stp>BQL|5127939938112190405</stp>
        <tr r="R182" s="2"/>
      </tp>
      <tp t="s">
        <v>#N/A N/A</v>
        <stp/>
        <stp>BQL|5188679373119920472</stp>
        <tr r="K196" s="2"/>
      </tp>
      <tp t="s">
        <v>#N/A N/A</v>
        <stp/>
        <stp>BQL|1250101571787875906</stp>
        <tr r="H212" s="2"/>
        <tr r="H6" s="2"/>
      </tp>
      <tp t="s">
        <v>#N/A N/A</v>
        <stp/>
        <stp>BQL|8900562638101584692</stp>
        <tr r="J301" s="2"/>
      </tp>
      <tp t="s">
        <v>#N/A N/A</v>
        <stp/>
        <stp>BQL|3224526110899211796</stp>
        <tr r="U78" s="2"/>
      </tp>
      <tp t="s">
        <v>#N/A N/A</v>
        <stp/>
        <stp>BQL|3945032982257395519</stp>
        <tr r="K365" s="2"/>
      </tp>
      <tp t="s">
        <v>#N/A N/A</v>
        <stp/>
        <stp>BQL|1817997232060022295</stp>
        <tr r="G335" s="2"/>
      </tp>
      <tp t="s">
        <v>#N/A N/A</v>
        <stp/>
        <stp>BQL|6891570255309880683</stp>
        <tr r="R22" s="2"/>
        <tr r="R99" s="2"/>
      </tp>
      <tp t="s">
        <v>#N/A N/A</v>
        <stp/>
        <stp>BQL|5527655827701429990</stp>
        <tr r="P299" s="2"/>
      </tp>
      <tp t="s">
        <v>#N/A N/A</v>
        <stp/>
        <stp>BQL|7378800556832855176</stp>
        <tr r="G346" s="2"/>
      </tp>
      <tp t="s">
        <v>#N/A N/A</v>
        <stp/>
        <stp>BQL|5266841763565781782</stp>
        <tr r="Q358" s="2"/>
      </tp>
      <tp t="s">
        <v>#N/A N/A</v>
        <stp/>
        <stp>BQL|7685731503881927858</stp>
        <tr r="O49" s="2"/>
      </tp>
      <tp t="s">
        <v>#N/A N/A</v>
        <stp/>
        <stp>BQL|5881993846015521482</stp>
        <tr r="F124" s="2"/>
        <tr r="F32" s="2"/>
      </tp>
      <tp t="s">
        <v>#N/A N/A</v>
        <stp/>
        <stp>BQL|4854942581104051879</stp>
        <tr r="K320" s="2"/>
      </tp>
      <tp t="s">
        <v>#N/A N/A</v>
        <stp/>
        <stp>BQL|5354196315569101571</stp>
        <tr r="E115" s="2"/>
      </tp>
      <tp t="s">
        <v>#N/A N/A</v>
        <stp/>
        <stp>BQL|1029506312329849534</stp>
        <tr r="Q230" s="2"/>
      </tp>
      <tp t="s">
        <v>#N/A N/A</v>
        <stp/>
        <stp>BQL|9288615461386995621</stp>
        <tr r="W252" s="2"/>
      </tp>
      <tp t="s">
        <v>#N/A N/A</v>
        <stp/>
        <stp>BQL|8728059735913743195</stp>
        <tr r="J289" s="2"/>
      </tp>
      <tp t="s">
        <v>#N/A N/A</v>
        <stp/>
        <stp>BQL|1775976000499895813</stp>
        <tr r="T336" s="2"/>
      </tp>
      <tp t="s">
        <v>#N/A N/A</v>
        <stp/>
        <stp>BQL|1887492009099453556</stp>
        <tr r="O53" s="2"/>
      </tp>
      <tp t="s">
        <v>#N/A N/A</v>
        <stp/>
        <stp>BQL|6431939174200386198</stp>
        <tr r="Q285" s="2"/>
      </tp>
      <tp t="s">
        <v>#N/A N/A</v>
        <stp/>
        <stp>BQL|4850935897715485817</stp>
        <tr r="V324" s="2"/>
        <tr r="V40" s="2"/>
      </tp>
      <tp t="s">
        <v>#N/A N/A</v>
        <stp/>
        <stp>BQL|9962821870598244714</stp>
        <tr r="X22" s="2"/>
        <tr r="X99" s="2"/>
      </tp>
      <tp t="s">
        <v>#N/A N/A</v>
        <stp/>
        <stp>BQL|8200740032782421788</stp>
        <tr r="E69" s="2"/>
      </tp>
      <tp t="s">
        <v>#N/A N/A</v>
        <stp/>
        <stp>BQL|2820767590345766019</stp>
        <tr r="F208" s="2"/>
      </tp>
      <tp t="s">
        <v>#N/A N/A</v>
        <stp/>
        <stp>BQL|2271638821706154995</stp>
        <tr r="O295" s="2"/>
      </tp>
      <tp t="s">
        <v>#N/A N/A</v>
        <stp/>
        <stp>BQL|3893118980286511549</stp>
        <tr r="X312" s="2"/>
      </tp>
      <tp t="s">
        <v>#N/A N/A</v>
        <stp/>
        <stp>BQL|8028008979387856169</stp>
        <tr r="N271" s="2"/>
      </tp>
      <tp t="s">
        <v>#N/A N/A</v>
        <stp/>
        <stp>BQL|7671811927557277350</stp>
        <tr r="V77" s="2"/>
      </tp>
      <tp t="s">
        <v>#N/A N/A</v>
        <stp/>
        <stp>BQL|9758315836083113365</stp>
        <tr r="X304" s="2"/>
      </tp>
      <tp t="s">
        <v>#N/A N/A</v>
        <stp/>
        <stp>BQL|5694164445151732858</stp>
        <tr r="L360" s="2"/>
      </tp>
      <tp t="s">
        <v>#N/A N/A</v>
        <stp/>
        <stp>BQL|4614964232624725320</stp>
        <tr r="Q86" s="2"/>
      </tp>
      <tp t="s">
        <v>#N/A N/A</v>
        <stp/>
        <stp>BQL|9396054927333334150</stp>
        <tr r="P168" s="2"/>
      </tp>
      <tp t="s">
        <v>#N/A N/A</v>
        <stp/>
        <stp>BQL|6305046622579150438</stp>
        <tr r="X320" s="2"/>
      </tp>
      <tp t="s">
        <v>#N/A N/A</v>
        <stp/>
        <stp>BQL|4209058184623068646</stp>
        <tr r="U54" s="2"/>
      </tp>
      <tp t="s">
        <v>#N/A N/A</v>
        <stp/>
        <stp>BQL|8387134572753408413</stp>
        <tr r="H153" s="2"/>
        <tr r="H65" s="2"/>
      </tp>
      <tp t="s">
        <v>#N/A N/A</v>
        <stp/>
        <stp>BQL|2286374450509729453</stp>
        <tr r="O172" s="2"/>
      </tp>
      <tp t="s">
        <v>#N/A N/A</v>
        <stp/>
        <stp>BQL|3717045349088984647</stp>
        <tr r="U204" s="2"/>
      </tp>
      <tp t="s">
        <v>#N/A N/A</v>
        <stp/>
        <stp>BQL|9028527786554326917</stp>
        <tr r="X53" s="2"/>
      </tp>
      <tp t="s">
        <v>#N/A N/A</v>
        <stp/>
        <stp>BQL|3972923869336751337</stp>
        <tr r="R132" s="2"/>
      </tp>
      <tp t="s">
        <v>#N/A N/A</v>
        <stp/>
        <stp>BQL|2951826068241628434</stp>
        <tr r="R289" s="2"/>
      </tp>
      <tp t="s">
        <v>#N/A N/A</v>
        <stp/>
        <stp>BQL|6891011258993423934</stp>
        <tr r="V300" s="2"/>
      </tp>
      <tp t="s">
        <v>#N/A N/A</v>
        <stp/>
        <stp>BQL|8306457708913981619</stp>
        <tr r="J184" s="2"/>
        <tr r="J35" s="2"/>
      </tp>
      <tp t="s">
        <v>#N/A N/A</v>
        <stp/>
        <stp>BQL|1464610745913221942</stp>
        <tr r="S126" s="2"/>
      </tp>
      <tp t="s">
        <v>#N/A N/A</v>
        <stp/>
        <stp>BQL|1855083280543586333</stp>
        <tr r="O120" s="2"/>
      </tp>
      <tp t="s">
        <v>#N/A N/A</v>
        <stp/>
        <stp>BQL|6113509912628655333</stp>
        <tr r="V336" s="2"/>
      </tp>
      <tp t="s">
        <v>#N/A N/A</v>
        <stp/>
        <stp>BQL|4098296269679253047</stp>
        <tr r="U181" s="2"/>
      </tp>
      <tp t="s">
        <v>#N/A N/A</v>
        <stp/>
        <stp>BQL|9758163728430984361</stp>
        <tr r="T272" s="2"/>
      </tp>
      <tp t="s">
        <v>#N/A N/A</v>
        <stp/>
        <stp>BQL|3197957285608056377</stp>
        <tr r="T147" s="2"/>
      </tp>
      <tp t="s">
        <v>#N/A N/A</v>
        <stp/>
        <stp>BQL|4557666124841328823</stp>
        <tr r="S185" s="2"/>
      </tp>
      <tp t="s">
        <v>#N/A N/A</v>
        <stp/>
        <stp>BQL|8512266259146828070</stp>
        <tr r="H267" s="2"/>
      </tp>
      <tp t="s">
        <v>#N/A N/A</v>
        <stp/>
        <stp>BQL|9930797023030168575</stp>
        <tr r="N364" s="2"/>
      </tp>
      <tp t="s">
        <v>#N/A N/A</v>
        <stp/>
        <stp>BQL|9999283243951451730</stp>
        <tr r="W76" s="2"/>
      </tp>
      <tp t="s">
        <v>#N/A N/A</v>
        <stp/>
        <stp>BQL|1176961444657176276</stp>
        <tr r="J73" s="2"/>
      </tp>
      <tp t="s">
        <v>#N/A N/A</v>
        <stp/>
        <stp>BQL|8052374182699123315</stp>
        <tr r="N158" s="2"/>
        <tr r="N17" s="2"/>
        <tr r="N90" s="2"/>
      </tp>
      <tp t="s">
        <v>#N/A N/A</v>
        <stp/>
        <stp>BQL|8526362248710755691</stp>
        <tr r="W300" s="2"/>
      </tp>
      <tp t="s">
        <v>#N/A N/A</v>
        <stp/>
        <stp>BQL|8877579652710876103</stp>
        <tr r="P135" s="2"/>
      </tp>
      <tp t="s">
        <v>#N/A N/A</v>
        <stp/>
        <stp>BQL|7414568852016142840</stp>
        <tr r="T126" s="2"/>
      </tp>
      <tp t="s">
        <v>#N/A N/A</v>
        <stp/>
        <stp>BQL|9918662637214454199</stp>
        <tr r="O56" s="2"/>
      </tp>
      <tp t="s">
        <v>#N/A N/A</v>
        <stp/>
        <stp>BQL|3543879911090535331</stp>
        <tr r="N275" s="2"/>
      </tp>
      <tp t="s">
        <v>#N/A N/A</v>
        <stp/>
        <stp>BQL|1193167940498356516</stp>
        <tr r="E102" s="2"/>
      </tp>
      <tp t="s">
        <v>#N/A N/A</v>
        <stp/>
        <stp>BQL|7460223584657405338</stp>
        <tr r="E129" s="2"/>
      </tp>
      <tp t="s">
        <v>#N/A N/A</v>
        <stp/>
        <stp>BQL|9754392210356391498</stp>
        <tr r="O304" s="2"/>
      </tp>
      <tp t="s">
        <v>#N/A N/A</v>
        <stp/>
        <stp>BQL|5413013391103621665</stp>
        <tr r="R25" s="2"/>
        <tr r="R96" s="2"/>
      </tp>
      <tp t="s">
        <v>#N/A N/A</v>
        <stp/>
        <stp>BQL|4512485377737920976</stp>
        <tr r="K153" s="2"/>
        <tr r="K65" s="2"/>
      </tp>
      <tp t="s">
        <v>#N/A N/A</v>
        <stp/>
        <stp>BQL|7367121991720234665</stp>
        <tr r="K296" s="2"/>
      </tp>
      <tp t="s">
        <v>#N/A N/A</v>
        <stp/>
        <stp>BQL|8111050731006355425</stp>
        <tr r="L178" s="2"/>
      </tp>
      <tp t="s">
        <v>#N/A N/A</v>
        <stp/>
        <stp>BQL|6414652882498421937</stp>
        <tr r="S166" s="2"/>
      </tp>
      <tp t="s">
        <v>#N/A N/A</v>
        <stp/>
        <stp>BQL|1578857043721740501</stp>
        <tr r="T135" s="2"/>
      </tp>
      <tp t="s">
        <v>#N/A N/A</v>
        <stp/>
        <stp>BQL|3608199649698560776</stp>
        <tr r="N298" s="2"/>
      </tp>
      <tp t="s">
        <v>#N/A N/A</v>
        <stp/>
        <stp>BQL|1907007939198494301</stp>
        <tr r="Q54" s="2"/>
      </tp>
      <tp t="s">
        <v>#N/A N/A</v>
        <stp/>
        <stp>BQL|1238175910418022019</stp>
        <tr r="U177" s="2"/>
      </tp>
      <tp t="s">
        <v>#N/A N/A</v>
        <stp/>
        <stp>BQL|9112682062367638798</stp>
        <tr r="O300" s="2"/>
      </tp>
      <tp t="s">
        <v>#N/A N/A</v>
        <stp/>
        <stp>BQL|6041492299565507764</stp>
        <tr r="J201" s="2"/>
      </tp>
      <tp t="s">
        <v>#N/A N/A</v>
        <stp/>
        <stp>BQL|8673877983086700767</stp>
        <tr r="L179" s="2"/>
      </tp>
      <tp t="s">
        <v>#N/A N/A</v>
        <stp/>
        <stp>BQL|9463731323966509328</stp>
        <tr r="V287" s="2"/>
      </tp>
      <tp t="s">
        <v>#N/A N/A</v>
        <stp/>
        <stp>BQL|9992420607585833172</stp>
        <tr r="X24" s="2"/>
        <tr r="X95" s="2"/>
      </tp>
      <tp t="s">
        <v>#N/A N/A</v>
        <stp/>
        <stp>BQL|2365225984304441528</stp>
        <tr r="I77" s="2"/>
      </tp>
      <tp t="s">
        <v>#N/A N/A</v>
        <stp/>
        <stp>BQL|2652020376145081912</stp>
        <tr r="R237" s="2"/>
      </tp>
      <tp t="s">
        <v>#N/A N/A</v>
        <stp/>
        <stp>BQL|7365759696077080739</stp>
        <tr r="V193" s="2"/>
      </tp>
      <tp t="s">
        <v>#N/A N/A</v>
        <stp/>
        <stp>BQL|6861879612260874660</stp>
        <tr r="U226" s="2"/>
      </tp>
      <tp t="s">
        <v>#N/A N/A</v>
        <stp/>
        <stp>BQL|7274137340008136326</stp>
        <tr r="T294" s="2"/>
      </tp>
      <tp t="s">
        <v>#N/A N/A</v>
        <stp/>
        <stp>BQL|1441894709483186379</stp>
        <tr r="M269" s="2"/>
      </tp>
      <tp t="s">
        <v>#N/A N/A</v>
        <stp/>
        <stp>BQL|2368703575162620920</stp>
        <tr r="J355" s="2"/>
      </tp>
      <tp t="s">
        <v>#N/A N/A</v>
        <stp/>
        <stp>BQL|2442063863285738846</stp>
        <tr r="Q310" s="2"/>
      </tp>
      <tp t="s">
        <v>#N/A N/A</v>
        <stp/>
        <stp>BQL|4177502047448323471</stp>
        <tr r="V329" s="2"/>
      </tp>
      <tp t="s">
        <v>#N/A N/A</v>
        <stp/>
        <stp>BQL|9812740706785086283</stp>
        <tr r="M85" s="2"/>
      </tp>
      <tp t="s">
        <v>#N/A N/A</v>
        <stp/>
        <stp>BQL|2187883761777312292</stp>
        <tr r="J312" s="2"/>
      </tp>
      <tp t="s">
        <v>#N/A N/A</v>
        <stp/>
        <stp>BQL|1535178205739411017</stp>
        <tr r="G253" s="2"/>
      </tp>
      <tp t="s">
        <v>#N/A N/A</v>
        <stp/>
        <stp>BQL|4173113201259965597</stp>
        <tr r="K295" s="2"/>
      </tp>
      <tp t="s">
        <v>#N/A N/A</v>
        <stp/>
        <stp>BQL|6513904711851581603</stp>
        <tr r="N112" s="2"/>
        <tr r="N29" s="2"/>
      </tp>
      <tp t="s">
        <v>#N/A N/A</v>
        <stp/>
        <stp>BQL|8356038327773384053</stp>
        <tr r="K336" s="2"/>
      </tp>
      <tp t="s">
        <v>#N/A N/A</v>
        <stp/>
        <stp>BQL|8690554007065613133</stp>
        <tr r="W185" s="2"/>
      </tp>
      <tp t="s">
        <v>#N/A N/A</v>
        <stp/>
        <stp>BQL|5329743521830504927</stp>
        <tr r="F284" s="2"/>
      </tp>
      <tp t="s">
        <v>#N/A N/A</v>
        <stp/>
        <stp>BQL|4416245241808145311</stp>
        <tr r="P224" s="2"/>
      </tp>
      <tp t="s">
        <v>#N/A N/A</v>
        <stp/>
        <stp>BQL|2000229580101591069</stp>
        <tr r="M56" s="2"/>
      </tp>
      <tp t="s">
        <v>#N/A N/A</v>
        <stp/>
        <stp>BQL|6999447157766367885</stp>
        <tr r="N13" s="2"/>
        <tr r="N84" s="2"/>
      </tp>
      <tp t="s">
        <v>#N/A N/A</v>
        <stp/>
        <stp>BQL|1875451378729332267</stp>
        <tr r="J236" s="2"/>
      </tp>
      <tp t="s">
        <v>#N/A N/A</v>
        <stp/>
        <stp>BQL|4829092414004726827</stp>
        <tr r="G117" s="2"/>
      </tp>
      <tp t="s">
        <v>#N/A N/A</v>
        <stp/>
        <stp>BQL|6218866308825978259</stp>
        <tr r="H270" s="2"/>
      </tp>
      <tp t="s">
        <v>#N/A N/A</v>
        <stp/>
        <stp>BQL|2767127616303041836</stp>
        <tr r="U243" s="2"/>
      </tp>
      <tp t="s">
        <v>#N/A N/A</v>
        <stp/>
        <stp>BQL|8588727972216099759</stp>
        <tr r="K293" s="2"/>
      </tp>
      <tp t="s">
        <v>#N/A N/A</v>
        <stp/>
        <stp>BQL|3835931440871220697</stp>
        <tr r="I297" s="2"/>
      </tp>
      <tp t="s">
        <v>#N/A N/A</v>
        <stp/>
        <stp>BQL|3826192127310384952</stp>
        <tr r="U77" s="2"/>
      </tp>
      <tp t="s">
        <v>#N/A N/A</v>
        <stp/>
        <stp>BQL|1321802619613998234</stp>
        <tr r="P175" s="2"/>
      </tp>
      <tp t="s">
        <v>#N/A N/A</v>
        <stp/>
        <stp>BQL|9374339632390050022</stp>
        <tr r="J22" s="2"/>
        <tr r="J99" s="2"/>
      </tp>
      <tp t="s">
        <v>#N/A N/A</v>
        <stp/>
        <stp>BQL|81044815692412315</stp>
        <tr r="O224" s="2"/>
      </tp>
      <tp t="s">
        <v>#N/A N/A</v>
        <stp/>
        <stp>BQL|9280641941151054088</stp>
        <tr r="L14" s="2"/>
        <tr r="L87" s="2"/>
      </tp>
      <tp t="s">
        <v>#N/A N/A</v>
        <stp/>
        <stp>BQL|4435755567698830714</stp>
        <tr r="F335" s="2"/>
      </tp>
      <tp t="s">
        <v>#N/A N/A</v>
        <stp/>
        <stp>BQL|5822338676219560278</stp>
        <tr r="Q346" s="2"/>
      </tp>
      <tp t="s">
        <v>#N/A N/A</v>
        <stp/>
        <stp>BQL|2749334618599061330</stp>
        <tr r="N230" s="2"/>
      </tp>
      <tp t="s">
        <v>#N/A N/A</v>
        <stp/>
        <stp>BQL|7043082690514433033</stp>
        <tr r="X335" s="2"/>
      </tp>
      <tp t="s">
        <v>#N/A N/A</v>
        <stp/>
        <stp>BQL|3153173584309536985</stp>
        <tr r="E165" s="2"/>
      </tp>
      <tp t="s">
        <v>#N/A N/A</v>
        <stp/>
        <stp>BQL|4117764027333724886</stp>
        <tr r="O156" s="2"/>
      </tp>
      <tp t="s">
        <v>#N/A N/A</v>
        <stp/>
        <stp>BQL|9015524802181813779</stp>
        <tr r="M323" s="2"/>
      </tp>
      <tp t="s">
        <v>#N/A N/A</v>
        <stp/>
        <stp>BQL|3755319787521822364</stp>
        <tr r="J348" s="2"/>
      </tp>
      <tp t="s">
        <v>#N/A N/A</v>
        <stp/>
        <stp>BQL|6201708758627768921</stp>
        <tr r="P251" s="2"/>
      </tp>
      <tp t="s">
        <v>#N/A N/A</v>
        <stp/>
        <stp>BQL|4178903081477968875</stp>
        <tr r="E100" s="2"/>
      </tp>
      <tp t="s">
        <v>#N/A N/A</v>
        <stp/>
        <stp>BQL|9335800127918898121</stp>
        <tr r="M353" s="2"/>
      </tp>
      <tp t="s">
        <v>#N/A N/A</v>
        <stp/>
        <stp>BQL|4295275319459057423</stp>
        <tr r="F178" s="2"/>
      </tp>
      <tp t="s">
        <v>#N/A N/A</v>
        <stp/>
        <stp>BQL|8119031439859334865</stp>
        <tr r="I220" s="2"/>
      </tp>
      <tp t="s">
        <v>#N/A N/A</v>
        <stp/>
        <stp>BQL|5653009299411748762</stp>
        <tr r="I116" s="2"/>
        <tr r="I30" s="2"/>
      </tp>
      <tp t="s">
        <v>#N/A N/A</v>
        <stp/>
        <stp>BQL|1301858630440136096</stp>
        <tr r="I266" s="2"/>
      </tp>
      <tp t="s">
        <v>#N/A N/A</v>
        <stp/>
        <stp>BQL|9558895889695988626</stp>
        <tr r="O194" s="2"/>
      </tp>
      <tp t="s">
        <v>#N/A N/A</v>
        <stp/>
        <stp>BQL|8281806487805964715</stp>
        <tr r="G156" s="2"/>
      </tp>
      <tp t="s">
        <v>#N/A N/A</v>
        <stp/>
        <stp>BQL|8128303948644137151</stp>
        <tr r="I260" s="2"/>
      </tp>
      <tp t="s">
        <v>#N/A N/A</v>
        <stp/>
        <stp>BQL|9666124839132827384</stp>
        <tr r="R251" s="2"/>
      </tp>
      <tp t="s">
        <v>#N/A N/A</v>
        <stp/>
        <stp>BQL|1671314737849499297</stp>
        <tr r="S118" s="2"/>
      </tp>
      <tp t="s">
        <v>#N/A N/A</v>
        <stp/>
        <stp>BQL|3427925254095861077</stp>
        <tr r="R287" s="2"/>
      </tp>
      <tp t="s">
        <v>#N/A N/A</v>
        <stp/>
        <stp>BQL|1887605640758321169</stp>
        <tr r="M264" s="2"/>
      </tp>
      <tp t="s">
        <v>#N/A N/A</v>
        <stp/>
        <stp>BQL|3707586507579572505</stp>
        <tr r="N335" s="2"/>
      </tp>
      <tp t="s">
        <v>#N/A N/A</v>
        <stp/>
        <stp>BQL|1678839159901251732</stp>
        <tr r="K264" s="2"/>
      </tp>
      <tp t="s">
        <v>#N/A N/A</v>
        <stp/>
        <stp>BQL|2932498384717910305</stp>
        <tr r="P57" s="2"/>
      </tp>
      <tp t="s">
        <v>#N/A N/A</v>
        <stp/>
        <stp>BQL|1552817732228899831</stp>
        <tr r="O169" s="2"/>
        <tr r="O219" s="2"/>
      </tp>
      <tp t="s">
        <v>#N/A N/A</v>
        <stp/>
        <stp>BQL|4097122896051183789</stp>
        <tr r="R166" s="2"/>
      </tp>
      <tp t="s">
        <v>#N/A N/A</v>
        <stp/>
        <stp>BQL|4086981120044039150</stp>
        <tr r="I212" s="2"/>
        <tr r="I6" s="2"/>
      </tp>
      <tp t="s">
        <v>#N/A N/A</v>
        <stp/>
        <stp>BQL|7072484495832273238</stp>
        <tr r="O183" s="2"/>
      </tp>
      <tp t="s">
        <v>#N/A N/A</v>
        <stp/>
        <stp>BQL|8900339665940126723</stp>
        <tr r="I169" s="2"/>
        <tr r="I219" s="2"/>
      </tp>
      <tp t="s">
        <v>#N/A N/A</v>
        <stp/>
        <stp>BQL|5074366482331173594</stp>
        <tr r="V25" s="2"/>
        <tr r="V96" s="2"/>
      </tp>
      <tp t="s">
        <v>#N/A N/A</v>
        <stp/>
        <stp>BQL|7638783167748565402</stp>
        <tr r="Q244" s="2"/>
      </tp>
      <tp t="s">
        <v>#N/A N/A</v>
        <stp/>
        <stp>BQL|2950016205301516943</stp>
        <tr r="P335" s="2"/>
      </tp>
      <tp t="s">
        <v>#N/A N/A</v>
        <stp/>
        <stp>BQL|8914663923004585258</stp>
        <tr r="V297" s="2"/>
      </tp>
      <tp t="s">
        <v>#N/A N/A</v>
        <stp/>
        <stp>BQL|1237893909267851469</stp>
        <tr r="F182" s="2"/>
      </tp>
      <tp t="s">
        <v>#N/A N/A</v>
        <stp/>
        <stp>BQL|2848812895330280927</stp>
        <tr r="K359" s="2"/>
      </tp>
      <tp t="s">
        <v>#N/A N/A</v>
        <stp/>
        <stp>BQL|2084751688020354758</stp>
        <tr r="L245" s="2"/>
      </tp>
      <tp t="s">
        <v>#N/A N/A</v>
        <stp/>
        <stp>BQL|4008327685115867044</stp>
        <tr r="G250" s="2"/>
      </tp>
      <tp t="s">
        <v>#N/A N/A</v>
        <stp/>
        <stp>BQL|3270682192013604556</stp>
        <tr r="T339" s="2"/>
      </tp>
      <tp t="s">
        <v>#N/A N/A</v>
        <stp/>
        <stp>BQL|6381343839525155946</stp>
        <tr r="F291" s="2"/>
      </tp>
      <tp t="s">
        <v>#N/A N/A</v>
        <stp/>
        <stp>BQL|1754142199522477159</stp>
        <tr r="E271" s="2"/>
      </tp>
      <tp t="s">
        <v>#N/A N/A</v>
        <stp/>
        <stp>BQL|9685400876179285999</stp>
        <tr r="N278" s="2"/>
      </tp>
      <tp t="s">
        <v>#N/A N/A</v>
        <stp/>
        <stp>BQL|9039203888328317109</stp>
        <tr r="K144" s="2"/>
      </tp>
      <tp t="s">
        <v>#N/A N/A</v>
        <stp/>
        <stp>BQL|7065287774548673019</stp>
        <tr r="I114" s="2"/>
      </tp>
      <tp t="s">
        <v>#N/A N/A</v>
        <stp/>
        <stp>BQL|5495889531970588427</stp>
        <tr r="T227" s="2"/>
      </tp>
      <tp t="s">
        <v>#N/A N/A</v>
        <stp/>
        <stp>BQL|5956013394115742313</stp>
        <tr r="H282" s="2"/>
      </tp>
      <tp t="s">
        <v>#N/A N/A</v>
        <stp/>
        <stp>BQL|3978431374228148253</stp>
        <tr r="N120" s="2"/>
      </tp>
      <tp t="s">
        <v>#N/A N/A</v>
        <stp/>
        <stp>BQL|4375980251825150718</stp>
        <tr r="W365" s="2"/>
      </tp>
      <tp t="s">
        <v>#N/A N/A</v>
        <stp/>
        <stp>BQL|4371522726489988044</stp>
        <tr r="L208" s="2"/>
      </tp>
      <tp t="s">
        <v>#N/A N/A</v>
        <stp/>
        <stp>BQL|6130373695880824614</stp>
        <tr r="L165" s="2"/>
      </tp>
      <tp t="s">
        <v>#N/A N/A</v>
        <stp/>
        <stp>BQL|8931491860102987231</stp>
        <tr r="N285" s="2"/>
      </tp>
      <tp t="s">
        <v>#N/A N/A</v>
        <stp/>
        <stp>BQL|7234984962472759063</stp>
        <tr r="K172" s="2"/>
      </tp>
      <tp t="s">
        <v>#N/A N/A</v>
        <stp/>
        <stp>BQL|6383879310697563286</stp>
        <tr r="J339" s="2"/>
      </tp>
      <tp t="s">
        <v>#N/A N/A</v>
        <stp/>
        <stp>BQL|8638722377504219683</stp>
        <tr r="W347" s="2"/>
      </tp>
      <tp t="s">
        <v>#N/A N/A</v>
        <stp/>
        <stp>BQL|3804929717731680026</stp>
        <tr r="F127" s="2"/>
      </tp>
      <tp t="s">
        <v>#N/A N/A</v>
        <stp/>
        <stp>BQL|9038035969177410275</stp>
        <tr r="E171" s="2"/>
      </tp>
      <tp t="s">
        <v>#N/A N/A</v>
        <stp/>
        <stp>BQL|8840078981142537822</stp>
        <tr r="X288" s="2"/>
      </tp>
      <tp t="s">
        <v>#N/A N/A</v>
        <stp/>
        <stp>BQL|9826184124969833954</stp>
        <tr r="I248" s="2"/>
      </tp>
      <tp t="s">
        <v>#N/A N/A</v>
        <stp/>
        <stp>BQL|8315106735278698894</stp>
        <tr r="R265" s="2"/>
      </tp>
      <tp t="s">
        <v>#N/A N/A</v>
        <stp/>
        <stp>BQL|6624799955719000729</stp>
        <tr r="G299" s="2"/>
      </tp>
      <tp t="s">
        <v>#N/A N/A</v>
        <stp/>
        <stp>BQL|8406797448359815851</stp>
        <tr r="W100" s="2"/>
      </tp>
      <tp t="s">
        <v>#N/A N/A</v>
        <stp/>
        <stp>BQL|6448954549910268129</stp>
        <tr r="T329" s="2"/>
      </tp>
      <tp t="s">
        <v>#N/A N/A</v>
        <stp/>
        <stp>BQL|1603844649623302404</stp>
        <tr r="E231" s="2"/>
      </tp>
      <tp t="s">
        <v>#N/A N/A</v>
        <stp/>
        <stp>BQL|3355533299547049217</stp>
        <tr r="R294" s="2"/>
      </tp>
      <tp t="s">
        <v>#N/A N/A</v>
        <stp/>
        <stp>BQL|2485317967088383594</stp>
        <tr r="F100" s="2"/>
      </tp>
      <tp t="s">
        <v>#N/A N/A</v>
        <stp/>
        <stp>BQL|7956700491805500650</stp>
        <tr r="M51" s="2"/>
      </tp>
      <tp t="s">
        <v>#N/A N/A</v>
        <stp/>
        <stp>BQL|6705003497844133193</stp>
        <tr r="K166" s="2"/>
      </tp>
      <tp t="s">
        <v>#N/A N/A</v>
        <stp/>
        <stp>BQL|7258651491420623289</stp>
        <tr r="S301" s="2"/>
      </tp>
      <tp t="s">
        <v>#N/A N/A</v>
        <stp/>
        <stp>BQL|8130461277370718105</stp>
        <tr r="F292" s="2"/>
      </tp>
      <tp t="s">
        <v>#N/A N/A</v>
        <stp/>
        <stp>BQL|2466915827754069756</stp>
        <tr r="K265" s="2"/>
      </tp>
      <tp t="s">
        <v>#N/A N/A</v>
        <stp/>
        <stp>BQL|3637875117017751764</stp>
        <tr r="S227" s="2"/>
      </tp>
      <tp t="s">
        <v>#N/A N/A</v>
        <stp/>
        <stp>BQL|2916486966112877887</stp>
        <tr r="H25" s="2"/>
        <tr r="H96" s="2"/>
      </tp>
      <tp t="s">
        <v>#N/A N/A</v>
        <stp/>
        <stp>BQL|4714831542601841391</stp>
        <tr r="J101" s="2"/>
        <tr r="J23" s="2"/>
      </tp>
      <tp t="s">
        <v>#N/A N/A</v>
        <stp/>
        <stp>BQL|2189736760371563808</stp>
        <tr r="U86" s="2"/>
      </tp>
      <tp t="s">
        <v>#N/A N/A</v>
        <stp/>
        <stp>BQL|4769612036493393845</stp>
        <tr r="P270" s="2"/>
      </tp>
      <tp t="s">
        <v>#N/A N/A</v>
        <stp/>
        <stp>BQL|8130169952423786559</stp>
        <tr r="G235" s="2"/>
      </tp>
      <tp t="s">
        <v>#N/A N/A</v>
        <stp/>
        <stp>BQL|9305425150645626708</stp>
        <tr r="N295" s="2"/>
      </tp>
      <tp t="s">
        <v>#N/A N/A</v>
        <stp/>
        <stp>BQL|3742322388283889125</stp>
        <tr r="O119" s="2"/>
      </tp>
      <tp t="s">
        <v>#N/A N/A</v>
        <stp/>
        <stp>BQL|6184376777188077063</stp>
        <tr r="J338" s="2"/>
      </tp>
      <tp t="s">
        <v>#N/A N/A</v>
        <stp/>
        <stp>BQL|9821219319638749803</stp>
        <tr r="M363" s="2"/>
      </tp>
      <tp t="s">
        <v>#N/A N/A</v>
        <stp/>
        <stp>BQL|4957128409948333773</stp>
        <tr r="E270" s="2"/>
      </tp>
      <tp t="s">
        <v>#N/A N/A</v>
        <stp/>
        <stp>BQL|2815750351738220283</stp>
        <tr r="P250" s="2"/>
      </tp>
      <tp t="s">
        <v>#N/A N/A</v>
        <stp/>
        <stp>BQL|1431926432148124937</stp>
        <tr r="N284" s="2"/>
      </tp>
      <tp t="s">
        <v>#N/A N/A</v>
        <stp/>
        <stp>BQL|6122703598294848676</stp>
        <tr r="W330" s="2"/>
      </tp>
      <tp t="s">
        <v>#N/A N/A</v>
        <stp/>
        <stp>BQL|4773044587673054520</stp>
        <tr r="M283" s="2"/>
      </tp>
      <tp t="s">
        <v>#N/A N/A</v>
        <stp/>
        <stp>BQL|4509123595051294769</stp>
        <tr r="S56" s="2"/>
      </tp>
      <tp t="s">
        <v>#N/A N/A</v>
        <stp/>
        <stp>BQL|9455922287162234058</stp>
        <tr r="F358" s="2"/>
      </tp>
      <tp t="s">
        <v>#N/A N/A</v>
        <stp/>
        <stp>BQL|6811227832795686884</stp>
        <tr r="G54" s="2"/>
      </tp>
      <tp t="s">
        <v>#N/A N/A</v>
        <stp/>
        <stp>BQL|6179074104948662420</stp>
        <tr r="M157" s="2"/>
        <tr r="M16" s="2"/>
        <tr r="M89" s="2"/>
      </tp>
      <tp t="s">
        <v>#N/A N/A</v>
        <stp/>
        <stp>BQL|9640500760698303839</stp>
        <tr r="F209" s="2"/>
      </tp>
      <tp t="s">
        <v>#N/A N/A</v>
        <stp/>
        <stp>BQL|6229356293486121006</stp>
        <tr r="G304" s="2"/>
      </tp>
      <tp t="s">
        <v>#N/A N/A</v>
        <stp/>
        <stp>BQL|7151679635118033069</stp>
        <tr r="V108" s="2"/>
      </tp>
      <tp t="s">
        <v>#N/A N/A</v>
        <stp/>
        <stp>BQL|6529965178621699388</stp>
        <tr r="T79" s="2"/>
      </tp>
      <tp t="s">
        <v>#N/A N/A</v>
        <stp/>
        <stp>BQL|9641523316087039076</stp>
        <tr r="T234" s="2"/>
        <tr r="T311" s="2"/>
      </tp>
      <tp t="s">
        <v>#N/A N/A</v>
        <stp/>
        <stp>BQL|7994676963668070581</stp>
        <tr r="W199" s="2"/>
      </tp>
      <tp t="s">
        <v>#N/A N/A</v>
        <stp/>
        <stp>BQL|8497334620572403166</stp>
        <tr r="I158" s="2"/>
        <tr r="I17" s="2"/>
        <tr r="I90" s="2"/>
      </tp>
      <tp t="s">
        <v>#N/A N/A</v>
        <stp/>
        <stp>BQL|7345426460978006745</stp>
        <tr r="F356" s="2"/>
      </tp>
      <tp t="s">
        <v>#N/A N/A</v>
        <stp/>
        <stp>BQL|1577529190044551373</stp>
        <tr r="S116" s="2"/>
        <tr r="S30" s="2"/>
      </tp>
      <tp t="s">
        <v>#N/A N/A</v>
        <stp/>
        <stp>BQL|1440814057992594428</stp>
        <tr r="V102" s="2"/>
      </tp>
      <tp t="s">
        <v>#N/A N/A</v>
        <stp/>
        <stp>BQL|5093623290457535726</stp>
        <tr r="O352" s="2"/>
      </tp>
      <tp t="s">
        <v>#N/A N/A</v>
        <stp/>
        <stp>BQL|6361919132100072652</stp>
        <tr r="F171" s="2"/>
      </tp>
      <tp t="s">
        <v>#N/A N/A</v>
        <stp/>
        <stp>BQL|2082944065297376072</stp>
        <tr r="K102" s="2"/>
      </tp>
      <tp t="s">
        <v>#N/A N/A</v>
        <stp/>
        <stp>BQL|1410226480275625440</stp>
        <tr r="N116" s="2"/>
        <tr r="N30" s="2"/>
      </tp>
      <tp t="s">
        <v>#N/A N/A</v>
        <stp/>
        <stp>BQL|1617078231539524119</stp>
        <tr r="T206" s="2"/>
      </tp>
      <tp t="s">
        <v>#N/A N/A</v>
        <stp/>
        <stp>BQL|2696030443925250905</stp>
        <tr r="R324" s="2"/>
        <tr r="R40" s="2"/>
      </tp>
      <tp t="s">
        <v>#N/A N/A</v>
        <stp/>
        <stp>BQL|5572161347032929897</stp>
        <tr r="N265" s="2"/>
      </tp>
      <tp t="s">
        <v>#N/A N/A</v>
        <stp/>
        <stp>BQL|8199376866912205568</stp>
        <tr r="R351" s="2"/>
      </tp>
      <tp t="s">
        <v>#N/A N/A</v>
        <stp/>
        <stp>BQL|7111534974367611830</stp>
        <tr r="E275" s="2"/>
      </tp>
      <tp t="s">
        <v>#N/A N/A</v>
        <stp/>
        <stp>BQL|5335802466034284548</stp>
        <tr r="E118" s="2"/>
      </tp>
      <tp t="s">
        <v>#N/A N/A</v>
        <stp/>
        <stp>BQL|9303058826297502669</stp>
        <tr r="K190" s="2"/>
      </tp>
      <tp t="s">
        <v>#N/A N/A</v>
        <stp/>
        <stp>BQL|7649246992484187223</stp>
        <tr r="X325" s="2"/>
      </tp>
      <tp t="s">
        <v>#N/A N/A</v>
        <stp/>
        <stp>BQL|9268718663325376705</stp>
        <tr r="O158" s="2"/>
        <tr r="O17" s="2"/>
        <tr r="O90" s="2"/>
      </tp>
      <tp t="s">
        <v>#N/A N/A</v>
        <stp/>
        <stp>BQL|3086848704932136324</stp>
        <tr r="F264" s="2"/>
      </tp>
      <tp t="s">
        <v>#N/A N/A</v>
        <stp/>
        <stp>BQL|2749850910450295132</stp>
        <tr r="M262" s="2"/>
      </tp>
      <tp t="s">
        <v>#N/A N/A</v>
        <stp/>
        <stp>BQL|2420752204639644617</stp>
        <tr r="V51" s="2"/>
      </tp>
      <tp t="s">
        <v>#N/A N/A</v>
        <stp/>
        <stp>BQL|1642902053522132565</stp>
        <tr r="W335" s="2"/>
      </tp>
      <tp t="s">
        <v>#N/A N/A</v>
        <stp/>
        <stp>BQL|1158724326508539623</stp>
        <tr r="J273" s="2"/>
      </tp>
      <tp t="s">
        <v>#N/A N/A</v>
        <stp/>
        <stp>BQL|1343944353277172072</stp>
        <tr r="H252" s="2"/>
      </tp>
      <tp t="s">
        <v>#N/A N/A</v>
        <stp/>
        <stp>BQL|3061018920079689250</stp>
        <tr r="F53" s="2"/>
      </tp>
      <tp t="s">
        <v>#N/A N/A</v>
        <stp/>
        <stp>BQL|6657262044638160274</stp>
        <tr r="K25" s="2"/>
        <tr r="K96" s="2"/>
      </tp>
      <tp t="s">
        <v>#N/A N/A</v>
        <stp/>
        <stp>BQL|1680203273646061876</stp>
        <tr r="J171" s="2"/>
      </tp>
      <tp t="s">
        <v>#N/A N/A</v>
        <stp/>
        <stp>BQL|7354613779784841819</stp>
        <tr r="U272" s="2"/>
      </tp>
      <tp t="s">
        <v>#N/A N/A</v>
        <stp/>
        <stp>BQL|9467248968461362693</stp>
        <tr r="J199" s="2"/>
      </tp>
      <tp t="s">
        <v>#N/A N/A</v>
        <stp/>
        <stp>BQL|8734658140583111316</stp>
        <tr r="Q277" s="2"/>
      </tp>
      <tp t="s">
        <v>#N/A N/A</v>
        <stp/>
        <stp>BQL|3166441524037469879</stp>
        <tr r="V206" s="2"/>
      </tp>
      <tp t="s">
        <v>#N/A N/A</v>
        <stp/>
        <stp>BQL|1331821980602457945</stp>
        <tr r="M165" s="2"/>
      </tp>
      <tp t="s">
        <v>#N/A N/A</v>
        <stp/>
        <stp>BQL|3269743425724333813</stp>
        <tr r="X309" s="2"/>
      </tp>
      <tp t="s">
        <v>#N/A N/A</v>
        <stp/>
        <stp>BQL|3569830416445864599</stp>
        <tr r="G264" s="2"/>
      </tp>
      <tp t="s">
        <v>#N/A N/A</v>
        <stp/>
        <stp>BQL|6200918511841485574</stp>
        <tr r="V313" s="2"/>
      </tp>
      <tp t="s">
        <v>#N/A N/A</v>
        <stp/>
        <stp>BQL|9486007575245842185</stp>
        <tr r="F269" s="2"/>
      </tp>
      <tp t="s">
        <v>#N/A N/A</v>
        <stp/>
        <stp>BQL|8680252528094354693</stp>
        <tr r="O199" s="2"/>
      </tp>
      <tp t="s">
        <v>#N/A N/A</v>
        <stp/>
        <stp>BQL|1422771282143172707</stp>
        <tr r="H358" s="2"/>
      </tp>
      <tp t="s">
        <v>#N/A N/A</v>
        <stp/>
        <stp>BQL|5791507153797220869</stp>
        <tr r="E346" s="2"/>
      </tp>
      <tp t="s">
        <v>#N/A N/A</v>
        <stp/>
        <stp>BQL|9036245714564625468</stp>
        <tr r="L105" s="2"/>
      </tp>
      <tp t="s">
        <v>#N/A N/A</v>
        <stp/>
        <stp>BQL|3584799704449985715</stp>
        <tr r="L24" s="2"/>
        <tr r="L95" s="2"/>
      </tp>
      <tp t="s">
        <v>#N/A N/A</v>
        <stp/>
        <stp>BQL|9105772601471444538</stp>
        <tr r="R112" s="2"/>
        <tr r="R29" s="2"/>
      </tp>
      <tp t="s">
        <v>#N/A N/A</v>
        <stp/>
        <stp>BQL|5162432905669164394</stp>
        <tr r="T217" s="2"/>
      </tp>
      <tp t="s">
        <v>#N/A N/A</v>
        <stp/>
        <stp>BQL|6011445083339866803</stp>
        <tr r="U275" s="2"/>
      </tp>
      <tp t="s">
        <v>#N/A N/A</v>
        <stp/>
        <stp>BQL|3503158084946340789</stp>
        <tr r="H118" s="2"/>
      </tp>
      <tp t="s">
        <v>#N/A N/A</v>
        <stp/>
        <stp>BQL|9100471196519697692</stp>
        <tr r="T19" s="2"/>
        <tr r="T94" s="2"/>
      </tp>
      <tp t="s">
        <v>#N/A N/A</v>
        <stp/>
        <stp>BQL|5907322046631584872</stp>
        <tr r="K234" s="2"/>
        <tr r="K311" s="2"/>
      </tp>
      <tp t="s">
        <v>#N/A N/A</v>
        <stp/>
        <stp>BQL|7905498281802790290</stp>
        <tr r="H206" s="2"/>
      </tp>
      <tp t="s">
        <v>#N/A N/A</v>
        <stp/>
        <stp>BQL|6062599794221769052</stp>
        <tr r="J4" s="2"/>
      </tp>
      <tp t="s">
        <v>#N/A N/A</v>
        <stp/>
        <stp>BQL|8686304710177956603</stp>
        <tr r="E365" s="2"/>
      </tp>
      <tp t="s">
        <v>#N/A N/A</v>
        <stp/>
        <stp>BQL|4718988116243097477</stp>
        <tr r="U51" s="2"/>
      </tp>
      <tp t="s">
        <v>#N/A N/A</v>
        <stp/>
        <stp>BQL|8878192459374243346</stp>
        <tr r="P247" s="2"/>
      </tp>
      <tp t="s">
        <v>#N/A N/A</v>
        <stp/>
        <stp>BQL|1830257159465856823</stp>
        <tr r="X252" s="2"/>
      </tp>
      <tp t="s">
        <v>#N/A N/A</v>
        <stp/>
        <stp>BQL|9510705317494862040</stp>
        <tr r="J347" s="2"/>
      </tp>
      <tp t="s">
        <v>#N/A N/A</v>
        <stp/>
        <stp>BQL|8803363708313151396</stp>
        <tr r="M131" s="2"/>
      </tp>
      <tp t="s">
        <v>#N/A N/A</v>
        <stp/>
        <stp>BQL|6365987448133827351</stp>
        <tr r="S345" s="2"/>
      </tp>
      <tp t="s">
        <v>#N/A N/A</v>
        <stp/>
        <stp>BQL|9012624940702579297</stp>
        <tr r="Q234" s="2"/>
        <tr r="Q311" s="2"/>
      </tp>
      <tp t="s">
        <v>#N/A N/A</v>
        <stp/>
        <stp>BQL|3970284903042993857</stp>
        <tr r="Q250" s="2"/>
      </tp>
      <tp t="s">
        <v>#N/A N/A</v>
        <stp/>
        <stp>BQL|5488162284755986219</stp>
        <tr r="P288" s="2"/>
      </tp>
      <tp t="s">
        <v>#N/A N/A</v>
        <stp/>
        <stp>BQL|7780465827958972227</stp>
        <tr r="X127" s="2"/>
      </tp>
      <tp t="s">
        <v>#N/A N/A</v>
        <stp/>
        <stp>BQL|6007240451593173996</stp>
        <tr r="I107" s="2"/>
      </tp>
      <tp t="s">
        <v>#N/A N/A</v>
        <stp/>
        <stp>BQL|1605118324138724196</stp>
        <tr r="I55" s="2"/>
      </tp>
      <tp t="s">
        <v>#N/A N/A</v>
        <stp/>
        <stp>BQL|6039160498937122225</stp>
        <tr r="Q360" s="2"/>
      </tp>
      <tp t="s">
        <v>#N/A N/A</v>
        <stp/>
        <stp>BQL|3962876692741000819</stp>
        <tr r="J238" s="2"/>
      </tp>
      <tp t="s">
        <v>#N/A N/A</v>
        <stp/>
        <stp>BQL|8444681440694846583</stp>
        <tr r="J212" s="2"/>
        <tr r="J6" s="2"/>
      </tp>
      <tp t="s">
        <v>#N/A N/A</v>
        <stp/>
        <stp>BQL|9557365129352661102</stp>
        <tr r="Q113" s="2"/>
      </tp>
      <tp t="s">
        <v>#N/A N/A</v>
        <stp/>
        <stp>BQL|9166224689099723113</stp>
        <tr r="L292" s="2"/>
      </tp>
      <tp t="s">
        <v>#N/A N/A</v>
        <stp/>
        <stp>BQL|5292273497662650786</stp>
        <tr r="X355" s="2"/>
      </tp>
      <tp t="s">
        <v>#N/A N/A</v>
        <stp/>
        <stp>BQL|3299860104742965257</stp>
        <tr r="E205" s="2"/>
        <tr r="E308" s="2"/>
      </tp>
      <tp t="s">
        <v>#N/A N/A</v>
        <stp/>
        <stp>BQL|2521983525527134559</stp>
        <tr r="Q4" s="2"/>
      </tp>
      <tp t="s">
        <v>#N/A N/A</v>
        <stp/>
        <stp>BQL|4498299492422663659</stp>
        <tr r="H71" s="2"/>
      </tp>
      <tp t="s">
        <v>#N/A N/A</v>
        <stp/>
        <stp>BQL|9150114850314942222</stp>
        <tr r="N272" s="2"/>
      </tp>
      <tp t="s">
        <v>#N/A N/A</v>
        <stp/>
        <stp>BQL|7118887610947096221</stp>
        <tr r="G298" s="2"/>
      </tp>
      <tp t="s">
        <v>#N/A N/A</v>
        <stp/>
        <stp>BQL|9889438656723118076</stp>
        <tr r="S14" s="2"/>
        <tr r="S87" s="2"/>
      </tp>
      <tp t="s">
        <v>#N/A N/A</v>
        <stp/>
        <stp>BQL|2785605693370684694</stp>
        <tr r="T159" s="2"/>
        <tr r="T20" s="2"/>
        <tr r="T91" s="2"/>
      </tp>
      <tp t="s">
        <v>#N/A N/A</v>
        <stp/>
        <stp>BQL|1671646973129280287</stp>
        <tr r="O209" s="2"/>
      </tp>
      <tp t="s">
        <v>#N/A N/A</v>
        <stp/>
        <stp>BQL|5138684694199755806</stp>
        <tr r="O153" s="2"/>
        <tr r="O65" s="2"/>
      </tp>
      <tp t="s">
        <v>#N/A N/A</v>
        <stp/>
        <stp>BQL|9838246450162790719</stp>
        <tr r="P201" s="2"/>
      </tp>
      <tp t="s">
        <v>#N/A N/A</v>
        <stp/>
        <stp>BQL|3222714313478316695</stp>
        <tr r="H275" s="2"/>
      </tp>
      <tp t="s">
        <v>#N/A N/A</v>
        <stp/>
        <stp>BQL|9707534139950146468</stp>
        <tr r="L293" s="2"/>
      </tp>
      <tp t="s">
        <v>#N/A N/A</v>
        <stp/>
        <stp>BQL|4962022581776551157</stp>
        <tr r="R273" s="2"/>
      </tp>
      <tp t="s">
        <v>#N/A N/A</v>
        <stp/>
        <stp>BQL|4953991678482603340</stp>
        <tr r="W129" s="2"/>
      </tp>
      <tp t="s">
        <v>#N/A N/A</v>
        <stp/>
        <stp>BQL|9735760842163124282</stp>
        <tr r="K108" s="2"/>
      </tp>
      <tp t="s">
        <v>#N/A N/A</v>
        <stp/>
        <stp>BQL|9119528562456973728</stp>
        <tr r="O287" s="2"/>
      </tp>
      <tp t="s">
        <v>#N/A N/A</v>
        <stp/>
        <stp>BQL|7384212339759467456</stp>
        <tr r="I187" s="2"/>
        <tr r="I37" s="2"/>
      </tp>
      <tp t="s">
        <v>#N/A N/A</v>
        <stp/>
        <stp>BQL|4778676363538995703</stp>
        <tr r="V104" s="2"/>
      </tp>
      <tp t="s">
        <v>#N/A N/A</v>
        <stp/>
        <stp>BQL|3144083301558024029</stp>
        <tr r="K77" s="2"/>
      </tp>
      <tp t="s">
        <v>#N/A N/A</v>
        <stp/>
        <stp>BQL|7787096280555583118</stp>
        <tr r="U231" s="2"/>
      </tp>
      <tp t="s">
        <v>#N/A N/A</v>
        <stp/>
        <stp>BQL|8441427391426899855</stp>
        <tr r="P355" s="2"/>
      </tp>
      <tp t="s">
        <v>#N/A N/A</v>
        <stp/>
        <stp>BQL|4873386997064830158</stp>
        <tr r="V304" s="2"/>
      </tp>
      <tp t="s">
        <v>#N/A N/A</v>
        <stp/>
        <stp>BQL|3579320029360537922</stp>
        <tr r="M284" s="2"/>
      </tp>
      <tp t="s">
        <v>#N/A N/A</v>
        <stp/>
        <stp>BQL|9837061214642648154</stp>
        <tr r="I288" s="2"/>
      </tp>
      <tp t="s">
        <v>#N/A N/A</v>
        <stp/>
        <stp>BQL|7242475499181621030</stp>
        <tr r="P196" s="2"/>
      </tp>
      <tp t="s">
        <v>#N/A N/A</v>
        <stp/>
        <stp>BQL|3095896865184037253</stp>
        <tr r="Q323" s="2"/>
      </tp>
      <tp t="s">
        <v>#N/A N/A</v>
        <stp/>
        <stp>BQL|1043839262832823614</stp>
        <tr r="G231" s="2"/>
      </tp>
      <tp t="s">
        <v>#N/A N/A</v>
        <stp/>
        <stp>BQL|2532902168584515208</stp>
        <tr r="I135" s="2"/>
      </tp>
      <tp t="s">
        <v>#N/A N/A</v>
        <stp/>
        <stp>BQL|9178460949897427522</stp>
        <tr r="F141" s="2"/>
      </tp>
      <tp t="s">
        <v>#N/A N/A</v>
        <stp/>
        <stp>BQL|8959345176803007433</stp>
        <tr r="U264" s="2"/>
      </tp>
      <tp t="s">
        <v>#N/A N/A</v>
        <stp/>
        <stp>BQL|9075671553071554067</stp>
        <tr r="O113" s="2"/>
      </tp>
      <tp t="s">
        <v>#N/A N/A</v>
        <stp/>
        <stp>BQL|2960097447284412943</stp>
        <tr r="N341" s="2"/>
      </tp>
      <tp t="s">
        <v>#N/A N/A</v>
        <stp/>
        <stp>BQL|8411188351026365191</stp>
        <tr r="I317" s="2"/>
      </tp>
      <tp t="s">
        <v>#N/A N/A</v>
        <stp/>
        <stp>BQL|9491263757712564773</stp>
        <tr r="K222" s="2"/>
      </tp>
      <tp t="s">
        <v>#N/A N/A</v>
        <stp/>
        <stp>BQL|3736888721335176784</stp>
        <tr r="F121" s="2"/>
      </tp>
      <tp t="s">
        <v>#N/A N/A</v>
        <stp/>
        <stp>BQL|3214653789377927117</stp>
        <tr r="T194" s="2"/>
      </tp>
      <tp t="s">
        <v>#N/A N/A</v>
        <stp/>
        <stp>BQL|4470013066230413916</stp>
        <tr r="S4" s="2"/>
      </tp>
      <tp t="s">
        <v>#N/A N/A</v>
        <stp/>
        <stp>BQL|2741411115325024959</stp>
        <tr r="M364" s="2"/>
      </tp>
      <tp t="s">
        <v>#N/A N/A</v>
        <stp/>
        <stp>BQL|7239575065906604902</stp>
        <tr r="W323" s="2"/>
      </tp>
      <tp t="s">
        <v>#N/A N/A</v>
        <stp/>
        <stp>BQL|9353368593428449046</stp>
        <tr r="W310" s="2"/>
      </tp>
      <tp t="s">
        <v>#N/A N/A</v>
        <stp/>
        <stp>BQL|7759907166800558319</stp>
        <tr r="O319" s="2"/>
      </tp>
      <tp t="s">
        <v>#N/A N/A</v>
        <stp/>
        <stp>BQL|6858521761967739993</stp>
        <tr r="P262" s="2"/>
      </tp>
      <tp t="s">
        <v>#N/A N/A</v>
        <stp/>
        <stp>BQL|6605806229960928731</stp>
        <tr r="U276" s="2"/>
      </tp>
      <tp t="s">
        <v>#N/A N/A</v>
        <stp/>
        <stp>BQL|3805771195993734582</stp>
        <tr r="X4" s="2"/>
      </tp>
      <tp t="s">
        <v>#N/A N/A</v>
        <stp/>
        <stp>BQL|4991352245491506997</stp>
        <tr r="V112" s="2"/>
        <tr r="V29" s="2"/>
      </tp>
      <tp t="s">
        <v>#N/A N/A</v>
        <stp/>
        <stp>BQL|3954933012494836459</stp>
        <tr r="G116" s="2"/>
        <tr r="G30" s="2"/>
      </tp>
      <tp t="s">
        <v>#N/A N/A</v>
        <stp/>
        <stp>BQL|4528673892982793229</stp>
        <tr r="H327" s="2"/>
      </tp>
      <tp t="s">
        <v>#N/A N/A</v>
        <stp/>
        <stp>BQL|1182390847534240983</stp>
        <tr r="W103" s="2"/>
      </tp>
      <tp t="s">
        <v>#N/A N/A</v>
        <stp/>
        <stp>BQL|3780376656298203609</stp>
        <tr r="J282" s="2"/>
      </tp>
      <tp t="s">
        <v>#N/A N/A</v>
        <stp/>
        <stp>BQL|8718722540413733361</stp>
        <tr r="I25" s="2"/>
        <tr r="I96" s="2"/>
      </tp>
      <tp t="s">
        <v>#N/A N/A</v>
        <stp/>
        <stp>BQL|5484233192440714569</stp>
        <tr r="H247" s="2"/>
      </tp>
      <tp t="s">
        <v>#N/A N/A</v>
        <stp/>
        <stp>BQL|6714643302213211877</stp>
        <tr r="L334" s="2"/>
      </tp>
      <tp t="s">
        <v>#N/A N/A</v>
        <stp/>
        <stp>BQL|4671372133477027862</stp>
        <tr r="H353" s="2"/>
      </tp>
      <tp t="s">
        <v>#N/A N/A</v>
        <stp/>
        <stp>BQL|6704401276378065654</stp>
        <tr r="O151" s="2"/>
      </tp>
      <tp t="s">
        <v>#N/A N/A</v>
        <stp/>
        <stp>BQL|8238103624680478061</stp>
        <tr r="U116" s="2"/>
        <tr r="U30" s="2"/>
      </tp>
      <tp t="s">
        <v>#N/A N/A</v>
        <stp/>
        <stp>BQL|6764474718770427884</stp>
        <tr r="E359" s="2"/>
      </tp>
      <tp t="s">
        <v>#N/A N/A</v>
        <stp/>
        <stp>BQL|9681875293772287141</stp>
        <tr r="U166" s="2"/>
      </tp>
      <tp t="s">
        <v>#N/A N/A</v>
        <stp/>
        <stp>BQL|4170712510201644821</stp>
        <tr r="L272" s="2"/>
      </tp>
      <tp t="s">
        <v>#N/A N/A</v>
        <stp/>
        <stp>BQL|2597698244162949959</stp>
        <tr r="L304" s="2"/>
      </tp>
      <tp t="s">
        <v>#N/A N/A</v>
        <stp/>
        <stp>BQL|9019851541486853888</stp>
        <tr r="P276" s="2"/>
      </tp>
      <tp t="s">
        <v>#N/A N/A</v>
        <stp/>
        <stp>BQL|2265449217869182544</stp>
        <tr r="U268" s="2"/>
      </tp>
      <tp t="s">
        <v>#N/A N/A</v>
        <stp/>
        <stp>BQL|4497460246327487837</stp>
        <tr r="W180" s="2"/>
      </tp>
      <tp t="s">
        <v>#N/A N/A</v>
        <stp/>
        <stp>BQL|1647207989458835840</stp>
        <tr r="F201" s="2"/>
      </tp>
      <tp t="s">
        <v>#N/A N/A</v>
        <stp/>
        <stp>BQL|6376972766384281639</stp>
        <tr r="H172" s="2"/>
      </tp>
      <tp t="s">
        <v>#N/A N/A</v>
        <stp/>
        <stp>BQL|7706456069996089886</stp>
        <tr r="J69" s="2"/>
      </tp>
      <tp t="s">
        <v>#N/A N/A</v>
        <stp/>
        <stp>BQL|3249061292312113344</stp>
        <tr r="N73" s="2"/>
      </tp>
      <tp t="s">
        <v>#N/A N/A</v>
        <stp/>
        <stp>BQL|9055396771362865439</stp>
        <tr r="W316" s="2"/>
      </tp>
      <tp t="s">
        <v>#N/A N/A</v>
        <stp/>
        <stp>BQL|8687277810171072127</stp>
        <tr r="H163" s="2"/>
        <tr r="H7" s="2"/>
      </tp>
      <tp t="s">
        <v>#N/A N/A</v>
        <stp/>
        <stp>BQL|6596863390068509453</stp>
        <tr r="R192" s="2"/>
      </tp>
      <tp t="s">
        <v>#N/A N/A</v>
        <stp/>
        <stp>BQL|9485413217746906199</stp>
        <tr r="U118" s="2"/>
      </tp>
      <tp t="s">
        <v>#N/A N/A</v>
        <stp/>
        <stp>BQL|9086415925977183379</stp>
        <tr r="U334" s="2"/>
      </tp>
      <tp t="s">
        <v>#N/A N/A</v>
        <stp/>
        <stp>BQL|8708631609765733086</stp>
        <tr r="L252" s="2"/>
      </tp>
      <tp t="s">
        <v>#N/A N/A</v>
        <stp/>
        <stp>BQL|4431210022557027856</stp>
        <tr r="Q158" s="2"/>
        <tr r="Q17" s="2"/>
        <tr r="Q90" s="2"/>
      </tp>
      <tp t="s">
        <v>#N/A N/A</v>
        <stp/>
        <stp>BQL|5725251144609245168</stp>
        <tr r="U46" s="2"/>
      </tp>
      <tp t="s">
        <v>#N/A N/A</v>
        <stp/>
        <stp>BQL|8810666931077841165</stp>
        <tr r="U221" s="2"/>
      </tp>
      <tp t="s">
        <v>#N/A N/A</v>
        <stp/>
        <stp>BQL|9543723454784265400</stp>
        <tr r="L324" s="2"/>
        <tr r="L40" s="2"/>
      </tp>
      <tp t="s">
        <v>#N/A N/A</v>
        <stp/>
        <stp>BQL|7141912342155337404</stp>
        <tr r="Q255" s="2"/>
      </tp>
      <tp t="s">
        <v>#N/A N/A</v>
        <stp/>
        <stp>BQL|3495840263864388219</stp>
        <tr r="J297" s="2"/>
      </tp>
      <tp t="s">
        <v>#N/A N/A</v>
        <stp/>
        <stp>BQL|8681205587019553057</stp>
        <tr r="I86" s="2"/>
      </tp>
      <tp t="s">
        <v>#N/A N/A</v>
        <stp/>
        <stp>BQL|7234845336981238633</stp>
        <tr r="J159" s="2"/>
        <tr r="J20" s="2"/>
        <tr r="J91" s="2"/>
      </tp>
      <tp t="s">
        <v>#N/A N/A</v>
        <stp/>
        <stp>BQL|8953598279308130994</stp>
        <tr r="L177" s="2"/>
      </tp>
      <tp t="s">
        <v>#N/A N/A</v>
        <stp/>
        <stp>BQL|4640101833905718835</stp>
        <tr r="K204" s="2"/>
      </tp>
      <tp t="s">
        <v>#N/A N/A</v>
        <stp/>
        <stp>BQL|9787052335684130575</stp>
        <tr r="P129" s="2"/>
      </tp>
      <tp t="s">
        <v>#N/A N/A</v>
        <stp/>
        <stp>BQL|1563911735049612971</stp>
        <tr r="V192" s="2"/>
      </tp>
      <tp t="s">
        <v>#N/A N/A</v>
        <stp/>
        <stp>BQL|3428456755839283065</stp>
        <tr r="R51" s="2"/>
      </tp>
      <tp t="s">
        <v>#N/A N/A</v>
        <stp/>
        <stp>BQL|8478611248706532783</stp>
        <tr r="V356" s="2"/>
      </tp>
      <tp t="s">
        <v>#N/A N/A</v>
        <stp/>
        <stp>BQL|5457728048615682883</stp>
        <tr r="T225" s="2"/>
      </tp>
      <tp t="s">
        <v>#N/A N/A</v>
        <stp/>
        <stp>BQL|5434449105678088254</stp>
        <tr r="I295" s="2"/>
      </tp>
      <tp t="s">
        <v>#N/A N/A</v>
        <stp/>
        <stp>BQL|6712560427798021266</stp>
        <tr r="W235" s="2"/>
      </tp>
      <tp t="s">
        <v>#N/A N/A</v>
        <stp/>
        <stp>BQL|5157866261976736615</stp>
        <tr r="E318" s="2"/>
      </tp>
      <tp t="s">
        <v>#N/A N/A</v>
        <stp/>
        <stp>BQL|4062227095111484534</stp>
        <tr r="T361" s="2"/>
      </tp>
      <tp t="s">
        <v>#N/A N/A</v>
        <stp/>
        <stp>BQL|4317328138437177885</stp>
        <tr r="W193" s="2"/>
      </tp>
      <tp t="s">
        <v>#N/A N/A</v>
        <stp/>
        <stp>BQL|5615401358846901971</stp>
        <tr r="Q297" s="2"/>
      </tp>
      <tp t="s">
        <v>#N/A N/A</v>
        <stp/>
        <stp>BQL|1972662427739898701</stp>
        <tr r="L107" s="2"/>
      </tp>
      <tp t="s">
        <v>#N/A N/A</v>
        <stp/>
        <stp>BQL|74659598609905463</stp>
        <tr r="V244" s="2"/>
      </tp>
      <tp t="s">
        <v>#N/A N/A</v>
        <stp/>
        <stp>BQL|4458185668292356582</stp>
        <tr r="S251" s="2"/>
      </tp>
      <tp t="s">
        <v>#N/A N/A</v>
        <stp/>
        <stp>BQL|3576617120594369782</stp>
        <tr r="R212" s="2"/>
        <tr r="R6" s="2"/>
      </tp>
      <tp t="s">
        <v>#N/A N/A</v>
        <stp/>
        <stp>BQL|2650422778754365106</stp>
        <tr r="O212" s="2"/>
        <tr r="O6" s="2"/>
      </tp>
      <tp t="s">
        <v>#N/A N/A</v>
        <stp/>
        <stp>BQL|1238707308253651130</stp>
        <tr r="S324" s="2"/>
        <tr r="S40" s="2"/>
      </tp>
      <tp t="s">
        <v>#N/A N/A</v>
        <stp/>
        <stp>BQL|4182094390841202856</stp>
        <tr r="G18" s="2"/>
        <tr r="G93" s="2"/>
      </tp>
      <tp t="s">
        <v>#N/A N/A</v>
        <stp/>
        <stp>BQL|6801384936054900606</stp>
        <tr r="Q252" s="2"/>
      </tp>
      <tp t="s">
        <v>#N/A N/A</v>
        <stp/>
        <stp>BQL|4916301951661155776</stp>
        <tr r="G178" s="2"/>
      </tp>
      <tp t="s">
        <v>#N/A N/A</v>
        <stp/>
        <stp>BQL|8350626778968755508</stp>
        <tr r="H253" s="2"/>
      </tp>
      <tp t="s">
        <v>#N/A N/A</v>
        <stp/>
        <stp>BQL|5601387825341302167</stp>
        <tr r="P265" s="2"/>
      </tp>
      <tp t="s">
        <v>#N/A N/A</v>
        <stp/>
        <stp>BQL|7231780657314709542</stp>
        <tr r="W178" s="2"/>
      </tp>
      <tp t="s">
        <v>#N/A N/A</v>
        <stp/>
        <stp>BQL|3783289668166847518</stp>
        <tr r="U315" s="2"/>
      </tp>
      <tp t="s">
        <v>#N/A N/A</v>
        <stp/>
        <stp>BQL|6122595933893733720</stp>
        <tr r="W112" s="2"/>
        <tr r="W29" s="2"/>
      </tp>
      <tp t="s">
        <v>#N/A N/A</v>
        <stp/>
        <stp>BQL|7637652515391894507</stp>
        <tr r="X3" s="2"/>
      </tp>
      <tp t="s">
        <v>#N/A N/A</v>
        <stp/>
        <stp>BQL|3874529022257219743</stp>
        <tr r="N19" s="2"/>
        <tr r="N94" s="2"/>
      </tp>
      <tp t="s">
        <v>#N/A N/A</v>
        <stp/>
        <stp>BQL|6097212029306649439</stp>
        <tr r="U114" s="2"/>
      </tp>
      <tp t="s">
        <v>#N/A N/A</v>
        <stp/>
        <stp>BQL|8928037901434768812</stp>
        <tr r="I104" s="2"/>
      </tp>
      <tp t="s">
        <v>#N/A N/A</v>
        <stp/>
        <stp>BQL|7075047032059241993</stp>
        <tr r="Q112" s="2"/>
        <tr r="Q29" s="2"/>
      </tp>
      <tp t="s">
        <v>#N/A N/A</v>
        <stp/>
        <stp>BQL|2507332403472011781</stp>
        <tr r="S120" s="2"/>
      </tp>
      <tp t="s">
        <v>#N/A N/A</v>
        <stp/>
        <stp>BQL|6286963879945128910</stp>
        <tr r="L351" s="2"/>
      </tp>
      <tp t="s">
        <v>#N/A N/A</v>
        <stp/>
        <stp>BQL|2786518450946949020</stp>
        <tr r="G77" s="2"/>
      </tp>
      <tp t="s">
        <v>#N/A N/A</v>
        <stp/>
        <stp>BQL|1340712158440333748</stp>
        <tr r="N201" s="2"/>
      </tp>
      <tp t="s">
        <v>#N/A N/A</v>
        <stp/>
        <stp>BQL|8684117603735941804</stp>
        <tr r="S178" s="2"/>
      </tp>
      <tp t="s">
        <v>#N/A N/A</v>
        <stp/>
        <stp>BQL|1891221978256644696</stp>
        <tr r="F278" s="2"/>
      </tp>
      <tp t="s">
        <v>#N/A N/A</v>
        <stp/>
        <stp>BQL|1124824869702338953</stp>
        <tr r="N182" s="2"/>
      </tp>
      <tp t="s">
        <v>#N/A N/A</v>
        <stp/>
        <stp>BQL|2605690914462200357</stp>
        <tr r="G248" s="2"/>
      </tp>
      <tp t="s">
        <v>#N/A N/A</v>
        <stp/>
        <stp>BQL|3984383709753545711</stp>
        <tr r="T163" s="2"/>
        <tr r="T7" s="2"/>
      </tp>
      <tp t="s">
        <v>#N/A N/A</v>
        <stp/>
        <stp>BQL|4642050755073928643</stp>
        <tr r="M76" s="2"/>
      </tp>
      <tp t="s">
        <v>#N/A N/A</v>
        <stp/>
        <stp>BQL|1536634919381520312</stp>
        <tr r="U183" s="2"/>
      </tp>
      <tp t="s">
        <v>#N/A N/A</v>
        <stp/>
        <stp>BQL|1526464158283121710</stp>
        <tr r="W202" s="2"/>
      </tp>
      <tp t="s">
        <v>#N/A N/A</v>
        <stp/>
        <stp>BQL|5474096973485122345</stp>
        <tr r="R3" s="2"/>
      </tp>
      <tp t="s">
        <v>#N/A N/A</v>
        <stp/>
        <stp>BQL|9069563586514200492</stp>
        <tr r="F173" s="2"/>
      </tp>
      <tp t="s">
        <v>#N/A N/A</v>
        <stp/>
        <stp>BQL|2581653618157376606</stp>
        <tr r="H198" s="2"/>
      </tp>
      <tp t="s">
        <v>#N/A N/A</v>
        <stp/>
        <stp>BQL|3981003862897786670</stp>
        <tr r="P227" s="2"/>
      </tp>
      <tp t="s">
        <v>#N/A N/A</v>
        <stp/>
        <stp>BQL|4930251266832686678</stp>
        <tr r="X310" s="2"/>
      </tp>
      <tp t="s">
        <v>#N/A N/A</v>
        <stp/>
        <stp>BQL|9204454294419962906</stp>
        <tr r="X54" s="2"/>
      </tp>
      <tp t="s">
        <v>#N/A N/A</v>
        <stp/>
        <stp>BQL|2286624221184973628</stp>
        <tr r="L126" s="2"/>
      </tp>
      <tp t="s">
        <v>#N/A N/A</v>
        <stp/>
        <stp>BQL|1497853900748332582</stp>
        <tr r="I115" s="2"/>
      </tp>
      <tp t="s">
        <v>#N/A N/A</v>
        <stp/>
        <stp>BQL|8061716967958550594</stp>
        <tr r="X351" s="2"/>
      </tp>
      <tp t="s">
        <v>#N/A N/A</v>
        <stp/>
        <stp>BQL|4779271139086480775</stp>
        <tr r="F79" s="2"/>
      </tp>
      <tp t="s">
        <v>#N/A N/A</v>
        <stp/>
        <stp>BQL|5919548387264698868</stp>
        <tr r="S338" s="2"/>
      </tp>
      <tp t="s">
        <v>#N/A N/A</v>
        <stp/>
        <stp>BQL|9515510699455733432</stp>
        <tr r="R295" s="2"/>
      </tp>
      <tp t="s">
        <v>#N/A N/A</v>
        <stp/>
        <stp>BQL|8797191801044281947</stp>
        <tr r="X18" s="2"/>
        <tr r="X93" s="2"/>
      </tp>
      <tp t="s">
        <v>#N/A N/A</v>
        <stp/>
        <stp>BQL|6545703259051656133</stp>
        <tr r="K346" s="2"/>
      </tp>
      <tp t="s">
        <v>#N/A N/A</v>
        <stp/>
        <stp>BQL|4343562118110171451</stp>
        <tr r="O346" s="2"/>
      </tp>
      <tp t="s">
        <v>#N/A N/A</v>
        <stp/>
        <stp>BQL|8991823510175721059</stp>
        <tr r="U76" s="2"/>
      </tp>
      <tp t="s">
        <v>#N/A N/A</v>
        <stp/>
        <stp>BQL|4482157114635892543</stp>
        <tr r="Q194" s="2"/>
      </tp>
      <tp t="s">
        <v>#N/A N/A</v>
        <stp/>
        <stp>BQL|7548101454677883009</stp>
        <tr r="P46" s="2"/>
      </tp>
      <tp t="s">
        <v>#N/A N/A</v>
        <stp/>
        <stp>BQL|1275549398190155968</stp>
        <tr r="W224" s="2"/>
      </tp>
      <tp t="s">
        <v>#N/A N/A</v>
        <stp/>
        <stp>BQL|4397809791366373789</stp>
        <tr r="X178" s="2"/>
      </tp>
      <tp t="s">
        <v>#N/A N/A</v>
        <stp/>
        <stp>BQL|5946348146397154135</stp>
        <tr r="P230" s="2"/>
      </tp>
      <tp t="s">
        <v>#N/A N/A</v>
        <stp/>
        <stp>BQL|8587908021371570690</stp>
        <tr r="P238" s="2"/>
      </tp>
      <tp t="s">
        <v>#N/A N/A</v>
        <stp/>
        <stp>BQL|3090607319546957689</stp>
        <tr r="V221" s="2"/>
      </tp>
      <tp t="s">
        <v>#N/A N/A</v>
        <stp/>
        <stp>BQL|6294462126641931539</stp>
        <tr r="O262" s="2"/>
      </tp>
      <tp t="s">
        <v>#N/A N/A</v>
        <stp/>
        <stp>BQL|6207486167540605032</stp>
        <tr r="Q224" s="2"/>
      </tp>
      <tp t="s">
        <v>#N/A N/A</v>
        <stp/>
        <stp>BQL|3715987936409108400</stp>
        <tr r="U301" s="2"/>
      </tp>
      <tp t="s">
        <v>#N/A N/A</v>
        <stp/>
        <stp>BQL|7697219565182929531</stp>
        <tr r="V285" s="2"/>
      </tp>
      <tp t="s">
        <v>#N/A N/A</v>
        <stp/>
        <stp>BQL|2635489678304879166</stp>
        <tr r="V261" s="2"/>
      </tp>
      <tp t="s">
        <v>#N/A N/A</v>
        <stp/>
        <stp>BQL|6577307505490884107</stp>
        <tr r="Q188" s="2"/>
        <tr r="Q38" s="2"/>
      </tp>
      <tp t="s">
        <v>#N/A N/A</v>
        <stp/>
        <stp>BQL|8500912802647592248</stp>
        <tr r="Q225" s="2"/>
      </tp>
      <tp t="s">
        <v>#N/A N/A</v>
        <stp/>
        <stp>BQL|1563373260240022051</stp>
        <tr r="V182" s="2"/>
      </tp>
      <tp t="s">
        <v>#N/A N/A</v>
        <stp/>
        <stp>BQL|8536885421402822434</stp>
        <tr r="I290" s="2"/>
      </tp>
      <tp t="s">
        <v>#N/A N/A</v>
        <stp/>
        <stp>BQL|1376562800018531872</stp>
        <tr r="F120" s="2"/>
      </tp>
      <tp t="s">
        <v>#N/A N/A</v>
        <stp/>
        <stp>BQL|3702166234582116733</stp>
        <tr r="V10" s="2"/>
        <tr r="V60" s="2"/>
      </tp>
      <tp t="s">
        <v>#N/A N/A</v>
        <stp/>
        <stp>BQL|5420004080078447172</stp>
        <tr r="O107" s="2"/>
      </tp>
      <tp t="s">
        <v>#N/A N/A</v>
        <stp/>
        <stp>BQL|1439337573480330100</stp>
        <tr r="P221" s="2"/>
      </tp>
      <tp t="s">
        <v>#N/A N/A</v>
        <stp/>
        <stp>BQL|2959341028414453366</stp>
        <tr r="S274" s="2"/>
      </tp>
      <tp t="s">
        <v>#N/A N/A</v>
        <stp/>
        <stp>BQL|9874325453663880861</stp>
        <tr r="H125" s="2"/>
      </tp>
      <tp t="s">
        <v>#N/A N/A</v>
        <stp/>
        <stp>BQL|7223669488419371484</stp>
        <tr r="U72" s="2"/>
      </tp>
      <tp t="s">
        <v>#N/A N/A</v>
        <stp/>
        <stp>BQL|1994364902493919534</stp>
        <tr r="H115" s="2"/>
      </tp>
      <tp t="s">
        <v>#N/A N/A</v>
        <stp/>
        <stp>BQL|2631357669943507083</stp>
        <tr r="M192" s="2"/>
      </tp>
      <tp t="s">
        <v>#N/A N/A</v>
        <stp/>
        <stp>BQL|1524698789569143231</stp>
        <tr r="T275" s="2"/>
      </tp>
      <tp t="s">
        <v>#N/A N/A</v>
        <stp/>
        <stp>BQL|4265015672320422728</stp>
        <tr r="L103" s="2"/>
      </tp>
      <tp t="s">
        <v>#N/A N/A</v>
        <stp/>
        <stp>BQL|1957240627253548689</stp>
        <tr r="X168" s="2"/>
      </tp>
      <tp t="s">
        <v>#N/A N/A</v>
        <stp/>
        <stp>BQL|8335712282057548432</stp>
        <tr r="U121" s="2"/>
      </tp>
      <tp t="s">
        <v>#N/A N/A</v>
        <stp/>
        <stp>BQL|3154561346382362443</stp>
        <tr r="M103" s="2"/>
      </tp>
      <tp t="s">
        <v>#N/A N/A</v>
        <stp/>
        <stp>BQL|1640239022263862694</stp>
        <tr r="U22" s="2"/>
        <tr r="U99" s="2"/>
      </tp>
      <tp t="s">
        <v>#N/A N/A</v>
        <stp/>
        <stp>BQL|5711669865594195538</stp>
        <tr r="W198" s="2"/>
      </tp>
      <tp t="s">
        <v>#N/A N/A</v>
        <stp/>
        <stp>BQL|7671804924680180955</stp>
        <tr r="O276" s="2"/>
      </tp>
      <tp t="s">
        <v>#N/A N/A</v>
        <stp/>
        <stp>BQL|2467694808920012031</stp>
        <tr r="P253" s="2"/>
      </tp>
      <tp t="s">
        <v>#N/A N/A</v>
        <stp/>
        <stp>BQL|7165581518404567310</stp>
        <tr r="J222" s="2"/>
      </tp>
      <tp t="s">
        <v>#N/A N/A</v>
        <stp/>
        <stp>BQL|6830249966932810476</stp>
        <tr r="E288" s="2"/>
      </tp>
      <tp t="s">
        <v>#N/A N/A</v>
        <stp/>
        <stp>BQL|8412467141829777518</stp>
        <tr r="X361" s="2"/>
      </tp>
      <tp t="s">
        <v>#N/A N/A</v>
        <stp/>
        <stp>BQL|5100573983768026407</stp>
        <tr r="U335" s="2"/>
      </tp>
      <tp t="s">
        <v>#N/A N/A</v>
        <stp/>
        <stp>BQL|4185566547808547902</stp>
        <tr r="L182" s="2"/>
      </tp>
      <tp t="s">
        <v>#N/A N/A</v>
        <stp/>
        <stp>BQL|3823178489909417772</stp>
        <tr r="K245" s="2"/>
      </tp>
      <tp t="s">
        <v>#N/A N/A</v>
        <stp/>
        <stp>BQL|1591626566986475302</stp>
        <tr r="E222" s="2"/>
      </tp>
      <tp t="s">
        <v>#N/A N/A</v>
        <stp/>
        <stp>BQL|8115563063118391726</stp>
        <tr r="M288" s="2"/>
      </tp>
      <tp t="s">
        <v>#N/A N/A</v>
        <stp/>
        <stp>BQL|5880190536497275407</stp>
        <tr r="E185" s="2"/>
      </tp>
      <tp t="s">
        <v>#N/A N/A</v>
        <stp/>
        <stp>BQL|5791927675208647737</stp>
        <tr r="V266" s="2"/>
      </tp>
      <tp t="s">
        <v>#N/A N/A</v>
        <stp/>
        <stp>BQL|2383740302687813680</stp>
        <tr r="O264" s="2"/>
      </tp>
      <tp t="s">
        <v>#N/A N/A</v>
        <stp/>
        <stp>BQL|4212640970282183322</stp>
        <tr r="X249" s="2"/>
      </tp>
      <tp t="s">
        <v>#N/A N/A</v>
        <stp/>
        <stp>BQL|5582656930593321760</stp>
        <tr r="H229" s="2"/>
      </tp>
      <tp t="s">
        <v>#N/A N/A</v>
        <stp/>
        <stp>BQL|4951383434242167218</stp>
        <tr r="W184" s="2"/>
        <tr r="W35" s="2"/>
      </tp>
      <tp t="s">
        <v>#N/A N/A</v>
        <stp/>
        <stp>BQL|6205133194353228928</stp>
        <tr r="Q25" s="2"/>
        <tr r="Q96" s="2"/>
      </tp>
      <tp t="s">
        <v>#N/A N/A</v>
        <stp/>
        <stp>BQL|6114666948792977220</stp>
        <tr r="V132" s="2"/>
      </tp>
      <tp t="s">
        <v>#N/A N/A</v>
        <stp/>
        <stp>BQL|7778718627862758423</stp>
        <tr r="R278" s="2"/>
      </tp>
      <tp t="s">
        <v>#N/A N/A</v>
        <stp/>
        <stp>BQL|7035444702485530271</stp>
        <tr r="G330" s="2"/>
      </tp>
      <tp t="s">
        <v>#N/A N/A</v>
        <stp/>
        <stp>BQL|7440267025233071035</stp>
        <tr r="R270" s="2"/>
      </tp>
      <tp t="s">
        <v>#N/A N/A</v>
        <stp/>
        <stp>BQL|2387047867607643720</stp>
        <tr r="P115" s="2"/>
      </tp>
      <tp t="s">
        <v>#N/A N/A</v>
        <stp/>
        <stp>BQL|7102506946514296617</stp>
        <tr r="W211" s="2"/>
      </tp>
      <tp t="s">
        <v>#N/A N/A</v>
        <stp/>
        <stp>BQL|8350402797534072509</stp>
        <tr r="K345" s="2"/>
      </tp>
      <tp t="s">
        <v>#N/A N/A</v>
        <stp/>
        <stp>BQL|7747349225422276002</stp>
        <tr r="K160" s="2"/>
        <tr r="K21" s="2"/>
        <tr r="K92" s="2"/>
      </tp>
      <tp t="s">
        <v>#N/A N/A</v>
        <stp/>
        <stp>BQL|4732645205067713159</stp>
        <tr r="X229" s="2"/>
      </tp>
      <tp t="s">
        <v>#N/A N/A</v>
        <stp/>
        <stp>BQL|5836624720510928579</stp>
        <tr r="Q131" s="2"/>
      </tp>
      <tp t="s">
        <v>#N/A N/A</v>
        <stp/>
        <stp>BQL|2177176367189596800</stp>
        <tr r="K324" s="2"/>
        <tr r="K40" s="2"/>
      </tp>
      <tp t="s">
        <v>#N/A N/A</v>
        <stp/>
        <stp>BQL|2315575904583491000</stp>
        <tr r="Q228" s="2"/>
      </tp>
      <tp t="s">
        <v>#N/A N/A</v>
        <stp/>
        <stp>BQL|2564387786764750989</stp>
        <tr r="E153" s="2"/>
        <tr r="E65" s="2"/>
      </tp>
      <tp t="s">
        <v>#N/A N/A</v>
        <stp/>
        <stp>BQL|4626357241002718561</stp>
        <tr r="F46" s="2"/>
      </tp>
      <tp t="s">
        <v>#N/A N/A</v>
        <stp/>
        <stp>BQL|6473192473793836756</stp>
        <tr r="V183" s="2"/>
      </tp>
      <tp t="s">
        <v>#N/A N/A</v>
        <stp/>
        <stp>BQL|5414225977671225500</stp>
        <tr r="W245" s="2"/>
      </tp>
      <tp t="s">
        <v>#N/A N/A</v>
        <stp/>
        <stp>BQL|6509076048115903304</stp>
        <tr r="Q350" s="2"/>
      </tp>
      <tp t="s">
        <v>#N/A N/A</v>
        <stp/>
        <stp>BQL|7824392482920643863</stp>
        <tr r="T325" s="2"/>
      </tp>
      <tp t="s">
        <v>#N/A N/A</v>
        <stp/>
        <stp>BQL|2613566372316888294</stp>
        <tr r="M72" s="2"/>
      </tp>
      <tp t="s">
        <v>#N/A N/A</v>
        <stp/>
        <stp>BQL|2868836409507468945</stp>
        <tr r="Q256" s="2"/>
        <tr r="Q279" s="2"/>
      </tp>
      <tp t="s">
        <v>#N/A N/A</v>
        <stp/>
        <stp>BQL|7757817253227114960</stp>
        <tr r="X71" s="2"/>
      </tp>
      <tp t="s">
        <v>#N/A N/A</v>
        <stp/>
        <stp>BQL|5960176554335990017</stp>
        <tr r="X224" s="2"/>
      </tp>
      <tp t="s">
        <v>#N/A N/A</v>
        <stp/>
        <stp>BQL|2679313091068581411</stp>
        <tr r="R317" s="2"/>
      </tp>
      <tp t="s">
        <v>#N/A N/A</v>
        <stp/>
        <stp>BQL|6987382125614628701</stp>
        <tr r="H69" s="2"/>
      </tp>
      <tp t="s">
        <v>#N/A N/A</v>
        <stp/>
        <stp>BQL|1378508827361244346</stp>
        <tr r="P246" s="2"/>
      </tp>
      <tp t="s">
        <v>#N/A N/A</v>
        <stp/>
        <stp>BQL|6524511566493951299</stp>
        <tr r="N190" s="2"/>
      </tp>
      <tp t="s">
        <v>#N/A N/A</v>
        <stp/>
        <stp>BQL|4219302684448468336</stp>
        <tr r="K235" s="2"/>
      </tp>
      <tp t="s">
        <v>#N/A N/A</v>
        <stp/>
        <stp>BQL|4349645770773652204</stp>
        <tr r="R68" s="2"/>
      </tp>
      <tp t="s">
        <v>#N/A N/A</v>
        <stp/>
        <stp>BQL|8549915664784333724</stp>
        <tr r="R252" s="2"/>
      </tp>
      <tp t="s">
        <v>#N/A N/A</v>
        <stp/>
        <stp>BQL|3963027674366940677</stp>
        <tr r="I168" s="2"/>
      </tp>
      <tp t="s">
        <v>#N/A N/A</v>
        <stp/>
        <stp>BQL|7728347155880778507</stp>
        <tr r="I204" s="2"/>
      </tp>
      <tp t="s">
        <v>#N/A N/A</v>
        <stp/>
        <stp>BQL|4516179934691310340</stp>
        <tr r="J126" s="2"/>
      </tp>
      <tp t="s">
        <v>#N/A N/A</v>
        <stp/>
        <stp>BQL|3617205512360780426</stp>
        <tr r="Q291" s="2"/>
      </tp>
      <tp t="s">
        <v>#N/A N/A</v>
        <stp/>
        <stp>BQL|2196532402400556342</stp>
        <tr r="V316" s="2"/>
      </tp>
      <tp t="s">
        <v>#N/A N/A</v>
        <stp/>
        <stp>BQL|1409636972063180756</stp>
        <tr r="P285" s="2"/>
      </tp>
      <tp t="s">
        <v>#N/A N/A</v>
        <stp/>
        <stp>BQL|2555403701945021756</stp>
        <tr r="V273" s="2"/>
      </tp>
      <tp t="s">
        <v>#N/A N/A</v>
        <stp/>
        <stp>BQL|1975332899936314917</stp>
        <tr r="I19" s="2"/>
        <tr r="I94" s="2"/>
      </tp>
      <tp t="s">
        <v>#N/A N/A</v>
        <stp/>
        <stp>BQL|5320891406631530891</stp>
        <tr r="J244" s="2"/>
      </tp>
      <tp t="s">
        <v>#N/A N/A</v>
        <stp/>
        <stp>BQL|3676412136773351321</stp>
        <tr r="G267" s="2"/>
      </tp>
      <tp t="s">
        <v>#N/A N/A</v>
        <stp/>
        <stp>BQL|3136167857590951397</stp>
        <tr r="V135" s="2"/>
      </tp>
      <tp t="s">
        <v>#N/A N/A</v>
        <stp/>
        <stp>BQL|9146808542994600558</stp>
        <tr r="N144" s="2"/>
      </tp>
      <tp t="s">
        <v>#N/A N/A</v>
        <stp/>
        <stp>BQL|2980276370522926175</stp>
        <tr r="Q289" s="2"/>
      </tp>
      <tp t="s">
        <v>#N/A N/A</v>
        <stp/>
        <stp>BQL|2033295697628647588</stp>
        <tr r="E236" s="2"/>
      </tp>
      <tp t="s">
        <v>#N/A N/A</v>
        <stp/>
        <stp>BQL|28403911240763804</stp>
        <tr r="G356" s="2"/>
      </tp>
      <tp t="s">
        <v>#N/A N/A</v>
        <stp/>
        <stp>BQL|96684537399074104</stp>
        <tr r="L130" s="2"/>
      </tp>
      <tp t="s">
        <v>#N/A N/A</v>
        <stp/>
        <stp>BQL|3201923739784132873</stp>
        <tr r="H254" s="2"/>
      </tp>
      <tp t="s">
        <v>#N/A N/A</v>
        <stp/>
        <stp>BQL|7821461016243371447</stp>
        <tr r="O171" s="2"/>
      </tp>
      <tp t="s">
        <v>#N/A N/A</v>
        <stp/>
        <stp>BQL|5224940586724972562</stp>
        <tr r="S259" s="2"/>
      </tp>
      <tp t="s">
        <v>#N/A N/A</v>
        <stp/>
        <stp>BQL|8769779282592863051</stp>
        <tr r="I346" s="2"/>
      </tp>
      <tp t="s">
        <v>#N/A N/A</v>
        <stp/>
        <stp>BQL|2402680414426602618</stp>
        <tr r="U212" s="2"/>
        <tr r="U6" s="2"/>
      </tp>
      <tp t="s">
        <v>#N/A N/A</v>
        <stp/>
        <stp>BQL|6626638017471929540</stp>
        <tr r="S208" s="2"/>
      </tp>
      <tp t="s">
        <v>#N/A N/A</v>
        <stp/>
        <stp>BQL|8499079485661816418</stp>
        <tr r="R296" s="2"/>
      </tp>
      <tp t="s">
        <v>#N/A N/A</v>
        <stp/>
        <stp>BQL|7658728282175947806</stp>
        <tr r="G71" s="2"/>
      </tp>
      <tp t="s">
        <v>#N/A N/A</v>
        <stp/>
        <stp>BQL|6216263723841121290</stp>
        <tr r="N10" s="2"/>
        <tr r="N60" s="2"/>
      </tp>
      <tp t="s">
        <v>#N/A N/A</v>
        <stp/>
        <stp>BQL|5638397405186573509</stp>
        <tr r="E353" s="2"/>
      </tp>
      <tp t="s">
        <v>#N/A N/A</v>
        <stp/>
        <stp>BQL|2704082523231779450</stp>
        <tr r="H278" s="2"/>
      </tp>
      <tp t="s">
        <v>#N/A N/A</v>
        <stp/>
        <stp>BQL|5126136434743920117</stp>
        <tr r="I234" s="2"/>
        <tr r="I311" s="2"/>
      </tp>
      <tp t="s">
        <v>#N/A N/A</v>
        <stp/>
        <stp>BQL|5461726364687508690</stp>
        <tr r="L323" s="2"/>
      </tp>
      <tp t="s">
        <v>#N/A N/A</v>
        <stp/>
        <stp>BQL|7219601203156707287</stp>
        <tr r="W339" s="2"/>
      </tp>
      <tp t="s">
        <v>#N/A N/A</v>
        <stp/>
        <stp>BQL|6574324527113771195</stp>
        <tr r="W327" s="2"/>
      </tp>
      <tp t="s">
        <v>#N/A N/A</v>
        <stp/>
        <stp>BQL|5436344539272018274</stp>
        <tr r="S71" s="2"/>
      </tp>
      <tp t="s">
        <v>#N/A N/A</v>
        <stp/>
        <stp>BQL|2369605843435978073</stp>
        <tr r="X227" s="2"/>
      </tp>
      <tp t="s">
        <v>#N/A N/A</v>
        <stp/>
        <stp>BQL|2873508731534461531</stp>
        <tr r="X255" s="2"/>
      </tp>
      <tp t="s">
        <v>#N/A N/A</v>
        <stp/>
        <stp>BQL|1923715664936733351</stp>
        <tr r="Q47" s="2"/>
      </tp>
      <tp t="s">
        <v>#N/A N/A</v>
        <stp/>
        <stp>BQL|7884412111965729218</stp>
        <tr r="G354" s="2"/>
      </tp>
      <tp t="s">
        <v>#N/A N/A</v>
        <stp/>
        <stp>BQL|7211184680632309978</stp>
        <tr r="K353" s="2"/>
      </tp>
      <tp t="s">
        <v>#N/A N/A</v>
        <stp/>
        <stp>BQL|7174913682442808175</stp>
        <tr r="I318" s="2"/>
      </tp>
      <tp t="s">
        <v>#N/A N/A</v>
        <stp/>
        <stp>BQL|1280388243304409707</stp>
        <tr r="J119" s="2"/>
      </tp>
      <tp t="s">
        <v>#N/A N/A</v>
        <stp/>
        <stp>BQL|6951013205671604267</stp>
        <tr r="K310" s="2"/>
      </tp>
      <tp t="s">
        <v>#N/A N/A</v>
        <stp/>
        <stp>BQL|5169607349133134144</stp>
        <tr r="M259" s="2"/>
      </tp>
      <tp t="s">
        <v>#N/A N/A</v>
        <stp/>
        <stp>BQL|1603591512772939292</stp>
        <tr r="M350" s="2"/>
      </tp>
      <tp t="s">
        <v>#N/A N/A</v>
        <stp/>
        <stp>BQL|7751195384998261358</stp>
        <tr r="L4" s="2"/>
      </tp>
      <tp t="s">
        <v>#N/A N/A</v>
        <stp/>
        <stp>BQL|3824078569313385387</stp>
        <tr r="T286" s="2"/>
      </tp>
      <tp t="s">
        <v>#N/A N/A</v>
        <stp/>
        <stp>BQL|1716682016854082745</stp>
        <tr r="M129" s="2"/>
      </tp>
      <tp t="s">
        <v>#N/A N/A</v>
        <stp/>
        <stp>BQL|5642380022554961587</stp>
        <tr r="M116" s="2"/>
        <tr r="M30" s="2"/>
      </tp>
      <tp t="s">
        <v>#N/A N/A</v>
        <stp/>
        <stp>BQL|3175235158312466338</stp>
        <tr r="K292" s="2"/>
      </tp>
      <tp t="s">
        <v>#N/A N/A</v>
        <stp/>
        <stp>BQL|5155099109204506490</stp>
        <tr r="E319" s="2"/>
      </tp>
      <tp t="s">
        <v>#N/A N/A</v>
        <stp/>
        <stp>BQL|7675983464888329546</stp>
        <tr r="I121" s="2"/>
      </tp>
      <tp t="s">
        <v>#N/A N/A</v>
        <stp/>
        <stp>BQL|6728362921396460480</stp>
        <tr r="J180" s="2"/>
      </tp>
      <tp t="s">
        <v>#N/A N/A</v>
        <stp/>
        <stp>BQL|4831024635281045336</stp>
        <tr r="H13" s="2"/>
        <tr r="H84" s="2"/>
      </tp>
      <tp t="s">
        <v>#N/A N/A</v>
        <stp/>
        <stp>BQL|8717171965613016991</stp>
        <tr r="K49" s="2"/>
      </tp>
      <tp t="s">
        <v>#N/A N/A</v>
        <stp/>
        <stp>BQL|4548187232883513068</stp>
        <tr r="J286" s="2"/>
      </tp>
      <tp t="s">
        <v>#N/A N/A</v>
        <stp/>
        <stp>BQL|1937797418196291463</stp>
        <tr r="V101" s="2"/>
        <tr r="V23" s="2"/>
      </tp>
      <tp t="s">
        <v>#N/A N/A</v>
        <stp/>
        <stp>BQL|3492277418351574423</stp>
        <tr r="M152" s="2"/>
        <tr r="M62" s="2"/>
      </tp>
      <tp t="s">
        <v>#N/A N/A</v>
        <stp/>
        <stp>BQL|3658729874646478084</stp>
        <tr r="F272" s="2"/>
      </tp>
      <tp t="s">
        <v>#N/A N/A</v>
        <stp/>
        <stp>BQL|3621754140715793083</stp>
        <tr r="K85" s="2"/>
      </tp>
      <tp t="s">
        <v>#N/A N/A</v>
        <stp/>
        <stp>BQL|5369560725146307180</stp>
        <tr r="S129" s="2"/>
      </tp>
      <tp t="s">
        <v>#N/A N/A</v>
        <stp/>
        <stp>BQL|4258476032147427187</stp>
        <tr r="I196" s="2"/>
      </tp>
      <tp t="s">
        <v>#N/A N/A</v>
        <stp/>
        <stp>BQL|6974643811316592228</stp>
        <tr r="L363" s="2"/>
      </tp>
      <tp t="s">
        <v>#N/A N/A</v>
        <stp/>
        <stp>BQL|9514251775629960070</stp>
        <tr r="R315" s="2"/>
      </tp>
      <tp t="s">
        <v>#N/A N/A</v>
        <stp/>
        <stp>BQL|2165619832974086693</stp>
        <tr r="J187" s="2"/>
        <tr r="J37" s="2"/>
      </tp>
      <tp t="s">
        <v>#N/A N/A</v>
        <stp/>
        <stp>BQL|1318338215295935374</stp>
        <tr r="E47" s="2"/>
      </tp>
      <tp t="s">
        <v>#N/A N/A</v>
        <stp/>
        <stp>BQL|2505198436227961280</stp>
        <tr r="H246" s="2"/>
      </tp>
      <tp t="s">
        <v>#N/A N/A</v>
        <stp/>
        <stp>BQL|1879199226345908252</stp>
        <tr r="F270" s="2"/>
      </tp>
      <tp t="s">
        <v>#N/A N/A</v>
        <stp/>
        <stp>BQL|7109799075801298347</stp>
        <tr r="R249" s="2"/>
      </tp>
      <tp t="s">
        <v>#N/A N/A</v>
        <stp/>
        <stp>BQL|9516348700417927831</stp>
        <tr r="W132" s="2"/>
      </tp>
      <tp t="s">
        <v>#N/A N/A</v>
        <stp/>
        <stp>BQL|1242194449660039180</stp>
        <tr r="T269" s="2"/>
      </tp>
      <tp t="s">
        <v>#N/A N/A</v>
        <stp/>
        <stp>BQL|2933117212562419544</stp>
        <tr r="M211" s="2"/>
      </tp>
      <tp t="s">
        <v>#N/A N/A</v>
        <stp/>
        <stp>BQL|5107076287240877830</stp>
        <tr r="W341" s="2"/>
      </tp>
      <tp t="s">
        <v>#N/A N/A</v>
        <stp/>
        <stp>BQL|3879627607685797503</stp>
        <tr r="Q351" s="2"/>
      </tp>
      <tp t="s">
        <v>#N/A N/A</v>
        <stp/>
        <stp>BQL|1296707355051574786</stp>
        <tr r="J231" s="2"/>
      </tp>
      <tp t="s">
        <v>#N/A N/A</v>
        <stp/>
        <stp>BQL|3685620746313808704</stp>
        <tr r="P106" s="2"/>
      </tp>
      <tp t="s">
        <v>#N/A N/A</v>
        <stp/>
        <stp>BQL|6625151629056623669</stp>
        <tr r="W262" s="2"/>
      </tp>
      <tp t="s">
        <v>#N/A N/A</v>
        <stp/>
        <stp>BQL|2918771420684796634</stp>
        <tr r="X254" s="2"/>
      </tp>
      <tp t="s">
        <v>#N/A N/A</v>
        <stp/>
        <stp>BQL|9682290010008745711</stp>
        <tr r="J15" s="2"/>
        <tr r="J88" s="2"/>
      </tp>
      <tp t="s">
        <v>#N/A N/A</v>
        <stp/>
        <stp>BQL|8276058969803498837</stp>
        <tr r="U237" s="2"/>
      </tp>
      <tp t="s">
        <v>#N/A N/A</v>
        <stp/>
        <stp>BQL|3374540953675840341</stp>
        <tr r="V217" s="2"/>
      </tp>
      <tp t="s">
        <v>#N/A N/A</v>
        <stp/>
        <stp>BQL|6016184675150516504</stp>
        <tr r="P165" s="2"/>
      </tp>
      <tp t="s">
        <v>#N/A N/A</v>
        <stp/>
        <stp>BQL|9365958681968803575</stp>
        <tr r="N268" s="2"/>
      </tp>
      <tp t="s">
        <v>#N/A N/A</v>
        <stp/>
        <stp>BQL|3149127477392465284</stp>
        <tr r="N359" s="2"/>
      </tp>
      <tp t="s">
        <v>#N/A N/A</v>
        <stp/>
        <stp>BQL|4457679051684901637</stp>
        <tr r="P116" s="2"/>
        <tr r="P30" s="2"/>
      </tp>
      <tp t="s">
        <v>#N/A N/A</v>
        <stp/>
        <stp>BQL|4563173900602363298</stp>
        <tr r="F320" s="2"/>
      </tp>
      <tp t="s">
        <v>#N/A N/A</v>
        <stp/>
        <stp>BQL|6839331007949508910</stp>
        <tr r="R53" s="2"/>
      </tp>
      <tp t="s">
        <v>#N/A N/A</v>
        <stp/>
        <stp>BQL|8529837912503595792</stp>
        <tr r="T121" s="2"/>
      </tp>
      <tp t="s">
        <v>#N/A N/A</v>
        <stp/>
        <stp>BQL|2871323101264414082</stp>
        <tr r="M310" s="2"/>
      </tp>
      <tp t="s">
        <v>#N/A N/A</v>
        <stp/>
        <stp>BQL|4926384501056319442</stp>
        <tr r="Q309" s="2"/>
      </tp>
      <tp t="s">
        <v>#N/A N/A</v>
        <stp/>
        <stp>BQL|1409845397314009102</stp>
        <tr r="F286" s="2"/>
      </tp>
      <tp t="s">
        <v>#N/A N/A</v>
        <stp/>
        <stp>BQL|4007306409447934575</stp>
        <tr r="M360" s="2"/>
      </tp>
      <tp t="s">
        <v>#N/A N/A</v>
        <stp/>
        <stp>BQL|7607124092593130906</stp>
        <tr r="T352" s="2"/>
      </tp>
      <tp t="s">
        <v>#N/A N/A</v>
        <stp/>
        <stp>BQL|5246250189628122287</stp>
        <tr r="J296" s="2"/>
      </tp>
      <tp t="s">
        <v>#N/A N/A</v>
        <stp/>
        <stp>BQL|3324534083152735935</stp>
        <tr r="S221" s="2"/>
      </tp>
      <tp t="s">
        <v>#N/A N/A</v>
        <stp/>
        <stp>BQL|7555471201574541214</stp>
        <tr r="T363" s="2"/>
      </tp>
      <tp t="s">
        <v>#N/A N/A</v>
        <stp/>
        <stp>BQL|8759734901913234908</stp>
        <tr r="T211" s="2"/>
      </tp>
      <tp t="s">
        <v>#N/A N/A</v>
        <stp/>
        <stp>BQL|5555172108035468493</stp>
        <tr r="J228" s="2"/>
      </tp>
      <tp t="s">
        <v>#N/A N/A</v>
        <stp/>
        <stp>BQL|7285326641946209348</stp>
        <tr r="O127" s="2"/>
      </tp>
      <tp t="s">
        <v>#N/A N/A</v>
        <stp/>
        <stp>BQL|3955098051901042269</stp>
        <tr r="I359" s="2"/>
      </tp>
      <tp t="s">
        <v>#N/A N/A</v>
        <stp/>
        <stp>BQL|3299316318603846744</stp>
        <tr r="H112" s="2"/>
        <tr r="H29" s="2"/>
      </tp>
      <tp t="s">
        <v>#N/A N/A</v>
        <stp/>
        <stp>BQL|2113416661975310055</stp>
        <tr r="J304" s="2"/>
      </tp>
      <tp t="s">
        <v>#N/A N/A</v>
        <stp/>
        <stp>BQL|1945023743342640285</stp>
        <tr r="G326" s="2"/>
        <tr r="G41" s="2"/>
      </tp>
      <tp t="s">
        <v>#N/A N/A</v>
        <stp/>
        <stp>BQL|3074127351357675531</stp>
        <tr r="W351" s="2"/>
      </tp>
      <tp t="s">
        <v>#N/A N/A</v>
        <stp/>
        <stp>BQL|4626776700551001776</stp>
        <tr r="S286" s="2"/>
      </tp>
      <tp t="s">
        <v>#N/A N/A</v>
        <stp/>
        <stp>BQL|5128862483433311312</stp>
        <tr r="U168" s="2"/>
      </tp>
      <tp t="s">
        <v>#N/A N/A</v>
        <stp/>
        <stp>BQL|3770397403620341583</stp>
        <tr r="M193" s="2"/>
      </tp>
      <tp t="s">
        <v>#N/A N/A</v>
        <stp/>
        <stp>BQL|4277207164773738677</stp>
        <tr r="H256" s="2"/>
        <tr r="H279" s="2"/>
      </tp>
      <tp t="s">
        <v>#N/A N/A</v>
        <stp/>
        <stp>BQL|7628675778407896477</stp>
        <tr r="E163" s="2"/>
        <tr r="E7" s="2"/>
      </tp>
      <tp t="s">
        <v>#N/A N/A</v>
        <stp/>
        <stp>BQL|6754609049067037681</stp>
        <tr r="R339" s="2"/>
      </tp>
      <tp t="s">
        <v>#N/A N/A</v>
        <stp/>
        <stp>BQL|4346569406177505302</stp>
        <tr r="M238" s="2"/>
      </tp>
      <tp t="s">
        <v>#N/A N/A</v>
        <stp/>
        <stp>BQL|1120756652960799645</stp>
        <tr r="I272" s="2"/>
      </tp>
      <tp t="s">
        <v>#N/A N/A</v>
        <stp/>
        <stp>BQL|3637524927367752611</stp>
        <tr r="R247" s="2"/>
      </tp>
      <tp t="s">
        <v>#N/A N/A</v>
        <stp/>
        <stp>BQL|8307581025748370283</stp>
        <tr r="H297" s="2"/>
      </tp>
      <tp t="s">
        <v>#N/A N/A</v>
        <stp/>
        <stp>BQL|2388182715066951122</stp>
        <tr r="F274" s="2"/>
      </tp>
      <tp t="s">
        <v>#N/A N/A</v>
        <stp/>
        <stp>BQL|3189604015627808695</stp>
        <tr r="U252" s="2"/>
      </tp>
      <tp t="s">
        <v>#N/A N/A</v>
        <stp/>
        <stp>BQL|3930530541293909478</stp>
        <tr r="H225" s="2"/>
      </tp>
      <tp t="s">
        <v>#N/A N/A</v>
        <stp/>
        <stp>BQL|6106566137574525108</stp>
        <tr r="U120" s="2"/>
      </tp>
      <tp t="s">
        <v>#N/A N/A</v>
        <stp/>
        <stp>BQL|2724184759044397706</stp>
        <tr r="S269" s="2"/>
      </tp>
      <tp t="s">
        <v>#N/A N/A</v>
        <stp/>
        <stp>BQL|9424051201028728429</stp>
        <tr r="U323" s="2"/>
      </tp>
      <tp t="s">
        <v>#N/A N/A</v>
        <stp/>
        <stp>BQL|6494869482106699533</stp>
        <tr r="J334" s="2"/>
      </tp>
      <tp t="s">
        <v>#N/A N/A</v>
        <stp/>
        <stp>BQL|9916023386123066790</stp>
        <tr r="R224" s="2"/>
      </tp>
      <tp t="s">
        <v>#N/A N/A</v>
        <stp/>
        <stp>BQL|8160723506493223936</stp>
        <tr r="J330" s="2"/>
      </tp>
      <tp t="s">
        <v>#N/A N/A</v>
        <stp/>
        <stp>BQL|8847895272403030172</stp>
        <tr r="S260" s="2"/>
      </tp>
      <tp t="s">
        <v>#N/A N/A</v>
        <stp/>
        <stp>BQL|4991915391443560289</stp>
        <tr r="S267" s="2"/>
      </tp>
      <tp t="s">
        <v>#N/A N/A</v>
        <stp/>
        <stp>BQL|1367782539755076563</stp>
        <tr r="U229" s="2"/>
      </tp>
      <tp t="s">
        <v>#N/A N/A</v>
        <stp/>
        <stp>BQL|8979292295503274530</stp>
        <tr r="U294" s="2"/>
      </tp>
      <tp t="s">
        <v>#N/A N/A</v>
        <stp/>
        <stp>BQL|9086547790242083203</stp>
        <tr r="J105" s="2"/>
      </tp>
      <tp t="s">
        <v>#N/A N/A</v>
        <stp/>
        <stp>BQL|6303067513585422766</stp>
        <tr r="K221" s="2"/>
      </tp>
      <tp t="s">
        <v>#N/A N/A</v>
        <stp/>
        <stp>BQL|3459029335223383647</stp>
        <tr r="N276" s="2"/>
      </tp>
      <tp t="s">
        <v>#N/A N/A</v>
        <stp/>
        <stp>BQL|1667719611571394313</stp>
        <tr r="G163" s="2"/>
        <tr r="G7" s="2"/>
      </tp>
      <tp t="s">
        <v>#N/A N/A</v>
        <stp/>
        <stp>BQL|7801234011011629086</stp>
        <tr r="E114" s="2"/>
      </tp>
      <tp t="s">
        <v>#N/A N/A</v>
        <stp/>
        <stp>BQL|2644132664575473517</stp>
        <tr r="K298" s="2"/>
      </tp>
      <tp t="s">
        <v>#N/A N/A</v>
        <stp/>
        <stp>BQL|7025430354696249513</stp>
        <tr r="F159" s="2"/>
        <tr r="F20" s="2"/>
        <tr r="F91" s="2"/>
      </tp>
      <tp t="s">
        <v>#N/A N/A</v>
        <stp/>
        <stp>BQL|1654218922360973484</stp>
        <tr r="P283" s="2"/>
      </tp>
      <tp t="s">
        <v>#N/A N/A</v>
        <stp/>
        <stp>BQL|7259430521636349279</stp>
        <tr r="N294" s="2"/>
      </tp>
      <tp t="s">
        <v>#N/A N/A</v>
        <stp/>
        <stp>BQL|6697736263416503472</stp>
        <tr r="K180" s="2"/>
      </tp>
      <tp t="s">
        <v>#N/A N/A</v>
        <stp/>
        <stp>BQL|2516870590780976684</stp>
        <tr r="T116" s="2"/>
        <tr r="T30" s="2"/>
      </tp>
      <tp t="s">
        <v>#N/A N/A</v>
        <stp/>
        <stp>BQL|3329527935084151465</stp>
        <tr r="H183" s="2"/>
      </tp>
      <tp t="s">
        <v>#N/A N/A</v>
        <stp/>
        <stp>BQL|1233777155406738044</stp>
        <tr r="R79" s="2"/>
      </tp>
      <tp t="s">
        <v>#N/A N/A</v>
        <stp/>
        <stp>BQL|6393675063450106359</stp>
        <tr r="K291" s="2"/>
      </tp>
      <tp t="s">
        <v>#N/A N/A</v>
        <stp/>
        <stp>BQL|2041520607163439127</stp>
        <tr r="I341" s="2"/>
      </tp>
      <tp t="s">
        <v>#N/A N/A</v>
        <stp/>
        <stp>BQL|2632644650030770460</stp>
        <tr r="R147" s="2"/>
      </tp>
      <tp t="s">
        <v>#N/A N/A</v>
        <stp/>
        <stp>BQL|6338776203696504213</stp>
        <tr r="U102" s="2"/>
      </tp>
      <tp t="s">
        <v>#N/A N/A</v>
        <stp/>
        <stp>BQL|6052938896981503237</stp>
        <tr r="N72" s="2"/>
      </tp>
      <tp t="s">
        <v>#N/A N/A</v>
        <stp/>
        <stp>BQL|6732768102996756275</stp>
        <tr r="F217" s="2"/>
      </tp>
      <tp t="s">
        <v>#N/A N/A</v>
        <stp/>
        <stp>BQL|2958948959489425236</stp>
        <tr r="U329" s="2"/>
      </tp>
      <tp t="s">
        <v>#N/A N/A</v>
        <stp/>
        <stp>BQL|1628414609817504783</stp>
        <tr r="X103" s="2"/>
      </tp>
      <tp t="s">
        <v>#N/A N/A</v>
        <stp/>
        <stp>BQL|1763936600588600519</stp>
        <tr r="I209" s="2"/>
      </tp>
      <tp t="s">
        <v>#N/A N/A</v>
        <stp/>
        <stp>BQL|8383853866310521366</stp>
        <tr r="I352" s="2"/>
      </tp>
      <tp t="s">
        <v>#N/A N/A</v>
        <stp/>
        <stp>BQL|4443179422432553075</stp>
        <tr r="S235" s="2"/>
      </tp>
      <tp t="s">
        <v>#N/A N/A</v>
        <stp/>
        <stp>BQL|5942516341069880823</stp>
        <tr r="Q278" s="2"/>
      </tp>
      <tp t="s">
        <v>#N/A N/A</v>
        <stp/>
        <stp>BQL|1582260975006372765</stp>
        <tr r="N261" s="2"/>
      </tp>
      <tp t="s">
        <v>#N/A N/A</v>
        <stp/>
        <stp>BQL|1417046694309720411</stp>
        <tr r="O202" s="2"/>
      </tp>
      <tp t="s">
        <v>#N/A N/A</v>
        <stp/>
        <stp>BQL|7749260873363973491</stp>
        <tr r="L125" s="2"/>
      </tp>
      <tp t="s">
        <v>#N/A N/A</v>
        <stp/>
        <stp>BQL|2656212003787238240</stp>
        <tr r="I358" s="2"/>
      </tp>
      <tp t="s">
        <v>#N/A N/A</v>
        <stp/>
        <stp>BQL|7119577603742541527</stp>
        <tr r="L251" s="2"/>
      </tp>
      <tp t="s">
        <v>#N/A N/A</v>
        <stp/>
        <stp>BQL|9698016797843210609</stp>
        <tr r="F129" s="2"/>
      </tp>
      <tp t="s">
        <v>#N/A N/A</v>
        <stp/>
        <stp>BQL|7980814891547237493</stp>
        <tr r="H289" s="2"/>
      </tp>
      <tp t="s">
        <v>#N/A N/A</v>
        <stp/>
        <stp>BQL|1013089051787831609</stp>
        <tr r="L138" s="2"/>
      </tp>
      <tp t="s">
        <v>#N/A N/A</v>
        <stp/>
        <stp>BQL|1495471021314085637</stp>
        <tr r="W130" s="2"/>
      </tp>
      <tp t="s">
        <v>#N/A N/A</v>
        <stp/>
        <stp>BQL|5175852403310244845</stp>
        <tr r="Q108" s="2"/>
      </tp>
      <tp t="s">
        <v>#N/A N/A</v>
        <stp/>
        <stp>BQL|8568768627890033852</stp>
        <tr r="I141" s="2"/>
      </tp>
      <tp t="s">
        <v>#N/A N/A</v>
        <stp/>
        <stp>BQL|7765670164401428317</stp>
        <tr r="S315" s="2"/>
      </tp>
      <tp t="s">
        <v>#N/A N/A</v>
        <stp/>
        <stp>BQL|4269884734133833976</stp>
        <tr r="H126" s="2"/>
      </tp>
      <tp t="s">
        <v>#N/A N/A</v>
        <stp/>
        <stp>BQL|4125339655892261543</stp>
        <tr r="R202" s="2"/>
      </tp>
      <tp t="s">
        <v>#N/A N/A</v>
        <stp/>
        <stp>BQL|4973430677311843341</stp>
        <tr r="M212" s="2"/>
        <tr r="M6" s="2"/>
      </tp>
      <tp t="s">
        <v>#N/A N/A</v>
        <stp/>
        <stp>BQL|3444034701291449737</stp>
        <tr r="L212" s="2"/>
        <tr r="L6" s="2"/>
      </tp>
      <tp t="s">
        <v>#N/A N/A</v>
        <stp/>
        <stp>BQL|5158228074645694002</stp>
        <tr r="K339" s="2"/>
      </tp>
      <tp t="s">
        <v>#N/A N/A</v>
        <stp/>
        <stp>BQL|3133715753683160735</stp>
        <tr r="J135" s="2"/>
      </tp>
      <tp t="s">
        <v>#N/A N/A</v>
        <stp/>
        <stp>BQL|7231728938385084392</stp>
        <tr r="H147" s="2"/>
      </tp>
      <tp t="s">
        <v>#N/A N/A</v>
        <stp/>
        <stp>BQL|1124944416049118535</stp>
        <tr r="Q236" s="2"/>
      </tp>
      <tp t="s">
        <v>#N/A N/A</v>
        <stp/>
        <stp>BQL|2241273405282510746</stp>
        <tr r="J291" s="2"/>
      </tp>
      <tp t="s">
        <v>#N/A N/A</v>
        <stp/>
        <stp>BQL|1709462346433698702</stp>
        <tr r="H350" s="2"/>
      </tp>
      <tp t="s">
        <v>#N/A N/A</v>
        <stp/>
        <stp>BQL|9103659267785466964</stp>
        <tr r="O147" s="2"/>
      </tp>
      <tp t="s">
        <v>#N/A N/A</v>
        <stp/>
        <stp>BQL|8751861290714795874</stp>
        <tr r="O245" s="2"/>
      </tp>
      <tp t="s">
        <v>#N/A N/A</v>
        <stp/>
        <stp>BQL|1781763947536670117</stp>
        <tr r="U103" s="2"/>
      </tp>
      <tp t="s">
        <v>#N/A N/A</v>
        <stp/>
        <stp>BQL|2049428994548057274</stp>
        <tr r="T300" s="2"/>
      </tp>
      <tp t="s">
        <v>#N/A N/A</v>
        <stp/>
        <stp>BQL|1896235476184873541</stp>
        <tr r="H348" s="2"/>
      </tp>
      <tp t="s">
        <v>#N/A N/A</v>
        <stp/>
        <stp>BQL|5709402910514470134</stp>
        <tr r="G196" s="2"/>
      </tp>
      <tp t="s">
        <v>#N/A N/A</v>
        <stp/>
        <stp>BQL|9904108917318738499</stp>
        <tr r="M22" s="2"/>
        <tr r="M99" s="2"/>
      </tp>
      <tp t="s">
        <v>#N/A N/A</v>
        <stp/>
        <stp>BQL|6152212503290331104</stp>
        <tr r="K228" s="2"/>
      </tp>
      <tp t="s">
        <v>#N/A N/A</v>
        <stp/>
        <stp>BQL|4275705566745511518</stp>
        <tr r="P260" s="2"/>
      </tp>
      <tp t="s">
        <v>#N/A N/A</v>
        <stp/>
        <stp>BQL|4616120593491283853</stp>
        <tr r="W255" s="2"/>
      </tp>
      <tp t="s">
        <v>#N/A N/A</v>
        <stp/>
        <stp>BQL|9488601150769260662</stp>
        <tr r="X69" s="2"/>
      </tp>
      <tp t="s">
        <v>#N/A N/A</v>
        <stp/>
        <stp>BQL|3097686932850040057</stp>
        <tr r="N179" s="2"/>
      </tp>
      <tp t="s">
        <v>#N/A N/A</v>
        <stp/>
        <stp>BQL|8624033126964480886</stp>
        <tr r="F246" s="2"/>
      </tp>
      <tp t="s">
        <v>#N/A N/A</v>
        <stp/>
        <stp>BQL|9097923927933231781</stp>
        <tr r="X135" s="2"/>
      </tp>
      <tp t="s">
        <v>#N/A N/A</v>
        <stp/>
        <stp>BQL|9831612530219345357</stp>
        <tr r="F69" s="2"/>
      </tp>
      <tp t="s">
        <v>#N/A N/A</v>
        <stp/>
        <stp>BQL|9472724174016980948</stp>
        <tr r="N302" s="2"/>
      </tp>
      <tp t="s">
        <v>#N/A N/A</v>
        <stp/>
        <stp>BQL|7043207113476559491</stp>
        <tr r="O335" s="2"/>
      </tp>
      <tp t="s">
        <v>#N/A N/A</v>
        <stp/>
        <stp>BQL|7334355609307473548</stp>
        <tr r="H326" s="2"/>
        <tr r="H41" s="2"/>
      </tp>
      <tp t="s">
        <v>#N/A N/A</v>
        <stp/>
        <stp>BQL|7777254085202059990</stp>
        <tr r="X300" s="2"/>
      </tp>
      <tp t="s">
        <v>#N/A N/A</v>
        <stp/>
        <stp>BQL|6896024847101399502</stp>
        <tr r="G201" s="2"/>
      </tp>
      <tp t="s">
        <v>#N/A N/A</v>
        <stp/>
        <stp>BQL|2232137621137855067</stp>
        <tr r="V270" s="2"/>
      </tp>
      <tp t="s">
        <v>#N/A N/A</v>
        <stp/>
        <stp>BQL|6921161694591262970</stp>
        <tr r="R292" s="2"/>
      </tp>
      <tp t="s">
        <v>#N/A N/A</v>
        <stp/>
        <stp>BQL|7072326917243256095</stp>
        <tr r="J118" s="2"/>
      </tp>
      <tp t="s">
        <v>#N/A N/A</v>
        <stp/>
        <stp>BQL|1708892715318414613</stp>
        <tr r="G168" s="2"/>
      </tp>
      <tp t="s">
        <v>#N/A N/A</v>
        <stp/>
        <stp>BQL|1774045459332016042</stp>
        <tr r="Q46" s="2"/>
      </tp>
      <tp t="s">
        <v>#N/A N/A</v>
        <stp/>
        <stp>BQL|7271269724608943970</stp>
        <tr r="S348" s="2"/>
      </tp>
      <tp t="s">
        <v>#N/A N/A</v>
        <stp/>
        <stp>BQL|9124904256841803216</stp>
        <tr r="Q166" s="2"/>
      </tp>
      <tp t="s">
        <v>#N/A N/A</v>
        <stp/>
        <stp>BQL|6708425354736894771</stp>
        <tr r="O341" s="2"/>
      </tp>
      <tp t="s">
        <v>#N/A N/A</v>
        <stp/>
        <stp>BQL|1241392551531359043</stp>
        <tr r="U288" s="2"/>
      </tp>
      <tp t="s">
        <v>#N/A N/A</v>
        <stp/>
        <stp>BQL|7022451892514372894</stp>
        <tr r="R130" s="2"/>
      </tp>
      <tp t="s">
        <v>#N/A N/A</v>
        <stp/>
        <stp>BQL|2908135318912687692</stp>
        <tr r="H173" s="2"/>
      </tp>
      <tp t="s">
        <v>#N/A N/A</v>
        <stp/>
        <stp>BQL|4469972209872253958</stp>
        <tr r="J271" s="2"/>
      </tp>
      <tp t="s">
        <v>#N/A N/A</v>
        <stp/>
        <stp>BQL|3868422973734641224</stp>
        <tr r="I166" s="2"/>
      </tp>
      <tp t="s">
        <v>#N/A N/A</v>
        <stp/>
        <stp>BQL|2063254715051968647</stp>
        <tr r="L151" s="2"/>
      </tp>
      <tp t="s">
        <v>#N/A N/A</v>
        <stp/>
        <stp>BQL|2459972196205012187</stp>
        <tr r="U273" s="2"/>
      </tp>
      <tp t="s">
        <v>#N/A N/A</v>
        <stp/>
        <stp>BQL|2913092701042575699</stp>
        <tr r="G351" s="2"/>
      </tp>
      <tp t="s">
        <v>#N/A N/A</v>
        <stp/>
        <stp>BQL|6397086692358779136</stp>
        <tr r="J324" s="2"/>
        <tr r="J40" s="2"/>
      </tp>
      <tp t="s">
        <v>#N/A N/A</v>
        <stp/>
        <stp>BQL|6547050309994072446</stp>
        <tr r="V173" s="2"/>
      </tp>
      <tp t="s">
        <v>#N/A N/A</v>
        <stp/>
        <stp>BQL|6942733936451789564</stp>
        <tr r="N310" s="2"/>
      </tp>
      <tp t="s">
        <v>#N/A N/A</v>
        <stp/>
        <stp>BQL|9374578381470066283</stp>
        <tr r="K100" s="2"/>
      </tp>
      <tp t="s">
        <v>#N/A N/A</v>
        <stp/>
        <stp>BQL|9823619769726822957</stp>
        <tr r="S105" s="2"/>
      </tp>
      <tp t="s">
        <v>#N/A N/A</v>
        <stp/>
        <stp>BQL|4930958330190417853</stp>
        <tr r="R201" s="2"/>
      </tp>
      <tp t="s">
        <v>#N/A N/A</v>
        <stp/>
        <stp>BQL|8002897472395376446</stp>
        <tr r="X342" s="2"/>
      </tp>
      <tp t="s">
        <v>#N/A N/A</v>
        <stp/>
        <stp>BQL|1462455626220876132</stp>
        <tr r="Q177" s="2"/>
      </tp>
      <tp t="s">
        <v>#N/A N/A</v>
        <stp/>
        <stp>BQL|9305331108725764934</stp>
        <tr r="V283" s="2"/>
      </tp>
      <tp t="s">
        <v>#N/A N/A</v>
        <stp/>
        <stp>BQL|9723963706012225494</stp>
        <tr r="P171" s="2"/>
      </tp>
      <tp t="s">
        <v>#N/A N/A</v>
        <stp/>
        <stp>BQL|7235295041504079363</stp>
        <tr r="E339" s="2"/>
      </tp>
      <tp t="s">
        <v>#N/A N/A</v>
        <stp/>
        <stp>BQL|9818996565584100494</stp>
        <tr r="I13" s="2"/>
        <tr r="I84" s="2"/>
      </tp>
      <tp t="s">
        <v>#N/A N/A</v>
        <stp/>
        <stp>BQL|8529711725928452399</stp>
        <tr r="U309" s="2"/>
      </tp>
      <tp t="s">
        <v>#N/A N/A</v>
        <stp/>
        <stp>BQL|5058086016864641649</stp>
        <tr r="P296" s="2"/>
      </tp>
      <tp t="s">
        <v>#N/A N/A</v>
        <stp/>
        <stp>BQL|7619645871826839679</stp>
        <tr r="U230" s="2"/>
      </tp>
      <tp t="s">
        <v>#N/A N/A</v>
        <stp/>
        <stp>BQL|2655386520451440462</stp>
        <tr r="R85" s="2"/>
      </tp>
      <tp t="s">
        <v>#N/A N/A</v>
        <stp/>
        <stp>BQL|3512325569116777653</stp>
        <tr r="M234" s="2"/>
        <tr r="M311" s="2"/>
      </tp>
      <tp t="s">
        <v>#N/A N/A</v>
        <stp/>
        <stp>BQL|7003062755296704280</stp>
        <tr r="M237" s="2"/>
      </tp>
      <tp t="s">
        <v>#N/A N/A</v>
        <stp/>
        <stp>BQL|4773674665242878014</stp>
        <tr r="X301" s="2"/>
      </tp>
      <tp t="s">
        <v>#N/A N/A</v>
        <stp/>
        <stp>BQL|2843898881984598093</stp>
        <tr r="N273" s="2"/>
      </tp>
      <tp t="s">
        <v>#N/A N/A</v>
        <stp/>
        <stp>BQL|8870979140020393309</stp>
        <tr r="O271" s="2"/>
      </tp>
      <tp t="s">
        <v>#N/A N/A</v>
        <stp/>
        <stp>BQL|1202470348094785366</stp>
        <tr r="O340" s="2"/>
      </tp>
      <tp t="s">
        <v>#N/A N/A</v>
        <stp/>
        <stp>BQL|5488183617176387536</stp>
        <tr r="U53" s="2"/>
      </tp>
      <tp t="s">
        <v>#N/A N/A</v>
        <stp/>
        <stp>BQL|9539771499133204222</stp>
        <tr r="I271" s="2"/>
      </tp>
      <tp t="s">
        <v>#N/A N/A</v>
        <stp/>
        <stp>BQL|7734799048236875452</stp>
        <tr r="Q165" s="2"/>
      </tp>
      <tp t="s">
        <v>#N/A N/A</v>
        <stp/>
        <stp>BQL|8215848955591856207</stp>
        <tr r="W363" s="2"/>
      </tp>
      <tp t="s">
        <v>#N/A N/A</v>
        <stp/>
        <stp>BQL|6356493591169418451</stp>
        <tr r="X290" s="2"/>
      </tp>
      <tp t="s">
        <v>#N/A N/A</v>
        <stp/>
        <stp>BQL|8159882724090028473</stp>
        <tr r="I329" s="2"/>
      </tp>
      <tp t="s">
        <v>#N/A N/A</v>
        <stp/>
        <stp>BQL|8959806096438283779</stp>
        <tr r="W282" s="2"/>
      </tp>
      <tp t="s">
        <v>#N/A N/A</v>
        <stp/>
        <stp>BQL|6803834551395804886</stp>
        <tr r="T246" s="2"/>
      </tp>
      <tp t="s">
        <v>#N/A N/A</v>
        <stp/>
        <stp>BQL|7792449409753008606</stp>
        <tr r="O177" s="2"/>
      </tp>
      <tp t="s">
        <v>#N/A N/A</v>
        <stp/>
        <stp>BQL|6388573119937725300</stp>
        <tr r="K225" s="2"/>
      </tp>
      <tp t="s">
        <v>#N/A N/A</v>
        <stp/>
        <stp>BQL|6363680306375135365</stp>
        <tr r="G13" s="2"/>
        <tr r="G84" s="2"/>
      </tp>
      <tp t="s">
        <v>#N/A N/A</v>
        <stp/>
        <stp>BQL|9996597878165444869</stp>
        <tr r="H227" s="2"/>
      </tp>
      <tp t="s">
        <v>#N/A N/A</v>
        <stp/>
        <stp>BQL|1601102228854583019</stp>
        <tr r="P327" s="2"/>
      </tp>
      <tp t="s">
        <v>#N/A N/A</v>
        <stp/>
        <stp>BQL|3086992820106525862</stp>
        <tr r="P192" s="2"/>
      </tp>
      <tp t="s">
        <v>#N/A N/A</v>
        <stp/>
        <stp>BQL|8971002740213118913</stp>
        <tr r="R158" s="2"/>
        <tr r="R17" s="2"/>
        <tr r="R90" s="2"/>
      </tp>
      <tp t="s">
        <v>#N/A N/A</v>
        <stp/>
        <stp>BQL|7761912532642907944</stp>
        <tr r="F138" s="2"/>
      </tp>
      <tp t="s">
        <v>#N/A N/A</v>
        <stp/>
        <stp>BQL|3169935016778837551</stp>
        <tr r="F341" s="2"/>
      </tp>
      <tp t="s">
        <v>#N/A N/A</v>
        <stp/>
        <stp>BQL|4372480437073108646</stp>
        <tr r="N318" s="2"/>
      </tp>
      <tp t="s">
        <v>#N/A N/A</v>
        <stp/>
        <stp>BQL|3421723298458615317</stp>
        <tr r="K329" s="2"/>
      </tp>
      <tp t="s">
        <v>#N/A N/A</v>
        <stp/>
        <stp>BQL|7529039669793269449</stp>
        <tr r="X220" s="2"/>
      </tp>
      <tp t="s">
        <v>#N/A N/A</v>
        <stp/>
        <stp>BQL|7374684277160589006</stp>
        <tr r="U24" s="2"/>
        <tr r="U95" s="2"/>
      </tp>
      <tp t="s">
        <v>#N/A N/A</v>
        <stp/>
        <stp>BQL|5824920045018592634</stp>
        <tr r="E57" s="2"/>
      </tp>
      <tp t="s">
        <v>#N/A N/A</v>
        <stp/>
        <stp>BQL|2680336627067826234</stp>
        <tr r="G340" s="2"/>
      </tp>
      <tp t="s">
        <v>#N/A N/A</v>
        <stp/>
        <stp>BQL|1348740239293318052</stp>
        <tr r="K209" s="2"/>
      </tp>
      <tp t="s">
        <v>#N/A N/A</v>
        <stp/>
        <stp>BQL|6274456671642830163</stp>
        <tr r="W54" s="2"/>
      </tp>
      <tp t="s">
        <v>#N/A N/A</v>
        <stp/>
        <stp>BQL|9470928859900774307</stp>
        <tr r="W283" s="2"/>
      </tp>
      <tp t="s">
        <v>#N/A N/A</v>
        <stp/>
        <stp>BQL|9304783294599554822</stp>
        <tr r="M351" s="2"/>
      </tp>
      <tp t="s">
        <v>#N/A N/A</v>
        <stp/>
        <stp>BQL|1509481782799212254</stp>
        <tr r="X179" s="2"/>
      </tp>
      <tp t="s">
        <v>#N/A N/A</v>
        <stp/>
        <stp>BQL|9357390185347207355</stp>
        <tr r="Q292" s="2"/>
      </tp>
      <tp t="s">
        <v>#N/A N/A</v>
        <stp/>
        <stp>BQL|9529451275244893855</stp>
        <tr r="H285" s="2"/>
      </tp>
      <tp t="s">
        <v>#N/A N/A</v>
        <stp/>
        <stp>BQL|4858017417266795516</stp>
        <tr r="W177" s="2"/>
      </tp>
      <tp t="s">
        <v>#N/A N/A</v>
        <stp/>
        <stp>BQL|1485286848779512896</stp>
        <tr r="N117" s="2"/>
      </tp>
      <tp t="s">
        <v>#N/A N/A</v>
        <stp/>
        <stp>BQL|9792600685312392366</stp>
        <tr r="T76" s="2"/>
      </tp>
      <tp t="s">
        <v>#N/A N/A</v>
        <stp/>
        <stp>BQL|5559301753263237630</stp>
        <tr r="V301" s="2"/>
      </tp>
      <tp t="s">
        <v>#N/A N/A</v>
        <stp/>
        <stp>BQL|3924596312717757622</stp>
        <tr r="V293" s="2"/>
      </tp>
      <tp t="s">
        <v>#N/A N/A</v>
        <stp/>
        <stp>BQL|2772726636188350871</stp>
        <tr r="S336" s="2"/>
      </tp>
      <tp t="s">
        <v>#N/A N/A</v>
        <stp/>
        <stp>BQL|4328983085352079192</stp>
        <tr r="R211" s="2"/>
      </tp>
      <tp t="s">
        <v>#N/A N/A</v>
        <stp/>
        <stp>BQL|8502542690264502636</stp>
        <tr r="J190" s="2"/>
      </tp>
      <tp t="s">
        <v>#N/A N/A</v>
        <stp/>
        <stp>BQL|6826594180154368950</stp>
        <tr r="O266" s="2"/>
      </tp>
      <tp t="s">
        <v>#N/A N/A</v>
        <stp/>
        <stp>BQL|6992215335619933839</stp>
        <tr r="E214" s="2"/>
      </tp>
      <tp t="s">
        <v>#N/A N/A</v>
        <stp/>
        <stp>BQL|4647305366826029178</stp>
        <tr r="V253" s="2"/>
      </tp>
      <tp t="s">
        <v>#N/A N/A</v>
        <stp/>
        <stp>BQL|2304316359820940251</stp>
        <tr r="S79" s="2"/>
      </tp>
      <tp t="s">
        <v>#N/A N/A</v>
        <stp/>
        <stp>BQL|3758032359937246781</stp>
        <tr r="H238" s="2"/>
      </tp>
      <tp t="s">
        <v>#N/A N/A</v>
        <stp/>
        <stp>BQL|2753127456266522618</stp>
        <tr r="L18" s="2"/>
        <tr r="L93" s="2"/>
      </tp>
      <tp t="s">
        <v>#N/A N/A</v>
        <stp/>
        <stp>BQL|1522521275564032140</stp>
        <tr r="W173" s="2"/>
      </tp>
      <tp t="s">
        <v>#N/A N/A</v>
        <stp/>
        <stp>BQL|6475105090880168839</stp>
        <tr r="F348" s="2"/>
      </tp>
      <tp t="s">
        <v>#N/A N/A</v>
        <stp/>
        <stp>BQL|2137742453292370430</stp>
        <tr r="F49" s="2"/>
      </tp>
      <tp t="s">
        <v>#N/A N/A</v>
        <stp/>
        <stp>BQL|7533261324217535644</stp>
        <tr r="O358" s="2"/>
      </tp>
      <tp t="s">
        <v>#N/A N/A</v>
        <stp/>
        <stp>BQL|7814570579191452242</stp>
        <tr r="I175" s="2"/>
      </tp>
      <tp t="s">
        <v>#N/A N/A</v>
        <stp/>
        <stp>BQL|7095390338823421235</stp>
        <tr r="U235" s="2"/>
      </tp>
      <tp t="s">
        <v>#N/A N/A</v>
        <stp/>
        <stp>BQL|6554977286382071320</stp>
        <tr r="U345" s="2"/>
      </tp>
      <tp t="s">
        <v>#N/A N/A</v>
        <stp/>
        <stp>BQL|1309279363916763567</stp>
        <tr r="T153" s="2"/>
        <tr r="T65" s="2"/>
      </tp>
      <tp t="s">
        <v>#N/A N/A</v>
        <stp/>
        <stp>BQL|8677932193657004903</stp>
        <tr r="U278" s="2"/>
      </tp>
      <tp t="s">
        <v>#N/A N/A</v>
        <stp/>
        <stp>BQL|5517794494928751599</stp>
        <tr r="W298" s="2"/>
      </tp>
      <tp t="s">
        <v>#N/A N/A</v>
        <stp/>
        <stp>BQL|1426078235917778377</stp>
        <tr r="L22" s="2"/>
        <tr r="L99" s="2"/>
      </tp>
      <tp t="s">
        <v>#N/A N/A</v>
        <stp/>
        <stp>BQL|1549046165395168439</stp>
        <tr r="P206" s="2"/>
      </tp>
      <tp t="s">
        <v>#N/A N/A</v>
        <stp/>
        <stp>BQL|8975510287893851013</stp>
        <tr r="I73" s="2"/>
      </tp>
      <tp t="s">
        <v>#N/A N/A</v>
        <stp/>
        <stp>BQL|3468298792168829616</stp>
        <tr r="E262" s="2"/>
      </tp>
      <tp t="s">
        <v>#N/A N/A</v>
        <stp/>
        <stp>BQL|6257960832398085205</stp>
        <tr r="I151" s="2"/>
      </tp>
      <tp t="s">
        <v>#N/A N/A</v>
        <stp/>
        <stp>BQL|7993295926600717170</stp>
        <tr r="O226" s="2"/>
      </tp>
      <tp t="s">
        <v>#N/A N/A</v>
        <stp/>
        <stp>BQL|2546038562352931088</stp>
        <tr r="N363" s="2"/>
      </tp>
      <tp t="s">
        <v>#N/A N/A</v>
        <stp/>
        <stp>BQL|5021814999355423793</stp>
        <tr r="G352" s="2"/>
      </tp>
      <tp t="s">
        <v>#N/A N/A</v>
        <stp/>
        <stp>BQL|2508047833012776507</stp>
        <tr r="J364" s="2"/>
      </tp>
      <tp t="s">
        <v>#N/A N/A</v>
        <stp/>
        <stp>BQL|3657066351622053246</stp>
        <tr r="Q204" s="2"/>
      </tp>
      <tp t="s">
        <v>#N/A N/A</v>
        <stp/>
        <stp>BQL|3759244746991017208</stp>
        <tr r="U206" s="2"/>
      </tp>
      <tp t="s">
        <v>#N/A N/A</v>
        <stp/>
        <stp>BQL|9627196189996598064</stp>
        <tr r="P245" s="2"/>
      </tp>
      <tp t="s">
        <v>#N/A N/A</v>
        <stp/>
        <stp>BQL|8058692689893686337</stp>
        <tr r="R290" s="2"/>
      </tp>
      <tp t="s">
        <v>#N/A N/A</v>
        <stp/>
        <stp>BQL|5253141016516441517</stp>
        <tr r="E278" s="2"/>
      </tp>
      <tp t="s">
        <v>#N/A N/A</v>
        <stp/>
        <stp>BQL|1848286045697980690</stp>
        <tr r="O320" s="2"/>
      </tp>
      <tp t="s">
        <v>#N/A N/A</v>
        <stp/>
        <stp>BQL|7630820897987740711</stp>
        <tr r="V282" s="2"/>
      </tp>
      <tp t="s">
        <v>#N/A N/A</v>
        <stp/>
        <stp>BQL|8649996905275986266</stp>
        <tr r="U270" s="2"/>
      </tp>
      <tp t="s">
        <v>#N/A N/A</v>
        <stp/>
        <stp>BQL|2244781508822311146</stp>
        <tr r="M15" s="2"/>
        <tr r="M88" s="2"/>
      </tp>
      <tp t="s">
        <v>#N/A N/A</v>
        <stp/>
        <stp>BQL|7588754522521594535</stp>
        <tr r="O185" s="2"/>
      </tp>
      <tp t="s">
        <v>#N/A N/A</v>
        <stp/>
        <stp>BQL|3738920900208747461</stp>
        <tr r="X278" s="2"/>
      </tp>
      <tp t="s">
        <v>#N/A N/A</v>
        <stp/>
        <stp>BQL|7781408518757306383</stp>
        <tr r="J252" s="2"/>
      </tp>
      <tp t="s">
        <v>#N/A N/A</v>
        <stp/>
        <stp>BQL|9860919172473984267</stp>
        <tr r="X328" s="2"/>
      </tp>
      <tp t="s">
        <v>#N/A N/A</v>
        <stp/>
        <stp>BQL|2489110907394440128</stp>
        <tr r="T226" s="2"/>
      </tp>
      <tp t="s">
        <v>#N/A N/A</v>
        <stp/>
        <stp>BQL|8508817276580665102</stp>
        <tr r="K175" s="2"/>
      </tp>
      <tp t="s">
        <v>#N/A N/A</v>
        <stp/>
        <stp>BQL|9287756753288222528</stp>
        <tr r="R157" s="2"/>
        <tr r="R16" s="2"/>
        <tr r="R89" s="2"/>
      </tp>
      <tp t="s">
        <v>#N/A N/A</v>
        <stp/>
        <stp>BQL|5440400261577966684</stp>
        <tr r="S151" s="2"/>
      </tp>
      <tp t="s">
        <v>#N/A N/A</v>
        <stp/>
        <stp>BQL|2191542098441188985</stp>
        <tr r="M355" s="2"/>
      </tp>
      <tp t="s">
        <v>#N/A N/A</v>
        <stp/>
        <stp>BQL|1394024978414968442</stp>
        <tr r="N238" s="2"/>
      </tp>
      <tp t="s">
        <v>#N/A N/A</v>
        <stp/>
        <stp>BQL|7668999911868882121</stp>
        <tr r="I334" s="2"/>
      </tp>
      <tp t="s">
        <v>#N/A N/A</v>
        <stp/>
        <stp>BQL|6624617597287615828</stp>
        <tr r="L228" s="2"/>
      </tp>
      <tp t="s">
        <v>#N/A N/A</v>
        <stp/>
        <stp>BQL|4468491666598833879</stp>
        <tr r="E103" s="2"/>
      </tp>
      <tp t="s">
        <v>#N/A N/A</v>
        <stp/>
        <stp>BQL|1486055170090457010</stp>
        <tr r="R131" s="2"/>
      </tp>
      <tp t="s">
        <v>#N/A N/A</v>
        <stp/>
        <stp>BQL|9912747610791730896</stp>
        <tr r="G22" s="2"/>
        <tr r="G99" s="2"/>
      </tp>
      <tp t="s">
        <v>#N/A N/A</v>
        <stp/>
        <stp>BQL|2173313979644210487</stp>
        <tr r="M341" s="2"/>
      </tp>
      <tp t="s">
        <v>#N/A N/A</v>
        <stp/>
        <stp>BQL|1412901687710812680</stp>
        <tr r="T202" s="2"/>
      </tp>
      <tp t="s">
        <v>#N/A N/A</v>
        <stp/>
        <stp>BQL|7516970980184868490</stp>
        <tr r="G329" s="2"/>
      </tp>
      <tp t="s">
        <v>#N/A N/A</v>
        <stp/>
        <stp>BQL|1838447007003857002</stp>
        <tr r="K124" s="2"/>
        <tr r="K32" s="2"/>
      </tp>
      <tp t="s">
        <v>#N/A N/A</v>
        <stp/>
        <stp>BQL|6920352877441188591</stp>
        <tr r="X118" s="2"/>
      </tp>
      <tp t="s">
        <v>#N/A N/A</v>
        <stp/>
        <stp>BQL|7762232921081618008</stp>
        <tr r="E49" s="2"/>
      </tp>
      <tp t="s">
        <v>#N/A N/A</v>
        <stp/>
        <stp>BQL|1456312917220155509</stp>
        <tr r="O159" s="2"/>
        <tr r="O20" s="2"/>
        <tr r="O91" s="2"/>
      </tp>
      <tp t="s">
        <v>#N/A N/A</v>
        <stp/>
        <stp>BQL|5035045816590682273</stp>
        <tr r="Q179" s="2"/>
      </tp>
      <tp t="s">
        <v>#N/A N/A</v>
        <stp/>
        <stp>BQL|5310574950262271147</stp>
        <tr r="J359" s="2"/>
      </tp>
      <tp t="s">
        <v>#N/A N/A</v>
        <stp/>
        <stp>BQL|7171274526118324910</stp>
        <tr r="Q247" s="2"/>
      </tp>
      <tp t="s">
        <v>#N/A N/A</v>
        <stp/>
        <stp>BQL|1506347446675028550</stp>
        <tr r="U312" s="2"/>
      </tp>
      <tp t="s">
        <v>#N/A N/A</v>
        <stp/>
        <stp>BQL|2281178107945047002</stp>
        <tr r="G353" s="2"/>
      </tp>
      <tp t="s">
        <v>#N/A N/A</v>
        <stp/>
        <stp>BQL|5495174840265675377</stp>
        <tr r="Q245" s="2"/>
      </tp>
      <tp t="s">
        <v>#N/A N/A</v>
        <stp/>
        <stp>BQL|9353253242039670008</stp>
        <tr r="G316" s="2"/>
      </tp>
      <tp t="s">
        <v>#N/A N/A</v>
        <stp/>
        <stp>BQL|1798256016195526137</stp>
        <tr r="K182" s="2"/>
      </tp>
      <tp t="s">
        <v>#N/A N/A</v>
        <stp/>
        <stp>BQL|2660005612985363057</stp>
        <tr r="P220" s="2"/>
      </tp>
      <tp t="s">
        <v>#N/A N/A</v>
        <stp/>
        <stp>BQL|4039659574376051537</stp>
        <tr r="I71" s="2"/>
      </tp>
      <tp t="s">
        <v>#N/A N/A</v>
        <stp/>
        <stp>BQL|7891350166765228188</stp>
        <tr r="S275" s="2"/>
      </tp>
      <tp t="s">
        <v>#N/A N/A</v>
        <stp/>
        <stp>BQL|7864028158456499277</stp>
        <tr r="U19" s="2"/>
        <tr r="U94" s="2"/>
      </tp>
      <tp t="s">
        <v>#N/A N/A</v>
        <stp/>
        <stp>BQL|9861677060638918770</stp>
        <tr r="L253" s="2"/>
      </tp>
      <tp t="s">
        <v>#N/A N/A</v>
        <stp/>
        <stp>BQL|6591701586147319819</stp>
        <tr r="H261" s="2"/>
      </tp>
      <tp t="s">
        <v>#N/A N/A</v>
        <stp/>
        <stp>BQL|9728951668085331582</stp>
        <tr r="V188" s="2"/>
        <tr r="V38" s="2"/>
      </tp>
      <tp t="s">
        <v>#N/A N/A</v>
        <stp/>
        <stp>BQL|8410169522549573448</stp>
        <tr r="P261" s="2"/>
      </tp>
      <tp t="s">
        <v>#N/A N/A</v>
        <stp/>
        <stp>BQL|1516340464005092745</stp>
        <tr r="S188" s="2"/>
        <tr r="S38" s="2"/>
      </tp>
      <tp t="s">
        <v>#N/A N/A</v>
        <stp/>
        <stp>BQL|3427839154530518872</stp>
        <tr r="I312" s="2"/>
      </tp>
      <tp t="s">
        <v>#N/A N/A</v>
        <stp/>
        <stp>BQL|9679958284146511833</stp>
        <tr r="G179" s="2"/>
      </tp>
      <tp t="s">
        <v>#N/A N/A</v>
        <stp/>
        <stp>BQL|6789140152534910093</stp>
        <tr r="L104" s="2"/>
      </tp>
      <tp t="s">
        <v>#N/A N/A</v>
        <stp/>
        <stp>BQL|9669370641801097919</stp>
        <tr r="W119" s="2"/>
      </tp>
      <tp t="s">
        <v>#N/A N/A</v>
        <stp/>
        <stp>BQL|7263260740200345769</stp>
        <tr r="K176" s="2"/>
      </tp>
      <tp t="s">
        <v>#N/A N/A</v>
        <stp/>
        <stp>BQL|7181623460307159635</stp>
        <tr r="U327" s="2"/>
      </tp>
      <tp t="s">
        <v>#N/A N/A</v>
        <stp/>
        <stp>BQL|5823093800081203230</stp>
        <tr r="L230" s="2"/>
      </tp>
      <tp t="s">
        <v>#N/A N/A</v>
        <stp/>
        <stp>BQL|2214446664697471166</stp>
        <tr r="G199" s="2"/>
      </tp>
      <tp t="s">
        <v>#N/A N/A</v>
        <stp/>
        <stp>BQL|6837460311436804374</stp>
        <tr r="P269" s="2"/>
      </tp>
      <tp t="s">
        <v>#N/A N/A</v>
        <stp/>
        <stp>BQL|6090014566684703208</stp>
        <tr r="G325" s="2"/>
      </tp>
      <tp t="s">
        <v>#N/A N/A</v>
        <stp/>
        <stp>BQL|1042321904615153174</stp>
        <tr r="Q129" s="2"/>
      </tp>
      <tp t="s">
        <v>#N/A N/A</v>
        <stp/>
        <stp>BQL|5294911607992298864</stp>
        <tr r="M18" s="2"/>
        <tr r="M93" s="2"/>
      </tp>
      <tp t="s">
        <v>#N/A N/A</v>
        <stp/>
        <stp>BQL|6520930990683432329</stp>
        <tr r="V341" s="2"/>
      </tp>
      <tp t="s">
        <v>#N/A N/A</v>
        <stp/>
        <stp>BQL|6307619021060073437</stp>
        <tr r="N328" s="2"/>
      </tp>
      <tp t="s">
        <v>#N/A N/A</v>
        <stp/>
        <stp>BQL|4461269794080708917</stp>
        <tr r="S292" s="2"/>
      </tp>
      <tp t="s">
        <v>#N/A N/A</v>
        <stp/>
        <stp>BQL|7505105877030444694</stp>
        <tr r="U165" s="2"/>
      </tp>
      <tp t="s">
        <v>#N/A N/A</v>
        <stp/>
        <stp>BQL|6387988893582204352</stp>
        <tr r="F244" s="2"/>
      </tp>
      <tp t="s">
        <v>#N/A N/A</v>
        <stp/>
        <stp>BQL|2287663479490398410</stp>
        <tr r="G169" s="2"/>
        <tr r="G219" s="2"/>
      </tp>
      <tp t="s">
        <v>#N/A N/A</v>
        <stp/>
        <stp>BQL|9371588792855141775</stp>
        <tr r="M272" s="2"/>
      </tp>
      <tp t="s">
        <v>#N/A N/A</v>
        <stp/>
        <stp>BQL|9968841746672397075</stp>
        <tr r="L273" s="2"/>
      </tp>
      <tp t="s">
        <v>#N/A N/A</v>
        <stp/>
        <stp>BQL|8930807916112480444</stp>
        <tr r="G217" s="2"/>
      </tp>
      <tp t="s">
        <v>#N/A N/A</v>
        <stp/>
        <stp>BQL|8981267247209604017</stp>
        <tr r="X287" s="2"/>
      </tp>
      <tp t="s">
        <v>#N/A N/A</v>
        <stp/>
        <stp>BQL|4093225958522287665</stp>
        <tr r="I108" s="2"/>
      </tp>
      <tp t="s">
        <v>#N/A N/A</v>
        <stp/>
        <stp>BQL|8754833469344700548</stp>
        <tr r="H268" s="2"/>
      </tp>
      <tp t="s">
        <v>#N/A N/A</v>
        <stp/>
        <stp>BQL|7547226611097067489</stp>
        <tr r="F231" s="2"/>
      </tp>
      <tp t="s">
        <v>#N/A N/A</v>
        <stp/>
        <stp>BQL|3508405426995407793</stp>
        <tr r="U358" s="2"/>
      </tp>
      <tp t="s">
        <v>#N/A N/A</v>
        <stp/>
        <stp>BQL|3864487815485922429</stp>
        <tr r="M209" s="2"/>
      </tp>
      <tp t="s">
        <v>#N/A N/A</v>
        <stp/>
        <stp>BQL|2813777529229092984</stp>
        <tr r="X250" s="2"/>
      </tp>
      <tp t="s">
        <v>#N/A N/A</v>
        <stp/>
        <stp>BQL|5894908565608580559</stp>
        <tr r="U330" s="2"/>
      </tp>
      <tp t="s">
        <v>#N/A N/A</v>
        <stp/>
        <stp>BQL|9630548401832811961</stp>
        <tr r="P263" s="2"/>
      </tp>
      <tp t="s">
        <v>#N/A N/A</v>
        <stp/>
        <stp>BQL|8282766906931725986</stp>
        <tr r="H356" s="2"/>
      </tp>
      <tp t="s">
        <v>#N/A N/A</v>
        <stp/>
        <stp>BQL|4851055225198472919</stp>
        <tr r="I282" s="2"/>
      </tp>
      <tp t="s">
        <v>#N/A N/A</v>
        <stp/>
        <stp>BQL|8098763895258833965</stp>
        <tr r="P76" s="2"/>
      </tp>
      <tp t="s">
        <v>#N/A N/A</v>
        <stp/>
        <stp>BQL|6505529692488171592</stp>
        <tr r="V76" s="2"/>
      </tp>
      <tp t="s">
        <v>#N/A N/A</v>
        <stp/>
        <stp>BQL|5682593133104687078</stp>
        <tr r="F198" s="2"/>
      </tp>
      <tp t="s">
        <v>#N/A N/A</v>
        <stp/>
        <stp>BQL|2880694071205537187</stp>
        <tr r="U196" s="2"/>
      </tp>
      <tp t="s">
        <v>#N/A N/A</v>
        <stp/>
        <stp>BQL|5526642158273420215</stp>
        <tr r="G260" s="2"/>
      </tp>
      <tp t="s">
        <v>#N/A N/A</v>
        <stp/>
        <stp>BQL|8318677777537728987</stp>
        <tr r="X303" s="2"/>
      </tp>
      <tp t="s">
        <v>#N/A N/A</v>
        <stp/>
        <stp>BQL|4505167699732009966</stp>
        <tr r="S222" s="2"/>
      </tp>
      <tp t="s">
        <v>#N/A N/A</v>
        <stp/>
        <stp>BQL|2364580699430915972</stp>
        <tr r="O267" s="2"/>
      </tp>
      <tp t="s">
        <v>#N/A N/A</v>
        <stp/>
        <stp>BQL|6747319934404694581</stp>
        <tr r="P204" s="2"/>
      </tp>
      <tp t="s">
        <v>#N/A N/A</v>
        <stp/>
        <stp>BQL|7258015533276416580</stp>
        <tr r="T77" s="2"/>
      </tp>
      <tp t="s">
        <v>#N/A N/A</v>
        <stp/>
        <stp>BQL|3993607135340870188</stp>
        <tr r="Q180" s="2"/>
      </tp>
      <tp t="s">
        <v>#N/A N/A</v>
        <stp/>
        <stp>BQL|7959579524092384558</stp>
        <tr r="G285" s="2"/>
      </tp>
      <tp t="s">
        <v>#N/A N/A</v>
        <stp/>
        <stp>BQL|5310491525261059539</stp>
        <tr r="E310" s="2"/>
      </tp>
      <tp t="s">
        <v>#N/A N/A</v>
        <stp/>
        <stp>BQL|1905413625670159008</stp>
        <tr r="Q264" s="2"/>
      </tp>
      <tp t="s">
        <v>#N/A N/A</v>
        <stp/>
        <stp>BQL|7876147708472893307</stp>
        <tr r="Q175" s="2"/>
      </tp>
      <tp t="s">
        <v>#N/A N/A</v>
        <stp/>
        <stp>BQL|9918168125914620975</stp>
        <tr r="F135" s="2"/>
      </tp>
      <tp t="s">
        <v>#N/A N/A</v>
        <stp/>
        <stp>BQL|3403114840773966276</stp>
        <tr r="J319" s="2"/>
      </tp>
      <tp t="s">
        <v>#N/A N/A</v>
        <stp/>
        <stp>BQL|4821464479400963056</stp>
        <tr r="J121" s="2"/>
      </tp>
      <tp t="s">
        <v>#N/A N/A</v>
        <stp/>
        <stp>BQL|5794784265134034711</stp>
        <tr r="I18" s="2"/>
        <tr r="I93" s="2"/>
      </tp>
      <tp t="s">
        <v>#N/A N/A</v>
        <stp/>
        <stp>BQL|3264389258395803709</stp>
        <tr r="G72" s="2"/>
      </tp>
      <tp t="s">
        <v>#N/A N/A</v>
        <stp/>
        <stp>BQL|6048953388564674410</stp>
        <tr r="M147" s="2"/>
      </tp>
      <tp t="s">
        <v>#N/A N/A</v>
        <stp/>
        <stp>BQL|3345487061681075704</stp>
        <tr r="U341" s="2"/>
      </tp>
      <tp t="s">
        <v>#N/A N/A</v>
        <stp/>
        <stp>BQL|4588993012828060344</stp>
        <tr r="X205" s="2"/>
        <tr r="X308" s="2"/>
      </tp>
      <tp t="s">
        <v>#N/A N/A</v>
        <stp/>
        <stp>BQL|8387154398135217261</stp>
        <tr r="X357" s="2"/>
      </tp>
      <tp t="s">
        <v>#N/A N/A</v>
        <stp/>
        <stp>BQL|5027307278960208601</stp>
        <tr r="E296" s="2"/>
      </tp>
      <tp t="s">
        <v>#N/A N/A</v>
        <stp/>
        <stp>BQL|9003595087870550314</stp>
        <tr r="G157" s="2"/>
        <tr r="G16" s="2"/>
        <tr r="G89" s="2"/>
      </tp>
      <tp t="s">
        <v>#N/A N/A</v>
        <stp/>
        <stp>BQL|5414626673971749285</stp>
        <tr r="F204" s="2"/>
      </tp>
      <tp t="s">
        <v>#N/A N/A</v>
        <stp/>
        <stp>BQL|4527628360745815654</stp>
        <tr r="V330" s="2"/>
      </tp>
      <tp t="s">
        <v>#N/A N/A</v>
        <stp/>
        <stp>BQL|2973651531956550621</stp>
        <tr r="V247" s="2"/>
      </tp>
      <tp t="s">
        <v>#N/A N/A</v>
        <stp/>
        <stp>BQL|3376133120035871229</stp>
        <tr r="P277" s="2"/>
      </tp>
      <tp t="s">
        <v>#N/A N/A</v>
        <stp/>
        <stp>BQL|2502653639246437645</stp>
        <tr r="F355" s="2"/>
      </tp>
      <tp t="s">
        <v>#N/A N/A</v>
        <stp/>
        <stp>BQL|7268582524436039170</stp>
        <tr r="U184" s="2"/>
        <tr r="U35" s="2"/>
      </tp>
      <tp t="s">
        <v>#N/A N/A</v>
        <stp/>
        <stp>BQL|4173186504995195753</stp>
        <tr r="G55" s="2"/>
      </tp>
      <tp t="s">
        <v>#N/A N/A</v>
        <stp/>
        <stp>BQL|6873279453754547200</stp>
        <tr r="R100" s="2"/>
      </tp>
      <tp t="s">
        <v>#N/A N/A</v>
        <stp/>
        <stp>BQL|1613882706897822994</stp>
        <tr r="W172" s="2"/>
      </tp>
      <tp t="s">
        <v>#N/A N/A</v>
        <stp/>
        <stp>BQL|8919881919856159001</stp>
        <tr r="R217" s="2"/>
      </tp>
      <tp t="s">
        <v>#N/A N/A</v>
        <stp/>
        <stp>BQL|6662262975246469289</stp>
        <tr r="P212" s="2"/>
        <tr r="P6" s="2"/>
      </tp>
      <tp t="s">
        <v>#N/A N/A</v>
        <stp/>
        <stp>BQL|1581584493038134266</stp>
        <tr r="N263" s="2"/>
      </tp>
      <tp t="s">
        <v>#N/A N/A</v>
        <stp/>
        <stp>BQL|2280786754052764502</stp>
        <tr r="K318" s="2"/>
      </tp>
      <tp t="s">
        <v>#N/A N/A</v>
        <stp/>
        <stp>BQL|8021064126179996404</stp>
        <tr r="N188" s="2"/>
        <tr r="N38" s="2"/>
      </tp>
      <tp t="s">
        <v>#N/A N/A</v>
        <stp/>
        <stp>BQL|9271215894645988069</stp>
        <tr r="F220" s="2"/>
      </tp>
      <tp t="s">
        <v>#N/A N/A</v>
        <stp/>
        <stp>BQL|2079356135381874406</stp>
        <tr r="N325" s="2"/>
      </tp>
      <tp t="s">
        <v>#N/A N/A</v>
        <stp/>
        <stp>BQL|2553476142367824209</stp>
        <tr r="T345" s="2"/>
      </tp>
      <tp t="s">
        <v>#N/A N/A</v>
        <stp/>
        <stp>BQL|6929373811601075287</stp>
        <tr r="G364" s="2"/>
      </tp>
      <tp t="s">
        <v>#N/A N/A</v>
        <stp/>
        <stp>BQL|8596701382502132219</stp>
        <tr r="K132" s="2"/>
      </tp>
      <tp t="s">
        <v>#N/A N/A</v>
        <stp/>
        <stp>BQL|2676223766384384569</stp>
        <tr r="S339" s="2"/>
      </tp>
      <tp t="s">
        <v>#N/A N/A</v>
        <stp/>
        <stp>BQL|8281944833092386719</stp>
        <tr r="J128" s="2"/>
        <tr r="J33" s="2"/>
      </tp>
      <tp t="s">
        <v>#N/A N/A</v>
        <stp/>
        <stp>BQL|8695503265718663427</stp>
        <tr r="F285" s="2"/>
      </tp>
      <tp t="s">
        <v>#N/A N/A</v>
        <stp/>
        <stp>BQL|5028708367701544255</stp>
        <tr r="W290" s="2"/>
      </tp>
      <tp t="s">
        <v>#N/A N/A</v>
        <stp/>
        <stp>BQL|6561479133037745114</stp>
        <tr r="L260" s="2"/>
      </tp>
      <tp t="s">
        <v>#N/A N/A</v>
        <stp/>
        <stp>BQL|9165612516690098914</stp>
        <tr r="O103" s="2"/>
      </tp>
      <tp t="s">
        <v>#N/A N/A</v>
        <stp/>
        <stp>BQL|9328862938793367698</stp>
        <tr r="T205" s="2"/>
        <tr r="T308" s="2"/>
      </tp>
      <tp t="s">
        <v>#N/A N/A</v>
        <stp/>
        <stp>BQL|3596057271384317754</stp>
        <tr r="I243" s="2"/>
      </tp>
      <tp t="s">
        <v>#N/A N/A</v>
        <stp/>
        <stp>BQL|2486290749290747344</stp>
        <tr r="X235" s="2"/>
      </tp>
      <tp t="s">
        <v>#N/A N/A</v>
        <stp/>
        <stp>BQL|3991348621635961034</stp>
        <tr r="Q295" s="2"/>
      </tp>
      <tp t="s">
        <v>#N/A N/A</v>
        <stp/>
        <stp>BQL|9037642583152207234</stp>
        <tr r="S230" s="2"/>
      </tp>
      <tp t="s">
        <v>#N/A N/A</v>
        <stp/>
        <stp>BQL|6943183847505649160</stp>
        <tr r="N228" s="2"/>
      </tp>
      <tp t="s">
        <v>#N/A N/A</v>
        <stp/>
        <stp>BQL|1539951371300051874</stp>
        <tr r="K302" s="2"/>
      </tp>
      <tp t="s">
        <v>#N/A N/A</v>
        <stp/>
        <stp>BQL|8026639846438250519</stp>
        <tr r="N104" s="2"/>
      </tp>
      <tp t="s">
        <v>#N/A N/A</v>
        <stp/>
        <stp>BQL|1257035286386431852</stp>
        <tr r="J337" s="2"/>
      </tp>
      <tp t="s">
        <v>#N/A N/A</v>
        <stp/>
        <stp>BQL|4006537232494090178</stp>
        <tr r="V350" s="2"/>
      </tp>
      <tp t="s">
        <v>#N/A N/A</v>
        <stp/>
        <stp>BQL|9324127581577095060</stp>
        <tr r="I63" s="2"/>
      </tp>
      <tp t="s">
        <v>#N/A N/A</v>
        <stp/>
        <stp>BQL|9742022795901631607</stp>
        <tr r="T125" s="2"/>
      </tp>
      <tp t="s">
        <v>#N/A N/A</v>
        <stp/>
        <stp>BQL|5428668854404951591</stp>
        <tr r="K260" s="2"/>
      </tp>
      <tp t="s">
        <v>#N/A N/A</v>
        <stp/>
        <stp>BQL|4445119739783285288</stp>
        <tr r="Q348" s="2"/>
      </tp>
      <tp t="s">
        <v>#N/A N/A</v>
        <stp/>
        <stp>BQL|6361585623613883558</stp>
        <tr r="N330" s="2"/>
      </tp>
      <tp t="s">
        <v>#N/A N/A</v>
        <stp/>
        <stp>BQL|6023506062912345048</stp>
        <tr r="M312" s="2"/>
      </tp>
      <tp t="s">
        <v>#N/A N/A</v>
        <stp/>
        <stp>BQL|9245070007367153963</stp>
        <tr r="T299" s="2"/>
      </tp>
      <tp t="s">
        <v>#N/A N/A</v>
        <stp/>
        <stp>BQL|8714716385294408429</stp>
        <tr r="H363" s="2"/>
      </tp>
      <tp t="s">
        <v>#N/A N/A</v>
        <stp/>
        <stp>BQL|9687556291481343342</stp>
        <tr r="T264" s="2"/>
      </tp>
      <tp t="s">
        <v>#N/A N/A</v>
        <stp/>
        <stp>BQL|5585000329621060196</stp>
        <tr r="S290" s="2"/>
      </tp>
      <tp t="s">
        <v>#N/A N/A</v>
        <stp/>
        <stp>BQL|8670334480637526340</stp>
        <tr r="G130" s="2"/>
      </tp>
      <tp t="s">
        <v>#N/A N/A</v>
        <stp/>
        <stp>BQL|3979189555309186912</stp>
        <tr r="O25" s="2"/>
        <tr r="O96" s="2"/>
      </tp>
      <tp t="s">
        <v>#N/A N/A</v>
        <stp/>
        <stp>BQL|6867007004989873809</stp>
        <tr r="F310" s="2"/>
      </tp>
      <tp t="s">
        <v>#N/A N/A</v>
        <stp/>
        <stp>BQL|3420170047419532854</stp>
        <tr r="K342" s="2"/>
      </tp>
      <tp t="s">
        <v>#N/A N/A</v>
        <stp/>
        <stp>BQL|3619163271902159043</stp>
        <tr r="L147" s="2"/>
      </tp>
      <tp t="s">
        <v>#N/A N/A</v>
        <stp/>
        <stp>BQL|8789512299074348781</stp>
        <tr r="T188" s="2"/>
        <tr r="T38" s="2"/>
      </tp>
      <tp t="s">
        <v>#N/A N/A</v>
        <stp/>
        <stp>BQL|2115119154446946796</stp>
        <tr r="M183" s="2"/>
      </tp>
      <tp t="s">
        <v>#N/A N/A</v>
        <stp/>
        <stp>BQL|8165456111742103809</stp>
        <tr r="F294" s="2"/>
      </tp>
      <tp t="s">
        <v>#N/A N/A</v>
        <stp/>
        <stp>BQL|1414617091779008009</stp>
        <tr r="W78" s="2"/>
      </tp>
      <tp t="s">
        <v>#N/A N/A</v>
        <stp/>
        <stp>BQL|8037838457575332736</stp>
        <tr r="H272" s="2"/>
      </tp>
      <tp t="s">
        <v>#N/A N/A</v>
        <stp/>
        <stp>BQL|3859699951642669526</stp>
        <tr r="O363" s="2"/>
      </tp>
      <tp t="s">
        <v>#N/A N/A</v>
        <stp/>
        <stp>BQL|6460740510393659455</stp>
        <tr r="H352" s="2"/>
      </tp>
      <tp t="s">
        <v>#N/A N/A</v>
        <stp/>
        <stp>BQL|6007640917045818385</stp>
        <tr r="L329" s="2"/>
      </tp>
      <tp t="s">
        <v>#N/A N/A</v>
        <stp/>
        <stp>BQL|3467171251062885298</stp>
        <tr r="J331" s="2"/>
      </tp>
      <tp t="s">
        <v>#N/A N/A</v>
        <stp/>
        <stp>BQL|8840025290694821212</stp>
        <tr r="N336" s="2"/>
      </tp>
      <tp t="s">
        <v>#N/A N/A</v>
        <stp/>
        <stp>BQL|2372244407706400174</stp>
        <tr r="G204" s="2"/>
      </tp>
      <tp t="s">
        <v>#N/A N/A</v>
        <stp/>
        <stp>BQL|8302573741458346651</stp>
        <tr r="X114" s="2"/>
      </tp>
      <tp t="s">
        <v>#N/A N/A</v>
        <stp/>
        <stp>BQL|7319275346070210638</stp>
        <tr r="M141" s="2"/>
      </tp>
      <tp t="s">
        <v>#N/A N/A</v>
        <stp/>
        <stp>BQL|4179708100202745656</stp>
        <tr r="T173" s="2"/>
      </tp>
      <tp t="s">
        <v>#N/A N/A</v>
        <stp/>
        <stp>BQL|7630849601539554154</stp>
        <tr r="K63" s="2"/>
      </tp>
      <tp t="s">
        <v>#N/A N/A</v>
        <stp/>
        <stp>BQL|5440541819427879128</stp>
        <tr r="F339" s="2"/>
      </tp>
      <tp t="s">
        <v>#N/A N/A</v>
        <stp/>
        <stp>BQL|6455373102696486466</stp>
        <tr r="I273" s="2"/>
      </tp>
      <tp t="s">
        <v>#N/A N/A</v>
        <stp/>
        <stp>BQL|6760659265098313975</stp>
        <tr r="S249" s="2"/>
      </tp>
      <tp t="s">
        <v>#N/A N/A</v>
        <stp/>
        <stp>BQL|7913839393142807323</stp>
        <tr r="L71" s="2"/>
      </tp>
      <tp t="s">
        <v>#N/A N/A</v>
        <stp/>
        <stp>BQL|6502467234360396668</stp>
        <tr r="J163" s="2"/>
        <tr r="J7" s="2"/>
      </tp>
      <tp t="s">
        <v>#N/A N/A</v>
        <stp/>
        <stp>BQL|7242004585059200174</stp>
        <tr r="X182" s="2"/>
      </tp>
      <tp t="s">
        <v>#N/A N/A</v>
        <stp/>
        <stp>BQL|6113237742771772650</stp>
        <tr r="N55" s="2"/>
      </tp>
      <tp t="s">
        <v>#N/A N/A</v>
        <stp/>
        <stp>BQL|3062027725392252475</stp>
        <tr r="L357" s="2"/>
      </tp>
      <tp t="s">
        <v>#N/A N/A</v>
        <stp/>
        <stp>BQL|5402277446997324342</stp>
        <tr r="Q85" s="2"/>
      </tp>
      <tp t="s">
        <v>#N/A N/A</v>
        <stp/>
        <stp>BQL|6354561855272377318</stp>
        <tr r="S313" s="2"/>
      </tp>
      <tp t="s">
        <v>#N/A N/A</v>
        <stp/>
        <stp>BQL|2221602560093893680</stp>
        <tr r="M158" s="2"/>
        <tr r="M17" s="2"/>
        <tr r="M90" s="2"/>
      </tp>
      <tp t="s">
        <v>#N/A N/A</v>
        <stp/>
        <stp>BQL|9942978578436377674</stp>
        <tr r="T178" s="2"/>
      </tp>
      <tp t="s">
        <v>#N/A N/A</v>
        <stp/>
        <stp>BQL|4353935210142958981</stp>
        <tr r="H124" s="2"/>
        <tr r="H32" s="2"/>
      </tp>
      <tp t="s">
        <v>#N/A N/A</v>
        <stp/>
        <stp>BQL|9872390331959335729</stp>
        <tr r="Q77" s="2"/>
      </tp>
      <tp t="s">
        <v>#N/A N/A</v>
        <stp/>
        <stp>BQL|9265076873300303947</stp>
        <tr r="I56" s="2"/>
      </tp>
      <tp t="s">
        <v>#N/A N/A</v>
        <stp/>
        <stp>BQL|2885388146132524024</stp>
        <tr r="K51" s="2"/>
      </tp>
      <tp t="s">
        <v>#N/A N/A</v>
        <stp/>
        <stp>BQL|4973738678766525568</stp>
        <tr r="V295" s="2"/>
      </tp>
      <tp t="s">
        <v>#N/A N/A</v>
        <stp/>
        <stp>BQL|3147061415165488073</stp>
        <tr r="R15" s="2"/>
        <tr r="R88" s="2"/>
      </tp>
      <tp t="s">
        <v>#N/A N/A</v>
        <stp/>
        <stp>BQL|3582582568906383172</stp>
        <tr r="H72" s="2"/>
      </tp>
      <tp t="s">
        <v>#N/A N/A</v>
        <stp/>
        <stp>BQL|6903699182397765846</stp>
        <tr r="J63" s="2"/>
      </tp>
      <tp t="s">
        <v>#N/A N/A</v>
        <stp/>
        <stp>BQL|2957251898959603728</stp>
        <tr r="G115" s="2"/>
      </tp>
      <tp t="s">
        <v>#N/A N/A</v>
        <stp/>
        <stp>BQL|4591556072947615647</stp>
        <tr r="W106" s="2"/>
      </tp>
      <tp t="s">
        <v>#N/A N/A</v>
        <stp/>
        <stp>BQL|2401017252734532421</stp>
        <tr r="W296" s="2"/>
      </tp>
      <tp t="s">
        <v>#N/A N/A</v>
        <stp/>
        <stp>BQL|2006176634924661356</stp>
        <tr r="L225" s="2"/>
      </tp>
      <tp t="s">
        <v>#N/A N/A</v>
        <stp/>
        <stp>BQL|3600775672440103428</stp>
        <tr r="T10" s="2"/>
        <tr r="T60" s="2"/>
      </tp>
      <tp t="s">
        <v>#N/A N/A</v>
        <stp/>
        <stp>BQL|7101634832815061003</stp>
        <tr r="W64" s="2"/>
      </tp>
      <tp t="s">
        <v>#N/A N/A</v>
        <stp/>
        <stp>BQL|7720615455981641251</stp>
        <tr r="F63" s="2"/>
      </tp>
      <tp t="s">
        <v>#N/A N/A</v>
        <stp/>
        <stp>BQL|3565725827938030902</stp>
        <tr r="F151" s="2"/>
      </tp>
      <tp t="s">
        <v>#N/A N/A</v>
        <stp/>
        <stp>BQL|7577086103112810594</stp>
        <tr r="W294" s="2"/>
      </tp>
      <tp t="s">
        <v>#N/A N/A</v>
        <stp/>
        <stp>BQL|5647526651715983038</stp>
        <tr r="I152" s="2"/>
        <tr r="I62" s="2"/>
      </tp>
      <tp t="s">
        <v>#N/A N/A</v>
        <stp/>
        <stp>BQL|5073400518304519421</stp>
        <tr r="L3" s="2"/>
      </tp>
      <tp t="s">
        <v>#N/A N/A</v>
        <stp/>
        <stp>BQL|5648646527043377292</stp>
        <tr r="T174" s="2"/>
      </tp>
      <tp t="s">
        <v>#N/A N/A</v>
        <stp/>
        <stp>BQL|5848661423118062925</stp>
        <tr r="M114" s="2"/>
      </tp>
      <tp t="s">
        <v>#N/A N/A</v>
        <stp/>
        <stp>BQL|8663904535787477583</stp>
        <tr r="S107" s="2"/>
      </tp>
      <tp t="s">
        <v>#N/A N/A</v>
        <stp/>
        <stp>BQL|2282569018045637352</stp>
        <tr r="F301" s="2"/>
      </tp>
      <tp t="s">
        <v>#N/A N/A</v>
        <stp/>
        <stp>BQL|1743924343605149982</stp>
        <tr r="I228" s="2"/>
      </tp>
      <tp t="s">
        <v>#N/A N/A</v>
        <stp/>
        <stp>BQL|9050974943620232497</stp>
        <tr r="M130" s="2"/>
      </tp>
      <tp t="s">
        <v>#N/A N/A</v>
        <stp/>
        <stp>BQL|6336129068106445722</stp>
        <tr r="S182" s="2"/>
      </tp>
      <tp t="s">
        <v>#N/A N/A</v>
        <stp/>
        <stp>BQL|5102498509875864468</stp>
        <tr r="L250" s="2"/>
      </tp>
      <tp t="s">
        <v>#N/A N/A</v>
        <stp/>
        <stp>BQL|6233497075321596440</stp>
        <tr r="Q345" s="2"/>
      </tp>
      <tp t="s">
        <v>#N/A N/A</v>
        <stp/>
        <stp>BQL|9951972617316090767</stp>
        <tr r="F101" s="2"/>
        <tr r="F23" s="2"/>
      </tp>
      <tp t="s">
        <v>#N/A N/A</v>
        <stp/>
        <stp>BQL|5172582410552508325</stp>
        <tr r="K300" s="2"/>
      </tp>
      <tp t="s">
        <v>#N/A N/A</v>
        <stp/>
        <stp>BQL|1446684365418718901</stp>
        <tr r="I221" s="2"/>
      </tp>
      <tp t="s">
        <v>#N/A N/A</v>
        <stp/>
        <stp>BQL|5423522119881350029</stp>
        <tr r="F282" s="2"/>
      </tp>
      <tp t="s">
        <v>#N/A N/A</v>
        <stp/>
        <stp>BQL|1375627420041755483</stp>
        <tr r="Q184" s="2"/>
        <tr r="Q35" s="2"/>
      </tp>
      <tp t="s">
        <v>#N/A N/A</v>
        <stp/>
        <stp>BQL|6647836646318451292</stp>
        <tr r="M100" s="2"/>
      </tp>
      <tp t="s">
        <v>#N/A N/A</v>
        <stp/>
        <stp>BQL|3822492859291170378</stp>
        <tr r="R293" s="2"/>
      </tp>
      <tp t="s">
        <v>#N/A N/A</v>
        <stp/>
        <stp>BQL|7818279911776046201</stp>
        <tr r="H169" s="2"/>
        <tr r="H219" s="2"/>
      </tp>
      <tp t="s">
        <v>#N/A N/A</v>
        <stp/>
        <stp>BQL|9207969942567384383</stp>
        <tr r="R221" s="2"/>
      </tp>
      <tp t="s">
        <v>#N/A N/A</v>
        <stp/>
        <stp>BQL|1803622872518743823</stp>
        <tr r="E208" s="2"/>
      </tp>
      <tp t="s">
        <v>#N/A N/A</v>
        <stp/>
        <stp>BQL|3219966662515934921</stp>
        <tr r="P163" s="2"/>
        <tr r="P7" s="2"/>
      </tp>
      <tp t="s">
        <v>#N/A N/A</v>
        <stp/>
        <stp>BQL|5720219328547335201</stp>
        <tr r="I144" s="2"/>
      </tp>
      <tp t="s">
        <v>#N/A N/A</v>
        <stp/>
        <stp>BQL|5812668307041432205</stp>
        <tr r="M292" s="2"/>
      </tp>
      <tp t="s">
        <v>#N/A N/A</v>
        <stp/>
        <stp>BQL|4373134349882220367</stp>
        <tr r="P273" s="2"/>
      </tp>
      <tp t="s">
        <v>#N/A N/A</v>
        <stp/>
        <stp>BQL|8489259787811305381</stp>
        <tr r="K14" s="2"/>
        <tr r="K87" s="2"/>
      </tp>
      <tp t="s">
        <v>#N/A N/A</v>
        <stp/>
        <stp>BQL|3858323076840305738</stp>
        <tr r="I301" s="2"/>
      </tp>
      <tp t="s">
        <v>#N/A N/A</v>
        <stp/>
        <stp>BQL|1806800692304560436</stp>
        <tr r="K297" s="2"/>
      </tp>
      <tp t="s">
        <v>#N/A N/A</v>
        <stp/>
        <stp>BQL|5012665109965508665</stp>
        <tr r="G282" s="2"/>
      </tp>
      <tp t="s">
        <v>#N/A N/A</v>
        <stp/>
        <stp>BQL|4666350115917360192</stp>
        <tr r="V361" s="2"/>
      </tp>
      <tp t="s">
        <v>#N/A N/A</v>
        <stp/>
        <stp>BQL|5203693397242673811</stp>
        <tr r="M320" s="2"/>
      </tp>
      <tp t="s">
        <v>#N/A N/A</v>
        <stp/>
        <stp>BQL|3223115108267939596</stp>
        <tr r="M347" s="2"/>
      </tp>
      <tp t="s">
        <v>#N/A N/A</v>
        <stp/>
        <stp>BQL|2314279878490065772</stp>
        <tr r="H325" s="2"/>
      </tp>
      <tp t="s">
        <v>#N/A N/A</v>
        <stp/>
        <stp>BQL|1628613075204968411</stp>
        <tr r="R129" s="2"/>
      </tp>
      <tp t="s">
        <v>#N/A N/A</v>
        <stp/>
        <stp>BQL|2143471106975939338</stp>
        <tr r="N46" s="2"/>
      </tp>
      <tp t="s">
        <v>#N/A N/A</v>
        <stp/>
        <stp>BQL|5280138076753439092</stp>
        <tr r="L132" s="2"/>
      </tp>
      <tp t="s">
        <v>#N/A N/A</v>
        <stp/>
        <stp>BQL|2743983741677523810</stp>
        <tr r="M113" s="2"/>
      </tp>
      <tp t="s">
        <v>#N/A N/A</v>
        <stp/>
        <stp>BQL|2258359750063907741</stp>
        <tr r="Q157" s="2"/>
        <tr r="Q16" s="2"/>
        <tr r="Q89" s="2"/>
      </tp>
      <tp t="s">
        <v>#N/A N/A</v>
        <stp/>
        <stp>BQL|2097002415673610090</stp>
        <tr r="L247" s="2"/>
      </tp>
      <tp t="s">
        <v>#N/A N/A</v>
        <stp/>
        <stp>BQL|2401730108906422317</stp>
        <tr r="G259" s="2"/>
      </tp>
      <tp t="s">
        <v>#N/A N/A</v>
        <stp/>
        <stp>BQL|6544688556821701468</stp>
        <tr r="N127" s="2"/>
      </tp>
      <tp t="s">
        <v>#N/A N/A</v>
        <stp/>
        <stp>BQL|8013129923183827832</stp>
        <tr r="G284" s="2"/>
      </tp>
      <tp t="s">
        <v>#N/A N/A</v>
        <stp/>
        <stp>BQL|2098748252141963161</stp>
        <tr r="Q328" s="2"/>
      </tp>
      <tp t="s">
        <v>#N/A N/A</v>
        <stp/>
        <stp>BQL|8901012227622063861</stp>
        <tr r="J178" s="2"/>
      </tp>
      <tp t="s">
        <v>#N/A N/A</v>
        <stp/>
        <stp>BQL|3749680001210407535</stp>
        <tr r="F316" s="2"/>
      </tp>
      <tp t="s">
        <v>#N/A N/A</v>
        <stp/>
        <stp>BQL|7888379445202264216</stp>
        <tr r="R235" s="2"/>
      </tp>
      <tp t="s">
        <v>#N/A N/A</v>
        <stp/>
        <stp>BQL|2855205911993397232</stp>
        <tr r="P56" s="2"/>
      </tp>
      <tp t="s">
        <v>#N/A N/A</v>
        <stp/>
        <stp>BQL|3961207406190149179</stp>
        <tr r="N244" s="2"/>
      </tp>
      <tp t="s">
        <v>#N/A N/A</v>
        <stp/>
        <stp>BQL|2270988375865190972</stp>
        <tr r="R245" s="2"/>
      </tp>
      <tp t="s">
        <v>#N/A N/A</v>
        <stp/>
        <stp>BQL|7782690370725241355</stp>
        <tr r="P202" s="2"/>
      </tp>
      <tp t="s">
        <v>#N/A N/A</v>
        <stp/>
        <stp>BQL|8267866167625899321</stp>
        <tr r="K268" s="2"/>
      </tp>
      <tp t="s">
        <v>#N/A N/A</v>
        <stp/>
        <stp>BQL|7107043052802943074</stp>
        <tr r="E156" s="2"/>
      </tp>
      <tp t="s">
        <v>#N/A N/A</v>
        <stp/>
        <stp>BQL|8673409394476284398</stp>
        <tr r="O15" s="2"/>
        <tr r="O88" s="2"/>
      </tp>
      <tp t="s">
        <v>#N/A N/A</v>
        <stp/>
        <stp>BQL|8964830240740599462</stp>
        <tr r="U245" s="2"/>
      </tp>
      <tp t="s">
        <v>#N/A N/A</v>
        <stp/>
        <stp>BQL|8315498586691674528</stp>
        <tr r="K286" s="2"/>
      </tp>
      <tp t="s">
        <v>#N/A N/A</v>
        <stp/>
        <stp>BQL|9351795037608757520</stp>
        <tr r="M255" s="2"/>
      </tp>
      <tp t="s">
        <v>#N/A N/A</v>
        <stp/>
        <stp>BQL|5992518964281003740</stp>
        <tr r="L319" s="2"/>
      </tp>
      <tp t="s">
        <v>#N/A N/A</v>
        <stp/>
        <stp>BQL|7904649860882242577</stp>
        <tr r="O55" s="2"/>
      </tp>
      <tp t="s">
        <v>#N/A N/A</v>
        <stp/>
        <stp>BQL|7813235305703370659</stp>
        <tr r="F313" s="2"/>
      </tp>
      <tp t="s">
        <v>#N/A N/A</v>
        <stp/>
        <stp>BQL|2173223815612794392</stp>
        <tr r="F293" s="2"/>
      </tp>
      <tp t="s">
        <v>#N/A N/A</v>
        <stp/>
        <stp>BQL|9660496848298685192</stp>
        <tr r="R174" s="2"/>
      </tp>
      <tp t="s">
        <v>#N/A N/A</v>
        <stp/>
        <stp>BQL|2613569019647466150</stp>
        <tr r="N208" s="2"/>
      </tp>
      <tp t="s">
        <v>#N/A N/A</v>
        <stp/>
        <stp>BQL|7418998660210143844</stp>
        <tr r="H337" s="2"/>
      </tp>
      <tp t="s">
        <v>#N/A N/A</v>
        <stp/>
        <stp>BQL|2130060376185444023</stp>
        <tr r="V220" s="2"/>
      </tp>
      <tp t="s">
        <v>#N/A N/A</v>
        <stp/>
        <stp>BQL|3770734863553031102</stp>
        <tr r="L287" s="2"/>
      </tp>
      <tp t="s">
        <v>#N/A N/A</v>
        <stp/>
        <stp>BQL|8565899377784486387</stp>
        <tr r="Q206" s="2"/>
      </tp>
      <tp t="s">
        <v>#N/A N/A</v>
        <stp/>
        <stp>BQL|2737853231749212060</stp>
        <tr r="F73" s="2"/>
      </tp>
      <tp t="s">
        <v>#N/A N/A</v>
        <stp/>
        <stp>BQL|5021141847723153357</stp>
        <tr r="W260" s="2"/>
      </tp>
      <tp t="s">
        <v>#N/A N/A</v>
        <stp/>
        <stp>BQL|4500150274636172420</stp>
        <tr r="Q294" s="2"/>
      </tp>
      <tp t="s">
        <v>#N/A N/A</v>
        <stp/>
        <stp>BQL|7047014026517671262</stp>
        <tr r="U198" s="2"/>
      </tp>
      <tp t="s">
        <v>#N/A N/A</v>
        <stp/>
        <stp>BQL|1087859282803336239</stp>
        <tr r="I223" s="2"/>
      </tp>
      <tp t="s">
        <v>#N/A N/A</v>
        <stp/>
        <stp>BQL|4556991798354590063</stp>
        <tr r="I127" s="2"/>
      </tp>
      <tp t="s">
        <v>#N/A N/A</v>
        <stp/>
        <stp>BQL|3858498366582422347</stp>
        <tr r="I165" s="2"/>
      </tp>
      <tp t="s">
        <v>#N/A N/A</v>
        <stp/>
        <stp>BQL|7957355386304541889</stp>
        <tr r="L118" s="2"/>
      </tp>
      <tp t="s">
        <v>#N/A N/A</v>
        <stp/>
        <stp>BQL|1683322179237205280</stp>
        <tr r="M104" s="2"/>
      </tp>
      <tp t="s">
        <v>#N/A N/A</v>
        <stp/>
        <stp>BQL|3582746422003122548</stp>
        <tr r="M340" s="2"/>
      </tp>
      <tp t="s">
        <v>#N/A N/A</v>
        <stp/>
        <stp>BQL|2631538192477757968</stp>
        <tr r="U351" s="2"/>
      </tp>
      <tp t="s">
        <v>#N/A N/A</v>
        <stp/>
        <stp>BQL|6225744568807941017</stp>
        <tr r="N237" s="2"/>
      </tp>
      <tp t="s">
        <v>#N/A N/A</v>
        <stp/>
        <stp>BQL|4573218359443877031</stp>
        <tr r="L144" s="2"/>
      </tp>
      <tp t="s">
        <v>#N/A N/A</v>
        <stp/>
        <stp>BQL|6645190193869209783</stp>
        <tr r="R331" s="2"/>
      </tp>
      <tp t="s">
        <v>#N/A N/A</v>
        <stp/>
        <stp>BQL|6342624947297584354</stp>
        <tr r="E195" s="2"/>
      </tp>
      <tp t="s">
        <v>#N/A N/A</v>
        <stp/>
        <stp>BQL|1537356296949224227</stp>
        <tr r="K223" s="2"/>
      </tp>
      <tp t="s">
        <v>#N/A N/A</v>
        <stp/>
        <stp>BQL|8105187507040984916</stp>
        <tr r="Q271" s="2"/>
      </tp>
      <tp t="s">
        <v>#N/A N/A</v>
        <stp/>
        <stp>BQL|7716500721954835482</stp>
        <tr r="T237" s="2"/>
      </tp>
      <tp t="s">
        <v>#N/A N/A</v>
        <stp/>
        <stp>BQL|4089025267537319501</stp>
        <tr r="K271" s="2"/>
      </tp>
      <tp t="s">
        <v>#N/A N/A</v>
        <stp/>
        <stp>BQL|8331801687460333820</stp>
        <tr r="R195" s="2"/>
      </tp>
      <tp t="s">
        <v>#N/A N/A</v>
        <stp/>
        <stp>BQL|3818562371752922332</stp>
        <tr r="Q79" s="2"/>
      </tp>
      <tp t="s">
        <v>#N/A N/A</v>
        <stp/>
        <stp>BQL|6502685054104444187</stp>
        <tr r="H159" s="2"/>
        <tr r="H20" s="2"/>
        <tr r="H91" s="2"/>
      </tp>
      <tp t="s">
        <v>#N/A N/A</v>
        <stp/>
        <stp>BQL|6087285898018656538</stp>
        <tr r="N63" s="2"/>
      </tp>
      <tp t="s">
        <v>#N/A N/A</v>
        <stp/>
        <stp>BQL|1668569646942721247</stp>
        <tr r="T331" s="2"/>
      </tp>
      <tp t="s">
        <v>#N/A N/A</v>
        <stp/>
        <stp>BQL|7538019460822537343</stp>
        <tr r="P302" s="2"/>
      </tp>
      <tp t="s">
        <v>#N/A N/A</v>
        <stp/>
        <stp>BQL|2492825189735918734</stp>
        <tr r="F156" s="2"/>
      </tp>
      <tp t="s">
        <v>#N/A N/A</v>
        <stp/>
        <stp>BQL|1286273086222502933</stp>
        <tr r="P183" s="2"/>
      </tp>
      <tp t="s">
        <v>#N/A N/A</v>
        <stp/>
        <stp>BQL|2198364266892286579</stp>
        <tr r="T130" s="2"/>
      </tp>
      <tp t="s">
        <v>#N/A N/A</v>
        <stp/>
        <stp>BQL|3332703205124573070</stp>
        <tr r="T131" s="2"/>
      </tp>
      <tp t="s">
        <v>#N/A N/A</v>
        <stp/>
        <stp>BQL|9291764698425198296</stp>
        <tr r="O230" s="2"/>
      </tp>
      <tp t="s">
        <v>#N/A N/A</v>
        <stp/>
        <stp>BQL|9335137717661000832</stp>
        <tr r="O292" s="2"/>
      </tp>
      <tp t="s">
        <v>#N/A N/A</v>
        <stp/>
        <stp>BQL|1330339047085298313</stp>
        <tr r="R335" s="2"/>
      </tp>
      <tp t="s">
        <v>#N/A N/A</v>
        <stp/>
        <stp>BQL|6646631261251658761</stp>
        <tr r="S319" s="2"/>
      </tp>
      <tp t="s">
        <v>#N/A N/A</v>
        <stp/>
        <stp>BQL|1723338867807159365</stp>
        <tr r="M194" s="2"/>
      </tp>
      <tp t="s">
        <v>#N/A N/A</v>
        <stp/>
        <stp>BQL|9556750671940782928</stp>
        <tr r="V181" s="2"/>
      </tp>
      <tp t="s">
        <v>#N/A N/A</v>
        <stp/>
        <stp>BQL|9442679114308236613</stp>
        <tr r="N141" s="2"/>
      </tp>
      <tp t="s">
        <v>#N/A N/A</v>
        <stp/>
        <stp>BQL|7040150123915640141</stp>
        <tr r="O248" s="2"/>
      </tp>
      <tp t="s">
        <v>#N/A N/A</v>
        <stp/>
        <stp>BQL|8110843973871398618</stp>
        <tr r="X76" s="2"/>
      </tp>
      <tp t="s">
        <v>#N/A N/A</v>
        <stp/>
        <stp>BQL|5179262384879768601</stp>
        <tr r="S190" s="2"/>
      </tp>
      <tp t="s">
        <v>#N/A N/A</v>
        <stp/>
        <stp>BQL|9671292859739203777</stp>
        <tr r="N353" s="2"/>
      </tp>
      <tp t="s">
        <v>#N/A N/A</v>
        <stp/>
        <stp>BQL|9368935264566046077</stp>
        <tr r="M346" s="2"/>
      </tp>
      <tp t="s">
        <v>#N/A N/A</v>
        <stp/>
        <stp>BQL|7813786910095457475</stp>
        <tr r="F249" s="2"/>
      </tp>
      <tp t="s">
        <v>#N/A N/A</v>
        <stp/>
        <stp>BQL|1964544268700533231</stp>
        <tr r="I226" s="2"/>
      </tp>
      <tp t="s">
        <v>#N/A N/A</v>
        <stp/>
        <stp>BQL|4912234859320720374</stp>
        <tr r="L47" s="2"/>
      </tp>
      <tp t="s">
        <v>#N/A N/A</v>
        <stp/>
        <stp>BQL|9328643506457272801</stp>
        <tr r="M86" s="2"/>
      </tp>
      <tp t="s">
        <v>#N/A N/A</v>
        <stp/>
        <stp>BQL|6797238481575119978</stp>
        <tr r="N246" s="2"/>
      </tp>
      <tp t="s">
        <v>#N/A N/A</v>
        <stp/>
        <stp>BQL|6060118130657385319</stp>
        <tr r="O274" s="2"/>
      </tp>
      <tp t="s">
        <v>#N/A N/A</v>
        <stp/>
        <stp>BQL|1989797933694051105</stp>
        <tr r="E342" s="2"/>
      </tp>
      <tp t="s">
        <v>#N/A N/A</v>
        <stp/>
        <stp>BQL|1757701360215153546</stp>
        <tr r="T193" s="2"/>
      </tp>
      <tp t="s">
        <v>#N/A N/A</v>
        <stp/>
        <stp>BQL|3472206216247114715</stp>
        <tr r="O129" s="2"/>
      </tp>
      <tp t="s">
        <v>#N/A N/A</v>
        <stp/>
        <stp>BQL|7839673605704061582</stp>
        <tr r="S340" s="2"/>
      </tp>
      <tp t="s">
        <v>#N/A N/A</v>
        <stp/>
        <stp>BQL|6963468610932429197</stp>
        <tr r="U220" s="2"/>
      </tp>
      <tp t="s">
        <v>#N/A N/A</v>
        <stp/>
        <stp>BQL|9806589060338504273</stp>
        <tr r="G185" s="2"/>
      </tp>
      <tp t="s">
        <v>#N/A N/A</v>
        <stp/>
        <stp>BQL|1594532762093212142</stp>
        <tr r="F174" s="2"/>
      </tp>
      <tp t="s">
        <v>#N/A N/A</v>
        <stp/>
        <stp>BQL|7457517027083889380</stp>
        <tr r="N115" s="2"/>
      </tp>
      <tp t="s">
        <v>#N/A N/A</v>
        <stp/>
        <stp>BQL|8605313161019743402</stp>
        <tr r="N327" s="2"/>
      </tp>
      <tp t="s">
        <v>#N/A N/A</v>
        <stp/>
        <stp>BQL|9746053696002438211</stp>
        <tr r="V235" s="2"/>
      </tp>
      <tp t="s">
        <v>#N/A N/A</v>
        <stp/>
        <stp>BQL|9084634555058211259</stp>
        <tr r="U261" s="2"/>
      </tp>
      <tp t="s">
        <v>#N/A N/A</v>
        <stp/>
        <stp>BQL|7908637809548225904</stp>
        <tr r="L157" s="2"/>
        <tr r="L16" s="2"/>
        <tr r="L89" s="2"/>
      </tp>
      <tp t="s">
        <v>#N/A N/A</v>
        <stp/>
        <stp>BQL|4291727710486890497</stp>
        <tr r="R120" s="2"/>
      </tp>
      <tp t="s">
        <v>#N/A N/A</v>
        <stp/>
        <stp>BQL|7214646737630830283</stp>
        <tr r="E79" s="2"/>
      </tp>
      <tp t="s">
        <v>#N/A N/A</v>
        <stp/>
        <stp>BQL|6829491749976144083</stp>
        <tr r="X117" s="2"/>
      </tp>
      <tp t="s">
        <v>#N/A N/A</v>
        <stp/>
        <stp>BQL|6671780197240094882</stp>
        <tr r="J157" s="2"/>
        <tr r="J16" s="2"/>
        <tr r="J89" s="2"/>
      </tp>
      <tp t="s">
        <v>#N/A N/A</v>
        <stp/>
        <stp>BQL|2199630752791125002</stp>
        <tr r="R250" s="2"/>
      </tp>
      <tp t="s">
        <v>#N/A N/A</v>
        <stp/>
        <stp>BQL|1725322160121172542</stp>
        <tr r="T124" s="2"/>
        <tr r="T32" s="2"/>
      </tp>
      <tp t="s">
        <v>#N/A N/A</v>
        <stp/>
        <stp>BQL|9052739741173784951</stp>
        <tr r="S128" s="2"/>
        <tr r="S33" s="2"/>
      </tp>
      <tp t="s">
        <v>#N/A N/A</v>
        <stp/>
        <stp>BQL|4048662435330261114</stp>
        <tr r="R304" s="2"/>
      </tp>
      <tp t="s">
        <v>#N/A N/A</v>
        <stp/>
        <stp>BQL|5356156905145710144</stp>
        <tr r="N132" s="2"/>
      </tp>
      <tp t="s">
        <v>#N/A N/A</v>
        <stp/>
        <stp>BQL|3079638892365181905</stp>
        <tr r="P291" s="2"/>
      </tp>
      <tp t="s">
        <v>#N/A N/A</v>
        <stp/>
        <stp>BQL|8071294396047857475</stp>
        <tr r="O117" s="2"/>
      </tp>
      <tp t="s">
        <v>#N/A N/A</v>
        <stp/>
        <stp>BQL|1501754052936695548</stp>
        <tr r="T318" s="2"/>
      </tp>
      <tp t="s">
        <v>#N/A N/A</v>
        <stp/>
        <stp>BQL|4358729532132036231</stp>
        <tr r="I249" s="2"/>
      </tp>
      <tp t="s">
        <v>#N/A N/A</v>
        <stp/>
        <stp>BQL|7526937522828439405</stp>
        <tr r="S364" s="2"/>
      </tp>
      <tp t="s">
        <v>#N/A N/A</v>
        <stp/>
        <stp>BQL|5787136444492563257</stp>
        <tr r="O116" s="2"/>
        <tr r="O30" s="2"/>
      </tp>
      <tp t="s">
        <v>#N/A N/A</v>
        <stp/>
        <stp>BQL|40100946695217902</stp>
        <tr r="Q151" s="2"/>
      </tp>
      <tp t="s">
        <v>#N/A N/A</v>
        <stp/>
        <stp>BQL|6340064798257354916</stp>
        <tr r="U262" s="2"/>
      </tp>
      <tp t="s">
        <v>#N/A N/A</v>
        <stp/>
        <stp>BQL|6403689044656596327</stp>
        <tr r="N166" s="2"/>
      </tp>
      <tp t="s">
        <v>#N/A N/A</v>
        <stp/>
        <stp>BQL|1710794747976343558</stp>
        <tr r="K309" s="2"/>
      </tp>
      <tp t="s">
        <v>#N/A N/A</v>
        <stp/>
        <stp>BQL|4337207988788397778</stp>
        <tr r="W303" s="2"/>
      </tp>
      <tp t="s">
        <v>#N/A N/A</v>
        <stp/>
        <stp>BQL|5694582773995316311</stp>
        <tr r="X157" s="2"/>
        <tr r="X16" s="2"/>
        <tr r="X89" s="2"/>
      </tp>
      <tp t="s">
        <v>#N/A N/A</v>
        <stp/>
        <stp>BQL|8360023654784381897</stp>
        <tr r="V248" s="2"/>
      </tp>
      <tp t="s">
        <v>#N/A N/A</v>
        <stp/>
        <stp>BQL|1977191869862730515</stp>
        <tr r="O205" s="2"/>
        <tr r="O308" s="2"/>
      </tp>
      <tp t="s">
        <v>#N/A N/A</v>
        <stp/>
        <stp>BQL|3730628733401813614</stp>
        <tr r="W214" s="2"/>
      </tp>
      <tp t="s">
        <v>#N/A N/A</v>
        <stp/>
        <stp>BQL|1243069606178958843</stp>
        <tr r="J131" s="2"/>
      </tp>
      <tp t="s">
        <v>#N/A N/A</v>
        <stp/>
        <stp>BQL|6537694249504950122</stp>
        <tr r="I14" s="2"/>
        <tr r="I87" s="2"/>
      </tp>
      <tp t="s">
        <v>#N/A N/A</v>
        <stp/>
        <stp>BQL|1646464419077540225</stp>
        <tr r="S193" s="2"/>
      </tp>
      <tp t="s">
        <v>#N/A N/A</v>
        <stp/>
        <stp>BQL|3204086226328441860</stp>
        <tr r="L282" s="2"/>
      </tp>
      <tp t="s">
        <v>#N/A N/A</v>
        <stp/>
        <stp>BQL|5440783605791613211</stp>
        <tr r="M151" s="2"/>
      </tp>
      <tp t="s">
        <v>#N/A N/A</v>
        <stp/>
        <stp>BQL|6827592936869939807</stp>
        <tr r="L85" s="2"/>
      </tp>
      <tp t="s">
        <v>#N/A N/A</v>
        <stp/>
        <stp>BQL|8818112345789344518</stp>
        <tr r="E188" s="2"/>
        <tr r="E38" s="2"/>
      </tp>
      <tp t="s">
        <v>#N/A N/A</v>
        <stp/>
        <stp>BQL|7426530055135606397</stp>
        <tr r="E273" s="2"/>
      </tp>
      <tp t="s">
        <v>#N/A N/A</v>
        <stp/>
        <stp>BQL|6151807658348273260</stp>
        <tr r="G254" s="2"/>
      </tp>
      <tp t="s">
        <v>#N/A N/A</v>
        <stp/>
        <stp>BQL|1620201735657706694</stp>
        <tr r="N229" s="2"/>
      </tp>
      <tp t="s">
        <v>#N/A N/A</v>
        <stp/>
        <stp>BQL|1479175196178985018</stp>
        <tr r="G323" s="2"/>
      </tp>
      <tp t="s">
        <v>#N/A N/A</v>
        <stp/>
        <stp>BQL|4975503827592247018</stp>
        <tr r="T177" s="2"/>
      </tp>
      <tp t="s">
        <v>#N/A N/A</v>
        <stp/>
        <stp>BQL|5990344551192290039</stp>
        <tr r="S337" s="2"/>
      </tp>
      <tp t="s">
        <v>#N/A N/A</v>
        <stp/>
        <stp>BQL|3487791652000068023</stp>
        <tr r="E327" s="2"/>
      </tp>
      <tp t="s">
        <v>#N/A N/A</v>
        <stp/>
        <stp>BQL|8802326763809780539</stp>
        <tr r="G295" s="2"/>
      </tp>
      <tp t="s">
        <v>#N/A N/A</v>
        <stp/>
        <stp>BQL|2175957559549486642</stp>
        <tr r="O13" s="2"/>
        <tr r="O84" s="2"/>
      </tp>
      <tp t="s">
        <v>#N/A N/A</v>
        <stp/>
        <stp>BQL|4734679058922629425</stp>
        <tr r="I103" s="2"/>
      </tp>
      <tp t="s">
        <v>#N/A N/A</v>
        <stp/>
        <stp>BQL|1889260817390697332</stp>
        <tr r="F238" s="2"/>
      </tp>
      <tp t="s">
        <v>#N/A N/A</v>
        <stp/>
        <stp>BQL|3786080282629294338</stp>
        <tr r="N329" s="2"/>
      </tp>
      <tp t="s">
        <v>#N/A N/A</v>
        <stp/>
        <stp>BQL|9797590636707046943</stp>
        <tr r="R194" s="2"/>
      </tp>
      <tp t="s">
        <v>#N/A N/A</v>
        <stp/>
        <stp>BQL|4422458356774318086</stp>
        <tr r="L56" s="2"/>
      </tp>
      <tp t="s">
        <v>#N/A N/A</v>
        <stp/>
        <stp>BQL|5676321300313875477</stp>
        <tr r="H296" s="2"/>
      </tp>
      <tp t="s">
        <v>#N/A N/A</v>
        <stp/>
        <stp>BQL|1387403994804800940</stp>
        <tr r="W293" s="2"/>
      </tp>
      <tp t="s">
        <v>#N/A N/A</v>
        <stp/>
        <stp>BQL|9503697892134435317</stp>
        <tr r="L128" s="2"/>
        <tr r="L33" s="2"/>
      </tp>
      <tp t="s">
        <v>#N/A N/A</v>
        <stp/>
        <stp>BQL|8259923240970229490</stp>
        <tr r="N85" s="2"/>
      </tp>
      <tp t="s">
        <v>#N/A N/A</v>
        <stp/>
        <stp>BQL|1120716029187596270</stp>
        <tr r="X151" s="2"/>
      </tp>
      <tp t="s">
        <v>#N/A N/A</v>
        <stp/>
        <stp>BQL|2290305197121710893</stp>
        <tr r="F211" s="2"/>
      </tp>
      <tp t="s">
        <v>#N/A N/A</v>
        <stp/>
        <stp>BQL|3283266148254421030</stp>
        <tr r="S177" s="2"/>
      </tp>
      <tp t="s">
        <v>#N/A N/A</v>
        <stp/>
        <stp>BQL|5741483273530234759</stp>
        <tr r="H237" s="2"/>
      </tp>
      <tp t="s">
        <v>#N/A N/A</v>
        <stp/>
        <stp>BQL|1272883946678105469</stp>
        <tr r="J309" s="2"/>
      </tp>
      <tp t="s">
        <v>#N/A N/A</v>
        <stp/>
        <stp>BQL|4261596930746386534</stp>
        <tr r="S220" s="2"/>
      </tp>
      <tp t="s">
        <v>#N/A N/A</v>
        <stp/>
        <stp>BQL|9942223087725455721</stp>
        <tr r="I4" s="2"/>
      </tp>
      <tp t="s">
        <v>#N/A N/A</v>
        <stp/>
        <stp>BQL|6255719347974717095</stp>
        <tr r="H47" s="2"/>
      </tp>
      <tp t="s">
        <v>#N/A N/A</v>
        <stp/>
        <stp>BQL|7078168747014875738</stp>
        <tr r="N138" s="2"/>
      </tp>
      <tp t="s">
        <v>#N/A N/A</v>
        <stp/>
        <stp>BQL|4552574361857135189</stp>
        <tr r="T115" s="2"/>
      </tp>
      <tp t="s">
        <v>#N/A N/A</v>
        <stp/>
        <stp>BQL|1612562738080134632</stp>
        <tr r="S317" s="2"/>
      </tp>
      <tp t="s">
        <v>#N/A N/A</v>
        <stp/>
        <stp>BQL|5462643201592823030</stp>
        <tr r="P214" s="2"/>
      </tp>
      <tp t="s">
        <v>#N/A N/A</v>
        <stp/>
        <stp>BQL|2284881011083859993</stp>
        <tr r="R268" s="2"/>
      </tp>
      <tp t="s">
        <v>#N/A N/A</v>
        <stp/>
        <stp>BQL|7738582103915417627</stp>
        <tr r="N77" s="2"/>
      </tp>
      <tp t="s">
        <v>#N/A N/A</v>
        <stp/>
        <stp>BQL|5936381774843835370</stp>
        <tr r="V179" s="2"/>
      </tp>
      <tp t="s">
        <v>#N/A N/A</v>
        <stp/>
        <stp>BQL|4508790682912091848</stp>
        <tr r="M228" s="2"/>
      </tp>
      <tp t="s">
        <v>#N/A N/A</v>
        <stp/>
        <stp>BQL|3945116802827446479</stp>
        <tr r="U359" s="2"/>
      </tp>
      <tp t="s">
        <v>#N/A N/A</v>
        <stp/>
        <stp>BQL|2088903151918826706</stp>
        <tr r="K86" s="2"/>
      </tp>
      <tp t="s">
        <v>#N/A N/A</v>
        <stp/>
        <stp>BQL|6954179780088466638</stp>
        <tr r="G209" s="2"/>
      </tp>
      <tp t="s">
        <v>#N/A N/A</v>
        <stp/>
        <stp>BQL|9647966744845570080</stp>
        <tr r="S293" s="2"/>
      </tp>
      <tp t="s">
        <v>#N/A N/A</v>
        <stp/>
        <stp>BQL|3165962575955843935</stp>
        <tr r="R101" s="2"/>
        <tr r="R23" s="2"/>
      </tp>
      <tp t="s">
        <v>#N/A N/A</v>
        <stp/>
        <stp>BQL|8442920409569084966</stp>
        <tr r="P293" s="2"/>
      </tp>
      <tp t="s">
        <v>#N/A N/A</v>
        <stp/>
        <stp>BQL|4789311263233477383</stp>
        <tr r="N286" s="2"/>
      </tp>
      <tp t="s">
        <v>#N/A N/A</v>
        <stp/>
        <stp>BQL|5859921271353716959</stp>
        <tr r="X46" s="2"/>
      </tp>
      <tp t="s">
        <v>#N/A N/A</v>
        <stp/>
        <stp>BQL|2063046604623190081</stp>
        <tr r="U129" s="2"/>
      </tp>
      <tp t="s">
        <v>#N/A N/A</v>
        <stp/>
        <stp>BQL|5831898518378093508</stp>
        <tr r="U160" s="2"/>
        <tr r="U21" s="2"/>
        <tr r="U92" s="2"/>
      </tp>
      <tp t="s">
        <v>#N/A N/A</v>
        <stp/>
        <stp>BQL|4090452938346244464</stp>
        <tr r="N169" s="2"/>
        <tr r="N219" s="2"/>
      </tp>
      <tp t="s">
        <v>#N/A N/A</v>
        <stp/>
        <stp>BQL|8671283890884644613</stp>
        <tr r="R54" s="2"/>
      </tp>
      <tp t="s">
        <v>#N/A N/A</v>
        <stp/>
        <stp>BQL|6168922488131549764</stp>
        <tr r="J360" s="2"/>
      </tp>
      <tp t="s">
        <v>#N/A N/A</v>
        <stp/>
        <stp>BQL|1850280844911582791</stp>
        <tr r="O351" s="2"/>
      </tp>
      <tp t="s">
        <v>#N/A N/A</v>
        <stp/>
        <stp>BQL|6202510533092860301</stp>
        <tr r="V260" s="2"/>
      </tp>
      <tp t="s">
        <v>#N/A N/A</v>
        <stp/>
        <stp>BQL|1962836737472102942</stp>
        <tr r="K126" s="2"/>
      </tp>
      <tp t="s">
        <v>#N/A N/A</v>
        <stp/>
        <stp>BQL|4729192867106323422</stp>
        <tr r="H360" s="2"/>
      </tp>
      <tp t="s">
        <v>#N/A N/A</v>
        <stp/>
        <stp>BQL|6879384253124906523</stp>
        <tr r="H250" s="2"/>
      </tp>
      <tp t="s">
        <v>#N/A N/A</v>
        <stp/>
        <stp>BQL|1082240038556746739</stp>
        <tr r="R160" s="2"/>
        <tr r="R21" s="2"/>
        <tr r="R92" s="2"/>
      </tp>
      <tp t="s">
        <v>#N/A N/A</v>
        <stp/>
        <stp>BQL|9815534136196163842</stp>
        <tr r="J46" s="2"/>
      </tp>
      <tp t="s">
        <v>#N/A N/A</v>
        <stp/>
        <stp>BQL|6657117993436850941</stp>
        <tr r="U112" s="2"/>
        <tr r="U29" s="2"/>
      </tp>
      <tp t="s">
        <v>#N/A N/A</v>
        <stp/>
        <stp>BQL|1590205611016999557</stp>
        <tr r="H201" s="2"/>
      </tp>
      <tp t="s">
        <v>#N/A N/A</v>
        <stp/>
        <stp>BQL|9304757059668629211</stp>
        <tr r="T72" s="2"/>
      </tp>
      <tp t="s">
        <v>#N/A N/A</v>
        <stp/>
        <stp>BQL|9103390042878553775</stp>
        <tr r="R176" s="2"/>
      </tp>
      <tp t="s">
        <v>#N/A N/A</v>
        <stp/>
        <stp>BQL|8292878933710528241</stp>
        <tr r="R285" s="2"/>
      </tp>
      <tp t="s">
        <v>#N/A N/A</v>
        <stp/>
        <stp>BQL|7152677661436979094</stp>
        <tr r="V358" s="2"/>
      </tp>
      <tp t="s">
        <v>#N/A N/A</v>
        <stp/>
        <stp>BQL|7268622914073285218</stp>
        <tr r="W69" s="2"/>
      </tp>
      <tp t="s">
        <v>#N/A N/A</v>
        <stp/>
        <stp>BQL|5097709420223493238</stp>
        <tr r="W289" s="2"/>
      </tp>
      <tp t="s">
        <v>#N/A N/A</v>
        <stp/>
        <stp>BQL|4226420759680603488</stp>
        <tr r="P353" s="2"/>
      </tp>
      <tp t="s">
        <v>#N/A N/A</v>
        <stp/>
        <stp>BQL|2113580830522792791</stp>
        <tr r="X192" s="2"/>
      </tp>
      <tp t="s">
        <v>#N/A N/A</v>
        <stp/>
        <stp>BQL|3520205710954203504</stp>
        <tr r="K246" s="2"/>
      </tp>
      <tp t="s">
        <v>#N/A N/A</v>
        <stp/>
        <stp>BQL|3239563364901066069</stp>
        <tr r="O121" s="2"/>
      </tp>
      <tp t="s">
        <v>#N/A N/A</v>
        <stp/>
        <stp>BQL|8242690001068902758</stp>
        <tr r="O364" s="2"/>
      </tp>
      <tp t="s">
        <v>#N/A N/A</v>
        <stp/>
        <stp>BQL|4496035122164189329</stp>
        <tr r="S282" s="2"/>
      </tp>
      <tp t="s">
        <v>#N/A N/A</v>
        <stp/>
        <stp>BQL|2283786459250368166</stp>
        <tr r="E330" s="2"/>
      </tp>
      <tp t="s">
        <v>#N/A N/A</v>
        <stp/>
        <stp>BQL|1593726943464747753</stp>
        <tr r="T13" s="2"/>
        <tr r="T84" s="2"/>
      </tp>
      <tp t="s">
        <v>#N/A N/A</v>
        <stp/>
        <stp>BQL|2439840233820510805</stp>
        <tr r="Q63" s="2"/>
      </tp>
      <tp t="s">
        <v>#N/A N/A</v>
        <stp/>
        <stp>BQL|5196174010695413144</stp>
        <tr r="T208" s="2"/>
      </tp>
      <tp t="s">
        <v>#N/A N/A</v>
        <stp/>
        <stp>BQL|4130607201326585535</stp>
        <tr r="K56" s="2"/>
      </tp>
      <tp t="s">
        <v>#N/A N/A</v>
        <stp/>
        <stp>BQL|3626839878744369980</stp>
        <tr r="G293" s="2"/>
      </tp>
      <tp t="s">
        <v>#N/A N/A</v>
        <stp/>
        <stp>BQL|6716938835568200569</stp>
        <tr r="W171" s="2"/>
      </tp>
      <tp t="s">
        <v>#N/A N/A</v>
        <stp/>
        <stp>BQL|3418715571065760767</stp>
        <tr r="X194" s="2"/>
      </tp>
      <tp t="s">
        <v>#N/A N/A</v>
        <stp/>
        <stp>BQL|1282132520026597517</stp>
        <tr r="E238" s="2"/>
      </tp>
      <tp t="s">
        <v>#N/A N/A</v>
        <stp/>
        <stp>BQL|3432129129932867323</stp>
        <tr r="V323" s="2"/>
      </tp>
      <tp t="s">
        <v>#N/A N/A</v>
        <stp/>
        <stp>BQL|7743828686535496326</stp>
        <tr r="O273" s="2"/>
      </tp>
      <tp t="s">
        <v>#N/A N/A</v>
        <stp/>
        <stp>BQL|7401602355574564117</stp>
        <tr r="G128" s="2"/>
        <tr r="G33" s="2"/>
      </tp>
      <tp t="s">
        <v>#N/A N/A</v>
        <stp/>
        <stp>BQL|4430059877114327608</stp>
        <tr r="N269" s="2"/>
      </tp>
      <tp t="s">
        <v>#N/A N/A</v>
        <stp/>
        <stp>BQL|6297964706669427734</stp>
        <tr r="N337" s="2"/>
      </tp>
      <tp t="s">
        <v>#N/A N/A</v>
        <stp/>
        <stp>BQL|6360670413979104931</stp>
        <tr r="F347" s="2"/>
      </tp>
      <tp t="s">
        <v>#N/A N/A</v>
        <stp/>
        <stp>BQL|2622293699831046936</stp>
        <tr r="R334" s="2"/>
      </tp>
      <tp t="s">
        <v>#N/A N/A</v>
        <stp/>
        <stp>BQL|7557040457342627140</stp>
        <tr r="F299" s="2"/>
      </tp>
      <tp t="s">
        <v>#N/A N/A</v>
        <stp/>
        <stp>BQL|7659724607893395247</stp>
        <tr r="E252" s="2"/>
      </tp>
      <tp t="s">
        <v>#N/A N/A</v>
        <stp/>
        <stp>BQL|7271342342830853189</stp>
        <tr r="E229" s="2"/>
      </tp>
      <tp t="s">
        <v>#N/A N/A</v>
        <stp/>
        <stp>BQL|1100757154713294169</stp>
        <tr r="W25" s="2"/>
        <tr r="W96" s="2"/>
      </tp>
      <tp t="s">
        <v>#N/A N/A</v>
        <stp/>
        <stp>BQL|5671513313282109216</stp>
        <tr r="H4" s="2"/>
      </tp>
      <tp t="s">
        <v>#N/A N/A</v>
        <stp/>
        <stp>BQL|4024767092429371235</stp>
        <tr r="L63" s="2"/>
      </tp>
      <tp t="s">
        <v>#N/A N/A</v>
        <stp/>
        <stp>BQL|5007421738323740095</stp>
        <tr r="P267" s="2"/>
      </tp>
      <tp t="s">
        <v>#N/A N/A</v>
        <stp/>
        <stp>BQL|8420920372393319432</stp>
        <tr r="S357" s="2"/>
      </tp>
      <tp t="s">
        <v>#N/A N/A</v>
        <stp/>
        <stp>BQL|6879540908821061307</stp>
        <tr r="O163" s="2"/>
        <tr r="O7" s="2"/>
      </tp>
      <tp t="s">
        <v>#N/A N/A</v>
        <stp/>
        <stp>BQL|3384982488654758700</stp>
        <tr r="P10" s="2"/>
        <tr r="P60" s="2"/>
      </tp>
      <tp t="s">
        <v>#N/A N/A</v>
        <stp/>
        <stp>BQL|4145830269528845300</stp>
        <tr r="K47" s="2"/>
      </tp>
      <tp t="s">
        <v>#N/A N/A</v>
        <stp/>
        <stp>BQL|7053339615831318560</stp>
        <tr r="T289" s="2"/>
      </tp>
      <tp t="s">
        <v>#N/A N/A</v>
        <stp/>
        <stp>BQL|1528726601143506401</stp>
        <tr r="O365" s="2"/>
      </tp>
      <tp t="s">
        <v>#N/A N/A</v>
        <stp/>
        <stp>BQL|1412718157871566340</stp>
        <tr r="T68" s="2"/>
      </tp>
      <tp t="s">
        <v>#N/A N/A</v>
        <stp/>
        <stp>BQL|7154147946557342432</stp>
        <tr r="S157" s="2"/>
        <tr r="S16" s="2"/>
        <tr r="S89" s="2"/>
      </tp>
      <tp t="s">
        <v>#N/A N/A</v>
        <stp/>
        <stp>BQL|3641536868712842361</stp>
        <tr r="Q163" s="2"/>
        <tr r="Q7" s="2"/>
      </tp>
      <tp t="s">
        <v>#N/A N/A</v>
        <stp/>
        <stp>BQL|2549155804645139767</stp>
        <tr r="P4" s="2"/>
      </tp>
      <tp t="s">
        <v>#N/A N/A</v>
        <stp/>
        <stp>BQL|7065474633105089478</stp>
        <tr r="M293" s="2"/>
      </tp>
      <tp t="s">
        <v>#N/A N/A</v>
        <stp/>
        <stp>BQL|7413007667057370733</stp>
        <tr r="R178" s="2"/>
      </tp>
      <tp t="s">
        <v>#N/A N/A</v>
        <stp/>
        <stp>BQL|8140153511271417829</stp>
        <tr r="W19" s="2"/>
        <tr r="W94" s="2"/>
      </tp>
      <tp t="s">
        <v>#N/A N/A</v>
        <stp/>
        <stp>BQL|6731389935502929500</stp>
        <tr r="U248" s="2"/>
      </tp>
      <tp t="s">
        <v>#N/A N/A</v>
        <stp/>
        <stp>BQL|6741436727835937494</stp>
        <tr r="V357" s="2"/>
      </tp>
      <tp t="s">
        <v>#N/A N/A</v>
        <stp/>
        <stp>BQL|5660968502054330921</stp>
        <tr r="P223" s="2"/>
      </tp>
      <tp t="s">
        <v>#N/A N/A</v>
        <stp/>
        <stp>BQL|9146719329104870924</stp>
        <tr r="I235" s="2"/>
      </tp>
      <tp t="s">
        <v>#N/A N/A</v>
        <stp/>
        <stp>BQL|2819071623991722085</stp>
        <tr r="N192" s="2"/>
      </tp>
      <tp t="s">
        <v>#N/A N/A</v>
        <stp/>
        <stp>BQL|2971960799977740422</stp>
        <tr r="U10" s="2"/>
        <tr r="U60" s="2"/>
      </tp>
      <tp t="s">
        <v>#N/A N/A</v>
        <stp/>
        <stp>BQL|9504196089547683601</stp>
        <tr r="N114" s="2"/>
      </tp>
      <tp t="s">
        <v>#N/A N/A</v>
        <stp/>
        <stp>BQL|6302316255508007957</stp>
        <tr r="J229" s="2"/>
      </tp>
      <tp t="s">
        <v>#N/A N/A</v>
        <stp/>
        <stp>BQL|8631553346259040172</stp>
        <tr r="K261" s="2"/>
      </tp>
      <tp t="s">
        <v>#N/A N/A</v>
        <stp/>
        <stp>BQL|3175568847875197639</stp>
        <tr r="N220" s="2"/>
      </tp>
      <tp t="s">
        <v>#N/A N/A</v>
        <stp/>
        <stp>BQL|1238520530073565573</stp>
        <tr r="S231" s="2"/>
      </tp>
      <tp t="s">
        <v>#N/A N/A</v>
        <stp/>
        <stp>BQL|4018327094677142855</stp>
        <tr r="P3" s="2"/>
      </tp>
      <tp t="s">
        <v>#N/A N/A</v>
        <stp/>
        <stp>BQL|4921905696050818557</stp>
        <tr r="W295" s="2"/>
      </tp>
      <tp t="s">
        <v>#N/A N/A</v>
        <stp/>
        <stp>BQL|4351605356500041671</stp>
        <tr r="H222" s="2"/>
      </tp>
      <tp t="s">
        <v>#N/A N/A</v>
        <stp/>
        <stp>BQL|9465110094196013636</stp>
        <tr r="O180" s="2"/>
      </tp>
      <tp t="s">
        <v>#N/A N/A</v>
        <stp/>
        <stp>BQL|8707214906333164831</stp>
        <tr r="V163" s="2"/>
        <tr r="V7" s="2"/>
      </tp>
      <tp t="s">
        <v>#N/A N/A</v>
        <stp/>
        <stp>BQL|2949519291586338984</stp>
        <tr r="T243" s="2"/>
      </tp>
      <tp t="s">
        <v>#N/A N/A</v>
        <stp/>
        <stp>BQL|5388712070715949197</stp>
        <tr r="F268" s="2"/>
      </tp>
      <tp t="s">
        <v>#N/A N/A</v>
        <stp/>
        <stp>BQL|3508871272989850498</stp>
        <tr r="Q273" s="2"/>
      </tp>
      <tp t="s">
        <v>#N/A N/A</v>
        <stp/>
        <stp>BQL|9102008821302896896</stp>
        <tr r="K278" s="2"/>
      </tp>
      <tp t="s">
        <v>#N/A N/A</v>
        <stp/>
        <stp>BQL|8198185911811119885</stp>
        <tr r="F22" s="2"/>
        <tr r="F99" s="2"/>
      </tp>
      <tp t="s">
        <v>#N/A N/A</v>
        <stp/>
        <stp>BQL|9137302127300513920</stp>
        <tr r="M236" s="2"/>
      </tp>
      <tp t="s">
        <v>#N/A N/A</v>
        <stp/>
        <stp>BQL|1580887995469818814</stp>
        <tr r="N118" s="2"/>
      </tp>
      <tp t="s">
        <v>#N/A N/A</v>
        <stp/>
        <stp>BQL|3699246779526877124</stp>
        <tr r="G313" s="2"/>
      </tp>
      <tp t="s">
        <v>#N/A N/A</v>
        <stp/>
        <stp>BQL|5745269918683068486</stp>
        <tr r="X147" s="2"/>
      </tp>
      <tp t="s">
        <v>#N/A N/A</v>
        <stp/>
        <stp>BQL|1149869985391049130</stp>
        <tr r="S236" s="2"/>
      </tp>
      <tp t="s">
        <v>#N/A N/A</v>
        <stp/>
        <stp>BQL|3497403677595699453</stp>
        <tr r="O294" s="2"/>
      </tp>
      <tp t="s">
        <v>#N/A N/A</v>
        <stp/>
        <stp>BQL|7855116650734913600</stp>
        <tr r="F277" s="2"/>
      </tp>
      <tp t="s">
        <v>#N/A N/A</v>
        <stp/>
        <stp>BQL|8612125194279047807</stp>
        <tr r="M358" s="2"/>
      </tp>
      <tp t="s">
        <v>#N/A N/A</v>
        <stp/>
        <stp>BQL|9504990467805209299</stp>
        <tr r="Q275" s="2"/>
      </tp>
      <tp t="s">
        <v>#N/A N/A</v>
        <stp/>
        <stp>BQL|2123789156439788887</stp>
        <tr r="J49" s="2"/>
      </tp>
      <tp t="s">
        <v>#N/A N/A</v>
        <stp/>
        <stp>BQL|4668465964946721134</stp>
        <tr r="F259" s="2"/>
      </tp>
      <tp t="s">
        <v>#N/A N/A</v>
        <stp/>
        <stp>BQL|2663658829587924037</stp>
        <tr r="E131" s="2"/>
      </tp>
      <tp t="s">
        <v>#N/A N/A</v>
        <stp/>
        <stp>BQL|7628473894252185945</stp>
        <tr r="M267" s="2"/>
      </tp>
      <tp t="s">
        <v>#N/A N/A</v>
        <stp/>
        <stp>BQL|5316217411811623655</stp>
        <tr r="Q353" s="2"/>
      </tp>
      <tp t="s">
        <v>#N/A N/A</v>
        <stp/>
        <stp>BQL|7185074984288071621</stp>
        <tr r="K127" s="2"/>
      </tp>
      <tp t="s">
        <v>#N/A N/A</v>
        <stp/>
        <stp>BQL|1201170168980487799</stp>
        <tr r="K131" s="2"/>
      </tp>
      <tp t="s">
        <v>#N/A N/A</v>
        <stp/>
        <stp>BQL|43814519524245597</stp>
        <tr r="U227" s="2"/>
      </tp>
      <tp t="s">
        <v>#N/A N/A</v>
        <stp/>
        <stp>BQL|85939527442267188</stp>
        <tr r="J253" s="2"/>
      </tp>
      <tp t="s">
        <v>#N/A N/A</v>
        <stp/>
        <stp>BQL|46737784995376284</stp>
        <tr r="F19" s="2"/>
        <tr r="F94" s="2"/>
      </tp>
      <tp t="s">
        <v>#N/A N/A</v>
        <stp/>
        <stp>BQL|74706358418185259</stp>
        <tr r="N193" s="2"/>
      </tp>
      <tp t="s">
        <v>#N/A N/A</v>
        <stp/>
        <stp>BQL|13357801588974317</stp>
        <tr r="I238" s="2"/>
      </tp>
      <tp t="s">
        <v>#N/A N/A</v>
        <stp/>
        <stp>BQL|15000669548312636</stp>
        <tr r="V365" s="2"/>
      </tp>
      <tp t="s">
        <v>#N/A N/A</v>
        <stp/>
        <stp>BQL|9929094282321979247</stp>
        <tr r="K120" s="2"/>
      </tp>
      <tp t="s">
        <v>#N/A N/A</v>
        <stp/>
        <stp>BQL|1624214852884336099</stp>
        <tr r="T176" s="2"/>
      </tp>
      <tp t="s">
        <v>#N/A N/A</v>
        <stp/>
        <stp>BQL|4146992491942301458</stp>
        <tr r="V264" s="2"/>
      </tp>
      <tp t="s">
        <v>#N/A N/A</v>
        <stp/>
        <stp>BQL|3527403525710846774</stp>
        <tr r="Q304" s="2"/>
      </tp>
      <tp t="s">
        <v>#N/A N/A</v>
        <stp/>
        <stp>BQL|6173266653243377087</stp>
        <tr r="H226" s="2"/>
      </tp>
      <tp t="s">
        <v>#N/A N/A</v>
        <stp/>
        <stp>BQL|5587855488741172660</stp>
        <tr r="N239" s="2"/>
      </tp>
      <tp t="s">
        <v>#N/A N/A</v>
        <stp/>
        <stp>BQL|2158369152830909639</stp>
        <tr r="S209" s="2"/>
      </tp>
      <tp t="s">
        <v>#N/A N/A</v>
        <stp/>
        <stp>BQL|2906754418146804039</stp>
        <tr r="I180" s="2"/>
      </tp>
      <tp t="s">
        <v>#N/A N/A</v>
        <stp/>
        <stp>BQL|2839154412137125718</stp>
        <tr r="L101" s="2"/>
        <tr r="L23" s="2"/>
      </tp>
      <tp t="s">
        <v>#N/A N/A</v>
        <stp/>
        <stp>BQL|7112320302216655089</stp>
        <tr r="X152" s="2"/>
        <tr r="X62" s="2"/>
      </tp>
      <tp t="s">
        <v>#N/A N/A</v>
        <stp/>
        <stp>BQL|5695667461271651681</stp>
        <tr r="F236" s="2"/>
      </tp>
      <tp t="s">
        <v>#N/A N/A</v>
        <stp/>
        <stp>BQL|7973520173852446533</stp>
        <tr r="T201" s="2"/>
      </tp>
      <tp t="s">
        <v>#N/A N/A</v>
        <stp/>
        <stp>BQL|9147963116841743293</stp>
        <tr r="I193" s="2"/>
      </tp>
      <tp t="s">
        <v>#N/A N/A</v>
        <stp/>
        <stp>BQL|8401789383783247622</stp>
        <tr r="S163" s="2"/>
        <tr r="S7" s="2"/>
      </tp>
      <tp t="s">
        <v>#N/A N/A</v>
        <stp/>
        <stp>BQL|3393571158604406575</stp>
        <tr r="L315" s="2"/>
      </tp>
      <tp t="s">
        <v>#N/A N/A</v>
        <stp/>
        <stp>BQL|5989796273401951654</stp>
        <tr r="H57" s="2"/>
      </tp>
      <tp t="s">
        <v>#N/A N/A</v>
        <stp/>
        <stp>BQL|4345443130848012984</stp>
        <tr r="R350" s="2"/>
      </tp>
      <tp t="s">
        <v>#N/A N/A</v>
        <stp/>
        <stp>BQL|5825124550880424309</stp>
        <tr r="S264" s="2"/>
      </tp>
      <tp t="s">
        <v>#N/A N/A</v>
        <stp/>
        <stp>BQL|8561983469233951635</stp>
        <tr r="T301" s="2"/>
      </tp>
      <tp t="s">
        <v>#N/A N/A</v>
        <stp/>
        <stp>BQL|4627110972757354780</stp>
        <tr r="T156" s="2"/>
      </tp>
      <tp t="s">
        <v>#N/A N/A</v>
        <stp/>
        <stp>BQL|4039995226769112402</stp>
        <tr r="F54" s="2"/>
      </tp>
      <tp t="s">
        <v>#N/A N/A</v>
        <stp/>
        <stp>BQL|9143299674216065826</stp>
        <tr r="W358" s="2"/>
      </tp>
      <tp t="s">
        <v>#N/A N/A</v>
        <stp/>
        <stp>BQL|7113101353941947052</stp>
        <tr r="K113" s="2"/>
      </tp>
      <tp t="s">
        <v>#N/A N/A</v>
        <stp/>
        <stp>BQL|1009984115973417873</stp>
        <tr r="F86" s="2"/>
      </tp>
      <tp t="s">
        <v>#N/A N/A</v>
        <stp/>
        <stp>BQL|2311809823452659887</stp>
        <tr r="I298" s="2"/>
      </tp>
      <tp t="s">
        <v>#N/A N/A</v>
        <stp/>
        <stp>BQL|7400995084343208758</stp>
        <tr r="T204" s="2"/>
      </tp>
      <tp t="s">
        <v>#N/A N/A</v>
        <stp/>
        <stp>BQL|6296438760062886472</stp>
        <tr r="X347" s="2"/>
      </tp>
      <tp t="s">
        <v>#N/A N/A</v>
        <stp/>
        <stp>BQL|7355606208474572734</stp>
        <tr r="I102" s="2"/>
      </tp>
      <tp t="s">
        <v>#N/A N/A</v>
        <stp/>
        <stp>BQL|2612004023495951710</stp>
        <tr r="X128" s="2"/>
        <tr r="X33" s="2"/>
      </tp>
      <tp t="s">
        <v>#N/A N/A</v>
        <stp/>
        <stp>BQL|5632874919458173642</stp>
        <tr r="M54" s="2"/>
      </tp>
      <tp t="s">
        <v>#N/A N/A</v>
        <stp/>
        <stp>BQL|6232470662491854724</stp>
        <tr r="U107" s="2"/>
      </tp>
      <tp t="s">
        <v>#N/A N/A</v>
        <stp/>
        <stp>BQL|7682070808093081641</stp>
        <tr r="X329" s="2"/>
      </tp>
      <tp t="s">
        <v>#N/A N/A</v>
        <stp/>
        <stp>BQL|6303900768123025860</stp>
        <tr r="X166" s="2"/>
      </tp>
      <tp t="s">
        <v>#N/A N/A</v>
        <stp/>
        <stp>BQL|6544117635106590099</stp>
        <tr r="O57" s="2"/>
      </tp>
      <tp t="s">
        <v>#N/A N/A</v>
        <stp/>
        <stp>BQL|5097199608532880440</stp>
        <tr r="M178" s="2"/>
      </tp>
      <tp t="s">
        <v>#N/A N/A</v>
        <stp/>
        <stp>BQL|2759921910969015181</stp>
        <tr r="Q13" s="2"/>
        <tr r="Q84" s="2"/>
      </tp>
      <tp t="s">
        <v>#N/A N/A</v>
        <stp/>
        <stp>BQL|8435954549920447713</stp>
        <tr r="N153" s="2"/>
        <tr r="N65" s="2"/>
      </tp>
      <tp t="s">
        <v>#N/A N/A</v>
        <stp/>
        <stp>BQL|3969136462376638039</stp>
        <tr r="Q283" s="2"/>
      </tp>
      <tp t="s">
        <v>#N/A N/A</v>
        <stp/>
        <stp>BQL|7433517238995173613</stp>
        <tr r="U104" s="2"/>
      </tp>
      <tp t="s">
        <v>#N/A N/A</v>
        <stp/>
        <stp>BQL|4464487040274726269</stp>
        <tr r="R345" s="2"/>
      </tp>
      <tp t="s">
        <v>#N/A N/A</v>
        <stp/>
        <stp>BQL|6060811298842264762</stp>
        <tr r="M286" s="2"/>
      </tp>
      <tp t="s">
        <v>#N/A N/A</v>
        <stp/>
        <stp>BQL|7688045438185682305</stp>
        <tr r="N108" s="2"/>
      </tp>
      <tp t="s">
        <v>#N/A N/A</v>
        <stp/>
        <stp>BQL|3252408102390849548</stp>
        <tr r="V231" s="2"/>
      </tp>
      <tp t="s">
        <v>#N/A N/A</v>
        <stp/>
        <stp>BQL|1166531072838480988</stp>
        <tr r="S273" s="2"/>
      </tp>
      <tp t="s">
        <v>#N/A N/A</v>
        <stp/>
        <stp>BQL|5028627740913604683</stp>
        <tr r="P194" s="2"/>
      </tp>
      <tp t="s">
        <v>#N/A N/A</v>
        <stp/>
        <stp>BQL|5976308940909589905</stp>
        <tr r="L297" s="2"/>
      </tp>
      <tp t="s">
        <v>#N/A N/A</v>
        <stp/>
        <stp>BQL|1060336832527486496</stp>
        <tr r="P71" s="2"/>
      </tp>
      <tp t="s">
        <v>#N/A N/A</v>
        <stp/>
        <stp>BQL|4731998007157505800</stp>
        <tr r="L231" s="2"/>
      </tp>
      <tp t="s">
        <v>#N/A N/A</v>
        <stp/>
        <stp>BQL|2571417448951385144</stp>
        <tr r="W24" s="2"/>
        <tr r="W95" s="2"/>
      </tp>
      <tp t="s">
        <v>#N/A N/A</v>
        <stp/>
        <stp>BQL|4926128428953109696</stp>
        <tr r="X363" s="2"/>
      </tp>
      <tp t="s">
        <v>#N/A N/A</v>
        <stp/>
        <stp>BQL|8387858009747713530</stp>
        <tr r="J268" s="2"/>
      </tp>
      <tp t="s">
        <v>#N/A N/A</v>
        <stp/>
        <stp>BQL|3939190254336908362</stp>
        <tr r="M125" s="2"/>
      </tp>
      <tp t="s">
        <v>#N/A N/A</v>
        <stp/>
        <stp>BQL|7289380756232311144</stp>
        <tr r="I156" s="2"/>
      </tp>
      <tp t="s">
        <v>#N/A N/A</v>
        <stp/>
        <stp>BQL|5923554911735588637</stp>
        <tr r="K262" s="2"/>
      </tp>
      <tp t="s">
        <v>#N/A N/A</v>
        <stp/>
        <stp>BQL|8164829367027868370</stp>
        <tr r="V327" s="2"/>
      </tp>
      <tp t="s">
        <v>#N/A N/A</v>
        <stp/>
        <stp>BQL|5883386407571524591</stp>
        <tr r="M128" s="2"/>
        <tr r="M33" s="2"/>
      </tp>
      <tp t="s">
        <v>#N/A N/A</v>
        <stp/>
        <stp>BQL|3435313620969962968</stp>
        <tr r="T222" s="2"/>
      </tp>
      <tp t="s">
        <v>#N/A N/A</v>
        <stp/>
        <stp>BQL|7163590555151347445</stp>
        <tr r="W120" s="2"/>
      </tp>
      <tp t="s">
        <v>#N/A N/A</v>
        <stp/>
        <stp>BQL|3287235707676929559</stp>
        <tr r="R199" s="2"/>
      </tp>
      <tp t="s">
        <v>#N/A N/A</v>
        <stp/>
        <stp>BQL|4757486946017043134</stp>
        <tr r="O312" s="2"/>
      </tp>
      <tp t="s">
        <v>#N/A N/A</v>
        <stp/>
        <stp>BQL|2191610987059519786</stp>
        <tr r="L298" s="2"/>
      </tp>
      <tp t="s">
        <v>#N/A N/A</v>
        <stp/>
        <stp>BQL|4477506693562848859</stp>
        <tr r="K151" s="2"/>
      </tp>
      <tp t="s">
        <v>#N/A N/A</v>
        <stp/>
        <stp>BQL|6139557118409203949</stp>
        <tr r="G64" s="2"/>
      </tp>
      <tp t="s">
        <v>#N/A N/A</v>
        <stp/>
        <stp>BQL|5417036783508934779</stp>
        <tr r="E338" s="2"/>
      </tp>
      <tp t="s">
        <v>#N/A N/A</v>
        <stp/>
        <stp>BQL|5770017298088499601</stp>
        <tr r="P286" s="2"/>
      </tp>
      <tp t="s">
        <v>#N/A N/A</v>
        <stp/>
        <stp>BQL|3940805585882371356</stp>
        <tr r="E303" s="2"/>
      </tp>
      <tp t="s">
        <v>#N/A N/A</v>
        <stp/>
        <stp>BQL|8537220922599940355</stp>
        <tr r="N160" s="2"/>
        <tr r="N21" s="2"/>
        <tr r="N92" s="2"/>
      </tp>
      <tp t="s">
        <v>#N/A N/A</v>
        <stp/>
        <stp>BQL|4601271711180038592</stp>
        <tr r="K199" s="2"/>
      </tp>
      <tp t="s">
        <v>#N/A N/A</v>
        <stp/>
        <stp>BQL|2339013903311123190</stp>
        <tr r="M265" s="2"/>
      </tp>
      <tp t="s">
        <v>#N/A N/A</v>
        <stp/>
        <stp>BQL|2815154274776842086</stp>
        <tr r="J278" s="2"/>
      </tp>
      <tp t="s">
        <v>#N/A N/A</v>
        <stp/>
        <stp>BQL|5301582923275140504</stp>
        <tr r="W14" s="2"/>
        <tr r="W87" s="2"/>
      </tp>
      <tp t="s">
        <v>#N/A N/A</v>
        <stp/>
        <stp>BQL|8200519481322324585</stp>
        <tr r="I72" s="2"/>
      </tp>
      <tp t="s">
        <v>#N/A N/A</v>
        <stp/>
        <stp>BQL|8486937038149246946</stp>
        <tr r="V105" s="2"/>
      </tp>
      <tp t="s">
        <v>#N/A N/A</v>
        <stp/>
        <stp>BQL|2811935888227805629</stp>
        <tr r="W175" s="2"/>
      </tp>
      <tp t="s">
        <v>#N/A N/A</v>
        <stp/>
        <stp>BQL|5726501670940945577</stp>
        <tr r="G324" s="2"/>
        <tr r="G40" s="2"/>
      </tp>
      <tp t="s">
        <v>#N/A N/A</v>
        <stp/>
        <stp>BQL|4481254055625905442</stp>
        <tr r="W166" s="2"/>
      </tp>
      <tp t="s">
        <v>#N/A N/A</v>
        <stp/>
        <stp>BQL|2577589947683063235</stp>
        <tr r="J179" s="2"/>
      </tp>
      <tp t="s">
        <v>#N/A N/A</v>
        <stp/>
        <stp>BQL|4502226640052817273</stp>
        <tr r="U179" s="2"/>
      </tp>
      <tp t="s">
        <v>#N/A N/A</v>
        <stp/>
        <stp>BQL|3249264306503833022</stp>
        <tr r="F68" s="2"/>
      </tp>
      <tp t="s">
        <v>#N/A N/A</v>
        <stp/>
        <stp>BQL|6204284744386196479</stp>
        <tr r="H224" s="2"/>
      </tp>
      <tp t="s">
        <v>#N/A N/A</v>
        <stp/>
        <stp>BQL|1448455818537476155</stp>
        <tr r="H160" s="2"/>
        <tr r="H21" s="2"/>
        <tr r="H92" s="2"/>
      </tp>
      <tp t="s">
        <v>#N/A N/A</v>
        <stp/>
        <stp>BQL|4121301073202911036</stp>
        <tr r="M225" s="2"/>
      </tp>
      <tp t="s">
        <v>#N/A N/A</v>
        <stp/>
        <stp>BQL|1973348775984232323</stp>
        <tr r="E239" s="2"/>
      </tp>
      <tp t="s">
        <v>#N/A N/A</v>
        <stp/>
        <stp>BQL|9511993512087414423</stp>
        <tr r="Q71" s="2"/>
      </tp>
      <tp t="s">
        <v>#N/A N/A</v>
        <stp/>
        <stp>BQL|8176196780222175116</stp>
        <tr r="G206" s="2"/>
      </tp>
      <tp t="s">
        <v>#N/A N/A</v>
        <stp/>
        <stp>BQL|3985834893325938581</stp>
        <tr r="R359" s="2"/>
      </tp>
      <tp t="s">
        <v>#N/A N/A</v>
        <stp/>
        <stp>BQL|8046454537648280583</stp>
        <tr r="I276" s="2"/>
      </tp>
      <tp t="s">
        <v>#N/A N/A</v>
        <stp/>
        <stp>BQL|1823705742603090324</stp>
        <tr r="K285" s="2"/>
      </tp>
      <tp t="s">
        <v>#N/A N/A</v>
        <stp/>
        <stp>BQL|8171686224649077758</stp>
        <tr r="I118" s="2"/>
      </tp>
      <tp t="s">
        <v>#N/A N/A</v>
        <stp/>
        <stp>BQL|4449608316777221681</stp>
        <tr r="V251" s="2"/>
      </tp>
      <tp t="s">
        <v>#N/A N/A</v>
        <stp/>
        <stp>BQL|9349971588718787231</stp>
        <tr r="W301" s="2"/>
      </tp>
      <tp t="s">
        <v>#N/A N/A</v>
        <stp/>
        <stp>BQL|1739982496827054416</stp>
        <tr r="O261" s="2"/>
      </tp>
      <tp t="s">
        <v>#N/A N/A</v>
        <stp/>
        <stp>BQL|1423583739194569173</stp>
        <tr r="M229" s="2"/>
      </tp>
      <tp t="s">
        <v>#N/A N/A</v>
        <stp/>
        <stp>BQL|3767162474054617342</stp>
        <tr r="X285" s="2"/>
      </tp>
      <tp t="s">
        <v>#N/A N/A</v>
        <stp/>
        <stp>BQL|8431461786233750546</stp>
        <tr r="Q173" s="2"/>
      </tp>
      <tp t="s">
        <v>#N/A N/A</v>
        <stp/>
        <stp>BQL|2977245133104004590</stp>
        <tr r="G202" s="2"/>
      </tp>
      <tp t="s">
        <v>#N/A N/A</v>
        <stp/>
        <stp>BQL|5954150864479611993</stp>
        <tr r="K187" s="2"/>
        <tr r="K37" s="2"/>
      </tp>
      <tp t="s">
        <v>#N/A N/A</v>
        <stp/>
        <stp>BQL|2705441858469950853</stp>
        <tr r="I293" s="2"/>
      </tp>
      <tp t="s">
        <v>#N/A N/A</v>
        <stp/>
        <stp>BQL|7076111671206714508</stp>
        <tr r="G256" s="2"/>
        <tr r="G279" s="2"/>
      </tp>
      <tp t="s">
        <v>#N/A N/A</v>
        <stp/>
        <stp>BQL|4538712266923335467</stp>
        <tr r="G78" s="2"/>
      </tp>
      <tp t="s">
        <v>#N/A N/A</v>
        <stp/>
        <stp>BQL|2538027122016786453</stp>
        <tr r="G348" s="2"/>
      </tp>
      <tp t="s">
        <v>#N/A N/A</v>
        <stp/>
        <stp>BQL|8506429634678206567</stp>
        <tr r="H303" s="2"/>
      </tp>
      <tp t="s">
        <v>#N/A N/A</v>
        <stp/>
        <stp>BQL|6050158044324552530</stp>
        <tr r="J217" s="2"/>
      </tp>
      <tp t="s">
        <v>#N/A N/A</v>
        <stp/>
        <stp>BQL|2962003156514926104</stp>
        <tr r="M188" s="2"/>
        <tr r="M38" s="2"/>
      </tp>
      <tp t="s">
        <v>#N/A N/A</v>
        <stp/>
        <stp>BQL|8682562871978528021</stp>
        <tr r="F352" s="2"/>
      </tp>
      <tp t="s">
        <v>#N/A N/A</v>
        <stp/>
        <stp>BQL|1679072573862260668</stp>
        <tr r="P290" s="2"/>
      </tp>
      <tp t="s">
        <v>#N/A N/A</v>
        <stp/>
        <stp>BQL|5557770165710282638</stp>
        <tr r="T224" s="2"/>
      </tp>
      <tp t="s">
        <v>#N/A N/A</v>
        <stp/>
        <stp>BQL|3177034404697407648</stp>
        <tr r="G342" s="2"/>
      </tp>
      <tp t="s">
        <v>#N/A N/A</v>
        <stp/>
        <stp>BQL|9015119406822350829</stp>
        <tr r="I265" s="2"/>
      </tp>
      <tp t="s">
        <v>#N/A N/A</v>
        <stp/>
        <stp>BQL|6838754468880046534</stp>
        <tr r="E226" s="2"/>
      </tp>
      <tp t="s">
        <v>#N/A N/A</v>
        <stp/>
        <stp>BQL|4968784789849945071</stp>
        <tr r="X153" s="2"/>
        <tr r="X65" s="2"/>
      </tp>
      <tp t="s">
        <v>#N/A N/A</v>
        <stp/>
        <stp>BQL|2067080410709901878</stp>
        <tr r="G283" s="2"/>
      </tp>
      <tp t="s">
        <v>#N/A N/A</v>
        <stp/>
        <stp>BQL|2496667947041044331</stp>
        <tr r="P295" s="2"/>
      </tp>
      <tp t="s">
        <v>#N/A N/A</v>
        <stp/>
        <stp>BQL|8611631086172178670</stp>
        <tr r="W325" s="2"/>
      </tp>
      <tp t="s">
        <v>#N/A N/A</v>
        <stp/>
        <stp>BQL|6521091928454519246</stp>
        <tr r="L69" s="2"/>
      </tp>
      <tp t="s">
        <v>#N/A N/A</v>
        <stp/>
        <stp>BQL|2777200074561012463</stp>
        <tr r="O239" s="2"/>
      </tp>
      <tp t="s">
        <v>#N/A N/A</v>
        <stp/>
        <stp>BQL|8624829911946556554</stp>
        <tr r="M345" s="2"/>
      </tp>
      <tp t="s">
        <v>#N/A N/A</v>
        <stp/>
        <stp>BQL|1122084540574819341</stp>
        <tr r="P300" s="2"/>
      </tp>
      <tp t="s">
        <v>#N/A N/A</v>
        <stp/>
        <stp>BQL|5053278084355773816</stp>
        <tr r="O208" s="2"/>
      </tp>
      <tp t="s">
        <v>#N/A N/A</v>
        <stp/>
        <stp>BQL|2481247447354676244</stp>
        <tr r="M217" s="2"/>
      </tp>
      <tp t="s">
        <v>#N/A N/A</v>
        <stp/>
        <stp>BQL|8378912541877635007</stp>
        <tr r="P239" s="2"/>
      </tp>
      <tp t="s">
        <v>#N/A N/A</v>
        <stp/>
        <stp>BQL|6638540434666398407</stp>
        <tr r="F328" s="2"/>
      </tp>
      <tp t="s">
        <v>#N/A N/A</v>
        <stp/>
        <stp>BQL|5876911152629981272</stp>
        <tr r="G198" s="2"/>
      </tp>
      <tp t="s">
        <v>#N/A N/A</v>
        <stp/>
        <stp>BQL|4028339660210441327</stp>
        <tr r="F113" s="2"/>
      </tp>
      <tp t="s">
        <v>#N/A N/A</v>
        <stp/>
        <stp>BQL|9992756914559467496</stp>
        <tr r="S250" s="2"/>
      </tp>
      <tp t="s">
        <v>#N/A N/A</v>
        <stp/>
        <stp>BQL|5493764237965976686</stp>
        <tr r="T273" s="2"/>
      </tp>
      <tp t="s">
        <v>#N/A N/A</v>
        <stp/>
        <stp>BQL|3362262546102709500</stp>
        <tr r="P326" s="2"/>
        <tr r="P41" s="2"/>
      </tp>
      <tp t="s">
        <v>#N/A N/A</v>
        <stp/>
        <stp>BQL|6256220584549348733</stp>
        <tr r="J365" s="2"/>
      </tp>
      <tp t="s">
        <v>#N/A N/A</v>
        <stp/>
        <stp>BQL|2655844070179733611</stp>
        <tr r="U173" s="2"/>
      </tp>
      <tp t="s">
        <v>#N/A N/A</v>
        <stp/>
        <stp>BQL|7795119713680749560</stp>
        <tr r="S361" s="2"/>
      </tp>
      <tp t="s">
        <v>#N/A N/A</v>
        <stp/>
        <stp>BQL|2380465240137556746</stp>
        <tr r="L359" s="2"/>
      </tp>
      <tp t="s">
        <v>#N/A N/A</v>
        <stp/>
        <stp>BQL|3098996989715110557</stp>
        <tr r="L345" s="2"/>
      </tp>
      <tp t="s">
        <v>#N/A N/A</v>
        <stp/>
        <stp>BQL|7634905113914909981</stp>
        <tr r="V64" s="2"/>
      </tp>
      <tp t="s">
        <v>#N/A N/A</v>
        <stp/>
        <stp>BQL|7792184274070827374</stp>
        <tr r="T340" s="2"/>
      </tp>
      <tp t="s">
        <v>#N/A N/A</v>
        <stp/>
        <stp>BQL|2672488629896352074</stp>
        <tr r="W158" s="2"/>
        <tr r="W17" s="2"/>
        <tr r="W90" s="2"/>
      </tp>
      <tp t="s">
        <v>#N/A N/A</v>
        <stp/>
        <stp>BQL|9775072877739660529</stp>
        <tr r="O235" s="2"/>
      </tp>
      <tp t="s">
        <v>#N/A N/A</v>
        <stp/>
        <stp>BQL|3719416544879745864</stp>
        <tr r="U128" s="2"/>
        <tr r="U33" s="2"/>
      </tp>
      <tp t="s">
        <v>#N/A N/A</v>
        <stp/>
        <stp>BQL|3318768155390124326</stp>
        <tr r="M328" s="2"/>
      </tp>
      <tp t="s">
        <v>#N/A N/A</v>
        <stp/>
        <stp>BQL|2004640356963554045</stp>
        <tr r="P205" s="2"/>
        <tr r="P308" s="2"/>
      </tp>
      <tp t="s">
        <v>#N/A N/A</v>
        <stp/>
        <stp>BQL|2573344974356283241</stp>
        <tr r="H79" s="2"/>
      </tp>
      <tp t="s">
        <v>#N/A N/A</v>
        <stp/>
        <stp>BQL|6959839824186889840</stp>
        <tr r="H355" s="2"/>
      </tp>
      <tp t="s">
        <v>#N/A N/A</v>
        <stp/>
        <stp>BQL|5200678411904671401</stp>
        <tr r="N247" s="2"/>
      </tp>
      <tp t="s">
        <v>#N/A N/A</v>
        <stp/>
        <stp>BQL|7772915497221537464</stp>
        <tr r="N168" s="2"/>
      </tp>
      <tp t="s">
        <v>#N/A N/A</v>
        <stp/>
        <stp>BQL|3777736748624757694</stp>
        <tr r="L337" s="2"/>
      </tp>
      <tp t="s">
        <v>#N/A N/A</v>
        <stp/>
        <stp>BQL|3257372833240566115</stp>
        <tr r="T78" s="2"/>
      </tp>
      <tp t="s">
        <v>#N/A N/A</v>
        <stp/>
        <stp>BQL|2547672730714475147</stp>
        <tr r="J361" s="2"/>
      </tp>
      <tp t="s">
        <v>#N/A N/A</v>
        <stp/>
        <stp>BQL|6460478753821024425</stp>
        <tr r="L13" s="2"/>
        <tr r="L84" s="2"/>
      </tp>
      <tp t="s">
        <v>#N/A N/A</v>
        <stp/>
        <stp>BQL|9699572752373897890</stp>
        <tr r="J276" s="2"/>
      </tp>
      <tp t="s">
        <v>#N/A N/A</v>
        <stp/>
        <stp>BQL|6597983938909279756</stp>
        <tr r="R326" s="2"/>
        <tr r="R41" s="2"/>
      </tp>
      <tp t="s">
        <v>#N/A N/A</v>
        <stp/>
        <stp>BQL|3995913293001865011</stp>
        <tr r="H157" s="2"/>
        <tr r="H16" s="2"/>
        <tr r="H89" s="2"/>
      </tp>
      <tp t="s">
        <v>#N/A N/A</v>
        <stp/>
        <stp>BQL|2374246455824007306</stp>
        <tr r="O118" s="2"/>
      </tp>
      <tp t="s">
        <v>#N/A N/A</v>
        <stp/>
        <stp>BQL|3448172461466943099</stp>
        <tr r="J254" s="2"/>
      </tp>
      <tp t="s">
        <v>#N/A N/A</v>
        <stp/>
        <stp>BQL|6521373224950042545</stp>
        <tr r="S262" s="2"/>
      </tp>
      <tp t="s">
        <v>#N/A N/A</v>
        <stp/>
        <stp>BQL|7684755735928014971</stp>
        <tr r="F253" s="2"/>
      </tp>
      <tp t="s">
        <v>#N/A N/A</v>
        <stp/>
        <stp>BQL|8750731082144203152</stp>
        <tr r="X260" s="2"/>
      </tp>
      <tp t="s">
        <v>#N/A N/A</v>
        <stp/>
        <stp>BQL|6403471203598259836</stp>
        <tr r="Q64" s="2"/>
      </tp>
      <tp t="s">
        <v>#N/A N/A</v>
        <stp/>
        <stp>BQL|1143340000006417603</stp>
        <tr r="U178" s="2"/>
      </tp>
      <tp t="s">
        <v>#N/A N/A</v>
        <stp/>
        <stp>BQL|2228848467929149714</stp>
        <tr r="Q303" s="2"/>
      </tp>
      <tp t="s">
        <v>#N/A N/A</v>
        <stp/>
        <stp>BQL|9008072694463203105</stp>
        <tr r="X359" s="2"/>
      </tp>
      <tp t="s">
        <v>#N/A N/A</v>
        <stp/>
        <stp>BQL|4495853190680940795</stp>
        <tr r="L112" s="2"/>
        <tr r="L29" s="2"/>
      </tp>
      <tp t="s">
        <v>#N/A N/A</v>
        <stp/>
        <stp>BQL|3742845715820086879</stp>
        <tr r="T348" s="2"/>
      </tp>
      <tp t="s">
        <v>#N/A N/A</v>
        <stp/>
        <stp>BQL|4819309587948687581</stp>
        <tr r="N317" s="2"/>
      </tp>
      <tp t="s">
        <v>#N/A N/A</v>
        <stp/>
        <stp>BQL|6108673957931622663</stp>
        <tr r="I214" s="2"/>
      </tp>
      <tp t="s">
        <v>#N/A N/A</v>
        <stp/>
        <stp>BQL|1334604335621364752</stp>
        <tr r="P114" s="2"/>
      </tp>
      <tp t="s">
        <v>#N/A N/A</v>
        <stp/>
        <stp>BQL|2278329436892282249</stp>
        <tr r="M221" s="2"/>
      </tp>
      <tp t="s">
        <v>#N/A N/A</v>
        <stp/>
        <stp>BQL|9121678594746133238</stp>
        <tr r="L271" s="2"/>
      </tp>
      <tp t="s">
        <v>#N/A N/A</v>
        <stp/>
        <stp>BQL|7739731972030414522</stp>
        <tr r="I211" s="2"/>
      </tp>
      <tp t="s">
        <v>#N/A N/A</v>
        <stp/>
        <stp>BQL|1844214426853604099</stp>
        <tr r="M261" s="2"/>
      </tp>
      <tp t="s">
        <v>#N/A N/A</v>
        <stp/>
        <stp>BQL|3780197159255598025</stp>
        <tr r="I183" s="2"/>
      </tp>
      <tp t="s">
        <v>#N/A N/A</v>
        <stp/>
        <stp>BQL|4178751274465523351</stp>
        <tr r="O225" s="2"/>
      </tp>
      <tp t="s">
        <v>#N/A N/A</v>
        <stp/>
        <stp>BQL|5442814708329520681</stp>
        <tr r="T166" s="2"/>
      </tp>
      <tp t="s">
        <v>#N/A N/A</v>
        <stp/>
        <stp>BQL|4944530729136158723</stp>
        <tr r="N293" s="2"/>
      </tp>
      <tp t="s">
        <v>#N/A N/A</v>
        <stp/>
        <stp>BQL|3436508455997736663</stp>
        <tr r="H361" s="2"/>
      </tp>
      <tp t="s">
        <v>#N/A N/A</v>
        <stp/>
        <stp>BQL|1903214947144808179</stp>
        <tr r="N172" s="2"/>
      </tp>
      <tp t="s">
        <v>#N/A N/A</v>
        <stp/>
        <stp>BQL|7692459535634384656</stp>
        <tr r="S201" s="2"/>
      </tp>
      <tp t="s">
        <v>#N/A N/A</v>
        <stp/>
        <stp>BQL|9930466396673989503</stp>
        <tr r="V153" s="2"/>
        <tr r="V65" s="2"/>
      </tp>
      <tp t="s">
        <v>#N/A N/A</v>
        <stp/>
        <stp>BQL|8734794186683208754</stp>
        <tr r="M227" s="2"/>
      </tp>
      <tp t="s">
        <v>#N/A N/A</v>
        <stp/>
        <stp>BQL|6230785266663132724</stp>
        <tr r="K351" s="2"/>
      </tp>
      <tp t="s">
        <v>#N/A N/A</v>
        <stp/>
        <stp>BQL|2659196374594295369</stp>
        <tr r="T276" s="2"/>
      </tp>
      <tp t="s">
        <v>#N/A N/A</v>
        <stp/>
        <stp>BQL|7529291734760618515</stp>
        <tr r="K287" s="2"/>
      </tp>
      <tp t="s">
        <v>#N/A N/A</v>
        <stp/>
        <stp>BQL|6079307012226993148</stp>
        <tr r="I236" s="2"/>
      </tp>
      <tp t="s">
        <v>#N/A N/A</v>
        <stp/>
        <stp>BQL|1823136052235221348</stp>
        <tr r="K79" s="2"/>
      </tp>
      <tp t="s">
        <v>#N/A N/A</v>
        <stp/>
        <stp>BQL|9545229394519537894</stp>
        <tr r="J56" s="2"/>
      </tp>
      <tp t="s">
        <v>#N/A N/A</v>
        <stp/>
        <stp>BQL|1921795944091894037</stp>
        <tr r="U202" s="2"/>
      </tp>
      <tp t="s">
        <v>#N/A N/A</v>
        <stp/>
        <stp>BQL|5983783430613874163</stp>
        <tr r="J326" s="2"/>
        <tr r="J41" s="2"/>
      </tp>
      <tp t="s">
        <v>#N/A N/A</v>
        <stp/>
        <stp>BQL|4286822985013205481</stp>
        <tr r="T357" s="2"/>
      </tp>
      <tp t="s">
        <v>#N/A N/A</v>
        <stp/>
        <stp>BQL|7872048001105308114</stp>
        <tr r="O309" s="2"/>
      </tp>
      <tp t="s">
        <v>#N/A N/A</v>
        <stp/>
        <stp>BQL|3934344925525155472</stp>
        <tr r="O283" s="2"/>
      </tp>
      <tp t="s">
        <v>#N/A N/A</v>
        <stp/>
        <stp>BQL|9577076074959157499</stp>
        <tr r="E361" s="2"/>
      </tp>
      <tp t="s">
        <v>#N/A N/A</v>
        <stp/>
        <stp>BQL|9357463627259978553</stp>
        <tr r="T342" s="2"/>
      </tp>
      <tp t="s">
        <v>#N/A N/A</v>
        <stp/>
        <stp>BQL|3138331935408908809</stp>
        <tr r="R259" s="2"/>
      </tp>
      <tp t="s">
        <v>#N/A N/A</v>
        <stp/>
        <stp>BQL|6867649296469102355</stp>
        <tr r="L129" s="2"/>
      </tp>
      <tp t="s">
        <v>#N/A N/A</v>
        <stp/>
        <stp>BQL|9572145103472958959</stp>
        <tr r="E272" s="2"/>
      </tp>
      <tp t="s">
        <v>#N/A N/A</v>
        <stp/>
        <stp>BQL|5003297208992916665</stp>
        <tr r="V269" s="2"/>
      </tp>
      <tp t="s">
        <v>#N/A N/A</v>
        <stp/>
        <stp>BQL|3293717950403563186</stp>
        <tr r="U353" s="2"/>
      </tp>
      <tp t="s">
        <v>#N/A N/A</v>
        <stp/>
        <stp>BQL|6477184737695086269</stp>
        <tr r="V320" s="2"/>
      </tp>
      <tp t="s">
        <v>#N/A N/A</v>
        <stp/>
        <stp>BQL|9762177448106287979</stp>
        <tr r="H313" s="2"/>
      </tp>
      <tp t="s">
        <v>#N/A N/A</v>
        <stp/>
        <stp>BQL|7179697056247448075</stp>
        <tr r="Q176" s="2"/>
      </tp>
      <tp t="s">
        <v>#N/A N/A</v>
        <stp/>
        <stp>BQL|7936983088913022648</stp>
        <tr r="X138" s="2"/>
      </tp>
      <tp t="s">
        <v>#N/A N/A</v>
        <stp/>
        <stp>BQL|4732465707211314286</stp>
        <tr r="S3" s="2"/>
      </tp>
      <tp t="s">
        <v>#N/A N/A</v>
        <stp/>
        <stp>BQL|8366831859930484605</stp>
        <tr r="O179" s="2"/>
      </tp>
      <tp t="s">
        <v>#N/A N/A</v>
        <stp/>
        <stp>BQL|9875010698740998354</stp>
        <tr r="V268" s="2"/>
      </tp>
      <tp t="s">
        <v>#N/A N/A</v>
        <stp/>
        <stp>BQL|6338753477745426089</stp>
        <tr r="V222" s="2"/>
      </tp>
      <tp t="s">
        <v>#N/A N/A</v>
        <stp/>
        <stp>BQL|9621606936218412798</stp>
        <tr r="N15" s="2"/>
        <tr r="N88" s="2"/>
      </tp>
      <tp t="s">
        <v>#N/A N/A</v>
        <stp/>
        <stp>BQL|4060593215824641772</stp>
        <tr r="W246" s="2"/>
      </tp>
      <tp t="s">
        <v>#N/A N/A</v>
        <stp/>
        <stp>BQL|4808823713677490906</stp>
        <tr r="E331" s="2"/>
      </tp>
      <tp t="s">
        <v>#N/A N/A</v>
        <stp/>
        <stp>BQL|1733116438604475460</stp>
        <tr r="K117" s="2"/>
      </tp>
      <tp t="s">
        <v>#N/A N/A</v>
        <stp/>
        <stp>BQL|5569348514721919509</stp>
        <tr r="X14" s="2"/>
        <tr r="X87" s="2"/>
      </tp>
      <tp t="s">
        <v>#N/A N/A</v>
        <stp/>
        <stp>BQL|7748209169324510470</stp>
        <tr r="T86" s="2"/>
      </tp>
      <tp t="s">
        <v>#N/A N/A</v>
        <stp/>
        <stp>BQL|1095166018626421465</stp>
        <tr r="H205" s="2"/>
        <tr r="H308" s="2"/>
      </tp>
      <tp t="s">
        <v>#N/A N/A</v>
        <stp/>
        <stp>BQL|5023781504597883687</stp>
        <tr r="T22" s="2"/>
        <tr r="T99" s="2"/>
      </tp>
      <tp t="s">
        <v>#N/A N/A</v>
        <stp/>
        <stp>BQL|4537938585813906514</stp>
        <tr r="W126" s="2"/>
      </tp>
      <tp t="s">
        <v>#N/A N/A</v>
        <stp/>
        <stp>BQL|5152165331451562583</stp>
        <tr r="X313" s="2"/>
      </tp>
      <tp t="s">
        <v>#N/A N/A</v>
        <stp/>
        <stp>BQL|7520506218359061960</stp>
        <tr r="S72" s="2"/>
      </tp>
      <tp t="s">
        <v>#N/A N/A</v>
        <stp/>
        <stp>BQL|1754712769117372472</stp>
        <tr r="E120" s="2"/>
      </tp>
      <tp t="s">
        <v>#N/A N/A</v>
        <stp/>
        <stp>BQL|4176010629196330317</stp>
        <tr r="P303" s="2"/>
      </tp>
      <tp t="s">
        <v>#N/A N/A</v>
        <stp/>
        <stp>BQL|9742385533389462339</stp>
        <tr r="O132" s="2"/>
      </tp>
      <tp t="s">
        <v>#N/A N/A</v>
        <stp/>
        <stp>BQL|8273900478894722164</stp>
        <tr r="R47" s="2"/>
      </tp>
      <tp t="s">
        <v>#N/A N/A</v>
        <stp/>
        <stp>BQL|5043699609899291997</stp>
        <tr r="G211" s="2"/>
      </tp>
      <tp t="s">
        <v>#N/A N/A</v>
        <stp/>
        <stp>BQL|6013257164464200588</stp>
        <tr r="X112" s="2"/>
        <tr r="X29" s="2"/>
      </tp>
      <tp t="s">
        <v>#N/A N/A</v>
        <stp/>
        <stp>BQL|7734753008084129708</stp>
        <tr r="W318" s="2"/>
      </tp>
      <tp t="s">
        <v>#N/A N/A</v>
        <stp/>
        <stp>BQL|1261592407455228245</stp>
        <tr r="U158" s="2"/>
        <tr r="U17" s="2"/>
        <tr r="U90" s="2"/>
      </tp>
      <tp t="s">
        <v>#N/A N/A</v>
        <stp/>
        <stp>BQL|7758553626552758196</stp>
        <tr r="P345" s="2"/>
      </tp>
      <tp t="s">
        <v>#N/A N/A</v>
        <stp/>
        <stp>BQL|6094696555143650500</stp>
        <tr r="M204" s="2"/>
      </tp>
      <tp t="s">
        <v>#N/A N/A</v>
        <stp/>
        <stp>BQL|7526142578130600265</stp>
        <tr r="N267" s="2"/>
      </tp>
      <tp t="s">
        <v>#N/A N/A</v>
        <stp/>
        <stp>BQL|1182555937584376099</stp>
        <tr r="X78" s="2"/>
      </tp>
      <tp t="s">
        <v>#N/A N/A</v>
        <stp/>
        <stp>BQL|8325428858839456341</stp>
        <tr r="J264" s="2"/>
      </tp>
      <tp t="s">
        <v>#N/A N/A</v>
        <stp/>
        <stp>BQL|7292989789370915533</stp>
        <tr r="P287" s="2"/>
      </tp>
      <tp t="s">
        <v>#N/A N/A</v>
        <stp/>
        <stp>BQL|7714441668672336415</stp>
        <tr r="J357" s="2"/>
      </tp>
      <tp t="s">
        <v>#N/A N/A</v>
        <stp/>
        <stp>BQL|1145854039228002140</stp>
        <tr r="S174" s="2"/>
      </tp>
      <tp t="s">
        <v>#N/A N/A</v>
        <stp/>
        <stp>BQL|8952861902584516712</stp>
        <tr r="T195" s="2"/>
      </tp>
      <tp t="s">
        <v>#N/A N/A</v>
        <stp/>
        <stp>BQL|3985018655835105055</stp>
        <tr r="Q302" s="2"/>
      </tp>
      <tp t="s">
        <v>#N/A N/A</v>
        <stp/>
        <stp>BQL|3581328456664927218</stp>
        <tr r="H286" s="2"/>
      </tp>
      <tp t="s">
        <v>#N/A N/A</v>
        <stp/>
        <stp>BQL|3885406535943281463</stp>
        <tr r="L243" s="2"/>
      </tp>
      <tp t="s">
        <v>#N/A N/A</v>
        <stp/>
        <stp>BQL|4244080640500086336</stp>
        <tr r="O193" s="2"/>
      </tp>
      <tp t="s">
        <v>#N/A N/A</v>
        <stp/>
        <stp>BQL|5575581442722489526</stp>
        <tr r="P113" s="2"/>
      </tp>
      <tp t="s">
        <v>#N/A N/A</v>
        <stp/>
        <stp>BQL|4167633715812967271</stp>
        <tr r="P318" s="2"/>
      </tp>
      <tp t="s">
        <v>#N/A N/A</v>
        <stp/>
        <stp>BQL|8666921816616308590</stp>
        <tr r="O100" s="2"/>
      </tp>
      <tp t="s">
        <v>#N/A N/A</v>
        <stp/>
        <stp>BQL|8974635595040435430</stp>
        <tr r="I15" s="2"/>
        <tr r="I88" s="2"/>
      </tp>
      <tp t="s">
        <v>#N/A N/A</v>
        <stp/>
        <stp>BQL|5087195967209191877</stp>
        <tr r="Q227" s="2"/>
      </tp>
      <tp t="s">
        <v>#N/A N/A</v>
        <stp/>
        <stp>BQL|6023763137730818116</stp>
        <tr r="K184" s="2"/>
        <tr r="K35" s="2"/>
      </tp>
      <tp t="s">
        <v>#N/A N/A</v>
        <stp/>
        <stp>BQL|3627129009903705222</stp>
        <tr r="W183" s="2"/>
      </tp>
      <tp t="s">
        <v>#N/A N/A</v>
        <stp/>
        <stp>BQL|5707332308931013448</stp>
        <tr r="U49" s="2"/>
      </tp>
      <tp t="s">
        <v>#N/A N/A</v>
        <stp/>
        <stp>BQL|4451204064682038186</stp>
        <tr r="S192" s="2"/>
      </tp>
      <tp t="s">
        <v>#N/A N/A</v>
        <stp/>
        <stp>BQL|7357614120613898323</stp>
        <tr r="P199" s="2"/>
      </tp>
      <tp t="s">
        <v>#N/A N/A</v>
        <stp/>
        <stp>BQL|9942106760958464551</stp>
        <tr r="P78" s="2"/>
      </tp>
      <tp t="s">
        <v>#N/A N/A</v>
        <stp/>
        <stp>BQL|6397905643039166191</stp>
        <tr r="M120" s="2"/>
      </tp>
      <tp t="s">
        <v>#N/A N/A</v>
        <stp/>
        <stp>BQL|2289224628680987199</stp>
        <tr r="S297" s="2"/>
      </tp>
      <tp t="s">
        <v>#N/A N/A</v>
        <stp/>
        <stp>BQL|3885180098121528951</stp>
        <tr r="G345" s="2"/>
      </tp>
      <tp t="s">
        <v>#N/A N/A</v>
        <stp/>
        <stp>BQL|7206522281408252143</stp>
        <tr r="O64" s="2"/>
      </tp>
      <tp t="s">
        <v>#N/A N/A</v>
        <stp/>
        <stp>BQL|7840687593349635221</stp>
        <tr r="F103" s="2"/>
      </tp>
      <tp t="s">
        <v>#N/A N/A</v>
        <stp/>
        <stp>BQL|4666237273697493556</stp>
        <tr r="R261" s="2"/>
      </tp>
      <tp t="s">
        <v>#N/A N/A</v>
        <stp/>
        <stp>BQL|9459018711388313305</stp>
        <tr r="L188" s="2"/>
        <tr r="L38" s="2"/>
      </tp>
      <tp t="s">
        <v>#N/A N/A</v>
        <stp/>
        <stp>BQL|4673991587041704793</stp>
        <tr r="S184" s="2"/>
        <tr r="S35" s="2"/>
      </tp>
      <tp t="s">
        <v>#N/A N/A</v>
        <stp/>
        <stp>BQL|3729514341720668172</stp>
        <tr r="I163" s="2"/>
        <tr r="I7" s="2"/>
      </tp>
      <tp t="s">
        <v>#N/A N/A</v>
        <stp/>
        <stp>BQL|1594969692445192769</stp>
        <tr r="E259" s="2"/>
      </tp>
      <tp t="s">
        <v>#N/A N/A</v>
        <stp/>
        <stp>BQL|5636505157465027374</stp>
        <tr r="G19" s="2"/>
        <tr r="G94" s="2"/>
      </tp>
      <tp t="s">
        <v>#N/A N/A</v>
        <stp/>
        <stp>BQL|9577889405837988579</stp>
        <tr r="K185" s="2"/>
      </tp>
      <tp t="s">
        <v>#N/A N/A</v>
        <stp/>
        <stp>BQL|5295079075022500331</stp>
        <tr r="N177" s="2"/>
      </tp>
      <tp t="s">
        <v>#N/A N/A</v>
        <stp/>
        <stp>BQL|1898697432861023655</stp>
        <tr r="M55" s="2"/>
      </tp>
      <tp t="s">
        <v>#N/A N/A</v>
        <stp/>
        <stp>BQL|8077937234583404254</stp>
        <tr r="U246" s="2"/>
      </tp>
      <tp t="s">
        <v>#N/A N/A</v>
        <stp/>
        <stp>BQL|9825964669550800590</stp>
        <tr r="E106" s="2"/>
      </tp>
      <tp t="s">
        <v>#N/A N/A</v>
        <stp/>
        <stp>BQL|9761976927368560947</stp>
        <tr r="U222" s="2"/>
      </tp>
      <tp t="s">
        <v>#N/A N/A</v>
        <stp/>
        <stp>BQL|6829032576352843035</stp>
        <tr r="P73" s="2"/>
      </tp>
      <tp t="s">
        <v>#N/A N/A</v>
        <stp/>
        <stp>BQL|2383270267545731023</stp>
        <tr r="H340" s="2"/>
      </tp>
      <tp t="s">
        <v>#N/A N/A</v>
        <stp/>
        <stp>BQL|4812986562120233868</stp>
        <tr r="N175" s="2"/>
      </tp>
      <tp t="s">
        <v>#N/A N/A</v>
        <stp/>
        <stp>BQL|6959623457890216682</stp>
        <tr r="U152" s="2"/>
        <tr r="U62" s="2"/>
      </tp>
      <tp t="s">
        <v>#N/A N/A</v>
        <stp/>
        <stp>BQL|2780613840984777779</stp>
        <tr r="I222" s="2"/>
      </tp>
      <tp t="s">
        <v>#N/A N/A</v>
        <stp/>
        <stp>BQL|1591352560552047565</stp>
        <tr r="J246" s="2"/>
      </tp>
      <tp t="s">
        <v>#N/A N/A</v>
        <stp/>
        <stp>BQL|1126577616237509138</stp>
        <tr r="I328" s="2"/>
      </tp>
      <tp t="s">
        <v>#N/A N/A</v>
        <stp/>
        <stp>BQL|6886418450675790186</stp>
        <tr r="M254" s="2"/>
      </tp>
      <tp t="s">
        <v>#N/A N/A</v>
        <stp/>
        <stp>BQL|2991158523755993705</stp>
        <tr r="I130" s="2"/>
      </tp>
      <tp t="s">
        <v>#N/A N/A</v>
        <stp/>
        <stp>BQL|4001736920491040362</stp>
        <tr r="F125" s="2"/>
      </tp>
      <tp t="s">
        <v>#N/A N/A</v>
        <stp/>
        <stp>BQL|2482169595989072028</stp>
        <tr r="T112" s="2"/>
        <tr r="T29" s="2"/>
      </tp>
      <tp t="s">
        <v>#N/A N/A</v>
        <stp/>
        <stp>BQL|5150383158269742930</stp>
        <tr r="U339" s="2"/>
      </tp>
      <tp t="s">
        <v>#N/A N/A</v>
        <stp/>
        <stp>BQL|4772416776196451215</stp>
        <tr r="F126" s="2"/>
      </tp>
      <tp t="s">
        <v>#N/A N/A</v>
        <stp/>
        <stp>BQL|7359030300227477310</stp>
        <tr r="K272" s="2"/>
      </tp>
      <tp t="s">
        <v>#N/A N/A</v>
        <stp/>
        <stp>BQL|2022790529415402114</stp>
        <tr r="K316" s="2"/>
      </tp>
      <tp t="s">
        <v>#N/A N/A</v>
        <stp/>
        <stp>BQL|1565562736927523350</stp>
        <tr r="O211" s="2"/>
      </tp>
      <tp t="s">
        <v>#N/A N/A</v>
        <stp/>
        <stp>BQL|6355415347947519257</stp>
        <tr r="S73" s="2"/>
      </tp>
      <tp t="s">
        <v>#N/A N/A</v>
        <stp/>
        <stp>BQL|5395434726830492076</stp>
        <tr r="N224" s="2"/>
      </tp>
      <tp t="s">
        <v>#N/A N/A</v>
        <stp/>
        <stp>BQL|6443047134476687069</stp>
        <tr r="J270" s="2"/>
      </tp>
      <tp t="s">
        <v>#N/A N/A</v>
        <stp/>
        <stp>BQL|7624716244416608113</stp>
        <tr r="U130" s="2"/>
      </tp>
      <tp t="s">
        <v>#N/A N/A</v>
        <stp/>
        <stp>BQL|2508988763618845628</stp>
        <tr r="M107" s="2"/>
      </tp>
      <tp t="s">
        <v>#N/A N/A</v>
        <stp/>
        <stp>BQL|5290357177625110754</stp>
        <tr r="O14" s="2"/>
        <tr r="O87" s="2"/>
      </tp>
      <tp t="s">
        <v>#N/A N/A</v>
        <stp/>
        <stp>BQL|1102061631794688542</stp>
        <tr r="G212" s="2"/>
        <tr r="G6" s="2"/>
      </tp>
      <tp t="s">
        <v>#N/A N/A</v>
        <stp/>
        <stp>BQL|7073359420085244035</stp>
        <tr r="U135" s="2"/>
      </tp>
      <tp t="s">
        <v>#N/A N/A</v>
        <stp/>
        <stp>BQL|9525822032650477158</stp>
        <tr r="L335" s="2"/>
      </tp>
      <tp t="s">
        <v>#N/A N/A</v>
        <stp/>
        <stp>BQL|3727621871195788472</stp>
        <tr r="I340" s="2"/>
      </tp>
      <tp t="s">
        <v>#N/A N/A</v>
        <stp/>
        <stp>BQL|6441662119833635196</stp>
        <tr r="M3" s="2"/>
      </tp>
      <tp t="s">
        <v>#N/A N/A</v>
        <stp/>
        <stp>BQL|7000076945822733217</stp>
        <tr r="T24" s="2"/>
        <tr r="T95" s="2"/>
      </tp>
      <tp t="s">
        <v>#N/A N/A</v>
        <stp/>
        <stp>BQL|8298530096044176359</stp>
        <tr r="X286" s="2"/>
      </tp>
      <tp t="s">
        <v>#N/A N/A</v>
        <stp/>
        <stp>BQL|2726572661481305317</stp>
        <tr r="O187" s="2"/>
        <tr r="O37" s="2"/>
      </tp>
      <tp t="s">
        <v>#N/A N/A</v>
        <stp/>
        <stp>BQL|8779988527216392686</stp>
        <tr r="M195" s="2"/>
      </tp>
      <tp t="s">
        <v>#N/A N/A</v>
        <stp/>
        <stp>BQL|1304431472206098717</stp>
        <tr r="X72" s="2"/>
      </tp>
      <tp t="s">
        <v>#N/A N/A</v>
        <stp/>
        <stp>BQL|3137718590537055937</stp>
        <tr r="E283" s="2"/>
      </tp>
      <tp t="s">
        <v>#N/A N/A</v>
        <stp/>
        <stp>BQL|2384331700016578464</stp>
        <tr r="J72" s="2"/>
      </tp>
      <tp t="s">
        <v>#N/A N/A</v>
        <stp/>
        <stp>BQL|8348313453214763945</stp>
        <tr r="G190" s="2"/>
      </tp>
      <tp t="s">
        <v>#N/A N/A</v>
        <stp/>
        <stp>BQL|9627912624129036813</stp>
        <tr r="S284" s="2"/>
      </tp>
      <tp t="s">
        <v>#N/A N/A</v>
        <stp/>
        <stp>BQL|2117135073140742741</stp>
        <tr r="X294" s="2"/>
      </tp>
      <tp t="s">
        <v>#N/A N/A</v>
        <stp/>
        <stp>BQL|6167799320065881527</stp>
        <tr r="T251" s="2"/>
      </tp>
      <tp t="s">
        <v>#N/A N/A</v>
        <stp/>
        <stp>BQL|8771921071390236546</stp>
        <tr r="Q76" s="2"/>
      </tp>
      <tp t="s">
        <v>#N/A N/A</v>
        <stp/>
        <stp>BQL|7059857672133538803</stp>
        <tr r="T293" s="2"/>
      </tp>
      <tp t="s">
        <v>#N/A N/A</v>
        <stp/>
        <stp>BQL|3614804090040220164</stp>
        <tr r="S205" s="2"/>
        <tr r="S308" s="2"/>
      </tp>
      <tp t="s">
        <v>#N/A N/A</v>
        <stp/>
        <stp>BQL|5883142500945641284</stp>
        <tr r="P310" s="2"/>
      </tp>
      <tp t="s">
        <v>#N/A N/A</v>
        <stp/>
        <stp>BQL|8636567210269118634</stp>
        <tr r="V13" s="2"/>
        <tr r="V84" s="2"/>
      </tp>
      <tp t="s">
        <v>#N/A N/A</v>
        <stp/>
        <stp>BQL|2133568243173705314</stp>
        <tr r="I224" s="2"/>
      </tp>
      <tp t="s">
        <v>#N/A N/A</v>
        <stp/>
        <stp>BQL|7915375518957575110</stp>
        <tr r="H86" s="2"/>
      </tp>
      <tp t="s">
        <v>#N/A N/A</v>
        <stp/>
        <stp>BQL|5576043418174264399</stp>
        <tr r="T316" s="2"/>
      </tp>
      <tp t="s">
        <v>#N/A N/A</v>
        <stp/>
        <stp>BQL|7415590805058386993</stp>
        <tr r="F181" s="2"/>
      </tp>
      <tp t="s">
        <v>#N/A N/A</v>
        <stp/>
        <stp>BQL|8049873037579741963</stp>
        <tr r="M177" s="2"/>
      </tp>
      <tp t="s">
        <v>#N/A N/A</v>
        <stp/>
        <stp>BQL|5618764052165061134</stp>
        <tr r="E289" s="2"/>
      </tp>
      <tp t="s">
        <v>#N/A N/A</v>
        <stp/>
        <stp>BQL|1787393026316101589</stp>
        <tr r="P264" s="2"/>
      </tp>
      <tp t="s">
        <v>#N/A N/A</v>
        <stp/>
        <stp>BQL|8030360483151104151</stp>
        <tr r="F323" s="2"/>
      </tp>
      <tp t="s">
        <v>#N/A N/A</v>
        <stp/>
        <stp>BQL|9094922429972346394</stp>
        <tr r="R73" s="2"/>
      </tp>
      <tp t="s">
        <v>#N/A N/A</v>
        <stp/>
        <stp>BQL|9040114006169695205</stp>
        <tr r="P107" s="2"/>
      </tp>
      <tp t="s">
        <v>#N/A N/A</v>
        <stp/>
        <stp>BQL|4532965985590707608</stp>
        <tr r="S268" s="2"/>
      </tp>
      <tp t="s">
        <v>#N/A N/A</v>
        <stp/>
        <stp>BQL|9731800437335673463</stp>
        <tr r="J138" s="2"/>
      </tp>
      <tp t="s">
        <v>#N/A N/A</v>
        <stp/>
        <stp>BQL|3182956612701591937</stp>
        <tr r="K313" s="2"/>
      </tp>
      <tp t="s">
        <v>#N/A N/A</v>
        <stp/>
        <stp>BQL|6833055538605279370</stp>
        <tr r="N223" s="2"/>
      </tp>
      <tp t="s">
        <v>#N/A N/A</v>
        <stp/>
        <stp>BQL|4933995016369557631</stp>
        <tr r="R163" s="2"/>
        <tr r="R7" s="2"/>
      </tp>
      <tp t="s">
        <v>#N/A N/A</v>
        <stp/>
        <stp>BQL|2844349967670942422</stp>
        <tr r="Q357" s="2"/>
      </tp>
      <tp t="s">
        <v>#N/A N/A</v>
        <stp/>
        <stp>BQL|8386667784702650773</stp>
        <tr r="P68" s="2"/>
      </tp>
      <tp t="s">
        <v>#N/A N/A</v>
        <stp/>
        <stp>BQL|6380551066404546251</stp>
        <tr r="R127" s="2"/>
      </tp>
      <tp t="s">
        <v>#N/A N/A</v>
        <stp/>
        <stp>BQL|7310606765431288543</stp>
        <tr r="S253" s="2"/>
      </tp>
      <tp t="s">
        <v>#N/A N/A</v>
        <stp/>
        <stp>BQL|805754244806154044</stp>
        <tr r="F303" s="2"/>
      </tp>
      <tp t="s">
        <v>#N/A N/A</v>
        <stp/>
        <stp>BQL|888884980992897741</stp>
        <tr r="V113" s="2"/>
      </tp>
      <tp t="s">
        <v>#N/A N/A</v>
        <stp/>
        <stp>BQL|392684133387552711</stp>
        <tr r="M168" s="2"/>
      </tp>
      <tp t="s">
        <v>#N/A N/A</v>
        <stp/>
        <stp>BQL|516627456005440394</stp>
        <tr r="L313" s="2"/>
      </tp>
      <tp t="s">
        <v>#N/A N/A</v>
        <stp/>
        <stp>BQL|938348850507561458</stp>
        <tr r="V157" s="2"/>
        <tr r="V16" s="2"/>
        <tr r="V89" s="2"/>
      </tp>
      <tp t="s">
        <v>#N/A N/A</v>
        <stp/>
        <stp>BQL|295178718681319403</stp>
        <tr r="G310" s="2"/>
      </tp>
      <tp t="s">
        <v>#N/A N/A</v>
        <stp/>
        <stp>BQL|917976556660569934</stp>
        <tr r="J235" s="2"/>
      </tp>
      <tp t="s">
        <v>#N/A N/A</v>
        <stp/>
        <stp>BQL|744290728265056097</stp>
        <tr r="Q181" s="2"/>
      </tp>
      <tp t="s">
        <v>#N/A N/A</v>
        <stp/>
        <stp>BQL|752220926941491486</stp>
        <tr r="E135" s="2"/>
      </tp>
      <tp t="s">
        <v>#N/A N/A</v>
        <stp/>
        <stp>BQL|284159630296882179</stp>
        <tr r="S121" s="2"/>
      </tp>
      <tp t="s">
        <v>#N/A N/A</v>
        <stp/>
        <stp>BQL|259669735374008454</stp>
        <tr r="L217" s="2"/>
      </tp>
      <tp t="s">
        <v>#N/A N/A</v>
        <stp/>
        <stp>BQL|191809235418877693</stp>
        <tr r="F230" s="2"/>
      </tp>
      <tp t="s">
        <v>#N/A N/A</v>
        <stp/>
        <stp>BQL|279366792976050911</stp>
        <tr r="F289" s="2"/>
      </tp>
      <tp t="s">
        <v>#N/A N/A</v>
        <stp/>
        <stp>BQL|266206777890089025</stp>
        <tr r="H214" s="2"/>
      </tp>
      <tp t="s">
        <v>#N/A N/A</v>
        <stp/>
        <stp>BQL|238536056644033177</stp>
        <tr r="L193" s="2"/>
      </tp>
      <tp t="s">
        <v>#N/A N/A</v>
        <stp/>
        <stp>BQL|587834754041452968</stp>
        <tr r="P117" s="2"/>
      </tp>
      <tp t="s">
        <v>#N/A N/A</v>
        <stp/>
        <stp>BQL|762615011094621611</stp>
        <tr r="S239" s="2"/>
      </tp>
      <tp t="s">
        <v>#N/A N/A</v>
        <stp/>
        <stp>BQL|606224268528893962</stp>
        <tr r="E183" s="2"/>
      </tp>
      <tp t="s">
        <v>#N/A N/A</v>
        <stp/>
        <stp>BQL|517436632246789402</stp>
        <tr r="T355" s="2"/>
      </tp>
      <tp t="s">
        <v>#N/A N/A</v>
        <stp/>
        <stp>BQL|901988996141287599</stp>
        <tr r="G292" s="2"/>
      </tp>
      <tp t="s">
        <v>#N/A N/A</v>
        <stp/>
        <stp>BQL|959863195576242361</stp>
        <tr r="U68" s="2"/>
      </tp>
      <tp t="s">
        <v>#N/A N/A</v>
        <stp/>
        <stp>BQL|133831135517836811</stp>
        <tr r="J327" s="2"/>
      </tp>
      <tp t="s">
        <v>#N/A N/A</v>
        <stp/>
        <stp>BQL|435624590409928211</stp>
        <tr r="X273" s="2"/>
      </tp>
      <tp t="s">
        <v>#N/A N/A</v>
        <stp/>
        <stp>BQL|720327617945418396</stp>
        <tr r="M252" s="2"/>
      </tp>
      <tp t="s">
        <v>#N/A N/A</v>
        <stp/>
        <stp>BQL|103111114203200796</stp>
        <tr r="U153" s="2"/>
        <tr r="U65" s="2"/>
      </tp>
      <tp t="s">
        <v>#N/A N/A</v>
        <stp/>
        <stp>BQL|613570848270040518</stp>
        <tr r="N217" s="2"/>
      </tp>
      <tp t="s">
        <v>#N/A N/A</v>
        <stp/>
        <stp>BQL|557511591348505084</stp>
        <tr r="I309" s="2"/>
      </tp>
      <tp t="s">
        <v>#N/A N/A</v>
        <stp/>
        <stp>BQL|695884170538200379</stp>
        <tr r="F304" s="2"/>
      </tp>
      <tp t="s">
        <v>#N/A N/A</v>
        <stp/>
        <stp>BQL|431211180906247834</stp>
        <tr r="E199" s="2"/>
      </tp>
      <tp t="s">
        <v>#N/A N/A</v>
        <stp/>
        <stp>BQL|297580834922243083</stp>
        <tr r="P169" s="2"/>
        <tr r="P219" s="2"/>
      </tp>
      <tp t="s">
        <v>#N/A N/A</v>
        <stp/>
        <stp>BQL|951784346412188537</stp>
        <tr r="P121" s="2"/>
      </tp>
      <tp t="s">
        <v>#N/A N/A</v>
        <stp/>
        <stp>BQL|802061609432210601</stp>
        <tr r="M317" s="2"/>
      </tp>
      <tp t="s">
        <v>#N/A N/A</v>
        <stp/>
        <stp>BQL|472917686066223317</stp>
        <tr r="V24" s="2"/>
        <tr r="V95" s="2"/>
      </tp>
      <tp t="s">
        <v>#N/A N/A</v>
        <stp/>
        <stp>BQL|721075911130980590</stp>
        <tr r="M105" s="2"/>
      </tp>
      <tp t="s">
        <v>#N/A N/A</v>
        <stp/>
        <stp>BQL|633170907862162761</stp>
        <tr r="I46" s="2"/>
      </tp>
      <tp t="s">
        <v>#N/A N/A</v>
        <stp/>
        <stp>BQL|299078844687534757</stp>
        <tr r="J108" s="2"/>
      </tp>
      <tp t="s">
        <v>#N/A N/A</v>
        <stp/>
        <stp>BQL|486734727688395918</stp>
        <tr r="E341" s="2"/>
      </tp>
      <tp t="s">
        <v>#N/A N/A</v>
        <stp/>
        <stp>BQL|847466902858774897</stp>
        <tr r="I287" s="2"/>
      </tp>
      <tp t="s">
        <v>#N/A N/A</v>
        <stp/>
        <stp>BQL|330937998517323394</stp>
        <tr r="K356" s="2"/>
      </tp>
      <tp t="s">
        <v>#N/A N/A</v>
        <stp/>
        <stp>BQL|868717774946814266</stp>
        <tr r="O85" s="2"/>
      </tp>
      <tp t="s">
        <v>#N/A N/A</v>
        <stp/>
        <stp>BQL|258559315138948888</stp>
        <tr r="H14" s="2"/>
        <tr r="H87" s="2"/>
      </tp>
      <tp t="s">
        <v>#N/A N/A</v>
        <stp/>
        <stp>BQL|127763528981051337</stp>
        <tr r="S363" s="2"/>
      </tp>
      <tp t="s">
        <v>#N/A N/A</v>
        <stp/>
        <stp>BQL|316534849694150267</stp>
        <tr r="I331" s="2"/>
      </tp>
      <tp t="s">
        <v>#N/A N/A</v>
        <stp/>
        <stp>BQL|821720094340123972</stp>
        <tr r="J24" s="2"/>
        <tr r="J95" s="2"/>
      </tp>
      <tp t="s">
        <v>#N/A N/A</v>
        <stp/>
        <stp>BQL|956130649880950233</stp>
        <tr r="J298" s="2"/>
      </tp>
      <tp t="s">
        <v>#N/A N/A</v>
        <stp/>
        <stp>BQL|829706002698406871</stp>
        <tr r="K266" s="2"/>
      </tp>
      <tp t="s">
        <v>#N/A N/A</v>
        <stp/>
        <stp>BQL|892934055319443208</stp>
        <tr r="S127" s="2"/>
      </tp>
      <tp t="s">
        <v>#N/A N/A</v>
        <stp/>
        <stp>BQL|323694705153174253</stp>
        <tr r="P53" s="2"/>
      </tp>
      <tp t="s">
        <v>#N/A N/A</v>
        <stp/>
        <stp>BQL|750273321964276362</stp>
        <tr r="S347" s="2"/>
      </tp>
      <tp t="s">
        <v>#N/A N/A</v>
        <stp/>
        <stp>BQL|267073413662666451</stp>
        <tr r="T118" s="2"/>
      </tp>
      <tp t="s">
        <v>#N/A N/A</v>
        <stp/>
        <stp>BQL|177931881564555203</stp>
        <tr r="G172" s="2"/>
      </tp>
      <tp t="s">
        <v>#N/A N/A</v>
        <stp/>
        <stp>BQL|696563946940916692</stp>
        <tr r="W13" s="2"/>
        <tr r="W84" s="2"/>
      </tp>
      <tp t="s">
        <v>#N/A N/A</v>
        <stp/>
        <stp>BQL|921695138825857771</stp>
        <tr r="H106" s="2"/>
      </tp>
      <tp t="s">
        <v>#N/A N/A</v>
        <stp/>
        <stp>BQL|451297151973448388</stp>
        <tr r="N103" s="2"/>
      </tp>
      <tp t="s">
        <v>#N/A N/A</v>
        <stp/>
        <stp>BQL|593370836741757639</stp>
        <tr r="U195" s="2"/>
      </tp>
      <tp t="s">
        <v>#N/A N/A</v>
        <stp/>
        <stp>BQL|120188131945816014</stp>
        <tr r="M330" s="2"/>
      </tp>
      <tp t="s">
        <v>#N/A N/A</v>
        <stp/>
        <stp>BQL|406876395772010474</stp>
        <tr r="N68" s="2"/>
      </tp>
      <tp t="s">
        <v>#N/A N/A</v>
        <stp/>
        <stp>BQL|270300507150143473</stp>
        <tr r="O106" s="2"/>
      </tp>
      <tp t="s">
        <v>#N/A N/A</v>
        <stp/>
        <stp>BQL|819539714031262301</stp>
        <tr r="O353" s="2"/>
      </tp>
      <tp t="s">
        <v>#N/A N/A</v>
        <stp/>
        <stp>BQL|676000548816679452</stp>
        <tr r="P120" s="2"/>
      </tp>
      <tp t="s">
        <v>#N/A N/A</v>
        <stp/>
        <stp>BQL|249955508697932889</stp>
        <tr r="P297" s="2"/>
      </tp>
      <tp t="s">
        <v>#N/A N/A</v>
        <stp/>
        <stp>BQL|109425852311982665</stp>
        <tr r="W206" s="2"/>
      </tp>
      <tp t="s">
        <v>#N/A N/A</v>
        <stp/>
        <stp>BQL|372964302598933718</stp>
        <tr r="J243" s="2"/>
      </tp>
      <tp t="s">
        <v>#N/A N/A</v>
        <stp/>
        <stp>BQL|688838682657997113</stp>
        <tr r="I302" s="2"/>
      </tp>
      <tp t="s">
        <v>#N/A N/A</v>
        <stp/>
        <stp>BQL|886238553936175764</stp>
        <tr r="G187" s="2"/>
        <tr r="G37" s="2"/>
      </tp>
      <tp t="s">
        <v>#N/A N/A</v>
        <stp/>
        <stp>BQL|296935149169539255</stp>
        <tr r="R300" s="2"/>
      </tp>
      <tp t="s">
        <v>#N/A N/A</v>
        <stp/>
        <stp>BQL|895496472281275482</stp>
        <tr r="G286" s="2"/>
      </tp>
      <tp t="s">
        <v>#N/A N/A</v>
        <stp/>
        <stp>BQL|387638180829607127</stp>
        <tr r="I326" s="2"/>
        <tr r="I41" s="2"/>
      </tp>
      <tp t="s">
        <v>#N/A N/A</v>
        <stp/>
        <stp>BQL|433908711418853693</stp>
        <tr r="U313" s="2"/>
      </tp>
      <tp t="s">
        <v>#N/A N/A</v>
        <stp/>
        <stp>BQL|957245244386520681</stp>
        <tr r="E260" s="2"/>
      </tp>
      <tp t="s">
        <v>#N/A N/A</v>
        <stp/>
        <stp>BQL|575176511181254747</stp>
        <tr r="J194" s="2"/>
      </tp>
      <tp t="s">
        <v>#N/A N/A</v>
        <stp/>
        <stp>BQL|460709946046175368</stp>
        <tr r="R141" s="2"/>
      </tp>
      <tp t="s">
        <v>#N/A N/A</v>
        <stp/>
        <stp>BQL|926181007636819185</stp>
        <tr r="X13" s="2"/>
        <tr r="X84" s="2"/>
      </tp>
      <tp t="s">
        <v>#N/A N/A</v>
        <stp/>
        <stp>BQL|711333690355031931</stp>
        <tr r="R116" s="2"/>
        <tr r="R30" s="2"/>
      </tp>
      <tp t="s">
        <v>#N/A N/A</v>
        <stp/>
        <stp>BQL|519584708911231266</stp>
        <tr r="T192" s="2"/>
      </tp>
      <tp t="s">
        <v>#N/A N/A</v>
        <stp/>
        <stp>BQL|628368694918544420</stp>
        <tr r="W292" s="2"/>
      </tp>
      <tp t="s">
        <v>#N/A N/A</v>
        <stp/>
        <stp>BQL|792095254790485403</stp>
        <tr r="M19" s="2"/>
        <tr r="M94" s="2"/>
      </tp>
      <tp t="s">
        <v>#N/A N/A</v>
        <stp/>
        <stp>BQL|595203365067702283</stp>
        <tr r="F359" s="2"/>
      </tp>
      <tp t="s">
        <v>#N/A N/A</v>
        <stp/>
        <stp>BQL|726915067316998802</stp>
        <tr r="M174" s="2"/>
      </tp>
      <tp t="s">
        <v>#N/A N/A</v>
        <stp/>
        <stp>BQL|847075521540793300</stp>
        <tr r="I355" s="2"/>
      </tp>
      <tp t="s">
        <v>#N/A N/A</v>
        <stp/>
        <stp>BQL|859677312376537012</stp>
        <tr r="P54" s="2"/>
      </tp>
      <tp t="s">
        <v>#N/A N/A</v>
        <stp/>
        <stp>BQL|270856488265612438</stp>
        <tr r="G278" s="2"/>
      </tp>
      <tp t="s">
        <v>#N/A N/A</v>
        <stp/>
        <stp>BQL|591032254186125285</stp>
        <tr r="H114" s="2"/>
      </tp>
      <tp t="s">
        <v>#N/A N/A</v>
        <stp/>
        <stp>BQL|149340965672628637</stp>
        <tr r="E53" s="2"/>
      </tp>
      <tp t="s">
        <v>#N/A N/A</v>
        <stp/>
        <stp>BQL|787459546940294135</stp>
        <tr r="K119" s="2"/>
      </tp>
      <tp t="s">
        <v>#N/A N/A</v>
        <stp/>
        <stp>BQL|292223369893785685</stp>
        <tr r="E193" s="2"/>
      </tp>
      <tp t="s">
        <v>#N/A N/A</v>
        <stp/>
        <stp>BQL|373898887312936320</stp>
        <tr r="G266" s="2"/>
      </tp>
      <tp t="s">
        <v>#N/A N/A</v>
        <stp/>
        <stp>BQL|365715376867739646</stp>
        <tr r="J53" s="2"/>
      </tp>
      <tp t="s">
        <v>#N/A N/A</v>
        <stp/>
        <stp>BQL|955735858602245173</stp>
        <tr r="V237" s="2"/>
      </tp>
      <tp t="s">
        <v>#N/A N/A</v>
        <stp/>
        <stp>BQL|227665146891661254</stp>
        <tr r="F183" s="2"/>
      </tp>
      <tp t="s">
        <v>#N/A N/A</v>
        <stp/>
        <stp>BQL|272031829961039340</stp>
        <tr r="I256" s="2"/>
        <tr r="I279" s="2"/>
      </tp>
      <tp t="s">
        <v>#N/A N/A</v>
        <stp/>
        <stp>BQL|896558645266380763</stp>
        <tr r="I354" s="2"/>
      </tp>
      <tp t="s">
        <v>#N/A N/A</v>
        <stp/>
        <stp>BQL|312791263232173369</stp>
        <tr r="P348" s="2"/>
      </tp>
      <tp t="s">
        <v>#N/A N/A</v>
        <stp/>
        <stp>BQL|921037645594085012</stp>
        <tr r="R319" s="2"/>
      </tp>
      <tp t="s">
        <v>#N/A N/A</v>
        <stp/>
        <stp>BQL|828141750612559675</stp>
        <tr r="R135" s="2"/>
      </tp>
      <tp t="s">
        <v>#N/A N/A</v>
        <stp/>
        <stp>BQL|511176180821225893</stp>
        <tr r="T284" s="2"/>
      </tp>
      <tp t="s">
        <v>#N/A N/A</v>
        <stp/>
        <stp>BQL|185289827764293464</stp>
        <tr r="Q132" s="2"/>
      </tp>
      <tp t="s">
        <v>#N/A N/A</v>
        <stp/>
        <stp>BQL|140715547512558188</stp>
        <tr r="U331" s="2"/>
      </tp>
      <tp t="s">
        <v>#N/A N/A</v>
        <stp/>
        <stp>BQL|817590713465967102</stp>
        <tr r="H196" s="2"/>
      </tp>
      <tp t="s">
        <v>#N/A N/A</v>
        <stp/>
        <stp>BQL|629417169821370390</stp>
        <tr r="I324" s="2"/>
        <tr r="I40" s="2"/>
      </tp>
      <tp t="s">
        <v>#N/A N/A</v>
        <stp/>
        <stp>BQL|343628737513387612</stp>
        <tr r="U73" s="2"/>
      </tp>
      <tp t="s">
        <v>#N/A N/A</v>
        <stp/>
        <stp>BQL|175238810980548331</stp>
        <tr r="V169" s="2"/>
        <tr r="V219" s="2"/>
      </tp>
      <tp t="s">
        <v>#N/A N/A</v>
        <stp/>
        <stp>BQL|309274142463750563</stp>
        <tr r="H19" s="2"/>
        <tr r="H94" s="2"/>
      </tp>
      <tp t="s">
        <v>#N/A N/A</v>
        <stp/>
        <stp>BQL|426940767549138668</stp>
        <tr r="O130" s="2"/>
      </tp>
      <tp t="s">
        <v>#N/A N/A</v>
        <stp/>
        <stp>BQL|328431526583315548</stp>
        <tr r="O355" s="2"/>
      </tp>
      <tp t="s">
        <v>#N/A N/A</v>
        <stp/>
        <stp>BQL|500959403531306836</stp>
        <tr r="Q235" s="2"/>
      </tp>
      <tp t="s">
        <v>#N/A N/A</v>
        <stp/>
        <stp>BQL|741993712612296926</stp>
        <tr r="W53" s="2"/>
      </tp>
      <tp t="s">
        <v>#N/A N/A</v>
        <stp/>
        <stp>BQL|418663715377871323</stp>
        <tr r="U113" s="2"/>
      </tp>
      <tp t="s">
        <v>#N/A N/A</v>
        <stp/>
        <stp>BQL|807371550862135711</stp>
        <tr r="N291" s="2"/>
      </tp>
      <tp t="s">
        <v>#N/A N/A</v>
        <stp/>
        <stp>BQL|906742117801701441</stp>
        <tr r="X144" s="2"/>
      </tp>
      <tp t="s">
        <v>#N/A N/A</v>
        <stp/>
        <stp>BQL|509099890688346240</stp>
        <tr r="O246" s="2"/>
      </tp>
      <tp t="s">
        <v>#N/A N/A</v>
        <stp/>
        <stp>BQL|723936896070169384</stp>
        <tr r="E77" s="2"/>
      </tp>
      <tp t="s">
        <v>#N/A N/A</v>
        <stp/>
        <stp>BQL|598964163219700535</stp>
        <tr r="I178" s="2"/>
      </tp>
      <tp t="s">
        <v>#N/A N/A</v>
        <stp/>
        <stp>BQL|337046071717411378</stp>
        <tr r="I57" s="2"/>
      </tp>
      <tp t="s">
        <v>#N/A N/A</v>
        <stp/>
        <stp>BQL|609915933221106802</stp>
        <tr r="R301" s="2"/>
      </tp>
      <tp t="s">
        <v>#N/A N/A</v>
        <stp/>
        <stp>BQL|586044991408172278</stp>
        <tr r="S224" s="2"/>
      </tp>
      <tp t="s">
        <v>#N/A N/A</v>
        <stp/>
        <stp>BQL|803544593907802865</stp>
        <tr r="W253" s="2"/>
      </tp>
      <tp t="s">
        <v>#N/A N/A</v>
        <stp/>
        <stp>BQL|630997608552231867</stp>
        <tr r="O196" s="2"/>
      </tp>
      <tp t="s">
        <v>#N/A N/A</v>
        <stp/>
        <stp>BQL|959360814105838403</stp>
        <tr r="V224" s="2"/>
      </tp>
      <tp t="s">
        <v>#N/A N/A</v>
        <stp/>
        <stp>BQL|710600604820808450</stp>
        <tr r="O243" s="2"/>
      </tp>
      <tp t="s">
        <v>#N/A N/A</v>
        <stp/>
        <stp>BQL|781606042572385281</stp>
        <tr r="L68" s="2"/>
      </tp>
      <tp t="s">
        <v>#N/A N/A</v>
        <stp/>
        <stp>BQL|246023754985988240</stp>
        <tr r="O144" s="2"/>
      </tp>
      <tp t="s">
        <v>#N/A N/A</v>
        <stp/>
        <stp>BQL|365293517952031378</stp>
        <tr r="M245" s="2"/>
      </tp>
      <tp t="s">
        <v>#N/A N/A</v>
        <stp/>
        <stp>BQL|624480232471452434</stp>
        <tr r="R152" s="2"/>
        <tr r="R62" s="2"/>
      </tp>
      <tp t="s">
        <v>#N/A N/A</v>
        <stp/>
        <stp>BQL|988995972898661400</stp>
        <tr r="S289" s="2"/>
      </tp>
      <tp t="s">
        <v>#N/A N/A</v>
        <stp/>
        <stp>BQL|413611220291999792</stp>
        <tr r="P330" s="2"/>
      </tp>
      <tp t="s">
        <v>#N/A N/A</v>
        <stp/>
        <stp>BQL|186122514905214738</stp>
        <tr r="P354" s="2"/>
      </tp>
      <tp t="s">
        <v>#N/A N/A</v>
        <stp/>
        <stp>BQL|348620301712431627</stp>
        <tr r="R244" s="2"/>
      </tp>
      <tp t="s">
        <v>#N/A N/A</v>
        <stp/>
        <stp>BQL|514967384595146605</stp>
        <tr r="O222" s="2"/>
      </tp>
      <tp t="s">
        <v>#N/A N/A</v>
        <stp/>
        <stp>BQL|304171267483544600</stp>
        <tr r="F153" s="2"/>
        <tr r="F65" s="2"/>
      </tp>
      <tp t="s">
        <v>#N/A N/A</v>
        <stp/>
        <stp>BQL|739718181605113873</stp>
        <tr r="H290" s="2"/>
      </tp>
      <tp t="s">
        <v>#N/A N/A</v>
        <stp/>
        <stp>BQL|528647247417003745</stp>
        <tr r="F228" s="2"/>
      </tp>
      <tp t="s">
        <v>#N/A N/A</v>
        <stp/>
        <stp>BQL|546760611485729161</stp>
        <tr r="J226" s="2"/>
      </tp>
      <tp t="s">
        <v>#N/A N/A</v>
        <stp/>
        <stp>BQL|421188473233562860</stp>
        <tr r="O289" s="2"/>
      </tp>
      <tp t="s">
        <v>#N/A N/A</v>
        <stp/>
        <stp>BQL|752988537470435700</stp>
        <tr r="U348" s="2"/>
      </tp>
      <tp t="s">
        <v>#N/A N/A</v>
        <stp/>
        <stp>BQL|359273188402628563</stp>
        <tr r="L108" s="2"/>
      </tp>
      <tp t="s">
        <v>#N/A N/A</v>
        <stp/>
        <stp>BQL|465309520068803426</stp>
        <tr r="F336" s="2"/>
      </tp>
      <tp t="s">
        <v>#N/A N/A</v>
        <stp/>
        <stp>BQL|458899593035621968</stp>
        <tr r="K244" s="2"/>
      </tp>
      <tp t="s">
        <v>#N/A N/A</v>
        <stp/>
        <stp>BQL|393080877608415279</stp>
        <tr r="V226" s="2"/>
      </tp>
      <tp t="s">
        <v>#N/A N/A</v>
        <stp/>
        <stp>BQL|731766217082925979</stp>
        <tr r="R230" s="2"/>
      </tp>
      <tp t="s">
        <v>#N/A N/A</v>
        <stp/>
        <stp>BQL|775972022816994038</stp>
        <tr r="M276" s="2"/>
      </tp>
      <tp t="s">
        <v>#N/A N/A</v>
        <stp/>
        <stp>BQL|902130385066218241</stp>
        <tr r="X160" s="2"/>
        <tr r="X21" s="2"/>
        <tr r="X92" s="2"/>
      </tp>
      <tp t="s">
        <v>#N/A N/A</v>
        <stp/>
        <stp>BQL|920519113398487151</stp>
        <tr r="N292" s="2"/>
      </tp>
      <tp t="s">
        <v>#N/A N/A</v>
        <stp/>
        <stp>BQL|576444195213822389</stp>
        <tr r="N86" s="2"/>
      </tp>
      <tp t="s">
        <v>#N/A N/A</v>
        <stp/>
        <stp>BQL|181875556318714838</stp>
        <tr r="V184" s="2"/>
        <tr r="V35" s="2"/>
      </tp>
      <tp t="s">
        <v>#N/A N/A</v>
        <stp/>
        <stp>BQL|666339407337126956</stp>
        <tr r="F78" s="2"/>
      </tp>
      <tp t="s">
        <v>#N/A N/A</v>
        <stp/>
        <stp>BQL|794699288257923485</stp>
        <tr r="I277" s="2"/>
      </tp>
      <tp t="s">
        <v>#N/A N/A</v>
        <stp/>
        <stp>BQL|801202242032859955</stp>
        <tr r="T230" s="2"/>
      </tp>
      <tp t="s">
        <v>#N/A N/A</v>
        <stp/>
        <stp>BQL|663633252039562752</stp>
        <tr r="T119" s="2"/>
      </tp>
      <tp t="s">
        <v>#N/A N/A</v>
        <stp/>
        <stp>BQL|584208385716048109</stp>
        <tr r="K239" s="2"/>
      </tp>
      <tp t="s">
        <v>#N/A N/A</v>
        <stp/>
        <stp>BQL|996915882568141484</stp>
        <tr r="Q316" s="2"/>
      </tp>
      <tp t="s">
        <v>#N/A N/A</v>
        <stp/>
        <stp>BQL|889225787786649058</stp>
        <tr r="J223" s="2"/>
      </tp>
      <tp t="s">
        <v>#N/A N/A</v>
        <stp/>
        <stp>BQL|949335683665475221</stp>
        <tr r="G334" s="2"/>
      </tp>
      <tp t="s">
        <v>#N/A N/A</v>
        <stp/>
        <stp>BQL|696258988951043733</stp>
        <tr r="V49" s="2"/>
      </tp>
      <tp t="s">
        <v>#N/A N/A</v>
        <stp/>
        <stp>BQL|628186626177525840</stp>
        <tr r="T199" s="2"/>
      </tp>
      <tp t="s">
        <v>#N/A N/A</v>
        <stp/>
        <stp>BQL|603606244327813931</stp>
        <tr r="V230" s="2"/>
      </tp>
      <tp t="s">
        <v>#N/A N/A</v>
        <stp/>
        <stp>BQL|706294895762654574</stp>
        <tr r="O293" s="2"/>
      </tp>
      <tp t="s">
        <v>#N/A N/A</v>
        <stp/>
        <stp>BQL|877214414296542932</stp>
        <tr r="S304" s="2"/>
      </tp>
      <tp t="s">
        <v>#N/A N/A</v>
        <stp/>
        <stp>BQL|319354127435283874</stp>
        <tr r="R168" s="2"/>
      </tp>
      <tp t="s">
        <v>#N/A N/A</v>
        <stp/>
        <stp>BQL|435019262273105922</stp>
        <tr r="V355" s="2"/>
      </tp>
      <tp t="s">
        <v>#N/A N/A</v>
        <stp/>
        <stp>BQL|571391087056865169</stp>
        <tr r="M73" s="2"/>
      </tp>
      <tp t="s">
        <v>#N/A N/A</v>
        <stp/>
        <stp>BQL|681494289691734116</stp>
        <tr r="P328" s="2"/>
      </tp>
      <tp t="s">
        <v>#N/A N/A</v>
        <stp/>
        <stp>BQL|971817916572875772</stp>
        <tr r="L10" s="2"/>
        <tr r="L60" s="2"/>
      </tp>
      <tp t="s">
        <v>#N/A N/A</v>
        <stp/>
        <stp>BQL|455765744289612628</stp>
        <tr r="O317" s="2"/>
      </tp>
      <tp t="s">
        <v>#N/A N/A</v>
        <stp/>
        <stp>BQL|301890939680230721</stp>
        <tr r="R77" s="2"/>
      </tp>
      <tp t="s">
        <v>#N/A N/A</v>
        <stp/>
        <stp>BQL|202097856693915987</stp>
        <tr r="E334" s="2"/>
      </tp>
      <tp t="s">
        <v>#N/A N/A</v>
        <stp/>
        <stp>BQL|266308087560050499</stp>
        <tr r="K156" s="2"/>
      </tp>
      <tp t="s">
        <v>#N/A N/A</v>
        <stp/>
        <stp>BQL|826226768249734290</stp>
        <tr r="N57" s="2"/>
      </tp>
      <tp t="s">
        <v>#N/A N/A</v>
        <stp/>
        <stp>BQL|770986006440738626</stp>
        <tr r="T261" s="2"/>
      </tp>
      <tp t="s">
        <v>#N/A N/A</v>
        <stp/>
        <stp>BQL|310109209127411931</stp>
        <tr r="H176" s="2"/>
      </tp>
      <tp t="s">
        <v>#N/A N/A</v>
        <stp/>
        <stp>BQL|346486518559592392</stp>
        <tr r="T128" s="2"/>
        <tr r="T33" s="2"/>
      </tp>
      <tp t="s">
        <v>#N/A N/A</v>
        <stp/>
        <stp>BQL|554310290423820655</stp>
        <tr r="H287" s="2"/>
      </tp>
      <tp t="s">
        <v>#N/A N/A</v>
        <stp/>
        <stp>BQL|905959984166058819</stp>
        <tr r="W297" s="2"/>
      </tp>
      <tp t="s">
        <v>#N/A N/A</v>
        <stp/>
        <stp>BQL|456914884329911717</stp>
        <tr r="H341" s="2"/>
      </tp>
      <tp t="s">
        <v>#N/A N/A</v>
        <stp/>
        <stp>BQL|601925079769617811</stp>
        <tr r="T132" s="2"/>
      </tp>
      <tp t="s">
        <v>#N/A N/A</v>
        <stp/>
        <stp>BQL|189966779635721438</stp>
        <tr r="G158" s="2"/>
        <tr r="G17" s="2"/>
        <tr r="G90" s="2"/>
      </tp>
      <tp t="s">
        <v>#N/A N/A</v>
        <stp/>
        <stp>BQL|984760491915359491</stp>
        <tr r="L25" s="2"/>
        <tr r="L96" s="2"/>
      </tp>
      <tp t="s">
        <v>#N/A N/A</v>
        <stp/>
        <stp>BQL|438457621681751802</stp>
        <tr r="H339" s="2"/>
      </tp>
      <tp t="s">
        <v>#N/A N/A</v>
        <stp/>
        <stp>BQL|540576204302738867</stp>
        <tr r="L78" s="2"/>
      </tp>
      <tp t="s">
        <v>#N/A N/A</v>
        <stp/>
        <stp>BQL|703461804328140288</stp>
        <tr r="G297" s="2"/>
      </tp>
      <tp t="s">
        <v>#N/A N/A</v>
        <stp/>
        <stp>BQL|360410298323228049</stp>
        <tr r="T334" s="2"/>
      </tp>
      <tp t="s">
        <v>#N/A N/A</v>
        <stp/>
        <stp>BQL|691802729565833198</stp>
        <tr r="R323" s="2"/>
      </tp>
      <tp t="s">
        <v>#N/A N/A</v>
        <stp/>
        <stp>BQL|700260074969912246</stp>
        <tr r="Q363" s="2"/>
      </tp>
      <tp t="s">
        <v>#N/A N/A</v>
        <stp/>
        <stp>BQL|964406025691189981</stp>
        <tr r="S255" s="2"/>
      </tp>
      <tp t="s">
        <v>#N/A N/A</v>
        <stp/>
        <stp>BQL|577932455193189143</stp>
        <tr r="V302" s="2"/>
      </tp>
      <tp t="s">
        <v>#N/A N/A</v>
        <stp/>
        <stp>BQL|974180551519116316</stp>
        <tr r="F225" s="2"/>
      </tp>
      <tp t="s">
        <v>#N/A N/A</v>
        <stp/>
        <stp>BQL|922507699900370226</stp>
        <tr r="X262" s="2"/>
      </tp>
      <tp t="s">
        <v>#N/A N/A</v>
        <stp/>
        <stp>BQL|870950508496506111</stp>
        <tr r="R347" s="2"/>
      </tp>
      <tp t="s">
        <v>#N/A N/A</v>
        <stp/>
        <stp>BQL|518735221529071582</stp>
        <tr r="G303" s="2"/>
      </tp>
      <tp t="s">
        <v>#N/A N/A</v>
        <stp/>
        <stp>BQL|989053495594316438</stp>
        <tr r="R181" s="2"/>
      </tp>
      <tp t="s">
        <v>#N/A N/A</v>
        <stp/>
        <stp>BQL|189927214899459894</stp>
        <tr r="J169" s="2"/>
        <tr r="J219" s="2"/>
      </tp>
      <tp t="s">
        <v>#N/A N/A</v>
        <stp/>
        <stp>BQL|992696042979110292</stp>
        <tr r="O260" s="2"/>
      </tp>
      <tp t="s">
        <v>#N/A N/A</v>
        <stp/>
        <stp>BQL|346861589249256047</stp>
        <tr r="O165" s="2"/>
      </tp>
      <tp t="s">
        <v>#N/A N/A</v>
        <stp/>
        <stp>BQL|325793996544752310</stp>
        <tr r="S187" s="2"/>
        <tr r="S37" s="2"/>
      </tp>
      <tp t="s">
        <v>#N/A N/A</v>
        <stp/>
        <stp>BQL|281383330959583041</stp>
        <tr r="E277" s="2"/>
      </tp>
      <tp t="s">
        <v>#N/A N/A</v>
        <stp/>
        <stp>BQL|927789096904119325</stp>
        <tr r="R173" s="2"/>
      </tp>
      <tp t="s">
        <v>#N/A N/A</v>
        <stp/>
        <stp>BQL|139828326097936497</stp>
        <tr r="G175" s="2"/>
      </tp>
      <tp t="s">
        <v>#N/A N/A</v>
        <stp/>
        <stp>BQL|153926763243147503</stp>
        <tr r="N47" s="2"/>
      </tp>
      <tp t="s">
        <v>#N/A N/A</v>
        <stp/>
        <stp>BQL|283702388724188299</stp>
        <tr r="V364" s="2"/>
      </tp>
      <tp t="s">
        <v>#N/A N/A</v>
        <stp/>
        <stp>BQL|793637197205662378</stp>
        <tr r="X316" s="2"/>
      </tp>
      <tp t="s">
        <v>#N/A N/A</v>
        <stp/>
        <stp>BQL|772044754159785535</stp>
        <tr r="N222" s="2"/>
      </tp>
      <tp t="s">
        <v>#N/A N/A</v>
        <stp/>
        <stp>BQL|462993246831611414</stp>
        <tr r="Q55" s="2"/>
      </tp>
      <tp t="s">
        <v>#N/A N/A</v>
        <stp/>
        <stp>BQL|423814171947851016</stp>
        <tr r="H117" s="2"/>
      </tp>
      <tp t="s">
        <v>#N/A N/A</v>
        <stp/>
        <stp>BQL|530887472931691640</stp>
        <tr r="N315" s="2"/>
      </tp>
      <tp t="s">
        <v>#N/A N/A</v>
        <stp/>
        <stp>BQL|150584561958752310</stp>
        <tr r="L339" s="2"/>
      </tp>
      <tp t="s">
        <v>#N/A N/A</v>
        <stp/>
        <stp>BQL|538880821217415509</stp>
        <tr r="R228" s="2"/>
      </tp>
      <tp t="s">
        <v>#N/A N/A</v>
        <stp/>
        <stp>BQL|794214624518224097</stp>
        <tr r="J13" s="2"/>
        <tr r="J84" s="2"/>
      </tp>
      <tp t="s">
        <v>#N/A N/A</v>
        <stp/>
        <stp>BQL|536115294923954300</stp>
        <tr r="U192" s="2"/>
      </tp>
      <tp t="s">
        <v>#N/A N/A</v>
        <stp/>
        <stp>BQL|797771219199607763</stp>
        <tr r="U127" s="2"/>
      </tp>
      <tp t="s">
        <v>#N/A N/A</v>
        <stp/>
        <stp>BQL|701129683708977969</stp>
        <tr r="K275" s="2"/>
      </tp>
      <tp t="s">
        <v>#N/A N/A</v>
        <stp/>
        <stp>BQL|797324388375143667</stp>
        <tr r="G151" s="2"/>
      </tp>
      <tp t="s">
        <v>#N/A N/A</v>
        <stp/>
        <stp>BQL|703078439672106938</stp>
        <tr r="N102" s="2"/>
      </tp>
      <tp t="s">
        <v>#N/A N/A</v>
        <stp/>
        <stp>BQL|608971312628414830</stp>
        <tr r="R106" s="2"/>
      </tp>
      <tp t="s">
        <v>#N/A N/A</v>
        <stp/>
        <stp>BQL|570800054760304573</stp>
        <tr r="J188" s="2"/>
        <tr r="J38" s="2"/>
      </tp>
      <tp t="s">
        <v>#N/A N/A</v>
        <stp/>
        <stp>BQL|537013831299270210</stp>
        <tr r="R282" s="2"/>
      </tp>
      <tp t="s">
        <v>#N/A N/A</v>
        <stp/>
        <stp>BQL|354035305921208909</stp>
        <tr r="U271" s="2"/>
      </tp>
      <tp t="s">
        <v>#N/A N/A</v>
        <stp/>
        <stp>BQL|645105191697553726</stp>
        <tr r="M309" s="2"/>
      </tp>
      <tp t="s">
        <v>#N/A N/A</v>
        <stp/>
        <stp>BQL|510797669679478015</stp>
        <tr r="L294" s="2"/>
      </tp>
      <tp t="s">
        <v>#N/A N/A</v>
        <stp/>
        <stp>BQL|995052685426890606</stp>
        <tr r="Q10" s="2"/>
        <tr r="Q60" s="2"/>
      </tp>
      <tp t="s">
        <v>#N/A N/A</v>
        <stp/>
        <stp>BQL|262347059804362937</stp>
        <tr r="L265" s="2"/>
      </tp>
      <tp t="s">
        <v>#N/A N/A</v>
        <stp/>
        <stp>BQL|789641767479890236</stp>
        <tr r="L269" s="2"/>
      </tp>
      <tp t="s">
        <v>#N/A N/A</v>
        <stp/>
        <stp>BQL|826101223370682852</stp>
        <tr r="R171" s="2"/>
      </tp>
      <tp t="s">
        <v>#N/A N/A</v>
        <stp/>
        <stp>BQL|897847005015295632</stp>
        <tr r="L158" s="2"/>
        <tr r="L17" s="2"/>
        <tr r="L90" s="2"/>
      </tp>
      <tp t="s">
        <v>#N/A N/A</v>
        <stp/>
        <stp>BQL|813093199787190520</stp>
        <tr r="F107" s="2"/>
      </tp>
      <tp t="s">
        <v>#N/A N/A</v>
        <stp/>
        <stp>BQL|819841757026400043</stp>
        <tr r="E190" s="2"/>
      </tp>
      <tp t="s">
        <v>#N/A N/A</v>
        <stp/>
        <stp>BQL|579224176366552829</stp>
        <tr r="M196" s="2"/>
      </tp>
      <tp t="s">
        <v>#N/A N/A</v>
        <stp/>
        <stp>BQL|689882541430843706</stp>
        <tr r="R227" s="2"/>
      </tp>
      <tp t="s">
        <v>#N/A N/A</v>
        <stp/>
        <stp>BQL|477972124723522338</stp>
        <tr r="M246" s="2"/>
      </tp>
      <tp t="s">
        <v>#N/A N/A</v>
        <stp/>
        <stp>BQL|960878046903963436</stp>
        <tr r="U101" s="2"/>
        <tr r="U23" s="2"/>
      </tp>
      <tp t="s">
        <v>#N/A N/A</v>
        <stp/>
        <stp>BQL|520851821990035124</stp>
        <tr r="E24" s="2"/>
        <tr r="E95" s="2"/>
      </tp>
      <tp t="s">
        <v>#N/A N/A</v>
        <stp/>
        <stp>BQL|499318827773151908</stp>
        <tr r="N313" s="2"/>
      </tp>
      <tp t="s">
        <v>#N/A N/A</v>
        <stp/>
        <stp>BQL|844931433878399980</stp>
        <tr r="S141" s="2"/>
      </tp>
      <tp t="s">
        <v>#N/A N/A</v>
        <stp/>
        <stp>BQL|950909113447677525</stp>
        <tr r="W10" s="2"/>
        <tr r="W60" s="2"/>
      </tp>
      <tp t="s">
        <v>#N/A N/A</v>
        <stp/>
        <stp>BQL|397942519277186519</stp>
        <tr r="S115" s="2"/>
      </tp>
      <tp t="s">
        <v>#N/A N/A</v>
        <stp/>
        <stp>BQL|469916617972596097</stp>
        <tr r="V131" s="2"/>
      </tp>
      <tp t="s">
        <v>#N/A N/A</v>
        <stp/>
        <stp>BQL|814223896105768453</stp>
        <tr r="R13" s="2"/>
        <tr r="R84" s="2"/>
      </tp>
      <tp t="s">
        <v>#N/A N/A</v>
        <stp/>
        <stp>BQL|826222482594777411</stp>
        <tr r="N264" s="2"/>
      </tp>
      <tp t="s">
        <v>#N/A N/A</v>
        <stp/>
        <stp>BQL|965537792364394248</stp>
        <tr r="V209" s="2"/>
      </tp>
      <tp t="s">
        <v>#N/A N/A</v>
        <stp/>
        <stp>BQL|647558072139051194</stp>
        <tr r="H85" s="2"/>
      </tp>
      <tp t="s">
        <v>#N/A N/A</v>
        <stp/>
        <stp>BQL|293920637433755382</stp>
        <tr r="F106" s="2"/>
      </tp>
      <tp t="s">
        <v>#N/A N/A</v>
        <stp/>
        <stp>BQL|364995073431055510</stp>
        <tr r="U144" s="2"/>
      </tp>
      <tp t="s">
        <v>#N/A N/A</v>
        <stp/>
        <stp>BQL|824987859754930298</stp>
        <tr r="M202" s="2"/>
      </tp>
      <tp t="s">
        <v>#N/A N/A</v>
        <stp/>
        <stp>BQL|201914729111615055</stp>
        <tr r="O285" s="2"/>
      </tp>
      <tp t="s">
        <v>#N/A N/A</v>
        <stp/>
        <stp>BQL|205184824991049844</stp>
        <tr r="O296" s="2"/>
      </tp>
      <tp t="s">
        <v>#N/A N/A</v>
        <stp/>
        <stp>BQL|716038038010066974</stp>
        <tr r="U234" s="2"/>
        <tr r="U311" s="2"/>
      </tp>
      <tp t="s">
        <v>#N/A N/A</v>
        <stp/>
        <stp>BQL|311718555788161004</stp>
        <tr r="W227" s="2"/>
      </tp>
      <tp t="s">
        <v>#N/A N/A</v>
        <stp/>
        <stp>BQL|521239786424089461</stp>
        <tr r="H104" s="2"/>
      </tp>
      <tp t="s">
        <v>#N/A N/A</v>
        <stp/>
        <stp>BQL|321938323875456469</stp>
        <tr r="T231" s="2"/>
      </tp>
      <tp t="s">
        <v>#N/A N/A</v>
        <stp/>
        <stp>BQL|513142692756725451</stp>
        <tr r="G114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FF2BE-B05E-4567-B611-BAE8AFF28212}">
  <dimension ref="A1:X367"/>
  <sheetViews>
    <sheetView tabSelected="1" workbookViewId="0">
      <selection activeCell="H15" sqref="H15"/>
    </sheetView>
  </sheetViews>
  <sheetFormatPr defaultRowHeight="15" x14ac:dyDescent="0.25"/>
  <cols>
    <col min="1" max="1" width="34.28515625" customWidth="1"/>
    <col min="2" max="4" width="0" hidden="1" customWidth="1"/>
    <col min="5" max="24" width="19" customWidth="1"/>
  </cols>
  <sheetData>
    <row r="1" spans="1:24" ht="20.25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4" x14ac:dyDescent="0.25">
      <c r="A3" s="3" t="s">
        <v>2</v>
      </c>
      <c r="B3" s="3"/>
      <c r="C3" s="3"/>
      <c r="D3" s="3"/>
      <c r="E3" s="3" t="s">
        <v>646</v>
      </c>
      <c r="F3" s="3" t="s">
        <v>647</v>
      </c>
      <c r="G3" s="3" t="s">
        <v>648</v>
      </c>
      <c r="H3" s="3" t="s">
        <v>649</v>
      </c>
      <c r="I3" s="3" t="s">
        <v>650</v>
      </c>
      <c r="J3" s="3" t="s">
        <v>651</v>
      </c>
      <c r="K3" s="3" t="s">
        <v>652</v>
      </c>
      <c r="L3" s="3" t="s">
        <v>653</v>
      </c>
      <c r="M3" s="3" t="s">
        <v>654</v>
      </c>
      <c r="N3" s="3" t="s">
        <v>655</v>
      </c>
      <c r="O3" s="3" t="s">
        <v>656</v>
      </c>
      <c r="P3" s="3" t="s">
        <v>657</v>
      </c>
      <c r="Q3" s="3" t="s">
        <v>658</v>
      </c>
      <c r="R3" s="3" t="s">
        <v>659</v>
      </c>
      <c r="S3" s="3" t="s">
        <v>660</v>
      </c>
      <c r="T3" s="3" t="s">
        <v>661</v>
      </c>
      <c r="U3" s="3" t="s">
        <v>662</v>
      </c>
      <c r="V3" s="3" t="s">
        <v>663</v>
      </c>
      <c r="W3" s="3" t="s">
        <v>664</v>
      </c>
      <c r="X3" s="3" t="s">
        <v>665</v>
      </c>
    </row>
    <row r="4" spans="1:24" x14ac:dyDescent="0.25">
      <c r="A4" s="7" t="s">
        <v>3</v>
      </c>
      <c r="B4" s="7" t="s">
        <v>4</v>
      </c>
      <c r="C4" s="7" t="s">
        <v>5</v>
      </c>
      <c r="D4" s="7" t="s">
        <v>6</v>
      </c>
      <c r="E4" s="1">
        <v>45016</v>
      </c>
      <c r="F4" s="1">
        <v>45107</v>
      </c>
      <c r="G4" s="1">
        <v>45199</v>
      </c>
      <c r="H4" s="1">
        <v>45291</v>
      </c>
      <c r="I4" s="1">
        <v>45382</v>
      </c>
      <c r="J4" s="1">
        <v>45473</v>
      </c>
      <c r="K4" s="1">
        <v>45565</v>
      </c>
      <c r="L4" s="1">
        <v>45657</v>
      </c>
      <c r="M4" s="1">
        <v>45747</v>
      </c>
      <c r="N4" s="1">
        <v>45838</v>
      </c>
      <c r="O4" s="1">
        <v>45930</v>
      </c>
      <c r="P4" s="1">
        <v>46022</v>
      </c>
      <c r="Q4" s="1">
        <v>46112</v>
      </c>
      <c r="R4" s="1">
        <v>46203</v>
      </c>
      <c r="S4" s="1">
        <v>46295</v>
      </c>
      <c r="T4" s="1">
        <v>46387</v>
      </c>
      <c r="U4" s="1">
        <v>46477</v>
      </c>
      <c r="V4" s="1">
        <v>46568</v>
      </c>
      <c r="W4" s="1">
        <v>46660</v>
      </c>
      <c r="X4" s="1">
        <v>46752</v>
      </c>
    </row>
    <row r="5" spans="1:24" x14ac:dyDescent="0.25">
      <c r="A5" s="8" t="s">
        <v>7</v>
      </c>
      <c r="B5" s="4"/>
      <c r="C5" s="4"/>
      <c r="D5" s="4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 spans="1:24" x14ac:dyDescent="0.25">
      <c r="A6" s="8" t="s">
        <v>8</v>
      </c>
      <c r="B6" s="4" t="s">
        <v>9</v>
      </c>
      <c r="C6" s="4" t="s">
        <v>10</v>
      </c>
      <c r="D6" s="4"/>
      <c r="E6" s="9">
        <v>0.34473799999999999</v>
      </c>
      <c r="F6" s="9">
        <v>0.63089960759999997</v>
      </c>
      <c r="G6" s="9">
        <v>0.82658079179999999</v>
      </c>
      <c r="H6" s="9">
        <v>1.0087653000000001</v>
      </c>
      <c r="I6" s="9">
        <v>0.98</v>
      </c>
      <c r="J6" s="9">
        <v>1.26</v>
      </c>
      <c r="K6" s="9">
        <v>1.43</v>
      </c>
      <c r="L6" s="9">
        <v>1.86</v>
      </c>
      <c r="M6" s="9">
        <v>1.59</v>
      </c>
      <c r="N6" s="9">
        <v>1.68</v>
      </c>
      <c r="O6" s="9">
        <v>1.95</v>
      </c>
      <c r="P6" s="9">
        <v>1.95</v>
      </c>
      <c r="Q6" s="9">
        <v>2.78</v>
      </c>
      <c r="R6" s="9">
        <v>1.8229268292682923</v>
      </c>
      <c r="S6" s="9">
        <v>1.937073170731707</v>
      </c>
      <c r="T6" s="9">
        <v>2.3992499999999999</v>
      </c>
      <c r="U6" s="9">
        <v>2.2952380952380951</v>
      </c>
      <c r="V6" s="9">
        <v>2.4230000000000005</v>
      </c>
      <c r="W6" s="9">
        <v>2.5642105263157893</v>
      </c>
      <c r="X6" s="9">
        <v>3.088421052631579</v>
      </c>
    </row>
    <row r="7" spans="1:24" x14ac:dyDescent="0.25">
      <c r="A7" s="8" t="s">
        <v>11</v>
      </c>
      <c r="B7" s="4" t="s">
        <v>12</v>
      </c>
      <c r="C7" s="4" t="s">
        <v>13</v>
      </c>
      <c r="D7" s="4"/>
      <c r="E7" s="9">
        <v>127358</v>
      </c>
      <c r="F7" s="9">
        <v>134383</v>
      </c>
      <c r="G7" s="9">
        <v>143083</v>
      </c>
      <c r="H7" s="9">
        <v>169961</v>
      </c>
      <c r="I7" s="9">
        <v>143313</v>
      </c>
      <c r="J7" s="9">
        <v>147977</v>
      </c>
      <c r="K7" s="9">
        <v>158877</v>
      </c>
      <c r="L7" s="9">
        <v>187792</v>
      </c>
      <c r="M7" s="9">
        <v>155667</v>
      </c>
      <c r="N7" s="9">
        <v>167702</v>
      </c>
      <c r="O7" s="9">
        <v>180169</v>
      </c>
      <c r="P7" s="9">
        <v>213386</v>
      </c>
      <c r="Q7" s="9">
        <v>181500</v>
      </c>
      <c r="R7" s="9">
        <v>196959.55102040817</v>
      </c>
      <c r="S7" s="9">
        <v>203945.61224489796</v>
      </c>
      <c r="T7" s="9">
        <v>242950.60416666666</v>
      </c>
      <c r="U7" s="9">
        <v>205994.27586206896</v>
      </c>
      <c r="V7" s="9">
        <v>223074.14814814818</v>
      </c>
      <c r="W7" s="9">
        <v>231770.61538461538</v>
      </c>
      <c r="X7" s="9">
        <v>273828.69230769231</v>
      </c>
    </row>
    <row r="8" spans="1:24" x14ac:dyDescent="0.25">
      <c r="A8" s="8" t="s">
        <v>14</v>
      </c>
      <c r="B8" s="4"/>
      <c r="C8" s="4"/>
      <c r="D8" s="4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 spans="1:24" x14ac:dyDescent="0.25">
      <c r="A9" s="8" t="s">
        <v>15</v>
      </c>
      <c r="B9" s="4"/>
      <c r="C9" s="4"/>
      <c r="D9" s="4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 spans="1:24" x14ac:dyDescent="0.25">
      <c r="A10" s="8" t="s">
        <v>16</v>
      </c>
      <c r="B10" s="4" t="s">
        <v>17</v>
      </c>
      <c r="C10" s="4" t="s">
        <v>18</v>
      </c>
      <c r="D10" s="4"/>
      <c r="E10" s="9">
        <v>59</v>
      </c>
      <c r="F10" s="9">
        <v>60</v>
      </c>
      <c r="G10" s="9">
        <v>60</v>
      </c>
      <c r="H10" s="9">
        <v>61</v>
      </c>
      <c r="I10" s="9">
        <v>61</v>
      </c>
      <c r="J10" s="9">
        <v>61</v>
      </c>
      <c r="K10" s="9">
        <v>60</v>
      </c>
      <c r="L10" s="9">
        <v>62</v>
      </c>
      <c r="M10" s="9">
        <v>61</v>
      </c>
      <c r="N10" s="9">
        <v>62</v>
      </c>
      <c r="O10" s="9">
        <v>62</v>
      </c>
      <c r="P10" s="9">
        <v>61</v>
      </c>
      <c r="Q10" s="9">
        <v>60</v>
      </c>
      <c r="R10" s="9">
        <v>60.198854955888741</v>
      </c>
      <c r="S10" s="9">
        <v>59.878684755763686</v>
      </c>
      <c r="T10" s="9">
        <v>60.031405566366978</v>
      </c>
      <c r="U10" s="9">
        <v>58.850302515565978</v>
      </c>
      <c r="V10" s="9">
        <v>59.153041793349999</v>
      </c>
      <c r="W10" s="9">
        <v>58.969908413118794</v>
      </c>
      <c r="X10" s="9">
        <v>59.24702799910829</v>
      </c>
    </row>
    <row r="11" spans="1:24" x14ac:dyDescent="0.25">
      <c r="A11" s="8" t="s">
        <v>14</v>
      </c>
      <c r="B11" s="4"/>
      <c r="C11" s="4"/>
      <c r="D11" s="4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 spans="1:24" x14ac:dyDescent="0.25">
      <c r="A12" s="8" t="s">
        <v>19</v>
      </c>
      <c r="B12" s="4"/>
      <c r="C12" s="4"/>
      <c r="D12" s="4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 spans="1:24" x14ac:dyDescent="0.25">
      <c r="A13" s="8" t="s">
        <v>20</v>
      </c>
      <c r="B13" s="4" t="s">
        <v>21</v>
      </c>
      <c r="C13" s="4" t="s">
        <v>22</v>
      </c>
      <c r="D13" s="4" t="s">
        <v>23</v>
      </c>
      <c r="E13" s="9">
        <v>51096</v>
      </c>
      <c r="F13" s="9">
        <v>52966</v>
      </c>
      <c r="G13" s="9">
        <v>57267</v>
      </c>
      <c r="H13" s="9">
        <v>70543</v>
      </c>
      <c r="I13" s="9">
        <v>54670</v>
      </c>
      <c r="J13" s="9">
        <v>55392</v>
      </c>
      <c r="K13" s="9">
        <v>61411</v>
      </c>
      <c r="L13" s="9">
        <v>75556</v>
      </c>
      <c r="M13" s="9">
        <v>57407</v>
      </c>
      <c r="N13" s="9">
        <v>61485</v>
      </c>
      <c r="O13" s="9">
        <v>67407</v>
      </c>
      <c r="P13" s="9">
        <v>82988</v>
      </c>
      <c r="Q13" s="9">
        <v>64254</v>
      </c>
      <c r="R13" s="9">
        <v>69800.032735679502</v>
      </c>
      <c r="S13" s="9">
        <v>71486.748608054651</v>
      </c>
      <c r="T13" s="9">
        <v>89475.616526094091</v>
      </c>
      <c r="U13" s="9">
        <v>68684.158159880753</v>
      </c>
      <c r="V13" s="9">
        <v>75174.411414149668</v>
      </c>
      <c r="W13" s="9">
        <v>77216.644332014184</v>
      </c>
      <c r="X13" s="9">
        <v>96808.238529638606</v>
      </c>
    </row>
    <row r="14" spans="1:24" x14ac:dyDescent="0.25">
      <c r="A14" s="8" t="s">
        <v>24</v>
      </c>
      <c r="B14" s="4" t="s">
        <v>21</v>
      </c>
      <c r="C14" s="4" t="s">
        <v>22</v>
      </c>
      <c r="D14" s="4" t="s">
        <v>25</v>
      </c>
      <c r="E14" s="9">
        <v>4895</v>
      </c>
      <c r="F14" s="9">
        <v>5024</v>
      </c>
      <c r="G14" s="9">
        <v>4959</v>
      </c>
      <c r="H14" s="9">
        <v>5152</v>
      </c>
      <c r="I14" s="9">
        <v>5202</v>
      </c>
      <c r="J14" s="9">
        <v>5206</v>
      </c>
      <c r="K14" s="9">
        <v>5228</v>
      </c>
      <c r="L14" s="9">
        <v>5579</v>
      </c>
      <c r="M14" s="9">
        <v>5533</v>
      </c>
      <c r="N14" s="9">
        <v>5595</v>
      </c>
      <c r="O14" s="9">
        <v>5578</v>
      </c>
      <c r="P14" s="9">
        <v>5855</v>
      </c>
      <c r="Q14" s="9">
        <v>5785</v>
      </c>
      <c r="R14" s="9">
        <v>5868.4102571716912</v>
      </c>
      <c r="S14" s="9">
        <v>5850.4267001026565</v>
      </c>
      <c r="T14" s="9">
        <v>6177.2641341691215</v>
      </c>
      <c r="U14" s="9">
        <v>6058.5696149177793</v>
      </c>
      <c r="V14" s="9">
        <v>6135.6032417578008</v>
      </c>
      <c r="W14" s="9">
        <v>6102.7681808945335</v>
      </c>
      <c r="X14" s="9">
        <v>6421.06062305048</v>
      </c>
    </row>
    <row r="15" spans="1:24" x14ac:dyDescent="0.25">
      <c r="A15" s="8" t="s">
        <v>26</v>
      </c>
      <c r="B15" s="4" t="s">
        <v>27</v>
      </c>
      <c r="C15" s="4" t="s">
        <v>28</v>
      </c>
      <c r="D15" s="4" t="s">
        <v>25</v>
      </c>
      <c r="E15" s="9">
        <v>7</v>
      </c>
      <c r="F15" s="9">
        <v>7</v>
      </c>
      <c r="G15" s="9">
        <v>6</v>
      </c>
      <c r="H15" s="9">
        <v>4</v>
      </c>
      <c r="I15" s="9">
        <v>6</v>
      </c>
      <c r="J15" s="9">
        <v>4</v>
      </c>
      <c r="K15" s="9">
        <v>5</v>
      </c>
      <c r="L15" s="9">
        <v>8</v>
      </c>
      <c r="M15" s="9">
        <v>7</v>
      </c>
      <c r="N15" s="9">
        <v>7</v>
      </c>
      <c r="O15" s="9">
        <v>7</v>
      </c>
      <c r="P15" s="9">
        <v>5</v>
      </c>
      <c r="Q15" s="9">
        <v>4</v>
      </c>
      <c r="R15" s="9">
        <v>4.9068760236374409</v>
      </c>
      <c r="S15" s="9">
        <v>4.7983164086846992</v>
      </c>
      <c r="T15" s="9">
        <v>5.0348561966583869</v>
      </c>
      <c r="U15" s="9">
        <v>4.8039607698256797</v>
      </c>
      <c r="V15" s="9">
        <v>4.7206595399167917</v>
      </c>
      <c r="W15" s="9">
        <v>4.7008608808431482</v>
      </c>
      <c r="X15" s="9">
        <v>4.6217239085945208</v>
      </c>
    </row>
    <row r="16" spans="1:24" x14ac:dyDescent="0.25">
      <c r="A16" s="8" t="s">
        <v>29</v>
      </c>
      <c r="B16" s="4" t="s">
        <v>21</v>
      </c>
      <c r="C16" s="4" t="s">
        <v>22</v>
      </c>
      <c r="D16" s="4" t="s">
        <v>30</v>
      </c>
      <c r="E16" s="9">
        <v>29820</v>
      </c>
      <c r="F16" s="9">
        <v>32332</v>
      </c>
      <c r="G16" s="9">
        <v>34342</v>
      </c>
      <c r="H16" s="9">
        <v>43559</v>
      </c>
      <c r="I16" s="9">
        <v>34596</v>
      </c>
      <c r="J16" s="9">
        <v>36201</v>
      </c>
      <c r="K16" s="9">
        <v>37864</v>
      </c>
      <c r="L16" s="9">
        <v>47485</v>
      </c>
      <c r="M16" s="9">
        <v>36512</v>
      </c>
      <c r="N16" s="9">
        <v>40348</v>
      </c>
      <c r="O16" s="9">
        <v>42486</v>
      </c>
      <c r="P16" s="9">
        <v>52816</v>
      </c>
      <c r="Q16" s="9">
        <v>41578</v>
      </c>
      <c r="R16" s="9">
        <v>46146.691824422982</v>
      </c>
      <c r="S16" s="9">
        <v>46445.881168592125</v>
      </c>
      <c r="T16" s="9">
        <v>58680.709700617379</v>
      </c>
      <c r="U16" s="9">
        <v>45599.59076718369</v>
      </c>
      <c r="V16" s="9">
        <v>50714.319328371203</v>
      </c>
      <c r="W16" s="9">
        <v>51083.503591323766</v>
      </c>
      <c r="X16" s="9">
        <v>64126.357196990954</v>
      </c>
    </row>
    <row r="17" spans="1:24" x14ac:dyDescent="0.25">
      <c r="A17" s="8" t="s">
        <v>26</v>
      </c>
      <c r="B17" s="4" t="s">
        <v>27</v>
      </c>
      <c r="C17" s="4" t="s">
        <v>28</v>
      </c>
      <c r="D17" s="4" t="s">
        <v>30</v>
      </c>
      <c r="E17" s="9">
        <v>20</v>
      </c>
      <c r="F17" s="9">
        <v>18</v>
      </c>
      <c r="G17" s="9">
        <v>18</v>
      </c>
      <c r="H17" s="9">
        <v>19</v>
      </c>
      <c r="I17" s="9">
        <v>16</v>
      </c>
      <c r="J17" s="9">
        <v>13</v>
      </c>
      <c r="K17" s="9">
        <v>10</v>
      </c>
      <c r="L17" s="9">
        <v>9</v>
      </c>
      <c r="M17" s="9">
        <v>7</v>
      </c>
      <c r="N17" s="9">
        <v>10</v>
      </c>
      <c r="O17" s="9">
        <v>11</v>
      </c>
      <c r="P17" s="9">
        <v>10</v>
      </c>
      <c r="Q17" s="9">
        <v>12</v>
      </c>
      <c r="R17" s="9">
        <v>14.534351531616164</v>
      </c>
      <c r="S17" s="9">
        <v>9.1661342623981739</v>
      </c>
      <c r="T17" s="9">
        <v>10.835026924594503</v>
      </c>
      <c r="U17" s="9">
        <v>9.2094196794135748</v>
      </c>
      <c r="V17" s="9">
        <v>9.3117615221414418</v>
      </c>
      <c r="W17" s="9">
        <v>10.185578044303448</v>
      </c>
      <c r="X17" s="9">
        <v>9.39048306966715</v>
      </c>
    </row>
    <row r="18" spans="1:24" x14ac:dyDescent="0.25">
      <c r="A18" s="8" t="s">
        <v>31</v>
      </c>
      <c r="B18" s="4" t="s">
        <v>21</v>
      </c>
      <c r="C18" s="4" t="s">
        <v>22</v>
      </c>
      <c r="D18" s="4" t="s">
        <v>32</v>
      </c>
      <c r="E18" s="9">
        <v>9509</v>
      </c>
      <c r="F18" s="9">
        <v>10683</v>
      </c>
      <c r="G18" s="9">
        <v>12060</v>
      </c>
      <c r="H18" s="9">
        <v>14654</v>
      </c>
      <c r="I18" s="9">
        <v>11824</v>
      </c>
      <c r="J18" s="9">
        <v>12771</v>
      </c>
      <c r="K18" s="9">
        <v>14331</v>
      </c>
      <c r="L18" s="9">
        <v>17288</v>
      </c>
      <c r="M18" s="9">
        <v>13921</v>
      </c>
      <c r="N18" s="9">
        <v>15694</v>
      </c>
      <c r="O18" s="9">
        <v>17703</v>
      </c>
      <c r="P18" s="9">
        <v>21317</v>
      </c>
      <c r="Q18" s="9">
        <v>17243</v>
      </c>
      <c r="R18" s="9">
        <v>19307.123771901573</v>
      </c>
      <c r="S18" s="9">
        <v>21019.420185029234</v>
      </c>
      <c r="T18" s="9">
        <v>25422.304122361707</v>
      </c>
      <c r="U18" s="9">
        <v>20284.404659251231</v>
      </c>
      <c r="V18" s="9">
        <v>22743.483229831309</v>
      </c>
      <c r="W18" s="9">
        <v>24716.739238479895</v>
      </c>
      <c r="X18" s="9">
        <v>29885.374216240853</v>
      </c>
    </row>
    <row r="19" spans="1:24" x14ac:dyDescent="0.25">
      <c r="A19" s="8" t="s">
        <v>26</v>
      </c>
      <c r="B19" s="4" t="s">
        <v>27</v>
      </c>
      <c r="C19" s="4" t="s">
        <v>28</v>
      </c>
      <c r="D19" s="4" t="s">
        <v>32</v>
      </c>
      <c r="E19" s="9">
        <v>23</v>
      </c>
      <c r="F19" s="9">
        <v>22</v>
      </c>
      <c r="G19" s="9">
        <v>25</v>
      </c>
      <c r="H19" s="9">
        <v>26</v>
      </c>
      <c r="I19" s="9">
        <v>24</v>
      </c>
      <c r="J19" s="9">
        <v>20</v>
      </c>
      <c r="K19" s="9">
        <v>19</v>
      </c>
      <c r="L19" s="9">
        <v>18</v>
      </c>
      <c r="M19" s="9">
        <v>19</v>
      </c>
      <c r="N19" s="9">
        <v>22</v>
      </c>
      <c r="O19" s="9">
        <v>22</v>
      </c>
      <c r="P19" s="9">
        <v>22</v>
      </c>
      <c r="Q19" s="9">
        <v>22</v>
      </c>
      <c r="R19" s="9">
        <v>22.821332208696248</v>
      </c>
      <c r="S19" s="9">
        <v>18.665431883308777</v>
      </c>
      <c r="T19" s="9">
        <v>19.10659509930468</v>
      </c>
      <c r="U19" s="9">
        <v>18.225012100597471</v>
      </c>
      <c r="V19" s="9">
        <v>18.512300734720036</v>
      </c>
      <c r="W19" s="9">
        <v>18.157758525324976</v>
      </c>
      <c r="X19" s="9">
        <v>17.997103712891334</v>
      </c>
    </row>
    <row r="20" spans="1:24" x14ac:dyDescent="0.25">
      <c r="A20" s="8" t="s">
        <v>33</v>
      </c>
      <c r="B20" s="4" t="s">
        <v>21</v>
      </c>
      <c r="C20" s="4" t="s">
        <v>22</v>
      </c>
      <c r="D20" s="4" t="s">
        <v>34</v>
      </c>
      <c r="E20" s="9">
        <v>9657</v>
      </c>
      <c r="F20" s="9">
        <v>9894</v>
      </c>
      <c r="G20" s="9">
        <v>10170</v>
      </c>
      <c r="H20" s="9">
        <v>10488</v>
      </c>
      <c r="I20" s="9">
        <v>10722</v>
      </c>
      <c r="J20" s="9">
        <v>10866</v>
      </c>
      <c r="K20" s="9">
        <v>11278</v>
      </c>
      <c r="L20" s="9">
        <v>11508</v>
      </c>
      <c r="M20" s="9">
        <v>11715</v>
      </c>
      <c r="N20" s="9">
        <v>12208</v>
      </c>
      <c r="O20" s="9">
        <v>12574</v>
      </c>
      <c r="P20" s="9">
        <v>13122</v>
      </c>
      <c r="Q20" s="9">
        <v>13427</v>
      </c>
      <c r="R20" s="9">
        <v>13752.070904319286</v>
      </c>
      <c r="S20" s="9">
        <v>13954.415962306066</v>
      </c>
      <c r="T20" s="9">
        <v>14517.541199602523</v>
      </c>
      <c r="U20" s="9">
        <v>14619.232602605864</v>
      </c>
      <c r="V20" s="9">
        <v>15001.004410048043</v>
      </c>
      <c r="W20" s="9">
        <v>15230.399489888507</v>
      </c>
      <c r="X20" s="9">
        <v>15892.849903901628</v>
      </c>
    </row>
    <row r="21" spans="1:24" x14ac:dyDescent="0.25">
      <c r="A21" s="8" t="s">
        <v>26</v>
      </c>
      <c r="B21" s="4" t="s">
        <v>27</v>
      </c>
      <c r="C21" s="4" t="s">
        <v>28</v>
      </c>
      <c r="D21" s="4" t="s">
        <v>34</v>
      </c>
      <c r="E21" s="9">
        <v>17</v>
      </c>
      <c r="F21" s="9">
        <v>14</v>
      </c>
      <c r="G21" s="9">
        <v>13</v>
      </c>
      <c r="H21" s="9">
        <v>13</v>
      </c>
      <c r="I21" s="9">
        <v>11</v>
      </c>
      <c r="J21" s="9">
        <v>11</v>
      </c>
      <c r="K21" s="9">
        <v>11</v>
      </c>
      <c r="L21" s="9">
        <v>10</v>
      </c>
      <c r="M21" s="9">
        <v>11</v>
      </c>
      <c r="N21" s="9">
        <v>11</v>
      </c>
      <c r="O21" s="9">
        <v>10</v>
      </c>
      <c r="P21" s="9">
        <v>12</v>
      </c>
      <c r="Q21" s="9">
        <v>12</v>
      </c>
      <c r="R21" s="9">
        <v>12.750506604532324</v>
      </c>
      <c r="S21" s="9">
        <v>10.829072927504946</v>
      </c>
      <c r="T21" s="9">
        <v>10.624328716480999</v>
      </c>
      <c r="U21" s="9">
        <v>9.3049218212756397</v>
      </c>
      <c r="V21" s="9">
        <v>9.418693205261329</v>
      </c>
      <c r="W21" s="9">
        <v>10.053397391563676</v>
      </c>
      <c r="X21" s="9">
        <v>10.484215671347485</v>
      </c>
    </row>
    <row r="22" spans="1:24" x14ac:dyDescent="0.25">
      <c r="A22" s="8" t="s">
        <v>35</v>
      </c>
      <c r="B22" s="4" t="s">
        <v>21</v>
      </c>
      <c r="C22" s="4" t="s">
        <v>22</v>
      </c>
      <c r="D22" s="4" t="s">
        <v>36</v>
      </c>
      <c r="E22" s="9">
        <v>21354</v>
      </c>
      <c r="F22" s="9">
        <v>22140</v>
      </c>
      <c r="G22" s="9">
        <v>23059</v>
      </c>
      <c r="H22" s="9">
        <v>24204</v>
      </c>
      <c r="I22" s="9">
        <v>25037</v>
      </c>
      <c r="J22" s="9">
        <v>26281</v>
      </c>
      <c r="K22" s="9">
        <v>27452</v>
      </c>
      <c r="L22" s="9">
        <v>28786</v>
      </c>
      <c r="M22" s="9">
        <v>29267</v>
      </c>
      <c r="N22" s="9">
        <v>30873</v>
      </c>
      <c r="O22" s="9">
        <v>33006</v>
      </c>
      <c r="P22" s="9">
        <v>35579</v>
      </c>
      <c r="Q22" s="9">
        <v>37587</v>
      </c>
      <c r="R22" s="9">
        <v>40538.304457795231</v>
      </c>
      <c r="S22" s="9">
        <v>43323.187466633666</v>
      </c>
      <c r="T22" s="9">
        <v>46810.539523764033</v>
      </c>
      <c r="U22" s="9">
        <v>49323.367392779655</v>
      </c>
      <c r="V22" s="9">
        <v>52806.172794055354</v>
      </c>
      <c r="W22" s="9">
        <v>56190.597404263557</v>
      </c>
      <c r="X22" s="9">
        <v>60458.752063611289</v>
      </c>
    </row>
    <row r="23" spans="1:24" x14ac:dyDescent="0.25">
      <c r="A23" s="8" t="s">
        <v>26</v>
      </c>
      <c r="B23" s="4" t="s">
        <v>27</v>
      </c>
      <c r="C23" s="4" t="s">
        <v>28</v>
      </c>
      <c r="D23" s="4" t="s">
        <v>36</v>
      </c>
      <c r="E23" s="9">
        <v>16</v>
      </c>
      <c r="F23" s="9">
        <v>12</v>
      </c>
      <c r="G23" s="9">
        <v>12</v>
      </c>
      <c r="H23" s="9">
        <v>13</v>
      </c>
      <c r="I23" s="9">
        <v>17</v>
      </c>
      <c r="J23" s="9">
        <v>19</v>
      </c>
      <c r="K23" s="9">
        <v>19</v>
      </c>
      <c r="L23" s="9">
        <v>19</v>
      </c>
      <c r="M23" s="9">
        <v>17</v>
      </c>
      <c r="N23" s="9">
        <v>17</v>
      </c>
      <c r="O23" s="9">
        <v>20</v>
      </c>
      <c r="P23" s="9">
        <v>24</v>
      </c>
      <c r="Q23" s="9">
        <v>28</v>
      </c>
      <c r="R23" s="9">
        <v>31.162100113409817</v>
      </c>
      <c r="S23" s="9">
        <v>31.321232437143586</v>
      </c>
      <c r="T23" s="9">
        <v>31.893409943872175</v>
      </c>
      <c r="U23" s="9">
        <v>32.070861957993223</v>
      </c>
      <c r="V23" s="9">
        <v>31.347215204620348</v>
      </c>
      <c r="W23" s="9">
        <v>29.922222474246457</v>
      </c>
      <c r="X23" s="9">
        <v>28.663413171827774</v>
      </c>
    </row>
    <row r="24" spans="1:24" x14ac:dyDescent="0.25">
      <c r="A24" s="8" t="s">
        <v>37</v>
      </c>
      <c r="B24" s="4" t="s">
        <v>21</v>
      </c>
      <c r="C24" s="4" t="s">
        <v>22</v>
      </c>
      <c r="D24" s="4" t="s">
        <v>38</v>
      </c>
      <c r="E24" s="9">
        <v>1027</v>
      </c>
      <c r="F24" s="9">
        <v>1344</v>
      </c>
      <c r="G24" s="9">
        <v>1226</v>
      </c>
      <c r="H24" s="9">
        <v>1361</v>
      </c>
      <c r="I24" s="9">
        <v>1262</v>
      </c>
      <c r="J24" s="9">
        <v>1260</v>
      </c>
      <c r="K24" s="9">
        <v>1313</v>
      </c>
      <c r="L24" s="9">
        <v>1590</v>
      </c>
      <c r="M24" s="9">
        <v>1312</v>
      </c>
      <c r="N24" s="9">
        <v>1499</v>
      </c>
      <c r="O24" s="9">
        <v>1415</v>
      </c>
      <c r="P24" s="9">
        <v>1709</v>
      </c>
      <c r="Q24" s="9">
        <v>1645</v>
      </c>
      <c r="R24" s="9">
        <v>1658.2492750464987</v>
      </c>
      <c r="S24" s="9">
        <v>1548.2731650541195</v>
      </c>
      <c r="T24" s="9">
        <v>1778.4988942605473</v>
      </c>
      <c r="U24" s="9">
        <v>1963.7226839378152</v>
      </c>
      <c r="V24" s="9">
        <v>2064.047091501317</v>
      </c>
      <c r="W24" s="9">
        <v>1775.4025258056115</v>
      </c>
      <c r="X24" s="9">
        <v>1807.5747807715527</v>
      </c>
    </row>
    <row r="25" spans="1:24" x14ac:dyDescent="0.25">
      <c r="A25" s="8" t="s">
        <v>26</v>
      </c>
      <c r="B25" s="4" t="s">
        <v>27</v>
      </c>
      <c r="C25" s="4" t="s">
        <v>28</v>
      </c>
      <c r="D25" s="4" t="s">
        <v>38</v>
      </c>
      <c r="E25" s="9">
        <v>57</v>
      </c>
      <c r="F25" s="9">
        <v>26</v>
      </c>
      <c r="G25" s="9">
        <v>-3</v>
      </c>
      <c r="H25" s="9">
        <v>8</v>
      </c>
      <c r="I25" s="9">
        <v>23</v>
      </c>
      <c r="J25" s="9">
        <v>-6</v>
      </c>
      <c r="K25" s="9">
        <v>5</v>
      </c>
      <c r="L25" s="9">
        <v>17</v>
      </c>
      <c r="M25" s="9">
        <v>4</v>
      </c>
      <c r="N25" s="9">
        <v>22</v>
      </c>
      <c r="O25" s="9">
        <v>7</v>
      </c>
      <c r="P25" s="9">
        <v>7</v>
      </c>
      <c r="Q25" s="9">
        <v>25</v>
      </c>
      <c r="R25" s="9">
        <v>9.0150311765057367</v>
      </c>
      <c r="S25" s="9">
        <v>9.5346057061993772</v>
      </c>
      <c r="T25" s="9">
        <v>9.3547850158202479</v>
      </c>
      <c r="U25" s="9">
        <v>1.7763614507671419</v>
      </c>
      <c r="V25" s="9">
        <v>1.6894974609988016</v>
      </c>
      <c r="W25" s="9">
        <v>1.5012531463161154</v>
      </c>
      <c r="X25" s="9">
        <v>1.5</v>
      </c>
    </row>
    <row r="26" spans="1:24" x14ac:dyDescent="0.25">
      <c r="A26" s="8" t="s">
        <v>14</v>
      </c>
      <c r="B26" s="4"/>
      <c r="C26" s="4"/>
      <c r="D26" s="4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spans="1:24" x14ac:dyDescent="0.25">
      <c r="A27" s="8" t="s">
        <v>39</v>
      </c>
      <c r="B27" s="4"/>
      <c r="C27" s="4"/>
      <c r="D27" s="4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 spans="1:24" x14ac:dyDescent="0.25">
      <c r="A28" s="8" t="s">
        <v>40</v>
      </c>
      <c r="B28" s="4"/>
      <c r="C28" s="4"/>
      <c r="D28" s="4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spans="1:24" x14ac:dyDescent="0.25">
      <c r="A29" s="8" t="s">
        <v>41</v>
      </c>
      <c r="B29" s="4" t="s">
        <v>21</v>
      </c>
      <c r="C29" s="4" t="s">
        <v>22</v>
      </c>
      <c r="D29" s="4" t="s">
        <v>42</v>
      </c>
      <c r="E29" s="9">
        <v>76881</v>
      </c>
      <c r="F29" s="9">
        <v>82546</v>
      </c>
      <c r="G29" s="9">
        <v>87887</v>
      </c>
      <c r="H29" s="9">
        <v>105514</v>
      </c>
      <c r="I29" s="9">
        <v>86341</v>
      </c>
      <c r="J29" s="9">
        <v>90033</v>
      </c>
      <c r="K29" s="9">
        <v>95537</v>
      </c>
      <c r="L29" s="9">
        <v>115586</v>
      </c>
      <c r="M29" s="9">
        <v>92887</v>
      </c>
      <c r="N29" s="9">
        <v>100068</v>
      </c>
      <c r="O29" s="9">
        <v>106267</v>
      </c>
      <c r="P29" s="9">
        <v>127083</v>
      </c>
      <c r="Q29" s="9">
        <v>104143</v>
      </c>
      <c r="R29" s="9">
        <v>113950.98668674822</v>
      </c>
      <c r="S29" s="9">
        <v>115253.91050814235</v>
      </c>
      <c r="T29" s="9">
        <v>139444.65663236336</v>
      </c>
      <c r="U29" s="9">
        <v>112905.76376737306</v>
      </c>
      <c r="V29" s="9">
        <v>123627.62091223452</v>
      </c>
      <c r="W29" s="9">
        <v>124625.9154825091</v>
      </c>
      <c r="X29" s="9">
        <v>150909.10219681927</v>
      </c>
    </row>
    <row r="30" spans="1:24" x14ac:dyDescent="0.25">
      <c r="A30" s="8" t="s">
        <v>43</v>
      </c>
      <c r="B30" s="4" t="s">
        <v>44</v>
      </c>
      <c r="C30" s="4" t="s">
        <v>45</v>
      </c>
      <c r="D30" s="4" t="s">
        <v>42</v>
      </c>
      <c r="E30" s="9">
        <v>1.2</v>
      </c>
      <c r="F30" s="9">
        <v>3.9</v>
      </c>
      <c r="G30" s="9">
        <v>4.9000000000000004</v>
      </c>
      <c r="H30" s="9">
        <v>6.1</v>
      </c>
      <c r="I30" s="9">
        <v>5.8</v>
      </c>
      <c r="J30" s="9">
        <v>5.6</v>
      </c>
      <c r="K30" s="9">
        <v>5.9</v>
      </c>
      <c r="L30" s="9">
        <v>8</v>
      </c>
      <c r="M30" s="9">
        <v>6.3</v>
      </c>
      <c r="N30" s="9">
        <v>7.5</v>
      </c>
      <c r="O30" s="9">
        <v>4.5</v>
      </c>
      <c r="P30" s="9">
        <v>9</v>
      </c>
      <c r="Q30" s="9">
        <v>7.9</v>
      </c>
      <c r="R30" s="9">
        <v>7.475597612468996</v>
      </c>
      <c r="S30" s="9">
        <v>7.262945366522028</v>
      </c>
      <c r="T30" s="9">
        <v>9.5667349935530268</v>
      </c>
      <c r="U30" s="9">
        <v>9.2650727023153774</v>
      </c>
      <c r="V30" s="9">
        <v>8.3407311692988699</v>
      </c>
      <c r="W30" s="9">
        <v>8.7674824552159567</v>
      </c>
      <c r="X30" s="9">
        <v>10.541317694932518</v>
      </c>
    </row>
    <row r="31" spans="1:24" x14ac:dyDescent="0.25">
      <c r="A31" s="8" t="s">
        <v>46</v>
      </c>
      <c r="B31" s="4"/>
      <c r="C31" s="4"/>
      <c r="D31" s="4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 spans="1:24" x14ac:dyDescent="0.25">
      <c r="A32" s="8" t="s">
        <v>41</v>
      </c>
      <c r="B32" s="4" t="s">
        <v>21</v>
      </c>
      <c r="C32" s="4" t="s">
        <v>22</v>
      </c>
      <c r="D32" s="4" t="s">
        <v>47</v>
      </c>
      <c r="E32" s="9">
        <v>29123</v>
      </c>
      <c r="F32" s="9">
        <v>29697</v>
      </c>
      <c r="G32" s="9">
        <v>32137</v>
      </c>
      <c r="H32" s="9">
        <v>40243</v>
      </c>
      <c r="I32" s="9">
        <v>31935</v>
      </c>
      <c r="J32" s="9">
        <v>31663</v>
      </c>
      <c r="K32" s="9">
        <v>35888</v>
      </c>
      <c r="L32" s="9">
        <v>43420</v>
      </c>
      <c r="M32" s="9">
        <v>33513</v>
      </c>
      <c r="N32" s="9">
        <v>36761</v>
      </c>
      <c r="O32" s="9">
        <v>40896</v>
      </c>
      <c r="P32" s="9">
        <v>50724</v>
      </c>
      <c r="Q32" s="9">
        <v>39789</v>
      </c>
      <c r="R32" s="9">
        <v>42710.995547319937</v>
      </c>
      <c r="S32" s="9">
        <v>45054.984230748363</v>
      </c>
      <c r="T32" s="9">
        <v>56577.022344829267</v>
      </c>
      <c r="U32" s="9">
        <v>43623.208340801626</v>
      </c>
      <c r="V32" s="9">
        <v>47665.731621195198</v>
      </c>
      <c r="W32" s="9">
        <v>50467.527811117776</v>
      </c>
      <c r="X32" s="9">
        <v>62728.123444451441</v>
      </c>
    </row>
    <row r="33" spans="1:24" x14ac:dyDescent="0.25">
      <c r="A33" s="8" t="s">
        <v>43</v>
      </c>
      <c r="B33" s="4" t="s">
        <v>44</v>
      </c>
      <c r="C33" s="4" t="s">
        <v>45</v>
      </c>
      <c r="D33" s="4" t="s">
        <v>47</v>
      </c>
      <c r="E33" s="9">
        <v>-4.3</v>
      </c>
      <c r="F33" s="9">
        <v>-3</v>
      </c>
      <c r="G33" s="9">
        <v>-0.3</v>
      </c>
      <c r="H33" s="9">
        <v>-1</v>
      </c>
      <c r="I33" s="9">
        <v>2.8</v>
      </c>
      <c r="J33" s="9">
        <v>0.9</v>
      </c>
      <c r="K33" s="9">
        <v>3.6</v>
      </c>
      <c r="L33" s="9">
        <v>3</v>
      </c>
      <c r="M33" s="9">
        <v>3</v>
      </c>
      <c r="N33" s="9">
        <v>4.0999999999999996</v>
      </c>
      <c r="O33" s="9">
        <v>2.9</v>
      </c>
      <c r="P33" s="9">
        <v>2.1</v>
      </c>
      <c r="Q33" s="9">
        <v>3.6</v>
      </c>
      <c r="R33" s="9">
        <v>3.7635319977803299</v>
      </c>
      <c r="S33" s="9">
        <v>3.4751728699053896</v>
      </c>
      <c r="T33" s="9">
        <v>3.5240749685956878</v>
      </c>
      <c r="U33" s="9">
        <v>2.9434818416706294</v>
      </c>
      <c r="V33" s="9">
        <v>4.5712412308764048</v>
      </c>
      <c r="W33" s="9">
        <v>3.8833277327167139</v>
      </c>
      <c r="X33" s="9">
        <v>4.1730019799845621</v>
      </c>
    </row>
    <row r="34" spans="1:24" x14ac:dyDescent="0.25">
      <c r="A34" s="8" t="s">
        <v>14</v>
      </c>
      <c r="B34" s="4"/>
      <c r="C34" s="4"/>
      <c r="D34" s="4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 spans="1:24" x14ac:dyDescent="0.25">
      <c r="A35" s="8" t="s">
        <v>48</v>
      </c>
      <c r="B35" s="4" t="s">
        <v>49</v>
      </c>
      <c r="C35" s="4" t="s">
        <v>50</v>
      </c>
      <c r="D35" s="4"/>
      <c r="E35" s="9">
        <v>20905</v>
      </c>
      <c r="F35" s="9">
        <v>21305</v>
      </c>
      <c r="G35" s="9">
        <v>22314</v>
      </c>
      <c r="H35" s="9">
        <v>26095</v>
      </c>
      <c r="I35" s="9">
        <v>22317</v>
      </c>
      <c r="J35" s="9">
        <v>23566</v>
      </c>
      <c r="K35" s="9">
        <v>24660</v>
      </c>
      <c r="L35" s="9">
        <v>27962</v>
      </c>
      <c r="M35" s="9">
        <v>24593</v>
      </c>
      <c r="N35" s="9">
        <v>25976</v>
      </c>
      <c r="O35" s="9">
        <v>27679</v>
      </c>
      <c r="P35" s="9">
        <v>30826</v>
      </c>
      <c r="Q35" s="9">
        <v>27289</v>
      </c>
      <c r="R35" s="9">
        <v>29784.160192845717</v>
      </c>
      <c r="S35" s="9">
        <v>30629.855216361506</v>
      </c>
      <c r="T35" s="9">
        <v>34749.230107010117</v>
      </c>
      <c r="U35" s="9">
        <v>30252.495919869933</v>
      </c>
      <c r="V35" s="9">
        <v>32780.951637483122</v>
      </c>
      <c r="W35" s="9">
        <v>33956.211055049505</v>
      </c>
      <c r="X35" s="9">
        <v>38132.6700168237</v>
      </c>
    </row>
    <row r="36" spans="1:24" x14ac:dyDescent="0.25">
      <c r="A36" s="8" t="s">
        <v>14</v>
      </c>
      <c r="B36" s="4"/>
      <c r="C36" s="4"/>
      <c r="D36" s="4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 spans="1:24" x14ac:dyDescent="0.25">
      <c r="A37" s="8" t="s">
        <v>51</v>
      </c>
      <c r="B37" s="4" t="s">
        <v>52</v>
      </c>
      <c r="C37" s="4" t="s">
        <v>53</v>
      </c>
      <c r="D37" s="4"/>
      <c r="E37" s="9">
        <v>4774</v>
      </c>
      <c r="F37" s="9">
        <v>7681</v>
      </c>
      <c r="G37" s="9">
        <v>11188</v>
      </c>
      <c r="H37" s="9">
        <v>13209</v>
      </c>
      <c r="I37" s="9">
        <v>15307</v>
      </c>
      <c r="J37" s="9">
        <v>14672</v>
      </c>
      <c r="K37" s="9">
        <v>17411</v>
      </c>
      <c r="L37" s="9">
        <v>21203</v>
      </c>
      <c r="M37" s="9">
        <v>18405</v>
      </c>
      <c r="N37" s="9">
        <v>19171</v>
      </c>
      <c r="O37" s="9">
        <v>17422</v>
      </c>
      <c r="P37" s="9">
        <v>24977</v>
      </c>
      <c r="Q37" s="9">
        <v>23852</v>
      </c>
      <c r="R37" s="9">
        <v>23741.952380952382</v>
      </c>
      <c r="S37" s="9">
        <v>24996.166666666668</v>
      </c>
      <c r="T37" s="9">
        <v>31444.195121951219</v>
      </c>
      <c r="U37" s="9">
        <v>29647.08</v>
      </c>
      <c r="V37" s="9">
        <v>30531.291666666668</v>
      </c>
      <c r="W37" s="9">
        <v>32080.17391304348</v>
      </c>
      <c r="X37" s="9">
        <v>39110.478260869568</v>
      </c>
    </row>
    <row r="38" spans="1:24" x14ac:dyDescent="0.25">
      <c r="A38" s="8" t="s">
        <v>54</v>
      </c>
      <c r="B38" s="4" t="s">
        <v>55</v>
      </c>
      <c r="C38" s="4" t="s">
        <v>56</v>
      </c>
      <c r="D38" s="4"/>
      <c r="E38" s="9">
        <v>3.7484885126964933</v>
      </c>
      <c r="F38" s="9">
        <v>5.7157527365812637</v>
      </c>
      <c r="G38" s="9">
        <v>7.8192377850618167</v>
      </c>
      <c r="H38" s="9">
        <v>7.7717829384388191</v>
      </c>
      <c r="I38" s="9">
        <v>10.680817511321374</v>
      </c>
      <c r="J38" s="9">
        <v>9.9150543665569657</v>
      </c>
      <c r="K38" s="9">
        <v>10.95879202150091</v>
      </c>
      <c r="L38" s="9">
        <v>11.290683309193151</v>
      </c>
      <c r="M38" s="9">
        <v>11.823315153500742</v>
      </c>
      <c r="N38" s="9">
        <v>11.431586981669867</v>
      </c>
      <c r="O38" s="9">
        <v>9.6698100117112276</v>
      </c>
      <c r="P38" s="9">
        <v>11.705079058607406</v>
      </c>
      <c r="Q38" s="9">
        <v>13.140222235688825</v>
      </c>
      <c r="R38" s="9">
        <v>11.982010780216619</v>
      </c>
      <c r="S38" s="9">
        <v>12.230274562264817</v>
      </c>
      <c r="T38" s="9">
        <v>12.908729668037935</v>
      </c>
      <c r="U38" s="9">
        <v>14.348491777993564</v>
      </c>
      <c r="V38" s="9">
        <v>13.668730235047221</v>
      </c>
      <c r="W38" s="9">
        <v>13.805615449096297</v>
      </c>
      <c r="X38" s="9">
        <v>14.290120009023678</v>
      </c>
    </row>
    <row r="39" spans="1:24" x14ac:dyDescent="0.25">
      <c r="A39" s="8" t="s">
        <v>14</v>
      </c>
      <c r="B39" s="4"/>
      <c r="C39" s="4"/>
      <c r="D39" s="4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 spans="1:24" x14ac:dyDescent="0.25">
      <c r="A40" s="8" t="s">
        <v>57</v>
      </c>
      <c r="B40" s="4" t="s">
        <v>58</v>
      </c>
      <c r="C40" s="4" t="s">
        <v>59</v>
      </c>
      <c r="D40" s="4"/>
      <c r="E40" s="9">
        <v>-14207</v>
      </c>
      <c r="F40" s="9">
        <v>-11455</v>
      </c>
      <c r="G40" s="9">
        <v>-12479</v>
      </c>
      <c r="H40" s="9">
        <v>-14588</v>
      </c>
      <c r="I40" s="9">
        <v>-14925</v>
      </c>
      <c r="J40" s="9">
        <v>-17620</v>
      </c>
      <c r="K40" s="9">
        <v>-22620</v>
      </c>
      <c r="L40" s="9">
        <v>-27834</v>
      </c>
      <c r="M40" s="9">
        <v>-25019</v>
      </c>
      <c r="N40" s="9">
        <v>-32183</v>
      </c>
      <c r="O40" s="9">
        <v>-35095</v>
      </c>
      <c r="P40" s="9">
        <v>-39522</v>
      </c>
      <c r="Q40" s="9">
        <v>-44203</v>
      </c>
      <c r="R40" s="9">
        <v>-48715</v>
      </c>
      <c r="S40" s="9">
        <v>-52188.761904761901</v>
      </c>
      <c r="T40" s="9">
        <v>-57245.190476190473</v>
      </c>
      <c r="U40" s="9">
        <v>-52902.266666666663</v>
      </c>
      <c r="V40" s="9">
        <v>-58180.928571428572</v>
      </c>
      <c r="W40" s="9">
        <v>-61127.71428571429</v>
      </c>
      <c r="X40" s="9">
        <v>-66789.42857142858</v>
      </c>
    </row>
    <row r="41" spans="1:24" x14ac:dyDescent="0.25">
      <c r="A41" s="8" t="s">
        <v>60</v>
      </c>
      <c r="B41" s="4" t="s">
        <v>61</v>
      </c>
      <c r="C41" s="4" t="s">
        <v>62</v>
      </c>
      <c r="D41" s="4"/>
      <c r="E41" s="9">
        <v>-13070</v>
      </c>
      <c r="F41" s="9">
        <v>-10412</v>
      </c>
      <c r="G41" s="9">
        <v>-11298</v>
      </c>
      <c r="H41" s="9">
        <v>-13353</v>
      </c>
      <c r="I41" s="9">
        <v>-13935</v>
      </c>
      <c r="J41" s="9">
        <v>-16393</v>
      </c>
      <c r="K41" s="9">
        <v>-21278</v>
      </c>
      <c r="L41" s="9">
        <v>-26052</v>
      </c>
      <c r="M41" s="9">
        <v>-24255</v>
      </c>
      <c r="N41" s="9">
        <v>-31368</v>
      </c>
      <c r="O41" s="9">
        <v>-34228</v>
      </c>
      <c r="P41" s="9">
        <v>-38469</v>
      </c>
      <c r="Q41" s="9">
        <v>-43234</v>
      </c>
      <c r="R41" s="9">
        <v>-48139.489591049431</v>
      </c>
      <c r="S41" s="9">
        <v>-51658.909362224098</v>
      </c>
      <c r="T41" s="9">
        <v>-57105.014910444705</v>
      </c>
      <c r="U41" s="9">
        <v>-51620.614002996947</v>
      </c>
      <c r="V41" s="9">
        <v>-58336.590386713491</v>
      </c>
      <c r="W41" s="9">
        <v>-60359.894739931398</v>
      </c>
      <c r="X41" s="9">
        <v>-65518.775144101484</v>
      </c>
    </row>
    <row r="42" spans="1:24" x14ac:dyDescent="0.25">
      <c r="A42" s="8" t="s">
        <v>14</v>
      </c>
      <c r="B42" s="4"/>
      <c r="C42" s="4"/>
      <c r="D42" s="4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 spans="1:24" x14ac:dyDescent="0.25">
      <c r="A43" s="8" t="s">
        <v>63</v>
      </c>
      <c r="B43" s="4"/>
      <c r="C43" s="4"/>
      <c r="D43" s="4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 spans="1:24" x14ac:dyDescent="0.25">
      <c r="A44" s="8" t="s">
        <v>14</v>
      </c>
      <c r="B44" s="4"/>
      <c r="C44" s="4"/>
      <c r="D44" s="4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 spans="1:24" x14ac:dyDescent="0.25">
      <c r="A45" s="8" t="s">
        <v>64</v>
      </c>
      <c r="B45" s="4"/>
      <c r="C45" s="4"/>
      <c r="D45" s="4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 spans="1:24" x14ac:dyDescent="0.25">
      <c r="A46" s="8" t="s">
        <v>65</v>
      </c>
      <c r="B46" s="4" t="s">
        <v>66</v>
      </c>
      <c r="C46" s="4" t="s">
        <v>67</v>
      </c>
      <c r="D46" s="4" t="s">
        <v>34</v>
      </c>
      <c r="E46" s="9" t="s">
        <v>666</v>
      </c>
      <c r="F46" s="9" t="s">
        <v>666</v>
      </c>
      <c r="G46" s="9" t="s">
        <v>666</v>
      </c>
      <c r="H46" s="9" t="s">
        <v>666</v>
      </c>
      <c r="I46" s="9" t="s">
        <v>666</v>
      </c>
      <c r="J46" s="9" t="s">
        <v>666</v>
      </c>
      <c r="K46" s="9" t="s">
        <v>666</v>
      </c>
      <c r="L46" s="9" t="s">
        <v>666</v>
      </c>
      <c r="M46" s="9" t="s">
        <v>666</v>
      </c>
      <c r="N46" s="9" t="s">
        <v>666</v>
      </c>
      <c r="O46" s="9" t="s">
        <v>666</v>
      </c>
      <c r="P46" s="9" t="s">
        <v>666</v>
      </c>
      <c r="Q46" s="9" t="s">
        <v>666</v>
      </c>
      <c r="R46" s="9">
        <v>294754.0142333298</v>
      </c>
      <c r="S46" s="9">
        <v>298747.3932673278</v>
      </c>
      <c r="T46" s="9">
        <v>303189.43344425847</v>
      </c>
      <c r="U46" s="9">
        <v>303762.14401804964</v>
      </c>
      <c r="V46" s="9">
        <v>308223.07823808095</v>
      </c>
      <c r="W46" s="9">
        <v>312324.40972533461</v>
      </c>
      <c r="X46" s="9">
        <v>317404.24788393034</v>
      </c>
    </row>
    <row r="47" spans="1:24" x14ac:dyDescent="0.25">
      <c r="A47" s="8" t="s">
        <v>68</v>
      </c>
      <c r="B47" s="4" t="s">
        <v>69</v>
      </c>
      <c r="C47" s="4" t="s">
        <v>70</v>
      </c>
      <c r="D47" s="4" t="s">
        <v>34</v>
      </c>
      <c r="E47" s="9" t="s">
        <v>666</v>
      </c>
      <c r="F47" s="9" t="s">
        <v>666</v>
      </c>
      <c r="G47" s="9" t="s">
        <v>666</v>
      </c>
      <c r="H47" s="9" t="s">
        <v>666</v>
      </c>
      <c r="I47" s="9" t="s">
        <v>666</v>
      </c>
      <c r="J47" s="9" t="s">
        <v>666</v>
      </c>
      <c r="K47" s="9" t="s">
        <v>666</v>
      </c>
      <c r="L47" s="9" t="s">
        <v>666</v>
      </c>
      <c r="M47" s="9" t="s">
        <v>666</v>
      </c>
      <c r="N47" s="9" t="s">
        <v>666</v>
      </c>
      <c r="O47" s="9" t="s">
        <v>666</v>
      </c>
      <c r="P47" s="9" t="s">
        <v>666</v>
      </c>
      <c r="Q47" s="9" t="s">
        <v>666</v>
      </c>
      <c r="R47" s="9">
        <v>4800.0000000000109</v>
      </c>
      <c r="S47" s="9">
        <v>4733.3333333333294</v>
      </c>
      <c r="T47" s="9">
        <v>4433.3333333333558</v>
      </c>
      <c r="U47" s="9">
        <v>5000</v>
      </c>
      <c r="V47" s="9">
        <v>5000</v>
      </c>
      <c r="W47" s="9">
        <v>5000</v>
      </c>
      <c r="X47" s="9">
        <v>5000</v>
      </c>
    </row>
    <row r="48" spans="1:24" x14ac:dyDescent="0.25">
      <c r="A48" s="8" t="s">
        <v>14</v>
      </c>
      <c r="B48" s="4"/>
      <c r="C48" s="4"/>
      <c r="D48" s="4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 spans="1:24" x14ac:dyDescent="0.25">
      <c r="A49" s="8" t="s">
        <v>71</v>
      </c>
      <c r="B49" s="4" t="s">
        <v>27</v>
      </c>
      <c r="C49" s="4" t="s">
        <v>28</v>
      </c>
      <c r="D49" s="4"/>
      <c r="E49" s="9">
        <v>11</v>
      </c>
      <c r="F49" s="9">
        <v>11</v>
      </c>
      <c r="G49" s="9">
        <v>11</v>
      </c>
      <c r="H49" s="9">
        <v>13</v>
      </c>
      <c r="I49" s="9">
        <v>13</v>
      </c>
      <c r="J49" s="9">
        <v>11</v>
      </c>
      <c r="K49" s="9">
        <v>11</v>
      </c>
      <c r="L49" s="9">
        <v>11</v>
      </c>
      <c r="M49" s="9">
        <v>10</v>
      </c>
      <c r="N49" s="9">
        <v>12</v>
      </c>
      <c r="O49" s="9">
        <v>12</v>
      </c>
      <c r="P49" s="9">
        <v>14</v>
      </c>
      <c r="Q49" s="9">
        <v>15</v>
      </c>
      <c r="R49" s="9">
        <v>16.73528785228368</v>
      </c>
      <c r="S49" s="9">
        <v>11.930156293843064</v>
      </c>
      <c r="T49" s="9">
        <v>12.866826840526993</v>
      </c>
      <c r="U49" s="9">
        <v>12.02450752082515</v>
      </c>
      <c r="V49" s="9">
        <v>11.713540411637627</v>
      </c>
      <c r="W49" s="9">
        <v>12.652676270301075</v>
      </c>
      <c r="X49" s="9">
        <v>11.94516122147386</v>
      </c>
    </row>
    <row r="50" spans="1:24" x14ac:dyDescent="0.25">
      <c r="A50" s="8" t="s">
        <v>14</v>
      </c>
      <c r="B50" s="4"/>
      <c r="C50" s="4"/>
      <c r="D50" s="4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</row>
    <row r="51" spans="1:24" x14ac:dyDescent="0.25">
      <c r="A51" s="8" t="s">
        <v>72</v>
      </c>
      <c r="B51" s="4" t="s">
        <v>73</v>
      </c>
      <c r="C51" s="4" t="s">
        <v>74</v>
      </c>
      <c r="D51" s="4"/>
      <c r="E51" s="9">
        <v>19937</v>
      </c>
      <c r="F51" s="9">
        <v>20418</v>
      </c>
      <c r="G51" s="9">
        <v>21799</v>
      </c>
      <c r="H51" s="9">
        <v>27326</v>
      </c>
      <c r="I51" s="9">
        <v>21834</v>
      </c>
      <c r="J51" s="9">
        <v>21965</v>
      </c>
      <c r="K51" s="9">
        <v>23501</v>
      </c>
      <c r="L51" s="9">
        <v>28549</v>
      </c>
      <c r="M51" s="9">
        <v>22495</v>
      </c>
      <c r="N51" s="9">
        <v>23370</v>
      </c>
      <c r="O51" s="9">
        <v>25384</v>
      </c>
      <c r="P51" s="9">
        <v>31492</v>
      </c>
      <c r="Q51" s="9">
        <v>25709</v>
      </c>
      <c r="R51" s="9">
        <v>27252.945834386519</v>
      </c>
      <c r="S51" s="9">
        <v>28318.409090275247</v>
      </c>
      <c r="T51" s="9">
        <v>34135.465447055947</v>
      </c>
      <c r="U51" s="9">
        <v>28197.541071911764</v>
      </c>
      <c r="V51" s="9">
        <v>29695.064290900387</v>
      </c>
      <c r="W51" s="9">
        <v>31001.317468079262</v>
      </c>
      <c r="X51" s="9">
        <v>37201.982611626554</v>
      </c>
    </row>
    <row r="52" spans="1:24" x14ac:dyDescent="0.25">
      <c r="A52" s="8" t="s">
        <v>14</v>
      </c>
      <c r="B52" s="4"/>
      <c r="C52" s="4"/>
      <c r="D52" s="4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</row>
    <row r="53" spans="1:24" x14ac:dyDescent="0.25">
      <c r="A53" s="8" t="s">
        <v>75</v>
      </c>
      <c r="B53" s="4" t="s">
        <v>76</v>
      </c>
      <c r="C53" s="4" t="s">
        <v>77</v>
      </c>
      <c r="D53" s="4"/>
      <c r="E53" s="9" t="s">
        <v>666</v>
      </c>
      <c r="F53" s="9" t="s">
        <v>666</v>
      </c>
      <c r="G53" s="9" t="s">
        <v>666</v>
      </c>
      <c r="H53" s="9" t="s">
        <v>666</v>
      </c>
      <c r="I53" s="9" t="s">
        <v>666</v>
      </c>
      <c r="J53" s="9" t="s">
        <v>666</v>
      </c>
      <c r="K53" s="9" t="s">
        <v>666</v>
      </c>
      <c r="L53" s="9" t="s">
        <v>666</v>
      </c>
      <c r="M53" s="9" t="s">
        <v>666</v>
      </c>
      <c r="N53" s="9" t="s">
        <v>666</v>
      </c>
      <c r="O53" s="9" t="s">
        <v>666</v>
      </c>
      <c r="P53" s="9" t="s">
        <v>666</v>
      </c>
      <c r="Q53" s="9" t="s">
        <v>666</v>
      </c>
      <c r="R53" s="9">
        <v>8188.9274544004429</v>
      </c>
      <c r="S53" s="9">
        <v>8194.7139525049079</v>
      </c>
      <c r="T53" s="9">
        <v>9341.0141314778411</v>
      </c>
      <c r="U53" s="9">
        <v>7254.7691328470073</v>
      </c>
      <c r="V53" s="9">
        <v>8140.7702743964346</v>
      </c>
      <c r="W53" s="9">
        <v>8304.4575142614558</v>
      </c>
      <c r="X53" s="9">
        <v>9718.0140980120941</v>
      </c>
    </row>
    <row r="54" spans="1:24" x14ac:dyDescent="0.25">
      <c r="A54" s="8" t="s">
        <v>78</v>
      </c>
      <c r="B54" s="4" t="s">
        <v>79</v>
      </c>
      <c r="C54" s="4" t="s">
        <v>80</v>
      </c>
      <c r="D54" s="4"/>
      <c r="E54" s="9">
        <v>8</v>
      </c>
      <c r="F54" s="9">
        <v>9</v>
      </c>
      <c r="G54" s="9">
        <v>9</v>
      </c>
      <c r="H54" s="9">
        <v>12</v>
      </c>
      <c r="I54" s="9">
        <v>12</v>
      </c>
      <c r="J54" s="9">
        <v>11</v>
      </c>
      <c r="K54" s="9">
        <v>12</v>
      </c>
      <c r="L54" s="9">
        <v>11</v>
      </c>
      <c r="M54" s="9">
        <v>8</v>
      </c>
      <c r="N54" s="9">
        <v>12</v>
      </c>
      <c r="O54" s="9">
        <v>11</v>
      </c>
      <c r="P54" s="9">
        <v>12</v>
      </c>
      <c r="Q54" s="9">
        <v>15</v>
      </c>
      <c r="R54" s="9">
        <v>14.580900003016767</v>
      </c>
      <c r="S54" s="9">
        <v>11.279104913520328</v>
      </c>
      <c r="T54" s="9">
        <v>11.222794625781162</v>
      </c>
      <c r="U54" s="9">
        <v>9.7564688471619938</v>
      </c>
      <c r="V54" s="9">
        <v>10.439304226410531</v>
      </c>
      <c r="W54" s="9">
        <v>10.021834276536708</v>
      </c>
      <c r="X54" s="9">
        <v>9.7928871999337357</v>
      </c>
    </row>
    <row r="55" spans="1:24" x14ac:dyDescent="0.25">
      <c r="A55" s="8" t="s">
        <v>81</v>
      </c>
      <c r="B55" s="4" t="s">
        <v>76</v>
      </c>
      <c r="C55" s="4" t="s">
        <v>77</v>
      </c>
      <c r="D55" s="4" t="s">
        <v>23</v>
      </c>
      <c r="E55" s="9" t="s">
        <v>666</v>
      </c>
      <c r="F55" s="9" t="s">
        <v>666</v>
      </c>
      <c r="G55" s="9" t="s">
        <v>666</v>
      </c>
      <c r="H55" s="9" t="s">
        <v>666</v>
      </c>
      <c r="I55" s="9" t="s">
        <v>666</v>
      </c>
      <c r="J55" s="9" t="s">
        <v>666</v>
      </c>
      <c r="K55" s="9" t="s">
        <v>666</v>
      </c>
      <c r="L55" s="9" t="s">
        <v>666</v>
      </c>
      <c r="M55" s="9" t="s">
        <v>666</v>
      </c>
      <c r="N55" s="9" t="s">
        <v>666</v>
      </c>
      <c r="O55" s="9" t="s">
        <v>666</v>
      </c>
      <c r="P55" s="9" t="s">
        <v>666</v>
      </c>
      <c r="Q55" s="9" t="s">
        <v>666</v>
      </c>
      <c r="R55" s="9">
        <v>3293.0134326784032</v>
      </c>
      <c r="S55" s="9">
        <v>3266.7784248769126</v>
      </c>
      <c r="T55" s="9">
        <v>3867.8905936682695</v>
      </c>
      <c r="U55" s="9">
        <v>3120.2118939663233</v>
      </c>
      <c r="V55" s="9">
        <v>3384.3496886204211</v>
      </c>
      <c r="W55" s="9">
        <v>3389.0828461990532</v>
      </c>
      <c r="X55" s="9">
        <v>4271.5738064007601</v>
      </c>
    </row>
    <row r="56" spans="1:24" x14ac:dyDescent="0.25">
      <c r="A56" s="8" t="s">
        <v>82</v>
      </c>
      <c r="B56" s="4" t="s">
        <v>76</v>
      </c>
      <c r="C56" s="4" t="s">
        <v>77</v>
      </c>
      <c r="D56" s="4" t="s">
        <v>30</v>
      </c>
      <c r="E56" s="9" t="s">
        <v>666</v>
      </c>
      <c r="F56" s="9" t="s">
        <v>666</v>
      </c>
      <c r="G56" s="9" t="s">
        <v>666</v>
      </c>
      <c r="H56" s="9" t="s">
        <v>666</v>
      </c>
      <c r="I56" s="9" t="s">
        <v>666</v>
      </c>
      <c r="J56" s="9" t="s">
        <v>666</v>
      </c>
      <c r="K56" s="9" t="s">
        <v>666</v>
      </c>
      <c r="L56" s="9" t="s">
        <v>666</v>
      </c>
      <c r="M56" s="9" t="s">
        <v>666</v>
      </c>
      <c r="N56" s="9" t="s">
        <v>666</v>
      </c>
      <c r="O56" s="9" t="s">
        <v>666</v>
      </c>
      <c r="P56" s="9" t="s">
        <v>666</v>
      </c>
      <c r="Q56" s="9" t="s">
        <v>666</v>
      </c>
      <c r="R56" s="9">
        <v>5185.0879351722042</v>
      </c>
      <c r="S56" s="9">
        <v>5139.7360583305917</v>
      </c>
      <c r="T56" s="9">
        <v>6346.1646220640305</v>
      </c>
      <c r="U56" s="9">
        <v>4978.4439852902988</v>
      </c>
      <c r="V56" s="9">
        <v>5445.7351337702967</v>
      </c>
      <c r="W56" s="9">
        <v>5330.8686993893098</v>
      </c>
      <c r="X56" s="9">
        <v>6984.4985470036363</v>
      </c>
    </row>
    <row r="57" spans="1:24" x14ac:dyDescent="0.25">
      <c r="A57" s="8" t="s">
        <v>83</v>
      </c>
      <c r="B57" s="4" t="s">
        <v>76</v>
      </c>
      <c r="C57" s="4" t="s">
        <v>77</v>
      </c>
      <c r="D57" s="4" t="s">
        <v>84</v>
      </c>
      <c r="E57" s="9" t="s">
        <v>666</v>
      </c>
      <c r="F57" s="9" t="s">
        <v>666</v>
      </c>
      <c r="G57" s="9" t="s">
        <v>666</v>
      </c>
      <c r="H57" s="9" t="s">
        <v>666</v>
      </c>
      <c r="I57" s="9" t="s">
        <v>666</v>
      </c>
      <c r="J57" s="9" t="s">
        <v>666</v>
      </c>
      <c r="K57" s="9" t="s">
        <v>666</v>
      </c>
      <c r="L57" s="9" t="s">
        <v>666</v>
      </c>
      <c r="M57" s="9" t="s">
        <v>666</v>
      </c>
      <c r="N57" s="9" t="s">
        <v>666</v>
      </c>
      <c r="O57" s="9" t="s">
        <v>666</v>
      </c>
      <c r="P57" s="9" t="s">
        <v>666</v>
      </c>
      <c r="Q57" s="9" t="s">
        <v>666</v>
      </c>
      <c r="R57" s="9">
        <v>3800.2777406405776</v>
      </c>
      <c r="S57" s="9">
        <v>3832.5961181341045</v>
      </c>
      <c r="T57" s="9">
        <v>4868.8643169708812</v>
      </c>
      <c r="U57" s="9">
        <v>3797.9171444827452</v>
      </c>
      <c r="V57" s="9">
        <v>4209.1153509818396</v>
      </c>
      <c r="W57" s="9">
        <v>4149.6714157227616</v>
      </c>
      <c r="X57" s="9">
        <v>5429.2587895996576</v>
      </c>
    </row>
    <row r="58" spans="1:24" x14ac:dyDescent="0.25">
      <c r="A58" s="8" t="s">
        <v>14</v>
      </c>
      <c r="B58" s="4"/>
      <c r="C58" s="4"/>
      <c r="D58" s="4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</row>
    <row r="59" spans="1:24" x14ac:dyDescent="0.25">
      <c r="A59" s="8" t="s">
        <v>15</v>
      </c>
      <c r="B59" s="4"/>
      <c r="C59" s="4"/>
      <c r="D59" s="4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</row>
    <row r="60" spans="1:24" x14ac:dyDescent="0.25">
      <c r="A60" s="8" t="s">
        <v>16</v>
      </c>
      <c r="B60" s="4" t="s">
        <v>17</v>
      </c>
      <c r="C60" s="4" t="s">
        <v>18</v>
      </c>
      <c r="D60" s="4"/>
      <c r="E60" s="9">
        <v>59</v>
      </c>
      <c r="F60" s="9">
        <v>60</v>
      </c>
      <c r="G60" s="9">
        <v>60</v>
      </c>
      <c r="H60" s="9">
        <v>61</v>
      </c>
      <c r="I60" s="9">
        <v>61</v>
      </c>
      <c r="J60" s="9">
        <v>61</v>
      </c>
      <c r="K60" s="9">
        <v>60</v>
      </c>
      <c r="L60" s="9">
        <v>62</v>
      </c>
      <c r="M60" s="9">
        <v>61</v>
      </c>
      <c r="N60" s="9">
        <v>62</v>
      </c>
      <c r="O60" s="9">
        <v>62</v>
      </c>
      <c r="P60" s="9">
        <v>61</v>
      </c>
      <c r="Q60" s="9">
        <v>60</v>
      </c>
      <c r="R60" s="9">
        <v>60.198854955888741</v>
      </c>
      <c r="S60" s="9">
        <v>59.878684755763686</v>
      </c>
      <c r="T60" s="9">
        <v>60.031405566366978</v>
      </c>
      <c r="U60" s="9">
        <v>58.850302515565978</v>
      </c>
      <c r="V60" s="9">
        <v>59.153041793349999</v>
      </c>
      <c r="W60" s="9">
        <v>58.969908413118794</v>
      </c>
      <c r="X60" s="9">
        <v>59.24702799910829</v>
      </c>
    </row>
    <row r="61" spans="1:24" x14ac:dyDescent="0.25">
      <c r="A61" s="8" t="s">
        <v>14</v>
      </c>
      <c r="B61" s="4"/>
      <c r="C61" s="4"/>
      <c r="D61" s="4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</row>
    <row r="62" spans="1:24" x14ac:dyDescent="0.25">
      <c r="A62" s="8" t="s">
        <v>85</v>
      </c>
      <c r="B62" s="4" t="s">
        <v>86</v>
      </c>
      <c r="C62" s="4" t="s">
        <v>87</v>
      </c>
      <c r="D62" s="4"/>
      <c r="E62" s="9" t="s">
        <v>666</v>
      </c>
      <c r="F62" s="9" t="s">
        <v>666</v>
      </c>
      <c r="G62" s="9" t="s">
        <v>666</v>
      </c>
      <c r="H62" s="9" t="s">
        <v>666</v>
      </c>
      <c r="I62" s="9" t="s">
        <v>666</v>
      </c>
      <c r="J62" s="9" t="s">
        <v>666</v>
      </c>
      <c r="K62" s="9" t="s">
        <v>666</v>
      </c>
      <c r="L62" s="9" t="s">
        <v>666</v>
      </c>
      <c r="M62" s="9" t="s">
        <v>666</v>
      </c>
      <c r="N62" s="9" t="s">
        <v>666</v>
      </c>
      <c r="O62" s="9" t="s">
        <v>666</v>
      </c>
      <c r="P62" s="9" t="s">
        <v>666</v>
      </c>
      <c r="Q62" s="9" t="s">
        <v>666</v>
      </c>
      <c r="R62" s="9">
        <v>244681.0179516116</v>
      </c>
      <c r="S62" s="9">
        <v>246306.94303195545</v>
      </c>
      <c r="T62" s="9">
        <v>307300.24931226176</v>
      </c>
      <c r="U62" s="9">
        <v>240461.15337197078</v>
      </c>
      <c r="V62" s="9">
        <v>267835.59437525121</v>
      </c>
      <c r="W62" s="9">
        <v>272591.40478079685</v>
      </c>
      <c r="X62" s="9">
        <v>339130.85023920168</v>
      </c>
    </row>
    <row r="63" spans="1:24" x14ac:dyDescent="0.25">
      <c r="A63" s="8" t="s">
        <v>88</v>
      </c>
      <c r="B63" s="4" t="s">
        <v>86</v>
      </c>
      <c r="C63" s="4" t="s">
        <v>87</v>
      </c>
      <c r="D63" s="4" t="s">
        <v>23</v>
      </c>
      <c r="E63" s="9" t="s">
        <v>666</v>
      </c>
      <c r="F63" s="9" t="s">
        <v>666</v>
      </c>
      <c r="G63" s="9" t="s">
        <v>666</v>
      </c>
      <c r="H63" s="9" t="s">
        <v>666</v>
      </c>
      <c r="I63" s="9" t="s">
        <v>666</v>
      </c>
      <c r="J63" s="9" t="s">
        <v>666</v>
      </c>
      <c r="K63" s="9" t="s">
        <v>666</v>
      </c>
      <c r="L63" s="9" t="s">
        <v>666</v>
      </c>
      <c r="M63" s="9" t="s">
        <v>666</v>
      </c>
      <c r="N63" s="9" t="s">
        <v>666</v>
      </c>
      <c r="O63" s="9" t="s">
        <v>666</v>
      </c>
      <c r="P63" s="9" t="s">
        <v>666</v>
      </c>
      <c r="Q63" s="9" t="s">
        <v>666</v>
      </c>
      <c r="R63" s="9">
        <v>75420.937436870634</v>
      </c>
      <c r="S63" s="9">
        <v>77058.838680212779</v>
      </c>
      <c r="T63" s="9">
        <v>93067.205943812893</v>
      </c>
      <c r="U63" s="9">
        <v>75009.936247699545</v>
      </c>
      <c r="V63" s="9">
        <v>82217.44718019689</v>
      </c>
      <c r="W63" s="9">
        <v>84466.513092997324</v>
      </c>
      <c r="X63" s="9">
        <v>102242.17923221785</v>
      </c>
    </row>
    <row r="64" spans="1:24" x14ac:dyDescent="0.25">
      <c r="A64" s="8" t="s">
        <v>89</v>
      </c>
      <c r="B64" s="4" t="s">
        <v>86</v>
      </c>
      <c r="C64" s="4" t="s">
        <v>87</v>
      </c>
      <c r="D64" s="4" t="s">
        <v>30</v>
      </c>
      <c r="E64" s="9" t="s">
        <v>666</v>
      </c>
      <c r="F64" s="9" t="s">
        <v>666</v>
      </c>
      <c r="G64" s="9" t="s">
        <v>666</v>
      </c>
      <c r="H64" s="9" t="s">
        <v>666</v>
      </c>
      <c r="I64" s="9" t="s">
        <v>666</v>
      </c>
      <c r="J64" s="9" t="s">
        <v>666</v>
      </c>
      <c r="K64" s="9" t="s">
        <v>666</v>
      </c>
      <c r="L64" s="9" t="s">
        <v>666</v>
      </c>
      <c r="M64" s="9" t="s">
        <v>666</v>
      </c>
      <c r="N64" s="9" t="s">
        <v>666</v>
      </c>
      <c r="O64" s="9" t="s">
        <v>666</v>
      </c>
      <c r="P64" s="9" t="s">
        <v>666</v>
      </c>
      <c r="Q64" s="9" t="s">
        <v>666</v>
      </c>
      <c r="R64" s="9">
        <v>169108.11423472609</v>
      </c>
      <c r="S64" s="9">
        <v>171874.04599377199</v>
      </c>
      <c r="T64" s="9">
        <v>214084.55698422235</v>
      </c>
      <c r="U64" s="9">
        <v>162970.06080202956</v>
      </c>
      <c r="V64" s="9">
        <v>180349.79293353713</v>
      </c>
      <c r="W64" s="9">
        <v>185976.35645355892</v>
      </c>
      <c r="X64" s="9">
        <v>231149.63779868229</v>
      </c>
    </row>
    <row r="65" spans="1:24" x14ac:dyDescent="0.25">
      <c r="A65" s="8" t="s">
        <v>90</v>
      </c>
      <c r="B65" s="4" t="s">
        <v>91</v>
      </c>
      <c r="C65" s="4" t="s">
        <v>92</v>
      </c>
      <c r="D65" s="4"/>
      <c r="E65" s="9" t="s">
        <v>666</v>
      </c>
      <c r="F65" s="9" t="s">
        <v>666</v>
      </c>
      <c r="G65" s="9" t="s">
        <v>666</v>
      </c>
      <c r="H65" s="9" t="s">
        <v>666</v>
      </c>
      <c r="I65" s="9" t="s">
        <v>666</v>
      </c>
      <c r="J65" s="9" t="s">
        <v>666</v>
      </c>
      <c r="K65" s="9" t="s">
        <v>666</v>
      </c>
      <c r="L65" s="9" t="s">
        <v>666</v>
      </c>
      <c r="M65" s="9" t="s">
        <v>666</v>
      </c>
      <c r="N65" s="9" t="s">
        <v>666</v>
      </c>
      <c r="O65" s="9" t="s">
        <v>666</v>
      </c>
      <c r="P65" s="9" t="s">
        <v>666</v>
      </c>
      <c r="Q65" s="9" t="s">
        <v>666</v>
      </c>
      <c r="R65" s="9">
        <v>29.160835442780638</v>
      </c>
      <c r="S65" s="9">
        <v>29.238552515423414</v>
      </c>
      <c r="T65" s="9">
        <v>29.636258905031728</v>
      </c>
      <c r="U65" s="9">
        <v>29.169582996334594</v>
      </c>
      <c r="V65" s="9">
        <v>29.17015657515638</v>
      </c>
      <c r="W65" s="9">
        <v>29.188077236369534</v>
      </c>
      <c r="X65" s="9">
        <v>29.678853671201736</v>
      </c>
    </row>
    <row r="66" spans="1:24" x14ac:dyDescent="0.25">
      <c r="A66" s="8" t="s">
        <v>14</v>
      </c>
      <c r="B66" s="4"/>
      <c r="C66" s="4"/>
      <c r="D66" s="4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</row>
    <row r="67" spans="1:24" x14ac:dyDescent="0.25">
      <c r="A67" s="8" t="s">
        <v>93</v>
      </c>
      <c r="B67" s="4"/>
      <c r="C67" s="4"/>
      <c r="D67" s="4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</row>
    <row r="68" spans="1:24" x14ac:dyDescent="0.25">
      <c r="A68" s="8" t="s">
        <v>40</v>
      </c>
      <c r="B68" s="4" t="s">
        <v>86</v>
      </c>
      <c r="C68" s="4" t="s">
        <v>87</v>
      </c>
      <c r="D68" s="4" t="s">
        <v>42</v>
      </c>
      <c r="E68" s="9" t="s">
        <v>666</v>
      </c>
      <c r="F68" s="9" t="s">
        <v>666</v>
      </c>
      <c r="G68" s="9" t="s">
        <v>666</v>
      </c>
      <c r="H68" s="9" t="s">
        <v>666</v>
      </c>
      <c r="I68" s="9" t="s">
        <v>666</v>
      </c>
      <c r="J68" s="9" t="s">
        <v>666</v>
      </c>
      <c r="K68" s="9" t="s">
        <v>666</v>
      </c>
      <c r="L68" s="9" t="s">
        <v>666</v>
      </c>
      <c r="M68" s="9" t="s">
        <v>666</v>
      </c>
      <c r="N68" s="9" t="s">
        <v>666</v>
      </c>
      <c r="O68" s="9" t="s">
        <v>666</v>
      </c>
      <c r="P68" s="9" t="s">
        <v>666</v>
      </c>
      <c r="Q68" s="9" t="s">
        <v>666</v>
      </c>
      <c r="R68" s="9">
        <v>168059.88830365514</v>
      </c>
      <c r="S68" s="9">
        <v>161443.3072678821</v>
      </c>
      <c r="T68" s="9">
        <v>198920.18645777734</v>
      </c>
      <c r="U68" s="9">
        <v>151859.73770364557</v>
      </c>
      <c r="V68" s="9">
        <v>177639.14992368469</v>
      </c>
      <c r="W68" s="9">
        <v>175448.39683090631</v>
      </c>
      <c r="X68" s="9">
        <v>210169.25296458544</v>
      </c>
    </row>
    <row r="69" spans="1:24" x14ac:dyDescent="0.25">
      <c r="A69" s="8" t="s">
        <v>46</v>
      </c>
      <c r="B69" s="4" t="s">
        <v>86</v>
      </c>
      <c r="C69" s="4" t="s">
        <v>87</v>
      </c>
      <c r="D69" s="4" t="s">
        <v>47</v>
      </c>
      <c r="E69" s="9" t="s">
        <v>666</v>
      </c>
      <c r="F69" s="9" t="s">
        <v>666</v>
      </c>
      <c r="G69" s="9" t="s">
        <v>666</v>
      </c>
      <c r="H69" s="9" t="s">
        <v>666</v>
      </c>
      <c r="I69" s="9" t="s">
        <v>666</v>
      </c>
      <c r="J69" s="9" t="s">
        <v>666</v>
      </c>
      <c r="K69" s="9" t="s">
        <v>666</v>
      </c>
      <c r="L69" s="9" t="s">
        <v>666</v>
      </c>
      <c r="M69" s="9" t="s">
        <v>666</v>
      </c>
      <c r="N69" s="9" t="s">
        <v>666</v>
      </c>
      <c r="O69" s="9" t="s">
        <v>666</v>
      </c>
      <c r="P69" s="9" t="s">
        <v>666</v>
      </c>
      <c r="Q69" s="9" t="s">
        <v>666</v>
      </c>
      <c r="R69" s="9">
        <v>71021.112513564018</v>
      </c>
      <c r="S69" s="9">
        <v>73389.595576041815</v>
      </c>
      <c r="T69" s="9">
        <v>92903.625876849168</v>
      </c>
      <c r="U69" s="9">
        <v>72827.370906568889</v>
      </c>
      <c r="V69" s="9">
        <v>79281.690294115557</v>
      </c>
      <c r="W69" s="9">
        <v>83571.550164959903</v>
      </c>
      <c r="X69" s="9">
        <v>104718.64117112245</v>
      </c>
    </row>
    <row r="70" spans="1:24" x14ac:dyDescent="0.25">
      <c r="A70" s="8" t="s">
        <v>14</v>
      </c>
      <c r="B70" s="4"/>
      <c r="C70" s="4"/>
      <c r="D70" s="4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</row>
    <row r="71" spans="1:24" x14ac:dyDescent="0.25">
      <c r="A71" s="8" t="s">
        <v>94</v>
      </c>
      <c r="B71" s="4" t="s">
        <v>95</v>
      </c>
      <c r="C71" s="4" t="s">
        <v>96</v>
      </c>
      <c r="D71" s="4"/>
      <c r="E71" s="9">
        <v>122000</v>
      </c>
      <c r="F71" s="9">
        <v>132100</v>
      </c>
      <c r="G71" s="9">
        <v>133000</v>
      </c>
      <c r="H71" s="9">
        <v>155700</v>
      </c>
      <c r="I71" s="9">
        <v>157700</v>
      </c>
      <c r="J71" s="9">
        <v>156600</v>
      </c>
      <c r="K71" s="9">
        <v>164000</v>
      </c>
      <c r="L71" s="9">
        <v>177000</v>
      </c>
      <c r="M71" s="9">
        <v>189000</v>
      </c>
      <c r="N71" s="9">
        <v>195000</v>
      </c>
      <c r="O71" s="9">
        <v>200000</v>
      </c>
      <c r="P71" s="9">
        <v>244000</v>
      </c>
      <c r="Q71" s="9">
        <v>364000</v>
      </c>
      <c r="R71" s="9" t="s">
        <v>666</v>
      </c>
      <c r="S71" s="9" t="s">
        <v>666</v>
      </c>
      <c r="T71" s="9" t="s">
        <v>666</v>
      </c>
      <c r="U71" s="9" t="s">
        <v>666</v>
      </c>
      <c r="V71" s="9" t="s">
        <v>666</v>
      </c>
      <c r="W71" s="9" t="s">
        <v>666</v>
      </c>
      <c r="X71" s="9" t="s">
        <v>666</v>
      </c>
    </row>
    <row r="72" spans="1:24" x14ac:dyDescent="0.25">
      <c r="A72" s="8" t="s">
        <v>97</v>
      </c>
      <c r="B72" s="4" t="s">
        <v>98</v>
      </c>
      <c r="C72" s="4" t="s">
        <v>99</v>
      </c>
      <c r="D72" s="4"/>
      <c r="E72" s="9">
        <v>1465000</v>
      </c>
      <c r="F72" s="9">
        <v>1461000</v>
      </c>
      <c r="G72" s="9">
        <v>1500000</v>
      </c>
      <c r="H72" s="9">
        <v>1525000</v>
      </c>
      <c r="I72" s="9">
        <v>1521000</v>
      </c>
      <c r="J72" s="9">
        <v>1532000</v>
      </c>
      <c r="K72" s="9">
        <v>1551000</v>
      </c>
      <c r="L72" s="9">
        <v>1556000</v>
      </c>
      <c r="M72" s="9">
        <v>1560000</v>
      </c>
      <c r="N72" s="9">
        <v>1546000</v>
      </c>
      <c r="O72" s="9">
        <v>1578000</v>
      </c>
      <c r="P72" s="9">
        <v>1576000</v>
      </c>
      <c r="Q72" s="9">
        <v>1575000</v>
      </c>
      <c r="R72" s="9">
        <v>1606090</v>
      </c>
      <c r="S72" s="9">
        <v>1627767</v>
      </c>
      <c r="T72" s="9">
        <v>1634470</v>
      </c>
      <c r="U72" s="9">
        <v>1647782</v>
      </c>
      <c r="V72" s="9">
        <v>1703466</v>
      </c>
      <c r="W72" s="9">
        <v>1700358</v>
      </c>
      <c r="X72" s="9">
        <v>1721261</v>
      </c>
    </row>
    <row r="73" spans="1:24" x14ac:dyDescent="0.25">
      <c r="A73" s="8" t="s">
        <v>100</v>
      </c>
      <c r="B73" s="4" t="s">
        <v>101</v>
      </c>
      <c r="C73" s="4" t="s">
        <v>102</v>
      </c>
      <c r="D73" s="4"/>
      <c r="E73" s="9">
        <v>13.4</v>
      </c>
      <c r="F73" s="9">
        <v>186.9</v>
      </c>
      <c r="G73" s="9">
        <v>210.9</v>
      </c>
      <c r="H73" s="9">
        <v>7.2</v>
      </c>
      <c r="I73" s="9">
        <v>10.7</v>
      </c>
      <c r="J73" s="9">
        <v>94.3</v>
      </c>
      <c r="K73" s="9">
        <v>10.4</v>
      </c>
      <c r="L73" s="9">
        <v>11.5</v>
      </c>
      <c r="M73" s="9">
        <v>8.3000000000000007</v>
      </c>
      <c r="N73" s="9">
        <v>86.6</v>
      </c>
      <c r="O73" s="9">
        <v>11.7</v>
      </c>
      <c r="P73" s="9">
        <v>6.3</v>
      </c>
      <c r="Q73" s="9">
        <v>7.8</v>
      </c>
      <c r="R73" s="9" t="s">
        <v>666</v>
      </c>
      <c r="S73" s="9" t="s">
        <v>666</v>
      </c>
      <c r="T73" s="9" t="s">
        <v>666</v>
      </c>
      <c r="U73" s="9" t="s">
        <v>666</v>
      </c>
      <c r="V73" s="9" t="s">
        <v>666</v>
      </c>
      <c r="W73" s="9" t="s">
        <v>666</v>
      </c>
      <c r="X73" s="9" t="s">
        <v>666</v>
      </c>
    </row>
    <row r="74" spans="1:24" x14ac:dyDescent="0.25">
      <c r="A74" s="8" t="s">
        <v>14</v>
      </c>
      <c r="B74" s="4"/>
      <c r="C74" s="4"/>
      <c r="D74" s="4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</row>
    <row r="75" spans="1:24" x14ac:dyDescent="0.25">
      <c r="A75" s="8" t="s">
        <v>103</v>
      </c>
      <c r="B75" s="4"/>
      <c r="C75" s="4"/>
      <c r="D75" s="4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</row>
    <row r="76" spans="1:24" x14ac:dyDescent="0.25">
      <c r="A76" s="8" t="s">
        <v>104</v>
      </c>
      <c r="B76" s="4" t="s">
        <v>105</v>
      </c>
      <c r="C76" s="4" t="s">
        <v>106</v>
      </c>
      <c r="D76" s="4"/>
      <c r="E76" s="9">
        <v>8.3902714114261752</v>
      </c>
      <c r="F76" s="9">
        <v>7.8424404602622424</v>
      </c>
      <c r="G76" s="9">
        <v>8.2668591175939934</v>
      </c>
      <c r="H76" s="9">
        <v>8.9995717850656352</v>
      </c>
      <c r="I76" s="9">
        <v>9.4793392225607427</v>
      </c>
      <c r="J76" s="9">
        <v>8.8829070951680436</v>
      </c>
      <c r="K76" s="9">
        <v>8.9484680250038462</v>
      </c>
      <c r="L76" s="9">
        <v>9.6632115145412545</v>
      </c>
      <c r="M76" s="9">
        <v>9.8679619763919355</v>
      </c>
      <c r="N76" s="9">
        <v>9.01206394960899</v>
      </c>
      <c r="O76" s="9">
        <v>8.9010657628516565</v>
      </c>
      <c r="P76" s="9">
        <v>9.8268241911247749</v>
      </c>
      <c r="Q76" s="9">
        <v>10.13566673112517</v>
      </c>
      <c r="R76" s="9">
        <v>2.2043009595906145</v>
      </c>
      <c r="S76" s="9">
        <v>2.0416911288532718</v>
      </c>
      <c r="T76" s="9">
        <v>2.6634324547224599</v>
      </c>
      <c r="U76" s="9">
        <v>2.0255149202067977</v>
      </c>
      <c r="V76" s="9">
        <v>2.1124836878597364</v>
      </c>
      <c r="W76" s="9">
        <v>2.1393508850595571</v>
      </c>
      <c r="X76" s="9">
        <v>2.6676335733467536</v>
      </c>
    </row>
    <row r="77" spans="1:24" x14ac:dyDescent="0.25">
      <c r="A77" s="8" t="s">
        <v>107</v>
      </c>
      <c r="B77" s="4" t="s">
        <v>108</v>
      </c>
      <c r="C77" s="4" t="s">
        <v>109</v>
      </c>
      <c r="D77" s="4"/>
      <c r="E77" s="9">
        <v>85.447087167220857</v>
      </c>
      <c r="F77" s="9">
        <v>88.086523090433815</v>
      </c>
      <c r="G77" s="9">
        <v>86.00209046310502</v>
      </c>
      <c r="H77" s="9">
        <v>98.915971243397053</v>
      </c>
      <c r="I77" s="9">
        <v>83.558168437946492</v>
      </c>
      <c r="J77" s="9">
        <v>88.880259377558062</v>
      </c>
      <c r="K77" s="9">
        <v>89.360638712594934</v>
      </c>
      <c r="L77" s="9">
        <v>100.31038192576655</v>
      </c>
      <c r="M77" s="9">
        <v>88.33030911172871</v>
      </c>
      <c r="N77" s="9">
        <v>95.445362704757372</v>
      </c>
      <c r="O77" s="9">
        <v>99.175925688332342</v>
      </c>
      <c r="P77" s="9">
        <v>109.4782331322377</v>
      </c>
      <c r="Q77" s="9">
        <v>106.24661629998013</v>
      </c>
      <c r="R77" s="9">
        <v>117.52573212017356</v>
      </c>
      <c r="S77" s="9">
        <v>115.0221318621374</v>
      </c>
      <c r="T77" s="9">
        <v>104.66811270462588</v>
      </c>
      <c r="U77" s="9">
        <v>124.74737186765158</v>
      </c>
      <c r="V77" s="9">
        <v>117.13135057758383</v>
      </c>
      <c r="W77" s="9">
        <v>116.03333368768797</v>
      </c>
      <c r="X77" s="9">
        <v>107.18237406353013</v>
      </c>
    </row>
    <row r="78" spans="1:24" x14ac:dyDescent="0.25">
      <c r="A78" s="8" t="s">
        <v>110</v>
      </c>
      <c r="B78" s="4" t="s">
        <v>111</v>
      </c>
      <c r="C78" s="4" t="s">
        <v>112</v>
      </c>
      <c r="D78" s="4"/>
      <c r="E78" s="9">
        <v>0.92309412482211828</v>
      </c>
      <c r="F78" s="9">
        <v>0.94767873284852733</v>
      </c>
      <c r="G78" s="9">
        <v>0.98471910421860154</v>
      </c>
      <c r="H78" s="9">
        <v>1.0450772206625152</v>
      </c>
      <c r="I78" s="9">
        <v>1.0720687739025268</v>
      </c>
      <c r="J78" s="9">
        <v>1.0956869736742281</v>
      </c>
      <c r="K78" s="9">
        <v>1.0886503960316329</v>
      </c>
      <c r="L78" s="9">
        <v>1.0637348061371781</v>
      </c>
      <c r="M78" s="9">
        <v>1.0481009927854188</v>
      </c>
      <c r="N78" s="9">
        <v>1.0240689917130767</v>
      </c>
      <c r="O78" s="9">
        <v>1.0085555031865407</v>
      </c>
      <c r="P78" s="9">
        <v>1.0508153482718285</v>
      </c>
      <c r="Q78" s="9">
        <v>1.1771531122552548</v>
      </c>
      <c r="R78" s="9">
        <v>1.2120196284963858</v>
      </c>
      <c r="S78" s="9">
        <v>1.1514889990340942</v>
      </c>
      <c r="T78" s="9">
        <v>1.0550809823127174</v>
      </c>
      <c r="U78" s="9">
        <v>0.95325509980534318</v>
      </c>
      <c r="V78" s="9">
        <v>1.0221266679643344</v>
      </c>
      <c r="W78" s="9">
        <v>0.97407595688050119</v>
      </c>
      <c r="X78" s="9">
        <v>0.88580026089058761</v>
      </c>
    </row>
    <row r="79" spans="1:24" x14ac:dyDescent="0.25">
      <c r="A79" s="8" t="s">
        <v>113</v>
      </c>
      <c r="B79" s="4" t="s">
        <v>114</v>
      </c>
      <c r="C79" s="4" t="s">
        <v>115</v>
      </c>
      <c r="D79" s="4"/>
      <c r="E79" s="9">
        <v>31.777991205440397</v>
      </c>
      <c r="F79" s="9">
        <v>31.037652295715933</v>
      </c>
      <c r="G79" s="9">
        <v>29.825235220781991</v>
      </c>
      <c r="H79" s="9">
        <v>31.242919443634037</v>
      </c>
      <c r="I79" s="9">
        <v>28.808649845847871</v>
      </c>
      <c r="J79" s="9">
        <v>28.508808293890969</v>
      </c>
      <c r="K79" s="9">
        <v>27.62056425817531</v>
      </c>
      <c r="L79" s="9">
        <v>28.713829865545197</v>
      </c>
      <c r="M79" s="9">
        <v>27.387385426641959</v>
      </c>
      <c r="N79" s="9">
        <v>27.400941114384974</v>
      </c>
      <c r="O79" s="9">
        <v>26.815547291533008</v>
      </c>
      <c r="P79" s="9">
        <v>26.64960967774271</v>
      </c>
      <c r="Q79" s="9">
        <v>23.647054973108013</v>
      </c>
      <c r="R79" s="9">
        <v>30.602837740631035</v>
      </c>
      <c r="S79" s="9">
        <v>30.703694212978839</v>
      </c>
      <c r="T79" s="9">
        <v>31.187021320381213</v>
      </c>
      <c r="U79" s="9">
        <v>29.517050087211388</v>
      </c>
      <c r="V79" s="9">
        <v>29.403783654174713</v>
      </c>
      <c r="W79" s="9">
        <v>29.604925617305124</v>
      </c>
      <c r="X79" s="9">
        <v>30.066028427174956</v>
      </c>
    </row>
    <row r="80" spans="1:24" x14ac:dyDescent="0.25">
      <c r="A80" s="8" t="s">
        <v>14</v>
      </c>
      <c r="B80" s="4"/>
      <c r="C80" s="4"/>
      <c r="D80" s="4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</row>
    <row r="81" spans="1:24" x14ac:dyDescent="0.25">
      <c r="A81" s="8" t="s">
        <v>116</v>
      </c>
      <c r="B81" s="4"/>
      <c r="C81" s="4"/>
      <c r="D81" s="4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</row>
    <row r="82" spans="1:24" x14ac:dyDescent="0.25">
      <c r="A82" s="8" t="s">
        <v>117</v>
      </c>
      <c r="B82" s="4"/>
      <c r="C82" s="4"/>
      <c r="D82" s="4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</row>
    <row r="83" spans="1:24" x14ac:dyDescent="0.25">
      <c r="A83" s="8" t="s">
        <v>118</v>
      </c>
      <c r="B83" s="4"/>
      <c r="C83" s="4"/>
      <c r="D83" s="4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</row>
    <row r="84" spans="1:24" x14ac:dyDescent="0.25">
      <c r="A84" s="8" t="s">
        <v>119</v>
      </c>
      <c r="B84" s="4" t="s">
        <v>21</v>
      </c>
      <c r="C84" s="4" t="s">
        <v>22</v>
      </c>
      <c r="D84" s="4" t="s">
        <v>23</v>
      </c>
      <c r="E84" s="9">
        <v>51096</v>
      </c>
      <c r="F84" s="9">
        <v>52966</v>
      </c>
      <c r="G84" s="9">
        <v>57267</v>
      </c>
      <c r="H84" s="9">
        <v>70543</v>
      </c>
      <c r="I84" s="9">
        <v>54670</v>
      </c>
      <c r="J84" s="9">
        <v>55392</v>
      </c>
      <c r="K84" s="9">
        <v>61411</v>
      </c>
      <c r="L84" s="9">
        <v>75556</v>
      </c>
      <c r="M84" s="9">
        <v>57407</v>
      </c>
      <c r="N84" s="9">
        <v>61485</v>
      </c>
      <c r="O84" s="9">
        <v>67407</v>
      </c>
      <c r="P84" s="9">
        <v>82988</v>
      </c>
      <c r="Q84" s="9">
        <v>64254</v>
      </c>
      <c r="R84" s="9">
        <v>69800.032735679502</v>
      </c>
      <c r="S84" s="9">
        <v>71486.748608054651</v>
      </c>
      <c r="T84" s="9">
        <v>89475.616526094091</v>
      </c>
      <c r="U84" s="9">
        <v>68684.158159880753</v>
      </c>
      <c r="V84" s="9">
        <v>75174.411414149668</v>
      </c>
      <c r="W84" s="9">
        <v>77216.644332014184</v>
      </c>
      <c r="X84" s="9">
        <v>96808.238529638606</v>
      </c>
    </row>
    <row r="85" spans="1:24" x14ac:dyDescent="0.25">
      <c r="A85" s="8" t="s">
        <v>120</v>
      </c>
      <c r="B85" s="4" t="s">
        <v>121</v>
      </c>
      <c r="C85" s="4" t="s">
        <v>122</v>
      </c>
      <c r="D85" s="4" t="s">
        <v>23</v>
      </c>
      <c r="E85" s="9" t="s">
        <v>666</v>
      </c>
      <c r="F85" s="9" t="s">
        <v>666</v>
      </c>
      <c r="G85" s="9" t="s">
        <v>666</v>
      </c>
      <c r="H85" s="9" t="s">
        <v>666</v>
      </c>
      <c r="I85" s="9" t="s">
        <v>666</v>
      </c>
      <c r="J85" s="9" t="s">
        <v>666</v>
      </c>
      <c r="K85" s="9" t="s">
        <v>666</v>
      </c>
      <c r="L85" s="9" t="s">
        <v>666</v>
      </c>
      <c r="M85" s="9" t="s">
        <v>666</v>
      </c>
      <c r="N85" s="9" t="s">
        <v>666</v>
      </c>
      <c r="O85" s="9" t="s">
        <v>666</v>
      </c>
      <c r="P85" s="9" t="s">
        <v>666</v>
      </c>
      <c r="Q85" s="9" t="s">
        <v>666</v>
      </c>
      <c r="R85" s="9">
        <v>36.314154321858027</v>
      </c>
      <c r="S85" s="9">
        <v>35.89353451625631</v>
      </c>
      <c r="T85" s="9">
        <v>37.238239465518063</v>
      </c>
      <c r="U85" s="9">
        <v>35.210350946199313</v>
      </c>
      <c r="V85" s="9">
        <v>34.861027052856556</v>
      </c>
      <c r="W85" s="9">
        <v>34.712860868064851</v>
      </c>
      <c r="X85" s="9">
        <v>36.13712997822762</v>
      </c>
    </row>
    <row r="86" spans="1:24" x14ac:dyDescent="0.25">
      <c r="A86" s="8" t="s">
        <v>123</v>
      </c>
      <c r="B86" s="4" t="s">
        <v>27</v>
      </c>
      <c r="C86" s="4" t="s">
        <v>28</v>
      </c>
      <c r="D86" s="4" t="s">
        <v>23</v>
      </c>
      <c r="E86" s="9">
        <v>3</v>
      </c>
      <c r="F86" s="9">
        <v>5</v>
      </c>
      <c r="G86" s="9">
        <v>6</v>
      </c>
      <c r="H86" s="9">
        <v>8</v>
      </c>
      <c r="I86" s="9">
        <v>7</v>
      </c>
      <c r="J86" s="9">
        <v>6</v>
      </c>
      <c r="K86" s="9">
        <v>8</v>
      </c>
      <c r="L86" s="9">
        <v>8</v>
      </c>
      <c r="M86" s="9">
        <v>6</v>
      </c>
      <c r="N86" s="9">
        <v>10</v>
      </c>
      <c r="O86" s="9">
        <v>8</v>
      </c>
      <c r="P86" s="9">
        <v>8</v>
      </c>
      <c r="Q86" s="9">
        <v>9</v>
      </c>
      <c r="R86" s="9">
        <v>13.565152869472961</v>
      </c>
      <c r="S86" s="9">
        <v>6.9078846849792059</v>
      </c>
      <c r="T86" s="9">
        <v>8.8668338011586751</v>
      </c>
      <c r="U86" s="9">
        <v>8.0426380077849053</v>
      </c>
      <c r="V86" s="9">
        <v>7.767703190158417</v>
      </c>
      <c r="W86" s="9">
        <v>8.6411791061535066</v>
      </c>
      <c r="X86" s="9">
        <v>7.8840541965887052</v>
      </c>
    </row>
    <row r="87" spans="1:24" x14ac:dyDescent="0.25">
      <c r="A87" s="8" t="s">
        <v>124</v>
      </c>
      <c r="B87" s="4" t="s">
        <v>21</v>
      </c>
      <c r="C87" s="4" t="s">
        <v>22</v>
      </c>
      <c r="D87" s="4" t="s">
        <v>25</v>
      </c>
      <c r="E87" s="9">
        <v>4895</v>
      </c>
      <c r="F87" s="9">
        <v>5024</v>
      </c>
      <c r="G87" s="9">
        <v>4959</v>
      </c>
      <c r="H87" s="9">
        <v>5152</v>
      </c>
      <c r="I87" s="9">
        <v>5202</v>
      </c>
      <c r="J87" s="9">
        <v>5206</v>
      </c>
      <c r="K87" s="9">
        <v>5228</v>
      </c>
      <c r="L87" s="9">
        <v>5579</v>
      </c>
      <c r="M87" s="9">
        <v>5533</v>
      </c>
      <c r="N87" s="9">
        <v>5595</v>
      </c>
      <c r="O87" s="9">
        <v>5578</v>
      </c>
      <c r="P87" s="9">
        <v>5855</v>
      </c>
      <c r="Q87" s="9">
        <v>5785</v>
      </c>
      <c r="R87" s="9">
        <v>5868.4102571716912</v>
      </c>
      <c r="S87" s="9">
        <v>5850.4267001026565</v>
      </c>
      <c r="T87" s="9">
        <v>6177.2641341691215</v>
      </c>
      <c r="U87" s="9">
        <v>6058.5696149177793</v>
      </c>
      <c r="V87" s="9">
        <v>6135.6032417578008</v>
      </c>
      <c r="W87" s="9">
        <v>6102.7681808945335</v>
      </c>
      <c r="X87" s="9">
        <v>6421.06062305048</v>
      </c>
    </row>
    <row r="88" spans="1:24" x14ac:dyDescent="0.25">
      <c r="A88" s="8" t="s">
        <v>123</v>
      </c>
      <c r="B88" s="4" t="s">
        <v>27</v>
      </c>
      <c r="C88" s="4" t="s">
        <v>28</v>
      </c>
      <c r="D88" s="4" t="s">
        <v>25</v>
      </c>
      <c r="E88" s="9">
        <v>7</v>
      </c>
      <c r="F88" s="9">
        <v>7</v>
      </c>
      <c r="G88" s="9">
        <v>6</v>
      </c>
      <c r="H88" s="9">
        <v>4</v>
      </c>
      <c r="I88" s="9">
        <v>6</v>
      </c>
      <c r="J88" s="9">
        <v>4</v>
      </c>
      <c r="K88" s="9">
        <v>5</v>
      </c>
      <c r="L88" s="9">
        <v>8</v>
      </c>
      <c r="M88" s="9">
        <v>7</v>
      </c>
      <c r="N88" s="9">
        <v>7</v>
      </c>
      <c r="O88" s="9">
        <v>7</v>
      </c>
      <c r="P88" s="9">
        <v>5</v>
      </c>
      <c r="Q88" s="9">
        <v>4</v>
      </c>
      <c r="R88" s="9">
        <v>4.9068760236374409</v>
      </c>
      <c r="S88" s="9">
        <v>4.7983164086846992</v>
      </c>
      <c r="T88" s="9">
        <v>5.0348561966583869</v>
      </c>
      <c r="U88" s="9">
        <v>4.8039607698256797</v>
      </c>
      <c r="V88" s="9">
        <v>4.7206595399167917</v>
      </c>
      <c r="W88" s="9">
        <v>4.7008608808431482</v>
      </c>
      <c r="X88" s="9">
        <v>4.6217239085945208</v>
      </c>
    </row>
    <row r="89" spans="1:24" x14ac:dyDescent="0.25">
      <c r="A89" s="8" t="s">
        <v>125</v>
      </c>
      <c r="B89" s="4" t="s">
        <v>21</v>
      </c>
      <c r="C89" s="4" t="s">
        <v>22</v>
      </c>
      <c r="D89" s="4" t="s">
        <v>30</v>
      </c>
      <c r="E89" s="9">
        <v>29820</v>
      </c>
      <c r="F89" s="9">
        <v>32332</v>
      </c>
      <c r="G89" s="9">
        <v>34342</v>
      </c>
      <c r="H89" s="9">
        <v>43559</v>
      </c>
      <c r="I89" s="9">
        <v>34596</v>
      </c>
      <c r="J89" s="9">
        <v>36201</v>
      </c>
      <c r="K89" s="9">
        <v>37864</v>
      </c>
      <c r="L89" s="9">
        <v>47485</v>
      </c>
      <c r="M89" s="9">
        <v>36512</v>
      </c>
      <c r="N89" s="9">
        <v>40348</v>
      </c>
      <c r="O89" s="9">
        <v>42486</v>
      </c>
      <c r="P89" s="9">
        <v>52816</v>
      </c>
      <c r="Q89" s="9">
        <v>41578</v>
      </c>
      <c r="R89" s="9">
        <v>46146.691824422982</v>
      </c>
      <c r="S89" s="9">
        <v>46445.881168592125</v>
      </c>
      <c r="T89" s="9">
        <v>58680.709700617379</v>
      </c>
      <c r="U89" s="9">
        <v>45599.59076718369</v>
      </c>
      <c r="V89" s="9">
        <v>50714.319328371203</v>
      </c>
      <c r="W89" s="9">
        <v>51083.503591323766</v>
      </c>
      <c r="X89" s="9">
        <v>64126.357196990954</v>
      </c>
    </row>
    <row r="90" spans="1:24" x14ac:dyDescent="0.25">
      <c r="A90" s="8" t="s">
        <v>123</v>
      </c>
      <c r="B90" s="4" t="s">
        <v>27</v>
      </c>
      <c r="C90" s="4" t="s">
        <v>28</v>
      </c>
      <c r="D90" s="4" t="s">
        <v>30</v>
      </c>
      <c r="E90" s="9">
        <v>20</v>
      </c>
      <c r="F90" s="9">
        <v>18</v>
      </c>
      <c r="G90" s="9">
        <v>18</v>
      </c>
      <c r="H90" s="9">
        <v>19</v>
      </c>
      <c r="I90" s="9">
        <v>16</v>
      </c>
      <c r="J90" s="9">
        <v>13</v>
      </c>
      <c r="K90" s="9">
        <v>10</v>
      </c>
      <c r="L90" s="9">
        <v>9</v>
      </c>
      <c r="M90" s="9">
        <v>7</v>
      </c>
      <c r="N90" s="9">
        <v>10</v>
      </c>
      <c r="O90" s="9">
        <v>11</v>
      </c>
      <c r="P90" s="9">
        <v>10</v>
      </c>
      <c r="Q90" s="9">
        <v>12</v>
      </c>
      <c r="R90" s="9">
        <v>14.534351531616164</v>
      </c>
      <c r="S90" s="9">
        <v>9.1661342623981739</v>
      </c>
      <c r="T90" s="9">
        <v>10.835026924594503</v>
      </c>
      <c r="U90" s="9">
        <v>9.2094196794135748</v>
      </c>
      <c r="V90" s="9">
        <v>9.3117615221414418</v>
      </c>
      <c r="W90" s="9">
        <v>10.185578044303448</v>
      </c>
      <c r="X90" s="9">
        <v>9.39048306966715</v>
      </c>
    </row>
    <row r="91" spans="1:24" x14ac:dyDescent="0.25">
      <c r="A91" s="8" t="s">
        <v>126</v>
      </c>
      <c r="B91" s="4" t="s">
        <v>21</v>
      </c>
      <c r="C91" s="4" t="s">
        <v>22</v>
      </c>
      <c r="D91" s="4" t="s">
        <v>34</v>
      </c>
      <c r="E91" s="9">
        <v>9657</v>
      </c>
      <c r="F91" s="9">
        <v>9894</v>
      </c>
      <c r="G91" s="9">
        <v>10170</v>
      </c>
      <c r="H91" s="9">
        <v>10488</v>
      </c>
      <c r="I91" s="9">
        <v>10722</v>
      </c>
      <c r="J91" s="9">
        <v>10866</v>
      </c>
      <c r="K91" s="9">
        <v>11278</v>
      </c>
      <c r="L91" s="9">
        <v>11508</v>
      </c>
      <c r="M91" s="9">
        <v>11715</v>
      </c>
      <c r="N91" s="9">
        <v>12208</v>
      </c>
      <c r="O91" s="9">
        <v>12574</v>
      </c>
      <c r="P91" s="9">
        <v>13122</v>
      </c>
      <c r="Q91" s="9">
        <v>13427</v>
      </c>
      <c r="R91" s="9">
        <v>13752.070904319286</v>
      </c>
      <c r="S91" s="9">
        <v>13954.415962306066</v>
      </c>
      <c r="T91" s="9">
        <v>14517.541199602523</v>
      </c>
      <c r="U91" s="9">
        <v>14619.232602605864</v>
      </c>
      <c r="V91" s="9">
        <v>15001.004410048043</v>
      </c>
      <c r="W91" s="9">
        <v>15230.399489888507</v>
      </c>
      <c r="X91" s="9">
        <v>15892.849903901628</v>
      </c>
    </row>
    <row r="92" spans="1:24" x14ac:dyDescent="0.25">
      <c r="A92" s="8" t="s">
        <v>123</v>
      </c>
      <c r="B92" s="4" t="s">
        <v>27</v>
      </c>
      <c r="C92" s="4" t="s">
        <v>28</v>
      </c>
      <c r="D92" s="4" t="s">
        <v>34</v>
      </c>
      <c r="E92" s="9">
        <v>17</v>
      </c>
      <c r="F92" s="9">
        <v>14</v>
      </c>
      <c r="G92" s="9">
        <v>13</v>
      </c>
      <c r="H92" s="9">
        <v>13</v>
      </c>
      <c r="I92" s="9">
        <v>11</v>
      </c>
      <c r="J92" s="9">
        <v>11</v>
      </c>
      <c r="K92" s="9">
        <v>11</v>
      </c>
      <c r="L92" s="9">
        <v>10</v>
      </c>
      <c r="M92" s="9">
        <v>11</v>
      </c>
      <c r="N92" s="9">
        <v>11</v>
      </c>
      <c r="O92" s="9">
        <v>10</v>
      </c>
      <c r="P92" s="9">
        <v>12</v>
      </c>
      <c r="Q92" s="9">
        <v>12</v>
      </c>
      <c r="R92" s="9">
        <v>12.750506604532324</v>
      </c>
      <c r="S92" s="9">
        <v>10.829072927504946</v>
      </c>
      <c r="T92" s="9">
        <v>10.624328716480999</v>
      </c>
      <c r="U92" s="9">
        <v>9.3049218212756397</v>
      </c>
      <c r="V92" s="9">
        <v>9.418693205261329</v>
      </c>
      <c r="W92" s="9">
        <v>10.053397391563676</v>
      </c>
      <c r="X92" s="9">
        <v>10.484215671347485</v>
      </c>
    </row>
    <row r="93" spans="1:24" x14ac:dyDescent="0.25">
      <c r="A93" s="8" t="s">
        <v>127</v>
      </c>
      <c r="B93" s="4" t="s">
        <v>21</v>
      </c>
      <c r="C93" s="4" t="s">
        <v>22</v>
      </c>
      <c r="D93" s="4" t="s">
        <v>32</v>
      </c>
      <c r="E93" s="9">
        <v>9509</v>
      </c>
      <c r="F93" s="9">
        <v>10683</v>
      </c>
      <c r="G93" s="9">
        <v>12060</v>
      </c>
      <c r="H93" s="9">
        <v>14654</v>
      </c>
      <c r="I93" s="9">
        <v>11824</v>
      </c>
      <c r="J93" s="9">
        <v>12771</v>
      </c>
      <c r="K93" s="9">
        <v>14331</v>
      </c>
      <c r="L93" s="9">
        <v>17288</v>
      </c>
      <c r="M93" s="9">
        <v>13921</v>
      </c>
      <c r="N93" s="9">
        <v>15694</v>
      </c>
      <c r="O93" s="9">
        <v>17703</v>
      </c>
      <c r="P93" s="9">
        <v>21317</v>
      </c>
      <c r="Q93" s="9">
        <v>17243</v>
      </c>
      <c r="R93" s="9">
        <v>19307.123771901573</v>
      </c>
      <c r="S93" s="9">
        <v>21019.420185029234</v>
      </c>
      <c r="T93" s="9">
        <v>25422.304122361707</v>
      </c>
      <c r="U93" s="9">
        <v>20284.404659251231</v>
      </c>
      <c r="V93" s="9">
        <v>22743.483229831309</v>
      </c>
      <c r="W93" s="9">
        <v>24716.739238479895</v>
      </c>
      <c r="X93" s="9">
        <v>29885.374216240853</v>
      </c>
    </row>
    <row r="94" spans="1:24" x14ac:dyDescent="0.25">
      <c r="A94" s="8" t="s">
        <v>123</v>
      </c>
      <c r="B94" s="4" t="s">
        <v>27</v>
      </c>
      <c r="C94" s="4" t="s">
        <v>28</v>
      </c>
      <c r="D94" s="4" t="s">
        <v>32</v>
      </c>
      <c r="E94" s="9">
        <v>23</v>
      </c>
      <c r="F94" s="9">
        <v>22</v>
      </c>
      <c r="G94" s="9">
        <v>25</v>
      </c>
      <c r="H94" s="9">
        <v>26</v>
      </c>
      <c r="I94" s="9">
        <v>24</v>
      </c>
      <c r="J94" s="9">
        <v>20</v>
      </c>
      <c r="K94" s="9">
        <v>19</v>
      </c>
      <c r="L94" s="9">
        <v>18</v>
      </c>
      <c r="M94" s="9">
        <v>19</v>
      </c>
      <c r="N94" s="9">
        <v>22</v>
      </c>
      <c r="O94" s="9">
        <v>22</v>
      </c>
      <c r="P94" s="9">
        <v>22</v>
      </c>
      <c r="Q94" s="9">
        <v>22</v>
      </c>
      <c r="R94" s="9">
        <v>22.821332208696248</v>
      </c>
      <c r="S94" s="9">
        <v>18.665431883308777</v>
      </c>
      <c r="T94" s="9">
        <v>19.10659509930468</v>
      </c>
      <c r="U94" s="9">
        <v>18.225012100597471</v>
      </c>
      <c r="V94" s="9">
        <v>18.512300734720036</v>
      </c>
      <c r="W94" s="9">
        <v>18.157758525324976</v>
      </c>
      <c r="X94" s="9">
        <v>17.997103712891334</v>
      </c>
    </row>
    <row r="95" spans="1:24" x14ac:dyDescent="0.25">
      <c r="A95" s="8" t="s">
        <v>128</v>
      </c>
      <c r="B95" s="4" t="s">
        <v>21</v>
      </c>
      <c r="C95" s="4" t="s">
        <v>22</v>
      </c>
      <c r="D95" s="4" t="s">
        <v>38</v>
      </c>
      <c r="E95" s="9">
        <v>1027</v>
      </c>
      <c r="F95" s="9">
        <v>1344</v>
      </c>
      <c r="G95" s="9">
        <v>1226</v>
      </c>
      <c r="H95" s="9">
        <v>1361</v>
      </c>
      <c r="I95" s="9">
        <v>1262</v>
      </c>
      <c r="J95" s="9">
        <v>1260</v>
      </c>
      <c r="K95" s="9">
        <v>1313</v>
      </c>
      <c r="L95" s="9">
        <v>1590</v>
      </c>
      <c r="M95" s="9">
        <v>1312</v>
      </c>
      <c r="N95" s="9">
        <v>1499</v>
      </c>
      <c r="O95" s="9">
        <v>1415</v>
      </c>
      <c r="P95" s="9">
        <v>1709</v>
      </c>
      <c r="Q95" s="9">
        <v>1645</v>
      </c>
      <c r="R95" s="9">
        <v>1658.2492750464987</v>
      </c>
      <c r="S95" s="9">
        <v>1548.2731650541195</v>
      </c>
      <c r="T95" s="9">
        <v>1778.4988942605473</v>
      </c>
      <c r="U95" s="9">
        <v>1963.7226839378152</v>
      </c>
      <c r="V95" s="9">
        <v>2064.047091501317</v>
      </c>
      <c r="W95" s="9">
        <v>1775.4025258056115</v>
      </c>
      <c r="X95" s="9">
        <v>1807.5747807715527</v>
      </c>
    </row>
    <row r="96" spans="1:24" x14ac:dyDescent="0.25">
      <c r="A96" s="8" t="s">
        <v>123</v>
      </c>
      <c r="B96" s="4" t="s">
        <v>27</v>
      </c>
      <c r="C96" s="4" t="s">
        <v>28</v>
      </c>
      <c r="D96" s="4" t="s">
        <v>38</v>
      </c>
      <c r="E96" s="9">
        <v>57</v>
      </c>
      <c r="F96" s="9">
        <v>26</v>
      </c>
      <c r="G96" s="9">
        <v>-3</v>
      </c>
      <c r="H96" s="9">
        <v>8</v>
      </c>
      <c r="I96" s="9">
        <v>23</v>
      </c>
      <c r="J96" s="9">
        <v>-6</v>
      </c>
      <c r="K96" s="9">
        <v>5</v>
      </c>
      <c r="L96" s="9">
        <v>17</v>
      </c>
      <c r="M96" s="9">
        <v>4</v>
      </c>
      <c r="N96" s="9">
        <v>22</v>
      </c>
      <c r="O96" s="9">
        <v>7</v>
      </c>
      <c r="P96" s="9">
        <v>7</v>
      </c>
      <c r="Q96" s="9">
        <v>25</v>
      </c>
      <c r="R96" s="9">
        <v>9.0150311765057367</v>
      </c>
      <c r="S96" s="9">
        <v>9.5346057061993772</v>
      </c>
      <c r="T96" s="9">
        <v>9.3547850158202479</v>
      </c>
      <c r="U96" s="9">
        <v>1.7763614507671419</v>
      </c>
      <c r="V96" s="9">
        <v>1.6894974609988016</v>
      </c>
      <c r="W96" s="9">
        <v>1.5012531463161154</v>
      </c>
      <c r="X96" s="9">
        <v>1.5</v>
      </c>
    </row>
    <row r="97" spans="1:24" x14ac:dyDescent="0.25">
      <c r="A97" s="8" t="s">
        <v>14</v>
      </c>
      <c r="B97" s="4"/>
      <c r="C97" s="4"/>
      <c r="D97" s="4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</row>
    <row r="98" spans="1:24" x14ac:dyDescent="0.25">
      <c r="A98" s="8" t="s">
        <v>129</v>
      </c>
      <c r="B98" s="4"/>
      <c r="C98" s="4"/>
      <c r="D98" s="4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</row>
    <row r="99" spans="1:24" x14ac:dyDescent="0.25">
      <c r="A99" s="8" t="s">
        <v>118</v>
      </c>
      <c r="B99" s="4" t="s">
        <v>21</v>
      </c>
      <c r="C99" s="4" t="s">
        <v>22</v>
      </c>
      <c r="D99" s="4" t="s">
        <v>36</v>
      </c>
      <c r="E99" s="9">
        <v>21354</v>
      </c>
      <c r="F99" s="9">
        <v>22140</v>
      </c>
      <c r="G99" s="9">
        <v>23059</v>
      </c>
      <c r="H99" s="9">
        <v>24204</v>
      </c>
      <c r="I99" s="9">
        <v>25037</v>
      </c>
      <c r="J99" s="9">
        <v>26281</v>
      </c>
      <c r="K99" s="9">
        <v>27452</v>
      </c>
      <c r="L99" s="9">
        <v>28786</v>
      </c>
      <c r="M99" s="9">
        <v>29267</v>
      </c>
      <c r="N99" s="9">
        <v>30873</v>
      </c>
      <c r="O99" s="9">
        <v>33006</v>
      </c>
      <c r="P99" s="9">
        <v>35579</v>
      </c>
      <c r="Q99" s="9">
        <v>37587</v>
      </c>
      <c r="R99" s="9">
        <v>40538.304457795231</v>
      </c>
      <c r="S99" s="9">
        <v>43323.187466633666</v>
      </c>
      <c r="T99" s="9">
        <v>46810.539523764033</v>
      </c>
      <c r="U99" s="9">
        <v>49323.367392779655</v>
      </c>
      <c r="V99" s="9">
        <v>52806.172794055354</v>
      </c>
      <c r="W99" s="9">
        <v>56190.597404263557</v>
      </c>
      <c r="X99" s="9">
        <v>60458.752063611289</v>
      </c>
    </row>
    <row r="100" spans="1:24" x14ac:dyDescent="0.25">
      <c r="A100" s="8" t="s">
        <v>130</v>
      </c>
      <c r="B100" s="4" t="s">
        <v>121</v>
      </c>
      <c r="C100" s="4" t="s">
        <v>122</v>
      </c>
      <c r="D100" s="4" t="s">
        <v>36</v>
      </c>
      <c r="E100" s="9">
        <v>17</v>
      </c>
      <c r="F100" s="9">
        <v>17</v>
      </c>
      <c r="G100" s="9">
        <v>16</v>
      </c>
      <c r="H100" s="9">
        <v>14</v>
      </c>
      <c r="I100" s="9">
        <v>18</v>
      </c>
      <c r="J100" s="9">
        <v>18</v>
      </c>
      <c r="K100" s="9">
        <v>17</v>
      </c>
      <c r="L100" s="9">
        <v>15</v>
      </c>
      <c r="M100" s="9">
        <v>19</v>
      </c>
      <c r="N100" s="9">
        <v>18</v>
      </c>
      <c r="O100" s="9">
        <v>18</v>
      </c>
      <c r="P100" s="9">
        <v>17</v>
      </c>
      <c r="Q100" s="9">
        <v>21</v>
      </c>
      <c r="R100" s="9">
        <v>16.572752883368508</v>
      </c>
      <c r="S100" s="9">
        <v>19.296234883949115</v>
      </c>
      <c r="T100" s="9">
        <v>17.976868453937026</v>
      </c>
      <c r="U100" s="9">
        <v>22.444321573367755</v>
      </c>
      <c r="V100" s="9">
        <v>22.222525707910282</v>
      </c>
      <c r="W100" s="9">
        <v>22.716024688286055</v>
      </c>
      <c r="X100" s="9">
        <v>21.096770820368892</v>
      </c>
    </row>
    <row r="101" spans="1:24" x14ac:dyDescent="0.25">
      <c r="A101" s="8" t="s">
        <v>26</v>
      </c>
      <c r="B101" s="4" t="s">
        <v>27</v>
      </c>
      <c r="C101" s="4" t="s">
        <v>28</v>
      </c>
      <c r="D101" s="4" t="s">
        <v>36</v>
      </c>
      <c r="E101" s="9">
        <v>16</v>
      </c>
      <c r="F101" s="9">
        <v>12</v>
      </c>
      <c r="G101" s="9">
        <v>12</v>
      </c>
      <c r="H101" s="9">
        <v>13</v>
      </c>
      <c r="I101" s="9">
        <v>17</v>
      </c>
      <c r="J101" s="9">
        <v>19</v>
      </c>
      <c r="K101" s="9">
        <v>19</v>
      </c>
      <c r="L101" s="9">
        <v>19</v>
      </c>
      <c r="M101" s="9">
        <v>17</v>
      </c>
      <c r="N101" s="9">
        <v>17</v>
      </c>
      <c r="O101" s="9">
        <v>20</v>
      </c>
      <c r="P101" s="9">
        <v>24</v>
      </c>
      <c r="Q101" s="9">
        <v>28</v>
      </c>
      <c r="R101" s="9">
        <v>31.162100113409817</v>
      </c>
      <c r="S101" s="9">
        <v>31.321232437143586</v>
      </c>
      <c r="T101" s="9">
        <v>31.893409943872175</v>
      </c>
      <c r="U101" s="9">
        <v>32.070861957993223</v>
      </c>
      <c r="V101" s="9">
        <v>31.347215204620348</v>
      </c>
      <c r="W101" s="9">
        <v>29.922222474246457</v>
      </c>
      <c r="X101" s="9">
        <v>28.663413171827774</v>
      </c>
    </row>
    <row r="102" spans="1:24" x14ac:dyDescent="0.25">
      <c r="A102" s="8" t="s">
        <v>131</v>
      </c>
      <c r="B102" s="4" t="s">
        <v>132</v>
      </c>
      <c r="C102" s="4" t="s">
        <v>133</v>
      </c>
      <c r="D102" s="4" t="s">
        <v>36</v>
      </c>
      <c r="E102" s="9">
        <v>16231</v>
      </c>
      <c r="F102" s="9">
        <v>16775</v>
      </c>
      <c r="G102" s="9">
        <v>16083</v>
      </c>
      <c r="H102" s="9">
        <v>17037</v>
      </c>
      <c r="I102" s="9">
        <v>15616</v>
      </c>
      <c r="J102" s="9">
        <v>16947</v>
      </c>
      <c r="K102" s="9">
        <v>17005</v>
      </c>
      <c r="L102" s="9">
        <v>18154</v>
      </c>
      <c r="M102" s="9">
        <v>17720</v>
      </c>
      <c r="N102" s="9">
        <v>20713</v>
      </c>
      <c r="O102" s="9">
        <v>21572</v>
      </c>
      <c r="P102" s="9">
        <v>23114</v>
      </c>
      <c r="Q102" s="9">
        <v>23426</v>
      </c>
      <c r="R102" s="9">
        <v>24166.882122471368</v>
      </c>
      <c r="S102" s="9">
        <v>25322.841736624679</v>
      </c>
      <c r="T102" s="9">
        <v>31177.888273186258</v>
      </c>
      <c r="U102" s="9">
        <v>32087.064537728551</v>
      </c>
      <c r="V102" s="9">
        <v>36987.709030656253</v>
      </c>
      <c r="W102" s="9">
        <v>39320.816347963198</v>
      </c>
      <c r="X102" s="9">
        <v>42042.216518769055</v>
      </c>
    </row>
    <row r="103" spans="1:24" x14ac:dyDescent="0.25">
      <c r="A103" s="8" t="s">
        <v>134</v>
      </c>
      <c r="B103" s="4" t="s">
        <v>135</v>
      </c>
      <c r="C103" s="4" t="s">
        <v>136</v>
      </c>
      <c r="D103" s="4" t="s">
        <v>36</v>
      </c>
      <c r="E103" s="9">
        <v>5123</v>
      </c>
      <c r="F103" s="9">
        <v>5365</v>
      </c>
      <c r="G103" s="9">
        <v>6976</v>
      </c>
      <c r="H103" s="9">
        <v>7167</v>
      </c>
      <c r="I103" s="9">
        <v>9421</v>
      </c>
      <c r="J103" s="9">
        <v>9334</v>
      </c>
      <c r="K103" s="9">
        <v>10447</v>
      </c>
      <c r="L103" s="9">
        <v>10632</v>
      </c>
      <c r="M103" s="9">
        <v>11547</v>
      </c>
      <c r="N103" s="9">
        <v>10160</v>
      </c>
      <c r="O103" s="9">
        <v>11434</v>
      </c>
      <c r="P103" s="9">
        <v>12465</v>
      </c>
      <c r="Q103" s="9">
        <v>14161</v>
      </c>
      <c r="R103" s="9">
        <v>13681.55919378631</v>
      </c>
      <c r="S103" s="9">
        <v>15035.837389736551</v>
      </c>
      <c r="T103" s="9">
        <v>16476.986402128015</v>
      </c>
      <c r="U103" s="9">
        <v>18329.27045181318</v>
      </c>
      <c r="V103" s="9">
        <v>17919.42898454627</v>
      </c>
      <c r="W103" s="9">
        <v>19481.284830463475</v>
      </c>
      <c r="X103" s="9">
        <v>21082.468657480676</v>
      </c>
    </row>
    <row r="104" spans="1:24" x14ac:dyDescent="0.25">
      <c r="A104" s="8" t="s">
        <v>43</v>
      </c>
      <c r="B104" s="4" t="s">
        <v>44</v>
      </c>
      <c r="C104" s="4" t="s">
        <v>45</v>
      </c>
      <c r="D104" s="4" t="s">
        <v>36</v>
      </c>
      <c r="E104" s="9">
        <v>24</v>
      </c>
      <c r="F104" s="9">
        <v>24.2</v>
      </c>
      <c r="G104" s="9">
        <v>30.3</v>
      </c>
      <c r="H104" s="9">
        <v>29.6</v>
      </c>
      <c r="I104" s="9">
        <v>37.6</v>
      </c>
      <c r="J104" s="9">
        <v>35.5</v>
      </c>
      <c r="K104" s="9">
        <v>38.1</v>
      </c>
      <c r="L104" s="9">
        <v>36.9</v>
      </c>
      <c r="M104" s="9">
        <v>39.5</v>
      </c>
      <c r="N104" s="9">
        <v>32.9</v>
      </c>
      <c r="O104" s="9">
        <v>34.6</v>
      </c>
      <c r="P104" s="9">
        <v>35</v>
      </c>
      <c r="Q104" s="9">
        <v>37.700000000000003</v>
      </c>
      <c r="R104" s="9">
        <v>33.520419095947837</v>
      </c>
      <c r="S104" s="9">
        <v>34.39457958096915</v>
      </c>
      <c r="T104" s="9">
        <v>34.668336885371154</v>
      </c>
      <c r="U104" s="9">
        <v>36.191636075039462</v>
      </c>
      <c r="V104" s="9">
        <v>33.054861533676437</v>
      </c>
      <c r="W104" s="9">
        <v>33.653523460022221</v>
      </c>
      <c r="X104" s="9">
        <v>33.880080676905742</v>
      </c>
    </row>
    <row r="105" spans="1:24" x14ac:dyDescent="0.25">
      <c r="A105" s="8" t="s">
        <v>137</v>
      </c>
      <c r="B105" s="4" t="s">
        <v>138</v>
      </c>
      <c r="C105" s="4" t="s">
        <v>139</v>
      </c>
      <c r="D105" s="4" t="s">
        <v>36</v>
      </c>
      <c r="E105" s="9" t="s">
        <v>666</v>
      </c>
      <c r="F105" s="9" t="s">
        <v>666</v>
      </c>
      <c r="G105" s="9" t="s">
        <v>666</v>
      </c>
      <c r="H105" s="9" t="s">
        <v>666</v>
      </c>
      <c r="I105" s="9" t="s">
        <v>666</v>
      </c>
      <c r="J105" s="9" t="s">
        <v>666</v>
      </c>
      <c r="K105" s="9" t="s">
        <v>666</v>
      </c>
      <c r="L105" s="9">
        <v>13320</v>
      </c>
      <c r="M105" s="9">
        <v>4390</v>
      </c>
      <c r="N105" s="9">
        <v>4844</v>
      </c>
      <c r="O105" s="9">
        <v>5648</v>
      </c>
      <c r="P105" s="9">
        <v>6568</v>
      </c>
      <c r="Q105" s="9">
        <v>7277</v>
      </c>
      <c r="R105" s="9">
        <v>8800.9817570464857</v>
      </c>
      <c r="S105" s="9">
        <v>9829.8909783491526</v>
      </c>
      <c r="T105" s="9">
        <v>12210.892077763123</v>
      </c>
      <c r="U105" s="9">
        <v>14965.012713133276</v>
      </c>
      <c r="V105" s="9">
        <v>16235.026264538299</v>
      </c>
      <c r="W105" s="9">
        <v>17694.936437682667</v>
      </c>
      <c r="X105" s="9">
        <v>19172.833866212437</v>
      </c>
    </row>
    <row r="106" spans="1:24" x14ac:dyDescent="0.25">
      <c r="A106" s="8" t="s">
        <v>140</v>
      </c>
      <c r="B106" s="4" t="s">
        <v>141</v>
      </c>
      <c r="C106" s="4" t="s">
        <v>142</v>
      </c>
      <c r="D106" s="4" t="s">
        <v>36</v>
      </c>
      <c r="E106" s="9" t="s">
        <v>666</v>
      </c>
      <c r="F106" s="9" t="s">
        <v>666</v>
      </c>
      <c r="G106" s="9" t="s">
        <v>666</v>
      </c>
      <c r="H106" s="9">
        <v>72701</v>
      </c>
      <c r="I106" s="9" t="s">
        <v>666</v>
      </c>
      <c r="J106" s="9" t="s">
        <v>666</v>
      </c>
      <c r="K106" s="9" t="s">
        <v>666</v>
      </c>
      <c r="L106" s="9">
        <v>110683</v>
      </c>
      <c r="M106" s="9" t="s">
        <v>666</v>
      </c>
      <c r="N106" s="9">
        <v>140636</v>
      </c>
      <c r="O106" s="9">
        <v>165106</v>
      </c>
      <c r="P106" s="9">
        <v>190055</v>
      </c>
      <c r="Q106" s="9">
        <v>223056</v>
      </c>
      <c r="R106" s="9">
        <v>250621.47764129794</v>
      </c>
      <c r="S106" s="9">
        <v>278828.19520165923</v>
      </c>
      <c r="T106" s="9">
        <v>310073.49643025984</v>
      </c>
      <c r="U106" s="9">
        <v>337524.04730507825</v>
      </c>
      <c r="V106" s="9">
        <v>380811.39768748224</v>
      </c>
      <c r="W106" s="9">
        <v>419812.162981481</v>
      </c>
      <c r="X106" s="9">
        <v>461629.84138037148</v>
      </c>
    </row>
    <row r="107" spans="1:24" x14ac:dyDescent="0.25">
      <c r="A107" s="8" t="s">
        <v>143</v>
      </c>
      <c r="B107" s="4" t="s">
        <v>144</v>
      </c>
      <c r="C107" s="4" t="s">
        <v>145</v>
      </c>
      <c r="D107" s="4" t="s">
        <v>36</v>
      </c>
      <c r="E107" s="9" t="s">
        <v>666</v>
      </c>
      <c r="F107" s="9" t="s">
        <v>666</v>
      </c>
      <c r="G107" s="9" t="s">
        <v>666</v>
      </c>
      <c r="H107" s="9" t="s">
        <v>666</v>
      </c>
      <c r="I107" s="9" t="s">
        <v>666</v>
      </c>
      <c r="J107" s="9" t="s">
        <v>666</v>
      </c>
      <c r="K107" s="9" t="s">
        <v>666</v>
      </c>
      <c r="L107" s="9" t="s">
        <v>666</v>
      </c>
      <c r="M107" s="9">
        <v>20464</v>
      </c>
      <c r="N107" s="9">
        <v>16043</v>
      </c>
      <c r="O107" s="9">
        <v>28301</v>
      </c>
      <c r="P107" s="9">
        <v>31688</v>
      </c>
      <c r="Q107" s="9">
        <v>41516</v>
      </c>
      <c r="R107" s="9">
        <v>38623.890745591721</v>
      </c>
      <c r="S107" s="9">
        <v>39504.855004728015</v>
      </c>
      <c r="T107" s="9">
        <v>44307.626917643109</v>
      </c>
      <c r="U107" s="9">
        <v>43734.054679177272</v>
      </c>
      <c r="V107" s="9">
        <v>55962.055774497661</v>
      </c>
      <c r="W107" s="9">
        <v>55163.847336897765</v>
      </c>
      <c r="X107" s="9">
        <v>59354.194883720193</v>
      </c>
    </row>
    <row r="108" spans="1:24" x14ac:dyDescent="0.25">
      <c r="A108" s="8" t="s">
        <v>146</v>
      </c>
      <c r="B108" s="4" t="s">
        <v>147</v>
      </c>
      <c r="C108" s="4" t="s">
        <v>148</v>
      </c>
      <c r="D108" s="4" t="s">
        <v>36</v>
      </c>
      <c r="E108" s="9">
        <v>17</v>
      </c>
      <c r="F108" s="9">
        <v>17</v>
      </c>
      <c r="G108" s="9">
        <v>16</v>
      </c>
      <c r="H108" s="9">
        <v>14</v>
      </c>
      <c r="I108" s="9">
        <v>18</v>
      </c>
      <c r="J108" s="9">
        <v>18</v>
      </c>
      <c r="K108" s="9">
        <v>17</v>
      </c>
      <c r="L108" s="9">
        <v>15</v>
      </c>
      <c r="M108" s="9">
        <v>19</v>
      </c>
      <c r="N108" s="9">
        <v>18</v>
      </c>
      <c r="O108" s="9">
        <v>18</v>
      </c>
      <c r="P108" s="9">
        <v>17</v>
      </c>
      <c r="Q108" s="9">
        <v>21</v>
      </c>
      <c r="R108" s="9">
        <v>19.564487322882695</v>
      </c>
      <c r="S108" s="9">
        <v>20.387466497863915</v>
      </c>
      <c r="T108" s="9">
        <v>19.43438774119468</v>
      </c>
      <c r="U108" s="9">
        <v>19.931256707975209</v>
      </c>
      <c r="V108" s="9">
        <v>19.490302340348155</v>
      </c>
      <c r="W108" s="9">
        <v>19.979061410463451</v>
      </c>
      <c r="X108" s="9">
        <v>18.635241854910035</v>
      </c>
    </row>
    <row r="109" spans="1:24" x14ac:dyDescent="0.25">
      <c r="A109" s="8" t="s">
        <v>14</v>
      </c>
      <c r="B109" s="4"/>
      <c r="C109" s="4"/>
      <c r="D109" s="4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</row>
    <row r="110" spans="1:24" x14ac:dyDescent="0.25">
      <c r="A110" s="8" t="s">
        <v>39</v>
      </c>
      <c r="B110" s="4"/>
      <c r="C110" s="4"/>
      <c r="D110" s="4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</row>
    <row r="111" spans="1:24" x14ac:dyDescent="0.25">
      <c r="A111" s="8" t="s">
        <v>149</v>
      </c>
      <c r="B111" s="4"/>
      <c r="C111" s="4"/>
      <c r="D111" s="4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</row>
    <row r="112" spans="1:24" x14ac:dyDescent="0.25">
      <c r="A112" s="8" t="s">
        <v>118</v>
      </c>
      <c r="B112" s="4" t="s">
        <v>21</v>
      </c>
      <c r="C112" s="4" t="s">
        <v>22</v>
      </c>
      <c r="D112" s="4" t="s">
        <v>42</v>
      </c>
      <c r="E112" s="9">
        <v>76881</v>
      </c>
      <c r="F112" s="9">
        <v>82546</v>
      </c>
      <c r="G112" s="9">
        <v>87887</v>
      </c>
      <c r="H112" s="9">
        <v>105514</v>
      </c>
      <c r="I112" s="9">
        <v>86341</v>
      </c>
      <c r="J112" s="9">
        <v>90033</v>
      </c>
      <c r="K112" s="9">
        <v>95537</v>
      </c>
      <c r="L112" s="9">
        <v>115586</v>
      </c>
      <c r="M112" s="9">
        <v>92887</v>
      </c>
      <c r="N112" s="9">
        <v>100068</v>
      </c>
      <c r="O112" s="9">
        <v>106267</v>
      </c>
      <c r="P112" s="9">
        <v>127083</v>
      </c>
      <c r="Q112" s="9">
        <v>104143</v>
      </c>
      <c r="R112" s="9">
        <v>113950.98668674822</v>
      </c>
      <c r="S112" s="9">
        <v>115253.91050814235</v>
      </c>
      <c r="T112" s="9">
        <v>139444.65663236336</v>
      </c>
      <c r="U112" s="9">
        <v>112905.76376737306</v>
      </c>
      <c r="V112" s="9">
        <v>123627.62091223452</v>
      </c>
      <c r="W112" s="9">
        <v>124625.9154825091</v>
      </c>
      <c r="X112" s="9">
        <v>150909.10219681927</v>
      </c>
    </row>
    <row r="113" spans="1:24" x14ac:dyDescent="0.25">
      <c r="A113" s="8" t="s">
        <v>26</v>
      </c>
      <c r="B113" s="4" t="s">
        <v>27</v>
      </c>
      <c r="C113" s="4" t="s">
        <v>28</v>
      </c>
      <c r="D113" s="4" t="s">
        <v>42</v>
      </c>
      <c r="E113" s="9">
        <v>11</v>
      </c>
      <c r="F113" s="9">
        <v>11</v>
      </c>
      <c r="G113" s="9">
        <v>11</v>
      </c>
      <c r="H113" s="9">
        <v>13</v>
      </c>
      <c r="I113" s="9">
        <v>12</v>
      </c>
      <c r="J113" s="9">
        <v>9</v>
      </c>
      <c r="K113" s="9">
        <v>9</v>
      </c>
      <c r="L113" s="9">
        <v>10</v>
      </c>
      <c r="M113" s="9">
        <v>8</v>
      </c>
      <c r="N113" s="9">
        <v>11</v>
      </c>
      <c r="O113" s="9">
        <v>11</v>
      </c>
      <c r="P113" s="9">
        <v>10</v>
      </c>
      <c r="Q113" s="9">
        <v>12</v>
      </c>
      <c r="R113" s="9">
        <v>15.379193632232889</v>
      </c>
      <c r="S113" s="9">
        <v>9.8918772433823889</v>
      </c>
      <c r="T113" s="9">
        <v>10.881448618280796</v>
      </c>
      <c r="U113" s="9">
        <v>10.156436394492502</v>
      </c>
      <c r="V113" s="9">
        <v>10.115253304415614</v>
      </c>
      <c r="W113" s="9">
        <v>10.43435741425745</v>
      </c>
      <c r="X113" s="9">
        <v>9.8201869925500045</v>
      </c>
    </row>
    <row r="114" spans="1:24" x14ac:dyDescent="0.25">
      <c r="A114" s="8" t="s">
        <v>131</v>
      </c>
      <c r="B114" s="4" t="s">
        <v>132</v>
      </c>
      <c r="C114" s="4" t="s">
        <v>133</v>
      </c>
      <c r="D114" s="4" t="s">
        <v>42</v>
      </c>
      <c r="E114" s="9">
        <v>75983</v>
      </c>
      <c r="F114" s="9">
        <v>79335</v>
      </c>
      <c r="G114" s="9">
        <v>83580</v>
      </c>
      <c r="H114" s="9">
        <v>99053</v>
      </c>
      <c r="I114" s="9">
        <v>81358</v>
      </c>
      <c r="J114" s="9">
        <v>84968</v>
      </c>
      <c r="K114" s="9">
        <v>89874</v>
      </c>
      <c r="L114" s="9">
        <v>106330</v>
      </c>
      <c r="M114" s="9">
        <v>87046</v>
      </c>
      <c r="N114" s="9">
        <v>92551</v>
      </c>
      <c r="O114" s="9">
        <v>101478</v>
      </c>
      <c r="P114" s="9">
        <v>115611</v>
      </c>
      <c r="Q114" s="9">
        <v>95876</v>
      </c>
      <c r="R114" s="9">
        <v>105889.4148821503</v>
      </c>
      <c r="S114" s="9">
        <v>106664.33671246395</v>
      </c>
      <c r="T114" s="9">
        <v>126437.4721787649</v>
      </c>
      <c r="U114" s="9">
        <v>102565.9522115985</v>
      </c>
      <c r="V114" s="9">
        <v>113156.72939238374</v>
      </c>
      <c r="W114" s="9">
        <v>113800.25993109224</v>
      </c>
      <c r="X114" s="9">
        <v>134813.95391864493</v>
      </c>
    </row>
    <row r="115" spans="1:24" x14ac:dyDescent="0.25">
      <c r="A115" s="8" t="s">
        <v>134</v>
      </c>
      <c r="B115" s="4" t="s">
        <v>135</v>
      </c>
      <c r="C115" s="4" t="s">
        <v>136</v>
      </c>
      <c r="D115" s="4" t="s">
        <v>42</v>
      </c>
      <c r="E115" s="9">
        <v>898</v>
      </c>
      <c r="F115" s="9">
        <v>3211</v>
      </c>
      <c r="G115" s="9">
        <v>4307</v>
      </c>
      <c r="H115" s="9">
        <v>6461</v>
      </c>
      <c r="I115" s="9">
        <v>4983</v>
      </c>
      <c r="J115" s="9">
        <v>5065</v>
      </c>
      <c r="K115" s="9">
        <v>5663</v>
      </c>
      <c r="L115" s="9">
        <v>9256</v>
      </c>
      <c r="M115" s="9">
        <v>5841</v>
      </c>
      <c r="N115" s="9">
        <v>7517</v>
      </c>
      <c r="O115" s="9">
        <v>4789</v>
      </c>
      <c r="P115" s="9">
        <v>11472</v>
      </c>
      <c r="Q115" s="9">
        <v>8267</v>
      </c>
      <c r="R115" s="9">
        <v>8499.2890369726701</v>
      </c>
      <c r="S115" s="9">
        <v>8297.4053633955464</v>
      </c>
      <c r="T115" s="9">
        <v>13482.022534511769</v>
      </c>
      <c r="U115" s="9">
        <v>9794.1226583124626</v>
      </c>
      <c r="V115" s="9">
        <v>10468.40390626451</v>
      </c>
      <c r="W115" s="9">
        <v>10659.764240426401</v>
      </c>
      <c r="X115" s="9">
        <v>16124.838629740345</v>
      </c>
    </row>
    <row r="116" spans="1:24" x14ac:dyDescent="0.25">
      <c r="A116" s="8" t="s">
        <v>43</v>
      </c>
      <c r="B116" s="4" t="s">
        <v>44</v>
      </c>
      <c r="C116" s="4" t="s">
        <v>45</v>
      </c>
      <c r="D116" s="4" t="s">
        <v>42</v>
      </c>
      <c r="E116" s="9">
        <v>1.2</v>
      </c>
      <c r="F116" s="9">
        <v>3.9</v>
      </c>
      <c r="G116" s="9">
        <v>4.9000000000000004</v>
      </c>
      <c r="H116" s="9">
        <v>6.1</v>
      </c>
      <c r="I116" s="9">
        <v>5.8</v>
      </c>
      <c r="J116" s="9">
        <v>5.6</v>
      </c>
      <c r="K116" s="9">
        <v>5.9</v>
      </c>
      <c r="L116" s="9">
        <v>8</v>
      </c>
      <c r="M116" s="9">
        <v>6.3</v>
      </c>
      <c r="N116" s="9">
        <v>7.5</v>
      </c>
      <c r="O116" s="9">
        <v>4.5</v>
      </c>
      <c r="P116" s="9">
        <v>9</v>
      </c>
      <c r="Q116" s="9">
        <v>7.9</v>
      </c>
      <c r="R116" s="9">
        <v>7.475597612468996</v>
      </c>
      <c r="S116" s="9">
        <v>7.262945366522028</v>
      </c>
      <c r="T116" s="9">
        <v>9.5667349935530268</v>
      </c>
      <c r="U116" s="9">
        <v>9.2650727023153774</v>
      </c>
      <c r="V116" s="9">
        <v>8.3407311692988699</v>
      </c>
      <c r="W116" s="9">
        <v>8.7674824552159567</v>
      </c>
      <c r="X116" s="9">
        <v>10.541317694932518</v>
      </c>
    </row>
    <row r="117" spans="1:24" x14ac:dyDescent="0.25">
      <c r="A117" s="8" t="s">
        <v>137</v>
      </c>
      <c r="B117" s="4" t="s">
        <v>138</v>
      </c>
      <c r="C117" s="4" t="s">
        <v>139</v>
      </c>
      <c r="D117" s="4" t="s">
        <v>42</v>
      </c>
      <c r="E117" s="9" t="s">
        <v>666</v>
      </c>
      <c r="F117" s="9" t="s">
        <v>666</v>
      </c>
      <c r="G117" s="9" t="s">
        <v>666</v>
      </c>
      <c r="H117" s="9" t="s">
        <v>666</v>
      </c>
      <c r="I117" s="9" t="s">
        <v>666</v>
      </c>
      <c r="J117" s="9" t="s">
        <v>666</v>
      </c>
      <c r="K117" s="9" t="s">
        <v>666</v>
      </c>
      <c r="L117" s="9">
        <v>14285</v>
      </c>
      <c r="M117" s="9">
        <v>3530</v>
      </c>
      <c r="N117" s="9">
        <v>3742</v>
      </c>
      <c r="O117" s="9">
        <v>4001</v>
      </c>
      <c r="P117" s="9">
        <v>4230</v>
      </c>
      <c r="Q117" s="9">
        <v>4280</v>
      </c>
      <c r="R117" s="9">
        <v>4929.9666888510237</v>
      </c>
      <c r="S117" s="9">
        <v>5234.1590560060749</v>
      </c>
      <c r="T117" s="9">
        <v>5626.4505601592</v>
      </c>
      <c r="U117" s="9">
        <v>6514.9936224383355</v>
      </c>
      <c r="V117" s="9">
        <v>7094.0013963989695</v>
      </c>
      <c r="W117" s="9">
        <v>7636.4068412163751</v>
      </c>
      <c r="X117" s="9">
        <v>8341.3926919979276</v>
      </c>
    </row>
    <row r="118" spans="1:24" x14ac:dyDescent="0.25">
      <c r="A118" s="8" t="s">
        <v>140</v>
      </c>
      <c r="B118" s="4" t="s">
        <v>141</v>
      </c>
      <c r="C118" s="4" t="s">
        <v>142</v>
      </c>
      <c r="D118" s="4" t="s">
        <v>42</v>
      </c>
      <c r="E118" s="9" t="s">
        <v>666</v>
      </c>
      <c r="F118" s="9" t="s">
        <v>666</v>
      </c>
      <c r="G118" s="9" t="s">
        <v>666</v>
      </c>
      <c r="H118" s="9">
        <v>93632</v>
      </c>
      <c r="I118" s="9" t="s">
        <v>666</v>
      </c>
      <c r="J118" s="9" t="s">
        <v>666</v>
      </c>
      <c r="K118" s="9" t="s">
        <v>666</v>
      </c>
      <c r="L118" s="9">
        <v>103041</v>
      </c>
      <c r="M118" s="9" t="s">
        <v>666</v>
      </c>
      <c r="N118" s="9">
        <v>113249</v>
      </c>
      <c r="O118" s="9">
        <v>115661</v>
      </c>
      <c r="P118" s="9">
        <v>122043</v>
      </c>
      <c r="Q118" s="9">
        <v>129241</v>
      </c>
      <c r="R118" s="9">
        <v>134441.25326757974</v>
      </c>
      <c r="S118" s="9">
        <v>140143.19864317513</v>
      </c>
      <c r="T118" s="9">
        <v>147358.53730254059</v>
      </c>
      <c r="U118" s="9" t="s">
        <v>666</v>
      </c>
      <c r="V118" s="9" t="s">
        <v>666</v>
      </c>
      <c r="W118" s="9" t="s">
        <v>666</v>
      </c>
      <c r="X118" s="9" t="s">
        <v>666</v>
      </c>
    </row>
    <row r="119" spans="1:24" x14ac:dyDescent="0.25">
      <c r="A119" s="8" t="s">
        <v>150</v>
      </c>
      <c r="B119" s="4" t="s">
        <v>141</v>
      </c>
      <c r="C119" s="4" t="s">
        <v>142</v>
      </c>
      <c r="D119" s="4" t="s">
        <v>151</v>
      </c>
      <c r="E119" s="9" t="s">
        <v>666</v>
      </c>
      <c r="F119" s="9" t="s">
        <v>666</v>
      </c>
      <c r="G119" s="9" t="s">
        <v>666</v>
      </c>
      <c r="H119" s="9">
        <v>13487</v>
      </c>
      <c r="I119" s="9" t="s">
        <v>666</v>
      </c>
      <c r="J119" s="9" t="s">
        <v>666</v>
      </c>
      <c r="K119" s="9" t="s">
        <v>666</v>
      </c>
      <c r="L119" s="9">
        <v>13323</v>
      </c>
      <c r="M119" s="9" t="s">
        <v>666</v>
      </c>
      <c r="N119" s="9">
        <v>14052</v>
      </c>
      <c r="O119" s="9">
        <v>14180</v>
      </c>
      <c r="P119" s="9">
        <v>14295</v>
      </c>
      <c r="Q119" s="9">
        <v>14262</v>
      </c>
      <c r="R119" s="9">
        <v>15061.064883186562</v>
      </c>
      <c r="S119" s="9">
        <v>15580.331180932762</v>
      </c>
      <c r="T119" s="9">
        <v>16154.685183265674</v>
      </c>
      <c r="U119" s="9">
        <v>16961.001035130615</v>
      </c>
      <c r="V119" s="9">
        <v>17681.8239968948</v>
      </c>
      <c r="W119" s="9">
        <v>18427.114597047563</v>
      </c>
      <c r="X119" s="9">
        <v>19309.134377778428</v>
      </c>
    </row>
    <row r="120" spans="1:24" x14ac:dyDescent="0.25">
      <c r="A120" s="8" t="s">
        <v>143</v>
      </c>
      <c r="B120" s="4" t="s">
        <v>144</v>
      </c>
      <c r="C120" s="4" t="s">
        <v>145</v>
      </c>
      <c r="D120" s="4" t="s">
        <v>42</v>
      </c>
      <c r="E120" s="9" t="s">
        <v>666</v>
      </c>
      <c r="F120" s="9" t="s">
        <v>666</v>
      </c>
      <c r="G120" s="9" t="s">
        <v>666</v>
      </c>
      <c r="H120" s="9" t="s">
        <v>666</v>
      </c>
      <c r="I120" s="9" t="s">
        <v>666</v>
      </c>
      <c r="J120" s="9" t="s">
        <v>666</v>
      </c>
      <c r="K120" s="9" t="s">
        <v>666</v>
      </c>
      <c r="L120" s="9" t="s">
        <v>666</v>
      </c>
      <c r="M120" s="9">
        <v>5096</v>
      </c>
      <c r="N120" s="9">
        <v>11272</v>
      </c>
      <c r="O120" s="9">
        <v>8638</v>
      </c>
      <c r="P120" s="9">
        <v>10913</v>
      </c>
      <c r="Q120" s="9">
        <v>11126</v>
      </c>
      <c r="R120" s="9">
        <v>9718.3966891766959</v>
      </c>
      <c r="S120" s="9">
        <v>10029.859636563589</v>
      </c>
      <c r="T120" s="9">
        <v>11313.334653195914</v>
      </c>
      <c r="U120" s="9">
        <v>12483.521835005455</v>
      </c>
      <c r="V120" s="9">
        <v>13212.875541170228</v>
      </c>
      <c r="W120" s="9">
        <v>13506.487201833137</v>
      </c>
      <c r="X120" s="9">
        <v>15147.237368770388</v>
      </c>
    </row>
    <row r="121" spans="1:24" x14ac:dyDescent="0.25">
      <c r="A121" s="8" t="s">
        <v>146</v>
      </c>
      <c r="B121" s="4" t="s">
        <v>147</v>
      </c>
      <c r="C121" s="4" t="s">
        <v>148</v>
      </c>
      <c r="D121" s="4" t="s">
        <v>42</v>
      </c>
      <c r="E121" s="9">
        <v>60</v>
      </c>
      <c r="F121" s="9">
        <v>61</v>
      </c>
      <c r="G121" s="9">
        <v>61</v>
      </c>
      <c r="H121" s="9">
        <v>62</v>
      </c>
      <c r="I121" s="9">
        <v>60</v>
      </c>
      <c r="J121" s="9">
        <v>61</v>
      </c>
      <c r="K121" s="9">
        <v>60</v>
      </c>
      <c r="L121" s="9">
        <v>62</v>
      </c>
      <c r="M121" s="9">
        <v>60</v>
      </c>
      <c r="N121" s="9">
        <v>60</v>
      </c>
      <c r="O121" s="9">
        <v>59</v>
      </c>
      <c r="P121" s="9">
        <v>59</v>
      </c>
      <c r="Q121" s="9">
        <v>57</v>
      </c>
      <c r="R121" s="9">
        <v>57.020248744433843</v>
      </c>
      <c r="S121" s="9">
        <v>55.99133298784534</v>
      </c>
      <c r="T121" s="9">
        <v>56.646807389561836</v>
      </c>
      <c r="U121" s="9">
        <v>54.023901386888518</v>
      </c>
      <c r="V121" s="9">
        <v>54.391868341440855</v>
      </c>
      <c r="W121" s="9">
        <v>52.472485525682686</v>
      </c>
      <c r="X121" s="9">
        <v>53.791107310509858</v>
      </c>
    </row>
    <row r="122" spans="1:24" x14ac:dyDescent="0.25">
      <c r="A122" s="8" t="s">
        <v>14</v>
      </c>
      <c r="B122" s="4"/>
      <c r="C122" s="4"/>
      <c r="D122" s="4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</row>
    <row r="123" spans="1:24" x14ac:dyDescent="0.25">
      <c r="A123" s="8" t="s">
        <v>152</v>
      </c>
      <c r="B123" s="4"/>
      <c r="C123" s="4"/>
      <c r="D123" s="4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</row>
    <row r="124" spans="1:24" x14ac:dyDescent="0.25">
      <c r="A124" s="8" t="s">
        <v>118</v>
      </c>
      <c r="B124" s="4" t="s">
        <v>21</v>
      </c>
      <c r="C124" s="4" t="s">
        <v>22</v>
      </c>
      <c r="D124" s="4" t="s">
        <v>47</v>
      </c>
      <c r="E124" s="9">
        <v>29123</v>
      </c>
      <c r="F124" s="9">
        <v>29697</v>
      </c>
      <c r="G124" s="9">
        <v>32137</v>
      </c>
      <c r="H124" s="9">
        <v>40243</v>
      </c>
      <c r="I124" s="9">
        <v>31935</v>
      </c>
      <c r="J124" s="9">
        <v>31663</v>
      </c>
      <c r="K124" s="9">
        <v>35888</v>
      </c>
      <c r="L124" s="9">
        <v>43420</v>
      </c>
      <c r="M124" s="9">
        <v>33513</v>
      </c>
      <c r="N124" s="9">
        <v>36761</v>
      </c>
      <c r="O124" s="9">
        <v>40896</v>
      </c>
      <c r="P124" s="9">
        <v>50724</v>
      </c>
      <c r="Q124" s="9">
        <v>39789</v>
      </c>
      <c r="R124" s="9">
        <v>42710.995547319937</v>
      </c>
      <c r="S124" s="9">
        <v>45054.984230748363</v>
      </c>
      <c r="T124" s="9">
        <v>56577.022344829267</v>
      </c>
      <c r="U124" s="9">
        <v>43623.208340801626</v>
      </c>
      <c r="V124" s="9">
        <v>47665.731621195198</v>
      </c>
      <c r="W124" s="9">
        <v>50467.527811117776</v>
      </c>
      <c r="X124" s="9">
        <v>62728.123444451441</v>
      </c>
    </row>
    <row r="125" spans="1:24" x14ac:dyDescent="0.25">
      <c r="A125" s="8" t="s">
        <v>26</v>
      </c>
      <c r="B125" s="4" t="s">
        <v>27</v>
      </c>
      <c r="C125" s="4" t="s">
        <v>28</v>
      </c>
      <c r="D125" s="4" t="s">
        <v>47</v>
      </c>
      <c r="E125" s="9">
        <v>9</v>
      </c>
      <c r="F125" s="9">
        <v>10</v>
      </c>
      <c r="G125" s="9">
        <v>11</v>
      </c>
      <c r="H125" s="9">
        <v>13</v>
      </c>
      <c r="I125" s="9">
        <v>11</v>
      </c>
      <c r="J125" s="9">
        <v>10</v>
      </c>
      <c r="K125" s="9">
        <v>12</v>
      </c>
      <c r="L125" s="9">
        <v>9</v>
      </c>
      <c r="M125" s="9">
        <v>8</v>
      </c>
      <c r="N125" s="9">
        <v>11</v>
      </c>
      <c r="O125" s="9">
        <v>10</v>
      </c>
      <c r="P125" s="9">
        <v>11</v>
      </c>
      <c r="Q125" s="9">
        <v>11</v>
      </c>
      <c r="R125" s="9">
        <v>15.503755887741871</v>
      </c>
      <c r="S125" s="9">
        <v>9.1516843661778893</v>
      </c>
      <c r="T125" s="9">
        <v>11.240050728608779</v>
      </c>
      <c r="U125" s="9">
        <v>12.855552807225926</v>
      </c>
      <c r="V125" s="9">
        <v>12.636488103962705</v>
      </c>
      <c r="W125" s="9">
        <v>12.354806001286292</v>
      </c>
      <c r="X125" s="9">
        <v>12.322006770950187</v>
      </c>
    </row>
    <row r="126" spans="1:24" x14ac:dyDescent="0.25">
      <c r="A126" s="8" t="s">
        <v>131</v>
      </c>
      <c r="B126" s="4" t="s">
        <v>132</v>
      </c>
      <c r="C126" s="4" t="s">
        <v>133</v>
      </c>
      <c r="D126" s="4" t="s">
        <v>47</v>
      </c>
      <c r="E126" s="9">
        <v>30370</v>
      </c>
      <c r="F126" s="9">
        <v>30592</v>
      </c>
      <c r="G126" s="9">
        <v>32232</v>
      </c>
      <c r="H126" s="9">
        <v>40662</v>
      </c>
      <c r="I126" s="9">
        <v>31032</v>
      </c>
      <c r="J126" s="9">
        <v>31390</v>
      </c>
      <c r="K126" s="9">
        <v>34587</v>
      </c>
      <c r="L126" s="9">
        <v>42105</v>
      </c>
      <c r="M126" s="9">
        <v>32496</v>
      </c>
      <c r="N126" s="9">
        <v>35267</v>
      </c>
      <c r="O126" s="9">
        <v>39697</v>
      </c>
      <c r="P126" s="9">
        <v>49684</v>
      </c>
      <c r="Q126" s="9">
        <v>38365</v>
      </c>
      <c r="R126" s="9">
        <v>40863.344919983982</v>
      </c>
      <c r="S126" s="9">
        <v>43184.299935855437</v>
      </c>
      <c r="T126" s="9">
        <v>54830.857816383563</v>
      </c>
      <c r="U126" s="9">
        <v>42086.947054297118</v>
      </c>
      <c r="V126" s="9">
        <v>45582.229726358957</v>
      </c>
      <c r="W126" s="9">
        <v>48194.618817157119</v>
      </c>
      <c r="X126" s="9">
        <v>60614.131133790579</v>
      </c>
    </row>
    <row r="127" spans="1:24" x14ac:dyDescent="0.25">
      <c r="A127" s="8" t="s">
        <v>134</v>
      </c>
      <c r="B127" s="4" t="s">
        <v>135</v>
      </c>
      <c r="C127" s="4" t="s">
        <v>136</v>
      </c>
      <c r="D127" s="4" t="s">
        <v>47</v>
      </c>
      <c r="E127" s="9">
        <v>-1247</v>
      </c>
      <c r="F127" s="9">
        <v>-895</v>
      </c>
      <c r="G127" s="9">
        <v>-95</v>
      </c>
      <c r="H127" s="9">
        <v>-419</v>
      </c>
      <c r="I127" s="9">
        <v>903</v>
      </c>
      <c r="J127" s="9">
        <v>273</v>
      </c>
      <c r="K127" s="9">
        <v>1301</v>
      </c>
      <c r="L127" s="9">
        <v>1315</v>
      </c>
      <c r="M127" s="9">
        <v>1017</v>
      </c>
      <c r="N127" s="9">
        <v>1494</v>
      </c>
      <c r="O127" s="9">
        <v>1199</v>
      </c>
      <c r="P127" s="9">
        <v>1040</v>
      </c>
      <c r="Q127" s="9">
        <v>1424</v>
      </c>
      <c r="R127" s="9">
        <v>1897.6457860460905</v>
      </c>
      <c r="S127" s="9">
        <v>1783.5584247276283</v>
      </c>
      <c r="T127" s="9">
        <v>2367.2144445012545</v>
      </c>
      <c r="U127" s="9">
        <v>2211.9916695637203</v>
      </c>
      <c r="V127" s="9">
        <v>2956.1183225494979</v>
      </c>
      <c r="W127" s="9">
        <v>2723.672541853548</v>
      </c>
      <c r="X127" s="9">
        <v>3730.9079194706064</v>
      </c>
    </row>
    <row r="128" spans="1:24" x14ac:dyDescent="0.25">
      <c r="A128" s="8" t="s">
        <v>43</v>
      </c>
      <c r="B128" s="4" t="s">
        <v>44</v>
      </c>
      <c r="C128" s="4" t="s">
        <v>45</v>
      </c>
      <c r="D128" s="4" t="s">
        <v>47</v>
      </c>
      <c r="E128" s="9">
        <v>-4.3</v>
      </c>
      <c r="F128" s="9">
        <v>-3</v>
      </c>
      <c r="G128" s="9">
        <v>-0.3</v>
      </c>
      <c r="H128" s="9">
        <v>-1</v>
      </c>
      <c r="I128" s="9">
        <v>2.8</v>
      </c>
      <c r="J128" s="9">
        <v>0.9</v>
      </c>
      <c r="K128" s="9">
        <v>3.6</v>
      </c>
      <c r="L128" s="9">
        <v>3</v>
      </c>
      <c r="M128" s="9">
        <v>3</v>
      </c>
      <c r="N128" s="9">
        <v>4.0999999999999996</v>
      </c>
      <c r="O128" s="9">
        <v>2.9</v>
      </c>
      <c r="P128" s="9">
        <v>2.1</v>
      </c>
      <c r="Q128" s="9">
        <v>3.6</v>
      </c>
      <c r="R128" s="9">
        <v>3.7635319977803299</v>
      </c>
      <c r="S128" s="9">
        <v>3.4751728699053896</v>
      </c>
      <c r="T128" s="9">
        <v>3.5240749685956878</v>
      </c>
      <c r="U128" s="9">
        <v>2.9434818416706294</v>
      </c>
      <c r="V128" s="9">
        <v>4.5712412308764048</v>
      </c>
      <c r="W128" s="9">
        <v>3.8833277327167139</v>
      </c>
      <c r="X128" s="9">
        <v>4.1730019799845621</v>
      </c>
    </row>
    <row r="129" spans="1:24" x14ac:dyDescent="0.25">
      <c r="A129" s="8" t="s">
        <v>153</v>
      </c>
      <c r="B129" s="4" t="s">
        <v>138</v>
      </c>
      <c r="C129" s="4" t="s">
        <v>139</v>
      </c>
      <c r="D129" s="4" t="s">
        <v>47</v>
      </c>
      <c r="E129" s="9" t="s">
        <v>666</v>
      </c>
      <c r="F129" s="9" t="s">
        <v>666</v>
      </c>
      <c r="G129" s="9" t="s">
        <v>666</v>
      </c>
      <c r="H129" s="9" t="s">
        <v>666</v>
      </c>
      <c r="I129" s="9" t="s">
        <v>666</v>
      </c>
      <c r="J129" s="9" t="s">
        <v>666</v>
      </c>
      <c r="K129" s="9" t="s">
        <v>666</v>
      </c>
      <c r="L129" s="9">
        <v>4462</v>
      </c>
      <c r="M129" s="9">
        <v>1136</v>
      </c>
      <c r="N129" s="9">
        <v>1180</v>
      </c>
      <c r="O129" s="9">
        <v>1276</v>
      </c>
      <c r="P129" s="9">
        <v>1315</v>
      </c>
      <c r="Q129" s="9">
        <v>1277</v>
      </c>
      <c r="R129" s="9">
        <v>1277.6360323865151</v>
      </c>
      <c r="S129" s="9">
        <v>1344.6215010217256</v>
      </c>
      <c r="T129" s="9">
        <v>1498.6623364370023</v>
      </c>
      <c r="U129" s="9">
        <v>1474.3210933501996</v>
      </c>
      <c r="V129" s="9">
        <v>1551.5840411959089</v>
      </c>
      <c r="W129" s="9">
        <v>1639.2102533569673</v>
      </c>
      <c r="X129" s="9">
        <v>1714.7788436338369</v>
      </c>
    </row>
    <row r="130" spans="1:24" x14ac:dyDescent="0.25">
      <c r="A130" s="8" t="s">
        <v>140</v>
      </c>
      <c r="B130" s="4" t="s">
        <v>141</v>
      </c>
      <c r="C130" s="4" t="s">
        <v>142</v>
      </c>
      <c r="D130" s="4" t="s">
        <v>47</v>
      </c>
      <c r="E130" s="9" t="s">
        <v>666</v>
      </c>
      <c r="F130" s="9" t="s">
        <v>666</v>
      </c>
      <c r="G130" s="9" t="s">
        <v>666</v>
      </c>
      <c r="H130" s="9">
        <v>24357</v>
      </c>
      <c r="I130" s="9" t="s">
        <v>666</v>
      </c>
      <c r="J130" s="9" t="s">
        <v>666</v>
      </c>
      <c r="K130" s="9" t="s">
        <v>666</v>
      </c>
      <c r="L130" s="9">
        <v>25618</v>
      </c>
      <c r="M130" s="9" t="s">
        <v>666</v>
      </c>
      <c r="N130" s="9">
        <v>29679</v>
      </c>
      <c r="O130" s="9">
        <v>29488</v>
      </c>
      <c r="P130" s="9">
        <v>30632</v>
      </c>
      <c r="Q130" s="9">
        <v>30899</v>
      </c>
      <c r="R130" s="9">
        <v>35535.197533148152</v>
      </c>
      <c r="S130" s="9">
        <v>35912.026733291765</v>
      </c>
      <c r="T130" s="9">
        <v>36947.401506399365</v>
      </c>
      <c r="U130" s="9">
        <v>39677.820290533047</v>
      </c>
      <c r="V130" s="9">
        <v>49126.372681360655</v>
      </c>
      <c r="W130" s="9">
        <v>49843.508296217973</v>
      </c>
      <c r="X130" s="9">
        <v>51699.577626165039</v>
      </c>
    </row>
    <row r="131" spans="1:24" x14ac:dyDescent="0.25">
      <c r="A131" s="8" t="s">
        <v>143</v>
      </c>
      <c r="B131" s="4" t="s">
        <v>144</v>
      </c>
      <c r="C131" s="4" t="s">
        <v>145</v>
      </c>
      <c r="D131" s="4" t="s">
        <v>47</v>
      </c>
      <c r="E131" s="9" t="s">
        <v>666</v>
      </c>
      <c r="F131" s="9" t="s">
        <v>666</v>
      </c>
      <c r="G131" s="9" t="s">
        <v>666</v>
      </c>
      <c r="H131" s="9" t="s">
        <v>666</v>
      </c>
      <c r="I131" s="9" t="s">
        <v>666</v>
      </c>
      <c r="J131" s="9" t="s">
        <v>666</v>
      </c>
      <c r="K131" s="9" t="s">
        <v>666</v>
      </c>
      <c r="L131" s="9" t="s">
        <v>666</v>
      </c>
      <c r="M131" s="9">
        <v>1506</v>
      </c>
      <c r="N131" s="9">
        <v>2531</v>
      </c>
      <c r="O131" s="9">
        <v>1439</v>
      </c>
      <c r="P131" s="9">
        <v>2141</v>
      </c>
      <c r="Q131" s="9">
        <v>1727</v>
      </c>
      <c r="R131" s="9">
        <v>2241.275509983911</v>
      </c>
      <c r="S131" s="9">
        <v>2164.1261312836423</v>
      </c>
      <c r="T131" s="9">
        <v>2459.3058305269265</v>
      </c>
      <c r="U131" s="9">
        <v>2900.1087156261369</v>
      </c>
      <c r="V131" s="9">
        <v>3052.0574044104642</v>
      </c>
      <c r="W131" s="9">
        <v>3113.2265003819039</v>
      </c>
      <c r="X131" s="9">
        <v>3455.0494518271639</v>
      </c>
    </row>
    <row r="132" spans="1:24" x14ac:dyDescent="0.25">
      <c r="A132" s="8" t="s">
        <v>146</v>
      </c>
      <c r="B132" s="4" t="s">
        <v>147</v>
      </c>
      <c r="C132" s="4" t="s">
        <v>148</v>
      </c>
      <c r="D132" s="4" t="s">
        <v>47</v>
      </c>
      <c r="E132" s="9">
        <v>23</v>
      </c>
      <c r="F132" s="9">
        <v>22</v>
      </c>
      <c r="G132" s="9">
        <v>23</v>
      </c>
      <c r="H132" s="9">
        <v>24</v>
      </c>
      <c r="I132" s="9">
        <v>22</v>
      </c>
      <c r="J132" s="9">
        <v>21</v>
      </c>
      <c r="K132" s="9">
        <v>23</v>
      </c>
      <c r="L132" s="9">
        <v>23</v>
      </c>
      <c r="M132" s="9">
        <v>21</v>
      </c>
      <c r="N132" s="9">
        <v>22</v>
      </c>
      <c r="O132" s="9">
        <v>23</v>
      </c>
      <c r="P132" s="9">
        <v>24</v>
      </c>
      <c r="Q132" s="9">
        <v>22</v>
      </c>
      <c r="R132" s="9">
        <v>21.835428618403267</v>
      </c>
      <c r="S132" s="9">
        <v>22.540489888939643</v>
      </c>
      <c r="T132" s="9">
        <v>23.716935401914295</v>
      </c>
      <c r="U132" s="9">
        <v>21.28891458512528</v>
      </c>
      <c r="V132" s="9">
        <v>21.917422981177726</v>
      </c>
      <c r="W132" s="9">
        <v>22.476336733220322</v>
      </c>
      <c r="X132" s="9">
        <v>23.611273425970719</v>
      </c>
    </row>
    <row r="133" spans="1:24" x14ac:dyDescent="0.25">
      <c r="A133" s="8" t="s">
        <v>14</v>
      </c>
      <c r="B133" s="4"/>
      <c r="C133" s="4"/>
      <c r="D133" s="4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</row>
    <row r="134" spans="1:24" x14ac:dyDescent="0.25">
      <c r="A134" s="8" t="s">
        <v>154</v>
      </c>
      <c r="B134" s="4"/>
      <c r="C134" s="4"/>
      <c r="D134" s="4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</row>
    <row r="135" spans="1:24" x14ac:dyDescent="0.25">
      <c r="A135" s="8" t="s">
        <v>118</v>
      </c>
      <c r="B135" s="4" t="s">
        <v>21</v>
      </c>
      <c r="C135" s="4" t="s">
        <v>22</v>
      </c>
      <c r="D135" s="4" t="s">
        <v>155</v>
      </c>
      <c r="E135" s="9" t="s">
        <v>666</v>
      </c>
      <c r="F135" s="9" t="s">
        <v>666</v>
      </c>
      <c r="G135" s="9" t="s">
        <v>666</v>
      </c>
      <c r="H135" s="9" t="s">
        <v>666</v>
      </c>
      <c r="I135" s="9" t="s">
        <v>666</v>
      </c>
      <c r="J135" s="9" t="s">
        <v>666</v>
      </c>
      <c r="K135" s="9" t="s">
        <v>666</v>
      </c>
      <c r="L135" s="9" t="s">
        <v>666</v>
      </c>
      <c r="M135" s="9" t="s">
        <v>666</v>
      </c>
      <c r="N135" s="9" t="s">
        <v>666</v>
      </c>
      <c r="O135" s="9" t="s">
        <v>666</v>
      </c>
      <c r="P135" s="9" t="s">
        <v>666</v>
      </c>
      <c r="Q135" s="9" t="s">
        <v>666</v>
      </c>
      <c r="R135" s="9" t="s">
        <v>666</v>
      </c>
      <c r="S135" s="9" t="s">
        <v>666</v>
      </c>
      <c r="T135" s="9" t="s">
        <v>666</v>
      </c>
      <c r="U135" s="9" t="s">
        <v>666</v>
      </c>
      <c r="V135" s="9" t="s">
        <v>666</v>
      </c>
      <c r="W135" s="9" t="s">
        <v>666</v>
      </c>
      <c r="X135" s="9" t="s">
        <v>666</v>
      </c>
    </row>
    <row r="136" spans="1:24" x14ac:dyDescent="0.25">
      <c r="A136" s="8" t="s">
        <v>14</v>
      </c>
      <c r="B136" s="4"/>
      <c r="C136" s="4"/>
      <c r="D136" s="4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</row>
    <row r="137" spans="1:24" x14ac:dyDescent="0.25">
      <c r="A137" s="8" t="s">
        <v>156</v>
      </c>
      <c r="B137" s="4"/>
      <c r="C137" s="4"/>
      <c r="D137" s="4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</row>
    <row r="138" spans="1:24" x14ac:dyDescent="0.25">
      <c r="A138" s="8" t="s">
        <v>118</v>
      </c>
      <c r="B138" s="4" t="s">
        <v>21</v>
      </c>
      <c r="C138" s="4" t="s">
        <v>22</v>
      </c>
      <c r="D138" s="4" t="s">
        <v>157</v>
      </c>
      <c r="E138" s="9" t="s">
        <v>666</v>
      </c>
      <c r="F138" s="9" t="s">
        <v>666</v>
      </c>
      <c r="G138" s="9" t="s">
        <v>666</v>
      </c>
      <c r="H138" s="9" t="s">
        <v>666</v>
      </c>
      <c r="I138" s="9" t="s">
        <v>666</v>
      </c>
      <c r="J138" s="9" t="s">
        <v>666</v>
      </c>
      <c r="K138" s="9" t="s">
        <v>666</v>
      </c>
      <c r="L138" s="9" t="s">
        <v>666</v>
      </c>
      <c r="M138" s="9" t="s">
        <v>666</v>
      </c>
      <c r="N138" s="9" t="s">
        <v>666</v>
      </c>
      <c r="O138" s="9" t="s">
        <v>666</v>
      </c>
      <c r="P138" s="9" t="s">
        <v>666</v>
      </c>
      <c r="Q138" s="9" t="s">
        <v>666</v>
      </c>
      <c r="R138" s="9">
        <v>10774.836241026858</v>
      </c>
      <c r="S138" s="9">
        <v>11719.376222330226</v>
      </c>
      <c r="T138" s="9">
        <v>14633.062680599758</v>
      </c>
      <c r="U138" s="9" t="s">
        <v>666</v>
      </c>
      <c r="V138" s="9" t="s">
        <v>666</v>
      </c>
      <c r="W138" s="9" t="s">
        <v>666</v>
      </c>
      <c r="X138" s="9" t="s">
        <v>666</v>
      </c>
    </row>
    <row r="139" spans="1:24" x14ac:dyDescent="0.25">
      <c r="A139" s="8" t="s">
        <v>14</v>
      </c>
      <c r="B139" s="4"/>
      <c r="C139" s="4"/>
      <c r="D139" s="4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</row>
    <row r="140" spans="1:24" x14ac:dyDescent="0.25">
      <c r="A140" s="8" t="s">
        <v>158</v>
      </c>
      <c r="B140" s="4"/>
      <c r="C140" s="4"/>
      <c r="D140" s="4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</row>
    <row r="141" spans="1:24" x14ac:dyDescent="0.25">
      <c r="A141" s="8" t="s">
        <v>118</v>
      </c>
      <c r="B141" s="4" t="s">
        <v>21</v>
      </c>
      <c r="C141" s="4" t="s">
        <v>22</v>
      </c>
      <c r="D141" s="4" t="s">
        <v>159</v>
      </c>
      <c r="E141" s="9" t="s">
        <v>666</v>
      </c>
      <c r="F141" s="9" t="s">
        <v>666</v>
      </c>
      <c r="G141" s="9" t="s">
        <v>666</v>
      </c>
      <c r="H141" s="9" t="s">
        <v>666</v>
      </c>
      <c r="I141" s="9" t="s">
        <v>666</v>
      </c>
      <c r="J141" s="9" t="s">
        <v>666</v>
      </c>
      <c r="K141" s="9" t="s">
        <v>666</v>
      </c>
      <c r="L141" s="9" t="s">
        <v>666</v>
      </c>
      <c r="M141" s="9" t="s">
        <v>666</v>
      </c>
      <c r="N141" s="9" t="s">
        <v>666</v>
      </c>
      <c r="O141" s="9" t="s">
        <v>666</v>
      </c>
      <c r="P141" s="9" t="s">
        <v>666</v>
      </c>
      <c r="Q141" s="9" t="s">
        <v>666</v>
      </c>
      <c r="R141" s="9">
        <v>6630.6684560165286</v>
      </c>
      <c r="S141" s="9">
        <v>7211.9238291262927</v>
      </c>
      <c r="T141" s="9">
        <v>9004.9616495998507</v>
      </c>
      <c r="U141" s="9" t="s">
        <v>666</v>
      </c>
      <c r="V141" s="9" t="s">
        <v>666</v>
      </c>
      <c r="W141" s="9" t="s">
        <v>666</v>
      </c>
      <c r="X141" s="9" t="s">
        <v>666</v>
      </c>
    </row>
    <row r="142" spans="1:24" x14ac:dyDescent="0.25">
      <c r="A142" s="8" t="s">
        <v>14</v>
      </c>
      <c r="B142" s="4"/>
      <c r="C142" s="4"/>
      <c r="D142" s="4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</row>
    <row r="143" spans="1:24" x14ac:dyDescent="0.25">
      <c r="A143" s="8" t="s">
        <v>160</v>
      </c>
      <c r="B143" s="4"/>
      <c r="C143" s="4"/>
      <c r="D143" s="4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</row>
    <row r="144" spans="1:24" x14ac:dyDescent="0.25">
      <c r="A144" s="8" t="s">
        <v>118</v>
      </c>
      <c r="B144" s="4" t="s">
        <v>21</v>
      </c>
      <c r="C144" s="4" t="s">
        <v>22</v>
      </c>
      <c r="D144" s="4" t="s">
        <v>161</v>
      </c>
      <c r="E144" s="9" t="s">
        <v>666</v>
      </c>
      <c r="F144" s="9" t="s">
        <v>666</v>
      </c>
      <c r="G144" s="9" t="s">
        <v>666</v>
      </c>
      <c r="H144" s="9" t="s">
        <v>666</v>
      </c>
      <c r="I144" s="9" t="s">
        <v>666</v>
      </c>
      <c r="J144" s="9" t="s">
        <v>666</v>
      </c>
      <c r="K144" s="9" t="s">
        <v>666</v>
      </c>
      <c r="L144" s="9" t="s">
        <v>666</v>
      </c>
      <c r="M144" s="9" t="s">
        <v>666</v>
      </c>
      <c r="N144" s="9" t="s">
        <v>666</v>
      </c>
      <c r="O144" s="9" t="s">
        <v>666</v>
      </c>
      <c r="P144" s="9" t="s">
        <v>666</v>
      </c>
      <c r="Q144" s="9" t="s">
        <v>666</v>
      </c>
      <c r="R144" s="9">
        <v>6216.2516775154945</v>
      </c>
      <c r="S144" s="9">
        <v>6761.1785898058997</v>
      </c>
      <c r="T144" s="9">
        <v>8442.1515464998593</v>
      </c>
      <c r="U144" s="9" t="s">
        <v>666</v>
      </c>
      <c r="V144" s="9" t="s">
        <v>666</v>
      </c>
      <c r="W144" s="9" t="s">
        <v>666</v>
      </c>
      <c r="X144" s="9" t="s">
        <v>666</v>
      </c>
    </row>
    <row r="145" spans="1:24" x14ac:dyDescent="0.25">
      <c r="A145" s="8" t="s">
        <v>14</v>
      </c>
      <c r="B145" s="4"/>
      <c r="C145" s="4"/>
      <c r="D145" s="4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</row>
    <row r="146" spans="1:24" x14ac:dyDescent="0.25">
      <c r="A146" s="8" t="s">
        <v>162</v>
      </c>
      <c r="B146" s="4"/>
      <c r="C146" s="4"/>
      <c r="D146" s="4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</row>
    <row r="147" spans="1:24" x14ac:dyDescent="0.25">
      <c r="A147" s="8" t="s">
        <v>118</v>
      </c>
      <c r="B147" s="4" t="s">
        <v>21</v>
      </c>
      <c r="C147" s="4" t="s">
        <v>22</v>
      </c>
      <c r="D147" s="4" t="s">
        <v>163</v>
      </c>
      <c r="E147" s="9" t="s">
        <v>666</v>
      </c>
      <c r="F147" s="9" t="s">
        <v>666</v>
      </c>
      <c r="G147" s="9" t="s">
        <v>666</v>
      </c>
      <c r="H147" s="9" t="s">
        <v>666</v>
      </c>
      <c r="I147" s="9" t="s">
        <v>666</v>
      </c>
      <c r="J147" s="9" t="s">
        <v>666</v>
      </c>
      <c r="K147" s="9" t="s">
        <v>666</v>
      </c>
      <c r="L147" s="9" t="s">
        <v>666</v>
      </c>
      <c r="M147" s="9" t="s">
        <v>666</v>
      </c>
      <c r="N147" s="9" t="s">
        <v>666</v>
      </c>
      <c r="O147" s="9" t="s">
        <v>666</v>
      </c>
      <c r="P147" s="9" t="s">
        <v>666</v>
      </c>
      <c r="Q147" s="9" t="s">
        <v>666</v>
      </c>
      <c r="R147" s="9" t="s">
        <v>666</v>
      </c>
      <c r="S147" s="9" t="s">
        <v>666</v>
      </c>
      <c r="T147" s="9" t="s">
        <v>666</v>
      </c>
      <c r="U147" s="9" t="s">
        <v>666</v>
      </c>
      <c r="V147" s="9" t="s">
        <v>666</v>
      </c>
      <c r="W147" s="9" t="s">
        <v>666</v>
      </c>
      <c r="X147" s="9" t="s">
        <v>666</v>
      </c>
    </row>
    <row r="148" spans="1:24" x14ac:dyDescent="0.25">
      <c r="A148" s="8" t="s">
        <v>14</v>
      </c>
      <c r="B148" s="4"/>
      <c r="C148" s="4"/>
      <c r="D148" s="4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</row>
    <row r="149" spans="1:24" x14ac:dyDescent="0.25">
      <c r="A149" s="8" t="s">
        <v>164</v>
      </c>
      <c r="B149" s="4"/>
      <c r="C149" s="4"/>
      <c r="D149" s="4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</row>
    <row r="150" spans="1:24" x14ac:dyDescent="0.25">
      <c r="A150" s="8" t="s">
        <v>165</v>
      </c>
      <c r="B150" s="4"/>
      <c r="C150" s="4"/>
      <c r="D150" s="4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</row>
    <row r="151" spans="1:24" x14ac:dyDescent="0.25">
      <c r="A151" s="8" t="s">
        <v>118</v>
      </c>
      <c r="B151" s="4" t="s">
        <v>166</v>
      </c>
      <c r="C151" s="4" t="s">
        <v>167</v>
      </c>
      <c r="D151" s="4"/>
      <c r="E151" s="9">
        <v>56981</v>
      </c>
      <c r="F151" s="9">
        <v>59032</v>
      </c>
      <c r="G151" s="9">
        <v>63171</v>
      </c>
      <c r="H151" s="9">
        <v>76703</v>
      </c>
      <c r="I151" s="9">
        <v>60915</v>
      </c>
      <c r="J151" s="9">
        <v>61569</v>
      </c>
      <c r="K151" s="9">
        <v>67601</v>
      </c>
      <c r="L151" s="9">
        <v>82226</v>
      </c>
      <c r="M151" s="9">
        <v>63970</v>
      </c>
      <c r="N151" s="9">
        <v>68246</v>
      </c>
      <c r="O151" s="9">
        <v>74058</v>
      </c>
      <c r="P151" s="9">
        <v>89992</v>
      </c>
      <c r="Q151" s="9">
        <v>71304</v>
      </c>
      <c r="R151" s="9">
        <v>76463.087981296383</v>
      </c>
      <c r="S151" s="9">
        <v>78328.44657759578</v>
      </c>
      <c r="T151" s="9">
        <v>96955.583445422279</v>
      </c>
      <c r="U151" s="9">
        <v>75219.14584586359</v>
      </c>
      <c r="V151" s="9">
        <v>81042.332460409612</v>
      </c>
      <c r="W151" s="9">
        <v>84007.85936157027</v>
      </c>
      <c r="X151" s="9">
        <v>103482.52122114449</v>
      </c>
    </row>
    <row r="152" spans="1:24" x14ac:dyDescent="0.25">
      <c r="A152" s="8" t="s">
        <v>168</v>
      </c>
      <c r="B152" s="4" t="s">
        <v>86</v>
      </c>
      <c r="C152" s="4" t="s">
        <v>87</v>
      </c>
      <c r="D152" s="4"/>
      <c r="E152" s="9" t="s">
        <v>666</v>
      </c>
      <c r="F152" s="9" t="s">
        <v>666</v>
      </c>
      <c r="G152" s="9" t="s">
        <v>666</v>
      </c>
      <c r="H152" s="9" t="s">
        <v>666</v>
      </c>
      <c r="I152" s="9" t="s">
        <v>666</v>
      </c>
      <c r="J152" s="9" t="s">
        <v>666</v>
      </c>
      <c r="K152" s="9" t="s">
        <v>666</v>
      </c>
      <c r="L152" s="9" t="s">
        <v>666</v>
      </c>
      <c r="M152" s="9" t="s">
        <v>666</v>
      </c>
      <c r="N152" s="9" t="s">
        <v>666</v>
      </c>
      <c r="O152" s="9" t="s">
        <v>666</v>
      </c>
      <c r="P152" s="9" t="s">
        <v>666</v>
      </c>
      <c r="Q152" s="9" t="s">
        <v>666</v>
      </c>
      <c r="R152" s="9">
        <v>244681.0179516116</v>
      </c>
      <c r="S152" s="9">
        <v>246306.94303195545</v>
      </c>
      <c r="T152" s="9">
        <v>307300.24931226176</v>
      </c>
      <c r="U152" s="9">
        <v>240461.15337197078</v>
      </c>
      <c r="V152" s="9">
        <v>267835.59437525121</v>
      </c>
      <c r="W152" s="9">
        <v>272591.40478079685</v>
      </c>
      <c r="X152" s="9">
        <v>339130.85023920168</v>
      </c>
    </row>
    <row r="153" spans="1:24" x14ac:dyDescent="0.25">
      <c r="A153" s="8" t="s">
        <v>169</v>
      </c>
      <c r="B153" s="4" t="s">
        <v>91</v>
      </c>
      <c r="C153" s="4" t="s">
        <v>92</v>
      </c>
      <c r="D153" s="4"/>
      <c r="E153" s="9" t="s">
        <v>666</v>
      </c>
      <c r="F153" s="9" t="s">
        <v>666</v>
      </c>
      <c r="G153" s="9" t="s">
        <v>666</v>
      </c>
      <c r="H153" s="9" t="s">
        <v>666</v>
      </c>
      <c r="I153" s="9" t="s">
        <v>666</v>
      </c>
      <c r="J153" s="9" t="s">
        <v>666</v>
      </c>
      <c r="K153" s="9" t="s">
        <v>666</v>
      </c>
      <c r="L153" s="9" t="s">
        <v>666</v>
      </c>
      <c r="M153" s="9" t="s">
        <v>666</v>
      </c>
      <c r="N153" s="9" t="s">
        <v>666</v>
      </c>
      <c r="O153" s="9" t="s">
        <v>666</v>
      </c>
      <c r="P153" s="9" t="s">
        <v>666</v>
      </c>
      <c r="Q153" s="9" t="s">
        <v>666</v>
      </c>
      <c r="R153" s="9">
        <v>29.160835442780638</v>
      </c>
      <c r="S153" s="9">
        <v>29.238552515423414</v>
      </c>
      <c r="T153" s="9">
        <v>29.636258905031728</v>
      </c>
      <c r="U153" s="9">
        <v>29.169582996334594</v>
      </c>
      <c r="V153" s="9">
        <v>29.17015657515638</v>
      </c>
      <c r="W153" s="9">
        <v>29.188077236369534</v>
      </c>
      <c r="X153" s="9">
        <v>29.678853671201736</v>
      </c>
    </row>
    <row r="154" spans="1:24" x14ac:dyDescent="0.25">
      <c r="A154" s="8" t="s">
        <v>14</v>
      </c>
      <c r="B154" s="4"/>
      <c r="C154" s="4"/>
      <c r="D154" s="4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</row>
    <row r="155" spans="1:24" x14ac:dyDescent="0.25">
      <c r="A155" s="8" t="s">
        <v>170</v>
      </c>
      <c r="B155" s="4"/>
      <c r="C155" s="4"/>
      <c r="D155" s="4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</row>
    <row r="156" spans="1:24" x14ac:dyDescent="0.25">
      <c r="A156" s="8" t="s">
        <v>118</v>
      </c>
      <c r="B156" s="4" t="s">
        <v>171</v>
      </c>
      <c r="C156" s="4" t="s">
        <v>172</v>
      </c>
      <c r="D156" s="4"/>
      <c r="E156" s="9">
        <v>70377</v>
      </c>
      <c r="F156" s="9">
        <v>75351</v>
      </c>
      <c r="G156" s="9">
        <v>79912</v>
      </c>
      <c r="H156" s="9">
        <v>93258</v>
      </c>
      <c r="I156" s="9">
        <v>82398</v>
      </c>
      <c r="J156" s="9">
        <v>86408</v>
      </c>
      <c r="K156" s="9">
        <v>91276</v>
      </c>
      <c r="L156" s="9">
        <v>105566</v>
      </c>
      <c r="M156" s="9">
        <v>91697</v>
      </c>
      <c r="N156" s="9">
        <v>99456</v>
      </c>
      <c r="O156" s="9">
        <v>106111</v>
      </c>
      <c r="P156" s="9">
        <v>123394</v>
      </c>
      <c r="Q156" s="9">
        <v>110215</v>
      </c>
      <c r="R156" s="9">
        <v>120206.01687472319</v>
      </c>
      <c r="S156" s="9">
        <v>125088.91534678292</v>
      </c>
      <c r="T156" s="9">
        <v>145929.32915129911</v>
      </c>
      <c r="U156" s="9">
        <v>130387.04531388253</v>
      </c>
      <c r="V156" s="9">
        <v>142373.31465445197</v>
      </c>
      <c r="W156" s="9">
        <v>148102.65099996186</v>
      </c>
      <c r="X156" s="9">
        <v>171529.35677362923</v>
      </c>
    </row>
    <row r="157" spans="1:24" x14ac:dyDescent="0.25">
      <c r="A157" s="8" t="s">
        <v>125</v>
      </c>
      <c r="B157" s="4" t="s">
        <v>21</v>
      </c>
      <c r="C157" s="4" t="s">
        <v>22</v>
      </c>
      <c r="D157" s="4" t="s">
        <v>30</v>
      </c>
      <c r="E157" s="9">
        <v>29820</v>
      </c>
      <c r="F157" s="9">
        <v>32332</v>
      </c>
      <c r="G157" s="9">
        <v>34342</v>
      </c>
      <c r="H157" s="9">
        <v>43559</v>
      </c>
      <c r="I157" s="9">
        <v>34596</v>
      </c>
      <c r="J157" s="9">
        <v>36201</v>
      </c>
      <c r="K157" s="9">
        <v>37864</v>
      </c>
      <c r="L157" s="9">
        <v>47485</v>
      </c>
      <c r="M157" s="9">
        <v>36512</v>
      </c>
      <c r="N157" s="9">
        <v>40348</v>
      </c>
      <c r="O157" s="9">
        <v>42486</v>
      </c>
      <c r="P157" s="9">
        <v>52816</v>
      </c>
      <c r="Q157" s="9">
        <v>41578</v>
      </c>
      <c r="R157" s="9">
        <v>46146.691824422982</v>
      </c>
      <c r="S157" s="9">
        <v>46445.881168592125</v>
      </c>
      <c r="T157" s="9">
        <v>58680.709700617379</v>
      </c>
      <c r="U157" s="9">
        <v>45599.59076718369</v>
      </c>
      <c r="V157" s="9">
        <v>50714.319328371203</v>
      </c>
      <c r="W157" s="9">
        <v>51083.503591323766</v>
      </c>
      <c r="X157" s="9">
        <v>64126.357196990954</v>
      </c>
    </row>
    <row r="158" spans="1:24" x14ac:dyDescent="0.25">
      <c r="A158" s="8" t="s">
        <v>123</v>
      </c>
      <c r="B158" s="4" t="s">
        <v>27</v>
      </c>
      <c r="C158" s="4" t="s">
        <v>28</v>
      </c>
      <c r="D158" s="4" t="s">
        <v>30</v>
      </c>
      <c r="E158" s="9">
        <v>20</v>
      </c>
      <c r="F158" s="9">
        <v>18</v>
      </c>
      <c r="G158" s="9">
        <v>18</v>
      </c>
      <c r="H158" s="9">
        <v>19</v>
      </c>
      <c r="I158" s="9">
        <v>16</v>
      </c>
      <c r="J158" s="9">
        <v>13</v>
      </c>
      <c r="K158" s="9">
        <v>10</v>
      </c>
      <c r="L158" s="9">
        <v>9</v>
      </c>
      <c r="M158" s="9">
        <v>7</v>
      </c>
      <c r="N158" s="9">
        <v>10</v>
      </c>
      <c r="O158" s="9">
        <v>11</v>
      </c>
      <c r="P158" s="9">
        <v>10</v>
      </c>
      <c r="Q158" s="9">
        <v>12</v>
      </c>
      <c r="R158" s="9">
        <v>14.534351531616164</v>
      </c>
      <c r="S158" s="9">
        <v>9.1661342623981739</v>
      </c>
      <c r="T158" s="9">
        <v>10.835026924594503</v>
      </c>
      <c r="U158" s="9">
        <v>9.2094196794135748</v>
      </c>
      <c r="V158" s="9">
        <v>9.3117615221414418</v>
      </c>
      <c r="W158" s="9">
        <v>10.185578044303448</v>
      </c>
      <c r="X158" s="9">
        <v>9.39048306966715</v>
      </c>
    </row>
    <row r="159" spans="1:24" x14ac:dyDescent="0.25">
      <c r="A159" s="8" t="s">
        <v>126</v>
      </c>
      <c r="B159" s="4" t="s">
        <v>21</v>
      </c>
      <c r="C159" s="4" t="s">
        <v>22</v>
      </c>
      <c r="D159" s="4" t="s">
        <v>34</v>
      </c>
      <c r="E159" s="9">
        <v>9657</v>
      </c>
      <c r="F159" s="9">
        <v>9894</v>
      </c>
      <c r="G159" s="9">
        <v>10170</v>
      </c>
      <c r="H159" s="9">
        <v>10488</v>
      </c>
      <c r="I159" s="9">
        <v>10722</v>
      </c>
      <c r="J159" s="9">
        <v>10866</v>
      </c>
      <c r="K159" s="9">
        <v>11278</v>
      </c>
      <c r="L159" s="9">
        <v>11508</v>
      </c>
      <c r="M159" s="9">
        <v>11715</v>
      </c>
      <c r="N159" s="9">
        <v>12208</v>
      </c>
      <c r="O159" s="9">
        <v>12574</v>
      </c>
      <c r="P159" s="9">
        <v>13122</v>
      </c>
      <c r="Q159" s="9">
        <v>13427</v>
      </c>
      <c r="R159" s="9">
        <v>13752.070904319286</v>
      </c>
      <c r="S159" s="9">
        <v>13954.415962306066</v>
      </c>
      <c r="T159" s="9">
        <v>14517.541199602523</v>
      </c>
      <c r="U159" s="9">
        <v>14619.232602605864</v>
      </c>
      <c r="V159" s="9">
        <v>15001.004410048043</v>
      </c>
      <c r="W159" s="9">
        <v>15230.399489888507</v>
      </c>
      <c r="X159" s="9">
        <v>15892.849903901628</v>
      </c>
    </row>
    <row r="160" spans="1:24" x14ac:dyDescent="0.25">
      <c r="A160" s="8" t="s">
        <v>123</v>
      </c>
      <c r="B160" s="4" t="s">
        <v>27</v>
      </c>
      <c r="C160" s="4" t="s">
        <v>28</v>
      </c>
      <c r="D160" s="4" t="s">
        <v>34</v>
      </c>
      <c r="E160" s="9">
        <v>17</v>
      </c>
      <c r="F160" s="9">
        <v>14</v>
      </c>
      <c r="G160" s="9">
        <v>13</v>
      </c>
      <c r="H160" s="9">
        <v>13</v>
      </c>
      <c r="I160" s="9">
        <v>11</v>
      </c>
      <c r="J160" s="9">
        <v>11</v>
      </c>
      <c r="K160" s="9">
        <v>11</v>
      </c>
      <c r="L160" s="9">
        <v>10</v>
      </c>
      <c r="M160" s="9">
        <v>11</v>
      </c>
      <c r="N160" s="9">
        <v>11</v>
      </c>
      <c r="O160" s="9">
        <v>10</v>
      </c>
      <c r="P160" s="9">
        <v>12</v>
      </c>
      <c r="Q160" s="9">
        <v>12</v>
      </c>
      <c r="R160" s="9">
        <v>12.750506604532324</v>
      </c>
      <c r="S160" s="9">
        <v>10.829072927504946</v>
      </c>
      <c r="T160" s="9">
        <v>10.624328716480999</v>
      </c>
      <c r="U160" s="9">
        <v>9.3049218212756397</v>
      </c>
      <c r="V160" s="9">
        <v>9.418693205261329</v>
      </c>
      <c r="W160" s="9">
        <v>10.053397391563676</v>
      </c>
      <c r="X160" s="9">
        <v>10.484215671347485</v>
      </c>
    </row>
    <row r="161" spans="1:24" x14ac:dyDescent="0.25">
      <c r="A161" s="8" t="s">
        <v>14</v>
      </c>
      <c r="B161" s="4"/>
      <c r="C161" s="4"/>
      <c r="D161" s="4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</row>
    <row r="162" spans="1:24" x14ac:dyDescent="0.25">
      <c r="A162" s="8" t="s">
        <v>173</v>
      </c>
      <c r="B162" s="4"/>
      <c r="C162" s="4"/>
      <c r="D162" s="4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</row>
    <row r="163" spans="1:24" x14ac:dyDescent="0.25">
      <c r="A163" s="8" t="s">
        <v>174</v>
      </c>
      <c r="B163" s="4" t="s">
        <v>12</v>
      </c>
      <c r="C163" s="4" t="s">
        <v>13</v>
      </c>
      <c r="D163" s="4"/>
      <c r="E163" s="9">
        <v>127358</v>
      </c>
      <c r="F163" s="9">
        <v>134383</v>
      </c>
      <c r="G163" s="9">
        <v>143083</v>
      </c>
      <c r="H163" s="9">
        <v>169961</v>
      </c>
      <c r="I163" s="9">
        <v>143313</v>
      </c>
      <c r="J163" s="9">
        <v>147977</v>
      </c>
      <c r="K163" s="9">
        <v>158877</v>
      </c>
      <c r="L163" s="9">
        <v>187792</v>
      </c>
      <c r="M163" s="9">
        <v>155667</v>
      </c>
      <c r="N163" s="9">
        <v>167702</v>
      </c>
      <c r="O163" s="9">
        <v>180169</v>
      </c>
      <c r="P163" s="9">
        <v>213386</v>
      </c>
      <c r="Q163" s="9">
        <v>181500</v>
      </c>
      <c r="R163" s="9">
        <v>196959.55102040817</v>
      </c>
      <c r="S163" s="9">
        <v>203945.61224489796</v>
      </c>
      <c r="T163" s="9">
        <v>242950.60416666666</v>
      </c>
      <c r="U163" s="9">
        <v>205994.27586206896</v>
      </c>
      <c r="V163" s="9">
        <v>223074.14814814818</v>
      </c>
      <c r="W163" s="9">
        <v>231770.61538461538</v>
      </c>
      <c r="X163" s="9">
        <v>273828.69230769231</v>
      </c>
    </row>
    <row r="164" spans="1:24" x14ac:dyDescent="0.25">
      <c r="A164" s="8" t="s">
        <v>14</v>
      </c>
      <c r="B164" s="4"/>
      <c r="C164" s="4"/>
      <c r="D164" s="4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</row>
    <row r="165" spans="1:24" x14ac:dyDescent="0.25">
      <c r="A165" s="8" t="s">
        <v>175</v>
      </c>
      <c r="B165" s="4" t="s">
        <v>176</v>
      </c>
      <c r="C165" s="4" t="s">
        <v>177</v>
      </c>
      <c r="D165" s="4"/>
      <c r="E165" s="9">
        <v>67791</v>
      </c>
      <c r="F165" s="9">
        <v>69373</v>
      </c>
      <c r="G165" s="9">
        <v>75022</v>
      </c>
      <c r="H165" s="9">
        <v>92553</v>
      </c>
      <c r="I165" s="9">
        <v>72633</v>
      </c>
      <c r="J165" s="9">
        <v>73785</v>
      </c>
      <c r="K165" s="9">
        <v>80977</v>
      </c>
      <c r="L165" s="9">
        <v>98893</v>
      </c>
      <c r="M165" s="9">
        <v>76976</v>
      </c>
      <c r="N165" s="9">
        <v>80809</v>
      </c>
      <c r="O165" s="9">
        <v>88670</v>
      </c>
      <c r="P165" s="9">
        <v>109959</v>
      </c>
      <c r="Q165" s="9">
        <v>87463</v>
      </c>
      <c r="R165" s="9">
        <v>94272.26944387611</v>
      </c>
      <c r="S165" s="9">
        <v>98972.714458805087</v>
      </c>
      <c r="T165" s="9">
        <v>121872.28647805311</v>
      </c>
      <c r="U165" s="9">
        <v>95780.316943404003</v>
      </c>
      <c r="V165" s="9">
        <v>102333.69888446457</v>
      </c>
      <c r="W165" s="9">
        <v>107499.3646914775</v>
      </c>
      <c r="X165" s="9">
        <v>130996.60871996648</v>
      </c>
    </row>
    <row r="166" spans="1:24" x14ac:dyDescent="0.25">
      <c r="A166" s="8" t="s">
        <v>178</v>
      </c>
      <c r="B166" s="4" t="s">
        <v>179</v>
      </c>
      <c r="C166" s="4" t="s">
        <v>180</v>
      </c>
      <c r="D166" s="4"/>
      <c r="E166" s="9">
        <v>53.228693917932127</v>
      </c>
      <c r="F166" s="9">
        <v>51.623345214796515</v>
      </c>
      <c r="G166" s="9">
        <v>52.432504210842659</v>
      </c>
      <c r="H166" s="9">
        <v>54.455433893657954</v>
      </c>
      <c r="I166" s="9">
        <v>50.681375730045431</v>
      </c>
      <c r="J166" s="9">
        <v>49.862478628435504</v>
      </c>
      <c r="K166" s="9">
        <v>50.968359170930974</v>
      </c>
      <c r="L166" s="9">
        <v>52.660922723012696</v>
      </c>
      <c r="M166" s="9">
        <v>49.449144648512529</v>
      </c>
      <c r="N166" s="9">
        <v>48.186068144685215</v>
      </c>
      <c r="O166" s="9">
        <v>49.214903784779843</v>
      </c>
      <c r="P166" s="9">
        <v>51.530559643088111</v>
      </c>
      <c r="Q166" s="9">
        <v>48.183936667786838</v>
      </c>
      <c r="R166" s="9">
        <v>47.746423920354168</v>
      </c>
      <c r="S166" s="9">
        <v>48.212093456634001</v>
      </c>
      <c r="T166" s="9">
        <v>50.201084882078014</v>
      </c>
      <c r="U166" s="9">
        <v>47.150292424961997</v>
      </c>
      <c r="V166" s="9">
        <v>46.626106081650661</v>
      </c>
      <c r="W166" s="9">
        <v>47.078627308860753</v>
      </c>
      <c r="X166" s="9">
        <v>48.970868913309225</v>
      </c>
    </row>
    <row r="167" spans="1:24" x14ac:dyDescent="0.25">
      <c r="A167" s="8" t="s">
        <v>14</v>
      </c>
      <c r="B167" s="4"/>
      <c r="C167" s="4"/>
      <c r="D167" s="4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</row>
    <row r="168" spans="1:24" x14ac:dyDescent="0.25">
      <c r="A168" s="8" t="s">
        <v>181</v>
      </c>
      <c r="B168" s="4" t="s">
        <v>182</v>
      </c>
      <c r="C168" s="4" t="s">
        <v>183</v>
      </c>
      <c r="D168" s="4"/>
      <c r="E168" s="9">
        <v>59567</v>
      </c>
      <c r="F168" s="9">
        <v>65010</v>
      </c>
      <c r="G168" s="9">
        <v>68061</v>
      </c>
      <c r="H168" s="9">
        <v>77408</v>
      </c>
      <c r="I168" s="9">
        <v>70680</v>
      </c>
      <c r="J168" s="9">
        <v>74192</v>
      </c>
      <c r="K168" s="9">
        <v>77900</v>
      </c>
      <c r="L168" s="9">
        <v>88899</v>
      </c>
      <c r="M168" s="9">
        <v>78691</v>
      </c>
      <c r="N168" s="9">
        <v>86893</v>
      </c>
      <c r="O168" s="9">
        <v>91499</v>
      </c>
      <c r="P168" s="9">
        <v>103427</v>
      </c>
      <c r="Q168" s="9">
        <v>94056</v>
      </c>
      <c r="R168" s="9">
        <v>102970.50353639046</v>
      </c>
      <c r="S168" s="9">
        <v>105669.29349404635</v>
      </c>
      <c r="T168" s="9">
        <v>120820.51993261847</v>
      </c>
      <c r="U168" s="9">
        <v>109461.17351127017</v>
      </c>
      <c r="V168" s="9">
        <v>120384.43895379534</v>
      </c>
      <c r="W168" s="9">
        <v>123809.74160332151</v>
      </c>
      <c r="X168" s="9">
        <v>140447.84936259297</v>
      </c>
    </row>
    <row r="169" spans="1:24" x14ac:dyDescent="0.25">
      <c r="A169" s="8" t="s">
        <v>184</v>
      </c>
      <c r="B169" s="4" t="s">
        <v>185</v>
      </c>
      <c r="C169" s="4" t="s">
        <v>186</v>
      </c>
      <c r="D169" s="4"/>
      <c r="E169" s="9">
        <v>46.771306000000003</v>
      </c>
      <c r="F169" s="9">
        <v>48.376655</v>
      </c>
      <c r="G169" s="9">
        <v>47.567495999999998</v>
      </c>
      <c r="H169" s="9">
        <v>45.544566000000003</v>
      </c>
      <c r="I169" s="9">
        <v>49.318624</v>
      </c>
      <c r="J169" s="9">
        <v>50.137521</v>
      </c>
      <c r="K169" s="9">
        <v>49.031641</v>
      </c>
      <c r="L169" s="9">
        <v>47.339077000000003</v>
      </c>
      <c r="M169" s="9">
        <v>50.550854999999999</v>
      </c>
      <c r="N169" s="9">
        <v>51.813932000000001</v>
      </c>
      <c r="O169" s="9">
        <v>50.785096000000003</v>
      </c>
      <c r="P169" s="9">
        <v>48.469439999999999</v>
      </c>
      <c r="Q169" s="9">
        <v>51.821488000000002</v>
      </c>
      <c r="R169" s="9">
        <v>52.125855743784165</v>
      </c>
      <c r="S169" s="9">
        <v>51.713071363020219</v>
      </c>
      <c r="T169" s="9">
        <v>49.788273572171967</v>
      </c>
      <c r="U169" s="9">
        <v>53.141390384397035</v>
      </c>
      <c r="V169" s="9">
        <v>53.842171109426502</v>
      </c>
      <c r="W169" s="9">
        <v>53.510871351278894</v>
      </c>
      <c r="X169" s="9">
        <v>51.643570673386378</v>
      </c>
    </row>
    <row r="170" spans="1:24" x14ac:dyDescent="0.25">
      <c r="A170" s="8" t="s">
        <v>14</v>
      </c>
      <c r="B170" s="4"/>
      <c r="C170" s="4"/>
      <c r="D170" s="4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</row>
    <row r="171" spans="1:24" x14ac:dyDescent="0.25">
      <c r="A171" s="8" t="s">
        <v>187</v>
      </c>
      <c r="B171" s="4" t="s">
        <v>132</v>
      </c>
      <c r="C171" s="4" t="s">
        <v>133</v>
      </c>
      <c r="D171" s="4"/>
      <c r="E171" s="9">
        <v>122584</v>
      </c>
      <c r="F171" s="9">
        <v>126702</v>
      </c>
      <c r="G171" s="9">
        <v>131895</v>
      </c>
      <c r="H171" s="9">
        <v>156752</v>
      </c>
      <c r="I171" s="9">
        <v>128006</v>
      </c>
      <c r="J171" s="9">
        <v>133305</v>
      </c>
      <c r="K171" s="9">
        <v>141466</v>
      </c>
      <c r="L171" s="9">
        <v>166589</v>
      </c>
      <c r="M171" s="9">
        <v>137262</v>
      </c>
      <c r="N171" s="9">
        <v>148531</v>
      </c>
      <c r="O171" s="9">
        <v>162747</v>
      </c>
      <c r="P171" s="9">
        <v>188409</v>
      </c>
      <c r="Q171" s="9">
        <v>157667</v>
      </c>
      <c r="R171" s="9">
        <v>173715.06974793234</v>
      </c>
      <c r="S171" s="9">
        <v>179133.27225538623</v>
      </c>
      <c r="T171" s="9">
        <v>213131.4497429968</v>
      </c>
      <c r="U171" s="9">
        <v>177258.84071815369</v>
      </c>
      <c r="V171" s="9">
        <v>194755.7011926439</v>
      </c>
      <c r="W171" s="9">
        <v>201431.95579765181</v>
      </c>
      <c r="X171" s="9">
        <v>238370.30105463328</v>
      </c>
    </row>
    <row r="172" spans="1:24" x14ac:dyDescent="0.25">
      <c r="A172" s="8" t="s">
        <v>178</v>
      </c>
      <c r="B172" s="4" t="s">
        <v>188</v>
      </c>
      <c r="C172" s="4" t="s">
        <v>189</v>
      </c>
      <c r="D172" s="4"/>
      <c r="E172" s="9">
        <v>96.251511487303503</v>
      </c>
      <c r="F172" s="9">
        <v>94.284247263418735</v>
      </c>
      <c r="G172" s="9">
        <v>92.180762214938184</v>
      </c>
      <c r="H172" s="9">
        <v>92.228217061561182</v>
      </c>
      <c r="I172" s="9">
        <v>89.319182488678621</v>
      </c>
      <c r="J172" s="9">
        <v>90.084945633443041</v>
      </c>
      <c r="K172" s="9">
        <v>89.041207978499088</v>
      </c>
      <c r="L172" s="9">
        <v>88.709316690806844</v>
      </c>
      <c r="M172" s="9">
        <v>88.176684846499256</v>
      </c>
      <c r="N172" s="9">
        <v>88.568413018330133</v>
      </c>
      <c r="O172" s="9">
        <v>90.33018998828878</v>
      </c>
      <c r="P172" s="9">
        <v>88.29492094139259</v>
      </c>
      <c r="Q172" s="9">
        <v>86.859777764311175</v>
      </c>
      <c r="R172" s="9">
        <v>89.823628038883243</v>
      </c>
      <c r="S172" s="9">
        <v>89.728914976331794</v>
      </c>
      <c r="T172" s="9">
        <v>89.812735308927529</v>
      </c>
      <c r="U172" s="9">
        <v>88.793522511100889</v>
      </c>
      <c r="V172" s="9">
        <v>89.994053929739991</v>
      </c>
      <c r="W172" s="9">
        <v>89.539293417470944</v>
      </c>
      <c r="X172" s="9">
        <v>89.602575306417748</v>
      </c>
    </row>
    <row r="173" spans="1:24" x14ac:dyDescent="0.25">
      <c r="A173" s="8" t="s">
        <v>190</v>
      </c>
      <c r="B173" s="4" t="s">
        <v>191</v>
      </c>
      <c r="C173" s="4" t="s">
        <v>192</v>
      </c>
      <c r="D173" s="4"/>
      <c r="E173" s="9">
        <v>54793</v>
      </c>
      <c r="F173" s="9">
        <v>57329</v>
      </c>
      <c r="G173" s="9">
        <v>56873</v>
      </c>
      <c r="H173" s="9">
        <v>64199</v>
      </c>
      <c r="I173" s="9">
        <v>55373</v>
      </c>
      <c r="J173" s="9">
        <v>59520</v>
      </c>
      <c r="K173" s="9">
        <v>60489</v>
      </c>
      <c r="L173" s="9">
        <v>67696</v>
      </c>
      <c r="M173" s="9">
        <v>60286</v>
      </c>
      <c r="N173" s="9">
        <v>67722</v>
      </c>
      <c r="O173" s="9">
        <v>74077</v>
      </c>
      <c r="P173" s="9">
        <v>78450</v>
      </c>
      <c r="Q173" s="9">
        <v>70204</v>
      </c>
      <c r="R173" s="9">
        <v>79552.541211896096</v>
      </c>
      <c r="S173" s="9">
        <v>80702.701600297311</v>
      </c>
      <c r="T173" s="9">
        <v>89143.820742220079</v>
      </c>
      <c r="U173" s="9">
        <v>79511.985330289957</v>
      </c>
      <c r="V173" s="9">
        <v>88822.202775414567</v>
      </c>
      <c r="W173" s="9">
        <v>91231.496659743541</v>
      </c>
      <c r="X173" s="9">
        <v>101402.243622861</v>
      </c>
    </row>
    <row r="174" spans="1:24" x14ac:dyDescent="0.25">
      <c r="A174" s="8" t="s">
        <v>178</v>
      </c>
      <c r="B174" s="4" t="s">
        <v>193</v>
      </c>
      <c r="C174" s="4" t="s">
        <v>194</v>
      </c>
      <c r="D174" s="4"/>
      <c r="E174" s="9">
        <v>43.022817569371377</v>
      </c>
      <c r="F174" s="9">
        <v>42.660902048622226</v>
      </c>
      <c r="G174" s="9">
        <v>39.748258004095526</v>
      </c>
      <c r="H174" s="9">
        <v>37.772783167903221</v>
      </c>
      <c r="I174" s="9">
        <v>38.637806758633204</v>
      </c>
      <c r="J174" s="9">
        <v>40.22246700500753</v>
      </c>
      <c r="K174" s="9">
        <v>38.072848807568114</v>
      </c>
      <c r="L174" s="9">
        <v>36.048393967794155</v>
      </c>
      <c r="M174" s="9">
        <v>38.727540197986727</v>
      </c>
      <c r="N174" s="9">
        <v>40.382344873644918</v>
      </c>
      <c r="O174" s="9">
        <v>41.11528620350893</v>
      </c>
      <c r="P174" s="9">
        <v>36.764361298304479</v>
      </c>
      <c r="Q174" s="9">
        <v>38.67584109652433</v>
      </c>
      <c r="R174" s="9">
        <v>39.520318881983307</v>
      </c>
      <c r="S174" s="9">
        <v>38.877808340913226</v>
      </c>
      <c r="T174" s="9">
        <v>35.765224550741948</v>
      </c>
      <c r="U174" s="9">
        <v>38.599950928566813</v>
      </c>
      <c r="V174" s="9">
        <v>40.251854852285547</v>
      </c>
      <c r="W174" s="9">
        <v>39.891366059061163</v>
      </c>
      <c r="X174" s="9">
        <v>36.699894785708167</v>
      </c>
    </row>
    <row r="175" spans="1:24" x14ac:dyDescent="0.25">
      <c r="A175" s="8" t="s">
        <v>195</v>
      </c>
      <c r="B175" s="4" t="s">
        <v>196</v>
      </c>
      <c r="C175" s="4" t="s">
        <v>197</v>
      </c>
      <c r="D175" s="4"/>
      <c r="E175" s="9">
        <v>20450</v>
      </c>
      <c r="F175" s="9">
        <v>21931</v>
      </c>
      <c r="G175" s="9">
        <v>21203</v>
      </c>
      <c r="H175" s="9">
        <v>22038</v>
      </c>
      <c r="I175" s="9">
        <v>20424</v>
      </c>
      <c r="J175" s="9">
        <v>22304</v>
      </c>
      <c r="K175" s="9">
        <v>22245</v>
      </c>
      <c r="L175" s="9">
        <v>23571</v>
      </c>
      <c r="M175" s="9">
        <v>22994</v>
      </c>
      <c r="N175" s="9">
        <v>27166</v>
      </c>
      <c r="O175" s="9">
        <v>28962</v>
      </c>
      <c r="P175" s="9">
        <v>29399</v>
      </c>
      <c r="Q175" s="9">
        <v>29567</v>
      </c>
      <c r="R175" s="9">
        <v>33251.961641517926</v>
      </c>
      <c r="S175" s="9">
        <v>33953.736604701226</v>
      </c>
      <c r="T175" s="9">
        <v>36569.999368533674</v>
      </c>
      <c r="U175" s="9">
        <v>34289.004365689427</v>
      </c>
      <c r="V175" s="9">
        <v>38612.808262001381</v>
      </c>
      <c r="W175" s="9">
        <v>39641.335697382026</v>
      </c>
      <c r="X175" s="9">
        <v>43359.582663777415</v>
      </c>
    </row>
    <row r="176" spans="1:24" x14ac:dyDescent="0.25">
      <c r="A176" s="8" t="s">
        <v>130</v>
      </c>
      <c r="B176" s="4" t="s">
        <v>198</v>
      </c>
      <c r="C176" s="4" t="s">
        <v>199</v>
      </c>
      <c r="D176" s="4"/>
      <c r="E176" s="9">
        <v>16.057098886603118</v>
      </c>
      <c r="F176" s="9">
        <v>16.319772590282998</v>
      </c>
      <c r="G176" s="9">
        <v>14.818671680073802</v>
      </c>
      <c r="H176" s="9">
        <v>12.966504080347843</v>
      </c>
      <c r="I176" s="9">
        <v>14.25132402503611</v>
      </c>
      <c r="J176" s="9">
        <v>15.072612635747449</v>
      </c>
      <c r="K176" s="9">
        <v>14.001397307350969</v>
      </c>
      <c r="L176" s="9">
        <v>12.551652892561984</v>
      </c>
      <c r="M176" s="9">
        <v>14.771274579711822</v>
      </c>
      <c r="N176" s="9">
        <v>16.198971986022826</v>
      </c>
      <c r="O176" s="9">
        <v>16.074907448007149</v>
      </c>
      <c r="P176" s="9">
        <v>13.777379959322541</v>
      </c>
      <c r="Q176" s="9">
        <v>16.28865297847608</v>
      </c>
      <c r="R176" s="9">
        <v>16.792039781554127</v>
      </c>
      <c r="S176" s="9">
        <v>16.590140075686467</v>
      </c>
      <c r="T176" s="9">
        <v>14.956674728952011</v>
      </c>
      <c r="U176" s="9">
        <v>16.652634942637636</v>
      </c>
      <c r="V176" s="9">
        <v>17.099600938252951</v>
      </c>
      <c r="W176" s="9">
        <v>16.921300703632934</v>
      </c>
      <c r="X176" s="9">
        <v>15.534645578360616</v>
      </c>
    </row>
    <row r="177" spans="1:24" x14ac:dyDescent="0.25">
      <c r="A177" s="8" t="s">
        <v>200</v>
      </c>
      <c r="B177" s="4" t="s">
        <v>201</v>
      </c>
      <c r="C177" s="4" t="s">
        <v>202</v>
      </c>
      <c r="D177" s="4"/>
      <c r="E177" s="9">
        <v>4000</v>
      </c>
      <c r="F177" s="9">
        <v>4400</v>
      </c>
      <c r="G177" s="9">
        <v>4600</v>
      </c>
      <c r="H177" s="9" t="s">
        <v>666</v>
      </c>
      <c r="I177" s="9">
        <v>4600</v>
      </c>
      <c r="J177" s="9">
        <v>4600</v>
      </c>
      <c r="K177" s="9">
        <v>5000</v>
      </c>
      <c r="L177" s="9" t="s">
        <v>666</v>
      </c>
      <c r="M177" s="9">
        <v>5100</v>
      </c>
      <c r="N177" s="9">
        <v>5100</v>
      </c>
      <c r="O177" s="9">
        <v>5500</v>
      </c>
      <c r="P177" s="9" t="s">
        <v>666</v>
      </c>
      <c r="Q177" s="9" t="s">
        <v>666</v>
      </c>
      <c r="R177" s="9">
        <v>6013.3204810519337</v>
      </c>
      <c r="S177" s="9">
        <v>6259.2274195770779</v>
      </c>
      <c r="T177" s="9">
        <v>7381.1078745921805</v>
      </c>
      <c r="U177" s="9">
        <v>6477.035604308996</v>
      </c>
      <c r="V177" s="9">
        <v>6678.5339541255489</v>
      </c>
      <c r="W177" s="9">
        <v>6906.3934245258597</v>
      </c>
      <c r="X177" s="9">
        <v>8089.8820674100789</v>
      </c>
    </row>
    <row r="178" spans="1:24" x14ac:dyDescent="0.25">
      <c r="A178" s="8" t="s">
        <v>203</v>
      </c>
      <c r="B178" s="4" t="s">
        <v>204</v>
      </c>
      <c r="C178" s="4" t="s">
        <v>205</v>
      </c>
      <c r="D178" s="4"/>
      <c r="E178" s="9">
        <v>10172</v>
      </c>
      <c r="F178" s="9">
        <v>10745</v>
      </c>
      <c r="G178" s="9">
        <v>10551</v>
      </c>
      <c r="H178" s="9">
        <v>12902</v>
      </c>
      <c r="I178" s="9">
        <v>9662</v>
      </c>
      <c r="J178" s="9">
        <v>10512</v>
      </c>
      <c r="K178" s="9">
        <v>10609</v>
      </c>
      <c r="L178" s="9">
        <v>13124</v>
      </c>
      <c r="M178" s="9">
        <v>9763</v>
      </c>
      <c r="N178" s="9">
        <v>11416</v>
      </c>
      <c r="O178" s="9">
        <v>11686</v>
      </c>
      <c r="P178" s="9">
        <v>14264</v>
      </c>
      <c r="Q178" s="9">
        <v>10314</v>
      </c>
      <c r="R178" s="9">
        <v>12915.738001555043</v>
      </c>
      <c r="S178" s="9">
        <v>13132.256379540528</v>
      </c>
      <c r="T178" s="9">
        <v>15962.600812550463</v>
      </c>
      <c r="U178" s="9">
        <v>12196.853100322516</v>
      </c>
      <c r="V178" s="9">
        <v>14409.940801242437</v>
      </c>
      <c r="W178" s="9">
        <v>14864.821474425242</v>
      </c>
      <c r="X178" s="9">
        <v>17976.115380642925</v>
      </c>
    </row>
    <row r="179" spans="1:24" x14ac:dyDescent="0.25">
      <c r="A179" s="8" t="s">
        <v>206</v>
      </c>
      <c r="B179" s="4" t="s">
        <v>207</v>
      </c>
      <c r="C179" s="4" t="s">
        <v>208</v>
      </c>
      <c r="D179" s="4"/>
      <c r="E179" s="9" t="s">
        <v>666</v>
      </c>
      <c r="F179" s="9" t="s">
        <v>666</v>
      </c>
      <c r="G179" s="9" t="s">
        <v>666</v>
      </c>
      <c r="H179" s="9" t="s">
        <v>666</v>
      </c>
      <c r="I179" s="9" t="s">
        <v>666</v>
      </c>
      <c r="J179" s="9" t="s">
        <v>666</v>
      </c>
      <c r="K179" s="9" t="s">
        <v>666</v>
      </c>
      <c r="L179" s="9" t="s">
        <v>666</v>
      </c>
      <c r="M179" s="9" t="s">
        <v>666</v>
      </c>
      <c r="N179" s="9" t="s">
        <v>666</v>
      </c>
      <c r="O179" s="9" t="s">
        <v>666</v>
      </c>
      <c r="P179" s="9" t="s">
        <v>666</v>
      </c>
      <c r="Q179" s="9" t="s">
        <v>666</v>
      </c>
      <c r="R179" s="9">
        <v>6.515279365776653</v>
      </c>
      <c r="S179" s="9">
        <v>6.3526143513768529</v>
      </c>
      <c r="T179" s="9">
        <v>6.4318382167481252</v>
      </c>
      <c r="U179" s="9">
        <v>5.8058648951857226</v>
      </c>
      <c r="V179" s="9">
        <v>6.3158209826713163</v>
      </c>
      <c r="W179" s="9">
        <v>6.2024534637885642</v>
      </c>
      <c r="X179" s="9">
        <v>6.4012702419492138</v>
      </c>
    </row>
    <row r="180" spans="1:24" x14ac:dyDescent="0.25">
      <c r="A180" s="8" t="s">
        <v>209</v>
      </c>
      <c r="B180" s="4" t="s">
        <v>210</v>
      </c>
      <c r="C180" s="4" t="s">
        <v>211</v>
      </c>
      <c r="D180" s="4"/>
      <c r="E180" s="9">
        <v>3043</v>
      </c>
      <c r="F180" s="9">
        <v>3202</v>
      </c>
      <c r="G180" s="9">
        <v>2561</v>
      </c>
      <c r="H180" s="9">
        <v>3010</v>
      </c>
      <c r="I180" s="9">
        <v>2742</v>
      </c>
      <c r="J180" s="9">
        <v>3041</v>
      </c>
      <c r="K180" s="9">
        <v>2713</v>
      </c>
      <c r="L180" s="9">
        <v>2863</v>
      </c>
      <c r="M180" s="9">
        <v>2628</v>
      </c>
      <c r="N180" s="9">
        <v>2965</v>
      </c>
      <c r="O180" s="9">
        <v>2875</v>
      </c>
      <c r="P180" s="9">
        <v>2704</v>
      </c>
      <c r="Q180" s="9">
        <v>2587</v>
      </c>
      <c r="R180" s="9">
        <v>3158.4304646944934</v>
      </c>
      <c r="S180" s="9">
        <v>3071.4822361677097</v>
      </c>
      <c r="T180" s="9">
        <v>3142.499498375822</v>
      </c>
      <c r="U180" s="9">
        <v>2922.2771308074161</v>
      </c>
      <c r="V180" s="9">
        <v>3420.1323225581382</v>
      </c>
      <c r="W180" s="9">
        <v>3287.2124132971176</v>
      </c>
      <c r="X180" s="9">
        <v>3332.6844885044202</v>
      </c>
    </row>
    <row r="181" spans="1:24" x14ac:dyDescent="0.25">
      <c r="A181" s="8" t="s">
        <v>206</v>
      </c>
      <c r="B181" s="4" t="s">
        <v>212</v>
      </c>
      <c r="C181" s="4" t="s">
        <v>213</v>
      </c>
      <c r="D181" s="4"/>
      <c r="E181" s="9" t="s">
        <v>666</v>
      </c>
      <c r="F181" s="9" t="s">
        <v>666</v>
      </c>
      <c r="G181" s="9" t="s">
        <v>666</v>
      </c>
      <c r="H181" s="9" t="s">
        <v>666</v>
      </c>
      <c r="I181" s="9" t="s">
        <v>666</v>
      </c>
      <c r="J181" s="9" t="s">
        <v>666</v>
      </c>
      <c r="K181" s="9" t="s">
        <v>666</v>
      </c>
      <c r="L181" s="9" t="s">
        <v>666</v>
      </c>
      <c r="M181" s="9" t="s">
        <v>666</v>
      </c>
      <c r="N181" s="9" t="s">
        <v>666</v>
      </c>
      <c r="O181" s="9" t="s">
        <v>666</v>
      </c>
      <c r="P181" s="9" t="s">
        <v>666</v>
      </c>
      <c r="Q181" s="9" t="s">
        <v>666</v>
      </c>
      <c r="R181" s="9">
        <v>1.6924829310070739</v>
      </c>
      <c r="S181" s="9">
        <v>1.5667550506899046</v>
      </c>
      <c r="T181" s="9">
        <v>1.3883810975566342</v>
      </c>
      <c r="U181" s="9">
        <v>1.5318704662456846</v>
      </c>
      <c r="V181" s="9">
        <v>1.650412536371678</v>
      </c>
      <c r="W181" s="9">
        <v>1.4722120116258572</v>
      </c>
      <c r="X181" s="9">
        <v>1.3646918065191385</v>
      </c>
    </row>
    <row r="182" spans="1:24" x14ac:dyDescent="0.25">
      <c r="A182" s="8" t="s">
        <v>214</v>
      </c>
      <c r="B182" s="4" t="s">
        <v>215</v>
      </c>
      <c r="C182" s="4" t="s">
        <v>216</v>
      </c>
      <c r="D182" s="4"/>
      <c r="E182" s="9" t="s">
        <v>666</v>
      </c>
      <c r="F182" s="9" t="s">
        <v>666</v>
      </c>
      <c r="G182" s="9" t="s">
        <v>666</v>
      </c>
      <c r="H182" s="9" t="s">
        <v>666</v>
      </c>
      <c r="I182" s="9" t="s">
        <v>666</v>
      </c>
      <c r="J182" s="9" t="s">
        <v>666</v>
      </c>
      <c r="K182" s="9" t="s">
        <v>666</v>
      </c>
      <c r="L182" s="9" t="s">
        <v>666</v>
      </c>
      <c r="M182" s="9" t="s">
        <v>666</v>
      </c>
      <c r="N182" s="9" t="s">
        <v>666</v>
      </c>
      <c r="O182" s="9" t="s">
        <v>666</v>
      </c>
      <c r="P182" s="9" t="s">
        <v>666</v>
      </c>
      <c r="Q182" s="9" t="s">
        <v>666</v>
      </c>
      <c r="R182" s="9">
        <v>5905.4444863410208</v>
      </c>
      <c r="S182" s="9">
        <v>5901.5485020688939</v>
      </c>
      <c r="T182" s="9">
        <v>8771.5070824405357</v>
      </c>
      <c r="U182" s="9">
        <v>5624.6244341963102</v>
      </c>
      <c r="V182" s="9">
        <v>6142.5220341432951</v>
      </c>
      <c r="W182" s="9">
        <v>6378.2115630113967</v>
      </c>
      <c r="X182" s="9">
        <v>8550.3508369129449</v>
      </c>
    </row>
    <row r="183" spans="1:24" x14ac:dyDescent="0.25">
      <c r="A183" s="8" t="s">
        <v>217</v>
      </c>
      <c r="B183" s="4" t="s">
        <v>218</v>
      </c>
      <c r="C183" s="4" t="s">
        <v>219</v>
      </c>
      <c r="D183" s="4"/>
      <c r="E183" s="9">
        <v>11123</v>
      </c>
      <c r="F183" s="9">
        <v>11589</v>
      </c>
      <c r="G183" s="9">
        <v>12131</v>
      </c>
      <c r="H183" s="9">
        <v>13820</v>
      </c>
      <c r="I183" s="9">
        <v>11684</v>
      </c>
      <c r="J183" s="9">
        <v>12038</v>
      </c>
      <c r="K183" s="9">
        <v>13442</v>
      </c>
      <c r="L183" s="9">
        <v>15631</v>
      </c>
      <c r="M183" s="9">
        <v>14262</v>
      </c>
      <c r="N183" s="9">
        <v>15227</v>
      </c>
      <c r="O183" s="9">
        <v>16796</v>
      </c>
      <c r="P183" s="9">
        <v>19471</v>
      </c>
      <c r="Q183" s="9">
        <v>18945</v>
      </c>
      <c r="R183" s="9">
        <v>20708.304231809201</v>
      </c>
      <c r="S183" s="9">
        <v>21953.152378606999</v>
      </c>
      <c r="T183" s="9">
        <v>24414.2399229736</v>
      </c>
      <c r="U183" s="9">
        <v>24653.218821973202</v>
      </c>
      <c r="V183" s="9">
        <v>26463.252074016</v>
      </c>
      <c r="W183" s="9">
        <v>28245.080423257899</v>
      </c>
      <c r="X183" s="9">
        <v>31185.701248633599</v>
      </c>
    </row>
    <row r="184" spans="1:24" x14ac:dyDescent="0.25">
      <c r="A184" s="8" t="s">
        <v>220</v>
      </c>
      <c r="B184" s="4" t="s">
        <v>49</v>
      </c>
      <c r="C184" s="4" t="s">
        <v>50</v>
      </c>
      <c r="D184" s="4"/>
      <c r="E184" s="9">
        <v>20905</v>
      </c>
      <c r="F184" s="9">
        <v>21305</v>
      </c>
      <c r="G184" s="9">
        <v>22314</v>
      </c>
      <c r="H184" s="9">
        <v>26095</v>
      </c>
      <c r="I184" s="9">
        <v>22317</v>
      </c>
      <c r="J184" s="9">
        <v>23566</v>
      </c>
      <c r="K184" s="9">
        <v>24660</v>
      </c>
      <c r="L184" s="9">
        <v>27962</v>
      </c>
      <c r="M184" s="9">
        <v>24593</v>
      </c>
      <c r="N184" s="9">
        <v>25976</v>
      </c>
      <c r="O184" s="9">
        <v>27679</v>
      </c>
      <c r="P184" s="9">
        <v>30826</v>
      </c>
      <c r="Q184" s="9">
        <v>27289</v>
      </c>
      <c r="R184" s="9">
        <v>29784.160192845717</v>
      </c>
      <c r="S184" s="9">
        <v>30629.855216361506</v>
      </c>
      <c r="T184" s="9">
        <v>34749.230107010117</v>
      </c>
      <c r="U184" s="9">
        <v>30252.495919869933</v>
      </c>
      <c r="V184" s="9">
        <v>32780.951637483122</v>
      </c>
      <c r="W184" s="9">
        <v>33956.211055049505</v>
      </c>
      <c r="X184" s="9">
        <v>38132.6700168237</v>
      </c>
    </row>
    <row r="185" spans="1:24" x14ac:dyDescent="0.25">
      <c r="A185" s="8" t="s">
        <v>221</v>
      </c>
      <c r="B185" s="4" t="s">
        <v>222</v>
      </c>
      <c r="C185" s="4" t="s">
        <v>223</v>
      </c>
      <c r="D185" s="4"/>
      <c r="E185" s="9">
        <v>-223</v>
      </c>
      <c r="F185" s="9">
        <v>-146</v>
      </c>
      <c r="G185" s="9">
        <v>-244</v>
      </c>
      <c r="H185" s="9">
        <v>-154</v>
      </c>
      <c r="I185" s="9">
        <v>-228</v>
      </c>
      <c r="J185" s="9">
        <v>-97</v>
      </c>
      <c r="K185" s="9">
        <v>-262</v>
      </c>
      <c r="L185" s="9">
        <v>-176</v>
      </c>
      <c r="M185" s="9">
        <v>-308</v>
      </c>
      <c r="N185" s="9">
        <v>-199</v>
      </c>
      <c r="O185" s="9">
        <v>-2875</v>
      </c>
      <c r="P185" s="9">
        <v>-1257</v>
      </c>
      <c r="Q185" s="9">
        <v>-447</v>
      </c>
      <c r="R185" s="9">
        <v>-261.53482714002325</v>
      </c>
      <c r="S185" s="9">
        <v>-441.66808981917848</v>
      </c>
      <c r="T185" s="9">
        <v>-458.44981244144316</v>
      </c>
      <c r="U185" s="9">
        <v>-309.2549278164841</v>
      </c>
      <c r="V185" s="9">
        <v>-261.39672290086691</v>
      </c>
      <c r="W185" s="9">
        <v>-519.11408021035868</v>
      </c>
      <c r="X185" s="9">
        <v>-394.39286783461114</v>
      </c>
    </row>
    <row r="186" spans="1:24" x14ac:dyDescent="0.25">
      <c r="A186" s="8" t="s">
        <v>14</v>
      </c>
      <c r="B186" s="4"/>
      <c r="C186" s="4"/>
      <c r="D186" s="4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</row>
    <row r="187" spans="1:24" x14ac:dyDescent="0.25">
      <c r="A187" s="8" t="s">
        <v>51</v>
      </c>
      <c r="B187" s="4" t="s">
        <v>52</v>
      </c>
      <c r="C187" s="4" t="s">
        <v>53</v>
      </c>
      <c r="D187" s="4"/>
      <c r="E187" s="9">
        <v>4774</v>
      </c>
      <c r="F187" s="9">
        <v>7681</v>
      </c>
      <c r="G187" s="9">
        <v>11188</v>
      </c>
      <c r="H187" s="9">
        <v>13209</v>
      </c>
      <c r="I187" s="9">
        <v>15307</v>
      </c>
      <c r="J187" s="9">
        <v>14672</v>
      </c>
      <c r="K187" s="9">
        <v>17411</v>
      </c>
      <c r="L187" s="9">
        <v>21203</v>
      </c>
      <c r="M187" s="9">
        <v>18405</v>
      </c>
      <c r="N187" s="9">
        <v>19171</v>
      </c>
      <c r="O187" s="9">
        <v>17422</v>
      </c>
      <c r="P187" s="9">
        <v>24977</v>
      </c>
      <c r="Q187" s="9">
        <v>23852</v>
      </c>
      <c r="R187" s="9">
        <v>23741.952380952382</v>
      </c>
      <c r="S187" s="9">
        <v>24996.166666666668</v>
      </c>
      <c r="T187" s="9">
        <v>31444.195121951219</v>
      </c>
      <c r="U187" s="9">
        <v>29647.08</v>
      </c>
      <c r="V187" s="9">
        <v>30531.291666666668</v>
      </c>
      <c r="W187" s="9">
        <v>32080.17391304348</v>
      </c>
      <c r="X187" s="9">
        <v>39110.478260869568</v>
      </c>
    </row>
    <row r="188" spans="1:24" x14ac:dyDescent="0.25">
      <c r="A188" s="8" t="s">
        <v>54</v>
      </c>
      <c r="B188" s="4" t="s">
        <v>55</v>
      </c>
      <c r="C188" s="4" t="s">
        <v>56</v>
      </c>
      <c r="D188" s="4"/>
      <c r="E188" s="9">
        <v>3.7484885126964933</v>
      </c>
      <c r="F188" s="9">
        <v>5.7157527365812637</v>
      </c>
      <c r="G188" s="9">
        <v>7.8192377850618167</v>
      </c>
      <c r="H188" s="9">
        <v>7.7717829384388191</v>
      </c>
      <c r="I188" s="9">
        <v>10.680817511321374</v>
      </c>
      <c r="J188" s="9">
        <v>9.9150543665569657</v>
      </c>
      <c r="K188" s="9">
        <v>10.95879202150091</v>
      </c>
      <c r="L188" s="9">
        <v>11.290683309193151</v>
      </c>
      <c r="M188" s="9">
        <v>11.823315153500742</v>
      </c>
      <c r="N188" s="9">
        <v>11.431586981669867</v>
      </c>
      <c r="O188" s="9">
        <v>9.6698100117112276</v>
      </c>
      <c r="P188" s="9">
        <v>11.705079058607406</v>
      </c>
      <c r="Q188" s="9">
        <v>13.140222235688825</v>
      </c>
      <c r="R188" s="9">
        <v>11.982010780216619</v>
      </c>
      <c r="S188" s="9">
        <v>12.230274562264817</v>
      </c>
      <c r="T188" s="9">
        <v>12.908729668037935</v>
      </c>
      <c r="U188" s="9">
        <v>14.348491777993564</v>
      </c>
      <c r="V188" s="9">
        <v>13.668730235047221</v>
      </c>
      <c r="W188" s="9">
        <v>13.805615449096297</v>
      </c>
      <c r="X188" s="9">
        <v>14.290120009023678</v>
      </c>
    </row>
    <row r="189" spans="1:24" x14ac:dyDescent="0.25">
      <c r="A189" s="8" t="s">
        <v>14</v>
      </c>
      <c r="B189" s="4"/>
      <c r="C189" s="4"/>
      <c r="D189" s="4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</row>
    <row r="190" spans="1:24" x14ac:dyDescent="0.25">
      <c r="A190" s="8" t="s">
        <v>224</v>
      </c>
      <c r="B190" s="4" t="s">
        <v>225</v>
      </c>
      <c r="C190" s="4" t="s">
        <v>226</v>
      </c>
      <c r="D190" s="4"/>
      <c r="E190" s="9" t="s">
        <v>666</v>
      </c>
      <c r="F190" s="9" t="s">
        <v>666</v>
      </c>
      <c r="G190" s="9" t="s">
        <v>666</v>
      </c>
      <c r="H190" s="9" t="s">
        <v>666</v>
      </c>
      <c r="I190" s="9" t="s">
        <v>666</v>
      </c>
      <c r="J190" s="9" t="s">
        <v>666</v>
      </c>
      <c r="K190" s="9" t="s">
        <v>666</v>
      </c>
      <c r="L190" s="9" t="s">
        <v>666</v>
      </c>
      <c r="M190" s="9" t="s">
        <v>666</v>
      </c>
      <c r="N190" s="9" t="s">
        <v>666</v>
      </c>
      <c r="O190" s="9" t="s">
        <v>666</v>
      </c>
      <c r="P190" s="9" t="s">
        <v>666</v>
      </c>
      <c r="Q190" s="9" t="s">
        <v>666</v>
      </c>
      <c r="R190" s="9">
        <v>43799.825860162615</v>
      </c>
      <c r="S190" s="9">
        <v>45672.01398655674</v>
      </c>
      <c r="T190" s="9">
        <v>54977.495917597618</v>
      </c>
      <c r="U190" s="9">
        <v>52607.386426826364</v>
      </c>
      <c r="V190" s="9">
        <v>55280.947552392667</v>
      </c>
      <c r="W190" s="9">
        <v>58590.810937106289</v>
      </c>
      <c r="X190" s="9">
        <v>68917.769088453089</v>
      </c>
    </row>
    <row r="191" spans="1:24" x14ac:dyDescent="0.25">
      <c r="A191" s="8" t="s">
        <v>14</v>
      </c>
      <c r="B191" s="4"/>
      <c r="C191" s="4"/>
      <c r="D191" s="4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</row>
    <row r="192" spans="1:24" x14ac:dyDescent="0.25">
      <c r="A192" s="8" t="s">
        <v>227</v>
      </c>
      <c r="B192" s="4" t="s">
        <v>228</v>
      </c>
      <c r="C192" s="4" t="s">
        <v>229</v>
      </c>
      <c r="D192" s="4"/>
      <c r="E192" s="9">
        <v>655</v>
      </c>
      <c r="F192" s="9">
        <v>118</v>
      </c>
      <c r="G192" s="9">
        <v>-1001</v>
      </c>
      <c r="H192" s="9">
        <v>-477</v>
      </c>
      <c r="I192" s="9">
        <v>2324</v>
      </c>
      <c r="J192" s="9">
        <v>-573</v>
      </c>
      <c r="K192" s="9">
        <v>-626</v>
      </c>
      <c r="L192" s="9">
        <v>-1146</v>
      </c>
      <c r="M192" s="9">
        <v>-3274</v>
      </c>
      <c r="N192" s="9">
        <v>-1686</v>
      </c>
      <c r="O192" s="9">
        <v>-10748</v>
      </c>
      <c r="P192" s="9">
        <v>-1628</v>
      </c>
      <c r="Q192" s="9">
        <v>-15982</v>
      </c>
      <c r="R192" s="9">
        <v>-491.28514861938157</v>
      </c>
      <c r="S192" s="9">
        <v>-615.71465704473701</v>
      </c>
      <c r="T192" s="9">
        <v>-417.34532300386178</v>
      </c>
      <c r="U192" s="9">
        <v>-566.17960591388305</v>
      </c>
      <c r="V192" s="9">
        <v>-601.71495724784643</v>
      </c>
      <c r="W192" s="9">
        <v>-930.72523631632305</v>
      </c>
      <c r="X192" s="9">
        <v>-524.05545981735702</v>
      </c>
    </row>
    <row r="193" spans="1:24" x14ac:dyDescent="0.25">
      <c r="A193" s="8" t="s">
        <v>230</v>
      </c>
      <c r="B193" s="4" t="s">
        <v>231</v>
      </c>
      <c r="C193" s="4" t="s">
        <v>232</v>
      </c>
      <c r="D193" s="4"/>
      <c r="E193" s="9">
        <v>212</v>
      </c>
      <c r="F193" s="9">
        <v>179</v>
      </c>
      <c r="G193" s="9">
        <v>30</v>
      </c>
      <c r="H193" s="9">
        <v>-188</v>
      </c>
      <c r="I193" s="9">
        <v>-349</v>
      </c>
      <c r="J193" s="9">
        <v>-591</v>
      </c>
      <c r="K193" s="9">
        <v>-653</v>
      </c>
      <c r="L193" s="9">
        <v>-678</v>
      </c>
      <c r="M193" s="9">
        <v>-525</v>
      </c>
      <c r="N193" s="9">
        <v>-569</v>
      </c>
      <c r="O193" s="9">
        <v>-562</v>
      </c>
      <c r="P193" s="9">
        <v>-451</v>
      </c>
      <c r="Q193" s="9">
        <v>-335</v>
      </c>
      <c r="R193" s="9">
        <v>-420.55632270578172</v>
      </c>
      <c r="S193" s="9">
        <v>-318.99519736420274</v>
      </c>
      <c r="T193" s="9">
        <v>-337.92464719513862</v>
      </c>
      <c r="U193" s="9">
        <v>-230.44455427865623</v>
      </c>
      <c r="V193" s="9">
        <v>-285.77935471904453</v>
      </c>
      <c r="W193" s="9">
        <v>-258.02685881776097</v>
      </c>
      <c r="X193" s="9">
        <v>-181.3581369262586</v>
      </c>
    </row>
    <row r="194" spans="1:24" x14ac:dyDescent="0.25">
      <c r="A194" s="8" t="s">
        <v>233</v>
      </c>
      <c r="B194" s="4" t="s">
        <v>234</v>
      </c>
      <c r="C194" s="4" t="s">
        <v>235</v>
      </c>
      <c r="D194" s="4"/>
      <c r="E194" s="9">
        <v>611</v>
      </c>
      <c r="F194" s="9">
        <v>661</v>
      </c>
      <c r="G194" s="9">
        <v>776</v>
      </c>
      <c r="H194" s="9">
        <v>901</v>
      </c>
      <c r="I194" s="9">
        <v>993</v>
      </c>
      <c r="J194" s="9">
        <v>1180</v>
      </c>
      <c r="K194" s="9">
        <v>1256</v>
      </c>
      <c r="L194" s="9">
        <v>1248</v>
      </c>
      <c r="M194" s="9">
        <v>1066</v>
      </c>
      <c r="N194" s="9">
        <v>1085</v>
      </c>
      <c r="O194" s="9">
        <v>1100</v>
      </c>
      <c r="P194" s="9">
        <v>1130</v>
      </c>
      <c r="Q194" s="9">
        <v>1135</v>
      </c>
      <c r="R194" s="9">
        <v>1255.9373452238376</v>
      </c>
      <c r="S194" s="9">
        <v>1242.2992522126908</v>
      </c>
      <c r="T194" s="9">
        <v>1222.9101424747598</v>
      </c>
      <c r="U194" s="9">
        <v>1188.0436359676696</v>
      </c>
      <c r="V194" s="9">
        <v>1188.2199294331922</v>
      </c>
      <c r="W194" s="9">
        <v>1157.4291284594676</v>
      </c>
      <c r="X194" s="9">
        <v>1126.9643600860272</v>
      </c>
    </row>
    <row r="195" spans="1:24" x14ac:dyDescent="0.25">
      <c r="A195" s="8" t="s">
        <v>236</v>
      </c>
      <c r="B195" s="4" t="s">
        <v>237</v>
      </c>
      <c r="C195" s="4" t="s">
        <v>238</v>
      </c>
      <c r="D195" s="4"/>
      <c r="E195" s="9">
        <v>823</v>
      </c>
      <c r="F195" s="9">
        <v>840</v>
      </c>
      <c r="G195" s="9">
        <v>806</v>
      </c>
      <c r="H195" s="9">
        <v>713</v>
      </c>
      <c r="I195" s="9">
        <v>644</v>
      </c>
      <c r="J195" s="9">
        <v>589</v>
      </c>
      <c r="K195" s="9">
        <v>603</v>
      </c>
      <c r="L195" s="9">
        <v>570</v>
      </c>
      <c r="M195" s="9">
        <v>541</v>
      </c>
      <c r="N195" s="9">
        <v>516</v>
      </c>
      <c r="O195" s="9">
        <v>538</v>
      </c>
      <c r="P195" s="9">
        <v>679</v>
      </c>
      <c r="Q195" s="9">
        <v>800</v>
      </c>
      <c r="R195" s="9">
        <v>962.33866544237299</v>
      </c>
      <c r="S195" s="9">
        <v>978.80406441490834</v>
      </c>
      <c r="T195" s="9">
        <v>1003.2429975063217</v>
      </c>
      <c r="U195" s="9">
        <v>1054.7750563406887</v>
      </c>
      <c r="V195" s="9">
        <v>1065.7885017543306</v>
      </c>
      <c r="W195" s="9">
        <v>1054.1729871122668</v>
      </c>
      <c r="X195" s="9">
        <v>1086.7673889564526</v>
      </c>
    </row>
    <row r="196" spans="1:24" x14ac:dyDescent="0.25">
      <c r="A196" s="8" t="s">
        <v>239</v>
      </c>
      <c r="B196" s="4" t="s">
        <v>240</v>
      </c>
      <c r="C196" s="4" t="s">
        <v>241</v>
      </c>
      <c r="D196" s="4"/>
      <c r="E196" s="9">
        <v>443</v>
      </c>
      <c r="F196" s="9">
        <v>-61</v>
      </c>
      <c r="G196" s="9">
        <v>-1031</v>
      </c>
      <c r="H196" s="9">
        <v>-289</v>
      </c>
      <c r="I196" s="9">
        <v>2673</v>
      </c>
      <c r="J196" s="9">
        <v>18</v>
      </c>
      <c r="K196" s="9">
        <v>27</v>
      </c>
      <c r="L196" s="9">
        <v>-468</v>
      </c>
      <c r="M196" s="9">
        <v>-2749</v>
      </c>
      <c r="N196" s="9">
        <v>-1117</v>
      </c>
      <c r="O196" s="9">
        <v>-10186</v>
      </c>
      <c r="P196" s="9">
        <v>-1177</v>
      </c>
      <c r="Q196" s="9">
        <v>-15647</v>
      </c>
      <c r="R196" s="9">
        <v>-683.89010416666667</v>
      </c>
      <c r="S196" s="9">
        <v>-866.43889999999999</v>
      </c>
      <c r="T196" s="9">
        <v>-559.61807499999998</v>
      </c>
      <c r="U196" s="9">
        <v>-950.12721999999997</v>
      </c>
      <c r="V196" s="9">
        <v>-841.76958070000001</v>
      </c>
      <c r="W196" s="9">
        <v>-1142.5936604999999</v>
      </c>
      <c r="X196" s="9">
        <v>-755.25907714999994</v>
      </c>
    </row>
    <row r="197" spans="1:24" x14ac:dyDescent="0.25">
      <c r="A197" s="8" t="s">
        <v>14</v>
      </c>
      <c r="B197" s="4"/>
      <c r="C197" s="4"/>
      <c r="D197" s="4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</row>
    <row r="198" spans="1:24" x14ac:dyDescent="0.25">
      <c r="A198" s="8" t="s">
        <v>242</v>
      </c>
      <c r="B198" s="4" t="s">
        <v>243</v>
      </c>
      <c r="C198" s="4" t="s">
        <v>244</v>
      </c>
      <c r="D198" s="4"/>
      <c r="E198" s="9">
        <v>4619</v>
      </c>
      <c r="F198" s="9">
        <v>7363</v>
      </c>
      <c r="G198" s="9">
        <v>10989</v>
      </c>
      <c r="H198" s="9">
        <v>13786</v>
      </c>
      <c r="I198" s="9">
        <v>12983</v>
      </c>
      <c r="J198" s="9">
        <v>15245</v>
      </c>
      <c r="K198" s="9">
        <v>18037</v>
      </c>
      <c r="L198" s="9">
        <v>22349</v>
      </c>
      <c r="M198" s="9">
        <v>21679</v>
      </c>
      <c r="N198" s="9">
        <v>20857</v>
      </c>
      <c r="O198" s="9">
        <v>28170</v>
      </c>
      <c r="P198" s="9">
        <v>26605</v>
      </c>
      <c r="Q198" s="9">
        <v>39834</v>
      </c>
      <c r="R198" s="9">
        <v>24439.228571428568</v>
      </c>
      <c r="S198" s="9">
        <v>26158.571428571431</v>
      </c>
      <c r="T198" s="9">
        <v>32179.441176470587</v>
      </c>
      <c r="U198" s="9">
        <v>30608.55</v>
      </c>
      <c r="V198" s="9">
        <v>31398.55</v>
      </c>
      <c r="W198" s="9">
        <v>33325.85</v>
      </c>
      <c r="X198" s="9">
        <v>39903</v>
      </c>
    </row>
    <row r="199" spans="1:24" x14ac:dyDescent="0.25">
      <c r="A199" s="8" t="s">
        <v>245</v>
      </c>
      <c r="B199" s="4" t="s">
        <v>246</v>
      </c>
      <c r="C199" s="4" t="s">
        <v>247</v>
      </c>
      <c r="D199" s="4"/>
      <c r="E199" s="9">
        <v>3.2341902353994252</v>
      </c>
      <c r="F199" s="9">
        <v>5.6279440107751721</v>
      </c>
      <c r="G199" s="9">
        <v>8.5188317270395508</v>
      </c>
      <c r="H199" s="9">
        <v>8.0524355587458292</v>
      </c>
      <c r="I199" s="9">
        <v>9.0591921179516159</v>
      </c>
      <c r="J199" s="9">
        <v>10.30227670516364</v>
      </c>
      <c r="K199" s="9">
        <v>11.352807517765315</v>
      </c>
      <c r="L199" s="9">
        <v>11.900932947090398</v>
      </c>
      <c r="M199" s="9">
        <v>13.92652264127914</v>
      </c>
      <c r="N199" s="9">
        <v>12.436941718047489</v>
      </c>
      <c r="O199" s="9">
        <v>15.635320171616648</v>
      </c>
      <c r="P199" s="9">
        <v>12.468015708621934</v>
      </c>
      <c r="Q199" s="9">
        <v>21.944810185159682</v>
      </c>
      <c r="R199" s="9">
        <v>12.217266876953937</v>
      </c>
      <c r="S199" s="9">
        <v>12.189554036889112</v>
      </c>
      <c r="T199" s="9">
        <v>12.795010135897684</v>
      </c>
      <c r="U199" s="9">
        <v>14.263980819507779</v>
      </c>
      <c r="V199" s="9">
        <v>13.669207051088298</v>
      </c>
      <c r="W199" s="9">
        <v>13.51248806958553</v>
      </c>
      <c r="X199" s="9">
        <v>13.970384051990317</v>
      </c>
    </row>
    <row r="200" spans="1:24" x14ac:dyDescent="0.25">
      <c r="A200" s="8" t="s">
        <v>14</v>
      </c>
      <c r="B200" s="4"/>
      <c r="C200" s="4"/>
      <c r="D200" s="4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</row>
    <row r="201" spans="1:24" x14ac:dyDescent="0.25">
      <c r="A201" s="8" t="s">
        <v>248</v>
      </c>
      <c r="B201" s="4" t="s">
        <v>249</v>
      </c>
      <c r="C201" s="4" t="s">
        <v>250</v>
      </c>
      <c r="D201" s="4"/>
      <c r="E201" s="9">
        <v>948</v>
      </c>
      <c r="F201" s="9">
        <v>804</v>
      </c>
      <c r="G201" s="9">
        <v>2306</v>
      </c>
      <c r="H201" s="9">
        <v>3062</v>
      </c>
      <c r="I201" s="9">
        <v>2467</v>
      </c>
      <c r="J201" s="9">
        <v>1767</v>
      </c>
      <c r="K201" s="9">
        <v>2706</v>
      </c>
      <c r="L201" s="9">
        <v>2325</v>
      </c>
      <c r="M201" s="9">
        <v>4553</v>
      </c>
      <c r="N201" s="9">
        <v>2678</v>
      </c>
      <c r="O201" s="9">
        <v>6910</v>
      </c>
      <c r="P201" s="9">
        <v>4946</v>
      </c>
      <c r="Q201" s="9">
        <v>9560</v>
      </c>
      <c r="R201" s="9">
        <v>4403.7086242606429</v>
      </c>
      <c r="S201" s="9">
        <v>4848.1420598393652</v>
      </c>
      <c r="T201" s="9">
        <v>5897.2205592555774</v>
      </c>
      <c r="U201" s="9">
        <v>5536.3567610091859</v>
      </c>
      <c r="V201" s="9">
        <v>5527.5080543193144</v>
      </c>
      <c r="W201" s="9">
        <v>5973.0722871114358</v>
      </c>
      <c r="X201" s="9">
        <v>7022.1136477817963</v>
      </c>
    </row>
    <row r="202" spans="1:24" x14ac:dyDescent="0.25">
      <c r="A202" s="8" t="s">
        <v>251</v>
      </c>
      <c r="B202" s="4" t="s">
        <v>252</v>
      </c>
      <c r="C202" s="4" t="s">
        <v>253</v>
      </c>
      <c r="D202" s="4"/>
      <c r="E202" s="9">
        <v>23.015294974508375</v>
      </c>
      <c r="F202" s="9">
        <v>10.630702102340342</v>
      </c>
      <c r="G202" s="9">
        <v>18.918697185987366</v>
      </c>
      <c r="H202" s="9">
        <v>22.373228116323251</v>
      </c>
      <c r="I202" s="9">
        <v>19.001771547408151</v>
      </c>
      <c r="J202" s="9">
        <v>11.590685470646113</v>
      </c>
      <c r="K202" s="9">
        <v>15.002494871652713</v>
      </c>
      <c r="L202" s="9">
        <v>10.403150029084076</v>
      </c>
      <c r="M202" s="9">
        <v>21.001891231145347</v>
      </c>
      <c r="N202" s="9">
        <v>12.839813971328571</v>
      </c>
      <c r="O202" s="9">
        <v>24.52964146254881</v>
      </c>
      <c r="P202" s="9">
        <v>18.590490509302764</v>
      </c>
      <c r="Q202" s="9">
        <v>23.999598333082293</v>
      </c>
      <c r="R202" s="9">
        <v>18.098139665775015</v>
      </c>
      <c r="S202" s="9">
        <v>19.225104135205932</v>
      </c>
      <c r="T202" s="9">
        <v>18.820887439653021</v>
      </c>
      <c r="U202" s="9">
        <v>18.143871509748188</v>
      </c>
      <c r="V202" s="9">
        <v>17.49107846135616</v>
      </c>
      <c r="W202" s="9">
        <v>18.196068877535062</v>
      </c>
      <c r="X202" s="9">
        <v>17.810560491243614</v>
      </c>
    </row>
    <row r="203" spans="1:24" x14ac:dyDescent="0.25">
      <c r="A203" s="8" t="s">
        <v>14</v>
      </c>
      <c r="B203" s="4"/>
      <c r="C203" s="4"/>
      <c r="D203" s="4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</row>
    <row r="204" spans="1:24" x14ac:dyDescent="0.25">
      <c r="A204" s="8" t="s">
        <v>254</v>
      </c>
      <c r="B204" s="4" t="s">
        <v>255</v>
      </c>
      <c r="C204" s="4" t="s">
        <v>256</v>
      </c>
      <c r="D204" s="4"/>
      <c r="E204" s="9">
        <v>-1</v>
      </c>
      <c r="F204" s="9">
        <v>9</v>
      </c>
      <c r="G204" s="9">
        <v>4</v>
      </c>
      <c r="H204" s="9">
        <v>0</v>
      </c>
      <c r="I204" s="9">
        <v>85</v>
      </c>
      <c r="J204" s="9">
        <v>-7</v>
      </c>
      <c r="K204" s="9">
        <v>3</v>
      </c>
      <c r="L204" s="9">
        <v>20</v>
      </c>
      <c r="M204" s="9">
        <v>-1</v>
      </c>
      <c r="N204" s="9">
        <v>15</v>
      </c>
      <c r="O204" s="9">
        <v>73</v>
      </c>
      <c r="P204" s="9">
        <v>467</v>
      </c>
      <c r="Q204" s="9">
        <v>19</v>
      </c>
      <c r="R204" s="9">
        <v>17.447381400387567</v>
      </c>
      <c r="S204" s="9">
        <v>29.784435212896387</v>
      </c>
      <c r="T204" s="9">
        <v>122.81036805978759</v>
      </c>
      <c r="U204" s="9">
        <v>68.011325950002743</v>
      </c>
      <c r="V204" s="9">
        <v>66.905654112099214</v>
      </c>
      <c r="W204" s="9">
        <v>81.372301154316602</v>
      </c>
      <c r="X204" s="9">
        <v>180.25416793534706</v>
      </c>
    </row>
    <row r="205" spans="1:24" x14ac:dyDescent="0.25">
      <c r="A205" s="8" t="s">
        <v>257</v>
      </c>
      <c r="B205" s="4" t="s">
        <v>258</v>
      </c>
      <c r="C205" s="4" t="s">
        <v>259</v>
      </c>
      <c r="D205" s="4"/>
      <c r="E205" s="9">
        <v>3567</v>
      </c>
      <c r="F205" s="9">
        <v>6592</v>
      </c>
      <c r="G205" s="9">
        <v>8931</v>
      </c>
      <c r="H205" s="9">
        <v>10703</v>
      </c>
      <c r="I205" s="9">
        <v>10431</v>
      </c>
      <c r="J205" s="9">
        <v>13485</v>
      </c>
      <c r="K205" s="9">
        <v>15328</v>
      </c>
      <c r="L205" s="9">
        <v>20004</v>
      </c>
      <c r="M205" s="9">
        <v>17127</v>
      </c>
      <c r="N205" s="9">
        <v>18164</v>
      </c>
      <c r="O205" s="9">
        <v>21187</v>
      </c>
      <c r="P205" s="9">
        <v>21192</v>
      </c>
      <c r="Q205" s="9">
        <v>30255</v>
      </c>
      <c r="R205" s="9">
        <v>19894.923076923078</v>
      </c>
      <c r="S205" s="9">
        <v>21007.973684210527</v>
      </c>
      <c r="T205" s="9">
        <v>26061.486486486487</v>
      </c>
      <c r="U205" s="9">
        <v>24999.208333333332</v>
      </c>
      <c r="V205" s="9">
        <v>26142.565217391304</v>
      </c>
      <c r="W205" s="9">
        <v>27489.652173913044</v>
      </c>
      <c r="X205" s="9">
        <v>33460.17391304348</v>
      </c>
    </row>
    <row r="206" spans="1:24" x14ac:dyDescent="0.25">
      <c r="A206" s="8" t="s">
        <v>260</v>
      </c>
      <c r="B206" s="4" t="s">
        <v>261</v>
      </c>
      <c r="C206" s="4" t="s">
        <v>262</v>
      </c>
      <c r="D206" s="4"/>
      <c r="E206" s="9">
        <v>2.4906170008951145</v>
      </c>
      <c r="F206" s="9">
        <v>5.0229567728060847</v>
      </c>
      <c r="G206" s="9">
        <v>6.9043841686293979</v>
      </c>
      <c r="H206" s="9">
        <v>6.2508457822676968</v>
      </c>
      <c r="I206" s="9">
        <v>7.278474388227167</v>
      </c>
      <c r="J206" s="9">
        <v>9.1129026808220193</v>
      </c>
      <c r="K206" s="9">
        <v>9.6477148989469832</v>
      </c>
      <c r="L206" s="9">
        <v>10.652210956803271</v>
      </c>
      <c r="M206" s="9">
        <v>11.002331900788221</v>
      </c>
      <c r="N206" s="9">
        <v>10.831117100571252</v>
      </c>
      <c r="O206" s="9">
        <v>11.759514677885763</v>
      </c>
      <c r="P206" s="9">
        <v>9.9312982107542211</v>
      </c>
      <c r="Q206" s="9">
        <v>16.667676661947233</v>
      </c>
      <c r="R206" s="9">
        <v>10.229813265277343</v>
      </c>
      <c r="S206" s="9">
        <v>10.195298603172491</v>
      </c>
      <c r="T206" s="9">
        <v>10.594539342943522</v>
      </c>
      <c r="U206" s="9">
        <v>12.030462029034078</v>
      </c>
      <c r="V206" s="9">
        <v>11.910791576549125</v>
      </c>
      <c r="W206" s="9">
        <v>11.969796845871731</v>
      </c>
      <c r="X206" s="9">
        <v>12.184149114888152</v>
      </c>
    </row>
    <row r="207" spans="1:24" x14ac:dyDescent="0.25">
      <c r="A207" s="8" t="s">
        <v>14</v>
      </c>
      <c r="B207" s="4"/>
      <c r="C207" s="4"/>
      <c r="D207" s="4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</row>
    <row r="208" spans="1:24" x14ac:dyDescent="0.25">
      <c r="A208" s="8" t="s">
        <v>263</v>
      </c>
      <c r="B208" s="4" t="s">
        <v>264</v>
      </c>
      <c r="C208" s="4" t="s">
        <v>265</v>
      </c>
      <c r="D208" s="4"/>
      <c r="E208" s="9">
        <v>10250</v>
      </c>
      <c r="F208" s="9">
        <v>10285</v>
      </c>
      <c r="G208" s="9">
        <v>10322</v>
      </c>
      <c r="H208" s="9">
        <v>10356</v>
      </c>
      <c r="I208" s="9">
        <v>10393</v>
      </c>
      <c r="J208" s="9">
        <v>10447</v>
      </c>
      <c r="K208" s="9">
        <v>10501</v>
      </c>
      <c r="L208" s="9">
        <v>10552</v>
      </c>
      <c r="M208" s="9">
        <v>10603</v>
      </c>
      <c r="N208" s="9">
        <v>10637</v>
      </c>
      <c r="O208" s="9">
        <v>10674</v>
      </c>
      <c r="P208" s="9">
        <v>10709</v>
      </c>
      <c r="Q208" s="9">
        <v>10743</v>
      </c>
      <c r="R208" s="9">
        <v>10850.09321774097</v>
      </c>
      <c r="S208" s="9">
        <v>10885.254551963511</v>
      </c>
      <c r="T208" s="9">
        <v>10918.148086345906</v>
      </c>
      <c r="U208" s="9">
        <v>10966.957690215211</v>
      </c>
      <c r="V208" s="9">
        <v>11006.658706346918</v>
      </c>
      <c r="W208" s="9">
        <v>11050.507259930044</v>
      </c>
      <c r="X208" s="9">
        <v>11090.940849291932</v>
      </c>
    </row>
    <row r="209" spans="1:24" x14ac:dyDescent="0.25">
      <c r="A209" s="8" t="s">
        <v>266</v>
      </c>
      <c r="B209" s="4" t="s">
        <v>267</v>
      </c>
      <c r="C209" s="4" t="s">
        <v>268</v>
      </c>
      <c r="D209" s="4"/>
      <c r="E209" s="9">
        <v>0.31</v>
      </c>
      <c r="F209" s="9">
        <v>0.66</v>
      </c>
      <c r="G209" s="9">
        <v>0.96</v>
      </c>
      <c r="H209" s="9">
        <v>1.03</v>
      </c>
      <c r="I209" s="9">
        <v>1</v>
      </c>
      <c r="J209" s="9">
        <v>1.29</v>
      </c>
      <c r="K209" s="9">
        <v>1.46</v>
      </c>
      <c r="L209" s="9">
        <v>1.9</v>
      </c>
      <c r="M209" s="9">
        <v>1.62</v>
      </c>
      <c r="N209" s="9">
        <v>1.71</v>
      </c>
      <c r="O209" s="9">
        <v>1.98</v>
      </c>
      <c r="P209" s="9">
        <v>1.98</v>
      </c>
      <c r="Q209" s="9">
        <v>2.82</v>
      </c>
      <c r="R209" s="9">
        <v>1.8349322044709102</v>
      </c>
      <c r="S209" s="9">
        <v>1.9332430038643393</v>
      </c>
      <c r="T209" s="9">
        <v>2.3862473333828653</v>
      </c>
      <c r="U209" s="9">
        <v>2.3681465531408423</v>
      </c>
      <c r="V209" s="9">
        <v>2.4601730541690405</v>
      </c>
      <c r="W209" s="9">
        <v>2.5695939183763121</v>
      </c>
      <c r="X209" s="9">
        <v>3.1104214854333176</v>
      </c>
    </row>
    <row r="210" spans="1:24" x14ac:dyDescent="0.25">
      <c r="A210" s="8" t="s">
        <v>14</v>
      </c>
      <c r="B210" s="4"/>
      <c r="C210" s="4"/>
      <c r="D210" s="4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</row>
    <row r="211" spans="1:24" x14ac:dyDescent="0.25">
      <c r="A211" s="8" t="s">
        <v>269</v>
      </c>
      <c r="B211" s="4" t="s">
        <v>270</v>
      </c>
      <c r="C211" s="4" t="s">
        <v>271</v>
      </c>
      <c r="D211" s="4"/>
      <c r="E211" s="9">
        <v>10347</v>
      </c>
      <c r="F211" s="9">
        <v>10449</v>
      </c>
      <c r="G211" s="9">
        <v>10558</v>
      </c>
      <c r="H211" s="9">
        <v>10610</v>
      </c>
      <c r="I211" s="9">
        <v>10670</v>
      </c>
      <c r="J211" s="9">
        <v>10708</v>
      </c>
      <c r="K211" s="9">
        <v>10735</v>
      </c>
      <c r="L211" s="9">
        <v>10771</v>
      </c>
      <c r="M211" s="9">
        <v>10793</v>
      </c>
      <c r="N211" s="9">
        <v>10806</v>
      </c>
      <c r="O211" s="9">
        <v>10845</v>
      </c>
      <c r="P211" s="9">
        <v>10863</v>
      </c>
      <c r="Q211" s="9">
        <v>10874</v>
      </c>
      <c r="R211" s="9">
        <v>10872.663008701566</v>
      </c>
      <c r="S211" s="9">
        <v>10901.084356742009</v>
      </c>
      <c r="T211" s="9">
        <v>10925.615330018956</v>
      </c>
      <c r="U211" s="9">
        <v>10974.71206539131</v>
      </c>
      <c r="V211" s="9">
        <v>11010.735276490943</v>
      </c>
      <c r="W211" s="9">
        <v>11044.791885720704</v>
      </c>
      <c r="X211" s="9">
        <v>11077.683155435967</v>
      </c>
    </row>
    <row r="212" spans="1:24" x14ac:dyDescent="0.25">
      <c r="A212" s="8" t="s">
        <v>8</v>
      </c>
      <c r="B212" s="4" t="s">
        <v>9</v>
      </c>
      <c r="C212" s="4" t="s">
        <v>10</v>
      </c>
      <c r="D212" s="4"/>
      <c r="E212" s="9">
        <v>0.34473799999999999</v>
      </c>
      <c r="F212" s="9">
        <v>0.63089960759999997</v>
      </c>
      <c r="G212" s="9">
        <v>0.82658079179999999</v>
      </c>
      <c r="H212" s="9">
        <v>1.0087653000000001</v>
      </c>
      <c r="I212" s="9">
        <v>0.98</v>
      </c>
      <c r="J212" s="9">
        <v>1.26</v>
      </c>
      <c r="K212" s="9">
        <v>1.43</v>
      </c>
      <c r="L212" s="9">
        <v>1.86</v>
      </c>
      <c r="M212" s="9">
        <v>1.59</v>
      </c>
      <c r="N212" s="9">
        <v>1.68</v>
      </c>
      <c r="O212" s="9">
        <v>1.95</v>
      </c>
      <c r="P212" s="9">
        <v>1.95</v>
      </c>
      <c r="Q212" s="9">
        <v>2.78</v>
      </c>
      <c r="R212" s="9">
        <v>1.8229268292682923</v>
      </c>
      <c r="S212" s="9">
        <v>1.937073170731707</v>
      </c>
      <c r="T212" s="9">
        <v>2.3992499999999999</v>
      </c>
      <c r="U212" s="9">
        <v>2.2952380952380951</v>
      </c>
      <c r="V212" s="9">
        <v>2.4230000000000005</v>
      </c>
      <c r="W212" s="9">
        <v>2.5642105263157893</v>
      </c>
      <c r="X212" s="9">
        <v>3.088421052631579</v>
      </c>
    </row>
    <row r="213" spans="1:24" x14ac:dyDescent="0.25">
      <c r="A213" s="8" t="s">
        <v>14</v>
      </c>
      <c r="B213" s="4"/>
      <c r="C213" s="4"/>
      <c r="D213" s="4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</row>
    <row r="214" spans="1:24" x14ac:dyDescent="0.25">
      <c r="A214" s="8" t="s">
        <v>272</v>
      </c>
      <c r="B214" s="4" t="s">
        <v>273</v>
      </c>
      <c r="C214" s="4" t="s">
        <v>274</v>
      </c>
      <c r="D214" s="4"/>
      <c r="E214" s="9">
        <v>0</v>
      </c>
      <c r="F214" s="9">
        <v>0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0</v>
      </c>
      <c r="N214" s="9">
        <v>0</v>
      </c>
      <c r="O214" s="9">
        <v>0</v>
      </c>
      <c r="P214" s="9">
        <v>0</v>
      </c>
      <c r="Q214" s="9">
        <v>0</v>
      </c>
      <c r="R214" s="9" t="s">
        <v>666</v>
      </c>
      <c r="S214" s="9" t="s">
        <v>666</v>
      </c>
      <c r="T214" s="9" t="s">
        <v>666</v>
      </c>
      <c r="U214" s="9" t="s">
        <v>666</v>
      </c>
      <c r="V214" s="9" t="s">
        <v>666</v>
      </c>
      <c r="W214" s="9" t="s">
        <v>666</v>
      </c>
      <c r="X214" s="9" t="s">
        <v>666</v>
      </c>
    </row>
    <row r="215" spans="1:24" x14ac:dyDescent="0.25">
      <c r="A215" s="8" t="s">
        <v>14</v>
      </c>
      <c r="B215" s="4"/>
      <c r="C215" s="4"/>
      <c r="D215" s="4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</row>
    <row r="216" spans="1:24" x14ac:dyDescent="0.25">
      <c r="A216" s="8" t="s">
        <v>275</v>
      </c>
      <c r="B216" s="4"/>
      <c r="C216" s="4"/>
      <c r="D216" s="4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</row>
    <row r="217" spans="1:24" x14ac:dyDescent="0.25">
      <c r="A217" s="8" t="s">
        <v>276</v>
      </c>
      <c r="B217" s="4" t="s">
        <v>277</v>
      </c>
      <c r="C217" s="4" t="s">
        <v>278</v>
      </c>
      <c r="D217" s="4"/>
      <c r="E217" s="9" t="s">
        <v>666</v>
      </c>
      <c r="F217" s="9" t="s">
        <v>666</v>
      </c>
      <c r="G217" s="9" t="s">
        <v>666</v>
      </c>
      <c r="H217" s="9" t="s">
        <v>666</v>
      </c>
      <c r="I217" s="9" t="s">
        <v>666</v>
      </c>
      <c r="J217" s="9" t="s">
        <v>666</v>
      </c>
      <c r="K217" s="9" t="s">
        <v>666</v>
      </c>
      <c r="L217" s="9" t="s">
        <v>666</v>
      </c>
      <c r="M217" s="9" t="s">
        <v>666</v>
      </c>
      <c r="N217" s="9" t="s">
        <v>666</v>
      </c>
      <c r="O217" s="9" t="s">
        <v>666</v>
      </c>
      <c r="P217" s="9" t="s">
        <v>666</v>
      </c>
      <c r="Q217" s="9" t="s">
        <v>666</v>
      </c>
      <c r="R217" s="9">
        <v>94003.576817022607</v>
      </c>
      <c r="S217" s="9">
        <v>97289.592417267384</v>
      </c>
      <c r="T217" s="9">
        <v>121277.13007849356</v>
      </c>
      <c r="U217" s="9">
        <v>95171.987422748076</v>
      </c>
      <c r="V217" s="9">
        <v>101588.47886239036</v>
      </c>
      <c r="W217" s="9">
        <v>105421.5065736002</v>
      </c>
      <c r="X217" s="9">
        <v>131205.83127318817</v>
      </c>
    </row>
    <row r="218" spans="1:24" x14ac:dyDescent="0.25">
      <c r="A218" s="8" t="s">
        <v>279</v>
      </c>
      <c r="B218" s="4"/>
      <c r="C218" s="4"/>
      <c r="D218" s="4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</row>
    <row r="219" spans="1:24" x14ac:dyDescent="0.25">
      <c r="A219" s="8" t="s">
        <v>280</v>
      </c>
      <c r="B219" s="4" t="s">
        <v>185</v>
      </c>
      <c r="C219" s="4" t="s">
        <v>186</v>
      </c>
      <c r="D219" s="4"/>
      <c r="E219" s="9">
        <v>46.771306000000003</v>
      </c>
      <c r="F219" s="9">
        <v>48.376655</v>
      </c>
      <c r="G219" s="9">
        <v>47.567495999999998</v>
      </c>
      <c r="H219" s="9">
        <v>45.544566000000003</v>
      </c>
      <c r="I219" s="9">
        <v>49.318624</v>
      </c>
      <c r="J219" s="9">
        <v>50.137521</v>
      </c>
      <c r="K219" s="9">
        <v>49.031641</v>
      </c>
      <c r="L219" s="9">
        <v>47.339077000000003</v>
      </c>
      <c r="M219" s="9">
        <v>50.550854999999999</v>
      </c>
      <c r="N219" s="9">
        <v>51.813932000000001</v>
      </c>
      <c r="O219" s="9">
        <v>50.785096000000003</v>
      </c>
      <c r="P219" s="9">
        <v>48.469439999999999</v>
      </c>
      <c r="Q219" s="9">
        <v>51.821488000000002</v>
      </c>
      <c r="R219" s="9">
        <v>52.125855743784165</v>
      </c>
      <c r="S219" s="9">
        <v>51.713071363020219</v>
      </c>
      <c r="T219" s="9">
        <v>49.788273572171967</v>
      </c>
      <c r="U219" s="9">
        <v>53.141390384397035</v>
      </c>
      <c r="V219" s="9">
        <v>53.842171109426502</v>
      </c>
      <c r="W219" s="9">
        <v>53.510871351278894</v>
      </c>
      <c r="X219" s="9">
        <v>51.643570673386378</v>
      </c>
    </row>
    <row r="220" spans="1:24" x14ac:dyDescent="0.25">
      <c r="A220" s="8" t="s">
        <v>131</v>
      </c>
      <c r="B220" s="4" t="s">
        <v>281</v>
      </c>
      <c r="C220" s="4" t="s">
        <v>282</v>
      </c>
      <c r="D220" s="4"/>
      <c r="E220" s="9" t="s">
        <v>666</v>
      </c>
      <c r="F220" s="9" t="s">
        <v>666</v>
      </c>
      <c r="G220" s="9" t="s">
        <v>666</v>
      </c>
      <c r="H220" s="9" t="s">
        <v>666</v>
      </c>
      <c r="I220" s="9" t="s">
        <v>666</v>
      </c>
      <c r="J220" s="9" t="s">
        <v>666</v>
      </c>
      <c r="K220" s="9" t="s">
        <v>666</v>
      </c>
      <c r="L220" s="9" t="s">
        <v>666</v>
      </c>
      <c r="M220" s="9" t="s">
        <v>666</v>
      </c>
      <c r="N220" s="9" t="s">
        <v>666</v>
      </c>
      <c r="O220" s="9" t="s">
        <v>666</v>
      </c>
      <c r="P220" s="9" t="s">
        <v>666</v>
      </c>
      <c r="Q220" s="9" t="s">
        <v>666</v>
      </c>
      <c r="R220" s="9">
        <v>73463.172210641627</v>
      </c>
      <c r="S220" s="9">
        <v>76161.415125249827</v>
      </c>
      <c r="T220" s="9">
        <v>83533.293991067098</v>
      </c>
      <c r="U220" s="9">
        <v>73837.406218422868</v>
      </c>
      <c r="V220" s="9">
        <v>81761.678978288401</v>
      </c>
      <c r="W220" s="9">
        <v>85005.046111744028</v>
      </c>
      <c r="X220" s="9">
        <v>92124.531473805706</v>
      </c>
    </row>
    <row r="221" spans="1:24" x14ac:dyDescent="0.25">
      <c r="A221" s="8" t="s">
        <v>283</v>
      </c>
      <c r="B221" s="4" t="s">
        <v>284</v>
      </c>
      <c r="C221" s="4" t="s">
        <v>285</v>
      </c>
      <c r="D221" s="4"/>
      <c r="E221" s="9" t="s">
        <v>666</v>
      </c>
      <c r="F221" s="9" t="s">
        <v>666</v>
      </c>
      <c r="G221" s="9" t="s">
        <v>666</v>
      </c>
      <c r="H221" s="9" t="s">
        <v>666</v>
      </c>
      <c r="I221" s="9" t="s">
        <v>666</v>
      </c>
      <c r="J221" s="9" t="s">
        <v>666</v>
      </c>
      <c r="K221" s="9" t="s">
        <v>666</v>
      </c>
      <c r="L221" s="9" t="s">
        <v>666</v>
      </c>
      <c r="M221" s="9" t="s">
        <v>666</v>
      </c>
      <c r="N221" s="9" t="s">
        <v>666</v>
      </c>
      <c r="O221" s="9" t="s">
        <v>666</v>
      </c>
      <c r="P221" s="9" t="s">
        <v>666</v>
      </c>
      <c r="Q221" s="9">
        <v>27281</v>
      </c>
      <c r="R221" s="9">
        <v>29970.217445511353</v>
      </c>
      <c r="S221" s="9">
        <v>30908.870018299229</v>
      </c>
      <c r="T221" s="9">
        <v>33386.836592509069</v>
      </c>
      <c r="U221" s="9">
        <v>32702.738850110974</v>
      </c>
      <c r="V221" s="9">
        <v>35982.618641343011</v>
      </c>
      <c r="W221" s="9">
        <v>37956.01255013582</v>
      </c>
      <c r="X221" s="9">
        <v>41583.410209366702</v>
      </c>
    </row>
    <row r="222" spans="1:24" x14ac:dyDescent="0.25">
      <c r="A222" s="8" t="s">
        <v>206</v>
      </c>
      <c r="B222" s="4" t="s">
        <v>286</v>
      </c>
      <c r="C222" s="4" t="s">
        <v>287</v>
      </c>
      <c r="D222" s="4"/>
      <c r="E222" s="9" t="s">
        <v>666</v>
      </c>
      <c r="F222" s="9" t="s">
        <v>666</v>
      </c>
      <c r="G222" s="9" t="s">
        <v>666</v>
      </c>
      <c r="H222" s="9" t="s">
        <v>666</v>
      </c>
      <c r="I222" s="9" t="s">
        <v>666</v>
      </c>
      <c r="J222" s="9" t="s">
        <v>666</v>
      </c>
      <c r="K222" s="9" t="s">
        <v>666</v>
      </c>
      <c r="L222" s="9" t="s">
        <v>666</v>
      </c>
      <c r="M222" s="9" t="s">
        <v>666</v>
      </c>
      <c r="N222" s="9" t="s">
        <v>666</v>
      </c>
      <c r="O222" s="9" t="s">
        <v>666</v>
      </c>
      <c r="P222" s="9" t="s">
        <v>666</v>
      </c>
      <c r="Q222" s="9">
        <v>15.029280681361179</v>
      </c>
      <c r="R222" s="9">
        <v>12.953254030043706</v>
      </c>
      <c r="S222" s="9">
        <v>12.753768224994133</v>
      </c>
      <c r="T222" s="9">
        <v>11.297316587104113</v>
      </c>
      <c r="U222" s="9">
        <v>15.054280681361179</v>
      </c>
      <c r="V222" s="9">
        <v>14.269510798917127</v>
      </c>
      <c r="W222" s="9">
        <v>14.427979563631922</v>
      </c>
      <c r="X222" s="9">
        <v>12.575008201100353</v>
      </c>
    </row>
    <row r="223" spans="1:24" x14ac:dyDescent="0.25">
      <c r="A223" s="8" t="s">
        <v>288</v>
      </c>
      <c r="B223" s="4" t="s">
        <v>289</v>
      </c>
      <c r="C223" s="4" t="s">
        <v>290</v>
      </c>
      <c r="D223" s="4"/>
      <c r="E223" s="9">
        <v>9179</v>
      </c>
      <c r="F223" s="9">
        <v>9442</v>
      </c>
      <c r="G223" s="9">
        <v>9440</v>
      </c>
      <c r="H223" s="9">
        <v>11686</v>
      </c>
      <c r="I223" s="9">
        <v>8730</v>
      </c>
      <c r="J223" s="9">
        <v>9288</v>
      </c>
      <c r="K223" s="9">
        <v>9597</v>
      </c>
      <c r="L223" s="9">
        <v>12208</v>
      </c>
      <c r="M223" s="9">
        <v>9110</v>
      </c>
      <c r="N223" s="9">
        <v>10209</v>
      </c>
      <c r="O223" s="9">
        <v>10854</v>
      </c>
      <c r="P223" s="9">
        <v>8127</v>
      </c>
      <c r="Q223" s="9">
        <v>9651</v>
      </c>
      <c r="R223" s="9">
        <v>11460.811442292297</v>
      </c>
      <c r="S223" s="9">
        <v>11751.164337038572</v>
      </c>
      <c r="T223" s="9">
        <v>14811.849437730119</v>
      </c>
      <c r="U223" s="9">
        <v>10900.922960340231</v>
      </c>
      <c r="V223" s="9">
        <v>12723.499850778779</v>
      </c>
      <c r="W223" s="9">
        <v>13221.586206933796</v>
      </c>
      <c r="X223" s="9">
        <v>16561.944285914007</v>
      </c>
    </row>
    <row r="224" spans="1:24" x14ac:dyDescent="0.25">
      <c r="A224" s="8" t="s">
        <v>209</v>
      </c>
      <c r="B224" s="4" t="s">
        <v>291</v>
      </c>
      <c r="C224" s="4" t="s">
        <v>292</v>
      </c>
      <c r="D224" s="4"/>
      <c r="E224" s="9" t="s">
        <v>666</v>
      </c>
      <c r="F224" s="9" t="s">
        <v>666</v>
      </c>
      <c r="G224" s="9" t="s">
        <v>666</v>
      </c>
      <c r="H224" s="9" t="s">
        <v>666</v>
      </c>
      <c r="I224" s="9" t="s">
        <v>666</v>
      </c>
      <c r="J224" s="9" t="s">
        <v>666</v>
      </c>
      <c r="K224" s="9" t="s">
        <v>666</v>
      </c>
      <c r="L224" s="9" t="s">
        <v>666</v>
      </c>
      <c r="M224" s="9" t="s">
        <v>666</v>
      </c>
      <c r="N224" s="9" t="s">
        <v>666</v>
      </c>
      <c r="O224" s="9" t="s">
        <v>666</v>
      </c>
      <c r="P224" s="9" t="s">
        <v>666</v>
      </c>
      <c r="Q224" s="9">
        <v>11927</v>
      </c>
      <c r="R224" s="9">
        <v>2552.1971101594618</v>
      </c>
      <c r="S224" s="9">
        <v>2566.0275310315965</v>
      </c>
      <c r="T224" s="9">
        <v>2737.5286419741765</v>
      </c>
      <c r="U224" s="9">
        <v>2536.1557085246222</v>
      </c>
      <c r="V224" s="9">
        <v>2686.6390804970674</v>
      </c>
      <c r="W224" s="9">
        <v>2665.2794612242351</v>
      </c>
      <c r="X224" s="9">
        <v>2940.8517974186543</v>
      </c>
    </row>
    <row r="225" spans="1:24" x14ac:dyDescent="0.25">
      <c r="A225" s="8" t="s">
        <v>293</v>
      </c>
      <c r="B225" s="4" t="s">
        <v>294</v>
      </c>
      <c r="C225" s="4" t="s">
        <v>295</v>
      </c>
      <c r="D225" s="4"/>
      <c r="E225" s="9">
        <v>20302</v>
      </c>
      <c r="F225" s="9">
        <v>20373</v>
      </c>
      <c r="G225" s="9">
        <v>21582</v>
      </c>
      <c r="H225" s="9">
        <v>25272</v>
      </c>
      <c r="I225" s="9">
        <v>21681</v>
      </c>
      <c r="J225" s="9">
        <v>22622</v>
      </c>
      <c r="K225" s="9">
        <v>23964</v>
      </c>
      <c r="L225" s="9">
        <v>27265</v>
      </c>
      <c r="M225" s="9">
        <v>24096</v>
      </c>
      <c r="N225" s="9">
        <v>25096</v>
      </c>
      <c r="O225" s="9">
        <v>26994</v>
      </c>
      <c r="P225" s="9">
        <v>26061</v>
      </c>
      <c r="Q225" s="9">
        <v>26688</v>
      </c>
      <c r="R225" s="9">
        <v>28766.223891727241</v>
      </c>
      <c r="S225" s="9">
        <v>29665.152494857979</v>
      </c>
      <c r="T225" s="9">
        <v>33707.227290882911</v>
      </c>
      <c r="U225" s="9">
        <v>29529.777289180067</v>
      </c>
      <c r="V225" s="9">
        <v>31759.769115307052</v>
      </c>
      <c r="W225" s="9">
        <v>32645.236134304152</v>
      </c>
      <c r="X225" s="9">
        <v>36955.477586048932</v>
      </c>
    </row>
    <row r="226" spans="1:24" x14ac:dyDescent="0.25">
      <c r="A226" s="8" t="s">
        <v>134</v>
      </c>
      <c r="B226" s="4" t="s">
        <v>296</v>
      </c>
      <c r="C226" s="4" t="s">
        <v>297</v>
      </c>
      <c r="D226" s="4"/>
      <c r="E226" s="9">
        <v>4774</v>
      </c>
      <c r="F226" s="9">
        <v>7681</v>
      </c>
      <c r="G226" s="9">
        <v>11188</v>
      </c>
      <c r="H226" s="9">
        <v>13209</v>
      </c>
      <c r="I226" s="9">
        <v>15307</v>
      </c>
      <c r="J226" s="9">
        <v>14672</v>
      </c>
      <c r="K226" s="9">
        <v>17411</v>
      </c>
      <c r="L226" s="9">
        <v>21203</v>
      </c>
      <c r="M226" s="9">
        <v>18405</v>
      </c>
      <c r="N226" s="9">
        <v>19171</v>
      </c>
      <c r="O226" s="9">
        <v>17422</v>
      </c>
      <c r="P226" s="9">
        <v>24977</v>
      </c>
      <c r="Q226" s="9">
        <v>23852</v>
      </c>
      <c r="R226" s="9">
        <v>30398.866240992225</v>
      </c>
      <c r="S226" s="9">
        <v>30144.417212943281</v>
      </c>
      <c r="T226" s="9">
        <v>36153.359885910388</v>
      </c>
      <c r="U226" s="9">
        <v>34115.074477495276</v>
      </c>
      <c r="V226" s="9">
        <v>37169.932043678135</v>
      </c>
      <c r="W226" s="9">
        <v>37064.499368887511</v>
      </c>
      <c r="X226" s="9">
        <v>43416.333167892786</v>
      </c>
    </row>
    <row r="227" spans="1:24" x14ac:dyDescent="0.25">
      <c r="A227" s="8" t="s">
        <v>298</v>
      </c>
      <c r="B227" s="4" t="s">
        <v>299</v>
      </c>
      <c r="C227" s="4" t="s">
        <v>300</v>
      </c>
      <c r="D227" s="4"/>
      <c r="E227" s="9" t="s">
        <v>666</v>
      </c>
      <c r="F227" s="9" t="s">
        <v>666</v>
      </c>
      <c r="G227" s="9" t="s">
        <v>666</v>
      </c>
      <c r="H227" s="9" t="s">
        <v>666</v>
      </c>
      <c r="I227" s="9" t="s">
        <v>666</v>
      </c>
      <c r="J227" s="9" t="s">
        <v>666</v>
      </c>
      <c r="K227" s="9" t="s">
        <v>666</v>
      </c>
      <c r="L227" s="9" t="s">
        <v>666</v>
      </c>
      <c r="M227" s="9" t="s">
        <v>666</v>
      </c>
      <c r="N227" s="9" t="s">
        <v>666</v>
      </c>
      <c r="O227" s="9" t="s">
        <v>666</v>
      </c>
      <c r="P227" s="9">
        <v>11.705</v>
      </c>
      <c r="Q227" s="9" t="s">
        <v>666</v>
      </c>
      <c r="R227" s="9">
        <v>15.175005588974223</v>
      </c>
      <c r="S227" s="9">
        <v>14.256978313210624</v>
      </c>
      <c r="T227" s="9">
        <v>14.407231065911166</v>
      </c>
      <c r="U227" s="9">
        <v>16.664475612194657</v>
      </c>
      <c r="V227" s="9">
        <v>16.971974835627456</v>
      </c>
      <c r="W227" s="9">
        <v>15.9122511941372</v>
      </c>
      <c r="X227" s="9">
        <v>15.662592896897898</v>
      </c>
    </row>
    <row r="228" spans="1:24" x14ac:dyDescent="0.25">
      <c r="A228" s="8" t="s">
        <v>301</v>
      </c>
      <c r="B228" s="4" t="s">
        <v>302</v>
      </c>
      <c r="C228" s="4" t="s">
        <v>303</v>
      </c>
      <c r="D228" s="4"/>
      <c r="E228" s="9">
        <v>20645</v>
      </c>
      <c r="F228" s="9">
        <v>26397</v>
      </c>
      <c r="G228" s="9">
        <v>29148</v>
      </c>
      <c r="H228" s="9">
        <v>33348</v>
      </c>
      <c r="I228" s="9">
        <v>31952</v>
      </c>
      <c r="J228" s="9">
        <v>33432</v>
      </c>
      <c r="K228" s="9">
        <v>36186</v>
      </c>
      <c r="L228" s="9">
        <v>41829</v>
      </c>
      <c r="M228" s="9">
        <v>32667</v>
      </c>
      <c r="N228" s="9">
        <v>40932</v>
      </c>
      <c r="O228" s="9">
        <v>39065</v>
      </c>
      <c r="P228" s="9">
        <v>48845</v>
      </c>
      <c r="Q228" s="9">
        <v>23870.945</v>
      </c>
      <c r="R228" s="9">
        <v>50717.545454545456</v>
      </c>
      <c r="S228" s="9">
        <v>52146.909090909088</v>
      </c>
      <c r="T228" s="9">
        <v>61116.454545454544</v>
      </c>
      <c r="U228" s="9">
        <v>59723.947368421053</v>
      </c>
      <c r="V228" s="9">
        <v>64848.833333333336</v>
      </c>
      <c r="W228" s="9">
        <v>67003.777777777781</v>
      </c>
      <c r="X228" s="9">
        <v>77093</v>
      </c>
    </row>
    <row r="229" spans="1:24" x14ac:dyDescent="0.25">
      <c r="A229" s="8" t="s">
        <v>304</v>
      </c>
      <c r="B229" s="4" t="s">
        <v>305</v>
      </c>
      <c r="C229" s="4" t="s">
        <v>306</v>
      </c>
      <c r="D229" s="4"/>
      <c r="E229" s="9">
        <v>14.454529750781262</v>
      </c>
      <c r="F229" s="9">
        <v>16.28033307784467</v>
      </c>
      <c r="G229" s="9">
        <v>18.169873430107</v>
      </c>
      <c r="H229" s="9">
        <v>17.521666735309864</v>
      </c>
      <c r="I229" s="9">
        <v>20.807602939021582</v>
      </c>
      <c r="J229" s="9">
        <v>20.024057792765092</v>
      </c>
      <c r="K229" s="9">
        <v>21.343555077198083</v>
      </c>
      <c r="L229" s="9">
        <v>21.293771832665929</v>
      </c>
      <c r="M229" s="9">
        <v>23.066545896047334</v>
      </c>
      <c r="N229" s="9">
        <v>22.554292733539256</v>
      </c>
      <c r="O229" s="9">
        <v>20.986407206567169</v>
      </c>
      <c r="P229" s="9">
        <v>22.585830373126633</v>
      </c>
      <c r="Q229" s="9">
        <v>25.7350470198712</v>
      </c>
      <c r="R229" s="9">
        <v>25.862188737278494</v>
      </c>
      <c r="S229" s="9">
        <v>25.620078998635471</v>
      </c>
      <c r="T229" s="9">
        <v>25.152906953541127</v>
      </c>
      <c r="U229" s="9">
        <v>28.870513984750396</v>
      </c>
      <c r="V229" s="9">
        <v>28.605417808722294</v>
      </c>
      <c r="W229" s="9">
        <v>28.357298373705035</v>
      </c>
      <c r="X229" s="9">
        <v>27.613522639679051</v>
      </c>
    </row>
    <row r="230" spans="1:24" x14ac:dyDescent="0.25">
      <c r="A230" s="8" t="s">
        <v>307</v>
      </c>
      <c r="B230" s="4" t="s">
        <v>308</v>
      </c>
      <c r="C230" s="4" t="s">
        <v>309</v>
      </c>
      <c r="D230" s="4"/>
      <c r="E230" s="9">
        <v>7317.92</v>
      </c>
      <c r="F230" s="9">
        <v>12222.33</v>
      </c>
      <c r="G230" s="9">
        <v>13535.91</v>
      </c>
      <c r="H230" s="9">
        <v>15695.01</v>
      </c>
      <c r="I230" s="9">
        <v>14350.19</v>
      </c>
      <c r="J230" s="9">
        <v>18795.38</v>
      </c>
      <c r="K230" s="9">
        <v>20167</v>
      </c>
      <c r="L230" s="9">
        <v>23950.05</v>
      </c>
      <c r="M230" s="9">
        <v>20041.310000000001</v>
      </c>
      <c r="N230" s="9">
        <v>23325.86</v>
      </c>
      <c r="O230" s="9">
        <v>25016.13</v>
      </c>
      <c r="P230" s="9">
        <v>25589</v>
      </c>
      <c r="Q230" s="9">
        <v>30255</v>
      </c>
      <c r="R230" s="9">
        <v>24700.3125</v>
      </c>
      <c r="S230" s="9">
        <v>24343.1875</v>
      </c>
      <c r="T230" s="9">
        <v>29737.1875</v>
      </c>
      <c r="U230" s="9">
        <v>28807.25</v>
      </c>
      <c r="V230" s="9">
        <v>31995</v>
      </c>
      <c r="W230" s="9">
        <v>31652</v>
      </c>
      <c r="X230" s="9">
        <v>38271.75</v>
      </c>
    </row>
    <row r="231" spans="1:24" x14ac:dyDescent="0.25">
      <c r="A231" s="8" t="s">
        <v>310</v>
      </c>
      <c r="B231" s="4" t="s">
        <v>311</v>
      </c>
      <c r="C231" s="4" t="s">
        <v>312</v>
      </c>
      <c r="D231" s="4"/>
      <c r="E231" s="9">
        <v>0.70725000000000005</v>
      </c>
      <c r="F231" s="9">
        <v>1.1697390000000001</v>
      </c>
      <c r="G231" s="9">
        <v>1.262734</v>
      </c>
      <c r="H231" s="9">
        <v>1.4792650000000001</v>
      </c>
      <c r="I231" s="9">
        <v>1.3473090000000001</v>
      </c>
      <c r="J231" s="9">
        <v>1.7559260000000001</v>
      </c>
      <c r="K231" s="9">
        <v>1.8224610000000001</v>
      </c>
      <c r="L231" s="9">
        <v>2.226359</v>
      </c>
      <c r="M231" s="9">
        <v>1.8600190000000001</v>
      </c>
      <c r="N231" s="9">
        <v>2.1586029999999998</v>
      </c>
      <c r="O231" s="9">
        <v>2.3030780000000002</v>
      </c>
      <c r="P231" s="9">
        <v>2.354768</v>
      </c>
      <c r="Q231" s="9">
        <v>2.78</v>
      </c>
      <c r="R231" s="9">
        <v>2.2680000000000002</v>
      </c>
      <c r="S231" s="9">
        <v>2.1890000000000001</v>
      </c>
      <c r="T231" s="9">
        <v>2.7030000000000003</v>
      </c>
      <c r="U231" s="9">
        <v>2.6666666666666665</v>
      </c>
      <c r="V231" s="9">
        <v>2.8966666666666665</v>
      </c>
      <c r="W231" s="9">
        <v>2.8733333333333331</v>
      </c>
      <c r="X231" s="9">
        <v>3.4766666666666666</v>
      </c>
    </row>
    <row r="232" spans="1:24" x14ac:dyDescent="0.25">
      <c r="A232" s="8" t="s">
        <v>14</v>
      </c>
      <c r="B232" s="4"/>
      <c r="C232" s="4"/>
      <c r="D232" s="4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</row>
    <row r="233" spans="1:24" x14ac:dyDescent="0.25">
      <c r="A233" s="8" t="s">
        <v>313</v>
      </c>
      <c r="B233" s="4"/>
      <c r="C233" s="4"/>
      <c r="D233" s="4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</row>
    <row r="234" spans="1:24" x14ac:dyDescent="0.25">
      <c r="A234" s="8" t="s">
        <v>314</v>
      </c>
      <c r="B234" s="4" t="s">
        <v>315</v>
      </c>
      <c r="C234" s="4" t="s">
        <v>316</v>
      </c>
      <c r="D234" s="4"/>
      <c r="E234" s="9">
        <v>4748</v>
      </c>
      <c r="F234" s="9">
        <v>7127</v>
      </c>
      <c r="G234" s="9">
        <v>5829</v>
      </c>
      <c r="H234" s="9">
        <v>6319</v>
      </c>
      <c r="I234" s="9">
        <v>4961</v>
      </c>
      <c r="J234" s="9">
        <v>6722</v>
      </c>
      <c r="K234" s="9">
        <v>5333</v>
      </c>
      <c r="L234" s="9">
        <v>4995</v>
      </c>
      <c r="M234" s="9">
        <v>3689</v>
      </c>
      <c r="N234" s="9">
        <v>6534</v>
      </c>
      <c r="O234" s="9">
        <v>4847</v>
      </c>
      <c r="P234" s="9">
        <v>4397</v>
      </c>
      <c r="Q234" s="9">
        <v>4032</v>
      </c>
      <c r="R234" s="9">
        <v>6497.8772229369279</v>
      </c>
      <c r="S234" s="9">
        <v>5090.1375218443991</v>
      </c>
      <c r="T234" s="9">
        <v>4892.2856434080513</v>
      </c>
      <c r="U234" s="9">
        <v>4454.0473094639901</v>
      </c>
      <c r="V234" s="9">
        <v>7123.0016596607466</v>
      </c>
      <c r="W234" s="9">
        <v>5754.0376124679979</v>
      </c>
      <c r="X234" s="9">
        <v>5555.5252931951627</v>
      </c>
    </row>
    <row r="235" spans="1:24" x14ac:dyDescent="0.25">
      <c r="A235" s="8" t="s">
        <v>317</v>
      </c>
      <c r="B235" s="4" t="s">
        <v>318</v>
      </c>
      <c r="C235" s="4" t="s">
        <v>319</v>
      </c>
      <c r="D235" s="4"/>
      <c r="E235" s="9">
        <v>165</v>
      </c>
      <c r="F235" s="9">
        <v>251</v>
      </c>
      <c r="G235" s="9">
        <v>193</v>
      </c>
      <c r="H235" s="9">
        <v>227</v>
      </c>
      <c r="I235" s="9">
        <v>174</v>
      </c>
      <c r="J235" s="9">
        <v>266</v>
      </c>
      <c r="K235" s="9">
        <v>193</v>
      </c>
      <c r="L235" s="9">
        <v>205</v>
      </c>
      <c r="M235" s="9">
        <v>148</v>
      </c>
      <c r="N235" s="9">
        <v>250</v>
      </c>
      <c r="O235" s="9">
        <v>197</v>
      </c>
      <c r="P235" s="9">
        <v>182</v>
      </c>
      <c r="Q235" s="9">
        <v>171</v>
      </c>
      <c r="R235" s="9">
        <v>279.49352366250525</v>
      </c>
      <c r="S235" s="9">
        <v>218.61061735128837</v>
      </c>
      <c r="T235" s="9">
        <v>209.97148050988775</v>
      </c>
      <c r="U235" s="9">
        <v>190.89959850938877</v>
      </c>
      <c r="V235" s="9">
        <v>312.27267116413725</v>
      </c>
      <c r="W235" s="9">
        <v>240.02638980190326</v>
      </c>
      <c r="X235" s="9">
        <v>228.30591409599148</v>
      </c>
    </row>
    <row r="236" spans="1:24" x14ac:dyDescent="0.25">
      <c r="A236" s="8" t="s">
        <v>320</v>
      </c>
      <c r="B236" s="4" t="s">
        <v>321</v>
      </c>
      <c r="C236" s="4" t="s">
        <v>322</v>
      </c>
      <c r="D236" s="4"/>
      <c r="E236" s="9">
        <v>993</v>
      </c>
      <c r="F236" s="9">
        <v>1303</v>
      </c>
      <c r="G236" s="9">
        <v>1111</v>
      </c>
      <c r="H236" s="9">
        <v>1216</v>
      </c>
      <c r="I236" s="9">
        <v>932</v>
      </c>
      <c r="J236" s="9">
        <v>1224</v>
      </c>
      <c r="K236" s="9">
        <v>1012</v>
      </c>
      <c r="L236" s="9">
        <v>916</v>
      </c>
      <c r="M236" s="9">
        <v>653</v>
      </c>
      <c r="N236" s="9">
        <v>1207</v>
      </c>
      <c r="O236" s="9">
        <v>832</v>
      </c>
      <c r="P236" s="9">
        <v>753</v>
      </c>
      <c r="Q236" s="9">
        <v>663</v>
      </c>
      <c r="R236" s="9">
        <v>1167.7417064103024</v>
      </c>
      <c r="S236" s="9">
        <v>1007.7675247701349</v>
      </c>
      <c r="T236" s="9">
        <v>870.40653640348262</v>
      </c>
      <c r="U236" s="9">
        <v>827.7547500553228</v>
      </c>
      <c r="V236" s="9">
        <v>1283.7981706465846</v>
      </c>
      <c r="W236" s="9">
        <v>1008.5285489391836</v>
      </c>
      <c r="X236" s="9">
        <v>970.00075816659091</v>
      </c>
    </row>
    <row r="237" spans="1:24" x14ac:dyDescent="0.25">
      <c r="A237" s="8" t="s">
        <v>323</v>
      </c>
      <c r="B237" s="4" t="s">
        <v>324</v>
      </c>
      <c r="C237" s="4" t="s">
        <v>325</v>
      </c>
      <c r="D237" s="4"/>
      <c r="E237" s="9">
        <v>2574</v>
      </c>
      <c r="F237" s="9">
        <v>4043</v>
      </c>
      <c r="G237" s="9">
        <v>3284</v>
      </c>
      <c r="H237" s="9">
        <v>3533</v>
      </c>
      <c r="I237" s="9">
        <v>2772</v>
      </c>
      <c r="J237" s="9">
        <v>3670</v>
      </c>
      <c r="K237" s="9">
        <v>2961</v>
      </c>
      <c r="L237" s="9">
        <v>2747</v>
      </c>
      <c r="M237" s="9">
        <v>2060</v>
      </c>
      <c r="N237" s="9">
        <v>3655</v>
      </c>
      <c r="O237" s="9">
        <v>2697</v>
      </c>
      <c r="P237" s="9">
        <v>2459</v>
      </c>
      <c r="Q237" s="9">
        <v>2286</v>
      </c>
      <c r="R237" s="9">
        <v>3671.5675198076738</v>
      </c>
      <c r="S237" s="9">
        <v>2852.0930979271561</v>
      </c>
      <c r="T237" s="9">
        <v>2870.2973497331118</v>
      </c>
      <c r="U237" s="9">
        <v>2596.5050817407819</v>
      </c>
      <c r="V237" s="9">
        <v>4002.7552431159129</v>
      </c>
      <c r="W237" s="9">
        <v>3221.7181541286736</v>
      </c>
      <c r="X237" s="9">
        <v>3154.6313145193103</v>
      </c>
    </row>
    <row r="238" spans="1:24" x14ac:dyDescent="0.25">
      <c r="A238" s="8" t="s">
        <v>326</v>
      </c>
      <c r="B238" s="4" t="s">
        <v>327</v>
      </c>
      <c r="C238" s="4" t="s">
        <v>328</v>
      </c>
      <c r="D238" s="4"/>
      <c r="E238" s="9">
        <v>413</v>
      </c>
      <c r="F238" s="9">
        <v>598</v>
      </c>
      <c r="G238" s="9">
        <v>509</v>
      </c>
      <c r="H238" s="9">
        <v>520</v>
      </c>
      <c r="I238" s="9">
        <v>447</v>
      </c>
      <c r="J238" s="9">
        <v>618</v>
      </c>
      <c r="K238" s="9">
        <v>471</v>
      </c>
      <c r="L238" s="9">
        <v>430</v>
      </c>
      <c r="M238" s="9">
        <v>331</v>
      </c>
      <c r="N238" s="9">
        <v>542</v>
      </c>
      <c r="O238" s="9">
        <v>436</v>
      </c>
      <c r="P238" s="9">
        <v>362</v>
      </c>
      <c r="Q238" s="9">
        <v>311</v>
      </c>
      <c r="R238" s="9">
        <v>544.32612009951981</v>
      </c>
      <c r="S238" s="9">
        <v>439.36202068201419</v>
      </c>
      <c r="T238" s="9">
        <v>332.34036307267587</v>
      </c>
      <c r="U238" s="9">
        <v>214.75563248384984</v>
      </c>
      <c r="V238" s="9">
        <v>577.65586619593057</v>
      </c>
      <c r="W238" s="9">
        <v>440.60377910411495</v>
      </c>
      <c r="X238" s="9">
        <v>344.52920012638583</v>
      </c>
    </row>
    <row r="239" spans="1:24" x14ac:dyDescent="0.25">
      <c r="A239" s="8" t="s">
        <v>329</v>
      </c>
      <c r="B239" s="4" t="s">
        <v>330</v>
      </c>
      <c r="C239" s="4" t="s">
        <v>331</v>
      </c>
      <c r="D239" s="4"/>
      <c r="E239" s="9">
        <v>603</v>
      </c>
      <c r="F239" s="9">
        <v>932</v>
      </c>
      <c r="G239" s="9">
        <v>732</v>
      </c>
      <c r="H239" s="9">
        <v>823</v>
      </c>
      <c r="I239" s="9">
        <v>636</v>
      </c>
      <c r="J239" s="9">
        <v>944</v>
      </c>
      <c r="K239" s="9">
        <v>696</v>
      </c>
      <c r="L239" s="9">
        <v>697</v>
      </c>
      <c r="M239" s="9">
        <v>497</v>
      </c>
      <c r="N239" s="9">
        <v>880</v>
      </c>
      <c r="O239" s="9">
        <v>685</v>
      </c>
      <c r="P239" s="9">
        <v>641</v>
      </c>
      <c r="Q239" s="9">
        <v>601</v>
      </c>
      <c r="R239" s="9">
        <v>985.79259411266651</v>
      </c>
      <c r="S239" s="9">
        <v>780.17667305669795</v>
      </c>
      <c r="T239" s="9">
        <v>750.59965560530861</v>
      </c>
      <c r="U239" s="9">
        <v>700.67534219543347</v>
      </c>
      <c r="V239" s="9">
        <v>1094.2471362187805</v>
      </c>
      <c r="W239" s="9">
        <v>859.56430401122441</v>
      </c>
      <c r="X239" s="9">
        <v>824.08750274033798</v>
      </c>
    </row>
    <row r="240" spans="1:24" x14ac:dyDescent="0.25">
      <c r="A240" s="8" t="s">
        <v>14</v>
      </c>
      <c r="B240" s="4"/>
      <c r="C240" s="4"/>
      <c r="D240" s="4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</row>
    <row r="241" spans="1:24" x14ac:dyDescent="0.25">
      <c r="A241" s="8" t="s">
        <v>332</v>
      </c>
      <c r="B241" s="4"/>
      <c r="C241" s="4"/>
      <c r="D241" s="4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</row>
    <row r="242" spans="1:24" x14ac:dyDescent="0.25">
      <c r="A242" s="8" t="s">
        <v>333</v>
      </c>
      <c r="B242" s="4"/>
      <c r="C242" s="4"/>
      <c r="D242" s="4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</row>
    <row r="243" spans="1:24" x14ac:dyDescent="0.25">
      <c r="A243" s="8" t="s">
        <v>334</v>
      </c>
      <c r="B243" s="4" t="s">
        <v>335</v>
      </c>
      <c r="C243" s="4" t="s">
        <v>336</v>
      </c>
      <c r="D243" s="4"/>
      <c r="E243" s="9">
        <v>136221</v>
      </c>
      <c r="F243" s="9">
        <v>140482</v>
      </c>
      <c r="G243" s="9">
        <v>142995</v>
      </c>
      <c r="H243" s="9">
        <v>172351</v>
      </c>
      <c r="I243" s="9">
        <v>163989</v>
      </c>
      <c r="J243" s="9">
        <v>173307</v>
      </c>
      <c r="K243" s="9">
        <v>175792</v>
      </c>
      <c r="L243" s="9">
        <v>190867</v>
      </c>
      <c r="M243" s="9">
        <v>184645</v>
      </c>
      <c r="N243" s="9">
        <v>191420</v>
      </c>
      <c r="O243" s="9">
        <v>196866</v>
      </c>
      <c r="P243" s="9">
        <v>229083</v>
      </c>
      <c r="Q243" s="9">
        <v>255155</v>
      </c>
      <c r="R243" s="9">
        <v>260631.90185945356</v>
      </c>
      <c r="S243" s="9">
        <v>258729.94765941249</v>
      </c>
      <c r="T243" s="9">
        <v>274027.4495989579</v>
      </c>
      <c r="U243" s="9">
        <v>273021.54379801208</v>
      </c>
      <c r="V243" s="9">
        <v>281510.4441162229</v>
      </c>
      <c r="W243" s="9">
        <v>282222.31832498848</v>
      </c>
      <c r="X243" s="9">
        <v>302564.26125317696</v>
      </c>
    </row>
    <row r="244" spans="1:24" x14ac:dyDescent="0.25">
      <c r="A244" s="8" t="s">
        <v>337</v>
      </c>
      <c r="B244" s="4" t="s">
        <v>338</v>
      </c>
      <c r="C244" s="4" t="s">
        <v>339</v>
      </c>
      <c r="D244" s="4"/>
      <c r="E244" s="9">
        <v>64405</v>
      </c>
      <c r="F244" s="9">
        <v>63970</v>
      </c>
      <c r="G244" s="9">
        <v>64169</v>
      </c>
      <c r="H244" s="9">
        <v>86780</v>
      </c>
      <c r="I244" s="9">
        <v>85074</v>
      </c>
      <c r="J244" s="9">
        <v>89092</v>
      </c>
      <c r="K244" s="9">
        <v>88051</v>
      </c>
      <c r="L244" s="9">
        <v>101202</v>
      </c>
      <c r="M244" s="9">
        <v>94565</v>
      </c>
      <c r="N244" s="9">
        <v>93180</v>
      </c>
      <c r="O244" s="9">
        <v>94197</v>
      </c>
      <c r="P244" s="9">
        <v>123029</v>
      </c>
      <c r="Q244" s="9">
        <v>143089</v>
      </c>
      <c r="R244" s="9">
        <v>144222.81199879243</v>
      </c>
      <c r="S244" s="9">
        <v>143512.60608397971</v>
      </c>
      <c r="T244" s="9">
        <v>156779.85827526596</v>
      </c>
      <c r="U244" s="9">
        <v>132994.64180566094</v>
      </c>
      <c r="V244" s="9">
        <v>141326.11041439339</v>
      </c>
      <c r="W244" s="9">
        <v>140542.99643618157</v>
      </c>
      <c r="X244" s="9">
        <v>152366.61905075383</v>
      </c>
    </row>
    <row r="245" spans="1:24" x14ac:dyDescent="0.25">
      <c r="A245" s="8" t="s">
        <v>340</v>
      </c>
      <c r="B245" s="4" t="s">
        <v>341</v>
      </c>
      <c r="C245" s="4" t="s">
        <v>342</v>
      </c>
      <c r="D245" s="4"/>
      <c r="E245" s="9">
        <v>49343</v>
      </c>
      <c r="F245" s="9">
        <v>49529</v>
      </c>
      <c r="G245" s="9">
        <v>49605</v>
      </c>
      <c r="H245" s="9">
        <v>73387</v>
      </c>
      <c r="I245" s="9">
        <v>72852</v>
      </c>
      <c r="J245" s="9">
        <v>71178</v>
      </c>
      <c r="K245" s="9">
        <v>75091</v>
      </c>
      <c r="L245" s="9">
        <v>78779</v>
      </c>
      <c r="M245" s="9">
        <v>66207</v>
      </c>
      <c r="N245" s="9">
        <v>57741</v>
      </c>
      <c r="O245" s="9">
        <v>66922</v>
      </c>
      <c r="P245" s="9">
        <v>86810</v>
      </c>
      <c r="Q245" s="9">
        <v>101816</v>
      </c>
      <c r="R245" s="9">
        <v>106312.12024418087</v>
      </c>
      <c r="S245" s="9">
        <v>102093.44200307003</v>
      </c>
      <c r="T245" s="9">
        <v>108211.14905119737</v>
      </c>
      <c r="U245" s="9">
        <v>108708.34467439314</v>
      </c>
      <c r="V245" s="9">
        <v>111933.23451574892</v>
      </c>
      <c r="W245" s="9">
        <v>109743.29545323277</v>
      </c>
      <c r="X245" s="9">
        <v>128002.38462039085</v>
      </c>
    </row>
    <row r="246" spans="1:24" x14ac:dyDescent="0.25">
      <c r="A246" s="8" t="s">
        <v>343</v>
      </c>
      <c r="B246" s="4" t="s">
        <v>344</v>
      </c>
      <c r="C246" s="4" t="s">
        <v>345</v>
      </c>
      <c r="D246" s="4"/>
      <c r="E246" s="9">
        <v>15062</v>
      </c>
      <c r="F246" s="9">
        <v>14441</v>
      </c>
      <c r="G246" s="9">
        <v>14564</v>
      </c>
      <c r="H246" s="9">
        <v>13393</v>
      </c>
      <c r="I246" s="9">
        <v>12222</v>
      </c>
      <c r="J246" s="9">
        <v>17914</v>
      </c>
      <c r="K246" s="9">
        <v>12960</v>
      </c>
      <c r="L246" s="9">
        <v>22423</v>
      </c>
      <c r="M246" s="9">
        <v>28358</v>
      </c>
      <c r="N246" s="9">
        <v>35439</v>
      </c>
      <c r="O246" s="9">
        <v>27275</v>
      </c>
      <c r="P246" s="9">
        <v>36219</v>
      </c>
      <c r="Q246" s="9">
        <v>41273</v>
      </c>
      <c r="R246" s="9">
        <v>41347.274597126736</v>
      </c>
      <c r="S246" s="9">
        <v>41311.853217169519</v>
      </c>
      <c r="T246" s="9">
        <v>41313.973005668202</v>
      </c>
      <c r="U246" s="9">
        <v>41184.853622940071</v>
      </c>
      <c r="V246" s="9">
        <v>43473.9732398462</v>
      </c>
      <c r="W246" s="9">
        <v>44156.09202806199</v>
      </c>
      <c r="X246" s="9">
        <v>46060.203309024866</v>
      </c>
    </row>
    <row r="247" spans="1:24" x14ac:dyDescent="0.25">
      <c r="A247" s="8" t="s">
        <v>346</v>
      </c>
      <c r="B247" s="4" t="s">
        <v>347</v>
      </c>
      <c r="C247" s="4" t="s">
        <v>348</v>
      </c>
      <c r="D247" s="4"/>
      <c r="E247" s="9">
        <v>34170</v>
      </c>
      <c r="F247" s="9">
        <v>36587</v>
      </c>
      <c r="G247" s="9">
        <v>35406</v>
      </c>
      <c r="H247" s="9">
        <v>33318</v>
      </c>
      <c r="I247" s="9">
        <v>31147</v>
      </c>
      <c r="J247" s="9">
        <v>34109</v>
      </c>
      <c r="K247" s="9">
        <v>36103</v>
      </c>
      <c r="L247" s="9">
        <v>34214</v>
      </c>
      <c r="M247" s="9">
        <v>35864</v>
      </c>
      <c r="N247" s="9">
        <v>40825</v>
      </c>
      <c r="O247" s="9">
        <v>41494</v>
      </c>
      <c r="P247" s="9">
        <v>38325</v>
      </c>
      <c r="Q247" s="9">
        <v>36534</v>
      </c>
      <c r="R247" s="9">
        <v>44048.307860825553</v>
      </c>
      <c r="S247" s="9">
        <v>44120.781911803948</v>
      </c>
      <c r="T247" s="9">
        <v>42523.57116224082</v>
      </c>
      <c r="U247" s="9">
        <v>39451.299817357787</v>
      </c>
      <c r="V247" s="9">
        <v>46087.833787873475</v>
      </c>
      <c r="W247" s="9">
        <v>46250.274616972616</v>
      </c>
      <c r="X247" s="9">
        <v>43438.160553756388</v>
      </c>
    </row>
    <row r="248" spans="1:24" x14ac:dyDescent="0.25">
      <c r="A248" s="8" t="s">
        <v>349</v>
      </c>
      <c r="B248" s="4" t="s">
        <v>350</v>
      </c>
      <c r="C248" s="4" t="s">
        <v>351</v>
      </c>
      <c r="D248" s="4"/>
      <c r="E248" s="9">
        <v>37646</v>
      </c>
      <c r="F248" s="9">
        <v>39925</v>
      </c>
      <c r="G248" s="9">
        <v>43420</v>
      </c>
      <c r="H248" s="9">
        <v>52253</v>
      </c>
      <c r="I248" s="9">
        <v>47768</v>
      </c>
      <c r="J248" s="9">
        <v>50106</v>
      </c>
      <c r="K248" s="9">
        <v>51638</v>
      </c>
      <c r="L248" s="9">
        <v>55451</v>
      </c>
      <c r="M248" s="9">
        <v>54216</v>
      </c>
      <c r="N248" s="9">
        <v>57415</v>
      </c>
      <c r="O248" s="9">
        <v>61175</v>
      </c>
      <c r="P248" s="9">
        <v>67729</v>
      </c>
      <c r="Q248" s="9">
        <v>75532</v>
      </c>
      <c r="R248" s="9">
        <v>70164.133785799771</v>
      </c>
      <c r="S248" s="9">
        <v>71692.125140782984</v>
      </c>
      <c r="T248" s="9">
        <v>80019.573863457525</v>
      </c>
      <c r="U248" s="9">
        <v>81387.688380638167</v>
      </c>
      <c r="V248" s="9">
        <v>79549.843215059867</v>
      </c>
      <c r="W248" s="9">
        <v>80686.039148949116</v>
      </c>
      <c r="X248" s="9">
        <v>88880.644390109723</v>
      </c>
    </row>
    <row r="249" spans="1:24" x14ac:dyDescent="0.25">
      <c r="A249" s="8" t="s">
        <v>352</v>
      </c>
      <c r="B249" s="4" t="s">
        <v>353</v>
      </c>
      <c r="C249" s="4" t="s">
        <v>354</v>
      </c>
      <c r="D249" s="4"/>
      <c r="E249" s="9">
        <v>6.5098485988679675</v>
      </c>
      <c r="F249" s="9">
        <v>6.7999762102125088</v>
      </c>
      <c r="G249" s="9">
        <v>6.3906517360133419</v>
      </c>
      <c r="H249" s="9">
        <v>5.7966022077820405</v>
      </c>
      <c r="I249" s="9">
        <v>5.2725395266953319</v>
      </c>
      <c r="J249" s="9">
        <v>5.6440643749979316</v>
      </c>
      <c r="K249" s="9">
        <v>5.8218625832086275</v>
      </c>
      <c r="L249" s="9">
        <v>5.3630405715727818</v>
      </c>
      <c r="M249" s="9">
        <v>5.5148828333433286</v>
      </c>
      <c r="N249" s="9">
        <v>6.0929380124709347</v>
      </c>
      <c r="O249" s="9">
        <v>6.0020540118322652</v>
      </c>
      <c r="P249" s="9">
        <v>5.3457549196288587</v>
      </c>
      <c r="Q249" s="9">
        <v>4.9185757213480246</v>
      </c>
      <c r="R249" s="9">
        <v>16.823973920755627</v>
      </c>
      <c r="S249" s="9">
        <v>16.723366949028684</v>
      </c>
      <c r="T249" s="9">
        <v>14.384082736084441</v>
      </c>
      <c r="U249" s="9">
        <v>19.099876592170776</v>
      </c>
      <c r="V249" s="9">
        <v>22.506487419334693</v>
      </c>
      <c r="W249" s="9">
        <v>20.724527598202489</v>
      </c>
      <c r="X249" s="9">
        <v>14.371837405802504</v>
      </c>
    </row>
    <row r="250" spans="1:24" x14ac:dyDescent="0.25">
      <c r="A250" s="8" t="s">
        <v>355</v>
      </c>
      <c r="B250" s="4" t="s">
        <v>356</v>
      </c>
      <c r="C250" s="4" t="s">
        <v>357</v>
      </c>
      <c r="D250" s="4"/>
      <c r="E250" s="9">
        <v>328157</v>
      </c>
      <c r="F250" s="9">
        <v>337125</v>
      </c>
      <c r="G250" s="9">
        <v>343888</v>
      </c>
      <c r="H250" s="9">
        <v>355503</v>
      </c>
      <c r="I250" s="9">
        <v>366980</v>
      </c>
      <c r="J250" s="9">
        <v>381511</v>
      </c>
      <c r="K250" s="9">
        <v>408834</v>
      </c>
      <c r="L250" s="9">
        <v>434027</v>
      </c>
      <c r="M250" s="9">
        <v>458611</v>
      </c>
      <c r="N250" s="9">
        <v>490750</v>
      </c>
      <c r="O250" s="9">
        <v>531055</v>
      </c>
      <c r="P250" s="9">
        <v>588959</v>
      </c>
      <c r="Q250" s="9">
        <v>661475</v>
      </c>
      <c r="R250" s="9">
        <v>649617.77986322704</v>
      </c>
      <c r="S250" s="9">
        <v>686628.01251087501</v>
      </c>
      <c r="T250" s="9">
        <v>732593.47161542147</v>
      </c>
      <c r="U250" s="9">
        <v>817407.32062848494</v>
      </c>
      <c r="V250" s="9">
        <v>861965.6054837259</v>
      </c>
      <c r="W250" s="9">
        <v>909051.77901083708</v>
      </c>
      <c r="X250" s="9">
        <v>958719.57712960942</v>
      </c>
    </row>
    <row r="251" spans="1:24" x14ac:dyDescent="0.25">
      <c r="A251" s="8" t="s">
        <v>358</v>
      </c>
      <c r="B251" s="4" t="s">
        <v>359</v>
      </c>
      <c r="C251" s="4" t="s">
        <v>360</v>
      </c>
      <c r="D251" s="4"/>
      <c r="E251" s="9">
        <v>259016</v>
      </c>
      <c r="F251" s="9">
        <v>264116</v>
      </c>
      <c r="G251" s="9">
        <v>267226</v>
      </c>
      <c r="H251" s="9">
        <v>276690</v>
      </c>
      <c r="I251" s="9">
        <v>283263</v>
      </c>
      <c r="J251" s="9">
        <v>295292</v>
      </c>
      <c r="K251" s="9">
        <v>314444</v>
      </c>
      <c r="L251" s="9">
        <v>328806</v>
      </c>
      <c r="M251" s="9">
        <v>351276</v>
      </c>
      <c r="N251" s="9">
        <v>379741</v>
      </c>
      <c r="O251" s="9">
        <v>407891</v>
      </c>
      <c r="P251" s="9">
        <v>443079</v>
      </c>
      <c r="Q251" s="9">
        <v>486199</v>
      </c>
      <c r="R251" s="9">
        <v>512849.69715261535</v>
      </c>
      <c r="S251" s="9">
        <v>543094.24050955265</v>
      </c>
      <c r="T251" s="9">
        <v>572751.20773808891</v>
      </c>
      <c r="U251" s="9">
        <v>612359.19166592485</v>
      </c>
      <c r="V251" s="9">
        <v>648715.55136266351</v>
      </c>
      <c r="W251" s="9">
        <v>687271.72272493213</v>
      </c>
      <c r="X251" s="9">
        <v>728068.31859226828</v>
      </c>
    </row>
    <row r="252" spans="1:24" x14ac:dyDescent="0.25">
      <c r="A252" s="8" t="s">
        <v>361</v>
      </c>
      <c r="B252" s="4" t="s">
        <v>141</v>
      </c>
      <c r="C252" s="4" t="s">
        <v>142</v>
      </c>
      <c r="D252" s="4"/>
      <c r="E252" s="9">
        <v>190754</v>
      </c>
      <c r="F252" s="9">
        <v>193784</v>
      </c>
      <c r="G252" s="9">
        <v>196468</v>
      </c>
      <c r="H252" s="9">
        <v>204177</v>
      </c>
      <c r="I252" s="9">
        <v>209950</v>
      </c>
      <c r="J252" s="9">
        <v>220717</v>
      </c>
      <c r="K252" s="9">
        <v>237917</v>
      </c>
      <c r="L252" s="9">
        <v>252665</v>
      </c>
      <c r="M252" s="9">
        <v>272781</v>
      </c>
      <c r="N252" s="9">
        <v>297616</v>
      </c>
      <c r="O252" s="9">
        <v>324435</v>
      </c>
      <c r="P252" s="9">
        <v>357025</v>
      </c>
      <c r="Q252" s="9">
        <v>397458</v>
      </c>
      <c r="R252" s="9">
        <v>424920.66871899023</v>
      </c>
      <c r="S252" s="9">
        <v>457182.34041777725</v>
      </c>
      <c r="T252" s="9">
        <v>490128.93785289896</v>
      </c>
      <c r="U252" s="9">
        <v>517115.73158613447</v>
      </c>
      <c r="V252" s="9">
        <v>547272.50776855485</v>
      </c>
      <c r="W252" s="9">
        <v>580655.10680359381</v>
      </c>
      <c r="X252" s="9">
        <v>613455.4954256796</v>
      </c>
    </row>
    <row r="253" spans="1:24" x14ac:dyDescent="0.25">
      <c r="A253" s="8" t="s">
        <v>362</v>
      </c>
      <c r="B253" s="4" t="s">
        <v>363</v>
      </c>
      <c r="C253" s="4" t="s">
        <v>364</v>
      </c>
      <c r="D253" s="4"/>
      <c r="E253" s="9">
        <v>68262</v>
      </c>
      <c r="F253" s="9">
        <v>70332</v>
      </c>
      <c r="G253" s="9">
        <v>70758</v>
      </c>
      <c r="H253" s="9">
        <v>72513</v>
      </c>
      <c r="I253" s="9">
        <v>73313</v>
      </c>
      <c r="J253" s="9">
        <v>74575</v>
      </c>
      <c r="K253" s="9">
        <v>76527</v>
      </c>
      <c r="L253" s="9">
        <v>76141</v>
      </c>
      <c r="M253" s="9">
        <v>78495</v>
      </c>
      <c r="N253" s="9">
        <v>82125</v>
      </c>
      <c r="O253" s="9">
        <v>83456</v>
      </c>
      <c r="P253" s="9">
        <v>86054</v>
      </c>
      <c r="Q253" s="9">
        <v>88741</v>
      </c>
      <c r="R253" s="9">
        <v>86210.93423430463</v>
      </c>
      <c r="S253" s="9">
        <v>86225.074042188222</v>
      </c>
      <c r="T253" s="9">
        <v>86812.753799725848</v>
      </c>
      <c r="U253" s="9">
        <v>90344.599843195479</v>
      </c>
      <c r="V253" s="9">
        <v>91014.033938488108</v>
      </c>
      <c r="W253" s="9">
        <v>90948.373483379721</v>
      </c>
      <c r="X253" s="9">
        <v>91538.337927990462</v>
      </c>
    </row>
    <row r="254" spans="1:24" x14ac:dyDescent="0.25">
      <c r="A254" s="8" t="s">
        <v>365</v>
      </c>
      <c r="B254" s="4" t="s">
        <v>366</v>
      </c>
      <c r="C254" s="4" t="s">
        <v>367</v>
      </c>
      <c r="D254" s="4"/>
      <c r="E254" s="9">
        <v>22749</v>
      </c>
      <c r="F254" s="9">
        <v>22785</v>
      </c>
      <c r="G254" s="9">
        <v>22749</v>
      </c>
      <c r="H254" s="9">
        <v>22789</v>
      </c>
      <c r="I254" s="9">
        <v>22770</v>
      </c>
      <c r="J254" s="9">
        <v>22879</v>
      </c>
      <c r="K254" s="9">
        <v>23081</v>
      </c>
      <c r="L254" s="9">
        <v>23074</v>
      </c>
      <c r="M254" s="9">
        <v>23089</v>
      </c>
      <c r="N254" s="9">
        <v>23155</v>
      </c>
      <c r="O254" s="9">
        <v>23260</v>
      </c>
      <c r="P254" s="9">
        <v>23273</v>
      </c>
      <c r="Q254" s="9">
        <v>23449</v>
      </c>
      <c r="R254" s="9">
        <v>23436.419354838712</v>
      </c>
      <c r="S254" s="9">
        <v>23423.838709677417</v>
      </c>
      <c r="T254" s="9">
        <v>23411.258064516129</v>
      </c>
      <c r="U254" s="9">
        <v>23371</v>
      </c>
      <c r="V254" s="9">
        <v>23351.5</v>
      </c>
      <c r="W254" s="9">
        <v>23332</v>
      </c>
      <c r="X254" s="9">
        <v>23312.5</v>
      </c>
    </row>
    <row r="255" spans="1:24" x14ac:dyDescent="0.25">
      <c r="A255" s="8" t="s">
        <v>368</v>
      </c>
      <c r="B255" s="4" t="s">
        <v>369</v>
      </c>
      <c r="C255" s="4" t="s">
        <v>370</v>
      </c>
      <c r="D255" s="4"/>
      <c r="E255" s="9">
        <v>46392</v>
      </c>
      <c r="F255" s="9">
        <v>50224</v>
      </c>
      <c r="G255" s="9">
        <v>53913</v>
      </c>
      <c r="H255" s="9">
        <v>56024</v>
      </c>
      <c r="I255" s="9">
        <v>60947</v>
      </c>
      <c r="J255" s="9">
        <v>63340</v>
      </c>
      <c r="K255" s="9">
        <v>71309</v>
      </c>
      <c r="L255" s="9">
        <v>82147</v>
      </c>
      <c r="M255" s="9">
        <v>84246</v>
      </c>
      <c r="N255" s="9">
        <v>87854</v>
      </c>
      <c r="O255" s="9">
        <v>99904</v>
      </c>
      <c r="P255" s="9">
        <v>122607</v>
      </c>
      <c r="Q255" s="9">
        <v>151827</v>
      </c>
      <c r="R255" s="9">
        <v>140759.50405986147</v>
      </c>
      <c r="S255" s="9">
        <v>143604.10743337168</v>
      </c>
      <c r="T255" s="9">
        <v>152717.14301113266</v>
      </c>
      <c r="U255" s="9">
        <v>155081.65206322988</v>
      </c>
      <c r="V255" s="9">
        <v>145695.54557349731</v>
      </c>
      <c r="W255" s="9">
        <v>148931.0537907535</v>
      </c>
      <c r="X255" s="9">
        <v>158527.11633013087</v>
      </c>
    </row>
    <row r="256" spans="1:24" x14ac:dyDescent="0.25">
      <c r="A256" s="8" t="s">
        <v>371</v>
      </c>
      <c r="B256" s="4" t="s">
        <v>372</v>
      </c>
      <c r="C256" s="4" t="s">
        <v>373</v>
      </c>
      <c r="D256" s="4"/>
      <c r="E256" s="9">
        <v>464378</v>
      </c>
      <c r="F256" s="9">
        <v>477607</v>
      </c>
      <c r="G256" s="9">
        <v>486883</v>
      </c>
      <c r="H256" s="9">
        <v>527854</v>
      </c>
      <c r="I256" s="9">
        <v>530969</v>
      </c>
      <c r="J256" s="9">
        <v>554818</v>
      </c>
      <c r="K256" s="9">
        <v>584626</v>
      </c>
      <c r="L256" s="9">
        <v>624894</v>
      </c>
      <c r="M256" s="9">
        <v>643256</v>
      </c>
      <c r="N256" s="9">
        <v>682170</v>
      </c>
      <c r="O256" s="9">
        <v>727921</v>
      </c>
      <c r="P256" s="9">
        <v>818042</v>
      </c>
      <c r="Q256" s="9">
        <v>916630</v>
      </c>
      <c r="R256" s="9">
        <v>935792.11515813344</v>
      </c>
      <c r="S256" s="9">
        <v>969130.3882434601</v>
      </c>
      <c r="T256" s="9">
        <v>1026658.6822417888</v>
      </c>
      <c r="U256" s="9">
        <v>1060248.6331490115</v>
      </c>
      <c r="V256" s="9">
        <v>1092713.6893196113</v>
      </c>
      <c r="W256" s="9">
        <v>1130330.3028343238</v>
      </c>
      <c r="X256" s="9">
        <v>1193245.5244783408</v>
      </c>
    </row>
    <row r="257" spans="1:24" x14ac:dyDescent="0.25">
      <c r="A257" s="8" t="s">
        <v>14</v>
      </c>
      <c r="B257" s="4"/>
      <c r="C257" s="4"/>
      <c r="D257" s="4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</row>
    <row r="258" spans="1:24" x14ac:dyDescent="0.25">
      <c r="A258" s="8" t="s">
        <v>374</v>
      </c>
      <c r="B258" s="4"/>
      <c r="C258" s="4"/>
      <c r="D258" s="4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</row>
    <row r="259" spans="1:24" x14ac:dyDescent="0.25">
      <c r="A259" s="8" t="s">
        <v>375</v>
      </c>
      <c r="B259" s="4" t="s">
        <v>376</v>
      </c>
      <c r="C259" s="4" t="s">
        <v>377</v>
      </c>
      <c r="D259" s="4"/>
      <c r="E259" s="9">
        <v>147570</v>
      </c>
      <c r="F259" s="9">
        <v>148238</v>
      </c>
      <c r="G259" s="9">
        <v>145214</v>
      </c>
      <c r="H259" s="9">
        <v>164917</v>
      </c>
      <c r="I259" s="9">
        <v>152965</v>
      </c>
      <c r="J259" s="9">
        <v>158172</v>
      </c>
      <c r="K259" s="9">
        <v>161477</v>
      </c>
      <c r="L259" s="9">
        <v>179431</v>
      </c>
      <c r="M259" s="9">
        <v>176171</v>
      </c>
      <c r="N259" s="9">
        <v>186921</v>
      </c>
      <c r="O259" s="9">
        <v>195196</v>
      </c>
      <c r="P259" s="9">
        <v>218005</v>
      </c>
      <c r="Q259" s="9">
        <v>216756</v>
      </c>
      <c r="R259" s="9">
        <v>215839.85060775821</v>
      </c>
      <c r="S259" s="9">
        <v>216591.97385011276</v>
      </c>
      <c r="T259" s="9">
        <v>238237.72144382662</v>
      </c>
      <c r="U259" s="9">
        <v>235961.40987705436</v>
      </c>
      <c r="V259" s="9">
        <v>238059.05422500341</v>
      </c>
      <c r="W259" s="9">
        <v>239970.31247526399</v>
      </c>
      <c r="X259" s="9">
        <v>260056.23010911176</v>
      </c>
    </row>
    <row r="260" spans="1:24" x14ac:dyDescent="0.25">
      <c r="A260" s="8" t="s">
        <v>378</v>
      </c>
      <c r="B260" s="4" t="s">
        <v>379</v>
      </c>
      <c r="C260" s="4" t="s">
        <v>380</v>
      </c>
      <c r="D260" s="4"/>
      <c r="E260" s="9">
        <v>66907</v>
      </c>
      <c r="F260" s="9">
        <v>69481</v>
      </c>
      <c r="G260" s="9">
        <v>72004</v>
      </c>
      <c r="H260" s="9">
        <v>84981</v>
      </c>
      <c r="I260" s="9">
        <v>73068</v>
      </c>
      <c r="J260" s="9">
        <v>81817</v>
      </c>
      <c r="K260" s="9">
        <v>84570</v>
      </c>
      <c r="L260" s="9">
        <v>94363</v>
      </c>
      <c r="M260" s="9">
        <v>89241</v>
      </c>
      <c r="N260" s="9">
        <v>98285</v>
      </c>
      <c r="O260" s="9">
        <v>106032</v>
      </c>
      <c r="P260" s="9">
        <v>121909</v>
      </c>
      <c r="Q260" s="9">
        <v>124749</v>
      </c>
      <c r="R260" s="9">
        <v>117944.96819524812</v>
      </c>
      <c r="S260" s="9">
        <v>119233.35055349857</v>
      </c>
      <c r="T260" s="9">
        <v>133551.7573540142</v>
      </c>
      <c r="U260" s="9">
        <v>132033.28545403457</v>
      </c>
      <c r="V260" s="9">
        <v>128175.96952017042</v>
      </c>
      <c r="W260" s="9">
        <v>130571.39989019743</v>
      </c>
      <c r="X260" s="9">
        <v>145622.945350653</v>
      </c>
    </row>
    <row r="261" spans="1:24" x14ac:dyDescent="0.25">
      <c r="A261" s="8" t="s">
        <v>381</v>
      </c>
      <c r="B261" s="4" t="s">
        <v>382</v>
      </c>
      <c r="C261" s="4" t="s">
        <v>383</v>
      </c>
      <c r="D261" s="4"/>
      <c r="E261" s="9">
        <v>66382</v>
      </c>
      <c r="F261" s="9">
        <v>64235</v>
      </c>
      <c r="G261" s="9">
        <v>58812</v>
      </c>
      <c r="H261" s="9">
        <v>64709</v>
      </c>
      <c r="I261" s="9">
        <v>63970</v>
      </c>
      <c r="J261" s="9">
        <v>60351</v>
      </c>
      <c r="K261" s="9">
        <v>60602</v>
      </c>
      <c r="L261" s="9">
        <v>66965</v>
      </c>
      <c r="M261" s="9">
        <v>66331</v>
      </c>
      <c r="N261" s="9">
        <v>66974</v>
      </c>
      <c r="O261" s="9">
        <v>68051</v>
      </c>
      <c r="P261" s="9">
        <v>75520</v>
      </c>
      <c r="Q261" s="9">
        <v>71120</v>
      </c>
      <c r="R261" s="9">
        <v>73918.016773428782</v>
      </c>
      <c r="S261" s="9">
        <v>74017.506580629546</v>
      </c>
      <c r="T261" s="9">
        <v>81448.436980857892</v>
      </c>
      <c r="U261" s="9">
        <v>79200.326344321045</v>
      </c>
      <c r="V261" s="9">
        <v>82730.612176368173</v>
      </c>
      <c r="W261" s="9">
        <v>82311.409616564575</v>
      </c>
      <c r="X261" s="9">
        <v>88980.242106075908</v>
      </c>
    </row>
    <row r="262" spans="1:24" x14ac:dyDescent="0.25">
      <c r="A262" s="8" t="s">
        <v>384</v>
      </c>
      <c r="B262" s="4" t="s">
        <v>385</v>
      </c>
      <c r="C262" s="4" t="s">
        <v>386</v>
      </c>
      <c r="D262" s="4"/>
      <c r="E262" s="9">
        <v>14281</v>
      </c>
      <c r="F262" s="9">
        <v>14522</v>
      </c>
      <c r="G262" s="9">
        <v>14398</v>
      </c>
      <c r="H262" s="9">
        <v>15227</v>
      </c>
      <c r="I262" s="9">
        <v>15927</v>
      </c>
      <c r="J262" s="9">
        <v>16004</v>
      </c>
      <c r="K262" s="9">
        <v>16305</v>
      </c>
      <c r="L262" s="9">
        <v>18103</v>
      </c>
      <c r="M262" s="9">
        <v>20599</v>
      </c>
      <c r="N262" s="9">
        <v>21662</v>
      </c>
      <c r="O262" s="9">
        <v>21113</v>
      </c>
      <c r="P262" s="9">
        <v>20576</v>
      </c>
      <c r="Q262" s="9">
        <v>20887</v>
      </c>
      <c r="R262" s="9">
        <v>22752.378938954924</v>
      </c>
      <c r="S262" s="9">
        <v>22504.844593476009</v>
      </c>
      <c r="T262" s="9">
        <v>22346.631683830168</v>
      </c>
      <c r="U262" s="9">
        <v>23876.240280039445</v>
      </c>
      <c r="V262" s="9">
        <v>26499.335104690537</v>
      </c>
      <c r="W262" s="9">
        <v>26394.8729477776</v>
      </c>
      <c r="X262" s="9">
        <v>24776.963001282322</v>
      </c>
    </row>
    <row r="263" spans="1:24" x14ac:dyDescent="0.25">
      <c r="A263" s="8" t="s">
        <v>387</v>
      </c>
      <c r="B263" s="4" t="s">
        <v>388</v>
      </c>
      <c r="C263" s="4" t="s">
        <v>389</v>
      </c>
      <c r="D263" s="4"/>
      <c r="E263" s="9">
        <v>2000</v>
      </c>
      <c r="F263" s="9">
        <v>3997</v>
      </c>
      <c r="G263" s="9">
        <v>5995</v>
      </c>
      <c r="H263" s="9">
        <v>8494</v>
      </c>
      <c r="I263" s="9">
        <v>8848</v>
      </c>
      <c r="J263" s="9">
        <v>7429</v>
      </c>
      <c r="K263" s="9">
        <v>5248</v>
      </c>
      <c r="L263" s="9">
        <v>5017</v>
      </c>
      <c r="M263" s="9">
        <v>5014</v>
      </c>
      <c r="N263" s="9">
        <v>5005</v>
      </c>
      <c r="O263" s="9">
        <v>3997</v>
      </c>
      <c r="P263" s="9">
        <v>2748</v>
      </c>
      <c r="Q263" s="9">
        <v>2832</v>
      </c>
      <c r="R263" s="9">
        <v>2748</v>
      </c>
      <c r="S263" s="9">
        <v>2748</v>
      </c>
      <c r="T263" s="9">
        <v>2748</v>
      </c>
      <c r="U263" s="9">
        <v>2748</v>
      </c>
      <c r="V263" s="9">
        <v>2748</v>
      </c>
      <c r="W263" s="9">
        <v>2748</v>
      </c>
      <c r="X263" s="9">
        <v>2748</v>
      </c>
    </row>
    <row r="264" spans="1:24" x14ac:dyDescent="0.25">
      <c r="A264" s="8" t="s">
        <v>390</v>
      </c>
      <c r="B264" s="4" t="s">
        <v>391</v>
      </c>
      <c r="C264" s="4" t="s">
        <v>392</v>
      </c>
      <c r="D264" s="4"/>
      <c r="E264" s="9">
        <v>21428</v>
      </c>
      <c r="F264" s="9">
        <v>15003</v>
      </c>
      <c r="G264" s="9">
        <v>16472</v>
      </c>
      <c r="H264" s="9">
        <v>18945</v>
      </c>
      <c r="I264" s="9">
        <v>19055</v>
      </c>
      <c r="J264" s="9">
        <v>17604</v>
      </c>
      <c r="K264" s="9">
        <v>15942</v>
      </c>
      <c r="L264" s="9">
        <v>16938</v>
      </c>
      <c r="M264" s="9">
        <v>17257</v>
      </c>
      <c r="N264" s="9">
        <v>17978</v>
      </c>
      <c r="O264" s="9">
        <v>17318</v>
      </c>
      <c r="P264" s="9">
        <v>16947</v>
      </c>
      <c r="Q264" s="9">
        <v>16960</v>
      </c>
      <c r="R264" s="9" t="s">
        <v>666</v>
      </c>
      <c r="S264" s="9" t="s">
        <v>666</v>
      </c>
      <c r="T264" s="9" t="s">
        <v>666</v>
      </c>
      <c r="U264" s="9" t="s">
        <v>666</v>
      </c>
      <c r="V264" s="9" t="s">
        <v>666</v>
      </c>
      <c r="W264" s="9" t="s">
        <v>666</v>
      </c>
      <c r="X264" s="9" t="s">
        <v>666</v>
      </c>
    </row>
    <row r="265" spans="1:24" x14ac:dyDescent="0.25">
      <c r="A265" s="8" t="s">
        <v>393</v>
      </c>
      <c r="B265" s="4" t="s">
        <v>394</v>
      </c>
      <c r="C265" s="4" t="s">
        <v>395</v>
      </c>
      <c r="D265" s="4"/>
      <c r="E265" s="9">
        <v>162282</v>
      </c>
      <c r="F265" s="9">
        <v>160767</v>
      </c>
      <c r="G265" s="9">
        <v>158696</v>
      </c>
      <c r="H265" s="9">
        <v>161062</v>
      </c>
      <c r="I265" s="9">
        <v>161343</v>
      </c>
      <c r="J265" s="9">
        <v>160199</v>
      </c>
      <c r="K265" s="9">
        <v>163998</v>
      </c>
      <c r="L265" s="9">
        <v>159493</v>
      </c>
      <c r="M265" s="9">
        <v>161218</v>
      </c>
      <c r="N265" s="9">
        <v>161474</v>
      </c>
      <c r="O265" s="9">
        <v>163094</v>
      </c>
      <c r="P265" s="9">
        <v>188972</v>
      </c>
      <c r="Q265" s="9">
        <v>257960</v>
      </c>
      <c r="R265" s="9">
        <v>234648.51344312905</v>
      </c>
      <c r="S265" s="9">
        <v>234679.49646510009</v>
      </c>
      <c r="T265" s="9">
        <v>237756.74882001197</v>
      </c>
      <c r="U265" s="9">
        <v>253895.72453119999</v>
      </c>
      <c r="V265" s="9">
        <v>253084.53326146558</v>
      </c>
      <c r="W265" s="9">
        <v>252357.05074596146</v>
      </c>
      <c r="X265" s="9">
        <v>251714.3022067564</v>
      </c>
    </row>
    <row r="266" spans="1:24" x14ac:dyDescent="0.25">
      <c r="A266" s="8" t="s">
        <v>396</v>
      </c>
      <c r="B266" s="4" t="s">
        <v>397</v>
      </c>
      <c r="C266" s="4" t="s">
        <v>398</v>
      </c>
      <c r="D266" s="4"/>
      <c r="E266" s="9">
        <v>67084</v>
      </c>
      <c r="F266" s="9">
        <v>63092</v>
      </c>
      <c r="G266" s="9">
        <v>61098</v>
      </c>
      <c r="H266" s="9">
        <v>58314</v>
      </c>
      <c r="I266" s="9">
        <v>57634</v>
      </c>
      <c r="J266" s="9">
        <v>54889</v>
      </c>
      <c r="K266" s="9">
        <v>54890</v>
      </c>
      <c r="L266" s="9">
        <v>52623</v>
      </c>
      <c r="M266" s="9">
        <v>53374</v>
      </c>
      <c r="N266" s="9">
        <v>50718</v>
      </c>
      <c r="O266" s="9">
        <v>50742</v>
      </c>
      <c r="P266" s="9">
        <v>65648</v>
      </c>
      <c r="Q266" s="9">
        <v>119074</v>
      </c>
      <c r="R266" s="9">
        <v>115675.82153869547</v>
      </c>
      <c r="S266" s="9">
        <v>119721.9941224356</v>
      </c>
      <c r="T266" s="9">
        <v>121835.03760069649</v>
      </c>
      <c r="U266" s="9">
        <v>134960.99098773461</v>
      </c>
      <c r="V266" s="9">
        <v>137472.89098773463</v>
      </c>
      <c r="W266" s="9">
        <v>140612.89098773463</v>
      </c>
      <c r="X266" s="9">
        <v>143852.89098773463</v>
      </c>
    </row>
    <row r="267" spans="1:24" x14ac:dyDescent="0.25">
      <c r="A267" s="8" t="s">
        <v>399</v>
      </c>
      <c r="B267" s="4" t="s">
        <v>400</v>
      </c>
      <c r="C267" s="4" t="s">
        <v>401</v>
      </c>
      <c r="D267" s="4"/>
      <c r="E267" s="9">
        <v>141351</v>
      </c>
      <c r="F267" s="9">
        <v>138914</v>
      </c>
      <c r="G267" s="9">
        <v>136989</v>
      </c>
      <c r="H267" s="9">
        <v>135611</v>
      </c>
      <c r="I267" s="9">
        <v>134686</v>
      </c>
      <c r="J267" s="9">
        <v>132973</v>
      </c>
      <c r="K267" s="9">
        <v>134692</v>
      </c>
      <c r="L267" s="9">
        <v>130900</v>
      </c>
      <c r="M267" s="9">
        <v>133245</v>
      </c>
      <c r="N267" s="9">
        <v>133939</v>
      </c>
      <c r="O267" s="9">
        <v>135419</v>
      </c>
      <c r="P267" s="9">
        <v>152987</v>
      </c>
      <c r="Q267" s="9">
        <v>209888</v>
      </c>
      <c r="R267" s="9">
        <v>202207.344659375</v>
      </c>
      <c r="S267" s="9">
        <v>206955.74374375</v>
      </c>
      <c r="T267" s="9">
        <v>205688.246227125</v>
      </c>
      <c r="U267" s="9">
        <v>220973.33612202664</v>
      </c>
      <c r="V267" s="9">
        <v>216766.04273291945</v>
      </c>
      <c r="W267" s="9">
        <v>215501.22854492773</v>
      </c>
      <c r="X267" s="9">
        <v>214261.71064069582</v>
      </c>
    </row>
    <row r="268" spans="1:24" x14ac:dyDescent="0.25">
      <c r="A268" s="8" t="s">
        <v>402</v>
      </c>
      <c r="B268" s="4" t="s">
        <v>403</v>
      </c>
      <c r="C268" s="4" t="s">
        <v>404</v>
      </c>
      <c r="D268" s="4"/>
      <c r="E268" s="9">
        <v>74267</v>
      </c>
      <c r="F268" s="9">
        <v>75822</v>
      </c>
      <c r="G268" s="9">
        <v>75891</v>
      </c>
      <c r="H268" s="9">
        <v>77297</v>
      </c>
      <c r="I268" s="9">
        <v>77052</v>
      </c>
      <c r="J268" s="9">
        <v>78084</v>
      </c>
      <c r="K268" s="9">
        <v>79802</v>
      </c>
      <c r="L268" s="9">
        <v>78277</v>
      </c>
      <c r="M268" s="9">
        <v>79871</v>
      </c>
      <c r="N268" s="9">
        <v>83221</v>
      </c>
      <c r="O268" s="9">
        <v>84677</v>
      </c>
      <c r="P268" s="9">
        <v>87339</v>
      </c>
      <c r="Q268" s="9">
        <v>90814</v>
      </c>
      <c r="R268" s="9">
        <v>82197.456592437738</v>
      </c>
      <c r="S268" s="9">
        <v>83245.119028060042</v>
      </c>
      <c r="T268" s="9">
        <v>88295.919738460696</v>
      </c>
      <c r="U268" s="9">
        <v>95980.213614091568</v>
      </c>
      <c r="V268" s="9">
        <v>91864.436172980975</v>
      </c>
      <c r="W268" s="9">
        <v>93474.424106182079</v>
      </c>
      <c r="X268" s="9">
        <v>97372.934721573372</v>
      </c>
    </row>
    <row r="269" spans="1:24" x14ac:dyDescent="0.25">
      <c r="A269" s="8" t="s">
        <v>405</v>
      </c>
      <c r="B269" s="4" t="s">
        <v>406</v>
      </c>
      <c r="C269" s="4" t="s">
        <v>407</v>
      </c>
      <c r="D269" s="4"/>
      <c r="E269" s="9">
        <v>10771</v>
      </c>
      <c r="F269" s="9">
        <v>10434</v>
      </c>
      <c r="G269" s="9">
        <v>10081</v>
      </c>
      <c r="H269" s="9">
        <v>10077</v>
      </c>
      <c r="I269" s="9">
        <v>9614</v>
      </c>
      <c r="J269" s="9">
        <v>9388</v>
      </c>
      <c r="K269" s="9">
        <v>9426</v>
      </c>
      <c r="L269" s="9">
        <v>9227</v>
      </c>
      <c r="M269" s="9">
        <v>9024</v>
      </c>
      <c r="N269" s="9">
        <v>9827</v>
      </c>
      <c r="O269" s="9">
        <v>10317</v>
      </c>
      <c r="P269" s="9">
        <v>10742</v>
      </c>
      <c r="Q269" s="9">
        <v>11747</v>
      </c>
      <c r="R269" s="9">
        <v>19816.835436406127</v>
      </c>
      <c r="S269" s="9">
        <v>19851.503302024805</v>
      </c>
      <c r="T269" s="9">
        <v>19893.269130597699</v>
      </c>
      <c r="U269" s="9">
        <v>19928.316742964089</v>
      </c>
      <c r="V269" s="9">
        <v>19966.591681320377</v>
      </c>
      <c r="W269" s="9">
        <v>20006.165825446627</v>
      </c>
      <c r="X269" s="9">
        <v>20053.000144727848</v>
      </c>
    </row>
    <row r="270" spans="1:24" x14ac:dyDescent="0.25">
      <c r="A270" s="8" t="s">
        <v>408</v>
      </c>
      <c r="B270" s="4" t="s">
        <v>409</v>
      </c>
      <c r="C270" s="4" t="s">
        <v>410</v>
      </c>
      <c r="D270" s="4"/>
      <c r="E270" s="9">
        <v>63496</v>
      </c>
      <c r="F270" s="9">
        <v>65388</v>
      </c>
      <c r="G270" s="9">
        <v>65810</v>
      </c>
      <c r="H270" s="9">
        <v>67220</v>
      </c>
      <c r="I270" s="9">
        <v>67438</v>
      </c>
      <c r="J270" s="9">
        <v>68696</v>
      </c>
      <c r="K270" s="9">
        <v>70376</v>
      </c>
      <c r="L270" s="9">
        <v>69050</v>
      </c>
      <c r="M270" s="9">
        <v>70847</v>
      </c>
      <c r="N270" s="9">
        <v>73394</v>
      </c>
      <c r="O270" s="9">
        <v>74360</v>
      </c>
      <c r="P270" s="9">
        <v>76597</v>
      </c>
      <c r="Q270" s="9">
        <v>79067</v>
      </c>
      <c r="R270" s="9">
        <v>16664.914288420809</v>
      </c>
      <c r="S270" s="9">
        <v>15426.807405110278</v>
      </c>
      <c r="T270" s="9">
        <v>14294.042616775117</v>
      </c>
      <c r="U270" s="9">
        <v>13199.479430924897</v>
      </c>
      <c r="V270" s="9">
        <v>12183.54126748606</v>
      </c>
      <c r="W270" s="9">
        <v>11233.713431051987</v>
      </c>
      <c r="X270" s="9">
        <v>10372.91486910166</v>
      </c>
    </row>
    <row r="271" spans="1:24" x14ac:dyDescent="0.25">
      <c r="A271" s="8" t="s">
        <v>411</v>
      </c>
      <c r="B271" s="4" t="s">
        <v>412</v>
      </c>
      <c r="C271" s="4" t="s">
        <v>413</v>
      </c>
      <c r="D271" s="4"/>
      <c r="E271" s="9">
        <v>20931</v>
      </c>
      <c r="F271" s="9">
        <v>21853</v>
      </c>
      <c r="G271" s="9">
        <v>21707</v>
      </c>
      <c r="H271" s="9">
        <v>25451</v>
      </c>
      <c r="I271" s="9">
        <v>26657</v>
      </c>
      <c r="J271" s="9">
        <v>27226</v>
      </c>
      <c r="K271" s="9">
        <v>29306</v>
      </c>
      <c r="L271" s="9">
        <v>28593</v>
      </c>
      <c r="M271" s="9">
        <v>27973</v>
      </c>
      <c r="N271" s="9">
        <v>27535</v>
      </c>
      <c r="O271" s="9">
        <v>27675</v>
      </c>
      <c r="P271" s="9">
        <v>35985</v>
      </c>
      <c r="Q271" s="9">
        <v>48072</v>
      </c>
      <c r="R271" s="9">
        <v>46643.373958451026</v>
      </c>
      <c r="S271" s="9">
        <v>47012.442028834746</v>
      </c>
      <c r="T271" s="9">
        <v>48097.177269757725</v>
      </c>
      <c r="U271" s="9">
        <v>51262.629764660996</v>
      </c>
      <c r="V271" s="9">
        <v>49007.75019307826</v>
      </c>
      <c r="W271" s="9">
        <v>49289.039442774949</v>
      </c>
      <c r="X271" s="9">
        <v>48582.155293182703</v>
      </c>
    </row>
    <row r="272" spans="1:24" x14ac:dyDescent="0.25">
      <c r="A272" s="8" t="s">
        <v>414</v>
      </c>
      <c r="B272" s="4" t="s">
        <v>415</v>
      </c>
      <c r="C272" s="4" t="s">
        <v>416</v>
      </c>
      <c r="D272" s="4"/>
      <c r="E272" s="9">
        <v>309852</v>
      </c>
      <c r="F272" s="9">
        <v>309005</v>
      </c>
      <c r="G272" s="9">
        <v>303910</v>
      </c>
      <c r="H272" s="9">
        <v>325979</v>
      </c>
      <c r="I272" s="9">
        <v>314308</v>
      </c>
      <c r="J272" s="9">
        <v>318371</v>
      </c>
      <c r="K272" s="9">
        <v>325475</v>
      </c>
      <c r="L272" s="9">
        <v>338924</v>
      </c>
      <c r="M272" s="9">
        <v>337389</v>
      </c>
      <c r="N272" s="9">
        <v>348395</v>
      </c>
      <c r="O272" s="9">
        <v>358290</v>
      </c>
      <c r="P272" s="9">
        <v>406977</v>
      </c>
      <c r="Q272" s="9">
        <v>474716</v>
      </c>
      <c r="R272" s="9">
        <v>462658.47844526492</v>
      </c>
      <c r="S272" s="9">
        <v>469936.6404861951</v>
      </c>
      <c r="T272" s="9">
        <v>497210.86607211153</v>
      </c>
      <c r="U272" s="9">
        <v>507694.13194075547</v>
      </c>
      <c r="V272" s="9">
        <v>509101.06409388495</v>
      </c>
      <c r="W272" s="9">
        <v>518727.40522187977</v>
      </c>
      <c r="X272" s="9">
        <v>544885.35602120054</v>
      </c>
    </row>
    <row r="273" spans="1:24" x14ac:dyDescent="0.25">
      <c r="A273" s="8" t="s">
        <v>417</v>
      </c>
      <c r="B273" s="4" t="s">
        <v>418</v>
      </c>
      <c r="C273" s="4" t="s">
        <v>419</v>
      </c>
      <c r="D273" s="4"/>
      <c r="E273" s="9">
        <v>154526</v>
      </c>
      <c r="F273" s="9">
        <v>168602</v>
      </c>
      <c r="G273" s="9">
        <v>182973</v>
      </c>
      <c r="H273" s="9">
        <v>201875</v>
      </c>
      <c r="I273" s="9">
        <v>216661</v>
      </c>
      <c r="J273" s="9">
        <v>236447</v>
      </c>
      <c r="K273" s="9">
        <v>259151</v>
      </c>
      <c r="L273" s="9">
        <v>285970</v>
      </c>
      <c r="M273" s="9">
        <v>305867</v>
      </c>
      <c r="N273" s="9">
        <v>333775</v>
      </c>
      <c r="O273" s="9">
        <v>369631</v>
      </c>
      <c r="P273" s="9">
        <v>411065</v>
      </c>
      <c r="Q273" s="9">
        <v>441914</v>
      </c>
      <c r="R273" s="9">
        <v>469335.21428571432</v>
      </c>
      <c r="S273" s="9">
        <v>496996.17857142858</v>
      </c>
      <c r="T273" s="9">
        <v>527778.75</v>
      </c>
      <c r="U273" s="9">
        <v>553015.0555555555</v>
      </c>
      <c r="V273" s="9">
        <v>586630.77777777787</v>
      </c>
      <c r="W273" s="9">
        <v>620093.72222222213</v>
      </c>
      <c r="X273" s="9">
        <v>659664.77777777787</v>
      </c>
    </row>
    <row r="274" spans="1:24" x14ac:dyDescent="0.25">
      <c r="A274" s="8" t="s">
        <v>420</v>
      </c>
      <c r="B274" s="4" t="s">
        <v>421</v>
      </c>
      <c r="C274" s="4" t="s">
        <v>422</v>
      </c>
      <c r="D274" s="4"/>
      <c r="E274" s="9">
        <v>108</v>
      </c>
      <c r="F274" s="9">
        <v>108</v>
      </c>
      <c r="G274" s="9">
        <v>108</v>
      </c>
      <c r="H274" s="9">
        <v>109</v>
      </c>
      <c r="I274" s="9">
        <v>109</v>
      </c>
      <c r="J274" s="9">
        <v>110</v>
      </c>
      <c r="K274" s="9">
        <v>110</v>
      </c>
      <c r="L274" s="9">
        <v>111</v>
      </c>
      <c r="M274" s="9">
        <v>111</v>
      </c>
      <c r="N274" s="9">
        <v>112</v>
      </c>
      <c r="O274" s="9">
        <v>112</v>
      </c>
      <c r="P274" s="9">
        <v>112</v>
      </c>
      <c r="Q274" s="9">
        <v>113</v>
      </c>
      <c r="R274" s="9">
        <v>113</v>
      </c>
      <c r="S274" s="9">
        <v>113</v>
      </c>
      <c r="T274" s="9">
        <v>113</v>
      </c>
      <c r="U274" s="9">
        <v>113</v>
      </c>
      <c r="V274" s="9">
        <v>113</v>
      </c>
      <c r="W274" s="9">
        <v>113</v>
      </c>
      <c r="X274" s="9">
        <v>113</v>
      </c>
    </row>
    <row r="275" spans="1:24" x14ac:dyDescent="0.25">
      <c r="A275" s="8" t="s">
        <v>423</v>
      </c>
      <c r="B275" s="4" t="s">
        <v>424</v>
      </c>
      <c r="C275" s="4" t="s">
        <v>425</v>
      </c>
      <c r="D275" s="4"/>
      <c r="E275" s="9">
        <v>7837</v>
      </c>
      <c r="F275" s="9">
        <v>7837</v>
      </c>
      <c r="G275" s="9">
        <v>7837</v>
      </c>
      <c r="H275" s="9">
        <v>7837</v>
      </c>
      <c r="I275" s="9">
        <v>7837</v>
      </c>
      <c r="J275" s="9">
        <v>7837</v>
      </c>
      <c r="K275" s="9">
        <v>7837</v>
      </c>
      <c r="L275" s="9">
        <v>7837</v>
      </c>
      <c r="M275" s="9">
        <v>7837</v>
      </c>
      <c r="N275" s="9">
        <v>7837</v>
      </c>
      <c r="O275" s="9">
        <v>7837</v>
      </c>
      <c r="P275" s="9">
        <v>7837</v>
      </c>
      <c r="Q275" s="9">
        <v>7837</v>
      </c>
      <c r="R275" s="9">
        <v>7837</v>
      </c>
      <c r="S275" s="9">
        <v>7837</v>
      </c>
      <c r="T275" s="9">
        <v>7837</v>
      </c>
      <c r="U275" s="9">
        <v>7837</v>
      </c>
      <c r="V275" s="9">
        <v>7837</v>
      </c>
      <c r="W275" s="9">
        <v>7837</v>
      </c>
      <c r="X275" s="9">
        <v>7837</v>
      </c>
    </row>
    <row r="276" spans="1:24" x14ac:dyDescent="0.25">
      <c r="A276" s="8" t="s">
        <v>426</v>
      </c>
      <c r="B276" s="4" t="s">
        <v>427</v>
      </c>
      <c r="C276" s="4" t="s">
        <v>428</v>
      </c>
      <c r="D276" s="4"/>
      <c r="E276" s="9">
        <v>79863</v>
      </c>
      <c r="F276" s="9">
        <v>86896</v>
      </c>
      <c r="G276" s="9">
        <v>92711</v>
      </c>
      <c r="H276" s="9">
        <v>99025</v>
      </c>
      <c r="I276" s="9">
        <v>103938</v>
      </c>
      <c r="J276" s="9">
        <v>110633</v>
      </c>
      <c r="K276" s="9">
        <v>115934</v>
      </c>
      <c r="L276" s="9">
        <v>120864</v>
      </c>
      <c r="M276" s="9">
        <v>124514</v>
      </c>
      <c r="N276" s="9">
        <v>130923</v>
      </c>
      <c r="O276" s="9">
        <v>135679</v>
      </c>
      <c r="P276" s="9">
        <v>140024</v>
      </c>
      <c r="Q276" s="9">
        <v>143979</v>
      </c>
      <c r="R276" s="9">
        <v>147255.29940410831</v>
      </c>
      <c r="S276" s="9">
        <v>151199.89500723922</v>
      </c>
      <c r="T276" s="9">
        <v>157313.41501215461</v>
      </c>
      <c r="U276" s="9">
        <v>161389.29552932698</v>
      </c>
      <c r="V276" s="9">
        <v>168032.73757457742</v>
      </c>
      <c r="W276" s="9">
        <v>173337.73922068838</v>
      </c>
      <c r="X276" s="9">
        <v>181931.85973564052</v>
      </c>
    </row>
    <row r="277" spans="1:24" x14ac:dyDescent="0.25">
      <c r="A277" s="8" t="s">
        <v>429</v>
      </c>
      <c r="B277" s="4" t="s">
        <v>430</v>
      </c>
      <c r="C277" s="4" t="s">
        <v>431</v>
      </c>
      <c r="D277" s="4"/>
      <c r="E277" s="9">
        <v>-3973</v>
      </c>
      <c r="F277" s="9">
        <v>-3680</v>
      </c>
      <c r="G277" s="9">
        <v>-5003</v>
      </c>
      <c r="H277" s="9">
        <v>-3040</v>
      </c>
      <c r="I277" s="9">
        <v>-3598</v>
      </c>
      <c r="J277" s="9">
        <v>-3993</v>
      </c>
      <c r="K277" s="9">
        <v>-1918</v>
      </c>
      <c r="L277" s="9">
        <v>-34</v>
      </c>
      <c r="M277" s="9">
        <v>-914</v>
      </c>
      <c r="N277" s="9">
        <v>2420</v>
      </c>
      <c r="O277" s="9">
        <v>12333</v>
      </c>
      <c r="P277" s="9">
        <v>28230</v>
      </c>
      <c r="Q277" s="9">
        <v>24868</v>
      </c>
      <c r="R277" s="9">
        <v>24868</v>
      </c>
      <c r="S277" s="9">
        <v>24868</v>
      </c>
      <c r="T277" s="9">
        <v>24868</v>
      </c>
      <c r="U277" s="9">
        <v>33764.752520917238</v>
      </c>
      <c r="V277" s="9">
        <v>36274.671628926626</v>
      </c>
      <c r="W277" s="9">
        <v>39177.345006685209</v>
      </c>
      <c r="X277" s="9">
        <v>42382.691999302151</v>
      </c>
    </row>
    <row r="278" spans="1:24" x14ac:dyDescent="0.25">
      <c r="A278" s="8" t="s">
        <v>432</v>
      </c>
      <c r="B278" s="4" t="s">
        <v>433</v>
      </c>
      <c r="C278" s="4" t="s">
        <v>434</v>
      </c>
      <c r="D278" s="4"/>
      <c r="E278" s="9">
        <v>86365</v>
      </c>
      <c r="F278" s="9">
        <v>93115</v>
      </c>
      <c r="G278" s="9">
        <v>102994</v>
      </c>
      <c r="H278" s="9">
        <v>113618</v>
      </c>
      <c r="I278" s="9">
        <v>124049</v>
      </c>
      <c r="J278" s="9">
        <v>137534</v>
      </c>
      <c r="K278" s="9">
        <v>152862</v>
      </c>
      <c r="L278" s="9">
        <v>172866</v>
      </c>
      <c r="M278" s="9">
        <v>189993</v>
      </c>
      <c r="N278" s="9">
        <v>208157</v>
      </c>
      <c r="O278" s="9">
        <v>229344</v>
      </c>
      <c r="P278" s="9">
        <v>250536</v>
      </c>
      <c r="Q278" s="9">
        <v>280791</v>
      </c>
      <c r="R278" s="9">
        <v>302131.40056334139</v>
      </c>
      <c r="S278" s="9">
        <v>323325.85768154979</v>
      </c>
      <c r="T278" s="9">
        <v>347238.75181752659</v>
      </c>
      <c r="U278" s="9">
        <v>366661.10219234967</v>
      </c>
      <c r="V278" s="9">
        <v>391744.08825537801</v>
      </c>
      <c r="W278" s="9">
        <v>417867.32210142829</v>
      </c>
      <c r="X278" s="9">
        <v>449656.65936037718</v>
      </c>
    </row>
    <row r="279" spans="1:24" x14ac:dyDescent="0.25">
      <c r="A279" s="8" t="s">
        <v>435</v>
      </c>
      <c r="B279" s="4" t="s">
        <v>372</v>
      </c>
      <c r="C279" s="4" t="s">
        <v>373</v>
      </c>
      <c r="D279" s="4"/>
      <c r="E279" s="9">
        <v>464378</v>
      </c>
      <c r="F279" s="9">
        <v>477607</v>
      </c>
      <c r="G279" s="9">
        <v>486883</v>
      </c>
      <c r="H279" s="9">
        <v>527854</v>
      </c>
      <c r="I279" s="9">
        <v>530969</v>
      </c>
      <c r="J279" s="9">
        <v>554818</v>
      </c>
      <c r="K279" s="9">
        <v>584626</v>
      </c>
      <c r="L279" s="9">
        <v>624894</v>
      </c>
      <c r="M279" s="9">
        <v>643256</v>
      </c>
      <c r="N279" s="9">
        <v>682170</v>
      </c>
      <c r="O279" s="9">
        <v>727921</v>
      </c>
      <c r="P279" s="9">
        <v>818042</v>
      </c>
      <c r="Q279" s="9">
        <v>916630</v>
      </c>
      <c r="R279" s="9">
        <v>935792.11515813344</v>
      </c>
      <c r="S279" s="9">
        <v>969130.3882434601</v>
      </c>
      <c r="T279" s="9">
        <v>1026658.6822417888</v>
      </c>
      <c r="U279" s="9">
        <v>1060248.6331490115</v>
      </c>
      <c r="V279" s="9">
        <v>1092713.6893196113</v>
      </c>
      <c r="W279" s="9">
        <v>1130330.3028343238</v>
      </c>
      <c r="X279" s="9">
        <v>1193245.5244783408</v>
      </c>
    </row>
    <row r="280" spans="1:24" x14ac:dyDescent="0.25">
      <c r="A280" s="8" t="s">
        <v>14</v>
      </c>
      <c r="B280" s="4"/>
      <c r="C280" s="4"/>
      <c r="D280" s="4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</row>
    <row r="281" spans="1:24" x14ac:dyDescent="0.25">
      <c r="A281" s="8" t="s">
        <v>436</v>
      </c>
      <c r="B281" s="4"/>
      <c r="C281" s="4"/>
      <c r="D281" s="4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</row>
    <row r="282" spans="1:24" x14ac:dyDescent="0.25">
      <c r="A282" s="8" t="s">
        <v>437</v>
      </c>
      <c r="B282" s="4" t="s">
        <v>438</v>
      </c>
      <c r="C282" s="4" t="s">
        <v>439</v>
      </c>
      <c r="D282" s="4"/>
      <c r="E282" s="9">
        <v>69472</v>
      </c>
      <c r="F282" s="9">
        <v>67472</v>
      </c>
      <c r="G282" s="9">
        <v>67472</v>
      </c>
      <c r="H282" s="9">
        <v>67182</v>
      </c>
      <c r="I282" s="9">
        <v>66852</v>
      </c>
      <c r="J282" s="9">
        <v>62683</v>
      </c>
      <c r="K282" s="9">
        <v>60500</v>
      </c>
      <c r="L282" s="9">
        <v>58000</v>
      </c>
      <c r="M282" s="9">
        <v>58750</v>
      </c>
      <c r="N282" s="9">
        <v>56082</v>
      </c>
      <c r="O282" s="9">
        <v>55097</v>
      </c>
      <c r="P282" s="9">
        <v>68836</v>
      </c>
      <c r="Q282" s="9">
        <v>122632</v>
      </c>
      <c r="R282" s="9">
        <v>103094.92403064507</v>
      </c>
      <c r="S282" s="9">
        <v>103094.92403064507</v>
      </c>
      <c r="T282" s="9">
        <v>102844.92403064507</v>
      </c>
      <c r="U282" s="9">
        <v>101532.42403064507</v>
      </c>
      <c r="V282" s="9">
        <v>100282.42403064507</v>
      </c>
      <c r="W282" s="9">
        <v>99407.424030645067</v>
      </c>
      <c r="X282" s="9">
        <v>98657.424030645067</v>
      </c>
    </row>
    <row r="283" spans="1:24" x14ac:dyDescent="0.25">
      <c r="A283" s="8" t="s">
        <v>440</v>
      </c>
      <c r="B283" s="4" t="s">
        <v>441</v>
      </c>
      <c r="C283" s="4" t="s">
        <v>442</v>
      </c>
      <c r="D283" s="4"/>
      <c r="E283" s="9">
        <v>-388</v>
      </c>
      <c r="F283" s="9">
        <v>-383</v>
      </c>
      <c r="G283" s="9">
        <v>-379</v>
      </c>
      <c r="H283" s="9">
        <v>-374</v>
      </c>
      <c r="I283" s="9">
        <v>-370</v>
      </c>
      <c r="J283" s="9">
        <v>-365</v>
      </c>
      <c r="K283" s="9">
        <v>-362</v>
      </c>
      <c r="L283" s="9">
        <v>-360</v>
      </c>
      <c r="M283" s="9">
        <v>-362</v>
      </c>
      <c r="N283" s="9">
        <v>-359</v>
      </c>
      <c r="O283" s="9">
        <v>-358</v>
      </c>
      <c r="P283" s="9">
        <v>-440</v>
      </c>
      <c r="Q283" s="9">
        <v>-726</v>
      </c>
      <c r="R283" s="9">
        <v>-554.4</v>
      </c>
      <c r="S283" s="9">
        <v>-554.4</v>
      </c>
      <c r="T283" s="9">
        <v>-554.4</v>
      </c>
      <c r="U283" s="9">
        <v>-511.5</v>
      </c>
      <c r="V283" s="9">
        <v>-511.5</v>
      </c>
      <c r="W283" s="9">
        <v>-511.5</v>
      </c>
      <c r="X283" s="9">
        <v>-511.5</v>
      </c>
    </row>
    <row r="284" spans="1:24" x14ac:dyDescent="0.25">
      <c r="A284" s="8" t="s">
        <v>443</v>
      </c>
      <c r="B284" s="4" t="s">
        <v>444</v>
      </c>
      <c r="C284" s="4" t="s">
        <v>445</v>
      </c>
      <c r="D284" s="4"/>
      <c r="E284" s="9">
        <v>0.69154299654401297</v>
      </c>
      <c r="F284" s="9">
        <v>0.70086617466506562</v>
      </c>
      <c r="G284" s="9">
        <v>0.74089963777597201</v>
      </c>
      <c r="H284" s="9">
        <v>0.84304832127676343</v>
      </c>
      <c r="I284" s="9">
        <v>0.86844703036642368</v>
      </c>
      <c r="J284" s="9">
        <v>0.88004197961712571</v>
      </c>
      <c r="K284" s="9">
        <v>0.86507056732537757</v>
      </c>
      <c r="L284" s="9">
        <v>0.87305426598525337</v>
      </c>
      <c r="M284" s="9">
        <v>0.84452605706955175</v>
      </c>
      <c r="N284" s="9">
        <v>0.80566121516576517</v>
      </c>
      <c r="O284" s="9">
        <v>0.79597942580790593</v>
      </c>
      <c r="P284" s="9">
        <v>0.8750166280589895</v>
      </c>
      <c r="Q284" s="9">
        <v>1.0086041447526251</v>
      </c>
      <c r="R284" s="9">
        <v>44.860735452619871</v>
      </c>
      <c r="S284" s="9">
        <v>44.824602120050841</v>
      </c>
      <c r="T284" s="9">
        <v>44.766644965455932</v>
      </c>
      <c r="U284" s="9">
        <v>89.396075870298901</v>
      </c>
      <c r="V284" s="9">
        <v>89.31173834631106</v>
      </c>
      <c r="W284" s="9">
        <v>89.280684843183565</v>
      </c>
      <c r="X284" s="9">
        <v>89.191950262568852</v>
      </c>
    </row>
    <row r="285" spans="1:24" x14ac:dyDescent="0.25">
      <c r="A285" s="8" t="s">
        <v>446</v>
      </c>
      <c r="B285" s="4" t="s">
        <v>447</v>
      </c>
      <c r="C285" s="4" t="s">
        <v>448</v>
      </c>
      <c r="D285" s="4"/>
      <c r="E285" s="9">
        <v>0.98132309502996651</v>
      </c>
      <c r="F285" s="9">
        <v>2.9135161338853384</v>
      </c>
      <c r="G285" s="9">
        <v>4.3876776163759432</v>
      </c>
      <c r="H285" s="9">
        <v>6.1431820774555819</v>
      </c>
      <c r="I285" s="9">
        <v>7.5720326680042236</v>
      </c>
      <c r="J285" s="9">
        <v>8.6047896941666462</v>
      </c>
      <c r="K285" s="9">
        <v>9.3079946132043698</v>
      </c>
      <c r="L285" s="9">
        <v>10.279436615808486</v>
      </c>
      <c r="M285" s="9">
        <v>11.231918925248568</v>
      </c>
      <c r="N285" s="9">
        <v>11.41854245958732</v>
      </c>
      <c r="O285" s="9">
        <v>11.653982676429871</v>
      </c>
      <c r="P285" s="9">
        <v>10.76555023923445</v>
      </c>
      <c r="Q285" s="9">
        <v>11.64161996453587</v>
      </c>
      <c r="R285" s="9">
        <v>2.14</v>
      </c>
      <c r="S285" s="9">
        <v>2.12</v>
      </c>
      <c r="T285" s="9">
        <v>2.42</v>
      </c>
      <c r="U285" s="9" t="s">
        <v>666</v>
      </c>
      <c r="V285" s="9" t="s">
        <v>666</v>
      </c>
      <c r="W285" s="9" t="s">
        <v>666</v>
      </c>
      <c r="X285" s="9" t="s">
        <v>666</v>
      </c>
    </row>
    <row r="286" spans="1:24" x14ac:dyDescent="0.25">
      <c r="A286" s="8" t="s">
        <v>449</v>
      </c>
      <c r="B286" s="4" t="s">
        <v>450</v>
      </c>
      <c r="C286" s="4" t="s">
        <v>451</v>
      </c>
      <c r="D286" s="4"/>
      <c r="E286" s="9">
        <v>2.9764978667507722</v>
      </c>
      <c r="F286" s="9">
        <v>8.7145504726603651</v>
      </c>
      <c r="G286" s="9">
        <v>12.531282960226173</v>
      </c>
      <c r="H286" s="9">
        <v>17.48975333268184</v>
      </c>
      <c r="I286" s="9">
        <v>20.30459040860806</v>
      </c>
      <c r="J286" s="9">
        <v>21.93265506148639</v>
      </c>
      <c r="K286" s="9">
        <v>22.558377287819706</v>
      </c>
      <c r="L286" s="9">
        <v>24.289682173641218</v>
      </c>
      <c r="M286" s="9">
        <v>25.240369894053526</v>
      </c>
      <c r="N286" s="9">
        <v>24.770352599513874</v>
      </c>
      <c r="O286" s="9">
        <v>24.327032262373923</v>
      </c>
      <c r="P286" s="9">
        <v>22.285824958574533</v>
      </c>
      <c r="Q286" s="9">
        <v>24.284650185014062</v>
      </c>
      <c r="R286" s="9">
        <v>14.200907428348785</v>
      </c>
      <c r="S286" s="9">
        <v>12.845781112021776</v>
      </c>
      <c r="T286" s="9">
        <v>12.818590217161283</v>
      </c>
      <c r="U286" s="9">
        <v>11.167125179372119</v>
      </c>
      <c r="V286" s="9">
        <v>11.184965505555711</v>
      </c>
      <c r="W286" s="9">
        <v>10.997092981212109</v>
      </c>
      <c r="X286" s="9">
        <v>11.446116117828359</v>
      </c>
    </row>
    <row r="287" spans="1:24" x14ac:dyDescent="0.25">
      <c r="A287" s="8" t="s">
        <v>452</v>
      </c>
      <c r="B287" s="4" t="s">
        <v>453</v>
      </c>
      <c r="C287" s="4" t="s">
        <v>454</v>
      </c>
      <c r="D287" s="4"/>
      <c r="E287" s="9">
        <v>1.1995657862411371</v>
      </c>
      <c r="F287" s="9">
        <v>1.1992087681857946</v>
      </c>
      <c r="G287" s="9">
        <v>1.2106659965364466</v>
      </c>
      <c r="H287" s="9">
        <v>1.1605616796681368</v>
      </c>
      <c r="I287" s="9">
        <v>1.1870031255431523</v>
      </c>
      <c r="J287" s="9">
        <v>1.1707077995980337</v>
      </c>
      <c r="K287" s="9">
        <v>1.1574853780976175</v>
      </c>
      <c r="L287" s="9">
        <v>1.1068490251121668</v>
      </c>
      <c r="M287" s="9">
        <v>1.1076463199131341</v>
      </c>
      <c r="N287" s="9">
        <v>1.0833379143532516</v>
      </c>
      <c r="O287" s="9">
        <v>1.0534175157156278</v>
      </c>
      <c r="P287" s="9">
        <v>0.99370173036087528</v>
      </c>
      <c r="Q287" s="9">
        <v>0.95234651763013456</v>
      </c>
      <c r="R287" s="9" t="s">
        <v>666</v>
      </c>
      <c r="S287" s="9" t="s">
        <v>666</v>
      </c>
      <c r="T287" s="9" t="s">
        <v>666</v>
      </c>
      <c r="U287" s="9" t="s">
        <v>666</v>
      </c>
      <c r="V287" s="9" t="s">
        <v>666</v>
      </c>
      <c r="W287" s="9" t="s">
        <v>666</v>
      </c>
      <c r="X287" s="9" t="s">
        <v>666</v>
      </c>
    </row>
    <row r="288" spans="1:24" x14ac:dyDescent="0.25">
      <c r="A288" s="8" t="s">
        <v>455</v>
      </c>
      <c r="B288" s="4" t="s">
        <v>456</v>
      </c>
      <c r="C288" s="4" t="s">
        <v>457</v>
      </c>
      <c r="D288" s="4"/>
      <c r="E288" s="9">
        <v>463526.5</v>
      </c>
      <c r="F288" s="9">
        <v>470992.5</v>
      </c>
      <c r="G288" s="9">
        <v>482245</v>
      </c>
      <c r="H288" s="9">
        <v>507368.5</v>
      </c>
      <c r="I288" s="9">
        <v>529411.5</v>
      </c>
      <c r="J288" s="9">
        <v>542893.5</v>
      </c>
      <c r="K288" s="9">
        <v>569722</v>
      </c>
      <c r="L288" s="9">
        <v>604760</v>
      </c>
      <c r="M288" s="9">
        <v>634075</v>
      </c>
      <c r="N288" s="9">
        <v>662713</v>
      </c>
      <c r="O288" s="9">
        <v>705045.5</v>
      </c>
      <c r="P288" s="9">
        <v>772981.5</v>
      </c>
      <c r="Q288" s="9">
        <v>867336</v>
      </c>
      <c r="R288" s="9">
        <v>933947.94180010923</v>
      </c>
      <c r="S288" s="9">
        <v>966300.83963299566</v>
      </c>
      <c r="T288" s="9">
        <v>1010109.5015634731</v>
      </c>
      <c r="U288" s="9">
        <v>1052091.9206553486</v>
      </c>
      <c r="V288" s="9">
        <v>1078561.8882793838</v>
      </c>
      <c r="W288" s="9">
        <v>1108669.7285677078</v>
      </c>
      <c r="X288" s="9">
        <v>1155220.804064652</v>
      </c>
    </row>
    <row r="289" spans="1:24" x14ac:dyDescent="0.25">
      <c r="A289" s="8" t="s">
        <v>458</v>
      </c>
      <c r="B289" s="4" t="s">
        <v>459</v>
      </c>
      <c r="C289" s="4" t="s">
        <v>460</v>
      </c>
      <c r="D289" s="4"/>
      <c r="E289" s="9">
        <v>26.603275805210512</v>
      </c>
      <c r="F289" s="9">
        <v>27.035971811910731</v>
      </c>
      <c r="G289" s="9">
        <v>27.918341102716603</v>
      </c>
      <c r="H289" s="9">
        <v>28.284582933731858</v>
      </c>
      <c r="I289" s="9">
        <v>30.331428411937509</v>
      </c>
      <c r="J289" s="9">
        <v>30.813207457915759</v>
      </c>
      <c r="K289" s="9">
        <v>29.901722716315135</v>
      </c>
      <c r="L289" s="9">
        <v>27.165651358950328</v>
      </c>
      <c r="M289" s="9">
        <v>31.345371851452136</v>
      </c>
      <c r="N289" s="9">
        <v>31.155054799584978</v>
      </c>
      <c r="O289" s="9">
        <v>31.237893311279965</v>
      </c>
      <c r="P289" s="9">
        <v>29.200922272314024</v>
      </c>
      <c r="Q289" s="9">
        <v>37.449963915623158</v>
      </c>
      <c r="R289" s="9">
        <v>33.890754173797021</v>
      </c>
      <c r="S289" s="9">
        <v>33.012133626181907</v>
      </c>
      <c r="T289" s="9">
        <v>31.739091580055749</v>
      </c>
      <c r="U289" s="9">
        <v>35.651238720810618</v>
      </c>
      <c r="V289" s="9">
        <v>32.920810751571231</v>
      </c>
      <c r="W289" s="9">
        <v>32.433013555706289</v>
      </c>
      <c r="X289" s="9">
        <v>31.561054950857116</v>
      </c>
    </row>
    <row r="290" spans="1:24" x14ac:dyDescent="0.25">
      <c r="A290" s="8" t="s">
        <v>461</v>
      </c>
      <c r="B290" s="4" t="s">
        <v>462</v>
      </c>
      <c r="C290" s="4" t="s">
        <v>463</v>
      </c>
      <c r="D290" s="4"/>
      <c r="E290" s="9">
        <v>10000</v>
      </c>
      <c r="F290" s="9">
        <v>10000</v>
      </c>
      <c r="G290" s="9">
        <v>10000</v>
      </c>
      <c r="H290" s="9">
        <v>10000</v>
      </c>
      <c r="I290" s="9">
        <v>10000</v>
      </c>
      <c r="J290" s="9">
        <v>10000</v>
      </c>
      <c r="K290" s="9">
        <v>10000</v>
      </c>
      <c r="L290" s="9">
        <v>10000</v>
      </c>
      <c r="M290" s="9">
        <v>10000</v>
      </c>
      <c r="N290" s="9">
        <v>10000</v>
      </c>
      <c r="O290" s="9">
        <v>10000</v>
      </c>
      <c r="P290" s="9">
        <v>10000</v>
      </c>
      <c r="Q290" s="9">
        <v>10000</v>
      </c>
      <c r="R290" s="9">
        <v>11000</v>
      </c>
      <c r="S290" s="9">
        <v>11000</v>
      </c>
      <c r="T290" s="9">
        <v>11000</v>
      </c>
      <c r="U290" s="9">
        <v>11000</v>
      </c>
      <c r="V290" s="9">
        <v>11000</v>
      </c>
      <c r="W290" s="9">
        <v>11000</v>
      </c>
      <c r="X290" s="9">
        <v>11000</v>
      </c>
    </row>
    <row r="291" spans="1:24" x14ac:dyDescent="0.25">
      <c r="A291" s="8" t="s">
        <v>464</v>
      </c>
      <c r="B291" s="4" t="s">
        <v>465</v>
      </c>
      <c r="C291" s="4" t="s">
        <v>466</v>
      </c>
      <c r="D291" s="4"/>
      <c r="E291" s="9">
        <v>10258</v>
      </c>
      <c r="F291" s="9">
        <v>10313</v>
      </c>
      <c r="G291" s="9">
        <v>10330</v>
      </c>
      <c r="H291" s="9">
        <v>10383</v>
      </c>
      <c r="I291" s="9">
        <v>10383</v>
      </c>
      <c r="J291" s="9">
        <v>10490</v>
      </c>
      <c r="K291" s="9">
        <v>10511</v>
      </c>
      <c r="L291" s="9">
        <v>10593</v>
      </c>
      <c r="M291" s="9">
        <v>10613</v>
      </c>
      <c r="N291" s="9">
        <v>10660</v>
      </c>
      <c r="O291" s="9">
        <v>10687</v>
      </c>
      <c r="P291" s="9">
        <v>10731</v>
      </c>
      <c r="Q291" s="9">
        <v>10754</v>
      </c>
      <c r="R291" s="9">
        <v>10821.240184345388</v>
      </c>
      <c r="S291" s="9">
        <v>10845.542821446637</v>
      </c>
      <c r="T291" s="9">
        <v>10874.733318258275</v>
      </c>
      <c r="U291" s="9">
        <v>10862.862395999347</v>
      </c>
      <c r="V291" s="9">
        <v>10903.610177966666</v>
      </c>
      <c r="W291" s="9">
        <v>10929.559958387299</v>
      </c>
      <c r="X291" s="9">
        <v>10962.681010636104</v>
      </c>
    </row>
    <row r="292" spans="1:24" x14ac:dyDescent="0.25">
      <c r="A292" s="8" t="s">
        <v>467</v>
      </c>
      <c r="B292" s="4" t="s">
        <v>468</v>
      </c>
      <c r="C292" s="4" t="s">
        <v>469</v>
      </c>
      <c r="D292" s="4"/>
      <c r="E292" s="9">
        <v>14.934377114139364</v>
      </c>
      <c r="F292" s="9">
        <v>16.135706766197721</v>
      </c>
      <c r="G292" s="9">
        <v>17.33027088463724</v>
      </c>
      <c r="H292" s="9">
        <v>19.026861451460885</v>
      </c>
      <c r="I292" s="9">
        <v>20.305623242736644</v>
      </c>
      <c r="J292" s="9">
        <v>22.081341053418004</v>
      </c>
      <c r="K292" s="9">
        <v>24.140754541220307</v>
      </c>
      <c r="L292" s="9">
        <v>26.549995357905487</v>
      </c>
      <c r="M292" s="9">
        <v>28.339386639488556</v>
      </c>
      <c r="N292" s="9">
        <v>30.887932630020359</v>
      </c>
      <c r="O292" s="9">
        <v>34.083079760258187</v>
      </c>
      <c r="P292" s="9">
        <v>37.840835864862377</v>
      </c>
      <c r="Q292" s="9">
        <v>40.639507081110906</v>
      </c>
      <c r="R292" s="9">
        <v>43.214255129533676</v>
      </c>
      <c r="S292" s="9">
        <v>45.674054820021261</v>
      </c>
      <c r="T292" s="9">
        <v>48.688476383199571</v>
      </c>
      <c r="U292" s="9">
        <v>49.11450730989921</v>
      </c>
      <c r="V292" s="9">
        <v>51.643461604982832</v>
      </c>
      <c r="W292" s="9">
        <v>54.027517174298836</v>
      </c>
      <c r="X292" s="9">
        <v>56.954813024777856</v>
      </c>
    </row>
    <row r="293" spans="1:24" x14ac:dyDescent="0.25">
      <c r="A293" s="8" t="s">
        <v>470</v>
      </c>
      <c r="B293" s="4" t="s">
        <v>471</v>
      </c>
      <c r="C293" s="4" t="s">
        <v>472</v>
      </c>
      <c r="D293" s="4"/>
      <c r="E293" s="9" t="s">
        <v>666</v>
      </c>
      <c r="F293" s="9" t="s">
        <v>666</v>
      </c>
      <c r="G293" s="9" t="s">
        <v>666</v>
      </c>
      <c r="H293" s="9">
        <v>324288</v>
      </c>
      <c r="I293" s="9" t="s">
        <v>666</v>
      </c>
      <c r="J293" s="9" t="s">
        <v>666</v>
      </c>
      <c r="K293" s="9" t="s">
        <v>666</v>
      </c>
      <c r="L293" s="9">
        <v>394055</v>
      </c>
      <c r="M293" s="9" t="s">
        <v>666</v>
      </c>
      <c r="N293" s="9" t="s">
        <v>666</v>
      </c>
      <c r="O293" s="9" t="s">
        <v>666</v>
      </c>
      <c r="P293" s="9">
        <v>357025</v>
      </c>
      <c r="Q293" s="9" t="s">
        <v>666</v>
      </c>
      <c r="R293" s="9">
        <v>625835.10103004077</v>
      </c>
      <c r="S293" s="9">
        <v>676497.31459324679</v>
      </c>
      <c r="T293" s="9">
        <v>732871.11237626371</v>
      </c>
      <c r="U293" s="9">
        <v>785318.64591849607</v>
      </c>
      <c r="V293" s="9">
        <v>847724.7944068634</v>
      </c>
      <c r="W293" s="9">
        <v>910850.98778966337</v>
      </c>
      <c r="X293" s="9">
        <v>977339.85448896652</v>
      </c>
    </row>
    <row r="294" spans="1:24" x14ac:dyDescent="0.25">
      <c r="A294" s="8" t="s">
        <v>473</v>
      </c>
      <c r="B294" s="4" t="s">
        <v>474</v>
      </c>
      <c r="C294" s="4" t="s">
        <v>475</v>
      </c>
      <c r="D294" s="4"/>
      <c r="E294" s="9" t="s">
        <v>666</v>
      </c>
      <c r="F294" s="9" t="s">
        <v>666</v>
      </c>
      <c r="G294" s="9" t="s">
        <v>666</v>
      </c>
      <c r="H294" s="9">
        <v>105293</v>
      </c>
      <c r="I294" s="9" t="s">
        <v>666</v>
      </c>
      <c r="J294" s="9" t="s">
        <v>666</v>
      </c>
      <c r="K294" s="9" t="s">
        <v>666</v>
      </c>
      <c r="L294" s="9">
        <v>123039</v>
      </c>
      <c r="M294" s="9" t="s">
        <v>666</v>
      </c>
      <c r="N294" s="9" t="s">
        <v>666</v>
      </c>
      <c r="O294" s="9" t="s">
        <v>666</v>
      </c>
      <c r="P294" s="9">
        <v>155121</v>
      </c>
      <c r="Q294" s="9" t="s">
        <v>666</v>
      </c>
      <c r="R294" s="9" t="s">
        <v>666</v>
      </c>
      <c r="S294" s="9" t="s">
        <v>666</v>
      </c>
      <c r="T294" s="9" t="s">
        <v>666</v>
      </c>
      <c r="U294" s="9" t="s">
        <v>666</v>
      </c>
      <c r="V294" s="9" t="s">
        <v>666</v>
      </c>
      <c r="W294" s="9" t="s">
        <v>666</v>
      </c>
      <c r="X294" s="9" t="s">
        <v>666</v>
      </c>
    </row>
    <row r="295" spans="1:24" x14ac:dyDescent="0.25">
      <c r="A295" s="8" t="s">
        <v>476</v>
      </c>
      <c r="B295" s="4" t="s">
        <v>477</v>
      </c>
      <c r="C295" s="4" t="s">
        <v>478</v>
      </c>
      <c r="D295" s="4"/>
      <c r="E295" s="9" t="s">
        <v>666</v>
      </c>
      <c r="F295" s="9" t="s">
        <v>666</v>
      </c>
      <c r="G295" s="9" t="s">
        <v>666</v>
      </c>
      <c r="H295" s="9" t="s">
        <v>666</v>
      </c>
      <c r="I295" s="9" t="s">
        <v>666</v>
      </c>
      <c r="J295" s="9" t="s">
        <v>666</v>
      </c>
      <c r="K295" s="9" t="s">
        <v>666</v>
      </c>
      <c r="L295" s="9" t="s">
        <v>666</v>
      </c>
      <c r="M295" s="9" t="s">
        <v>666</v>
      </c>
      <c r="N295" s="9" t="s">
        <v>666</v>
      </c>
      <c r="O295" s="9" t="s">
        <v>666</v>
      </c>
      <c r="P295" s="9" t="s">
        <v>666</v>
      </c>
      <c r="Q295" s="9" t="s">
        <v>666</v>
      </c>
      <c r="R295" s="9" t="s">
        <v>666</v>
      </c>
      <c r="S295" s="9" t="s">
        <v>666</v>
      </c>
      <c r="T295" s="9" t="s">
        <v>666</v>
      </c>
      <c r="U295" s="9" t="s">
        <v>666</v>
      </c>
      <c r="V295" s="9" t="s">
        <v>666</v>
      </c>
      <c r="W295" s="9" t="s">
        <v>666</v>
      </c>
      <c r="X295" s="9" t="s">
        <v>666</v>
      </c>
    </row>
    <row r="296" spans="1:24" x14ac:dyDescent="0.25">
      <c r="A296" s="8" t="s">
        <v>479</v>
      </c>
      <c r="B296" s="4" t="s">
        <v>480</v>
      </c>
      <c r="C296" s="4" t="s">
        <v>481</v>
      </c>
      <c r="D296" s="4"/>
      <c r="E296" s="9" t="s">
        <v>666</v>
      </c>
      <c r="F296" s="9" t="s">
        <v>666</v>
      </c>
      <c r="G296" s="9" t="s">
        <v>666</v>
      </c>
      <c r="H296" s="9">
        <v>5116</v>
      </c>
      <c r="I296" s="9" t="s">
        <v>666</v>
      </c>
      <c r="J296" s="9" t="s">
        <v>666</v>
      </c>
      <c r="K296" s="9" t="s">
        <v>666</v>
      </c>
      <c r="L296" s="9">
        <v>5487</v>
      </c>
      <c r="M296" s="9" t="s">
        <v>666</v>
      </c>
      <c r="N296" s="9" t="s">
        <v>666</v>
      </c>
      <c r="O296" s="9" t="s">
        <v>666</v>
      </c>
      <c r="P296" s="9">
        <v>5819</v>
      </c>
      <c r="Q296" s="9" t="s">
        <v>666</v>
      </c>
      <c r="R296" s="9" t="s">
        <v>666</v>
      </c>
      <c r="S296" s="9" t="s">
        <v>666</v>
      </c>
      <c r="T296" s="9" t="s">
        <v>666</v>
      </c>
      <c r="U296" s="9" t="s">
        <v>666</v>
      </c>
      <c r="V296" s="9" t="s">
        <v>666</v>
      </c>
      <c r="W296" s="9" t="s">
        <v>666</v>
      </c>
      <c r="X296" s="9" t="s">
        <v>666</v>
      </c>
    </row>
    <row r="297" spans="1:24" x14ac:dyDescent="0.25">
      <c r="A297" s="8" t="s">
        <v>482</v>
      </c>
      <c r="B297" s="4" t="s">
        <v>483</v>
      </c>
      <c r="C297" s="4" t="s">
        <v>484</v>
      </c>
      <c r="D297" s="4"/>
      <c r="E297" s="9" t="s">
        <v>666</v>
      </c>
      <c r="F297" s="9" t="s">
        <v>666</v>
      </c>
      <c r="G297" s="9" t="s">
        <v>666</v>
      </c>
      <c r="H297" s="9">
        <v>28840</v>
      </c>
      <c r="I297" s="9" t="s">
        <v>666</v>
      </c>
      <c r="J297" s="9" t="s">
        <v>666</v>
      </c>
      <c r="K297" s="9" t="s">
        <v>666</v>
      </c>
      <c r="L297" s="9">
        <v>46636</v>
      </c>
      <c r="M297" s="9" t="s">
        <v>666</v>
      </c>
      <c r="N297" s="9" t="s">
        <v>666</v>
      </c>
      <c r="O297" s="9" t="s">
        <v>666</v>
      </c>
      <c r="P297" s="9">
        <v>71745</v>
      </c>
      <c r="Q297" s="9" t="s">
        <v>666</v>
      </c>
      <c r="R297" s="9" t="s">
        <v>666</v>
      </c>
      <c r="S297" s="9" t="s">
        <v>666</v>
      </c>
      <c r="T297" s="9" t="s">
        <v>666</v>
      </c>
      <c r="U297" s="9" t="s">
        <v>666</v>
      </c>
      <c r="V297" s="9" t="s">
        <v>666</v>
      </c>
      <c r="W297" s="9" t="s">
        <v>666</v>
      </c>
      <c r="X297" s="9" t="s">
        <v>666</v>
      </c>
    </row>
    <row r="298" spans="1:24" x14ac:dyDescent="0.25">
      <c r="A298" s="8" t="s">
        <v>485</v>
      </c>
      <c r="B298" s="4" t="s">
        <v>486</v>
      </c>
      <c r="C298" s="4" t="s">
        <v>487</v>
      </c>
      <c r="D298" s="4"/>
      <c r="E298" s="9" t="s">
        <v>666</v>
      </c>
      <c r="F298" s="9" t="s">
        <v>666</v>
      </c>
      <c r="G298" s="9" t="s">
        <v>666</v>
      </c>
      <c r="H298" s="9">
        <v>120111</v>
      </c>
      <c r="I298" s="9" t="s">
        <v>666</v>
      </c>
      <c r="J298" s="9" t="s">
        <v>666</v>
      </c>
      <c r="K298" s="9" t="s">
        <v>666</v>
      </c>
      <c r="L298" s="9">
        <v>141390</v>
      </c>
      <c r="M298" s="9" t="s">
        <v>666</v>
      </c>
      <c r="N298" s="9" t="s">
        <v>666</v>
      </c>
      <c r="O298" s="9" t="s">
        <v>666</v>
      </c>
      <c r="P298" s="9">
        <v>177073</v>
      </c>
      <c r="Q298" s="9" t="s">
        <v>666</v>
      </c>
      <c r="R298" s="9">
        <v>199677.46419189562</v>
      </c>
      <c r="S298" s="9">
        <v>218985.61232538489</v>
      </c>
      <c r="T298" s="9">
        <v>242957.92750604881</v>
      </c>
      <c r="U298" s="9">
        <v>264482.36580203241</v>
      </c>
      <c r="V298" s="9">
        <v>287847.83129392797</v>
      </c>
      <c r="W298" s="9">
        <v>313146.38328887598</v>
      </c>
      <c r="X298" s="9">
        <v>341599.91028701828</v>
      </c>
    </row>
    <row r="299" spans="1:24" x14ac:dyDescent="0.25">
      <c r="A299" s="8" t="s">
        <v>488</v>
      </c>
      <c r="B299" s="4" t="s">
        <v>489</v>
      </c>
      <c r="C299" s="4" t="s">
        <v>490</v>
      </c>
      <c r="D299" s="4"/>
      <c r="E299" s="9">
        <v>4656</v>
      </c>
      <c r="F299" s="9">
        <v>4717</v>
      </c>
      <c r="G299" s="9">
        <v>4759</v>
      </c>
      <c r="H299" s="9">
        <v>4786</v>
      </c>
      <c r="I299" s="9">
        <v>4478</v>
      </c>
      <c r="J299" s="9">
        <v>4533</v>
      </c>
      <c r="K299" s="9">
        <v>4772</v>
      </c>
      <c r="L299" s="9">
        <v>4794</v>
      </c>
      <c r="M299" s="9">
        <v>4880</v>
      </c>
      <c r="N299" s="9">
        <v>4984</v>
      </c>
      <c r="O299" s="9">
        <v>5124</v>
      </c>
      <c r="P299" s="9">
        <v>5308</v>
      </c>
      <c r="Q299" s="9">
        <v>5493</v>
      </c>
      <c r="R299" s="9" t="s">
        <v>666</v>
      </c>
      <c r="S299" s="9" t="s">
        <v>666</v>
      </c>
      <c r="T299" s="9" t="s">
        <v>666</v>
      </c>
      <c r="U299" s="9" t="s">
        <v>666</v>
      </c>
      <c r="V299" s="9" t="s">
        <v>666</v>
      </c>
      <c r="W299" s="9" t="s">
        <v>666</v>
      </c>
      <c r="X299" s="9" t="s">
        <v>666</v>
      </c>
    </row>
    <row r="300" spans="1:24" x14ac:dyDescent="0.25">
      <c r="A300" s="8" t="s">
        <v>491</v>
      </c>
      <c r="B300" s="4" t="s">
        <v>492</v>
      </c>
      <c r="C300" s="4" t="s">
        <v>493</v>
      </c>
      <c r="D300" s="4"/>
      <c r="E300" s="9">
        <v>2512</v>
      </c>
      <c r="F300" s="9">
        <v>2608</v>
      </c>
      <c r="G300" s="9">
        <v>2679</v>
      </c>
      <c r="H300" s="9">
        <v>2751</v>
      </c>
      <c r="I300" s="9">
        <v>2829</v>
      </c>
      <c r="J300" s="9">
        <v>2921</v>
      </c>
      <c r="K300" s="9">
        <v>3057</v>
      </c>
      <c r="L300" s="9">
        <v>3154</v>
      </c>
      <c r="M300" s="9">
        <v>3240</v>
      </c>
      <c r="N300" s="9">
        <v>3426</v>
      </c>
      <c r="O300" s="9">
        <v>3593</v>
      </c>
      <c r="P300" s="9">
        <v>3747</v>
      </c>
      <c r="Q300" s="9">
        <v>3917</v>
      </c>
      <c r="R300" s="9">
        <v>3493.08</v>
      </c>
      <c r="S300" s="9">
        <v>3557.08</v>
      </c>
      <c r="T300" s="9">
        <v>3621.08</v>
      </c>
      <c r="U300" s="9">
        <v>3685.08</v>
      </c>
      <c r="V300" s="9">
        <v>3749.08</v>
      </c>
      <c r="W300" s="9">
        <v>3813.08</v>
      </c>
      <c r="X300" s="9">
        <v>3877.08</v>
      </c>
    </row>
    <row r="301" spans="1:24" x14ac:dyDescent="0.25">
      <c r="A301" s="8" t="s">
        <v>494</v>
      </c>
      <c r="B301" s="4" t="s">
        <v>495</v>
      </c>
      <c r="C301" s="4" t="s">
        <v>496</v>
      </c>
      <c r="D301" s="4"/>
      <c r="E301" s="9">
        <v>1546</v>
      </c>
      <c r="F301" s="9">
        <v>1539</v>
      </c>
      <c r="G301" s="9">
        <v>1439</v>
      </c>
      <c r="H301" s="9">
        <v>1375</v>
      </c>
      <c r="I301" s="9">
        <v>941</v>
      </c>
      <c r="J301" s="9">
        <v>948</v>
      </c>
      <c r="K301" s="9">
        <v>1040</v>
      </c>
      <c r="L301" s="9">
        <v>937</v>
      </c>
      <c r="M301" s="9">
        <v>873</v>
      </c>
      <c r="N301" s="9">
        <v>827</v>
      </c>
      <c r="O301" s="9">
        <v>813</v>
      </c>
      <c r="P301" s="9">
        <v>771</v>
      </c>
      <c r="Q301" s="9">
        <v>733</v>
      </c>
      <c r="R301" s="9">
        <v>1055.1475582407759</v>
      </c>
      <c r="S301" s="9">
        <v>1177.4990327622811</v>
      </c>
      <c r="T301" s="9">
        <v>1353.2571553705905</v>
      </c>
      <c r="U301" s="9">
        <v>1286.0883132087126</v>
      </c>
      <c r="V301" s="9">
        <v>1411.729844961412</v>
      </c>
      <c r="W301" s="9">
        <v>1545.5718230436707</v>
      </c>
      <c r="X301" s="9">
        <v>1688.0949801707711</v>
      </c>
    </row>
    <row r="302" spans="1:24" x14ac:dyDescent="0.25">
      <c r="A302" s="8" t="s">
        <v>497</v>
      </c>
      <c r="B302" s="4" t="s">
        <v>498</v>
      </c>
      <c r="C302" s="4" t="s">
        <v>499</v>
      </c>
      <c r="D302" s="4"/>
      <c r="E302" s="9">
        <v>80</v>
      </c>
      <c r="F302" s="9">
        <v>76</v>
      </c>
      <c r="G302" s="9">
        <v>74</v>
      </c>
      <c r="H302" s="9">
        <v>74</v>
      </c>
      <c r="I302" s="9">
        <v>73</v>
      </c>
      <c r="J302" s="9">
        <v>72</v>
      </c>
      <c r="K302" s="9">
        <v>70</v>
      </c>
      <c r="L302" s="9">
        <v>70</v>
      </c>
      <c r="M302" s="9">
        <v>71</v>
      </c>
      <c r="N302" s="9">
        <v>72</v>
      </c>
      <c r="O302" s="9">
        <v>81</v>
      </c>
      <c r="P302" s="9">
        <v>88</v>
      </c>
      <c r="Q302" s="9">
        <v>101</v>
      </c>
      <c r="R302" s="9" t="s">
        <v>666</v>
      </c>
      <c r="S302" s="9" t="s">
        <v>666</v>
      </c>
      <c r="T302" s="9" t="s">
        <v>666</v>
      </c>
      <c r="U302" s="9" t="s">
        <v>666</v>
      </c>
      <c r="V302" s="9" t="s">
        <v>666</v>
      </c>
      <c r="W302" s="9" t="s">
        <v>666</v>
      </c>
      <c r="X302" s="9" t="s">
        <v>666</v>
      </c>
    </row>
    <row r="303" spans="1:24" x14ac:dyDescent="0.25">
      <c r="A303" s="8" t="s">
        <v>500</v>
      </c>
      <c r="B303" s="4" t="s">
        <v>501</v>
      </c>
      <c r="C303" s="4" t="s">
        <v>502</v>
      </c>
      <c r="D303" s="4"/>
      <c r="E303" s="9">
        <v>1626</v>
      </c>
      <c r="F303" s="9">
        <v>1615</v>
      </c>
      <c r="G303" s="9">
        <v>1513</v>
      </c>
      <c r="H303" s="9">
        <v>1449</v>
      </c>
      <c r="I303" s="9">
        <v>1014</v>
      </c>
      <c r="J303" s="9">
        <v>1020</v>
      </c>
      <c r="K303" s="9">
        <v>1110</v>
      </c>
      <c r="L303" s="9">
        <v>1007</v>
      </c>
      <c r="M303" s="9">
        <v>944</v>
      </c>
      <c r="N303" s="9">
        <v>899</v>
      </c>
      <c r="O303" s="9">
        <v>894</v>
      </c>
      <c r="P303" s="9">
        <v>859</v>
      </c>
      <c r="Q303" s="9">
        <v>834</v>
      </c>
      <c r="R303" s="9" t="s">
        <v>666</v>
      </c>
      <c r="S303" s="9" t="s">
        <v>666</v>
      </c>
      <c r="T303" s="9" t="s">
        <v>666</v>
      </c>
      <c r="U303" s="9" t="s">
        <v>666</v>
      </c>
      <c r="V303" s="9" t="s">
        <v>666</v>
      </c>
      <c r="W303" s="9" t="s">
        <v>666</v>
      </c>
      <c r="X303" s="9" t="s">
        <v>666</v>
      </c>
    </row>
    <row r="304" spans="1:24" x14ac:dyDescent="0.25">
      <c r="A304" s="8" t="s">
        <v>503</v>
      </c>
      <c r="B304" s="4" t="s">
        <v>504</v>
      </c>
      <c r="C304" s="4" t="s">
        <v>505</v>
      </c>
      <c r="D304" s="4"/>
      <c r="E304" s="9">
        <v>518</v>
      </c>
      <c r="F304" s="9">
        <v>494</v>
      </c>
      <c r="G304" s="9">
        <v>567</v>
      </c>
      <c r="H304" s="9">
        <v>586</v>
      </c>
      <c r="I304" s="9">
        <v>635</v>
      </c>
      <c r="J304" s="9">
        <v>592</v>
      </c>
      <c r="K304" s="9">
        <v>605</v>
      </c>
      <c r="L304" s="9">
        <v>633</v>
      </c>
      <c r="M304" s="9">
        <v>696</v>
      </c>
      <c r="N304" s="9">
        <v>659</v>
      </c>
      <c r="O304" s="9">
        <v>637</v>
      </c>
      <c r="P304" s="9">
        <v>702</v>
      </c>
      <c r="Q304" s="9">
        <v>742</v>
      </c>
      <c r="R304" s="9" t="s">
        <v>666</v>
      </c>
      <c r="S304" s="9" t="s">
        <v>666</v>
      </c>
      <c r="T304" s="9" t="s">
        <v>666</v>
      </c>
      <c r="U304" s="9" t="s">
        <v>666</v>
      </c>
      <c r="V304" s="9" t="s">
        <v>666</v>
      </c>
      <c r="W304" s="9" t="s">
        <v>666</v>
      </c>
      <c r="X304" s="9" t="s">
        <v>666</v>
      </c>
    </row>
    <row r="305" spans="1:24" x14ac:dyDescent="0.25">
      <c r="A305" s="8" t="s">
        <v>14</v>
      </c>
      <c r="B305" s="4"/>
      <c r="C305" s="4"/>
      <c r="D305" s="4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</row>
    <row r="306" spans="1:24" x14ac:dyDescent="0.25">
      <c r="A306" s="8" t="s">
        <v>506</v>
      </c>
      <c r="B306" s="4"/>
      <c r="C306" s="4"/>
      <c r="D306" s="4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</row>
    <row r="307" spans="1:24" x14ac:dyDescent="0.25">
      <c r="A307" s="8" t="s">
        <v>507</v>
      </c>
      <c r="B307" s="4"/>
      <c r="C307" s="4"/>
      <c r="D307" s="4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</row>
    <row r="308" spans="1:24" x14ac:dyDescent="0.25">
      <c r="A308" s="8" t="s">
        <v>307</v>
      </c>
      <c r="B308" s="4" t="s">
        <v>258</v>
      </c>
      <c r="C308" s="4" t="s">
        <v>259</v>
      </c>
      <c r="D308" s="4"/>
      <c r="E308" s="9">
        <v>3567</v>
      </c>
      <c r="F308" s="9">
        <v>6592</v>
      </c>
      <c r="G308" s="9">
        <v>8931</v>
      </c>
      <c r="H308" s="9">
        <v>10703</v>
      </c>
      <c r="I308" s="9">
        <v>10431</v>
      </c>
      <c r="J308" s="9">
        <v>13485</v>
      </c>
      <c r="K308" s="9">
        <v>15328</v>
      </c>
      <c r="L308" s="9">
        <v>20004</v>
      </c>
      <c r="M308" s="9">
        <v>17127</v>
      </c>
      <c r="N308" s="9">
        <v>18164</v>
      </c>
      <c r="O308" s="9">
        <v>21187</v>
      </c>
      <c r="P308" s="9">
        <v>21192</v>
      </c>
      <c r="Q308" s="9">
        <v>30255</v>
      </c>
      <c r="R308" s="9">
        <v>19894.923076923078</v>
      </c>
      <c r="S308" s="9">
        <v>21007.973684210527</v>
      </c>
      <c r="T308" s="9">
        <v>26061.486486486487</v>
      </c>
      <c r="U308" s="9">
        <v>24999.208333333332</v>
      </c>
      <c r="V308" s="9">
        <v>26142.565217391304</v>
      </c>
      <c r="W308" s="9">
        <v>27489.652173913044</v>
      </c>
      <c r="X308" s="9">
        <v>33460.17391304348</v>
      </c>
    </row>
    <row r="309" spans="1:24" x14ac:dyDescent="0.25">
      <c r="A309" s="8" t="s">
        <v>137</v>
      </c>
      <c r="B309" s="4" t="s">
        <v>508</v>
      </c>
      <c r="C309" s="4" t="s">
        <v>509</v>
      </c>
      <c r="D309" s="4"/>
      <c r="E309" s="9">
        <v>11123</v>
      </c>
      <c r="F309" s="9">
        <v>11589</v>
      </c>
      <c r="G309" s="9">
        <v>12131</v>
      </c>
      <c r="H309" s="9">
        <v>13820</v>
      </c>
      <c r="I309" s="9">
        <v>11684</v>
      </c>
      <c r="J309" s="9">
        <v>12038</v>
      </c>
      <c r="K309" s="9">
        <v>13442</v>
      </c>
      <c r="L309" s="9">
        <v>15631</v>
      </c>
      <c r="M309" s="9">
        <v>14262</v>
      </c>
      <c r="N309" s="9">
        <v>15227</v>
      </c>
      <c r="O309" s="9">
        <v>16796</v>
      </c>
      <c r="P309" s="9">
        <v>19471</v>
      </c>
      <c r="Q309" s="9">
        <v>18945</v>
      </c>
      <c r="R309" s="9">
        <v>20667.509047076575</v>
      </c>
      <c r="S309" s="9">
        <v>21965.882956064117</v>
      </c>
      <c r="T309" s="9">
        <v>24500.464932037528</v>
      </c>
      <c r="U309" s="9">
        <v>24653.218821973162</v>
      </c>
      <c r="V309" s="9">
        <v>26463.252074015985</v>
      </c>
      <c r="W309" s="9">
        <v>28245.08042325791</v>
      </c>
      <c r="X309" s="9">
        <v>31185.701248633552</v>
      </c>
    </row>
    <row r="310" spans="1:24" x14ac:dyDescent="0.25">
      <c r="A310" s="8" t="s">
        <v>510</v>
      </c>
      <c r="B310" s="4" t="s">
        <v>511</v>
      </c>
      <c r="C310" s="4" t="s">
        <v>512</v>
      </c>
      <c r="D310" s="4"/>
      <c r="E310" s="9">
        <v>8.7336484555347909</v>
      </c>
      <c r="F310" s="9">
        <v>8.6238586725999564</v>
      </c>
      <c r="G310" s="9">
        <v>8.4782958143175637</v>
      </c>
      <c r="H310" s="9">
        <v>8.1312771753519915</v>
      </c>
      <c r="I310" s="9">
        <v>8.1527844647729086</v>
      </c>
      <c r="J310" s="9">
        <v>8.1350480142184249</v>
      </c>
      <c r="K310" s="9">
        <v>8.4606330683484714</v>
      </c>
      <c r="L310" s="9">
        <v>8.3235707591377697</v>
      </c>
      <c r="M310" s="9">
        <v>9.1618647497542831</v>
      </c>
      <c r="N310" s="9">
        <v>9.0797963053511577</v>
      </c>
      <c r="O310" s="9">
        <v>9.3223584523419678</v>
      </c>
      <c r="P310" s="9">
        <v>9.1247785702904594</v>
      </c>
      <c r="Q310" s="9">
        <v>10.436923958373503</v>
      </c>
      <c r="R310" s="9">
        <v>10.651171016338642</v>
      </c>
      <c r="S310" s="9">
        <v>10.79371712137743</v>
      </c>
      <c r="T310" s="9">
        <v>10.225375410146446</v>
      </c>
      <c r="U310" s="9">
        <v>11.823095638030983</v>
      </c>
      <c r="V310" s="9">
        <v>11.80478619232548</v>
      </c>
      <c r="W310" s="9">
        <v>11.955661007961382</v>
      </c>
      <c r="X310" s="9">
        <v>11.355698709811685</v>
      </c>
    </row>
    <row r="311" spans="1:24" x14ac:dyDescent="0.25">
      <c r="A311" s="8" t="s">
        <v>314</v>
      </c>
      <c r="B311" s="4" t="s">
        <v>315</v>
      </c>
      <c r="C311" s="4" t="s">
        <v>316</v>
      </c>
      <c r="D311" s="4"/>
      <c r="E311" s="9">
        <v>4748</v>
      </c>
      <c r="F311" s="9">
        <v>7127</v>
      </c>
      <c r="G311" s="9">
        <v>5829</v>
      </c>
      <c r="H311" s="9">
        <v>6319</v>
      </c>
      <c r="I311" s="9">
        <v>4961</v>
      </c>
      <c r="J311" s="9">
        <v>6722</v>
      </c>
      <c r="K311" s="9">
        <v>5333</v>
      </c>
      <c r="L311" s="9">
        <v>4995</v>
      </c>
      <c r="M311" s="9">
        <v>3689</v>
      </c>
      <c r="N311" s="9">
        <v>6534</v>
      </c>
      <c r="O311" s="9">
        <v>4847</v>
      </c>
      <c r="P311" s="9">
        <v>4397</v>
      </c>
      <c r="Q311" s="9">
        <v>4032</v>
      </c>
      <c r="R311" s="9">
        <v>6497.8772229369279</v>
      </c>
      <c r="S311" s="9">
        <v>5090.1375218443991</v>
      </c>
      <c r="T311" s="9">
        <v>4892.2856434080513</v>
      </c>
      <c r="U311" s="9">
        <v>4454.0473094639901</v>
      </c>
      <c r="V311" s="9">
        <v>7123.0016596607466</v>
      </c>
      <c r="W311" s="9">
        <v>5754.0376124679979</v>
      </c>
      <c r="X311" s="9">
        <v>5555.5252931951627</v>
      </c>
    </row>
    <row r="312" spans="1:24" x14ac:dyDescent="0.25">
      <c r="A312" s="8" t="s">
        <v>513</v>
      </c>
      <c r="B312" s="4" t="s">
        <v>514</v>
      </c>
      <c r="C312" s="4" t="s">
        <v>515</v>
      </c>
      <c r="D312" s="4"/>
      <c r="E312" s="9">
        <v>-472</v>
      </c>
      <c r="F312" s="9">
        <v>-2744</v>
      </c>
      <c r="G312" s="9">
        <v>-1196</v>
      </c>
      <c r="H312" s="9">
        <v>-1464</v>
      </c>
      <c r="I312" s="9">
        <v>-938</v>
      </c>
      <c r="J312" s="9">
        <v>-785</v>
      </c>
      <c r="K312" s="9">
        <v>-1317</v>
      </c>
      <c r="L312" s="9">
        <v>-1608</v>
      </c>
      <c r="M312" s="9">
        <v>507</v>
      </c>
      <c r="N312" s="9">
        <v>11</v>
      </c>
      <c r="O312" s="9">
        <v>10130</v>
      </c>
      <c r="P312" s="9">
        <v>822</v>
      </c>
      <c r="Q312" s="9">
        <v>12798</v>
      </c>
      <c r="R312" s="9">
        <v>9154.729696835162</v>
      </c>
      <c r="S312" s="9">
        <v>258.97476381428226</v>
      </c>
      <c r="T312" s="9">
        <v>-5553.8643678582202</v>
      </c>
      <c r="U312" s="9">
        <v>-1776.4245454503441</v>
      </c>
      <c r="V312" s="9">
        <v>14858.866722718292</v>
      </c>
      <c r="W312" s="9">
        <v>356.9708858349216</v>
      </c>
      <c r="X312" s="9">
        <v>-11790.566049861103</v>
      </c>
    </row>
    <row r="313" spans="1:24" x14ac:dyDescent="0.25">
      <c r="A313" s="8" t="s">
        <v>516</v>
      </c>
      <c r="B313" s="4" t="s">
        <v>517</v>
      </c>
      <c r="C313" s="4" t="s">
        <v>518</v>
      </c>
      <c r="D313" s="4"/>
      <c r="E313" s="9">
        <v>534</v>
      </c>
      <c r="F313" s="9">
        <v>47</v>
      </c>
      <c r="G313" s="9">
        <v>-990</v>
      </c>
      <c r="H313" s="9">
        <v>-339</v>
      </c>
      <c r="I313" s="9">
        <v>2734</v>
      </c>
      <c r="J313" s="9">
        <v>-95</v>
      </c>
      <c r="K313" s="9">
        <v>-141</v>
      </c>
      <c r="L313" s="9">
        <v>-486</v>
      </c>
      <c r="M313" s="9">
        <v>-2817</v>
      </c>
      <c r="N313" s="9">
        <v>-1258</v>
      </c>
      <c r="O313" s="9">
        <v>-10112</v>
      </c>
      <c r="P313" s="9">
        <v>-693</v>
      </c>
      <c r="Q313" s="9">
        <v>-15632</v>
      </c>
      <c r="R313" s="9">
        <v>-2059</v>
      </c>
      <c r="S313" s="9">
        <v>1097</v>
      </c>
      <c r="T313" s="9">
        <v>-875</v>
      </c>
      <c r="U313" s="9">
        <v>-743.81074223078031</v>
      </c>
      <c r="V313" s="9">
        <v>-7969.4689293894917</v>
      </c>
      <c r="W313" s="9">
        <v>5508.7687266259309</v>
      </c>
      <c r="X313" s="9">
        <v>-2875.0164691612154</v>
      </c>
    </row>
    <row r="314" spans="1:24" x14ac:dyDescent="0.25">
      <c r="A314" s="8" t="s">
        <v>519</v>
      </c>
      <c r="B314" s="4"/>
      <c r="C314" s="4"/>
      <c r="D314" s="4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</row>
    <row r="315" spans="1:24" x14ac:dyDescent="0.25">
      <c r="A315" s="8" t="s">
        <v>349</v>
      </c>
      <c r="B315" s="4" t="s">
        <v>520</v>
      </c>
      <c r="C315" s="4" t="s">
        <v>521</v>
      </c>
      <c r="D315" s="4"/>
      <c r="E315" s="9">
        <v>1521</v>
      </c>
      <c r="F315" s="9">
        <v>-5167</v>
      </c>
      <c r="G315" s="9">
        <v>-6718</v>
      </c>
      <c r="H315" s="9">
        <v>-7447</v>
      </c>
      <c r="I315" s="9">
        <v>3684</v>
      </c>
      <c r="J315" s="9">
        <v>-2209</v>
      </c>
      <c r="K315" s="9">
        <v>-701</v>
      </c>
      <c r="L315" s="9">
        <v>-4023</v>
      </c>
      <c r="M315" s="9">
        <v>1247</v>
      </c>
      <c r="N315" s="9">
        <v>-1125</v>
      </c>
      <c r="O315" s="9">
        <v>-1977</v>
      </c>
      <c r="P315" s="9">
        <v>-5478</v>
      </c>
      <c r="Q315" s="9">
        <v>-5750</v>
      </c>
      <c r="R315" s="9">
        <v>7946.6004705291189</v>
      </c>
      <c r="S315" s="9">
        <v>-1387.0505660683627</v>
      </c>
      <c r="T315" s="9">
        <v>-7417.5950246919765</v>
      </c>
      <c r="U315" s="9">
        <v>-5174.3881405540615</v>
      </c>
      <c r="V315" s="9">
        <v>5046.0937523914481</v>
      </c>
      <c r="W315" s="9">
        <v>-2114.734709552497</v>
      </c>
      <c r="X315" s="9">
        <v>-7586.156747155811</v>
      </c>
    </row>
    <row r="316" spans="1:24" x14ac:dyDescent="0.25">
      <c r="A316" s="8" t="s">
        <v>346</v>
      </c>
      <c r="B316" s="4" t="s">
        <v>522</v>
      </c>
      <c r="C316" s="4" t="s">
        <v>523</v>
      </c>
      <c r="D316" s="4"/>
      <c r="E316" s="9">
        <v>371</v>
      </c>
      <c r="F316" s="9">
        <v>-2373</v>
      </c>
      <c r="G316" s="9">
        <v>808</v>
      </c>
      <c r="H316" s="9">
        <v>2643</v>
      </c>
      <c r="I316" s="9">
        <v>1776</v>
      </c>
      <c r="J316" s="9">
        <v>-3085</v>
      </c>
      <c r="K316" s="9">
        <v>-1509</v>
      </c>
      <c r="L316" s="9">
        <v>934</v>
      </c>
      <c r="M316" s="9">
        <v>-1222</v>
      </c>
      <c r="N316" s="9">
        <v>-4054</v>
      </c>
      <c r="O316" s="9">
        <v>-827</v>
      </c>
      <c r="P316" s="9">
        <v>3101</v>
      </c>
      <c r="Q316" s="9">
        <v>1622</v>
      </c>
      <c r="R316" s="9">
        <v>-8211.8506677699424</v>
      </c>
      <c r="S316" s="9">
        <v>-243.3368184844123</v>
      </c>
      <c r="T316" s="9">
        <v>1334.5178565733365</v>
      </c>
      <c r="U316" s="9">
        <v>1901.860171968259</v>
      </c>
      <c r="V316" s="9">
        <v>-8426.2764058613284</v>
      </c>
      <c r="W316" s="9">
        <v>208.95906773328355</v>
      </c>
      <c r="X316" s="9">
        <v>3102.1350159947592</v>
      </c>
    </row>
    <row r="317" spans="1:24" x14ac:dyDescent="0.25">
      <c r="A317" s="8" t="s">
        <v>378</v>
      </c>
      <c r="B317" s="4" t="s">
        <v>524</v>
      </c>
      <c r="C317" s="4" t="s">
        <v>525</v>
      </c>
      <c r="D317" s="4"/>
      <c r="E317" s="9">
        <v>-11264</v>
      </c>
      <c r="F317" s="9">
        <v>3029</v>
      </c>
      <c r="G317" s="9">
        <v>2820</v>
      </c>
      <c r="H317" s="9">
        <v>10888</v>
      </c>
      <c r="I317" s="9">
        <v>-11282</v>
      </c>
      <c r="J317" s="9">
        <v>6005</v>
      </c>
      <c r="K317" s="9">
        <v>-477</v>
      </c>
      <c r="L317" s="9">
        <v>8726</v>
      </c>
      <c r="M317" s="9">
        <v>-9043</v>
      </c>
      <c r="N317" s="9">
        <v>7058</v>
      </c>
      <c r="O317" s="9">
        <v>2151</v>
      </c>
      <c r="P317" s="9">
        <v>11065</v>
      </c>
      <c r="Q317" s="9">
        <v>-8737</v>
      </c>
      <c r="R317" s="9">
        <v>-9596.1775625343907</v>
      </c>
      <c r="S317" s="9">
        <v>2565.4964546287852</v>
      </c>
      <c r="T317" s="9">
        <v>16241.383860686745</v>
      </c>
      <c r="U317" s="9">
        <v>-3218.3281050543851</v>
      </c>
      <c r="V317" s="9">
        <v>-7334.7937779365066</v>
      </c>
      <c r="W317" s="9">
        <v>3448.7331433240238</v>
      </c>
      <c r="X317" s="9">
        <v>19479.706588922698</v>
      </c>
    </row>
    <row r="318" spans="1:24" x14ac:dyDescent="0.25">
      <c r="A318" s="8" t="s">
        <v>381</v>
      </c>
      <c r="B318" s="4" t="s">
        <v>526</v>
      </c>
      <c r="C318" s="4" t="s">
        <v>527</v>
      </c>
      <c r="D318" s="4"/>
      <c r="E318" s="9">
        <v>-5763</v>
      </c>
      <c r="F318" s="9">
        <v>-1938</v>
      </c>
      <c r="G318" s="9">
        <v>-1321</v>
      </c>
      <c r="H318" s="9">
        <v>6594</v>
      </c>
      <c r="I318" s="9">
        <v>-2928</v>
      </c>
      <c r="J318" s="9">
        <v>-4147</v>
      </c>
      <c r="K318" s="9">
        <v>129</v>
      </c>
      <c r="L318" s="9">
        <v>4042</v>
      </c>
      <c r="M318" s="9">
        <v>-4061</v>
      </c>
      <c r="N318" s="9">
        <v>-4952</v>
      </c>
      <c r="O318" s="9">
        <v>-1999</v>
      </c>
      <c r="P318" s="9">
        <v>5993</v>
      </c>
      <c r="Q318" s="9">
        <v>-8045</v>
      </c>
      <c r="R318" s="9">
        <v>5067.0367590280284</v>
      </c>
      <c r="S318" s="9">
        <v>-428.98177670872587</v>
      </c>
      <c r="T318" s="9">
        <v>7019.3391989606471</v>
      </c>
      <c r="U318" s="9">
        <v>-6073.2661382699416</v>
      </c>
      <c r="V318" s="9">
        <v>7997.2307313971223</v>
      </c>
      <c r="W318" s="9">
        <v>-1226.5813479961032</v>
      </c>
      <c r="X318" s="9">
        <v>4647.3090081131941</v>
      </c>
    </row>
    <row r="319" spans="1:24" x14ac:dyDescent="0.25">
      <c r="A319" s="8" t="s">
        <v>528</v>
      </c>
      <c r="B319" s="4" t="s">
        <v>529</v>
      </c>
      <c r="C319" s="4" t="s">
        <v>530</v>
      </c>
      <c r="D319" s="4"/>
      <c r="E319" s="9">
        <v>818</v>
      </c>
      <c r="F319" s="9">
        <v>156</v>
      </c>
      <c r="G319" s="9">
        <v>-25</v>
      </c>
      <c r="H319" s="9">
        <v>3629</v>
      </c>
      <c r="I319" s="9">
        <v>1568</v>
      </c>
      <c r="J319" s="9">
        <v>407</v>
      </c>
      <c r="K319" s="9">
        <v>421</v>
      </c>
      <c r="L319" s="9">
        <v>1611</v>
      </c>
      <c r="M319" s="9">
        <v>728</v>
      </c>
      <c r="N319" s="9">
        <v>-119</v>
      </c>
      <c r="O319" s="9">
        <v>-632</v>
      </c>
      <c r="P319" s="9">
        <v>-191</v>
      </c>
      <c r="Q319" s="9">
        <v>355</v>
      </c>
      <c r="R319" s="9">
        <v>1003.8898871078048</v>
      </c>
      <c r="S319" s="9">
        <v>-649.62040493618758</v>
      </c>
      <c r="T319" s="9">
        <v>84.255063786082729</v>
      </c>
      <c r="U319" s="9">
        <v>314.64958007311935</v>
      </c>
      <c r="V319" s="9">
        <v>3013.8146712297225</v>
      </c>
      <c r="W319" s="9">
        <v>-960.06590672606342</v>
      </c>
      <c r="X319" s="9">
        <v>-1324.5936906575007</v>
      </c>
    </row>
    <row r="320" spans="1:24" x14ac:dyDescent="0.25">
      <c r="A320" s="8" t="s">
        <v>531</v>
      </c>
      <c r="B320" s="4" t="s">
        <v>532</v>
      </c>
      <c r="C320" s="4" t="s">
        <v>533</v>
      </c>
      <c r="D320" s="4"/>
      <c r="E320" s="9">
        <v>4788</v>
      </c>
      <c r="F320" s="9">
        <v>16476</v>
      </c>
      <c r="G320" s="9">
        <v>21217</v>
      </c>
      <c r="H320" s="9">
        <v>42465</v>
      </c>
      <c r="I320" s="9">
        <v>18989</v>
      </c>
      <c r="J320" s="9">
        <v>25281</v>
      </c>
      <c r="K320" s="9">
        <v>25971</v>
      </c>
      <c r="L320" s="9">
        <v>45636</v>
      </c>
      <c r="M320" s="9">
        <v>17015</v>
      </c>
      <c r="N320" s="9">
        <v>32515</v>
      </c>
      <c r="O320" s="9">
        <v>35525</v>
      </c>
      <c r="P320" s="9">
        <v>54459</v>
      </c>
      <c r="Q320" s="9">
        <v>26032</v>
      </c>
      <c r="R320" s="9">
        <v>51933.900861009555</v>
      </c>
      <c r="S320" s="9">
        <v>44007.936455306037</v>
      </c>
      <c r="T320" s="9">
        <v>64505.692283393961</v>
      </c>
      <c r="U320" s="9">
        <v>42696.578673636752</v>
      </c>
      <c r="V320" s="9">
        <v>59597.03852421364</v>
      </c>
      <c r="W320" s="9">
        <v>58949.455052103069</v>
      </c>
      <c r="X320" s="9">
        <v>82018.337287775561</v>
      </c>
    </row>
    <row r="321" spans="1:24" x14ac:dyDescent="0.25">
      <c r="A321" s="8" t="s">
        <v>14</v>
      </c>
      <c r="B321" s="4"/>
      <c r="C321" s="4"/>
      <c r="D321" s="4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</row>
    <row r="322" spans="1:24" x14ac:dyDescent="0.25">
      <c r="A322" s="8" t="s">
        <v>534</v>
      </c>
      <c r="B322" s="4"/>
      <c r="C322" s="4"/>
      <c r="D322" s="4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</row>
    <row r="323" spans="1:24" x14ac:dyDescent="0.25">
      <c r="A323" s="8" t="s">
        <v>535</v>
      </c>
      <c r="B323" s="4" t="s">
        <v>536</v>
      </c>
      <c r="C323" s="4" t="s">
        <v>537</v>
      </c>
      <c r="D323" s="4"/>
      <c r="E323" s="9">
        <v>1137</v>
      </c>
      <c r="F323" s="9">
        <v>1043</v>
      </c>
      <c r="G323" s="9">
        <v>1181</v>
      </c>
      <c r="H323" s="9">
        <v>1235</v>
      </c>
      <c r="I323" s="9">
        <v>990</v>
      </c>
      <c r="J323" s="9">
        <v>1227</v>
      </c>
      <c r="K323" s="9">
        <v>1342</v>
      </c>
      <c r="L323" s="9">
        <v>1782</v>
      </c>
      <c r="M323" s="9">
        <v>764</v>
      </c>
      <c r="N323" s="9">
        <v>815</v>
      </c>
      <c r="O323" s="9">
        <v>867</v>
      </c>
      <c r="P323" s="9">
        <v>1053</v>
      </c>
      <c r="Q323" s="9">
        <v>969</v>
      </c>
      <c r="R323" s="9">
        <v>988.63613339342908</v>
      </c>
      <c r="S323" s="9">
        <v>1033.3584373548974</v>
      </c>
      <c r="T323" s="9">
        <v>1139.7003853712456</v>
      </c>
      <c r="U323" s="9">
        <v>1127.1371376193893</v>
      </c>
      <c r="V323" s="9">
        <v>1244.0371923197047</v>
      </c>
      <c r="W323" s="9">
        <v>1304.16100799637</v>
      </c>
      <c r="X323" s="9">
        <v>1399.6907202609191</v>
      </c>
    </row>
    <row r="324" spans="1:24" x14ac:dyDescent="0.25">
      <c r="A324" s="8" t="s">
        <v>538</v>
      </c>
      <c r="B324" s="4" t="s">
        <v>58</v>
      </c>
      <c r="C324" s="4" t="s">
        <v>59</v>
      </c>
      <c r="D324" s="4"/>
      <c r="E324" s="9">
        <v>-14207</v>
      </c>
      <c r="F324" s="9">
        <v>-11455</v>
      </c>
      <c r="G324" s="9">
        <v>-12479</v>
      </c>
      <c r="H324" s="9">
        <v>-14588</v>
      </c>
      <c r="I324" s="9">
        <v>-14925</v>
      </c>
      <c r="J324" s="9">
        <v>-17620</v>
      </c>
      <c r="K324" s="9">
        <v>-22620</v>
      </c>
      <c r="L324" s="9">
        <v>-27834</v>
      </c>
      <c r="M324" s="9">
        <v>-25019</v>
      </c>
      <c r="N324" s="9">
        <v>-32183</v>
      </c>
      <c r="O324" s="9">
        <v>-35095</v>
      </c>
      <c r="P324" s="9">
        <v>-39522</v>
      </c>
      <c r="Q324" s="9">
        <v>-44203</v>
      </c>
      <c r="R324" s="9">
        <v>-48715</v>
      </c>
      <c r="S324" s="9">
        <v>-52188.761904761901</v>
      </c>
      <c r="T324" s="9">
        <v>-57245.190476190473</v>
      </c>
      <c r="U324" s="9">
        <v>-52902.266666666663</v>
      </c>
      <c r="V324" s="9">
        <v>-58180.928571428572</v>
      </c>
      <c r="W324" s="9">
        <v>-61127.71428571429</v>
      </c>
      <c r="X324" s="9">
        <v>-66789.42857142858</v>
      </c>
    </row>
    <row r="325" spans="1:24" x14ac:dyDescent="0.25">
      <c r="A325" s="8" t="s">
        <v>539</v>
      </c>
      <c r="B325" s="4" t="s">
        <v>540</v>
      </c>
      <c r="C325" s="4" t="s">
        <v>541</v>
      </c>
      <c r="D325" s="4"/>
      <c r="E325" s="9">
        <v>11.155168893983888</v>
      </c>
      <c r="F325" s="9">
        <v>8.5241436788879543</v>
      </c>
      <c r="G325" s="9">
        <v>8.7215112906494827</v>
      </c>
      <c r="H325" s="9">
        <v>8.5831455451544763</v>
      </c>
      <c r="I325" s="9">
        <v>10.414268070586758</v>
      </c>
      <c r="J325" s="9">
        <v>11.907255857329179</v>
      </c>
      <c r="K325" s="9">
        <v>14.237428954474215</v>
      </c>
      <c r="L325" s="9">
        <v>14.821717645054102</v>
      </c>
      <c r="M325" s="9">
        <v>16.072128325207014</v>
      </c>
      <c r="N325" s="9">
        <v>19.190588066928242</v>
      </c>
      <c r="O325" s="9">
        <v>19.478933667834088</v>
      </c>
      <c r="P325" s="9">
        <v>18.521365038006245</v>
      </c>
      <c r="Q325" s="9">
        <v>24.351720756504829</v>
      </c>
      <c r="R325" s="9" t="s">
        <v>666</v>
      </c>
      <c r="S325" s="9" t="s">
        <v>666</v>
      </c>
      <c r="T325" s="9" t="s">
        <v>666</v>
      </c>
      <c r="U325" s="9" t="s">
        <v>666</v>
      </c>
      <c r="V325" s="9" t="s">
        <v>666</v>
      </c>
      <c r="W325" s="9" t="s">
        <v>666</v>
      </c>
      <c r="X325" s="9" t="s">
        <v>666</v>
      </c>
    </row>
    <row r="326" spans="1:24" x14ac:dyDescent="0.25">
      <c r="A326" s="8" t="s">
        <v>542</v>
      </c>
      <c r="B326" s="4" t="s">
        <v>61</v>
      </c>
      <c r="C326" s="4" t="s">
        <v>62</v>
      </c>
      <c r="D326" s="4"/>
      <c r="E326" s="9">
        <v>-13070</v>
      </c>
      <c r="F326" s="9">
        <v>-10412</v>
      </c>
      <c r="G326" s="9">
        <v>-11298</v>
      </c>
      <c r="H326" s="9">
        <v>-13353</v>
      </c>
      <c r="I326" s="9">
        <v>-13935</v>
      </c>
      <c r="J326" s="9">
        <v>-16393</v>
      </c>
      <c r="K326" s="9">
        <v>-21278</v>
      </c>
      <c r="L326" s="9">
        <v>-26052</v>
      </c>
      <c r="M326" s="9">
        <v>-24255</v>
      </c>
      <c r="N326" s="9">
        <v>-31368</v>
      </c>
      <c r="O326" s="9">
        <v>-34228</v>
      </c>
      <c r="P326" s="9">
        <v>-38469</v>
      </c>
      <c r="Q326" s="9">
        <v>-43234</v>
      </c>
      <c r="R326" s="9">
        <v>-48139.489591049431</v>
      </c>
      <c r="S326" s="9">
        <v>-51658.909362224098</v>
      </c>
      <c r="T326" s="9">
        <v>-57105.014910444705</v>
      </c>
      <c r="U326" s="9">
        <v>-51620.614002996947</v>
      </c>
      <c r="V326" s="9">
        <v>-58336.590386713491</v>
      </c>
      <c r="W326" s="9">
        <v>-60359.894739931398</v>
      </c>
      <c r="X326" s="9">
        <v>-65518.775144101484</v>
      </c>
    </row>
    <row r="327" spans="1:24" x14ac:dyDescent="0.25">
      <c r="A327" s="8" t="s">
        <v>543</v>
      </c>
      <c r="B327" s="4" t="s">
        <v>544</v>
      </c>
      <c r="C327" s="4" t="s">
        <v>545</v>
      </c>
      <c r="D327" s="4"/>
      <c r="E327" s="9">
        <v>-3513</v>
      </c>
      <c r="F327" s="9">
        <v>-316</v>
      </c>
      <c r="G327" s="9">
        <v>-1629</v>
      </c>
      <c r="H327" s="9">
        <v>-381</v>
      </c>
      <c r="I327" s="9">
        <v>-3354</v>
      </c>
      <c r="J327" s="9">
        <v>-571</v>
      </c>
      <c r="K327" s="9">
        <v>-622</v>
      </c>
      <c r="L327" s="9">
        <v>-2535</v>
      </c>
      <c r="M327" s="9">
        <v>48</v>
      </c>
      <c r="N327" s="9">
        <v>-1700</v>
      </c>
      <c r="O327" s="9">
        <v>-786</v>
      </c>
      <c r="P327" s="9">
        <v>-1403</v>
      </c>
      <c r="Q327" s="9">
        <v>-15408</v>
      </c>
      <c r="R327" s="9">
        <v>-264.62956011496823</v>
      </c>
      <c r="S327" s="9">
        <v>-265.12916895701636</v>
      </c>
      <c r="T327" s="9">
        <v>-323.37322160287471</v>
      </c>
      <c r="U327" s="9">
        <v>-410.83134264633594</v>
      </c>
      <c r="V327" s="9">
        <v>-445.36593064253663</v>
      </c>
      <c r="W327" s="9">
        <v>-463.4966342845301</v>
      </c>
      <c r="X327" s="9">
        <v>-554.57022246537156</v>
      </c>
    </row>
    <row r="328" spans="1:24" x14ac:dyDescent="0.25">
      <c r="A328" s="8" t="s">
        <v>546</v>
      </c>
      <c r="B328" s="4" t="s">
        <v>547</v>
      </c>
      <c r="C328" s="4" t="s">
        <v>548</v>
      </c>
      <c r="D328" s="4"/>
      <c r="E328" s="9">
        <v>777</v>
      </c>
      <c r="F328" s="9">
        <v>1055</v>
      </c>
      <c r="G328" s="9">
        <v>1174</v>
      </c>
      <c r="H328" s="9">
        <v>1133</v>
      </c>
      <c r="I328" s="9">
        <v>-573</v>
      </c>
      <c r="J328" s="9">
        <v>-5174</v>
      </c>
      <c r="K328" s="9">
        <v>5001</v>
      </c>
      <c r="L328" s="9">
        <v>-8856</v>
      </c>
      <c r="M328" s="9">
        <v>-5596</v>
      </c>
      <c r="N328" s="9">
        <v>-6356</v>
      </c>
      <c r="O328" s="9">
        <v>8941</v>
      </c>
      <c r="P328" s="9">
        <v>-7373</v>
      </c>
      <c r="Q328" s="9">
        <v>-5570</v>
      </c>
      <c r="R328" s="9">
        <v>-900</v>
      </c>
      <c r="S328" s="9">
        <v>-900</v>
      </c>
      <c r="T328" s="9">
        <v>-900</v>
      </c>
      <c r="U328" s="9">
        <v>-1800</v>
      </c>
      <c r="V328" s="9">
        <v>-1800</v>
      </c>
      <c r="W328" s="9">
        <v>-1800</v>
      </c>
      <c r="X328" s="9">
        <v>-1800</v>
      </c>
    </row>
    <row r="329" spans="1:24" x14ac:dyDescent="0.25">
      <c r="A329" s="8" t="s">
        <v>549</v>
      </c>
      <c r="B329" s="4" t="s">
        <v>550</v>
      </c>
      <c r="C329" s="4" t="s">
        <v>551</v>
      </c>
      <c r="D329" s="4"/>
      <c r="E329" s="9">
        <v>-338</v>
      </c>
      <c r="F329" s="9">
        <v>-496</v>
      </c>
      <c r="G329" s="9">
        <v>-219</v>
      </c>
      <c r="H329" s="9">
        <v>-435</v>
      </c>
      <c r="I329" s="9">
        <v>-1965</v>
      </c>
      <c r="J329" s="9">
        <v>-8439</v>
      </c>
      <c r="K329" s="9">
        <v>-3068</v>
      </c>
      <c r="L329" s="9">
        <v>-12533</v>
      </c>
      <c r="M329" s="9">
        <v>-13333</v>
      </c>
      <c r="N329" s="9">
        <v>-17797</v>
      </c>
      <c r="O329" s="9">
        <v>-7426</v>
      </c>
      <c r="P329" s="9">
        <v>-16214</v>
      </c>
      <c r="Q329" s="9">
        <v>-23256</v>
      </c>
      <c r="R329" s="9">
        <v>-18250.571357574754</v>
      </c>
      <c r="S329" s="9">
        <v>-20288.332821494008</v>
      </c>
      <c r="T329" s="9">
        <v>-22639.474868919988</v>
      </c>
      <c r="U329" s="9">
        <v>-25352.191261417971</v>
      </c>
      <c r="V329" s="9">
        <v>-28482.087319456517</v>
      </c>
      <c r="W329" s="9">
        <v>-32093.319721493372</v>
      </c>
      <c r="X329" s="9">
        <v>-36259.91158898607</v>
      </c>
    </row>
    <row r="330" spans="1:24" x14ac:dyDescent="0.25">
      <c r="A330" s="8" t="s">
        <v>552</v>
      </c>
      <c r="B330" s="4" t="s">
        <v>553</v>
      </c>
      <c r="C330" s="4" t="s">
        <v>554</v>
      </c>
      <c r="D330" s="4"/>
      <c r="E330" s="9">
        <v>1115</v>
      </c>
      <c r="F330" s="9">
        <v>1551</v>
      </c>
      <c r="G330" s="9">
        <v>1393</v>
      </c>
      <c r="H330" s="9">
        <v>1568</v>
      </c>
      <c r="I330" s="9">
        <v>1392</v>
      </c>
      <c r="J330" s="9">
        <v>3265</v>
      </c>
      <c r="K330" s="9">
        <v>8069</v>
      </c>
      <c r="L330" s="9">
        <v>3677</v>
      </c>
      <c r="M330" s="9">
        <v>7737</v>
      </c>
      <c r="N330" s="9">
        <v>11441</v>
      </c>
      <c r="O330" s="9">
        <v>16367</v>
      </c>
      <c r="P330" s="9">
        <v>8841</v>
      </c>
      <c r="Q330" s="9">
        <v>17686</v>
      </c>
      <c r="R330" s="9">
        <v>13446.634933782454</v>
      </c>
      <c r="S330" s="9">
        <v>14479.769013901589</v>
      </c>
      <c r="T330" s="9">
        <v>15671.785360959722</v>
      </c>
      <c r="U330" s="9">
        <v>17047.117952340275</v>
      </c>
      <c r="V330" s="9">
        <v>18633.958385847607</v>
      </c>
      <c r="W330" s="9">
        <v>20464.833751700833</v>
      </c>
      <c r="X330" s="9">
        <v>22577.273373546832</v>
      </c>
    </row>
    <row r="331" spans="1:24" x14ac:dyDescent="0.25">
      <c r="A331" s="8" t="s">
        <v>555</v>
      </c>
      <c r="B331" s="4" t="s">
        <v>556</v>
      </c>
      <c r="C331" s="4" t="s">
        <v>557</v>
      </c>
      <c r="D331" s="4"/>
      <c r="E331" s="9">
        <v>-15806</v>
      </c>
      <c r="F331" s="9">
        <v>-9673</v>
      </c>
      <c r="G331" s="9">
        <v>-11753</v>
      </c>
      <c r="H331" s="9">
        <v>-12601</v>
      </c>
      <c r="I331" s="9">
        <v>-17862</v>
      </c>
      <c r="J331" s="9">
        <v>-22138</v>
      </c>
      <c r="K331" s="9">
        <v>-16899</v>
      </c>
      <c r="L331" s="9">
        <v>-37443</v>
      </c>
      <c r="M331" s="9">
        <v>-29803</v>
      </c>
      <c r="N331" s="9">
        <v>-39424</v>
      </c>
      <c r="O331" s="9">
        <v>-26073</v>
      </c>
      <c r="P331" s="9">
        <v>-47245</v>
      </c>
      <c r="Q331" s="9">
        <v>-64212</v>
      </c>
      <c r="R331" s="9">
        <v>-46255.887995725709</v>
      </c>
      <c r="S331" s="9">
        <v>-52707.897282800004</v>
      </c>
      <c r="T331" s="9">
        <v>-60391.330559401904</v>
      </c>
      <c r="U331" s="9">
        <v>-51164.879289639175</v>
      </c>
      <c r="V331" s="9">
        <v>-58625.428483432945</v>
      </c>
      <c r="W331" s="9">
        <v>-60881.379763857447</v>
      </c>
      <c r="X331" s="9">
        <v>-67091.766744810855</v>
      </c>
    </row>
    <row r="332" spans="1:24" x14ac:dyDescent="0.25">
      <c r="A332" s="8" t="s">
        <v>14</v>
      </c>
      <c r="B332" s="4"/>
      <c r="C332" s="4"/>
      <c r="D332" s="4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</row>
    <row r="333" spans="1:24" x14ac:dyDescent="0.25">
      <c r="A333" s="8" t="s">
        <v>558</v>
      </c>
      <c r="B333" s="4"/>
      <c r="C333" s="4"/>
      <c r="D333" s="4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</row>
    <row r="334" spans="1:24" x14ac:dyDescent="0.25">
      <c r="A334" s="8" t="s">
        <v>559</v>
      </c>
      <c r="B334" s="4" t="s">
        <v>560</v>
      </c>
      <c r="C334" s="4" t="s">
        <v>561</v>
      </c>
      <c r="D334" s="4"/>
      <c r="E334" s="9" t="s">
        <v>666</v>
      </c>
      <c r="F334" s="9" t="s">
        <v>666</v>
      </c>
      <c r="G334" s="9" t="s">
        <v>666</v>
      </c>
      <c r="H334" s="9" t="s">
        <v>666</v>
      </c>
      <c r="I334" s="9" t="s">
        <v>666</v>
      </c>
      <c r="J334" s="9" t="s">
        <v>666</v>
      </c>
      <c r="K334" s="9" t="s">
        <v>666</v>
      </c>
      <c r="L334" s="9" t="s">
        <v>666</v>
      </c>
      <c r="M334" s="9" t="s">
        <v>666</v>
      </c>
      <c r="N334" s="9" t="s">
        <v>666</v>
      </c>
      <c r="O334" s="9" t="s">
        <v>666</v>
      </c>
      <c r="P334" s="9" t="s">
        <v>666</v>
      </c>
      <c r="Q334" s="9" t="s">
        <v>666</v>
      </c>
      <c r="R334" s="9">
        <v>-3690.1122725</v>
      </c>
      <c r="S334" s="9">
        <v>-4139.3747156250001</v>
      </c>
      <c r="T334" s="9">
        <v>-3925.1403406250001</v>
      </c>
      <c r="U334" s="9">
        <v>-4429.5</v>
      </c>
      <c r="V334" s="9">
        <v>-4429.5</v>
      </c>
      <c r="W334" s="9">
        <v>-4429.5</v>
      </c>
      <c r="X334" s="9">
        <v>-4429.5</v>
      </c>
    </row>
    <row r="335" spans="1:24" x14ac:dyDescent="0.25">
      <c r="A335" s="8" t="s">
        <v>562</v>
      </c>
      <c r="B335" s="4" t="s">
        <v>563</v>
      </c>
      <c r="C335" s="4" t="s">
        <v>564</v>
      </c>
      <c r="D335" s="4"/>
      <c r="E335" s="9">
        <v>12780</v>
      </c>
      <c r="F335" s="9">
        <v>4399</v>
      </c>
      <c r="G335" s="9">
        <v>216</v>
      </c>
      <c r="H335" s="9">
        <v>734</v>
      </c>
      <c r="I335" s="9">
        <v>338</v>
      </c>
      <c r="J335" s="9">
        <v>525</v>
      </c>
      <c r="K335" s="9">
        <v>1725</v>
      </c>
      <c r="L335" s="9">
        <v>2554</v>
      </c>
      <c r="M335" s="9">
        <v>1815</v>
      </c>
      <c r="N335" s="9">
        <v>2093</v>
      </c>
      <c r="O335" s="9">
        <v>3223</v>
      </c>
      <c r="P335" s="9">
        <v>2189</v>
      </c>
      <c r="Q335" s="9">
        <v>6018</v>
      </c>
      <c r="R335" s="9">
        <v>30354.5</v>
      </c>
      <c r="S335" s="9">
        <v>30354.5</v>
      </c>
      <c r="T335" s="9">
        <v>30354.5</v>
      </c>
      <c r="U335" s="9">
        <v>59459</v>
      </c>
      <c r="V335" s="9">
        <v>59459</v>
      </c>
      <c r="W335" s="9">
        <v>59459</v>
      </c>
      <c r="X335" s="9">
        <v>59459</v>
      </c>
    </row>
    <row r="336" spans="1:24" x14ac:dyDescent="0.25">
      <c r="A336" s="8" t="s">
        <v>565</v>
      </c>
      <c r="B336" s="4" t="s">
        <v>566</v>
      </c>
      <c r="C336" s="4" t="s">
        <v>567</v>
      </c>
      <c r="D336" s="4"/>
      <c r="E336" s="9">
        <v>-3603</v>
      </c>
      <c r="F336" s="9">
        <v>-7641</v>
      </c>
      <c r="G336" s="9">
        <v>-8095</v>
      </c>
      <c r="H336" s="9">
        <v>-6338</v>
      </c>
      <c r="I336" s="9">
        <v>-404</v>
      </c>
      <c r="J336" s="9">
        <v>-229</v>
      </c>
      <c r="K336" s="9">
        <v>-1820</v>
      </c>
      <c r="L336" s="9">
        <v>-2607</v>
      </c>
      <c r="M336" s="9">
        <v>-2082</v>
      </c>
      <c r="N336" s="9">
        <v>-1392</v>
      </c>
      <c r="O336" s="9">
        <v>-1826</v>
      </c>
      <c r="P336" s="9">
        <v>-3126</v>
      </c>
      <c r="Q336" s="9">
        <v>-6109</v>
      </c>
      <c r="R336" s="9" t="s">
        <v>666</v>
      </c>
      <c r="S336" s="9" t="s">
        <v>666</v>
      </c>
      <c r="T336" s="9" t="s">
        <v>666</v>
      </c>
      <c r="U336" s="9" t="s">
        <v>666</v>
      </c>
      <c r="V336" s="9" t="s">
        <v>666</v>
      </c>
      <c r="W336" s="9" t="s">
        <v>666</v>
      </c>
      <c r="X336" s="9" t="s">
        <v>666</v>
      </c>
    </row>
    <row r="337" spans="1:24" x14ac:dyDescent="0.25">
      <c r="A337" s="8" t="s">
        <v>568</v>
      </c>
      <c r="B337" s="4" t="s">
        <v>569</v>
      </c>
      <c r="C337" s="4" t="s">
        <v>570</v>
      </c>
      <c r="D337" s="4"/>
      <c r="E337" s="9">
        <v>0</v>
      </c>
      <c r="F337" s="9">
        <v>0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9" t="s">
        <v>666</v>
      </c>
      <c r="M337" s="9">
        <v>746</v>
      </c>
      <c r="N337" s="9">
        <v>0</v>
      </c>
      <c r="O337" s="9">
        <v>0</v>
      </c>
      <c r="P337" s="9">
        <v>14927</v>
      </c>
      <c r="Q337" s="9">
        <v>53441</v>
      </c>
      <c r="R337" s="9" t="s">
        <v>666</v>
      </c>
      <c r="S337" s="9" t="s">
        <v>666</v>
      </c>
      <c r="T337" s="9" t="s">
        <v>666</v>
      </c>
      <c r="U337" s="9" t="s">
        <v>666</v>
      </c>
      <c r="V337" s="9" t="s">
        <v>666</v>
      </c>
      <c r="W337" s="9" t="s">
        <v>666</v>
      </c>
      <c r="X337" s="9" t="s">
        <v>666</v>
      </c>
    </row>
    <row r="338" spans="1:24" x14ac:dyDescent="0.25">
      <c r="A338" s="8" t="s">
        <v>571</v>
      </c>
      <c r="B338" s="4" t="s">
        <v>572</v>
      </c>
      <c r="C338" s="4" t="s">
        <v>573</v>
      </c>
      <c r="D338" s="4"/>
      <c r="E338" s="9">
        <v>-1386</v>
      </c>
      <c r="F338" s="9">
        <v>-2000</v>
      </c>
      <c r="G338" s="9">
        <v>0</v>
      </c>
      <c r="H338" s="9">
        <v>-290</v>
      </c>
      <c r="I338" s="9">
        <v>-330</v>
      </c>
      <c r="J338" s="9">
        <v>-4169</v>
      </c>
      <c r="K338" s="9">
        <v>-2183</v>
      </c>
      <c r="L338" s="9">
        <v>-2500</v>
      </c>
      <c r="M338" s="9">
        <v>0</v>
      </c>
      <c r="N338" s="9">
        <v>-2751</v>
      </c>
      <c r="O338" s="9">
        <v>-1008</v>
      </c>
      <c r="P338" s="9">
        <v>-1262</v>
      </c>
      <c r="Q338" s="9">
        <v>0</v>
      </c>
      <c r="R338" s="9">
        <v>-18612.75</v>
      </c>
      <c r="S338" s="9">
        <v>0</v>
      </c>
      <c r="T338" s="9">
        <v>-500</v>
      </c>
      <c r="U338" s="9">
        <v>-5250</v>
      </c>
      <c r="V338" s="9">
        <v>-1750</v>
      </c>
      <c r="W338" s="9" t="s">
        <v>666</v>
      </c>
      <c r="X338" s="9">
        <v>-1000</v>
      </c>
    </row>
    <row r="339" spans="1:24" x14ac:dyDescent="0.25">
      <c r="A339" s="8" t="s">
        <v>574</v>
      </c>
      <c r="B339" s="4" t="s">
        <v>575</v>
      </c>
      <c r="C339" s="4" t="s">
        <v>576</v>
      </c>
      <c r="D339" s="4"/>
      <c r="E339" s="9">
        <v>1380</v>
      </c>
      <c r="F339" s="9">
        <v>1220</v>
      </c>
      <c r="G339" s="9">
        <v>1005</v>
      </c>
      <c r="H339" s="9">
        <v>779</v>
      </c>
      <c r="I339" s="9">
        <v>770</v>
      </c>
      <c r="J339" s="9">
        <v>538</v>
      </c>
      <c r="K339" s="9">
        <v>402</v>
      </c>
      <c r="L339" s="9">
        <v>333</v>
      </c>
      <c r="M339" s="9">
        <v>410</v>
      </c>
      <c r="N339" s="9">
        <v>411</v>
      </c>
      <c r="O339" s="9">
        <v>351</v>
      </c>
      <c r="P339" s="9">
        <v>385</v>
      </c>
      <c r="Q339" s="9">
        <v>468</v>
      </c>
      <c r="R339" s="9">
        <v>724.70221385364437</v>
      </c>
      <c r="S339" s="9">
        <v>693.2758295227286</v>
      </c>
      <c r="T339" s="9">
        <v>749.15308236363194</v>
      </c>
      <c r="U339" s="9">
        <v>648.36463182225634</v>
      </c>
      <c r="V339" s="9">
        <v>661.30684456609697</v>
      </c>
      <c r="W339" s="9">
        <v>671.33530630774487</v>
      </c>
      <c r="X339" s="9">
        <v>710.32982376704467</v>
      </c>
    </row>
    <row r="340" spans="1:24" x14ac:dyDescent="0.25">
      <c r="A340" s="8" t="s">
        <v>577</v>
      </c>
      <c r="B340" s="4" t="s">
        <v>578</v>
      </c>
      <c r="C340" s="4" t="s">
        <v>579</v>
      </c>
      <c r="D340" s="4"/>
      <c r="E340" s="9">
        <v>3626</v>
      </c>
      <c r="F340" s="9">
        <v>4104</v>
      </c>
      <c r="G340" s="9">
        <v>3345</v>
      </c>
      <c r="H340" s="9">
        <v>2977</v>
      </c>
      <c r="I340" s="9">
        <v>3753</v>
      </c>
      <c r="J340" s="9">
        <v>3911</v>
      </c>
      <c r="K340" s="9">
        <v>3571</v>
      </c>
      <c r="L340" s="9">
        <v>4189</v>
      </c>
      <c r="M340" s="9">
        <v>4321</v>
      </c>
      <c r="N340" s="9">
        <v>4621</v>
      </c>
      <c r="O340" s="9">
        <v>5057</v>
      </c>
      <c r="P340" s="9">
        <v>5931</v>
      </c>
      <c r="Q340" s="9">
        <v>6239</v>
      </c>
      <c r="R340" s="9">
        <v>6239</v>
      </c>
      <c r="S340" s="9">
        <v>6239</v>
      </c>
      <c r="T340" s="9">
        <v>6239</v>
      </c>
      <c r="U340" s="9" t="s">
        <v>666</v>
      </c>
      <c r="V340" s="9" t="s">
        <v>666</v>
      </c>
      <c r="W340" s="9" t="s">
        <v>666</v>
      </c>
      <c r="X340" s="9" t="s">
        <v>666</v>
      </c>
    </row>
    <row r="341" spans="1:24" x14ac:dyDescent="0.25">
      <c r="A341" s="8" t="s">
        <v>580</v>
      </c>
      <c r="B341" s="4" t="s">
        <v>581</v>
      </c>
      <c r="C341" s="4" t="s">
        <v>582</v>
      </c>
      <c r="D341" s="4"/>
      <c r="E341" s="9">
        <v>-57</v>
      </c>
      <c r="F341" s="9">
        <v>-77</v>
      </c>
      <c r="G341" s="9">
        <v>-64</v>
      </c>
      <c r="H341" s="9">
        <v>-73</v>
      </c>
      <c r="I341" s="9">
        <v>-90</v>
      </c>
      <c r="J341" s="9">
        <v>-79</v>
      </c>
      <c r="K341" s="9">
        <v>-78</v>
      </c>
      <c r="L341" s="9">
        <v>-422</v>
      </c>
      <c r="M341" s="9">
        <v>-116</v>
      </c>
      <c r="N341" s="9">
        <v>-78</v>
      </c>
      <c r="O341" s="9">
        <v>-82</v>
      </c>
      <c r="P341" s="9">
        <v>-52</v>
      </c>
      <c r="Q341" s="9">
        <v>-115</v>
      </c>
      <c r="R341" s="9">
        <v>-78.071796849099627</v>
      </c>
      <c r="S341" s="9">
        <v>-80.018949994296634</v>
      </c>
      <c r="T341" s="9">
        <v>-79.045252140135972</v>
      </c>
      <c r="U341" s="9">
        <v>-86.856967748979358</v>
      </c>
      <c r="V341" s="9">
        <v>-80.14769516025558</v>
      </c>
      <c r="W341" s="9">
        <v>-83.743276647803313</v>
      </c>
      <c r="X341" s="9">
        <v>-83.086344588433434</v>
      </c>
    </row>
    <row r="342" spans="1:24" x14ac:dyDescent="0.25">
      <c r="A342" s="8" t="s">
        <v>583</v>
      </c>
      <c r="B342" s="4" t="s">
        <v>584</v>
      </c>
      <c r="C342" s="4" t="s">
        <v>585</v>
      </c>
      <c r="D342" s="4"/>
      <c r="E342" s="9">
        <v>6354</v>
      </c>
      <c r="F342" s="9">
        <v>-6539</v>
      </c>
      <c r="G342" s="9">
        <v>-8948</v>
      </c>
      <c r="H342" s="9">
        <v>-6746</v>
      </c>
      <c r="I342" s="9">
        <v>-1256</v>
      </c>
      <c r="J342" s="9">
        <v>-4490</v>
      </c>
      <c r="K342" s="9">
        <v>-2758</v>
      </c>
      <c r="L342" s="9">
        <v>-3308</v>
      </c>
      <c r="M342" s="9">
        <v>-47</v>
      </c>
      <c r="N342" s="9">
        <v>-2539</v>
      </c>
      <c r="O342" s="9">
        <v>-44</v>
      </c>
      <c r="P342" s="9">
        <v>12291</v>
      </c>
      <c r="Q342" s="9">
        <v>52767</v>
      </c>
      <c r="R342" s="9">
        <v>3397.0195256653346</v>
      </c>
      <c r="S342" s="9">
        <v>6802.266614355718</v>
      </c>
      <c r="T342" s="9">
        <v>4185.1023515738443</v>
      </c>
      <c r="U342" s="9">
        <v>2205.1564548410952</v>
      </c>
      <c r="V342" s="9">
        <v>4405.8613863772098</v>
      </c>
      <c r="W342" s="9">
        <v>6299.8823320575639</v>
      </c>
      <c r="X342" s="9">
        <v>7387.5272395965058</v>
      </c>
    </row>
    <row r="343" spans="1:24" x14ac:dyDescent="0.25">
      <c r="A343" s="8" t="s">
        <v>14</v>
      </c>
      <c r="B343" s="4"/>
      <c r="C343" s="4"/>
      <c r="D343" s="4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</row>
    <row r="344" spans="1:24" x14ac:dyDescent="0.25">
      <c r="A344" s="8" t="s">
        <v>436</v>
      </c>
      <c r="B344" s="4"/>
      <c r="C344" s="4"/>
      <c r="D344" s="4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</row>
    <row r="345" spans="1:24" x14ac:dyDescent="0.25">
      <c r="A345" s="8" t="s">
        <v>586</v>
      </c>
      <c r="B345" s="4" t="s">
        <v>587</v>
      </c>
      <c r="C345" s="4" t="s">
        <v>588</v>
      </c>
      <c r="D345" s="4"/>
      <c r="E345" s="9">
        <v>145</v>
      </c>
      <c r="F345" s="9">
        <v>69</v>
      </c>
      <c r="G345" s="9">
        <v>-502</v>
      </c>
      <c r="H345" s="9">
        <v>691</v>
      </c>
      <c r="I345" s="9">
        <v>-429</v>
      </c>
      <c r="J345" s="9">
        <v>-312</v>
      </c>
      <c r="K345" s="9">
        <v>690</v>
      </c>
      <c r="L345" s="9">
        <v>-1250</v>
      </c>
      <c r="M345" s="9">
        <v>416</v>
      </c>
      <c r="N345" s="9">
        <v>1008</v>
      </c>
      <c r="O345" s="9">
        <v>-397</v>
      </c>
      <c r="P345" s="9">
        <v>137</v>
      </c>
      <c r="Q345" s="9">
        <v>-1</v>
      </c>
      <c r="R345" s="9">
        <v>-0.66666666666666663</v>
      </c>
      <c r="S345" s="9">
        <v>-0.66666666666666663</v>
      </c>
      <c r="T345" s="9">
        <v>-0.66666666666666663</v>
      </c>
      <c r="U345" s="9">
        <v>100</v>
      </c>
      <c r="V345" s="9">
        <v>100</v>
      </c>
      <c r="W345" s="9">
        <v>100</v>
      </c>
      <c r="X345" s="9">
        <v>100</v>
      </c>
    </row>
    <row r="346" spans="1:24" x14ac:dyDescent="0.25">
      <c r="A346" s="8" t="s">
        <v>589</v>
      </c>
      <c r="B346" s="4" t="s">
        <v>590</v>
      </c>
      <c r="C346" s="4" t="s">
        <v>591</v>
      </c>
      <c r="D346" s="4"/>
      <c r="E346" s="9">
        <v>-4519</v>
      </c>
      <c r="F346" s="9">
        <v>333</v>
      </c>
      <c r="G346" s="9">
        <v>14</v>
      </c>
      <c r="H346" s="9">
        <v>23809</v>
      </c>
      <c r="I346" s="9">
        <v>-558</v>
      </c>
      <c r="J346" s="9">
        <v>-1659</v>
      </c>
      <c r="K346" s="9">
        <v>7004</v>
      </c>
      <c r="L346" s="9">
        <v>3635</v>
      </c>
      <c r="M346" s="9">
        <v>-12419</v>
      </c>
      <c r="N346" s="9">
        <v>-8440</v>
      </c>
      <c r="O346" s="9">
        <v>9011</v>
      </c>
      <c r="P346" s="9">
        <v>19642</v>
      </c>
      <c r="Q346" s="9">
        <v>14586</v>
      </c>
      <c r="R346" s="9">
        <v>4844.3701810592029</v>
      </c>
      <c r="S346" s="9">
        <v>-7409.4764147812739</v>
      </c>
      <c r="T346" s="9">
        <v>4230.6315426368037</v>
      </c>
      <c r="U346" s="9">
        <v>-4247.9931266135154</v>
      </c>
      <c r="V346" s="9">
        <v>1281.9186947748967</v>
      </c>
      <c r="W346" s="9">
        <v>-154.03144391561622</v>
      </c>
      <c r="X346" s="9">
        <v>20854.04777309666</v>
      </c>
    </row>
    <row r="347" spans="1:24" x14ac:dyDescent="0.25">
      <c r="A347" s="8" t="s">
        <v>592</v>
      </c>
      <c r="B347" s="4" t="s">
        <v>593</v>
      </c>
      <c r="C347" s="4" t="s">
        <v>594</v>
      </c>
      <c r="D347" s="4"/>
      <c r="E347" s="9">
        <v>54253</v>
      </c>
      <c r="F347" s="9">
        <v>49734</v>
      </c>
      <c r="G347" s="9">
        <v>50067</v>
      </c>
      <c r="H347" s="9">
        <v>50081</v>
      </c>
      <c r="I347" s="9">
        <v>73890</v>
      </c>
      <c r="J347" s="9">
        <v>73332</v>
      </c>
      <c r="K347" s="9">
        <v>71673</v>
      </c>
      <c r="L347" s="9">
        <v>78677</v>
      </c>
      <c r="M347" s="9">
        <v>82312</v>
      </c>
      <c r="N347" s="9">
        <v>69893</v>
      </c>
      <c r="O347" s="9">
        <v>61453</v>
      </c>
      <c r="P347" s="9">
        <v>70464</v>
      </c>
      <c r="Q347" s="9">
        <v>90106</v>
      </c>
      <c r="R347" s="9">
        <v>103918.78500016667</v>
      </c>
      <c r="S347" s="9">
        <v>109967.04309098169</v>
      </c>
      <c r="T347" s="9">
        <v>106371.93772326859</v>
      </c>
      <c r="U347" s="9">
        <v>118223.9195459263</v>
      </c>
      <c r="V347" s="9">
        <v>115575.66825566294</v>
      </c>
      <c r="W347" s="9">
        <v>118174.97196474548</v>
      </c>
      <c r="X347" s="9">
        <v>118020.94052082986</v>
      </c>
    </row>
    <row r="348" spans="1:24" x14ac:dyDescent="0.25">
      <c r="A348" s="8" t="s">
        <v>595</v>
      </c>
      <c r="B348" s="4" t="s">
        <v>596</v>
      </c>
      <c r="C348" s="4" t="s">
        <v>597</v>
      </c>
      <c r="D348" s="4"/>
      <c r="E348" s="9">
        <v>49734</v>
      </c>
      <c r="F348" s="9">
        <v>50067</v>
      </c>
      <c r="G348" s="9">
        <v>50081</v>
      </c>
      <c r="H348" s="9">
        <v>73890</v>
      </c>
      <c r="I348" s="9">
        <v>73332</v>
      </c>
      <c r="J348" s="9">
        <v>71673</v>
      </c>
      <c r="K348" s="9">
        <v>78677</v>
      </c>
      <c r="L348" s="9">
        <v>82312</v>
      </c>
      <c r="M348" s="9">
        <v>69893</v>
      </c>
      <c r="N348" s="9">
        <v>61453</v>
      </c>
      <c r="O348" s="9">
        <v>70464</v>
      </c>
      <c r="P348" s="9">
        <v>90106</v>
      </c>
      <c r="Q348" s="9">
        <v>104692</v>
      </c>
      <c r="R348" s="9">
        <v>111960.30239302937</v>
      </c>
      <c r="S348" s="9">
        <v>107876.20370855603</v>
      </c>
      <c r="T348" s="9">
        <v>114274.48476418236</v>
      </c>
      <c r="U348" s="9">
        <v>100669.95165341753</v>
      </c>
      <c r="V348" s="9">
        <v>119821.43476316106</v>
      </c>
      <c r="W348" s="9">
        <v>119353.64984243338</v>
      </c>
      <c r="X348" s="9">
        <v>104437.07430968805</v>
      </c>
    </row>
    <row r="349" spans="1:24" x14ac:dyDescent="0.25">
      <c r="A349" s="8" t="s">
        <v>598</v>
      </c>
      <c r="B349" s="4"/>
      <c r="C349" s="4"/>
      <c r="D349" s="4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</row>
    <row r="350" spans="1:24" x14ac:dyDescent="0.25">
      <c r="A350" s="8" t="s">
        <v>599</v>
      </c>
      <c r="B350" s="4" t="s">
        <v>600</v>
      </c>
      <c r="C350" s="4" t="s">
        <v>601</v>
      </c>
      <c r="D350" s="4"/>
      <c r="E350" s="9">
        <v>619</v>
      </c>
      <c r="F350" s="9">
        <v>3735</v>
      </c>
      <c r="G350" s="9">
        <v>2628</v>
      </c>
      <c r="H350" s="9">
        <v>4197</v>
      </c>
      <c r="I350" s="9">
        <v>458</v>
      </c>
      <c r="J350" s="9">
        <v>5700</v>
      </c>
      <c r="K350" s="9">
        <v>2004</v>
      </c>
      <c r="L350" s="9">
        <v>4146</v>
      </c>
      <c r="M350" s="9">
        <v>877</v>
      </c>
      <c r="N350" s="9">
        <v>4761</v>
      </c>
      <c r="O350" s="9">
        <v>1136</v>
      </c>
      <c r="P350" s="9">
        <v>1521</v>
      </c>
      <c r="Q350" s="9">
        <v>1323</v>
      </c>
      <c r="R350" s="9">
        <v>3426.0109640164983</v>
      </c>
      <c r="S350" s="9">
        <v>2436.7554227450382</v>
      </c>
      <c r="T350" s="9">
        <v>3228.3815097535294</v>
      </c>
      <c r="U350" s="9">
        <v>1129.1476923180574</v>
      </c>
      <c r="V350" s="9">
        <v>2429.5875979526504</v>
      </c>
      <c r="W350" s="9">
        <v>234.43203146178354</v>
      </c>
      <c r="X350" s="9">
        <v>934.21450543742867</v>
      </c>
    </row>
    <row r="351" spans="1:24" x14ac:dyDescent="0.25">
      <c r="A351" s="8" t="s">
        <v>602</v>
      </c>
      <c r="B351" s="4" t="s">
        <v>603</v>
      </c>
      <c r="C351" s="4" t="s">
        <v>604</v>
      </c>
      <c r="D351" s="4"/>
      <c r="E351" s="9">
        <v>461</v>
      </c>
      <c r="F351" s="9">
        <v>995</v>
      </c>
      <c r="G351" s="9">
        <v>515</v>
      </c>
      <c r="H351" s="9">
        <v>833</v>
      </c>
      <c r="I351" s="9">
        <v>333</v>
      </c>
      <c r="J351" s="9">
        <v>730</v>
      </c>
      <c r="K351" s="9">
        <v>313</v>
      </c>
      <c r="L351" s="9">
        <v>701</v>
      </c>
      <c r="M351" s="9">
        <v>291</v>
      </c>
      <c r="N351" s="9">
        <v>575</v>
      </c>
      <c r="O351" s="9">
        <v>301</v>
      </c>
      <c r="P351" s="9">
        <v>487</v>
      </c>
      <c r="Q351" s="9">
        <v>350</v>
      </c>
      <c r="R351" s="9">
        <v>274</v>
      </c>
      <c r="S351" s="9">
        <v>274</v>
      </c>
      <c r="T351" s="9">
        <v>274</v>
      </c>
      <c r="U351" s="9" t="s">
        <v>666</v>
      </c>
      <c r="V351" s="9" t="s">
        <v>666</v>
      </c>
      <c r="W351" s="9" t="s">
        <v>666</v>
      </c>
      <c r="X351" s="9" t="s">
        <v>666</v>
      </c>
    </row>
    <row r="352" spans="1:24" x14ac:dyDescent="0.25">
      <c r="A352" s="8" t="s">
        <v>605</v>
      </c>
      <c r="B352" s="4" t="s">
        <v>606</v>
      </c>
      <c r="C352" s="4" t="s">
        <v>607</v>
      </c>
      <c r="D352" s="4"/>
      <c r="E352" s="9" t="s">
        <v>666</v>
      </c>
      <c r="F352" s="9" t="s">
        <v>666</v>
      </c>
      <c r="G352" s="9">
        <v>694</v>
      </c>
      <c r="H352" s="9">
        <v>-11</v>
      </c>
      <c r="I352" s="9" t="s">
        <v>666</v>
      </c>
      <c r="J352" s="9" t="s">
        <v>666</v>
      </c>
      <c r="K352" s="9">
        <v>785</v>
      </c>
      <c r="L352" s="9">
        <v>-18</v>
      </c>
      <c r="M352" s="9">
        <v>410</v>
      </c>
      <c r="N352" s="9" t="s">
        <v>666</v>
      </c>
      <c r="O352" s="9" t="s">
        <v>666</v>
      </c>
      <c r="P352" s="9">
        <v>1177</v>
      </c>
      <c r="Q352" s="9">
        <v>468</v>
      </c>
      <c r="R352" s="9">
        <v>271.49495058976225</v>
      </c>
      <c r="S352" s="9">
        <v>278.90732435450633</v>
      </c>
      <c r="T352" s="9">
        <v>286.50500746336894</v>
      </c>
      <c r="U352" s="9">
        <v>-37.5</v>
      </c>
      <c r="V352" s="9">
        <v>-37.5</v>
      </c>
      <c r="W352" s="9">
        <v>-37.5</v>
      </c>
      <c r="X352" s="9">
        <v>-37.5</v>
      </c>
    </row>
    <row r="353" spans="1:24" x14ac:dyDescent="0.25">
      <c r="A353" s="8" t="s">
        <v>608</v>
      </c>
      <c r="B353" s="4" t="s">
        <v>609</v>
      </c>
      <c r="C353" s="4" t="s">
        <v>610</v>
      </c>
      <c r="D353" s="4"/>
      <c r="E353" s="9">
        <v>2467</v>
      </c>
      <c r="F353" s="9">
        <v>2528</v>
      </c>
      <c r="G353" s="9">
        <v>2692</v>
      </c>
      <c r="H353" s="9">
        <v>2766</v>
      </c>
      <c r="I353" s="9">
        <v>3332</v>
      </c>
      <c r="J353" s="9">
        <v>2844</v>
      </c>
      <c r="K353" s="9">
        <v>2940</v>
      </c>
      <c r="L353" s="9">
        <v>3225</v>
      </c>
      <c r="M353" s="9">
        <v>3562</v>
      </c>
      <c r="N353" s="9">
        <v>3758</v>
      </c>
      <c r="O353" s="9">
        <v>4155</v>
      </c>
      <c r="P353" s="9">
        <v>3563</v>
      </c>
      <c r="Q353" s="9">
        <v>4315</v>
      </c>
      <c r="R353" s="9">
        <v>4315</v>
      </c>
      <c r="S353" s="9">
        <v>4315</v>
      </c>
      <c r="T353" s="9">
        <v>4315</v>
      </c>
      <c r="U353" s="9" t="s">
        <v>666</v>
      </c>
      <c r="V353" s="9" t="s">
        <v>666</v>
      </c>
      <c r="W353" s="9" t="s">
        <v>666</v>
      </c>
      <c r="X353" s="9" t="s">
        <v>666</v>
      </c>
    </row>
    <row r="354" spans="1:24" x14ac:dyDescent="0.25">
      <c r="A354" s="8" t="s">
        <v>611</v>
      </c>
      <c r="B354" s="4" t="s">
        <v>612</v>
      </c>
      <c r="C354" s="4" t="s">
        <v>613</v>
      </c>
      <c r="D354" s="4"/>
      <c r="E354" s="9">
        <v>81</v>
      </c>
      <c r="F354" s="9">
        <v>77</v>
      </c>
      <c r="G354" s="9">
        <v>76</v>
      </c>
      <c r="H354" s="9">
        <v>74</v>
      </c>
      <c r="I354" s="9">
        <v>74</v>
      </c>
      <c r="J354" s="9">
        <v>72</v>
      </c>
      <c r="K354" s="9">
        <v>71</v>
      </c>
      <c r="L354" s="9">
        <v>70</v>
      </c>
      <c r="M354" s="9">
        <v>71</v>
      </c>
      <c r="N354" s="9">
        <v>72</v>
      </c>
      <c r="O354" s="9">
        <v>76</v>
      </c>
      <c r="P354" s="9">
        <v>76</v>
      </c>
      <c r="Q354" s="9">
        <v>102</v>
      </c>
      <c r="R354" s="9">
        <v>81.497395497128878</v>
      </c>
      <c r="S354" s="9">
        <v>81.497395497128878</v>
      </c>
      <c r="T354" s="9">
        <v>81.497395497128878</v>
      </c>
      <c r="U354" s="9">
        <v>74.663193996171827</v>
      </c>
      <c r="V354" s="9">
        <v>74.663193996171827</v>
      </c>
      <c r="W354" s="9">
        <v>74.663193996171827</v>
      </c>
      <c r="X354" s="9">
        <v>74.663193996171827</v>
      </c>
    </row>
    <row r="355" spans="1:24" x14ac:dyDescent="0.25">
      <c r="A355" s="8" t="s">
        <v>614</v>
      </c>
      <c r="B355" s="4" t="s">
        <v>615</v>
      </c>
      <c r="C355" s="4" t="s">
        <v>616</v>
      </c>
      <c r="D355" s="4"/>
      <c r="E355" s="9">
        <v>-0.91031216777809998</v>
      </c>
      <c r="F355" s="9">
        <v>0.48052445210067951</v>
      </c>
      <c r="G355" s="9">
        <v>0.82761886720969879</v>
      </c>
      <c r="H355" s="9">
        <v>2.6274269557021679</v>
      </c>
      <c r="I355" s="9">
        <v>0.38088097469540766</v>
      </c>
      <c r="J355" s="9">
        <v>0.71544639521852815</v>
      </c>
      <c r="K355" s="9">
        <v>0.312156497438286</v>
      </c>
      <c r="L355" s="9">
        <v>1.6527713304242875</v>
      </c>
      <c r="M355" s="9">
        <v>-0.74159177244510333</v>
      </c>
      <c r="N355" s="9">
        <v>3.0723672034055155E-2</v>
      </c>
      <c r="O355" s="9">
        <v>3.9649608114338403E-2</v>
      </c>
      <c r="P355" s="9">
        <v>1.3750345208505939</v>
      </c>
      <c r="Q355" s="9">
        <v>-1.6710502115137025</v>
      </c>
      <c r="R355" s="9">
        <v>2.1592228614516866</v>
      </c>
      <c r="S355" s="9">
        <v>-0.76919824543459547</v>
      </c>
      <c r="T355" s="9">
        <v>-0.33370459504269057</v>
      </c>
      <c r="U355" s="9">
        <v>-1.8165263876972517</v>
      </c>
      <c r="V355" s="9">
        <v>0.20361714756237873</v>
      </c>
      <c r="W355" s="9">
        <v>-0.68641281359576301</v>
      </c>
      <c r="X355" s="9">
        <v>0.94633414336649968</v>
      </c>
    </row>
    <row r="356" spans="1:24" x14ac:dyDescent="0.25">
      <c r="A356" s="8" t="s">
        <v>617</v>
      </c>
      <c r="B356" s="4" t="s">
        <v>618</v>
      </c>
      <c r="C356" s="4" t="s">
        <v>619</v>
      </c>
      <c r="D356" s="4"/>
      <c r="E356" s="9">
        <v>0.46274282400695854</v>
      </c>
      <c r="F356" s="9">
        <v>1.5768016078093599</v>
      </c>
      <c r="G356" s="9">
        <v>2.0095662057207804</v>
      </c>
      <c r="H356" s="9">
        <v>4.0023562676720079</v>
      </c>
      <c r="I356" s="9">
        <v>1.7796626054358013</v>
      </c>
      <c r="J356" s="9">
        <v>2.3609450877848337</v>
      </c>
      <c r="K356" s="9">
        <v>2.4192827200745226</v>
      </c>
      <c r="L356" s="9">
        <v>4.2369325039457806</v>
      </c>
      <c r="M356" s="9">
        <v>1.5764847586398592</v>
      </c>
      <c r="N356" s="9">
        <v>3.0089764945400703</v>
      </c>
      <c r="O356" s="9">
        <v>3.2757030889810972</v>
      </c>
      <c r="P356" s="9">
        <v>5.0132560066280032</v>
      </c>
      <c r="Q356" s="9">
        <v>2.3939672613573664</v>
      </c>
      <c r="R356" s="9">
        <v>9.4127279776363348</v>
      </c>
      <c r="S356" s="9">
        <v>3.2438401959716368</v>
      </c>
      <c r="T356" s="9">
        <v>2.5962050072347749</v>
      </c>
      <c r="U356" s="9">
        <v>2.884667855959552</v>
      </c>
      <c r="V356" s="9">
        <v>10.146131829114148</v>
      </c>
      <c r="W356" s="9">
        <v>4.6084177717546133</v>
      </c>
      <c r="X356" s="9">
        <v>1.2019959872047101</v>
      </c>
    </row>
    <row r="357" spans="1:24" x14ac:dyDescent="0.25">
      <c r="A357" s="8" t="s">
        <v>620</v>
      </c>
      <c r="B357" s="4" t="s">
        <v>621</v>
      </c>
      <c r="C357" s="4" t="s">
        <v>622</v>
      </c>
      <c r="D357" s="4"/>
      <c r="E357" s="9">
        <v>-4455</v>
      </c>
      <c r="F357" s="9">
        <v>6734</v>
      </c>
      <c r="G357" s="9">
        <v>20241</v>
      </c>
      <c r="H357" s="9">
        <v>15308</v>
      </c>
      <c r="I357" s="9">
        <v>48778</v>
      </c>
      <c r="J357" s="9">
        <v>49575</v>
      </c>
      <c r="K357" s="9">
        <v>46150</v>
      </c>
      <c r="L357" s="9">
        <v>-9939</v>
      </c>
      <c r="M357" s="9" t="s">
        <v>666</v>
      </c>
      <c r="N357" s="9">
        <v>18184</v>
      </c>
      <c r="O357" s="9">
        <v>14788</v>
      </c>
      <c r="P357" s="9">
        <v>-3594</v>
      </c>
      <c r="Q357" s="9">
        <v>1232</v>
      </c>
      <c r="R357" s="9">
        <v>-18032.359534769348</v>
      </c>
      <c r="S357" s="9">
        <v>-9029.9669140227361</v>
      </c>
      <c r="T357" s="9">
        <v>20815.779185819854</v>
      </c>
      <c r="U357" s="9">
        <v>-3942.3697574599505</v>
      </c>
      <c r="V357" s="9">
        <v>-28097.761225839815</v>
      </c>
      <c r="W357" s="9">
        <v>-11701.219570831641</v>
      </c>
      <c r="X357" s="9">
        <v>15059.99116250415</v>
      </c>
    </row>
    <row r="358" spans="1:24" x14ac:dyDescent="0.25">
      <c r="A358" s="8" t="s">
        <v>623</v>
      </c>
      <c r="B358" s="4" t="s">
        <v>624</v>
      </c>
      <c r="C358" s="4" t="s">
        <v>625</v>
      </c>
      <c r="D358" s="4"/>
      <c r="E358" s="9">
        <v>-9419</v>
      </c>
      <c r="F358" s="9">
        <v>5021</v>
      </c>
      <c r="G358" s="9">
        <v>8738</v>
      </c>
      <c r="H358" s="9">
        <v>27877</v>
      </c>
      <c r="I358" s="9">
        <v>4064</v>
      </c>
      <c r="J358" s="9">
        <v>7661</v>
      </c>
      <c r="K358" s="9">
        <v>3351</v>
      </c>
      <c r="L358" s="9">
        <v>17802</v>
      </c>
      <c r="M358" s="9">
        <v>-8004</v>
      </c>
      <c r="N358" s="9">
        <v>332</v>
      </c>
      <c r="O358" s="9">
        <v>430</v>
      </c>
      <c r="P358" s="9">
        <v>14937</v>
      </c>
      <c r="Q358" s="9">
        <v>-18171</v>
      </c>
      <c r="R358" s="9">
        <v>8458.8820921168244</v>
      </c>
      <c r="S358" s="9">
        <v>-7536.8947809175443</v>
      </c>
      <c r="T358" s="9">
        <v>3441.7698454817214</v>
      </c>
      <c r="U358" s="9">
        <v>-18551.088960655026</v>
      </c>
      <c r="V358" s="9">
        <v>9559.5984120034882</v>
      </c>
      <c r="W358" s="9">
        <v>-1406.471908927701</v>
      </c>
      <c r="X358" s="9">
        <v>10804.080578026196</v>
      </c>
    </row>
    <row r="359" spans="1:24" x14ac:dyDescent="0.25">
      <c r="A359" s="8" t="s">
        <v>626</v>
      </c>
      <c r="B359" s="4" t="s">
        <v>627</v>
      </c>
      <c r="C359" s="4" t="s">
        <v>628</v>
      </c>
      <c r="D359" s="4"/>
      <c r="E359" s="9">
        <v>-3319</v>
      </c>
      <c r="F359" s="9">
        <v>7878</v>
      </c>
      <c r="G359" s="9">
        <v>21434</v>
      </c>
      <c r="H359" s="9">
        <v>15379</v>
      </c>
      <c r="I359" s="9">
        <v>50149</v>
      </c>
      <c r="J359" s="9">
        <v>52973</v>
      </c>
      <c r="K359" s="9">
        <v>47747</v>
      </c>
      <c r="L359" s="9">
        <v>38219</v>
      </c>
      <c r="M359" s="9">
        <v>25925</v>
      </c>
      <c r="N359" s="9">
        <v>18184</v>
      </c>
      <c r="O359" s="9">
        <v>14788</v>
      </c>
      <c r="P359" s="9">
        <v>11194</v>
      </c>
      <c r="Q359" s="9">
        <v>1232</v>
      </c>
      <c r="R359" s="9">
        <v>-810.50432335141932</v>
      </c>
      <c r="S359" s="9">
        <v>-6871.8965249200492</v>
      </c>
      <c r="T359" s="9">
        <v>12505.764394247861</v>
      </c>
      <c r="U359" s="9">
        <v>-5959.0418467023146</v>
      </c>
      <c r="V359" s="9">
        <v>-2641.6571983572544</v>
      </c>
      <c r="W359" s="9">
        <v>-2439.7461377543177</v>
      </c>
      <c r="X359" s="9">
        <v>17607.794942445118</v>
      </c>
    </row>
    <row r="360" spans="1:24" x14ac:dyDescent="0.25">
      <c r="A360" s="8" t="s">
        <v>629</v>
      </c>
      <c r="B360" s="4" t="s">
        <v>630</v>
      </c>
      <c r="C360" s="4" t="s">
        <v>631</v>
      </c>
      <c r="D360" s="4"/>
      <c r="E360" s="9">
        <v>0.46712195121951222</v>
      </c>
      <c r="F360" s="9">
        <v>1.6019445794846865</v>
      </c>
      <c r="G360" s="9">
        <v>2.0555124975779888</v>
      </c>
      <c r="H360" s="9">
        <v>4.1005214368482044</v>
      </c>
      <c r="I360" s="9">
        <v>1.8270951602039835</v>
      </c>
      <c r="J360" s="9">
        <v>2.4199291662678282</v>
      </c>
      <c r="K360" s="9">
        <v>2.4731930292353108</v>
      </c>
      <c r="L360" s="9">
        <v>4.324867323730099</v>
      </c>
      <c r="M360" s="9">
        <v>1.6047345091011977</v>
      </c>
      <c r="N360" s="9">
        <v>3.056782927517157</v>
      </c>
      <c r="O360" s="9">
        <v>3.3281806258197491</v>
      </c>
      <c r="P360" s="9">
        <v>5.0853487720608834</v>
      </c>
      <c r="Q360" s="9">
        <v>2.4231592664991157</v>
      </c>
      <c r="R360" s="9">
        <v>9.5138401168364641</v>
      </c>
      <c r="S360" s="9">
        <v>3.2872562863157375</v>
      </c>
      <c r="T360" s="9">
        <v>2.6368735389070959</v>
      </c>
      <c r="U360" s="9">
        <v>2.943021014316078</v>
      </c>
      <c r="V360" s="9">
        <v>10.385352339809989</v>
      </c>
      <c r="W360" s="9">
        <v>4.7316628611350353</v>
      </c>
      <c r="X360" s="9">
        <v>1.2378167926597305</v>
      </c>
    </row>
    <row r="361" spans="1:24" x14ac:dyDescent="0.25">
      <c r="A361" s="8" t="s">
        <v>632</v>
      </c>
      <c r="B361" s="4" t="s">
        <v>633</v>
      </c>
      <c r="C361" s="4" t="s">
        <v>634</v>
      </c>
      <c r="D361" s="4"/>
      <c r="E361" s="9">
        <v>3.759481147631087</v>
      </c>
      <c r="F361" s="9">
        <v>12.260479376111562</v>
      </c>
      <c r="G361" s="9">
        <v>14.828456210730835</v>
      </c>
      <c r="H361" s="9">
        <v>24.985143650602197</v>
      </c>
      <c r="I361" s="9">
        <v>13.250019188768638</v>
      </c>
      <c r="J361" s="9">
        <v>17.084411766693471</v>
      </c>
      <c r="K361" s="9">
        <v>16.346607753167543</v>
      </c>
      <c r="L361" s="9">
        <v>24.301354690295646</v>
      </c>
      <c r="M361" s="9">
        <v>10.930383446716387</v>
      </c>
      <c r="N361" s="9">
        <v>19.388558275989553</v>
      </c>
      <c r="O361" s="9">
        <v>19.717598476985497</v>
      </c>
      <c r="P361" s="9">
        <v>25.521355665320122</v>
      </c>
      <c r="Q361" s="9">
        <v>14.341198442036371</v>
      </c>
      <c r="R361" s="9">
        <v>23.427278500575994</v>
      </c>
      <c r="S361" s="9">
        <v>22.175379571688541</v>
      </c>
      <c r="T361" s="9">
        <v>27.040749461848833</v>
      </c>
      <c r="U361" s="9">
        <v>24.625412895509982</v>
      </c>
      <c r="V361" s="9">
        <v>22.36617646101552</v>
      </c>
      <c r="W361" s="9">
        <v>26.261983147526443</v>
      </c>
      <c r="X361" s="9">
        <v>31.88832760793348</v>
      </c>
    </row>
    <row r="362" spans="1:24" x14ac:dyDescent="0.25">
      <c r="A362" s="8" t="s">
        <v>635</v>
      </c>
      <c r="B362" s="4"/>
      <c r="C362" s="4"/>
      <c r="D362" s="4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</row>
    <row r="363" spans="1:24" x14ac:dyDescent="0.25">
      <c r="A363" s="8" t="s">
        <v>636</v>
      </c>
      <c r="B363" s="4" t="s">
        <v>637</v>
      </c>
      <c r="C363" s="4" t="s">
        <v>638</v>
      </c>
      <c r="D363" s="4"/>
      <c r="E363" s="9">
        <v>8</v>
      </c>
      <c r="F363" s="9">
        <v>240</v>
      </c>
      <c r="G363" s="9">
        <v>183</v>
      </c>
      <c r="H363" s="9">
        <v>211</v>
      </c>
      <c r="I363" s="9">
        <v>42</v>
      </c>
      <c r="J363" s="9">
        <v>181</v>
      </c>
      <c r="K363" s="9">
        <v>186</v>
      </c>
      <c r="L363" s="9">
        <v>445</v>
      </c>
      <c r="M363" s="9">
        <v>54</v>
      </c>
      <c r="N363" s="9">
        <v>937</v>
      </c>
      <c r="O363" s="9">
        <v>977</v>
      </c>
      <c r="P363" s="9">
        <v>943</v>
      </c>
      <c r="Q363" s="9">
        <v>1565</v>
      </c>
      <c r="R363" s="9">
        <v>875.75897828464792</v>
      </c>
      <c r="S363" s="9">
        <v>911.42158133043051</v>
      </c>
      <c r="T363" s="9">
        <v>991.8681866669383</v>
      </c>
      <c r="U363" s="9">
        <v>994.85549997957162</v>
      </c>
      <c r="V363" s="9">
        <v>895.67790671259547</v>
      </c>
      <c r="W363" s="9">
        <v>946.49068687786712</v>
      </c>
      <c r="X363" s="9">
        <v>1046.7839177047035</v>
      </c>
    </row>
    <row r="364" spans="1:24" x14ac:dyDescent="0.25">
      <c r="A364" s="8" t="s">
        <v>639</v>
      </c>
      <c r="B364" s="4" t="s">
        <v>640</v>
      </c>
      <c r="C364" s="4" t="s">
        <v>641</v>
      </c>
      <c r="D364" s="4"/>
      <c r="E364" s="9">
        <v>131</v>
      </c>
      <c r="F364" s="9">
        <v>84</v>
      </c>
      <c r="G364" s="9">
        <v>93</v>
      </c>
      <c r="H364" s="9">
        <v>49</v>
      </c>
      <c r="I364" s="9">
        <v>37</v>
      </c>
      <c r="J364" s="9">
        <v>31</v>
      </c>
      <c r="K364" s="9">
        <v>21</v>
      </c>
      <c r="L364" s="9">
        <v>8</v>
      </c>
      <c r="M364" s="9" t="s">
        <v>666</v>
      </c>
      <c r="N364" s="9" t="s">
        <v>666</v>
      </c>
      <c r="O364" s="9" t="s">
        <v>666</v>
      </c>
      <c r="P364" s="9" t="s">
        <v>666</v>
      </c>
      <c r="Q364" s="9" t="s">
        <v>666</v>
      </c>
      <c r="R364" s="9">
        <v>534.96556987510689</v>
      </c>
      <c r="S364" s="9">
        <v>568.99582193046547</v>
      </c>
      <c r="T364" s="9">
        <v>552.21424932583091</v>
      </c>
      <c r="U364" s="9">
        <v>22.263564920313108</v>
      </c>
      <c r="V364" s="9">
        <v>731.01532107879837</v>
      </c>
      <c r="W364" s="9">
        <v>767.81767025095405</v>
      </c>
      <c r="X364" s="9">
        <v>747.42899006392713</v>
      </c>
    </row>
    <row r="365" spans="1:24" x14ac:dyDescent="0.25">
      <c r="A365" s="8" t="s">
        <v>642</v>
      </c>
      <c r="B365" s="4" t="s">
        <v>643</v>
      </c>
      <c r="C365" s="4" t="s">
        <v>644</v>
      </c>
      <c r="D365" s="4"/>
      <c r="E365" s="9">
        <v>19105</v>
      </c>
      <c r="F365" s="9">
        <v>22769</v>
      </c>
      <c r="G365" s="9">
        <v>25653</v>
      </c>
      <c r="H365" s="9">
        <v>26158</v>
      </c>
      <c r="I365" s="9">
        <v>26171</v>
      </c>
      <c r="J365" s="9">
        <v>28310</v>
      </c>
      <c r="K365" s="9">
        <v>28108</v>
      </c>
      <c r="L365" s="9">
        <v>34346</v>
      </c>
      <c r="M365" s="9">
        <v>29366</v>
      </c>
      <c r="N365" s="9">
        <v>35707</v>
      </c>
      <c r="O365" s="9">
        <v>38809</v>
      </c>
      <c r="P365" s="9">
        <v>39969</v>
      </c>
      <c r="Q365" s="9">
        <v>46587</v>
      </c>
      <c r="R365" s="9">
        <v>59037.519467099875</v>
      </c>
      <c r="S365" s="9">
        <v>47076.257728084114</v>
      </c>
      <c r="T365" s="9">
        <v>47788.822213606756</v>
      </c>
      <c r="U365" s="9">
        <v>38057.176230735611</v>
      </c>
      <c r="V365" s="9">
        <v>103490.3280064154</v>
      </c>
      <c r="W365" s="9">
        <v>45979.613451571138</v>
      </c>
      <c r="X365" s="9">
        <v>8103.7200221449293</v>
      </c>
    </row>
    <row r="366" spans="1:24" x14ac:dyDescent="0.25">
      <c r="A366" s="8" t="s">
        <v>14</v>
      </c>
      <c r="B366" s="4"/>
      <c r="C366" s="4"/>
      <c r="D366" s="4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</row>
    <row r="367" spans="1:24" x14ac:dyDescent="0.25">
      <c r="A367" s="5" t="s">
        <v>645</v>
      </c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67"/>
  <sheetViews>
    <sheetView workbookViewId="0"/>
  </sheetViews>
  <sheetFormatPr defaultRowHeight="15" x14ac:dyDescent="0.25"/>
  <cols>
    <col min="1" max="1" width="34.28515625" customWidth="1"/>
    <col min="2" max="4" width="0" hidden="1" customWidth="1"/>
    <col min="5" max="24" width="19" customWidth="1"/>
  </cols>
  <sheetData>
    <row r="1" spans="1:24" ht="20.25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4" x14ac:dyDescent="0.25">
      <c r="A3" s="3" t="s">
        <v>2</v>
      </c>
      <c r="B3" s="3"/>
      <c r="C3" s="3"/>
      <c r="D3" s="3"/>
      <c r="E3" s="3" t="str">
        <f>_xll.BQL("AMZN US Equity", "FISCAL_PERIOD", "FPT=Q", "FPO=-12Q", "ACT_EST_MAPPING=PRECISE", "FS=MRC", "CURRENCY=USD", "XLFILL=b")</f>
        <v>2023 Q1 (Rep)</v>
      </c>
      <c r="F3" s="3" t="str">
        <f>_xll.BQL("AMZN US Equity", "FISCAL_PERIOD", "FPT=Q", "FPO=-11Q", "ACT_EST_MAPPING=PRECISE", "FS=MRC", "CURRENCY=USD", "XLFILL=b")</f>
        <v>2023 Q2 (Rep)</v>
      </c>
      <c r="G3" s="3" t="str">
        <f>_xll.BQL("AMZN US Equity", "FISCAL_PERIOD", "FPT=Q", "FPO=-10Q", "ACT_EST_MAPPING=PRECISE", "FS=MRC", "CURRENCY=USD", "XLFILL=b")</f>
        <v>2023 Q3 (Rep)</v>
      </c>
      <c r="H3" s="3" t="str">
        <f>_xll.BQL("AMZN US Equity", "FISCAL_PERIOD", "FPT=Q", "FPO=-9Q", "ACT_EST_MAPPING=PRECISE", "FS=MRC", "CURRENCY=USD", "XLFILL=b")</f>
        <v>2023 Q4 (Rep)</v>
      </c>
      <c r="I3" s="3" t="str">
        <f>_xll.BQL("AMZN US Equity", "FISCAL_PERIOD", "FPT=Q", "FPO=-8Q", "ACT_EST_MAPPING=PRECISE", "FS=MRC", "CURRENCY=USD", "XLFILL=b")</f>
        <v>2024 Q1 (Rep)</v>
      </c>
      <c r="J3" s="3" t="str">
        <f>_xll.BQL("AMZN US Equity", "FISCAL_PERIOD", "FPT=Q", "FPO=-7Q", "ACT_EST_MAPPING=PRECISE", "FS=MRC", "CURRENCY=USD", "XLFILL=b")</f>
        <v>2024 Q2 (Rep)</v>
      </c>
      <c r="K3" s="3" t="str">
        <f>_xll.BQL("AMZN US Equity", "FISCAL_PERIOD", "FPT=Q", "FPO=-6Q", "ACT_EST_MAPPING=PRECISE", "FS=MRC", "CURRENCY=USD", "XLFILL=b")</f>
        <v>2024 Q3 (Rep)</v>
      </c>
      <c r="L3" s="3" t="str">
        <f>_xll.BQL("AMZN US Equity", "FISCAL_PERIOD", "FPT=Q", "FPO=-5Q", "ACT_EST_MAPPING=PRECISE", "FS=MRC", "CURRENCY=USD", "XLFILL=b")</f>
        <v>2024 Q4 (Rep)</v>
      </c>
      <c r="M3" s="3" t="str">
        <f>_xll.BQL("AMZN US Equity", "FISCAL_PERIOD", "FPT=Q", "FPO=-4Q", "ACT_EST_MAPPING=PRECISE", "FS=MRC", "CURRENCY=USD", "XLFILL=b")</f>
        <v>2025 Q1 (Rep)</v>
      </c>
      <c r="N3" s="3" t="str">
        <f>_xll.BQL("AMZN US Equity", "FISCAL_PERIOD", "FPT=Q", "FPO=-3Q", "ACT_EST_MAPPING=PRECISE", "FS=MRC", "CURRENCY=USD", "XLFILL=b")</f>
        <v>2025 Q2 (Rep)</v>
      </c>
      <c r="O3" s="3" t="str">
        <f>_xll.BQL("AMZN US Equity", "FISCAL_PERIOD", "FPT=Q", "FPO=-2Q", "ACT_EST_MAPPING=PRECISE", "FS=MRC", "CURRENCY=USD", "XLFILL=b")</f>
        <v>2025 Q3 (Rep)</v>
      </c>
      <c r="P3" s="3" t="str">
        <f>_xll.BQL("AMZN US Equity", "FISCAL_PERIOD", "FPT=Q", "FPO=-1Q", "ACT_EST_MAPPING=PRECISE", "FS=MRC", "CURRENCY=USD", "XLFILL=b")</f>
        <v>2025 Q4 (Rep)</v>
      </c>
      <c r="Q3" s="3" t="str">
        <f>_xll.BQL("AMZN US Equity", "FISCAL_PERIOD", "FPT=Q", "FPO=0Q", "ACT_EST_MAPPING=PRECISE", "FS=MRC", "CURRENCY=USD", "XLFILL=b")</f>
        <v>2026 Q1 (Rep)</v>
      </c>
      <c r="R3" s="3" t="str">
        <f>_xll.BQL("AMZN US Equity", "FISCAL_PERIOD", "FPT=Q", "FPO=1Q", "ACT_EST_MAPPING=PRECISE", "FS=MRC", "CURRENCY=USD", "XLFILL=b")</f>
        <v>2026 Q2 (Fwd)</v>
      </c>
      <c r="S3" s="3" t="str">
        <f>_xll.BQL("AMZN US Equity", "FISCAL_PERIOD", "FPT=Q", "FPO=2Q", "ACT_EST_MAPPING=PRECISE", "FS=MRC", "CURRENCY=USD", "XLFILL=b")</f>
        <v>2026 Q3 (Fwd)</v>
      </c>
      <c r="T3" s="3" t="str">
        <f>_xll.BQL("AMZN US Equity", "FISCAL_PERIOD", "FPT=Q", "FPO=3Q", "ACT_EST_MAPPING=PRECISE", "FS=MRC", "CURRENCY=USD", "XLFILL=b")</f>
        <v>2026 Q4 (Fwd)</v>
      </c>
      <c r="U3" s="3" t="str">
        <f>_xll.BQL("AMZN US Equity", "FISCAL_PERIOD", "FPT=Q", "FPO=4Q", "ACT_EST_MAPPING=PRECISE", "FS=MRC", "CURRENCY=USD", "XLFILL=b")</f>
        <v>2027 Q1 (Fwd)</v>
      </c>
      <c r="V3" s="3" t="str">
        <f>_xll.BQL("AMZN US Equity", "FISCAL_PERIOD", "FPT=Q", "FPO=5Q", "ACT_EST_MAPPING=PRECISE", "FS=MRC", "CURRENCY=USD", "XLFILL=b")</f>
        <v>2027 Q2 (Fwd)</v>
      </c>
      <c r="W3" s="3" t="str">
        <f>_xll.BQL("AMZN US Equity", "FISCAL_PERIOD", "FPT=Q", "FPO=6Q", "ACT_EST_MAPPING=PRECISE", "FS=MRC", "CURRENCY=USD", "XLFILL=b")</f>
        <v>2027 Q3 (Fwd)</v>
      </c>
      <c r="X3" s="3" t="str">
        <f>_xll.BQL("AMZN US Equity", "FISCAL_PERIOD", "FPT=Q", "FPO=7Q", "ACT_EST_MAPPING=PRECISE", "FS=MRC", "CURRENCY=USD", "XLFILL=b")</f>
        <v>2027 Q4 (Fwd)</v>
      </c>
    </row>
    <row r="4" spans="1:24" x14ac:dyDescent="0.25">
      <c r="A4" s="7" t="s">
        <v>3</v>
      </c>
      <c r="B4" s="7" t="s">
        <v>4</v>
      </c>
      <c r="C4" s="7" t="s">
        <v>5</v>
      </c>
      <c r="D4" s="7" t="s">
        <v>6</v>
      </c>
      <c r="E4" s="1">
        <f>_xll.BQL("AMZN US Equity", "IS_COMP_SALES().period_end_date", "FPT=Q", "FPO=-12Q", "ACT_EST_MAPPING=PRECISE", "FS=MRC", "CURRENCY=USD", "XLFILL=b")</f>
        <v>45016</v>
      </c>
      <c r="F4" s="1">
        <f>_xll.BQL("AMZN US Equity", "IS_COMP_SALES().period_end_date", "FPT=Q", "FPO=-11Q", "ACT_EST_MAPPING=PRECISE", "FS=MRC", "CURRENCY=USD", "XLFILL=b")</f>
        <v>45107</v>
      </c>
      <c r="G4" s="1">
        <f>_xll.BQL("AMZN US Equity", "IS_COMP_SALES().period_end_date", "FPT=Q", "FPO=-10Q", "ACT_EST_MAPPING=PRECISE", "FS=MRC", "CURRENCY=USD", "XLFILL=b")</f>
        <v>45199</v>
      </c>
      <c r="H4" s="1">
        <f>_xll.BQL("AMZN US Equity", "IS_COMP_SALES().period_end_date", "FPT=Q", "FPO=-9Q", "ACT_EST_MAPPING=PRECISE", "FS=MRC", "CURRENCY=USD", "XLFILL=b")</f>
        <v>45291</v>
      </c>
      <c r="I4" s="1">
        <f>_xll.BQL("AMZN US Equity", "IS_COMP_SALES().period_end_date", "FPT=Q", "FPO=-8Q", "ACT_EST_MAPPING=PRECISE", "FS=MRC", "CURRENCY=USD", "XLFILL=b")</f>
        <v>45382</v>
      </c>
      <c r="J4" s="1">
        <f>_xll.BQL("AMZN US Equity", "IS_COMP_SALES().period_end_date", "FPT=Q", "FPO=-7Q", "ACT_EST_MAPPING=PRECISE", "FS=MRC", "CURRENCY=USD", "XLFILL=b")</f>
        <v>45473</v>
      </c>
      <c r="K4" s="1">
        <f>_xll.BQL("AMZN US Equity", "IS_COMP_SALES().period_end_date", "FPT=Q", "FPO=-6Q", "ACT_EST_MAPPING=PRECISE", "FS=MRC", "CURRENCY=USD", "XLFILL=b")</f>
        <v>45565</v>
      </c>
      <c r="L4" s="1">
        <f>_xll.BQL("AMZN US Equity", "IS_COMP_SALES().period_end_date", "FPT=Q", "FPO=-5Q", "ACT_EST_MAPPING=PRECISE", "FS=MRC", "CURRENCY=USD", "XLFILL=b")</f>
        <v>45657</v>
      </c>
      <c r="M4" s="1">
        <f>_xll.BQL("AMZN US Equity", "IS_COMP_SALES().period_end_date", "FPT=Q", "FPO=-4Q", "ACT_EST_MAPPING=PRECISE", "FS=MRC", "CURRENCY=USD", "XLFILL=b")</f>
        <v>45747</v>
      </c>
      <c r="N4" s="1">
        <f>_xll.BQL("AMZN US Equity", "IS_COMP_SALES().period_end_date", "FPT=Q", "FPO=-3Q", "ACT_EST_MAPPING=PRECISE", "FS=MRC", "CURRENCY=USD", "XLFILL=b")</f>
        <v>45838</v>
      </c>
      <c r="O4" s="1">
        <f>_xll.BQL("AMZN US Equity", "IS_COMP_SALES().period_end_date", "FPT=Q", "FPO=-2Q", "ACT_EST_MAPPING=PRECISE", "FS=MRC", "CURRENCY=USD", "XLFILL=b")</f>
        <v>45930</v>
      </c>
      <c r="P4" s="1">
        <f>_xll.BQL("AMZN US Equity", "IS_COMP_SALES().period_end_date", "FPT=Q", "FPO=-1Q", "ACT_EST_MAPPING=PRECISE", "FS=MRC", "CURRENCY=USD", "XLFILL=b")</f>
        <v>46022</v>
      </c>
      <c r="Q4" s="1">
        <f>_xll.BQL("AMZN US Equity", "IS_COMP_SALES().period_end_date", "FPT=Q", "FPO=0Q", "ACT_EST_MAPPING=PRECISE", "FS=MRC", "CURRENCY=USD", "XLFILL=b")</f>
        <v>46112</v>
      </c>
      <c r="R4" s="1">
        <f>_xll.BQL("AMZN US Equity", "IS_COMP_SALES().period_end_date", "FPT=Q", "FPO=1Q", "ACT_EST_MAPPING=PRECISE", "FS=MRC", "CURRENCY=USD", "XLFILL=b")</f>
        <v>46203</v>
      </c>
      <c r="S4" s="1">
        <f>_xll.BQL("AMZN US Equity", "IS_COMP_SALES().period_end_date", "FPT=Q", "FPO=2Q", "ACT_EST_MAPPING=PRECISE", "FS=MRC", "CURRENCY=USD", "XLFILL=b")</f>
        <v>46295</v>
      </c>
      <c r="T4" s="1">
        <f>_xll.BQL("AMZN US Equity", "IS_COMP_SALES().period_end_date", "FPT=Q", "FPO=3Q", "ACT_EST_MAPPING=PRECISE", "FS=MRC", "CURRENCY=USD", "XLFILL=b")</f>
        <v>46387</v>
      </c>
      <c r="U4" s="1">
        <f>_xll.BQL("AMZN US Equity", "IS_COMP_SALES().period_end_date", "FPT=Q", "FPO=4Q", "ACT_EST_MAPPING=PRECISE", "FS=MRC", "CURRENCY=USD", "XLFILL=b")</f>
        <v>46477</v>
      </c>
      <c r="V4" s="1">
        <f>_xll.BQL("AMZN US Equity", "IS_COMP_SALES().period_end_date", "FPT=Q", "FPO=5Q", "ACT_EST_MAPPING=PRECISE", "FS=MRC", "CURRENCY=USD", "XLFILL=b")</f>
        <v>46568</v>
      </c>
      <c r="W4" s="1">
        <f>_xll.BQL("AMZN US Equity", "IS_COMP_SALES().period_end_date", "FPT=Q", "FPO=6Q", "ACT_EST_MAPPING=PRECISE", "FS=MRC", "CURRENCY=USD", "XLFILL=b")</f>
        <v>46660</v>
      </c>
      <c r="X4" s="1">
        <f>_xll.BQL("AMZN US Equity", "IS_COMP_SALES().period_end_date", "FPT=Q", "FPO=7Q", "ACT_EST_MAPPING=PRECISE", "FS=MRC", "CURRENCY=USD", "XLFILL=b")</f>
        <v>46752</v>
      </c>
    </row>
    <row r="5" spans="1:24" x14ac:dyDescent="0.25">
      <c r="A5" s="8" t="s">
        <v>7</v>
      </c>
      <c r="B5" s="4"/>
      <c r="C5" s="4"/>
      <c r="D5" s="4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 spans="1:24" x14ac:dyDescent="0.25">
      <c r="A6" s="8" t="s">
        <v>8</v>
      </c>
      <c r="B6" s="4" t="s">
        <v>9</v>
      </c>
      <c r="C6" s="4" t="s">
        <v>10</v>
      </c>
      <c r="D6" s="4"/>
      <c r="E6" s="9">
        <f>_xll.BQL("AMZN US Equity", "IS_COMP_EPS_GAAP", "FPT=Q", "FPO=-12Q", "ACT_EST_MAPPING=PRECISE", "FS=MRC", "CURRENCY=USD", "XLFILL=b")</f>
        <v>0.34473799999999999</v>
      </c>
      <c r="F6" s="9">
        <f>_xll.BQL("AMZN US Equity", "IS_COMP_EPS_GAAP", "FPT=Q", "FPO=-11Q", "ACT_EST_MAPPING=PRECISE", "FS=MRC", "CURRENCY=USD", "XLFILL=b")</f>
        <v>0.63089960759999997</v>
      </c>
      <c r="G6" s="9">
        <f>_xll.BQL("AMZN US Equity", "IS_COMP_EPS_GAAP", "FPT=Q", "FPO=-10Q", "ACT_EST_MAPPING=PRECISE", "FS=MRC", "CURRENCY=USD", "XLFILL=b")</f>
        <v>0.82658079179999999</v>
      </c>
      <c r="H6" s="9">
        <f>_xll.BQL("AMZN US Equity", "IS_COMP_EPS_GAAP", "FPT=Q", "FPO=-9Q", "ACT_EST_MAPPING=PRECISE", "FS=MRC", "CURRENCY=USD", "XLFILL=b")</f>
        <v>1.0087653000000001</v>
      </c>
      <c r="I6" s="9">
        <f>_xll.BQL("AMZN US Equity", "IS_COMP_EPS_GAAP", "FPT=Q", "FPO=-8Q", "ACT_EST_MAPPING=PRECISE", "FS=MRC", "CURRENCY=USD", "XLFILL=b")</f>
        <v>0.98</v>
      </c>
      <c r="J6" s="9">
        <f>_xll.BQL("AMZN US Equity", "IS_COMP_EPS_GAAP", "FPT=Q", "FPO=-7Q", "ACT_EST_MAPPING=PRECISE", "FS=MRC", "CURRENCY=USD", "XLFILL=b")</f>
        <v>1.26</v>
      </c>
      <c r="K6" s="9">
        <f>_xll.BQL("AMZN US Equity", "IS_COMP_EPS_GAAP", "FPT=Q", "FPO=-6Q", "ACT_EST_MAPPING=PRECISE", "FS=MRC", "CURRENCY=USD", "XLFILL=b")</f>
        <v>1.43</v>
      </c>
      <c r="L6" s="9">
        <f>_xll.BQL("AMZN US Equity", "IS_COMP_EPS_GAAP", "FPT=Q", "FPO=-5Q", "ACT_EST_MAPPING=PRECISE", "FS=MRC", "CURRENCY=USD", "XLFILL=b")</f>
        <v>1.86</v>
      </c>
      <c r="M6" s="9">
        <f>_xll.BQL("AMZN US Equity", "IS_COMP_EPS_GAAP", "FPT=Q", "FPO=-4Q", "ACT_EST_MAPPING=PRECISE", "FS=MRC", "CURRENCY=USD", "XLFILL=b")</f>
        <v>1.59</v>
      </c>
      <c r="N6" s="9">
        <f>_xll.BQL("AMZN US Equity", "IS_COMP_EPS_GAAP", "FPT=Q", "FPO=-3Q", "ACT_EST_MAPPING=PRECISE", "FS=MRC", "CURRENCY=USD", "XLFILL=b")</f>
        <v>1.68</v>
      </c>
      <c r="O6" s="9">
        <f>_xll.BQL("AMZN US Equity", "IS_COMP_EPS_GAAP", "FPT=Q", "FPO=-2Q", "ACT_EST_MAPPING=PRECISE", "FS=MRC", "CURRENCY=USD", "XLFILL=b")</f>
        <v>1.95</v>
      </c>
      <c r="P6" s="9">
        <f>_xll.BQL("AMZN US Equity", "IS_COMP_EPS_GAAP", "FPT=Q", "FPO=-1Q", "ACT_EST_MAPPING=PRECISE", "FS=MRC", "CURRENCY=USD", "XLFILL=b")</f>
        <v>1.95</v>
      </c>
      <c r="Q6" s="9">
        <f>_xll.BQL("AMZN US Equity", "IS_COMP_EPS_GAAP", "FPT=Q", "FPO=0Q", "ACT_EST_MAPPING=PRECISE", "FS=MRC", "CURRENCY=USD", "XLFILL=b")</f>
        <v>2.78</v>
      </c>
      <c r="R6" s="9">
        <f>_xll.BQL("AMZN US Equity", "IS_COMP_EPS_GAAP", "FPT=Q", "FPO=1Q", "ACT_EST_MAPPING=PRECISE", "FS=MRC", "CURRENCY=USD", "XLFILL=b")</f>
        <v>1.8229268292682923</v>
      </c>
      <c r="S6" s="9">
        <f>_xll.BQL("AMZN US Equity", "IS_COMP_EPS_GAAP", "FPT=Q", "FPO=2Q", "ACT_EST_MAPPING=PRECISE", "FS=MRC", "CURRENCY=USD", "XLFILL=b")</f>
        <v>1.937073170731707</v>
      </c>
      <c r="T6" s="9">
        <f>_xll.BQL("AMZN US Equity", "IS_COMP_EPS_GAAP", "FPT=Q", "FPO=3Q", "ACT_EST_MAPPING=PRECISE", "FS=MRC", "CURRENCY=USD", "XLFILL=b")</f>
        <v>2.3992499999999999</v>
      </c>
      <c r="U6" s="9">
        <f>_xll.BQL("AMZN US Equity", "IS_COMP_EPS_GAAP", "FPT=Q", "FPO=4Q", "ACT_EST_MAPPING=PRECISE", "FS=MRC", "CURRENCY=USD", "XLFILL=b")</f>
        <v>2.2952380952380951</v>
      </c>
      <c r="V6" s="9">
        <f>_xll.BQL("AMZN US Equity", "IS_COMP_EPS_GAAP", "FPT=Q", "FPO=5Q", "ACT_EST_MAPPING=PRECISE", "FS=MRC", "CURRENCY=USD", "XLFILL=b")</f>
        <v>2.4230000000000005</v>
      </c>
      <c r="W6" s="9">
        <f>_xll.BQL("AMZN US Equity", "IS_COMP_EPS_GAAP", "FPT=Q", "FPO=6Q", "ACT_EST_MAPPING=PRECISE", "FS=MRC", "CURRENCY=USD", "XLFILL=b")</f>
        <v>2.5642105263157893</v>
      </c>
      <c r="X6" s="9">
        <f>_xll.BQL("AMZN US Equity", "IS_COMP_EPS_GAAP", "FPT=Q", "FPO=7Q", "ACT_EST_MAPPING=PRECISE", "FS=MRC", "CURRENCY=USD", "XLFILL=b")</f>
        <v>3.088421052631579</v>
      </c>
    </row>
    <row r="7" spans="1:24" x14ac:dyDescent="0.25">
      <c r="A7" s="8" t="s">
        <v>11</v>
      </c>
      <c r="B7" s="4" t="s">
        <v>12</v>
      </c>
      <c r="C7" s="4" t="s">
        <v>13</v>
      </c>
      <c r="D7" s="4"/>
      <c r="E7" s="9">
        <f>_xll.BQL("AMZN US Equity", "IS_COMP_SALES/1M", "FPT=Q", "FPO=-12Q", "ACT_EST_MAPPING=PRECISE", "FS=MRC", "CURRENCY=USD", "XLFILL=b")</f>
        <v>127358</v>
      </c>
      <c r="F7" s="9">
        <f>_xll.BQL("AMZN US Equity", "IS_COMP_SALES/1M", "FPT=Q", "FPO=-11Q", "ACT_EST_MAPPING=PRECISE", "FS=MRC", "CURRENCY=USD", "XLFILL=b")</f>
        <v>134383</v>
      </c>
      <c r="G7" s="9">
        <f>_xll.BQL("AMZN US Equity", "IS_COMP_SALES/1M", "FPT=Q", "FPO=-10Q", "ACT_EST_MAPPING=PRECISE", "FS=MRC", "CURRENCY=USD", "XLFILL=b")</f>
        <v>143083</v>
      </c>
      <c r="H7" s="9">
        <f>_xll.BQL("AMZN US Equity", "IS_COMP_SALES/1M", "FPT=Q", "FPO=-9Q", "ACT_EST_MAPPING=PRECISE", "FS=MRC", "CURRENCY=USD", "XLFILL=b")</f>
        <v>169961</v>
      </c>
      <c r="I7" s="9">
        <f>_xll.BQL("AMZN US Equity", "IS_COMP_SALES/1M", "FPT=Q", "FPO=-8Q", "ACT_EST_MAPPING=PRECISE", "FS=MRC", "CURRENCY=USD", "XLFILL=b")</f>
        <v>143313</v>
      </c>
      <c r="J7" s="9">
        <f>_xll.BQL("AMZN US Equity", "IS_COMP_SALES/1M", "FPT=Q", "FPO=-7Q", "ACT_EST_MAPPING=PRECISE", "FS=MRC", "CURRENCY=USD", "XLFILL=b")</f>
        <v>147977</v>
      </c>
      <c r="K7" s="9">
        <f>_xll.BQL("AMZN US Equity", "IS_COMP_SALES/1M", "FPT=Q", "FPO=-6Q", "ACT_EST_MAPPING=PRECISE", "FS=MRC", "CURRENCY=USD", "XLFILL=b")</f>
        <v>158877</v>
      </c>
      <c r="L7" s="9">
        <f>_xll.BQL("AMZN US Equity", "IS_COMP_SALES/1M", "FPT=Q", "FPO=-5Q", "ACT_EST_MAPPING=PRECISE", "FS=MRC", "CURRENCY=USD", "XLFILL=b")</f>
        <v>187792</v>
      </c>
      <c r="M7" s="9">
        <f>_xll.BQL("AMZN US Equity", "IS_COMP_SALES/1M", "FPT=Q", "FPO=-4Q", "ACT_EST_MAPPING=PRECISE", "FS=MRC", "CURRENCY=USD", "XLFILL=b")</f>
        <v>155667</v>
      </c>
      <c r="N7" s="9">
        <f>_xll.BQL("AMZN US Equity", "IS_COMP_SALES/1M", "FPT=Q", "FPO=-3Q", "ACT_EST_MAPPING=PRECISE", "FS=MRC", "CURRENCY=USD", "XLFILL=b")</f>
        <v>167702</v>
      </c>
      <c r="O7" s="9">
        <f>_xll.BQL("AMZN US Equity", "IS_COMP_SALES/1M", "FPT=Q", "FPO=-2Q", "ACT_EST_MAPPING=PRECISE", "FS=MRC", "CURRENCY=USD", "XLFILL=b")</f>
        <v>180169</v>
      </c>
      <c r="P7" s="9">
        <f>_xll.BQL("AMZN US Equity", "IS_COMP_SALES/1M", "FPT=Q", "FPO=-1Q", "ACT_EST_MAPPING=PRECISE", "FS=MRC", "CURRENCY=USD", "XLFILL=b")</f>
        <v>213386</v>
      </c>
      <c r="Q7" s="9">
        <f>_xll.BQL("AMZN US Equity", "IS_COMP_SALES/1M", "FPT=Q", "FPO=0Q", "ACT_EST_MAPPING=PRECISE", "FS=MRC", "CURRENCY=USD", "XLFILL=b")</f>
        <v>181500</v>
      </c>
      <c r="R7" s="9">
        <f>_xll.BQL("AMZN US Equity", "IS_COMP_SALES/1M", "FPT=Q", "FPO=1Q", "ACT_EST_MAPPING=PRECISE", "FS=MRC", "CURRENCY=USD", "XLFILL=b")</f>
        <v>196959.55102040817</v>
      </c>
      <c r="S7" s="9">
        <f>_xll.BQL("AMZN US Equity", "IS_COMP_SALES/1M", "FPT=Q", "FPO=2Q", "ACT_EST_MAPPING=PRECISE", "FS=MRC", "CURRENCY=USD", "XLFILL=b")</f>
        <v>203945.61224489796</v>
      </c>
      <c r="T7" s="9">
        <f>_xll.BQL("AMZN US Equity", "IS_COMP_SALES/1M", "FPT=Q", "FPO=3Q", "ACT_EST_MAPPING=PRECISE", "FS=MRC", "CURRENCY=USD", "XLFILL=b")</f>
        <v>242950.60416666666</v>
      </c>
      <c r="U7" s="9">
        <f>_xll.BQL("AMZN US Equity", "IS_COMP_SALES/1M", "FPT=Q", "FPO=4Q", "ACT_EST_MAPPING=PRECISE", "FS=MRC", "CURRENCY=USD", "XLFILL=b")</f>
        <v>205994.27586206896</v>
      </c>
      <c r="V7" s="9">
        <f>_xll.BQL("AMZN US Equity", "IS_COMP_SALES/1M", "FPT=Q", "FPO=5Q", "ACT_EST_MAPPING=PRECISE", "FS=MRC", "CURRENCY=USD", "XLFILL=b")</f>
        <v>223074.14814814818</v>
      </c>
      <c r="W7" s="9">
        <f>_xll.BQL("AMZN US Equity", "IS_COMP_SALES/1M", "FPT=Q", "FPO=6Q", "ACT_EST_MAPPING=PRECISE", "FS=MRC", "CURRENCY=USD", "XLFILL=b")</f>
        <v>231770.61538461538</v>
      </c>
      <c r="X7" s="9">
        <f>_xll.BQL("AMZN US Equity", "IS_COMP_SALES/1M", "FPT=Q", "FPO=7Q", "ACT_EST_MAPPING=PRECISE", "FS=MRC", "CURRENCY=USD", "XLFILL=b")</f>
        <v>273828.69230769231</v>
      </c>
    </row>
    <row r="8" spans="1:24" x14ac:dyDescent="0.25">
      <c r="A8" s="8" t="s">
        <v>14</v>
      </c>
      <c r="B8" s="4"/>
      <c r="C8" s="4"/>
      <c r="D8" s="4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 spans="1:24" x14ac:dyDescent="0.25">
      <c r="A9" s="8" t="s">
        <v>15</v>
      </c>
      <c r="B9" s="4"/>
      <c r="C9" s="4"/>
      <c r="D9" s="4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 spans="1:24" x14ac:dyDescent="0.25">
      <c r="A10" s="8" t="s">
        <v>16</v>
      </c>
      <c r="B10" s="4" t="s">
        <v>17</v>
      </c>
      <c r="C10" s="4" t="s">
        <v>18</v>
      </c>
      <c r="D10" s="4"/>
      <c r="E10" s="9">
        <f>_xll.BQL("AMZN US Equity", "SLLR_UNIT_MIX_AS_OF_PCT_OF_PD_U", "FPT=Q", "FPO=-12Q", "ACT_EST_MAPPING=PRECISE", "FS=MRC", "CURRENCY=USD", "XLFILL=b")</f>
        <v>59</v>
      </c>
      <c r="F10" s="9">
        <f>_xll.BQL("AMZN US Equity", "SLLR_UNIT_MIX_AS_OF_PCT_OF_PD_U", "FPT=Q", "FPO=-11Q", "ACT_EST_MAPPING=PRECISE", "FS=MRC", "CURRENCY=USD", "XLFILL=b")</f>
        <v>60</v>
      </c>
      <c r="G10" s="9">
        <f>_xll.BQL("AMZN US Equity", "SLLR_UNIT_MIX_AS_OF_PCT_OF_PD_U", "FPT=Q", "FPO=-10Q", "ACT_EST_MAPPING=PRECISE", "FS=MRC", "CURRENCY=USD", "XLFILL=b")</f>
        <v>60</v>
      </c>
      <c r="H10" s="9">
        <f>_xll.BQL("AMZN US Equity", "SLLR_UNIT_MIX_AS_OF_PCT_OF_PD_U", "FPT=Q", "FPO=-9Q", "ACT_EST_MAPPING=PRECISE", "FS=MRC", "CURRENCY=USD", "XLFILL=b")</f>
        <v>61</v>
      </c>
      <c r="I10" s="9">
        <f>_xll.BQL("AMZN US Equity", "SLLR_UNIT_MIX_AS_OF_PCT_OF_PD_U", "FPT=Q", "FPO=-8Q", "ACT_EST_MAPPING=PRECISE", "FS=MRC", "CURRENCY=USD", "XLFILL=b")</f>
        <v>61</v>
      </c>
      <c r="J10" s="9">
        <f>_xll.BQL("AMZN US Equity", "SLLR_UNIT_MIX_AS_OF_PCT_OF_PD_U", "FPT=Q", "FPO=-7Q", "ACT_EST_MAPPING=PRECISE", "FS=MRC", "CURRENCY=USD", "XLFILL=b")</f>
        <v>61</v>
      </c>
      <c r="K10" s="9">
        <f>_xll.BQL("AMZN US Equity", "SLLR_UNIT_MIX_AS_OF_PCT_OF_PD_U", "FPT=Q", "FPO=-6Q", "ACT_EST_MAPPING=PRECISE", "FS=MRC", "CURRENCY=USD", "XLFILL=b")</f>
        <v>60</v>
      </c>
      <c r="L10" s="9">
        <f>_xll.BQL("AMZN US Equity", "SLLR_UNIT_MIX_AS_OF_PCT_OF_PD_U", "FPT=Q", "FPO=-5Q", "ACT_EST_MAPPING=PRECISE", "FS=MRC", "CURRENCY=USD", "XLFILL=b")</f>
        <v>62</v>
      </c>
      <c r="M10" s="9">
        <f>_xll.BQL("AMZN US Equity", "SLLR_UNIT_MIX_AS_OF_PCT_OF_PD_U", "FPT=Q", "FPO=-4Q", "ACT_EST_MAPPING=PRECISE", "FS=MRC", "CURRENCY=USD", "XLFILL=b")</f>
        <v>61</v>
      </c>
      <c r="N10" s="9">
        <f>_xll.BQL("AMZN US Equity", "SLLR_UNIT_MIX_AS_OF_PCT_OF_PD_U", "FPT=Q", "FPO=-3Q", "ACT_EST_MAPPING=PRECISE", "FS=MRC", "CURRENCY=USD", "XLFILL=b")</f>
        <v>62</v>
      </c>
      <c r="O10" s="9">
        <f>_xll.BQL("AMZN US Equity", "SLLR_UNIT_MIX_AS_OF_PCT_OF_PD_U", "FPT=Q", "FPO=-2Q", "ACT_EST_MAPPING=PRECISE", "FS=MRC", "CURRENCY=USD", "XLFILL=b")</f>
        <v>62</v>
      </c>
      <c r="P10" s="9">
        <f>_xll.BQL("AMZN US Equity", "SLLR_UNIT_MIX_AS_OF_PCT_OF_PD_U", "FPT=Q", "FPO=-1Q", "ACT_EST_MAPPING=PRECISE", "FS=MRC", "CURRENCY=USD", "XLFILL=b")</f>
        <v>61</v>
      </c>
      <c r="Q10" s="9">
        <f>_xll.BQL("AMZN US Equity", "SLLR_UNIT_MIX_AS_OF_PCT_OF_PD_U", "FPT=Q", "FPO=0Q", "ACT_EST_MAPPING=PRECISE", "FS=MRC", "CURRENCY=USD", "XLFILL=b")</f>
        <v>60</v>
      </c>
      <c r="R10" s="9">
        <f>_xll.BQL("AMZN US Equity", "SLLR_UNIT_MIX_AS_OF_PCT_OF_PD_U", "FPT=Q", "FPO=1Q", "ACT_EST_MAPPING=PRECISE", "FS=MRC", "CURRENCY=USD", "XLFILL=b")</f>
        <v>60.198854955888741</v>
      </c>
      <c r="S10" s="9">
        <f>_xll.BQL("AMZN US Equity", "SLLR_UNIT_MIX_AS_OF_PCT_OF_PD_U", "FPT=Q", "FPO=2Q", "ACT_EST_MAPPING=PRECISE", "FS=MRC", "CURRENCY=USD", "XLFILL=b")</f>
        <v>59.878684755763686</v>
      </c>
      <c r="T10" s="9">
        <f>_xll.BQL("AMZN US Equity", "SLLR_UNIT_MIX_AS_OF_PCT_OF_PD_U", "FPT=Q", "FPO=3Q", "ACT_EST_MAPPING=PRECISE", "FS=MRC", "CURRENCY=USD", "XLFILL=b")</f>
        <v>60.031405566366978</v>
      </c>
      <c r="U10" s="9">
        <f>_xll.BQL("AMZN US Equity", "SLLR_UNIT_MIX_AS_OF_PCT_OF_PD_U", "FPT=Q", "FPO=4Q", "ACT_EST_MAPPING=PRECISE", "FS=MRC", "CURRENCY=USD", "XLFILL=b")</f>
        <v>58.850302515565978</v>
      </c>
      <c r="V10" s="9">
        <f>_xll.BQL("AMZN US Equity", "SLLR_UNIT_MIX_AS_OF_PCT_OF_PD_U", "FPT=Q", "FPO=5Q", "ACT_EST_MAPPING=PRECISE", "FS=MRC", "CURRENCY=USD", "XLFILL=b")</f>
        <v>59.153041793349999</v>
      </c>
      <c r="W10" s="9">
        <f>_xll.BQL("AMZN US Equity", "SLLR_UNIT_MIX_AS_OF_PCT_OF_PD_U", "FPT=Q", "FPO=6Q", "ACT_EST_MAPPING=PRECISE", "FS=MRC", "CURRENCY=USD", "XLFILL=b")</f>
        <v>58.969908413118794</v>
      </c>
      <c r="X10" s="9">
        <f>_xll.BQL("AMZN US Equity", "SLLR_UNIT_MIX_AS_OF_PCT_OF_PD_U", "FPT=Q", "FPO=7Q", "ACT_EST_MAPPING=PRECISE", "FS=MRC", "CURRENCY=USD", "XLFILL=b")</f>
        <v>59.24702799910829</v>
      </c>
    </row>
    <row r="11" spans="1:24" x14ac:dyDescent="0.25">
      <c r="A11" s="8" t="s">
        <v>14</v>
      </c>
      <c r="B11" s="4"/>
      <c r="C11" s="4"/>
      <c r="D11" s="4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 spans="1:24" x14ac:dyDescent="0.25">
      <c r="A12" s="8" t="s">
        <v>19</v>
      </c>
      <c r="B12" s="4"/>
      <c r="C12" s="4"/>
      <c r="D12" s="4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 spans="1:24" x14ac:dyDescent="0.25">
      <c r="A13" s="8" t="s">
        <v>20</v>
      </c>
      <c r="B13" s="4" t="s">
        <v>21</v>
      </c>
      <c r="C13" s="4" t="s">
        <v>22</v>
      </c>
      <c r="D13" s="4" t="s">
        <v>23</v>
      </c>
      <c r="E13" s="9">
        <f>_xll.BQL("SEG0000227382 Segment", "SALES_REV_TURN/1M", "FPT=Q", "FPO=-12Q", "ACT_EST_MAPPING=PRECISE", "FS=MRC", "CURRENCY=USD", "XLFILL=b")</f>
        <v>51096</v>
      </c>
      <c r="F13" s="9">
        <f>_xll.BQL("SEG0000227382 Segment", "SALES_REV_TURN/1M", "FPT=Q", "FPO=-11Q", "ACT_EST_MAPPING=PRECISE", "FS=MRC", "CURRENCY=USD", "XLFILL=b")</f>
        <v>52966</v>
      </c>
      <c r="G13" s="9">
        <f>_xll.BQL("SEG0000227382 Segment", "SALES_REV_TURN/1M", "FPT=Q", "FPO=-10Q", "ACT_EST_MAPPING=PRECISE", "FS=MRC", "CURRENCY=USD", "XLFILL=b")</f>
        <v>57267</v>
      </c>
      <c r="H13" s="9">
        <f>_xll.BQL("SEG0000227382 Segment", "SALES_REV_TURN/1M", "FPT=Q", "FPO=-9Q", "ACT_EST_MAPPING=PRECISE", "FS=MRC", "CURRENCY=USD", "XLFILL=b")</f>
        <v>70543</v>
      </c>
      <c r="I13" s="9">
        <f>_xll.BQL("SEG0000227382 Segment", "SALES_REV_TURN/1M", "FPT=Q", "FPO=-8Q", "ACT_EST_MAPPING=PRECISE", "FS=MRC", "CURRENCY=USD", "XLFILL=b")</f>
        <v>54670</v>
      </c>
      <c r="J13" s="9">
        <f>_xll.BQL("SEG0000227382 Segment", "SALES_REV_TURN/1M", "FPT=Q", "FPO=-7Q", "ACT_EST_MAPPING=PRECISE", "FS=MRC", "CURRENCY=USD", "XLFILL=b")</f>
        <v>55392</v>
      </c>
      <c r="K13" s="9">
        <f>_xll.BQL("SEG0000227382 Segment", "SALES_REV_TURN/1M", "FPT=Q", "FPO=-6Q", "ACT_EST_MAPPING=PRECISE", "FS=MRC", "CURRENCY=USD", "XLFILL=b")</f>
        <v>61411</v>
      </c>
      <c r="L13" s="9">
        <f>_xll.BQL("SEG0000227382 Segment", "SALES_REV_TURN/1M", "FPT=Q", "FPO=-5Q", "ACT_EST_MAPPING=PRECISE", "FS=MRC", "CURRENCY=USD", "XLFILL=b")</f>
        <v>75556</v>
      </c>
      <c r="M13" s="9">
        <f>_xll.BQL("SEG0000227382 Segment", "SALES_REV_TURN/1M", "FPT=Q", "FPO=-4Q", "ACT_EST_MAPPING=PRECISE", "FS=MRC", "CURRENCY=USD", "XLFILL=b")</f>
        <v>57407</v>
      </c>
      <c r="N13" s="9">
        <f>_xll.BQL("SEG0000227382 Segment", "SALES_REV_TURN/1M", "FPT=Q", "FPO=-3Q", "ACT_EST_MAPPING=PRECISE", "FS=MRC", "CURRENCY=USD", "XLFILL=b")</f>
        <v>61485</v>
      </c>
      <c r="O13" s="9">
        <f>_xll.BQL("SEG0000227382 Segment", "SALES_REV_TURN/1M", "FPT=Q", "FPO=-2Q", "ACT_EST_MAPPING=PRECISE", "FS=MRC", "CURRENCY=USD", "XLFILL=b")</f>
        <v>67407</v>
      </c>
      <c r="P13" s="9">
        <f>_xll.BQL("SEG0000227382 Segment", "SALES_REV_TURN/1M", "FPT=Q", "FPO=-1Q", "ACT_EST_MAPPING=PRECISE", "FS=MRC", "CURRENCY=USD", "XLFILL=b")</f>
        <v>82988</v>
      </c>
      <c r="Q13" s="9">
        <f>_xll.BQL("SEG0000227382 Segment", "SALES_REV_TURN/1M", "FPT=Q", "FPO=0Q", "ACT_EST_MAPPING=PRECISE", "FS=MRC", "CURRENCY=USD", "XLFILL=b")</f>
        <v>64254</v>
      </c>
      <c r="R13" s="9">
        <f>_xll.BQL("SEG0000227382 Segment", "SALES_REV_TURN/1M", "FPT=Q", "FPO=1Q", "ACT_EST_MAPPING=PRECISE", "FS=MRC", "CURRENCY=USD", "XLFILL=b")</f>
        <v>69800.032735679502</v>
      </c>
      <c r="S13" s="9">
        <f>_xll.BQL("SEG0000227382 Segment", "SALES_REV_TURN/1M", "FPT=Q", "FPO=2Q", "ACT_EST_MAPPING=PRECISE", "FS=MRC", "CURRENCY=USD", "XLFILL=b")</f>
        <v>71486.748608054651</v>
      </c>
      <c r="T13" s="9">
        <f>_xll.BQL("SEG0000227382 Segment", "SALES_REV_TURN/1M", "FPT=Q", "FPO=3Q", "ACT_EST_MAPPING=PRECISE", "FS=MRC", "CURRENCY=USD", "XLFILL=b")</f>
        <v>89475.616526094091</v>
      </c>
      <c r="U13" s="9">
        <f>_xll.BQL("SEG0000227382 Segment", "SALES_REV_TURN/1M", "FPT=Q", "FPO=4Q", "ACT_EST_MAPPING=PRECISE", "FS=MRC", "CURRENCY=USD", "XLFILL=b")</f>
        <v>68684.158159880753</v>
      </c>
      <c r="V13" s="9">
        <f>_xll.BQL("SEG0000227382 Segment", "SALES_REV_TURN/1M", "FPT=Q", "FPO=5Q", "ACT_EST_MAPPING=PRECISE", "FS=MRC", "CURRENCY=USD", "XLFILL=b")</f>
        <v>75174.411414149668</v>
      </c>
      <c r="W13" s="9">
        <f>_xll.BQL("SEG0000227382 Segment", "SALES_REV_TURN/1M", "FPT=Q", "FPO=6Q", "ACT_EST_MAPPING=PRECISE", "FS=MRC", "CURRENCY=USD", "XLFILL=b")</f>
        <v>77216.644332014184</v>
      </c>
      <c r="X13" s="9">
        <f>_xll.BQL("SEG0000227382 Segment", "SALES_REV_TURN/1M", "FPT=Q", "FPO=7Q", "ACT_EST_MAPPING=PRECISE", "FS=MRC", "CURRENCY=USD", "XLFILL=b")</f>
        <v>96808.238529638606</v>
      </c>
    </row>
    <row r="14" spans="1:24" x14ac:dyDescent="0.25">
      <c r="A14" s="8" t="s">
        <v>24</v>
      </c>
      <c r="B14" s="4" t="s">
        <v>21</v>
      </c>
      <c r="C14" s="4" t="s">
        <v>22</v>
      </c>
      <c r="D14" s="4" t="s">
        <v>25</v>
      </c>
      <c r="E14" s="9">
        <f>_xll.BQL("SEG0000227467 Segment", "SALES_REV_TURN/1M", "FPT=Q", "FPO=-12Q", "ACT_EST_MAPPING=PRECISE", "FS=MRC", "CURRENCY=USD", "XLFILL=b")</f>
        <v>4895</v>
      </c>
      <c r="F14" s="9">
        <f>_xll.BQL("SEG0000227467 Segment", "SALES_REV_TURN/1M", "FPT=Q", "FPO=-11Q", "ACT_EST_MAPPING=PRECISE", "FS=MRC", "CURRENCY=USD", "XLFILL=b")</f>
        <v>5024</v>
      </c>
      <c r="G14" s="9">
        <f>_xll.BQL("SEG0000227467 Segment", "SALES_REV_TURN/1M", "FPT=Q", "FPO=-10Q", "ACT_EST_MAPPING=PRECISE", "FS=MRC", "CURRENCY=USD", "XLFILL=b")</f>
        <v>4959</v>
      </c>
      <c r="H14" s="9">
        <f>_xll.BQL("SEG0000227467 Segment", "SALES_REV_TURN/1M", "FPT=Q", "FPO=-9Q", "ACT_EST_MAPPING=PRECISE", "FS=MRC", "CURRENCY=USD", "XLFILL=b")</f>
        <v>5152</v>
      </c>
      <c r="I14" s="9">
        <f>_xll.BQL("SEG0000227467 Segment", "SALES_REV_TURN/1M", "FPT=Q", "FPO=-8Q", "ACT_EST_MAPPING=PRECISE", "FS=MRC", "CURRENCY=USD", "XLFILL=b")</f>
        <v>5202</v>
      </c>
      <c r="J14" s="9">
        <f>_xll.BQL("SEG0000227467 Segment", "SALES_REV_TURN/1M", "FPT=Q", "FPO=-7Q", "ACT_EST_MAPPING=PRECISE", "FS=MRC", "CURRENCY=USD", "XLFILL=b")</f>
        <v>5206</v>
      </c>
      <c r="K14" s="9">
        <f>_xll.BQL("SEG0000227467 Segment", "SALES_REV_TURN/1M", "FPT=Q", "FPO=-6Q", "ACT_EST_MAPPING=PRECISE", "FS=MRC", "CURRENCY=USD", "XLFILL=b")</f>
        <v>5228</v>
      </c>
      <c r="L14" s="9">
        <f>_xll.BQL("SEG0000227467 Segment", "SALES_REV_TURN/1M", "FPT=Q", "FPO=-5Q", "ACT_EST_MAPPING=PRECISE", "FS=MRC", "CURRENCY=USD", "XLFILL=b")</f>
        <v>5579</v>
      </c>
      <c r="M14" s="9">
        <f>_xll.BQL("SEG0000227467 Segment", "SALES_REV_TURN/1M", "FPT=Q", "FPO=-4Q", "ACT_EST_MAPPING=PRECISE", "FS=MRC", "CURRENCY=USD", "XLFILL=b")</f>
        <v>5533</v>
      </c>
      <c r="N14" s="9">
        <f>_xll.BQL("SEG0000227467 Segment", "SALES_REV_TURN/1M", "FPT=Q", "FPO=-3Q", "ACT_EST_MAPPING=PRECISE", "FS=MRC", "CURRENCY=USD", "XLFILL=b")</f>
        <v>5595</v>
      </c>
      <c r="O14" s="9">
        <f>_xll.BQL("SEG0000227467 Segment", "SALES_REV_TURN/1M", "FPT=Q", "FPO=-2Q", "ACT_EST_MAPPING=PRECISE", "FS=MRC", "CURRENCY=USD", "XLFILL=b")</f>
        <v>5578</v>
      </c>
      <c r="P14" s="9">
        <f>_xll.BQL("SEG0000227467 Segment", "SALES_REV_TURN/1M", "FPT=Q", "FPO=-1Q", "ACT_EST_MAPPING=PRECISE", "FS=MRC", "CURRENCY=USD", "XLFILL=b")</f>
        <v>5855</v>
      </c>
      <c r="Q14" s="9">
        <f>_xll.BQL("SEG0000227467 Segment", "SALES_REV_TURN/1M", "FPT=Q", "FPO=0Q", "ACT_EST_MAPPING=PRECISE", "FS=MRC", "CURRENCY=USD", "XLFILL=b")</f>
        <v>5785</v>
      </c>
      <c r="R14" s="9">
        <f>_xll.BQL("SEG0000227467 Segment", "SALES_REV_TURN/1M", "FPT=Q", "FPO=1Q", "ACT_EST_MAPPING=PRECISE", "FS=MRC", "CURRENCY=USD", "XLFILL=b")</f>
        <v>5868.4102571716912</v>
      </c>
      <c r="S14" s="9">
        <f>_xll.BQL("SEG0000227467 Segment", "SALES_REV_TURN/1M", "FPT=Q", "FPO=2Q", "ACT_EST_MAPPING=PRECISE", "FS=MRC", "CURRENCY=USD", "XLFILL=b")</f>
        <v>5850.4267001026565</v>
      </c>
      <c r="T14" s="9">
        <f>_xll.BQL("SEG0000227467 Segment", "SALES_REV_TURN/1M", "FPT=Q", "FPO=3Q", "ACT_EST_MAPPING=PRECISE", "FS=MRC", "CURRENCY=USD", "XLFILL=b")</f>
        <v>6177.2641341691215</v>
      </c>
      <c r="U14" s="9">
        <f>_xll.BQL("SEG0000227467 Segment", "SALES_REV_TURN/1M", "FPT=Q", "FPO=4Q", "ACT_EST_MAPPING=PRECISE", "FS=MRC", "CURRENCY=USD", "XLFILL=b")</f>
        <v>6058.5696149177793</v>
      </c>
      <c r="V14" s="9">
        <f>_xll.BQL("SEG0000227467 Segment", "SALES_REV_TURN/1M", "FPT=Q", "FPO=5Q", "ACT_EST_MAPPING=PRECISE", "FS=MRC", "CURRENCY=USD", "XLFILL=b")</f>
        <v>6135.6032417578008</v>
      </c>
      <c r="W14" s="9">
        <f>_xll.BQL("SEG0000227467 Segment", "SALES_REV_TURN/1M", "FPT=Q", "FPO=6Q", "ACT_EST_MAPPING=PRECISE", "FS=MRC", "CURRENCY=USD", "XLFILL=b")</f>
        <v>6102.7681808945335</v>
      </c>
      <c r="X14" s="9">
        <f>_xll.BQL("SEG0000227467 Segment", "SALES_REV_TURN/1M", "FPT=Q", "FPO=7Q", "ACT_EST_MAPPING=PRECISE", "FS=MRC", "CURRENCY=USD", "XLFILL=b")</f>
        <v>6421.06062305048</v>
      </c>
    </row>
    <row r="15" spans="1:24" x14ac:dyDescent="0.25">
      <c r="A15" s="8" t="s">
        <v>26</v>
      </c>
      <c r="B15" s="4" t="s">
        <v>27</v>
      </c>
      <c r="C15" s="4" t="s">
        <v>28</v>
      </c>
      <c r="D15" s="4" t="s">
        <v>25</v>
      </c>
      <c r="E15" s="9">
        <f>_xll.BQL("SEG0000227467 Segment", "REVENUE_GROWTH_CC_1_YR", "FPT=Q", "FPO=-12Q", "ACT_EST_MAPPING=PRECISE", "FS=MRC", "CURRENCY=USD", "XLFILL=b")</f>
        <v>7</v>
      </c>
      <c r="F15" s="9">
        <f>_xll.BQL("SEG0000227467 Segment", "REVENUE_GROWTH_CC_1_YR", "FPT=Q", "FPO=-11Q", "ACT_EST_MAPPING=PRECISE", "FS=MRC", "CURRENCY=USD", "XLFILL=b")</f>
        <v>7</v>
      </c>
      <c r="G15" s="9">
        <f>_xll.BQL("SEG0000227467 Segment", "REVENUE_GROWTH_CC_1_YR", "FPT=Q", "FPO=-10Q", "ACT_EST_MAPPING=PRECISE", "FS=MRC", "CURRENCY=USD", "XLFILL=b")</f>
        <v>6</v>
      </c>
      <c r="H15" s="9">
        <f>_xll.BQL("SEG0000227467 Segment", "REVENUE_GROWTH_CC_1_YR", "FPT=Q", "FPO=-9Q", "ACT_EST_MAPPING=PRECISE", "FS=MRC", "CURRENCY=USD", "XLFILL=b")</f>
        <v>4</v>
      </c>
      <c r="I15" s="9">
        <f>_xll.BQL("SEG0000227467 Segment", "REVENUE_GROWTH_CC_1_YR", "FPT=Q", "FPO=-8Q", "ACT_EST_MAPPING=PRECISE", "FS=MRC", "CURRENCY=USD", "XLFILL=b")</f>
        <v>6</v>
      </c>
      <c r="J15" s="9">
        <f>_xll.BQL("SEG0000227467 Segment", "REVENUE_GROWTH_CC_1_YR", "FPT=Q", "FPO=-7Q", "ACT_EST_MAPPING=PRECISE", "FS=MRC", "CURRENCY=USD", "XLFILL=b")</f>
        <v>4</v>
      </c>
      <c r="K15" s="9">
        <f>_xll.BQL("SEG0000227467 Segment", "REVENUE_GROWTH_CC_1_YR", "FPT=Q", "FPO=-6Q", "ACT_EST_MAPPING=PRECISE", "FS=MRC", "CURRENCY=USD", "XLFILL=b")</f>
        <v>5</v>
      </c>
      <c r="L15" s="9">
        <f>_xll.BQL("SEG0000227467 Segment", "REVENUE_GROWTH_CC_1_YR", "FPT=Q", "FPO=-5Q", "ACT_EST_MAPPING=PRECISE", "FS=MRC", "CURRENCY=USD", "XLFILL=b")</f>
        <v>8</v>
      </c>
      <c r="M15" s="9">
        <f>_xll.BQL("SEG0000227467 Segment", "REVENUE_GROWTH_CC_1_YR", "FPT=Q", "FPO=-4Q", "ACT_EST_MAPPING=PRECISE", "FS=MRC", "CURRENCY=USD", "XLFILL=b")</f>
        <v>7</v>
      </c>
      <c r="N15" s="9">
        <f>_xll.BQL("SEG0000227467 Segment", "REVENUE_GROWTH_CC_1_YR", "FPT=Q", "FPO=-3Q", "ACT_EST_MAPPING=PRECISE", "FS=MRC", "CURRENCY=USD", "XLFILL=b")</f>
        <v>7</v>
      </c>
      <c r="O15" s="9">
        <f>_xll.BQL("SEG0000227467 Segment", "REVENUE_GROWTH_CC_1_YR", "FPT=Q", "FPO=-2Q", "ACT_EST_MAPPING=PRECISE", "FS=MRC", "CURRENCY=USD", "XLFILL=b")</f>
        <v>7</v>
      </c>
      <c r="P15" s="9">
        <f>_xll.BQL("SEG0000227467 Segment", "REVENUE_GROWTH_CC_1_YR", "FPT=Q", "FPO=-1Q", "ACT_EST_MAPPING=PRECISE", "FS=MRC", "CURRENCY=USD", "XLFILL=b")</f>
        <v>5</v>
      </c>
      <c r="Q15" s="9">
        <f>_xll.BQL("SEG0000227467 Segment", "REVENUE_GROWTH_CC_1_YR", "FPT=Q", "FPO=0Q", "ACT_EST_MAPPING=PRECISE", "FS=MRC", "CURRENCY=USD", "XLFILL=b")</f>
        <v>4</v>
      </c>
      <c r="R15" s="9">
        <f>_xll.BQL("SEG0000227467 Segment", "REVENUE_GROWTH_CC_1_YR", "FPT=Q", "FPO=1Q", "ACT_EST_MAPPING=PRECISE", "FS=MRC", "CURRENCY=USD", "XLFILL=b")</f>
        <v>4.9068760236374409</v>
      </c>
      <c r="S15" s="9">
        <f>_xll.BQL("SEG0000227467 Segment", "REVENUE_GROWTH_CC_1_YR", "FPT=Q", "FPO=2Q", "ACT_EST_MAPPING=PRECISE", "FS=MRC", "CURRENCY=USD", "XLFILL=b")</f>
        <v>4.7983164086846992</v>
      </c>
      <c r="T15" s="9">
        <f>_xll.BQL("SEG0000227467 Segment", "REVENUE_GROWTH_CC_1_YR", "FPT=Q", "FPO=3Q", "ACT_EST_MAPPING=PRECISE", "FS=MRC", "CURRENCY=USD", "XLFILL=b")</f>
        <v>5.0348561966583869</v>
      </c>
      <c r="U15" s="9">
        <f>_xll.BQL("SEG0000227467 Segment", "REVENUE_GROWTH_CC_1_YR", "FPT=Q", "FPO=4Q", "ACT_EST_MAPPING=PRECISE", "FS=MRC", "CURRENCY=USD", "XLFILL=b")</f>
        <v>4.8039607698256797</v>
      </c>
      <c r="V15" s="9">
        <f>_xll.BQL("SEG0000227467 Segment", "REVENUE_GROWTH_CC_1_YR", "FPT=Q", "FPO=5Q", "ACT_EST_MAPPING=PRECISE", "FS=MRC", "CURRENCY=USD", "XLFILL=b")</f>
        <v>4.7206595399167917</v>
      </c>
      <c r="W15" s="9">
        <f>_xll.BQL("SEG0000227467 Segment", "REVENUE_GROWTH_CC_1_YR", "FPT=Q", "FPO=6Q", "ACT_EST_MAPPING=PRECISE", "FS=MRC", "CURRENCY=USD", "XLFILL=b")</f>
        <v>4.7008608808431482</v>
      </c>
      <c r="X15" s="9">
        <f>_xll.BQL("SEG0000227467 Segment", "REVENUE_GROWTH_CC_1_YR", "FPT=Q", "FPO=7Q", "ACT_EST_MAPPING=PRECISE", "FS=MRC", "CURRENCY=USD", "XLFILL=b")</f>
        <v>4.6217239085945208</v>
      </c>
    </row>
    <row r="16" spans="1:24" x14ac:dyDescent="0.25">
      <c r="A16" s="8" t="s">
        <v>29</v>
      </c>
      <c r="B16" s="4" t="s">
        <v>21</v>
      </c>
      <c r="C16" s="4" t="s">
        <v>22</v>
      </c>
      <c r="D16" s="4" t="s">
        <v>30</v>
      </c>
      <c r="E16" s="9">
        <f>_xll.BQL("SEG0000227433 Segment", "SALES_REV_TURN/1M", "FPT=Q", "FPO=-12Q", "ACT_EST_MAPPING=PRECISE", "FS=MRC", "CURRENCY=USD", "XLFILL=b")</f>
        <v>29820</v>
      </c>
      <c r="F16" s="9">
        <f>_xll.BQL("SEG0000227433 Segment", "SALES_REV_TURN/1M", "FPT=Q", "FPO=-11Q", "ACT_EST_MAPPING=PRECISE", "FS=MRC", "CURRENCY=USD", "XLFILL=b")</f>
        <v>32332</v>
      </c>
      <c r="G16" s="9">
        <f>_xll.BQL("SEG0000227433 Segment", "SALES_REV_TURN/1M", "FPT=Q", "FPO=-10Q", "ACT_EST_MAPPING=PRECISE", "FS=MRC", "CURRENCY=USD", "XLFILL=b")</f>
        <v>34342</v>
      </c>
      <c r="H16" s="9">
        <f>_xll.BQL("SEG0000227433 Segment", "SALES_REV_TURN/1M", "FPT=Q", "FPO=-9Q", "ACT_EST_MAPPING=PRECISE", "FS=MRC", "CURRENCY=USD", "XLFILL=b")</f>
        <v>43559</v>
      </c>
      <c r="I16" s="9">
        <f>_xll.BQL("SEG0000227433 Segment", "SALES_REV_TURN/1M", "FPT=Q", "FPO=-8Q", "ACT_EST_MAPPING=PRECISE", "FS=MRC", "CURRENCY=USD", "XLFILL=b")</f>
        <v>34596</v>
      </c>
      <c r="J16" s="9">
        <f>_xll.BQL("SEG0000227433 Segment", "SALES_REV_TURN/1M", "FPT=Q", "FPO=-7Q", "ACT_EST_MAPPING=PRECISE", "FS=MRC", "CURRENCY=USD", "XLFILL=b")</f>
        <v>36201</v>
      </c>
      <c r="K16" s="9">
        <f>_xll.BQL("SEG0000227433 Segment", "SALES_REV_TURN/1M", "FPT=Q", "FPO=-6Q", "ACT_EST_MAPPING=PRECISE", "FS=MRC", "CURRENCY=USD", "XLFILL=b")</f>
        <v>37864</v>
      </c>
      <c r="L16" s="9">
        <f>_xll.BQL("SEG0000227433 Segment", "SALES_REV_TURN/1M", "FPT=Q", "FPO=-5Q", "ACT_EST_MAPPING=PRECISE", "FS=MRC", "CURRENCY=USD", "XLFILL=b")</f>
        <v>47485</v>
      </c>
      <c r="M16" s="9">
        <f>_xll.BQL("SEG0000227433 Segment", "SALES_REV_TURN/1M", "FPT=Q", "FPO=-4Q", "ACT_EST_MAPPING=PRECISE", "FS=MRC", "CURRENCY=USD", "XLFILL=b")</f>
        <v>36512</v>
      </c>
      <c r="N16" s="9">
        <f>_xll.BQL("SEG0000227433 Segment", "SALES_REV_TURN/1M", "FPT=Q", "FPO=-3Q", "ACT_EST_MAPPING=PRECISE", "FS=MRC", "CURRENCY=USD", "XLFILL=b")</f>
        <v>40348</v>
      </c>
      <c r="O16" s="9">
        <f>_xll.BQL("SEG0000227433 Segment", "SALES_REV_TURN/1M", "FPT=Q", "FPO=-2Q", "ACT_EST_MAPPING=PRECISE", "FS=MRC", "CURRENCY=USD", "XLFILL=b")</f>
        <v>42486</v>
      </c>
      <c r="P16" s="9">
        <f>_xll.BQL("SEG0000227433 Segment", "SALES_REV_TURN/1M", "FPT=Q", "FPO=-1Q", "ACT_EST_MAPPING=PRECISE", "FS=MRC", "CURRENCY=USD", "XLFILL=b")</f>
        <v>52816</v>
      </c>
      <c r="Q16" s="9">
        <f>_xll.BQL("SEG0000227433 Segment", "SALES_REV_TURN/1M", "FPT=Q", "FPO=0Q", "ACT_EST_MAPPING=PRECISE", "FS=MRC", "CURRENCY=USD", "XLFILL=b")</f>
        <v>41578</v>
      </c>
      <c r="R16" s="9">
        <f>_xll.BQL("SEG0000227433 Segment", "SALES_REV_TURN/1M", "FPT=Q", "FPO=1Q", "ACT_EST_MAPPING=PRECISE", "FS=MRC", "CURRENCY=USD", "XLFILL=b")</f>
        <v>46146.691824422982</v>
      </c>
      <c r="S16" s="9">
        <f>_xll.BQL("SEG0000227433 Segment", "SALES_REV_TURN/1M", "FPT=Q", "FPO=2Q", "ACT_EST_MAPPING=PRECISE", "FS=MRC", "CURRENCY=USD", "XLFILL=b")</f>
        <v>46445.881168592125</v>
      </c>
      <c r="T16" s="9">
        <f>_xll.BQL("SEG0000227433 Segment", "SALES_REV_TURN/1M", "FPT=Q", "FPO=3Q", "ACT_EST_MAPPING=PRECISE", "FS=MRC", "CURRENCY=USD", "XLFILL=b")</f>
        <v>58680.709700617379</v>
      </c>
      <c r="U16" s="9">
        <f>_xll.BQL("SEG0000227433 Segment", "SALES_REV_TURN/1M", "FPT=Q", "FPO=4Q", "ACT_EST_MAPPING=PRECISE", "FS=MRC", "CURRENCY=USD", "XLFILL=b")</f>
        <v>45599.59076718369</v>
      </c>
      <c r="V16" s="9">
        <f>_xll.BQL("SEG0000227433 Segment", "SALES_REV_TURN/1M", "FPT=Q", "FPO=5Q", "ACT_EST_MAPPING=PRECISE", "FS=MRC", "CURRENCY=USD", "XLFILL=b")</f>
        <v>50714.319328371203</v>
      </c>
      <c r="W16" s="9">
        <f>_xll.BQL("SEG0000227433 Segment", "SALES_REV_TURN/1M", "FPT=Q", "FPO=6Q", "ACT_EST_MAPPING=PRECISE", "FS=MRC", "CURRENCY=USD", "XLFILL=b")</f>
        <v>51083.503591323766</v>
      </c>
      <c r="X16" s="9">
        <f>_xll.BQL("SEG0000227433 Segment", "SALES_REV_TURN/1M", "FPT=Q", "FPO=7Q", "ACT_EST_MAPPING=PRECISE", "FS=MRC", "CURRENCY=USD", "XLFILL=b")</f>
        <v>64126.357196990954</v>
      </c>
    </row>
    <row r="17" spans="1:24" x14ac:dyDescent="0.25">
      <c r="A17" s="8" t="s">
        <v>26</v>
      </c>
      <c r="B17" s="4" t="s">
        <v>27</v>
      </c>
      <c r="C17" s="4" t="s">
        <v>28</v>
      </c>
      <c r="D17" s="4" t="s">
        <v>30</v>
      </c>
      <c r="E17" s="9">
        <f>_xll.BQL("SEG0000227433 Segment", "REVENUE_GROWTH_CC_1_YR", "FPT=Q", "FPO=-12Q", "ACT_EST_MAPPING=PRECISE", "FS=MRC", "CURRENCY=USD", "XLFILL=b")</f>
        <v>20</v>
      </c>
      <c r="F17" s="9">
        <f>_xll.BQL("SEG0000227433 Segment", "REVENUE_GROWTH_CC_1_YR", "FPT=Q", "FPO=-11Q", "ACT_EST_MAPPING=PRECISE", "FS=MRC", "CURRENCY=USD", "XLFILL=b")</f>
        <v>18</v>
      </c>
      <c r="G17" s="9">
        <f>_xll.BQL("SEG0000227433 Segment", "REVENUE_GROWTH_CC_1_YR", "FPT=Q", "FPO=-10Q", "ACT_EST_MAPPING=PRECISE", "FS=MRC", "CURRENCY=USD", "XLFILL=b")</f>
        <v>18</v>
      </c>
      <c r="H17" s="9">
        <f>_xll.BQL("SEG0000227433 Segment", "REVENUE_GROWTH_CC_1_YR", "FPT=Q", "FPO=-9Q", "ACT_EST_MAPPING=PRECISE", "FS=MRC", "CURRENCY=USD", "XLFILL=b")</f>
        <v>19</v>
      </c>
      <c r="I17" s="9">
        <f>_xll.BQL("SEG0000227433 Segment", "REVENUE_GROWTH_CC_1_YR", "FPT=Q", "FPO=-8Q", "ACT_EST_MAPPING=PRECISE", "FS=MRC", "CURRENCY=USD", "XLFILL=b")</f>
        <v>16</v>
      </c>
      <c r="J17" s="9">
        <f>_xll.BQL("SEG0000227433 Segment", "REVENUE_GROWTH_CC_1_YR", "FPT=Q", "FPO=-7Q", "ACT_EST_MAPPING=PRECISE", "FS=MRC", "CURRENCY=USD", "XLFILL=b")</f>
        <v>13</v>
      </c>
      <c r="K17" s="9">
        <f>_xll.BQL("SEG0000227433 Segment", "REVENUE_GROWTH_CC_1_YR", "FPT=Q", "FPO=-6Q", "ACT_EST_MAPPING=PRECISE", "FS=MRC", "CURRENCY=USD", "XLFILL=b")</f>
        <v>10</v>
      </c>
      <c r="L17" s="9">
        <f>_xll.BQL("SEG0000227433 Segment", "REVENUE_GROWTH_CC_1_YR", "FPT=Q", "FPO=-5Q", "ACT_EST_MAPPING=PRECISE", "FS=MRC", "CURRENCY=USD", "XLFILL=b")</f>
        <v>9</v>
      </c>
      <c r="M17" s="9">
        <f>_xll.BQL("SEG0000227433 Segment", "REVENUE_GROWTH_CC_1_YR", "FPT=Q", "FPO=-4Q", "ACT_EST_MAPPING=PRECISE", "FS=MRC", "CURRENCY=USD", "XLFILL=b")</f>
        <v>7</v>
      </c>
      <c r="N17" s="9">
        <f>_xll.BQL("SEG0000227433 Segment", "REVENUE_GROWTH_CC_1_YR", "FPT=Q", "FPO=-3Q", "ACT_EST_MAPPING=PRECISE", "FS=MRC", "CURRENCY=USD", "XLFILL=b")</f>
        <v>10</v>
      </c>
      <c r="O17" s="9">
        <f>_xll.BQL("SEG0000227433 Segment", "REVENUE_GROWTH_CC_1_YR", "FPT=Q", "FPO=-2Q", "ACT_EST_MAPPING=PRECISE", "FS=MRC", "CURRENCY=USD", "XLFILL=b")</f>
        <v>11</v>
      </c>
      <c r="P17" s="9">
        <f>_xll.BQL("SEG0000227433 Segment", "REVENUE_GROWTH_CC_1_YR", "FPT=Q", "FPO=-1Q", "ACT_EST_MAPPING=PRECISE", "FS=MRC", "CURRENCY=USD", "XLFILL=b")</f>
        <v>10</v>
      </c>
      <c r="Q17" s="9">
        <f>_xll.BQL("SEG0000227433 Segment", "REVENUE_GROWTH_CC_1_YR", "FPT=Q", "FPO=0Q", "ACT_EST_MAPPING=PRECISE", "FS=MRC", "CURRENCY=USD", "XLFILL=b")</f>
        <v>12</v>
      </c>
      <c r="R17" s="9">
        <f>_xll.BQL("SEG0000227433 Segment", "REVENUE_GROWTH_CC_1_YR", "FPT=Q", "FPO=1Q", "ACT_EST_MAPPING=PRECISE", "FS=MRC", "CURRENCY=USD", "XLFILL=b")</f>
        <v>14.534351531616164</v>
      </c>
      <c r="S17" s="9">
        <f>_xll.BQL("SEG0000227433 Segment", "REVENUE_GROWTH_CC_1_YR", "FPT=Q", "FPO=2Q", "ACT_EST_MAPPING=PRECISE", "FS=MRC", "CURRENCY=USD", "XLFILL=b")</f>
        <v>9.1661342623981739</v>
      </c>
      <c r="T17" s="9">
        <f>_xll.BQL("SEG0000227433 Segment", "REVENUE_GROWTH_CC_1_YR", "FPT=Q", "FPO=3Q", "ACT_EST_MAPPING=PRECISE", "FS=MRC", "CURRENCY=USD", "XLFILL=b")</f>
        <v>10.835026924594503</v>
      </c>
      <c r="U17" s="9">
        <f>_xll.BQL("SEG0000227433 Segment", "REVENUE_GROWTH_CC_1_YR", "FPT=Q", "FPO=4Q", "ACT_EST_MAPPING=PRECISE", "FS=MRC", "CURRENCY=USD", "XLFILL=b")</f>
        <v>9.2094196794135748</v>
      </c>
      <c r="V17" s="9">
        <f>_xll.BQL("SEG0000227433 Segment", "REVENUE_GROWTH_CC_1_YR", "FPT=Q", "FPO=5Q", "ACT_EST_MAPPING=PRECISE", "FS=MRC", "CURRENCY=USD", "XLFILL=b")</f>
        <v>9.3117615221414418</v>
      </c>
      <c r="W17" s="9">
        <f>_xll.BQL("SEG0000227433 Segment", "REVENUE_GROWTH_CC_1_YR", "FPT=Q", "FPO=6Q", "ACT_EST_MAPPING=PRECISE", "FS=MRC", "CURRENCY=USD", "XLFILL=b")</f>
        <v>10.185578044303448</v>
      </c>
      <c r="X17" s="9">
        <f>_xll.BQL("SEG0000227433 Segment", "REVENUE_GROWTH_CC_1_YR", "FPT=Q", "FPO=7Q", "ACT_EST_MAPPING=PRECISE", "FS=MRC", "CURRENCY=USD", "XLFILL=b")</f>
        <v>9.39048306966715</v>
      </c>
    </row>
    <row r="18" spans="1:24" x14ac:dyDescent="0.25">
      <c r="A18" s="8" t="s">
        <v>31</v>
      </c>
      <c r="B18" s="4" t="s">
        <v>21</v>
      </c>
      <c r="C18" s="4" t="s">
        <v>22</v>
      </c>
      <c r="D18" s="4" t="s">
        <v>32</v>
      </c>
      <c r="E18" s="9">
        <f>_xll.BQL("SEG0000612092 Segment", "SALES_REV_TURN/1M", "FPT=Q", "FPO=-12Q", "ACT_EST_MAPPING=PRECISE", "FS=MRC", "CURRENCY=USD", "XLFILL=b")</f>
        <v>9509</v>
      </c>
      <c r="F18" s="9">
        <f>_xll.BQL("SEG0000612092 Segment", "SALES_REV_TURN/1M", "FPT=Q", "FPO=-11Q", "ACT_EST_MAPPING=PRECISE", "FS=MRC", "CURRENCY=USD", "XLFILL=b")</f>
        <v>10683</v>
      </c>
      <c r="G18" s="9">
        <f>_xll.BQL("SEG0000612092 Segment", "SALES_REV_TURN/1M", "FPT=Q", "FPO=-10Q", "ACT_EST_MAPPING=PRECISE", "FS=MRC", "CURRENCY=USD", "XLFILL=b")</f>
        <v>12060</v>
      </c>
      <c r="H18" s="9">
        <f>_xll.BQL("SEG0000612092 Segment", "SALES_REV_TURN/1M", "FPT=Q", "FPO=-9Q", "ACT_EST_MAPPING=PRECISE", "FS=MRC", "CURRENCY=USD", "XLFILL=b")</f>
        <v>14654</v>
      </c>
      <c r="I18" s="9">
        <f>_xll.BQL("SEG0000612092 Segment", "SALES_REV_TURN/1M", "FPT=Q", "FPO=-8Q", "ACT_EST_MAPPING=PRECISE", "FS=MRC", "CURRENCY=USD", "XLFILL=b")</f>
        <v>11824</v>
      </c>
      <c r="J18" s="9">
        <f>_xll.BQL("SEG0000612092 Segment", "SALES_REV_TURN/1M", "FPT=Q", "FPO=-7Q", "ACT_EST_MAPPING=PRECISE", "FS=MRC", "CURRENCY=USD", "XLFILL=b")</f>
        <v>12771</v>
      </c>
      <c r="K18" s="9">
        <f>_xll.BQL("SEG0000612092 Segment", "SALES_REV_TURN/1M", "FPT=Q", "FPO=-6Q", "ACT_EST_MAPPING=PRECISE", "FS=MRC", "CURRENCY=USD", "XLFILL=b")</f>
        <v>14331</v>
      </c>
      <c r="L18" s="9">
        <f>_xll.BQL("SEG0000612092 Segment", "SALES_REV_TURN/1M", "FPT=Q", "FPO=-5Q", "ACT_EST_MAPPING=PRECISE", "FS=MRC", "CURRENCY=USD", "XLFILL=b")</f>
        <v>17288</v>
      </c>
      <c r="M18" s="9">
        <f>_xll.BQL("SEG0000612092 Segment", "SALES_REV_TURN/1M", "FPT=Q", "FPO=-4Q", "ACT_EST_MAPPING=PRECISE", "FS=MRC", "CURRENCY=USD", "XLFILL=b")</f>
        <v>13921</v>
      </c>
      <c r="N18" s="9">
        <f>_xll.BQL("SEG0000612092 Segment", "SALES_REV_TURN/1M", "FPT=Q", "FPO=-3Q", "ACT_EST_MAPPING=PRECISE", "FS=MRC", "CURRENCY=USD", "XLFILL=b")</f>
        <v>15694</v>
      </c>
      <c r="O18" s="9">
        <f>_xll.BQL("SEG0000612092 Segment", "SALES_REV_TURN/1M", "FPT=Q", "FPO=-2Q", "ACT_EST_MAPPING=PRECISE", "FS=MRC", "CURRENCY=USD", "XLFILL=b")</f>
        <v>17703</v>
      </c>
      <c r="P18" s="9">
        <f>_xll.BQL("SEG0000612092 Segment", "SALES_REV_TURN/1M", "FPT=Q", "FPO=-1Q", "ACT_EST_MAPPING=PRECISE", "FS=MRC", "CURRENCY=USD", "XLFILL=b")</f>
        <v>21317</v>
      </c>
      <c r="Q18" s="9">
        <f>_xll.BQL("SEG0000612092 Segment", "SALES_REV_TURN/1M", "FPT=Q", "FPO=0Q", "ACT_EST_MAPPING=PRECISE", "FS=MRC", "CURRENCY=USD", "XLFILL=b")</f>
        <v>17243</v>
      </c>
      <c r="R18" s="9">
        <f>_xll.BQL("SEG0000612092 Segment", "SALES_REV_TURN/1M", "FPT=Q", "FPO=1Q", "ACT_EST_MAPPING=PRECISE", "FS=MRC", "CURRENCY=USD", "XLFILL=b")</f>
        <v>19307.123771901573</v>
      </c>
      <c r="S18" s="9">
        <f>_xll.BQL("SEG0000612092 Segment", "SALES_REV_TURN/1M", "FPT=Q", "FPO=2Q", "ACT_EST_MAPPING=PRECISE", "FS=MRC", "CURRENCY=USD", "XLFILL=b")</f>
        <v>21019.420185029234</v>
      </c>
      <c r="T18" s="9">
        <f>_xll.BQL("SEG0000612092 Segment", "SALES_REV_TURN/1M", "FPT=Q", "FPO=3Q", "ACT_EST_MAPPING=PRECISE", "FS=MRC", "CURRENCY=USD", "XLFILL=b")</f>
        <v>25422.304122361707</v>
      </c>
      <c r="U18" s="9">
        <f>_xll.BQL("SEG0000612092 Segment", "SALES_REV_TURN/1M", "FPT=Q", "FPO=4Q", "ACT_EST_MAPPING=PRECISE", "FS=MRC", "CURRENCY=USD", "XLFILL=b")</f>
        <v>20284.404659251231</v>
      </c>
      <c r="V18" s="9">
        <f>_xll.BQL("SEG0000612092 Segment", "SALES_REV_TURN/1M", "FPT=Q", "FPO=5Q", "ACT_EST_MAPPING=PRECISE", "FS=MRC", "CURRENCY=USD", "XLFILL=b")</f>
        <v>22743.483229831309</v>
      </c>
      <c r="W18" s="9">
        <f>_xll.BQL("SEG0000612092 Segment", "SALES_REV_TURN/1M", "FPT=Q", "FPO=6Q", "ACT_EST_MAPPING=PRECISE", "FS=MRC", "CURRENCY=USD", "XLFILL=b")</f>
        <v>24716.739238479895</v>
      </c>
      <c r="X18" s="9">
        <f>_xll.BQL("SEG0000612092 Segment", "SALES_REV_TURN/1M", "FPT=Q", "FPO=7Q", "ACT_EST_MAPPING=PRECISE", "FS=MRC", "CURRENCY=USD", "XLFILL=b")</f>
        <v>29885.374216240853</v>
      </c>
    </row>
    <row r="19" spans="1:24" x14ac:dyDescent="0.25">
      <c r="A19" s="8" t="s">
        <v>26</v>
      </c>
      <c r="B19" s="4" t="s">
        <v>27</v>
      </c>
      <c r="C19" s="4" t="s">
        <v>28</v>
      </c>
      <c r="D19" s="4" t="s">
        <v>32</v>
      </c>
      <c r="E19" s="9">
        <f>_xll.BQL("SEG0000612092 Segment", "REVENUE_GROWTH_CC_1_YR", "FPT=Q", "FPO=-12Q", "ACT_EST_MAPPING=PRECISE", "FS=MRC", "CURRENCY=USD", "XLFILL=b")</f>
        <v>23</v>
      </c>
      <c r="F19" s="9">
        <f>_xll.BQL("SEG0000612092 Segment", "REVENUE_GROWTH_CC_1_YR", "FPT=Q", "FPO=-11Q", "ACT_EST_MAPPING=PRECISE", "FS=MRC", "CURRENCY=USD", "XLFILL=b")</f>
        <v>22</v>
      </c>
      <c r="G19" s="9">
        <f>_xll.BQL("SEG0000612092 Segment", "REVENUE_GROWTH_CC_1_YR", "FPT=Q", "FPO=-10Q", "ACT_EST_MAPPING=PRECISE", "FS=MRC", "CURRENCY=USD", "XLFILL=b")</f>
        <v>25</v>
      </c>
      <c r="H19" s="9">
        <f>_xll.BQL("SEG0000612092 Segment", "REVENUE_GROWTH_CC_1_YR", "FPT=Q", "FPO=-9Q", "ACT_EST_MAPPING=PRECISE", "FS=MRC", "CURRENCY=USD", "XLFILL=b")</f>
        <v>26</v>
      </c>
      <c r="I19" s="9">
        <f>_xll.BQL("SEG0000612092 Segment", "REVENUE_GROWTH_CC_1_YR", "FPT=Q", "FPO=-8Q", "ACT_EST_MAPPING=PRECISE", "FS=MRC", "CURRENCY=USD", "XLFILL=b")</f>
        <v>24</v>
      </c>
      <c r="J19" s="9">
        <f>_xll.BQL("SEG0000612092 Segment", "REVENUE_GROWTH_CC_1_YR", "FPT=Q", "FPO=-7Q", "ACT_EST_MAPPING=PRECISE", "FS=MRC", "CURRENCY=USD", "XLFILL=b")</f>
        <v>20</v>
      </c>
      <c r="K19" s="9">
        <f>_xll.BQL("SEG0000612092 Segment", "REVENUE_GROWTH_CC_1_YR", "FPT=Q", "FPO=-6Q", "ACT_EST_MAPPING=PRECISE", "FS=MRC", "CURRENCY=USD", "XLFILL=b")</f>
        <v>19</v>
      </c>
      <c r="L19" s="9">
        <f>_xll.BQL("SEG0000612092 Segment", "REVENUE_GROWTH_CC_1_YR", "FPT=Q", "FPO=-5Q", "ACT_EST_MAPPING=PRECISE", "FS=MRC", "CURRENCY=USD", "XLFILL=b")</f>
        <v>18</v>
      </c>
      <c r="M19" s="9">
        <f>_xll.BQL("SEG0000612092 Segment", "REVENUE_GROWTH_CC_1_YR", "FPT=Q", "FPO=-4Q", "ACT_EST_MAPPING=PRECISE", "FS=MRC", "CURRENCY=USD", "XLFILL=b")</f>
        <v>19</v>
      </c>
      <c r="N19" s="9">
        <f>_xll.BQL("SEG0000612092 Segment", "REVENUE_GROWTH_CC_1_YR", "FPT=Q", "FPO=-3Q", "ACT_EST_MAPPING=PRECISE", "FS=MRC", "CURRENCY=USD", "XLFILL=b")</f>
        <v>22</v>
      </c>
      <c r="O19" s="9">
        <f>_xll.BQL("SEG0000612092 Segment", "REVENUE_GROWTH_CC_1_YR", "FPT=Q", "FPO=-2Q", "ACT_EST_MAPPING=PRECISE", "FS=MRC", "CURRENCY=USD", "XLFILL=b")</f>
        <v>22</v>
      </c>
      <c r="P19" s="9">
        <f>_xll.BQL("SEG0000612092 Segment", "REVENUE_GROWTH_CC_1_YR", "FPT=Q", "FPO=-1Q", "ACT_EST_MAPPING=PRECISE", "FS=MRC", "CURRENCY=USD", "XLFILL=b")</f>
        <v>22</v>
      </c>
      <c r="Q19" s="9">
        <f>_xll.BQL("SEG0000612092 Segment", "REVENUE_GROWTH_CC_1_YR", "FPT=Q", "FPO=0Q", "ACT_EST_MAPPING=PRECISE", "FS=MRC", "CURRENCY=USD", "XLFILL=b")</f>
        <v>22</v>
      </c>
      <c r="R19" s="9">
        <f>_xll.BQL("SEG0000612092 Segment", "REVENUE_GROWTH_CC_1_YR", "FPT=Q", "FPO=1Q", "ACT_EST_MAPPING=PRECISE", "FS=MRC", "CURRENCY=USD", "XLFILL=b")</f>
        <v>22.821332208696248</v>
      </c>
      <c r="S19" s="9">
        <f>_xll.BQL("SEG0000612092 Segment", "REVENUE_GROWTH_CC_1_YR", "FPT=Q", "FPO=2Q", "ACT_EST_MAPPING=PRECISE", "FS=MRC", "CURRENCY=USD", "XLFILL=b")</f>
        <v>18.665431883308777</v>
      </c>
      <c r="T19" s="9">
        <f>_xll.BQL("SEG0000612092 Segment", "REVENUE_GROWTH_CC_1_YR", "FPT=Q", "FPO=3Q", "ACT_EST_MAPPING=PRECISE", "FS=MRC", "CURRENCY=USD", "XLFILL=b")</f>
        <v>19.10659509930468</v>
      </c>
      <c r="U19" s="9">
        <f>_xll.BQL("SEG0000612092 Segment", "REVENUE_GROWTH_CC_1_YR", "FPT=Q", "FPO=4Q", "ACT_EST_MAPPING=PRECISE", "FS=MRC", "CURRENCY=USD", "XLFILL=b")</f>
        <v>18.225012100597471</v>
      </c>
      <c r="V19" s="9">
        <f>_xll.BQL("SEG0000612092 Segment", "REVENUE_GROWTH_CC_1_YR", "FPT=Q", "FPO=5Q", "ACT_EST_MAPPING=PRECISE", "FS=MRC", "CURRENCY=USD", "XLFILL=b")</f>
        <v>18.512300734720036</v>
      </c>
      <c r="W19" s="9">
        <f>_xll.BQL("SEG0000612092 Segment", "REVENUE_GROWTH_CC_1_YR", "FPT=Q", "FPO=6Q", "ACT_EST_MAPPING=PRECISE", "FS=MRC", "CURRENCY=USD", "XLFILL=b")</f>
        <v>18.157758525324976</v>
      </c>
      <c r="X19" s="9">
        <f>_xll.BQL("SEG0000612092 Segment", "REVENUE_GROWTH_CC_1_YR", "FPT=Q", "FPO=7Q", "ACT_EST_MAPPING=PRECISE", "FS=MRC", "CURRENCY=USD", "XLFILL=b")</f>
        <v>17.997103712891334</v>
      </c>
    </row>
    <row r="20" spans="1:24" x14ac:dyDescent="0.25">
      <c r="A20" s="8" t="s">
        <v>33</v>
      </c>
      <c r="B20" s="4" t="s">
        <v>21</v>
      </c>
      <c r="C20" s="4" t="s">
        <v>22</v>
      </c>
      <c r="D20" s="4" t="s">
        <v>34</v>
      </c>
      <c r="E20" s="9">
        <f>_xll.BQL("SEG0000227476 Segment", "SALES_REV_TURN/1M", "FPT=Q", "FPO=-12Q", "ACT_EST_MAPPING=PRECISE", "FS=MRC", "CURRENCY=USD", "XLFILL=b")</f>
        <v>9657</v>
      </c>
      <c r="F20" s="9">
        <f>_xll.BQL("SEG0000227476 Segment", "SALES_REV_TURN/1M", "FPT=Q", "FPO=-11Q", "ACT_EST_MAPPING=PRECISE", "FS=MRC", "CURRENCY=USD", "XLFILL=b")</f>
        <v>9894</v>
      </c>
      <c r="G20" s="9">
        <f>_xll.BQL("SEG0000227476 Segment", "SALES_REV_TURN/1M", "FPT=Q", "FPO=-10Q", "ACT_EST_MAPPING=PRECISE", "FS=MRC", "CURRENCY=USD", "XLFILL=b")</f>
        <v>10170</v>
      </c>
      <c r="H20" s="9">
        <f>_xll.BQL("SEG0000227476 Segment", "SALES_REV_TURN/1M", "FPT=Q", "FPO=-9Q", "ACT_EST_MAPPING=PRECISE", "FS=MRC", "CURRENCY=USD", "XLFILL=b")</f>
        <v>10488</v>
      </c>
      <c r="I20" s="9">
        <f>_xll.BQL("SEG0000227476 Segment", "SALES_REV_TURN/1M", "FPT=Q", "FPO=-8Q", "ACT_EST_MAPPING=PRECISE", "FS=MRC", "CURRENCY=USD", "XLFILL=b")</f>
        <v>10722</v>
      </c>
      <c r="J20" s="9">
        <f>_xll.BQL("SEG0000227476 Segment", "SALES_REV_TURN/1M", "FPT=Q", "FPO=-7Q", "ACT_EST_MAPPING=PRECISE", "FS=MRC", "CURRENCY=USD", "XLFILL=b")</f>
        <v>10866</v>
      </c>
      <c r="K20" s="9">
        <f>_xll.BQL("SEG0000227476 Segment", "SALES_REV_TURN/1M", "FPT=Q", "FPO=-6Q", "ACT_EST_MAPPING=PRECISE", "FS=MRC", "CURRENCY=USD", "XLFILL=b")</f>
        <v>11278</v>
      </c>
      <c r="L20" s="9">
        <f>_xll.BQL("SEG0000227476 Segment", "SALES_REV_TURN/1M", "FPT=Q", "FPO=-5Q", "ACT_EST_MAPPING=PRECISE", "FS=MRC", "CURRENCY=USD", "XLFILL=b")</f>
        <v>11508</v>
      </c>
      <c r="M20" s="9">
        <f>_xll.BQL("SEG0000227476 Segment", "SALES_REV_TURN/1M", "FPT=Q", "FPO=-4Q", "ACT_EST_MAPPING=PRECISE", "FS=MRC", "CURRENCY=USD", "XLFILL=b")</f>
        <v>11715</v>
      </c>
      <c r="N20" s="9">
        <f>_xll.BQL("SEG0000227476 Segment", "SALES_REV_TURN/1M", "FPT=Q", "FPO=-3Q", "ACT_EST_MAPPING=PRECISE", "FS=MRC", "CURRENCY=USD", "XLFILL=b")</f>
        <v>12208</v>
      </c>
      <c r="O20" s="9">
        <f>_xll.BQL("SEG0000227476 Segment", "SALES_REV_TURN/1M", "FPT=Q", "FPO=-2Q", "ACT_EST_MAPPING=PRECISE", "FS=MRC", "CURRENCY=USD", "XLFILL=b")</f>
        <v>12574</v>
      </c>
      <c r="P20" s="9">
        <f>_xll.BQL("SEG0000227476 Segment", "SALES_REV_TURN/1M", "FPT=Q", "FPO=-1Q", "ACT_EST_MAPPING=PRECISE", "FS=MRC", "CURRENCY=USD", "XLFILL=b")</f>
        <v>13122</v>
      </c>
      <c r="Q20" s="9">
        <f>_xll.BQL("SEG0000227476 Segment", "SALES_REV_TURN/1M", "FPT=Q", "FPO=0Q", "ACT_EST_MAPPING=PRECISE", "FS=MRC", "CURRENCY=USD", "XLFILL=b")</f>
        <v>13427</v>
      </c>
      <c r="R20" s="9">
        <f>_xll.BQL("SEG0000227476 Segment", "SALES_REV_TURN/1M", "FPT=Q", "FPO=1Q", "ACT_EST_MAPPING=PRECISE", "FS=MRC", "CURRENCY=USD", "XLFILL=b")</f>
        <v>13752.070904319286</v>
      </c>
      <c r="S20" s="9">
        <f>_xll.BQL("SEG0000227476 Segment", "SALES_REV_TURN/1M", "FPT=Q", "FPO=2Q", "ACT_EST_MAPPING=PRECISE", "FS=MRC", "CURRENCY=USD", "XLFILL=b")</f>
        <v>13954.415962306066</v>
      </c>
      <c r="T20" s="9">
        <f>_xll.BQL("SEG0000227476 Segment", "SALES_REV_TURN/1M", "FPT=Q", "FPO=3Q", "ACT_EST_MAPPING=PRECISE", "FS=MRC", "CURRENCY=USD", "XLFILL=b")</f>
        <v>14517.541199602523</v>
      </c>
      <c r="U20" s="9">
        <f>_xll.BQL("SEG0000227476 Segment", "SALES_REV_TURN/1M", "FPT=Q", "FPO=4Q", "ACT_EST_MAPPING=PRECISE", "FS=MRC", "CURRENCY=USD", "XLFILL=b")</f>
        <v>14619.232602605864</v>
      </c>
      <c r="V20" s="9">
        <f>_xll.BQL("SEG0000227476 Segment", "SALES_REV_TURN/1M", "FPT=Q", "FPO=5Q", "ACT_EST_MAPPING=PRECISE", "FS=MRC", "CURRENCY=USD", "XLFILL=b")</f>
        <v>15001.004410048043</v>
      </c>
      <c r="W20" s="9">
        <f>_xll.BQL("SEG0000227476 Segment", "SALES_REV_TURN/1M", "FPT=Q", "FPO=6Q", "ACT_EST_MAPPING=PRECISE", "FS=MRC", "CURRENCY=USD", "XLFILL=b")</f>
        <v>15230.399489888507</v>
      </c>
      <c r="X20" s="9">
        <f>_xll.BQL("SEG0000227476 Segment", "SALES_REV_TURN/1M", "FPT=Q", "FPO=7Q", "ACT_EST_MAPPING=PRECISE", "FS=MRC", "CURRENCY=USD", "XLFILL=b")</f>
        <v>15892.849903901628</v>
      </c>
    </row>
    <row r="21" spans="1:24" x14ac:dyDescent="0.25">
      <c r="A21" s="8" t="s">
        <v>26</v>
      </c>
      <c r="B21" s="4" t="s">
        <v>27</v>
      </c>
      <c r="C21" s="4" t="s">
        <v>28</v>
      </c>
      <c r="D21" s="4" t="s">
        <v>34</v>
      </c>
      <c r="E21" s="9">
        <f>_xll.BQL("SEG0000227476 Segment", "REVENUE_GROWTH_CC_1_YR", "FPT=Q", "FPO=-12Q", "ACT_EST_MAPPING=PRECISE", "FS=MRC", "CURRENCY=USD", "XLFILL=b")</f>
        <v>17</v>
      </c>
      <c r="F21" s="9">
        <f>_xll.BQL("SEG0000227476 Segment", "REVENUE_GROWTH_CC_1_YR", "FPT=Q", "FPO=-11Q", "ACT_EST_MAPPING=PRECISE", "FS=MRC", "CURRENCY=USD", "XLFILL=b")</f>
        <v>14</v>
      </c>
      <c r="G21" s="9">
        <f>_xll.BQL("SEG0000227476 Segment", "REVENUE_GROWTH_CC_1_YR", "FPT=Q", "FPO=-10Q", "ACT_EST_MAPPING=PRECISE", "FS=MRC", "CURRENCY=USD", "XLFILL=b")</f>
        <v>13</v>
      </c>
      <c r="H21" s="9">
        <f>_xll.BQL("SEG0000227476 Segment", "REVENUE_GROWTH_CC_1_YR", "FPT=Q", "FPO=-9Q", "ACT_EST_MAPPING=PRECISE", "FS=MRC", "CURRENCY=USD", "XLFILL=b")</f>
        <v>13</v>
      </c>
      <c r="I21" s="9">
        <f>_xll.BQL("SEG0000227476 Segment", "REVENUE_GROWTH_CC_1_YR", "FPT=Q", "FPO=-8Q", "ACT_EST_MAPPING=PRECISE", "FS=MRC", "CURRENCY=USD", "XLFILL=b")</f>
        <v>11</v>
      </c>
      <c r="J21" s="9">
        <f>_xll.BQL("SEG0000227476 Segment", "REVENUE_GROWTH_CC_1_YR", "FPT=Q", "FPO=-7Q", "ACT_EST_MAPPING=PRECISE", "FS=MRC", "CURRENCY=USD", "XLFILL=b")</f>
        <v>11</v>
      </c>
      <c r="K21" s="9">
        <f>_xll.BQL("SEG0000227476 Segment", "REVENUE_GROWTH_CC_1_YR", "FPT=Q", "FPO=-6Q", "ACT_EST_MAPPING=PRECISE", "FS=MRC", "CURRENCY=USD", "XLFILL=b")</f>
        <v>11</v>
      </c>
      <c r="L21" s="9">
        <f>_xll.BQL("SEG0000227476 Segment", "REVENUE_GROWTH_CC_1_YR", "FPT=Q", "FPO=-5Q", "ACT_EST_MAPPING=PRECISE", "FS=MRC", "CURRENCY=USD", "XLFILL=b")</f>
        <v>10</v>
      </c>
      <c r="M21" s="9">
        <f>_xll.BQL("SEG0000227476 Segment", "REVENUE_GROWTH_CC_1_YR", "FPT=Q", "FPO=-4Q", "ACT_EST_MAPPING=PRECISE", "FS=MRC", "CURRENCY=USD", "XLFILL=b")</f>
        <v>11</v>
      </c>
      <c r="N21" s="9">
        <f>_xll.BQL("SEG0000227476 Segment", "REVENUE_GROWTH_CC_1_YR", "FPT=Q", "FPO=-3Q", "ACT_EST_MAPPING=PRECISE", "FS=MRC", "CURRENCY=USD", "XLFILL=b")</f>
        <v>11</v>
      </c>
      <c r="O21" s="9">
        <f>_xll.BQL("SEG0000227476 Segment", "REVENUE_GROWTH_CC_1_YR", "FPT=Q", "FPO=-2Q", "ACT_EST_MAPPING=PRECISE", "FS=MRC", "CURRENCY=USD", "XLFILL=b")</f>
        <v>10</v>
      </c>
      <c r="P21" s="9">
        <f>_xll.BQL("SEG0000227476 Segment", "REVENUE_GROWTH_CC_1_YR", "FPT=Q", "FPO=-1Q", "ACT_EST_MAPPING=PRECISE", "FS=MRC", "CURRENCY=USD", "XLFILL=b")</f>
        <v>12</v>
      </c>
      <c r="Q21" s="9">
        <f>_xll.BQL("SEG0000227476 Segment", "REVENUE_GROWTH_CC_1_YR", "FPT=Q", "FPO=0Q", "ACT_EST_MAPPING=PRECISE", "FS=MRC", "CURRENCY=USD", "XLFILL=b")</f>
        <v>12</v>
      </c>
      <c r="R21" s="9">
        <f>_xll.BQL("SEG0000227476 Segment", "REVENUE_GROWTH_CC_1_YR", "FPT=Q", "FPO=1Q", "ACT_EST_MAPPING=PRECISE", "FS=MRC", "CURRENCY=USD", "XLFILL=b")</f>
        <v>12.750506604532324</v>
      </c>
      <c r="S21" s="9">
        <f>_xll.BQL("SEG0000227476 Segment", "REVENUE_GROWTH_CC_1_YR", "FPT=Q", "FPO=2Q", "ACT_EST_MAPPING=PRECISE", "FS=MRC", "CURRENCY=USD", "XLFILL=b")</f>
        <v>10.829072927504946</v>
      </c>
      <c r="T21" s="9">
        <f>_xll.BQL("SEG0000227476 Segment", "REVENUE_GROWTH_CC_1_YR", "FPT=Q", "FPO=3Q", "ACT_EST_MAPPING=PRECISE", "FS=MRC", "CURRENCY=USD", "XLFILL=b")</f>
        <v>10.624328716480999</v>
      </c>
      <c r="U21" s="9">
        <f>_xll.BQL("SEG0000227476 Segment", "REVENUE_GROWTH_CC_1_YR", "FPT=Q", "FPO=4Q", "ACT_EST_MAPPING=PRECISE", "FS=MRC", "CURRENCY=USD", "XLFILL=b")</f>
        <v>9.3049218212756397</v>
      </c>
      <c r="V21" s="9">
        <f>_xll.BQL("SEG0000227476 Segment", "REVENUE_GROWTH_CC_1_YR", "FPT=Q", "FPO=5Q", "ACT_EST_MAPPING=PRECISE", "FS=MRC", "CURRENCY=USD", "XLFILL=b")</f>
        <v>9.418693205261329</v>
      </c>
      <c r="W21" s="9">
        <f>_xll.BQL("SEG0000227476 Segment", "REVENUE_GROWTH_CC_1_YR", "FPT=Q", "FPO=6Q", "ACT_EST_MAPPING=PRECISE", "FS=MRC", "CURRENCY=USD", "XLFILL=b")</f>
        <v>10.053397391563676</v>
      </c>
      <c r="X21" s="9">
        <f>_xll.BQL("SEG0000227476 Segment", "REVENUE_GROWTH_CC_1_YR", "FPT=Q", "FPO=7Q", "ACT_EST_MAPPING=PRECISE", "FS=MRC", "CURRENCY=USD", "XLFILL=b")</f>
        <v>10.484215671347485</v>
      </c>
    </row>
    <row r="22" spans="1:24" x14ac:dyDescent="0.25">
      <c r="A22" s="8" t="s">
        <v>35</v>
      </c>
      <c r="B22" s="4" t="s">
        <v>21</v>
      </c>
      <c r="C22" s="4" t="s">
        <v>22</v>
      </c>
      <c r="D22" s="4" t="s">
        <v>36</v>
      </c>
      <c r="E22" s="9">
        <f>_xll.BQL("SEG0000227465 Segment", "SALES_REV_TURN/1M", "FPT=Q", "FPO=-12Q", "ACT_EST_MAPPING=PRECISE", "FS=MRC", "CURRENCY=USD", "XLFILL=b")</f>
        <v>21354</v>
      </c>
      <c r="F22" s="9">
        <f>_xll.BQL("SEG0000227465 Segment", "SALES_REV_TURN/1M", "FPT=Q", "FPO=-11Q", "ACT_EST_MAPPING=PRECISE", "FS=MRC", "CURRENCY=USD", "XLFILL=b")</f>
        <v>22140</v>
      </c>
      <c r="G22" s="9">
        <f>_xll.BQL("SEG0000227465 Segment", "SALES_REV_TURN/1M", "FPT=Q", "FPO=-10Q", "ACT_EST_MAPPING=PRECISE", "FS=MRC", "CURRENCY=USD", "XLFILL=b")</f>
        <v>23059</v>
      </c>
      <c r="H22" s="9">
        <f>_xll.BQL("SEG0000227465 Segment", "SALES_REV_TURN/1M", "FPT=Q", "FPO=-9Q", "ACT_EST_MAPPING=PRECISE", "FS=MRC", "CURRENCY=USD", "XLFILL=b")</f>
        <v>24204</v>
      </c>
      <c r="I22" s="9">
        <f>_xll.BQL("SEG0000227465 Segment", "SALES_REV_TURN/1M", "FPT=Q", "FPO=-8Q", "ACT_EST_MAPPING=PRECISE", "FS=MRC", "CURRENCY=USD", "XLFILL=b")</f>
        <v>25037</v>
      </c>
      <c r="J22" s="9">
        <f>_xll.BQL("SEG0000227465 Segment", "SALES_REV_TURN/1M", "FPT=Q", "FPO=-7Q", "ACT_EST_MAPPING=PRECISE", "FS=MRC", "CURRENCY=USD", "XLFILL=b")</f>
        <v>26281</v>
      </c>
      <c r="K22" s="9">
        <f>_xll.BQL("SEG0000227465 Segment", "SALES_REV_TURN/1M", "FPT=Q", "FPO=-6Q", "ACT_EST_MAPPING=PRECISE", "FS=MRC", "CURRENCY=USD", "XLFILL=b")</f>
        <v>27452</v>
      </c>
      <c r="L22" s="9">
        <f>_xll.BQL("SEG0000227465 Segment", "SALES_REV_TURN/1M", "FPT=Q", "FPO=-5Q", "ACT_EST_MAPPING=PRECISE", "FS=MRC", "CURRENCY=USD", "XLFILL=b")</f>
        <v>28786</v>
      </c>
      <c r="M22" s="9">
        <f>_xll.BQL("SEG0000227465 Segment", "SALES_REV_TURN/1M", "FPT=Q", "FPO=-4Q", "ACT_EST_MAPPING=PRECISE", "FS=MRC", "CURRENCY=USD", "XLFILL=b")</f>
        <v>29267</v>
      </c>
      <c r="N22" s="9">
        <f>_xll.BQL("SEG0000227465 Segment", "SALES_REV_TURN/1M", "FPT=Q", "FPO=-3Q", "ACT_EST_MAPPING=PRECISE", "FS=MRC", "CURRENCY=USD", "XLFILL=b")</f>
        <v>30873</v>
      </c>
      <c r="O22" s="9">
        <f>_xll.BQL("SEG0000227465 Segment", "SALES_REV_TURN/1M", "FPT=Q", "FPO=-2Q", "ACT_EST_MAPPING=PRECISE", "FS=MRC", "CURRENCY=USD", "XLFILL=b")</f>
        <v>33006</v>
      </c>
      <c r="P22" s="9">
        <f>_xll.BQL("SEG0000227465 Segment", "SALES_REV_TURN/1M", "FPT=Q", "FPO=-1Q", "ACT_EST_MAPPING=PRECISE", "FS=MRC", "CURRENCY=USD", "XLFILL=b")</f>
        <v>35579</v>
      </c>
      <c r="Q22" s="9">
        <f>_xll.BQL("SEG0000227465 Segment", "SALES_REV_TURN/1M", "FPT=Q", "FPO=0Q", "ACT_EST_MAPPING=PRECISE", "FS=MRC", "CURRENCY=USD", "XLFILL=b")</f>
        <v>37587</v>
      </c>
      <c r="R22" s="9">
        <f>_xll.BQL("SEG0000227465 Segment", "SALES_REV_TURN/1M", "FPT=Q", "FPO=1Q", "ACT_EST_MAPPING=PRECISE", "FS=MRC", "CURRENCY=USD", "XLFILL=b")</f>
        <v>40538.304457795231</v>
      </c>
      <c r="S22" s="9">
        <f>_xll.BQL("SEG0000227465 Segment", "SALES_REV_TURN/1M", "FPT=Q", "FPO=2Q", "ACT_EST_MAPPING=PRECISE", "FS=MRC", "CURRENCY=USD", "XLFILL=b")</f>
        <v>43323.187466633666</v>
      </c>
      <c r="T22" s="9">
        <f>_xll.BQL("SEG0000227465 Segment", "SALES_REV_TURN/1M", "FPT=Q", "FPO=3Q", "ACT_EST_MAPPING=PRECISE", "FS=MRC", "CURRENCY=USD", "XLFILL=b")</f>
        <v>46810.539523764033</v>
      </c>
      <c r="U22" s="9">
        <f>_xll.BQL("SEG0000227465 Segment", "SALES_REV_TURN/1M", "FPT=Q", "FPO=4Q", "ACT_EST_MAPPING=PRECISE", "FS=MRC", "CURRENCY=USD", "XLFILL=b")</f>
        <v>49323.367392779655</v>
      </c>
      <c r="V22" s="9">
        <f>_xll.BQL("SEG0000227465 Segment", "SALES_REV_TURN/1M", "FPT=Q", "FPO=5Q", "ACT_EST_MAPPING=PRECISE", "FS=MRC", "CURRENCY=USD", "XLFILL=b")</f>
        <v>52806.172794055354</v>
      </c>
      <c r="W22" s="9">
        <f>_xll.BQL("SEG0000227465 Segment", "SALES_REV_TURN/1M", "FPT=Q", "FPO=6Q", "ACT_EST_MAPPING=PRECISE", "FS=MRC", "CURRENCY=USD", "XLFILL=b")</f>
        <v>56190.597404263557</v>
      </c>
      <c r="X22" s="9">
        <f>_xll.BQL("SEG0000227465 Segment", "SALES_REV_TURN/1M", "FPT=Q", "FPO=7Q", "ACT_EST_MAPPING=PRECISE", "FS=MRC", "CURRENCY=USD", "XLFILL=b")</f>
        <v>60458.752063611289</v>
      </c>
    </row>
    <row r="23" spans="1:24" x14ac:dyDescent="0.25">
      <c r="A23" s="8" t="s">
        <v>26</v>
      </c>
      <c r="B23" s="4" t="s">
        <v>27</v>
      </c>
      <c r="C23" s="4" t="s">
        <v>28</v>
      </c>
      <c r="D23" s="4" t="s">
        <v>36</v>
      </c>
      <c r="E23" s="9">
        <f>_xll.BQL("SEG0000227465 Segment", "REVENUE_GROWTH_CC_1_YR", "FPT=Q", "FPO=-12Q", "ACT_EST_MAPPING=PRECISE", "FS=MRC", "CURRENCY=USD", "XLFILL=b")</f>
        <v>16</v>
      </c>
      <c r="F23" s="9">
        <f>_xll.BQL("SEG0000227465 Segment", "REVENUE_GROWTH_CC_1_YR", "FPT=Q", "FPO=-11Q", "ACT_EST_MAPPING=PRECISE", "FS=MRC", "CURRENCY=USD", "XLFILL=b")</f>
        <v>12</v>
      </c>
      <c r="G23" s="9">
        <f>_xll.BQL("SEG0000227465 Segment", "REVENUE_GROWTH_CC_1_YR", "FPT=Q", "FPO=-10Q", "ACT_EST_MAPPING=PRECISE", "FS=MRC", "CURRENCY=USD", "XLFILL=b")</f>
        <v>12</v>
      </c>
      <c r="H23" s="9">
        <f>_xll.BQL("SEG0000227465 Segment", "REVENUE_GROWTH_CC_1_YR", "FPT=Q", "FPO=-9Q", "ACT_EST_MAPPING=PRECISE", "FS=MRC", "CURRENCY=USD", "XLFILL=b")</f>
        <v>13</v>
      </c>
      <c r="I23" s="9">
        <f>_xll.BQL("SEG0000227465 Segment", "REVENUE_GROWTH_CC_1_YR", "FPT=Q", "FPO=-8Q", "ACT_EST_MAPPING=PRECISE", "FS=MRC", "CURRENCY=USD", "XLFILL=b")</f>
        <v>17</v>
      </c>
      <c r="J23" s="9">
        <f>_xll.BQL("SEG0000227465 Segment", "REVENUE_GROWTH_CC_1_YR", "FPT=Q", "FPO=-7Q", "ACT_EST_MAPPING=PRECISE", "FS=MRC", "CURRENCY=USD", "XLFILL=b")</f>
        <v>19</v>
      </c>
      <c r="K23" s="9">
        <f>_xll.BQL("SEG0000227465 Segment", "REVENUE_GROWTH_CC_1_YR", "FPT=Q", "FPO=-6Q", "ACT_EST_MAPPING=PRECISE", "FS=MRC", "CURRENCY=USD", "XLFILL=b")</f>
        <v>19</v>
      </c>
      <c r="L23" s="9">
        <f>_xll.BQL("SEG0000227465 Segment", "REVENUE_GROWTH_CC_1_YR", "FPT=Q", "FPO=-5Q", "ACT_EST_MAPPING=PRECISE", "FS=MRC", "CURRENCY=USD", "XLFILL=b")</f>
        <v>19</v>
      </c>
      <c r="M23" s="9">
        <f>_xll.BQL("SEG0000227465 Segment", "REVENUE_GROWTH_CC_1_YR", "FPT=Q", "FPO=-4Q", "ACT_EST_MAPPING=PRECISE", "FS=MRC", "CURRENCY=USD", "XLFILL=b")</f>
        <v>17</v>
      </c>
      <c r="N23" s="9">
        <f>_xll.BQL("SEG0000227465 Segment", "REVENUE_GROWTH_CC_1_YR", "FPT=Q", "FPO=-3Q", "ACT_EST_MAPPING=PRECISE", "FS=MRC", "CURRENCY=USD", "XLFILL=b")</f>
        <v>17</v>
      </c>
      <c r="O23" s="9">
        <f>_xll.BQL("SEG0000227465 Segment", "REVENUE_GROWTH_CC_1_YR", "FPT=Q", "FPO=-2Q", "ACT_EST_MAPPING=PRECISE", "FS=MRC", "CURRENCY=USD", "XLFILL=b")</f>
        <v>20</v>
      </c>
      <c r="P23" s="9">
        <f>_xll.BQL("SEG0000227465 Segment", "REVENUE_GROWTH_CC_1_YR", "FPT=Q", "FPO=-1Q", "ACT_EST_MAPPING=PRECISE", "FS=MRC", "CURRENCY=USD", "XLFILL=b")</f>
        <v>24</v>
      </c>
      <c r="Q23" s="9">
        <f>_xll.BQL("SEG0000227465 Segment", "REVENUE_GROWTH_CC_1_YR", "FPT=Q", "FPO=0Q", "ACT_EST_MAPPING=PRECISE", "FS=MRC", "CURRENCY=USD", "XLFILL=b")</f>
        <v>28</v>
      </c>
      <c r="R23" s="9">
        <f>_xll.BQL("SEG0000227465 Segment", "REVENUE_GROWTH_CC_1_YR", "FPT=Q", "FPO=1Q", "ACT_EST_MAPPING=PRECISE", "FS=MRC", "CURRENCY=USD", "XLFILL=b")</f>
        <v>31.162100113409817</v>
      </c>
      <c r="S23" s="9">
        <f>_xll.BQL("SEG0000227465 Segment", "REVENUE_GROWTH_CC_1_YR", "FPT=Q", "FPO=2Q", "ACT_EST_MAPPING=PRECISE", "FS=MRC", "CURRENCY=USD", "XLFILL=b")</f>
        <v>31.321232437143586</v>
      </c>
      <c r="T23" s="9">
        <f>_xll.BQL("SEG0000227465 Segment", "REVENUE_GROWTH_CC_1_YR", "FPT=Q", "FPO=3Q", "ACT_EST_MAPPING=PRECISE", "FS=MRC", "CURRENCY=USD", "XLFILL=b")</f>
        <v>31.893409943872175</v>
      </c>
      <c r="U23" s="9">
        <f>_xll.BQL("SEG0000227465 Segment", "REVENUE_GROWTH_CC_1_YR", "FPT=Q", "FPO=4Q", "ACT_EST_MAPPING=PRECISE", "FS=MRC", "CURRENCY=USD", "XLFILL=b")</f>
        <v>32.070861957993223</v>
      </c>
      <c r="V23" s="9">
        <f>_xll.BQL("SEG0000227465 Segment", "REVENUE_GROWTH_CC_1_YR", "FPT=Q", "FPO=5Q", "ACT_EST_MAPPING=PRECISE", "FS=MRC", "CURRENCY=USD", "XLFILL=b")</f>
        <v>31.347215204620348</v>
      </c>
      <c r="W23" s="9">
        <f>_xll.BQL("SEG0000227465 Segment", "REVENUE_GROWTH_CC_1_YR", "FPT=Q", "FPO=6Q", "ACT_EST_MAPPING=PRECISE", "FS=MRC", "CURRENCY=USD", "XLFILL=b")</f>
        <v>29.922222474246457</v>
      </c>
      <c r="X23" s="9">
        <f>_xll.BQL("SEG0000227465 Segment", "REVENUE_GROWTH_CC_1_YR", "FPT=Q", "FPO=7Q", "ACT_EST_MAPPING=PRECISE", "FS=MRC", "CURRENCY=USD", "XLFILL=b")</f>
        <v>28.663413171827774</v>
      </c>
    </row>
    <row r="24" spans="1:24" x14ac:dyDescent="0.25">
      <c r="A24" s="8" t="s">
        <v>37</v>
      </c>
      <c r="B24" s="4" t="s">
        <v>21</v>
      </c>
      <c r="C24" s="4" t="s">
        <v>22</v>
      </c>
      <c r="D24" s="4" t="s">
        <v>38</v>
      </c>
      <c r="E24" s="9">
        <f>_xll.BQL("SEG0000612093 Segment", "SALES_REV_TURN/1M", "FPT=Q", "FPO=-12Q", "ACT_EST_MAPPING=PRECISE", "FS=MRC", "CURRENCY=USD", "XLFILL=b")</f>
        <v>1027</v>
      </c>
      <c r="F24" s="9">
        <f>_xll.BQL("SEG0000612093 Segment", "SALES_REV_TURN/1M", "FPT=Q", "FPO=-11Q", "ACT_EST_MAPPING=PRECISE", "FS=MRC", "CURRENCY=USD", "XLFILL=b")</f>
        <v>1344</v>
      </c>
      <c r="G24" s="9">
        <f>_xll.BQL("SEG0000612093 Segment", "SALES_REV_TURN/1M", "FPT=Q", "FPO=-10Q", "ACT_EST_MAPPING=PRECISE", "FS=MRC", "CURRENCY=USD", "XLFILL=b")</f>
        <v>1226</v>
      </c>
      <c r="H24" s="9">
        <f>_xll.BQL("SEG0000612093 Segment", "SALES_REV_TURN/1M", "FPT=Q", "FPO=-9Q", "ACT_EST_MAPPING=PRECISE", "FS=MRC", "CURRENCY=USD", "XLFILL=b")</f>
        <v>1361</v>
      </c>
      <c r="I24" s="9">
        <f>_xll.BQL("SEG0000612093 Segment", "SALES_REV_TURN/1M", "FPT=Q", "FPO=-8Q", "ACT_EST_MAPPING=PRECISE", "FS=MRC", "CURRENCY=USD", "XLFILL=b")</f>
        <v>1262</v>
      </c>
      <c r="J24" s="9">
        <f>_xll.BQL("SEG0000612093 Segment", "SALES_REV_TURN/1M", "FPT=Q", "FPO=-7Q", "ACT_EST_MAPPING=PRECISE", "FS=MRC", "CURRENCY=USD", "XLFILL=b")</f>
        <v>1260</v>
      </c>
      <c r="K24" s="9">
        <f>_xll.BQL("SEG0000612093 Segment", "SALES_REV_TURN/1M", "FPT=Q", "FPO=-6Q", "ACT_EST_MAPPING=PRECISE", "FS=MRC", "CURRENCY=USD", "XLFILL=b")</f>
        <v>1313</v>
      </c>
      <c r="L24" s="9">
        <f>_xll.BQL("SEG0000612093 Segment", "SALES_REV_TURN/1M", "FPT=Q", "FPO=-5Q", "ACT_EST_MAPPING=PRECISE", "FS=MRC", "CURRENCY=USD", "XLFILL=b")</f>
        <v>1590</v>
      </c>
      <c r="M24" s="9">
        <f>_xll.BQL("SEG0000612093 Segment", "SALES_REV_TURN/1M", "FPT=Q", "FPO=-4Q", "ACT_EST_MAPPING=PRECISE", "FS=MRC", "CURRENCY=USD", "XLFILL=b")</f>
        <v>1312</v>
      </c>
      <c r="N24" s="9">
        <f>_xll.BQL("SEG0000612093 Segment", "SALES_REV_TURN/1M", "FPT=Q", "FPO=-3Q", "ACT_EST_MAPPING=PRECISE", "FS=MRC", "CURRENCY=USD", "XLFILL=b")</f>
        <v>1499</v>
      </c>
      <c r="O24" s="9">
        <f>_xll.BQL("SEG0000612093 Segment", "SALES_REV_TURN/1M", "FPT=Q", "FPO=-2Q", "ACT_EST_MAPPING=PRECISE", "FS=MRC", "CURRENCY=USD", "XLFILL=b")</f>
        <v>1415</v>
      </c>
      <c r="P24" s="9">
        <f>_xll.BQL("SEG0000612093 Segment", "SALES_REV_TURN/1M", "FPT=Q", "FPO=-1Q", "ACT_EST_MAPPING=PRECISE", "FS=MRC", "CURRENCY=USD", "XLFILL=b")</f>
        <v>1709</v>
      </c>
      <c r="Q24" s="9">
        <f>_xll.BQL("SEG0000612093 Segment", "SALES_REV_TURN/1M", "FPT=Q", "FPO=0Q", "ACT_EST_MAPPING=PRECISE", "FS=MRC", "CURRENCY=USD", "XLFILL=b")</f>
        <v>1645</v>
      </c>
      <c r="R24" s="9">
        <f>_xll.BQL("SEG0000612093 Segment", "SALES_REV_TURN/1M", "FPT=Q", "FPO=1Q", "ACT_EST_MAPPING=PRECISE", "FS=MRC", "CURRENCY=USD", "XLFILL=b")</f>
        <v>1658.2492750464987</v>
      </c>
      <c r="S24" s="9">
        <f>_xll.BQL("SEG0000612093 Segment", "SALES_REV_TURN/1M", "FPT=Q", "FPO=2Q", "ACT_EST_MAPPING=PRECISE", "FS=MRC", "CURRENCY=USD", "XLFILL=b")</f>
        <v>1548.2731650541195</v>
      </c>
      <c r="T24" s="9">
        <f>_xll.BQL("SEG0000612093 Segment", "SALES_REV_TURN/1M", "FPT=Q", "FPO=3Q", "ACT_EST_MAPPING=PRECISE", "FS=MRC", "CURRENCY=USD", "XLFILL=b")</f>
        <v>1778.4988942605473</v>
      </c>
      <c r="U24" s="9">
        <f>_xll.BQL("SEG0000612093 Segment", "SALES_REV_TURN/1M", "FPT=Q", "FPO=4Q", "ACT_EST_MAPPING=PRECISE", "FS=MRC", "CURRENCY=USD", "XLFILL=b")</f>
        <v>1963.7226839378152</v>
      </c>
      <c r="V24" s="9">
        <f>_xll.BQL("SEG0000612093 Segment", "SALES_REV_TURN/1M", "FPT=Q", "FPO=5Q", "ACT_EST_MAPPING=PRECISE", "FS=MRC", "CURRENCY=USD", "XLFILL=b")</f>
        <v>2064.047091501317</v>
      </c>
      <c r="W24" s="9">
        <f>_xll.BQL("SEG0000612093 Segment", "SALES_REV_TURN/1M", "FPT=Q", "FPO=6Q", "ACT_EST_MAPPING=PRECISE", "FS=MRC", "CURRENCY=USD", "XLFILL=b")</f>
        <v>1775.4025258056115</v>
      </c>
      <c r="X24" s="9">
        <f>_xll.BQL("SEG0000612093 Segment", "SALES_REV_TURN/1M", "FPT=Q", "FPO=7Q", "ACT_EST_MAPPING=PRECISE", "FS=MRC", "CURRENCY=USD", "XLFILL=b")</f>
        <v>1807.5747807715527</v>
      </c>
    </row>
    <row r="25" spans="1:24" x14ac:dyDescent="0.25">
      <c r="A25" s="8" t="s">
        <v>26</v>
      </c>
      <c r="B25" s="4" t="s">
        <v>27</v>
      </c>
      <c r="C25" s="4" t="s">
        <v>28</v>
      </c>
      <c r="D25" s="4" t="s">
        <v>38</v>
      </c>
      <c r="E25" s="9">
        <f>_xll.BQL("SEG0000612093 Segment", "REVENUE_GROWTH_CC_1_YR", "FPT=Q", "FPO=-12Q", "ACT_EST_MAPPING=PRECISE", "FS=MRC", "CURRENCY=USD", "XLFILL=b")</f>
        <v>57</v>
      </c>
      <c r="F25" s="9">
        <f>_xll.BQL("SEG0000612093 Segment", "REVENUE_GROWTH_CC_1_YR", "FPT=Q", "FPO=-11Q", "ACT_EST_MAPPING=PRECISE", "FS=MRC", "CURRENCY=USD", "XLFILL=b")</f>
        <v>26</v>
      </c>
      <c r="G25" s="9">
        <f>_xll.BQL("SEG0000612093 Segment", "REVENUE_GROWTH_CC_1_YR", "FPT=Q", "FPO=-10Q", "ACT_EST_MAPPING=PRECISE", "FS=MRC", "CURRENCY=USD", "XLFILL=b")</f>
        <v>-3</v>
      </c>
      <c r="H25" s="9">
        <f>_xll.BQL("SEG0000612093 Segment", "REVENUE_GROWTH_CC_1_YR", "FPT=Q", "FPO=-9Q", "ACT_EST_MAPPING=PRECISE", "FS=MRC", "CURRENCY=USD", "XLFILL=b")</f>
        <v>8</v>
      </c>
      <c r="I25" s="9">
        <f>_xll.BQL("SEG0000612093 Segment", "REVENUE_GROWTH_CC_1_YR", "FPT=Q", "FPO=-8Q", "ACT_EST_MAPPING=PRECISE", "FS=MRC", "CURRENCY=USD", "XLFILL=b")</f>
        <v>23</v>
      </c>
      <c r="J25" s="9">
        <f>_xll.BQL("SEG0000612093 Segment", "REVENUE_GROWTH_CC_1_YR", "FPT=Q", "FPO=-7Q", "ACT_EST_MAPPING=PRECISE", "FS=MRC", "CURRENCY=USD", "XLFILL=b")</f>
        <v>-6</v>
      </c>
      <c r="K25" s="9">
        <f>_xll.BQL("SEG0000612093 Segment", "REVENUE_GROWTH_CC_1_YR", "FPT=Q", "FPO=-6Q", "ACT_EST_MAPPING=PRECISE", "FS=MRC", "CURRENCY=USD", "XLFILL=b")</f>
        <v>5</v>
      </c>
      <c r="L25" s="9">
        <f>_xll.BQL("SEG0000612093 Segment", "REVENUE_GROWTH_CC_1_YR", "FPT=Q", "FPO=-5Q", "ACT_EST_MAPPING=PRECISE", "FS=MRC", "CURRENCY=USD", "XLFILL=b")</f>
        <v>17</v>
      </c>
      <c r="M25" s="9">
        <f>_xll.BQL("SEG0000612093 Segment", "REVENUE_GROWTH_CC_1_YR", "FPT=Q", "FPO=-4Q", "ACT_EST_MAPPING=PRECISE", "FS=MRC", "CURRENCY=USD", "XLFILL=b")</f>
        <v>4</v>
      </c>
      <c r="N25" s="9">
        <f>_xll.BQL("SEG0000612093 Segment", "REVENUE_GROWTH_CC_1_YR", "FPT=Q", "FPO=-3Q", "ACT_EST_MAPPING=PRECISE", "FS=MRC", "CURRENCY=USD", "XLFILL=b")</f>
        <v>22</v>
      </c>
      <c r="O25" s="9">
        <f>_xll.BQL("SEG0000612093 Segment", "REVENUE_GROWTH_CC_1_YR", "FPT=Q", "FPO=-2Q", "ACT_EST_MAPPING=PRECISE", "FS=MRC", "CURRENCY=USD", "XLFILL=b")</f>
        <v>7</v>
      </c>
      <c r="P25" s="9">
        <f>_xll.BQL("SEG0000612093 Segment", "REVENUE_GROWTH_CC_1_YR", "FPT=Q", "FPO=-1Q", "ACT_EST_MAPPING=PRECISE", "FS=MRC", "CURRENCY=USD", "XLFILL=b")</f>
        <v>7</v>
      </c>
      <c r="Q25" s="9">
        <f>_xll.BQL("SEG0000612093 Segment", "REVENUE_GROWTH_CC_1_YR", "FPT=Q", "FPO=0Q", "ACT_EST_MAPPING=PRECISE", "FS=MRC", "CURRENCY=USD", "XLFILL=b")</f>
        <v>25</v>
      </c>
      <c r="R25" s="9">
        <f>_xll.BQL("SEG0000612093 Segment", "REVENUE_GROWTH_CC_1_YR", "FPT=Q", "FPO=1Q", "ACT_EST_MAPPING=PRECISE", "FS=MRC", "CURRENCY=USD", "XLFILL=b")</f>
        <v>9.0150311765057367</v>
      </c>
      <c r="S25" s="9">
        <f>_xll.BQL("SEG0000612093 Segment", "REVENUE_GROWTH_CC_1_YR", "FPT=Q", "FPO=2Q", "ACT_EST_MAPPING=PRECISE", "FS=MRC", "CURRENCY=USD", "XLFILL=b")</f>
        <v>9.5346057061993772</v>
      </c>
      <c r="T25" s="9">
        <f>_xll.BQL("SEG0000612093 Segment", "REVENUE_GROWTH_CC_1_YR", "FPT=Q", "FPO=3Q", "ACT_EST_MAPPING=PRECISE", "FS=MRC", "CURRENCY=USD", "XLFILL=b")</f>
        <v>9.3547850158202479</v>
      </c>
      <c r="U25" s="9">
        <f>_xll.BQL("SEG0000612093 Segment", "REVENUE_GROWTH_CC_1_YR", "FPT=Q", "FPO=4Q", "ACT_EST_MAPPING=PRECISE", "FS=MRC", "CURRENCY=USD", "XLFILL=b")</f>
        <v>1.7763614507671419</v>
      </c>
      <c r="V25" s="9">
        <f>_xll.BQL("SEG0000612093 Segment", "REVENUE_GROWTH_CC_1_YR", "FPT=Q", "FPO=5Q", "ACT_EST_MAPPING=PRECISE", "FS=MRC", "CURRENCY=USD", "XLFILL=b")</f>
        <v>1.6894974609988016</v>
      </c>
      <c r="W25" s="9">
        <f>_xll.BQL("SEG0000612093 Segment", "REVENUE_GROWTH_CC_1_YR", "FPT=Q", "FPO=6Q", "ACT_EST_MAPPING=PRECISE", "FS=MRC", "CURRENCY=USD", "XLFILL=b")</f>
        <v>1.5012531463161154</v>
      </c>
      <c r="X25" s="9">
        <f>_xll.BQL("SEG0000612093 Segment", "REVENUE_GROWTH_CC_1_YR", "FPT=Q", "FPO=7Q", "ACT_EST_MAPPING=PRECISE", "FS=MRC", "CURRENCY=USD", "XLFILL=b")</f>
        <v>1.5</v>
      </c>
    </row>
    <row r="26" spans="1:24" x14ac:dyDescent="0.25">
      <c r="A26" s="8" t="s">
        <v>14</v>
      </c>
      <c r="B26" s="4"/>
      <c r="C26" s="4"/>
      <c r="D26" s="4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spans="1:24" x14ac:dyDescent="0.25">
      <c r="A27" s="8" t="s">
        <v>39</v>
      </c>
      <c r="B27" s="4"/>
      <c r="C27" s="4"/>
      <c r="D27" s="4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 spans="1:24" x14ac:dyDescent="0.25">
      <c r="A28" s="8" t="s">
        <v>40</v>
      </c>
      <c r="B28" s="4"/>
      <c r="C28" s="4"/>
      <c r="D28" s="4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spans="1:24" x14ac:dyDescent="0.25">
      <c r="A29" s="8" t="s">
        <v>41</v>
      </c>
      <c r="B29" s="4" t="s">
        <v>21</v>
      </c>
      <c r="C29" s="4" t="s">
        <v>22</v>
      </c>
      <c r="D29" s="4" t="s">
        <v>42</v>
      </c>
      <c r="E29" s="9">
        <f>_xll.BQL("SEG0000227430 Segment", "SALES_REV_TURN/1M", "FPT=Q", "FPO=-12Q", "ACT_EST_MAPPING=PRECISE", "FS=MRC", "CURRENCY=USD", "XLFILL=b")</f>
        <v>76881</v>
      </c>
      <c r="F29" s="9">
        <f>_xll.BQL("SEG0000227430 Segment", "SALES_REV_TURN/1M", "FPT=Q", "FPO=-11Q", "ACT_EST_MAPPING=PRECISE", "FS=MRC", "CURRENCY=USD", "XLFILL=b")</f>
        <v>82546</v>
      </c>
      <c r="G29" s="9">
        <f>_xll.BQL("SEG0000227430 Segment", "SALES_REV_TURN/1M", "FPT=Q", "FPO=-10Q", "ACT_EST_MAPPING=PRECISE", "FS=MRC", "CURRENCY=USD", "XLFILL=b")</f>
        <v>87887</v>
      </c>
      <c r="H29" s="9">
        <f>_xll.BQL("SEG0000227430 Segment", "SALES_REV_TURN/1M", "FPT=Q", "FPO=-9Q", "ACT_EST_MAPPING=PRECISE", "FS=MRC", "CURRENCY=USD", "XLFILL=b")</f>
        <v>105514</v>
      </c>
      <c r="I29" s="9">
        <f>_xll.BQL("SEG0000227430 Segment", "SALES_REV_TURN/1M", "FPT=Q", "FPO=-8Q", "ACT_EST_MAPPING=PRECISE", "FS=MRC", "CURRENCY=USD", "XLFILL=b")</f>
        <v>86341</v>
      </c>
      <c r="J29" s="9">
        <f>_xll.BQL("SEG0000227430 Segment", "SALES_REV_TURN/1M", "FPT=Q", "FPO=-7Q", "ACT_EST_MAPPING=PRECISE", "FS=MRC", "CURRENCY=USD", "XLFILL=b")</f>
        <v>90033</v>
      </c>
      <c r="K29" s="9">
        <f>_xll.BQL("SEG0000227430 Segment", "SALES_REV_TURN/1M", "FPT=Q", "FPO=-6Q", "ACT_EST_MAPPING=PRECISE", "FS=MRC", "CURRENCY=USD", "XLFILL=b")</f>
        <v>95537</v>
      </c>
      <c r="L29" s="9">
        <f>_xll.BQL("SEG0000227430 Segment", "SALES_REV_TURN/1M", "FPT=Q", "FPO=-5Q", "ACT_EST_MAPPING=PRECISE", "FS=MRC", "CURRENCY=USD", "XLFILL=b")</f>
        <v>115586</v>
      </c>
      <c r="M29" s="9">
        <f>_xll.BQL("SEG0000227430 Segment", "SALES_REV_TURN/1M", "FPT=Q", "FPO=-4Q", "ACT_EST_MAPPING=PRECISE", "FS=MRC", "CURRENCY=USD", "XLFILL=b")</f>
        <v>92887</v>
      </c>
      <c r="N29" s="9">
        <f>_xll.BQL("SEG0000227430 Segment", "SALES_REV_TURN/1M", "FPT=Q", "FPO=-3Q", "ACT_EST_MAPPING=PRECISE", "FS=MRC", "CURRENCY=USD", "XLFILL=b")</f>
        <v>100068</v>
      </c>
      <c r="O29" s="9">
        <f>_xll.BQL("SEG0000227430 Segment", "SALES_REV_TURN/1M", "FPT=Q", "FPO=-2Q", "ACT_EST_MAPPING=PRECISE", "FS=MRC", "CURRENCY=USD", "XLFILL=b")</f>
        <v>106267</v>
      </c>
      <c r="P29" s="9">
        <f>_xll.BQL("SEG0000227430 Segment", "SALES_REV_TURN/1M", "FPT=Q", "FPO=-1Q", "ACT_EST_MAPPING=PRECISE", "FS=MRC", "CURRENCY=USD", "XLFILL=b")</f>
        <v>127083</v>
      </c>
      <c r="Q29" s="9">
        <f>_xll.BQL("SEG0000227430 Segment", "SALES_REV_TURN/1M", "FPT=Q", "FPO=0Q", "ACT_EST_MAPPING=PRECISE", "FS=MRC", "CURRENCY=USD", "XLFILL=b")</f>
        <v>104143</v>
      </c>
      <c r="R29" s="9">
        <f>_xll.BQL("SEG0000227430 Segment", "SALES_REV_TURN/1M", "FPT=Q", "FPO=1Q", "ACT_EST_MAPPING=PRECISE", "FS=MRC", "CURRENCY=USD", "XLFILL=b")</f>
        <v>113950.98668674822</v>
      </c>
      <c r="S29" s="9">
        <f>_xll.BQL("SEG0000227430 Segment", "SALES_REV_TURN/1M", "FPT=Q", "FPO=2Q", "ACT_EST_MAPPING=PRECISE", "FS=MRC", "CURRENCY=USD", "XLFILL=b")</f>
        <v>115253.91050814235</v>
      </c>
      <c r="T29" s="9">
        <f>_xll.BQL("SEG0000227430 Segment", "SALES_REV_TURN/1M", "FPT=Q", "FPO=3Q", "ACT_EST_MAPPING=PRECISE", "FS=MRC", "CURRENCY=USD", "XLFILL=b")</f>
        <v>139444.65663236336</v>
      </c>
      <c r="U29" s="9">
        <f>_xll.BQL("SEG0000227430 Segment", "SALES_REV_TURN/1M", "FPT=Q", "FPO=4Q", "ACT_EST_MAPPING=PRECISE", "FS=MRC", "CURRENCY=USD", "XLFILL=b")</f>
        <v>112905.76376737306</v>
      </c>
      <c r="V29" s="9">
        <f>_xll.BQL("SEG0000227430 Segment", "SALES_REV_TURN/1M", "FPT=Q", "FPO=5Q", "ACT_EST_MAPPING=PRECISE", "FS=MRC", "CURRENCY=USD", "XLFILL=b")</f>
        <v>123627.62091223452</v>
      </c>
      <c r="W29" s="9">
        <f>_xll.BQL("SEG0000227430 Segment", "SALES_REV_TURN/1M", "FPT=Q", "FPO=6Q", "ACT_EST_MAPPING=PRECISE", "FS=MRC", "CURRENCY=USD", "XLFILL=b")</f>
        <v>124625.9154825091</v>
      </c>
      <c r="X29" s="9">
        <f>_xll.BQL("SEG0000227430 Segment", "SALES_REV_TURN/1M", "FPT=Q", "FPO=7Q", "ACT_EST_MAPPING=PRECISE", "FS=MRC", "CURRENCY=USD", "XLFILL=b")</f>
        <v>150909.10219681927</v>
      </c>
    </row>
    <row r="30" spans="1:24" x14ac:dyDescent="0.25">
      <c r="A30" s="8" t="s">
        <v>43</v>
      </c>
      <c r="B30" s="4" t="s">
        <v>44</v>
      </c>
      <c r="C30" s="4" t="s">
        <v>45</v>
      </c>
      <c r="D30" s="4" t="s">
        <v>42</v>
      </c>
      <c r="E30" s="9">
        <f>_xll.BQL("SEG0000227430 Segment", "CB_IS_OPERATING_MARGIN", "FPT=Q", "FPO=-12Q", "ACT_EST_MAPPING=PRECISE", "FS=MRC", "CURRENCY=USD", "XLFILL=b")</f>
        <v>1.2</v>
      </c>
      <c r="F30" s="9">
        <f>_xll.BQL("SEG0000227430 Segment", "CB_IS_OPERATING_MARGIN", "FPT=Q", "FPO=-11Q", "ACT_EST_MAPPING=PRECISE", "FS=MRC", "CURRENCY=USD", "XLFILL=b")</f>
        <v>3.9</v>
      </c>
      <c r="G30" s="9">
        <f>_xll.BQL("SEG0000227430 Segment", "CB_IS_OPERATING_MARGIN", "FPT=Q", "FPO=-10Q", "ACT_EST_MAPPING=PRECISE", "FS=MRC", "CURRENCY=USD", "XLFILL=b")</f>
        <v>4.9000000000000004</v>
      </c>
      <c r="H30" s="9">
        <f>_xll.BQL("SEG0000227430 Segment", "CB_IS_OPERATING_MARGIN", "FPT=Q", "FPO=-9Q", "ACT_EST_MAPPING=PRECISE", "FS=MRC", "CURRENCY=USD", "XLFILL=b")</f>
        <v>6.1</v>
      </c>
      <c r="I30" s="9">
        <f>_xll.BQL("SEG0000227430 Segment", "CB_IS_OPERATING_MARGIN", "FPT=Q", "FPO=-8Q", "ACT_EST_MAPPING=PRECISE", "FS=MRC", "CURRENCY=USD", "XLFILL=b")</f>
        <v>5.8</v>
      </c>
      <c r="J30" s="9">
        <f>_xll.BQL("SEG0000227430 Segment", "CB_IS_OPERATING_MARGIN", "FPT=Q", "FPO=-7Q", "ACT_EST_MAPPING=PRECISE", "FS=MRC", "CURRENCY=USD", "XLFILL=b")</f>
        <v>5.6</v>
      </c>
      <c r="K30" s="9">
        <f>_xll.BQL("SEG0000227430 Segment", "CB_IS_OPERATING_MARGIN", "FPT=Q", "FPO=-6Q", "ACT_EST_MAPPING=PRECISE", "FS=MRC", "CURRENCY=USD", "XLFILL=b")</f>
        <v>5.9</v>
      </c>
      <c r="L30" s="9">
        <f>_xll.BQL("SEG0000227430 Segment", "CB_IS_OPERATING_MARGIN", "FPT=Q", "FPO=-5Q", "ACT_EST_MAPPING=PRECISE", "FS=MRC", "CURRENCY=USD", "XLFILL=b")</f>
        <v>8</v>
      </c>
      <c r="M30" s="9">
        <f>_xll.BQL("SEG0000227430 Segment", "CB_IS_OPERATING_MARGIN", "FPT=Q", "FPO=-4Q", "ACT_EST_MAPPING=PRECISE", "FS=MRC", "CURRENCY=USD", "XLFILL=b")</f>
        <v>6.3</v>
      </c>
      <c r="N30" s="9">
        <f>_xll.BQL("SEG0000227430 Segment", "CB_IS_OPERATING_MARGIN", "FPT=Q", "FPO=-3Q", "ACT_EST_MAPPING=PRECISE", "FS=MRC", "CURRENCY=USD", "XLFILL=b")</f>
        <v>7.5</v>
      </c>
      <c r="O30" s="9">
        <f>_xll.BQL("SEG0000227430 Segment", "CB_IS_OPERATING_MARGIN", "FPT=Q", "FPO=-2Q", "ACT_EST_MAPPING=PRECISE", "FS=MRC", "CURRENCY=USD", "XLFILL=b")</f>
        <v>4.5</v>
      </c>
      <c r="P30" s="9">
        <f>_xll.BQL("SEG0000227430 Segment", "CB_IS_OPERATING_MARGIN", "FPT=Q", "FPO=-1Q", "ACT_EST_MAPPING=PRECISE", "FS=MRC", "CURRENCY=USD", "XLFILL=b")</f>
        <v>9</v>
      </c>
      <c r="Q30" s="9">
        <f>_xll.BQL("SEG0000227430 Segment", "CB_IS_OPERATING_MARGIN", "FPT=Q", "FPO=0Q", "ACT_EST_MAPPING=PRECISE", "FS=MRC", "CURRENCY=USD", "XLFILL=b")</f>
        <v>7.9</v>
      </c>
      <c r="R30" s="9">
        <f>_xll.BQL("SEG0000227430 Segment", "CB_IS_OPERATING_MARGIN", "FPT=Q", "FPO=1Q", "ACT_EST_MAPPING=PRECISE", "FS=MRC", "CURRENCY=USD", "XLFILL=b")</f>
        <v>7.475597612468996</v>
      </c>
      <c r="S30" s="9">
        <f>_xll.BQL("SEG0000227430 Segment", "CB_IS_OPERATING_MARGIN", "FPT=Q", "FPO=2Q", "ACT_EST_MAPPING=PRECISE", "FS=MRC", "CURRENCY=USD", "XLFILL=b")</f>
        <v>7.262945366522028</v>
      </c>
      <c r="T30" s="9">
        <f>_xll.BQL("SEG0000227430 Segment", "CB_IS_OPERATING_MARGIN", "FPT=Q", "FPO=3Q", "ACT_EST_MAPPING=PRECISE", "FS=MRC", "CURRENCY=USD", "XLFILL=b")</f>
        <v>9.5667349935530268</v>
      </c>
      <c r="U30" s="9">
        <f>_xll.BQL("SEG0000227430 Segment", "CB_IS_OPERATING_MARGIN", "FPT=Q", "FPO=4Q", "ACT_EST_MAPPING=PRECISE", "FS=MRC", "CURRENCY=USD", "XLFILL=b")</f>
        <v>9.2650727023153774</v>
      </c>
      <c r="V30" s="9">
        <f>_xll.BQL("SEG0000227430 Segment", "CB_IS_OPERATING_MARGIN", "FPT=Q", "FPO=5Q", "ACT_EST_MAPPING=PRECISE", "FS=MRC", "CURRENCY=USD", "XLFILL=b")</f>
        <v>8.3407311692988699</v>
      </c>
      <c r="W30" s="9">
        <f>_xll.BQL("SEG0000227430 Segment", "CB_IS_OPERATING_MARGIN", "FPT=Q", "FPO=6Q", "ACT_EST_MAPPING=PRECISE", "FS=MRC", "CURRENCY=USD", "XLFILL=b")</f>
        <v>8.7674824552159567</v>
      </c>
      <c r="X30" s="9">
        <f>_xll.BQL("SEG0000227430 Segment", "CB_IS_OPERATING_MARGIN", "FPT=Q", "FPO=7Q", "ACT_EST_MAPPING=PRECISE", "FS=MRC", "CURRENCY=USD", "XLFILL=b")</f>
        <v>10.541317694932518</v>
      </c>
    </row>
    <row r="31" spans="1:24" x14ac:dyDescent="0.25">
      <c r="A31" s="8" t="s">
        <v>46</v>
      </c>
      <c r="B31" s="4"/>
      <c r="C31" s="4"/>
      <c r="D31" s="4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 spans="1:24" x14ac:dyDescent="0.25">
      <c r="A32" s="8" t="s">
        <v>41</v>
      </c>
      <c r="B32" s="4" t="s">
        <v>21</v>
      </c>
      <c r="C32" s="4" t="s">
        <v>22</v>
      </c>
      <c r="D32" s="4" t="s">
        <v>47</v>
      </c>
      <c r="E32" s="9">
        <f>_xll.BQL("SEG0000227462 Segment", "SALES_REV_TURN/1M", "FPT=Q", "FPO=-12Q", "ACT_EST_MAPPING=PRECISE", "FS=MRC", "CURRENCY=USD", "XLFILL=b")</f>
        <v>29123</v>
      </c>
      <c r="F32" s="9">
        <f>_xll.BQL("SEG0000227462 Segment", "SALES_REV_TURN/1M", "FPT=Q", "FPO=-11Q", "ACT_EST_MAPPING=PRECISE", "FS=MRC", "CURRENCY=USD", "XLFILL=b")</f>
        <v>29697</v>
      </c>
      <c r="G32" s="9">
        <f>_xll.BQL("SEG0000227462 Segment", "SALES_REV_TURN/1M", "FPT=Q", "FPO=-10Q", "ACT_EST_MAPPING=PRECISE", "FS=MRC", "CURRENCY=USD", "XLFILL=b")</f>
        <v>32137</v>
      </c>
      <c r="H32" s="9">
        <f>_xll.BQL("SEG0000227462 Segment", "SALES_REV_TURN/1M", "FPT=Q", "FPO=-9Q", "ACT_EST_MAPPING=PRECISE", "FS=MRC", "CURRENCY=USD", "XLFILL=b")</f>
        <v>40243</v>
      </c>
      <c r="I32" s="9">
        <f>_xll.BQL("SEG0000227462 Segment", "SALES_REV_TURN/1M", "FPT=Q", "FPO=-8Q", "ACT_EST_MAPPING=PRECISE", "FS=MRC", "CURRENCY=USD", "XLFILL=b")</f>
        <v>31935</v>
      </c>
      <c r="J32" s="9">
        <f>_xll.BQL("SEG0000227462 Segment", "SALES_REV_TURN/1M", "FPT=Q", "FPO=-7Q", "ACT_EST_MAPPING=PRECISE", "FS=MRC", "CURRENCY=USD", "XLFILL=b")</f>
        <v>31663</v>
      </c>
      <c r="K32" s="9">
        <f>_xll.BQL("SEG0000227462 Segment", "SALES_REV_TURN/1M", "FPT=Q", "FPO=-6Q", "ACT_EST_MAPPING=PRECISE", "FS=MRC", "CURRENCY=USD", "XLFILL=b")</f>
        <v>35888</v>
      </c>
      <c r="L32" s="9">
        <f>_xll.BQL("SEG0000227462 Segment", "SALES_REV_TURN/1M", "FPT=Q", "FPO=-5Q", "ACT_EST_MAPPING=PRECISE", "FS=MRC", "CURRENCY=USD", "XLFILL=b")</f>
        <v>43420</v>
      </c>
      <c r="M32" s="9">
        <f>_xll.BQL("SEG0000227462 Segment", "SALES_REV_TURN/1M", "FPT=Q", "FPO=-4Q", "ACT_EST_MAPPING=PRECISE", "FS=MRC", "CURRENCY=USD", "XLFILL=b")</f>
        <v>33513</v>
      </c>
      <c r="N32" s="9">
        <f>_xll.BQL("SEG0000227462 Segment", "SALES_REV_TURN/1M", "FPT=Q", "FPO=-3Q", "ACT_EST_MAPPING=PRECISE", "FS=MRC", "CURRENCY=USD", "XLFILL=b")</f>
        <v>36761</v>
      </c>
      <c r="O32" s="9">
        <f>_xll.BQL("SEG0000227462 Segment", "SALES_REV_TURN/1M", "FPT=Q", "FPO=-2Q", "ACT_EST_MAPPING=PRECISE", "FS=MRC", "CURRENCY=USD", "XLFILL=b")</f>
        <v>40896</v>
      </c>
      <c r="P32" s="9">
        <f>_xll.BQL("SEG0000227462 Segment", "SALES_REV_TURN/1M", "FPT=Q", "FPO=-1Q", "ACT_EST_MAPPING=PRECISE", "FS=MRC", "CURRENCY=USD", "XLFILL=b")</f>
        <v>50724</v>
      </c>
      <c r="Q32" s="9">
        <f>_xll.BQL("SEG0000227462 Segment", "SALES_REV_TURN/1M", "FPT=Q", "FPO=0Q", "ACT_EST_MAPPING=PRECISE", "FS=MRC", "CURRENCY=USD", "XLFILL=b")</f>
        <v>39789</v>
      </c>
      <c r="R32" s="9">
        <f>_xll.BQL("SEG0000227462 Segment", "SALES_REV_TURN/1M", "FPT=Q", "FPO=1Q", "ACT_EST_MAPPING=PRECISE", "FS=MRC", "CURRENCY=USD", "XLFILL=b")</f>
        <v>42710.995547319937</v>
      </c>
      <c r="S32" s="9">
        <f>_xll.BQL("SEG0000227462 Segment", "SALES_REV_TURN/1M", "FPT=Q", "FPO=2Q", "ACT_EST_MAPPING=PRECISE", "FS=MRC", "CURRENCY=USD", "XLFILL=b")</f>
        <v>45054.984230748363</v>
      </c>
      <c r="T32" s="9">
        <f>_xll.BQL("SEG0000227462 Segment", "SALES_REV_TURN/1M", "FPT=Q", "FPO=3Q", "ACT_EST_MAPPING=PRECISE", "FS=MRC", "CURRENCY=USD", "XLFILL=b")</f>
        <v>56577.022344829267</v>
      </c>
      <c r="U32" s="9">
        <f>_xll.BQL("SEG0000227462 Segment", "SALES_REV_TURN/1M", "FPT=Q", "FPO=4Q", "ACT_EST_MAPPING=PRECISE", "FS=MRC", "CURRENCY=USD", "XLFILL=b")</f>
        <v>43623.208340801626</v>
      </c>
      <c r="V32" s="9">
        <f>_xll.BQL("SEG0000227462 Segment", "SALES_REV_TURN/1M", "FPT=Q", "FPO=5Q", "ACT_EST_MAPPING=PRECISE", "FS=MRC", "CURRENCY=USD", "XLFILL=b")</f>
        <v>47665.731621195198</v>
      </c>
      <c r="W32" s="9">
        <f>_xll.BQL("SEG0000227462 Segment", "SALES_REV_TURN/1M", "FPT=Q", "FPO=6Q", "ACT_EST_MAPPING=PRECISE", "FS=MRC", "CURRENCY=USD", "XLFILL=b")</f>
        <v>50467.527811117776</v>
      </c>
      <c r="X32" s="9">
        <f>_xll.BQL("SEG0000227462 Segment", "SALES_REV_TURN/1M", "FPT=Q", "FPO=7Q", "ACT_EST_MAPPING=PRECISE", "FS=MRC", "CURRENCY=USD", "XLFILL=b")</f>
        <v>62728.123444451441</v>
      </c>
    </row>
    <row r="33" spans="1:24" x14ac:dyDescent="0.25">
      <c r="A33" s="8" t="s">
        <v>43</v>
      </c>
      <c r="B33" s="4" t="s">
        <v>44</v>
      </c>
      <c r="C33" s="4" t="s">
        <v>45</v>
      </c>
      <c r="D33" s="4" t="s">
        <v>47</v>
      </c>
      <c r="E33" s="9">
        <f>_xll.BQL("SEG0000227462 Segment", "CB_IS_OPERATING_MARGIN", "FPT=Q", "FPO=-12Q", "ACT_EST_MAPPING=PRECISE", "FS=MRC", "CURRENCY=USD", "XLFILL=b")</f>
        <v>-4.3</v>
      </c>
      <c r="F33" s="9">
        <f>_xll.BQL("SEG0000227462 Segment", "CB_IS_OPERATING_MARGIN", "FPT=Q", "FPO=-11Q", "ACT_EST_MAPPING=PRECISE", "FS=MRC", "CURRENCY=USD", "XLFILL=b")</f>
        <v>-3</v>
      </c>
      <c r="G33" s="9">
        <f>_xll.BQL("SEG0000227462 Segment", "CB_IS_OPERATING_MARGIN", "FPT=Q", "FPO=-10Q", "ACT_EST_MAPPING=PRECISE", "FS=MRC", "CURRENCY=USD", "XLFILL=b")</f>
        <v>-0.3</v>
      </c>
      <c r="H33" s="9">
        <f>_xll.BQL("SEG0000227462 Segment", "CB_IS_OPERATING_MARGIN", "FPT=Q", "FPO=-9Q", "ACT_EST_MAPPING=PRECISE", "FS=MRC", "CURRENCY=USD", "XLFILL=b")</f>
        <v>-1</v>
      </c>
      <c r="I33" s="9">
        <f>_xll.BQL("SEG0000227462 Segment", "CB_IS_OPERATING_MARGIN", "FPT=Q", "FPO=-8Q", "ACT_EST_MAPPING=PRECISE", "FS=MRC", "CURRENCY=USD", "XLFILL=b")</f>
        <v>2.8</v>
      </c>
      <c r="J33" s="9">
        <f>_xll.BQL("SEG0000227462 Segment", "CB_IS_OPERATING_MARGIN", "FPT=Q", "FPO=-7Q", "ACT_EST_MAPPING=PRECISE", "FS=MRC", "CURRENCY=USD", "XLFILL=b")</f>
        <v>0.9</v>
      </c>
      <c r="K33" s="9">
        <f>_xll.BQL("SEG0000227462 Segment", "CB_IS_OPERATING_MARGIN", "FPT=Q", "FPO=-6Q", "ACT_EST_MAPPING=PRECISE", "FS=MRC", "CURRENCY=USD", "XLFILL=b")</f>
        <v>3.6</v>
      </c>
      <c r="L33" s="9">
        <f>_xll.BQL("SEG0000227462 Segment", "CB_IS_OPERATING_MARGIN", "FPT=Q", "FPO=-5Q", "ACT_EST_MAPPING=PRECISE", "FS=MRC", "CURRENCY=USD", "XLFILL=b")</f>
        <v>3</v>
      </c>
      <c r="M33" s="9">
        <f>_xll.BQL("SEG0000227462 Segment", "CB_IS_OPERATING_MARGIN", "FPT=Q", "FPO=-4Q", "ACT_EST_MAPPING=PRECISE", "FS=MRC", "CURRENCY=USD", "XLFILL=b")</f>
        <v>3</v>
      </c>
      <c r="N33" s="9">
        <f>_xll.BQL("SEG0000227462 Segment", "CB_IS_OPERATING_MARGIN", "FPT=Q", "FPO=-3Q", "ACT_EST_MAPPING=PRECISE", "FS=MRC", "CURRENCY=USD", "XLFILL=b")</f>
        <v>4.0999999999999996</v>
      </c>
      <c r="O33" s="9">
        <f>_xll.BQL("SEG0000227462 Segment", "CB_IS_OPERATING_MARGIN", "FPT=Q", "FPO=-2Q", "ACT_EST_MAPPING=PRECISE", "FS=MRC", "CURRENCY=USD", "XLFILL=b")</f>
        <v>2.9</v>
      </c>
      <c r="P33" s="9">
        <f>_xll.BQL("SEG0000227462 Segment", "CB_IS_OPERATING_MARGIN", "FPT=Q", "FPO=-1Q", "ACT_EST_MAPPING=PRECISE", "FS=MRC", "CURRENCY=USD", "XLFILL=b")</f>
        <v>2.1</v>
      </c>
      <c r="Q33" s="9">
        <f>_xll.BQL("SEG0000227462 Segment", "CB_IS_OPERATING_MARGIN", "FPT=Q", "FPO=0Q", "ACT_EST_MAPPING=PRECISE", "FS=MRC", "CURRENCY=USD", "XLFILL=b")</f>
        <v>3.6</v>
      </c>
      <c r="R33" s="9">
        <f>_xll.BQL("SEG0000227462 Segment", "CB_IS_OPERATING_MARGIN", "FPT=Q", "FPO=1Q", "ACT_EST_MAPPING=PRECISE", "FS=MRC", "CURRENCY=USD", "XLFILL=b")</f>
        <v>3.7635319977803299</v>
      </c>
      <c r="S33" s="9">
        <f>_xll.BQL("SEG0000227462 Segment", "CB_IS_OPERATING_MARGIN", "FPT=Q", "FPO=2Q", "ACT_EST_MAPPING=PRECISE", "FS=MRC", "CURRENCY=USD", "XLFILL=b")</f>
        <v>3.4751728699053896</v>
      </c>
      <c r="T33" s="9">
        <f>_xll.BQL("SEG0000227462 Segment", "CB_IS_OPERATING_MARGIN", "FPT=Q", "FPO=3Q", "ACT_EST_MAPPING=PRECISE", "FS=MRC", "CURRENCY=USD", "XLFILL=b")</f>
        <v>3.5240749685956878</v>
      </c>
      <c r="U33" s="9">
        <f>_xll.BQL("SEG0000227462 Segment", "CB_IS_OPERATING_MARGIN", "FPT=Q", "FPO=4Q", "ACT_EST_MAPPING=PRECISE", "FS=MRC", "CURRENCY=USD", "XLFILL=b")</f>
        <v>2.9434818416706294</v>
      </c>
      <c r="V33" s="9">
        <f>_xll.BQL("SEG0000227462 Segment", "CB_IS_OPERATING_MARGIN", "FPT=Q", "FPO=5Q", "ACT_EST_MAPPING=PRECISE", "FS=MRC", "CURRENCY=USD", "XLFILL=b")</f>
        <v>4.5712412308764048</v>
      </c>
      <c r="W33" s="9">
        <f>_xll.BQL("SEG0000227462 Segment", "CB_IS_OPERATING_MARGIN", "FPT=Q", "FPO=6Q", "ACT_EST_MAPPING=PRECISE", "FS=MRC", "CURRENCY=USD", "XLFILL=b")</f>
        <v>3.8833277327167139</v>
      </c>
      <c r="X33" s="9">
        <f>_xll.BQL("SEG0000227462 Segment", "CB_IS_OPERATING_MARGIN", "FPT=Q", "FPO=7Q", "ACT_EST_MAPPING=PRECISE", "FS=MRC", "CURRENCY=USD", "XLFILL=b")</f>
        <v>4.1730019799845621</v>
      </c>
    </row>
    <row r="34" spans="1:24" x14ac:dyDescent="0.25">
      <c r="A34" s="8" t="s">
        <v>14</v>
      </c>
      <c r="B34" s="4"/>
      <c r="C34" s="4"/>
      <c r="D34" s="4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 spans="1:24" x14ac:dyDescent="0.25">
      <c r="A35" s="8" t="s">
        <v>48</v>
      </c>
      <c r="B35" s="4" t="s">
        <v>49</v>
      </c>
      <c r="C35" s="4" t="s">
        <v>50</v>
      </c>
      <c r="D35" s="4"/>
      <c r="E35" s="9">
        <f>_xll.BQL("AMZN US Equity", "CB_IS_OTHER_OPEX/1M", "FPT=Q", "FPO=-12Q", "ACT_EST_MAPPING=PRECISE", "FS=MRC", "CURRENCY=USD", "XLFILL=b")</f>
        <v>20905</v>
      </c>
      <c r="F35" s="9">
        <f>_xll.BQL("AMZN US Equity", "CB_IS_OTHER_OPEX/1M", "FPT=Q", "FPO=-11Q", "ACT_EST_MAPPING=PRECISE", "FS=MRC", "CURRENCY=USD", "XLFILL=b")</f>
        <v>21305</v>
      </c>
      <c r="G35" s="9">
        <f>_xll.BQL("AMZN US Equity", "CB_IS_OTHER_OPEX/1M", "FPT=Q", "FPO=-10Q", "ACT_EST_MAPPING=PRECISE", "FS=MRC", "CURRENCY=USD", "XLFILL=b")</f>
        <v>22314</v>
      </c>
      <c r="H35" s="9">
        <f>_xll.BQL("AMZN US Equity", "CB_IS_OTHER_OPEX/1M", "FPT=Q", "FPO=-9Q", "ACT_EST_MAPPING=PRECISE", "FS=MRC", "CURRENCY=USD", "XLFILL=b")</f>
        <v>26095</v>
      </c>
      <c r="I35" s="9">
        <f>_xll.BQL("AMZN US Equity", "CB_IS_OTHER_OPEX/1M", "FPT=Q", "FPO=-8Q", "ACT_EST_MAPPING=PRECISE", "FS=MRC", "CURRENCY=USD", "XLFILL=b")</f>
        <v>22317</v>
      </c>
      <c r="J35" s="9">
        <f>_xll.BQL("AMZN US Equity", "CB_IS_OTHER_OPEX/1M", "FPT=Q", "FPO=-7Q", "ACT_EST_MAPPING=PRECISE", "FS=MRC", "CURRENCY=USD", "XLFILL=b")</f>
        <v>23566</v>
      </c>
      <c r="K35" s="9">
        <f>_xll.BQL("AMZN US Equity", "CB_IS_OTHER_OPEX/1M", "FPT=Q", "FPO=-6Q", "ACT_EST_MAPPING=PRECISE", "FS=MRC", "CURRENCY=USD", "XLFILL=b")</f>
        <v>24660</v>
      </c>
      <c r="L35" s="9">
        <f>_xll.BQL("AMZN US Equity", "CB_IS_OTHER_OPEX/1M", "FPT=Q", "FPO=-5Q", "ACT_EST_MAPPING=PRECISE", "FS=MRC", "CURRENCY=USD", "XLFILL=b")</f>
        <v>27962</v>
      </c>
      <c r="M35" s="9">
        <f>_xll.BQL("AMZN US Equity", "CB_IS_OTHER_OPEX/1M", "FPT=Q", "FPO=-4Q", "ACT_EST_MAPPING=PRECISE", "FS=MRC", "CURRENCY=USD", "XLFILL=b")</f>
        <v>24593</v>
      </c>
      <c r="N35" s="9">
        <f>_xll.BQL("AMZN US Equity", "CB_IS_OTHER_OPEX/1M", "FPT=Q", "FPO=-3Q", "ACT_EST_MAPPING=PRECISE", "FS=MRC", "CURRENCY=USD", "XLFILL=b")</f>
        <v>25976</v>
      </c>
      <c r="O35" s="9">
        <f>_xll.BQL("AMZN US Equity", "CB_IS_OTHER_OPEX/1M", "FPT=Q", "FPO=-2Q", "ACT_EST_MAPPING=PRECISE", "FS=MRC", "CURRENCY=USD", "XLFILL=b")</f>
        <v>27679</v>
      </c>
      <c r="P35" s="9">
        <f>_xll.BQL("AMZN US Equity", "CB_IS_OTHER_OPEX/1M", "FPT=Q", "FPO=-1Q", "ACT_EST_MAPPING=PRECISE", "FS=MRC", "CURRENCY=USD", "XLFILL=b")</f>
        <v>30826</v>
      </c>
      <c r="Q35" s="9">
        <f>_xll.BQL("AMZN US Equity", "CB_IS_OTHER_OPEX/1M", "FPT=Q", "FPO=0Q", "ACT_EST_MAPPING=PRECISE", "FS=MRC", "CURRENCY=USD", "XLFILL=b")</f>
        <v>27289</v>
      </c>
      <c r="R35" s="9">
        <f>_xll.BQL("AMZN US Equity", "CB_IS_OTHER_OPEX/1M", "FPT=Q", "FPO=1Q", "ACT_EST_MAPPING=PRECISE", "FS=MRC", "CURRENCY=USD", "XLFILL=b")</f>
        <v>29784.160192845717</v>
      </c>
      <c r="S35" s="9">
        <f>_xll.BQL("AMZN US Equity", "CB_IS_OTHER_OPEX/1M", "FPT=Q", "FPO=2Q", "ACT_EST_MAPPING=PRECISE", "FS=MRC", "CURRENCY=USD", "XLFILL=b")</f>
        <v>30629.855216361506</v>
      </c>
      <c r="T35" s="9">
        <f>_xll.BQL("AMZN US Equity", "CB_IS_OTHER_OPEX/1M", "FPT=Q", "FPO=3Q", "ACT_EST_MAPPING=PRECISE", "FS=MRC", "CURRENCY=USD", "XLFILL=b")</f>
        <v>34749.230107010117</v>
      </c>
      <c r="U35" s="9">
        <f>_xll.BQL("AMZN US Equity", "CB_IS_OTHER_OPEX/1M", "FPT=Q", "FPO=4Q", "ACT_EST_MAPPING=PRECISE", "FS=MRC", "CURRENCY=USD", "XLFILL=b")</f>
        <v>30252.495919869933</v>
      </c>
      <c r="V35" s="9">
        <f>_xll.BQL("AMZN US Equity", "CB_IS_OTHER_OPEX/1M", "FPT=Q", "FPO=5Q", "ACT_EST_MAPPING=PRECISE", "FS=MRC", "CURRENCY=USD", "XLFILL=b")</f>
        <v>32780.951637483122</v>
      </c>
      <c r="W35" s="9">
        <f>_xll.BQL("AMZN US Equity", "CB_IS_OTHER_OPEX/1M", "FPT=Q", "FPO=6Q", "ACT_EST_MAPPING=PRECISE", "FS=MRC", "CURRENCY=USD", "XLFILL=b")</f>
        <v>33956.211055049505</v>
      </c>
      <c r="X35" s="9">
        <f>_xll.BQL("AMZN US Equity", "CB_IS_OTHER_OPEX/1M", "FPT=Q", "FPO=7Q", "ACT_EST_MAPPING=PRECISE", "FS=MRC", "CURRENCY=USD", "XLFILL=b")</f>
        <v>38132.6700168237</v>
      </c>
    </row>
    <row r="36" spans="1:24" x14ac:dyDescent="0.25">
      <c r="A36" s="8" t="s">
        <v>14</v>
      </c>
      <c r="B36" s="4"/>
      <c r="C36" s="4"/>
      <c r="D36" s="4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 spans="1:24" x14ac:dyDescent="0.25">
      <c r="A37" s="8" t="s">
        <v>51</v>
      </c>
      <c r="B37" s="4" t="s">
        <v>52</v>
      </c>
      <c r="C37" s="4" t="s">
        <v>53</v>
      </c>
      <c r="D37" s="4"/>
      <c r="E37" s="9">
        <f>_xll.BQL("AMZN US Equity", "IS_COMPARABLE_EBIT/1M", "FPT=Q", "FPO=-12Q", "ACT_EST_MAPPING=PRECISE", "FS=MRC", "CURRENCY=USD", "XLFILL=b")</f>
        <v>4774</v>
      </c>
      <c r="F37" s="9">
        <f>_xll.BQL("AMZN US Equity", "IS_COMPARABLE_EBIT/1M", "FPT=Q", "FPO=-11Q", "ACT_EST_MAPPING=PRECISE", "FS=MRC", "CURRENCY=USD", "XLFILL=b")</f>
        <v>7681</v>
      </c>
      <c r="G37" s="9">
        <f>_xll.BQL("AMZN US Equity", "IS_COMPARABLE_EBIT/1M", "FPT=Q", "FPO=-10Q", "ACT_EST_MAPPING=PRECISE", "FS=MRC", "CURRENCY=USD", "XLFILL=b")</f>
        <v>11188</v>
      </c>
      <c r="H37" s="9">
        <f>_xll.BQL("AMZN US Equity", "IS_COMPARABLE_EBIT/1M", "FPT=Q", "FPO=-9Q", "ACT_EST_MAPPING=PRECISE", "FS=MRC", "CURRENCY=USD", "XLFILL=b")</f>
        <v>13209</v>
      </c>
      <c r="I37" s="9">
        <f>_xll.BQL("AMZN US Equity", "IS_COMPARABLE_EBIT/1M", "FPT=Q", "FPO=-8Q", "ACT_EST_MAPPING=PRECISE", "FS=MRC", "CURRENCY=USD", "XLFILL=b")</f>
        <v>15307</v>
      </c>
      <c r="J37" s="9">
        <f>_xll.BQL("AMZN US Equity", "IS_COMPARABLE_EBIT/1M", "FPT=Q", "FPO=-7Q", "ACT_EST_MAPPING=PRECISE", "FS=MRC", "CURRENCY=USD", "XLFILL=b")</f>
        <v>14672</v>
      </c>
      <c r="K37" s="9">
        <f>_xll.BQL("AMZN US Equity", "IS_COMPARABLE_EBIT/1M", "FPT=Q", "FPO=-6Q", "ACT_EST_MAPPING=PRECISE", "FS=MRC", "CURRENCY=USD", "XLFILL=b")</f>
        <v>17411</v>
      </c>
      <c r="L37" s="9">
        <f>_xll.BQL("AMZN US Equity", "IS_COMPARABLE_EBIT/1M", "FPT=Q", "FPO=-5Q", "ACT_EST_MAPPING=PRECISE", "FS=MRC", "CURRENCY=USD", "XLFILL=b")</f>
        <v>21203</v>
      </c>
      <c r="M37" s="9">
        <f>_xll.BQL("AMZN US Equity", "IS_COMPARABLE_EBIT/1M", "FPT=Q", "FPO=-4Q", "ACT_EST_MAPPING=PRECISE", "FS=MRC", "CURRENCY=USD", "XLFILL=b")</f>
        <v>18405</v>
      </c>
      <c r="N37" s="9">
        <f>_xll.BQL("AMZN US Equity", "IS_COMPARABLE_EBIT/1M", "FPT=Q", "FPO=-3Q", "ACT_EST_MAPPING=PRECISE", "FS=MRC", "CURRENCY=USD", "XLFILL=b")</f>
        <v>19171</v>
      </c>
      <c r="O37" s="9">
        <f>_xll.BQL("AMZN US Equity", "IS_COMPARABLE_EBIT/1M", "FPT=Q", "FPO=-2Q", "ACT_EST_MAPPING=PRECISE", "FS=MRC", "CURRENCY=USD", "XLFILL=b")</f>
        <v>17422</v>
      </c>
      <c r="P37" s="9">
        <f>_xll.BQL("AMZN US Equity", "IS_COMPARABLE_EBIT/1M", "FPT=Q", "FPO=-1Q", "ACT_EST_MAPPING=PRECISE", "FS=MRC", "CURRENCY=USD", "XLFILL=b")</f>
        <v>24977</v>
      </c>
      <c r="Q37" s="9">
        <f>_xll.BQL("AMZN US Equity", "IS_COMPARABLE_EBIT/1M", "FPT=Q", "FPO=0Q", "ACT_EST_MAPPING=PRECISE", "FS=MRC", "CURRENCY=USD", "XLFILL=b")</f>
        <v>23852</v>
      </c>
      <c r="R37" s="9">
        <f>_xll.BQL("AMZN US Equity", "IS_COMPARABLE_EBIT/1M", "FPT=Q", "FPO=1Q", "ACT_EST_MAPPING=PRECISE", "FS=MRC", "CURRENCY=USD", "XLFILL=b")</f>
        <v>23741.952380952382</v>
      </c>
      <c r="S37" s="9">
        <f>_xll.BQL("AMZN US Equity", "IS_COMPARABLE_EBIT/1M", "FPT=Q", "FPO=2Q", "ACT_EST_MAPPING=PRECISE", "FS=MRC", "CURRENCY=USD", "XLFILL=b")</f>
        <v>24996.166666666668</v>
      </c>
      <c r="T37" s="9">
        <f>_xll.BQL("AMZN US Equity", "IS_COMPARABLE_EBIT/1M", "FPT=Q", "FPO=3Q", "ACT_EST_MAPPING=PRECISE", "FS=MRC", "CURRENCY=USD", "XLFILL=b")</f>
        <v>31444.195121951219</v>
      </c>
      <c r="U37" s="9">
        <f>_xll.BQL("AMZN US Equity", "IS_COMPARABLE_EBIT/1M", "FPT=Q", "FPO=4Q", "ACT_EST_MAPPING=PRECISE", "FS=MRC", "CURRENCY=USD", "XLFILL=b")</f>
        <v>29647.08</v>
      </c>
      <c r="V37" s="9">
        <f>_xll.BQL("AMZN US Equity", "IS_COMPARABLE_EBIT/1M", "FPT=Q", "FPO=5Q", "ACT_EST_MAPPING=PRECISE", "FS=MRC", "CURRENCY=USD", "XLFILL=b")</f>
        <v>30531.291666666668</v>
      </c>
      <c r="W37" s="9">
        <f>_xll.BQL("AMZN US Equity", "IS_COMPARABLE_EBIT/1M", "FPT=Q", "FPO=6Q", "ACT_EST_MAPPING=PRECISE", "FS=MRC", "CURRENCY=USD", "XLFILL=b")</f>
        <v>32080.17391304348</v>
      </c>
      <c r="X37" s="9">
        <f>_xll.BQL("AMZN US Equity", "IS_COMPARABLE_EBIT/1M", "FPT=Q", "FPO=7Q", "ACT_EST_MAPPING=PRECISE", "FS=MRC", "CURRENCY=USD", "XLFILL=b")</f>
        <v>39110.478260869568</v>
      </c>
    </row>
    <row r="38" spans="1:24" x14ac:dyDescent="0.25">
      <c r="A38" s="8" t="s">
        <v>54</v>
      </c>
      <c r="B38" s="4" t="s">
        <v>55</v>
      </c>
      <c r="C38" s="4" t="s">
        <v>56</v>
      </c>
      <c r="D38" s="4"/>
      <c r="E38" s="9">
        <f>_xll.BQL("AMZN US Equity", "OPER_MARGIN", "FPT=Q", "FPO=-12Q", "ACT_EST_MAPPING=PRECISE", "FS=MRC", "CURRENCY=USD", "XLFILL=b")</f>
        <v>3.7484885126964933</v>
      </c>
      <c r="F38" s="9">
        <f>_xll.BQL("AMZN US Equity", "OPER_MARGIN", "FPT=Q", "FPO=-11Q", "ACT_EST_MAPPING=PRECISE", "FS=MRC", "CURRENCY=USD", "XLFILL=b")</f>
        <v>5.7157527365812637</v>
      </c>
      <c r="G38" s="9">
        <f>_xll.BQL("AMZN US Equity", "OPER_MARGIN", "FPT=Q", "FPO=-10Q", "ACT_EST_MAPPING=PRECISE", "FS=MRC", "CURRENCY=USD", "XLFILL=b")</f>
        <v>7.8192377850618167</v>
      </c>
      <c r="H38" s="9">
        <f>_xll.BQL("AMZN US Equity", "OPER_MARGIN", "FPT=Q", "FPO=-9Q", "ACT_EST_MAPPING=PRECISE", "FS=MRC", "CURRENCY=USD", "XLFILL=b")</f>
        <v>7.7717829384388191</v>
      </c>
      <c r="I38" s="9">
        <f>_xll.BQL("AMZN US Equity", "OPER_MARGIN", "FPT=Q", "FPO=-8Q", "ACT_EST_MAPPING=PRECISE", "FS=MRC", "CURRENCY=USD", "XLFILL=b")</f>
        <v>10.680817511321374</v>
      </c>
      <c r="J38" s="9">
        <f>_xll.BQL("AMZN US Equity", "OPER_MARGIN", "FPT=Q", "FPO=-7Q", "ACT_EST_MAPPING=PRECISE", "FS=MRC", "CURRENCY=USD", "XLFILL=b")</f>
        <v>9.9150543665569657</v>
      </c>
      <c r="K38" s="9">
        <f>_xll.BQL("AMZN US Equity", "OPER_MARGIN", "FPT=Q", "FPO=-6Q", "ACT_EST_MAPPING=PRECISE", "FS=MRC", "CURRENCY=USD", "XLFILL=b")</f>
        <v>10.95879202150091</v>
      </c>
      <c r="L38" s="9">
        <f>_xll.BQL("AMZN US Equity", "OPER_MARGIN", "FPT=Q", "FPO=-5Q", "ACT_EST_MAPPING=PRECISE", "FS=MRC", "CURRENCY=USD", "XLFILL=b")</f>
        <v>11.290683309193151</v>
      </c>
      <c r="M38" s="9">
        <f>_xll.BQL("AMZN US Equity", "OPER_MARGIN", "FPT=Q", "FPO=-4Q", "ACT_EST_MAPPING=PRECISE", "FS=MRC", "CURRENCY=USD", "XLFILL=b")</f>
        <v>11.823315153500742</v>
      </c>
      <c r="N38" s="9">
        <f>_xll.BQL("AMZN US Equity", "OPER_MARGIN", "FPT=Q", "FPO=-3Q", "ACT_EST_MAPPING=PRECISE", "FS=MRC", "CURRENCY=USD", "XLFILL=b")</f>
        <v>11.431586981669867</v>
      </c>
      <c r="O38" s="9">
        <f>_xll.BQL("AMZN US Equity", "OPER_MARGIN", "FPT=Q", "FPO=-2Q", "ACT_EST_MAPPING=PRECISE", "FS=MRC", "CURRENCY=USD", "XLFILL=b")</f>
        <v>9.6698100117112276</v>
      </c>
      <c r="P38" s="9">
        <f>_xll.BQL("AMZN US Equity", "OPER_MARGIN", "FPT=Q", "FPO=-1Q", "ACT_EST_MAPPING=PRECISE", "FS=MRC", "CURRENCY=USD", "XLFILL=b")</f>
        <v>11.705079058607406</v>
      </c>
      <c r="Q38" s="9">
        <f>_xll.BQL("AMZN US Equity", "OPER_MARGIN", "FPT=Q", "FPO=0Q", "ACT_EST_MAPPING=PRECISE", "FS=MRC", "CURRENCY=USD", "XLFILL=b")</f>
        <v>13.140222235688825</v>
      </c>
      <c r="R38" s="9">
        <f>_xll.BQL("AMZN US Equity", "OPER_MARGIN", "FPT=Q", "FPO=1Q", "ACT_EST_MAPPING=PRECISE", "FS=MRC", "CURRENCY=USD", "XLFILL=b")</f>
        <v>11.982010780216619</v>
      </c>
      <c r="S38" s="9">
        <f>_xll.BQL("AMZN US Equity", "OPER_MARGIN", "FPT=Q", "FPO=2Q", "ACT_EST_MAPPING=PRECISE", "FS=MRC", "CURRENCY=USD", "XLFILL=b")</f>
        <v>12.230274562264817</v>
      </c>
      <c r="T38" s="9">
        <f>_xll.BQL("AMZN US Equity", "OPER_MARGIN", "FPT=Q", "FPO=3Q", "ACT_EST_MAPPING=PRECISE", "FS=MRC", "CURRENCY=USD", "XLFILL=b")</f>
        <v>12.908729668037935</v>
      </c>
      <c r="U38" s="9">
        <f>_xll.BQL("AMZN US Equity", "OPER_MARGIN", "FPT=Q", "FPO=4Q", "ACT_EST_MAPPING=PRECISE", "FS=MRC", "CURRENCY=USD", "XLFILL=b")</f>
        <v>14.348491777993564</v>
      </c>
      <c r="V38" s="9">
        <f>_xll.BQL("AMZN US Equity", "OPER_MARGIN", "FPT=Q", "FPO=5Q", "ACT_EST_MAPPING=PRECISE", "FS=MRC", "CURRENCY=USD", "XLFILL=b")</f>
        <v>13.668730235047221</v>
      </c>
      <c r="W38" s="9">
        <f>_xll.BQL("AMZN US Equity", "OPER_MARGIN", "FPT=Q", "FPO=6Q", "ACT_EST_MAPPING=PRECISE", "FS=MRC", "CURRENCY=USD", "XLFILL=b")</f>
        <v>13.805615449096297</v>
      </c>
      <c r="X38" s="9">
        <f>_xll.BQL("AMZN US Equity", "OPER_MARGIN", "FPT=Q", "FPO=7Q", "ACT_EST_MAPPING=PRECISE", "FS=MRC", "CURRENCY=USD", "XLFILL=b")</f>
        <v>14.290120009023678</v>
      </c>
    </row>
    <row r="39" spans="1:24" x14ac:dyDescent="0.25">
      <c r="A39" s="8" t="s">
        <v>14</v>
      </c>
      <c r="B39" s="4"/>
      <c r="C39" s="4"/>
      <c r="D39" s="4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 spans="1:24" x14ac:dyDescent="0.25">
      <c r="A40" s="8" t="s">
        <v>57</v>
      </c>
      <c r="B40" s="4" t="s">
        <v>58</v>
      </c>
      <c r="C40" s="4" t="s">
        <v>59</v>
      </c>
      <c r="D40" s="4"/>
      <c r="E40" s="9">
        <f>_xll.BQL("AMZN US Equity", "HEADLINE_CAPEX/1M", "FPT=Q", "FPO=-12Q", "ACT_EST_MAPPING=PRECISE", "FS=MRC", "CURRENCY=USD", "XLFILL=b")</f>
        <v>-14207</v>
      </c>
      <c r="F40" s="9">
        <f>_xll.BQL("AMZN US Equity", "HEADLINE_CAPEX/1M", "FPT=Q", "FPO=-11Q", "ACT_EST_MAPPING=PRECISE", "FS=MRC", "CURRENCY=USD", "XLFILL=b")</f>
        <v>-11455</v>
      </c>
      <c r="G40" s="9">
        <f>_xll.BQL("AMZN US Equity", "HEADLINE_CAPEX/1M", "FPT=Q", "FPO=-10Q", "ACT_EST_MAPPING=PRECISE", "FS=MRC", "CURRENCY=USD", "XLFILL=b")</f>
        <v>-12479</v>
      </c>
      <c r="H40" s="9">
        <f>_xll.BQL("AMZN US Equity", "HEADLINE_CAPEX/1M", "FPT=Q", "FPO=-9Q", "ACT_EST_MAPPING=PRECISE", "FS=MRC", "CURRENCY=USD", "XLFILL=b")</f>
        <v>-14588</v>
      </c>
      <c r="I40" s="9">
        <f>_xll.BQL("AMZN US Equity", "HEADLINE_CAPEX/1M", "FPT=Q", "FPO=-8Q", "ACT_EST_MAPPING=PRECISE", "FS=MRC", "CURRENCY=USD", "XLFILL=b")</f>
        <v>-14925</v>
      </c>
      <c r="J40" s="9">
        <f>_xll.BQL("AMZN US Equity", "HEADLINE_CAPEX/1M", "FPT=Q", "FPO=-7Q", "ACT_EST_MAPPING=PRECISE", "FS=MRC", "CURRENCY=USD", "XLFILL=b")</f>
        <v>-17620</v>
      </c>
      <c r="K40" s="9">
        <f>_xll.BQL("AMZN US Equity", "HEADLINE_CAPEX/1M", "FPT=Q", "FPO=-6Q", "ACT_EST_MAPPING=PRECISE", "FS=MRC", "CURRENCY=USD", "XLFILL=b")</f>
        <v>-22620</v>
      </c>
      <c r="L40" s="9">
        <f>_xll.BQL("AMZN US Equity", "HEADLINE_CAPEX/1M", "FPT=Q", "FPO=-5Q", "ACT_EST_MAPPING=PRECISE", "FS=MRC", "CURRENCY=USD", "XLFILL=b")</f>
        <v>-27834</v>
      </c>
      <c r="M40" s="9">
        <f>_xll.BQL("AMZN US Equity", "HEADLINE_CAPEX/1M", "FPT=Q", "FPO=-4Q", "ACT_EST_MAPPING=PRECISE", "FS=MRC", "CURRENCY=USD", "XLFILL=b")</f>
        <v>-25019</v>
      </c>
      <c r="N40" s="9">
        <f>_xll.BQL("AMZN US Equity", "HEADLINE_CAPEX/1M", "FPT=Q", "FPO=-3Q", "ACT_EST_MAPPING=PRECISE", "FS=MRC", "CURRENCY=USD", "XLFILL=b")</f>
        <v>-32183</v>
      </c>
      <c r="O40" s="9">
        <f>_xll.BQL("AMZN US Equity", "HEADLINE_CAPEX/1M", "FPT=Q", "FPO=-2Q", "ACT_EST_MAPPING=PRECISE", "FS=MRC", "CURRENCY=USD", "XLFILL=b")</f>
        <v>-35095</v>
      </c>
      <c r="P40" s="9">
        <f>_xll.BQL("AMZN US Equity", "HEADLINE_CAPEX/1M", "FPT=Q", "FPO=-1Q", "ACT_EST_MAPPING=PRECISE", "FS=MRC", "CURRENCY=USD", "XLFILL=b")</f>
        <v>-39522</v>
      </c>
      <c r="Q40" s="9">
        <f>_xll.BQL("AMZN US Equity", "HEADLINE_CAPEX/1M", "FPT=Q", "FPO=0Q", "ACT_EST_MAPPING=PRECISE", "FS=MRC", "CURRENCY=USD", "XLFILL=b")</f>
        <v>-44203</v>
      </c>
      <c r="R40" s="9">
        <f>_xll.BQL("AMZN US Equity", "HEADLINE_CAPEX/1M", "FPT=Q", "FPO=1Q", "ACT_EST_MAPPING=PRECISE", "FS=MRC", "CURRENCY=USD", "XLFILL=b")</f>
        <v>-48715</v>
      </c>
      <c r="S40" s="9">
        <f>_xll.BQL("AMZN US Equity", "HEADLINE_CAPEX/1M", "FPT=Q", "FPO=2Q", "ACT_EST_MAPPING=PRECISE", "FS=MRC", "CURRENCY=USD", "XLFILL=b")</f>
        <v>-52188.761904761901</v>
      </c>
      <c r="T40" s="9">
        <f>_xll.BQL("AMZN US Equity", "HEADLINE_CAPEX/1M", "FPT=Q", "FPO=3Q", "ACT_EST_MAPPING=PRECISE", "FS=MRC", "CURRENCY=USD", "XLFILL=b")</f>
        <v>-57245.190476190473</v>
      </c>
      <c r="U40" s="9">
        <f>_xll.BQL("AMZN US Equity", "HEADLINE_CAPEX/1M", "FPT=Q", "FPO=4Q", "ACT_EST_MAPPING=PRECISE", "FS=MRC", "CURRENCY=USD", "XLFILL=b")</f>
        <v>-52902.266666666663</v>
      </c>
      <c r="V40" s="9">
        <f>_xll.BQL("AMZN US Equity", "HEADLINE_CAPEX/1M", "FPT=Q", "FPO=5Q", "ACT_EST_MAPPING=PRECISE", "FS=MRC", "CURRENCY=USD", "XLFILL=b")</f>
        <v>-58180.928571428572</v>
      </c>
      <c r="W40" s="9">
        <f>_xll.BQL("AMZN US Equity", "HEADLINE_CAPEX/1M", "FPT=Q", "FPO=6Q", "ACT_EST_MAPPING=PRECISE", "FS=MRC", "CURRENCY=USD", "XLFILL=b")</f>
        <v>-61127.71428571429</v>
      </c>
      <c r="X40" s="9">
        <f>_xll.BQL("AMZN US Equity", "HEADLINE_CAPEX/1M", "FPT=Q", "FPO=7Q", "ACT_EST_MAPPING=PRECISE", "FS=MRC", "CURRENCY=USD", "XLFILL=b")</f>
        <v>-66789.42857142858</v>
      </c>
    </row>
    <row r="41" spans="1:24" x14ac:dyDescent="0.25">
      <c r="A41" s="8" t="s">
        <v>60</v>
      </c>
      <c r="B41" s="4" t="s">
        <v>61</v>
      </c>
      <c r="C41" s="4" t="s">
        <v>62</v>
      </c>
      <c r="D41" s="4"/>
      <c r="E41" s="9">
        <f>_xll.BQL("AMZN US Equity", "CF_CHG_IN_FIXED_AND_INTANG_ASSETS/1M", "FPT=Q", "FPO=-12Q", "ACT_EST_MAPPING=PRECISE", "FS=MRC", "CURRENCY=USD", "XLFILL=b")</f>
        <v>-13070</v>
      </c>
      <c r="F41" s="9">
        <f>_xll.BQL("AMZN US Equity", "CF_CHG_IN_FIXED_AND_INTANG_ASSETS/1M", "FPT=Q", "FPO=-11Q", "ACT_EST_MAPPING=PRECISE", "FS=MRC", "CURRENCY=USD", "XLFILL=b")</f>
        <v>-10412</v>
      </c>
      <c r="G41" s="9">
        <f>_xll.BQL("AMZN US Equity", "CF_CHG_IN_FIXED_AND_INTANG_ASSETS/1M", "FPT=Q", "FPO=-10Q", "ACT_EST_MAPPING=PRECISE", "FS=MRC", "CURRENCY=USD", "XLFILL=b")</f>
        <v>-11298</v>
      </c>
      <c r="H41" s="9">
        <f>_xll.BQL("AMZN US Equity", "CF_CHG_IN_FIXED_AND_INTANG_ASSETS/1M", "FPT=Q", "FPO=-9Q", "ACT_EST_MAPPING=PRECISE", "FS=MRC", "CURRENCY=USD", "XLFILL=b")</f>
        <v>-13353</v>
      </c>
      <c r="I41" s="9">
        <f>_xll.BQL("AMZN US Equity", "CF_CHG_IN_FIXED_AND_INTANG_ASSETS/1M", "FPT=Q", "FPO=-8Q", "ACT_EST_MAPPING=PRECISE", "FS=MRC", "CURRENCY=USD", "XLFILL=b")</f>
        <v>-13935</v>
      </c>
      <c r="J41" s="9">
        <f>_xll.BQL("AMZN US Equity", "CF_CHG_IN_FIXED_AND_INTANG_ASSETS/1M", "FPT=Q", "FPO=-7Q", "ACT_EST_MAPPING=PRECISE", "FS=MRC", "CURRENCY=USD", "XLFILL=b")</f>
        <v>-16393</v>
      </c>
      <c r="K41" s="9">
        <f>_xll.BQL("AMZN US Equity", "CF_CHG_IN_FIXED_AND_INTANG_ASSETS/1M", "FPT=Q", "FPO=-6Q", "ACT_EST_MAPPING=PRECISE", "FS=MRC", "CURRENCY=USD", "XLFILL=b")</f>
        <v>-21278</v>
      </c>
      <c r="L41" s="9">
        <f>_xll.BQL("AMZN US Equity", "CF_CHG_IN_FIXED_AND_INTANG_ASSETS/1M", "FPT=Q", "FPO=-5Q", "ACT_EST_MAPPING=PRECISE", "FS=MRC", "CURRENCY=USD", "XLFILL=b")</f>
        <v>-26052</v>
      </c>
      <c r="M41" s="9">
        <f>_xll.BQL("AMZN US Equity", "CF_CHG_IN_FIXED_AND_INTANG_ASSETS/1M", "FPT=Q", "FPO=-4Q", "ACT_EST_MAPPING=PRECISE", "FS=MRC", "CURRENCY=USD", "XLFILL=b")</f>
        <v>-24255</v>
      </c>
      <c r="N41" s="9">
        <f>_xll.BQL("AMZN US Equity", "CF_CHG_IN_FIXED_AND_INTANG_ASSETS/1M", "FPT=Q", "FPO=-3Q", "ACT_EST_MAPPING=PRECISE", "FS=MRC", "CURRENCY=USD", "XLFILL=b")</f>
        <v>-31368</v>
      </c>
      <c r="O41" s="9">
        <f>_xll.BQL("AMZN US Equity", "CF_CHG_IN_FIXED_AND_INTANG_ASSETS/1M", "FPT=Q", "FPO=-2Q", "ACT_EST_MAPPING=PRECISE", "FS=MRC", "CURRENCY=USD", "XLFILL=b")</f>
        <v>-34228</v>
      </c>
      <c r="P41" s="9">
        <f>_xll.BQL("AMZN US Equity", "CF_CHG_IN_FIXED_AND_INTANG_ASSETS/1M", "FPT=Q", "FPO=-1Q", "ACT_EST_MAPPING=PRECISE", "FS=MRC", "CURRENCY=USD", "XLFILL=b")</f>
        <v>-38469</v>
      </c>
      <c r="Q41" s="9">
        <f>_xll.BQL("AMZN US Equity", "CF_CHG_IN_FIXED_AND_INTANG_ASSETS/1M", "FPT=Q", "FPO=0Q", "ACT_EST_MAPPING=PRECISE", "FS=MRC", "CURRENCY=USD", "XLFILL=b")</f>
        <v>-43234</v>
      </c>
      <c r="R41" s="9">
        <f>_xll.BQL("AMZN US Equity", "CF_CHG_IN_FIXED_AND_INTANG_ASSETS/1M", "FPT=Q", "FPO=1Q", "ACT_EST_MAPPING=PRECISE", "FS=MRC", "CURRENCY=USD", "XLFILL=b")</f>
        <v>-48139.489591049431</v>
      </c>
      <c r="S41" s="9">
        <f>_xll.BQL("AMZN US Equity", "CF_CHG_IN_FIXED_AND_INTANG_ASSETS/1M", "FPT=Q", "FPO=2Q", "ACT_EST_MAPPING=PRECISE", "FS=MRC", "CURRENCY=USD", "XLFILL=b")</f>
        <v>-51658.909362224098</v>
      </c>
      <c r="T41" s="9">
        <f>_xll.BQL("AMZN US Equity", "CF_CHG_IN_FIXED_AND_INTANG_ASSETS/1M", "FPT=Q", "FPO=3Q", "ACT_EST_MAPPING=PRECISE", "FS=MRC", "CURRENCY=USD", "XLFILL=b")</f>
        <v>-57105.014910444705</v>
      </c>
      <c r="U41" s="9">
        <f>_xll.BQL("AMZN US Equity", "CF_CHG_IN_FIXED_AND_INTANG_ASSETS/1M", "FPT=Q", "FPO=4Q", "ACT_EST_MAPPING=PRECISE", "FS=MRC", "CURRENCY=USD", "XLFILL=b")</f>
        <v>-51620.614002996947</v>
      </c>
      <c r="V41" s="9">
        <f>_xll.BQL("AMZN US Equity", "CF_CHG_IN_FIXED_AND_INTANG_ASSETS/1M", "FPT=Q", "FPO=5Q", "ACT_EST_MAPPING=PRECISE", "FS=MRC", "CURRENCY=USD", "XLFILL=b")</f>
        <v>-58336.590386713491</v>
      </c>
      <c r="W41" s="9">
        <f>_xll.BQL("AMZN US Equity", "CF_CHG_IN_FIXED_AND_INTANG_ASSETS/1M", "FPT=Q", "FPO=6Q", "ACT_EST_MAPPING=PRECISE", "FS=MRC", "CURRENCY=USD", "XLFILL=b")</f>
        <v>-60359.894739931398</v>
      </c>
      <c r="X41" s="9">
        <f>_xll.BQL("AMZN US Equity", "CF_CHG_IN_FIXED_AND_INTANG_ASSETS/1M", "FPT=Q", "FPO=7Q", "ACT_EST_MAPPING=PRECISE", "FS=MRC", "CURRENCY=USD", "XLFILL=b")</f>
        <v>-65518.775144101484</v>
      </c>
    </row>
    <row r="42" spans="1:24" x14ac:dyDescent="0.25">
      <c r="A42" s="8" t="s">
        <v>14</v>
      </c>
      <c r="B42" s="4"/>
      <c r="C42" s="4"/>
      <c r="D42" s="4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 spans="1:24" x14ac:dyDescent="0.25">
      <c r="A43" s="8" t="s">
        <v>63</v>
      </c>
      <c r="B43" s="4"/>
      <c r="C43" s="4"/>
      <c r="D43" s="4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 spans="1:24" x14ac:dyDescent="0.25">
      <c r="A44" s="8" t="s">
        <v>14</v>
      </c>
      <c r="B44" s="4"/>
      <c r="C44" s="4"/>
      <c r="D44" s="4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 spans="1:24" x14ac:dyDescent="0.25">
      <c r="A45" s="8" t="s">
        <v>64</v>
      </c>
      <c r="B45" s="4"/>
      <c r="C45" s="4"/>
      <c r="D45" s="4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 spans="1:24" x14ac:dyDescent="0.25">
      <c r="A46" s="8" t="s">
        <v>65</v>
      </c>
      <c r="B46" s="4" t="s">
        <v>66</v>
      </c>
      <c r="C46" s="4" t="s">
        <v>67</v>
      </c>
      <c r="D46" s="4" t="s">
        <v>34</v>
      </c>
      <c r="E46" s="9" t="str">
        <f>_xll.BQL("SEG0000227476 Segment", "NUM_OF_SUBSCRIBERS_END_OF_PERIOD/1K", "FPT=Q", "FPO=-12Q", "ACT_EST_MAPPING=PRECISE", "FS=MRC", "CURRENCY=USD", "XLFILL=b")</f>
        <v/>
      </c>
      <c r="F46" s="9" t="str">
        <f>_xll.BQL("SEG0000227476 Segment", "NUM_OF_SUBSCRIBERS_END_OF_PERIOD/1K", "FPT=Q", "FPO=-11Q", "ACT_EST_MAPPING=PRECISE", "FS=MRC", "CURRENCY=USD", "XLFILL=b")</f>
        <v/>
      </c>
      <c r="G46" s="9" t="str">
        <f>_xll.BQL("SEG0000227476 Segment", "NUM_OF_SUBSCRIBERS_END_OF_PERIOD/1K", "FPT=Q", "FPO=-10Q", "ACT_EST_MAPPING=PRECISE", "FS=MRC", "CURRENCY=USD", "XLFILL=b")</f>
        <v/>
      </c>
      <c r="H46" s="9" t="str">
        <f>_xll.BQL("SEG0000227476 Segment", "NUM_OF_SUBSCRIBERS_END_OF_PERIOD/1K", "FPT=Q", "FPO=-9Q", "ACT_EST_MAPPING=PRECISE", "FS=MRC", "CURRENCY=USD", "XLFILL=b")</f>
        <v/>
      </c>
      <c r="I46" s="9" t="str">
        <f>_xll.BQL("SEG0000227476 Segment", "NUM_OF_SUBSCRIBERS_END_OF_PERIOD/1K", "FPT=Q", "FPO=-8Q", "ACT_EST_MAPPING=PRECISE", "FS=MRC", "CURRENCY=USD", "XLFILL=b")</f>
        <v/>
      </c>
      <c r="J46" s="9" t="str">
        <f>_xll.BQL("SEG0000227476 Segment", "NUM_OF_SUBSCRIBERS_END_OF_PERIOD/1K", "FPT=Q", "FPO=-7Q", "ACT_EST_MAPPING=PRECISE", "FS=MRC", "CURRENCY=USD", "XLFILL=b")</f>
        <v/>
      </c>
      <c r="K46" s="9" t="str">
        <f>_xll.BQL("SEG0000227476 Segment", "NUM_OF_SUBSCRIBERS_END_OF_PERIOD/1K", "FPT=Q", "FPO=-6Q", "ACT_EST_MAPPING=PRECISE", "FS=MRC", "CURRENCY=USD", "XLFILL=b")</f>
        <v/>
      </c>
      <c r="L46" s="9" t="str">
        <f>_xll.BQL("SEG0000227476 Segment", "NUM_OF_SUBSCRIBERS_END_OF_PERIOD/1K", "FPT=Q", "FPO=-5Q", "ACT_EST_MAPPING=PRECISE", "FS=MRC", "CURRENCY=USD", "XLFILL=b")</f>
        <v/>
      </c>
      <c r="M46" s="9" t="str">
        <f>_xll.BQL("SEG0000227476 Segment", "NUM_OF_SUBSCRIBERS_END_OF_PERIOD/1K", "FPT=Q", "FPO=-4Q", "ACT_EST_MAPPING=PRECISE", "FS=MRC", "CURRENCY=USD", "XLFILL=b")</f>
        <v/>
      </c>
      <c r="N46" s="9" t="str">
        <f>_xll.BQL("SEG0000227476 Segment", "NUM_OF_SUBSCRIBERS_END_OF_PERIOD/1K", "FPT=Q", "FPO=-3Q", "ACT_EST_MAPPING=PRECISE", "FS=MRC", "CURRENCY=USD", "XLFILL=b")</f>
        <v/>
      </c>
      <c r="O46" s="9" t="str">
        <f>_xll.BQL("SEG0000227476 Segment", "NUM_OF_SUBSCRIBERS_END_OF_PERIOD/1K", "FPT=Q", "FPO=-2Q", "ACT_EST_MAPPING=PRECISE", "FS=MRC", "CURRENCY=USD", "XLFILL=b")</f>
        <v/>
      </c>
      <c r="P46" s="9" t="str">
        <f>_xll.BQL("SEG0000227476 Segment", "NUM_OF_SUBSCRIBERS_END_OF_PERIOD/1K", "FPT=Q", "FPO=-1Q", "ACT_EST_MAPPING=PRECISE", "FS=MRC", "CURRENCY=USD", "XLFILL=b")</f>
        <v/>
      </c>
      <c r="Q46" s="9" t="str">
        <f>_xll.BQL("SEG0000227476 Segment", "NUM_OF_SUBSCRIBERS_END_OF_PERIOD/1K", "FPT=Q", "FPO=0Q", "ACT_EST_MAPPING=PRECISE", "FS=MRC", "CURRENCY=USD", "XLFILL=b")</f>
        <v/>
      </c>
      <c r="R46" s="9">
        <f>_xll.BQL("SEG0000227476 Segment", "NUM_OF_SUBSCRIBERS_END_OF_PERIOD/1K", "FPT=Q", "FPO=1Q", "ACT_EST_MAPPING=PRECISE", "FS=MRC", "CURRENCY=USD", "XLFILL=b")</f>
        <v>294754.0142333298</v>
      </c>
      <c r="S46" s="9">
        <f>_xll.BQL("SEG0000227476 Segment", "NUM_OF_SUBSCRIBERS_END_OF_PERIOD/1K", "FPT=Q", "FPO=2Q", "ACT_EST_MAPPING=PRECISE", "FS=MRC", "CURRENCY=USD", "XLFILL=b")</f>
        <v>298747.3932673278</v>
      </c>
      <c r="T46" s="9">
        <f>_xll.BQL("SEG0000227476 Segment", "NUM_OF_SUBSCRIBERS_END_OF_PERIOD/1K", "FPT=Q", "FPO=3Q", "ACT_EST_MAPPING=PRECISE", "FS=MRC", "CURRENCY=USD", "XLFILL=b")</f>
        <v>303189.43344425847</v>
      </c>
      <c r="U46" s="9">
        <f>_xll.BQL("SEG0000227476 Segment", "NUM_OF_SUBSCRIBERS_END_OF_PERIOD/1K", "FPT=Q", "FPO=4Q", "ACT_EST_MAPPING=PRECISE", "FS=MRC", "CURRENCY=USD", "XLFILL=b")</f>
        <v>303762.14401804964</v>
      </c>
      <c r="V46" s="9">
        <f>_xll.BQL("SEG0000227476 Segment", "NUM_OF_SUBSCRIBERS_END_OF_PERIOD/1K", "FPT=Q", "FPO=5Q", "ACT_EST_MAPPING=PRECISE", "FS=MRC", "CURRENCY=USD", "XLFILL=b")</f>
        <v>308223.07823808095</v>
      </c>
      <c r="W46" s="9">
        <f>_xll.BQL("SEG0000227476 Segment", "NUM_OF_SUBSCRIBERS_END_OF_PERIOD/1K", "FPT=Q", "FPO=6Q", "ACT_EST_MAPPING=PRECISE", "FS=MRC", "CURRENCY=USD", "XLFILL=b")</f>
        <v>312324.40972533461</v>
      </c>
      <c r="X46" s="9">
        <f>_xll.BQL("SEG0000227476 Segment", "NUM_OF_SUBSCRIBERS_END_OF_PERIOD/1K", "FPT=Q", "FPO=7Q", "ACT_EST_MAPPING=PRECISE", "FS=MRC", "CURRENCY=USD", "XLFILL=b")</f>
        <v>317404.24788393034</v>
      </c>
    </row>
    <row r="47" spans="1:24" x14ac:dyDescent="0.25">
      <c r="A47" s="8" t="s">
        <v>68</v>
      </c>
      <c r="B47" s="4" t="s">
        <v>69</v>
      </c>
      <c r="C47" s="4" t="s">
        <v>70</v>
      </c>
      <c r="D47" s="4" t="s">
        <v>34</v>
      </c>
      <c r="E47" s="9" t="str">
        <f>_xll.BQL("SEG0000227476 Segment", "NET_SUBSCRIBER_ADDITIONS/1K", "FPT=Q", "FPO=-12Q", "ACT_EST_MAPPING=PRECISE", "FS=MRC", "CURRENCY=USD", "XLFILL=b")</f>
        <v/>
      </c>
      <c r="F47" s="9" t="str">
        <f>_xll.BQL("SEG0000227476 Segment", "NET_SUBSCRIBER_ADDITIONS/1K", "FPT=Q", "FPO=-11Q", "ACT_EST_MAPPING=PRECISE", "FS=MRC", "CURRENCY=USD", "XLFILL=b")</f>
        <v/>
      </c>
      <c r="G47" s="9" t="str">
        <f>_xll.BQL("SEG0000227476 Segment", "NET_SUBSCRIBER_ADDITIONS/1K", "FPT=Q", "FPO=-10Q", "ACT_EST_MAPPING=PRECISE", "FS=MRC", "CURRENCY=USD", "XLFILL=b")</f>
        <v/>
      </c>
      <c r="H47" s="9" t="str">
        <f>_xll.BQL("SEG0000227476 Segment", "NET_SUBSCRIBER_ADDITIONS/1K", "FPT=Q", "FPO=-9Q", "ACT_EST_MAPPING=PRECISE", "FS=MRC", "CURRENCY=USD", "XLFILL=b")</f>
        <v/>
      </c>
      <c r="I47" s="9" t="str">
        <f>_xll.BQL("SEG0000227476 Segment", "NET_SUBSCRIBER_ADDITIONS/1K", "FPT=Q", "FPO=-8Q", "ACT_EST_MAPPING=PRECISE", "FS=MRC", "CURRENCY=USD", "XLFILL=b")</f>
        <v/>
      </c>
      <c r="J47" s="9" t="str">
        <f>_xll.BQL("SEG0000227476 Segment", "NET_SUBSCRIBER_ADDITIONS/1K", "FPT=Q", "FPO=-7Q", "ACT_EST_MAPPING=PRECISE", "FS=MRC", "CURRENCY=USD", "XLFILL=b")</f>
        <v/>
      </c>
      <c r="K47" s="9" t="str">
        <f>_xll.BQL("SEG0000227476 Segment", "NET_SUBSCRIBER_ADDITIONS/1K", "FPT=Q", "FPO=-6Q", "ACT_EST_MAPPING=PRECISE", "FS=MRC", "CURRENCY=USD", "XLFILL=b")</f>
        <v/>
      </c>
      <c r="L47" s="9" t="str">
        <f>_xll.BQL("SEG0000227476 Segment", "NET_SUBSCRIBER_ADDITIONS/1K", "FPT=Q", "FPO=-5Q", "ACT_EST_MAPPING=PRECISE", "FS=MRC", "CURRENCY=USD", "XLFILL=b")</f>
        <v/>
      </c>
      <c r="M47" s="9" t="str">
        <f>_xll.BQL("SEG0000227476 Segment", "NET_SUBSCRIBER_ADDITIONS/1K", "FPT=Q", "FPO=-4Q", "ACT_EST_MAPPING=PRECISE", "FS=MRC", "CURRENCY=USD", "XLFILL=b")</f>
        <v/>
      </c>
      <c r="N47" s="9" t="str">
        <f>_xll.BQL("SEG0000227476 Segment", "NET_SUBSCRIBER_ADDITIONS/1K", "FPT=Q", "FPO=-3Q", "ACT_EST_MAPPING=PRECISE", "FS=MRC", "CURRENCY=USD", "XLFILL=b")</f>
        <v/>
      </c>
      <c r="O47" s="9" t="str">
        <f>_xll.BQL("SEG0000227476 Segment", "NET_SUBSCRIBER_ADDITIONS/1K", "FPT=Q", "FPO=-2Q", "ACT_EST_MAPPING=PRECISE", "FS=MRC", "CURRENCY=USD", "XLFILL=b")</f>
        <v/>
      </c>
      <c r="P47" s="9" t="str">
        <f>_xll.BQL("SEG0000227476 Segment", "NET_SUBSCRIBER_ADDITIONS/1K", "FPT=Q", "FPO=-1Q", "ACT_EST_MAPPING=PRECISE", "FS=MRC", "CURRENCY=USD", "XLFILL=b")</f>
        <v/>
      </c>
      <c r="Q47" s="9" t="str">
        <f>_xll.BQL("SEG0000227476 Segment", "NET_SUBSCRIBER_ADDITIONS/1K", "FPT=Q", "FPO=0Q", "ACT_EST_MAPPING=PRECISE", "FS=MRC", "CURRENCY=USD", "XLFILL=b")</f>
        <v/>
      </c>
      <c r="R47" s="9">
        <f>_xll.BQL("SEG0000227476 Segment", "NET_SUBSCRIBER_ADDITIONS/1K", "FPT=Q", "FPO=1Q", "ACT_EST_MAPPING=PRECISE", "FS=MRC", "CURRENCY=USD", "XLFILL=b")</f>
        <v>4800.0000000000109</v>
      </c>
      <c r="S47" s="9">
        <f>_xll.BQL("SEG0000227476 Segment", "NET_SUBSCRIBER_ADDITIONS/1K", "FPT=Q", "FPO=2Q", "ACT_EST_MAPPING=PRECISE", "FS=MRC", "CURRENCY=USD", "XLFILL=b")</f>
        <v>4733.3333333333294</v>
      </c>
      <c r="T47" s="9">
        <f>_xll.BQL("SEG0000227476 Segment", "NET_SUBSCRIBER_ADDITIONS/1K", "FPT=Q", "FPO=3Q", "ACT_EST_MAPPING=PRECISE", "FS=MRC", "CURRENCY=USD", "XLFILL=b")</f>
        <v>4433.3333333333558</v>
      </c>
      <c r="U47" s="9">
        <f>_xll.BQL("SEG0000227476 Segment", "NET_SUBSCRIBER_ADDITIONS/1K", "FPT=Q", "FPO=4Q", "ACT_EST_MAPPING=PRECISE", "FS=MRC", "CURRENCY=USD", "XLFILL=b")</f>
        <v>5000</v>
      </c>
      <c r="V47" s="9">
        <f>_xll.BQL("SEG0000227476 Segment", "NET_SUBSCRIBER_ADDITIONS/1K", "FPT=Q", "FPO=5Q", "ACT_EST_MAPPING=PRECISE", "FS=MRC", "CURRENCY=USD", "XLFILL=b")</f>
        <v>5000</v>
      </c>
      <c r="W47" s="9">
        <f>_xll.BQL("SEG0000227476 Segment", "NET_SUBSCRIBER_ADDITIONS/1K", "FPT=Q", "FPO=6Q", "ACT_EST_MAPPING=PRECISE", "FS=MRC", "CURRENCY=USD", "XLFILL=b")</f>
        <v>5000</v>
      </c>
      <c r="X47" s="9">
        <f>_xll.BQL("SEG0000227476 Segment", "NET_SUBSCRIBER_ADDITIONS/1K", "FPT=Q", "FPO=7Q", "ACT_EST_MAPPING=PRECISE", "FS=MRC", "CURRENCY=USD", "XLFILL=b")</f>
        <v>5000</v>
      </c>
    </row>
    <row r="48" spans="1:24" x14ac:dyDescent="0.25">
      <c r="A48" s="8" t="s">
        <v>14</v>
      </c>
      <c r="B48" s="4"/>
      <c r="C48" s="4"/>
      <c r="D48" s="4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 spans="1:24" x14ac:dyDescent="0.25">
      <c r="A49" s="8" t="s">
        <v>71</v>
      </c>
      <c r="B49" s="4" t="s">
        <v>27</v>
      </c>
      <c r="C49" s="4" t="s">
        <v>28</v>
      </c>
      <c r="D49" s="4"/>
      <c r="E49" s="9">
        <f>_xll.BQL("AMZN US Equity", "REVENUE_GROWTH_CC_1_YR", "FPT=Q", "FPO=-12Q", "ACT_EST_MAPPING=PRECISE", "FS=MRC", "CURRENCY=USD", "XLFILL=b")</f>
        <v>11</v>
      </c>
      <c r="F49" s="9">
        <f>_xll.BQL("AMZN US Equity", "REVENUE_GROWTH_CC_1_YR", "FPT=Q", "FPO=-11Q", "ACT_EST_MAPPING=PRECISE", "FS=MRC", "CURRENCY=USD", "XLFILL=b")</f>
        <v>11</v>
      </c>
      <c r="G49" s="9">
        <f>_xll.BQL("AMZN US Equity", "REVENUE_GROWTH_CC_1_YR", "FPT=Q", "FPO=-10Q", "ACT_EST_MAPPING=PRECISE", "FS=MRC", "CURRENCY=USD", "XLFILL=b")</f>
        <v>11</v>
      </c>
      <c r="H49" s="9">
        <f>_xll.BQL("AMZN US Equity", "REVENUE_GROWTH_CC_1_YR", "FPT=Q", "FPO=-9Q", "ACT_EST_MAPPING=PRECISE", "FS=MRC", "CURRENCY=USD", "XLFILL=b")</f>
        <v>13</v>
      </c>
      <c r="I49" s="9">
        <f>_xll.BQL("AMZN US Equity", "REVENUE_GROWTH_CC_1_YR", "FPT=Q", "FPO=-8Q", "ACT_EST_MAPPING=PRECISE", "FS=MRC", "CURRENCY=USD", "XLFILL=b")</f>
        <v>13</v>
      </c>
      <c r="J49" s="9">
        <f>_xll.BQL("AMZN US Equity", "REVENUE_GROWTH_CC_1_YR", "FPT=Q", "FPO=-7Q", "ACT_EST_MAPPING=PRECISE", "FS=MRC", "CURRENCY=USD", "XLFILL=b")</f>
        <v>11</v>
      </c>
      <c r="K49" s="9">
        <f>_xll.BQL("AMZN US Equity", "REVENUE_GROWTH_CC_1_YR", "FPT=Q", "FPO=-6Q", "ACT_EST_MAPPING=PRECISE", "FS=MRC", "CURRENCY=USD", "XLFILL=b")</f>
        <v>11</v>
      </c>
      <c r="L49" s="9">
        <f>_xll.BQL("AMZN US Equity", "REVENUE_GROWTH_CC_1_YR", "FPT=Q", "FPO=-5Q", "ACT_EST_MAPPING=PRECISE", "FS=MRC", "CURRENCY=USD", "XLFILL=b")</f>
        <v>11</v>
      </c>
      <c r="M49" s="9">
        <f>_xll.BQL("AMZN US Equity", "REVENUE_GROWTH_CC_1_YR", "FPT=Q", "FPO=-4Q", "ACT_EST_MAPPING=PRECISE", "FS=MRC", "CURRENCY=USD", "XLFILL=b")</f>
        <v>10</v>
      </c>
      <c r="N49" s="9">
        <f>_xll.BQL("AMZN US Equity", "REVENUE_GROWTH_CC_1_YR", "FPT=Q", "FPO=-3Q", "ACT_EST_MAPPING=PRECISE", "FS=MRC", "CURRENCY=USD", "XLFILL=b")</f>
        <v>12</v>
      </c>
      <c r="O49" s="9">
        <f>_xll.BQL("AMZN US Equity", "REVENUE_GROWTH_CC_1_YR", "FPT=Q", "FPO=-2Q", "ACT_EST_MAPPING=PRECISE", "FS=MRC", "CURRENCY=USD", "XLFILL=b")</f>
        <v>12</v>
      </c>
      <c r="P49" s="9">
        <f>_xll.BQL("AMZN US Equity", "REVENUE_GROWTH_CC_1_YR", "FPT=Q", "FPO=-1Q", "ACT_EST_MAPPING=PRECISE", "FS=MRC", "CURRENCY=USD", "XLFILL=b")</f>
        <v>14</v>
      </c>
      <c r="Q49" s="9">
        <f>_xll.BQL("AMZN US Equity", "REVENUE_GROWTH_CC_1_YR", "FPT=Q", "FPO=0Q", "ACT_EST_MAPPING=PRECISE", "FS=MRC", "CURRENCY=USD", "XLFILL=b")</f>
        <v>15</v>
      </c>
      <c r="R49" s="9">
        <f>_xll.BQL("AMZN US Equity", "REVENUE_GROWTH_CC_1_YR", "FPT=Q", "FPO=1Q", "ACT_EST_MAPPING=PRECISE", "FS=MRC", "CURRENCY=USD", "XLFILL=b")</f>
        <v>16.73528785228368</v>
      </c>
      <c r="S49" s="9">
        <f>_xll.BQL("AMZN US Equity", "REVENUE_GROWTH_CC_1_YR", "FPT=Q", "FPO=2Q", "ACT_EST_MAPPING=PRECISE", "FS=MRC", "CURRENCY=USD", "XLFILL=b")</f>
        <v>11.930156293843064</v>
      </c>
      <c r="T49" s="9">
        <f>_xll.BQL("AMZN US Equity", "REVENUE_GROWTH_CC_1_YR", "FPT=Q", "FPO=3Q", "ACT_EST_MAPPING=PRECISE", "FS=MRC", "CURRENCY=USD", "XLFILL=b")</f>
        <v>12.866826840526993</v>
      </c>
      <c r="U49" s="9">
        <f>_xll.BQL("AMZN US Equity", "REVENUE_GROWTH_CC_1_YR", "FPT=Q", "FPO=4Q", "ACT_EST_MAPPING=PRECISE", "FS=MRC", "CURRENCY=USD", "XLFILL=b")</f>
        <v>12.02450752082515</v>
      </c>
      <c r="V49" s="9">
        <f>_xll.BQL("AMZN US Equity", "REVENUE_GROWTH_CC_1_YR", "FPT=Q", "FPO=5Q", "ACT_EST_MAPPING=PRECISE", "FS=MRC", "CURRENCY=USD", "XLFILL=b")</f>
        <v>11.713540411637627</v>
      </c>
      <c r="W49" s="9">
        <f>_xll.BQL("AMZN US Equity", "REVENUE_GROWTH_CC_1_YR", "FPT=Q", "FPO=6Q", "ACT_EST_MAPPING=PRECISE", "FS=MRC", "CURRENCY=USD", "XLFILL=b")</f>
        <v>12.652676270301075</v>
      </c>
      <c r="X49" s="9">
        <f>_xll.BQL("AMZN US Equity", "REVENUE_GROWTH_CC_1_YR", "FPT=Q", "FPO=7Q", "ACT_EST_MAPPING=PRECISE", "FS=MRC", "CURRENCY=USD", "XLFILL=b")</f>
        <v>11.94516122147386</v>
      </c>
    </row>
    <row r="50" spans="1:24" x14ac:dyDescent="0.25">
      <c r="A50" s="8" t="s">
        <v>14</v>
      </c>
      <c r="B50" s="4"/>
      <c r="C50" s="4"/>
      <c r="D50" s="4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</row>
    <row r="51" spans="1:24" x14ac:dyDescent="0.25">
      <c r="A51" s="8" t="s">
        <v>72</v>
      </c>
      <c r="B51" s="4" t="s">
        <v>73</v>
      </c>
      <c r="C51" s="4" t="s">
        <v>74</v>
      </c>
      <c r="D51" s="4"/>
      <c r="E51" s="9">
        <f>_xll.BQL("AMZN US Equity", "TOTAL_SHIPPING_COST/1M", "FPT=Q", "FPO=-12Q", "ACT_EST_MAPPING=PRECISE", "FS=MRC", "CURRENCY=USD", "XLFILL=b")</f>
        <v>19937</v>
      </c>
      <c r="F51" s="9">
        <f>_xll.BQL("AMZN US Equity", "TOTAL_SHIPPING_COST/1M", "FPT=Q", "FPO=-11Q", "ACT_EST_MAPPING=PRECISE", "FS=MRC", "CURRENCY=USD", "XLFILL=b")</f>
        <v>20418</v>
      </c>
      <c r="G51" s="9">
        <f>_xll.BQL("AMZN US Equity", "TOTAL_SHIPPING_COST/1M", "FPT=Q", "FPO=-10Q", "ACT_EST_MAPPING=PRECISE", "FS=MRC", "CURRENCY=USD", "XLFILL=b")</f>
        <v>21799</v>
      </c>
      <c r="H51" s="9">
        <f>_xll.BQL("AMZN US Equity", "TOTAL_SHIPPING_COST/1M", "FPT=Q", "FPO=-9Q", "ACT_EST_MAPPING=PRECISE", "FS=MRC", "CURRENCY=USD", "XLFILL=b")</f>
        <v>27326</v>
      </c>
      <c r="I51" s="9">
        <f>_xll.BQL("AMZN US Equity", "TOTAL_SHIPPING_COST/1M", "FPT=Q", "FPO=-8Q", "ACT_EST_MAPPING=PRECISE", "FS=MRC", "CURRENCY=USD", "XLFILL=b")</f>
        <v>21834</v>
      </c>
      <c r="J51" s="9">
        <f>_xll.BQL("AMZN US Equity", "TOTAL_SHIPPING_COST/1M", "FPT=Q", "FPO=-7Q", "ACT_EST_MAPPING=PRECISE", "FS=MRC", "CURRENCY=USD", "XLFILL=b")</f>
        <v>21965</v>
      </c>
      <c r="K51" s="9">
        <f>_xll.BQL("AMZN US Equity", "TOTAL_SHIPPING_COST/1M", "FPT=Q", "FPO=-6Q", "ACT_EST_MAPPING=PRECISE", "FS=MRC", "CURRENCY=USD", "XLFILL=b")</f>
        <v>23501</v>
      </c>
      <c r="L51" s="9">
        <f>_xll.BQL("AMZN US Equity", "TOTAL_SHIPPING_COST/1M", "FPT=Q", "FPO=-5Q", "ACT_EST_MAPPING=PRECISE", "FS=MRC", "CURRENCY=USD", "XLFILL=b")</f>
        <v>28549</v>
      </c>
      <c r="M51" s="9">
        <f>_xll.BQL("AMZN US Equity", "TOTAL_SHIPPING_COST/1M", "FPT=Q", "FPO=-4Q", "ACT_EST_MAPPING=PRECISE", "FS=MRC", "CURRENCY=USD", "XLFILL=b")</f>
        <v>22495</v>
      </c>
      <c r="N51" s="9">
        <f>_xll.BQL("AMZN US Equity", "TOTAL_SHIPPING_COST/1M", "FPT=Q", "FPO=-3Q", "ACT_EST_MAPPING=PRECISE", "FS=MRC", "CURRENCY=USD", "XLFILL=b")</f>
        <v>23370</v>
      </c>
      <c r="O51" s="9">
        <f>_xll.BQL("AMZN US Equity", "TOTAL_SHIPPING_COST/1M", "FPT=Q", "FPO=-2Q", "ACT_EST_MAPPING=PRECISE", "FS=MRC", "CURRENCY=USD", "XLFILL=b")</f>
        <v>25384</v>
      </c>
      <c r="P51" s="9">
        <f>_xll.BQL("AMZN US Equity", "TOTAL_SHIPPING_COST/1M", "FPT=Q", "FPO=-1Q", "ACT_EST_MAPPING=PRECISE", "FS=MRC", "CURRENCY=USD", "XLFILL=b")</f>
        <v>31492</v>
      </c>
      <c r="Q51" s="9">
        <f>_xll.BQL("AMZN US Equity", "TOTAL_SHIPPING_COST/1M", "FPT=Q", "FPO=0Q", "ACT_EST_MAPPING=PRECISE", "FS=MRC", "CURRENCY=USD", "XLFILL=b")</f>
        <v>25709</v>
      </c>
      <c r="R51" s="9">
        <f>_xll.BQL("AMZN US Equity", "TOTAL_SHIPPING_COST/1M", "FPT=Q", "FPO=1Q", "ACT_EST_MAPPING=PRECISE", "FS=MRC", "CURRENCY=USD", "XLFILL=b")</f>
        <v>27252.945834386519</v>
      </c>
      <c r="S51" s="9">
        <f>_xll.BQL("AMZN US Equity", "TOTAL_SHIPPING_COST/1M", "FPT=Q", "FPO=2Q", "ACT_EST_MAPPING=PRECISE", "FS=MRC", "CURRENCY=USD", "XLFILL=b")</f>
        <v>28318.409090275247</v>
      </c>
      <c r="T51" s="9">
        <f>_xll.BQL("AMZN US Equity", "TOTAL_SHIPPING_COST/1M", "FPT=Q", "FPO=3Q", "ACT_EST_MAPPING=PRECISE", "FS=MRC", "CURRENCY=USD", "XLFILL=b")</f>
        <v>34135.465447055947</v>
      </c>
      <c r="U51" s="9">
        <f>_xll.BQL("AMZN US Equity", "TOTAL_SHIPPING_COST/1M", "FPT=Q", "FPO=4Q", "ACT_EST_MAPPING=PRECISE", "FS=MRC", "CURRENCY=USD", "XLFILL=b")</f>
        <v>28197.541071911764</v>
      </c>
      <c r="V51" s="9">
        <f>_xll.BQL("AMZN US Equity", "TOTAL_SHIPPING_COST/1M", "FPT=Q", "FPO=5Q", "ACT_EST_MAPPING=PRECISE", "FS=MRC", "CURRENCY=USD", "XLFILL=b")</f>
        <v>29695.064290900387</v>
      </c>
      <c r="W51" s="9">
        <f>_xll.BQL("AMZN US Equity", "TOTAL_SHIPPING_COST/1M", "FPT=Q", "FPO=6Q", "ACT_EST_MAPPING=PRECISE", "FS=MRC", "CURRENCY=USD", "XLFILL=b")</f>
        <v>31001.317468079262</v>
      </c>
      <c r="X51" s="9">
        <f>_xll.BQL("AMZN US Equity", "TOTAL_SHIPPING_COST/1M", "FPT=Q", "FPO=7Q", "ACT_EST_MAPPING=PRECISE", "FS=MRC", "CURRENCY=USD", "XLFILL=b")</f>
        <v>37201.982611626554</v>
      </c>
    </row>
    <row r="52" spans="1:24" x14ac:dyDescent="0.25">
      <c r="A52" s="8" t="s">
        <v>14</v>
      </c>
      <c r="B52" s="4"/>
      <c r="C52" s="4"/>
      <c r="D52" s="4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</row>
    <row r="53" spans="1:24" x14ac:dyDescent="0.25">
      <c r="A53" s="8" t="s">
        <v>75</v>
      </c>
      <c r="B53" s="4" t="s">
        <v>76</v>
      </c>
      <c r="C53" s="4" t="s">
        <v>77</v>
      </c>
      <c r="D53" s="4"/>
      <c r="E53" s="9" t="str">
        <f>_xll.BQL("AMZN US Equity", "NUM_UNIT_SOLD/1M", "FPT=Q", "FPO=-12Q", "ACT_EST_MAPPING=PRECISE", "FS=MRC", "CURRENCY=USD", "XLFILL=b")</f>
        <v/>
      </c>
      <c r="F53" s="9" t="str">
        <f>_xll.BQL("AMZN US Equity", "NUM_UNIT_SOLD/1M", "FPT=Q", "FPO=-11Q", "ACT_EST_MAPPING=PRECISE", "FS=MRC", "CURRENCY=USD", "XLFILL=b")</f>
        <v/>
      </c>
      <c r="G53" s="9" t="str">
        <f>_xll.BQL("AMZN US Equity", "NUM_UNIT_SOLD/1M", "FPT=Q", "FPO=-10Q", "ACT_EST_MAPPING=PRECISE", "FS=MRC", "CURRENCY=USD", "XLFILL=b")</f>
        <v/>
      </c>
      <c r="H53" s="9" t="str">
        <f>_xll.BQL("AMZN US Equity", "NUM_UNIT_SOLD/1M", "FPT=Q", "FPO=-9Q", "ACT_EST_MAPPING=PRECISE", "FS=MRC", "CURRENCY=USD", "XLFILL=b")</f>
        <v/>
      </c>
      <c r="I53" s="9" t="str">
        <f>_xll.BQL("AMZN US Equity", "NUM_UNIT_SOLD/1M", "FPT=Q", "FPO=-8Q", "ACT_EST_MAPPING=PRECISE", "FS=MRC", "CURRENCY=USD", "XLFILL=b")</f>
        <v/>
      </c>
      <c r="J53" s="9" t="str">
        <f>_xll.BQL("AMZN US Equity", "NUM_UNIT_SOLD/1M", "FPT=Q", "FPO=-7Q", "ACT_EST_MAPPING=PRECISE", "FS=MRC", "CURRENCY=USD", "XLFILL=b")</f>
        <v/>
      </c>
      <c r="K53" s="9" t="str">
        <f>_xll.BQL("AMZN US Equity", "NUM_UNIT_SOLD/1M", "FPT=Q", "FPO=-6Q", "ACT_EST_MAPPING=PRECISE", "FS=MRC", "CURRENCY=USD", "XLFILL=b")</f>
        <v/>
      </c>
      <c r="L53" s="9" t="str">
        <f>_xll.BQL("AMZN US Equity", "NUM_UNIT_SOLD/1M", "FPT=Q", "FPO=-5Q", "ACT_EST_MAPPING=PRECISE", "FS=MRC", "CURRENCY=USD", "XLFILL=b")</f>
        <v/>
      </c>
      <c r="M53" s="9" t="str">
        <f>_xll.BQL("AMZN US Equity", "NUM_UNIT_SOLD/1M", "FPT=Q", "FPO=-4Q", "ACT_EST_MAPPING=PRECISE", "FS=MRC", "CURRENCY=USD", "XLFILL=b")</f>
        <v/>
      </c>
      <c r="N53" s="9" t="str">
        <f>_xll.BQL("AMZN US Equity", "NUM_UNIT_SOLD/1M", "FPT=Q", "FPO=-3Q", "ACT_EST_MAPPING=PRECISE", "FS=MRC", "CURRENCY=USD", "XLFILL=b")</f>
        <v/>
      </c>
      <c r="O53" s="9" t="str">
        <f>_xll.BQL("AMZN US Equity", "NUM_UNIT_SOLD/1M", "FPT=Q", "FPO=-2Q", "ACT_EST_MAPPING=PRECISE", "FS=MRC", "CURRENCY=USD", "XLFILL=b")</f>
        <v/>
      </c>
      <c r="P53" s="9" t="str">
        <f>_xll.BQL("AMZN US Equity", "NUM_UNIT_SOLD/1M", "FPT=Q", "FPO=-1Q", "ACT_EST_MAPPING=PRECISE", "FS=MRC", "CURRENCY=USD", "XLFILL=b")</f>
        <v/>
      </c>
      <c r="Q53" s="9" t="str">
        <f>_xll.BQL("AMZN US Equity", "NUM_UNIT_SOLD/1M", "FPT=Q", "FPO=0Q", "ACT_EST_MAPPING=PRECISE", "FS=MRC", "CURRENCY=USD", "XLFILL=b")</f>
        <v/>
      </c>
      <c r="R53" s="9">
        <f>_xll.BQL("AMZN US Equity", "NUM_UNIT_SOLD/1M", "FPT=Q", "FPO=1Q", "ACT_EST_MAPPING=PRECISE", "FS=MRC", "CURRENCY=USD", "XLFILL=b")</f>
        <v>8188.9274544004429</v>
      </c>
      <c r="S53" s="9">
        <f>_xll.BQL("AMZN US Equity", "NUM_UNIT_SOLD/1M", "FPT=Q", "FPO=2Q", "ACT_EST_MAPPING=PRECISE", "FS=MRC", "CURRENCY=USD", "XLFILL=b")</f>
        <v>8194.7139525049079</v>
      </c>
      <c r="T53" s="9">
        <f>_xll.BQL("AMZN US Equity", "NUM_UNIT_SOLD/1M", "FPT=Q", "FPO=3Q", "ACT_EST_MAPPING=PRECISE", "FS=MRC", "CURRENCY=USD", "XLFILL=b")</f>
        <v>9341.0141314778411</v>
      </c>
      <c r="U53" s="9">
        <f>_xll.BQL("AMZN US Equity", "NUM_UNIT_SOLD/1M", "FPT=Q", "FPO=4Q", "ACT_EST_MAPPING=PRECISE", "FS=MRC", "CURRENCY=USD", "XLFILL=b")</f>
        <v>7254.7691328470073</v>
      </c>
      <c r="V53" s="9">
        <f>_xll.BQL("AMZN US Equity", "NUM_UNIT_SOLD/1M", "FPT=Q", "FPO=5Q", "ACT_EST_MAPPING=PRECISE", "FS=MRC", "CURRENCY=USD", "XLFILL=b")</f>
        <v>8140.7702743964346</v>
      </c>
      <c r="W53" s="9">
        <f>_xll.BQL("AMZN US Equity", "NUM_UNIT_SOLD/1M", "FPT=Q", "FPO=6Q", "ACT_EST_MAPPING=PRECISE", "FS=MRC", "CURRENCY=USD", "XLFILL=b")</f>
        <v>8304.4575142614558</v>
      </c>
      <c r="X53" s="9">
        <f>_xll.BQL("AMZN US Equity", "NUM_UNIT_SOLD/1M", "FPT=Q", "FPO=7Q", "ACT_EST_MAPPING=PRECISE", "FS=MRC", "CURRENCY=USD", "XLFILL=b")</f>
        <v>9718.0140980120941</v>
      </c>
    </row>
    <row r="54" spans="1:24" x14ac:dyDescent="0.25">
      <c r="A54" s="8" t="s">
        <v>78</v>
      </c>
      <c r="B54" s="4" t="s">
        <v>79</v>
      </c>
      <c r="C54" s="4" t="s">
        <v>80</v>
      </c>
      <c r="D54" s="4"/>
      <c r="E54" s="9">
        <f>_xll.BQL("AMZN US Equity", "UNIT_PER_TRANSACTIONS_GROWTH", "FPT=Q", "FPO=-12Q", "ACT_EST_MAPPING=PRECISE", "FS=MRC", "CURRENCY=USD", "XLFILL=b")</f>
        <v>8</v>
      </c>
      <c r="F54" s="9">
        <f>_xll.BQL("AMZN US Equity", "UNIT_PER_TRANSACTIONS_GROWTH", "FPT=Q", "FPO=-11Q", "ACT_EST_MAPPING=PRECISE", "FS=MRC", "CURRENCY=USD", "XLFILL=b")</f>
        <v>9</v>
      </c>
      <c r="G54" s="9">
        <f>_xll.BQL("AMZN US Equity", "UNIT_PER_TRANSACTIONS_GROWTH", "FPT=Q", "FPO=-10Q", "ACT_EST_MAPPING=PRECISE", "FS=MRC", "CURRENCY=USD", "XLFILL=b")</f>
        <v>9</v>
      </c>
      <c r="H54" s="9">
        <f>_xll.BQL("AMZN US Equity", "UNIT_PER_TRANSACTIONS_GROWTH", "FPT=Q", "FPO=-9Q", "ACT_EST_MAPPING=PRECISE", "FS=MRC", "CURRENCY=USD", "XLFILL=b")</f>
        <v>12</v>
      </c>
      <c r="I54" s="9">
        <f>_xll.BQL("AMZN US Equity", "UNIT_PER_TRANSACTIONS_GROWTH", "FPT=Q", "FPO=-8Q", "ACT_EST_MAPPING=PRECISE", "FS=MRC", "CURRENCY=USD", "XLFILL=b")</f>
        <v>12</v>
      </c>
      <c r="J54" s="9">
        <f>_xll.BQL("AMZN US Equity", "UNIT_PER_TRANSACTIONS_GROWTH", "FPT=Q", "FPO=-7Q", "ACT_EST_MAPPING=PRECISE", "FS=MRC", "CURRENCY=USD", "XLFILL=b")</f>
        <v>11</v>
      </c>
      <c r="K54" s="9">
        <f>_xll.BQL("AMZN US Equity", "UNIT_PER_TRANSACTIONS_GROWTH", "FPT=Q", "FPO=-6Q", "ACT_EST_MAPPING=PRECISE", "FS=MRC", "CURRENCY=USD", "XLFILL=b")</f>
        <v>12</v>
      </c>
      <c r="L54" s="9">
        <f>_xll.BQL("AMZN US Equity", "UNIT_PER_TRANSACTIONS_GROWTH", "FPT=Q", "FPO=-5Q", "ACT_EST_MAPPING=PRECISE", "FS=MRC", "CURRENCY=USD", "XLFILL=b")</f>
        <v>11</v>
      </c>
      <c r="M54" s="9">
        <f>_xll.BQL("AMZN US Equity", "UNIT_PER_TRANSACTIONS_GROWTH", "FPT=Q", "FPO=-4Q", "ACT_EST_MAPPING=PRECISE", "FS=MRC", "CURRENCY=USD", "XLFILL=b")</f>
        <v>8</v>
      </c>
      <c r="N54" s="9">
        <f>_xll.BQL("AMZN US Equity", "UNIT_PER_TRANSACTIONS_GROWTH", "FPT=Q", "FPO=-3Q", "ACT_EST_MAPPING=PRECISE", "FS=MRC", "CURRENCY=USD", "XLFILL=b")</f>
        <v>12</v>
      </c>
      <c r="O54" s="9">
        <f>_xll.BQL("AMZN US Equity", "UNIT_PER_TRANSACTIONS_GROWTH", "FPT=Q", "FPO=-2Q", "ACT_EST_MAPPING=PRECISE", "FS=MRC", "CURRENCY=USD", "XLFILL=b")</f>
        <v>11</v>
      </c>
      <c r="P54" s="9">
        <f>_xll.BQL("AMZN US Equity", "UNIT_PER_TRANSACTIONS_GROWTH", "FPT=Q", "FPO=-1Q", "ACT_EST_MAPPING=PRECISE", "FS=MRC", "CURRENCY=USD", "XLFILL=b")</f>
        <v>12</v>
      </c>
      <c r="Q54" s="9">
        <f>_xll.BQL("AMZN US Equity", "UNIT_PER_TRANSACTIONS_GROWTH", "FPT=Q", "FPO=0Q", "ACT_EST_MAPPING=PRECISE", "FS=MRC", "CURRENCY=USD", "XLFILL=b")</f>
        <v>15</v>
      </c>
      <c r="R54" s="9">
        <f>_xll.BQL("AMZN US Equity", "UNIT_PER_TRANSACTIONS_GROWTH", "FPT=Q", "FPO=1Q", "ACT_EST_MAPPING=PRECISE", "FS=MRC", "CURRENCY=USD", "XLFILL=b")</f>
        <v>14.580900003016767</v>
      </c>
      <c r="S54" s="9">
        <f>_xll.BQL("AMZN US Equity", "UNIT_PER_TRANSACTIONS_GROWTH", "FPT=Q", "FPO=2Q", "ACT_EST_MAPPING=PRECISE", "FS=MRC", "CURRENCY=USD", "XLFILL=b")</f>
        <v>11.279104913520328</v>
      </c>
      <c r="T54" s="9">
        <f>_xll.BQL("AMZN US Equity", "UNIT_PER_TRANSACTIONS_GROWTH", "FPT=Q", "FPO=3Q", "ACT_EST_MAPPING=PRECISE", "FS=MRC", "CURRENCY=USD", "XLFILL=b")</f>
        <v>11.222794625781162</v>
      </c>
      <c r="U54" s="9">
        <f>_xll.BQL("AMZN US Equity", "UNIT_PER_TRANSACTIONS_GROWTH", "FPT=Q", "FPO=4Q", "ACT_EST_MAPPING=PRECISE", "FS=MRC", "CURRENCY=USD", "XLFILL=b")</f>
        <v>9.7564688471619938</v>
      </c>
      <c r="V54" s="9">
        <f>_xll.BQL("AMZN US Equity", "UNIT_PER_TRANSACTIONS_GROWTH", "FPT=Q", "FPO=5Q", "ACT_EST_MAPPING=PRECISE", "FS=MRC", "CURRENCY=USD", "XLFILL=b")</f>
        <v>10.439304226410531</v>
      </c>
      <c r="W54" s="9">
        <f>_xll.BQL("AMZN US Equity", "UNIT_PER_TRANSACTIONS_GROWTH", "FPT=Q", "FPO=6Q", "ACT_EST_MAPPING=PRECISE", "FS=MRC", "CURRENCY=USD", "XLFILL=b")</f>
        <v>10.021834276536708</v>
      </c>
      <c r="X54" s="9">
        <f>_xll.BQL("AMZN US Equity", "UNIT_PER_TRANSACTIONS_GROWTH", "FPT=Q", "FPO=7Q", "ACT_EST_MAPPING=PRECISE", "FS=MRC", "CURRENCY=USD", "XLFILL=b")</f>
        <v>9.7928871999337357</v>
      </c>
    </row>
    <row r="55" spans="1:24" x14ac:dyDescent="0.25">
      <c r="A55" s="8" t="s">
        <v>81</v>
      </c>
      <c r="B55" s="4" t="s">
        <v>76</v>
      </c>
      <c r="C55" s="4" t="s">
        <v>77</v>
      </c>
      <c r="D55" s="4" t="s">
        <v>23</v>
      </c>
      <c r="E55" s="9" t="str">
        <f>_xll.BQL("SEG0000227382 Segment", "NUM_UNIT_SOLD/1M", "FPT=Q", "FPO=-12Q", "ACT_EST_MAPPING=PRECISE", "FS=MRC", "CURRENCY=USD", "XLFILL=b")</f>
        <v/>
      </c>
      <c r="F55" s="9" t="str">
        <f>_xll.BQL("SEG0000227382 Segment", "NUM_UNIT_SOLD/1M", "FPT=Q", "FPO=-11Q", "ACT_EST_MAPPING=PRECISE", "FS=MRC", "CURRENCY=USD", "XLFILL=b")</f>
        <v/>
      </c>
      <c r="G55" s="9" t="str">
        <f>_xll.BQL("SEG0000227382 Segment", "NUM_UNIT_SOLD/1M", "FPT=Q", "FPO=-10Q", "ACT_EST_MAPPING=PRECISE", "FS=MRC", "CURRENCY=USD", "XLFILL=b")</f>
        <v/>
      </c>
      <c r="H55" s="9" t="str">
        <f>_xll.BQL("SEG0000227382 Segment", "NUM_UNIT_SOLD/1M", "FPT=Q", "FPO=-9Q", "ACT_EST_MAPPING=PRECISE", "FS=MRC", "CURRENCY=USD", "XLFILL=b")</f>
        <v/>
      </c>
      <c r="I55" s="9" t="str">
        <f>_xll.BQL("SEG0000227382 Segment", "NUM_UNIT_SOLD/1M", "FPT=Q", "FPO=-8Q", "ACT_EST_MAPPING=PRECISE", "FS=MRC", "CURRENCY=USD", "XLFILL=b")</f>
        <v/>
      </c>
      <c r="J55" s="9" t="str">
        <f>_xll.BQL("SEG0000227382 Segment", "NUM_UNIT_SOLD/1M", "FPT=Q", "FPO=-7Q", "ACT_EST_MAPPING=PRECISE", "FS=MRC", "CURRENCY=USD", "XLFILL=b")</f>
        <v/>
      </c>
      <c r="K55" s="9" t="str">
        <f>_xll.BQL("SEG0000227382 Segment", "NUM_UNIT_SOLD/1M", "FPT=Q", "FPO=-6Q", "ACT_EST_MAPPING=PRECISE", "FS=MRC", "CURRENCY=USD", "XLFILL=b")</f>
        <v/>
      </c>
      <c r="L55" s="9" t="str">
        <f>_xll.BQL("SEG0000227382 Segment", "NUM_UNIT_SOLD/1M", "FPT=Q", "FPO=-5Q", "ACT_EST_MAPPING=PRECISE", "FS=MRC", "CURRENCY=USD", "XLFILL=b")</f>
        <v/>
      </c>
      <c r="M55" s="9" t="str">
        <f>_xll.BQL("SEG0000227382 Segment", "NUM_UNIT_SOLD/1M", "FPT=Q", "FPO=-4Q", "ACT_EST_MAPPING=PRECISE", "FS=MRC", "CURRENCY=USD", "XLFILL=b")</f>
        <v/>
      </c>
      <c r="N55" s="9" t="str">
        <f>_xll.BQL("SEG0000227382 Segment", "NUM_UNIT_SOLD/1M", "FPT=Q", "FPO=-3Q", "ACT_EST_MAPPING=PRECISE", "FS=MRC", "CURRENCY=USD", "XLFILL=b")</f>
        <v/>
      </c>
      <c r="O55" s="9" t="str">
        <f>_xll.BQL("SEG0000227382 Segment", "NUM_UNIT_SOLD/1M", "FPT=Q", "FPO=-2Q", "ACT_EST_MAPPING=PRECISE", "FS=MRC", "CURRENCY=USD", "XLFILL=b")</f>
        <v/>
      </c>
      <c r="P55" s="9" t="str">
        <f>_xll.BQL("SEG0000227382 Segment", "NUM_UNIT_SOLD/1M", "FPT=Q", "FPO=-1Q", "ACT_EST_MAPPING=PRECISE", "FS=MRC", "CURRENCY=USD", "XLFILL=b")</f>
        <v/>
      </c>
      <c r="Q55" s="9" t="str">
        <f>_xll.BQL("SEG0000227382 Segment", "NUM_UNIT_SOLD/1M", "FPT=Q", "FPO=0Q", "ACT_EST_MAPPING=PRECISE", "FS=MRC", "CURRENCY=USD", "XLFILL=b")</f>
        <v/>
      </c>
      <c r="R55" s="9">
        <f>_xll.BQL("SEG0000227382 Segment", "NUM_UNIT_SOLD/1M", "FPT=Q", "FPO=1Q", "ACT_EST_MAPPING=PRECISE", "FS=MRC", "CURRENCY=USD", "XLFILL=b")</f>
        <v>3293.0134326784032</v>
      </c>
      <c r="S55" s="9">
        <f>_xll.BQL("SEG0000227382 Segment", "NUM_UNIT_SOLD/1M", "FPT=Q", "FPO=2Q", "ACT_EST_MAPPING=PRECISE", "FS=MRC", "CURRENCY=USD", "XLFILL=b")</f>
        <v>3266.7784248769126</v>
      </c>
      <c r="T55" s="9">
        <f>_xll.BQL("SEG0000227382 Segment", "NUM_UNIT_SOLD/1M", "FPT=Q", "FPO=3Q", "ACT_EST_MAPPING=PRECISE", "FS=MRC", "CURRENCY=USD", "XLFILL=b")</f>
        <v>3867.8905936682695</v>
      </c>
      <c r="U55" s="9">
        <f>_xll.BQL("SEG0000227382 Segment", "NUM_UNIT_SOLD/1M", "FPT=Q", "FPO=4Q", "ACT_EST_MAPPING=PRECISE", "FS=MRC", "CURRENCY=USD", "XLFILL=b")</f>
        <v>3120.2118939663233</v>
      </c>
      <c r="V55" s="9">
        <f>_xll.BQL("SEG0000227382 Segment", "NUM_UNIT_SOLD/1M", "FPT=Q", "FPO=5Q", "ACT_EST_MAPPING=PRECISE", "FS=MRC", "CURRENCY=USD", "XLFILL=b")</f>
        <v>3384.3496886204211</v>
      </c>
      <c r="W55" s="9">
        <f>_xll.BQL("SEG0000227382 Segment", "NUM_UNIT_SOLD/1M", "FPT=Q", "FPO=6Q", "ACT_EST_MAPPING=PRECISE", "FS=MRC", "CURRENCY=USD", "XLFILL=b")</f>
        <v>3389.0828461990532</v>
      </c>
      <c r="X55" s="9">
        <f>_xll.BQL("SEG0000227382 Segment", "NUM_UNIT_SOLD/1M", "FPT=Q", "FPO=7Q", "ACT_EST_MAPPING=PRECISE", "FS=MRC", "CURRENCY=USD", "XLFILL=b")</f>
        <v>4271.5738064007601</v>
      </c>
    </row>
    <row r="56" spans="1:24" x14ac:dyDescent="0.25">
      <c r="A56" s="8" t="s">
        <v>82</v>
      </c>
      <c r="B56" s="4" t="s">
        <v>76</v>
      </c>
      <c r="C56" s="4" t="s">
        <v>77</v>
      </c>
      <c r="D56" s="4" t="s">
        <v>30</v>
      </c>
      <c r="E56" s="9" t="str">
        <f>_xll.BQL("SEG0000227433 Segment", "NUM_UNIT_SOLD/1M", "FPT=Q", "FPO=-12Q", "ACT_EST_MAPPING=PRECISE", "FS=MRC", "CURRENCY=USD", "XLFILL=b")</f>
        <v/>
      </c>
      <c r="F56" s="9" t="str">
        <f>_xll.BQL("SEG0000227433 Segment", "NUM_UNIT_SOLD/1M", "FPT=Q", "FPO=-11Q", "ACT_EST_MAPPING=PRECISE", "FS=MRC", "CURRENCY=USD", "XLFILL=b")</f>
        <v/>
      </c>
      <c r="G56" s="9" t="str">
        <f>_xll.BQL("SEG0000227433 Segment", "NUM_UNIT_SOLD/1M", "FPT=Q", "FPO=-10Q", "ACT_EST_MAPPING=PRECISE", "FS=MRC", "CURRENCY=USD", "XLFILL=b")</f>
        <v/>
      </c>
      <c r="H56" s="9" t="str">
        <f>_xll.BQL("SEG0000227433 Segment", "NUM_UNIT_SOLD/1M", "FPT=Q", "FPO=-9Q", "ACT_EST_MAPPING=PRECISE", "FS=MRC", "CURRENCY=USD", "XLFILL=b")</f>
        <v/>
      </c>
      <c r="I56" s="9" t="str">
        <f>_xll.BQL("SEG0000227433 Segment", "NUM_UNIT_SOLD/1M", "FPT=Q", "FPO=-8Q", "ACT_EST_MAPPING=PRECISE", "FS=MRC", "CURRENCY=USD", "XLFILL=b")</f>
        <v/>
      </c>
      <c r="J56" s="9" t="str">
        <f>_xll.BQL("SEG0000227433 Segment", "NUM_UNIT_SOLD/1M", "FPT=Q", "FPO=-7Q", "ACT_EST_MAPPING=PRECISE", "FS=MRC", "CURRENCY=USD", "XLFILL=b")</f>
        <v/>
      </c>
      <c r="K56" s="9" t="str">
        <f>_xll.BQL("SEG0000227433 Segment", "NUM_UNIT_SOLD/1M", "FPT=Q", "FPO=-6Q", "ACT_EST_MAPPING=PRECISE", "FS=MRC", "CURRENCY=USD", "XLFILL=b")</f>
        <v/>
      </c>
      <c r="L56" s="9" t="str">
        <f>_xll.BQL("SEG0000227433 Segment", "NUM_UNIT_SOLD/1M", "FPT=Q", "FPO=-5Q", "ACT_EST_MAPPING=PRECISE", "FS=MRC", "CURRENCY=USD", "XLFILL=b")</f>
        <v/>
      </c>
      <c r="M56" s="9" t="str">
        <f>_xll.BQL("SEG0000227433 Segment", "NUM_UNIT_SOLD/1M", "FPT=Q", "FPO=-4Q", "ACT_EST_MAPPING=PRECISE", "FS=MRC", "CURRENCY=USD", "XLFILL=b")</f>
        <v/>
      </c>
      <c r="N56" s="9" t="str">
        <f>_xll.BQL("SEG0000227433 Segment", "NUM_UNIT_SOLD/1M", "FPT=Q", "FPO=-3Q", "ACT_EST_MAPPING=PRECISE", "FS=MRC", "CURRENCY=USD", "XLFILL=b")</f>
        <v/>
      </c>
      <c r="O56" s="9" t="str">
        <f>_xll.BQL("SEG0000227433 Segment", "NUM_UNIT_SOLD/1M", "FPT=Q", "FPO=-2Q", "ACT_EST_MAPPING=PRECISE", "FS=MRC", "CURRENCY=USD", "XLFILL=b")</f>
        <v/>
      </c>
      <c r="P56" s="9" t="str">
        <f>_xll.BQL("SEG0000227433 Segment", "NUM_UNIT_SOLD/1M", "FPT=Q", "FPO=-1Q", "ACT_EST_MAPPING=PRECISE", "FS=MRC", "CURRENCY=USD", "XLFILL=b")</f>
        <v/>
      </c>
      <c r="Q56" s="9" t="str">
        <f>_xll.BQL("SEG0000227433 Segment", "NUM_UNIT_SOLD/1M", "FPT=Q", "FPO=0Q", "ACT_EST_MAPPING=PRECISE", "FS=MRC", "CURRENCY=USD", "XLFILL=b")</f>
        <v/>
      </c>
      <c r="R56" s="9">
        <f>_xll.BQL("SEG0000227433 Segment", "NUM_UNIT_SOLD/1M", "FPT=Q", "FPO=1Q", "ACT_EST_MAPPING=PRECISE", "FS=MRC", "CURRENCY=USD", "XLFILL=b")</f>
        <v>5185.0879351722042</v>
      </c>
      <c r="S56" s="9">
        <f>_xll.BQL("SEG0000227433 Segment", "NUM_UNIT_SOLD/1M", "FPT=Q", "FPO=2Q", "ACT_EST_MAPPING=PRECISE", "FS=MRC", "CURRENCY=USD", "XLFILL=b")</f>
        <v>5139.7360583305917</v>
      </c>
      <c r="T56" s="9">
        <f>_xll.BQL("SEG0000227433 Segment", "NUM_UNIT_SOLD/1M", "FPT=Q", "FPO=3Q", "ACT_EST_MAPPING=PRECISE", "FS=MRC", "CURRENCY=USD", "XLFILL=b")</f>
        <v>6346.1646220640305</v>
      </c>
      <c r="U56" s="9">
        <f>_xll.BQL("SEG0000227433 Segment", "NUM_UNIT_SOLD/1M", "FPT=Q", "FPO=4Q", "ACT_EST_MAPPING=PRECISE", "FS=MRC", "CURRENCY=USD", "XLFILL=b")</f>
        <v>4978.4439852902988</v>
      </c>
      <c r="V56" s="9">
        <f>_xll.BQL("SEG0000227433 Segment", "NUM_UNIT_SOLD/1M", "FPT=Q", "FPO=5Q", "ACT_EST_MAPPING=PRECISE", "FS=MRC", "CURRENCY=USD", "XLFILL=b")</f>
        <v>5445.7351337702967</v>
      </c>
      <c r="W56" s="9">
        <f>_xll.BQL("SEG0000227433 Segment", "NUM_UNIT_SOLD/1M", "FPT=Q", "FPO=6Q", "ACT_EST_MAPPING=PRECISE", "FS=MRC", "CURRENCY=USD", "XLFILL=b")</f>
        <v>5330.8686993893098</v>
      </c>
      <c r="X56" s="9">
        <f>_xll.BQL("SEG0000227433 Segment", "NUM_UNIT_SOLD/1M", "FPT=Q", "FPO=7Q", "ACT_EST_MAPPING=PRECISE", "FS=MRC", "CURRENCY=USD", "XLFILL=b")</f>
        <v>6984.4985470036363</v>
      </c>
    </row>
    <row r="57" spans="1:24" x14ac:dyDescent="0.25">
      <c r="A57" s="8" t="s">
        <v>83</v>
      </c>
      <c r="B57" s="4" t="s">
        <v>76</v>
      </c>
      <c r="C57" s="4" t="s">
        <v>77</v>
      </c>
      <c r="D57" s="4" t="s">
        <v>84</v>
      </c>
      <c r="E57" s="9" t="str">
        <f>_xll.BQL("SEG0000227453 Segment", "NUM_UNIT_SOLD/1M", "FPT=Q", "FPO=-12Q", "ACT_EST_MAPPING=PRECISE", "FS=MRC", "CURRENCY=USD", "XLFILL=b")</f>
        <v/>
      </c>
      <c r="F57" s="9" t="str">
        <f>_xll.BQL("SEG0000227453 Segment", "NUM_UNIT_SOLD/1M", "FPT=Q", "FPO=-11Q", "ACT_EST_MAPPING=PRECISE", "FS=MRC", "CURRENCY=USD", "XLFILL=b")</f>
        <v/>
      </c>
      <c r="G57" s="9" t="str">
        <f>_xll.BQL("SEG0000227453 Segment", "NUM_UNIT_SOLD/1M", "FPT=Q", "FPO=-10Q", "ACT_EST_MAPPING=PRECISE", "FS=MRC", "CURRENCY=USD", "XLFILL=b")</f>
        <v/>
      </c>
      <c r="H57" s="9" t="str">
        <f>_xll.BQL("SEG0000227453 Segment", "NUM_UNIT_SOLD/1M", "FPT=Q", "FPO=-9Q", "ACT_EST_MAPPING=PRECISE", "FS=MRC", "CURRENCY=USD", "XLFILL=b")</f>
        <v/>
      </c>
      <c r="I57" s="9" t="str">
        <f>_xll.BQL("SEG0000227453 Segment", "NUM_UNIT_SOLD/1M", "FPT=Q", "FPO=-8Q", "ACT_EST_MAPPING=PRECISE", "FS=MRC", "CURRENCY=USD", "XLFILL=b")</f>
        <v/>
      </c>
      <c r="J57" s="9" t="str">
        <f>_xll.BQL("SEG0000227453 Segment", "NUM_UNIT_SOLD/1M", "FPT=Q", "FPO=-7Q", "ACT_EST_MAPPING=PRECISE", "FS=MRC", "CURRENCY=USD", "XLFILL=b")</f>
        <v/>
      </c>
      <c r="K57" s="9" t="str">
        <f>_xll.BQL("SEG0000227453 Segment", "NUM_UNIT_SOLD/1M", "FPT=Q", "FPO=-6Q", "ACT_EST_MAPPING=PRECISE", "FS=MRC", "CURRENCY=USD", "XLFILL=b")</f>
        <v/>
      </c>
      <c r="L57" s="9" t="str">
        <f>_xll.BQL("SEG0000227453 Segment", "NUM_UNIT_SOLD/1M", "FPT=Q", "FPO=-5Q", "ACT_EST_MAPPING=PRECISE", "FS=MRC", "CURRENCY=USD", "XLFILL=b")</f>
        <v/>
      </c>
      <c r="M57" s="9" t="str">
        <f>_xll.BQL("SEG0000227453 Segment", "NUM_UNIT_SOLD/1M", "FPT=Q", "FPO=-4Q", "ACT_EST_MAPPING=PRECISE", "FS=MRC", "CURRENCY=USD", "XLFILL=b")</f>
        <v/>
      </c>
      <c r="N57" s="9" t="str">
        <f>_xll.BQL("SEG0000227453 Segment", "NUM_UNIT_SOLD/1M", "FPT=Q", "FPO=-3Q", "ACT_EST_MAPPING=PRECISE", "FS=MRC", "CURRENCY=USD", "XLFILL=b")</f>
        <v/>
      </c>
      <c r="O57" s="9" t="str">
        <f>_xll.BQL("SEG0000227453 Segment", "NUM_UNIT_SOLD/1M", "FPT=Q", "FPO=-2Q", "ACT_EST_MAPPING=PRECISE", "FS=MRC", "CURRENCY=USD", "XLFILL=b")</f>
        <v/>
      </c>
      <c r="P57" s="9" t="str">
        <f>_xll.BQL("SEG0000227453 Segment", "NUM_UNIT_SOLD/1M", "FPT=Q", "FPO=-1Q", "ACT_EST_MAPPING=PRECISE", "FS=MRC", "CURRENCY=USD", "XLFILL=b")</f>
        <v/>
      </c>
      <c r="Q57" s="9" t="str">
        <f>_xll.BQL("SEG0000227453 Segment", "NUM_UNIT_SOLD/1M", "FPT=Q", "FPO=0Q", "ACT_EST_MAPPING=PRECISE", "FS=MRC", "CURRENCY=USD", "XLFILL=b")</f>
        <v/>
      </c>
      <c r="R57" s="9">
        <f>_xll.BQL("SEG0000227453 Segment", "NUM_UNIT_SOLD/1M", "FPT=Q", "FPO=1Q", "ACT_EST_MAPPING=PRECISE", "FS=MRC", "CURRENCY=USD", "XLFILL=b")</f>
        <v>3800.2777406405776</v>
      </c>
      <c r="S57" s="9">
        <f>_xll.BQL("SEG0000227453 Segment", "NUM_UNIT_SOLD/1M", "FPT=Q", "FPO=2Q", "ACT_EST_MAPPING=PRECISE", "FS=MRC", "CURRENCY=USD", "XLFILL=b")</f>
        <v>3832.5961181341045</v>
      </c>
      <c r="T57" s="9">
        <f>_xll.BQL("SEG0000227453 Segment", "NUM_UNIT_SOLD/1M", "FPT=Q", "FPO=3Q", "ACT_EST_MAPPING=PRECISE", "FS=MRC", "CURRENCY=USD", "XLFILL=b")</f>
        <v>4868.8643169708812</v>
      </c>
      <c r="U57" s="9">
        <f>_xll.BQL("SEG0000227453 Segment", "NUM_UNIT_SOLD/1M", "FPT=Q", "FPO=4Q", "ACT_EST_MAPPING=PRECISE", "FS=MRC", "CURRENCY=USD", "XLFILL=b")</f>
        <v>3797.9171444827452</v>
      </c>
      <c r="V57" s="9">
        <f>_xll.BQL("SEG0000227453 Segment", "NUM_UNIT_SOLD/1M", "FPT=Q", "FPO=5Q", "ACT_EST_MAPPING=PRECISE", "FS=MRC", "CURRENCY=USD", "XLFILL=b")</f>
        <v>4209.1153509818396</v>
      </c>
      <c r="W57" s="9">
        <f>_xll.BQL("SEG0000227453 Segment", "NUM_UNIT_SOLD/1M", "FPT=Q", "FPO=6Q", "ACT_EST_MAPPING=PRECISE", "FS=MRC", "CURRENCY=USD", "XLFILL=b")</f>
        <v>4149.6714157227616</v>
      </c>
      <c r="X57" s="9">
        <f>_xll.BQL("SEG0000227453 Segment", "NUM_UNIT_SOLD/1M", "FPT=Q", "FPO=7Q", "ACT_EST_MAPPING=PRECISE", "FS=MRC", "CURRENCY=USD", "XLFILL=b")</f>
        <v>5429.2587895996576</v>
      </c>
    </row>
    <row r="58" spans="1:24" x14ac:dyDescent="0.25">
      <c r="A58" s="8" t="s">
        <v>14</v>
      </c>
      <c r="B58" s="4"/>
      <c r="C58" s="4"/>
      <c r="D58" s="4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</row>
    <row r="59" spans="1:24" x14ac:dyDescent="0.25">
      <c r="A59" s="8" t="s">
        <v>15</v>
      </c>
      <c r="B59" s="4"/>
      <c r="C59" s="4"/>
      <c r="D59" s="4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</row>
    <row r="60" spans="1:24" x14ac:dyDescent="0.25">
      <c r="A60" s="8" t="s">
        <v>16</v>
      </c>
      <c r="B60" s="4" t="s">
        <v>17</v>
      </c>
      <c r="C60" s="4" t="s">
        <v>18</v>
      </c>
      <c r="D60" s="4"/>
      <c r="E60" s="9">
        <f>_xll.BQL("AMZN US Equity", "SLLR_UNIT_MIX_AS_OF_PCT_OF_PD_U", "FPT=Q", "FPO=-12Q", "ACT_EST_MAPPING=PRECISE", "FS=MRC", "CURRENCY=USD", "XLFILL=b")</f>
        <v>59</v>
      </c>
      <c r="F60" s="9">
        <f>_xll.BQL("AMZN US Equity", "SLLR_UNIT_MIX_AS_OF_PCT_OF_PD_U", "FPT=Q", "FPO=-11Q", "ACT_EST_MAPPING=PRECISE", "FS=MRC", "CURRENCY=USD", "XLFILL=b")</f>
        <v>60</v>
      </c>
      <c r="G60" s="9">
        <f>_xll.BQL("AMZN US Equity", "SLLR_UNIT_MIX_AS_OF_PCT_OF_PD_U", "FPT=Q", "FPO=-10Q", "ACT_EST_MAPPING=PRECISE", "FS=MRC", "CURRENCY=USD", "XLFILL=b")</f>
        <v>60</v>
      </c>
      <c r="H60" s="9">
        <f>_xll.BQL("AMZN US Equity", "SLLR_UNIT_MIX_AS_OF_PCT_OF_PD_U", "FPT=Q", "FPO=-9Q", "ACT_EST_MAPPING=PRECISE", "FS=MRC", "CURRENCY=USD", "XLFILL=b")</f>
        <v>61</v>
      </c>
      <c r="I60" s="9">
        <f>_xll.BQL("AMZN US Equity", "SLLR_UNIT_MIX_AS_OF_PCT_OF_PD_U", "FPT=Q", "FPO=-8Q", "ACT_EST_MAPPING=PRECISE", "FS=MRC", "CURRENCY=USD", "XLFILL=b")</f>
        <v>61</v>
      </c>
      <c r="J60" s="9">
        <f>_xll.BQL("AMZN US Equity", "SLLR_UNIT_MIX_AS_OF_PCT_OF_PD_U", "FPT=Q", "FPO=-7Q", "ACT_EST_MAPPING=PRECISE", "FS=MRC", "CURRENCY=USD", "XLFILL=b")</f>
        <v>61</v>
      </c>
      <c r="K60" s="9">
        <f>_xll.BQL("AMZN US Equity", "SLLR_UNIT_MIX_AS_OF_PCT_OF_PD_U", "FPT=Q", "FPO=-6Q", "ACT_EST_MAPPING=PRECISE", "FS=MRC", "CURRENCY=USD", "XLFILL=b")</f>
        <v>60</v>
      </c>
      <c r="L60" s="9">
        <f>_xll.BQL("AMZN US Equity", "SLLR_UNIT_MIX_AS_OF_PCT_OF_PD_U", "FPT=Q", "FPO=-5Q", "ACT_EST_MAPPING=PRECISE", "FS=MRC", "CURRENCY=USD", "XLFILL=b")</f>
        <v>62</v>
      </c>
      <c r="M60" s="9">
        <f>_xll.BQL("AMZN US Equity", "SLLR_UNIT_MIX_AS_OF_PCT_OF_PD_U", "FPT=Q", "FPO=-4Q", "ACT_EST_MAPPING=PRECISE", "FS=MRC", "CURRENCY=USD", "XLFILL=b")</f>
        <v>61</v>
      </c>
      <c r="N60" s="9">
        <f>_xll.BQL("AMZN US Equity", "SLLR_UNIT_MIX_AS_OF_PCT_OF_PD_U", "FPT=Q", "FPO=-3Q", "ACT_EST_MAPPING=PRECISE", "FS=MRC", "CURRENCY=USD", "XLFILL=b")</f>
        <v>62</v>
      </c>
      <c r="O60" s="9">
        <f>_xll.BQL("AMZN US Equity", "SLLR_UNIT_MIX_AS_OF_PCT_OF_PD_U", "FPT=Q", "FPO=-2Q", "ACT_EST_MAPPING=PRECISE", "FS=MRC", "CURRENCY=USD", "XLFILL=b")</f>
        <v>62</v>
      </c>
      <c r="P60" s="9">
        <f>_xll.BQL("AMZN US Equity", "SLLR_UNIT_MIX_AS_OF_PCT_OF_PD_U", "FPT=Q", "FPO=-1Q", "ACT_EST_MAPPING=PRECISE", "FS=MRC", "CURRENCY=USD", "XLFILL=b")</f>
        <v>61</v>
      </c>
      <c r="Q60" s="9">
        <f>_xll.BQL("AMZN US Equity", "SLLR_UNIT_MIX_AS_OF_PCT_OF_PD_U", "FPT=Q", "FPO=0Q", "ACT_EST_MAPPING=PRECISE", "FS=MRC", "CURRENCY=USD", "XLFILL=b")</f>
        <v>60</v>
      </c>
      <c r="R60" s="9">
        <f>_xll.BQL("AMZN US Equity", "SLLR_UNIT_MIX_AS_OF_PCT_OF_PD_U", "FPT=Q", "FPO=1Q", "ACT_EST_MAPPING=PRECISE", "FS=MRC", "CURRENCY=USD", "XLFILL=b")</f>
        <v>60.198854955888741</v>
      </c>
      <c r="S60" s="9">
        <f>_xll.BQL("AMZN US Equity", "SLLR_UNIT_MIX_AS_OF_PCT_OF_PD_U", "FPT=Q", "FPO=2Q", "ACT_EST_MAPPING=PRECISE", "FS=MRC", "CURRENCY=USD", "XLFILL=b")</f>
        <v>59.878684755763686</v>
      </c>
      <c r="T60" s="9">
        <f>_xll.BQL("AMZN US Equity", "SLLR_UNIT_MIX_AS_OF_PCT_OF_PD_U", "FPT=Q", "FPO=3Q", "ACT_EST_MAPPING=PRECISE", "FS=MRC", "CURRENCY=USD", "XLFILL=b")</f>
        <v>60.031405566366978</v>
      </c>
      <c r="U60" s="9">
        <f>_xll.BQL("AMZN US Equity", "SLLR_UNIT_MIX_AS_OF_PCT_OF_PD_U", "FPT=Q", "FPO=4Q", "ACT_EST_MAPPING=PRECISE", "FS=MRC", "CURRENCY=USD", "XLFILL=b")</f>
        <v>58.850302515565978</v>
      </c>
      <c r="V60" s="9">
        <f>_xll.BQL("AMZN US Equity", "SLLR_UNIT_MIX_AS_OF_PCT_OF_PD_U", "FPT=Q", "FPO=5Q", "ACT_EST_MAPPING=PRECISE", "FS=MRC", "CURRENCY=USD", "XLFILL=b")</f>
        <v>59.153041793349999</v>
      </c>
      <c r="W60" s="9">
        <f>_xll.BQL("AMZN US Equity", "SLLR_UNIT_MIX_AS_OF_PCT_OF_PD_U", "FPT=Q", "FPO=6Q", "ACT_EST_MAPPING=PRECISE", "FS=MRC", "CURRENCY=USD", "XLFILL=b")</f>
        <v>58.969908413118794</v>
      </c>
      <c r="X60" s="9">
        <f>_xll.BQL("AMZN US Equity", "SLLR_UNIT_MIX_AS_OF_PCT_OF_PD_U", "FPT=Q", "FPO=7Q", "ACT_EST_MAPPING=PRECISE", "FS=MRC", "CURRENCY=USD", "XLFILL=b")</f>
        <v>59.24702799910829</v>
      </c>
    </row>
    <row r="61" spans="1:24" x14ac:dyDescent="0.25">
      <c r="A61" s="8" t="s">
        <v>14</v>
      </c>
      <c r="B61" s="4"/>
      <c r="C61" s="4"/>
      <c r="D61" s="4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</row>
    <row r="62" spans="1:24" x14ac:dyDescent="0.25">
      <c r="A62" s="8" t="s">
        <v>85</v>
      </c>
      <c r="B62" s="4" t="s">
        <v>86</v>
      </c>
      <c r="C62" s="4" t="s">
        <v>87</v>
      </c>
      <c r="D62" s="4"/>
      <c r="E62" s="9" t="str">
        <f>_xll.BQL("AMZN US Equity", "INTERNET_GMV/1M", "FPT=Q", "FPO=-12Q", "ACT_EST_MAPPING=PRECISE", "FS=MRC", "CURRENCY=USD", "XLFILL=b")</f>
        <v/>
      </c>
      <c r="F62" s="9" t="str">
        <f>_xll.BQL("AMZN US Equity", "INTERNET_GMV/1M", "FPT=Q", "FPO=-11Q", "ACT_EST_MAPPING=PRECISE", "FS=MRC", "CURRENCY=USD", "XLFILL=b")</f>
        <v/>
      </c>
      <c r="G62" s="9" t="str">
        <f>_xll.BQL("AMZN US Equity", "INTERNET_GMV/1M", "FPT=Q", "FPO=-10Q", "ACT_EST_MAPPING=PRECISE", "FS=MRC", "CURRENCY=USD", "XLFILL=b")</f>
        <v/>
      </c>
      <c r="H62" s="9" t="str">
        <f>_xll.BQL("AMZN US Equity", "INTERNET_GMV/1M", "FPT=Q", "FPO=-9Q", "ACT_EST_MAPPING=PRECISE", "FS=MRC", "CURRENCY=USD", "XLFILL=b")</f>
        <v/>
      </c>
      <c r="I62" s="9" t="str">
        <f>_xll.BQL("AMZN US Equity", "INTERNET_GMV/1M", "FPT=Q", "FPO=-8Q", "ACT_EST_MAPPING=PRECISE", "FS=MRC", "CURRENCY=USD", "XLFILL=b")</f>
        <v/>
      </c>
      <c r="J62" s="9" t="str">
        <f>_xll.BQL("AMZN US Equity", "INTERNET_GMV/1M", "FPT=Q", "FPO=-7Q", "ACT_EST_MAPPING=PRECISE", "FS=MRC", "CURRENCY=USD", "XLFILL=b")</f>
        <v/>
      </c>
      <c r="K62" s="9" t="str">
        <f>_xll.BQL("AMZN US Equity", "INTERNET_GMV/1M", "FPT=Q", "FPO=-6Q", "ACT_EST_MAPPING=PRECISE", "FS=MRC", "CURRENCY=USD", "XLFILL=b")</f>
        <v/>
      </c>
      <c r="L62" s="9" t="str">
        <f>_xll.BQL("AMZN US Equity", "INTERNET_GMV/1M", "FPT=Q", "FPO=-5Q", "ACT_EST_MAPPING=PRECISE", "FS=MRC", "CURRENCY=USD", "XLFILL=b")</f>
        <v/>
      </c>
      <c r="M62" s="9" t="str">
        <f>_xll.BQL("AMZN US Equity", "INTERNET_GMV/1M", "FPT=Q", "FPO=-4Q", "ACT_EST_MAPPING=PRECISE", "FS=MRC", "CURRENCY=USD", "XLFILL=b")</f>
        <v/>
      </c>
      <c r="N62" s="9" t="str">
        <f>_xll.BQL("AMZN US Equity", "INTERNET_GMV/1M", "FPT=Q", "FPO=-3Q", "ACT_EST_MAPPING=PRECISE", "FS=MRC", "CURRENCY=USD", "XLFILL=b")</f>
        <v/>
      </c>
      <c r="O62" s="9" t="str">
        <f>_xll.BQL("AMZN US Equity", "INTERNET_GMV/1M", "FPT=Q", "FPO=-2Q", "ACT_EST_MAPPING=PRECISE", "FS=MRC", "CURRENCY=USD", "XLFILL=b")</f>
        <v/>
      </c>
      <c r="P62" s="9" t="str">
        <f>_xll.BQL("AMZN US Equity", "INTERNET_GMV/1M", "FPT=Q", "FPO=-1Q", "ACT_EST_MAPPING=PRECISE", "FS=MRC", "CURRENCY=USD", "XLFILL=b")</f>
        <v/>
      </c>
      <c r="Q62" s="9" t="str">
        <f>_xll.BQL("AMZN US Equity", "INTERNET_GMV/1M", "FPT=Q", "FPO=0Q", "ACT_EST_MAPPING=PRECISE", "FS=MRC", "CURRENCY=USD", "XLFILL=b")</f>
        <v/>
      </c>
      <c r="R62" s="9">
        <f>_xll.BQL("AMZN US Equity", "INTERNET_GMV/1M", "FPT=Q", "FPO=1Q", "ACT_EST_MAPPING=PRECISE", "FS=MRC", "CURRENCY=USD", "XLFILL=b")</f>
        <v>244681.0179516116</v>
      </c>
      <c r="S62" s="9">
        <f>_xll.BQL("AMZN US Equity", "INTERNET_GMV/1M", "FPT=Q", "FPO=2Q", "ACT_EST_MAPPING=PRECISE", "FS=MRC", "CURRENCY=USD", "XLFILL=b")</f>
        <v>246306.94303195545</v>
      </c>
      <c r="T62" s="9">
        <f>_xll.BQL("AMZN US Equity", "INTERNET_GMV/1M", "FPT=Q", "FPO=3Q", "ACT_EST_MAPPING=PRECISE", "FS=MRC", "CURRENCY=USD", "XLFILL=b")</f>
        <v>307300.24931226176</v>
      </c>
      <c r="U62" s="9">
        <f>_xll.BQL("AMZN US Equity", "INTERNET_GMV/1M", "FPT=Q", "FPO=4Q", "ACT_EST_MAPPING=PRECISE", "FS=MRC", "CURRENCY=USD", "XLFILL=b")</f>
        <v>240461.15337197078</v>
      </c>
      <c r="V62" s="9">
        <f>_xll.BQL("AMZN US Equity", "INTERNET_GMV/1M", "FPT=Q", "FPO=5Q", "ACT_EST_MAPPING=PRECISE", "FS=MRC", "CURRENCY=USD", "XLFILL=b")</f>
        <v>267835.59437525121</v>
      </c>
      <c r="W62" s="9">
        <f>_xll.BQL("AMZN US Equity", "INTERNET_GMV/1M", "FPT=Q", "FPO=6Q", "ACT_EST_MAPPING=PRECISE", "FS=MRC", "CURRENCY=USD", "XLFILL=b")</f>
        <v>272591.40478079685</v>
      </c>
      <c r="X62" s="9">
        <f>_xll.BQL("AMZN US Equity", "INTERNET_GMV/1M", "FPT=Q", "FPO=7Q", "ACT_EST_MAPPING=PRECISE", "FS=MRC", "CURRENCY=USD", "XLFILL=b")</f>
        <v>339130.85023920168</v>
      </c>
    </row>
    <row r="63" spans="1:24" x14ac:dyDescent="0.25">
      <c r="A63" s="8" t="s">
        <v>88</v>
      </c>
      <c r="B63" s="4" t="s">
        <v>86</v>
      </c>
      <c r="C63" s="4" t="s">
        <v>87</v>
      </c>
      <c r="D63" s="4" t="s">
        <v>23</v>
      </c>
      <c r="E63" s="9" t="str">
        <f>_xll.BQL("SEG0000227382 Segment", "INTERNET_GMV/1M", "FPT=Q", "FPO=-12Q", "ACT_EST_MAPPING=PRECISE", "FS=MRC", "CURRENCY=USD", "XLFILL=b")</f>
        <v/>
      </c>
      <c r="F63" s="9" t="str">
        <f>_xll.BQL("SEG0000227382 Segment", "INTERNET_GMV/1M", "FPT=Q", "FPO=-11Q", "ACT_EST_MAPPING=PRECISE", "FS=MRC", "CURRENCY=USD", "XLFILL=b")</f>
        <v/>
      </c>
      <c r="G63" s="9" t="str">
        <f>_xll.BQL("SEG0000227382 Segment", "INTERNET_GMV/1M", "FPT=Q", "FPO=-10Q", "ACT_EST_MAPPING=PRECISE", "FS=MRC", "CURRENCY=USD", "XLFILL=b")</f>
        <v/>
      </c>
      <c r="H63" s="9" t="str">
        <f>_xll.BQL("SEG0000227382 Segment", "INTERNET_GMV/1M", "FPT=Q", "FPO=-9Q", "ACT_EST_MAPPING=PRECISE", "FS=MRC", "CURRENCY=USD", "XLFILL=b")</f>
        <v/>
      </c>
      <c r="I63" s="9" t="str">
        <f>_xll.BQL("SEG0000227382 Segment", "INTERNET_GMV/1M", "FPT=Q", "FPO=-8Q", "ACT_EST_MAPPING=PRECISE", "FS=MRC", "CURRENCY=USD", "XLFILL=b")</f>
        <v/>
      </c>
      <c r="J63" s="9" t="str">
        <f>_xll.BQL("SEG0000227382 Segment", "INTERNET_GMV/1M", "FPT=Q", "FPO=-7Q", "ACT_EST_MAPPING=PRECISE", "FS=MRC", "CURRENCY=USD", "XLFILL=b")</f>
        <v/>
      </c>
      <c r="K63" s="9" t="str">
        <f>_xll.BQL("SEG0000227382 Segment", "INTERNET_GMV/1M", "FPT=Q", "FPO=-6Q", "ACT_EST_MAPPING=PRECISE", "FS=MRC", "CURRENCY=USD", "XLFILL=b")</f>
        <v/>
      </c>
      <c r="L63" s="9" t="str">
        <f>_xll.BQL("SEG0000227382 Segment", "INTERNET_GMV/1M", "FPT=Q", "FPO=-5Q", "ACT_EST_MAPPING=PRECISE", "FS=MRC", "CURRENCY=USD", "XLFILL=b")</f>
        <v/>
      </c>
      <c r="M63" s="9" t="str">
        <f>_xll.BQL("SEG0000227382 Segment", "INTERNET_GMV/1M", "FPT=Q", "FPO=-4Q", "ACT_EST_MAPPING=PRECISE", "FS=MRC", "CURRENCY=USD", "XLFILL=b")</f>
        <v/>
      </c>
      <c r="N63" s="9" t="str">
        <f>_xll.BQL("SEG0000227382 Segment", "INTERNET_GMV/1M", "FPT=Q", "FPO=-3Q", "ACT_EST_MAPPING=PRECISE", "FS=MRC", "CURRENCY=USD", "XLFILL=b")</f>
        <v/>
      </c>
      <c r="O63" s="9" t="str">
        <f>_xll.BQL("SEG0000227382 Segment", "INTERNET_GMV/1M", "FPT=Q", "FPO=-2Q", "ACT_EST_MAPPING=PRECISE", "FS=MRC", "CURRENCY=USD", "XLFILL=b")</f>
        <v/>
      </c>
      <c r="P63" s="9" t="str">
        <f>_xll.BQL("SEG0000227382 Segment", "INTERNET_GMV/1M", "FPT=Q", "FPO=-1Q", "ACT_EST_MAPPING=PRECISE", "FS=MRC", "CURRENCY=USD", "XLFILL=b")</f>
        <v/>
      </c>
      <c r="Q63" s="9" t="str">
        <f>_xll.BQL("SEG0000227382 Segment", "INTERNET_GMV/1M", "FPT=Q", "FPO=0Q", "ACT_EST_MAPPING=PRECISE", "FS=MRC", "CURRENCY=USD", "XLFILL=b")</f>
        <v/>
      </c>
      <c r="R63" s="9">
        <f>_xll.BQL("SEG0000227382 Segment", "INTERNET_GMV/1M", "FPT=Q", "FPO=1Q", "ACT_EST_MAPPING=PRECISE", "FS=MRC", "CURRENCY=USD", "XLFILL=b")</f>
        <v>75420.937436870634</v>
      </c>
      <c r="S63" s="9">
        <f>_xll.BQL("SEG0000227382 Segment", "INTERNET_GMV/1M", "FPT=Q", "FPO=2Q", "ACT_EST_MAPPING=PRECISE", "FS=MRC", "CURRENCY=USD", "XLFILL=b")</f>
        <v>77058.838680212779</v>
      </c>
      <c r="T63" s="9">
        <f>_xll.BQL("SEG0000227382 Segment", "INTERNET_GMV/1M", "FPT=Q", "FPO=3Q", "ACT_EST_MAPPING=PRECISE", "FS=MRC", "CURRENCY=USD", "XLFILL=b")</f>
        <v>93067.205943812893</v>
      </c>
      <c r="U63" s="9">
        <f>_xll.BQL("SEG0000227382 Segment", "INTERNET_GMV/1M", "FPT=Q", "FPO=4Q", "ACT_EST_MAPPING=PRECISE", "FS=MRC", "CURRENCY=USD", "XLFILL=b")</f>
        <v>75009.936247699545</v>
      </c>
      <c r="V63" s="9">
        <f>_xll.BQL("SEG0000227382 Segment", "INTERNET_GMV/1M", "FPT=Q", "FPO=5Q", "ACT_EST_MAPPING=PRECISE", "FS=MRC", "CURRENCY=USD", "XLFILL=b")</f>
        <v>82217.44718019689</v>
      </c>
      <c r="W63" s="9">
        <f>_xll.BQL("SEG0000227382 Segment", "INTERNET_GMV/1M", "FPT=Q", "FPO=6Q", "ACT_EST_MAPPING=PRECISE", "FS=MRC", "CURRENCY=USD", "XLFILL=b")</f>
        <v>84466.513092997324</v>
      </c>
      <c r="X63" s="9">
        <f>_xll.BQL("SEG0000227382 Segment", "INTERNET_GMV/1M", "FPT=Q", "FPO=7Q", "ACT_EST_MAPPING=PRECISE", "FS=MRC", "CURRENCY=USD", "XLFILL=b")</f>
        <v>102242.17923221785</v>
      </c>
    </row>
    <row r="64" spans="1:24" x14ac:dyDescent="0.25">
      <c r="A64" s="8" t="s">
        <v>89</v>
      </c>
      <c r="B64" s="4" t="s">
        <v>86</v>
      </c>
      <c r="C64" s="4" t="s">
        <v>87</v>
      </c>
      <c r="D64" s="4" t="s">
        <v>30</v>
      </c>
      <c r="E64" s="9" t="str">
        <f>_xll.BQL("SEG0000227433 Segment", "INTERNET_GMV/1M", "FPT=Q", "FPO=-12Q", "ACT_EST_MAPPING=PRECISE", "FS=MRC", "CURRENCY=USD", "XLFILL=b")</f>
        <v/>
      </c>
      <c r="F64" s="9" t="str">
        <f>_xll.BQL("SEG0000227433 Segment", "INTERNET_GMV/1M", "FPT=Q", "FPO=-11Q", "ACT_EST_MAPPING=PRECISE", "FS=MRC", "CURRENCY=USD", "XLFILL=b")</f>
        <v/>
      </c>
      <c r="G64" s="9" t="str">
        <f>_xll.BQL("SEG0000227433 Segment", "INTERNET_GMV/1M", "FPT=Q", "FPO=-10Q", "ACT_EST_MAPPING=PRECISE", "FS=MRC", "CURRENCY=USD", "XLFILL=b")</f>
        <v/>
      </c>
      <c r="H64" s="9" t="str">
        <f>_xll.BQL("SEG0000227433 Segment", "INTERNET_GMV/1M", "FPT=Q", "FPO=-9Q", "ACT_EST_MAPPING=PRECISE", "FS=MRC", "CURRENCY=USD", "XLFILL=b")</f>
        <v/>
      </c>
      <c r="I64" s="9" t="str">
        <f>_xll.BQL("SEG0000227433 Segment", "INTERNET_GMV/1M", "FPT=Q", "FPO=-8Q", "ACT_EST_MAPPING=PRECISE", "FS=MRC", "CURRENCY=USD", "XLFILL=b")</f>
        <v/>
      </c>
      <c r="J64" s="9" t="str">
        <f>_xll.BQL("SEG0000227433 Segment", "INTERNET_GMV/1M", "FPT=Q", "FPO=-7Q", "ACT_EST_MAPPING=PRECISE", "FS=MRC", "CURRENCY=USD", "XLFILL=b")</f>
        <v/>
      </c>
      <c r="K64" s="9" t="str">
        <f>_xll.BQL("SEG0000227433 Segment", "INTERNET_GMV/1M", "FPT=Q", "FPO=-6Q", "ACT_EST_MAPPING=PRECISE", "FS=MRC", "CURRENCY=USD", "XLFILL=b")</f>
        <v/>
      </c>
      <c r="L64" s="9" t="str">
        <f>_xll.BQL("SEG0000227433 Segment", "INTERNET_GMV/1M", "FPT=Q", "FPO=-5Q", "ACT_EST_MAPPING=PRECISE", "FS=MRC", "CURRENCY=USD", "XLFILL=b")</f>
        <v/>
      </c>
      <c r="M64" s="9" t="str">
        <f>_xll.BQL("SEG0000227433 Segment", "INTERNET_GMV/1M", "FPT=Q", "FPO=-4Q", "ACT_EST_MAPPING=PRECISE", "FS=MRC", "CURRENCY=USD", "XLFILL=b")</f>
        <v/>
      </c>
      <c r="N64" s="9" t="str">
        <f>_xll.BQL("SEG0000227433 Segment", "INTERNET_GMV/1M", "FPT=Q", "FPO=-3Q", "ACT_EST_MAPPING=PRECISE", "FS=MRC", "CURRENCY=USD", "XLFILL=b")</f>
        <v/>
      </c>
      <c r="O64" s="9" t="str">
        <f>_xll.BQL("SEG0000227433 Segment", "INTERNET_GMV/1M", "FPT=Q", "FPO=-2Q", "ACT_EST_MAPPING=PRECISE", "FS=MRC", "CURRENCY=USD", "XLFILL=b")</f>
        <v/>
      </c>
      <c r="P64" s="9" t="str">
        <f>_xll.BQL("SEG0000227433 Segment", "INTERNET_GMV/1M", "FPT=Q", "FPO=-1Q", "ACT_EST_MAPPING=PRECISE", "FS=MRC", "CURRENCY=USD", "XLFILL=b")</f>
        <v/>
      </c>
      <c r="Q64" s="9" t="str">
        <f>_xll.BQL("SEG0000227433 Segment", "INTERNET_GMV/1M", "FPT=Q", "FPO=0Q", "ACT_EST_MAPPING=PRECISE", "FS=MRC", "CURRENCY=USD", "XLFILL=b")</f>
        <v/>
      </c>
      <c r="R64" s="9">
        <f>_xll.BQL("SEG0000227433 Segment", "INTERNET_GMV/1M", "FPT=Q", "FPO=1Q", "ACT_EST_MAPPING=PRECISE", "FS=MRC", "CURRENCY=USD", "XLFILL=b")</f>
        <v>169108.11423472609</v>
      </c>
      <c r="S64" s="9">
        <f>_xll.BQL("SEG0000227433 Segment", "INTERNET_GMV/1M", "FPT=Q", "FPO=2Q", "ACT_EST_MAPPING=PRECISE", "FS=MRC", "CURRENCY=USD", "XLFILL=b")</f>
        <v>171874.04599377199</v>
      </c>
      <c r="T64" s="9">
        <f>_xll.BQL("SEG0000227433 Segment", "INTERNET_GMV/1M", "FPT=Q", "FPO=3Q", "ACT_EST_MAPPING=PRECISE", "FS=MRC", "CURRENCY=USD", "XLFILL=b")</f>
        <v>214084.55698422235</v>
      </c>
      <c r="U64" s="9">
        <f>_xll.BQL("SEG0000227433 Segment", "INTERNET_GMV/1M", "FPT=Q", "FPO=4Q", "ACT_EST_MAPPING=PRECISE", "FS=MRC", "CURRENCY=USD", "XLFILL=b")</f>
        <v>162970.06080202956</v>
      </c>
      <c r="V64" s="9">
        <f>_xll.BQL("SEG0000227433 Segment", "INTERNET_GMV/1M", "FPT=Q", "FPO=5Q", "ACT_EST_MAPPING=PRECISE", "FS=MRC", "CURRENCY=USD", "XLFILL=b")</f>
        <v>180349.79293353713</v>
      </c>
      <c r="W64" s="9">
        <f>_xll.BQL("SEG0000227433 Segment", "INTERNET_GMV/1M", "FPT=Q", "FPO=6Q", "ACT_EST_MAPPING=PRECISE", "FS=MRC", "CURRENCY=USD", "XLFILL=b")</f>
        <v>185976.35645355892</v>
      </c>
      <c r="X64" s="9">
        <f>_xll.BQL("SEG0000227433 Segment", "INTERNET_GMV/1M", "FPT=Q", "FPO=7Q", "ACT_EST_MAPPING=PRECISE", "FS=MRC", "CURRENCY=USD", "XLFILL=b")</f>
        <v>231149.63779868229</v>
      </c>
    </row>
    <row r="65" spans="1:24" x14ac:dyDescent="0.25">
      <c r="A65" s="8" t="s">
        <v>90</v>
      </c>
      <c r="B65" s="4" t="s">
        <v>91</v>
      </c>
      <c r="C65" s="4" t="s">
        <v>92</v>
      </c>
      <c r="D65" s="4"/>
      <c r="E65" s="9" t="str">
        <f>_xll.BQL("AMZN US Equity", "NET_TAKE_RATE", "FPT=Q", "FPO=-12Q", "ACT_EST_MAPPING=PRECISE", "FS=MRC", "CURRENCY=USD", "XLFILL=b")</f>
        <v/>
      </c>
      <c r="F65" s="9" t="str">
        <f>_xll.BQL("AMZN US Equity", "NET_TAKE_RATE", "FPT=Q", "FPO=-11Q", "ACT_EST_MAPPING=PRECISE", "FS=MRC", "CURRENCY=USD", "XLFILL=b")</f>
        <v/>
      </c>
      <c r="G65" s="9" t="str">
        <f>_xll.BQL("AMZN US Equity", "NET_TAKE_RATE", "FPT=Q", "FPO=-10Q", "ACT_EST_MAPPING=PRECISE", "FS=MRC", "CURRENCY=USD", "XLFILL=b")</f>
        <v/>
      </c>
      <c r="H65" s="9" t="str">
        <f>_xll.BQL("AMZN US Equity", "NET_TAKE_RATE", "FPT=Q", "FPO=-9Q", "ACT_EST_MAPPING=PRECISE", "FS=MRC", "CURRENCY=USD", "XLFILL=b")</f>
        <v/>
      </c>
      <c r="I65" s="9" t="str">
        <f>_xll.BQL("AMZN US Equity", "NET_TAKE_RATE", "FPT=Q", "FPO=-8Q", "ACT_EST_MAPPING=PRECISE", "FS=MRC", "CURRENCY=USD", "XLFILL=b")</f>
        <v/>
      </c>
      <c r="J65" s="9" t="str">
        <f>_xll.BQL("AMZN US Equity", "NET_TAKE_RATE", "FPT=Q", "FPO=-7Q", "ACT_EST_MAPPING=PRECISE", "FS=MRC", "CURRENCY=USD", "XLFILL=b")</f>
        <v/>
      </c>
      <c r="K65" s="9" t="str">
        <f>_xll.BQL("AMZN US Equity", "NET_TAKE_RATE", "FPT=Q", "FPO=-6Q", "ACT_EST_MAPPING=PRECISE", "FS=MRC", "CURRENCY=USD", "XLFILL=b")</f>
        <v/>
      </c>
      <c r="L65" s="9" t="str">
        <f>_xll.BQL("AMZN US Equity", "NET_TAKE_RATE", "FPT=Q", "FPO=-5Q", "ACT_EST_MAPPING=PRECISE", "FS=MRC", "CURRENCY=USD", "XLFILL=b")</f>
        <v/>
      </c>
      <c r="M65" s="9" t="str">
        <f>_xll.BQL("AMZN US Equity", "NET_TAKE_RATE", "FPT=Q", "FPO=-4Q", "ACT_EST_MAPPING=PRECISE", "FS=MRC", "CURRENCY=USD", "XLFILL=b")</f>
        <v/>
      </c>
      <c r="N65" s="9" t="str">
        <f>_xll.BQL("AMZN US Equity", "NET_TAKE_RATE", "FPT=Q", "FPO=-3Q", "ACT_EST_MAPPING=PRECISE", "FS=MRC", "CURRENCY=USD", "XLFILL=b")</f>
        <v/>
      </c>
      <c r="O65" s="9" t="str">
        <f>_xll.BQL("AMZN US Equity", "NET_TAKE_RATE", "FPT=Q", "FPO=-2Q", "ACT_EST_MAPPING=PRECISE", "FS=MRC", "CURRENCY=USD", "XLFILL=b")</f>
        <v/>
      </c>
      <c r="P65" s="9" t="str">
        <f>_xll.BQL("AMZN US Equity", "NET_TAKE_RATE", "FPT=Q", "FPO=-1Q", "ACT_EST_MAPPING=PRECISE", "FS=MRC", "CURRENCY=USD", "XLFILL=b")</f>
        <v/>
      </c>
      <c r="Q65" s="9" t="str">
        <f>_xll.BQL("AMZN US Equity", "NET_TAKE_RATE", "FPT=Q", "FPO=0Q", "ACT_EST_MAPPING=PRECISE", "FS=MRC", "CURRENCY=USD", "XLFILL=b")</f>
        <v/>
      </c>
      <c r="R65" s="9">
        <f>_xll.BQL("AMZN US Equity", "NET_TAKE_RATE", "FPT=Q", "FPO=1Q", "ACT_EST_MAPPING=PRECISE", "FS=MRC", "CURRENCY=USD", "XLFILL=b")</f>
        <v>29.160835442780638</v>
      </c>
      <c r="S65" s="9">
        <f>_xll.BQL("AMZN US Equity", "NET_TAKE_RATE", "FPT=Q", "FPO=2Q", "ACT_EST_MAPPING=PRECISE", "FS=MRC", "CURRENCY=USD", "XLFILL=b")</f>
        <v>29.238552515423414</v>
      </c>
      <c r="T65" s="9">
        <f>_xll.BQL("AMZN US Equity", "NET_TAKE_RATE", "FPT=Q", "FPO=3Q", "ACT_EST_MAPPING=PRECISE", "FS=MRC", "CURRENCY=USD", "XLFILL=b")</f>
        <v>29.636258905031728</v>
      </c>
      <c r="U65" s="9">
        <f>_xll.BQL("AMZN US Equity", "NET_TAKE_RATE", "FPT=Q", "FPO=4Q", "ACT_EST_MAPPING=PRECISE", "FS=MRC", "CURRENCY=USD", "XLFILL=b")</f>
        <v>29.169582996334594</v>
      </c>
      <c r="V65" s="9">
        <f>_xll.BQL("AMZN US Equity", "NET_TAKE_RATE", "FPT=Q", "FPO=5Q", "ACT_EST_MAPPING=PRECISE", "FS=MRC", "CURRENCY=USD", "XLFILL=b")</f>
        <v>29.17015657515638</v>
      </c>
      <c r="W65" s="9">
        <f>_xll.BQL("AMZN US Equity", "NET_TAKE_RATE", "FPT=Q", "FPO=6Q", "ACT_EST_MAPPING=PRECISE", "FS=MRC", "CURRENCY=USD", "XLFILL=b")</f>
        <v>29.188077236369534</v>
      </c>
      <c r="X65" s="9">
        <f>_xll.BQL("AMZN US Equity", "NET_TAKE_RATE", "FPT=Q", "FPO=7Q", "ACT_EST_MAPPING=PRECISE", "FS=MRC", "CURRENCY=USD", "XLFILL=b")</f>
        <v>29.678853671201736</v>
      </c>
    </row>
    <row r="66" spans="1:24" x14ac:dyDescent="0.25">
      <c r="A66" s="8" t="s">
        <v>14</v>
      </c>
      <c r="B66" s="4"/>
      <c r="C66" s="4"/>
      <c r="D66" s="4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</row>
    <row r="67" spans="1:24" x14ac:dyDescent="0.25">
      <c r="A67" s="8" t="s">
        <v>93</v>
      </c>
      <c r="B67" s="4"/>
      <c r="C67" s="4"/>
      <c r="D67" s="4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</row>
    <row r="68" spans="1:24" x14ac:dyDescent="0.25">
      <c r="A68" s="8" t="s">
        <v>40</v>
      </c>
      <c r="B68" s="4" t="s">
        <v>86</v>
      </c>
      <c r="C68" s="4" t="s">
        <v>87</v>
      </c>
      <c r="D68" s="4" t="s">
        <v>42</v>
      </c>
      <c r="E68" s="9" t="str">
        <f>_xll.BQL("SEG0000227430 Segment", "INTERNET_GMV/1M", "FPT=Q", "FPO=-12Q", "ACT_EST_MAPPING=PRECISE", "FS=MRC", "CURRENCY=USD", "XLFILL=b")</f>
        <v/>
      </c>
      <c r="F68" s="9" t="str">
        <f>_xll.BQL("SEG0000227430 Segment", "INTERNET_GMV/1M", "FPT=Q", "FPO=-11Q", "ACT_EST_MAPPING=PRECISE", "FS=MRC", "CURRENCY=USD", "XLFILL=b")</f>
        <v/>
      </c>
      <c r="G68" s="9" t="str">
        <f>_xll.BQL("SEG0000227430 Segment", "INTERNET_GMV/1M", "FPT=Q", "FPO=-10Q", "ACT_EST_MAPPING=PRECISE", "FS=MRC", "CURRENCY=USD", "XLFILL=b")</f>
        <v/>
      </c>
      <c r="H68" s="9" t="str">
        <f>_xll.BQL("SEG0000227430 Segment", "INTERNET_GMV/1M", "FPT=Q", "FPO=-9Q", "ACT_EST_MAPPING=PRECISE", "FS=MRC", "CURRENCY=USD", "XLFILL=b")</f>
        <v/>
      </c>
      <c r="I68" s="9" t="str">
        <f>_xll.BQL("SEG0000227430 Segment", "INTERNET_GMV/1M", "FPT=Q", "FPO=-8Q", "ACT_EST_MAPPING=PRECISE", "FS=MRC", "CURRENCY=USD", "XLFILL=b")</f>
        <v/>
      </c>
      <c r="J68" s="9" t="str">
        <f>_xll.BQL("SEG0000227430 Segment", "INTERNET_GMV/1M", "FPT=Q", "FPO=-7Q", "ACT_EST_MAPPING=PRECISE", "FS=MRC", "CURRENCY=USD", "XLFILL=b")</f>
        <v/>
      </c>
      <c r="K68" s="9" t="str">
        <f>_xll.BQL("SEG0000227430 Segment", "INTERNET_GMV/1M", "FPT=Q", "FPO=-6Q", "ACT_EST_MAPPING=PRECISE", "FS=MRC", "CURRENCY=USD", "XLFILL=b")</f>
        <v/>
      </c>
      <c r="L68" s="9" t="str">
        <f>_xll.BQL("SEG0000227430 Segment", "INTERNET_GMV/1M", "FPT=Q", "FPO=-5Q", "ACT_EST_MAPPING=PRECISE", "FS=MRC", "CURRENCY=USD", "XLFILL=b")</f>
        <v/>
      </c>
      <c r="M68" s="9" t="str">
        <f>_xll.BQL("SEG0000227430 Segment", "INTERNET_GMV/1M", "FPT=Q", "FPO=-4Q", "ACT_EST_MAPPING=PRECISE", "FS=MRC", "CURRENCY=USD", "XLFILL=b")</f>
        <v/>
      </c>
      <c r="N68" s="9" t="str">
        <f>_xll.BQL("SEG0000227430 Segment", "INTERNET_GMV/1M", "FPT=Q", "FPO=-3Q", "ACT_EST_MAPPING=PRECISE", "FS=MRC", "CURRENCY=USD", "XLFILL=b")</f>
        <v/>
      </c>
      <c r="O68" s="9" t="str">
        <f>_xll.BQL("SEG0000227430 Segment", "INTERNET_GMV/1M", "FPT=Q", "FPO=-2Q", "ACT_EST_MAPPING=PRECISE", "FS=MRC", "CURRENCY=USD", "XLFILL=b")</f>
        <v/>
      </c>
      <c r="P68" s="9" t="str">
        <f>_xll.BQL("SEG0000227430 Segment", "INTERNET_GMV/1M", "FPT=Q", "FPO=-1Q", "ACT_EST_MAPPING=PRECISE", "FS=MRC", "CURRENCY=USD", "XLFILL=b")</f>
        <v/>
      </c>
      <c r="Q68" s="9" t="str">
        <f>_xll.BQL("SEG0000227430 Segment", "INTERNET_GMV/1M", "FPT=Q", "FPO=0Q", "ACT_EST_MAPPING=PRECISE", "FS=MRC", "CURRENCY=USD", "XLFILL=b")</f>
        <v/>
      </c>
      <c r="R68" s="9">
        <f>_xll.BQL("SEG0000227430 Segment", "INTERNET_GMV/1M", "FPT=Q", "FPO=1Q", "ACT_EST_MAPPING=PRECISE", "FS=MRC", "CURRENCY=USD", "XLFILL=b")</f>
        <v>168059.88830365514</v>
      </c>
      <c r="S68" s="9">
        <f>_xll.BQL("SEG0000227430 Segment", "INTERNET_GMV/1M", "FPT=Q", "FPO=2Q", "ACT_EST_MAPPING=PRECISE", "FS=MRC", "CURRENCY=USD", "XLFILL=b")</f>
        <v>161443.3072678821</v>
      </c>
      <c r="T68" s="9">
        <f>_xll.BQL("SEG0000227430 Segment", "INTERNET_GMV/1M", "FPT=Q", "FPO=3Q", "ACT_EST_MAPPING=PRECISE", "FS=MRC", "CURRENCY=USD", "XLFILL=b")</f>
        <v>198920.18645777734</v>
      </c>
      <c r="U68" s="9">
        <f>_xll.BQL("SEG0000227430 Segment", "INTERNET_GMV/1M", "FPT=Q", "FPO=4Q", "ACT_EST_MAPPING=PRECISE", "FS=MRC", "CURRENCY=USD", "XLFILL=b")</f>
        <v>151859.73770364557</v>
      </c>
      <c r="V68" s="9">
        <f>_xll.BQL("SEG0000227430 Segment", "INTERNET_GMV/1M", "FPT=Q", "FPO=5Q", "ACT_EST_MAPPING=PRECISE", "FS=MRC", "CURRENCY=USD", "XLFILL=b")</f>
        <v>177639.14992368469</v>
      </c>
      <c r="W68" s="9">
        <f>_xll.BQL("SEG0000227430 Segment", "INTERNET_GMV/1M", "FPT=Q", "FPO=6Q", "ACT_EST_MAPPING=PRECISE", "FS=MRC", "CURRENCY=USD", "XLFILL=b")</f>
        <v>175448.39683090631</v>
      </c>
      <c r="X68" s="9">
        <f>_xll.BQL("SEG0000227430 Segment", "INTERNET_GMV/1M", "FPT=Q", "FPO=7Q", "ACT_EST_MAPPING=PRECISE", "FS=MRC", "CURRENCY=USD", "XLFILL=b")</f>
        <v>210169.25296458544</v>
      </c>
    </row>
    <row r="69" spans="1:24" x14ac:dyDescent="0.25">
      <c r="A69" s="8" t="s">
        <v>46</v>
      </c>
      <c r="B69" s="4" t="s">
        <v>86</v>
      </c>
      <c r="C69" s="4" t="s">
        <v>87</v>
      </c>
      <c r="D69" s="4" t="s">
        <v>47</v>
      </c>
      <c r="E69" s="9" t="str">
        <f>_xll.BQL("SEG0000227462 Segment", "INTERNET_GMV/1M", "FPT=Q", "FPO=-12Q", "ACT_EST_MAPPING=PRECISE", "FS=MRC", "CURRENCY=USD", "XLFILL=b")</f>
        <v/>
      </c>
      <c r="F69" s="9" t="str">
        <f>_xll.BQL("SEG0000227462 Segment", "INTERNET_GMV/1M", "FPT=Q", "FPO=-11Q", "ACT_EST_MAPPING=PRECISE", "FS=MRC", "CURRENCY=USD", "XLFILL=b")</f>
        <v/>
      </c>
      <c r="G69" s="9" t="str">
        <f>_xll.BQL("SEG0000227462 Segment", "INTERNET_GMV/1M", "FPT=Q", "FPO=-10Q", "ACT_EST_MAPPING=PRECISE", "FS=MRC", "CURRENCY=USD", "XLFILL=b")</f>
        <v/>
      </c>
      <c r="H69" s="9" t="str">
        <f>_xll.BQL("SEG0000227462 Segment", "INTERNET_GMV/1M", "FPT=Q", "FPO=-9Q", "ACT_EST_MAPPING=PRECISE", "FS=MRC", "CURRENCY=USD", "XLFILL=b")</f>
        <v/>
      </c>
      <c r="I69" s="9" t="str">
        <f>_xll.BQL("SEG0000227462 Segment", "INTERNET_GMV/1M", "FPT=Q", "FPO=-8Q", "ACT_EST_MAPPING=PRECISE", "FS=MRC", "CURRENCY=USD", "XLFILL=b")</f>
        <v/>
      </c>
      <c r="J69" s="9" t="str">
        <f>_xll.BQL("SEG0000227462 Segment", "INTERNET_GMV/1M", "FPT=Q", "FPO=-7Q", "ACT_EST_MAPPING=PRECISE", "FS=MRC", "CURRENCY=USD", "XLFILL=b")</f>
        <v/>
      </c>
      <c r="K69" s="9" t="str">
        <f>_xll.BQL("SEG0000227462 Segment", "INTERNET_GMV/1M", "FPT=Q", "FPO=-6Q", "ACT_EST_MAPPING=PRECISE", "FS=MRC", "CURRENCY=USD", "XLFILL=b")</f>
        <v/>
      </c>
      <c r="L69" s="9" t="str">
        <f>_xll.BQL("SEG0000227462 Segment", "INTERNET_GMV/1M", "FPT=Q", "FPO=-5Q", "ACT_EST_MAPPING=PRECISE", "FS=MRC", "CURRENCY=USD", "XLFILL=b")</f>
        <v/>
      </c>
      <c r="M69" s="9" t="str">
        <f>_xll.BQL("SEG0000227462 Segment", "INTERNET_GMV/1M", "FPT=Q", "FPO=-4Q", "ACT_EST_MAPPING=PRECISE", "FS=MRC", "CURRENCY=USD", "XLFILL=b")</f>
        <v/>
      </c>
      <c r="N69" s="9" t="str">
        <f>_xll.BQL("SEG0000227462 Segment", "INTERNET_GMV/1M", "FPT=Q", "FPO=-3Q", "ACT_EST_MAPPING=PRECISE", "FS=MRC", "CURRENCY=USD", "XLFILL=b")</f>
        <v/>
      </c>
      <c r="O69" s="9" t="str">
        <f>_xll.BQL("SEG0000227462 Segment", "INTERNET_GMV/1M", "FPT=Q", "FPO=-2Q", "ACT_EST_MAPPING=PRECISE", "FS=MRC", "CURRENCY=USD", "XLFILL=b")</f>
        <v/>
      </c>
      <c r="P69" s="9" t="str">
        <f>_xll.BQL("SEG0000227462 Segment", "INTERNET_GMV/1M", "FPT=Q", "FPO=-1Q", "ACT_EST_MAPPING=PRECISE", "FS=MRC", "CURRENCY=USD", "XLFILL=b")</f>
        <v/>
      </c>
      <c r="Q69" s="9" t="str">
        <f>_xll.BQL("SEG0000227462 Segment", "INTERNET_GMV/1M", "FPT=Q", "FPO=0Q", "ACT_EST_MAPPING=PRECISE", "FS=MRC", "CURRENCY=USD", "XLFILL=b")</f>
        <v/>
      </c>
      <c r="R69" s="9">
        <f>_xll.BQL("SEG0000227462 Segment", "INTERNET_GMV/1M", "FPT=Q", "FPO=1Q", "ACT_EST_MAPPING=PRECISE", "FS=MRC", "CURRENCY=USD", "XLFILL=b")</f>
        <v>71021.112513564018</v>
      </c>
      <c r="S69" s="9">
        <f>_xll.BQL("SEG0000227462 Segment", "INTERNET_GMV/1M", "FPT=Q", "FPO=2Q", "ACT_EST_MAPPING=PRECISE", "FS=MRC", "CURRENCY=USD", "XLFILL=b")</f>
        <v>73389.595576041815</v>
      </c>
      <c r="T69" s="9">
        <f>_xll.BQL("SEG0000227462 Segment", "INTERNET_GMV/1M", "FPT=Q", "FPO=3Q", "ACT_EST_MAPPING=PRECISE", "FS=MRC", "CURRENCY=USD", "XLFILL=b")</f>
        <v>92903.625876849168</v>
      </c>
      <c r="U69" s="9">
        <f>_xll.BQL("SEG0000227462 Segment", "INTERNET_GMV/1M", "FPT=Q", "FPO=4Q", "ACT_EST_MAPPING=PRECISE", "FS=MRC", "CURRENCY=USD", "XLFILL=b")</f>
        <v>72827.370906568889</v>
      </c>
      <c r="V69" s="9">
        <f>_xll.BQL("SEG0000227462 Segment", "INTERNET_GMV/1M", "FPT=Q", "FPO=5Q", "ACT_EST_MAPPING=PRECISE", "FS=MRC", "CURRENCY=USD", "XLFILL=b")</f>
        <v>79281.690294115557</v>
      </c>
      <c r="W69" s="9">
        <f>_xll.BQL("SEG0000227462 Segment", "INTERNET_GMV/1M", "FPT=Q", "FPO=6Q", "ACT_EST_MAPPING=PRECISE", "FS=MRC", "CURRENCY=USD", "XLFILL=b")</f>
        <v>83571.550164959903</v>
      </c>
      <c r="X69" s="9">
        <f>_xll.BQL("SEG0000227462 Segment", "INTERNET_GMV/1M", "FPT=Q", "FPO=7Q", "ACT_EST_MAPPING=PRECISE", "FS=MRC", "CURRENCY=USD", "XLFILL=b")</f>
        <v>104718.64117112245</v>
      </c>
    </row>
    <row r="70" spans="1:24" x14ac:dyDescent="0.25">
      <c r="A70" s="8" t="s">
        <v>14</v>
      </c>
      <c r="B70" s="4"/>
      <c r="C70" s="4"/>
      <c r="D70" s="4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</row>
    <row r="71" spans="1:24" x14ac:dyDescent="0.25">
      <c r="A71" s="8" t="s">
        <v>94</v>
      </c>
      <c r="B71" s="4" t="s">
        <v>95</v>
      </c>
      <c r="C71" s="4" t="s">
        <v>96</v>
      </c>
      <c r="D71" s="4"/>
      <c r="E71" s="9">
        <f>_xll.BQL("AMZN US Equity", "BS_REMAINING_PERFORMANCE_OBLIG/1M", "FPT=Q", "FPO=-12Q", "ACT_EST_MAPPING=PRECISE", "FS=MRC", "CURRENCY=USD", "XLFILL=b")</f>
        <v>122000</v>
      </c>
      <c r="F71" s="9">
        <f>_xll.BQL("AMZN US Equity", "BS_REMAINING_PERFORMANCE_OBLIG/1M", "FPT=Q", "FPO=-11Q", "ACT_EST_MAPPING=PRECISE", "FS=MRC", "CURRENCY=USD", "XLFILL=b")</f>
        <v>132100</v>
      </c>
      <c r="G71" s="9">
        <f>_xll.BQL("AMZN US Equity", "BS_REMAINING_PERFORMANCE_OBLIG/1M", "FPT=Q", "FPO=-10Q", "ACT_EST_MAPPING=PRECISE", "FS=MRC", "CURRENCY=USD", "XLFILL=b")</f>
        <v>133000</v>
      </c>
      <c r="H71" s="9">
        <f>_xll.BQL("AMZN US Equity", "BS_REMAINING_PERFORMANCE_OBLIG/1M", "FPT=Q", "FPO=-9Q", "ACT_EST_MAPPING=PRECISE", "FS=MRC", "CURRENCY=USD", "XLFILL=b")</f>
        <v>155700</v>
      </c>
      <c r="I71" s="9">
        <f>_xll.BQL("AMZN US Equity", "BS_REMAINING_PERFORMANCE_OBLIG/1M", "FPT=Q", "FPO=-8Q", "ACT_EST_MAPPING=PRECISE", "FS=MRC", "CURRENCY=USD", "XLFILL=b")</f>
        <v>157700</v>
      </c>
      <c r="J71" s="9">
        <f>_xll.BQL("AMZN US Equity", "BS_REMAINING_PERFORMANCE_OBLIG/1M", "FPT=Q", "FPO=-7Q", "ACT_EST_MAPPING=PRECISE", "FS=MRC", "CURRENCY=USD", "XLFILL=b")</f>
        <v>156600</v>
      </c>
      <c r="K71" s="9">
        <f>_xll.BQL("AMZN US Equity", "BS_REMAINING_PERFORMANCE_OBLIG/1M", "FPT=Q", "FPO=-6Q", "ACT_EST_MAPPING=PRECISE", "FS=MRC", "CURRENCY=USD", "XLFILL=b")</f>
        <v>164000</v>
      </c>
      <c r="L71" s="9">
        <f>_xll.BQL("AMZN US Equity", "BS_REMAINING_PERFORMANCE_OBLIG/1M", "FPT=Q", "FPO=-5Q", "ACT_EST_MAPPING=PRECISE", "FS=MRC", "CURRENCY=USD", "XLFILL=b")</f>
        <v>177000</v>
      </c>
      <c r="M71" s="9">
        <f>_xll.BQL("AMZN US Equity", "BS_REMAINING_PERFORMANCE_OBLIG/1M", "FPT=Q", "FPO=-4Q", "ACT_EST_MAPPING=PRECISE", "FS=MRC", "CURRENCY=USD", "XLFILL=b")</f>
        <v>189000</v>
      </c>
      <c r="N71" s="9">
        <f>_xll.BQL("AMZN US Equity", "BS_REMAINING_PERFORMANCE_OBLIG/1M", "FPT=Q", "FPO=-3Q", "ACT_EST_MAPPING=PRECISE", "FS=MRC", "CURRENCY=USD", "XLFILL=b")</f>
        <v>195000</v>
      </c>
      <c r="O71" s="9">
        <f>_xll.BQL("AMZN US Equity", "BS_REMAINING_PERFORMANCE_OBLIG/1M", "FPT=Q", "FPO=-2Q", "ACT_EST_MAPPING=PRECISE", "FS=MRC", "CURRENCY=USD", "XLFILL=b")</f>
        <v>200000</v>
      </c>
      <c r="P71" s="9">
        <f>_xll.BQL("AMZN US Equity", "BS_REMAINING_PERFORMANCE_OBLIG/1M", "FPT=Q", "FPO=-1Q", "ACT_EST_MAPPING=PRECISE", "FS=MRC", "CURRENCY=USD", "XLFILL=b")</f>
        <v>244000</v>
      </c>
      <c r="Q71" s="9">
        <f>_xll.BQL("AMZN US Equity", "BS_REMAINING_PERFORMANCE_OBLIG/1M", "FPT=Q", "FPO=0Q", "ACT_EST_MAPPING=PRECISE", "FS=MRC", "CURRENCY=USD", "XLFILL=b")</f>
        <v>364000</v>
      </c>
      <c r="R71" s="9" t="str">
        <f>_xll.BQL("AMZN US Equity", "BS_REMAINING_PERFORMANCE_OBLIG/1M", "FPT=Q", "FPO=1Q", "ACT_EST_MAPPING=PRECISE", "FS=MRC", "CURRENCY=USD", "XLFILL=b")</f>
        <v/>
      </c>
      <c r="S71" s="9" t="str">
        <f>_xll.BQL("AMZN US Equity", "BS_REMAINING_PERFORMANCE_OBLIG/1M", "FPT=Q", "FPO=2Q", "ACT_EST_MAPPING=PRECISE", "FS=MRC", "CURRENCY=USD", "XLFILL=b")</f>
        <v/>
      </c>
      <c r="T71" s="9" t="str">
        <f>_xll.BQL("AMZN US Equity", "BS_REMAINING_PERFORMANCE_OBLIG/1M", "FPT=Q", "FPO=3Q", "ACT_EST_MAPPING=PRECISE", "FS=MRC", "CURRENCY=USD", "XLFILL=b")</f>
        <v/>
      </c>
      <c r="U71" s="9" t="str">
        <f>_xll.BQL("AMZN US Equity", "BS_REMAINING_PERFORMANCE_OBLIG/1M", "FPT=Q", "FPO=4Q", "ACT_EST_MAPPING=PRECISE", "FS=MRC", "CURRENCY=USD", "XLFILL=b")</f>
        <v/>
      </c>
      <c r="V71" s="9" t="str">
        <f>_xll.BQL("AMZN US Equity", "BS_REMAINING_PERFORMANCE_OBLIG/1M", "FPT=Q", "FPO=5Q", "ACT_EST_MAPPING=PRECISE", "FS=MRC", "CURRENCY=USD", "XLFILL=b")</f>
        <v/>
      </c>
      <c r="W71" s="9" t="str">
        <f>_xll.BQL("AMZN US Equity", "BS_REMAINING_PERFORMANCE_OBLIG/1M", "FPT=Q", "FPO=6Q", "ACT_EST_MAPPING=PRECISE", "FS=MRC", "CURRENCY=USD", "XLFILL=b")</f>
        <v/>
      </c>
      <c r="X71" s="9" t="str">
        <f>_xll.BQL("AMZN US Equity", "BS_REMAINING_PERFORMANCE_OBLIG/1M", "FPT=Q", "FPO=7Q", "ACT_EST_MAPPING=PRECISE", "FS=MRC", "CURRENCY=USD", "XLFILL=b")</f>
        <v/>
      </c>
    </row>
    <row r="72" spans="1:24" x14ac:dyDescent="0.25">
      <c r="A72" s="8" t="s">
        <v>97</v>
      </c>
      <c r="B72" s="4" t="s">
        <v>98</v>
      </c>
      <c r="C72" s="4" t="s">
        <v>99</v>
      </c>
      <c r="D72" s="4"/>
      <c r="E72" s="9">
        <f>_xll.BQL("AMZN US Equity", "BS_NUMBER_EMPLOYEES", "FPT=Q", "FPO=-12Q", "ACT_EST_MAPPING=PRECISE", "FS=MRC", "CURRENCY=USD", "XLFILL=b")</f>
        <v>1465000</v>
      </c>
      <c r="F72" s="9">
        <f>_xll.BQL("AMZN US Equity", "BS_NUMBER_EMPLOYEES", "FPT=Q", "FPO=-11Q", "ACT_EST_MAPPING=PRECISE", "FS=MRC", "CURRENCY=USD", "XLFILL=b")</f>
        <v>1461000</v>
      </c>
      <c r="G72" s="9">
        <f>_xll.BQL("AMZN US Equity", "BS_NUMBER_EMPLOYEES", "FPT=Q", "FPO=-10Q", "ACT_EST_MAPPING=PRECISE", "FS=MRC", "CURRENCY=USD", "XLFILL=b")</f>
        <v>1500000</v>
      </c>
      <c r="H72" s="9">
        <f>_xll.BQL("AMZN US Equity", "BS_NUMBER_EMPLOYEES", "FPT=Q", "FPO=-9Q", "ACT_EST_MAPPING=PRECISE", "FS=MRC", "CURRENCY=USD", "XLFILL=b")</f>
        <v>1525000</v>
      </c>
      <c r="I72" s="9">
        <f>_xll.BQL("AMZN US Equity", "BS_NUMBER_EMPLOYEES", "FPT=Q", "FPO=-8Q", "ACT_EST_MAPPING=PRECISE", "FS=MRC", "CURRENCY=USD", "XLFILL=b")</f>
        <v>1521000</v>
      </c>
      <c r="J72" s="9">
        <f>_xll.BQL("AMZN US Equity", "BS_NUMBER_EMPLOYEES", "FPT=Q", "FPO=-7Q", "ACT_EST_MAPPING=PRECISE", "FS=MRC", "CURRENCY=USD", "XLFILL=b")</f>
        <v>1532000</v>
      </c>
      <c r="K72" s="9">
        <f>_xll.BQL("AMZN US Equity", "BS_NUMBER_EMPLOYEES", "FPT=Q", "FPO=-6Q", "ACT_EST_MAPPING=PRECISE", "FS=MRC", "CURRENCY=USD", "XLFILL=b")</f>
        <v>1551000</v>
      </c>
      <c r="L72" s="9">
        <f>_xll.BQL("AMZN US Equity", "BS_NUMBER_EMPLOYEES", "FPT=Q", "FPO=-5Q", "ACT_EST_MAPPING=PRECISE", "FS=MRC", "CURRENCY=USD", "XLFILL=b")</f>
        <v>1556000</v>
      </c>
      <c r="M72" s="9">
        <f>_xll.BQL("AMZN US Equity", "BS_NUMBER_EMPLOYEES", "FPT=Q", "FPO=-4Q", "ACT_EST_MAPPING=PRECISE", "FS=MRC", "CURRENCY=USD", "XLFILL=b")</f>
        <v>1560000</v>
      </c>
      <c r="N72" s="9">
        <f>_xll.BQL("AMZN US Equity", "BS_NUMBER_EMPLOYEES", "FPT=Q", "FPO=-3Q", "ACT_EST_MAPPING=PRECISE", "FS=MRC", "CURRENCY=USD", "XLFILL=b")</f>
        <v>1546000</v>
      </c>
      <c r="O72" s="9">
        <f>_xll.BQL("AMZN US Equity", "BS_NUMBER_EMPLOYEES", "FPT=Q", "FPO=-2Q", "ACT_EST_MAPPING=PRECISE", "FS=MRC", "CURRENCY=USD", "XLFILL=b")</f>
        <v>1578000</v>
      </c>
      <c r="P72" s="9">
        <f>_xll.BQL("AMZN US Equity", "BS_NUMBER_EMPLOYEES", "FPT=Q", "FPO=-1Q", "ACT_EST_MAPPING=PRECISE", "FS=MRC", "CURRENCY=USD", "XLFILL=b")</f>
        <v>1576000</v>
      </c>
      <c r="Q72" s="9">
        <f>_xll.BQL("AMZN US Equity", "BS_NUMBER_EMPLOYEES", "FPT=Q", "FPO=0Q", "ACT_EST_MAPPING=PRECISE", "FS=MRC", "CURRENCY=USD", "XLFILL=b")</f>
        <v>1575000</v>
      </c>
      <c r="R72" s="9">
        <f>_xll.BQL("AMZN US Equity", "BS_NUMBER_EMPLOYEES", "FPT=Q", "FPO=1Q", "ACT_EST_MAPPING=PRECISE", "FS=MRC", "CURRENCY=USD", "XLFILL=b")</f>
        <v>1606090</v>
      </c>
      <c r="S72" s="9">
        <f>_xll.BQL("AMZN US Equity", "BS_NUMBER_EMPLOYEES", "FPT=Q", "FPO=2Q", "ACT_EST_MAPPING=PRECISE", "FS=MRC", "CURRENCY=USD", "XLFILL=b")</f>
        <v>1627767</v>
      </c>
      <c r="T72" s="9">
        <f>_xll.BQL("AMZN US Equity", "BS_NUMBER_EMPLOYEES", "FPT=Q", "FPO=3Q", "ACT_EST_MAPPING=PRECISE", "FS=MRC", "CURRENCY=USD", "XLFILL=b")</f>
        <v>1634470</v>
      </c>
      <c r="U72" s="9">
        <f>_xll.BQL("AMZN US Equity", "BS_NUMBER_EMPLOYEES", "FPT=Q", "FPO=4Q", "ACT_EST_MAPPING=PRECISE", "FS=MRC", "CURRENCY=USD", "XLFILL=b")</f>
        <v>1647782</v>
      </c>
      <c r="V72" s="9">
        <f>_xll.BQL("AMZN US Equity", "BS_NUMBER_EMPLOYEES", "FPT=Q", "FPO=5Q", "ACT_EST_MAPPING=PRECISE", "FS=MRC", "CURRENCY=USD", "XLFILL=b")</f>
        <v>1703466</v>
      </c>
      <c r="W72" s="9">
        <f>_xll.BQL("AMZN US Equity", "BS_NUMBER_EMPLOYEES", "FPT=Q", "FPO=6Q", "ACT_EST_MAPPING=PRECISE", "FS=MRC", "CURRENCY=USD", "XLFILL=b")</f>
        <v>1700358</v>
      </c>
      <c r="X72" s="9">
        <f>_xll.BQL("AMZN US Equity", "BS_NUMBER_EMPLOYEES", "FPT=Q", "FPO=7Q", "ACT_EST_MAPPING=PRECISE", "FS=MRC", "CURRENCY=USD", "XLFILL=b")</f>
        <v>1721261</v>
      </c>
    </row>
    <row r="73" spans="1:24" x14ac:dyDescent="0.25">
      <c r="A73" s="8" t="s">
        <v>100</v>
      </c>
      <c r="B73" s="4" t="s">
        <v>101</v>
      </c>
      <c r="C73" s="4" t="s">
        <v>102</v>
      </c>
      <c r="D73" s="4"/>
      <c r="E73" s="9">
        <f>_xll.BQL("AMZN US Equity", "BS_NUM_RSU_GRANTED/1M", "FPT=Q", "FPO=-12Q", "ACT_EST_MAPPING=PRECISE", "FS=MRC", "CURRENCY=USD", "XLFILL=b")</f>
        <v>13.4</v>
      </c>
      <c r="F73" s="9">
        <f>_xll.BQL("AMZN US Equity", "BS_NUM_RSU_GRANTED/1M", "FPT=Q", "FPO=-11Q", "ACT_EST_MAPPING=PRECISE", "FS=MRC", "CURRENCY=USD", "XLFILL=b")</f>
        <v>186.9</v>
      </c>
      <c r="G73" s="9">
        <f>_xll.BQL("AMZN US Equity", "BS_NUM_RSU_GRANTED/1M", "FPT=Q", "FPO=-10Q", "ACT_EST_MAPPING=PRECISE", "FS=MRC", "CURRENCY=USD", "XLFILL=b")</f>
        <v>210.9</v>
      </c>
      <c r="H73" s="9">
        <f>_xll.BQL("AMZN US Equity", "BS_NUM_RSU_GRANTED/1M", "FPT=Q", "FPO=-9Q", "ACT_EST_MAPPING=PRECISE", "FS=MRC", "CURRENCY=USD", "XLFILL=b")</f>
        <v>7.2</v>
      </c>
      <c r="I73" s="9">
        <f>_xll.BQL("AMZN US Equity", "BS_NUM_RSU_GRANTED/1M", "FPT=Q", "FPO=-8Q", "ACT_EST_MAPPING=PRECISE", "FS=MRC", "CURRENCY=USD", "XLFILL=b")</f>
        <v>10.7</v>
      </c>
      <c r="J73" s="9">
        <f>_xll.BQL("AMZN US Equity", "BS_NUM_RSU_GRANTED/1M", "FPT=Q", "FPO=-7Q", "ACT_EST_MAPPING=PRECISE", "FS=MRC", "CURRENCY=USD", "XLFILL=b")</f>
        <v>94.3</v>
      </c>
      <c r="K73" s="9">
        <f>_xll.BQL("AMZN US Equity", "BS_NUM_RSU_GRANTED/1M", "FPT=Q", "FPO=-6Q", "ACT_EST_MAPPING=PRECISE", "FS=MRC", "CURRENCY=USD", "XLFILL=b")</f>
        <v>10.4</v>
      </c>
      <c r="L73" s="9">
        <f>_xll.BQL("AMZN US Equity", "BS_NUM_RSU_GRANTED/1M", "FPT=Q", "FPO=-5Q", "ACT_EST_MAPPING=PRECISE", "FS=MRC", "CURRENCY=USD", "XLFILL=b")</f>
        <v>11.5</v>
      </c>
      <c r="M73" s="9">
        <f>_xll.BQL("AMZN US Equity", "BS_NUM_RSU_GRANTED/1M", "FPT=Q", "FPO=-4Q", "ACT_EST_MAPPING=PRECISE", "FS=MRC", "CURRENCY=USD", "XLFILL=b")</f>
        <v>8.3000000000000007</v>
      </c>
      <c r="N73" s="9">
        <f>_xll.BQL("AMZN US Equity", "BS_NUM_RSU_GRANTED/1M", "FPT=Q", "FPO=-3Q", "ACT_EST_MAPPING=PRECISE", "FS=MRC", "CURRENCY=USD", "XLFILL=b")</f>
        <v>86.6</v>
      </c>
      <c r="O73" s="9">
        <f>_xll.BQL("AMZN US Equity", "BS_NUM_RSU_GRANTED/1M", "FPT=Q", "FPO=-2Q", "ACT_EST_MAPPING=PRECISE", "FS=MRC", "CURRENCY=USD", "XLFILL=b")</f>
        <v>11.7</v>
      </c>
      <c r="P73" s="9">
        <f>_xll.BQL("AMZN US Equity", "BS_NUM_RSU_GRANTED/1M", "FPT=Q", "FPO=-1Q", "ACT_EST_MAPPING=PRECISE", "FS=MRC", "CURRENCY=USD", "XLFILL=b")</f>
        <v>6.3</v>
      </c>
      <c r="Q73" s="9">
        <f>_xll.BQL("AMZN US Equity", "BS_NUM_RSU_GRANTED/1M", "FPT=Q", "FPO=0Q", "ACT_EST_MAPPING=PRECISE", "FS=MRC", "CURRENCY=USD", "XLFILL=b")</f>
        <v>7.8</v>
      </c>
      <c r="R73" s="9" t="str">
        <f>_xll.BQL("AMZN US Equity", "BS_NUM_RSU_GRANTED/1M", "FPT=Q", "FPO=1Q", "ACT_EST_MAPPING=PRECISE", "FS=MRC", "CURRENCY=USD", "XLFILL=b")</f>
        <v/>
      </c>
      <c r="S73" s="9" t="str">
        <f>_xll.BQL("AMZN US Equity", "BS_NUM_RSU_GRANTED/1M", "FPT=Q", "FPO=2Q", "ACT_EST_MAPPING=PRECISE", "FS=MRC", "CURRENCY=USD", "XLFILL=b")</f>
        <v/>
      </c>
      <c r="T73" s="9" t="str">
        <f>_xll.BQL("AMZN US Equity", "BS_NUM_RSU_GRANTED/1M", "FPT=Q", "FPO=3Q", "ACT_EST_MAPPING=PRECISE", "FS=MRC", "CURRENCY=USD", "XLFILL=b")</f>
        <v/>
      </c>
      <c r="U73" s="9" t="str">
        <f>_xll.BQL("AMZN US Equity", "BS_NUM_RSU_GRANTED/1M", "FPT=Q", "FPO=4Q", "ACT_EST_MAPPING=PRECISE", "FS=MRC", "CURRENCY=USD", "XLFILL=b")</f>
        <v/>
      </c>
      <c r="V73" s="9" t="str">
        <f>_xll.BQL("AMZN US Equity", "BS_NUM_RSU_GRANTED/1M", "FPT=Q", "FPO=5Q", "ACT_EST_MAPPING=PRECISE", "FS=MRC", "CURRENCY=USD", "XLFILL=b")</f>
        <v/>
      </c>
      <c r="W73" s="9" t="str">
        <f>_xll.BQL("AMZN US Equity", "BS_NUM_RSU_GRANTED/1M", "FPT=Q", "FPO=6Q", "ACT_EST_MAPPING=PRECISE", "FS=MRC", "CURRENCY=USD", "XLFILL=b")</f>
        <v/>
      </c>
      <c r="X73" s="9" t="str">
        <f>_xll.BQL("AMZN US Equity", "BS_NUM_RSU_GRANTED/1M", "FPT=Q", "FPO=7Q", "ACT_EST_MAPPING=PRECISE", "FS=MRC", "CURRENCY=USD", "XLFILL=b")</f>
        <v/>
      </c>
    </row>
    <row r="74" spans="1:24" x14ac:dyDescent="0.25">
      <c r="A74" s="8" t="s">
        <v>14</v>
      </c>
      <c r="B74" s="4"/>
      <c r="C74" s="4"/>
      <c r="D74" s="4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</row>
    <row r="75" spans="1:24" x14ac:dyDescent="0.25">
      <c r="A75" s="8" t="s">
        <v>103</v>
      </c>
      <c r="B75" s="4"/>
      <c r="C75" s="4"/>
      <c r="D75" s="4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</row>
    <row r="76" spans="1:24" x14ac:dyDescent="0.25">
      <c r="A76" s="8" t="s">
        <v>104</v>
      </c>
      <c r="B76" s="4" t="s">
        <v>105</v>
      </c>
      <c r="C76" s="4" t="s">
        <v>106</v>
      </c>
      <c r="D76" s="4"/>
      <c r="E76" s="9">
        <f>_xll.BQL("AMZN US Equity", "INVENT_TURN", "FPT=Q", "FPO=-12Q", "ACT_EST_MAPPING=PRECISE", "FS=MRC", "CURRENCY=USD", "XLFILL=b")</f>
        <v>8.3902714114261752</v>
      </c>
      <c r="F76" s="9">
        <f>_xll.BQL("AMZN US Equity", "INVENT_TURN", "FPT=Q", "FPO=-11Q", "ACT_EST_MAPPING=PRECISE", "FS=MRC", "CURRENCY=USD", "XLFILL=b")</f>
        <v>7.8424404602622424</v>
      </c>
      <c r="G76" s="9">
        <f>_xll.BQL("AMZN US Equity", "INVENT_TURN", "FPT=Q", "FPO=-10Q", "ACT_EST_MAPPING=PRECISE", "FS=MRC", "CURRENCY=USD", "XLFILL=b")</f>
        <v>8.2668591175939934</v>
      </c>
      <c r="H76" s="9">
        <f>_xll.BQL("AMZN US Equity", "INVENT_TURN", "FPT=Q", "FPO=-9Q", "ACT_EST_MAPPING=PRECISE", "FS=MRC", "CURRENCY=USD", "XLFILL=b")</f>
        <v>8.9995717850656352</v>
      </c>
      <c r="I76" s="9">
        <f>_xll.BQL("AMZN US Equity", "INVENT_TURN", "FPT=Q", "FPO=-8Q", "ACT_EST_MAPPING=PRECISE", "FS=MRC", "CURRENCY=USD", "XLFILL=b")</f>
        <v>9.4793392225607427</v>
      </c>
      <c r="J76" s="9">
        <f>_xll.BQL("AMZN US Equity", "INVENT_TURN", "FPT=Q", "FPO=-7Q", "ACT_EST_MAPPING=PRECISE", "FS=MRC", "CURRENCY=USD", "XLFILL=b")</f>
        <v>8.8829070951680436</v>
      </c>
      <c r="K76" s="9">
        <f>_xll.BQL("AMZN US Equity", "INVENT_TURN", "FPT=Q", "FPO=-6Q", "ACT_EST_MAPPING=PRECISE", "FS=MRC", "CURRENCY=USD", "XLFILL=b")</f>
        <v>8.9484680250038462</v>
      </c>
      <c r="L76" s="9">
        <f>_xll.BQL("AMZN US Equity", "INVENT_TURN", "FPT=Q", "FPO=-5Q", "ACT_EST_MAPPING=PRECISE", "FS=MRC", "CURRENCY=USD", "XLFILL=b")</f>
        <v>9.6632115145412545</v>
      </c>
      <c r="M76" s="9">
        <f>_xll.BQL("AMZN US Equity", "INVENT_TURN", "FPT=Q", "FPO=-4Q", "ACT_EST_MAPPING=PRECISE", "FS=MRC", "CURRENCY=USD", "XLFILL=b")</f>
        <v>9.8679619763919355</v>
      </c>
      <c r="N76" s="9">
        <f>_xll.BQL("AMZN US Equity", "INVENT_TURN", "FPT=Q", "FPO=-3Q", "ACT_EST_MAPPING=PRECISE", "FS=MRC", "CURRENCY=USD", "XLFILL=b")</f>
        <v>9.01206394960899</v>
      </c>
      <c r="O76" s="9">
        <f>_xll.BQL("AMZN US Equity", "INVENT_TURN", "FPT=Q", "FPO=-2Q", "ACT_EST_MAPPING=PRECISE", "FS=MRC", "CURRENCY=USD", "XLFILL=b")</f>
        <v>8.9010657628516565</v>
      </c>
      <c r="P76" s="9">
        <f>_xll.BQL("AMZN US Equity", "INVENT_TURN", "FPT=Q", "FPO=-1Q", "ACT_EST_MAPPING=PRECISE", "FS=MRC", "CURRENCY=USD", "XLFILL=b")</f>
        <v>9.8268241911247749</v>
      </c>
      <c r="Q76" s="9">
        <f>_xll.BQL("AMZN US Equity", "INVENT_TURN", "FPT=Q", "FPO=0Q", "ACT_EST_MAPPING=PRECISE", "FS=MRC", "CURRENCY=USD", "XLFILL=b")</f>
        <v>10.13566673112517</v>
      </c>
      <c r="R76" s="9">
        <f>_xll.BQL("AMZN US Equity", "INVENT_TURN", "FPT=Q", "FPO=1Q", "ACT_EST_MAPPING=PRECISE", "FS=MRC", "CURRENCY=USD", "XLFILL=b")</f>
        <v>2.2043009595906145</v>
      </c>
      <c r="S76" s="9">
        <f>_xll.BQL("AMZN US Equity", "INVENT_TURN", "FPT=Q", "FPO=2Q", "ACT_EST_MAPPING=PRECISE", "FS=MRC", "CURRENCY=USD", "XLFILL=b")</f>
        <v>2.0416911288532718</v>
      </c>
      <c r="T76" s="9">
        <f>_xll.BQL("AMZN US Equity", "INVENT_TURN", "FPT=Q", "FPO=3Q", "ACT_EST_MAPPING=PRECISE", "FS=MRC", "CURRENCY=USD", "XLFILL=b")</f>
        <v>2.6634324547224599</v>
      </c>
      <c r="U76" s="9">
        <f>_xll.BQL("AMZN US Equity", "INVENT_TURN", "FPT=Q", "FPO=4Q", "ACT_EST_MAPPING=PRECISE", "FS=MRC", "CURRENCY=USD", "XLFILL=b")</f>
        <v>2.0255149202067977</v>
      </c>
      <c r="V76" s="9">
        <f>_xll.BQL("AMZN US Equity", "INVENT_TURN", "FPT=Q", "FPO=5Q", "ACT_EST_MAPPING=PRECISE", "FS=MRC", "CURRENCY=USD", "XLFILL=b")</f>
        <v>2.1124836878597364</v>
      </c>
      <c r="W76" s="9">
        <f>_xll.BQL("AMZN US Equity", "INVENT_TURN", "FPT=Q", "FPO=6Q", "ACT_EST_MAPPING=PRECISE", "FS=MRC", "CURRENCY=USD", "XLFILL=b")</f>
        <v>2.1393508850595571</v>
      </c>
      <c r="X76" s="9">
        <f>_xll.BQL("AMZN US Equity", "INVENT_TURN", "FPT=Q", "FPO=7Q", "ACT_EST_MAPPING=PRECISE", "FS=MRC", "CURRENCY=USD", "XLFILL=b")</f>
        <v>2.6676335733467536</v>
      </c>
    </row>
    <row r="77" spans="1:24" x14ac:dyDescent="0.25">
      <c r="A77" s="8" t="s">
        <v>107</v>
      </c>
      <c r="B77" s="4" t="s">
        <v>108</v>
      </c>
      <c r="C77" s="4" t="s">
        <v>109</v>
      </c>
      <c r="D77" s="4"/>
      <c r="E77" s="9">
        <f>_xll.BQL("AMZN US Equity", "ACCOUNTS_PAYABLE_TURNOVER_DAYS", "FPT=Q", "FPO=-12Q", "ACT_EST_MAPPING=PRECISE", "FS=MRC", "CURRENCY=USD", "XLFILL=b")</f>
        <v>85.447087167220857</v>
      </c>
      <c r="F77" s="9">
        <f>_xll.BQL("AMZN US Equity", "ACCOUNTS_PAYABLE_TURNOVER_DAYS", "FPT=Q", "FPO=-11Q", "ACT_EST_MAPPING=PRECISE", "FS=MRC", "CURRENCY=USD", "XLFILL=b")</f>
        <v>88.086523090433815</v>
      </c>
      <c r="G77" s="9">
        <f>_xll.BQL("AMZN US Equity", "ACCOUNTS_PAYABLE_TURNOVER_DAYS", "FPT=Q", "FPO=-10Q", "ACT_EST_MAPPING=PRECISE", "FS=MRC", "CURRENCY=USD", "XLFILL=b")</f>
        <v>86.00209046310502</v>
      </c>
      <c r="H77" s="9">
        <f>_xll.BQL("AMZN US Equity", "ACCOUNTS_PAYABLE_TURNOVER_DAYS", "FPT=Q", "FPO=-9Q", "ACT_EST_MAPPING=PRECISE", "FS=MRC", "CURRENCY=USD", "XLFILL=b")</f>
        <v>98.915971243397053</v>
      </c>
      <c r="I77" s="9">
        <f>_xll.BQL("AMZN US Equity", "ACCOUNTS_PAYABLE_TURNOVER_DAYS", "FPT=Q", "FPO=-8Q", "ACT_EST_MAPPING=PRECISE", "FS=MRC", "CURRENCY=USD", "XLFILL=b")</f>
        <v>83.558168437946492</v>
      </c>
      <c r="J77" s="9">
        <f>_xll.BQL("AMZN US Equity", "ACCOUNTS_PAYABLE_TURNOVER_DAYS", "FPT=Q", "FPO=-7Q", "ACT_EST_MAPPING=PRECISE", "FS=MRC", "CURRENCY=USD", "XLFILL=b")</f>
        <v>88.880259377558062</v>
      </c>
      <c r="K77" s="9">
        <f>_xll.BQL("AMZN US Equity", "ACCOUNTS_PAYABLE_TURNOVER_DAYS", "FPT=Q", "FPO=-6Q", "ACT_EST_MAPPING=PRECISE", "FS=MRC", "CURRENCY=USD", "XLFILL=b")</f>
        <v>89.360638712594934</v>
      </c>
      <c r="L77" s="9">
        <f>_xll.BQL("AMZN US Equity", "ACCOUNTS_PAYABLE_TURNOVER_DAYS", "FPT=Q", "FPO=-5Q", "ACT_EST_MAPPING=PRECISE", "FS=MRC", "CURRENCY=USD", "XLFILL=b")</f>
        <v>100.31038192576655</v>
      </c>
      <c r="M77" s="9">
        <f>_xll.BQL("AMZN US Equity", "ACCOUNTS_PAYABLE_TURNOVER_DAYS", "FPT=Q", "FPO=-4Q", "ACT_EST_MAPPING=PRECISE", "FS=MRC", "CURRENCY=USD", "XLFILL=b")</f>
        <v>88.33030911172871</v>
      </c>
      <c r="N77" s="9">
        <f>_xll.BQL("AMZN US Equity", "ACCOUNTS_PAYABLE_TURNOVER_DAYS", "FPT=Q", "FPO=-3Q", "ACT_EST_MAPPING=PRECISE", "FS=MRC", "CURRENCY=USD", "XLFILL=b")</f>
        <v>95.445362704757372</v>
      </c>
      <c r="O77" s="9">
        <f>_xll.BQL("AMZN US Equity", "ACCOUNTS_PAYABLE_TURNOVER_DAYS", "FPT=Q", "FPO=-2Q", "ACT_EST_MAPPING=PRECISE", "FS=MRC", "CURRENCY=USD", "XLFILL=b")</f>
        <v>99.175925688332342</v>
      </c>
      <c r="P77" s="9">
        <f>_xll.BQL("AMZN US Equity", "ACCOUNTS_PAYABLE_TURNOVER_DAYS", "FPT=Q", "FPO=-1Q", "ACT_EST_MAPPING=PRECISE", "FS=MRC", "CURRENCY=USD", "XLFILL=b")</f>
        <v>109.4782331322377</v>
      </c>
      <c r="Q77" s="9">
        <f>_xll.BQL("AMZN US Equity", "ACCOUNTS_PAYABLE_TURNOVER_DAYS", "FPT=Q", "FPO=0Q", "ACT_EST_MAPPING=PRECISE", "FS=MRC", "CURRENCY=USD", "XLFILL=b")</f>
        <v>106.24661629998013</v>
      </c>
      <c r="R77" s="9">
        <f>_xll.BQL("AMZN US Equity", "ACCOUNTS_PAYABLE_TURNOVER_DAYS", "FPT=Q", "FPO=1Q", "ACT_EST_MAPPING=PRECISE", "FS=MRC", "CURRENCY=USD", "XLFILL=b")</f>
        <v>117.52573212017356</v>
      </c>
      <c r="S77" s="9">
        <f>_xll.BQL("AMZN US Equity", "ACCOUNTS_PAYABLE_TURNOVER_DAYS", "FPT=Q", "FPO=2Q", "ACT_EST_MAPPING=PRECISE", "FS=MRC", "CURRENCY=USD", "XLFILL=b")</f>
        <v>115.0221318621374</v>
      </c>
      <c r="T77" s="9">
        <f>_xll.BQL("AMZN US Equity", "ACCOUNTS_PAYABLE_TURNOVER_DAYS", "FPT=Q", "FPO=3Q", "ACT_EST_MAPPING=PRECISE", "FS=MRC", "CURRENCY=USD", "XLFILL=b")</f>
        <v>104.66811270462588</v>
      </c>
      <c r="U77" s="9">
        <f>_xll.BQL("AMZN US Equity", "ACCOUNTS_PAYABLE_TURNOVER_DAYS", "FPT=Q", "FPO=4Q", "ACT_EST_MAPPING=PRECISE", "FS=MRC", "CURRENCY=USD", "XLFILL=b")</f>
        <v>124.74737186765158</v>
      </c>
      <c r="V77" s="9">
        <f>_xll.BQL("AMZN US Equity", "ACCOUNTS_PAYABLE_TURNOVER_DAYS", "FPT=Q", "FPO=5Q", "ACT_EST_MAPPING=PRECISE", "FS=MRC", "CURRENCY=USD", "XLFILL=b")</f>
        <v>117.13135057758383</v>
      </c>
      <c r="W77" s="9">
        <f>_xll.BQL("AMZN US Equity", "ACCOUNTS_PAYABLE_TURNOVER_DAYS", "FPT=Q", "FPO=6Q", "ACT_EST_MAPPING=PRECISE", "FS=MRC", "CURRENCY=USD", "XLFILL=b")</f>
        <v>116.03333368768797</v>
      </c>
      <c r="X77" s="9">
        <f>_xll.BQL("AMZN US Equity", "ACCOUNTS_PAYABLE_TURNOVER_DAYS", "FPT=Q", "FPO=7Q", "ACT_EST_MAPPING=PRECISE", "FS=MRC", "CURRENCY=USD", "XLFILL=b")</f>
        <v>107.18237406353013</v>
      </c>
    </row>
    <row r="78" spans="1:24" x14ac:dyDescent="0.25">
      <c r="A78" s="8" t="s">
        <v>110</v>
      </c>
      <c r="B78" s="4" t="s">
        <v>111</v>
      </c>
      <c r="C78" s="4" t="s">
        <v>112</v>
      </c>
      <c r="D78" s="4"/>
      <c r="E78" s="9">
        <f>_xll.BQL("AMZN US Equity", "CUR_RATIO", "FPT=Q", "FPO=-12Q", "ACT_EST_MAPPING=PRECISE", "FS=MRC", "CURRENCY=USD", "XLFILL=b")</f>
        <v>0.92309412482211828</v>
      </c>
      <c r="F78" s="9">
        <f>_xll.BQL("AMZN US Equity", "CUR_RATIO", "FPT=Q", "FPO=-11Q", "ACT_EST_MAPPING=PRECISE", "FS=MRC", "CURRENCY=USD", "XLFILL=b")</f>
        <v>0.94767873284852733</v>
      </c>
      <c r="G78" s="9">
        <f>_xll.BQL("AMZN US Equity", "CUR_RATIO", "FPT=Q", "FPO=-10Q", "ACT_EST_MAPPING=PRECISE", "FS=MRC", "CURRENCY=USD", "XLFILL=b")</f>
        <v>0.98471910421860154</v>
      </c>
      <c r="H78" s="9">
        <f>_xll.BQL("AMZN US Equity", "CUR_RATIO", "FPT=Q", "FPO=-9Q", "ACT_EST_MAPPING=PRECISE", "FS=MRC", "CURRENCY=USD", "XLFILL=b")</f>
        <v>1.0450772206625152</v>
      </c>
      <c r="I78" s="9">
        <f>_xll.BQL("AMZN US Equity", "CUR_RATIO", "FPT=Q", "FPO=-8Q", "ACT_EST_MAPPING=PRECISE", "FS=MRC", "CURRENCY=USD", "XLFILL=b")</f>
        <v>1.0720687739025268</v>
      </c>
      <c r="J78" s="9">
        <f>_xll.BQL("AMZN US Equity", "CUR_RATIO", "FPT=Q", "FPO=-7Q", "ACT_EST_MAPPING=PRECISE", "FS=MRC", "CURRENCY=USD", "XLFILL=b")</f>
        <v>1.0956869736742281</v>
      </c>
      <c r="K78" s="9">
        <f>_xll.BQL("AMZN US Equity", "CUR_RATIO", "FPT=Q", "FPO=-6Q", "ACT_EST_MAPPING=PRECISE", "FS=MRC", "CURRENCY=USD", "XLFILL=b")</f>
        <v>1.0886503960316329</v>
      </c>
      <c r="L78" s="9">
        <f>_xll.BQL("AMZN US Equity", "CUR_RATIO", "FPT=Q", "FPO=-5Q", "ACT_EST_MAPPING=PRECISE", "FS=MRC", "CURRENCY=USD", "XLFILL=b")</f>
        <v>1.0637348061371781</v>
      </c>
      <c r="M78" s="9">
        <f>_xll.BQL("AMZN US Equity", "CUR_RATIO", "FPT=Q", "FPO=-4Q", "ACT_EST_MAPPING=PRECISE", "FS=MRC", "CURRENCY=USD", "XLFILL=b")</f>
        <v>1.0481009927854188</v>
      </c>
      <c r="N78" s="9">
        <f>_xll.BQL("AMZN US Equity", "CUR_RATIO", "FPT=Q", "FPO=-3Q", "ACT_EST_MAPPING=PRECISE", "FS=MRC", "CURRENCY=USD", "XLFILL=b")</f>
        <v>1.0240689917130767</v>
      </c>
      <c r="O78" s="9">
        <f>_xll.BQL("AMZN US Equity", "CUR_RATIO", "FPT=Q", "FPO=-2Q", "ACT_EST_MAPPING=PRECISE", "FS=MRC", "CURRENCY=USD", "XLFILL=b")</f>
        <v>1.0085555031865407</v>
      </c>
      <c r="P78" s="9">
        <f>_xll.BQL("AMZN US Equity", "CUR_RATIO", "FPT=Q", "FPO=-1Q", "ACT_EST_MAPPING=PRECISE", "FS=MRC", "CURRENCY=USD", "XLFILL=b")</f>
        <v>1.0508153482718285</v>
      </c>
      <c r="Q78" s="9">
        <f>_xll.BQL("AMZN US Equity", "CUR_RATIO", "FPT=Q", "FPO=0Q", "ACT_EST_MAPPING=PRECISE", "FS=MRC", "CURRENCY=USD", "XLFILL=b")</f>
        <v>1.1771531122552548</v>
      </c>
      <c r="R78" s="9">
        <f>_xll.BQL("AMZN US Equity", "CUR_RATIO", "FPT=Q", "FPO=1Q", "ACT_EST_MAPPING=PRECISE", "FS=MRC", "CURRENCY=USD", "XLFILL=b")</f>
        <v>1.2120196284963858</v>
      </c>
      <c r="S78" s="9">
        <f>_xll.BQL("AMZN US Equity", "CUR_RATIO", "FPT=Q", "FPO=2Q", "ACT_EST_MAPPING=PRECISE", "FS=MRC", "CURRENCY=USD", "XLFILL=b")</f>
        <v>1.1514889990340942</v>
      </c>
      <c r="T78" s="9">
        <f>_xll.BQL("AMZN US Equity", "CUR_RATIO", "FPT=Q", "FPO=3Q", "ACT_EST_MAPPING=PRECISE", "FS=MRC", "CURRENCY=USD", "XLFILL=b")</f>
        <v>1.0550809823127174</v>
      </c>
      <c r="U78" s="9">
        <f>_xll.BQL("AMZN US Equity", "CUR_RATIO", "FPT=Q", "FPO=4Q", "ACT_EST_MAPPING=PRECISE", "FS=MRC", "CURRENCY=USD", "XLFILL=b")</f>
        <v>0.95325509980534318</v>
      </c>
      <c r="V78" s="9">
        <f>_xll.BQL("AMZN US Equity", "CUR_RATIO", "FPT=Q", "FPO=5Q", "ACT_EST_MAPPING=PRECISE", "FS=MRC", "CURRENCY=USD", "XLFILL=b")</f>
        <v>1.0221266679643344</v>
      </c>
      <c r="W78" s="9">
        <f>_xll.BQL("AMZN US Equity", "CUR_RATIO", "FPT=Q", "FPO=6Q", "ACT_EST_MAPPING=PRECISE", "FS=MRC", "CURRENCY=USD", "XLFILL=b")</f>
        <v>0.97407595688050119</v>
      </c>
      <c r="X78" s="9">
        <f>_xll.BQL("AMZN US Equity", "CUR_RATIO", "FPT=Q", "FPO=7Q", "ACT_EST_MAPPING=PRECISE", "FS=MRC", "CURRENCY=USD", "XLFILL=b")</f>
        <v>0.88580026089058761</v>
      </c>
    </row>
    <row r="79" spans="1:24" x14ac:dyDescent="0.25">
      <c r="A79" s="8" t="s">
        <v>113</v>
      </c>
      <c r="B79" s="4" t="s">
        <v>114</v>
      </c>
      <c r="C79" s="4" t="s">
        <v>115</v>
      </c>
      <c r="D79" s="4"/>
      <c r="E79" s="9">
        <f>_xll.BQL("AMZN US Equity", "CUR_LIAB_TO_TOT_LIAB_AND_EQY", "FPT=Q", "FPO=-12Q", "ACT_EST_MAPPING=PRECISE", "FS=MRC", "CURRENCY=USD", "XLFILL=b")</f>
        <v>31.777991205440397</v>
      </c>
      <c r="F79" s="9">
        <f>_xll.BQL("AMZN US Equity", "CUR_LIAB_TO_TOT_LIAB_AND_EQY", "FPT=Q", "FPO=-11Q", "ACT_EST_MAPPING=PRECISE", "FS=MRC", "CURRENCY=USD", "XLFILL=b")</f>
        <v>31.037652295715933</v>
      </c>
      <c r="G79" s="9">
        <f>_xll.BQL("AMZN US Equity", "CUR_LIAB_TO_TOT_LIAB_AND_EQY", "FPT=Q", "FPO=-10Q", "ACT_EST_MAPPING=PRECISE", "FS=MRC", "CURRENCY=USD", "XLFILL=b")</f>
        <v>29.825235220781991</v>
      </c>
      <c r="H79" s="9">
        <f>_xll.BQL("AMZN US Equity", "CUR_LIAB_TO_TOT_LIAB_AND_EQY", "FPT=Q", "FPO=-9Q", "ACT_EST_MAPPING=PRECISE", "FS=MRC", "CURRENCY=USD", "XLFILL=b")</f>
        <v>31.242919443634037</v>
      </c>
      <c r="I79" s="9">
        <f>_xll.BQL("AMZN US Equity", "CUR_LIAB_TO_TOT_LIAB_AND_EQY", "FPT=Q", "FPO=-8Q", "ACT_EST_MAPPING=PRECISE", "FS=MRC", "CURRENCY=USD", "XLFILL=b")</f>
        <v>28.808649845847871</v>
      </c>
      <c r="J79" s="9">
        <f>_xll.BQL("AMZN US Equity", "CUR_LIAB_TO_TOT_LIAB_AND_EQY", "FPT=Q", "FPO=-7Q", "ACT_EST_MAPPING=PRECISE", "FS=MRC", "CURRENCY=USD", "XLFILL=b")</f>
        <v>28.508808293890969</v>
      </c>
      <c r="K79" s="9">
        <f>_xll.BQL("AMZN US Equity", "CUR_LIAB_TO_TOT_LIAB_AND_EQY", "FPT=Q", "FPO=-6Q", "ACT_EST_MAPPING=PRECISE", "FS=MRC", "CURRENCY=USD", "XLFILL=b")</f>
        <v>27.62056425817531</v>
      </c>
      <c r="L79" s="9">
        <f>_xll.BQL("AMZN US Equity", "CUR_LIAB_TO_TOT_LIAB_AND_EQY", "FPT=Q", "FPO=-5Q", "ACT_EST_MAPPING=PRECISE", "FS=MRC", "CURRENCY=USD", "XLFILL=b")</f>
        <v>28.713829865545197</v>
      </c>
      <c r="M79" s="9">
        <f>_xll.BQL("AMZN US Equity", "CUR_LIAB_TO_TOT_LIAB_AND_EQY", "FPT=Q", "FPO=-4Q", "ACT_EST_MAPPING=PRECISE", "FS=MRC", "CURRENCY=USD", "XLFILL=b")</f>
        <v>27.387385426641959</v>
      </c>
      <c r="N79" s="9">
        <f>_xll.BQL("AMZN US Equity", "CUR_LIAB_TO_TOT_LIAB_AND_EQY", "FPT=Q", "FPO=-3Q", "ACT_EST_MAPPING=PRECISE", "FS=MRC", "CURRENCY=USD", "XLFILL=b")</f>
        <v>27.400941114384974</v>
      </c>
      <c r="O79" s="9">
        <f>_xll.BQL("AMZN US Equity", "CUR_LIAB_TO_TOT_LIAB_AND_EQY", "FPT=Q", "FPO=-2Q", "ACT_EST_MAPPING=PRECISE", "FS=MRC", "CURRENCY=USD", "XLFILL=b")</f>
        <v>26.815547291533008</v>
      </c>
      <c r="P79" s="9">
        <f>_xll.BQL("AMZN US Equity", "CUR_LIAB_TO_TOT_LIAB_AND_EQY", "FPT=Q", "FPO=-1Q", "ACT_EST_MAPPING=PRECISE", "FS=MRC", "CURRENCY=USD", "XLFILL=b")</f>
        <v>26.64960967774271</v>
      </c>
      <c r="Q79" s="9">
        <f>_xll.BQL("AMZN US Equity", "CUR_LIAB_TO_TOT_LIAB_AND_EQY", "FPT=Q", "FPO=0Q", "ACT_EST_MAPPING=PRECISE", "FS=MRC", "CURRENCY=USD", "XLFILL=b")</f>
        <v>23.647054973108013</v>
      </c>
      <c r="R79" s="9">
        <f>_xll.BQL("AMZN US Equity", "CUR_LIAB_TO_TOT_LIAB_AND_EQY", "FPT=Q", "FPO=1Q", "ACT_EST_MAPPING=PRECISE", "FS=MRC", "CURRENCY=USD", "XLFILL=b")</f>
        <v>30.602837740631035</v>
      </c>
      <c r="S79" s="9">
        <f>_xll.BQL("AMZN US Equity", "CUR_LIAB_TO_TOT_LIAB_AND_EQY", "FPT=Q", "FPO=2Q", "ACT_EST_MAPPING=PRECISE", "FS=MRC", "CURRENCY=USD", "XLFILL=b")</f>
        <v>30.703694212978839</v>
      </c>
      <c r="T79" s="9">
        <f>_xll.BQL("AMZN US Equity", "CUR_LIAB_TO_TOT_LIAB_AND_EQY", "FPT=Q", "FPO=3Q", "ACT_EST_MAPPING=PRECISE", "FS=MRC", "CURRENCY=USD", "XLFILL=b")</f>
        <v>31.187021320381213</v>
      </c>
      <c r="U79" s="9">
        <f>_xll.BQL("AMZN US Equity", "CUR_LIAB_TO_TOT_LIAB_AND_EQY", "FPT=Q", "FPO=4Q", "ACT_EST_MAPPING=PRECISE", "FS=MRC", "CURRENCY=USD", "XLFILL=b")</f>
        <v>29.517050087211388</v>
      </c>
      <c r="V79" s="9">
        <f>_xll.BQL("AMZN US Equity", "CUR_LIAB_TO_TOT_LIAB_AND_EQY", "FPT=Q", "FPO=5Q", "ACT_EST_MAPPING=PRECISE", "FS=MRC", "CURRENCY=USD", "XLFILL=b")</f>
        <v>29.403783654174713</v>
      </c>
      <c r="W79" s="9">
        <f>_xll.BQL("AMZN US Equity", "CUR_LIAB_TO_TOT_LIAB_AND_EQY", "FPT=Q", "FPO=6Q", "ACT_EST_MAPPING=PRECISE", "FS=MRC", "CURRENCY=USD", "XLFILL=b")</f>
        <v>29.604925617305124</v>
      </c>
      <c r="X79" s="9">
        <f>_xll.BQL("AMZN US Equity", "CUR_LIAB_TO_TOT_LIAB_AND_EQY", "FPT=Q", "FPO=7Q", "ACT_EST_MAPPING=PRECISE", "FS=MRC", "CURRENCY=USD", "XLFILL=b")</f>
        <v>30.066028427174956</v>
      </c>
    </row>
    <row r="80" spans="1:24" x14ac:dyDescent="0.25">
      <c r="A80" s="8" t="s">
        <v>14</v>
      </c>
      <c r="B80" s="4"/>
      <c r="C80" s="4"/>
      <c r="D80" s="4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</row>
    <row r="81" spans="1:24" x14ac:dyDescent="0.25">
      <c r="A81" s="8" t="s">
        <v>116</v>
      </c>
      <c r="B81" s="4"/>
      <c r="C81" s="4"/>
      <c r="D81" s="4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</row>
    <row r="82" spans="1:24" x14ac:dyDescent="0.25">
      <c r="A82" s="8" t="s">
        <v>117</v>
      </c>
      <c r="B82" s="4"/>
      <c r="C82" s="4"/>
      <c r="D82" s="4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</row>
    <row r="83" spans="1:24" x14ac:dyDescent="0.25">
      <c r="A83" s="8" t="s">
        <v>118</v>
      </c>
      <c r="B83" s="4"/>
      <c r="C83" s="4"/>
      <c r="D83" s="4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</row>
    <row r="84" spans="1:24" x14ac:dyDescent="0.25">
      <c r="A84" s="8" t="s">
        <v>119</v>
      </c>
      <c r="B84" s="4" t="s">
        <v>21</v>
      </c>
      <c r="C84" s="4" t="s">
        <v>22</v>
      </c>
      <c r="D84" s="4" t="s">
        <v>23</v>
      </c>
      <c r="E84" s="9">
        <f>_xll.BQL("SEG0000227382 Segment", "SALES_REV_TURN/1M", "FPT=Q", "FPO=-12Q", "ACT_EST_MAPPING=PRECISE", "FS=MRC", "CURRENCY=USD", "XLFILL=b")</f>
        <v>51096</v>
      </c>
      <c r="F84" s="9">
        <f>_xll.BQL("SEG0000227382 Segment", "SALES_REV_TURN/1M", "FPT=Q", "FPO=-11Q", "ACT_EST_MAPPING=PRECISE", "FS=MRC", "CURRENCY=USD", "XLFILL=b")</f>
        <v>52966</v>
      </c>
      <c r="G84" s="9">
        <f>_xll.BQL("SEG0000227382 Segment", "SALES_REV_TURN/1M", "FPT=Q", "FPO=-10Q", "ACT_EST_MAPPING=PRECISE", "FS=MRC", "CURRENCY=USD", "XLFILL=b")</f>
        <v>57267</v>
      </c>
      <c r="H84" s="9">
        <f>_xll.BQL("SEG0000227382 Segment", "SALES_REV_TURN/1M", "FPT=Q", "FPO=-9Q", "ACT_EST_MAPPING=PRECISE", "FS=MRC", "CURRENCY=USD", "XLFILL=b")</f>
        <v>70543</v>
      </c>
      <c r="I84" s="9">
        <f>_xll.BQL("SEG0000227382 Segment", "SALES_REV_TURN/1M", "FPT=Q", "FPO=-8Q", "ACT_EST_MAPPING=PRECISE", "FS=MRC", "CURRENCY=USD", "XLFILL=b")</f>
        <v>54670</v>
      </c>
      <c r="J84" s="9">
        <f>_xll.BQL("SEG0000227382 Segment", "SALES_REV_TURN/1M", "FPT=Q", "FPO=-7Q", "ACT_EST_MAPPING=PRECISE", "FS=MRC", "CURRENCY=USD", "XLFILL=b")</f>
        <v>55392</v>
      </c>
      <c r="K84" s="9">
        <f>_xll.BQL("SEG0000227382 Segment", "SALES_REV_TURN/1M", "FPT=Q", "FPO=-6Q", "ACT_EST_MAPPING=PRECISE", "FS=MRC", "CURRENCY=USD", "XLFILL=b")</f>
        <v>61411</v>
      </c>
      <c r="L84" s="9">
        <f>_xll.BQL("SEG0000227382 Segment", "SALES_REV_TURN/1M", "FPT=Q", "FPO=-5Q", "ACT_EST_MAPPING=PRECISE", "FS=MRC", "CURRENCY=USD", "XLFILL=b")</f>
        <v>75556</v>
      </c>
      <c r="M84" s="9">
        <f>_xll.BQL("SEG0000227382 Segment", "SALES_REV_TURN/1M", "FPT=Q", "FPO=-4Q", "ACT_EST_MAPPING=PRECISE", "FS=MRC", "CURRENCY=USD", "XLFILL=b")</f>
        <v>57407</v>
      </c>
      <c r="N84" s="9">
        <f>_xll.BQL("SEG0000227382 Segment", "SALES_REV_TURN/1M", "FPT=Q", "FPO=-3Q", "ACT_EST_MAPPING=PRECISE", "FS=MRC", "CURRENCY=USD", "XLFILL=b")</f>
        <v>61485</v>
      </c>
      <c r="O84" s="9">
        <f>_xll.BQL("SEG0000227382 Segment", "SALES_REV_TURN/1M", "FPT=Q", "FPO=-2Q", "ACT_EST_MAPPING=PRECISE", "FS=MRC", "CURRENCY=USD", "XLFILL=b")</f>
        <v>67407</v>
      </c>
      <c r="P84" s="9">
        <f>_xll.BQL("SEG0000227382 Segment", "SALES_REV_TURN/1M", "FPT=Q", "FPO=-1Q", "ACT_EST_MAPPING=PRECISE", "FS=MRC", "CURRENCY=USD", "XLFILL=b")</f>
        <v>82988</v>
      </c>
      <c r="Q84" s="9">
        <f>_xll.BQL("SEG0000227382 Segment", "SALES_REV_TURN/1M", "FPT=Q", "FPO=0Q", "ACT_EST_MAPPING=PRECISE", "FS=MRC", "CURRENCY=USD", "XLFILL=b")</f>
        <v>64254</v>
      </c>
      <c r="R84" s="9">
        <f>_xll.BQL("SEG0000227382 Segment", "SALES_REV_TURN/1M", "FPT=Q", "FPO=1Q", "ACT_EST_MAPPING=PRECISE", "FS=MRC", "CURRENCY=USD", "XLFILL=b")</f>
        <v>69800.032735679502</v>
      </c>
      <c r="S84" s="9">
        <f>_xll.BQL("SEG0000227382 Segment", "SALES_REV_TURN/1M", "FPT=Q", "FPO=2Q", "ACT_EST_MAPPING=PRECISE", "FS=MRC", "CURRENCY=USD", "XLFILL=b")</f>
        <v>71486.748608054651</v>
      </c>
      <c r="T84" s="9">
        <f>_xll.BQL("SEG0000227382 Segment", "SALES_REV_TURN/1M", "FPT=Q", "FPO=3Q", "ACT_EST_MAPPING=PRECISE", "FS=MRC", "CURRENCY=USD", "XLFILL=b")</f>
        <v>89475.616526094091</v>
      </c>
      <c r="U84" s="9">
        <f>_xll.BQL("SEG0000227382 Segment", "SALES_REV_TURN/1M", "FPT=Q", "FPO=4Q", "ACT_EST_MAPPING=PRECISE", "FS=MRC", "CURRENCY=USD", "XLFILL=b")</f>
        <v>68684.158159880753</v>
      </c>
      <c r="V84" s="9">
        <f>_xll.BQL("SEG0000227382 Segment", "SALES_REV_TURN/1M", "FPT=Q", "FPO=5Q", "ACT_EST_MAPPING=PRECISE", "FS=MRC", "CURRENCY=USD", "XLFILL=b")</f>
        <v>75174.411414149668</v>
      </c>
      <c r="W84" s="9">
        <f>_xll.BQL("SEG0000227382 Segment", "SALES_REV_TURN/1M", "FPT=Q", "FPO=6Q", "ACT_EST_MAPPING=PRECISE", "FS=MRC", "CURRENCY=USD", "XLFILL=b")</f>
        <v>77216.644332014184</v>
      </c>
      <c r="X84" s="9">
        <f>_xll.BQL("SEG0000227382 Segment", "SALES_REV_TURN/1M", "FPT=Q", "FPO=7Q", "ACT_EST_MAPPING=PRECISE", "FS=MRC", "CURRENCY=USD", "XLFILL=b")</f>
        <v>96808.238529638606</v>
      </c>
    </row>
    <row r="85" spans="1:24" x14ac:dyDescent="0.25">
      <c r="A85" s="8" t="s">
        <v>120</v>
      </c>
      <c r="B85" s="4" t="s">
        <v>121</v>
      </c>
      <c r="C85" s="4" t="s">
        <v>122</v>
      </c>
      <c r="D85" s="4" t="s">
        <v>23</v>
      </c>
      <c r="E85" s="9" t="str">
        <f>_xll.BQL("SEG0000227382 Segment", "IS_PERCENTAGE_OF_REVENUE", "FPT=Q", "FPO=-12Q", "ACT_EST_MAPPING=PRECISE", "FS=MRC", "CURRENCY=USD", "XLFILL=b")</f>
        <v/>
      </c>
      <c r="F85" s="9" t="str">
        <f>_xll.BQL("SEG0000227382 Segment", "IS_PERCENTAGE_OF_REVENUE", "FPT=Q", "FPO=-11Q", "ACT_EST_MAPPING=PRECISE", "FS=MRC", "CURRENCY=USD", "XLFILL=b")</f>
        <v/>
      </c>
      <c r="G85" s="9" t="str">
        <f>_xll.BQL("SEG0000227382 Segment", "IS_PERCENTAGE_OF_REVENUE", "FPT=Q", "FPO=-10Q", "ACT_EST_MAPPING=PRECISE", "FS=MRC", "CURRENCY=USD", "XLFILL=b")</f>
        <v/>
      </c>
      <c r="H85" s="9" t="str">
        <f>_xll.BQL("SEG0000227382 Segment", "IS_PERCENTAGE_OF_REVENUE", "FPT=Q", "FPO=-9Q", "ACT_EST_MAPPING=PRECISE", "FS=MRC", "CURRENCY=USD", "XLFILL=b")</f>
        <v/>
      </c>
      <c r="I85" s="9" t="str">
        <f>_xll.BQL("SEG0000227382 Segment", "IS_PERCENTAGE_OF_REVENUE", "FPT=Q", "FPO=-8Q", "ACT_EST_MAPPING=PRECISE", "FS=MRC", "CURRENCY=USD", "XLFILL=b")</f>
        <v/>
      </c>
      <c r="J85" s="9" t="str">
        <f>_xll.BQL("SEG0000227382 Segment", "IS_PERCENTAGE_OF_REVENUE", "FPT=Q", "FPO=-7Q", "ACT_EST_MAPPING=PRECISE", "FS=MRC", "CURRENCY=USD", "XLFILL=b")</f>
        <v/>
      </c>
      <c r="K85" s="9" t="str">
        <f>_xll.BQL("SEG0000227382 Segment", "IS_PERCENTAGE_OF_REVENUE", "FPT=Q", "FPO=-6Q", "ACT_EST_MAPPING=PRECISE", "FS=MRC", "CURRENCY=USD", "XLFILL=b")</f>
        <v/>
      </c>
      <c r="L85" s="9" t="str">
        <f>_xll.BQL("SEG0000227382 Segment", "IS_PERCENTAGE_OF_REVENUE", "FPT=Q", "FPO=-5Q", "ACT_EST_MAPPING=PRECISE", "FS=MRC", "CURRENCY=USD", "XLFILL=b")</f>
        <v/>
      </c>
      <c r="M85" s="9" t="str">
        <f>_xll.BQL("SEG0000227382 Segment", "IS_PERCENTAGE_OF_REVENUE", "FPT=Q", "FPO=-4Q", "ACT_EST_MAPPING=PRECISE", "FS=MRC", "CURRENCY=USD", "XLFILL=b")</f>
        <v/>
      </c>
      <c r="N85" s="9" t="str">
        <f>_xll.BQL("SEG0000227382 Segment", "IS_PERCENTAGE_OF_REVENUE", "FPT=Q", "FPO=-3Q", "ACT_EST_MAPPING=PRECISE", "FS=MRC", "CURRENCY=USD", "XLFILL=b")</f>
        <v/>
      </c>
      <c r="O85" s="9" t="str">
        <f>_xll.BQL("SEG0000227382 Segment", "IS_PERCENTAGE_OF_REVENUE", "FPT=Q", "FPO=-2Q", "ACT_EST_MAPPING=PRECISE", "FS=MRC", "CURRENCY=USD", "XLFILL=b")</f>
        <v/>
      </c>
      <c r="P85" s="9" t="str">
        <f>_xll.BQL("SEG0000227382 Segment", "IS_PERCENTAGE_OF_REVENUE", "FPT=Q", "FPO=-1Q", "ACT_EST_MAPPING=PRECISE", "FS=MRC", "CURRENCY=USD", "XLFILL=b")</f>
        <v/>
      </c>
      <c r="Q85" s="9" t="str">
        <f>_xll.BQL("SEG0000227382 Segment", "IS_PERCENTAGE_OF_REVENUE", "FPT=Q", "FPO=0Q", "ACT_EST_MAPPING=PRECISE", "FS=MRC", "CURRENCY=USD", "XLFILL=b")</f>
        <v/>
      </c>
      <c r="R85" s="9">
        <f>_xll.BQL("SEG0000227382 Segment", "IS_PERCENTAGE_OF_REVENUE", "FPT=Q", "FPO=1Q", "ACT_EST_MAPPING=PRECISE", "FS=MRC", "CURRENCY=USD", "XLFILL=b")</f>
        <v>36.314154321858027</v>
      </c>
      <c r="S85" s="9">
        <f>_xll.BQL("SEG0000227382 Segment", "IS_PERCENTAGE_OF_REVENUE", "FPT=Q", "FPO=2Q", "ACT_EST_MAPPING=PRECISE", "FS=MRC", "CURRENCY=USD", "XLFILL=b")</f>
        <v>35.89353451625631</v>
      </c>
      <c r="T85" s="9">
        <f>_xll.BQL("SEG0000227382 Segment", "IS_PERCENTAGE_OF_REVENUE", "FPT=Q", "FPO=3Q", "ACT_EST_MAPPING=PRECISE", "FS=MRC", "CURRENCY=USD", "XLFILL=b")</f>
        <v>37.238239465518063</v>
      </c>
      <c r="U85" s="9">
        <f>_xll.BQL("SEG0000227382 Segment", "IS_PERCENTAGE_OF_REVENUE", "FPT=Q", "FPO=4Q", "ACT_EST_MAPPING=PRECISE", "FS=MRC", "CURRENCY=USD", "XLFILL=b")</f>
        <v>35.210350946199313</v>
      </c>
      <c r="V85" s="9">
        <f>_xll.BQL("SEG0000227382 Segment", "IS_PERCENTAGE_OF_REVENUE", "FPT=Q", "FPO=5Q", "ACT_EST_MAPPING=PRECISE", "FS=MRC", "CURRENCY=USD", "XLFILL=b")</f>
        <v>34.861027052856556</v>
      </c>
      <c r="W85" s="9">
        <f>_xll.BQL("SEG0000227382 Segment", "IS_PERCENTAGE_OF_REVENUE", "FPT=Q", "FPO=6Q", "ACT_EST_MAPPING=PRECISE", "FS=MRC", "CURRENCY=USD", "XLFILL=b")</f>
        <v>34.712860868064851</v>
      </c>
      <c r="X85" s="9">
        <f>_xll.BQL("SEG0000227382 Segment", "IS_PERCENTAGE_OF_REVENUE", "FPT=Q", "FPO=7Q", "ACT_EST_MAPPING=PRECISE", "FS=MRC", "CURRENCY=USD", "XLFILL=b")</f>
        <v>36.13712997822762</v>
      </c>
    </row>
    <row r="86" spans="1:24" x14ac:dyDescent="0.25">
      <c r="A86" s="8" t="s">
        <v>123</v>
      </c>
      <c r="B86" s="4" t="s">
        <v>27</v>
      </c>
      <c r="C86" s="4" t="s">
        <v>28</v>
      </c>
      <c r="D86" s="4" t="s">
        <v>23</v>
      </c>
      <c r="E86" s="9">
        <f>_xll.BQL("SEG0000227382 Segment", "REVENUE_GROWTH_CC_1_YR", "FPT=Q", "FPO=-12Q", "ACT_EST_MAPPING=PRECISE", "FS=MRC", "CURRENCY=USD", "XLFILL=b")</f>
        <v>3</v>
      </c>
      <c r="F86" s="9">
        <f>_xll.BQL("SEG0000227382 Segment", "REVENUE_GROWTH_CC_1_YR", "FPT=Q", "FPO=-11Q", "ACT_EST_MAPPING=PRECISE", "FS=MRC", "CURRENCY=USD", "XLFILL=b")</f>
        <v>5</v>
      </c>
      <c r="G86" s="9">
        <f>_xll.BQL("SEG0000227382 Segment", "REVENUE_GROWTH_CC_1_YR", "FPT=Q", "FPO=-10Q", "ACT_EST_MAPPING=PRECISE", "FS=MRC", "CURRENCY=USD", "XLFILL=b")</f>
        <v>6</v>
      </c>
      <c r="H86" s="9">
        <f>_xll.BQL("SEG0000227382 Segment", "REVENUE_GROWTH_CC_1_YR", "FPT=Q", "FPO=-9Q", "ACT_EST_MAPPING=PRECISE", "FS=MRC", "CURRENCY=USD", "XLFILL=b")</f>
        <v>8</v>
      </c>
      <c r="I86" s="9">
        <f>_xll.BQL("SEG0000227382 Segment", "REVENUE_GROWTH_CC_1_YR", "FPT=Q", "FPO=-8Q", "ACT_EST_MAPPING=PRECISE", "FS=MRC", "CURRENCY=USD", "XLFILL=b")</f>
        <v>7</v>
      </c>
      <c r="J86" s="9">
        <f>_xll.BQL("SEG0000227382 Segment", "REVENUE_GROWTH_CC_1_YR", "FPT=Q", "FPO=-7Q", "ACT_EST_MAPPING=PRECISE", "FS=MRC", "CURRENCY=USD", "XLFILL=b")</f>
        <v>6</v>
      </c>
      <c r="K86" s="9">
        <f>_xll.BQL("SEG0000227382 Segment", "REVENUE_GROWTH_CC_1_YR", "FPT=Q", "FPO=-6Q", "ACT_EST_MAPPING=PRECISE", "FS=MRC", "CURRENCY=USD", "XLFILL=b")</f>
        <v>8</v>
      </c>
      <c r="L86" s="9">
        <f>_xll.BQL("SEG0000227382 Segment", "REVENUE_GROWTH_CC_1_YR", "FPT=Q", "FPO=-5Q", "ACT_EST_MAPPING=PRECISE", "FS=MRC", "CURRENCY=USD", "XLFILL=b")</f>
        <v>8</v>
      </c>
      <c r="M86" s="9">
        <f>_xll.BQL("SEG0000227382 Segment", "REVENUE_GROWTH_CC_1_YR", "FPT=Q", "FPO=-4Q", "ACT_EST_MAPPING=PRECISE", "FS=MRC", "CURRENCY=USD", "XLFILL=b")</f>
        <v>6</v>
      </c>
      <c r="N86" s="9">
        <f>_xll.BQL("SEG0000227382 Segment", "REVENUE_GROWTH_CC_1_YR", "FPT=Q", "FPO=-3Q", "ACT_EST_MAPPING=PRECISE", "FS=MRC", "CURRENCY=USD", "XLFILL=b")</f>
        <v>10</v>
      </c>
      <c r="O86" s="9">
        <f>_xll.BQL("SEG0000227382 Segment", "REVENUE_GROWTH_CC_1_YR", "FPT=Q", "FPO=-2Q", "ACT_EST_MAPPING=PRECISE", "FS=MRC", "CURRENCY=USD", "XLFILL=b")</f>
        <v>8</v>
      </c>
      <c r="P86" s="9">
        <f>_xll.BQL("SEG0000227382 Segment", "REVENUE_GROWTH_CC_1_YR", "FPT=Q", "FPO=-1Q", "ACT_EST_MAPPING=PRECISE", "FS=MRC", "CURRENCY=USD", "XLFILL=b")</f>
        <v>8</v>
      </c>
      <c r="Q86" s="9">
        <f>_xll.BQL("SEG0000227382 Segment", "REVENUE_GROWTH_CC_1_YR", "FPT=Q", "FPO=0Q", "ACT_EST_MAPPING=PRECISE", "FS=MRC", "CURRENCY=USD", "XLFILL=b")</f>
        <v>9</v>
      </c>
      <c r="R86" s="9">
        <f>_xll.BQL("SEG0000227382 Segment", "REVENUE_GROWTH_CC_1_YR", "FPT=Q", "FPO=1Q", "ACT_EST_MAPPING=PRECISE", "FS=MRC", "CURRENCY=USD", "XLFILL=b")</f>
        <v>13.565152869472961</v>
      </c>
      <c r="S86" s="9">
        <f>_xll.BQL("SEG0000227382 Segment", "REVENUE_GROWTH_CC_1_YR", "FPT=Q", "FPO=2Q", "ACT_EST_MAPPING=PRECISE", "FS=MRC", "CURRENCY=USD", "XLFILL=b")</f>
        <v>6.9078846849792059</v>
      </c>
      <c r="T86" s="9">
        <f>_xll.BQL("SEG0000227382 Segment", "REVENUE_GROWTH_CC_1_YR", "FPT=Q", "FPO=3Q", "ACT_EST_MAPPING=PRECISE", "FS=MRC", "CURRENCY=USD", "XLFILL=b")</f>
        <v>8.8668338011586751</v>
      </c>
      <c r="U86" s="9">
        <f>_xll.BQL("SEG0000227382 Segment", "REVENUE_GROWTH_CC_1_YR", "FPT=Q", "FPO=4Q", "ACT_EST_MAPPING=PRECISE", "FS=MRC", "CURRENCY=USD", "XLFILL=b")</f>
        <v>8.0426380077849053</v>
      </c>
      <c r="V86" s="9">
        <f>_xll.BQL("SEG0000227382 Segment", "REVENUE_GROWTH_CC_1_YR", "FPT=Q", "FPO=5Q", "ACT_EST_MAPPING=PRECISE", "FS=MRC", "CURRENCY=USD", "XLFILL=b")</f>
        <v>7.767703190158417</v>
      </c>
      <c r="W86" s="9">
        <f>_xll.BQL("SEG0000227382 Segment", "REVENUE_GROWTH_CC_1_YR", "FPT=Q", "FPO=6Q", "ACT_EST_MAPPING=PRECISE", "FS=MRC", "CURRENCY=USD", "XLFILL=b")</f>
        <v>8.6411791061535066</v>
      </c>
      <c r="X86" s="9">
        <f>_xll.BQL("SEG0000227382 Segment", "REVENUE_GROWTH_CC_1_YR", "FPT=Q", "FPO=7Q", "ACT_EST_MAPPING=PRECISE", "FS=MRC", "CURRENCY=USD", "XLFILL=b")</f>
        <v>7.8840541965887052</v>
      </c>
    </row>
    <row r="87" spans="1:24" x14ac:dyDescent="0.25">
      <c r="A87" s="8" t="s">
        <v>124</v>
      </c>
      <c r="B87" s="4" t="s">
        <v>21</v>
      </c>
      <c r="C87" s="4" t="s">
        <v>22</v>
      </c>
      <c r="D87" s="4" t="s">
        <v>25</v>
      </c>
      <c r="E87" s="9">
        <f>_xll.BQL("SEG0000227467 Segment", "SALES_REV_TURN/1M", "FPT=Q", "FPO=-12Q", "ACT_EST_MAPPING=PRECISE", "FS=MRC", "CURRENCY=USD", "XLFILL=b")</f>
        <v>4895</v>
      </c>
      <c r="F87" s="9">
        <f>_xll.BQL("SEG0000227467 Segment", "SALES_REV_TURN/1M", "FPT=Q", "FPO=-11Q", "ACT_EST_MAPPING=PRECISE", "FS=MRC", "CURRENCY=USD", "XLFILL=b")</f>
        <v>5024</v>
      </c>
      <c r="G87" s="9">
        <f>_xll.BQL("SEG0000227467 Segment", "SALES_REV_TURN/1M", "FPT=Q", "FPO=-10Q", "ACT_EST_MAPPING=PRECISE", "FS=MRC", "CURRENCY=USD", "XLFILL=b")</f>
        <v>4959</v>
      </c>
      <c r="H87" s="9">
        <f>_xll.BQL("SEG0000227467 Segment", "SALES_REV_TURN/1M", "FPT=Q", "FPO=-9Q", "ACT_EST_MAPPING=PRECISE", "FS=MRC", "CURRENCY=USD", "XLFILL=b")</f>
        <v>5152</v>
      </c>
      <c r="I87" s="9">
        <f>_xll.BQL("SEG0000227467 Segment", "SALES_REV_TURN/1M", "FPT=Q", "FPO=-8Q", "ACT_EST_MAPPING=PRECISE", "FS=MRC", "CURRENCY=USD", "XLFILL=b")</f>
        <v>5202</v>
      </c>
      <c r="J87" s="9">
        <f>_xll.BQL("SEG0000227467 Segment", "SALES_REV_TURN/1M", "FPT=Q", "FPO=-7Q", "ACT_EST_MAPPING=PRECISE", "FS=MRC", "CURRENCY=USD", "XLFILL=b")</f>
        <v>5206</v>
      </c>
      <c r="K87" s="9">
        <f>_xll.BQL("SEG0000227467 Segment", "SALES_REV_TURN/1M", "FPT=Q", "FPO=-6Q", "ACT_EST_MAPPING=PRECISE", "FS=MRC", "CURRENCY=USD", "XLFILL=b")</f>
        <v>5228</v>
      </c>
      <c r="L87" s="9">
        <f>_xll.BQL("SEG0000227467 Segment", "SALES_REV_TURN/1M", "FPT=Q", "FPO=-5Q", "ACT_EST_MAPPING=PRECISE", "FS=MRC", "CURRENCY=USD", "XLFILL=b")</f>
        <v>5579</v>
      </c>
      <c r="M87" s="9">
        <f>_xll.BQL("SEG0000227467 Segment", "SALES_REV_TURN/1M", "FPT=Q", "FPO=-4Q", "ACT_EST_MAPPING=PRECISE", "FS=MRC", "CURRENCY=USD", "XLFILL=b")</f>
        <v>5533</v>
      </c>
      <c r="N87" s="9">
        <f>_xll.BQL("SEG0000227467 Segment", "SALES_REV_TURN/1M", "FPT=Q", "FPO=-3Q", "ACT_EST_MAPPING=PRECISE", "FS=MRC", "CURRENCY=USD", "XLFILL=b")</f>
        <v>5595</v>
      </c>
      <c r="O87" s="9">
        <f>_xll.BQL("SEG0000227467 Segment", "SALES_REV_TURN/1M", "FPT=Q", "FPO=-2Q", "ACT_EST_MAPPING=PRECISE", "FS=MRC", "CURRENCY=USD", "XLFILL=b")</f>
        <v>5578</v>
      </c>
      <c r="P87" s="9">
        <f>_xll.BQL("SEG0000227467 Segment", "SALES_REV_TURN/1M", "FPT=Q", "FPO=-1Q", "ACT_EST_MAPPING=PRECISE", "FS=MRC", "CURRENCY=USD", "XLFILL=b")</f>
        <v>5855</v>
      </c>
      <c r="Q87" s="9">
        <f>_xll.BQL("SEG0000227467 Segment", "SALES_REV_TURN/1M", "FPT=Q", "FPO=0Q", "ACT_EST_MAPPING=PRECISE", "FS=MRC", "CURRENCY=USD", "XLFILL=b")</f>
        <v>5785</v>
      </c>
      <c r="R87" s="9">
        <f>_xll.BQL("SEG0000227467 Segment", "SALES_REV_TURN/1M", "FPT=Q", "FPO=1Q", "ACT_EST_MAPPING=PRECISE", "FS=MRC", "CURRENCY=USD", "XLFILL=b")</f>
        <v>5868.4102571716912</v>
      </c>
      <c r="S87" s="9">
        <f>_xll.BQL("SEG0000227467 Segment", "SALES_REV_TURN/1M", "FPT=Q", "FPO=2Q", "ACT_EST_MAPPING=PRECISE", "FS=MRC", "CURRENCY=USD", "XLFILL=b")</f>
        <v>5850.4267001026565</v>
      </c>
      <c r="T87" s="9">
        <f>_xll.BQL("SEG0000227467 Segment", "SALES_REV_TURN/1M", "FPT=Q", "FPO=3Q", "ACT_EST_MAPPING=PRECISE", "FS=MRC", "CURRENCY=USD", "XLFILL=b")</f>
        <v>6177.2641341691215</v>
      </c>
      <c r="U87" s="9">
        <f>_xll.BQL("SEG0000227467 Segment", "SALES_REV_TURN/1M", "FPT=Q", "FPO=4Q", "ACT_EST_MAPPING=PRECISE", "FS=MRC", "CURRENCY=USD", "XLFILL=b")</f>
        <v>6058.5696149177793</v>
      </c>
      <c r="V87" s="9">
        <f>_xll.BQL("SEG0000227467 Segment", "SALES_REV_TURN/1M", "FPT=Q", "FPO=5Q", "ACT_EST_MAPPING=PRECISE", "FS=MRC", "CURRENCY=USD", "XLFILL=b")</f>
        <v>6135.6032417578008</v>
      </c>
      <c r="W87" s="9">
        <f>_xll.BQL("SEG0000227467 Segment", "SALES_REV_TURN/1M", "FPT=Q", "FPO=6Q", "ACT_EST_MAPPING=PRECISE", "FS=MRC", "CURRENCY=USD", "XLFILL=b")</f>
        <v>6102.7681808945335</v>
      </c>
      <c r="X87" s="9">
        <f>_xll.BQL("SEG0000227467 Segment", "SALES_REV_TURN/1M", "FPT=Q", "FPO=7Q", "ACT_EST_MAPPING=PRECISE", "FS=MRC", "CURRENCY=USD", "XLFILL=b")</f>
        <v>6421.06062305048</v>
      </c>
    </row>
    <row r="88" spans="1:24" x14ac:dyDescent="0.25">
      <c r="A88" s="8" t="s">
        <v>123</v>
      </c>
      <c r="B88" s="4" t="s">
        <v>27</v>
      </c>
      <c r="C88" s="4" t="s">
        <v>28</v>
      </c>
      <c r="D88" s="4" t="s">
        <v>25</v>
      </c>
      <c r="E88" s="9">
        <f>_xll.BQL("SEG0000227467 Segment", "REVENUE_GROWTH_CC_1_YR", "FPT=Q", "FPO=-12Q", "ACT_EST_MAPPING=PRECISE", "FS=MRC", "CURRENCY=USD", "XLFILL=b")</f>
        <v>7</v>
      </c>
      <c r="F88" s="9">
        <f>_xll.BQL("SEG0000227467 Segment", "REVENUE_GROWTH_CC_1_YR", "FPT=Q", "FPO=-11Q", "ACT_EST_MAPPING=PRECISE", "FS=MRC", "CURRENCY=USD", "XLFILL=b")</f>
        <v>7</v>
      </c>
      <c r="G88" s="9">
        <f>_xll.BQL("SEG0000227467 Segment", "REVENUE_GROWTH_CC_1_YR", "FPT=Q", "FPO=-10Q", "ACT_EST_MAPPING=PRECISE", "FS=MRC", "CURRENCY=USD", "XLFILL=b")</f>
        <v>6</v>
      </c>
      <c r="H88" s="9">
        <f>_xll.BQL("SEG0000227467 Segment", "REVENUE_GROWTH_CC_1_YR", "FPT=Q", "FPO=-9Q", "ACT_EST_MAPPING=PRECISE", "FS=MRC", "CURRENCY=USD", "XLFILL=b")</f>
        <v>4</v>
      </c>
      <c r="I88" s="9">
        <f>_xll.BQL("SEG0000227467 Segment", "REVENUE_GROWTH_CC_1_YR", "FPT=Q", "FPO=-8Q", "ACT_EST_MAPPING=PRECISE", "FS=MRC", "CURRENCY=USD", "XLFILL=b")</f>
        <v>6</v>
      </c>
      <c r="J88" s="9">
        <f>_xll.BQL("SEG0000227467 Segment", "REVENUE_GROWTH_CC_1_YR", "FPT=Q", "FPO=-7Q", "ACT_EST_MAPPING=PRECISE", "FS=MRC", "CURRENCY=USD", "XLFILL=b")</f>
        <v>4</v>
      </c>
      <c r="K88" s="9">
        <f>_xll.BQL("SEG0000227467 Segment", "REVENUE_GROWTH_CC_1_YR", "FPT=Q", "FPO=-6Q", "ACT_EST_MAPPING=PRECISE", "FS=MRC", "CURRENCY=USD", "XLFILL=b")</f>
        <v>5</v>
      </c>
      <c r="L88" s="9">
        <f>_xll.BQL("SEG0000227467 Segment", "REVENUE_GROWTH_CC_1_YR", "FPT=Q", "FPO=-5Q", "ACT_EST_MAPPING=PRECISE", "FS=MRC", "CURRENCY=USD", "XLFILL=b")</f>
        <v>8</v>
      </c>
      <c r="M88" s="9">
        <f>_xll.BQL("SEG0000227467 Segment", "REVENUE_GROWTH_CC_1_YR", "FPT=Q", "FPO=-4Q", "ACT_EST_MAPPING=PRECISE", "FS=MRC", "CURRENCY=USD", "XLFILL=b")</f>
        <v>7</v>
      </c>
      <c r="N88" s="9">
        <f>_xll.BQL("SEG0000227467 Segment", "REVENUE_GROWTH_CC_1_YR", "FPT=Q", "FPO=-3Q", "ACT_EST_MAPPING=PRECISE", "FS=MRC", "CURRENCY=USD", "XLFILL=b")</f>
        <v>7</v>
      </c>
      <c r="O88" s="9">
        <f>_xll.BQL("SEG0000227467 Segment", "REVENUE_GROWTH_CC_1_YR", "FPT=Q", "FPO=-2Q", "ACT_EST_MAPPING=PRECISE", "FS=MRC", "CURRENCY=USD", "XLFILL=b")</f>
        <v>7</v>
      </c>
      <c r="P88" s="9">
        <f>_xll.BQL("SEG0000227467 Segment", "REVENUE_GROWTH_CC_1_YR", "FPT=Q", "FPO=-1Q", "ACT_EST_MAPPING=PRECISE", "FS=MRC", "CURRENCY=USD", "XLFILL=b")</f>
        <v>5</v>
      </c>
      <c r="Q88" s="9">
        <f>_xll.BQL("SEG0000227467 Segment", "REVENUE_GROWTH_CC_1_YR", "FPT=Q", "FPO=0Q", "ACT_EST_MAPPING=PRECISE", "FS=MRC", "CURRENCY=USD", "XLFILL=b")</f>
        <v>4</v>
      </c>
      <c r="R88" s="9">
        <f>_xll.BQL("SEG0000227467 Segment", "REVENUE_GROWTH_CC_1_YR", "FPT=Q", "FPO=1Q", "ACT_EST_MAPPING=PRECISE", "FS=MRC", "CURRENCY=USD", "XLFILL=b")</f>
        <v>4.9068760236374409</v>
      </c>
      <c r="S88" s="9">
        <f>_xll.BQL("SEG0000227467 Segment", "REVENUE_GROWTH_CC_1_YR", "FPT=Q", "FPO=2Q", "ACT_EST_MAPPING=PRECISE", "FS=MRC", "CURRENCY=USD", "XLFILL=b")</f>
        <v>4.7983164086846992</v>
      </c>
      <c r="T88" s="9">
        <f>_xll.BQL("SEG0000227467 Segment", "REVENUE_GROWTH_CC_1_YR", "FPT=Q", "FPO=3Q", "ACT_EST_MAPPING=PRECISE", "FS=MRC", "CURRENCY=USD", "XLFILL=b")</f>
        <v>5.0348561966583869</v>
      </c>
      <c r="U88" s="9">
        <f>_xll.BQL("SEG0000227467 Segment", "REVENUE_GROWTH_CC_1_YR", "FPT=Q", "FPO=4Q", "ACT_EST_MAPPING=PRECISE", "FS=MRC", "CURRENCY=USD", "XLFILL=b")</f>
        <v>4.8039607698256797</v>
      </c>
      <c r="V88" s="9">
        <f>_xll.BQL("SEG0000227467 Segment", "REVENUE_GROWTH_CC_1_YR", "FPT=Q", "FPO=5Q", "ACT_EST_MAPPING=PRECISE", "FS=MRC", "CURRENCY=USD", "XLFILL=b")</f>
        <v>4.7206595399167917</v>
      </c>
      <c r="W88" s="9">
        <f>_xll.BQL("SEG0000227467 Segment", "REVENUE_GROWTH_CC_1_YR", "FPT=Q", "FPO=6Q", "ACT_EST_MAPPING=PRECISE", "FS=MRC", "CURRENCY=USD", "XLFILL=b")</f>
        <v>4.7008608808431482</v>
      </c>
      <c r="X88" s="9">
        <f>_xll.BQL("SEG0000227467 Segment", "REVENUE_GROWTH_CC_1_YR", "FPT=Q", "FPO=7Q", "ACT_EST_MAPPING=PRECISE", "FS=MRC", "CURRENCY=USD", "XLFILL=b")</f>
        <v>4.6217239085945208</v>
      </c>
    </row>
    <row r="89" spans="1:24" x14ac:dyDescent="0.25">
      <c r="A89" s="8" t="s">
        <v>125</v>
      </c>
      <c r="B89" s="4" t="s">
        <v>21</v>
      </c>
      <c r="C89" s="4" t="s">
        <v>22</v>
      </c>
      <c r="D89" s="4" t="s">
        <v>30</v>
      </c>
      <c r="E89" s="9">
        <f>_xll.BQL("SEG0000227433 Segment", "SALES_REV_TURN/1M", "FPT=Q", "FPO=-12Q", "ACT_EST_MAPPING=PRECISE", "FS=MRC", "CURRENCY=USD", "XLFILL=b")</f>
        <v>29820</v>
      </c>
      <c r="F89" s="9">
        <f>_xll.BQL("SEG0000227433 Segment", "SALES_REV_TURN/1M", "FPT=Q", "FPO=-11Q", "ACT_EST_MAPPING=PRECISE", "FS=MRC", "CURRENCY=USD", "XLFILL=b")</f>
        <v>32332</v>
      </c>
      <c r="G89" s="9">
        <f>_xll.BQL("SEG0000227433 Segment", "SALES_REV_TURN/1M", "FPT=Q", "FPO=-10Q", "ACT_EST_MAPPING=PRECISE", "FS=MRC", "CURRENCY=USD", "XLFILL=b")</f>
        <v>34342</v>
      </c>
      <c r="H89" s="9">
        <f>_xll.BQL("SEG0000227433 Segment", "SALES_REV_TURN/1M", "FPT=Q", "FPO=-9Q", "ACT_EST_MAPPING=PRECISE", "FS=MRC", "CURRENCY=USD", "XLFILL=b")</f>
        <v>43559</v>
      </c>
      <c r="I89" s="9">
        <f>_xll.BQL("SEG0000227433 Segment", "SALES_REV_TURN/1M", "FPT=Q", "FPO=-8Q", "ACT_EST_MAPPING=PRECISE", "FS=MRC", "CURRENCY=USD", "XLFILL=b")</f>
        <v>34596</v>
      </c>
      <c r="J89" s="9">
        <f>_xll.BQL("SEG0000227433 Segment", "SALES_REV_TURN/1M", "FPT=Q", "FPO=-7Q", "ACT_EST_MAPPING=PRECISE", "FS=MRC", "CURRENCY=USD", "XLFILL=b")</f>
        <v>36201</v>
      </c>
      <c r="K89" s="9">
        <f>_xll.BQL("SEG0000227433 Segment", "SALES_REV_TURN/1M", "FPT=Q", "FPO=-6Q", "ACT_EST_MAPPING=PRECISE", "FS=MRC", "CURRENCY=USD", "XLFILL=b")</f>
        <v>37864</v>
      </c>
      <c r="L89" s="9">
        <f>_xll.BQL("SEG0000227433 Segment", "SALES_REV_TURN/1M", "FPT=Q", "FPO=-5Q", "ACT_EST_MAPPING=PRECISE", "FS=MRC", "CURRENCY=USD", "XLFILL=b")</f>
        <v>47485</v>
      </c>
      <c r="M89" s="9">
        <f>_xll.BQL("SEG0000227433 Segment", "SALES_REV_TURN/1M", "FPT=Q", "FPO=-4Q", "ACT_EST_MAPPING=PRECISE", "FS=MRC", "CURRENCY=USD", "XLFILL=b")</f>
        <v>36512</v>
      </c>
      <c r="N89" s="9">
        <f>_xll.BQL("SEG0000227433 Segment", "SALES_REV_TURN/1M", "FPT=Q", "FPO=-3Q", "ACT_EST_MAPPING=PRECISE", "FS=MRC", "CURRENCY=USD", "XLFILL=b")</f>
        <v>40348</v>
      </c>
      <c r="O89" s="9">
        <f>_xll.BQL("SEG0000227433 Segment", "SALES_REV_TURN/1M", "FPT=Q", "FPO=-2Q", "ACT_EST_MAPPING=PRECISE", "FS=MRC", "CURRENCY=USD", "XLFILL=b")</f>
        <v>42486</v>
      </c>
      <c r="P89" s="9">
        <f>_xll.BQL("SEG0000227433 Segment", "SALES_REV_TURN/1M", "FPT=Q", "FPO=-1Q", "ACT_EST_MAPPING=PRECISE", "FS=MRC", "CURRENCY=USD", "XLFILL=b")</f>
        <v>52816</v>
      </c>
      <c r="Q89" s="9">
        <f>_xll.BQL("SEG0000227433 Segment", "SALES_REV_TURN/1M", "FPT=Q", "FPO=0Q", "ACT_EST_MAPPING=PRECISE", "FS=MRC", "CURRENCY=USD", "XLFILL=b")</f>
        <v>41578</v>
      </c>
      <c r="R89" s="9">
        <f>_xll.BQL("SEG0000227433 Segment", "SALES_REV_TURN/1M", "FPT=Q", "FPO=1Q", "ACT_EST_MAPPING=PRECISE", "FS=MRC", "CURRENCY=USD", "XLFILL=b")</f>
        <v>46146.691824422982</v>
      </c>
      <c r="S89" s="9">
        <f>_xll.BQL("SEG0000227433 Segment", "SALES_REV_TURN/1M", "FPT=Q", "FPO=2Q", "ACT_EST_MAPPING=PRECISE", "FS=MRC", "CURRENCY=USD", "XLFILL=b")</f>
        <v>46445.881168592125</v>
      </c>
      <c r="T89" s="9">
        <f>_xll.BQL("SEG0000227433 Segment", "SALES_REV_TURN/1M", "FPT=Q", "FPO=3Q", "ACT_EST_MAPPING=PRECISE", "FS=MRC", "CURRENCY=USD", "XLFILL=b")</f>
        <v>58680.709700617379</v>
      </c>
      <c r="U89" s="9">
        <f>_xll.BQL("SEG0000227433 Segment", "SALES_REV_TURN/1M", "FPT=Q", "FPO=4Q", "ACT_EST_MAPPING=PRECISE", "FS=MRC", "CURRENCY=USD", "XLFILL=b")</f>
        <v>45599.59076718369</v>
      </c>
      <c r="V89" s="9">
        <f>_xll.BQL("SEG0000227433 Segment", "SALES_REV_TURN/1M", "FPT=Q", "FPO=5Q", "ACT_EST_MAPPING=PRECISE", "FS=MRC", "CURRENCY=USD", "XLFILL=b")</f>
        <v>50714.319328371203</v>
      </c>
      <c r="W89" s="9">
        <f>_xll.BQL("SEG0000227433 Segment", "SALES_REV_TURN/1M", "FPT=Q", "FPO=6Q", "ACT_EST_MAPPING=PRECISE", "FS=MRC", "CURRENCY=USD", "XLFILL=b")</f>
        <v>51083.503591323766</v>
      </c>
      <c r="X89" s="9">
        <f>_xll.BQL("SEG0000227433 Segment", "SALES_REV_TURN/1M", "FPT=Q", "FPO=7Q", "ACT_EST_MAPPING=PRECISE", "FS=MRC", "CURRENCY=USD", "XLFILL=b")</f>
        <v>64126.357196990954</v>
      </c>
    </row>
    <row r="90" spans="1:24" x14ac:dyDescent="0.25">
      <c r="A90" s="8" t="s">
        <v>123</v>
      </c>
      <c r="B90" s="4" t="s">
        <v>27</v>
      </c>
      <c r="C90" s="4" t="s">
        <v>28</v>
      </c>
      <c r="D90" s="4" t="s">
        <v>30</v>
      </c>
      <c r="E90" s="9">
        <f>_xll.BQL("SEG0000227433 Segment", "REVENUE_GROWTH_CC_1_YR", "FPT=Q", "FPO=-12Q", "ACT_EST_MAPPING=PRECISE", "FS=MRC", "CURRENCY=USD", "XLFILL=b")</f>
        <v>20</v>
      </c>
      <c r="F90" s="9">
        <f>_xll.BQL("SEG0000227433 Segment", "REVENUE_GROWTH_CC_1_YR", "FPT=Q", "FPO=-11Q", "ACT_EST_MAPPING=PRECISE", "FS=MRC", "CURRENCY=USD", "XLFILL=b")</f>
        <v>18</v>
      </c>
      <c r="G90" s="9">
        <f>_xll.BQL("SEG0000227433 Segment", "REVENUE_GROWTH_CC_1_YR", "FPT=Q", "FPO=-10Q", "ACT_EST_MAPPING=PRECISE", "FS=MRC", "CURRENCY=USD", "XLFILL=b")</f>
        <v>18</v>
      </c>
      <c r="H90" s="9">
        <f>_xll.BQL("SEG0000227433 Segment", "REVENUE_GROWTH_CC_1_YR", "FPT=Q", "FPO=-9Q", "ACT_EST_MAPPING=PRECISE", "FS=MRC", "CURRENCY=USD", "XLFILL=b")</f>
        <v>19</v>
      </c>
      <c r="I90" s="9">
        <f>_xll.BQL("SEG0000227433 Segment", "REVENUE_GROWTH_CC_1_YR", "FPT=Q", "FPO=-8Q", "ACT_EST_MAPPING=PRECISE", "FS=MRC", "CURRENCY=USD", "XLFILL=b")</f>
        <v>16</v>
      </c>
      <c r="J90" s="9">
        <f>_xll.BQL("SEG0000227433 Segment", "REVENUE_GROWTH_CC_1_YR", "FPT=Q", "FPO=-7Q", "ACT_EST_MAPPING=PRECISE", "FS=MRC", "CURRENCY=USD", "XLFILL=b")</f>
        <v>13</v>
      </c>
      <c r="K90" s="9">
        <f>_xll.BQL("SEG0000227433 Segment", "REVENUE_GROWTH_CC_1_YR", "FPT=Q", "FPO=-6Q", "ACT_EST_MAPPING=PRECISE", "FS=MRC", "CURRENCY=USD", "XLFILL=b")</f>
        <v>10</v>
      </c>
      <c r="L90" s="9">
        <f>_xll.BQL("SEG0000227433 Segment", "REVENUE_GROWTH_CC_1_YR", "FPT=Q", "FPO=-5Q", "ACT_EST_MAPPING=PRECISE", "FS=MRC", "CURRENCY=USD", "XLFILL=b")</f>
        <v>9</v>
      </c>
      <c r="M90" s="9">
        <f>_xll.BQL("SEG0000227433 Segment", "REVENUE_GROWTH_CC_1_YR", "FPT=Q", "FPO=-4Q", "ACT_EST_MAPPING=PRECISE", "FS=MRC", "CURRENCY=USD", "XLFILL=b")</f>
        <v>7</v>
      </c>
      <c r="N90" s="9">
        <f>_xll.BQL("SEG0000227433 Segment", "REVENUE_GROWTH_CC_1_YR", "FPT=Q", "FPO=-3Q", "ACT_EST_MAPPING=PRECISE", "FS=MRC", "CURRENCY=USD", "XLFILL=b")</f>
        <v>10</v>
      </c>
      <c r="O90" s="9">
        <f>_xll.BQL("SEG0000227433 Segment", "REVENUE_GROWTH_CC_1_YR", "FPT=Q", "FPO=-2Q", "ACT_EST_MAPPING=PRECISE", "FS=MRC", "CURRENCY=USD", "XLFILL=b")</f>
        <v>11</v>
      </c>
      <c r="P90" s="9">
        <f>_xll.BQL("SEG0000227433 Segment", "REVENUE_GROWTH_CC_1_YR", "FPT=Q", "FPO=-1Q", "ACT_EST_MAPPING=PRECISE", "FS=MRC", "CURRENCY=USD", "XLFILL=b")</f>
        <v>10</v>
      </c>
      <c r="Q90" s="9">
        <f>_xll.BQL("SEG0000227433 Segment", "REVENUE_GROWTH_CC_1_YR", "FPT=Q", "FPO=0Q", "ACT_EST_MAPPING=PRECISE", "FS=MRC", "CURRENCY=USD", "XLFILL=b")</f>
        <v>12</v>
      </c>
      <c r="R90" s="9">
        <f>_xll.BQL("SEG0000227433 Segment", "REVENUE_GROWTH_CC_1_YR", "FPT=Q", "FPO=1Q", "ACT_EST_MAPPING=PRECISE", "FS=MRC", "CURRENCY=USD", "XLFILL=b")</f>
        <v>14.534351531616164</v>
      </c>
      <c r="S90" s="9">
        <f>_xll.BQL("SEG0000227433 Segment", "REVENUE_GROWTH_CC_1_YR", "FPT=Q", "FPO=2Q", "ACT_EST_MAPPING=PRECISE", "FS=MRC", "CURRENCY=USD", "XLFILL=b")</f>
        <v>9.1661342623981739</v>
      </c>
      <c r="T90" s="9">
        <f>_xll.BQL("SEG0000227433 Segment", "REVENUE_GROWTH_CC_1_YR", "FPT=Q", "FPO=3Q", "ACT_EST_MAPPING=PRECISE", "FS=MRC", "CURRENCY=USD", "XLFILL=b")</f>
        <v>10.835026924594503</v>
      </c>
      <c r="U90" s="9">
        <f>_xll.BQL("SEG0000227433 Segment", "REVENUE_GROWTH_CC_1_YR", "FPT=Q", "FPO=4Q", "ACT_EST_MAPPING=PRECISE", "FS=MRC", "CURRENCY=USD", "XLFILL=b")</f>
        <v>9.2094196794135748</v>
      </c>
      <c r="V90" s="9">
        <f>_xll.BQL("SEG0000227433 Segment", "REVENUE_GROWTH_CC_1_YR", "FPT=Q", "FPO=5Q", "ACT_EST_MAPPING=PRECISE", "FS=MRC", "CURRENCY=USD", "XLFILL=b")</f>
        <v>9.3117615221414418</v>
      </c>
      <c r="W90" s="9">
        <f>_xll.BQL("SEG0000227433 Segment", "REVENUE_GROWTH_CC_1_YR", "FPT=Q", "FPO=6Q", "ACT_EST_MAPPING=PRECISE", "FS=MRC", "CURRENCY=USD", "XLFILL=b")</f>
        <v>10.185578044303448</v>
      </c>
      <c r="X90" s="9">
        <f>_xll.BQL("SEG0000227433 Segment", "REVENUE_GROWTH_CC_1_YR", "FPT=Q", "FPO=7Q", "ACT_EST_MAPPING=PRECISE", "FS=MRC", "CURRENCY=USD", "XLFILL=b")</f>
        <v>9.39048306966715</v>
      </c>
    </row>
    <row r="91" spans="1:24" x14ac:dyDescent="0.25">
      <c r="A91" s="8" t="s">
        <v>126</v>
      </c>
      <c r="B91" s="4" t="s">
        <v>21</v>
      </c>
      <c r="C91" s="4" t="s">
        <v>22</v>
      </c>
      <c r="D91" s="4" t="s">
        <v>34</v>
      </c>
      <c r="E91" s="9">
        <f>_xll.BQL("SEG0000227476 Segment", "SALES_REV_TURN/1M", "FPT=Q", "FPO=-12Q", "ACT_EST_MAPPING=PRECISE", "FS=MRC", "CURRENCY=USD", "XLFILL=b")</f>
        <v>9657</v>
      </c>
      <c r="F91" s="9">
        <f>_xll.BQL("SEG0000227476 Segment", "SALES_REV_TURN/1M", "FPT=Q", "FPO=-11Q", "ACT_EST_MAPPING=PRECISE", "FS=MRC", "CURRENCY=USD", "XLFILL=b")</f>
        <v>9894</v>
      </c>
      <c r="G91" s="9">
        <f>_xll.BQL("SEG0000227476 Segment", "SALES_REV_TURN/1M", "FPT=Q", "FPO=-10Q", "ACT_EST_MAPPING=PRECISE", "FS=MRC", "CURRENCY=USD", "XLFILL=b")</f>
        <v>10170</v>
      </c>
      <c r="H91" s="9">
        <f>_xll.BQL("SEG0000227476 Segment", "SALES_REV_TURN/1M", "FPT=Q", "FPO=-9Q", "ACT_EST_MAPPING=PRECISE", "FS=MRC", "CURRENCY=USD", "XLFILL=b")</f>
        <v>10488</v>
      </c>
      <c r="I91" s="9">
        <f>_xll.BQL("SEG0000227476 Segment", "SALES_REV_TURN/1M", "FPT=Q", "FPO=-8Q", "ACT_EST_MAPPING=PRECISE", "FS=MRC", "CURRENCY=USD", "XLFILL=b")</f>
        <v>10722</v>
      </c>
      <c r="J91" s="9">
        <f>_xll.BQL("SEG0000227476 Segment", "SALES_REV_TURN/1M", "FPT=Q", "FPO=-7Q", "ACT_EST_MAPPING=PRECISE", "FS=MRC", "CURRENCY=USD", "XLFILL=b")</f>
        <v>10866</v>
      </c>
      <c r="K91" s="9">
        <f>_xll.BQL("SEG0000227476 Segment", "SALES_REV_TURN/1M", "FPT=Q", "FPO=-6Q", "ACT_EST_MAPPING=PRECISE", "FS=MRC", "CURRENCY=USD", "XLFILL=b")</f>
        <v>11278</v>
      </c>
      <c r="L91" s="9">
        <f>_xll.BQL("SEG0000227476 Segment", "SALES_REV_TURN/1M", "FPT=Q", "FPO=-5Q", "ACT_EST_MAPPING=PRECISE", "FS=MRC", "CURRENCY=USD", "XLFILL=b")</f>
        <v>11508</v>
      </c>
      <c r="M91" s="9">
        <f>_xll.BQL("SEG0000227476 Segment", "SALES_REV_TURN/1M", "FPT=Q", "FPO=-4Q", "ACT_EST_MAPPING=PRECISE", "FS=MRC", "CURRENCY=USD", "XLFILL=b")</f>
        <v>11715</v>
      </c>
      <c r="N91" s="9">
        <f>_xll.BQL("SEG0000227476 Segment", "SALES_REV_TURN/1M", "FPT=Q", "FPO=-3Q", "ACT_EST_MAPPING=PRECISE", "FS=MRC", "CURRENCY=USD", "XLFILL=b")</f>
        <v>12208</v>
      </c>
      <c r="O91" s="9">
        <f>_xll.BQL("SEG0000227476 Segment", "SALES_REV_TURN/1M", "FPT=Q", "FPO=-2Q", "ACT_EST_MAPPING=PRECISE", "FS=MRC", "CURRENCY=USD", "XLFILL=b")</f>
        <v>12574</v>
      </c>
      <c r="P91" s="9">
        <f>_xll.BQL("SEG0000227476 Segment", "SALES_REV_TURN/1M", "FPT=Q", "FPO=-1Q", "ACT_EST_MAPPING=PRECISE", "FS=MRC", "CURRENCY=USD", "XLFILL=b")</f>
        <v>13122</v>
      </c>
      <c r="Q91" s="9">
        <f>_xll.BQL("SEG0000227476 Segment", "SALES_REV_TURN/1M", "FPT=Q", "FPO=0Q", "ACT_EST_MAPPING=PRECISE", "FS=MRC", "CURRENCY=USD", "XLFILL=b")</f>
        <v>13427</v>
      </c>
      <c r="R91" s="9">
        <f>_xll.BQL("SEG0000227476 Segment", "SALES_REV_TURN/1M", "FPT=Q", "FPO=1Q", "ACT_EST_MAPPING=PRECISE", "FS=MRC", "CURRENCY=USD", "XLFILL=b")</f>
        <v>13752.070904319286</v>
      </c>
      <c r="S91" s="9">
        <f>_xll.BQL("SEG0000227476 Segment", "SALES_REV_TURN/1M", "FPT=Q", "FPO=2Q", "ACT_EST_MAPPING=PRECISE", "FS=MRC", "CURRENCY=USD", "XLFILL=b")</f>
        <v>13954.415962306066</v>
      </c>
      <c r="T91" s="9">
        <f>_xll.BQL("SEG0000227476 Segment", "SALES_REV_TURN/1M", "FPT=Q", "FPO=3Q", "ACT_EST_MAPPING=PRECISE", "FS=MRC", "CURRENCY=USD", "XLFILL=b")</f>
        <v>14517.541199602523</v>
      </c>
      <c r="U91" s="9">
        <f>_xll.BQL("SEG0000227476 Segment", "SALES_REV_TURN/1M", "FPT=Q", "FPO=4Q", "ACT_EST_MAPPING=PRECISE", "FS=MRC", "CURRENCY=USD", "XLFILL=b")</f>
        <v>14619.232602605864</v>
      </c>
      <c r="V91" s="9">
        <f>_xll.BQL("SEG0000227476 Segment", "SALES_REV_TURN/1M", "FPT=Q", "FPO=5Q", "ACT_EST_MAPPING=PRECISE", "FS=MRC", "CURRENCY=USD", "XLFILL=b")</f>
        <v>15001.004410048043</v>
      </c>
      <c r="W91" s="9">
        <f>_xll.BQL("SEG0000227476 Segment", "SALES_REV_TURN/1M", "FPT=Q", "FPO=6Q", "ACT_EST_MAPPING=PRECISE", "FS=MRC", "CURRENCY=USD", "XLFILL=b")</f>
        <v>15230.399489888507</v>
      </c>
      <c r="X91" s="9">
        <f>_xll.BQL("SEG0000227476 Segment", "SALES_REV_TURN/1M", "FPT=Q", "FPO=7Q", "ACT_EST_MAPPING=PRECISE", "FS=MRC", "CURRENCY=USD", "XLFILL=b")</f>
        <v>15892.849903901628</v>
      </c>
    </row>
    <row r="92" spans="1:24" x14ac:dyDescent="0.25">
      <c r="A92" s="8" t="s">
        <v>123</v>
      </c>
      <c r="B92" s="4" t="s">
        <v>27</v>
      </c>
      <c r="C92" s="4" t="s">
        <v>28</v>
      </c>
      <c r="D92" s="4" t="s">
        <v>34</v>
      </c>
      <c r="E92" s="9">
        <f>_xll.BQL("SEG0000227476 Segment", "REVENUE_GROWTH_CC_1_YR", "FPT=Q", "FPO=-12Q", "ACT_EST_MAPPING=PRECISE", "FS=MRC", "CURRENCY=USD", "XLFILL=b")</f>
        <v>17</v>
      </c>
      <c r="F92" s="9">
        <f>_xll.BQL("SEG0000227476 Segment", "REVENUE_GROWTH_CC_1_YR", "FPT=Q", "FPO=-11Q", "ACT_EST_MAPPING=PRECISE", "FS=MRC", "CURRENCY=USD", "XLFILL=b")</f>
        <v>14</v>
      </c>
      <c r="G92" s="9">
        <f>_xll.BQL("SEG0000227476 Segment", "REVENUE_GROWTH_CC_1_YR", "FPT=Q", "FPO=-10Q", "ACT_EST_MAPPING=PRECISE", "FS=MRC", "CURRENCY=USD", "XLFILL=b")</f>
        <v>13</v>
      </c>
      <c r="H92" s="9">
        <f>_xll.BQL("SEG0000227476 Segment", "REVENUE_GROWTH_CC_1_YR", "FPT=Q", "FPO=-9Q", "ACT_EST_MAPPING=PRECISE", "FS=MRC", "CURRENCY=USD", "XLFILL=b")</f>
        <v>13</v>
      </c>
      <c r="I92" s="9">
        <f>_xll.BQL("SEG0000227476 Segment", "REVENUE_GROWTH_CC_1_YR", "FPT=Q", "FPO=-8Q", "ACT_EST_MAPPING=PRECISE", "FS=MRC", "CURRENCY=USD", "XLFILL=b")</f>
        <v>11</v>
      </c>
      <c r="J92" s="9">
        <f>_xll.BQL("SEG0000227476 Segment", "REVENUE_GROWTH_CC_1_YR", "FPT=Q", "FPO=-7Q", "ACT_EST_MAPPING=PRECISE", "FS=MRC", "CURRENCY=USD", "XLFILL=b")</f>
        <v>11</v>
      </c>
      <c r="K92" s="9">
        <f>_xll.BQL("SEG0000227476 Segment", "REVENUE_GROWTH_CC_1_YR", "FPT=Q", "FPO=-6Q", "ACT_EST_MAPPING=PRECISE", "FS=MRC", "CURRENCY=USD", "XLFILL=b")</f>
        <v>11</v>
      </c>
      <c r="L92" s="9">
        <f>_xll.BQL("SEG0000227476 Segment", "REVENUE_GROWTH_CC_1_YR", "FPT=Q", "FPO=-5Q", "ACT_EST_MAPPING=PRECISE", "FS=MRC", "CURRENCY=USD", "XLFILL=b")</f>
        <v>10</v>
      </c>
      <c r="M92" s="9">
        <f>_xll.BQL("SEG0000227476 Segment", "REVENUE_GROWTH_CC_1_YR", "FPT=Q", "FPO=-4Q", "ACT_EST_MAPPING=PRECISE", "FS=MRC", "CURRENCY=USD", "XLFILL=b")</f>
        <v>11</v>
      </c>
      <c r="N92" s="9">
        <f>_xll.BQL("SEG0000227476 Segment", "REVENUE_GROWTH_CC_1_YR", "FPT=Q", "FPO=-3Q", "ACT_EST_MAPPING=PRECISE", "FS=MRC", "CURRENCY=USD", "XLFILL=b")</f>
        <v>11</v>
      </c>
      <c r="O92" s="9">
        <f>_xll.BQL("SEG0000227476 Segment", "REVENUE_GROWTH_CC_1_YR", "FPT=Q", "FPO=-2Q", "ACT_EST_MAPPING=PRECISE", "FS=MRC", "CURRENCY=USD", "XLFILL=b")</f>
        <v>10</v>
      </c>
      <c r="P92" s="9">
        <f>_xll.BQL("SEG0000227476 Segment", "REVENUE_GROWTH_CC_1_YR", "FPT=Q", "FPO=-1Q", "ACT_EST_MAPPING=PRECISE", "FS=MRC", "CURRENCY=USD", "XLFILL=b")</f>
        <v>12</v>
      </c>
      <c r="Q92" s="9">
        <f>_xll.BQL("SEG0000227476 Segment", "REVENUE_GROWTH_CC_1_YR", "FPT=Q", "FPO=0Q", "ACT_EST_MAPPING=PRECISE", "FS=MRC", "CURRENCY=USD", "XLFILL=b")</f>
        <v>12</v>
      </c>
      <c r="R92" s="9">
        <f>_xll.BQL("SEG0000227476 Segment", "REVENUE_GROWTH_CC_1_YR", "FPT=Q", "FPO=1Q", "ACT_EST_MAPPING=PRECISE", "FS=MRC", "CURRENCY=USD", "XLFILL=b")</f>
        <v>12.750506604532324</v>
      </c>
      <c r="S92" s="9">
        <f>_xll.BQL("SEG0000227476 Segment", "REVENUE_GROWTH_CC_1_YR", "FPT=Q", "FPO=2Q", "ACT_EST_MAPPING=PRECISE", "FS=MRC", "CURRENCY=USD", "XLFILL=b")</f>
        <v>10.829072927504946</v>
      </c>
      <c r="T92" s="9">
        <f>_xll.BQL("SEG0000227476 Segment", "REVENUE_GROWTH_CC_1_YR", "FPT=Q", "FPO=3Q", "ACT_EST_MAPPING=PRECISE", "FS=MRC", "CURRENCY=USD", "XLFILL=b")</f>
        <v>10.624328716480999</v>
      </c>
      <c r="U92" s="9">
        <f>_xll.BQL("SEG0000227476 Segment", "REVENUE_GROWTH_CC_1_YR", "FPT=Q", "FPO=4Q", "ACT_EST_MAPPING=PRECISE", "FS=MRC", "CURRENCY=USD", "XLFILL=b")</f>
        <v>9.3049218212756397</v>
      </c>
      <c r="V92" s="9">
        <f>_xll.BQL("SEG0000227476 Segment", "REVENUE_GROWTH_CC_1_YR", "FPT=Q", "FPO=5Q", "ACT_EST_MAPPING=PRECISE", "FS=MRC", "CURRENCY=USD", "XLFILL=b")</f>
        <v>9.418693205261329</v>
      </c>
      <c r="W92" s="9">
        <f>_xll.BQL("SEG0000227476 Segment", "REVENUE_GROWTH_CC_1_YR", "FPT=Q", "FPO=6Q", "ACT_EST_MAPPING=PRECISE", "FS=MRC", "CURRENCY=USD", "XLFILL=b")</f>
        <v>10.053397391563676</v>
      </c>
      <c r="X92" s="9">
        <f>_xll.BQL("SEG0000227476 Segment", "REVENUE_GROWTH_CC_1_YR", "FPT=Q", "FPO=7Q", "ACT_EST_MAPPING=PRECISE", "FS=MRC", "CURRENCY=USD", "XLFILL=b")</f>
        <v>10.484215671347485</v>
      </c>
    </row>
    <row r="93" spans="1:24" x14ac:dyDescent="0.25">
      <c r="A93" s="8" t="s">
        <v>127</v>
      </c>
      <c r="B93" s="4" t="s">
        <v>21</v>
      </c>
      <c r="C93" s="4" t="s">
        <v>22</v>
      </c>
      <c r="D93" s="4" t="s">
        <v>32</v>
      </c>
      <c r="E93" s="9">
        <f>_xll.BQL("SEG0000612092 Segment", "SALES_REV_TURN/1M", "FPT=Q", "FPO=-12Q", "ACT_EST_MAPPING=PRECISE", "FS=MRC", "CURRENCY=USD", "XLFILL=b")</f>
        <v>9509</v>
      </c>
      <c r="F93" s="9">
        <f>_xll.BQL("SEG0000612092 Segment", "SALES_REV_TURN/1M", "FPT=Q", "FPO=-11Q", "ACT_EST_MAPPING=PRECISE", "FS=MRC", "CURRENCY=USD", "XLFILL=b")</f>
        <v>10683</v>
      </c>
      <c r="G93" s="9">
        <f>_xll.BQL("SEG0000612092 Segment", "SALES_REV_TURN/1M", "FPT=Q", "FPO=-10Q", "ACT_EST_MAPPING=PRECISE", "FS=MRC", "CURRENCY=USD", "XLFILL=b")</f>
        <v>12060</v>
      </c>
      <c r="H93" s="9">
        <f>_xll.BQL("SEG0000612092 Segment", "SALES_REV_TURN/1M", "FPT=Q", "FPO=-9Q", "ACT_EST_MAPPING=PRECISE", "FS=MRC", "CURRENCY=USD", "XLFILL=b")</f>
        <v>14654</v>
      </c>
      <c r="I93" s="9">
        <f>_xll.BQL("SEG0000612092 Segment", "SALES_REV_TURN/1M", "FPT=Q", "FPO=-8Q", "ACT_EST_MAPPING=PRECISE", "FS=MRC", "CURRENCY=USD", "XLFILL=b")</f>
        <v>11824</v>
      </c>
      <c r="J93" s="9">
        <f>_xll.BQL("SEG0000612092 Segment", "SALES_REV_TURN/1M", "FPT=Q", "FPO=-7Q", "ACT_EST_MAPPING=PRECISE", "FS=MRC", "CURRENCY=USD", "XLFILL=b")</f>
        <v>12771</v>
      </c>
      <c r="K93" s="9">
        <f>_xll.BQL("SEG0000612092 Segment", "SALES_REV_TURN/1M", "FPT=Q", "FPO=-6Q", "ACT_EST_MAPPING=PRECISE", "FS=MRC", "CURRENCY=USD", "XLFILL=b")</f>
        <v>14331</v>
      </c>
      <c r="L93" s="9">
        <f>_xll.BQL("SEG0000612092 Segment", "SALES_REV_TURN/1M", "FPT=Q", "FPO=-5Q", "ACT_EST_MAPPING=PRECISE", "FS=MRC", "CURRENCY=USD", "XLFILL=b")</f>
        <v>17288</v>
      </c>
      <c r="M93" s="9">
        <f>_xll.BQL("SEG0000612092 Segment", "SALES_REV_TURN/1M", "FPT=Q", "FPO=-4Q", "ACT_EST_MAPPING=PRECISE", "FS=MRC", "CURRENCY=USD", "XLFILL=b")</f>
        <v>13921</v>
      </c>
      <c r="N93" s="9">
        <f>_xll.BQL("SEG0000612092 Segment", "SALES_REV_TURN/1M", "FPT=Q", "FPO=-3Q", "ACT_EST_MAPPING=PRECISE", "FS=MRC", "CURRENCY=USD", "XLFILL=b")</f>
        <v>15694</v>
      </c>
      <c r="O93" s="9">
        <f>_xll.BQL("SEG0000612092 Segment", "SALES_REV_TURN/1M", "FPT=Q", "FPO=-2Q", "ACT_EST_MAPPING=PRECISE", "FS=MRC", "CURRENCY=USD", "XLFILL=b")</f>
        <v>17703</v>
      </c>
      <c r="P93" s="9">
        <f>_xll.BQL("SEG0000612092 Segment", "SALES_REV_TURN/1M", "FPT=Q", "FPO=-1Q", "ACT_EST_MAPPING=PRECISE", "FS=MRC", "CURRENCY=USD", "XLFILL=b")</f>
        <v>21317</v>
      </c>
      <c r="Q93" s="9">
        <f>_xll.BQL("SEG0000612092 Segment", "SALES_REV_TURN/1M", "FPT=Q", "FPO=0Q", "ACT_EST_MAPPING=PRECISE", "FS=MRC", "CURRENCY=USD", "XLFILL=b")</f>
        <v>17243</v>
      </c>
      <c r="R93" s="9">
        <f>_xll.BQL("SEG0000612092 Segment", "SALES_REV_TURN/1M", "FPT=Q", "FPO=1Q", "ACT_EST_MAPPING=PRECISE", "FS=MRC", "CURRENCY=USD", "XLFILL=b")</f>
        <v>19307.123771901573</v>
      </c>
      <c r="S93" s="9">
        <f>_xll.BQL("SEG0000612092 Segment", "SALES_REV_TURN/1M", "FPT=Q", "FPO=2Q", "ACT_EST_MAPPING=PRECISE", "FS=MRC", "CURRENCY=USD", "XLFILL=b")</f>
        <v>21019.420185029234</v>
      </c>
      <c r="T93" s="9">
        <f>_xll.BQL("SEG0000612092 Segment", "SALES_REV_TURN/1M", "FPT=Q", "FPO=3Q", "ACT_EST_MAPPING=PRECISE", "FS=MRC", "CURRENCY=USD", "XLFILL=b")</f>
        <v>25422.304122361707</v>
      </c>
      <c r="U93" s="9">
        <f>_xll.BQL("SEG0000612092 Segment", "SALES_REV_TURN/1M", "FPT=Q", "FPO=4Q", "ACT_EST_MAPPING=PRECISE", "FS=MRC", "CURRENCY=USD", "XLFILL=b")</f>
        <v>20284.404659251231</v>
      </c>
      <c r="V93" s="9">
        <f>_xll.BQL("SEG0000612092 Segment", "SALES_REV_TURN/1M", "FPT=Q", "FPO=5Q", "ACT_EST_MAPPING=PRECISE", "FS=MRC", "CURRENCY=USD", "XLFILL=b")</f>
        <v>22743.483229831309</v>
      </c>
      <c r="W93" s="9">
        <f>_xll.BQL("SEG0000612092 Segment", "SALES_REV_TURN/1M", "FPT=Q", "FPO=6Q", "ACT_EST_MAPPING=PRECISE", "FS=MRC", "CURRENCY=USD", "XLFILL=b")</f>
        <v>24716.739238479895</v>
      </c>
      <c r="X93" s="9">
        <f>_xll.BQL("SEG0000612092 Segment", "SALES_REV_TURN/1M", "FPT=Q", "FPO=7Q", "ACT_EST_MAPPING=PRECISE", "FS=MRC", "CURRENCY=USD", "XLFILL=b")</f>
        <v>29885.374216240853</v>
      </c>
    </row>
    <row r="94" spans="1:24" x14ac:dyDescent="0.25">
      <c r="A94" s="8" t="s">
        <v>123</v>
      </c>
      <c r="B94" s="4" t="s">
        <v>27</v>
      </c>
      <c r="C94" s="4" t="s">
        <v>28</v>
      </c>
      <c r="D94" s="4" t="s">
        <v>32</v>
      </c>
      <c r="E94" s="9">
        <f>_xll.BQL("SEG0000612092 Segment", "REVENUE_GROWTH_CC_1_YR", "FPT=Q", "FPO=-12Q", "ACT_EST_MAPPING=PRECISE", "FS=MRC", "CURRENCY=USD", "XLFILL=b")</f>
        <v>23</v>
      </c>
      <c r="F94" s="9">
        <f>_xll.BQL("SEG0000612092 Segment", "REVENUE_GROWTH_CC_1_YR", "FPT=Q", "FPO=-11Q", "ACT_EST_MAPPING=PRECISE", "FS=MRC", "CURRENCY=USD", "XLFILL=b")</f>
        <v>22</v>
      </c>
      <c r="G94" s="9">
        <f>_xll.BQL("SEG0000612092 Segment", "REVENUE_GROWTH_CC_1_YR", "FPT=Q", "FPO=-10Q", "ACT_EST_MAPPING=PRECISE", "FS=MRC", "CURRENCY=USD", "XLFILL=b")</f>
        <v>25</v>
      </c>
      <c r="H94" s="9">
        <f>_xll.BQL("SEG0000612092 Segment", "REVENUE_GROWTH_CC_1_YR", "FPT=Q", "FPO=-9Q", "ACT_EST_MAPPING=PRECISE", "FS=MRC", "CURRENCY=USD", "XLFILL=b")</f>
        <v>26</v>
      </c>
      <c r="I94" s="9">
        <f>_xll.BQL("SEG0000612092 Segment", "REVENUE_GROWTH_CC_1_YR", "FPT=Q", "FPO=-8Q", "ACT_EST_MAPPING=PRECISE", "FS=MRC", "CURRENCY=USD", "XLFILL=b")</f>
        <v>24</v>
      </c>
      <c r="J94" s="9">
        <f>_xll.BQL("SEG0000612092 Segment", "REVENUE_GROWTH_CC_1_YR", "FPT=Q", "FPO=-7Q", "ACT_EST_MAPPING=PRECISE", "FS=MRC", "CURRENCY=USD", "XLFILL=b")</f>
        <v>20</v>
      </c>
      <c r="K94" s="9">
        <f>_xll.BQL("SEG0000612092 Segment", "REVENUE_GROWTH_CC_1_YR", "FPT=Q", "FPO=-6Q", "ACT_EST_MAPPING=PRECISE", "FS=MRC", "CURRENCY=USD", "XLFILL=b")</f>
        <v>19</v>
      </c>
      <c r="L94" s="9">
        <f>_xll.BQL("SEG0000612092 Segment", "REVENUE_GROWTH_CC_1_YR", "FPT=Q", "FPO=-5Q", "ACT_EST_MAPPING=PRECISE", "FS=MRC", "CURRENCY=USD", "XLFILL=b")</f>
        <v>18</v>
      </c>
      <c r="M94" s="9">
        <f>_xll.BQL("SEG0000612092 Segment", "REVENUE_GROWTH_CC_1_YR", "FPT=Q", "FPO=-4Q", "ACT_EST_MAPPING=PRECISE", "FS=MRC", "CURRENCY=USD", "XLFILL=b")</f>
        <v>19</v>
      </c>
      <c r="N94" s="9">
        <f>_xll.BQL("SEG0000612092 Segment", "REVENUE_GROWTH_CC_1_YR", "FPT=Q", "FPO=-3Q", "ACT_EST_MAPPING=PRECISE", "FS=MRC", "CURRENCY=USD", "XLFILL=b")</f>
        <v>22</v>
      </c>
      <c r="O94" s="9">
        <f>_xll.BQL("SEG0000612092 Segment", "REVENUE_GROWTH_CC_1_YR", "FPT=Q", "FPO=-2Q", "ACT_EST_MAPPING=PRECISE", "FS=MRC", "CURRENCY=USD", "XLFILL=b")</f>
        <v>22</v>
      </c>
      <c r="P94" s="9">
        <f>_xll.BQL("SEG0000612092 Segment", "REVENUE_GROWTH_CC_1_YR", "FPT=Q", "FPO=-1Q", "ACT_EST_MAPPING=PRECISE", "FS=MRC", "CURRENCY=USD", "XLFILL=b")</f>
        <v>22</v>
      </c>
      <c r="Q94" s="9">
        <f>_xll.BQL("SEG0000612092 Segment", "REVENUE_GROWTH_CC_1_YR", "FPT=Q", "FPO=0Q", "ACT_EST_MAPPING=PRECISE", "FS=MRC", "CURRENCY=USD", "XLFILL=b")</f>
        <v>22</v>
      </c>
      <c r="R94" s="9">
        <f>_xll.BQL("SEG0000612092 Segment", "REVENUE_GROWTH_CC_1_YR", "FPT=Q", "FPO=1Q", "ACT_EST_MAPPING=PRECISE", "FS=MRC", "CURRENCY=USD", "XLFILL=b")</f>
        <v>22.821332208696248</v>
      </c>
      <c r="S94" s="9">
        <f>_xll.BQL("SEG0000612092 Segment", "REVENUE_GROWTH_CC_1_YR", "FPT=Q", "FPO=2Q", "ACT_EST_MAPPING=PRECISE", "FS=MRC", "CURRENCY=USD", "XLFILL=b")</f>
        <v>18.665431883308777</v>
      </c>
      <c r="T94" s="9">
        <f>_xll.BQL("SEG0000612092 Segment", "REVENUE_GROWTH_CC_1_YR", "FPT=Q", "FPO=3Q", "ACT_EST_MAPPING=PRECISE", "FS=MRC", "CURRENCY=USD", "XLFILL=b")</f>
        <v>19.10659509930468</v>
      </c>
      <c r="U94" s="9">
        <f>_xll.BQL("SEG0000612092 Segment", "REVENUE_GROWTH_CC_1_YR", "FPT=Q", "FPO=4Q", "ACT_EST_MAPPING=PRECISE", "FS=MRC", "CURRENCY=USD", "XLFILL=b")</f>
        <v>18.225012100597471</v>
      </c>
      <c r="V94" s="9">
        <f>_xll.BQL("SEG0000612092 Segment", "REVENUE_GROWTH_CC_1_YR", "FPT=Q", "FPO=5Q", "ACT_EST_MAPPING=PRECISE", "FS=MRC", "CURRENCY=USD", "XLFILL=b")</f>
        <v>18.512300734720036</v>
      </c>
      <c r="W94" s="9">
        <f>_xll.BQL("SEG0000612092 Segment", "REVENUE_GROWTH_CC_1_YR", "FPT=Q", "FPO=6Q", "ACT_EST_MAPPING=PRECISE", "FS=MRC", "CURRENCY=USD", "XLFILL=b")</f>
        <v>18.157758525324976</v>
      </c>
      <c r="X94" s="9">
        <f>_xll.BQL("SEG0000612092 Segment", "REVENUE_GROWTH_CC_1_YR", "FPT=Q", "FPO=7Q", "ACT_EST_MAPPING=PRECISE", "FS=MRC", "CURRENCY=USD", "XLFILL=b")</f>
        <v>17.997103712891334</v>
      </c>
    </row>
    <row r="95" spans="1:24" x14ac:dyDescent="0.25">
      <c r="A95" s="8" t="s">
        <v>128</v>
      </c>
      <c r="B95" s="4" t="s">
        <v>21</v>
      </c>
      <c r="C95" s="4" t="s">
        <v>22</v>
      </c>
      <c r="D95" s="4" t="s">
        <v>38</v>
      </c>
      <c r="E95" s="9">
        <f>_xll.BQL("SEG0000612093 Segment", "SALES_REV_TURN/1M", "FPT=Q", "FPO=-12Q", "ACT_EST_MAPPING=PRECISE", "FS=MRC", "CURRENCY=USD", "XLFILL=b")</f>
        <v>1027</v>
      </c>
      <c r="F95" s="9">
        <f>_xll.BQL("SEG0000612093 Segment", "SALES_REV_TURN/1M", "FPT=Q", "FPO=-11Q", "ACT_EST_MAPPING=PRECISE", "FS=MRC", "CURRENCY=USD", "XLFILL=b")</f>
        <v>1344</v>
      </c>
      <c r="G95" s="9">
        <f>_xll.BQL("SEG0000612093 Segment", "SALES_REV_TURN/1M", "FPT=Q", "FPO=-10Q", "ACT_EST_MAPPING=PRECISE", "FS=MRC", "CURRENCY=USD", "XLFILL=b")</f>
        <v>1226</v>
      </c>
      <c r="H95" s="9">
        <f>_xll.BQL("SEG0000612093 Segment", "SALES_REV_TURN/1M", "FPT=Q", "FPO=-9Q", "ACT_EST_MAPPING=PRECISE", "FS=MRC", "CURRENCY=USD", "XLFILL=b")</f>
        <v>1361</v>
      </c>
      <c r="I95" s="9">
        <f>_xll.BQL("SEG0000612093 Segment", "SALES_REV_TURN/1M", "FPT=Q", "FPO=-8Q", "ACT_EST_MAPPING=PRECISE", "FS=MRC", "CURRENCY=USD", "XLFILL=b")</f>
        <v>1262</v>
      </c>
      <c r="J95" s="9">
        <f>_xll.BQL("SEG0000612093 Segment", "SALES_REV_TURN/1M", "FPT=Q", "FPO=-7Q", "ACT_EST_MAPPING=PRECISE", "FS=MRC", "CURRENCY=USD", "XLFILL=b")</f>
        <v>1260</v>
      </c>
      <c r="K95" s="9">
        <f>_xll.BQL("SEG0000612093 Segment", "SALES_REV_TURN/1M", "FPT=Q", "FPO=-6Q", "ACT_EST_MAPPING=PRECISE", "FS=MRC", "CURRENCY=USD", "XLFILL=b")</f>
        <v>1313</v>
      </c>
      <c r="L95" s="9">
        <f>_xll.BQL("SEG0000612093 Segment", "SALES_REV_TURN/1M", "FPT=Q", "FPO=-5Q", "ACT_EST_MAPPING=PRECISE", "FS=MRC", "CURRENCY=USD", "XLFILL=b")</f>
        <v>1590</v>
      </c>
      <c r="M95" s="9">
        <f>_xll.BQL("SEG0000612093 Segment", "SALES_REV_TURN/1M", "FPT=Q", "FPO=-4Q", "ACT_EST_MAPPING=PRECISE", "FS=MRC", "CURRENCY=USD", "XLFILL=b")</f>
        <v>1312</v>
      </c>
      <c r="N95" s="9">
        <f>_xll.BQL("SEG0000612093 Segment", "SALES_REV_TURN/1M", "FPT=Q", "FPO=-3Q", "ACT_EST_MAPPING=PRECISE", "FS=MRC", "CURRENCY=USD", "XLFILL=b")</f>
        <v>1499</v>
      </c>
      <c r="O95" s="9">
        <f>_xll.BQL("SEG0000612093 Segment", "SALES_REV_TURN/1M", "FPT=Q", "FPO=-2Q", "ACT_EST_MAPPING=PRECISE", "FS=MRC", "CURRENCY=USD", "XLFILL=b")</f>
        <v>1415</v>
      </c>
      <c r="P95" s="9">
        <f>_xll.BQL("SEG0000612093 Segment", "SALES_REV_TURN/1M", "FPT=Q", "FPO=-1Q", "ACT_EST_MAPPING=PRECISE", "FS=MRC", "CURRENCY=USD", "XLFILL=b")</f>
        <v>1709</v>
      </c>
      <c r="Q95" s="9">
        <f>_xll.BQL("SEG0000612093 Segment", "SALES_REV_TURN/1M", "FPT=Q", "FPO=0Q", "ACT_EST_MAPPING=PRECISE", "FS=MRC", "CURRENCY=USD", "XLFILL=b")</f>
        <v>1645</v>
      </c>
      <c r="R95" s="9">
        <f>_xll.BQL("SEG0000612093 Segment", "SALES_REV_TURN/1M", "FPT=Q", "FPO=1Q", "ACT_EST_MAPPING=PRECISE", "FS=MRC", "CURRENCY=USD", "XLFILL=b")</f>
        <v>1658.2492750464987</v>
      </c>
      <c r="S95" s="9">
        <f>_xll.BQL("SEG0000612093 Segment", "SALES_REV_TURN/1M", "FPT=Q", "FPO=2Q", "ACT_EST_MAPPING=PRECISE", "FS=MRC", "CURRENCY=USD", "XLFILL=b")</f>
        <v>1548.2731650541195</v>
      </c>
      <c r="T95" s="9">
        <f>_xll.BQL("SEG0000612093 Segment", "SALES_REV_TURN/1M", "FPT=Q", "FPO=3Q", "ACT_EST_MAPPING=PRECISE", "FS=MRC", "CURRENCY=USD", "XLFILL=b")</f>
        <v>1778.4988942605473</v>
      </c>
      <c r="U95" s="9">
        <f>_xll.BQL("SEG0000612093 Segment", "SALES_REV_TURN/1M", "FPT=Q", "FPO=4Q", "ACT_EST_MAPPING=PRECISE", "FS=MRC", "CURRENCY=USD", "XLFILL=b")</f>
        <v>1963.7226839378152</v>
      </c>
      <c r="V95" s="9">
        <f>_xll.BQL("SEG0000612093 Segment", "SALES_REV_TURN/1M", "FPT=Q", "FPO=5Q", "ACT_EST_MAPPING=PRECISE", "FS=MRC", "CURRENCY=USD", "XLFILL=b")</f>
        <v>2064.047091501317</v>
      </c>
      <c r="W95" s="9">
        <f>_xll.BQL("SEG0000612093 Segment", "SALES_REV_TURN/1M", "FPT=Q", "FPO=6Q", "ACT_EST_MAPPING=PRECISE", "FS=MRC", "CURRENCY=USD", "XLFILL=b")</f>
        <v>1775.4025258056115</v>
      </c>
      <c r="X95" s="9">
        <f>_xll.BQL("SEG0000612093 Segment", "SALES_REV_TURN/1M", "FPT=Q", "FPO=7Q", "ACT_EST_MAPPING=PRECISE", "FS=MRC", "CURRENCY=USD", "XLFILL=b")</f>
        <v>1807.5747807715527</v>
      </c>
    </row>
    <row r="96" spans="1:24" x14ac:dyDescent="0.25">
      <c r="A96" s="8" t="s">
        <v>123</v>
      </c>
      <c r="B96" s="4" t="s">
        <v>27</v>
      </c>
      <c r="C96" s="4" t="s">
        <v>28</v>
      </c>
      <c r="D96" s="4" t="s">
        <v>38</v>
      </c>
      <c r="E96" s="9">
        <f>_xll.BQL("SEG0000612093 Segment", "REVENUE_GROWTH_CC_1_YR", "FPT=Q", "FPO=-12Q", "ACT_EST_MAPPING=PRECISE", "FS=MRC", "CURRENCY=USD", "XLFILL=b")</f>
        <v>57</v>
      </c>
      <c r="F96" s="9">
        <f>_xll.BQL("SEG0000612093 Segment", "REVENUE_GROWTH_CC_1_YR", "FPT=Q", "FPO=-11Q", "ACT_EST_MAPPING=PRECISE", "FS=MRC", "CURRENCY=USD", "XLFILL=b")</f>
        <v>26</v>
      </c>
      <c r="G96" s="9">
        <f>_xll.BQL("SEG0000612093 Segment", "REVENUE_GROWTH_CC_1_YR", "FPT=Q", "FPO=-10Q", "ACT_EST_MAPPING=PRECISE", "FS=MRC", "CURRENCY=USD", "XLFILL=b")</f>
        <v>-3</v>
      </c>
      <c r="H96" s="9">
        <f>_xll.BQL("SEG0000612093 Segment", "REVENUE_GROWTH_CC_1_YR", "FPT=Q", "FPO=-9Q", "ACT_EST_MAPPING=PRECISE", "FS=MRC", "CURRENCY=USD", "XLFILL=b")</f>
        <v>8</v>
      </c>
      <c r="I96" s="9">
        <f>_xll.BQL("SEG0000612093 Segment", "REVENUE_GROWTH_CC_1_YR", "FPT=Q", "FPO=-8Q", "ACT_EST_MAPPING=PRECISE", "FS=MRC", "CURRENCY=USD", "XLFILL=b")</f>
        <v>23</v>
      </c>
      <c r="J96" s="9">
        <f>_xll.BQL("SEG0000612093 Segment", "REVENUE_GROWTH_CC_1_YR", "FPT=Q", "FPO=-7Q", "ACT_EST_MAPPING=PRECISE", "FS=MRC", "CURRENCY=USD", "XLFILL=b")</f>
        <v>-6</v>
      </c>
      <c r="K96" s="9">
        <f>_xll.BQL("SEG0000612093 Segment", "REVENUE_GROWTH_CC_1_YR", "FPT=Q", "FPO=-6Q", "ACT_EST_MAPPING=PRECISE", "FS=MRC", "CURRENCY=USD", "XLFILL=b")</f>
        <v>5</v>
      </c>
      <c r="L96" s="9">
        <f>_xll.BQL("SEG0000612093 Segment", "REVENUE_GROWTH_CC_1_YR", "FPT=Q", "FPO=-5Q", "ACT_EST_MAPPING=PRECISE", "FS=MRC", "CURRENCY=USD", "XLFILL=b")</f>
        <v>17</v>
      </c>
      <c r="M96" s="9">
        <f>_xll.BQL("SEG0000612093 Segment", "REVENUE_GROWTH_CC_1_YR", "FPT=Q", "FPO=-4Q", "ACT_EST_MAPPING=PRECISE", "FS=MRC", "CURRENCY=USD", "XLFILL=b")</f>
        <v>4</v>
      </c>
      <c r="N96" s="9">
        <f>_xll.BQL("SEG0000612093 Segment", "REVENUE_GROWTH_CC_1_YR", "FPT=Q", "FPO=-3Q", "ACT_EST_MAPPING=PRECISE", "FS=MRC", "CURRENCY=USD", "XLFILL=b")</f>
        <v>22</v>
      </c>
      <c r="O96" s="9">
        <f>_xll.BQL("SEG0000612093 Segment", "REVENUE_GROWTH_CC_1_YR", "FPT=Q", "FPO=-2Q", "ACT_EST_MAPPING=PRECISE", "FS=MRC", "CURRENCY=USD", "XLFILL=b")</f>
        <v>7</v>
      </c>
      <c r="P96" s="9">
        <f>_xll.BQL("SEG0000612093 Segment", "REVENUE_GROWTH_CC_1_YR", "FPT=Q", "FPO=-1Q", "ACT_EST_MAPPING=PRECISE", "FS=MRC", "CURRENCY=USD", "XLFILL=b")</f>
        <v>7</v>
      </c>
      <c r="Q96" s="9">
        <f>_xll.BQL("SEG0000612093 Segment", "REVENUE_GROWTH_CC_1_YR", "FPT=Q", "FPO=0Q", "ACT_EST_MAPPING=PRECISE", "FS=MRC", "CURRENCY=USD", "XLFILL=b")</f>
        <v>25</v>
      </c>
      <c r="R96" s="9">
        <f>_xll.BQL("SEG0000612093 Segment", "REVENUE_GROWTH_CC_1_YR", "FPT=Q", "FPO=1Q", "ACT_EST_MAPPING=PRECISE", "FS=MRC", "CURRENCY=USD", "XLFILL=b")</f>
        <v>9.0150311765057367</v>
      </c>
      <c r="S96" s="9">
        <f>_xll.BQL("SEG0000612093 Segment", "REVENUE_GROWTH_CC_1_YR", "FPT=Q", "FPO=2Q", "ACT_EST_MAPPING=PRECISE", "FS=MRC", "CURRENCY=USD", "XLFILL=b")</f>
        <v>9.5346057061993772</v>
      </c>
      <c r="T96" s="9">
        <f>_xll.BQL("SEG0000612093 Segment", "REVENUE_GROWTH_CC_1_YR", "FPT=Q", "FPO=3Q", "ACT_EST_MAPPING=PRECISE", "FS=MRC", "CURRENCY=USD", "XLFILL=b")</f>
        <v>9.3547850158202479</v>
      </c>
      <c r="U96" s="9">
        <f>_xll.BQL("SEG0000612093 Segment", "REVENUE_GROWTH_CC_1_YR", "FPT=Q", "FPO=4Q", "ACT_EST_MAPPING=PRECISE", "FS=MRC", "CURRENCY=USD", "XLFILL=b")</f>
        <v>1.7763614507671419</v>
      </c>
      <c r="V96" s="9">
        <f>_xll.BQL("SEG0000612093 Segment", "REVENUE_GROWTH_CC_1_YR", "FPT=Q", "FPO=5Q", "ACT_EST_MAPPING=PRECISE", "FS=MRC", "CURRENCY=USD", "XLFILL=b")</f>
        <v>1.6894974609988016</v>
      </c>
      <c r="W96" s="9">
        <f>_xll.BQL("SEG0000612093 Segment", "REVENUE_GROWTH_CC_1_YR", "FPT=Q", "FPO=6Q", "ACT_EST_MAPPING=PRECISE", "FS=MRC", "CURRENCY=USD", "XLFILL=b")</f>
        <v>1.5012531463161154</v>
      </c>
      <c r="X96" s="9">
        <f>_xll.BQL("SEG0000612093 Segment", "REVENUE_GROWTH_CC_1_YR", "FPT=Q", "FPO=7Q", "ACT_EST_MAPPING=PRECISE", "FS=MRC", "CURRENCY=USD", "XLFILL=b")</f>
        <v>1.5</v>
      </c>
    </row>
    <row r="97" spans="1:24" x14ac:dyDescent="0.25">
      <c r="A97" s="8" t="s">
        <v>14</v>
      </c>
      <c r="B97" s="4"/>
      <c r="C97" s="4"/>
      <c r="D97" s="4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</row>
    <row r="98" spans="1:24" x14ac:dyDescent="0.25">
      <c r="A98" s="8" t="s">
        <v>129</v>
      </c>
      <c r="B98" s="4"/>
      <c r="C98" s="4"/>
      <c r="D98" s="4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</row>
    <row r="99" spans="1:24" x14ac:dyDescent="0.25">
      <c r="A99" s="8" t="s">
        <v>118</v>
      </c>
      <c r="B99" s="4" t="s">
        <v>21</v>
      </c>
      <c r="C99" s="4" t="s">
        <v>22</v>
      </c>
      <c r="D99" s="4" t="s">
        <v>36</v>
      </c>
      <c r="E99" s="9">
        <f>_xll.BQL("SEG0000227465 Segment", "SALES_REV_TURN/1M", "FPT=Q", "FPO=-12Q", "ACT_EST_MAPPING=PRECISE", "FS=MRC", "CURRENCY=USD", "XLFILL=b")</f>
        <v>21354</v>
      </c>
      <c r="F99" s="9">
        <f>_xll.BQL("SEG0000227465 Segment", "SALES_REV_TURN/1M", "FPT=Q", "FPO=-11Q", "ACT_EST_MAPPING=PRECISE", "FS=MRC", "CURRENCY=USD", "XLFILL=b")</f>
        <v>22140</v>
      </c>
      <c r="G99" s="9">
        <f>_xll.BQL("SEG0000227465 Segment", "SALES_REV_TURN/1M", "FPT=Q", "FPO=-10Q", "ACT_EST_MAPPING=PRECISE", "FS=MRC", "CURRENCY=USD", "XLFILL=b")</f>
        <v>23059</v>
      </c>
      <c r="H99" s="9">
        <f>_xll.BQL("SEG0000227465 Segment", "SALES_REV_TURN/1M", "FPT=Q", "FPO=-9Q", "ACT_EST_MAPPING=PRECISE", "FS=MRC", "CURRENCY=USD", "XLFILL=b")</f>
        <v>24204</v>
      </c>
      <c r="I99" s="9">
        <f>_xll.BQL("SEG0000227465 Segment", "SALES_REV_TURN/1M", "FPT=Q", "FPO=-8Q", "ACT_EST_MAPPING=PRECISE", "FS=MRC", "CURRENCY=USD", "XLFILL=b")</f>
        <v>25037</v>
      </c>
      <c r="J99" s="9">
        <f>_xll.BQL("SEG0000227465 Segment", "SALES_REV_TURN/1M", "FPT=Q", "FPO=-7Q", "ACT_EST_MAPPING=PRECISE", "FS=MRC", "CURRENCY=USD", "XLFILL=b")</f>
        <v>26281</v>
      </c>
      <c r="K99" s="9">
        <f>_xll.BQL("SEG0000227465 Segment", "SALES_REV_TURN/1M", "FPT=Q", "FPO=-6Q", "ACT_EST_MAPPING=PRECISE", "FS=MRC", "CURRENCY=USD", "XLFILL=b")</f>
        <v>27452</v>
      </c>
      <c r="L99" s="9">
        <f>_xll.BQL("SEG0000227465 Segment", "SALES_REV_TURN/1M", "FPT=Q", "FPO=-5Q", "ACT_EST_MAPPING=PRECISE", "FS=MRC", "CURRENCY=USD", "XLFILL=b")</f>
        <v>28786</v>
      </c>
      <c r="M99" s="9">
        <f>_xll.BQL("SEG0000227465 Segment", "SALES_REV_TURN/1M", "FPT=Q", "FPO=-4Q", "ACT_EST_MAPPING=PRECISE", "FS=MRC", "CURRENCY=USD", "XLFILL=b")</f>
        <v>29267</v>
      </c>
      <c r="N99" s="9">
        <f>_xll.BQL("SEG0000227465 Segment", "SALES_REV_TURN/1M", "FPT=Q", "FPO=-3Q", "ACT_EST_MAPPING=PRECISE", "FS=MRC", "CURRENCY=USD", "XLFILL=b")</f>
        <v>30873</v>
      </c>
      <c r="O99" s="9">
        <f>_xll.BQL("SEG0000227465 Segment", "SALES_REV_TURN/1M", "FPT=Q", "FPO=-2Q", "ACT_EST_MAPPING=PRECISE", "FS=MRC", "CURRENCY=USD", "XLFILL=b")</f>
        <v>33006</v>
      </c>
      <c r="P99" s="9">
        <f>_xll.BQL("SEG0000227465 Segment", "SALES_REV_TURN/1M", "FPT=Q", "FPO=-1Q", "ACT_EST_MAPPING=PRECISE", "FS=MRC", "CURRENCY=USD", "XLFILL=b")</f>
        <v>35579</v>
      </c>
      <c r="Q99" s="9">
        <f>_xll.BQL("SEG0000227465 Segment", "SALES_REV_TURN/1M", "FPT=Q", "FPO=0Q", "ACT_EST_MAPPING=PRECISE", "FS=MRC", "CURRENCY=USD", "XLFILL=b")</f>
        <v>37587</v>
      </c>
      <c r="R99" s="9">
        <f>_xll.BQL("SEG0000227465 Segment", "SALES_REV_TURN/1M", "FPT=Q", "FPO=1Q", "ACT_EST_MAPPING=PRECISE", "FS=MRC", "CURRENCY=USD", "XLFILL=b")</f>
        <v>40538.304457795231</v>
      </c>
      <c r="S99" s="9">
        <f>_xll.BQL("SEG0000227465 Segment", "SALES_REV_TURN/1M", "FPT=Q", "FPO=2Q", "ACT_EST_MAPPING=PRECISE", "FS=MRC", "CURRENCY=USD", "XLFILL=b")</f>
        <v>43323.187466633666</v>
      </c>
      <c r="T99" s="9">
        <f>_xll.BQL("SEG0000227465 Segment", "SALES_REV_TURN/1M", "FPT=Q", "FPO=3Q", "ACT_EST_MAPPING=PRECISE", "FS=MRC", "CURRENCY=USD", "XLFILL=b")</f>
        <v>46810.539523764033</v>
      </c>
      <c r="U99" s="9">
        <f>_xll.BQL("SEG0000227465 Segment", "SALES_REV_TURN/1M", "FPT=Q", "FPO=4Q", "ACT_EST_MAPPING=PRECISE", "FS=MRC", "CURRENCY=USD", "XLFILL=b")</f>
        <v>49323.367392779655</v>
      </c>
      <c r="V99" s="9">
        <f>_xll.BQL("SEG0000227465 Segment", "SALES_REV_TURN/1M", "FPT=Q", "FPO=5Q", "ACT_EST_MAPPING=PRECISE", "FS=MRC", "CURRENCY=USD", "XLFILL=b")</f>
        <v>52806.172794055354</v>
      </c>
      <c r="W99" s="9">
        <f>_xll.BQL("SEG0000227465 Segment", "SALES_REV_TURN/1M", "FPT=Q", "FPO=6Q", "ACT_EST_MAPPING=PRECISE", "FS=MRC", "CURRENCY=USD", "XLFILL=b")</f>
        <v>56190.597404263557</v>
      </c>
      <c r="X99" s="9">
        <f>_xll.BQL("SEG0000227465 Segment", "SALES_REV_TURN/1M", "FPT=Q", "FPO=7Q", "ACT_EST_MAPPING=PRECISE", "FS=MRC", "CURRENCY=USD", "XLFILL=b")</f>
        <v>60458.752063611289</v>
      </c>
    </row>
    <row r="100" spans="1:24" x14ac:dyDescent="0.25">
      <c r="A100" s="8" t="s">
        <v>130</v>
      </c>
      <c r="B100" s="4" t="s">
        <v>121</v>
      </c>
      <c r="C100" s="4" t="s">
        <v>122</v>
      </c>
      <c r="D100" s="4" t="s">
        <v>36</v>
      </c>
      <c r="E100" s="9">
        <f>_xll.BQL("SEG0000227465 Segment", "IS_PERCENTAGE_OF_REVENUE", "FPT=Q", "FPO=-12Q", "ACT_EST_MAPPING=PRECISE", "FS=MRC", "CURRENCY=USD", "XLFILL=b")</f>
        <v>17</v>
      </c>
      <c r="F100" s="9">
        <f>_xll.BQL("SEG0000227465 Segment", "IS_PERCENTAGE_OF_REVENUE", "FPT=Q", "FPO=-11Q", "ACT_EST_MAPPING=PRECISE", "FS=MRC", "CURRENCY=USD", "XLFILL=b")</f>
        <v>17</v>
      </c>
      <c r="G100" s="9">
        <f>_xll.BQL("SEG0000227465 Segment", "IS_PERCENTAGE_OF_REVENUE", "FPT=Q", "FPO=-10Q", "ACT_EST_MAPPING=PRECISE", "FS=MRC", "CURRENCY=USD", "XLFILL=b")</f>
        <v>16</v>
      </c>
      <c r="H100" s="9">
        <f>_xll.BQL("SEG0000227465 Segment", "IS_PERCENTAGE_OF_REVENUE", "FPT=Q", "FPO=-9Q", "ACT_EST_MAPPING=PRECISE", "FS=MRC", "CURRENCY=USD", "XLFILL=b")</f>
        <v>14</v>
      </c>
      <c r="I100" s="9">
        <f>_xll.BQL("SEG0000227465 Segment", "IS_PERCENTAGE_OF_REVENUE", "FPT=Q", "FPO=-8Q", "ACT_EST_MAPPING=PRECISE", "FS=MRC", "CURRENCY=USD", "XLFILL=b")</f>
        <v>18</v>
      </c>
      <c r="J100" s="9">
        <f>_xll.BQL("SEG0000227465 Segment", "IS_PERCENTAGE_OF_REVENUE", "FPT=Q", "FPO=-7Q", "ACT_EST_MAPPING=PRECISE", "FS=MRC", "CURRENCY=USD", "XLFILL=b")</f>
        <v>18</v>
      </c>
      <c r="K100" s="9">
        <f>_xll.BQL("SEG0000227465 Segment", "IS_PERCENTAGE_OF_REVENUE", "FPT=Q", "FPO=-6Q", "ACT_EST_MAPPING=PRECISE", "FS=MRC", "CURRENCY=USD", "XLFILL=b")</f>
        <v>17</v>
      </c>
      <c r="L100" s="9">
        <f>_xll.BQL("SEG0000227465 Segment", "IS_PERCENTAGE_OF_REVENUE", "FPT=Q", "FPO=-5Q", "ACT_EST_MAPPING=PRECISE", "FS=MRC", "CURRENCY=USD", "XLFILL=b")</f>
        <v>15</v>
      </c>
      <c r="M100" s="9">
        <f>_xll.BQL("SEG0000227465 Segment", "IS_PERCENTAGE_OF_REVENUE", "FPT=Q", "FPO=-4Q", "ACT_EST_MAPPING=PRECISE", "FS=MRC", "CURRENCY=USD", "XLFILL=b")</f>
        <v>19</v>
      </c>
      <c r="N100" s="9">
        <f>_xll.BQL("SEG0000227465 Segment", "IS_PERCENTAGE_OF_REVENUE", "FPT=Q", "FPO=-3Q", "ACT_EST_MAPPING=PRECISE", "FS=MRC", "CURRENCY=USD", "XLFILL=b")</f>
        <v>18</v>
      </c>
      <c r="O100" s="9">
        <f>_xll.BQL("SEG0000227465 Segment", "IS_PERCENTAGE_OF_REVENUE", "FPT=Q", "FPO=-2Q", "ACT_EST_MAPPING=PRECISE", "FS=MRC", "CURRENCY=USD", "XLFILL=b")</f>
        <v>18</v>
      </c>
      <c r="P100" s="9">
        <f>_xll.BQL("SEG0000227465 Segment", "IS_PERCENTAGE_OF_REVENUE", "FPT=Q", "FPO=-1Q", "ACT_EST_MAPPING=PRECISE", "FS=MRC", "CURRENCY=USD", "XLFILL=b")</f>
        <v>17</v>
      </c>
      <c r="Q100" s="9">
        <f>_xll.BQL("SEG0000227465 Segment", "IS_PERCENTAGE_OF_REVENUE", "FPT=Q", "FPO=0Q", "ACT_EST_MAPPING=PRECISE", "FS=MRC", "CURRENCY=USD", "XLFILL=b")</f>
        <v>21</v>
      </c>
      <c r="R100" s="9">
        <f>_xll.BQL("SEG0000227465 Segment", "IS_PERCENTAGE_OF_REVENUE", "FPT=Q", "FPO=1Q", "ACT_EST_MAPPING=PRECISE", "FS=MRC", "CURRENCY=USD", "XLFILL=b")</f>
        <v>16.572752883368508</v>
      </c>
      <c r="S100" s="9">
        <f>_xll.BQL("SEG0000227465 Segment", "IS_PERCENTAGE_OF_REVENUE", "FPT=Q", "FPO=2Q", "ACT_EST_MAPPING=PRECISE", "FS=MRC", "CURRENCY=USD", "XLFILL=b")</f>
        <v>19.296234883949115</v>
      </c>
      <c r="T100" s="9">
        <f>_xll.BQL("SEG0000227465 Segment", "IS_PERCENTAGE_OF_REVENUE", "FPT=Q", "FPO=3Q", "ACT_EST_MAPPING=PRECISE", "FS=MRC", "CURRENCY=USD", "XLFILL=b")</f>
        <v>17.976868453937026</v>
      </c>
      <c r="U100" s="9">
        <f>_xll.BQL("SEG0000227465 Segment", "IS_PERCENTAGE_OF_REVENUE", "FPT=Q", "FPO=4Q", "ACT_EST_MAPPING=PRECISE", "FS=MRC", "CURRENCY=USD", "XLFILL=b")</f>
        <v>22.444321573367755</v>
      </c>
      <c r="V100" s="9">
        <f>_xll.BQL("SEG0000227465 Segment", "IS_PERCENTAGE_OF_REVENUE", "FPT=Q", "FPO=5Q", "ACT_EST_MAPPING=PRECISE", "FS=MRC", "CURRENCY=USD", "XLFILL=b")</f>
        <v>22.222525707910282</v>
      </c>
      <c r="W100" s="9">
        <f>_xll.BQL("SEG0000227465 Segment", "IS_PERCENTAGE_OF_REVENUE", "FPT=Q", "FPO=6Q", "ACT_EST_MAPPING=PRECISE", "FS=MRC", "CURRENCY=USD", "XLFILL=b")</f>
        <v>22.716024688286055</v>
      </c>
      <c r="X100" s="9">
        <f>_xll.BQL("SEG0000227465 Segment", "IS_PERCENTAGE_OF_REVENUE", "FPT=Q", "FPO=7Q", "ACT_EST_MAPPING=PRECISE", "FS=MRC", "CURRENCY=USD", "XLFILL=b")</f>
        <v>21.096770820368892</v>
      </c>
    </row>
    <row r="101" spans="1:24" x14ac:dyDescent="0.25">
      <c r="A101" s="8" t="s">
        <v>26</v>
      </c>
      <c r="B101" s="4" t="s">
        <v>27</v>
      </c>
      <c r="C101" s="4" t="s">
        <v>28</v>
      </c>
      <c r="D101" s="4" t="s">
        <v>36</v>
      </c>
      <c r="E101" s="9">
        <f>_xll.BQL("SEG0000227465 Segment", "REVENUE_GROWTH_CC_1_YR", "FPT=Q", "FPO=-12Q", "ACT_EST_MAPPING=PRECISE", "FS=MRC", "CURRENCY=USD", "XLFILL=b")</f>
        <v>16</v>
      </c>
      <c r="F101" s="9">
        <f>_xll.BQL("SEG0000227465 Segment", "REVENUE_GROWTH_CC_1_YR", "FPT=Q", "FPO=-11Q", "ACT_EST_MAPPING=PRECISE", "FS=MRC", "CURRENCY=USD", "XLFILL=b")</f>
        <v>12</v>
      </c>
      <c r="G101" s="9">
        <f>_xll.BQL("SEG0000227465 Segment", "REVENUE_GROWTH_CC_1_YR", "FPT=Q", "FPO=-10Q", "ACT_EST_MAPPING=PRECISE", "FS=MRC", "CURRENCY=USD", "XLFILL=b")</f>
        <v>12</v>
      </c>
      <c r="H101" s="9">
        <f>_xll.BQL("SEG0000227465 Segment", "REVENUE_GROWTH_CC_1_YR", "FPT=Q", "FPO=-9Q", "ACT_EST_MAPPING=PRECISE", "FS=MRC", "CURRENCY=USD", "XLFILL=b")</f>
        <v>13</v>
      </c>
      <c r="I101" s="9">
        <f>_xll.BQL("SEG0000227465 Segment", "REVENUE_GROWTH_CC_1_YR", "FPT=Q", "FPO=-8Q", "ACT_EST_MAPPING=PRECISE", "FS=MRC", "CURRENCY=USD", "XLFILL=b")</f>
        <v>17</v>
      </c>
      <c r="J101" s="9">
        <f>_xll.BQL("SEG0000227465 Segment", "REVENUE_GROWTH_CC_1_YR", "FPT=Q", "FPO=-7Q", "ACT_EST_MAPPING=PRECISE", "FS=MRC", "CURRENCY=USD", "XLFILL=b")</f>
        <v>19</v>
      </c>
      <c r="K101" s="9">
        <f>_xll.BQL("SEG0000227465 Segment", "REVENUE_GROWTH_CC_1_YR", "FPT=Q", "FPO=-6Q", "ACT_EST_MAPPING=PRECISE", "FS=MRC", "CURRENCY=USD", "XLFILL=b")</f>
        <v>19</v>
      </c>
      <c r="L101" s="9">
        <f>_xll.BQL("SEG0000227465 Segment", "REVENUE_GROWTH_CC_1_YR", "FPT=Q", "FPO=-5Q", "ACT_EST_MAPPING=PRECISE", "FS=MRC", "CURRENCY=USD", "XLFILL=b")</f>
        <v>19</v>
      </c>
      <c r="M101" s="9">
        <f>_xll.BQL("SEG0000227465 Segment", "REVENUE_GROWTH_CC_1_YR", "FPT=Q", "FPO=-4Q", "ACT_EST_MAPPING=PRECISE", "FS=MRC", "CURRENCY=USD", "XLFILL=b")</f>
        <v>17</v>
      </c>
      <c r="N101" s="9">
        <f>_xll.BQL("SEG0000227465 Segment", "REVENUE_GROWTH_CC_1_YR", "FPT=Q", "FPO=-3Q", "ACT_EST_MAPPING=PRECISE", "FS=MRC", "CURRENCY=USD", "XLFILL=b")</f>
        <v>17</v>
      </c>
      <c r="O101" s="9">
        <f>_xll.BQL("SEG0000227465 Segment", "REVENUE_GROWTH_CC_1_YR", "FPT=Q", "FPO=-2Q", "ACT_EST_MAPPING=PRECISE", "FS=MRC", "CURRENCY=USD", "XLFILL=b")</f>
        <v>20</v>
      </c>
      <c r="P101" s="9">
        <f>_xll.BQL("SEG0000227465 Segment", "REVENUE_GROWTH_CC_1_YR", "FPT=Q", "FPO=-1Q", "ACT_EST_MAPPING=PRECISE", "FS=MRC", "CURRENCY=USD", "XLFILL=b")</f>
        <v>24</v>
      </c>
      <c r="Q101" s="9">
        <f>_xll.BQL("SEG0000227465 Segment", "REVENUE_GROWTH_CC_1_YR", "FPT=Q", "FPO=0Q", "ACT_EST_MAPPING=PRECISE", "FS=MRC", "CURRENCY=USD", "XLFILL=b")</f>
        <v>28</v>
      </c>
      <c r="R101" s="9">
        <f>_xll.BQL("SEG0000227465 Segment", "REVENUE_GROWTH_CC_1_YR", "FPT=Q", "FPO=1Q", "ACT_EST_MAPPING=PRECISE", "FS=MRC", "CURRENCY=USD", "XLFILL=b")</f>
        <v>31.162100113409817</v>
      </c>
      <c r="S101" s="9">
        <f>_xll.BQL("SEG0000227465 Segment", "REVENUE_GROWTH_CC_1_YR", "FPT=Q", "FPO=2Q", "ACT_EST_MAPPING=PRECISE", "FS=MRC", "CURRENCY=USD", "XLFILL=b")</f>
        <v>31.321232437143586</v>
      </c>
      <c r="T101" s="9">
        <f>_xll.BQL("SEG0000227465 Segment", "REVENUE_GROWTH_CC_1_YR", "FPT=Q", "FPO=3Q", "ACT_EST_MAPPING=PRECISE", "FS=MRC", "CURRENCY=USD", "XLFILL=b")</f>
        <v>31.893409943872175</v>
      </c>
      <c r="U101" s="9">
        <f>_xll.BQL("SEG0000227465 Segment", "REVENUE_GROWTH_CC_1_YR", "FPT=Q", "FPO=4Q", "ACT_EST_MAPPING=PRECISE", "FS=MRC", "CURRENCY=USD", "XLFILL=b")</f>
        <v>32.070861957993223</v>
      </c>
      <c r="V101" s="9">
        <f>_xll.BQL("SEG0000227465 Segment", "REVENUE_GROWTH_CC_1_YR", "FPT=Q", "FPO=5Q", "ACT_EST_MAPPING=PRECISE", "FS=MRC", "CURRENCY=USD", "XLFILL=b")</f>
        <v>31.347215204620348</v>
      </c>
      <c r="W101" s="9">
        <f>_xll.BQL("SEG0000227465 Segment", "REVENUE_GROWTH_CC_1_YR", "FPT=Q", "FPO=6Q", "ACT_EST_MAPPING=PRECISE", "FS=MRC", "CURRENCY=USD", "XLFILL=b")</f>
        <v>29.922222474246457</v>
      </c>
      <c r="X101" s="9">
        <f>_xll.BQL("SEG0000227465 Segment", "REVENUE_GROWTH_CC_1_YR", "FPT=Q", "FPO=7Q", "ACT_EST_MAPPING=PRECISE", "FS=MRC", "CURRENCY=USD", "XLFILL=b")</f>
        <v>28.663413171827774</v>
      </c>
    </row>
    <row r="102" spans="1:24" x14ac:dyDescent="0.25">
      <c r="A102" s="8" t="s">
        <v>131</v>
      </c>
      <c r="B102" s="4" t="s">
        <v>132</v>
      </c>
      <c r="C102" s="4" t="s">
        <v>133</v>
      </c>
      <c r="D102" s="4" t="s">
        <v>36</v>
      </c>
      <c r="E102" s="9">
        <f>_xll.BQL("SEG0000227465 Segment", "IS_TOT_OPER_EXP/1M", "FPT=Q", "FPO=-12Q", "ACT_EST_MAPPING=PRECISE", "FS=MRC", "CURRENCY=USD", "XLFILL=b")</f>
        <v>16231</v>
      </c>
      <c r="F102" s="9">
        <f>_xll.BQL("SEG0000227465 Segment", "IS_TOT_OPER_EXP/1M", "FPT=Q", "FPO=-11Q", "ACT_EST_MAPPING=PRECISE", "FS=MRC", "CURRENCY=USD", "XLFILL=b")</f>
        <v>16775</v>
      </c>
      <c r="G102" s="9">
        <f>_xll.BQL("SEG0000227465 Segment", "IS_TOT_OPER_EXP/1M", "FPT=Q", "FPO=-10Q", "ACT_EST_MAPPING=PRECISE", "FS=MRC", "CURRENCY=USD", "XLFILL=b")</f>
        <v>16083</v>
      </c>
      <c r="H102" s="9">
        <f>_xll.BQL("SEG0000227465 Segment", "IS_TOT_OPER_EXP/1M", "FPT=Q", "FPO=-9Q", "ACT_EST_MAPPING=PRECISE", "FS=MRC", "CURRENCY=USD", "XLFILL=b")</f>
        <v>17037</v>
      </c>
      <c r="I102" s="9">
        <f>_xll.BQL("SEG0000227465 Segment", "IS_TOT_OPER_EXP/1M", "FPT=Q", "FPO=-8Q", "ACT_EST_MAPPING=PRECISE", "FS=MRC", "CURRENCY=USD", "XLFILL=b")</f>
        <v>15616</v>
      </c>
      <c r="J102" s="9">
        <f>_xll.BQL("SEG0000227465 Segment", "IS_TOT_OPER_EXP/1M", "FPT=Q", "FPO=-7Q", "ACT_EST_MAPPING=PRECISE", "FS=MRC", "CURRENCY=USD", "XLFILL=b")</f>
        <v>16947</v>
      </c>
      <c r="K102" s="9">
        <f>_xll.BQL("SEG0000227465 Segment", "IS_TOT_OPER_EXP/1M", "FPT=Q", "FPO=-6Q", "ACT_EST_MAPPING=PRECISE", "FS=MRC", "CURRENCY=USD", "XLFILL=b")</f>
        <v>17005</v>
      </c>
      <c r="L102" s="9">
        <f>_xll.BQL("SEG0000227465 Segment", "IS_TOT_OPER_EXP/1M", "FPT=Q", "FPO=-5Q", "ACT_EST_MAPPING=PRECISE", "FS=MRC", "CURRENCY=USD", "XLFILL=b")</f>
        <v>18154</v>
      </c>
      <c r="M102" s="9">
        <f>_xll.BQL("SEG0000227465 Segment", "IS_TOT_OPER_EXP/1M", "FPT=Q", "FPO=-4Q", "ACT_EST_MAPPING=PRECISE", "FS=MRC", "CURRENCY=USD", "XLFILL=b")</f>
        <v>17720</v>
      </c>
      <c r="N102" s="9">
        <f>_xll.BQL("SEG0000227465 Segment", "IS_TOT_OPER_EXP/1M", "FPT=Q", "FPO=-3Q", "ACT_EST_MAPPING=PRECISE", "FS=MRC", "CURRENCY=USD", "XLFILL=b")</f>
        <v>20713</v>
      </c>
      <c r="O102" s="9">
        <f>_xll.BQL("SEG0000227465 Segment", "IS_TOT_OPER_EXP/1M", "FPT=Q", "FPO=-2Q", "ACT_EST_MAPPING=PRECISE", "FS=MRC", "CURRENCY=USD", "XLFILL=b")</f>
        <v>21572</v>
      </c>
      <c r="P102" s="9">
        <f>_xll.BQL("SEG0000227465 Segment", "IS_TOT_OPER_EXP/1M", "FPT=Q", "FPO=-1Q", "ACT_EST_MAPPING=PRECISE", "FS=MRC", "CURRENCY=USD", "XLFILL=b")</f>
        <v>23114</v>
      </c>
      <c r="Q102" s="9">
        <f>_xll.BQL("SEG0000227465 Segment", "IS_TOT_OPER_EXP/1M", "FPT=Q", "FPO=0Q", "ACT_EST_MAPPING=PRECISE", "FS=MRC", "CURRENCY=USD", "XLFILL=b")</f>
        <v>23426</v>
      </c>
      <c r="R102" s="9">
        <f>_xll.BQL("SEG0000227465 Segment", "IS_TOT_OPER_EXP/1M", "FPT=Q", "FPO=1Q", "ACT_EST_MAPPING=PRECISE", "FS=MRC", "CURRENCY=USD", "XLFILL=b")</f>
        <v>24166.882122471368</v>
      </c>
      <c r="S102" s="9">
        <f>_xll.BQL("SEG0000227465 Segment", "IS_TOT_OPER_EXP/1M", "FPT=Q", "FPO=2Q", "ACT_EST_MAPPING=PRECISE", "FS=MRC", "CURRENCY=USD", "XLFILL=b")</f>
        <v>25322.841736624679</v>
      </c>
      <c r="T102" s="9">
        <f>_xll.BQL("SEG0000227465 Segment", "IS_TOT_OPER_EXP/1M", "FPT=Q", "FPO=3Q", "ACT_EST_MAPPING=PRECISE", "FS=MRC", "CURRENCY=USD", "XLFILL=b")</f>
        <v>31177.888273186258</v>
      </c>
      <c r="U102" s="9">
        <f>_xll.BQL("SEG0000227465 Segment", "IS_TOT_OPER_EXP/1M", "FPT=Q", "FPO=4Q", "ACT_EST_MAPPING=PRECISE", "FS=MRC", "CURRENCY=USD", "XLFILL=b")</f>
        <v>32087.064537728551</v>
      </c>
      <c r="V102" s="9">
        <f>_xll.BQL("SEG0000227465 Segment", "IS_TOT_OPER_EXP/1M", "FPT=Q", "FPO=5Q", "ACT_EST_MAPPING=PRECISE", "FS=MRC", "CURRENCY=USD", "XLFILL=b")</f>
        <v>36987.709030656253</v>
      </c>
      <c r="W102" s="9">
        <f>_xll.BQL("SEG0000227465 Segment", "IS_TOT_OPER_EXP/1M", "FPT=Q", "FPO=6Q", "ACT_EST_MAPPING=PRECISE", "FS=MRC", "CURRENCY=USD", "XLFILL=b")</f>
        <v>39320.816347963198</v>
      </c>
      <c r="X102" s="9">
        <f>_xll.BQL("SEG0000227465 Segment", "IS_TOT_OPER_EXP/1M", "FPT=Q", "FPO=7Q", "ACT_EST_MAPPING=PRECISE", "FS=MRC", "CURRENCY=USD", "XLFILL=b")</f>
        <v>42042.216518769055</v>
      </c>
    </row>
    <row r="103" spans="1:24" x14ac:dyDescent="0.25">
      <c r="A103" s="8" t="s">
        <v>134</v>
      </c>
      <c r="B103" s="4" t="s">
        <v>135</v>
      </c>
      <c r="C103" s="4" t="s">
        <v>136</v>
      </c>
      <c r="D103" s="4" t="s">
        <v>36</v>
      </c>
      <c r="E103" s="9">
        <f>_xll.BQL("SEG0000227465 Segment", "IS_OPER_INC/1M", "FPT=Q", "FPO=-12Q", "ACT_EST_MAPPING=PRECISE", "FS=MRC", "CURRENCY=USD", "XLFILL=b")</f>
        <v>5123</v>
      </c>
      <c r="F103" s="9">
        <f>_xll.BQL("SEG0000227465 Segment", "IS_OPER_INC/1M", "FPT=Q", "FPO=-11Q", "ACT_EST_MAPPING=PRECISE", "FS=MRC", "CURRENCY=USD", "XLFILL=b")</f>
        <v>5365</v>
      </c>
      <c r="G103" s="9">
        <f>_xll.BQL("SEG0000227465 Segment", "IS_OPER_INC/1M", "FPT=Q", "FPO=-10Q", "ACT_EST_MAPPING=PRECISE", "FS=MRC", "CURRENCY=USD", "XLFILL=b")</f>
        <v>6976</v>
      </c>
      <c r="H103" s="9">
        <f>_xll.BQL("SEG0000227465 Segment", "IS_OPER_INC/1M", "FPT=Q", "FPO=-9Q", "ACT_EST_MAPPING=PRECISE", "FS=MRC", "CURRENCY=USD", "XLFILL=b")</f>
        <v>7167</v>
      </c>
      <c r="I103" s="9">
        <f>_xll.BQL("SEG0000227465 Segment", "IS_OPER_INC/1M", "FPT=Q", "FPO=-8Q", "ACT_EST_MAPPING=PRECISE", "FS=MRC", "CURRENCY=USD", "XLFILL=b")</f>
        <v>9421</v>
      </c>
      <c r="J103" s="9">
        <f>_xll.BQL("SEG0000227465 Segment", "IS_OPER_INC/1M", "FPT=Q", "FPO=-7Q", "ACT_EST_MAPPING=PRECISE", "FS=MRC", "CURRENCY=USD", "XLFILL=b")</f>
        <v>9334</v>
      </c>
      <c r="K103" s="9">
        <f>_xll.BQL("SEG0000227465 Segment", "IS_OPER_INC/1M", "FPT=Q", "FPO=-6Q", "ACT_EST_MAPPING=PRECISE", "FS=MRC", "CURRENCY=USD", "XLFILL=b")</f>
        <v>10447</v>
      </c>
      <c r="L103" s="9">
        <f>_xll.BQL("SEG0000227465 Segment", "IS_OPER_INC/1M", "FPT=Q", "FPO=-5Q", "ACT_EST_MAPPING=PRECISE", "FS=MRC", "CURRENCY=USD", "XLFILL=b")</f>
        <v>10632</v>
      </c>
      <c r="M103" s="9">
        <f>_xll.BQL("SEG0000227465 Segment", "IS_OPER_INC/1M", "FPT=Q", "FPO=-4Q", "ACT_EST_MAPPING=PRECISE", "FS=MRC", "CURRENCY=USD", "XLFILL=b")</f>
        <v>11547</v>
      </c>
      <c r="N103" s="9">
        <f>_xll.BQL("SEG0000227465 Segment", "IS_OPER_INC/1M", "FPT=Q", "FPO=-3Q", "ACT_EST_MAPPING=PRECISE", "FS=MRC", "CURRENCY=USD", "XLFILL=b")</f>
        <v>10160</v>
      </c>
      <c r="O103" s="9">
        <f>_xll.BQL("SEG0000227465 Segment", "IS_OPER_INC/1M", "FPT=Q", "FPO=-2Q", "ACT_EST_MAPPING=PRECISE", "FS=MRC", "CURRENCY=USD", "XLFILL=b")</f>
        <v>11434</v>
      </c>
      <c r="P103" s="9">
        <f>_xll.BQL("SEG0000227465 Segment", "IS_OPER_INC/1M", "FPT=Q", "FPO=-1Q", "ACT_EST_MAPPING=PRECISE", "FS=MRC", "CURRENCY=USD", "XLFILL=b")</f>
        <v>12465</v>
      </c>
      <c r="Q103" s="9">
        <f>_xll.BQL("SEG0000227465 Segment", "IS_OPER_INC/1M", "FPT=Q", "FPO=0Q", "ACT_EST_MAPPING=PRECISE", "FS=MRC", "CURRENCY=USD", "XLFILL=b")</f>
        <v>14161</v>
      </c>
      <c r="R103" s="9">
        <f>_xll.BQL("SEG0000227465 Segment", "IS_OPER_INC/1M", "FPT=Q", "FPO=1Q", "ACT_EST_MAPPING=PRECISE", "FS=MRC", "CURRENCY=USD", "XLFILL=b")</f>
        <v>13681.55919378631</v>
      </c>
      <c r="S103" s="9">
        <f>_xll.BQL("SEG0000227465 Segment", "IS_OPER_INC/1M", "FPT=Q", "FPO=2Q", "ACT_EST_MAPPING=PRECISE", "FS=MRC", "CURRENCY=USD", "XLFILL=b")</f>
        <v>15035.837389736551</v>
      </c>
      <c r="T103" s="9">
        <f>_xll.BQL("SEG0000227465 Segment", "IS_OPER_INC/1M", "FPT=Q", "FPO=3Q", "ACT_EST_MAPPING=PRECISE", "FS=MRC", "CURRENCY=USD", "XLFILL=b")</f>
        <v>16476.986402128015</v>
      </c>
      <c r="U103" s="9">
        <f>_xll.BQL("SEG0000227465 Segment", "IS_OPER_INC/1M", "FPT=Q", "FPO=4Q", "ACT_EST_MAPPING=PRECISE", "FS=MRC", "CURRENCY=USD", "XLFILL=b")</f>
        <v>18329.27045181318</v>
      </c>
      <c r="V103" s="9">
        <f>_xll.BQL("SEG0000227465 Segment", "IS_OPER_INC/1M", "FPT=Q", "FPO=5Q", "ACT_EST_MAPPING=PRECISE", "FS=MRC", "CURRENCY=USD", "XLFILL=b")</f>
        <v>17919.42898454627</v>
      </c>
      <c r="W103" s="9">
        <f>_xll.BQL("SEG0000227465 Segment", "IS_OPER_INC/1M", "FPT=Q", "FPO=6Q", "ACT_EST_MAPPING=PRECISE", "FS=MRC", "CURRENCY=USD", "XLFILL=b")</f>
        <v>19481.284830463475</v>
      </c>
      <c r="X103" s="9">
        <f>_xll.BQL("SEG0000227465 Segment", "IS_OPER_INC/1M", "FPT=Q", "FPO=7Q", "ACT_EST_MAPPING=PRECISE", "FS=MRC", "CURRENCY=USD", "XLFILL=b")</f>
        <v>21082.468657480676</v>
      </c>
    </row>
    <row r="104" spans="1:24" x14ac:dyDescent="0.25">
      <c r="A104" s="8" t="s">
        <v>43</v>
      </c>
      <c r="B104" s="4" t="s">
        <v>44</v>
      </c>
      <c r="C104" s="4" t="s">
        <v>45</v>
      </c>
      <c r="D104" s="4" t="s">
        <v>36</v>
      </c>
      <c r="E104" s="9">
        <f>_xll.BQL("SEG0000227465 Segment", "CB_IS_OPERATING_MARGIN", "FPT=Q", "FPO=-12Q", "ACT_EST_MAPPING=PRECISE", "FS=MRC", "CURRENCY=USD", "XLFILL=b")</f>
        <v>24</v>
      </c>
      <c r="F104" s="9">
        <f>_xll.BQL("SEG0000227465 Segment", "CB_IS_OPERATING_MARGIN", "FPT=Q", "FPO=-11Q", "ACT_EST_MAPPING=PRECISE", "FS=MRC", "CURRENCY=USD", "XLFILL=b")</f>
        <v>24.2</v>
      </c>
      <c r="G104" s="9">
        <f>_xll.BQL("SEG0000227465 Segment", "CB_IS_OPERATING_MARGIN", "FPT=Q", "FPO=-10Q", "ACT_EST_MAPPING=PRECISE", "FS=MRC", "CURRENCY=USD", "XLFILL=b")</f>
        <v>30.3</v>
      </c>
      <c r="H104" s="9">
        <f>_xll.BQL("SEG0000227465 Segment", "CB_IS_OPERATING_MARGIN", "FPT=Q", "FPO=-9Q", "ACT_EST_MAPPING=PRECISE", "FS=MRC", "CURRENCY=USD", "XLFILL=b")</f>
        <v>29.6</v>
      </c>
      <c r="I104" s="9">
        <f>_xll.BQL("SEG0000227465 Segment", "CB_IS_OPERATING_MARGIN", "FPT=Q", "FPO=-8Q", "ACT_EST_MAPPING=PRECISE", "FS=MRC", "CURRENCY=USD", "XLFILL=b")</f>
        <v>37.6</v>
      </c>
      <c r="J104" s="9">
        <f>_xll.BQL("SEG0000227465 Segment", "CB_IS_OPERATING_MARGIN", "FPT=Q", "FPO=-7Q", "ACT_EST_MAPPING=PRECISE", "FS=MRC", "CURRENCY=USD", "XLFILL=b")</f>
        <v>35.5</v>
      </c>
      <c r="K104" s="9">
        <f>_xll.BQL("SEG0000227465 Segment", "CB_IS_OPERATING_MARGIN", "FPT=Q", "FPO=-6Q", "ACT_EST_MAPPING=PRECISE", "FS=MRC", "CURRENCY=USD", "XLFILL=b")</f>
        <v>38.1</v>
      </c>
      <c r="L104" s="9">
        <f>_xll.BQL("SEG0000227465 Segment", "CB_IS_OPERATING_MARGIN", "FPT=Q", "FPO=-5Q", "ACT_EST_MAPPING=PRECISE", "FS=MRC", "CURRENCY=USD", "XLFILL=b")</f>
        <v>36.9</v>
      </c>
      <c r="M104" s="9">
        <f>_xll.BQL("SEG0000227465 Segment", "CB_IS_OPERATING_MARGIN", "FPT=Q", "FPO=-4Q", "ACT_EST_MAPPING=PRECISE", "FS=MRC", "CURRENCY=USD", "XLFILL=b")</f>
        <v>39.5</v>
      </c>
      <c r="N104" s="9">
        <f>_xll.BQL("SEG0000227465 Segment", "CB_IS_OPERATING_MARGIN", "FPT=Q", "FPO=-3Q", "ACT_EST_MAPPING=PRECISE", "FS=MRC", "CURRENCY=USD", "XLFILL=b")</f>
        <v>32.9</v>
      </c>
      <c r="O104" s="9">
        <f>_xll.BQL("SEG0000227465 Segment", "CB_IS_OPERATING_MARGIN", "FPT=Q", "FPO=-2Q", "ACT_EST_MAPPING=PRECISE", "FS=MRC", "CURRENCY=USD", "XLFILL=b")</f>
        <v>34.6</v>
      </c>
      <c r="P104" s="9">
        <f>_xll.BQL("SEG0000227465 Segment", "CB_IS_OPERATING_MARGIN", "FPT=Q", "FPO=-1Q", "ACT_EST_MAPPING=PRECISE", "FS=MRC", "CURRENCY=USD", "XLFILL=b")</f>
        <v>35</v>
      </c>
      <c r="Q104" s="9">
        <f>_xll.BQL("SEG0000227465 Segment", "CB_IS_OPERATING_MARGIN", "FPT=Q", "FPO=0Q", "ACT_EST_MAPPING=PRECISE", "FS=MRC", "CURRENCY=USD", "XLFILL=b")</f>
        <v>37.700000000000003</v>
      </c>
      <c r="R104" s="9">
        <f>_xll.BQL("SEG0000227465 Segment", "CB_IS_OPERATING_MARGIN", "FPT=Q", "FPO=1Q", "ACT_EST_MAPPING=PRECISE", "FS=MRC", "CURRENCY=USD", "XLFILL=b")</f>
        <v>33.520419095947837</v>
      </c>
      <c r="S104" s="9">
        <f>_xll.BQL("SEG0000227465 Segment", "CB_IS_OPERATING_MARGIN", "FPT=Q", "FPO=2Q", "ACT_EST_MAPPING=PRECISE", "FS=MRC", "CURRENCY=USD", "XLFILL=b")</f>
        <v>34.39457958096915</v>
      </c>
      <c r="T104" s="9">
        <f>_xll.BQL("SEG0000227465 Segment", "CB_IS_OPERATING_MARGIN", "FPT=Q", "FPO=3Q", "ACT_EST_MAPPING=PRECISE", "FS=MRC", "CURRENCY=USD", "XLFILL=b")</f>
        <v>34.668336885371154</v>
      </c>
      <c r="U104" s="9">
        <f>_xll.BQL("SEG0000227465 Segment", "CB_IS_OPERATING_MARGIN", "FPT=Q", "FPO=4Q", "ACT_EST_MAPPING=PRECISE", "FS=MRC", "CURRENCY=USD", "XLFILL=b")</f>
        <v>36.191636075039462</v>
      </c>
      <c r="V104" s="9">
        <f>_xll.BQL("SEG0000227465 Segment", "CB_IS_OPERATING_MARGIN", "FPT=Q", "FPO=5Q", "ACT_EST_MAPPING=PRECISE", "FS=MRC", "CURRENCY=USD", "XLFILL=b")</f>
        <v>33.054861533676437</v>
      </c>
      <c r="W104" s="9">
        <f>_xll.BQL("SEG0000227465 Segment", "CB_IS_OPERATING_MARGIN", "FPT=Q", "FPO=6Q", "ACT_EST_MAPPING=PRECISE", "FS=MRC", "CURRENCY=USD", "XLFILL=b")</f>
        <v>33.653523460022221</v>
      </c>
      <c r="X104" s="9">
        <f>_xll.BQL("SEG0000227465 Segment", "CB_IS_OPERATING_MARGIN", "FPT=Q", "FPO=7Q", "ACT_EST_MAPPING=PRECISE", "FS=MRC", "CURRENCY=USD", "XLFILL=b")</f>
        <v>33.880080676905742</v>
      </c>
    </row>
    <row r="105" spans="1:24" x14ac:dyDescent="0.25">
      <c r="A105" s="8" t="s">
        <v>137</v>
      </c>
      <c r="B105" s="4" t="s">
        <v>138</v>
      </c>
      <c r="C105" s="4" t="s">
        <v>139</v>
      </c>
      <c r="D105" s="4" t="s">
        <v>36</v>
      </c>
      <c r="E105" s="9" t="str">
        <f>_xll.BQL("SEG0000227465 Segment", "IS_DEPR_EXP/1M", "FPT=Q", "FPO=-12Q", "ACT_EST_MAPPING=PRECISE", "FS=MRC", "CURRENCY=USD", "XLFILL=b")</f>
        <v/>
      </c>
      <c r="F105" s="9" t="str">
        <f>_xll.BQL("SEG0000227465 Segment", "IS_DEPR_EXP/1M", "FPT=Q", "FPO=-11Q", "ACT_EST_MAPPING=PRECISE", "FS=MRC", "CURRENCY=USD", "XLFILL=b")</f>
        <v/>
      </c>
      <c r="G105" s="9" t="str">
        <f>_xll.BQL("SEG0000227465 Segment", "IS_DEPR_EXP/1M", "FPT=Q", "FPO=-10Q", "ACT_EST_MAPPING=PRECISE", "FS=MRC", "CURRENCY=USD", "XLFILL=b")</f>
        <v/>
      </c>
      <c r="H105" s="9" t="str">
        <f>_xll.BQL("SEG0000227465 Segment", "IS_DEPR_EXP/1M", "FPT=Q", "FPO=-9Q", "ACT_EST_MAPPING=PRECISE", "FS=MRC", "CURRENCY=USD", "XLFILL=b")</f>
        <v/>
      </c>
      <c r="I105" s="9" t="str">
        <f>_xll.BQL("SEG0000227465 Segment", "IS_DEPR_EXP/1M", "FPT=Q", "FPO=-8Q", "ACT_EST_MAPPING=PRECISE", "FS=MRC", "CURRENCY=USD", "XLFILL=b")</f>
        <v/>
      </c>
      <c r="J105" s="9" t="str">
        <f>_xll.BQL("SEG0000227465 Segment", "IS_DEPR_EXP/1M", "FPT=Q", "FPO=-7Q", "ACT_EST_MAPPING=PRECISE", "FS=MRC", "CURRENCY=USD", "XLFILL=b")</f>
        <v/>
      </c>
      <c r="K105" s="9" t="str">
        <f>_xll.BQL("SEG0000227465 Segment", "IS_DEPR_EXP/1M", "FPT=Q", "FPO=-6Q", "ACT_EST_MAPPING=PRECISE", "FS=MRC", "CURRENCY=USD", "XLFILL=b")</f>
        <v/>
      </c>
      <c r="L105" s="9">
        <f>_xll.BQL("SEG0000227465 Segment", "IS_DEPR_EXP/1M", "FPT=Q", "FPO=-5Q", "ACT_EST_MAPPING=PRECISE", "FS=MRC", "CURRENCY=USD", "XLFILL=b")</f>
        <v>13320</v>
      </c>
      <c r="M105" s="9">
        <f>_xll.BQL("SEG0000227465 Segment", "IS_DEPR_EXP/1M", "FPT=Q", "FPO=-4Q", "ACT_EST_MAPPING=PRECISE", "FS=MRC", "CURRENCY=USD", "XLFILL=b")</f>
        <v>4390</v>
      </c>
      <c r="N105" s="9">
        <f>_xll.BQL("SEG0000227465 Segment", "IS_DEPR_EXP/1M", "FPT=Q", "FPO=-3Q", "ACT_EST_MAPPING=PRECISE", "FS=MRC", "CURRENCY=USD", "XLFILL=b")</f>
        <v>4844</v>
      </c>
      <c r="O105" s="9">
        <f>_xll.BQL("SEG0000227465 Segment", "IS_DEPR_EXP/1M", "FPT=Q", "FPO=-2Q", "ACT_EST_MAPPING=PRECISE", "FS=MRC", "CURRENCY=USD", "XLFILL=b")</f>
        <v>5648</v>
      </c>
      <c r="P105" s="9">
        <f>_xll.BQL("SEG0000227465 Segment", "IS_DEPR_EXP/1M", "FPT=Q", "FPO=-1Q", "ACT_EST_MAPPING=PRECISE", "FS=MRC", "CURRENCY=USD", "XLFILL=b")</f>
        <v>6568</v>
      </c>
      <c r="Q105" s="9">
        <f>_xll.BQL("SEG0000227465 Segment", "IS_DEPR_EXP/1M", "FPT=Q", "FPO=0Q", "ACT_EST_MAPPING=PRECISE", "FS=MRC", "CURRENCY=USD", "XLFILL=b")</f>
        <v>7277</v>
      </c>
      <c r="R105" s="9">
        <f>_xll.BQL("SEG0000227465 Segment", "IS_DEPR_EXP/1M", "FPT=Q", "FPO=1Q", "ACT_EST_MAPPING=PRECISE", "FS=MRC", "CURRENCY=USD", "XLFILL=b")</f>
        <v>8800.9817570464857</v>
      </c>
      <c r="S105" s="9">
        <f>_xll.BQL("SEG0000227465 Segment", "IS_DEPR_EXP/1M", "FPT=Q", "FPO=2Q", "ACT_EST_MAPPING=PRECISE", "FS=MRC", "CURRENCY=USD", "XLFILL=b")</f>
        <v>9829.8909783491526</v>
      </c>
      <c r="T105" s="9">
        <f>_xll.BQL("SEG0000227465 Segment", "IS_DEPR_EXP/1M", "FPT=Q", "FPO=3Q", "ACT_EST_MAPPING=PRECISE", "FS=MRC", "CURRENCY=USD", "XLFILL=b")</f>
        <v>12210.892077763123</v>
      </c>
      <c r="U105" s="9">
        <f>_xll.BQL("SEG0000227465 Segment", "IS_DEPR_EXP/1M", "FPT=Q", "FPO=4Q", "ACT_EST_MAPPING=PRECISE", "FS=MRC", "CURRENCY=USD", "XLFILL=b")</f>
        <v>14965.012713133276</v>
      </c>
      <c r="V105" s="9">
        <f>_xll.BQL("SEG0000227465 Segment", "IS_DEPR_EXP/1M", "FPT=Q", "FPO=5Q", "ACT_EST_MAPPING=PRECISE", "FS=MRC", "CURRENCY=USD", "XLFILL=b")</f>
        <v>16235.026264538299</v>
      </c>
      <c r="W105" s="9">
        <f>_xll.BQL("SEG0000227465 Segment", "IS_DEPR_EXP/1M", "FPT=Q", "FPO=6Q", "ACT_EST_MAPPING=PRECISE", "FS=MRC", "CURRENCY=USD", "XLFILL=b")</f>
        <v>17694.936437682667</v>
      </c>
      <c r="X105" s="9">
        <f>_xll.BQL("SEG0000227465 Segment", "IS_DEPR_EXP/1M", "FPT=Q", "FPO=7Q", "ACT_EST_MAPPING=PRECISE", "FS=MRC", "CURRENCY=USD", "XLFILL=b")</f>
        <v>19172.833866212437</v>
      </c>
    </row>
    <row r="106" spans="1:24" x14ac:dyDescent="0.25">
      <c r="A106" s="8" t="s">
        <v>140</v>
      </c>
      <c r="B106" s="4" t="s">
        <v>141</v>
      </c>
      <c r="C106" s="4" t="s">
        <v>142</v>
      </c>
      <c r="D106" s="4" t="s">
        <v>36</v>
      </c>
      <c r="E106" s="9" t="str">
        <f>_xll.BQL("SEG0000227465 Segment", "CB_BS_PP_AND_E_NET/1M", "FPT=Q", "FPO=-12Q", "ACT_EST_MAPPING=PRECISE", "FS=MRC", "CURRENCY=USD", "XLFILL=b")</f>
        <v/>
      </c>
      <c r="F106" s="9" t="str">
        <f>_xll.BQL("SEG0000227465 Segment", "CB_BS_PP_AND_E_NET/1M", "FPT=Q", "FPO=-11Q", "ACT_EST_MAPPING=PRECISE", "FS=MRC", "CURRENCY=USD", "XLFILL=b")</f>
        <v/>
      </c>
      <c r="G106" s="9" t="str">
        <f>_xll.BQL("SEG0000227465 Segment", "CB_BS_PP_AND_E_NET/1M", "FPT=Q", "FPO=-10Q", "ACT_EST_MAPPING=PRECISE", "FS=MRC", "CURRENCY=USD", "XLFILL=b")</f>
        <v/>
      </c>
      <c r="H106" s="9">
        <f>_xll.BQL("SEG0000227465 Segment", "CB_BS_PP_AND_E_NET/1M", "FPT=Q", "FPO=-9Q", "ACT_EST_MAPPING=PRECISE", "FS=MRC", "CURRENCY=USD", "XLFILL=b")</f>
        <v>72701</v>
      </c>
      <c r="I106" s="9" t="str">
        <f>_xll.BQL("SEG0000227465 Segment", "CB_BS_PP_AND_E_NET/1M", "FPT=Q", "FPO=-8Q", "ACT_EST_MAPPING=PRECISE", "FS=MRC", "CURRENCY=USD", "XLFILL=b")</f>
        <v/>
      </c>
      <c r="J106" s="9" t="str">
        <f>_xll.BQL("SEG0000227465 Segment", "CB_BS_PP_AND_E_NET/1M", "FPT=Q", "FPO=-7Q", "ACT_EST_MAPPING=PRECISE", "FS=MRC", "CURRENCY=USD", "XLFILL=b")</f>
        <v/>
      </c>
      <c r="K106" s="9" t="str">
        <f>_xll.BQL("SEG0000227465 Segment", "CB_BS_PP_AND_E_NET/1M", "FPT=Q", "FPO=-6Q", "ACT_EST_MAPPING=PRECISE", "FS=MRC", "CURRENCY=USD", "XLFILL=b")</f>
        <v/>
      </c>
      <c r="L106" s="9">
        <f>_xll.BQL("SEG0000227465 Segment", "CB_BS_PP_AND_E_NET/1M", "FPT=Q", "FPO=-5Q", "ACT_EST_MAPPING=PRECISE", "FS=MRC", "CURRENCY=USD", "XLFILL=b")</f>
        <v>110683</v>
      </c>
      <c r="M106" s="9" t="str">
        <f>_xll.BQL("SEG0000227465 Segment", "CB_BS_PP_AND_E_NET/1M", "FPT=Q", "FPO=-4Q", "ACT_EST_MAPPING=PRECISE", "FS=MRC", "CURRENCY=USD", "XLFILL=b")</f>
        <v/>
      </c>
      <c r="N106" s="9">
        <f>_xll.BQL("SEG0000227465 Segment", "CB_BS_PP_AND_E_NET/1M", "FPT=Q", "FPO=-3Q", "ACT_EST_MAPPING=PRECISE", "FS=MRC", "CURRENCY=USD", "XLFILL=b")</f>
        <v>140636</v>
      </c>
      <c r="O106" s="9">
        <f>_xll.BQL("SEG0000227465 Segment", "CB_BS_PP_AND_E_NET/1M", "FPT=Q", "FPO=-2Q", "ACT_EST_MAPPING=PRECISE", "FS=MRC", "CURRENCY=USD", "XLFILL=b")</f>
        <v>165106</v>
      </c>
      <c r="P106" s="9">
        <f>_xll.BQL("SEG0000227465 Segment", "CB_BS_PP_AND_E_NET/1M", "FPT=Q", "FPO=-1Q", "ACT_EST_MAPPING=PRECISE", "FS=MRC", "CURRENCY=USD", "XLFILL=b")</f>
        <v>190055</v>
      </c>
      <c r="Q106" s="9">
        <f>_xll.BQL("SEG0000227465 Segment", "CB_BS_PP_AND_E_NET/1M", "FPT=Q", "FPO=0Q", "ACT_EST_MAPPING=PRECISE", "FS=MRC", "CURRENCY=USD", "XLFILL=b")</f>
        <v>223056</v>
      </c>
      <c r="R106" s="9">
        <f>_xll.BQL("SEG0000227465 Segment", "CB_BS_PP_AND_E_NET/1M", "FPT=Q", "FPO=1Q", "ACT_EST_MAPPING=PRECISE", "FS=MRC", "CURRENCY=USD", "XLFILL=b")</f>
        <v>250621.47764129794</v>
      </c>
      <c r="S106" s="9">
        <f>_xll.BQL("SEG0000227465 Segment", "CB_BS_PP_AND_E_NET/1M", "FPT=Q", "FPO=2Q", "ACT_EST_MAPPING=PRECISE", "FS=MRC", "CURRENCY=USD", "XLFILL=b")</f>
        <v>278828.19520165923</v>
      </c>
      <c r="T106" s="9">
        <f>_xll.BQL("SEG0000227465 Segment", "CB_BS_PP_AND_E_NET/1M", "FPT=Q", "FPO=3Q", "ACT_EST_MAPPING=PRECISE", "FS=MRC", "CURRENCY=USD", "XLFILL=b")</f>
        <v>310073.49643025984</v>
      </c>
      <c r="U106" s="9">
        <f>_xll.BQL("SEG0000227465 Segment", "CB_BS_PP_AND_E_NET/1M", "FPT=Q", "FPO=4Q", "ACT_EST_MAPPING=PRECISE", "FS=MRC", "CURRENCY=USD", "XLFILL=b")</f>
        <v>337524.04730507825</v>
      </c>
      <c r="V106" s="9">
        <f>_xll.BQL("SEG0000227465 Segment", "CB_BS_PP_AND_E_NET/1M", "FPT=Q", "FPO=5Q", "ACT_EST_MAPPING=PRECISE", "FS=MRC", "CURRENCY=USD", "XLFILL=b")</f>
        <v>380811.39768748224</v>
      </c>
      <c r="W106" s="9">
        <f>_xll.BQL("SEG0000227465 Segment", "CB_BS_PP_AND_E_NET/1M", "FPT=Q", "FPO=6Q", "ACT_EST_MAPPING=PRECISE", "FS=MRC", "CURRENCY=USD", "XLFILL=b")</f>
        <v>419812.162981481</v>
      </c>
      <c r="X106" s="9">
        <f>_xll.BQL("SEG0000227465 Segment", "CB_BS_PP_AND_E_NET/1M", "FPT=Q", "FPO=7Q", "ACT_EST_MAPPING=PRECISE", "FS=MRC", "CURRENCY=USD", "XLFILL=b")</f>
        <v>461629.84138037148</v>
      </c>
    </row>
    <row r="107" spans="1:24" x14ac:dyDescent="0.25">
      <c r="A107" s="8" t="s">
        <v>143</v>
      </c>
      <c r="B107" s="4" t="s">
        <v>144</v>
      </c>
      <c r="C107" s="4" t="s">
        <v>145</v>
      </c>
      <c r="D107" s="4" t="s">
        <v>36</v>
      </c>
      <c r="E107" s="9" t="str">
        <f>_xll.BQL("SEG0000227465 Segment", "IS_CAPEX_AS_REPORTED/1M", "FPT=Q", "FPO=-12Q", "ACT_EST_MAPPING=PRECISE", "FS=MRC", "CURRENCY=USD", "XLFILL=b")</f>
        <v/>
      </c>
      <c r="F107" s="9" t="str">
        <f>_xll.BQL("SEG0000227465 Segment", "IS_CAPEX_AS_REPORTED/1M", "FPT=Q", "FPO=-11Q", "ACT_EST_MAPPING=PRECISE", "FS=MRC", "CURRENCY=USD", "XLFILL=b")</f>
        <v/>
      </c>
      <c r="G107" s="9" t="str">
        <f>_xll.BQL("SEG0000227465 Segment", "IS_CAPEX_AS_REPORTED/1M", "FPT=Q", "FPO=-10Q", "ACT_EST_MAPPING=PRECISE", "FS=MRC", "CURRENCY=USD", "XLFILL=b")</f>
        <v/>
      </c>
      <c r="H107" s="9" t="str">
        <f>_xll.BQL("SEG0000227465 Segment", "IS_CAPEX_AS_REPORTED/1M", "FPT=Q", "FPO=-9Q", "ACT_EST_MAPPING=PRECISE", "FS=MRC", "CURRENCY=USD", "XLFILL=b")</f>
        <v/>
      </c>
      <c r="I107" s="9" t="str">
        <f>_xll.BQL("SEG0000227465 Segment", "IS_CAPEX_AS_REPORTED/1M", "FPT=Q", "FPO=-8Q", "ACT_EST_MAPPING=PRECISE", "FS=MRC", "CURRENCY=USD", "XLFILL=b")</f>
        <v/>
      </c>
      <c r="J107" s="9" t="str">
        <f>_xll.BQL("SEG0000227465 Segment", "IS_CAPEX_AS_REPORTED/1M", "FPT=Q", "FPO=-7Q", "ACT_EST_MAPPING=PRECISE", "FS=MRC", "CURRENCY=USD", "XLFILL=b")</f>
        <v/>
      </c>
      <c r="K107" s="9" t="str">
        <f>_xll.BQL("SEG0000227465 Segment", "IS_CAPEX_AS_REPORTED/1M", "FPT=Q", "FPO=-6Q", "ACT_EST_MAPPING=PRECISE", "FS=MRC", "CURRENCY=USD", "XLFILL=b")</f>
        <v/>
      </c>
      <c r="L107" s="9" t="str">
        <f>_xll.BQL("SEG0000227465 Segment", "IS_CAPEX_AS_REPORTED/1M", "FPT=Q", "FPO=-5Q", "ACT_EST_MAPPING=PRECISE", "FS=MRC", "CURRENCY=USD", "XLFILL=b")</f>
        <v/>
      </c>
      <c r="M107" s="9">
        <f>_xll.BQL("SEG0000227465 Segment", "IS_CAPEX_AS_REPORTED/1M", "FPT=Q", "FPO=-4Q", "ACT_EST_MAPPING=PRECISE", "FS=MRC", "CURRENCY=USD", "XLFILL=b")</f>
        <v>20464</v>
      </c>
      <c r="N107" s="9">
        <f>_xll.BQL("SEG0000227465 Segment", "IS_CAPEX_AS_REPORTED/1M", "FPT=Q", "FPO=-3Q", "ACT_EST_MAPPING=PRECISE", "FS=MRC", "CURRENCY=USD", "XLFILL=b")</f>
        <v>16043</v>
      </c>
      <c r="O107" s="9">
        <f>_xll.BQL("SEG0000227465 Segment", "IS_CAPEX_AS_REPORTED/1M", "FPT=Q", "FPO=-2Q", "ACT_EST_MAPPING=PRECISE", "FS=MRC", "CURRENCY=USD", "XLFILL=b")</f>
        <v>28301</v>
      </c>
      <c r="P107" s="9">
        <f>_xll.BQL("SEG0000227465 Segment", "IS_CAPEX_AS_REPORTED/1M", "FPT=Q", "FPO=-1Q", "ACT_EST_MAPPING=PRECISE", "FS=MRC", "CURRENCY=USD", "XLFILL=b")</f>
        <v>31688</v>
      </c>
      <c r="Q107" s="9">
        <f>_xll.BQL("SEG0000227465 Segment", "IS_CAPEX_AS_REPORTED/1M", "FPT=Q", "FPO=0Q", "ACT_EST_MAPPING=PRECISE", "FS=MRC", "CURRENCY=USD", "XLFILL=b")</f>
        <v>41516</v>
      </c>
      <c r="R107" s="9">
        <f>_xll.BQL("SEG0000227465 Segment", "IS_CAPEX_AS_REPORTED/1M", "FPT=Q", "FPO=1Q", "ACT_EST_MAPPING=PRECISE", "FS=MRC", "CURRENCY=USD", "XLFILL=b")</f>
        <v>38623.890745591721</v>
      </c>
      <c r="S107" s="9">
        <f>_xll.BQL("SEG0000227465 Segment", "IS_CAPEX_AS_REPORTED/1M", "FPT=Q", "FPO=2Q", "ACT_EST_MAPPING=PRECISE", "FS=MRC", "CURRENCY=USD", "XLFILL=b")</f>
        <v>39504.855004728015</v>
      </c>
      <c r="T107" s="9">
        <f>_xll.BQL("SEG0000227465 Segment", "IS_CAPEX_AS_REPORTED/1M", "FPT=Q", "FPO=3Q", "ACT_EST_MAPPING=PRECISE", "FS=MRC", "CURRENCY=USD", "XLFILL=b")</f>
        <v>44307.626917643109</v>
      </c>
      <c r="U107" s="9">
        <f>_xll.BQL("SEG0000227465 Segment", "IS_CAPEX_AS_REPORTED/1M", "FPT=Q", "FPO=4Q", "ACT_EST_MAPPING=PRECISE", "FS=MRC", "CURRENCY=USD", "XLFILL=b")</f>
        <v>43734.054679177272</v>
      </c>
      <c r="V107" s="9">
        <f>_xll.BQL("SEG0000227465 Segment", "IS_CAPEX_AS_REPORTED/1M", "FPT=Q", "FPO=5Q", "ACT_EST_MAPPING=PRECISE", "FS=MRC", "CURRENCY=USD", "XLFILL=b")</f>
        <v>55962.055774497661</v>
      </c>
      <c r="W107" s="9">
        <f>_xll.BQL("SEG0000227465 Segment", "IS_CAPEX_AS_REPORTED/1M", "FPT=Q", "FPO=6Q", "ACT_EST_MAPPING=PRECISE", "FS=MRC", "CURRENCY=USD", "XLFILL=b")</f>
        <v>55163.847336897765</v>
      </c>
      <c r="X107" s="9">
        <f>_xll.BQL("SEG0000227465 Segment", "IS_CAPEX_AS_REPORTED/1M", "FPT=Q", "FPO=7Q", "ACT_EST_MAPPING=PRECISE", "FS=MRC", "CURRENCY=USD", "XLFILL=b")</f>
        <v>59354.194883720193</v>
      </c>
    </row>
    <row r="108" spans="1:24" x14ac:dyDescent="0.25">
      <c r="A108" s="8" t="s">
        <v>146</v>
      </c>
      <c r="B108" s="4" t="s">
        <v>147</v>
      </c>
      <c r="C108" s="4" t="s">
        <v>148</v>
      </c>
      <c r="D108" s="4" t="s">
        <v>36</v>
      </c>
      <c r="E108" s="9">
        <f>_xll.BQL("SEG0000227465 Segment", "IS_SALES_CHANGE_MIX_PERCENTAGE", "FPT=Q", "FPO=-12Q", "ACT_EST_MAPPING=PRECISE", "FS=MRC", "CURRENCY=USD", "XLFILL=b")</f>
        <v>17</v>
      </c>
      <c r="F108" s="9">
        <f>_xll.BQL("SEG0000227465 Segment", "IS_SALES_CHANGE_MIX_PERCENTAGE", "FPT=Q", "FPO=-11Q", "ACT_EST_MAPPING=PRECISE", "FS=MRC", "CURRENCY=USD", "XLFILL=b")</f>
        <v>17</v>
      </c>
      <c r="G108" s="9">
        <f>_xll.BQL("SEG0000227465 Segment", "IS_SALES_CHANGE_MIX_PERCENTAGE", "FPT=Q", "FPO=-10Q", "ACT_EST_MAPPING=PRECISE", "FS=MRC", "CURRENCY=USD", "XLFILL=b")</f>
        <v>16</v>
      </c>
      <c r="H108" s="9">
        <f>_xll.BQL("SEG0000227465 Segment", "IS_SALES_CHANGE_MIX_PERCENTAGE", "FPT=Q", "FPO=-9Q", "ACT_EST_MAPPING=PRECISE", "FS=MRC", "CURRENCY=USD", "XLFILL=b")</f>
        <v>14</v>
      </c>
      <c r="I108" s="9">
        <f>_xll.BQL("SEG0000227465 Segment", "IS_SALES_CHANGE_MIX_PERCENTAGE", "FPT=Q", "FPO=-8Q", "ACT_EST_MAPPING=PRECISE", "FS=MRC", "CURRENCY=USD", "XLFILL=b")</f>
        <v>18</v>
      </c>
      <c r="J108" s="9">
        <f>_xll.BQL("SEG0000227465 Segment", "IS_SALES_CHANGE_MIX_PERCENTAGE", "FPT=Q", "FPO=-7Q", "ACT_EST_MAPPING=PRECISE", "FS=MRC", "CURRENCY=USD", "XLFILL=b")</f>
        <v>18</v>
      </c>
      <c r="K108" s="9">
        <f>_xll.BQL("SEG0000227465 Segment", "IS_SALES_CHANGE_MIX_PERCENTAGE", "FPT=Q", "FPO=-6Q", "ACT_EST_MAPPING=PRECISE", "FS=MRC", "CURRENCY=USD", "XLFILL=b")</f>
        <v>17</v>
      </c>
      <c r="L108" s="9">
        <f>_xll.BQL("SEG0000227465 Segment", "IS_SALES_CHANGE_MIX_PERCENTAGE", "FPT=Q", "FPO=-5Q", "ACT_EST_MAPPING=PRECISE", "FS=MRC", "CURRENCY=USD", "XLFILL=b")</f>
        <v>15</v>
      </c>
      <c r="M108" s="9">
        <f>_xll.BQL("SEG0000227465 Segment", "IS_SALES_CHANGE_MIX_PERCENTAGE", "FPT=Q", "FPO=-4Q", "ACT_EST_MAPPING=PRECISE", "FS=MRC", "CURRENCY=USD", "XLFILL=b")</f>
        <v>19</v>
      </c>
      <c r="N108" s="9">
        <f>_xll.BQL("SEG0000227465 Segment", "IS_SALES_CHANGE_MIX_PERCENTAGE", "FPT=Q", "FPO=-3Q", "ACT_EST_MAPPING=PRECISE", "FS=MRC", "CURRENCY=USD", "XLFILL=b")</f>
        <v>18</v>
      </c>
      <c r="O108" s="9">
        <f>_xll.BQL("SEG0000227465 Segment", "IS_SALES_CHANGE_MIX_PERCENTAGE", "FPT=Q", "FPO=-2Q", "ACT_EST_MAPPING=PRECISE", "FS=MRC", "CURRENCY=USD", "XLFILL=b")</f>
        <v>18</v>
      </c>
      <c r="P108" s="9">
        <f>_xll.BQL("SEG0000227465 Segment", "IS_SALES_CHANGE_MIX_PERCENTAGE", "FPT=Q", "FPO=-1Q", "ACT_EST_MAPPING=PRECISE", "FS=MRC", "CURRENCY=USD", "XLFILL=b")</f>
        <v>17</v>
      </c>
      <c r="Q108" s="9">
        <f>_xll.BQL("SEG0000227465 Segment", "IS_SALES_CHANGE_MIX_PERCENTAGE", "FPT=Q", "FPO=0Q", "ACT_EST_MAPPING=PRECISE", "FS=MRC", "CURRENCY=USD", "XLFILL=b")</f>
        <v>21</v>
      </c>
      <c r="R108" s="9">
        <f>_xll.BQL("SEG0000227465 Segment", "IS_SALES_CHANGE_MIX_PERCENTAGE", "FPT=Q", "FPO=1Q", "ACT_EST_MAPPING=PRECISE", "FS=MRC", "CURRENCY=USD", "XLFILL=b")</f>
        <v>19.564487322882695</v>
      </c>
      <c r="S108" s="9">
        <f>_xll.BQL("SEG0000227465 Segment", "IS_SALES_CHANGE_MIX_PERCENTAGE", "FPT=Q", "FPO=2Q", "ACT_EST_MAPPING=PRECISE", "FS=MRC", "CURRENCY=USD", "XLFILL=b")</f>
        <v>20.387466497863915</v>
      </c>
      <c r="T108" s="9">
        <f>_xll.BQL("SEG0000227465 Segment", "IS_SALES_CHANGE_MIX_PERCENTAGE", "FPT=Q", "FPO=3Q", "ACT_EST_MAPPING=PRECISE", "FS=MRC", "CURRENCY=USD", "XLFILL=b")</f>
        <v>19.43438774119468</v>
      </c>
      <c r="U108" s="9">
        <f>_xll.BQL("SEG0000227465 Segment", "IS_SALES_CHANGE_MIX_PERCENTAGE", "FPT=Q", "FPO=4Q", "ACT_EST_MAPPING=PRECISE", "FS=MRC", "CURRENCY=USD", "XLFILL=b")</f>
        <v>19.931256707975209</v>
      </c>
      <c r="V108" s="9">
        <f>_xll.BQL("SEG0000227465 Segment", "IS_SALES_CHANGE_MIX_PERCENTAGE", "FPT=Q", "FPO=5Q", "ACT_EST_MAPPING=PRECISE", "FS=MRC", "CURRENCY=USD", "XLFILL=b")</f>
        <v>19.490302340348155</v>
      </c>
      <c r="W108" s="9">
        <f>_xll.BQL("SEG0000227465 Segment", "IS_SALES_CHANGE_MIX_PERCENTAGE", "FPT=Q", "FPO=6Q", "ACT_EST_MAPPING=PRECISE", "FS=MRC", "CURRENCY=USD", "XLFILL=b")</f>
        <v>19.979061410463451</v>
      </c>
      <c r="X108" s="9">
        <f>_xll.BQL("SEG0000227465 Segment", "IS_SALES_CHANGE_MIX_PERCENTAGE", "FPT=Q", "FPO=7Q", "ACT_EST_MAPPING=PRECISE", "FS=MRC", "CURRENCY=USD", "XLFILL=b")</f>
        <v>18.635241854910035</v>
      </c>
    </row>
    <row r="109" spans="1:24" x14ac:dyDescent="0.25">
      <c r="A109" s="8" t="s">
        <v>14</v>
      </c>
      <c r="B109" s="4"/>
      <c r="C109" s="4"/>
      <c r="D109" s="4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</row>
    <row r="110" spans="1:24" x14ac:dyDescent="0.25">
      <c r="A110" s="8" t="s">
        <v>39</v>
      </c>
      <c r="B110" s="4"/>
      <c r="C110" s="4"/>
      <c r="D110" s="4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</row>
    <row r="111" spans="1:24" x14ac:dyDescent="0.25">
      <c r="A111" s="8" t="s">
        <v>149</v>
      </c>
      <c r="B111" s="4"/>
      <c r="C111" s="4"/>
      <c r="D111" s="4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</row>
    <row r="112" spans="1:24" x14ac:dyDescent="0.25">
      <c r="A112" s="8" t="s">
        <v>118</v>
      </c>
      <c r="B112" s="4" t="s">
        <v>21</v>
      </c>
      <c r="C112" s="4" t="s">
        <v>22</v>
      </c>
      <c r="D112" s="4" t="s">
        <v>42</v>
      </c>
      <c r="E112" s="9">
        <f>_xll.BQL("SEG0000227430 Segment", "SALES_REV_TURN/1M", "FPT=Q", "FPO=-12Q", "ACT_EST_MAPPING=PRECISE", "FS=MRC", "CURRENCY=USD", "XLFILL=b")</f>
        <v>76881</v>
      </c>
      <c r="F112" s="9">
        <f>_xll.BQL("SEG0000227430 Segment", "SALES_REV_TURN/1M", "FPT=Q", "FPO=-11Q", "ACT_EST_MAPPING=PRECISE", "FS=MRC", "CURRENCY=USD", "XLFILL=b")</f>
        <v>82546</v>
      </c>
      <c r="G112" s="9">
        <f>_xll.BQL("SEG0000227430 Segment", "SALES_REV_TURN/1M", "FPT=Q", "FPO=-10Q", "ACT_EST_MAPPING=PRECISE", "FS=MRC", "CURRENCY=USD", "XLFILL=b")</f>
        <v>87887</v>
      </c>
      <c r="H112" s="9">
        <f>_xll.BQL("SEG0000227430 Segment", "SALES_REV_TURN/1M", "FPT=Q", "FPO=-9Q", "ACT_EST_MAPPING=PRECISE", "FS=MRC", "CURRENCY=USD", "XLFILL=b")</f>
        <v>105514</v>
      </c>
      <c r="I112" s="9">
        <f>_xll.BQL("SEG0000227430 Segment", "SALES_REV_TURN/1M", "FPT=Q", "FPO=-8Q", "ACT_EST_MAPPING=PRECISE", "FS=MRC", "CURRENCY=USD", "XLFILL=b")</f>
        <v>86341</v>
      </c>
      <c r="J112" s="9">
        <f>_xll.BQL("SEG0000227430 Segment", "SALES_REV_TURN/1M", "FPT=Q", "FPO=-7Q", "ACT_EST_MAPPING=PRECISE", "FS=MRC", "CURRENCY=USD", "XLFILL=b")</f>
        <v>90033</v>
      </c>
      <c r="K112" s="9">
        <f>_xll.BQL("SEG0000227430 Segment", "SALES_REV_TURN/1M", "FPT=Q", "FPO=-6Q", "ACT_EST_MAPPING=PRECISE", "FS=MRC", "CURRENCY=USD", "XLFILL=b")</f>
        <v>95537</v>
      </c>
      <c r="L112" s="9">
        <f>_xll.BQL("SEG0000227430 Segment", "SALES_REV_TURN/1M", "FPT=Q", "FPO=-5Q", "ACT_EST_MAPPING=PRECISE", "FS=MRC", "CURRENCY=USD", "XLFILL=b")</f>
        <v>115586</v>
      </c>
      <c r="M112" s="9">
        <f>_xll.BQL("SEG0000227430 Segment", "SALES_REV_TURN/1M", "FPT=Q", "FPO=-4Q", "ACT_EST_MAPPING=PRECISE", "FS=MRC", "CURRENCY=USD", "XLFILL=b")</f>
        <v>92887</v>
      </c>
      <c r="N112" s="9">
        <f>_xll.BQL("SEG0000227430 Segment", "SALES_REV_TURN/1M", "FPT=Q", "FPO=-3Q", "ACT_EST_MAPPING=PRECISE", "FS=MRC", "CURRENCY=USD", "XLFILL=b")</f>
        <v>100068</v>
      </c>
      <c r="O112" s="9">
        <f>_xll.BQL("SEG0000227430 Segment", "SALES_REV_TURN/1M", "FPT=Q", "FPO=-2Q", "ACT_EST_MAPPING=PRECISE", "FS=MRC", "CURRENCY=USD", "XLFILL=b")</f>
        <v>106267</v>
      </c>
      <c r="P112" s="9">
        <f>_xll.BQL("SEG0000227430 Segment", "SALES_REV_TURN/1M", "FPT=Q", "FPO=-1Q", "ACT_EST_MAPPING=PRECISE", "FS=MRC", "CURRENCY=USD", "XLFILL=b")</f>
        <v>127083</v>
      </c>
      <c r="Q112" s="9">
        <f>_xll.BQL("SEG0000227430 Segment", "SALES_REV_TURN/1M", "FPT=Q", "FPO=0Q", "ACT_EST_MAPPING=PRECISE", "FS=MRC", "CURRENCY=USD", "XLFILL=b")</f>
        <v>104143</v>
      </c>
      <c r="R112" s="9">
        <f>_xll.BQL("SEG0000227430 Segment", "SALES_REV_TURN/1M", "FPT=Q", "FPO=1Q", "ACT_EST_MAPPING=PRECISE", "FS=MRC", "CURRENCY=USD", "XLFILL=b")</f>
        <v>113950.98668674822</v>
      </c>
      <c r="S112" s="9">
        <f>_xll.BQL("SEG0000227430 Segment", "SALES_REV_TURN/1M", "FPT=Q", "FPO=2Q", "ACT_EST_MAPPING=PRECISE", "FS=MRC", "CURRENCY=USD", "XLFILL=b")</f>
        <v>115253.91050814235</v>
      </c>
      <c r="T112" s="9">
        <f>_xll.BQL("SEG0000227430 Segment", "SALES_REV_TURN/1M", "FPT=Q", "FPO=3Q", "ACT_EST_MAPPING=PRECISE", "FS=MRC", "CURRENCY=USD", "XLFILL=b")</f>
        <v>139444.65663236336</v>
      </c>
      <c r="U112" s="9">
        <f>_xll.BQL("SEG0000227430 Segment", "SALES_REV_TURN/1M", "FPT=Q", "FPO=4Q", "ACT_EST_MAPPING=PRECISE", "FS=MRC", "CURRENCY=USD", "XLFILL=b")</f>
        <v>112905.76376737306</v>
      </c>
      <c r="V112" s="9">
        <f>_xll.BQL("SEG0000227430 Segment", "SALES_REV_TURN/1M", "FPT=Q", "FPO=5Q", "ACT_EST_MAPPING=PRECISE", "FS=MRC", "CURRENCY=USD", "XLFILL=b")</f>
        <v>123627.62091223452</v>
      </c>
      <c r="W112" s="9">
        <f>_xll.BQL("SEG0000227430 Segment", "SALES_REV_TURN/1M", "FPT=Q", "FPO=6Q", "ACT_EST_MAPPING=PRECISE", "FS=MRC", "CURRENCY=USD", "XLFILL=b")</f>
        <v>124625.9154825091</v>
      </c>
      <c r="X112" s="9">
        <f>_xll.BQL("SEG0000227430 Segment", "SALES_REV_TURN/1M", "FPT=Q", "FPO=7Q", "ACT_EST_MAPPING=PRECISE", "FS=MRC", "CURRENCY=USD", "XLFILL=b")</f>
        <v>150909.10219681927</v>
      </c>
    </row>
    <row r="113" spans="1:24" x14ac:dyDescent="0.25">
      <c r="A113" s="8" t="s">
        <v>26</v>
      </c>
      <c r="B113" s="4" t="s">
        <v>27</v>
      </c>
      <c r="C113" s="4" t="s">
        <v>28</v>
      </c>
      <c r="D113" s="4" t="s">
        <v>42</v>
      </c>
      <c r="E113" s="9">
        <f>_xll.BQL("SEG0000227430 Segment", "REVENUE_GROWTH_CC_1_YR", "FPT=Q", "FPO=-12Q", "ACT_EST_MAPPING=PRECISE", "FS=MRC", "CURRENCY=USD", "XLFILL=b")</f>
        <v>11</v>
      </c>
      <c r="F113" s="9">
        <f>_xll.BQL("SEG0000227430 Segment", "REVENUE_GROWTH_CC_1_YR", "FPT=Q", "FPO=-11Q", "ACT_EST_MAPPING=PRECISE", "FS=MRC", "CURRENCY=USD", "XLFILL=b")</f>
        <v>11</v>
      </c>
      <c r="G113" s="9">
        <f>_xll.BQL("SEG0000227430 Segment", "REVENUE_GROWTH_CC_1_YR", "FPT=Q", "FPO=-10Q", "ACT_EST_MAPPING=PRECISE", "FS=MRC", "CURRENCY=USD", "XLFILL=b")</f>
        <v>11</v>
      </c>
      <c r="H113" s="9">
        <f>_xll.BQL("SEG0000227430 Segment", "REVENUE_GROWTH_CC_1_YR", "FPT=Q", "FPO=-9Q", "ACT_EST_MAPPING=PRECISE", "FS=MRC", "CURRENCY=USD", "XLFILL=b")</f>
        <v>13</v>
      </c>
      <c r="I113" s="9">
        <f>_xll.BQL("SEG0000227430 Segment", "REVENUE_GROWTH_CC_1_YR", "FPT=Q", "FPO=-8Q", "ACT_EST_MAPPING=PRECISE", "FS=MRC", "CURRENCY=USD", "XLFILL=b")</f>
        <v>12</v>
      </c>
      <c r="J113" s="9">
        <f>_xll.BQL("SEG0000227430 Segment", "REVENUE_GROWTH_CC_1_YR", "FPT=Q", "FPO=-7Q", "ACT_EST_MAPPING=PRECISE", "FS=MRC", "CURRENCY=USD", "XLFILL=b")</f>
        <v>9</v>
      </c>
      <c r="K113" s="9">
        <f>_xll.BQL("SEG0000227430 Segment", "REVENUE_GROWTH_CC_1_YR", "FPT=Q", "FPO=-6Q", "ACT_EST_MAPPING=PRECISE", "FS=MRC", "CURRENCY=USD", "XLFILL=b")</f>
        <v>9</v>
      </c>
      <c r="L113" s="9">
        <f>_xll.BQL("SEG0000227430 Segment", "REVENUE_GROWTH_CC_1_YR", "FPT=Q", "FPO=-5Q", "ACT_EST_MAPPING=PRECISE", "FS=MRC", "CURRENCY=USD", "XLFILL=b")</f>
        <v>10</v>
      </c>
      <c r="M113" s="9">
        <f>_xll.BQL("SEG0000227430 Segment", "REVENUE_GROWTH_CC_1_YR", "FPT=Q", "FPO=-4Q", "ACT_EST_MAPPING=PRECISE", "FS=MRC", "CURRENCY=USD", "XLFILL=b")</f>
        <v>8</v>
      </c>
      <c r="N113" s="9">
        <f>_xll.BQL("SEG0000227430 Segment", "REVENUE_GROWTH_CC_1_YR", "FPT=Q", "FPO=-3Q", "ACT_EST_MAPPING=PRECISE", "FS=MRC", "CURRENCY=USD", "XLFILL=b")</f>
        <v>11</v>
      </c>
      <c r="O113" s="9">
        <f>_xll.BQL("SEG0000227430 Segment", "REVENUE_GROWTH_CC_1_YR", "FPT=Q", "FPO=-2Q", "ACT_EST_MAPPING=PRECISE", "FS=MRC", "CURRENCY=USD", "XLFILL=b")</f>
        <v>11</v>
      </c>
      <c r="P113" s="9">
        <f>_xll.BQL("SEG0000227430 Segment", "REVENUE_GROWTH_CC_1_YR", "FPT=Q", "FPO=-1Q", "ACT_EST_MAPPING=PRECISE", "FS=MRC", "CURRENCY=USD", "XLFILL=b")</f>
        <v>10</v>
      </c>
      <c r="Q113" s="9">
        <f>_xll.BQL("SEG0000227430 Segment", "REVENUE_GROWTH_CC_1_YR", "FPT=Q", "FPO=0Q", "ACT_EST_MAPPING=PRECISE", "FS=MRC", "CURRENCY=USD", "XLFILL=b")</f>
        <v>12</v>
      </c>
      <c r="R113" s="9">
        <f>_xll.BQL("SEG0000227430 Segment", "REVENUE_GROWTH_CC_1_YR", "FPT=Q", "FPO=1Q", "ACT_EST_MAPPING=PRECISE", "FS=MRC", "CURRENCY=USD", "XLFILL=b")</f>
        <v>15.379193632232889</v>
      </c>
      <c r="S113" s="9">
        <f>_xll.BQL("SEG0000227430 Segment", "REVENUE_GROWTH_CC_1_YR", "FPT=Q", "FPO=2Q", "ACT_EST_MAPPING=PRECISE", "FS=MRC", "CURRENCY=USD", "XLFILL=b")</f>
        <v>9.8918772433823889</v>
      </c>
      <c r="T113" s="9">
        <f>_xll.BQL("SEG0000227430 Segment", "REVENUE_GROWTH_CC_1_YR", "FPT=Q", "FPO=3Q", "ACT_EST_MAPPING=PRECISE", "FS=MRC", "CURRENCY=USD", "XLFILL=b")</f>
        <v>10.881448618280796</v>
      </c>
      <c r="U113" s="9">
        <f>_xll.BQL("SEG0000227430 Segment", "REVENUE_GROWTH_CC_1_YR", "FPT=Q", "FPO=4Q", "ACT_EST_MAPPING=PRECISE", "FS=MRC", "CURRENCY=USD", "XLFILL=b")</f>
        <v>10.156436394492502</v>
      </c>
      <c r="V113" s="9">
        <f>_xll.BQL("SEG0000227430 Segment", "REVENUE_GROWTH_CC_1_YR", "FPT=Q", "FPO=5Q", "ACT_EST_MAPPING=PRECISE", "FS=MRC", "CURRENCY=USD", "XLFILL=b")</f>
        <v>10.115253304415614</v>
      </c>
      <c r="W113" s="9">
        <f>_xll.BQL("SEG0000227430 Segment", "REVENUE_GROWTH_CC_1_YR", "FPT=Q", "FPO=6Q", "ACT_EST_MAPPING=PRECISE", "FS=MRC", "CURRENCY=USD", "XLFILL=b")</f>
        <v>10.43435741425745</v>
      </c>
      <c r="X113" s="9">
        <f>_xll.BQL("SEG0000227430 Segment", "REVENUE_GROWTH_CC_1_YR", "FPT=Q", "FPO=7Q", "ACT_EST_MAPPING=PRECISE", "FS=MRC", "CURRENCY=USD", "XLFILL=b")</f>
        <v>9.8201869925500045</v>
      </c>
    </row>
    <row r="114" spans="1:24" x14ac:dyDescent="0.25">
      <c r="A114" s="8" t="s">
        <v>131</v>
      </c>
      <c r="B114" s="4" t="s">
        <v>132</v>
      </c>
      <c r="C114" s="4" t="s">
        <v>133</v>
      </c>
      <c r="D114" s="4" t="s">
        <v>42</v>
      </c>
      <c r="E114" s="9">
        <f>_xll.BQL("SEG0000227430 Segment", "IS_TOT_OPER_EXP/1M", "FPT=Q", "FPO=-12Q", "ACT_EST_MAPPING=PRECISE", "FS=MRC", "CURRENCY=USD", "XLFILL=b")</f>
        <v>75983</v>
      </c>
      <c r="F114" s="9">
        <f>_xll.BQL("SEG0000227430 Segment", "IS_TOT_OPER_EXP/1M", "FPT=Q", "FPO=-11Q", "ACT_EST_MAPPING=PRECISE", "FS=MRC", "CURRENCY=USD", "XLFILL=b")</f>
        <v>79335</v>
      </c>
      <c r="G114" s="9">
        <f>_xll.BQL("SEG0000227430 Segment", "IS_TOT_OPER_EXP/1M", "FPT=Q", "FPO=-10Q", "ACT_EST_MAPPING=PRECISE", "FS=MRC", "CURRENCY=USD", "XLFILL=b")</f>
        <v>83580</v>
      </c>
      <c r="H114" s="9">
        <f>_xll.BQL("SEG0000227430 Segment", "IS_TOT_OPER_EXP/1M", "FPT=Q", "FPO=-9Q", "ACT_EST_MAPPING=PRECISE", "FS=MRC", "CURRENCY=USD", "XLFILL=b")</f>
        <v>99053</v>
      </c>
      <c r="I114" s="9">
        <f>_xll.BQL("SEG0000227430 Segment", "IS_TOT_OPER_EXP/1M", "FPT=Q", "FPO=-8Q", "ACT_EST_MAPPING=PRECISE", "FS=MRC", "CURRENCY=USD", "XLFILL=b")</f>
        <v>81358</v>
      </c>
      <c r="J114" s="9">
        <f>_xll.BQL("SEG0000227430 Segment", "IS_TOT_OPER_EXP/1M", "FPT=Q", "FPO=-7Q", "ACT_EST_MAPPING=PRECISE", "FS=MRC", "CURRENCY=USD", "XLFILL=b")</f>
        <v>84968</v>
      </c>
      <c r="K114" s="9">
        <f>_xll.BQL("SEG0000227430 Segment", "IS_TOT_OPER_EXP/1M", "FPT=Q", "FPO=-6Q", "ACT_EST_MAPPING=PRECISE", "FS=MRC", "CURRENCY=USD", "XLFILL=b")</f>
        <v>89874</v>
      </c>
      <c r="L114" s="9">
        <f>_xll.BQL("SEG0000227430 Segment", "IS_TOT_OPER_EXP/1M", "FPT=Q", "FPO=-5Q", "ACT_EST_MAPPING=PRECISE", "FS=MRC", "CURRENCY=USD", "XLFILL=b")</f>
        <v>106330</v>
      </c>
      <c r="M114" s="9">
        <f>_xll.BQL("SEG0000227430 Segment", "IS_TOT_OPER_EXP/1M", "FPT=Q", "FPO=-4Q", "ACT_EST_MAPPING=PRECISE", "FS=MRC", "CURRENCY=USD", "XLFILL=b")</f>
        <v>87046</v>
      </c>
      <c r="N114" s="9">
        <f>_xll.BQL("SEG0000227430 Segment", "IS_TOT_OPER_EXP/1M", "FPT=Q", "FPO=-3Q", "ACT_EST_MAPPING=PRECISE", "FS=MRC", "CURRENCY=USD", "XLFILL=b")</f>
        <v>92551</v>
      </c>
      <c r="O114" s="9">
        <f>_xll.BQL("SEG0000227430 Segment", "IS_TOT_OPER_EXP/1M", "FPT=Q", "FPO=-2Q", "ACT_EST_MAPPING=PRECISE", "FS=MRC", "CURRENCY=USD", "XLFILL=b")</f>
        <v>101478</v>
      </c>
      <c r="P114" s="9">
        <f>_xll.BQL("SEG0000227430 Segment", "IS_TOT_OPER_EXP/1M", "FPT=Q", "FPO=-1Q", "ACT_EST_MAPPING=PRECISE", "FS=MRC", "CURRENCY=USD", "XLFILL=b")</f>
        <v>115611</v>
      </c>
      <c r="Q114" s="9">
        <f>_xll.BQL("SEG0000227430 Segment", "IS_TOT_OPER_EXP/1M", "FPT=Q", "FPO=0Q", "ACT_EST_MAPPING=PRECISE", "FS=MRC", "CURRENCY=USD", "XLFILL=b")</f>
        <v>95876</v>
      </c>
      <c r="R114" s="9">
        <f>_xll.BQL("SEG0000227430 Segment", "IS_TOT_OPER_EXP/1M", "FPT=Q", "FPO=1Q", "ACT_EST_MAPPING=PRECISE", "FS=MRC", "CURRENCY=USD", "XLFILL=b")</f>
        <v>105889.4148821503</v>
      </c>
      <c r="S114" s="9">
        <f>_xll.BQL("SEG0000227430 Segment", "IS_TOT_OPER_EXP/1M", "FPT=Q", "FPO=2Q", "ACT_EST_MAPPING=PRECISE", "FS=MRC", "CURRENCY=USD", "XLFILL=b")</f>
        <v>106664.33671246395</v>
      </c>
      <c r="T114" s="9">
        <f>_xll.BQL("SEG0000227430 Segment", "IS_TOT_OPER_EXP/1M", "FPT=Q", "FPO=3Q", "ACT_EST_MAPPING=PRECISE", "FS=MRC", "CURRENCY=USD", "XLFILL=b")</f>
        <v>126437.4721787649</v>
      </c>
      <c r="U114" s="9">
        <f>_xll.BQL("SEG0000227430 Segment", "IS_TOT_OPER_EXP/1M", "FPT=Q", "FPO=4Q", "ACT_EST_MAPPING=PRECISE", "FS=MRC", "CURRENCY=USD", "XLFILL=b")</f>
        <v>102565.9522115985</v>
      </c>
      <c r="V114" s="9">
        <f>_xll.BQL("SEG0000227430 Segment", "IS_TOT_OPER_EXP/1M", "FPT=Q", "FPO=5Q", "ACT_EST_MAPPING=PRECISE", "FS=MRC", "CURRENCY=USD", "XLFILL=b")</f>
        <v>113156.72939238374</v>
      </c>
      <c r="W114" s="9">
        <f>_xll.BQL("SEG0000227430 Segment", "IS_TOT_OPER_EXP/1M", "FPT=Q", "FPO=6Q", "ACT_EST_MAPPING=PRECISE", "FS=MRC", "CURRENCY=USD", "XLFILL=b")</f>
        <v>113800.25993109224</v>
      </c>
      <c r="X114" s="9">
        <f>_xll.BQL("SEG0000227430 Segment", "IS_TOT_OPER_EXP/1M", "FPT=Q", "FPO=7Q", "ACT_EST_MAPPING=PRECISE", "FS=MRC", "CURRENCY=USD", "XLFILL=b")</f>
        <v>134813.95391864493</v>
      </c>
    </row>
    <row r="115" spans="1:24" x14ac:dyDescent="0.25">
      <c r="A115" s="8" t="s">
        <v>134</v>
      </c>
      <c r="B115" s="4" t="s">
        <v>135</v>
      </c>
      <c r="C115" s="4" t="s">
        <v>136</v>
      </c>
      <c r="D115" s="4" t="s">
        <v>42</v>
      </c>
      <c r="E115" s="9">
        <f>_xll.BQL("SEG0000227430 Segment", "IS_OPER_INC/1M", "FPT=Q", "FPO=-12Q", "ACT_EST_MAPPING=PRECISE", "FS=MRC", "CURRENCY=USD", "XLFILL=b")</f>
        <v>898</v>
      </c>
      <c r="F115" s="9">
        <f>_xll.BQL("SEG0000227430 Segment", "IS_OPER_INC/1M", "FPT=Q", "FPO=-11Q", "ACT_EST_MAPPING=PRECISE", "FS=MRC", "CURRENCY=USD", "XLFILL=b")</f>
        <v>3211</v>
      </c>
      <c r="G115" s="9">
        <f>_xll.BQL("SEG0000227430 Segment", "IS_OPER_INC/1M", "FPT=Q", "FPO=-10Q", "ACT_EST_MAPPING=PRECISE", "FS=MRC", "CURRENCY=USD", "XLFILL=b")</f>
        <v>4307</v>
      </c>
      <c r="H115" s="9">
        <f>_xll.BQL("SEG0000227430 Segment", "IS_OPER_INC/1M", "FPT=Q", "FPO=-9Q", "ACT_EST_MAPPING=PRECISE", "FS=MRC", "CURRENCY=USD", "XLFILL=b")</f>
        <v>6461</v>
      </c>
      <c r="I115" s="9">
        <f>_xll.BQL("SEG0000227430 Segment", "IS_OPER_INC/1M", "FPT=Q", "FPO=-8Q", "ACT_EST_MAPPING=PRECISE", "FS=MRC", "CURRENCY=USD", "XLFILL=b")</f>
        <v>4983</v>
      </c>
      <c r="J115" s="9">
        <f>_xll.BQL("SEG0000227430 Segment", "IS_OPER_INC/1M", "FPT=Q", "FPO=-7Q", "ACT_EST_MAPPING=PRECISE", "FS=MRC", "CURRENCY=USD", "XLFILL=b")</f>
        <v>5065</v>
      </c>
      <c r="K115" s="9">
        <f>_xll.BQL("SEG0000227430 Segment", "IS_OPER_INC/1M", "FPT=Q", "FPO=-6Q", "ACT_EST_MAPPING=PRECISE", "FS=MRC", "CURRENCY=USD", "XLFILL=b")</f>
        <v>5663</v>
      </c>
      <c r="L115" s="9">
        <f>_xll.BQL("SEG0000227430 Segment", "IS_OPER_INC/1M", "FPT=Q", "FPO=-5Q", "ACT_EST_MAPPING=PRECISE", "FS=MRC", "CURRENCY=USD", "XLFILL=b")</f>
        <v>9256</v>
      </c>
      <c r="M115" s="9">
        <f>_xll.BQL("SEG0000227430 Segment", "IS_OPER_INC/1M", "FPT=Q", "FPO=-4Q", "ACT_EST_MAPPING=PRECISE", "FS=MRC", "CURRENCY=USD", "XLFILL=b")</f>
        <v>5841</v>
      </c>
      <c r="N115" s="9">
        <f>_xll.BQL("SEG0000227430 Segment", "IS_OPER_INC/1M", "FPT=Q", "FPO=-3Q", "ACT_EST_MAPPING=PRECISE", "FS=MRC", "CURRENCY=USD", "XLFILL=b")</f>
        <v>7517</v>
      </c>
      <c r="O115" s="9">
        <f>_xll.BQL("SEG0000227430 Segment", "IS_OPER_INC/1M", "FPT=Q", "FPO=-2Q", "ACT_EST_MAPPING=PRECISE", "FS=MRC", "CURRENCY=USD", "XLFILL=b")</f>
        <v>4789</v>
      </c>
      <c r="P115" s="9">
        <f>_xll.BQL("SEG0000227430 Segment", "IS_OPER_INC/1M", "FPT=Q", "FPO=-1Q", "ACT_EST_MAPPING=PRECISE", "FS=MRC", "CURRENCY=USD", "XLFILL=b")</f>
        <v>11472</v>
      </c>
      <c r="Q115" s="9">
        <f>_xll.BQL("SEG0000227430 Segment", "IS_OPER_INC/1M", "FPT=Q", "FPO=0Q", "ACT_EST_MAPPING=PRECISE", "FS=MRC", "CURRENCY=USD", "XLFILL=b")</f>
        <v>8267</v>
      </c>
      <c r="R115" s="9">
        <f>_xll.BQL("SEG0000227430 Segment", "IS_OPER_INC/1M", "FPT=Q", "FPO=1Q", "ACT_EST_MAPPING=PRECISE", "FS=MRC", "CURRENCY=USD", "XLFILL=b")</f>
        <v>8499.2890369726701</v>
      </c>
      <c r="S115" s="9">
        <f>_xll.BQL("SEG0000227430 Segment", "IS_OPER_INC/1M", "FPT=Q", "FPO=2Q", "ACT_EST_MAPPING=PRECISE", "FS=MRC", "CURRENCY=USD", "XLFILL=b")</f>
        <v>8297.4053633955464</v>
      </c>
      <c r="T115" s="9">
        <f>_xll.BQL("SEG0000227430 Segment", "IS_OPER_INC/1M", "FPT=Q", "FPO=3Q", "ACT_EST_MAPPING=PRECISE", "FS=MRC", "CURRENCY=USD", "XLFILL=b")</f>
        <v>13482.022534511769</v>
      </c>
      <c r="U115" s="9">
        <f>_xll.BQL("SEG0000227430 Segment", "IS_OPER_INC/1M", "FPT=Q", "FPO=4Q", "ACT_EST_MAPPING=PRECISE", "FS=MRC", "CURRENCY=USD", "XLFILL=b")</f>
        <v>9794.1226583124626</v>
      </c>
      <c r="V115" s="9">
        <f>_xll.BQL("SEG0000227430 Segment", "IS_OPER_INC/1M", "FPT=Q", "FPO=5Q", "ACT_EST_MAPPING=PRECISE", "FS=MRC", "CURRENCY=USD", "XLFILL=b")</f>
        <v>10468.40390626451</v>
      </c>
      <c r="W115" s="9">
        <f>_xll.BQL("SEG0000227430 Segment", "IS_OPER_INC/1M", "FPT=Q", "FPO=6Q", "ACT_EST_MAPPING=PRECISE", "FS=MRC", "CURRENCY=USD", "XLFILL=b")</f>
        <v>10659.764240426401</v>
      </c>
      <c r="X115" s="9">
        <f>_xll.BQL("SEG0000227430 Segment", "IS_OPER_INC/1M", "FPT=Q", "FPO=7Q", "ACT_EST_MAPPING=PRECISE", "FS=MRC", "CURRENCY=USD", "XLFILL=b")</f>
        <v>16124.838629740345</v>
      </c>
    </row>
    <row r="116" spans="1:24" x14ac:dyDescent="0.25">
      <c r="A116" s="8" t="s">
        <v>43</v>
      </c>
      <c r="B116" s="4" t="s">
        <v>44</v>
      </c>
      <c r="C116" s="4" t="s">
        <v>45</v>
      </c>
      <c r="D116" s="4" t="s">
        <v>42</v>
      </c>
      <c r="E116" s="9">
        <f>_xll.BQL("SEG0000227430 Segment", "CB_IS_OPERATING_MARGIN", "FPT=Q", "FPO=-12Q", "ACT_EST_MAPPING=PRECISE", "FS=MRC", "CURRENCY=USD", "XLFILL=b")</f>
        <v>1.2</v>
      </c>
      <c r="F116" s="9">
        <f>_xll.BQL("SEG0000227430 Segment", "CB_IS_OPERATING_MARGIN", "FPT=Q", "FPO=-11Q", "ACT_EST_MAPPING=PRECISE", "FS=MRC", "CURRENCY=USD", "XLFILL=b")</f>
        <v>3.9</v>
      </c>
      <c r="G116" s="9">
        <f>_xll.BQL("SEG0000227430 Segment", "CB_IS_OPERATING_MARGIN", "FPT=Q", "FPO=-10Q", "ACT_EST_MAPPING=PRECISE", "FS=MRC", "CURRENCY=USD", "XLFILL=b")</f>
        <v>4.9000000000000004</v>
      </c>
      <c r="H116" s="9">
        <f>_xll.BQL("SEG0000227430 Segment", "CB_IS_OPERATING_MARGIN", "FPT=Q", "FPO=-9Q", "ACT_EST_MAPPING=PRECISE", "FS=MRC", "CURRENCY=USD", "XLFILL=b")</f>
        <v>6.1</v>
      </c>
      <c r="I116" s="9">
        <f>_xll.BQL("SEG0000227430 Segment", "CB_IS_OPERATING_MARGIN", "FPT=Q", "FPO=-8Q", "ACT_EST_MAPPING=PRECISE", "FS=MRC", "CURRENCY=USD", "XLFILL=b")</f>
        <v>5.8</v>
      </c>
      <c r="J116" s="9">
        <f>_xll.BQL("SEG0000227430 Segment", "CB_IS_OPERATING_MARGIN", "FPT=Q", "FPO=-7Q", "ACT_EST_MAPPING=PRECISE", "FS=MRC", "CURRENCY=USD", "XLFILL=b")</f>
        <v>5.6</v>
      </c>
      <c r="K116" s="9">
        <f>_xll.BQL("SEG0000227430 Segment", "CB_IS_OPERATING_MARGIN", "FPT=Q", "FPO=-6Q", "ACT_EST_MAPPING=PRECISE", "FS=MRC", "CURRENCY=USD", "XLFILL=b")</f>
        <v>5.9</v>
      </c>
      <c r="L116" s="9">
        <f>_xll.BQL("SEG0000227430 Segment", "CB_IS_OPERATING_MARGIN", "FPT=Q", "FPO=-5Q", "ACT_EST_MAPPING=PRECISE", "FS=MRC", "CURRENCY=USD", "XLFILL=b")</f>
        <v>8</v>
      </c>
      <c r="M116" s="9">
        <f>_xll.BQL("SEG0000227430 Segment", "CB_IS_OPERATING_MARGIN", "FPT=Q", "FPO=-4Q", "ACT_EST_MAPPING=PRECISE", "FS=MRC", "CURRENCY=USD", "XLFILL=b")</f>
        <v>6.3</v>
      </c>
      <c r="N116" s="9">
        <f>_xll.BQL("SEG0000227430 Segment", "CB_IS_OPERATING_MARGIN", "FPT=Q", "FPO=-3Q", "ACT_EST_MAPPING=PRECISE", "FS=MRC", "CURRENCY=USD", "XLFILL=b")</f>
        <v>7.5</v>
      </c>
      <c r="O116" s="9">
        <f>_xll.BQL("SEG0000227430 Segment", "CB_IS_OPERATING_MARGIN", "FPT=Q", "FPO=-2Q", "ACT_EST_MAPPING=PRECISE", "FS=MRC", "CURRENCY=USD", "XLFILL=b")</f>
        <v>4.5</v>
      </c>
      <c r="P116" s="9">
        <f>_xll.BQL("SEG0000227430 Segment", "CB_IS_OPERATING_MARGIN", "FPT=Q", "FPO=-1Q", "ACT_EST_MAPPING=PRECISE", "FS=MRC", "CURRENCY=USD", "XLFILL=b")</f>
        <v>9</v>
      </c>
      <c r="Q116" s="9">
        <f>_xll.BQL("SEG0000227430 Segment", "CB_IS_OPERATING_MARGIN", "FPT=Q", "FPO=0Q", "ACT_EST_MAPPING=PRECISE", "FS=MRC", "CURRENCY=USD", "XLFILL=b")</f>
        <v>7.9</v>
      </c>
      <c r="R116" s="9">
        <f>_xll.BQL("SEG0000227430 Segment", "CB_IS_OPERATING_MARGIN", "FPT=Q", "FPO=1Q", "ACT_EST_MAPPING=PRECISE", "FS=MRC", "CURRENCY=USD", "XLFILL=b")</f>
        <v>7.475597612468996</v>
      </c>
      <c r="S116" s="9">
        <f>_xll.BQL("SEG0000227430 Segment", "CB_IS_OPERATING_MARGIN", "FPT=Q", "FPO=2Q", "ACT_EST_MAPPING=PRECISE", "FS=MRC", "CURRENCY=USD", "XLFILL=b")</f>
        <v>7.262945366522028</v>
      </c>
      <c r="T116" s="9">
        <f>_xll.BQL("SEG0000227430 Segment", "CB_IS_OPERATING_MARGIN", "FPT=Q", "FPO=3Q", "ACT_EST_MAPPING=PRECISE", "FS=MRC", "CURRENCY=USD", "XLFILL=b")</f>
        <v>9.5667349935530268</v>
      </c>
      <c r="U116" s="9">
        <f>_xll.BQL("SEG0000227430 Segment", "CB_IS_OPERATING_MARGIN", "FPT=Q", "FPO=4Q", "ACT_EST_MAPPING=PRECISE", "FS=MRC", "CURRENCY=USD", "XLFILL=b")</f>
        <v>9.2650727023153774</v>
      </c>
      <c r="V116" s="9">
        <f>_xll.BQL("SEG0000227430 Segment", "CB_IS_OPERATING_MARGIN", "FPT=Q", "FPO=5Q", "ACT_EST_MAPPING=PRECISE", "FS=MRC", "CURRENCY=USD", "XLFILL=b")</f>
        <v>8.3407311692988699</v>
      </c>
      <c r="W116" s="9">
        <f>_xll.BQL("SEG0000227430 Segment", "CB_IS_OPERATING_MARGIN", "FPT=Q", "FPO=6Q", "ACT_EST_MAPPING=PRECISE", "FS=MRC", "CURRENCY=USD", "XLFILL=b")</f>
        <v>8.7674824552159567</v>
      </c>
      <c r="X116" s="9">
        <f>_xll.BQL("SEG0000227430 Segment", "CB_IS_OPERATING_MARGIN", "FPT=Q", "FPO=7Q", "ACT_EST_MAPPING=PRECISE", "FS=MRC", "CURRENCY=USD", "XLFILL=b")</f>
        <v>10.541317694932518</v>
      </c>
    </row>
    <row r="117" spans="1:24" x14ac:dyDescent="0.25">
      <c r="A117" s="8" t="s">
        <v>137</v>
      </c>
      <c r="B117" s="4" t="s">
        <v>138</v>
      </c>
      <c r="C117" s="4" t="s">
        <v>139</v>
      </c>
      <c r="D117" s="4" t="s">
        <v>42</v>
      </c>
      <c r="E117" s="9" t="str">
        <f>_xll.BQL("SEG0000227430 Segment", "IS_DEPR_EXP/1M", "FPT=Q", "FPO=-12Q", "ACT_EST_MAPPING=PRECISE", "FS=MRC", "CURRENCY=USD", "XLFILL=b")</f>
        <v/>
      </c>
      <c r="F117" s="9" t="str">
        <f>_xll.BQL("SEG0000227430 Segment", "IS_DEPR_EXP/1M", "FPT=Q", "FPO=-11Q", "ACT_EST_MAPPING=PRECISE", "FS=MRC", "CURRENCY=USD", "XLFILL=b")</f>
        <v/>
      </c>
      <c r="G117" s="9" t="str">
        <f>_xll.BQL("SEG0000227430 Segment", "IS_DEPR_EXP/1M", "FPT=Q", "FPO=-10Q", "ACT_EST_MAPPING=PRECISE", "FS=MRC", "CURRENCY=USD", "XLFILL=b")</f>
        <v/>
      </c>
      <c r="H117" s="9" t="str">
        <f>_xll.BQL("SEG0000227430 Segment", "IS_DEPR_EXP/1M", "FPT=Q", "FPO=-9Q", "ACT_EST_MAPPING=PRECISE", "FS=MRC", "CURRENCY=USD", "XLFILL=b")</f>
        <v/>
      </c>
      <c r="I117" s="9" t="str">
        <f>_xll.BQL("SEG0000227430 Segment", "IS_DEPR_EXP/1M", "FPT=Q", "FPO=-8Q", "ACT_EST_MAPPING=PRECISE", "FS=MRC", "CURRENCY=USD", "XLFILL=b")</f>
        <v/>
      </c>
      <c r="J117" s="9" t="str">
        <f>_xll.BQL("SEG0000227430 Segment", "IS_DEPR_EXP/1M", "FPT=Q", "FPO=-7Q", "ACT_EST_MAPPING=PRECISE", "FS=MRC", "CURRENCY=USD", "XLFILL=b")</f>
        <v/>
      </c>
      <c r="K117" s="9" t="str">
        <f>_xll.BQL("SEG0000227430 Segment", "IS_DEPR_EXP/1M", "FPT=Q", "FPO=-6Q", "ACT_EST_MAPPING=PRECISE", "FS=MRC", "CURRENCY=USD", "XLFILL=b")</f>
        <v/>
      </c>
      <c r="L117" s="9">
        <f>_xll.BQL("SEG0000227430 Segment", "IS_DEPR_EXP/1M", "FPT=Q", "FPO=-5Q", "ACT_EST_MAPPING=PRECISE", "FS=MRC", "CURRENCY=USD", "XLFILL=b")</f>
        <v>14285</v>
      </c>
      <c r="M117" s="9">
        <f>_xll.BQL("SEG0000227430 Segment", "IS_DEPR_EXP/1M", "FPT=Q", "FPO=-4Q", "ACT_EST_MAPPING=PRECISE", "FS=MRC", "CURRENCY=USD", "XLFILL=b")</f>
        <v>3530</v>
      </c>
      <c r="N117" s="9">
        <f>_xll.BQL("SEG0000227430 Segment", "IS_DEPR_EXP/1M", "FPT=Q", "FPO=-3Q", "ACT_EST_MAPPING=PRECISE", "FS=MRC", "CURRENCY=USD", "XLFILL=b")</f>
        <v>3742</v>
      </c>
      <c r="O117" s="9">
        <f>_xll.BQL("SEG0000227430 Segment", "IS_DEPR_EXP/1M", "FPT=Q", "FPO=-2Q", "ACT_EST_MAPPING=PRECISE", "FS=MRC", "CURRENCY=USD", "XLFILL=b")</f>
        <v>4001</v>
      </c>
      <c r="P117" s="9">
        <f>_xll.BQL("SEG0000227430 Segment", "IS_DEPR_EXP/1M", "FPT=Q", "FPO=-1Q", "ACT_EST_MAPPING=PRECISE", "FS=MRC", "CURRENCY=USD", "XLFILL=b")</f>
        <v>4230</v>
      </c>
      <c r="Q117" s="9">
        <f>_xll.BQL("SEG0000227430 Segment", "IS_DEPR_EXP/1M", "FPT=Q", "FPO=0Q", "ACT_EST_MAPPING=PRECISE", "FS=MRC", "CURRENCY=USD", "XLFILL=b")</f>
        <v>4280</v>
      </c>
      <c r="R117" s="9">
        <f>_xll.BQL("SEG0000227430 Segment", "IS_DEPR_EXP/1M", "FPT=Q", "FPO=1Q", "ACT_EST_MAPPING=PRECISE", "FS=MRC", "CURRENCY=USD", "XLFILL=b")</f>
        <v>4929.9666888510237</v>
      </c>
      <c r="S117" s="9">
        <f>_xll.BQL("SEG0000227430 Segment", "IS_DEPR_EXP/1M", "FPT=Q", "FPO=2Q", "ACT_EST_MAPPING=PRECISE", "FS=MRC", "CURRENCY=USD", "XLFILL=b")</f>
        <v>5234.1590560060749</v>
      </c>
      <c r="T117" s="9">
        <f>_xll.BQL("SEG0000227430 Segment", "IS_DEPR_EXP/1M", "FPT=Q", "FPO=3Q", "ACT_EST_MAPPING=PRECISE", "FS=MRC", "CURRENCY=USD", "XLFILL=b")</f>
        <v>5626.4505601592</v>
      </c>
      <c r="U117" s="9">
        <f>_xll.BQL("SEG0000227430 Segment", "IS_DEPR_EXP/1M", "FPT=Q", "FPO=4Q", "ACT_EST_MAPPING=PRECISE", "FS=MRC", "CURRENCY=USD", "XLFILL=b")</f>
        <v>6514.9936224383355</v>
      </c>
      <c r="V117" s="9">
        <f>_xll.BQL("SEG0000227430 Segment", "IS_DEPR_EXP/1M", "FPT=Q", "FPO=5Q", "ACT_EST_MAPPING=PRECISE", "FS=MRC", "CURRENCY=USD", "XLFILL=b")</f>
        <v>7094.0013963989695</v>
      </c>
      <c r="W117" s="9">
        <f>_xll.BQL("SEG0000227430 Segment", "IS_DEPR_EXP/1M", "FPT=Q", "FPO=6Q", "ACT_EST_MAPPING=PRECISE", "FS=MRC", "CURRENCY=USD", "XLFILL=b")</f>
        <v>7636.4068412163751</v>
      </c>
      <c r="X117" s="9">
        <f>_xll.BQL("SEG0000227430 Segment", "IS_DEPR_EXP/1M", "FPT=Q", "FPO=7Q", "ACT_EST_MAPPING=PRECISE", "FS=MRC", "CURRENCY=USD", "XLFILL=b")</f>
        <v>8341.3926919979276</v>
      </c>
    </row>
    <row r="118" spans="1:24" x14ac:dyDescent="0.25">
      <c r="A118" s="8" t="s">
        <v>140</v>
      </c>
      <c r="B118" s="4" t="s">
        <v>141</v>
      </c>
      <c r="C118" s="4" t="s">
        <v>142</v>
      </c>
      <c r="D118" s="4" t="s">
        <v>42</v>
      </c>
      <c r="E118" s="9" t="str">
        <f>_xll.BQL("SEG0000227430 Segment", "CB_BS_PP_AND_E_NET/1M", "FPT=Q", "FPO=-12Q", "ACT_EST_MAPPING=PRECISE", "FS=MRC", "CURRENCY=USD", "XLFILL=b")</f>
        <v/>
      </c>
      <c r="F118" s="9" t="str">
        <f>_xll.BQL("SEG0000227430 Segment", "CB_BS_PP_AND_E_NET/1M", "FPT=Q", "FPO=-11Q", "ACT_EST_MAPPING=PRECISE", "FS=MRC", "CURRENCY=USD", "XLFILL=b")</f>
        <v/>
      </c>
      <c r="G118" s="9" t="str">
        <f>_xll.BQL("SEG0000227430 Segment", "CB_BS_PP_AND_E_NET/1M", "FPT=Q", "FPO=-10Q", "ACT_EST_MAPPING=PRECISE", "FS=MRC", "CURRENCY=USD", "XLFILL=b")</f>
        <v/>
      </c>
      <c r="H118" s="9">
        <f>_xll.BQL("SEG0000227430 Segment", "CB_BS_PP_AND_E_NET/1M", "FPT=Q", "FPO=-9Q", "ACT_EST_MAPPING=PRECISE", "FS=MRC", "CURRENCY=USD", "XLFILL=b")</f>
        <v>93632</v>
      </c>
      <c r="I118" s="9" t="str">
        <f>_xll.BQL("SEG0000227430 Segment", "CB_BS_PP_AND_E_NET/1M", "FPT=Q", "FPO=-8Q", "ACT_EST_MAPPING=PRECISE", "FS=MRC", "CURRENCY=USD", "XLFILL=b")</f>
        <v/>
      </c>
      <c r="J118" s="9" t="str">
        <f>_xll.BQL("SEG0000227430 Segment", "CB_BS_PP_AND_E_NET/1M", "FPT=Q", "FPO=-7Q", "ACT_EST_MAPPING=PRECISE", "FS=MRC", "CURRENCY=USD", "XLFILL=b")</f>
        <v/>
      </c>
      <c r="K118" s="9" t="str">
        <f>_xll.BQL("SEG0000227430 Segment", "CB_BS_PP_AND_E_NET/1M", "FPT=Q", "FPO=-6Q", "ACT_EST_MAPPING=PRECISE", "FS=MRC", "CURRENCY=USD", "XLFILL=b")</f>
        <v/>
      </c>
      <c r="L118" s="9">
        <f>_xll.BQL("SEG0000227430 Segment", "CB_BS_PP_AND_E_NET/1M", "FPT=Q", "FPO=-5Q", "ACT_EST_MAPPING=PRECISE", "FS=MRC", "CURRENCY=USD", "XLFILL=b")</f>
        <v>103041</v>
      </c>
      <c r="M118" s="9" t="str">
        <f>_xll.BQL("SEG0000227430 Segment", "CB_BS_PP_AND_E_NET/1M", "FPT=Q", "FPO=-4Q", "ACT_EST_MAPPING=PRECISE", "FS=MRC", "CURRENCY=USD", "XLFILL=b")</f>
        <v/>
      </c>
      <c r="N118" s="9">
        <f>_xll.BQL("SEG0000227430 Segment", "CB_BS_PP_AND_E_NET/1M", "FPT=Q", "FPO=-3Q", "ACT_EST_MAPPING=PRECISE", "FS=MRC", "CURRENCY=USD", "XLFILL=b")</f>
        <v>113249</v>
      </c>
      <c r="O118" s="9">
        <f>_xll.BQL("SEG0000227430 Segment", "CB_BS_PP_AND_E_NET/1M", "FPT=Q", "FPO=-2Q", "ACT_EST_MAPPING=PRECISE", "FS=MRC", "CURRENCY=USD", "XLFILL=b")</f>
        <v>115661</v>
      </c>
      <c r="P118" s="9">
        <f>_xll.BQL("SEG0000227430 Segment", "CB_BS_PP_AND_E_NET/1M", "FPT=Q", "FPO=-1Q", "ACT_EST_MAPPING=PRECISE", "FS=MRC", "CURRENCY=USD", "XLFILL=b")</f>
        <v>122043</v>
      </c>
      <c r="Q118" s="9">
        <f>_xll.BQL("SEG0000227430 Segment", "CB_BS_PP_AND_E_NET/1M", "FPT=Q", "FPO=0Q", "ACT_EST_MAPPING=PRECISE", "FS=MRC", "CURRENCY=USD", "XLFILL=b")</f>
        <v>129241</v>
      </c>
      <c r="R118" s="9">
        <f>_xll.BQL("SEG0000227430 Segment", "CB_BS_PP_AND_E_NET/1M", "FPT=Q", "FPO=1Q", "ACT_EST_MAPPING=PRECISE", "FS=MRC", "CURRENCY=USD", "XLFILL=b")</f>
        <v>134441.25326757974</v>
      </c>
      <c r="S118" s="9">
        <f>_xll.BQL("SEG0000227430 Segment", "CB_BS_PP_AND_E_NET/1M", "FPT=Q", "FPO=2Q", "ACT_EST_MAPPING=PRECISE", "FS=MRC", "CURRENCY=USD", "XLFILL=b")</f>
        <v>140143.19864317513</v>
      </c>
      <c r="T118" s="9">
        <f>_xll.BQL("SEG0000227430 Segment", "CB_BS_PP_AND_E_NET/1M", "FPT=Q", "FPO=3Q", "ACT_EST_MAPPING=PRECISE", "FS=MRC", "CURRENCY=USD", "XLFILL=b")</f>
        <v>147358.53730254059</v>
      </c>
      <c r="U118" s="9" t="str">
        <f>_xll.BQL("SEG0000227430 Segment", "CB_BS_PP_AND_E_NET/1M", "FPT=Q", "FPO=4Q", "ACT_EST_MAPPING=PRECISE", "FS=MRC", "CURRENCY=USD", "XLFILL=b")</f>
        <v/>
      </c>
      <c r="V118" s="9" t="str">
        <f>_xll.BQL("SEG0000227430 Segment", "CB_BS_PP_AND_E_NET/1M", "FPT=Q", "FPO=5Q", "ACT_EST_MAPPING=PRECISE", "FS=MRC", "CURRENCY=USD", "XLFILL=b")</f>
        <v/>
      </c>
      <c r="W118" s="9" t="str">
        <f>_xll.BQL("SEG0000227430 Segment", "CB_BS_PP_AND_E_NET/1M", "FPT=Q", "FPO=6Q", "ACT_EST_MAPPING=PRECISE", "FS=MRC", "CURRENCY=USD", "XLFILL=b")</f>
        <v/>
      </c>
      <c r="X118" s="9" t="str">
        <f>_xll.BQL("SEG0000227430 Segment", "CB_BS_PP_AND_E_NET/1M", "FPT=Q", "FPO=7Q", "ACT_EST_MAPPING=PRECISE", "FS=MRC", "CURRENCY=USD", "XLFILL=b")</f>
        <v/>
      </c>
    </row>
    <row r="119" spans="1:24" x14ac:dyDescent="0.25">
      <c r="A119" s="8" t="s">
        <v>150</v>
      </c>
      <c r="B119" s="4" t="s">
        <v>141</v>
      </c>
      <c r="C119" s="4" t="s">
        <v>142</v>
      </c>
      <c r="D119" s="4" t="s">
        <v>151</v>
      </c>
      <c r="E119" s="9" t="str">
        <f>_xll.BQL("SEG0000227410 Segment", "CB_BS_PP_AND_E_NET/1M", "FPT=Q", "FPO=-12Q", "ACT_EST_MAPPING=PRECISE", "FS=MRC", "CURRENCY=USD", "XLFILL=b")</f>
        <v/>
      </c>
      <c r="F119" s="9" t="str">
        <f>_xll.BQL("SEG0000227410 Segment", "CB_BS_PP_AND_E_NET/1M", "FPT=Q", "FPO=-11Q", "ACT_EST_MAPPING=PRECISE", "FS=MRC", "CURRENCY=USD", "XLFILL=b")</f>
        <v/>
      </c>
      <c r="G119" s="9" t="str">
        <f>_xll.BQL("SEG0000227410 Segment", "CB_BS_PP_AND_E_NET/1M", "FPT=Q", "FPO=-10Q", "ACT_EST_MAPPING=PRECISE", "FS=MRC", "CURRENCY=USD", "XLFILL=b")</f>
        <v/>
      </c>
      <c r="H119" s="9">
        <f>_xll.BQL("SEG0000227410 Segment", "CB_BS_PP_AND_E_NET/1M", "FPT=Q", "FPO=-9Q", "ACT_EST_MAPPING=PRECISE", "FS=MRC", "CURRENCY=USD", "XLFILL=b")</f>
        <v>13487</v>
      </c>
      <c r="I119" s="9" t="str">
        <f>_xll.BQL("SEG0000227410 Segment", "CB_BS_PP_AND_E_NET/1M", "FPT=Q", "FPO=-8Q", "ACT_EST_MAPPING=PRECISE", "FS=MRC", "CURRENCY=USD", "XLFILL=b")</f>
        <v/>
      </c>
      <c r="J119" s="9" t="str">
        <f>_xll.BQL("SEG0000227410 Segment", "CB_BS_PP_AND_E_NET/1M", "FPT=Q", "FPO=-7Q", "ACT_EST_MAPPING=PRECISE", "FS=MRC", "CURRENCY=USD", "XLFILL=b")</f>
        <v/>
      </c>
      <c r="K119" s="9" t="str">
        <f>_xll.BQL("SEG0000227410 Segment", "CB_BS_PP_AND_E_NET/1M", "FPT=Q", "FPO=-6Q", "ACT_EST_MAPPING=PRECISE", "FS=MRC", "CURRENCY=USD", "XLFILL=b")</f>
        <v/>
      </c>
      <c r="L119" s="9">
        <f>_xll.BQL("SEG0000227410 Segment", "CB_BS_PP_AND_E_NET/1M", "FPT=Q", "FPO=-5Q", "ACT_EST_MAPPING=PRECISE", "FS=MRC", "CURRENCY=USD", "XLFILL=b")</f>
        <v>13323</v>
      </c>
      <c r="M119" s="9" t="str">
        <f>_xll.BQL("SEG0000227410 Segment", "CB_BS_PP_AND_E_NET/1M", "FPT=Q", "FPO=-4Q", "ACT_EST_MAPPING=PRECISE", "FS=MRC", "CURRENCY=USD", "XLFILL=b")</f>
        <v/>
      </c>
      <c r="N119" s="9">
        <f>_xll.BQL("SEG0000227410 Segment", "CB_BS_PP_AND_E_NET/1M", "FPT=Q", "FPO=-3Q", "ACT_EST_MAPPING=PRECISE", "FS=MRC", "CURRENCY=USD", "XLFILL=b")</f>
        <v>14052</v>
      </c>
      <c r="O119" s="9">
        <f>_xll.BQL("SEG0000227410 Segment", "CB_BS_PP_AND_E_NET/1M", "FPT=Q", "FPO=-2Q", "ACT_EST_MAPPING=PRECISE", "FS=MRC", "CURRENCY=USD", "XLFILL=b")</f>
        <v>14180</v>
      </c>
      <c r="P119" s="9">
        <f>_xll.BQL("SEG0000227410 Segment", "CB_BS_PP_AND_E_NET/1M", "FPT=Q", "FPO=-1Q", "ACT_EST_MAPPING=PRECISE", "FS=MRC", "CURRENCY=USD", "XLFILL=b")</f>
        <v>14295</v>
      </c>
      <c r="Q119" s="9">
        <f>_xll.BQL("SEG0000227410 Segment", "CB_BS_PP_AND_E_NET/1M", "FPT=Q", "FPO=0Q", "ACT_EST_MAPPING=PRECISE", "FS=MRC", "CURRENCY=USD", "XLFILL=b")</f>
        <v>14262</v>
      </c>
      <c r="R119" s="9">
        <f>_xll.BQL("SEG0000227410 Segment", "CB_BS_PP_AND_E_NET/1M", "FPT=Q", "FPO=1Q", "ACT_EST_MAPPING=PRECISE", "FS=MRC", "CURRENCY=USD", "XLFILL=b")</f>
        <v>15061.064883186562</v>
      </c>
      <c r="S119" s="9">
        <f>_xll.BQL("SEG0000227410 Segment", "CB_BS_PP_AND_E_NET/1M", "FPT=Q", "FPO=2Q", "ACT_EST_MAPPING=PRECISE", "FS=MRC", "CURRENCY=USD", "XLFILL=b")</f>
        <v>15580.331180932762</v>
      </c>
      <c r="T119" s="9">
        <f>_xll.BQL("SEG0000227410 Segment", "CB_BS_PP_AND_E_NET/1M", "FPT=Q", "FPO=3Q", "ACT_EST_MAPPING=PRECISE", "FS=MRC", "CURRENCY=USD", "XLFILL=b")</f>
        <v>16154.685183265674</v>
      </c>
      <c r="U119" s="9">
        <f>_xll.BQL("SEG0000227410 Segment", "CB_BS_PP_AND_E_NET/1M", "FPT=Q", "FPO=4Q", "ACT_EST_MAPPING=PRECISE", "FS=MRC", "CURRENCY=USD", "XLFILL=b")</f>
        <v>16961.001035130615</v>
      </c>
      <c r="V119" s="9">
        <f>_xll.BQL("SEG0000227410 Segment", "CB_BS_PP_AND_E_NET/1M", "FPT=Q", "FPO=5Q", "ACT_EST_MAPPING=PRECISE", "FS=MRC", "CURRENCY=USD", "XLFILL=b")</f>
        <v>17681.8239968948</v>
      </c>
      <c r="W119" s="9">
        <f>_xll.BQL("SEG0000227410 Segment", "CB_BS_PP_AND_E_NET/1M", "FPT=Q", "FPO=6Q", "ACT_EST_MAPPING=PRECISE", "FS=MRC", "CURRENCY=USD", "XLFILL=b")</f>
        <v>18427.114597047563</v>
      </c>
      <c r="X119" s="9">
        <f>_xll.BQL("SEG0000227410 Segment", "CB_BS_PP_AND_E_NET/1M", "FPT=Q", "FPO=7Q", "ACT_EST_MAPPING=PRECISE", "FS=MRC", "CURRENCY=USD", "XLFILL=b")</f>
        <v>19309.134377778428</v>
      </c>
    </row>
    <row r="120" spans="1:24" x14ac:dyDescent="0.25">
      <c r="A120" s="8" t="s">
        <v>143</v>
      </c>
      <c r="B120" s="4" t="s">
        <v>144</v>
      </c>
      <c r="C120" s="4" t="s">
        <v>145</v>
      </c>
      <c r="D120" s="4" t="s">
        <v>42</v>
      </c>
      <c r="E120" s="9" t="str">
        <f>_xll.BQL("SEG0000227430 Segment", "IS_CAPEX_AS_REPORTED/1M", "FPT=Q", "FPO=-12Q", "ACT_EST_MAPPING=PRECISE", "FS=MRC", "CURRENCY=USD", "XLFILL=b")</f>
        <v/>
      </c>
      <c r="F120" s="9" t="str">
        <f>_xll.BQL("SEG0000227430 Segment", "IS_CAPEX_AS_REPORTED/1M", "FPT=Q", "FPO=-11Q", "ACT_EST_MAPPING=PRECISE", "FS=MRC", "CURRENCY=USD", "XLFILL=b")</f>
        <v/>
      </c>
      <c r="G120" s="9" t="str">
        <f>_xll.BQL("SEG0000227430 Segment", "IS_CAPEX_AS_REPORTED/1M", "FPT=Q", "FPO=-10Q", "ACT_EST_MAPPING=PRECISE", "FS=MRC", "CURRENCY=USD", "XLFILL=b")</f>
        <v/>
      </c>
      <c r="H120" s="9" t="str">
        <f>_xll.BQL("SEG0000227430 Segment", "IS_CAPEX_AS_REPORTED/1M", "FPT=Q", "FPO=-9Q", "ACT_EST_MAPPING=PRECISE", "FS=MRC", "CURRENCY=USD", "XLFILL=b")</f>
        <v/>
      </c>
      <c r="I120" s="9" t="str">
        <f>_xll.BQL("SEG0000227430 Segment", "IS_CAPEX_AS_REPORTED/1M", "FPT=Q", "FPO=-8Q", "ACT_EST_MAPPING=PRECISE", "FS=MRC", "CURRENCY=USD", "XLFILL=b")</f>
        <v/>
      </c>
      <c r="J120" s="9" t="str">
        <f>_xll.BQL("SEG0000227430 Segment", "IS_CAPEX_AS_REPORTED/1M", "FPT=Q", "FPO=-7Q", "ACT_EST_MAPPING=PRECISE", "FS=MRC", "CURRENCY=USD", "XLFILL=b")</f>
        <v/>
      </c>
      <c r="K120" s="9" t="str">
        <f>_xll.BQL("SEG0000227430 Segment", "IS_CAPEX_AS_REPORTED/1M", "FPT=Q", "FPO=-6Q", "ACT_EST_MAPPING=PRECISE", "FS=MRC", "CURRENCY=USD", "XLFILL=b")</f>
        <v/>
      </c>
      <c r="L120" s="9" t="str">
        <f>_xll.BQL("SEG0000227430 Segment", "IS_CAPEX_AS_REPORTED/1M", "FPT=Q", "FPO=-5Q", "ACT_EST_MAPPING=PRECISE", "FS=MRC", "CURRENCY=USD", "XLFILL=b")</f>
        <v/>
      </c>
      <c r="M120" s="9">
        <f>_xll.BQL("SEG0000227430 Segment", "IS_CAPEX_AS_REPORTED/1M", "FPT=Q", "FPO=-4Q", "ACT_EST_MAPPING=PRECISE", "FS=MRC", "CURRENCY=USD", "XLFILL=b")</f>
        <v>5096</v>
      </c>
      <c r="N120" s="9">
        <f>_xll.BQL("SEG0000227430 Segment", "IS_CAPEX_AS_REPORTED/1M", "FPT=Q", "FPO=-3Q", "ACT_EST_MAPPING=PRECISE", "FS=MRC", "CURRENCY=USD", "XLFILL=b")</f>
        <v>11272</v>
      </c>
      <c r="O120" s="9">
        <f>_xll.BQL("SEG0000227430 Segment", "IS_CAPEX_AS_REPORTED/1M", "FPT=Q", "FPO=-2Q", "ACT_EST_MAPPING=PRECISE", "FS=MRC", "CURRENCY=USD", "XLFILL=b")</f>
        <v>8638</v>
      </c>
      <c r="P120" s="9">
        <f>_xll.BQL("SEG0000227430 Segment", "IS_CAPEX_AS_REPORTED/1M", "FPT=Q", "FPO=-1Q", "ACT_EST_MAPPING=PRECISE", "FS=MRC", "CURRENCY=USD", "XLFILL=b")</f>
        <v>10913</v>
      </c>
      <c r="Q120" s="9">
        <f>_xll.BQL("SEG0000227430 Segment", "IS_CAPEX_AS_REPORTED/1M", "FPT=Q", "FPO=0Q", "ACT_EST_MAPPING=PRECISE", "FS=MRC", "CURRENCY=USD", "XLFILL=b")</f>
        <v>11126</v>
      </c>
      <c r="R120" s="9">
        <f>_xll.BQL("SEG0000227430 Segment", "IS_CAPEX_AS_REPORTED/1M", "FPT=Q", "FPO=1Q", "ACT_EST_MAPPING=PRECISE", "FS=MRC", "CURRENCY=USD", "XLFILL=b")</f>
        <v>9718.3966891766959</v>
      </c>
      <c r="S120" s="9">
        <f>_xll.BQL("SEG0000227430 Segment", "IS_CAPEX_AS_REPORTED/1M", "FPT=Q", "FPO=2Q", "ACT_EST_MAPPING=PRECISE", "FS=MRC", "CURRENCY=USD", "XLFILL=b")</f>
        <v>10029.859636563589</v>
      </c>
      <c r="T120" s="9">
        <f>_xll.BQL("SEG0000227430 Segment", "IS_CAPEX_AS_REPORTED/1M", "FPT=Q", "FPO=3Q", "ACT_EST_MAPPING=PRECISE", "FS=MRC", "CURRENCY=USD", "XLFILL=b")</f>
        <v>11313.334653195914</v>
      </c>
      <c r="U120" s="9">
        <f>_xll.BQL("SEG0000227430 Segment", "IS_CAPEX_AS_REPORTED/1M", "FPT=Q", "FPO=4Q", "ACT_EST_MAPPING=PRECISE", "FS=MRC", "CURRENCY=USD", "XLFILL=b")</f>
        <v>12483.521835005455</v>
      </c>
      <c r="V120" s="9">
        <f>_xll.BQL("SEG0000227430 Segment", "IS_CAPEX_AS_REPORTED/1M", "FPT=Q", "FPO=5Q", "ACT_EST_MAPPING=PRECISE", "FS=MRC", "CURRENCY=USD", "XLFILL=b")</f>
        <v>13212.875541170228</v>
      </c>
      <c r="W120" s="9">
        <f>_xll.BQL("SEG0000227430 Segment", "IS_CAPEX_AS_REPORTED/1M", "FPT=Q", "FPO=6Q", "ACT_EST_MAPPING=PRECISE", "FS=MRC", "CURRENCY=USD", "XLFILL=b")</f>
        <v>13506.487201833137</v>
      </c>
      <c r="X120" s="9">
        <f>_xll.BQL("SEG0000227430 Segment", "IS_CAPEX_AS_REPORTED/1M", "FPT=Q", "FPO=7Q", "ACT_EST_MAPPING=PRECISE", "FS=MRC", "CURRENCY=USD", "XLFILL=b")</f>
        <v>15147.237368770388</v>
      </c>
    </row>
    <row r="121" spans="1:24" x14ac:dyDescent="0.25">
      <c r="A121" s="8" t="s">
        <v>146</v>
      </c>
      <c r="B121" s="4" t="s">
        <v>147</v>
      </c>
      <c r="C121" s="4" t="s">
        <v>148</v>
      </c>
      <c r="D121" s="4" t="s">
        <v>42</v>
      </c>
      <c r="E121" s="9">
        <f>_xll.BQL("SEG0000227430 Segment", "IS_SALES_CHANGE_MIX_PERCENTAGE", "FPT=Q", "FPO=-12Q", "ACT_EST_MAPPING=PRECISE", "FS=MRC", "CURRENCY=USD", "XLFILL=b")</f>
        <v>60</v>
      </c>
      <c r="F121" s="9">
        <f>_xll.BQL("SEG0000227430 Segment", "IS_SALES_CHANGE_MIX_PERCENTAGE", "FPT=Q", "FPO=-11Q", "ACT_EST_MAPPING=PRECISE", "FS=MRC", "CURRENCY=USD", "XLFILL=b")</f>
        <v>61</v>
      </c>
      <c r="G121" s="9">
        <f>_xll.BQL("SEG0000227430 Segment", "IS_SALES_CHANGE_MIX_PERCENTAGE", "FPT=Q", "FPO=-10Q", "ACT_EST_MAPPING=PRECISE", "FS=MRC", "CURRENCY=USD", "XLFILL=b")</f>
        <v>61</v>
      </c>
      <c r="H121" s="9">
        <f>_xll.BQL("SEG0000227430 Segment", "IS_SALES_CHANGE_MIX_PERCENTAGE", "FPT=Q", "FPO=-9Q", "ACT_EST_MAPPING=PRECISE", "FS=MRC", "CURRENCY=USD", "XLFILL=b")</f>
        <v>62</v>
      </c>
      <c r="I121" s="9">
        <f>_xll.BQL("SEG0000227430 Segment", "IS_SALES_CHANGE_MIX_PERCENTAGE", "FPT=Q", "FPO=-8Q", "ACT_EST_MAPPING=PRECISE", "FS=MRC", "CURRENCY=USD", "XLFILL=b")</f>
        <v>60</v>
      </c>
      <c r="J121" s="9">
        <f>_xll.BQL("SEG0000227430 Segment", "IS_SALES_CHANGE_MIX_PERCENTAGE", "FPT=Q", "FPO=-7Q", "ACT_EST_MAPPING=PRECISE", "FS=MRC", "CURRENCY=USD", "XLFILL=b")</f>
        <v>61</v>
      </c>
      <c r="K121" s="9">
        <f>_xll.BQL("SEG0000227430 Segment", "IS_SALES_CHANGE_MIX_PERCENTAGE", "FPT=Q", "FPO=-6Q", "ACT_EST_MAPPING=PRECISE", "FS=MRC", "CURRENCY=USD", "XLFILL=b")</f>
        <v>60</v>
      </c>
      <c r="L121" s="9">
        <f>_xll.BQL("SEG0000227430 Segment", "IS_SALES_CHANGE_MIX_PERCENTAGE", "FPT=Q", "FPO=-5Q", "ACT_EST_MAPPING=PRECISE", "FS=MRC", "CURRENCY=USD", "XLFILL=b")</f>
        <v>62</v>
      </c>
      <c r="M121" s="9">
        <f>_xll.BQL("SEG0000227430 Segment", "IS_SALES_CHANGE_MIX_PERCENTAGE", "FPT=Q", "FPO=-4Q", "ACT_EST_MAPPING=PRECISE", "FS=MRC", "CURRENCY=USD", "XLFILL=b")</f>
        <v>60</v>
      </c>
      <c r="N121" s="9">
        <f>_xll.BQL("SEG0000227430 Segment", "IS_SALES_CHANGE_MIX_PERCENTAGE", "FPT=Q", "FPO=-3Q", "ACT_EST_MAPPING=PRECISE", "FS=MRC", "CURRENCY=USD", "XLFILL=b")</f>
        <v>60</v>
      </c>
      <c r="O121" s="9">
        <f>_xll.BQL("SEG0000227430 Segment", "IS_SALES_CHANGE_MIX_PERCENTAGE", "FPT=Q", "FPO=-2Q", "ACT_EST_MAPPING=PRECISE", "FS=MRC", "CURRENCY=USD", "XLFILL=b")</f>
        <v>59</v>
      </c>
      <c r="P121" s="9">
        <f>_xll.BQL("SEG0000227430 Segment", "IS_SALES_CHANGE_MIX_PERCENTAGE", "FPT=Q", "FPO=-1Q", "ACT_EST_MAPPING=PRECISE", "FS=MRC", "CURRENCY=USD", "XLFILL=b")</f>
        <v>59</v>
      </c>
      <c r="Q121" s="9">
        <f>_xll.BQL("SEG0000227430 Segment", "IS_SALES_CHANGE_MIX_PERCENTAGE", "FPT=Q", "FPO=0Q", "ACT_EST_MAPPING=PRECISE", "FS=MRC", "CURRENCY=USD", "XLFILL=b")</f>
        <v>57</v>
      </c>
      <c r="R121" s="9">
        <f>_xll.BQL("SEG0000227430 Segment", "IS_SALES_CHANGE_MIX_PERCENTAGE", "FPT=Q", "FPO=1Q", "ACT_EST_MAPPING=PRECISE", "FS=MRC", "CURRENCY=USD", "XLFILL=b")</f>
        <v>57.020248744433843</v>
      </c>
      <c r="S121" s="9">
        <f>_xll.BQL("SEG0000227430 Segment", "IS_SALES_CHANGE_MIX_PERCENTAGE", "FPT=Q", "FPO=2Q", "ACT_EST_MAPPING=PRECISE", "FS=MRC", "CURRENCY=USD", "XLFILL=b")</f>
        <v>55.99133298784534</v>
      </c>
      <c r="T121" s="9">
        <f>_xll.BQL("SEG0000227430 Segment", "IS_SALES_CHANGE_MIX_PERCENTAGE", "FPT=Q", "FPO=3Q", "ACT_EST_MAPPING=PRECISE", "FS=MRC", "CURRENCY=USD", "XLFILL=b")</f>
        <v>56.646807389561836</v>
      </c>
      <c r="U121" s="9">
        <f>_xll.BQL("SEG0000227430 Segment", "IS_SALES_CHANGE_MIX_PERCENTAGE", "FPT=Q", "FPO=4Q", "ACT_EST_MAPPING=PRECISE", "FS=MRC", "CURRENCY=USD", "XLFILL=b")</f>
        <v>54.023901386888518</v>
      </c>
      <c r="V121" s="9">
        <f>_xll.BQL("SEG0000227430 Segment", "IS_SALES_CHANGE_MIX_PERCENTAGE", "FPT=Q", "FPO=5Q", "ACT_EST_MAPPING=PRECISE", "FS=MRC", "CURRENCY=USD", "XLFILL=b")</f>
        <v>54.391868341440855</v>
      </c>
      <c r="W121" s="9">
        <f>_xll.BQL("SEG0000227430 Segment", "IS_SALES_CHANGE_MIX_PERCENTAGE", "FPT=Q", "FPO=6Q", "ACT_EST_MAPPING=PRECISE", "FS=MRC", "CURRENCY=USD", "XLFILL=b")</f>
        <v>52.472485525682686</v>
      </c>
      <c r="X121" s="9">
        <f>_xll.BQL("SEG0000227430 Segment", "IS_SALES_CHANGE_MIX_PERCENTAGE", "FPT=Q", "FPO=7Q", "ACT_EST_MAPPING=PRECISE", "FS=MRC", "CURRENCY=USD", "XLFILL=b")</f>
        <v>53.791107310509858</v>
      </c>
    </row>
    <row r="122" spans="1:24" x14ac:dyDescent="0.25">
      <c r="A122" s="8" t="s">
        <v>14</v>
      </c>
      <c r="B122" s="4"/>
      <c r="C122" s="4"/>
      <c r="D122" s="4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</row>
    <row r="123" spans="1:24" x14ac:dyDescent="0.25">
      <c r="A123" s="8" t="s">
        <v>152</v>
      </c>
      <c r="B123" s="4"/>
      <c r="C123" s="4"/>
      <c r="D123" s="4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</row>
    <row r="124" spans="1:24" x14ac:dyDescent="0.25">
      <c r="A124" s="8" t="s">
        <v>118</v>
      </c>
      <c r="B124" s="4" t="s">
        <v>21</v>
      </c>
      <c r="C124" s="4" t="s">
        <v>22</v>
      </c>
      <c r="D124" s="4" t="s">
        <v>47</v>
      </c>
      <c r="E124" s="9">
        <f>_xll.BQL("SEG0000227462 Segment", "SALES_REV_TURN/1M", "FPT=Q", "FPO=-12Q", "ACT_EST_MAPPING=PRECISE", "FS=MRC", "CURRENCY=USD", "XLFILL=b")</f>
        <v>29123</v>
      </c>
      <c r="F124" s="9">
        <f>_xll.BQL("SEG0000227462 Segment", "SALES_REV_TURN/1M", "FPT=Q", "FPO=-11Q", "ACT_EST_MAPPING=PRECISE", "FS=MRC", "CURRENCY=USD", "XLFILL=b")</f>
        <v>29697</v>
      </c>
      <c r="G124" s="9">
        <f>_xll.BQL("SEG0000227462 Segment", "SALES_REV_TURN/1M", "FPT=Q", "FPO=-10Q", "ACT_EST_MAPPING=PRECISE", "FS=MRC", "CURRENCY=USD", "XLFILL=b")</f>
        <v>32137</v>
      </c>
      <c r="H124" s="9">
        <f>_xll.BQL("SEG0000227462 Segment", "SALES_REV_TURN/1M", "FPT=Q", "FPO=-9Q", "ACT_EST_MAPPING=PRECISE", "FS=MRC", "CURRENCY=USD", "XLFILL=b")</f>
        <v>40243</v>
      </c>
      <c r="I124" s="9">
        <f>_xll.BQL("SEG0000227462 Segment", "SALES_REV_TURN/1M", "FPT=Q", "FPO=-8Q", "ACT_EST_MAPPING=PRECISE", "FS=MRC", "CURRENCY=USD", "XLFILL=b")</f>
        <v>31935</v>
      </c>
      <c r="J124" s="9">
        <f>_xll.BQL("SEG0000227462 Segment", "SALES_REV_TURN/1M", "FPT=Q", "FPO=-7Q", "ACT_EST_MAPPING=PRECISE", "FS=MRC", "CURRENCY=USD", "XLFILL=b")</f>
        <v>31663</v>
      </c>
      <c r="K124" s="9">
        <f>_xll.BQL("SEG0000227462 Segment", "SALES_REV_TURN/1M", "FPT=Q", "FPO=-6Q", "ACT_EST_MAPPING=PRECISE", "FS=MRC", "CURRENCY=USD", "XLFILL=b")</f>
        <v>35888</v>
      </c>
      <c r="L124" s="9">
        <f>_xll.BQL("SEG0000227462 Segment", "SALES_REV_TURN/1M", "FPT=Q", "FPO=-5Q", "ACT_EST_MAPPING=PRECISE", "FS=MRC", "CURRENCY=USD", "XLFILL=b")</f>
        <v>43420</v>
      </c>
      <c r="M124" s="9">
        <f>_xll.BQL("SEG0000227462 Segment", "SALES_REV_TURN/1M", "FPT=Q", "FPO=-4Q", "ACT_EST_MAPPING=PRECISE", "FS=MRC", "CURRENCY=USD", "XLFILL=b")</f>
        <v>33513</v>
      </c>
      <c r="N124" s="9">
        <f>_xll.BQL("SEG0000227462 Segment", "SALES_REV_TURN/1M", "FPT=Q", "FPO=-3Q", "ACT_EST_MAPPING=PRECISE", "FS=MRC", "CURRENCY=USD", "XLFILL=b")</f>
        <v>36761</v>
      </c>
      <c r="O124" s="9">
        <f>_xll.BQL("SEG0000227462 Segment", "SALES_REV_TURN/1M", "FPT=Q", "FPO=-2Q", "ACT_EST_MAPPING=PRECISE", "FS=MRC", "CURRENCY=USD", "XLFILL=b")</f>
        <v>40896</v>
      </c>
      <c r="P124" s="9">
        <f>_xll.BQL("SEG0000227462 Segment", "SALES_REV_TURN/1M", "FPT=Q", "FPO=-1Q", "ACT_EST_MAPPING=PRECISE", "FS=MRC", "CURRENCY=USD", "XLFILL=b")</f>
        <v>50724</v>
      </c>
      <c r="Q124" s="9">
        <f>_xll.BQL("SEG0000227462 Segment", "SALES_REV_TURN/1M", "FPT=Q", "FPO=0Q", "ACT_EST_MAPPING=PRECISE", "FS=MRC", "CURRENCY=USD", "XLFILL=b")</f>
        <v>39789</v>
      </c>
      <c r="R124" s="9">
        <f>_xll.BQL("SEG0000227462 Segment", "SALES_REV_TURN/1M", "FPT=Q", "FPO=1Q", "ACT_EST_MAPPING=PRECISE", "FS=MRC", "CURRENCY=USD", "XLFILL=b")</f>
        <v>42710.995547319937</v>
      </c>
      <c r="S124" s="9">
        <f>_xll.BQL("SEG0000227462 Segment", "SALES_REV_TURN/1M", "FPT=Q", "FPO=2Q", "ACT_EST_MAPPING=PRECISE", "FS=MRC", "CURRENCY=USD", "XLFILL=b")</f>
        <v>45054.984230748363</v>
      </c>
      <c r="T124" s="9">
        <f>_xll.BQL("SEG0000227462 Segment", "SALES_REV_TURN/1M", "FPT=Q", "FPO=3Q", "ACT_EST_MAPPING=PRECISE", "FS=MRC", "CURRENCY=USD", "XLFILL=b")</f>
        <v>56577.022344829267</v>
      </c>
      <c r="U124" s="9">
        <f>_xll.BQL("SEG0000227462 Segment", "SALES_REV_TURN/1M", "FPT=Q", "FPO=4Q", "ACT_EST_MAPPING=PRECISE", "FS=MRC", "CURRENCY=USD", "XLFILL=b")</f>
        <v>43623.208340801626</v>
      </c>
      <c r="V124" s="9">
        <f>_xll.BQL("SEG0000227462 Segment", "SALES_REV_TURN/1M", "FPT=Q", "FPO=5Q", "ACT_EST_MAPPING=PRECISE", "FS=MRC", "CURRENCY=USD", "XLFILL=b")</f>
        <v>47665.731621195198</v>
      </c>
      <c r="W124" s="9">
        <f>_xll.BQL("SEG0000227462 Segment", "SALES_REV_TURN/1M", "FPT=Q", "FPO=6Q", "ACT_EST_MAPPING=PRECISE", "FS=MRC", "CURRENCY=USD", "XLFILL=b")</f>
        <v>50467.527811117776</v>
      </c>
      <c r="X124" s="9">
        <f>_xll.BQL("SEG0000227462 Segment", "SALES_REV_TURN/1M", "FPT=Q", "FPO=7Q", "ACT_EST_MAPPING=PRECISE", "FS=MRC", "CURRENCY=USD", "XLFILL=b")</f>
        <v>62728.123444451441</v>
      </c>
    </row>
    <row r="125" spans="1:24" x14ac:dyDescent="0.25">
      <c r="A125" s="8" t="s">
        <v>26</v>
      </c>
      <c r="B125" s="4" t="s">
        <v>27</v>
      </c>
      <c r="C125" s="4" t="s">
        <v>28</v>
      </c>
      <c r="D125" s="4" t="s">
        <v>47</v>
      </c>
      <c r="E125" s="9">
        <f>_xll.BQL("SEG0000227462 Segment", "REVENUE_GROWTH_CC_1_YR", "FPT=Q", "FPO=-12Q", "ACT_EST_MAPPING=PRECISE", "FS=MRC", "CURRENCY=USD", "XLFILL=b")</f>
        <v>9</v>
      </c>
      <c r="F125" s="9">
        <f>_xll.BQL("SEG0000227462 Segment", "REVENUE_GROWTH_CC_1_YR", "FPT=Q", "FPO=-11Q", "ACT_EST_MAPPING=PRECISE", "FS=MRC", "CURRENCY=USD", "XLFILL=b")</f>
        <v>10</v>
      </c>
      <c r="G125" s="9">
        <f>_xll.BQL("SEG0000227462 Segment", "REVENUE_GROWTH_CC_1_YR", "FPT=Q", "FPO=-10Q", "ACT_EST_MAPPING=PRECISE", "FS=MRC", "CURRENCY=USD", "XLFILL=b")</f>
        <v>11</v>
      </c>
      <c r="H125" s="9">
        <f>_xll.BQL("SEG0000227462 Segment", "REVENUE_GROWTH_CC_1_YR", "FPT=Q", "FPO=-9Q", "ACT_EST_MAPPING=PRECISE", "FS=MRC", "CURRENCY=USD", "XLFILL=b")</f>
        <v>13</v>
      </c>
      <c r="I125" s="9">
        <f>_xll.BQL("SEG0000227462 Segment", "REVENUE_GROWTH_CC_1_YR", "FPT=Q", "FPO=-8Q", "ACT_EST_MAPPING=PRECISE", "FS=MRC", "CURRENCY=USD", "XLFILL=b")</f>
        <v>11</v>
      </c>
      <c r="J125" s="9">
        <f>_xll.BQL("SEG0000227462 Segment", "REVENUE_GROWTH_CC_1_YR", "FPT=Q", "FPO=-7Q", "ACT_EST_MAPPING=PRECISE", "FS=MRC", "CURRENCY=USD", "XLFILL=b")</f>
        <v>10</v>
      </c>
      <c r="K125" s="9">
        <f>_xll.BQL("SEG0000227462 Segment", "REVENUE_GROWTH_CC_1_YR", "FPT=Q", "FPO=-6Q", "ACT_EST_MAPPING=PRECISE", "FS=MRC", "CURRENCY=USD", "XLFILL=b")</f>
        <v>12</v>
      </c>
      <c r="L125" s="9">
        <f>_xll.BQL("SEG0000227462 Segment", "REVENUE_GROWTH_CC_1_YR", "FPT=Q", "FPO=-5Q", "ACT_EST_MAPPING=PRECISE", "FS=MRC", "CURRENCY=USD", "XLFILL=b")</f>
        <v>9</v>
      </c>
      <c r="M125" s="9">
        <f>_xll.BQL("SEG0000227462 Segment", "REVENUE_GROWTH_CC_1_YR", "FPT=Q", "FPO=-4Q", "ACT_EST_MAPPING=PRECISE", "FS=MRC", "CURRENCY=USD", "XLFILL=b")</f>
        <v>8</v>
      </c>
      <c r="N125" s="9">
        <f>_xll.BQL("SEG0000227462 Segment", "REVENUE_GROWTH_CC_1_YR", "FPT=Q", "FPO=-3Q", "ACT_EST_MAPPING=PRECISE", "FS=MRC", "CURRENCY=USD", "XLFILL=b")</f>
        <v>11</v>
      </c>
      <c r="O125" s="9">
        <f>_xll.BQL("SEG0000227462 Segment", "REVENUE_GROWTH_CC_1_YR", "FPT=Q", "FPO=-2Q", "ACT_EST_MAPPING=PRECISE", "FS=MRC", "CURRENCY=USD", "XLFILL=b")</f>
        <v>10</v>
      </c>
      <c r="P125" s="9">
        <f>_xll.BQL("SEG0000227462 Segment", "REVENUE_GROWTH_CC_1_YR", "FPT=Q", "FPO=-1Q", "ACT_EST_MAPPING=PRECISE", "FS=MRC", "CURRENCY=USD", "XLFILL=b")</f>
        <v>11</v>
      </c>
      <c r="Q125" s="9">
        <f>_xll.BQL("SEG0000227462 Segment", "REVENUE_GROWTH_CC_1_YR", "FPT=Q", "FPO=0Q", "ACT_EST_MAPPING=PRECISE", "FS=MRC", "CURRENCY=USD", "XLFILL=b")</f>
        <v>11</v>
      </c>
      <c r="R125" s="9">
        <f>_xll.BQL("SEG0000227462 Segment", "REVENUE_GROWTH_CC_1_YR", "FPT=Q", "FPO=1Q", "ACT_EST_MAPPING=PRECISE", "FS=MRC", "CURRENCY=USD", "XLFILL=b")</f>
        <v>15.503755887741871</v>
      </c>
      <c r="S125" s="9">
        <f>_xll.BQL("SEG0000227462 Segment", "REVENUE_GROWTH_CC_1_YR", "FPT=Q", "FPO=2Q", "ACT_EST_MAPPING=PRECISE", "FS=MRC", "CURRENCY=USD", "XLFILL=b")</f>
        <v>9.1516843661778893</v>
      </c>
      <c r="T125" s="9">
        <f>_xll.BQL("SEG0000227462 Segment", "REVENUE_GROWTH_CC_1_YR", "FPT=Q", "FPO=3Q", "ACT_EST_MAPPING=PRECISE", "FS=MRC", "CURRENCY=USD", "XLFILL=b")</f>
        <v>11.240050728608779</v>
      </c>
      <c r="U125" s="9">
        <f>_xll.BQL("SEG0000227462 Segment", "REVENUE_GROWTH_CC_1_YR", "FPT=Q", "FPO=4Q", "ACT_EST_MAPPING=PRECISE", "FS=MRC", "CURRENCY=USD", "XLFILL=b")</f>
        <v>12.855552807225926</v>
      </c>
      <c r="V125" s="9">
        <f>_xll.BQL("SEG0000227462 Segment", "REVENUE_GROWTH_CC_1_YR", "FPT=Q", "FPO=5Q", "ACT_EST_MAPPING=PRECISE", "FS=MRC", "CURRENCY=USD", "XLFILL=b")</f>
        <v>12.636488103962705</v>
      </c>
      <c r="W125" s="9">
        <f>_xll.BQL("SEG0000227462 Segment", "REVENUE_GROWTH_CC_1_YR", "FPT=Q", "FPO=6Q", "ACT_EST_MAPPING=PRECISE", "FS=MRC", "CURRENCY=USD", "XLFILL=b")</f>
        <v>12.354806001286292</v>
      </c>
      <c r="X125" s="9">
        <f>_xll.BQL("SEG0000227462 Segment", "REVENUE_GROWTH_CC_1_YR", "FPT=Q", "FPO=7Q", "ACT_EST_MAPPING=PRECISE", "FS=MRC", "CURRENCY=USD", "XLFILL=b")</f>
        <v>12.322006770950187</v>
      </c>
    </row>
    <row r="126" spans="1:24" x14ac:dyDescent="0.25">
      <c r="A126" s="8" t="s">
        <v>131</v>
      </c>
      <c r="B126" s="4" t="s">
        <v>132</v>
      </c>
      <c r="C126" s="4" t="s">
        <v>133</v>
      </c>
      <c r="D126" s="4" t="s">
        <v>47</v>
      </c>
      <c r="E126" s="9">
        <f>_xll.BQL("SEG0000227462 Segment", "IS_TOT_OPER_EXP/1M", "FPT=Q", "FPO=-12Q", "ACT_EST_MAPPING=PRECISE", "FS=MRC", "CURRENCY=USD", "XLFILL=b")</f>
        <v>30370</v>
      </c>
      <c r="F126" s="9">
        <f>_xll.BQL("SEG0000227462 Segment", "IS_TOT_OPER_EXP/1M", "FPT=Q", "FPO=-11Q", "ACT_EST_MAPPING=PRECISE", "FS=MRC", "CURRENCY=USD", "XLFILL=b")</f>
        <v>30592</v>
      </c>
      <c r="G126" s="9">
        <f>_xll.BQL("SEG0000227462 Segment", "IS_TOT_OPER_EXP/1M", "FPT=Q", "FPO=-10Q", "ACT_EST_MAPPING=PRECISE", "FS=MRC", "CURRENCY=USD", "XLFILL=b")</f>
        <v>32232</v>
      </c>
      <c r="H126" s="9">
        <f>_xll.BQL("SEG0000227462 Segment", "IS_TOT_OPER_EXP/1M", "FPT=Q", "FPO=-9Q", "ACT_EST_MAPPING=PRECISE", "FS=MRC", "CURRENCY=USD", "XLFILL=b")</f>
        <v>40662</v>
      </c>
      <c r="I126" s="9">
        <f>_xll.BQL("SEG0000227462 Segment", "IS_TOT_OPER_EXP/1M", "FPT=Q", "FPO=-8Q", "ACT_EST_MAPPING=PRECISE", "FS=MRC", "CURRENCY=USD", "XLFILL=b")</f>
        <v>31032</v>
      </c>
      <c r="J126" s="9">
        <f>_xll.BQL("SEG0000227462 Segment", "IS_TOT_OPER_EXP/1M", "FPT=Q", "FPO=-7Q", "ACT_EST_MAPPING=PRECISE", "FS=MRC", "CURRENCY=USD", "XLFILL=b")</f>
        <v>31390</v>
      </c>
      <c r="K126" s="9">
        <f>_xll.BQL("SEG0000227462 Segment", "IS_TOT_OPER_EXP/1M", "FPT=Q", "FPO=-6Q", "ACT_EST_MAPPING=PRECISE", "FS=MRC", "CURRENCY=USD", "XLFILL=b")</f>
        <v>34587</v>
      </c>
      <c r="L126" s="9">
        <f>_xll.BQL("SEG0000227462 Segment", "IS_TOT_OPER_EXP/1M", "FPT=Q", "FPO=-5Q", "ACT_EST_MAPPING=PRECISE", "FS=MRC", "CURRENCY=USD", "XLFILL=b")</f>
        <v>42105</v>
      </c>
      <c r="M126" s="9">
        <f>_xll.BQL("SEG0000227462 Segment", "IS_TOT_OPER_EXP/1M", "FPT=Q", "FPO=-4Q", "ACT_EST_MAPPING=PRECISE", "FS=MRC", "CURRENCY=USD", "XLFILL=b")</f>
        <v>32496</v>
      </c>
      <c r="N126" s="9">
        <f>_xll.BQL("SEG0000227462 Segment", "IS_TOT_OPER_EXP/1M", "FPT=Q", "FPO=-3Q", "ACT_EST_MAPPING=PRECISE", "FS=MRC", "CURRENCY=USD", "XLFILL=b")</f>
        <v>35267</v>
      </c>
      <c r="O126" s="9">
        <f>_xll.BQL("SEG0000227462 Segment", "IS_TOT_OPER_EXP/1M", "FPT=Q", "FPO=-2Q", "ACT_EST_MAPPING=PRECISE", "FS=MRC", "CURRENCY=USD", "XLFILL=b")</f>
        <v>39697</v>
      </c>
      <c r="P126" s="9">
        <f>_xll.BQL("SEG0000227462 Segment", "IS_TOT_OPER_EXP/1M", "FPT=Q", "FPO=-1Q", "ACT_EST_MAPPING=PRECISE", "FS=MRC", "CURRENCY=USD", "XLFILL=b")</f>
        <v>49684</v>
      </c>
      <c r="Q126" s="9">
        <f>_xll.BQL("SEG0000227462 Segment", "IS_TOT_OPER_EXP/1M", "FPT=Q", "FPO=0Q", "ACT_EST_MAPPING=PRECISE", "FS=MRC", "CURRENCY=USD", "XLFILL=b")</f>
        <v>38365</v>
      </c>
      <c r="R126" s="9">
        <f>_xll.BQL("SEG0000227462 Segment", "IS_TOT_OPER_EXP/1M", "FPT=Q", "FPO=1Q", "ACT_EST_MAPPING=PRECISE", "FS=MRC", "CURRENCY=USD", "XLFILL=b")</f>
        <v>40863.344919983982</v>
      </c>
      <c r="S126" s="9">
        <f>_xll.BQL("SEG0000227462 Segment", "IS_TOT_OPER_EXP/1M", "FPT=Q", "FPO=2Q", "ACT_EST_MAPPING=PRECISE", "FS=MRC", "CURRENCY=USD", "XLFILL=b")</f>
        <v>43184.299935855437</v>
      </c>
      <c r="T126" s="9">
        <f>_xll.BQL("SEG0000227462 Segment", "IS_TOT_OPER_EXP/1M", "FPT=Q", "FPO=3Q", "ACT_EST_MAPPING=PRECISE", "FS=MRC", "CURRENCY=USD", "XLFILL=b")</f>
        <v>54830.857816383563</v>
      </c>
      <c r="U126" s="9">
        <f>_xll.BQL("SEG0000227462 Segment", "IS_TOT_OPER_EXP/1M", "FPT=Q", "FPO=4Q", "ACT_EST_MAPPING=PRECISE", "FS=MRC", "CURRENCY=USD", "XLFILL=b")</f>
        <v>42086.947054297118</v>
      </c>
      <c r="V126" s="9">
        <f>_xll.BQL("SEG0000227462 Segment", "IS_TOT_OPER_EXP/1M", "FPT=Q", "FPO=5Q", "ACT_EST_MAPPING=PRECISE", "FS=MRC", "CURRENCY=USD", "XLFILL=b")</f>
        <v>45582.229726358957</v>
      </c>
      <c r="W126" s="9">
        <f>_xll.BQL("SEG0000227462 Segment", "IS_TOT_OPER_EXP/1M", "FPT=Q", "FPO=6Q", "ACT_EST_MAPPING=PRECISE", "FS=MRC", "CURRENCY=USD", "XLFILL=b")</f>
        <v>48194.618817157119</v>
      </c>
      <c r="X126" s="9">
        <f>_xll.BQL("SEG0000227462 Segment", "IS_TOT_OPER_EXP/1M", "FPT=Q", "FPO=7Q", "ACT_EST_MAPPING=PRECISE", "FS=MRC", "CURRENCY=USD", "XLFILL=b")</f>
        <v>60614.131133790579</v>
      </c>
    </row>
    <row r="127" spans="1:24" x14ac:dyDescent="0.25">
      <c r="A127" s="8" t="s">
        <v>134</v>
      </c>
      <c r="B127" s="4" t="s">
        <v>135</v>
      </c>
      <c r="C127" s="4" t="s">
        <v>136</v>
      </c>
      <c r="D127" s="4" t="s">
        <v>47</v>
      </c>
      <c r="E127" s="9">
        <f>_xll.BQL("SEG0000227462 Segment", "IS_OPER_INC/1M", "FPT=Q", "FPO=-12Q", "ACT_EST_MAPPING=PRECISE", "FS=MRC", "CURRENCY=USD", "XLFILL=b")</f>
        <v>-1247</v>
      </c>
      <c r="F127" s="9">
        <f>_xll.BQL("SEG0000227462 Segment", "IS_OPER_INC/1M", "FPT=Q", "FPO=-11Q", "ACT_EST_MAPPING=PRECISE", "FS=MRC", "CURRENCY=USD", "XLFILL=b")</f>
        <v>-895</v>
      </c>
      <c r="G127" s="9">
        <f>_xll.BQL("SEG0000227462 Segment", "IS_OPER_INC/1M", "FPT=Q", "FPO=-10Q", "ACT_EST_MAPPING=PRECISE", "FS=MRC", "CURRENCY=USD", "XLFILL=b")</f>
        <v>-95</v>
      </c>
      <c r="H127" s="9">
        <f>_xll.BQL("SEG0000227462 Segment", "IS_OPER_INC/1M", "FPT=Q", "FPO=-9Q", "ACT_EST_MAPPING=PRECISE", "FS=MRC", "CURRENCY=USD", "XLFILL=b")</f>
        <v>-419</v>
      </c>
      <c r="I127" s="9">
        <f>_xll.BQL("SEG0000227462 Segment", "IS_OPER_INC/1M", "FPT=Q", "FPO=-8Q", "ACT_EST_MAPPING=PRECISE", "FS=MRC", "CURRENCY=USD", "XLFILL=b")</f>
        <v>903</v>
      </c>
      <c r="J127" s="9">
        <f>_xll.BQL("SEG0000227462 Segment", "IS_OPER_INC/1M", "FPT=Q", "FPO=-7Q", "ACT_EST_MAPPING=PRECISE", "FS=MRC", "CURRENCY=USD", "XLFILL=b")</f>
        <v>273</v>
      </c>
      <c r="K127" s="9">
        <f>_xll.BQL("SEG0000227462 Segment", "IS_OPER_INC/1M", "FPT=Q", "FPO=-6Q", "ACT_EST_MAPPING=PRECISE", "FS=MRC", "CURRENCY=USD", "XLFILL=b")</f>
        <v>1301</v>
      </c>
      <c r="L127" s="9">
        <f>_xll.BQL("SEG0000227462 Segment", "IS_OPER_INC/1M", "FPT=Q", "FPO=-5Q", "ACT_EST_MAPPING=PRECISE", "FS=MRC", "CURRENCY=USD", "XLFILL=b")</f>
        <v>1315</v>
      </c>
      <c r="M127" s="9">
        <f>_xll.BQL("SEG0000227462 Segment", "IS_OPER_INC/1M", "FPT=Q", "FPO=-4Q", "ACT_EST_MAPPING=PRECISE", "FS=MRC", "CURRENCY=USD", "XLFILL=b")</f>
        <v>1017</v>
      </c>
      <c r="N127" s="9">
        <f>_xll.BQL("SEG0000227462 Segment", "IS_OPER_INC/1M", "FPT=Q", "FPO=-3Q", "ACT_EST_MAPPING=PRECISE", "FS=MRC", "CURRENCY=USD", "XLFILL=b")</f>
        <v>1494</v>
      </c>
      <c r="O127" s="9">
        <f>_xll.BQL("SEG0000227462 Segment", "IS_OPER_INC/1M", "FPT=Q", "FPO=-2Q", "ACT_EST_MAPPING=PRECISE", "FS=MRC", "CURRENCY=USD", "XLFILL=b")</f>
        <v>1199</v>
      </c>
      <c r="P127" s="9">
        <f>_xll.BQL("SEG0000227462 Segment", "IS_OPER_INC/1M", "FPT=Q", "FPO=-1Q", "ACT_EST_MAPPING=PRECISE", "FS=MRC", "CURRENCY=USD", "XLFILL=b")</f>
        <v>1040</v>
      </c>
      <c r="Q127" s="9">
        <f>_xll.BQL("SEG0000227462 Segment", "IS_OPER_INC/1M", "FPT=Q", "FPO=0Q", "ACT_EST_MAPPING=PRECISE", "FS=MRC", "CURRENCY=USD", "XLFILL=b")</f>
        <v>1424</v>
      </c>
      <c r="R127" s="9">
        <f>_xll.BQL("SEG0000227462 Segment", "IS_OPER_INC/1M", "FPT=Q", "FPO=1Q", "ACT_EST_MAPPING=PRECISE", "FS=MRC", "CURRENCY=USD", "XLFILL=b")</f>
        <v>1897.6457860460905</v>
      </c>
      <c r="S127" s="9">
        <f>_xll.BQL("SEG0000227462 Segment", "IS_OPER_INC/1M", "FPT=Q", "FPO=2Q", "ACT_EST_MAPPING=PRECISE", "FS=MRC", "CURRENCY=USD", "XLFILL=b")</f>
        <v>1783.5584247276283</v>
      </c>
      <c r="T127" s="9">
        <f>_xll.BQL("SEG0000227462 Segment", "IS_OPER_INC/1M", "FPT=Q", "FPO=3Q", "ACT_EST_MAPPING=PRECISE", "FS=MRC", "CURRENCY=USD", "XLFILL=b")</f>
        <v>2367.2144445012545</v>
      </c>
      <c r="U127" s="9">
        <f>_xll.BQL("SEG0000227462 Segment", "IS_OPER_INC/1M", "FPT=Q", "FPO=4Q", "ACT_EST_MAPPING=PRECISE", "FS=MRC", "CURRENCY=USD", "XLFILL=b")</f>
        <v>2211.9916695637203</v>
      </c>
      <c r="V127" s="9">
        <f>_xll.BQL("SEG0000227462 Segment", "IS_OPER_INC/1M", "FPT=Q", "FPO=5Q", "ACT_EST_MAPPING=PRECISE", "FS=MRC", "CURRENCY=USD", "XLFILL=b")</f>
        <v>2956.1183225494979</v>
      </c>
      <c r="W127" s="9">
        <f>_xll.BQL("SEG0000227462 Segment", "IS_OPER_INC/1M", "FPT=Q", "FPO=6Q", "ACT_EST_MAPPING=PRECISE", "FS=MRC", "CURRENCY=USD", "XLFILL=b")</f>
        <v>2723.672541853548</v>
      </c>
      <c r="X127" s="9">
        <f>_xll.BQL("SEG0000227462 Segment", "IS_OPER_INC/1M", "FPT=Q", "FPO=7Q", "ACT_EST_MAPPING=PRECISE", "FS=MRC", "CURRENCY=USD", "XLFILL=b")</f>
        <v>3730.9079194706064</v>
      </c>
    </row>
    <row r="128" spans="1:24" x14ac:dyDescent="0.25">
      <c r="A128" s="8" t="s">
        <v>43</v>
      </c>
      <c r="B128" s="4" t="s">
        <v>44</v>
      </c>
      <c r="C128" s="4" t="s">
        <v>45</v>
      </c>
      <c r="D128" s="4" t="s">
        <v>47</v>
      </c>
      <c r="E128" s="9">
        <f>_xll.BQL("SEG0000227462 Segment", "CB_IS_OPERATING_MARGIN", "FPT=Q", "FPO=-12Q", "ACT_EST_MAPPING=PRECISE", "FS=MRC", "CURRENCY=USD", "XLFILL=b")</f>
        <v>-4.3</v>
      </c>
      <c r="F128" s="9">
        <f>_xll.BQL("SEG0000227462 Segment", "CB_IS_OPERATING_MARGIN", "FPT=Q", "FPO=-11Q", "ACT_EST_MAPPING=PRECISE", "FS=MRC", "CURRENCY=USD", "XLFILL=b")</f>
        <v>-3</v>
      </c>
      <c r="G128" s="9">
        <f>_xll.BQL("SEG0000227462 Segment", "CB_IS_OPERATING_MARGIN", "FPT=Q", "FPO=-10Q", "ACT_EST_MAPPING=PRECISE", "FS=MRC", "CURRENCY=USD", "XLFILL=b")</f>
        <v>-0.3</v>
      </c>
      <c r="H128" s="9">
        <f>_xll.BQL("SEG0000227462 Segment", "CB_IS_OPERATING_MARGIN", "FPT=Q", "FPO=-9Q", "ACT_EST_MAPPING=PRECISE", "FS=MRC", "CURRENCY=USD", "XLFILL=b")</f>
        <v>-1</v>
      </c>
      <c r="I128" s="9">
        <f>_xll.BQL("SEG0000227462 Segment", "CB_IS_OPERATING_MARGIN", "FPT=Q", "FPO=-8Q", "ACT_EST_MAPPING=PRECISE", "FS=MRC", "CURRENCY=USD", "XLFILL=b")</f>
        <v>2.8</v>
      </c>
      <c r="J128" s="9">
        <f>_xll.BQL("SEG0000227462 Segment", "CB_IS_OPERATING_MARGIN", "FPT=Q", "FPO=-7Q", "ACT_EST_MAPPING=PRECISE", "FS=MRC", "CURRENCY=USD", "XLFILL=b")</f>
        <v>0.9</v>
      </c>
      <c r="K128" s="9">
        <f>_xll.BQL("SEG0000227462 Segment", "CB_IS_OPERATING_MARGIN", "FPT=Q", "FPO=-6Q", "ACT_EST_MAPPING=PRECISE", "FS=MRC", "CURRENCY=USD", "XLFILL=b")</f>
        <v>3.6</v>
      </c>
      <c r="L128" s="9">
        <f>_xll.BQL("SEG0000227462 Segment", "CB_IS_OPERATING_MARGIN", "FPT=Q", "FPO=-5Q", "ACT_EST_MAPPING=PRECISE", "FS=MRC", "CURRENCY=USD", "XLFILL=b")</f>
        <v>3</v>
      </c>
      <c r="M128" s="9">
        <f>_xll.BQL("SEG0000227462 Segment", "CB_IS_OPERATING_MARGIN", "FPT=Q", "FPO=-4Q", "ACT_EST_MAPPING=PRECISE", "FS=MRC", "CURRENCY=USD", "XLFILL=b")</f>
        <v>3</v>
      </c>
      <c r="N128" s="9">
        <f>_xll.BQL("SEG0000227462 Segment", "CB_IS_OPERATING_MARGIN", "FPT=Q", "FPO=-3Q", "ACT_EST_MAPPING=PRECISE", "FS=MRC", "CURRENCY=USD", "XLFILL=b")</f>
        <v>4.0999999999999996</v>
      </c>
      <c r="O128" s="9">
        <f>_xll.BQL("SEG0000227462 Segment", "CB_IS_OPERATING_MARGIN", "FPT=Q", "FPO=-2Q", "ACT_EST_MAPPING=PRECISE", "FS=MRC", "CURRENCY=USD", "XLFILL=b")</f>
        <v>2.9</v>
      </c>
      <c r="P128" s="9">
        <f>_xll.BQL("SEG0000227462 Segment", "CB_IS_OPERATING_MARGIN", "FPT=Q", "FPO=-1Q", "ACT_EST_MAPPING=PRECISE", "FS=MRC", "CURRENCY=USD", "XLFILL=b")</f>
        <v>2.1</v>
      </c>
      <c r="Q128" s="9">
        <f>_xll.BQL("SEG0000227462 Segment", "CB_IS_OPERATING_MARGIN", "FPT=Q", "FPO=0Q", "ACT_EST_MAPPING=PRECISE", "FS=MRC", "CURRENCY=USD", "XLFILL=b")</f>
        <v>3.6</v>
      </c>
      <c r="R128" s="9">
        <f>_xll.BQL("SEG0000227462 Segment", "CB_IS_OPERATING_MARGIN", "FPT=Q", "FPO=1Q", "ACT_EST_MAPPING=PRECISE", "FS=MRC", "CURRENCY=USD", "XLFILL=b")</f>
        <v>3.7635319977803299</v>
      </c>
      <c r="S128" s="9">
        <f>_xll.BQL("SEG0000227462 Segment", "CB_IS_OPERATING_MARGIN", "FPT=Q", "FPO=2Q", "ACT_EST_MAPPING=PRECISE", "FS=MRC", "CURRENCY=USD", "XLFILL=b")</f>
        <v>3.4751728699053896</v>
      </c>
      <c r="T128" s="9">
        <f>_xll.BQL("SEG0000227462 Segment", "CB_IS_OPERATING_MARGIN", "FPT=Q", "FPO=3Q", "ACT_EST_MAPPING=PRECISE", "FS=MRC", "CURRENCY=USD", "XLFILL=b")</f>
        <v>3.5240749685956878</v>
      </c>
      <c r="U128" s="9">
        <f>_xll.BQL("SEG0000227462 Segment", "CB_IS_OPERATING_MARGIN", "FPT=Q", "FPO=4Q", "ACT_EST_MAPPING=PRECISE", "FS=MRC", "CURRENCY=USD", "XLFILL=b")</f>
        <v>2.9434818416706294</v>
      </c>
      <c r="V128" s="9">
        <f>_xll.BQL("SEG0000227462 Segment", "CB_IS_OPERATING_MARGIN", "FPT=Q", "FPO=5Q", "ACT_EST_MAPPING=PRECISE", "FS=MRC", "CURRENCY=USD", "XLFILL=b")</f>
        <v>4.5712412308764048</v>
      </c>
      <c r="W128" s="9">
        <f>_xll.BQL("SEG0000227462 Segment", "CB_IS_OPERATING_MARGIN", "FPT=Q", "FPO=6Q", "ACT_EST_MAPPING=PRECISE", "FS=MRC", "CURRENCY=USD", "XLFILL=b")</f>
        <v>3.8833277327167139</v>
      </c>
      <c r="X128" s="9">
        <f>_xll.BQL("SEG0000227462 Segment", "CB_IS_OPERATING_MARGIN", "FPT=Q", "FPO=7Q", "ACT_EST_MAPPING=PRECISE", "FS=MRC", "CURRENCY=USD", "XLFILL=b")</f>
        <v>4.1730019799845621</v>
      </c>
    </row>
    <row r="129" spans="1:24" x14ac:dyDescent="0.25">
      <c r="A129" s="8" t="s">
        <v>153</v>
      </c>
      <c r="B129" s="4" t="s">
        <v>138</v>
      </c>
      <c r="C129" s="4" t="s">
        <v>139</v>
      </c>
      <c r="D129" s="4" t="s">
        <v>47</v>
      </c>
      <c r="E129" s="9" t="str">
        <f>_xll.BQL("SEG0000227462 Segment", "IS_DEPR_EXP/1M", "FPT=Q", "FPO=-12Q", "ACT_EST_MAPPING=PRECISE", "FS=MRC", "CURRENCY=USD", "XLFILL=b")</f>
        <v/>
      </c>
      <c r="F129" s="9" t="str">
        <f>_xll.BQL("SEG0000227462 Segment", "IS_DEPR_EXP/1M", "FPT=Q", "FPO=-11Q", "ACT_EST_MAPPING=PRECISE", "FS=MRC", "CURRENCY=USD", "XLFILL=b")</f>
        <v/>
      </c>
      <c r="G129" s="9" t="str">
        <f>_xll.BQL("SEG0000227462 Segment", "IS_DEPR_EXP/1M", "FPT=Q", "FPO=-10Q", "ACT_EST_MAPPING=PRECISE", "FS=MRC", "CURRENCY=USD", "XLFILL=b")</f>
        <v/>
      </c>
      <c r="H129" s="9" t="str">
        <f>_xll.BQL("SEG0000227462 Segment", "IS_DEPR_EXP/1M", "FPT=Q", "FPO=-9Q", "ACT_EST_MAPPING=PRECISE", "FS=MRC", "CURRENCY=USD", "XLFILL=b")</f>
        <v/>
      </c>
      <c r="I129" s="9" t="str">
        <f>_xll.BQL("SEG0000227462 Segment", "IS_DEPR_EXP/1M", "FPT=Q", "FPO=-8Q", "ACT_EST_MAPPING=PRECISE", "FS=MRC", "CURRENCY=USD", "XLFILL=b")</f>
        <v/>
      </c>
      <c r="J129" s="9" t="str">
        <f>_xll.BQL("SEG0000227462 Segment", "IS_DEPR_EXP/1M", "FPT=Q", "FPO=-7Q", "ACT_EST_MAPPING=PRECISE", "FS=MRC", "CURRENCY=USD", "XLFILL=b")</f>
        <v/>
      </c>
      <c r="K129" s="9" t="str">
        <f>_xll.BQL("SEG0000227462 Segment", "IS_DEPR_EXP/1M", "FPT=Q", "FPO=-6Q", "ACT_EST_MAPPING=PRECISE", "FS=MRC", "CURRENCY=USD", "XLFILL=b")</f>
        <v/>
      </c>
      <c r="L129" s="9">
        <f>_xll.BQL("SEG0000227462 Segment", "IS_DEPR_EXP/1M", "FPT=Q", "FPO=-5Q", "ACT_EST_MAPPING=PRECISE", "FS=MRC", "CURRENCY=USD", "XLFILL=b")</f>
        <v>4462</v>
      </c>
      <c r="M129" s="9">
        <f>_xll.BQL("SEG0000227462 Segment", "IS_DEPR_EXP/1M", "FPT=Q", "FPO=-4Q", "ACT_EST_MAPPING=PRECISE", "FS=MRC", "CURRENCY=USD", "XLFILL=b")</f>
        <v>1136</v>
      </c>
      <c r="N129" s="9">
        <f>_xll.BQL("SEG0000227462 Segment", "IS_DEPR_EXP/1M", "FPT=Q", "FPO=-3Q", "ACT_EST_MAPPING=PRECISE", "FS=MRC", "CURRENCY=USD", "XLFILL=b")</f>
        <v>1180</v>
      </c>
      <c r="O129" s="9">
        <f>_xll.BQL("SEG0000227462 Segment", "IS_DEPR_EXP/1M", "FPT=Q", "FPO=-2Q", "ACT_EST_MAPPING=PRECISE", "FS=MRC", "CURRENCY=USD", "XLFILL=b")</f>
        <v>1276</v>
      </c>
      <c r="P129" s="9">
        <f>_xll.BQL("SEG0000227462 Segment", "IS_DEPR_EXP/1M", "FPT=Q", "FPO=-1Q", "ACT_EST_MAPPING=PRECISE", "FS=MRC", "CURRENCY=USD", "XLFILL=b")</f>
        <v>1315</v>
      </c>
      <c r="Q129" s="9">
        <f>_xll.BQL("SEG0000227462 Segment", "IS_DEPR_EXP/1M", "FPT=Q", "FPO=0Q", "ACT_EST_MAPPING=PRECISE", "FS=MRC", "CURRENCY=USD", "XLFILL=b")</f>
        <v>1277</v>
      </c>
      <c r="R129" s="9">
        <f>_xll.BQL("SEG0000227462 Segment", "IS_DEPR_EXP/1M", "FPT=Q", "FPO=1Q", "ACT_EST_MAPPING=PRECISE", "FS=MRC", "CURRENCY=USD", "XLFILL=b")</f>
        <v>1277.6360323865151</v>
      </c>
      <c r="S129" s="9">
        <f>_xll.BQL("SEG0000227462 Segment", "IS_DEPR_EXP/1M", "FPT=Q", "FPO=2Q", "ACT_EST_MAPPING=PRECISE", "FS=MRC", "CURRENCY=USD", "XLFILL=b")</f>
        <v>1344.6215010217256</v>
      </c>
      <c r="T129" s="9">
        <f>_xll.BQL("SEG0000227462 Segment", "IS_DEPR_EXP/1M", "FPT=Q", "FPO=3Q", "ACT_EST_MAPPING=PRECISE", "FS=MRC", "CURRENCY=USD", "XLFILL=b")</f>
        <v>1498.6623364370023</v>
      </c>
      <c r="U129" s="9">
        <f>_xll.BQL("SEG0000227462 Segment", "IS_DEPR_EXP/1M", "FPT=Q", "FPO=4Q", "ACT_EST_MAPPING=PRECISE", "FS=MRC", "CURRENCY=USD", "XLFILL=b")</f>
        <v>1474.3210933501996</v>
      </c>
      <c r="V129" s="9">
        <f>_xll.BQL("SEG0000227462 Segment", "IS_DEPR_EXP/1M", "FPT=Q", "FPO=5Q", "ACT_EST_MAPPING=PRECISE", "FS=MRC", "CURRENCY=USD", "XLFILL=b")</f>
        <v>1551.5840411959089</v>
      </c>
      <c r="W129" s="9">
        <f>_xll.BQL("SEG0000227462 Segment", "IS_DEPR_EXP/1M", "FPT=Q", "FPO=6Q", "ACT_EST_MAPPING=PRECISE", "FS=MRC", "CURRENCY=USD", "XLFILL=b")</f>
        <v>1639.2102533569673</v>
      </c>
      <c r="X129" s="9">
        <f>_xll.BQL("SEG0000227462 Segment", "IS_DEPR_EXP/1M", "FPT=Q", "FPO=7Q", "ACT_EST_MAPPING=PRECISE", "FS=MRC", "CURRENCY=USD", "XLFILL=b")</f>
        <v>1714.7788436338369</v>
      </c>
    </row>
    <row r="130" spans="1:24" x14ac:dyDescent="0.25">
      <c r="A130" s="8" t="s">
        <v>140</v>
      </c>
      <c r="B130" s="4" t="s">
        <v>141</v>
      </c>
      <c r="C130" s="4" t="s">
        <v>142</v>
      </c>
      <c r="D130" s="4" t="s">
        <v>47</v>
      </c>
      <c r="E130" s="9" t="str">
        <f>_xll.BQL("SEG0000227462 Segment", "CB_BS_PP_AND_E_NET/1M", "FPT=Q", "FPO=-12Q", "ACT_EST_MAPPING=PRECISE", "FS=MRC", "CURRENCY=USD", "XLFILL=b")</f>
        <v/>
      </c>
      <c r="F130" s="9" t="str">
        <f>_xll.BQL("SEG0000227462 Segment", "CB_BS_PP_AND_E_NET/1M", "FPT=Q", "FPO=-11Q", "ACT_EST_MAPPING=PRECISE", "FS=MRC", "CURRENCY=USD", "XLFILL=b")</f>
        <v/>
      </c>
      <c r="G130" s="9" t="str">
        <f>_xll.BQL("SEG0000227462 Segment", "CB_BS_PP_AND_E_NET/1M", "FPT=Q", "FPO=-10Q", "ACT_EST_MAPPING=PRECISE", "FS=MRC", "CURRENCY=USD", "XLFILL=b")</f>
        <v/>
      </c>
      <c r="H130" s="9">
        <f>_xll.BQL("SEG0000227462 Segment", "CB_BS_PP_AND_E_NET/1M", "FPT=Q", "FPO=-9Q", "ACT_EST_MAPPING=PRECISE", "FS=MRC", "CURRENCY=USD", "XLFILL=b")</f>
        <v>24357</v>
      </c>
      <c r="I130" s="9" t="str">
        <f>_xll.BQL("SEG0000227462 Segment", "CB_BS_PP_AND_E_NET/1M", "FPT=Q", "FPO=-8Q", "ACT_EST_MAPPING=PRECISE", "FS=MRC", "CURRENCY=USD", "XLFILL=b")</f>
        <v/>
      </c>
      <c r="J130" s="9" t="str">
        <f>_xll.BQL("SEG0000227462 Segment", "CB_BS_PP_AND_E_NET/1M", "FPT=Q", "FPO=-7Q", "ACT_EST_MAPPING=PRECISE", "FS=MRC", "CURRENCY=USD", "XLFILL=b")</f>
        <v/>
      </c>
      <c r="K130" s="9" t="str">
        <f>_xll.BQL("SEG0000227462 Segment", "CB_BS_PP_AND_E_NET/1M", "FPT=Q", "FPO=-6Q", "ACT_EST_MAPPING=PRECISE", "FS=MRC", "CURRENCY=USD", "XLFILL=b")</f>
        <v/>
      </c>
      <c r="L130" s="9">
        <f>_xll.BQL("SEG0000227462 Segment", "CB_BS_PP_AND_E_NET/1M", "FPT=Q", "FPO=-5Q", "ACT_EST_MAPPING=PRECISE", "FS=MRC", "CURRENCY=USD", "XLFILL=b")</f>
        <v>25618</v>
      </c>
      <c r="M130" s="9" t="str">
        <f>_xll.BQL("SEG0000227462 Segment", "CB_BS_PP_AND_E_NET/1M", "FPT=Q", "FPO=-4Q", "ACT_EST_MAPPING=PRECISE", "FS=MRC", "CURRENCY=USD", "XLFILL=b")</f>
        <v/>
      </c>
      <c r="N130" s="9">
        <f>_xll.BQL("SEG0000227462 Segment", "CB_BS_PP_AND_E_NET/1M", "FPT=Q", "FPO=-3Q", "ACT_EST_MAPPING=PRECISE", "FS=MRC", "CURRENCY=USD", "XLFILL=b")</f>
        <v>29679</v>
      </c>
      <c r="O130" s="9">
        <f>_xll.BQL("SEG0000227462 Segment", "CB_BS_PP_AND_E_NET/1M", "FPT=Q", "FPO=-2Q", "ACT_EST_MAPPING=PRECISE", "FS=MRC", "CURRENCY=USD", "XLFILL=b")</f>
        <v>29488</v>
      </c>
      <c r="P130" s="9">
        <f>_xll.BQL("SEG0000227462 Segment", "CB_BS_PP_AND_E_NET/1M", "FPT=Q", "FPO=-1Q", "ACT_EST_MAPPING=PRECISE", "FS=MRC", "CURRENCY=USD", "XLFILL=b")</f>
        <v>30632</v>
      </c>
      <c r="Q130" s="9">
        <f>_xll.BQL("SEG0000227462 Segment", "CB_BS_PP_AND_E_NET/1M", "FPT=Q", "FPO=0Q", "ACT_EST_MAPPING=PRECISE", "FS=MRC", "CURRENCY=USD", "XLFILL=b")</f>
        <v>30899</v>
      </c>
      <c r="R130" s="9">
        <f>_xll.BQL("SEG0000227462 Segment", "CB_BS_PP_AND_E_NET/1M", "FPT=Q", "FPO=1Q", "ACT_EST_MAPPING=PRECISE", "FS=MRC", "CURRENCY=USD", "XLFILL=b")</f>
        <v>35535.197533148152</v>
      </c>
      <c r="S130" s="9">
        <f>_xll.BQL("SEG0000227462 Segment", "CB_BS_PP_AND_E_NET/1M", "FPT=Q", "FPO=2Q", "ACT_EST_MAPPING=PRECISE", "FS=MRC", "CURRENCY=USD", "XLFILL=b")</f>
        <v>35912.026733291765</v>
      </c>
      <c r="T130" s="9">
        <f>_xll.BQL("SEG0000227462 Segment", "CB_BS_PP_AND_E_NET/1M", "FPT=Q", "FPO=3Q", "ACT_EST_MAPPING=PRECISE", "FS=MRC", "CURRENCY=USD", "XLFILL=b")</f>
        <v>36947.401506399365</v>
      </c>
      <c r="U130" s="9">
        <f>_xll.BQL("SEG0000227462 Segment", "CB_BS_PP_AND_E_NET/1M", "FPT=Q", "FPO=4Q", "ACT_EST_MAPPING=PRECISE", "FS=MRC", "CURRENCY=USD", "XLFILL=b")</f>
        <v>39677.820290533047</v>
      </c>
      <c r="V130" s="9">
        <f>_xll.BQL("SEG0000227462 Segment", "CB_BS_PP_AND_E_NET/1M", "FPT=Q", "FPO=5Q", "ACT_EST_MAPPING=PRECISE", "FS=MRC", "CURRENCY=USD", "XLFILL=b")</f>
        <v>49126.372681360655</v>
      </c>
      <c r="W130" s="9">
        <f>_xll.BQL("SEG0000227462 Segment", "CB_BS_PP_AND_E_NET/1M", "FPT=Q", "FPO=6Q", "ACT_EST_MAPPING=PRECISE", "FS=MRC", "CURRENCY=USD", "XLFILL=b")</f>
        <v>49843.508296217973</v>
      </c>
      <c r="X130" s="9">
        <f>_xll.BQL("SEG0000227462 Segment", "CB_BS_PP_AND_E_NET/1M", "FPT=Q", "FPO=7Q", "ACT_EST_MAPPING=PRECISE", "FS=MRC", "CURRENCY=USD", "XLFILL=b")</f>
        <v>51699.577626165039</v>
      </c>
    </row>
    <row r="131" spans="1:24" x14ac:dyDescent="0.25">
      <c r="A131" s="8" t="s">
        <v>143</v>
      </c>
      <c r="B131" s="4" t="s">
        <v>144</v>
      </c>
      <c r="C131" s="4" t="s">
        <v>145</v>
      </c>
      <c r="D131" s="4" t="s">
        <v>47</v>
      </c>
      <c r="E131" s="9" t="str">
        <f>_xll.BQL("SEG0000227462 Segment", "IS_CAPEX_AS_REPORTED/1M", "FPT=Q", "FPO=-12Q", "ACT_EST_MAPPING=PRECISE", "FS=MRC", "CURRENCY=USD", "XLFILL=b")</f>
        <v/>
      </c>
      <c r="F131" s="9" t="str">
        <f>_xll.BQL("SEG0000227462 Segment", "IS_CAPEX_AS_REPORTED/1M", "FPT=Q", "FPO=-11Q", "ACT_EST_MAPPING=PRECISE", "FS=MRC", "CURRENCY=USD", "XLFILL=b")</f>
        <v/>
      </c>
      <c r="G131" s="9" t="str">
        <f>_xll.BQL("SEG0000227462 Segment", "IS_CAPEX_AS_REPORTED/1M", "FPT=Q", "FPO=-10Q", "ACT_EST_MAPPING=PRECISE", "FS=MRC", "CURRENCY=USD", "XLFILL=b")</f>
        <v/>
      </c>
      <c r="H131" s="9" t="str">
        <f>_xll.BQL("SEG0000227462 Segment", "IS_CAPEX_AS_REPORTED/1M", "FPT=Q", "FPO=-9Q", "ACT_EST_MAPPING=PRECISE", "FS=MRC", "CURRENCY=USD", "XLFILL=b")</f>
        <v/>
      </c>
      <c r="I131" s="9" t="str">
        <f>_xll.BQL("SEG0000227462 Segment", "IS_CAPEX_AS_REPORTED/1M", "FPT=Q", "FPO=-8Q", "ACT_EST_MAPPING=PRECISE", "FS=MRC", "CURRENCY=USD", "XLFILL=b")</f>
        <v/>
      </c>
      <c r="J131" s="9" t="str">
        <f>_xll.BQL("SEG0000227462 Segment", "IS_CAPEX_AS_REPORTED/1M", "FPT=Q", "FPO=-7Q", "ACT_EST_MAPPING=PRECISE", "FS=MRC", "CURRENCY=USD", "XLFILL=b")</f>
        <v/>
      </c>
      <c r="K131" s="9" t="str">
        <f>_xll.BQL("SEG0000227462 Segment", "IS_CAPEX_AS_REPORTED/1M", "FPT=Q", "FPO=-6Q", "ACT_EST_MAPPING=PRECISE", "FS=MRC", "CURRENCY=USD", "XLFILL=b")</f>
        <v/>
      </c>
      <c r="L131" s="9" t="str">
        <f>_xll.BQL("SEG0000227462 Segment", "IS_CAPEX_AS_REPORTED/1M", "FPT=Q", "FPO=-5Q", "ACT_EST_MAPPING=PRECISE", "FS=MRC", "CURRENCY=USD", "XLFILL=b")</f>
        <v/>
      </c>
      <c r="M131" s="9">
        <f>_xll.BQL("SEG0000227462 Segment", "IS_CAPEX_AS_REPORTED/1M", "FPT=Q", "FPO=-4Q", "ACT_EST_MAPPING=PRECISE", "FS=MRC", "CURRENCY=USD", "XLFILL=b")</f>
        <v>1506</v>
      </c>
      <c r="N131" s="9">
        <f>_xll.BQL("SEG0000227462 Segment", "IS_CAPEX_AS_REPORTED/1M", "FPT=Q", "FPO=-3Q", "ACT_EST_MAPPING=PRECISE", "FS=MRC", "CURRENCY=USD", "XLFILL=b")</f>
        <v>2531</v>
      </c>
      <c r="O131" s="9">
        <f>_xll.BQL("SEG0000227462 Segment", "IS_CAPEX_AS_REPORTED/1M", "FPT=Q", "FPO=-2Q", "ACT_EST_MAPPING=PRECISE", "FS=MRC", "CURRENCY=USD", "XLFILL=b")</f>
        <v>1439</v>
      </c>
      <c r="P131" s="9">
        <f>_xll.BQL("SEG0000227462 Segment", "IS_CAPEX_AS_REPORTED/1M", "FPT=Q", "FPO=-1Q", "ACT_EST_MAPPING=PRECISE", "FS=MRC", "CURRENCY=USD", "XLFILL=b")</f>
        <v>2141</v>
      </c>
      <c r="Q131" s="9">
        <f>_xll.BQL("SEG0000227462 Segment", "IS_CAPEX_AS_REPORTED/1M", "FPT=Q", "FPO=0Q", "ACT_EST_MAPPING=PRECISE", "FS=MRC", "CURRENCY=USD", "XLFILL=b")</f>
        <v>1727</v>
      </c>
      <c r="R131" s="9">
        <f>_xll.BQL("SEG0000227462 Segment", "IS_CAPEX_AS_REPORTED/1M", "FPT=Q", "FPO=1Q", "ACT_EST_MAPPING=PRECISE", "FS=MRC", "CURRENCY=USD", "XLFILL=b")</f>
        <v>2241.275509983911</v>
      </c>
      <c r="S131" s="9">
        <f>_xll.BQL("SEG0000227462 Segment", "IS_CAPEX_AS_REPORTED/1M", "FPT=Q", "FPO=2Q", "ACT_EST_MAPPING=PRECISE", "FS=MRC", "CURRENCY=USD", "XLFILL=b")</f>
        <v>2164.1261312836423</v>
      </c>
      <c r="T131" s="9">
        <f>_xll.BQL("SEG0000227462 Segment", "IS_CAPEX_AS_REPORTED/1M", "FPT=Q", "FPO=3Q", "ACT_EST_MAPPING=PRECISE", "FS=MRC", "CURRENCY=USD", "XLFILL=b")</f>
        <v>2459.3058305269265</v>
      </c>
      <c r="U131" s="9">
        <f>_xll.BQL("SEG0000227462 Segment", "IS_CAPEX_AS_REPORTED/1M", "FPT=Q", "FPO=4Q", "ACT_EST_MAPPING=PRECISE", "FS=MRC", "CURRENCY=USD", "XLFILL=b")</f>
        <v>2900.1087156261369</v>
      </c>
      <c r="V131" s="9">
        <f>_xll.BQL("SEG0000227462 Segment", "IS_CAPEX_AS_REPORTED/1M", "FPT=Q", "FPO=5Q", "ACT_EST_MAPPING=PRECISE", "FS=MRC", "CURRENCY=USD", "XLFILL=b")</f>
        <v>3052.0574044104642</v>
      </c>
      <c r="W131" s="9">
        <f>_xll.BQL("SEG0000227462 Segment", "IS_CAPEX_AS_REPORTED/1M", "FPT=Q", "FPO=6Q", "ACT_EST_MAPPING=PRECISE", "FS=MRC", "CURRENCY=USD", "XLFILL=b")</f>
        <v>3113.2265003819039</v>
      </c>
      <c r="X131" s="9">
        <f>_xll.BQL("SEG0000227462 Segment", "IS_CAPEX_AS_REPORTED/1M", "FPT=Q", "FPO=7Q", "ACT_EST_MAPPING=PRECISE", "FS=MRC", "CURRENCY=USD", "XLFILL=b")</f>
        <v>3455.0494518271639</v>
      </c>
    </row>
    <row r="132" spans="1:24" x14ac:dyDescent="0.25">
      <c r="A132" s="8" t="s">
        <v>146</v>
      </c>
      <c r="B132" s="4" t="s">
        <v>147</v>
      </c>
      <c r="C132" s="4" t="s">
        <v>148</v>
      </c>
      <c r="D132" s="4" t="s">
        <v>47</v>
      </c>
      <c r="E132" s="9">
        <f>_xll.BQL("SEG0000227462 Segment", "IS_SALES_CHANGE_MIX_PERCENTAGE", "FPT=Q", "FPO=-12Q", "ACT_EST_MAPPING=PRECISE", "FS=MRC", "CURRENCY=USD", "XLFILL=b")</f>
        <v>23</v>
      </c>
      <c r="F132" s="9">
        <f>_xll.BQL("SEG0000227462 Segment", "IS_SALES_CHANGE_MIX_PERCENTAGE", "FPT=Q", "FPO=-11Q", "ACT_EST_MAPPING=PRECISE", "FS=MRC", "CURRENCY=USD", "XLFILL=b")</f>
        <v>22</v>
      </c>
      <c r="G132" s="9">
        <f>_xll.BQL("SEG0000227462 Segment", "IS_SALES_CHANGE_MIX_PERCENTAGE", "FPT=Q", "FPO=-10Q", "ACT_EST_MAPPING=PRECISE", "FS=MRC", "CURRENCY=USD", "XLFILL=b")</f>
        <v>23</v>
      </c>
      <c r="H132" s="9">
        <f>_xll.BQL("SEG0000227462 Segment", "IS_SALES_CHANGE_MIX_PERCENTAGE", "FPT=Q", "FPO=-9Q", "ACT_EST_MAPPING=PRECISE", "FS=MRC", "CURRENCY=USD", "XLFILL=b")</f>
        <v>24</v>
      </c>
      <c r="I132" s="9">
        <f>_xll.BQL("SEG0000227462 Segment", "IS_SALES_CHANGE_MIX_PERCENTAGE", "FPT=Q", "FPO=-8Q", "ACT_EST_MAPPING=PRECISE", "FS=MRC", "CURRENCY=USD", "XLFILL=b")</f>
        <v>22</v>
      </c>
      <c r="J132" s="9">
        <f>_xll.BQL("SEG0000227462 Segment", "IS_SALES_CHANGE_MIX_PERCENTAGE", "FPT=Q", "FPO=-7Q", "ACT_EST_MAPPING=PRECISE", "FS=MRC", "CURRENCY=USD", "XLFILL=b")</f>
        <v>21</v>
      </c>
      <c r="K132" s="9">
        <f>_xll.BQL("SEG0000227462 Segment", "IS_SALES_CHANGE_MIX_PERCENTAGE", "FPT=Q", "FPO=-6Q", "ACT_EST_MAPPING=PRECISE", "FS=MRC", "CURRENCY=USD", "XLFILL=b")</f>
        <v>23</v>
      </c>
      <c r="L132" s="9">
        <f>_xll.BQL("SEG0000227462 Segment", "IS_SALES_CHANGE_MIX_PERCENTAGE", "FPT=Q", "FPO=-5Q", "ACT_EST_MAPPING=PRECISE", "FS=MRC", "CURRENCY=USD", "XLFILL=b")</f>
        <v>23</v>
      </c>
      <c r="M132" s="9">
        <f>_xll.BQL("SEG0000227462 Segment", "IS_SALES_CHANGE_MIX_PERCENTAGE", "FPT=Q", "FPO=-4Q", "ACT_EST_MAPPING=PRECISE", "FS=MRC", "CURRENCY=USD", "XLFILL=b")</f>
        <v>21</v>
      </c>
      <c r="N132" s="9">
        <f>_xll.BQL("SEG0000227462 Segment", "IS_SALES_CHANGE_MIX_PERCENTAGE", "FPT=Q", "FPO=-3Q", "ACT_EST_MAPPING=PRECISE", "FS=MRC", "CURRENCY=USD", "XLFILL=b")</f>
        <v>22</v>
      </c>
      <c r="O132" s="9">
        <f>_xll.BQL("SEG0000227462 Segment", "IS_SALES_CHANGE_MIX_PERCENTAGE", "FPT=Q", "FPO=-2Q", "ACT_EST_MAPPING=PRECISE", "FS=MRC", "CURRENCY=USD", "XLFILL=b")</f>
        <v>23</v>
      </c>
      <c r="P132" s="9">
        <f>_xll.BQL("SEG0000227462 Segment", "IS_SALES_CHANGE_MIX_PERCENTAGE", "FPT=Q", "FPO=-1Q", "ACT_EST_MAPPING=PRECISE", "FS=MRC", "CURRENCY=USD", "XLFILL=b")</f>
        <v>24</v>
      </c>
      <c r="Q132" s="9">
        <f>_xll.BQL("SEG0000227462 Segment", "IS_SALES_CHANGE_MIX_PERCENTAGE", "FPT=Q", "FPO=0Q", "ACT_EST_MAPPING=PRECISE", "FS=MRC", "CURRENCY=USD", "XLFILL=b")</f>
        <v>22</v>
      </c>
      <c r="R132" s="9">
        <f>_xll.BQL("SEG0000227462 Segment", "IS_SALES_CHANGE_MIX_PERCENTAGE", "FPT=Q", "FPO=1Q", "ACT_EST_MAPPING=PRECISE", "FS=MRC", "CURRENCY=USD", "XLFILL=b")</f>
        <v>21.835428618403267</v>
      </c>
      <c r="S132" s="9">
        <f>_xll.BQL("SEG0000227462 Segment", "IS_SALES_CHANGE_MIX_PERCENTAGE", "FPT=Q", "FPO=2Q", "ACT_EST_MAPPING=PRECISE", "FS=MRC", "CURRENCY=USD", "XLFILL=b")</f>
        <v>22.540489888939643</v>
      </c>
      <c r="T132" s="9">
        <f>_xll.BQL("SEG0000227462 Segment", "IS_SALES_CHANGE_MIX_PERCENTAGE", "FPT=Q", "FPO=3Q", "ACT_EST_MAPPING=PRECISE", "FS=MRC", "CURRENCY=USD", "XLFILL=b")</f>
        <v>23.716935401914295</v>
      </c>
      <c r="U132" s="9">
        <f>_xll.BQL("SEG0000227462 Segment", "IS_SALES_CHANGE_MIX_PERCENTAGE", "FPT=Q", "FPO=4Q", "ACT_EST_MAPPING=PRECISE", "FS=MRC", "CURRENCY=USD", "XLFILL=b")</f>
        <v>21.28891458512528</v>
      </c>
      <c r="V132" s="9">
        <f>_xll.BQL("SEG0000227462 Segment", "IS_SALES_CHANGE_MIX_PERCENTAGE", "FPT=Q", "FPO=5Q", "ACT_EST_MAPPING=PRECISE", "FS=MRC", "CURRENCY=USD", "XLFILL=b")</f>
        <v>21.917422981177726</v>
      </c>
      <c r="W132" s="9">
        <f>_xll.BQL("SEG0000227462 Segment", "IS_SALES_CHANGE_MIX_PERCENTAGE", "FPT=Q", "FPO=6Q", "ACT_EST_MAPPING=PRECISE", "FS=MRC", "CURRENCY=USD", "XLFILL=b")</f>
        <v>22.476336733220322</v>
      </c>
      <c r="X132" s="9">
        <f>_xll.BQL("SEG0000227462 Segment", "IS_SALES_CHANGE_MIX_PERCENTAGE", "FPT=Q", "FPO=7Q", "ACT_EST_MAPPING=PRECISE", "FS=MRC", "CURRENCY=USD", "XLFILL=b")</f>
        <v>23.611273425970719</v>
      </c>
    </row>
    <row r="133" spans="1:24" x14ac:dyDescent="0.25">
      <c r="A133" s="8" t="s">
        <v>14</v>
      </c>
      <c r="B133" s="4"/>
      <c r="C133" s="4"/>
      <c r="D133" s="4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</row>
    <row r="134" spans="1:24" x14ac:dyDescent="0.25">
      <c r="A134" s="8" t="s">
        <v>154</v>
      </c>
      <c r="B134" s="4"/>
      <c r="C134" s="4"/>
      <c r="D134" s="4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</row>
    <row r="135" spans="1:24" x14ac:dyDescent="0.25">
      <c r="A135" s="8" t="s">
        <v>118</v>
      </c>
      <c r="B135" s="4" t="s">
        <v>21</v>
      </c>
      <c r="C135" s="4" t="s">
        <v>22</v>
      </c>
      <c r="D135" s="4" t="s">
        <v>155</v>
      </c>
      <c r="E135" s="9" t="str">
        <f>_xll.BQL("SEG0000227449 Segment", "SALES_REV_TURN/1M", "FPT=Q", "FPO=-12Q", "ACT_EST_MAPPING=PRECISE", "FS=MRC", "CURRENCY=USD", "XLFILL=b")</f>
        <v/>
      </c>
      <c r="F135" s="9" t="str">
        <f>_xll.BQL("SEG0000227449 Segment", "SALES_REV_TURN/1M", "FPT=Q", "FPO=-11Q", "ACT_EST_MAPPING=PRECISE", "FS=MRC", "CURRENCY=USD", "XLFILL=b")</f>
        <v/>
      </c>
      <c r="G135" s="9" t="str">
        <f>_xll.BQL("SEG0000227449 Segment", "SALES_REV_TURN/1M", "FPT=Q", "FPO=-10Q", "ACT_EST_MAPPING=PRECISE", "FS=MRC", "CURRENCY=USD", "XLFILL=b")</f>
        <v/>
      </c>
      <c r="H135" s="9" t="str">
        <f>_xll.BQL("SEG0000227449 Segment", "SALES_REV_TURN/1M", "FPT=Q", "FPO=-9Q", "ACT_EST_MAPPING=PRECISE", "FS=MRC", "CURRENCY=USD", "XLFILL=b")</f>
        <v/>
      </c>
      <c r="I135" s="9" t="str">
        <f>_xll.BQL("SEG0000227449 Segment", "SALES_REV_TURN/1M", "FPT=Q", "FPO=-8Q", "ACT_EST_MAPPING=PRECISE", "FS=MRC", "CURRENCY=USD", "XLFILL=b")</f>
        <v/>
      </c>
      <c r="J135" s="9" t="str">
        <f>_xll.BQL("SEG0000227449 Segment", "SALES_REV_TURN/1M", "FPT=Q", "FPO=-7Q", "ACT_EST_MAPPING=PRECISE", "FS=MRC", "CURRENCY=USD", "XLFILL=b")</f>
        <v/>
      </c>
      <c r="K135" s="9" t="str">
        <f>_xll.BQL("SEG0000227449 Segment", "SALES_REV_TURN/1M", "FPT=Q", "FPO=-6Q", "ACT_EST_MAPPING=PRECISE", "FS=MRC", "CURRENCY=USD", "XLFILL=b")</f>
        <v/>
      </c>
      <c r="L135" s="9" t="str">
        <f>_xll.BQL("SEG0000227449 Segment", "SALES_REV_TURN/1M", "FPT=Q", "FPO=-5Q", "ACT_EST_MAPPING=PRECISE", "FS=MRC", "CURRENCY=USD", "XLFILL=b")</f>
        <v/>
      </c>
      <c r="M135" s="9" t="str">
        <f>_xll.BQL("SEG0000227449 Segment", "SALES_REV_TURN/1M", "FPT=Q", "FPO=-4Q", "ACT_EST_MAPPING=PRECISE", "FS=MRC", "CURRENCY=USD", "XLFILL=b")</f>
        <v/>
      </c>
      <c r="N135" s="9" t="str">
        <f>_xll.BQL("SEG0000227449 Segment", "SALES_REV_TURN/1M", "FPT=Q", "FPO=-3Q", "ACT_EST_MAPPING=PRECISE", "FS=MRC", "CURRENCY=USD", "XLFILL=b")</f>
        <v/>
      </c>
      <c r="O135" s="9" t="str">
        <f>_xll.BQL("SEG0000227449 Segment", "SALES_REV_TURN/1M", "FPT=Q", "FPO=-2Q", "ACT_EST_MAPPING=PRECISE", "FS=MRC", "CURRENCY=USD", "XLFILL=b")</f>
        <v/>
      </c>
      <c r="P135" s="9" t="str">
        <f>_xll.BQL("SEG0000227449 Segment", "SALES_REV_TURN/1M", "FPT=Q", "FPO=-1Q", "ACT_EST_MAPPING=PRECISE", "FS=MRC", "CURRENCY=USD", "XLFILL=b")</f>
        <v/>
      </c>
      <c r="Q135" s="9" t="str">
        <f>_xll.BQL("SEG0000227449 Segment", "SALES_REV_TURN/1M", "FPT=Q", "FPO=0Q", "ACT_EST_MAPPING=PRECISE", "FS=MRC", "CURRENCY=USD", "XLFILL=b")</f>
        <v/>
      </c>
      <c r="R135" s="9" t="str">
        <f>_xll.BQL("SEG0000227449 Segment", "SALES_REV_TURN/1M", "FPT=Q", "FPO=1Q", "ACT_EST_MAPPING=PRECISE", "FS=MRC", "CURRENCY=USD", "XLFILL=b")</f>
        <v/>
      </c>
      <c r="S135" s="9" t="str">
        <f>_xll.BQL("SEG0000227449 Segment", "SALES_REV_TURN/1M", "FPT=Q", "FPO=2Q", "ACT_EST_MAPPING=PRECISE", "FS=MRC", "CURRENCY=USD", "XLFILL=b")</f>
        <v/>
      </c>
      <c r="T135" s="9" t="str">
        <f>_xll.BQL("SEG0000227449 Segment", "SALES_REV_TURN/1M", "FPT=Q", "FPO=3Q", "ACT_EST_MAPPING=PRECISE", "FS=MRC", "CURRENCY=USD", "XLFILL=b")</f>
        <v/>
      </c>
      <c r="U135" s="9" t="str">
        <f>_xll.BQL("SEG0000227449 Segment", "SALES_REV_TURN/1M", "FPT=Q", "FPO=4Q", "ACT_EST_MAPPING=PRECISE", "FS=MRC", "CURRENCY=USD", "XLFILL=b")</f>
        <v/>
      </c>
      <c r="V135" s="9" t="str">
        <f>_xll.BQL("SEG0000227449 Segment", "SALES_REV_TURN/1M", "FPT=Q", "FPO=5Q", "ACT_EST_MAPPING=PRECISE", "FS=MRC", "CURRENCY=USD", "XLFILL=b")</f>
        <v/>
      </c>
      <c r="W135" s="9" t="str">
        <f>_xll.BQL("SEG0000227449 Segment", "SALES_REV_TURN/1M", "FPT=Q", "FPO=6Q", "ACT_EST_MAPPING=PRECISE", "FS=MRC", "CURRENCY=USD", "XLFILL=b")</f>
        <v/>
      </c>
      <c r="X135" s="9" t="str">
        <f>_xll.BQL("SEG0000227449 Segment", "SALES_REV_TURN/1M", "FPT=Q", "FPO=7Q", "ACT_EST_MAPPING=PRECISE", "FS=MRC", "CURRENCY=USD", "XLFILL=b")</f>
        <v/>
      </c>
    </row>
    <row r="136" spans="1:24" x14ac:dyDescent="0.25">
      <c r="A136" s="8" t="s">
        <v>14</v>
      </c>
      <c r="B136" s="4"/>
      <c r="C136" s="4"/>
      <c r="D136" s="4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</row>
    <row r="137" spans="1:24" x14ac:dyDescent="0.25">
      <c r="A137" s="8" t="s">
        <v>156</v>
      </c>
      <c r="B137" s="4"/>
      <c r="C137" s="4"/>
      <c r="D137" s="4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</row>
    <row r="138" spans="1:24" x14ac:dyDescent="0.25">
      <c r="A138" s="8" t="s">
        <v>118</v>
      </c>
      <c r="B138" s="4" t="s">
        <v>21</v>
      </c>
      <c r="C138" s="4" t="s">
        <v>22</v>
      </c>
      <c r="D138" s="4" t="s">
        <v>157</v>
      </c>
      <c r="E138" s="9" t="str">
        <f>_xll.BQL("SEG0000227509 Segment", "SALES_REV_TURN/1M", "FPT=Q", "FPO=-12Q", "ACT_EST_MAPPING=PRECISE", "FS=MRC", "CURRENCY=USD", "XLFILL=b")</f>
        <v/>
      </c>
      <c r="F138" s="9" t="str">
        <f>_xll.BQL("SEG0000227509 Segment", "SALES_REV_TURN/1M", "FPT=Q", "FPO=-11Q", "ACT_EST_MAPPING=PRECISE", "FS=MRC", "CURRENCY=USD", "XLFILL=b")</f>
        <v/>
      </c>
      <c r="G138" s="9" t="str">
        <f>_xll.BQL("SEG0000227509 Segment", "SALES_REV_TURN/1M", "FPT=Q", "FPO=-10Q", "ACT_EST_MAPPING=PRECISE", "FS=MRC", "CURRENCY=USD", "XLFILL=b")</f>
        <v/>
      </c>
      <c r="H138" s="9" t="str">
        <f>_xll.BQL("SEG0000227509 Segment", "SALES_REV_TURN/1M", "FPT=Q", "FPO=-9Q", "ACT_EST_MAPPING=PRECISE", "FS=MRC", "CURRENCY=USD", "XLFILL=b")</f>
        <v/>
      </c>
      <c r="I138" s="9" t="str">
        <f>_xll.BQL("SEG0000227509 Segment", "SALES_REV_TURN/1M", "FPT=Q", "FPO=-8Q", "ACT_EST_MAPPING=PRECISE", "FS=MRC", "CURRENCY=USD", "XLFILL=b")</f>
        <v/>
      </c>
      <c r="J138" s="9" t="str">
        <f>_xll.BQL("SEG0000227509 Segment", "SALES_REV_TURN/1M", "FPT=Q", "FPO=-7Q", "ACT_EST_MAPPING=PRECISE", "FS=MRC", "CURRENCY=USD", "XLFILL=b")</f>
        <v/>
      </c>
      <c r="K138" s="9" t="str">
        <f>_xll.BQL("SEG0000227509 Segment", "SALES_REV_TURN/1M", "FPT=Q", "FPO=-6Q", "ACT_EST_MAPPING=PRECISE", "FS=MRC", "CURRENCY=USD", "XLFILL=b")</f>
        <v/>
      </c>
      <c r="L138" s="9" t="str">
        <f>_xll.BQL("SEG0000227509 Segment", "SALES_REV_TURN/1M", "FPT=Q", "FPO=-5Q", "ACT_EST_MAPPING=PRECISE", "FS=MRC", "CURRENCY=USD", "XLFILL=b")</f>
        <v/>
      </c>
      <c r="M138" s="9" t="str">
        <f>_xll.BQL("SEG0000227509 Segment", "SALES_REV_TURN/1M", "FPT=Q", "FPO=-4Q", "ACT_EST_MAPPING=PRECISE", "FS=MRC", "CURRENCY=USD", "XLFILL=b")</f>
        <v/>
      </c>
      <c r="N138" s="9" t="str">
        <f>_xll.BQL("SEG0000227509 Segment", "SALES_REV_TURN/1M", "FPT=Q", "FPO=-3Q", "ACT_EST_MAPPING=PRECISE", "FS=MRC", "CURRENCY=USD", "XLFILL=b")</f>
        <v/>
      </c>
      <c r="O138" s="9" t="str">
        <f>_xll.BQL("SEG0000227509 Segment", "SALES_REV_TURN/1M", "FPT=Q", "FPO=-2Q", "ACT_EST_MAPPING=PRECISE", "FS=MRC", "CURRENCY=USD", "XLFILL=b")</f>
        <v/>
      </c>
      <c r="P138" s="9" t="str">
        <f>_xll.BQL("SEG0000227509 Segment", "SALES_REV_TURN/1M", "FPT=Q", "FPO=-1Q", "ACT_EST_MAPPING=PRECISE", "FS=MRC", "CURRENCY=USD", "XLFILL=b")</f>
        <v/>
      </c>
      <c r="Q138" s="9" t="str">
        <f>_xll.BQL("SEG0000227509 Segment", "SALES_REV_TURN/1M", "FPT=Q", "FPO=0Q", "ACT_EST_MAPPING=PRECISE", "FS=MRC", "CURRENCY=USD", "XLFILL=b")</f>
        <v/>
      </c>
      <c r="R138" s="9">
        <f>_xll.BQL("SEG0000227509 Segment", "SALES_REV_TURN/1M", "FPT=Q", "FPO=1Q", "ACT_EST_MAPPING=PRECISE", "FS=MRC", "CURRENCY=USD", "XLFILL=b")</f>
        <v>10774.836241026858</v>
      </c>
      <c r="S138" s="9">
        <f>_xll.BQL("SEG0000227509 Segment", "SALES_REV_TURN/1M", "FPT=Q", "FPO=2Q", "ACT_EST_MAPPING=PRECISE", "FS=MRC", "CURRENCY=USD", "XLFILL=b")</f>
        <v>11719.376222330226</v>
      </c>
      <c r="T138" s="9">
        <f>_xll.BQL("SEG0000227509 Segment", "SALES_REV_TURN/1M", "FPT=Q", "FPO=3Q", "ACT_EST_MAPPING=PRECISE", "FS=MRC", "CURRENCY=USD", "XLFILL=b")</f>
        <v>14633.062680599758</v>
      </c>
      <c r="U138" s="9" t="str">
        <f>_xll.BQL("SEG0000227509 Segment", "SALES_REV_TURN/1M", "FPT=Q", "FPO=4Q", "ACT_EST_MAPPING=PRECISE", "FS=MRC", "CURRENCY=USD", "XLFILL=b")</f>
        <v/>
      </c>
      <c r="V138" s="9" t="str">
        <f>_xll.BQL("SEG0000227509 Segment", "SALES_REV_TURN/1M", "FPT=Q", "FPO=5Q", "ACT_EST_MAPPING=PRECISE", "FS=MRC", "CURRENCY=USD", "XLFILL=b")</f>
        <v/>
      </c>
      <c r="W138" s="9" t="str">
        <f>_xll.BQL("SEG0000227509 Segment", "SALES_REV_TURN/1M", "FPT=Q", "FPO=6Q", "ACT_EST_MAPPING=PRECISE", "FS=MRC", "CURRENCY=USD", "XLFILL=b")</f>
        <v/>
      </c>
      <c r="X138" s="9" t="str">
        <f>_xll.BQL("SEG0000227509 Segment", "SALES_REV_TURN/1M", "FPT=Q", "FPO=7Q", "ACT_EST_MAPPING=PRECISE", "FS=MRC", "CURRENCY=USD", "XLFILL=b")</f>
        <v/>
      </c>
    </row>
    <row r="139" spans="1:24" x14ac:dyDescent="0.25">
      <c r="A139" s="8" t="s">
        <v>14</v>
      </c>
      <c r="B139" s="4"/>
      <c r="C139" s="4"/>
      <c r="D139" s="4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</row>
    <row r="140" spans="1:24" x14ac:dyDescent="0.25">
      <c r="A140" s="8" t="s">
        <v>158</v>
      </c>
      <c r="B140" s="4"/>
      <c r="C140" s="4"/>
      <c r="D140" s="4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</row>
    <row r="141" spans="1:24" x14ac:dyDescent="0.25">
      <c r="A141" s="8" t="s">
        <v>118</v>
      </c>
      <c r="B141" s="4" t="s">
        <v>21</v>
      </c>
      <c r="C141" s="4" t="s">
        <v>22</v>
      </c>
      <c r="D141" s="4" t="s">
        <v>159</v>
      </c>
      <c r="E141" s="9" t="str">
        <f>_xll.BQL("SEG0000227510 Segment", "SALES_REV_TURN/1M", "FPT=Q", "FPO=-12Q", "ACT_EST_MAPPING=PRECISE", "FS=MRC", "CURRENCY=USD", "XLFILL=b")</f>
        <v/>
      </c>
      <c r="F141" s="9" t="str">
        <f>_xll.BQL("SEG0000227510 Segment", "SALES_REV_TURN/1M", "FPT=Q", "FPO=-11Q", "ACT_EST_MAPPING=PRECISE", "FS=MRC", "CURRENCY=USD", "XLFILL=b")</f>
        <v/>
      </c>
      <c r="G141" s="9" t="str">
        <f>_xll.BQL("SEG0000227510 Segment", "SALES_REV_TURN/1M", "FPT=Q", "FPO=-10Q", "ACT_EST_MAPPING=PRECISE", "FS=MRC", "CURRENCY=USD", "XLFILL=b")</f>
        <v/>
      </c>
      <c r="H141" s="9" t="str">
        <f>_xll.BQL("SEG0000227510 Segment", "SALES_REV_TURN/1M", "FPT=Q", "FPO=-9Q", "ACT_EST_MAPPING=PRECISE", "FS=MRC", "CURRENCY=USD", "XLFILL=b")</f>
        <v/>
      </c>
      <c r="I141" s="9" t="str">
        <f>_xll.BQL("SEG0000227510 Segment", "SALES_REV_TURN/1M", "FPT=Q", "FPO=-8Q", "ACT_EST_MAPPING=PRECISE", "FS=MRC", "CURRENCY=USD", "XLFILL=b")</f>
        <v/>
      </c>
      <c r="J141" s="9" t="str">
        <f>_xll.BQL("SEG0000227510 Segment", "SALES_REV_TURN/1M", "FPT=Q", "FPO=-7Q", "ACT_EST_MAPPING=PRECISE", "FS=MRC", "CURRENCY=USD", "XLFILL=b")</f>
        <v/>
      </c>
      <c r="K141" s="9" t="str">
        <f>_xll.BQL("SEG0000227510 Segment", "SALES_REV_TURN/1M", "FPT=Q", "FPO=-6Q", "ACT_EST_MAPPING=PRECISE", "FS=MRC", "CURRENCY=USD", "XLFILL=b")</f>
        <v/>
      </c>
      <c r="L141" s="9" t="str">
        <f>_xll.BQL("SEG0000227510 Segment", "SALES_REV_TURN/1M", "FPT=Q", "FPO=-5Q", "ACT_EST_MAPPING=PRECISE", "FS=MRC", "CURRENCY=USD", "XLFILL=b")</f>
        <v/>
      </c>
      <c r="M141" s="9" t="str">
        <f>_xll.BQL("SEG0000227510 Segment", "SALES_REV_TURN/1M", "FPT=Q", "FPO=-4Q", "ACT_EST_MAPPING=PRECISE", "FS=MRC", "CURRENCY=USD", "XLFILL=b")</f>
        <v/>
      </c>
      <c r="N141" s="9" t="str">
        <f>_xll.BQL("SEG0000227510 Segment", "SALES_REV_TURN/1M", "FPT=Q", "FPO=-3Q", "ACT_EST_MAPPING=PRECISE", "FS=MRC", "CURRENCY=USD", "XLFILL=b")</f>
        <v/>
      </c>
      <c r="O141" s="9" t="str">
        <f>_xll.BQL("SEG0000227510 Segment", "SALES_REV_TURN/1M", "FPT=Q", "FPO=-2Q", "ACT_EST_MAPPING=PRECISE", "FS=MRC", "CURRENCY=USD", "XLFILL=b")</f>
        <v/>
      </c>
      <c r="P141" s="9" t="str">
        <f>_xll.BQL("SEG0000227510 Segment", "SALES_REV_TURN/1M", "FPT=Q", "FPO=-1Q", "ACT_EST_MAPPING=PRECISE", "FS=MRC", "CURRENCY=USD", "XLFILL=b")</f>
        <v/>
      </c>
      <c r="Q141" s="9" t="str">
        <f>_xll.BQL("SEG0000227510 Segment", "SALES_REV_TURN/1M", "FPT=Q", "FPO=0Q", "ACT_EST_MAPPING=PRECISE", "FS=MRC", "CURRENCY=USD", "XLFILL=b")</f>
        <v/>
      </c>
      <c r="R141" s="9">
        <f>_xll.BQL("SEG0000227510 Segment", "SALES_REV_TURN/1M", "FPT=Q", "FPO=1Q", "ACT_EST_MAPPING=PRECISE", "FS=MRC", "CURRENCY=USD", "XLFILL=b")</f>
        <v>6630.6684560165286</v>
      </c>
      <c r="S141" s="9">
        <f>_xll.BQL("SEG0000227510 Segment", "SALES_REV_TURN/1M", "FPT=Q", "FPO=2Q", "ACT_EST_MAPPING=PRECISE", "FS=MRC", "CURRENCY=USD", "XLFILL=b")</f>
        <v>7211.9238291262927</v>
      </c>
      <c r="T141" s="9">
        <f>_xll.BQL("SEG0000227510 Segment", "SALES_REV_TURN/1M", "FPT=Q", "FPO=3Q", "ACT_EST_MAPPING=PRECISE", "FS=MRC", "CURRENCY=USD", "XLFILL=b")</f>
        <v>9004.9616495998507</v>
      </c>
      <c r="U141" s="9" t="str">
        <f>_xll.BQL("SEG0000227510 Segment", "SALES_REV_TURN/1M", "FPT=Q", "FPO=4Q", "ACT_EST_MAPPING=PRECISE", "FS=MRC", "CURRENCY=USD", "XLFILL=b")</f>
        <v/>
      </c>
      <c r="V141" s="9" t="str">
        <f>_xll.BQL("SEG0000227510 Segment", "SALES_REV_TURN/1M", "FPT=Q", "FPO=5Q", "ACT_EST_MAPPING=PRECISE", "FS=MRC", "CURRENCY=USD", "XLFILL=b")</f>
        <v/>
      </c>
      <c r="W141" s="9" t="str">
        <f>_xll.BQL("SEG0000227510 Segment", "SALES_REV_TURN/1M", "FPT=Q", "FPO=6Q", "ACT_EST_MAPPING=PRECISE", "FS=MRC", "CURRENCY=USD", "XLFILL=b")</f>
        <v/>
      </c>
      <c r="X141" s="9" t="str">
        <f>_xll.BQL("SEG0000227510 Segment", "SALES_REV_TURN/1M", "FPT=Q", "FPO=7Q", "ACT_EST_MAPPING=PRECISE", "FS=MRC", "CURRENCY=USD", "XLFILL=b")</f>
        <v/>
      </c>
    </row>
    <row r="142" spans="1:24" x14ac:dyDescent="0.25">
      <c r="A142" s="8" t="s">
        <v>14</v>
      </c>
      <c r="B142" s="4"/>
      <c r="C142" s="4"/>
      <c r="D142" s="4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</row>
    <row r="143" spans="1:24" x14ac:dyDescent="0.25">
      <c r="A143" s="8" t="s">
        <v>160</v>
      </c>
      <c r="B143" s="4"/>
      <c r="C143" s="4"/>
      <c r="D143" s="4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</row>
    <row r="144" spans="1:24" x14ac:dyDescent="0.25">
      <c r="A144" s="8" t="s">
        <v>118</v>
      </c>
      <c r="B144" s="4" t="s">
        <v>21</v>
      </c>
      <c r="C144" s="4" t="s">
        <v>22</v>
      </c>
      <c r="D144" s="4" t="s">
        <v>161</v>
      </c>
      <c r="E144" s="9" t="str">
        <f>_xll.BQL("SEG0000227500 Segment", "SALES_REV_TURN/1M", "FPT=Q", "FPO=-12Q", "ACT_EST_MAPPING=PRECISE", "FS=MRC", "CURRENCY=USD", "XLFILL=b")</f>
        <v/>
      </c>
      <c r="F144" s="9" t="str">
        <f>_xll.BQL("SEG0000227500 Segment", "SALES_REV_TURN/1M", "FPT=Q", "FPO=-11Q", "ACT_EST_MAPPING=PRECISE", "FS=MRC", "CURRENCY=USD", "XLFILL=b")</f>
        <v/>
      </c>
      <c r="G144" s="9" t="str">
        <f>_xll.BQL("SEG0000227500 Segment", "SALES_REV_TURN/1M", "FPT=Q", "FPO=-10Q", "ACT_EST_MAPPING=PRECISE", "FS=MRC", "CURRENCY=USD", "XLFILL=b")</f>
        <v/>
      </c>
      <c r="H144" s="9" t="str">
        <f>_xll.BQL("SEG0000227500 Segment", "SALES_REV_TURN/1M", "FPT=Q", "FPO=-9Q", "ACT_EST_MAPPING=PRECISE", "FS=MRC", "CURRENCY=USD", "XLFILL=b")</f>
        <v/>
      </c>
      <c r="I144" s="9" t="str">
        <f>_xll.BQL("SEG0000227500 Segment", "SALES_REV_TURN/1M", "FPT=Q", "FPO=-8Q", "ACT_EST_MAPPING=PRECISE", "FS=MRC", "CURRENCY=USD", "XLFILL=b")</f>
        <v/>
      </c>
      <c r="J144" s="9" t="str">
        <f>_xll.BQL("SEG0000227500 Segment", "SALES_REV_TURN/1M", "FPT=Q", "FPO=-7Q", "ACT_EST_MAPPING=PRECISE", "FS=MRC", "CURRENCY=USD", "XLFILL=b")</f>
        <v/>
      </c>
      <c r="K144" s="9" t="str">
        <f>_xll.BQL("SEG0000227500 Segment", "SALES_REV_TURN/1M", "FPT=Q", "FPO=-6Q", "ACT_EST_MAPPING=PRECISE", "FS=MRC", "CURRENCY=USD", "XLFILL=b")</f>
        <v/>
      </c>
      <c r="L144" s="9" t="str">
        <f>_xll.BQL("SEG0000227500 Segment", "SALES_REV_TURN/1M", "FPT=Q", "FPO=-5Q", "ACT_EST_MAPPING=PRECISE", "FS=MRC", "CURRENCY=USD", "XLFILL=b")</f>
        <v/>
      </c>
      <c r="M144" s="9" t="str">
        <f>_xll.BQL("SEG0000227500 Segment", "SALES_REV_TURN/1M", "FPT=Q", "FPO=-4Q", "ACT_EST_MAPPING=PRECISE", "FS=MRC", "CURRENCY=USD", "XLFILL=b")</f>
        <v/>
      </c>
      <c r="N144" s="9" t="str">
        <f>_xll.BQL("SEG0000227500 Segment", "SALES_REV_TURN/1M", "FPT=Q", "FPO=-3Q", "ACT_EST_MAPPING=PRECISE", "FS=MRC", "CURRENCY=USD", "XLFILL=b")</f>
        <v/>
      </c>
      <c r="O144" s="9" t="str">
        <f>_xll.BQL("SEG0000227500 Segment", "SALES_REV_TURN/1M", "FPT=Q", "FPO=-2Q", "ACT_EST_MAPPING=PRECISE", "FS=MRC", "CURRENCY=USD", "XLFILL=b")</f>
        <v/>
      </c>
      <c r="P144" s="9" t="str">
        <f>_xll.BQL("SEG0000227500 Segment", "SALES_REV_TURN/1M", "FPT=Q", "FPO=-1Q", "ACT_EST_MAPPING=PRECISE", "FS=MRC", "CURRENCY=USD", "XLFILL=b")</f>
        <v/>
      </c>
      <c r="Q144" s="9" t="str">
        <f>_xll.BQL("SEG0000227500 Segment", "SALES_REV_TURN/1M", "FPT=Q", "FPO=0Q", "ACT_EST_MAPPING=PRECISE", "FS=MRC", "CURRENCY=USD", "XLFILL=b")</f>
        <v/>
      </c>
      <c r="R144" s="9">
        <f>_xll.BQL("SEG0000227500 Segment", "SALES_REV_TURN/1M", "FPT=Q", "FPO=1Q", "ACT_EST_MAPPING=PRECISE", "FS=MRC", "CURRENCY=USD", "XLFILL=b")</f>
        <v>6216.2516775154945</v>
      </c>
      <c r="S144" s="9">
        <f>_xll.BQL("SEG0000227500 Segment", "SALES_REV_TURN/1M", "FPT=Q", "FPO=2Q", "ACT_EST_MAPPING=PRECISE", "FS=MRC", "CURRENCY=USD", "XLFILL=b")</f>
        <v>6761.1785898058997</v>
      </c>
      <c r="T144" s="9">
        <f>_xll.BQL("SEG0000227500 Segment", "SALES_REV_TURN/1M", "FPT=Q", "FPO=3Q", "ACT_EST_MAPPING=PRECISE", "FS=MRC", "CURRENCY=USD", "XLFILL=b")</f>
        <v>8442.1515464998593</v>
      </c>
      <c r="U144" s="9" t="str">
        <f>_xll.BQL("SEG0000227500 Segment", "SALES_REV_TURN/1M", "FPT=Q", "FPO=4Q", "ACT_EST_MAPPING=PRECISE", "FS=MRC", "CURRENCY=USD", "XLFILL=b")</f>
        <v/>
      </c>
      <c r="V144" s="9" t="str">
        <f>_xll.BQL("SEG0000227500 Segment", "SALES_REV_TURN/1M", "FPT=Q", "FPO=5Q", "ACT_EST_MAPPING=PRECISE", "FS=MRC", "CURRENCY=USD", "XLFILL=b")</f>
        <v/>
      </c>
      <c r="W144" s="9" t="str">
        <f>_xll.BQL("SEG0000227500 Segment", "SALES_REV_TURN/1M", "FPT=Q", "FPO=6Q", "ACT_EST_MAPPING=PRECISE", "FS=MRC", "CURRENCY=USD", "XLFILL=b")</f>
        <v/>
      </c>
      <c r="X144" s="9" t="str">
        <f>_xll.BQL("SEG0000227500 Segment", "SALES_REV_TURN/1M", "FPT=Q", "FPO=7Q", "ACT_EST_MAPPING=PRECISE", "FS=MRC", "CURRENCY=USD", "XLFILL=b")</f>
        <v/>
      </c>
    </row>
    <row r="145" spans="1:24" x14ac:dyDescent="0.25">
      <c r="A145" s="8" t="s">
        <v>14</v>
      </c>
      <c r="B145" s="4"/>
      <c r="C145" s="4"/>
      <c r="D145" s="4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</row>
    <row r="146" spans="1:24" x14ac:dyDescent="0.25">
      <c r="A146" s="8" t="s">
        <v>162</v>
      </c>
      <c r="B146" s="4"/>
      <c r="C146" s="4"/>
      <c r="D146" s="4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</row>
    <row r="147" spans="1:24" x14ac:dyDescent="0.25">
      <c r="A147" s="8" t="s">
        <v>118</v>
      </c>
      <c r="B147" s="4" t="s">
        <v>21</v>
      </c>
      <c r="C147" s="4" t="s">
        <v>22</v>
      </c>
      <c r="D147" s="4" t="s">
        <v>163</v>
      </c>
      <c r="E147" s="9" t="str">
        <f>_xll.BQL("SEG0000227504 Segment", "SALES_REV_TURN/1M", "FPT=Q", "FPO=-12Q", "ACT_EST_MAPPING=PRECISE", "FS=MRC", "CURRENCY=USD", "XLFILL=b")</f>
        <v/>
      </c>
      <c r="F147" s="9" t="str">
        <f>_xll.BQL("SEG0000227504 Segment", "SALES_REV_TURN/1M", "FPT=Q", "FPO=-11Q", "ACT_EST_MAPPING=PRECISE", "FS=MRC", "CURRENCY=USD", "XLFILL=b")</f>
        <v/>
      </c>
      <c r="G147" s="9" t="str">
        <f>_xll.BQL("SEG0000227504 Segment", "SALES_REV_TURN/1M", "FPT=Q", "FPO=-10Q", "ACT_EST_MAPPING=PRECISE", "FS=MRC", "CURRENCY=USD", "XLFILL=b")</f>
        <v/>
      </c>
      <c r="H147" s="9" t="str">
        <f>_xll.BQL("SEG0000227504 Segment", "SALES_REV_TURN/1M", "FPT=Q", "FPO=-9Q", "ACT_EST_MAPPING=PRECISE", "FS=MRC", "CURRENCY=USD", "XLFILL=b")</f>
        <v/>
      </c>
      <c r="I147" s="9" t="str">
        <f>_xll.BQL("SEG0000227504 Segment", "SALES_REV_TURN/1M", "FPT=Q", "FPO=-8Q", "ACT_EST_MAPPING=PRECISE", "FS=MRC", "CURRENCY=USD", "XLFILL=b")</f>
        <v/>
      </c>
      <c r="J147" s="9" t="str">
        <f>_xll.BQL("SEG0000227504 Segment", "SALES_REV_TURN/1M", "FPT=Q", "FPO=-7Q", "ACT_EST_MAPPING=PRECISE", "FS=MRC", "CURRENCY=USD", "XLFILL=b")</f>
        <v/>
      </c>
      <c r="K147" s="9" t="str">
        <f>_xll.BQL("SEG0000227504 Segment", "SALES_REV_TURN/1M", "FPT=Q", "FPO=-6Q", "ACT_EST_MAPPING=PRECISE", "FS=MRC", "CURRENCY=USD", "XLFILL=b")</f>
        <v/>
      </c>
      <c r="L147" s="9" t="str">
        <f>_xll.BQL("SEG0000227504 Segment", "SALES_REV_TURN/1M", "FPT=Q", "FPO=-5Q", "ACT_EST_MAPPING=PRECISE", "FS=MRC", "CURRENCY=USD", "XLFILL=b")</f>
        <v/>
      </c>
      <c r="M147" s="9" t="str">
        <f>_xll.BQL("SEG0000227504 Segment", "SALES_REV_TURN/1M", "FPT=Q", "FPO=-4Q", "ACT_EST_MAPPING=PRECISE", "FS=MRC", "CURRENCY=USD", "XLFILL=b")</f>
        <v/>
      </c>
      <c r="N147" s="9" t="str">
        <f>_xll.BQL("SEG0000227504 Segment", "SALES_REV_TURN/1M", "FPT=Q", "FPO=-3Q", "ACT_EST_MAPPING=PRECISE", "FS=MRC", "CURRENCY=USD", "XLFILL=b")</f>
        <v/>
      </c>
      <c r="O147" s="9" t="str">
        <f>_xll.BQL("SEG0000227504 Segment", "SALES_REV_TURN/1M", "FPT=Q", "FPO=-2Q", "ACT_EST_MAPPING=PRECISE", "FS=MRC", "CURRENCY=USD", "XLFILL=b")</f>
        <v/>
      </c>
      <c r="P147" s="9" t="str">
        <f>_xll.BQL("SEG0000227504 Segment", "SALES_REV_TURN/1M", "FPT=Q", "FPO=-1Q", "ACT_EST_MAPPING=PRECISE", "FS=MRC", "CURRENCY=USD", "XLFILL=b")</f>
        <v/>
      </c>
      <c r="Q147" s="9" t="str">
        <f>_xll.BQL("SEG0000227504 Segment", "SALES_REV_TURN/1M", "FPT=Q", "FPO=0Q", "ACT_EST_MAPPING=PRECISE", "FS=MRC", "CURRENCY=USD", "XLFILL=b")</f>
        <v/>
      </c>
      <c r="R147" s="9" t="str">
        <f>_xll.BQL("SEG0000227504 Segment", "SALES_REV_TURN/1M", "FPT=Q", "FPO=1Q", "ACT_EST_MAPPING=PRECISE", "FS=MRC", "CURRENCY=USD", "XLFILL=b")</f>
        <v/>
      </c>
      <c r="S147" s="9" t="str">
        <f>_xll.BQL("SEG0000227504 Segment", "SALES_REV_TURN/1M", "FPT=Q", "FPO=2Q", "ACT_EST_MAPPING=PRECISE", "FS=MRC", "CURRENCY=USD", "XLFILL=b")</f>
        <v/>
      </c>
      <c r="T147" s="9" t="str">
        <f>_xll.BQL("SEG0000227504 Segment", "SALES_REV_TURN/1M", "FPT=Q", "FPO=3Q", "ACT_EST_MAPPING=PRECISE", "FS=MRC", "CURRENCY=USD", "XLFILL=b")</f>
        <v/>
      </c>
      <c r="U147" s="9" t="str">
        <f>_xll.BQL("SEG0000227504 Segment", "SALES_REV_TURN/1M", "FPT=Q", "FPO=4Q", "ACT_EST_MAPPING=PRECISE", "FS=MRC", "CURRENCY=USD", "XLFILL=b")</f>
        <v/>
      </c>
      <c r="V147" s="9" t="str">
        <f>_xll.BQL("SEG0000227504 Segment", "SALES_REV_TURN/1M", "FPT=Q", "FPO=5Q", "ACT_EST_MAPPING=PRECISE", "FS=MRC", "CURRENCY=USD", "XLFILL=b")</f>
        <v/>
      </c>
      <c r="W147" s="9" t="str">
        <f>_xll.BQL("SEG0000227504 Segment", "SALES_REV_TURN/1M", "FPT=Q", "FPO=6Q", "ACT_EST_MAPPING=PRECISE", "FS=MRC", "CURRENCY=USD", "XLFILL=b")</f>
        <v/>
      </c>
      <c r="X147" s="9" t="str">
        <f>_xll.BQL("SEG0000227504 Segment", "SALES_REV_TURN/1M", "FPT=Q", "FPO=7Q", "ACT_EST_MAPPING=PRECISE", "FS=MRC", "CURRENCY=USD", "XLFILL=b")</f>
        <v/>
      </c>
    </row>
    <row r="148" spans="1:24" x14ac:dyDescent="0.25">
      <c r="A148" s="8" t="s">
        <v>14</v>
      </c>
      <c r="B148" s="4"/>
      <c r="C148" s="4"/>
      <c r="D148" s="4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</row>
    <row r="149" spans="1:24" x14ac:dyDescent="0.25">
      <c r="A149" s="8" t="s">
        <v>164</v>
      </c>
      <c r="B149" s="4"/>
      <c r="C149" s="4"/>
      <c r="D149" s="4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</row>
    <row r="150" spans="1:24" x14ac:dyDescent="0.25">
      <c r="A150" s="8" t="s">
        <v>165</v>
      </c>
      <c r="B150" s="4"/>
      <c r="C150" s="4"/>
      <c r="D150" s="4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</row>
    <row r="151" spans="1:24" x14ac:dyDescent="0.25">
      <c r="A151" s="8" t="s">
        <v>118</v>
      </c>
      <c r="B151" s="4" t="s">
        <v>166</v>
      </c>
      <c r="C151" s="4" t="s">
        <v>167</v>
      </c>
      <c r="D151" s="4"/>
      <c r="E151" s="9">
        <f>_xll.BQL("AMZN US Equity", "CB_IS_PRODUCT_REVENUE/1M", "FPT=Q", "FPO=-12Q", "ACT_EST_MAPPING=PRECISE", "FS=MRC", "CURRENCY=USD", "XLFILL=b")</f>
        <v>56981</v>
      </c>
      <c r="F151" s="9">
        <f>_xll.BQL("AMZN US Equity", "CB_IS_PRODUCT_REVENUE/1M", "FPT=Q", "FPO=-11Q", "ACT_EST_MAPPING=PRECISE", "FS=MRC", "CURRENCY=USD", "XLFILL=b")</f>
        <v>59032</v>
      </c>
      <c r="G151" s="9">
        <f>_xll.BQL("AMZN US Equity", "CB_IS_PRODUCT_REVENUE/1M", "FPT=Q", "FPO=-10Q", "ACT_EST_MAPPING=PRECISE", "FS=MRC", "CURRENCY=USD", "XLFILL=b")</f>
        <v>63171</v>
      </c>
      <c r="H151" s="9">
        <f>_xll.BQL("AMZN US Equity", "CB_IS_PRODUCT_REVENUE/1M", "FPT=Q", "FPO=-9Q", "ACT_EST_MAPPING=PRECISE", "FS=MRC", "CURRENCY=USD", "XLFILL=b")</f>
        <v>76703</v>
      </c>
      <c r="I151" s="9">
        <f>_xll.BQL("AMZN US Equity", "CB_IS_PRODUCT_REVENUE/1M", "FPT=Q", "FPO=-8Q", "ACT_EST_MAPPING=PRECISE", "FS=MRC", "CURRENCY=USD", "XLFILL=b")</f>
        <v>60915</v>
      </c>
      <c r="J151" s="9">
        <f>_xll.BQL("AMZN US Equity", "CB_IS_PRODUCT_REVENUE/1M", "FPT=Q", "FPO=-7Q", "ACT_EST_MAPPING=PRECISE", "FS=MRC", "CURRENCY=USD", "XLFILL=b")</f>
        <v>61569</v>
      </c>
      <c r="K151" s="9">
        <f>_xll.BQL("AMZN US Equity", "CB_IS_PRODUCT_REVENUE/1M", "FPT=Q", "FPO=-6Q", "ACT_EST_MAPPING=PRECISE", "FS=MRC", "CURRENCY=USD", "XLFILL=b")</f>
        <v>67601</v>
      </c>
      <c r="L151" s="9">
        <f>_xll.BQL("AMZN US Equity", "CB_IS_PRODUCT_REVENUE/1M", "FPT=Q", "FPO=-5Q", "ACT_EST_MAPPING=PRECISE", "FS=MRC", "CURRENCY=USD", "XLFILL=b")</f>
        <v>82226</v>
      </c>
      <c r="M151" s="9">
        <f>_xll.BQL("AMZN US Equity", "CB_IS_PRODUCT_REVENUE/1M", "FPT=Q", "FPO=-4Q", "ACT_EST_MAPPING=PRECISE", "FS=MRC", "CURRENCY=USD", "XLFILL=b")</f>
        <v>63970</v>
      </c>
      <c r="N151" s="9">
        <f>_xll.BQL("AMZN US Equity", "CB_IS_PRODUCT_REVENUE/1M", "FPT=Q", "FPO=-3Q", "ACT_EST_MAPPING=PRECISE", "FS=MRC", "CURRENCY=USD", "XLFILL=b")</f>
        <v>68246</v>
      </c>
      <c r="O151" s="9">
        <f>_xll.BQL("AMZN US Equity", "CB_IS_PRODUCT_REVENUE/1M", "FPT=Q", "FPO=-2Q", "ACT_EST_MAPPING=PRECISE", "FS=MRC", "CURRENCY=USD", "XLFILL=b")</f>
        <v>74058</v>
      </c>
      <c r="P151" s="9">
        <f>_xll.BQL("AMZN US Equity", "CB_IS_PRODUCT_REVENUE/1M", "FPT=Q", "FPO=-1Q", "ACT_EST_MAPPING=PRECISE", "FS=MRC", "CURRENCY=USD", "XLFILL=b")</f>
        <v>89992</v>
      </c>
      <c r="Q151" s="9">
        <f>_xll.BQL("AMZN US Equity", "CB_IS_PRODUCT_REVENUE/1M", "FPT=Q", "FPO=0Q", "ACT_EST_MAPPING=PRECISE", "FS=MRC", "CURRENCY=USD", "XLFILL=b")</f>
        <v>71304</v>
      </c>
      <c r="R151" s="9">
        <f>_xll.BQL("AMZN US Equity", "CB_IS_PRODUCT_REVENUE/1M", "FPT=Q", "FPO=1Q", "ACT_EST_MAPPING=PRECISE", "FS=MRC", "CURRENCY=USD", "XLFILL=b")</f>
        <v>76463.087981296383</v>
      </c>
      <c r="S151" s="9">
        <f>_xll.BQL("AMZN US Equity", "CB_IS_PRODUCT_REVENUE/1M", "FPT=Q", "FPO=2Q", "ACT_EST_MAPPING=PRECISE", "FS=MRC", "CURRENCY=USD", "XLFILL=b")</f>
        <v>78328.44657759578</v>
      </c>
      <c r="T151" s="9">
        <f>_xll.BQL("AMZN US Equity", "CB_IS_PRODUCT_REVENUE/1M", "FPT=Q", "FPO=3Q", "ACT_EST_MAPPING=PRECISE", "FS=MRC", "CURRENCY=USD", "XLFILL=b")</f>
        <v>96955.583445422279</v>
      </c>
      <c r="U151" s="9">
        <f>_xll.BQL("AMZN US Equity", "CB_IS_PRODUCT_REVENUE/1M", "FPT=Q", "FPO=4Q", "ACT_EST_MAPPING=PRECISE", "FS=MRC", "CURRENCY=USD", "XLFILL=b")</f>
        <v>75219.14584586359</v>
      </c>
      <c r="V151" s="9">
        <f>_xll.BQL("AMZN US Equity", "CB_IS_PRODUCT_REVENUE/1M", "FPT=Q", "FPO=5Q", "ACT_EST_MAPPING=PRECISE", "FS=MRC", "CURRENCY=USD", "XLFILL=b")</f>
        <v>81042.332460409612</v>
      </c>
      <c r="W151" s="9">
        <f>_xll.BQL("AMZN US Equity", "CB_IS_PRODUCT_REVENUE/1M", "FPT=Q", "FPO=6Q", "ACT_EST_MAPPING=PRECISE", "FS=MRC", "CURRENCY=USD", "XLFILL=b")</f>
        <v>84007.85936157027</v>
      </c>
      <c r="X151" s="9">
        <f>_xll.BQL("AMZN US Equity", "CB_IS_PRODUCT_REVENUE/1M", "FPT=Q", "FPO=7Q", "ACT_EST_MAPPING=PRECISE", "FS=MRC", "CURRENCY=USD", "XLFILL=b")</f>
        <v>103482.52122114449</v>
      </c>
    </row>
    <row r="152" spans="1:24" x14ac:dyDescent="0.25">
      <c r="A152" s="8" t="s">
        <v>168</v>
      </c>
      <c r="B152" s="4" t="s">
        <v>86</v>
      </c>
      <c r="C152" s="4" t="s">
        <v>87</v>
      </c>
      <c r="D152" s="4"/>
      <c r="E152" s="9" t="str">
        <f>_xll.BQL("AMZN US Equity", "INTERNET_GMV/1M", "FPT=Q", "FPO=-12Q", "ACT_EST_MAPPING=PRECISE", "FS=MRC", "CURRENCY=USD", "XLFILL=b")</f>
        <v/>
      </c>
      <c r="F152" s="9" t="str">
        <f>_xll.BQL("AMZN US Equity", "INTERNET_GMV/1M", "FPT=Q", "FPO=-11Q", "ACT_EST_MAPPING=PRECISE", "FS=MRC", "CURRENCY=USD", "XLFILL=b")</f>
        <v/>
      </c>
      <c r="G152" s="9" t="str">
        <f>_xll.BQL("AMZN US Equity", "INTERNET_GMV/1M", "FPT=Q", "FPO=-10Q", "ACT_EST_MAPPING=PRECISE", "FS=MRC", "CURRENCY=USD", "XLFILL=b")</f>
        <v/>
      </c>
      <c r="H152" s="9" t="str">
        <f>_xll.BQL("AMZN US Equity", "INTERNET_GMV/1M", "FPT=Q", "FPO=-9Q", "ACT_EST_MAPPING=PRECISE", "FS=MRC", "CURRENCY=USD", "XLFILL=b")</f>
        <v/>
      </c>
      <c r="I152" s="9" t="str">
        <f>_xll.BQL("AMZN US Equity", "INTERNET_GMV/1M", "FPT=Q", "FPO=-8Q", "ACT_EST_MAPPING=PRECISE", "FS=MRC", "CURRENCY=USD", "XLFILL=b")</f>
        <v/>
      </c>
      <c r="J152" s="9" t="str">
        <f>_xll.BQL("AMZN US Equity", "INTERNET_GMV/1M", "FPT=Q", "FPO=-7Q", "ACT_EST_MAPPING=PRECISE", "FS=MRC", "CURRENCY=USD", "XLFILL=b")</f>
        <v/>
      </c>
      <c r="K152" s="9" t="str">
        <f>_xll.BQL("AMZN US Equity", "INTERNET_GMV/1M", "FPT=Q", "FPO=-6Q", "ACT_EST_MAPPING=PRECISE", "FS=MRC", "CURRENCY=USD", "XLFILL=b")</f>
        <v/>
      </c>
      <c r="L152" s="9" t="str">
        <f>_xll.BQL("AMZN US Equity", "INTERNET_GMV/1M", "FPT=Q", "FPO=-5Q", "ACT_EST_MAPPING=PRECISE", "FS=MRC", "CURRENCY=USD", "XLFILL=b")</f>
        <v/>
      </c>
      <c r="M152" s="9" t="str">
        <f>_xll.BQL("AMZN US Equity", "INTERNET_GMV/1M", "FPT=Q", "FPO=-4Q", "ACT_EST_MAPPING=PRECISE", "FS=MRC", "CURRENCY=USD", "XLFILL=b")</f>
        <v/>
      </c>
      <c r="N152" s="9" t="str">
        <f>_xll.BQL("AMZN US Equity", "INTERNET_GMV/1M", "FPT=Q", "FPO=-3Q", "ACT_EST_MAPPING=PRECISE", "FS=MRC", "CURRENCY=USD", "XLFILL=b")</f>
        <v/>
      </c>
      <c r="O152" s="9" t="str">
        <f>_xll.BQL("AMZN US Equity", "INTERNET_GMV/1M", "FPT=Q", "FPO=-2Q", "ACT_EST_MAPPING=PRECISE", "FS=MRC", "CURRENCY=USD", "XLFILL=b")</f>
        <v/>
      </c>
      <c r="P152" s="9" t="str">
        <f>_xll.BQL("AMZN US Equity", "INTERNET_GMV/1M", "FPT=Q", "FPO=-1Q", "ACT_EST_MAPPING=PRECISE", "FS=MRC", "CURRENCY=USD", "XLFILL=b")</f>
        <v/>
      </c>
      <c r="Q152" s="9" t="str">
        <f>_xll.BQL("AMZN US Equity", "INTERNET_GMV/1M", "FPT=Q", "FPO=0Q", "ACT_EST_MAPPING=PRECISE", "FS=MRC", "CURRENCY=USD", "XLFILL=b")</f>
        <v/>
      </c>
      <c r="R152" s="9">
        <f>_xll.BQL("AMZN US Equity", "INTERNET_GMV/1M", "FPT=Q", "FPO=1Q", "ACT_EST_MAPPING=PRECISE", "FS=MRC", "CURRENCY=USD", "XLFILL=b")</f>
        <v>244681.0179516116</v>
      </c>
      <c r="S152" s="9">
        <f>_xll.BQL("AMZN US Equity", "INTERNET_GMV/1M", "FPT=Q", "FPO=2Q", "ACT_EST_MAPPING=PRECISE", "FS=MRC", "CURRENCY=USD", "XLFILL=b")</f>
        <v>246306.94303195545</v>
      </c>
      <c r="T152" s="9">
        <f>_xll.BQL("AMZN US Equity", "INTERNET_GMV/1M", "FPT=Q", "FPO=3Q", "ACT_EST_MAPPING=PRECISE", "FS=MRC", "CURRENCY=USD", "XLFILL=b")</f>
        <v>307300.24931226176</v>
      </c>
      <c r="U152" s="9">
        <f>_xll.BQL("AMZN US Equity", "INTERNET_GMV/1M", "FPT=Q", "FPO=4Q", "ACT_EST_MAPPING=PRECISE", "FS=MRC", "CURRENCY=USD", "XLFILL=b")</f>
        <v>240461.15337197078</v>
      </c>
      <c r="V152" s="9">
        <f>_xll.BQL("AMZN US Equity", "INTERNET_GMV/1M", "FPT=Q", "FPO=5Q", "ACT_EST_MAPPING=PRECISE", "FS=MRC", "CURRENCY=USD", "XLFILL=b")</f>
        <v>267835.59437525121</v>
      </c>
      <c r="W152" s="9">
        <f>_xll.BQL("AMZN US Equity", "INTERNET_GMV/1M", "FPT=Q", "FPO=6Q", "ACT_EST_MAPPING=PRECISE", "FS=MRC", "CURRENCY=USD", "XLFILL=b")</f>
        <v>272591.40478079685</v>
      </c>
      <c r="X152" s="9">
        <f>_xll.BQL("AMZN US Equity", "INTERNET_GMV/1M", "FPT=Q", "FPO=7Q", "ACT_EST_MAPPING=PRECISE", "FS=MRC", "CURRENCY=USD", "XLFILL=b")</f>
        <v>339130.85023920168</v>
      </c>
    </row>
    <row r="153" spans="1:24" x14ac:dyDescent="0.25">
      <c r="A153" s="8" t="s">
        <v>169</v>
      </c>
      <c r="B153" s="4" t="s">
        <v>91</v>
      </c>
      <c r="C153" s="4" t="s">
        <v>92</v>
      </c>
      <c r="D153" s="4"/>
      <c r="E153" s="9" t="str">
        <f>_xll.BQL("AMZN US Equity", "NET_TAKE_RATE", "FPT=Q", "FPO=-12Q", "ACT_EST_MAPPING=PRECISE", "FS=MRC", "CURRENCY=USD", "XLFILL=b")</f>
        <v/>
      </c>
      <c r="F153" s="9" t="str">
        <f>_xll.BQL("AMZN US Equity", "NET_TAKE_RATE", "FPT=Q", "FPO=-11Q", "ACT_EST_MAPPING=PRECISE", "FS=MRC", "CURRENCY=USD", "XLFILL=b")</f>
        <v/>
      </c>
      <c r="G153" s="9" t="str">
        <f>_xll.BQL("AMZN US Equity", "NET_TAKE_RATE", "FPT=Q", "FPO=-10Q", "ACT_EST_MAPPING=PRECISE", "FS=MRC", "CURRENCY=USD", "XLFILL=b")</f>
        <v/>
      </c>
      <c r="H153" s="9" t="str">
        <f>_xll.BQL("AMZN US Equity", "NET_TAKE_RATE", "FPT=Q", "FPO=-9Q", "ACT_EST_MAPPING=PRECISE", "FS=MRC", "CURRENCY=USD", "XLFILL=b")</f>
        <v/>
      </c>
      <c r="I153" s="9" t="str">
        <f>_xll.BQL("AMZN US Equity", "NET_TAKE_RATE", "FPT=Q", "FPO=-8Q", "ACT_EST_MAPPING=PRECISE", "FS=MRC", "CURRENCY=USD", "XLFILL=b")</f>
        <v/>
      </c>
      <c r="J153" s="9" t="str">
        <f>_xll.BQL("AMZN US Equity", "NET_TAKE_RATE", "FPT=Q", "FPO=-7Q", "ACT_EST_MAPPING=PRECISE", "FS=MRC", "CURRENCY=USD", "XLFILL=b")</f>
        <v/>
      </c>
      <c r="K153" s="9" t="str">
        <f>_xll.BQL("AMZN US Equity", "NET_TAKE_RATE", "FPT=Q", "FPO=-6Q", "ACT_EST_MAPPING=PRECISE", "FS=MRC", "CURRENCY=USD", "XLFILL=b")</f>
        <v/>
      </c>
      <c r="L153" s="9" t="str">
        <f>_xll.BQL("AMZN US Equity", "NET_TAKE_RATE", "FPT=Q", "FPO=-5Q", "ACT_EST_MAPPING=PRECISE", "FS=MRC", "CURRENCY=USD", "XLFILL=b")</f>
        <v/>
      </c>
      <c r="M153" s="9" t="str">
        <f>_xll.BQL("AMZN US Equity", "NET_TAKE_RATE", "FPT=Q", "FPO=-4Q", "ACT_EST_MAPPING=PRECISE", "FS=MRC", "CURRENCY=USD", "XLFILL=b")</f>
        <v/>
      </c>
      <c r="N153" s="9" t="str">
        <f>_xll.BQL("AMZN US Equity", "NET_TAKE_RATE", "FPT=Q", "FPO=-3Q", "ACT_EST_MAPPING=PRECISE", "FS=MRC", "CURRENCY=USD", "XLFILL=b")</f>
        <v/>
      </c>
      <c r="O153" s="9" t="str">
        <f>_xll.BQL("AMZN US Equity", "NET_TAKE_RATE", "FPT=Q", "FPO=-2Q", "ACT_EST_MAPPING=PRECISE", "FS=MRC", "CURRENCY=USD", "XLFILL=b")</f>
        <v/>
      </c>
      <c r="P153" s="9" t="str">
        <f>_xll.BQL("AMZN US Equity", "NET_TAKE_RATE", "FPT=Q", "FPO=-1Q", "ACT_EST_MAPPING=PRECISE", "FS=MRC", "CURRENCY=USD", "XLFILL=b")</f>
        <v/>
      </c>
      <c r="Q153" s="9" t="str">
        <f>_xll.BQL("AMZN US Equity", "NET_TAKE_RATE", "FPT=Q", "FPO=0Q", "ACT_EST_MAPPING=PRECISE", "FS=MRC", "CURRENCY=USD", "XLFILL=b")</f>
        <v/>
      </c>
      <c r="R153" s="9">
        <f>_xll.BQL("AMZN US Equity", "NET_TAKE_RATE", "FPT=Q", "FPO=1Q", "ACT_EST_MAPPING=PRECISE", "FS=MRC", "CURRENCY=USD", "XLFILL=b")</f>
        <v>29.160835442780638</v>
      </c>
      <c r="S153" s="9">
        <f>_xll.BQL("AMZN US Equity", "NET_TAKE_RATE", "FPT=Q", "FPO=2Q", "ACT_EST_MAPPING=PRECISE", "FS=MRC", "CURRENCY=USD", "XLFILL=b")</f>
        <v>29.238552515423414</v>
      </c>
      <c r="T153" s="9">
        <f>_xll.BQL("AMZN US Equity", "NET_TAKE_RATE", "FPT=Q", "FPO=3Q", "ACT_EST_MAPPING=PRECISE", "FS=MRC", "CURRENCY=USD", "XLFILL=b")</f>
        <v>29.636258905031728</v>
      </c>
      <c r="U153" s="9">
        <f>_xll.BQL("AMZN US Equity", "NET_TAKE_RATE", "FPT=Q", "FPO=4Q", "ACT_EST_MAPPING=PRECISE", "FS=MRC", "CURRENCY=USD", "XLFILL=b")</f>
        <v>29.169582996334594</v>
      </c>
      <c r="V153" s="9">
        <f>_xll.BQL("AMZN US Equity", "NET_TAKE_RATE", "FPT=Q", "FPO=5Q", "ACT_EST_MAPPING=PRECISE", "FS=MRC", "CURRENCY=USD", "XLFILL=b")</f>
        <v>29.17015657515638</v>
      </c>
      <c r="W153" s="9">
        <f>_xll.BQL("AMZN US Equity", "NET_TAKE_RATE", "FPT=Q", "FPO=6Q", "ACT_EST_MAPPING=PRECISE", "FS=MRC", "CURRENCY=USD", "XLFILL=b")</f>
        <v>29.188077236369534</v>
      </c>
      <c r="X153" s="9">
        <f>_xll.BQL("AMZN US Equity", "NET_TAKE_RATE", "FPT=Q", "FPO=7Q", "ACT_EST_MAPPING=PRECISE", "FS=MRC", "CURRENCY=USD", "XLFILL=b")</f>
        <v>29.678853671201736</v>
      </c>
    </row>
    <row r="154" spans="1:24" x14ac:dyDescent="0.25">
      <c r="A154" s="8" t="s">
        <v>14</v>
      </c>
      <c r="B154" s="4"/>
      <c r="C154" s="4"/>
      <c r="D154" s="4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</row>
    <row r="155" spans="1:24" x14ac:dyDescent="0.25">
      <c r="A155" s="8" t="s">
        <v>170</v>
      </c>
      <c r="B155" s="4"/>
      <c r="C155" s="4"/>
      <c r="D155" s="4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</row>
    <row r="156" spans="1:24" x14ac:dyDescent="0.25">
      <c r="A156" s="8" t="s">
        <v>118</v>
      </c>
      <c r="B156" s="4" t="s">
        <v>171</v>
      </c>
      <c r="C156" s="4" t="s">
        <v>172</v>
      </c>
      <c r="D156" s="4"/>
      <c r="E156" s="9">
        <f>_xll.BQL("AMZN US Equity", "CB_IS_SERVICE_REVENUE/1M", "FPT=Q", "FPO=-12Q", "ACT_EST_MAPPING=PRECISE", "FS=MRC", "CURRENCY=USD", "XLFILL=b")</f>
        <v>70377</v>
      </c>
      <c r="F156" s="9">
        <f>_xll.BQL("AMZN US Equity", "CB_IS_SERVICE_REVENUE/1M", "FPT=Q", "FPO=-11Q", "ACT_EST_MAPPING=PRECISE", "FS=MRC", "CURRENCY=USD", "XLFILL=b")</f>
        <v>75351</v>
      </c>
      <c r="G156" s="9">
        <f>_xll.BQL("AMZN US Equity", "CB_IS_SERVICE_REVENUE/1M", "FPT=Q", "FPO=-10Q", "ACT_EST_MAPPING=PRECISE", "FS=MRC", "CURRENCY=USD", "XLFILL=b")</f>
        <v>79912</v>
      </c>
      <c r="H156" s="9">
        <f>_xll.BQL("AMZN US Equity", "CB_IS_SERVICE_REVENUE/1M", "FPT=Q", "FPO=-9Q", "ACT_EST_MAPPING=PRECISE", "FS=MRC", "CURRENCY=USD", "XLFILL=b")</f>
        <v>93258</v>
      </c>
      <c r="I156" s="9">
        <f>_xll.BQL("AMZN US Equity", "CB_IS_SERVICE_REVENUE/1M", "FPT=Q", "FPO=-8Q", "ACT_EST_MAPPING=PRECISE", "FS=MRC", "CURRENCY=USD", "XLFILL=b")</f>
        <v>82398</v>
      </c>
      <c r="J156" s="9">
        <f>_xll.BQL("AMZN US Equity", "CB_IS_SERVICE_REVENUE/1M", "FPT=Q", "FPO=-7Q", "ACT_EST_MAPPING=PRECISE", "FS=MRC", "CURRENCY=USD", "XLFILL=b")</f>
        <v>86408</v>
      </c>
      <c r="K156" s="9">
        <f>_xll.BQL("AMZN US Equity", "CB_IS_SERVICE_REVENUE/1M", "FPT=Q", "FPO=-6Q", "ACT_EST_MAPPING=PRECISE", "FS=MRC", "CURRENCY=USD", "XLFILL=b")</f>
        <v>91276</v>
      </c>
      <c r="L156" s="9">
        <f>_xll.BQL("AMZN US Equity", "CB_IS_SERVICE_REVENUE/1M", "FPT=Q", "FPO=-5Q", "ACT_EST_MAPPING=PRECISE", "FS=MRC", "CURRENCY=USD", "XLFILL=b")</f>
        <v>105566</v>
      </c>
      <c r="M156" s="9">
        <f>_xll.BQL("AMZN US Equity", "CB_IS_SERVICE_REVENUE/1M", "FPT=Q", "FPO=-4Q", "ACT_EST_MAPPING=PRECISE", "FS=MRC", "CURRENCY=USD", "XLFILL=b")</f>
        <v>91697</v>
      </c>
      <c r="N156" s="9">
        <f>_xll.BQL("AMZN US Equity", "CB_IS_SERVICE_REVENUE/1M", "FPT=Q", "FPO=-3Q", "ACT_EST_MAPPING=PRECISE", "FS=MRC", "CURRENCY=USD", "XLFILL=b")</f>
        <v>99456</v>
      </c>
      <c r="O156" s="9">
        <f>_xll.BQL("AMZN US Equity", "CB_IS_SERVICE_REVENUE/1M", "FPT=Q", "FPO=-2Q", "ACT_EST_MAPPING=PRECISE", "FS=MRC", "CURRENCY=USD", "XLFILL=b")</f>
        <v>106111</v>
      </c>
      <c r="P156" s="9">
        <f>_xll.BQL("AMZN US Equity", "CB_IS_SERVICE_REVENUE/1M", "FPT=Q", "FPO=-1Q", "ACT_EST_MAPPING=PRECISE", "FS=MRC", "CURRENCY=USD", "XLFILL=b")</f>
        <v>123394</v>
      </c>
      <c r="Q156" s="9">
        <f>_xll.BQL("AMZN US Equity", "CB_IS_SERVICE_REVENUE/1M", "FPT=Q", "FPO=0Q", "ACT_EST_MAPPING=PRECISE", "FS=MRC", "CURRENCY=USD", "XLFILL=b")</f>
        <v>110215</v>
      </c>
      <c r="R156" s="9">
        <f>_xll.BQL("AMZN US Equity", "CB_IS_SERVICE_REVENUE/1M", "FPT=Q", "FPO=1Q", "ACT_EST_MAPPING=PRECISE", "FS=MRC", "CURRENCY=USD", "XLFILL=b")</f>
        <v>120206.01687472319</v>
      </c>
      <c r="S156" s="9">
        <f>_xll.BQL("AMZN US Equity", "CB_IS_SERVICE_REVENUE/1M", "FPT=Q", "FPO=2Q", "ACT_EST_MAPPING=PRECISE", "FS=MRC", "CURRENCY=USD", "XLFILL=b")</f>
        <v>125088.91534678292</v>
      </c>
      <c r="T156" s="9">
        <f>_xll.BQL("AMZN US Equity", "CB_IS_SERVICE_REVENUE/1M", "FPT=Q", "FPO=3Q", "ACT_EST_MAPPING=PRECISE", "FS=MRC", "CURRENCY=USD", "XLFILL=b")</f>
        <v>145929.32915129911</v>
      </c>
      <c r="U156" s="9">
        <f>_xll.BQL("AMZN US Equity", "CB_IS_SERVICE_REVENUE/1M", "FPT=Q", "FPO=4Q", "ACT_EST_MAPPING=PRECISE", "FS=MRC", "CURRENCY=USD", "XLFILL=b")</f>
        <v>130387.04531388253</v>
      </c>
      <c r="V156" s="9">
        <f>_xll.BQL("AMZN US Equity", "CB_IS_SERVICE_REVENUE/1M", "FPT=Q", "FPO=5Q", "ACT_EST_MAPPING=PRECISE", "FS=MRC", "CURRENCY=USD", "XLFILL=b")</f>
        <v>142373.31465445197</v>
      </c>
      <c r="W156" s="9">
        <f>_xll.BQL("AMZN US Equity", "CB_IS_SERVICE_REVENUE/1M", "FPT=Q", "FPO=6Q", "ACT_EST_MAPPING=PRECISE", "FS=MRC", "CURRENCY=USD", "XLFILL=b")</f>
        <v>148102.65099996186</v>
      </c>
      <c r="X156" s="9">
        <f>_xll.BQL("AMZN US Equity", "CB_IS_SERVICE_REVENUE/1M", "FPT=Q", "FPO=7Q", "ACT_EST_MAPPING=PRECISE", "FS=MRC", "CURRENCY=USD", "XLFILL=b")</f>
        <v>171529.35677362923</v>
      </c>
    </row>
    <row r="157" spans="1:24" x14ac:dyDescent="0.25">
      <c r="A157" s="8" t="s">
        <v>125</v>
      </c>
      <c r="B157" s="4" t="s">
        <v>21</v>
      </c>
      <c r="C157" s="4" t="s">
        <v>22</v>
      </c>
      <c r="D157" s="4" t="s">
        <v>30</v>
      </c>
      <c r="E157" s="9">
        <f>_xll.BQL("SEG0000227433 Segment", "SALES_REV_TURN/1M", "FPT=Q", "FPO=-12Q", "ACT_EST_MAPPING=PRECISE", "FS=MRC", "CURRENCY=USD", "XLFILL=b")</f>
        <v>29820</v>
      </c>
      <c r="F157" s="9">
        <f>_xll.BQL("SEG0000227433 Segment", "SALES_REV_TURN/1M", "FPT=Q", "FPO=-11Q", "ACT_EST_MAPPING=PRECISE", "FS=MRC", "CURRENCY=USD", "XLFILL=b")</f>
        <v>32332</v>
      </c>
      <c r="G157" s="9">
        <f>_xll.BQL("SEG0000227433 Segment", "SALES_REV_TURN/1M", "FPT=Q", "FPO=-10Q", "ACT_EST_MAPPING=PRECISE", "FS=MRC", "CURRENCY=USD", "XLFILL=b")</f>
        <v>34342</v>
      </c>
      <c r="H157" s="9">
        <f>_xll.BQL("SEG0000227433 Segment", "SALES_REV_TURN/1M", "FPT=Q", "FPO=-9Q", "ACT_EST_MAPPING=PRECISE", "FS=MRC", "CURRENCY=USD", "XLFILL=b")</f>
        <v>43559</v>
      </c>
      <c r="I157" s="9">
        <f>_xll.BQL("SEG0000227433 Segment", "SALES_REV_TURN/1M", "FPT=Q", "FPO=-8Q", "ACT_EST_MAPPING=PRECISE", "FS=MRC", "CURRENCY=USD", "XLFILL=b")</f>
        <v>34596</v>
      </c>
      <c r="J157" s="9">
        <f>_xll.BQL("SEG0000227433 Segment", "SALES_REV_TURN/1M", "FPT=Q", "FPO=-7Q", "ACT_EST_MAPPING=PRECISE", "FS=MRC", "CURRENCY=USD", "XLFILL=b")</f>
        <v>36201</v>
      </c>
      <c r="K157" s="9">
        <f>_xll.BQL("SEG0000227433 Segment", "SALES_REV_TURN/1M", "FPT=Q", "FPO=-6Q", "ACT_EST_MAPPING=PRECISE", "FS=MRC", "CURRENCY=USD", "XLFILL=b")</f>
        <v>37864</v>
      </c>
      <c r="L157" s="9">
        <f>_xll.BQL("SEG0000227433 Segment", "SALES_REV_TURN/1M", "FPT=Q", "FPO=-5Q", "ACT_EST_MAPPING=PRECISE", "FS=MRC", "CURRENCY=USD", "XLFILL=b")</f>
        <v>47485</v>
      </c>
      <c r="M157" s="9">
        <f>_xll.BQL("SEG0000227433 Segment", "SALES_REV_TURN/1M", "FPT=Q", "FPO=-4Q", "ACT_EST_MAPPING=PRECISE", "FS=MRC", "CURRENCY=USD", "XLFILL=b")</f>
        <v>36512</v>
      </c>
      <c r="N157" s="9">
        <f>_xll.BQL("SEG0000227433 Segment", "SALES_REV_TURN/1M", "FPT=Q", "FPO=-3Q", "ACT_EST_MAPPING=PRECISE", "FS=MRC", "CURRENCY=USD", "XLFILL=b")</f>
        <v>40348</v>
      </c>
      <c r="O157" s="9">
        <f>_xll.BQL("SEG0000227433 Segment", "SALES_REV_TURN/1M", "FPT=Q", "FPO=-2Q", "ACT_EST_MAPPING=PRECISE", "FS=MRC", "CURRENCY=USD", "XLFILL=b")</f>
        <v>42486</v>
      </c>
      <c r="P157" s="9">
        <f>_xll.BQL("SEG0000227433 Segment", "SALES_REV_TURN/1M", "FPT=Q", "FPO=-1Q", "ACT_EST_MAPPING=PRECISE", "FS=MRC", "CURRENCY=USD", "XLFILL=b")</f>
        <v>52816</v>
      </c>
      <c r="Q157" s="9">
        <f>_xll.BQL("SEG0000227433 Segment", "SALES_REV_TURN/1M", "FPT=Q", "FPO=0Q", "ACT_EST_MAPPING=PRECISE", "FS=MRC", "CURRENCY=USD", "XLFILL=b")</f>
        <v>41578</v>
      </c>
      <c r="R157" s="9">
        <f>_xll.BQL("SEG0000227433 Segment", "SALES_REV_TURN/1M", "FPT=Q", "FPO=1Q", "ACT_EST_MAPPING=PRECISE", "FS=MRC", "CURRENCY=USD", "XLFILL=b")</f>
        <v>46146.691824422982</v>
      </c>
      <c r="S157" s="9">
        <f>_xll.BQL("SEG0000227433 Segment", "SALES_REV_TURN/1M", "FPT=Q", "FPO=2Q", "ACT_EST_MAPPING=PRECISE", "FS=MRC", "CURRENCY=USD", "XLFILL=b")</f>
        <v>46445.881168592125</v>
      </c>
      <c r="T157" s="9">
        <f>_xll.BQL("SEG0000227433 Segment", "SALES_REV_TURN/1M", "FPT=Q", "FPO=3Q", "ACT_EST_MAPPING=PRECISE", "FS=MRC", "CURRENCY=USD", "XLFILL=b")</f>
        <v>58680.709700617379</v>
      </c>
      <c r="U157" s="9">
        <f>_xll.BQL("SEG0000227433 Segment", "SALES_REV_TURN/1M", "FPT=Q", "FPO=4Q", "ACT_EST_MAPPING=PRECISE", "FS=MRC", "CURRENCY=USD", "XLFILL=b")</f>
        <v>45599.59076718369</v>
      </c>
      <c r="V157" s="9">
        <f>_xll.BQL("SEG0000227433 Segment", "SALES_REV_TURN/1M", "FPT=Q", "FPO=5Q", "ACT_EST_MAPPING=PRECISE", "FS=MRC", "CURRENCY=USD", "XLFILL=b")</f>
        <v>50714.319328371203</v>
      </c>
      <c r="W157" s="9">
        <f>_xll.BQL("SEG0000227433 Segment", "SALES_REV_TURN/1M", "FPT=Q", "FPO=6Q", "ACT_EST_MAPPING=PRECISE", "FS=MRC", "CURRENCY=USD", "XLFILL=b")</f>
        <v>51083.503591323766</v>
      </c>
      <c r="X157" s="9">
        <f>_xll.BQL("SEG0000227433 Segment", "SALES_REV_TURN/1M", "FPT=Q", "FPO=7Q", "ACT_EST_MAPPING=PRECISE", "FS=MRC", "CURRENCY=USD", "XLFILL=b")</f>
        <v>64126.357196990954</v>
      </c>
    </row>
    <row r="158" spans="1:24" x14ac:dyDescent="0.25">
      <c r="A158" s="8" t="s">
        <v>123</v>
      </c>
      <c r="B158" s="4" t="s">
        <v>27</v>
      </c>
      <c r="C158" s="4" t="s">
        <v>28</v>
      </c>
      <c r="D158" s="4" t="s">
        <v>30</v>
      </c>
      <c r="E158" s="9">
        <f>_xll.BQL("SEG0000227433 Segment", "REVENUE_GROWTH_CC_1_YR", "FPT=Q", "FPO=-12Q", "ACT_EST_MAPPING=PRECISE", "FS=MRC", "CURRENCY=USD", "XLFILL=b")</f>
        <v>20</v>
      </c>
      <c r="F158" s="9">
        <f>_xll.BQL("SEG0000227433 Segment", "REVENUE_GROWTH_CC_1_YR", "FPT=Q", "FPO=-11Q", "ACT_EST_MAPPING=PRECISE", "FS=MRC", "CURRENCY=USD", "XLFILL=b")</f>
        <v>18</v>
      </c>
      <c r="G158" s="9">
        <f>_xll.BQL("SEG0000227433 Segment", "REVENUE_GROWTH_CC_1_YR", "FPT=Q", "FPO=-10Q", "ACT_EST_MAPPING=PRECISE", "FS=MRC", "CURRENCY=USD", "XLFILL=b")</f>
        <v>18</v>
      </c>
      <c r="H158" s="9">
        <f>_xll.BQL("SEG0000227433 Segment", "REVENUE_GROWTH_CC_1_YR", "FPT=Q", "FPO=-9Q", "ACT_EST_MAPPING=PRECISE", "FS=MRC", "CURRENCY=USD", "XLFILL=b")</f>
        <v>19</v>
      </c>
      <c r="I158" s="9">
        <f>_xll.BQL("SEG0000227433 Segment", "REVENUE_GROWTH_CC_1_YR", "FPT=Q", "FPO=-8Q", "ACT_EST_MAPPING=PRECISE", "FS=MRC", "CURRENCY=USD", "XLFILL=b")</f>
        <v>16</v>
      </c>
      <c r="J158" s="9">
        <f>_xll.BQL("SEG0000227433 Segment", "REVENUE_GROWTH_CC_1_YR", "FPT=Q", "FPO=-7Q", "ACT_EST_MAPPING=PRECISE", "FS=MRC", "CURRENCY=USD", "XLFILL=b")</f>
        <v>13</v>
      </c>
      <c r="K158" s="9">
        <f>_xll.BQL("SEG0000227433 Segment", "REVENUE_GROWTH_CC_1_YR", "FPT=Q", "FPO=-6Q", "ACT_EST_MAPPING=PRECISE", "FS=MRC", "CURRENCY=USD", "XLFILL=b")</f>
        <v>10</v>
      </c>
      <c r="L158" s="9">
        <f>_xll.BQL("SEG0000227433 Segment", "REVENUE_GROWTH_CC_1_YR", "FPT=Q", "FPO=-5Q", "ACT_EST_MAPPING=PRECISE", "FS=MRC", "CURRENCY=USD", "XLFILL=b")</f>
        <v>9</v>
      </c>
      <c r="M158" s="9">
        <f>_xll.BQL("SEG0000227433 Segment", "REVENUE_GROWTH_CC_1_YR", "FPT=Q", "FPO=-4Q", "ACT_EST_MAPPING=PRECISE", "FS=MRC", "CURRENCY=USD", "XLFILL=b")</f>
        <v>7</v>
      </c>
      <c r="N158" s="9">
        <f>_xll.BQL("SEG0000227433 Segment", "REVENUE_GROWTH_CC_1_YR", "FPT=Q", "FPO=-3Q", "ACT_EST_MAPPING=PRECISE", "FS=MRC", "CURRENCY=USD", "XLFILL=b")</f>
        <v>10</v>
      </c>
      <c r="O158" s="9">
        <f>_xll.BQL("SEG0000227433 Segment", "REVENUE_GROWTH_CC_1_YR", "FPT=Q", "FPO=-2Q", "ACT_EST_MAPPING=PRECISE", "FS=MRC", "CURRENCY=USD", "XLFILL=b")</f>
        <v>11</v>
      </c>
      <c r="P158" s="9">
        <f>_xll.BQL("SEG0000227433 Segment", "REVENUE_GROWTH_CC_1_YR", "FPT=Q", "FPO=-1Q", "ACT_EST_MAPPING=PRECISE", "FS=MRC", "CURRENCY=USD", "XLFILL=b")</f>
        <v>10</v>
      </c>
      <c r="Q158" s="9">
        <f>_xll.BQL("SEG0000227433 Segment", "REVENUE_GROWTH_CC_1_YR", "FPT=Q", "FPO=0Q", "ACT_EST_MAPPING=PRECISE", "FS=MRC", "CURRENCY=USD", "XLFILL=b")</f>
        <v>12</v>
      </c>
      <c r="R158" s="9">
        <f>_xll.BQL("SEG0000227433 Segment", "REVENUE_GROWTH_CC_1_YR", "FPT=Q", "FPO=1Q", "ACT_EST_MAPPING=PRECISE", "FS=MRC", "CURRENCY=USD", "XLFILL=b")</f>
        <v>14.534351531616164</v>
      </c>
      <c r="S158" s="9">
        <f>_xll.BQL("SEG0000227433 Segment", "REVENUE_GROWTH_CC_1_YR", "FPT=Q", "FPO=2Q", "ACT_EST_MAPPING=PRECISE", "FS=MRC", "CURRENCY=USD", "XLFILL=b")</f>
        <v>9.1661342623981739</v>
      </c>
      <c r="T158" s="9">
        <f>_xll.BQL("SEG0000227433 Segment", "REVENUE_GROWTH_CC_1_YR", "FPT=Q", "FPO=3Q", "ACT_EST_MAPPING=PRECISE", "FS=MRC", "CURRENCY=USD", "XLFILL=b")</f>
        <v>10.835026924594503</v>
      </c>
      <c r="U158" s="9">
        <f>_xll.BQL("SEG0000227433 Segment", "REVENUE_GROWTH_CC_1_YR", "FPT=Q", "FPO=4Q", "ACT_EST_MAPPING=PRECISE", "FS=MRC", "CURRENCY=USD", "XLFILL=b")</f>
        <v>9.2094196794135748</v>
      </c>
      <c r="V158" s="9">
        <f>_xll.BQL("SEG0000227433 Segment", "REVENUE_GROWTH_CC_1_YR", "FPT=Q", "FPO=5Q", "ACT_EST_MAPPING=PRECISE", "FS=MRC", "CURRENCY=USD", "XLFILL=b")</f>
        <v>9.3117615221414418</v>
      </c>
      <c r="W158" s="9">
        <f>_xll.BQL("SEG0000227433 Segment", "REVENUE_GROWTH_CC_1_YR", "FPT=Q", "FPO=6Q", "ACT_EST_MAPPING=PRECISE", "FS=MRC", "CURRENCY=USD", "XLFILL=b")</f>
        <v>10.185578044303448</v>
      </c>
      <c r="X158" s="9">
        <f>_xll.BQL("SEG0000227433 Segment", "REVENUE_GROWTH_CC_1_YR", "FPT=Q", "FPO=7Q", "ACT_EST_MAPPING=PRECISE", "FS=MRC", "CURRENCY=USD", "XLFILL=b")</f>
        <v>9.39048306966715</v>
      </c>
    </row>
    <row r="159" spans="1:24" x14ac:dyDescent="0.25">
      <c r="A159" s="8" t="s">
        <v>126</v>
      </c>
      <c r="B159" s="4" t="s">
        <v>21</v>
      </c>
      <c r="C159" s="4" t="s">
        <v>22</v>
      </c>
      <c r="D159" s="4" t="s">
        <v>34</v>
      </c>
      <c r="E159" s="9">
        <f>_xll.BQL("SEG0000227476 Segment", "SALES_REV_TURN/1M", "FPT=Q", "FPO=-12Q", "ACT_EST_MAPPING=PRECISE", "FS=MRC", "CURRENCY=USD", "XLFILL=b")</f>
        <v>9657</v>
      </c>
      <c r="F159" s="9">
        <f>_xll.BQL("SEG0000227476 Segment", "SALES_REV_TURN/1M", "FPT=Q", "FPO=-11Q", "ACT_EST_MAPPING=PRECISE", "FS=MRC", "CURRENCY=USD", "XLFILL=b")</f>
        <v>9894</v>
      </c>
      <c r="G159" s="9">
        <f>_xll.BQL("SEG0000227476 Segment", "SALES_REV_TURN/1M", "FPT=Q", "FPO=-10Q", "ACT_EST_MAPPING=PRECISE", "FS=MRC", "CURRENCY=USD", "XLFILL=b")</f>
        <v>10170</v>
      </c>
      <c r="H159" s="9">
        <f>_xll.BQL("SEG0000227476 Segment", "SALES_REV_TURN/1M", "FPT=Q", "FPO=-9Q", "ACT_EST_MAPPING=PRECISE", "FS=MRC", "CURRENCY=USD", "XLFILL=b")</f>
        <v>10488</v>
      </c>
      <c r="I159" s="9">
        <f>_xll.BQL("SEG0000227476 Segment", "SALES_REV_TURN/1M", "FPT=Q", "FPO=-8Q", "ACT_EST_MAPPING=PRECISE", "FS=MRC", "CURRENCY=USD", "XLFILL=b")</f>
        <v>10722</v>
      </c>
      <c r="J159" s="9">
        <f>_xll.BQL("SEG0000227476 Segment", "SALES_REV_TURN/1M", "FPT=Q", "FPO=-7Q", "ACT_EST_MAPPING=PRECISE", "FS=MRC", "CURRENCY=USD", "XLFILL=b")</f>
        <v>10866</v>
      </c>
      <c r="K159" s="9">
        <f>_xll.BQL("SEG0000227476 Segment", "SALES_REV_TURN/1M", "FPT=Q", "FPO=-6Q", "ACT_EST_MAPPING=PRECISE", "FS=MRC", "CURRENCY=USD", "XLFILL=b")</f>
        <v>11278</v>
      </c>
      <c r="L159" s="9">
        <f>_xll.BQL("SEG0000227476 Segment", "SALES_REV_TURN/1M", "FPT=Q", "FPO=-5Q", "ACT_EST_MAPPING=PRECISE", "FS=MRC", "CURRENCY=USD", "XLFILL=b")</f>
        <v>11508</v>
      </c>
      <c r="M159" s="9">
        <f>_xll.BQL("SEG0000227476 Segment", "SALES_REV_TURN/1M", "FPT=Q", "FPO=-4Q", "ACT_EST_MAPPING=PRECISE", "FS=MRC", "CURRENCY=USD", "XLFILL=b")</f>
        <v>11715</v>
      </c>
      <c r="N159" s="9">
        <f>_xll.BQL("SEG0000227476 Segment", "SALES_REV_TURN/1M", "FPT=Q", "FPO=-3Q", "ACT_EST_MAPPING=PRECISE", "FS=MRC", "CURRENCY=USD", "XLFILL=b")</f>
        <v>12208</v>
      </c>
      <c r="O159" s="9">
        <f>_xll.BQL("SEG0000227476 Segment", "SALES_REV_TURN/1M", "FPT=Q", "FPO=-2Q", "ACT_EST_MAPPING=PRECISE", "FS=MRC", "CURRENCY=USD", "XLFILL=b")</f>
        <v>12574</v>
      </c>
      <c r="P159" s="9">
        <f>_xll.BQL("SEG0000227476 Segment", "SALES_REV_TURN/1M", "FPT=Q", "FPO=-1Q", "ACT_EST_MAPPING=PRECISE", "FS=MRC", "CURRENCY=USD", "XLFILL=b")</f>
        <v>13122</v>
      </c>
      <c r="Q159" s="9">
        <f>_xll.BQL("SEG0000227476 Segment", "SALES_REV_TURN/1M", "FPT=Q", "FPO=0Q", "ACT_EST_MAPPING=PRECISE", "FS=MRC", "CURRENCY=USD", "XLFILL=b")</f>
        <v>13427</v>
      </c>
      <c r="R159" s="9">
        <f>_xll.BQL("SEG0000227476 Segment", "SALES_REV_TURN/1M", "FPT=Q", "FPO=1Q", "ACT_EST_MAPPING=PRECISE", "FS=MRC", "CURRENCY=USD", "XLFILL=b")</f>
        <v>13752.070904319286</v>
      </c>
      <c r="S159" s="9">
        <f>_xll.BQL("SEG0000227476 Segment", "SALES_REV_TURN/1M", "FPT=Q", "FPO=2Q", "ACT_EST_MAPPING=PRECISE", "FS=MRC", "CURRENCY=USD", "XLFILL=b")</f>
        <v>13954.415962306066</v>
      </c>
      <c r="T159" s="9">
        <f>_xll.BQL("SEG0000227476 Segment", "SALES_REV_TURN/1M", "FPT=Q", "FPO=3Q", "ACT_EST_MAPPING=PRECISE", "FS=MRC", "CURRENCY=USD", "XLFILL=b")</f>
        <v>14517.541199602523</v>
      </c>
      <c r="U159" s="9">
        <f>_xll.BQL("SEG0000227476 Segment", "SALES_REV_TURN/1M", "FPT=Q", "FPO=4Q", "ACT_EST_MAPPING=PRECISE", "FS=MRC", "CURRENCY=USD", "XLFILL=b")</f>
        <v>14619.232602605864</v>
      </c>
      <c r="V159" s="9">
        <f>_xll.BQL("SEG0000227476 Segment", "SALES_REV_TURN/1M", "FPT=Q", "FPO=5Q", "ACT_EST_MAPPING=PRECISE", "FS=MRC", "CURRENCY=USD", "XLFILL=b")</f>
        <v>15001.004410048043</v>
      </c>
      <c r="W159" s="9">
        <f>_xll.BQL("SEG0000227476 Segment", "SALES_REV_TURN/1M", "FPT=Q", "FPO=6Q", "ACT_EST_MAPPING=PRECISE", "FS=MRC", "CURRENCY=USD", "XLFILL=b")</f>
        <v>15230.399489888507</v>
      </c>
      <c r="X159" s="9">
        <f>_xll.BQL("SEG0000227476 Segment", "SALES_REV_TURN/1M", "FPT=Q", "FPO=7Q", "ACT_EST_MAPPING=PRECISE", "FS=MRC", "CURRENCY=USD", "XLFILL=b")</f>
        <v>15892.849903901628</v>
      </c>
    </row>
    <row r="160" spans="1:24" x14ac:dyDescent="0.25">
      <c r="A160" s="8" t="s">
        <v>123</v>
      </c>
      <c r="B160" s="4" t="s">
        <v>27</v>
      </c>
      <c r="C160" s="4" t="s">
        <v>28</v>
      </c>
      <c r="D160" s="4" t="s">
        <v>34</v>
      </c>
      <c r="E160" s="9">
        <f>_xll.BQL("SEG0000227476 Segment", "REVENUE_GROWTH_CC_1_YR", "FPT=Q", "FPO=-12Q", "ACT_EST_MAPPING=PRECISE", "FS=MRC", "CURRENCY=USD", "XLFILL=b")</f>
        <v>17</v>
      </c>
      <c r="F160" s="9">
        <f>_xll.BQL("SEG0000227476 Segment", "REVENUE_GROWTH_CC_1_YR", "FPT=Q", "FPO=-11Q", "ACT_EST_MAPPING=PRECISE", "FS=MRC", "CURRENCY=USD", "XLFILL=b")</f>
        <v>14</v>
      </c>
      <c r="G160" s="9">
        <f>_xll.BQL("SEG0000227476 Segment", "REVENUE_GROWTH_CC_1_YR", "FPT=Q", "FPO=-10Q", "ACT_EST_MAPPING=PRECISE", "FS=MRC", "CURRENCY=USD", "XLFILL=b")</f>
        <v>13</v>
      </c>
      <c r="H160" s="9">
        <f>_xll.BQL("SEG0000227476 Segment", "REVENUE_GROWTH_CC_1_YR", "FPT=Q", "FPO=-9Q", "ACT_EST_MAPPING=PRECISE", "FS=MRC", "CURRENCY=USD", "XLFILL=b")</f>
        <v>13</v>
      </c>
      <c r="I160" s="9">
        <f>_xll.BQL("SEG0000227476 Segment", "REVENUE_GROWTH_CC_1_YR", "FPT=Q", "FPO=-8Q", "ACT_EST_MAPPING=PRECISE", "FS=MRC", "CURRENCY=USD", "XLFILL=b")</f>
        <v>11</v>
      </c>
      <c r="J160" s="9">
        <f>_xll.BQL("SEG0000227476 Segment", "REVENUE_GROWTH_CC_1_YR", "FPT=Q", "FPO=-7Q", "ACT_EST_MAPPING=PRECISE", "FS=MRC", "CURRENCY=USD", "XLFILL=b")</f>
        <v>11</v>
      </c>
      <c r="K160" s="9">
        <f>_xll.BQL("SEG0000227476 Segment", "REVENUE_GROWTH_CC_1_YR", "FPT=Q", "FPO=-6Q", "ACT_EST_MAPPING=PRECISE", "FS=MRC", "CURRENCY=USD", "XLFILL=b")</f>
        <v>11</v>
      </c>
      <c r="L160" s="9">
        <f>_xll.BQL("SEG0000227476 Segment", "REVENUE_GROWTH_CC_1_YR", "FPT=Q", "FPO=-5Q", "ACT_EST_MAPPING=PRECISE", "FS=MRC", "CURRENCY=USD", "XLFILL=b")</f>
        <v>10</v>
      </c>
      <c r="M160" s="9">
        <f>_xll.BQL("SEG0000227476 Segment", "REVENUE_GROWTH_CC_1_YR", "FPT=Q", "FPO=-4Q", "ACT_EST_MAPPING=PRECISE", "FS=MRC", "CURRENCY=USD", "XLFILL=b")</f>
        <v>11</v>
      </c>
      <c r="N160" s="9">
        <f>_xll.BQL("SEG0000227476 Segment", "REVENUE_GROWTH_CC_1_YR", "FPT=Q", "FPO=-3Q", "ACT_EST_MAPPING=PRECISE", "FS=MRC", "CURRENCY=USD", "XLFILL=b")</f>
        <v>11</v>
      </c>
      <c r="O160" s="9">
        <f>_xll.BQL("SEG0000227476 Segment", "REVENUE_GROWTH_CC_1_YR", "FPT=Q", "FPO=-2Q", "ACT_EST_MAPPING=PRECISE", "FS=MRC", "CURRENCY=USD", "XLFILL=b")</f>
        <v>10</v>
      </c>
      <c r="P160" s="9">
        <f>_xll.BQL("SEG0000227476 Segment", "REVENUE_GROWTH_CC_1_YR", "FPT=Q", "FPO=-1Q", "ACT_EST_MAPPING=PRECISE", "FS=MRC", "CURRENCY=USD", "XLFILL=b")</f>
        <v>12</v>
      </c>
      <c r="Q160" s="9">
        <f>_xll.BQL("SEG0000227476 Segment", "REVENUE_GROWTH_CC_1_YR", "FPT=Q", "FPO=0Q", "ACT_EST_MAPPING=PRECISE", "FS=MRC", "CURRENCY=USD", "XLFILL=b")</f>
        <v>12</v>
      </c>
      <c r="R160" s="9">
        <f>_xll.BQL("SEG0000227476 Segment", "REVENUE_GROWTH_CC_1_YR", "FPT=Q", "FPO=1Q", "ACT_EST_MAPPING=PRECISE", "FS=MRC", "CURRENCY=USD", "XLFILL=b")</f>
        <v>12.750506604532324</v>
      </c>
      <c r="S160" s="9">
        <f>_xll.BQL("SEG0000227476 Segment", "REVENUE_GROWTH_CC_1_YR", "FPT=Q", "FPO=2Q", "ACT_EST_MAPPING=PRECISE", "FS=MRC", "CURRENCY=USD", "XLFILL=b")</f>
        <v>10.829072927504946</v>
      </c>
      <c r="T160" s="9">
        <f>_xll.BQL("SEG0000227476 Segment", "REVENUE_GROWTH_CC_1_YR", "FPT=Q", "FPO=3Q", "ACT_EST_MAPPING=PRECISE", "FS=MRC", "CURRENCY=USD", "XLFILL=b")</f>
        <v>10.624328716480999</v>
      </c>
      <c r="U160" s="9">
        <f>_xll.BQL("SEG0000227476 Segment", "REVENUE_GROWTH_CC_1_YR", "FPT=Q", "FPO=4Q", "ACT_EST_MAPPING=PRECISE", "FS=MRC", "CURRENCY=USD", "XLFILL=b")</f>
        <v>9.3049218212756397</v>
      </c>
      <c r="V160" s="9">
        <f>_xll.BQL("SEG0000227476 Segment", "REVENUE_GROWTH_CC_1_YR", "FPT=Q", "FPO=5Q", "ACT_EST_MAPPING=PRECISE", "FS=MRC", "CURRENCY=USD", "XLFILL=b")</f>
        <v>9.418693205261329</v>
      </c>
      <c r="W160" s="9">
        <f>_xll.BQL("SEG0000227476 Segment", "REVENUE_GROWTH_CC_1_YR", "FPT=Q", "FPO=6Q", "ACT_EST_MAPPING=PRECISE", "FS=MRC", "CURRENCY=USD", "XLFILL=b")</f>
        <v>10.053397391563676</v>
      </c>
      <c r="X160" s="9">
        <f>_xll.BQL("SEG0000227476 Segment", "REVENUE_GROWTH_CC_1_YR", "FPT=Q", "FPO=7Q", "ACT_EST_MAPPING=PRECISE", "FS=MRC", "CURRENCY=USD", "XLFILL=b")</f>
        <v>10.484215671347485</v>
      </c>
    </row>
    <row r="161" spans="1:24" x14ac:dyDescent="0.25">
      <c r="A161" s="8" t="s">
        <v>14</v>
      </c>
      <c r="B161" s="4"/>
      <c r="C161" s="4"/>
      <c r="D161" s="4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</row>
    <row r="162" spans="1:24" x14ac:dyDescent="0.25">
      <c r="A162" s="8" t="s">
        <v>173</v>
      </c>
      <c r="B162" s="4"/>
      <c r="C162" s="4"/>
      <c r="D162" s="4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</row>
    <row r="163" spans="1:24" x14ac:dyDescent="0.25">
      <c r="A163" s="8" t="s">
        <v>174</v>
      </c>
      <c r="B163" s="4" t="s">
        <v>12</v>
      </c>
      <c r="C163" s="4" t="s">
        <v>13</v>
      </c>
      <c r="D163" s="4"/>
      <c r="E163" s="9">
        <f>_xll.BQL("AMZN US Equity", "IS_COMP_SALES/1M", "FPT=Q", "FPO=-12Q", "ACT_EST_MAPPING=PRECISE", "FS=MRC", "CURRENCY=USD", "XLFILL=b")</f>
        <v>127358</v>
      </c>
      <c r="F163" s="9">
        <f>_xll.BQL("AMZN US Equity", "IS_COMP_SALES/1M", "FPT=Q", "FPO=-11Q", "ACT_EST_MAPPING=PRECISE", "FS=MRC", "CURRENCY=USD", "XLFILL=b")</f>
        <v>134383</v>
      </c>
      <c r="G163" s="9">
        <f>_xll.BQL("AMZN US Equity", "IS_COMP_SALES/1M", "FPT=Q", "FPO=-10Q", "ACT_EST_MAPPING=PRECISE", "FS=MRC", "CURRENCY=USD", "XLFILL=b")</f>
        <v>143083</v>
      </c>
      <c r="H163" s="9">
        <f>_xll.BQL("AMZN US Equity", "IS_COMP_SALES/1M", "FPT=Q", "FPO=-9Q", "ACT_EST_MAPPING=PRECISE", "FS=MRC", "CURRENCY=USD", "XLFILL=b")</f>
        <v>169961</v>
      </c>
      <c r="I163" s="9">
        <f>_xll.BQL("AMZN US Equity", "IS_COMP_SALES/1M", "FPT=Q", "FPO=-8Q", "ACT_EST_MAPPING=PRECISE", "FS=MRC", "CURRENCY=USD", "XLFILL=b")</f>
        <v>143313</v>
      </c>
      <c r="J163" s="9">
        <f>_xll.BQL("AMZN US Equity", "IS_COMP_SALES/1M", "FPT=Q", "FPO=-7Q", "ACT_EST_MAPPING=PRECISE", "FS=MRC", "CURRENCY=USD", "XLFILL=b")</f>
        <v>147977</v>
      </c>
      <c r="K163" s="9">
        <f>_xll.BQL("AMZN US Equity", "IS_COMP_SALES/1M", "FPT=Q", "FPO=-6Q", "ACT_EST_MAPPING=PRECISE", "FS=MRC", "CURRENCY=USD", "XLFILL=b")</f>
        <v>158877</v>
      </c>
      <c r="L163" s="9">
        <f>_xll.BQL("AMZN US Equity", "IS_COMP_SALES/1M", "FPT=Q", "FPO=-5Q", "ACT_EST_MAPPING=PRECISE", "FS=MRC", "CURRENCY=USD", "XLFILL=b")</f>
        <v>187792</v>
      </c>
      <c r="M163" s="9">
        <f>_xll.BQL("AMZN US Equity", "IS_COMP_SALES/1M", "FPT=Q", "FPO=-4Q", "ACT_EST_MAPPING=PRECISE", "FS=MRC", "CURRENCY=USD", "XLFILL=b")</f>
        <v>155667</v>
      </c>
      <c r="N163" s="9">
        <f>_xll.BQL("AMZN US Equity", "IS_COMP_SALES/1M", "FPT=Q", "FPO=-3Q", "ACT_EST_MAPPING=PRECISE", "FS=MRC", "CURRENCY=USD", "XLFILL=b")</f>
        <v>167702</v>
      </c>
      <c r="O163" s="9">
        <f>_xll.BQL("AMZN US Equity", "IS_COMP_SALES/1M", "FPT=Q", "FPO=-2Q", "ACT_EST_MAPPING=PRECISE", "FS=MRC", "CURRENCY=USD", "XLFILL=b")</f>
        <v>180169</v>
      </c>
      <c r="P163" s="9">
        <f>_xll.BQL("AMZN US Equity", "IS_COMP_SALES/1M", "FPT=Q", "FPO=-1Q", "ACT_EST_MAPPING=PRECISE", "FS=MRC", "CURRENCY=USD", "XLFILL=b")</f>
        <v>213386</v>
      </c>
      <c r="Q163" s="9">
        <f>_xll.BQL("AMZN US Equity", "IS_COMP_SALES/1M", "FPT=Q", "FPO=0Q", "ACT_EST_MAPPING=PRECISE", "FS=MRC", "CURRENCY=USD", "XLFILL=b")</f>
        <v>181500</v>
      </c>
      <c r="R163" s="9">
        <f>_xll.BQL("AMZN US Equity", "IS_COMP_SALES/1M", "FPT=Q", "FPO=1Q", "ACT_EST_MAPPING=PRECISE", "FS=MRC", "CURRENCY=USD", "XLFILL=b")</f>
        <v>196959.55102040817</v>
      </c>
      <c r="S163" s="9">
        <f>_xll.BQL("AMZN US Equity", "IS_COMP_SALES/1M", "FPT=Q", "FPO=2Q", "ACT_EST_MAPPING=PRECISE", "FS=MRC", "CURRENCY=USD", "XLFILL=b")</f>
        <v>203945.61224489796</v>
      </c>
      <c r="T163" s="9">
        <f>_xll.BQL("AMZN US Equity", "IS_COMP_SALES/1M", "FPT=Q", "FPO=3Q", "ACT_EST_MAPPING=PRECISE", "FS=MRC", "CURRENCY=USD", "XLFILL=b")</f>
        <v>242950.60416666666</v>
      </c>
      <c r="U163" s="9">
        <f>_xll.BQL("AMZN US Equity", "IS_COMP_SALES/1M", "FPT=Q", "FPO=4Q", "ACT_EST_MAPPING=PRECISE", "FS=MRC", "CURRENCY=USD", "XLFILL=b")</f>
        <v>205994.27586206896</v>
      </c>
      <c r="V163" s="9">
        <f>_xll.BQL("AMZN US Equity", "IS_COMP_SALES/1M", "FPT=Q", "FPO=5Q", "ACT_EST_MAPPING=PRECISE", "FS=MRC", "CURRENCY=USD", "XLFILL=b")</f>
        <v>223074.14814814818</v>
      </c>
      <c r="W163" s="9">
        <f>_xll.BQL("AMZN US Equity", "IS_COMP_SALES/1M", "FPT=Q", "FPO=6Q", "ACT_EST_MAPPING=PRECISE", "FS=MRC", "CURRENCY=USD", "XLFILL=b")</f>
        <v>231770.61538461538</v>
      </c>
      <c r="X163" s="9">
        <f>_xll.BQL("AMZN US Equity", "IS_COMP_SALES/1M", "FPT=Q", "FPO=7Q", "ACT_EST_MAPPING=PRECISE", "FS=MRC", "CURRENCY=USD", "XLFILL=b")</f>
        <v>273828.69230769231</v>
      </c>
    </row>
    <row r="164" spans="1:24" x14ac:dyDescent="0.25">
      <c r="A164" s="8" t="s">
        <v>14</v>
      </c>
      <c r="B164" s="4"/>
      <c r="C164" s="4"/>
      <c r="D164" s="4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</row>
    <row r="165" spans="1:24" x14ac:dyDescent="0.25">
      <c r="A165" s="8" t="s">
        <v>175</v>
      </c>
      <c r="B165" s="4" t="s">
        <v>176</v>
      </c>
      <c r="C165" s="4" t="s">
        <v>177</v>
      </c>
      <c r="D165" s="4"/>
      <c r="E165" s="9">
        <f>_xll.BQL("AMZN US Equity", "IS_COGS_TO_FE_AND_PP_AND_G/1M", "FPT=Q", "FPO=-12Q", "ACT_EST_MAPPING=PRECISE", "FS=MRC", "CURRENCY=USD", "XLFILL=b")</f>
        <v>67791</v>
      </c>
      <c r="F165" s="9">
        <f>_xll.BQL("AMZN US Equity", "IS_COGS_TO_FE_AND_PP_AND_G/1M", "FPT=Q", "FPO=-11Q", "ACT_EST_MAPPING=PRECISE", "FS=MRC", "CURRENCY=USD", "XLFILL=b")</f>
        <v>69373</v>
      </c>
      <c r="G165" s="9">
        <f>_xll.BQL("AMZN US Equity", "IS_COGS_TO_FE_AND_PP_AND_G/1M", "FPT=Q", "FPO=-10Q", "ACT_EST_MAPPING=PRECISE", "FS=MRC", "CURRENCY=USD", "XLFILL=b")</f>
        <v>75022</v>
      </c>
      <c r="H165" s="9">
        <f>_xll.BQL("AMZN US Equity", "IS_COGS_TO_FE_AND_PP_AND_G/1M", "FPT=Q", "FPO=-9Q", "ACT_EST_MAPPING=PRECISE", "FS=MRC", "CURRENCY=USD", "XLFILL=b")</f>
        <v>92553</v>
      </c>
      <c r="I165" s="9">
        <f>_xll.BQL("AMZN US Equity", "IS_COGS_TO_FE_AND_PP_AND_G/1M", "FPT=Q", "FPO=-8Q", "ACT_EST_MAPPING=PRECISE", "FS=MRC", "CURRENCY=USD", "XLFILL=b")</f>
        <v>72633</v>
      </c>
      <c r="J165" s="9">
        <f>_xll.BQL("AMZN US Equity", "IS_COGS_TO_FE_AND_PP_AND_G/1M", "FPT=Q", "FPO=-7Q", "ACT_EST_MAPPING=PRECISE", "FS=MRC", "CURRENCY=USD", "XLFILL=b")</f>
        <v>73785</v>
      </c>
      <c r="K165" s="9">
        <f>_xll.BQL("AMZN US Equity", "IS_COGS_TO_FE_AND_PP_AND_G/1M", "FPT=Q", "FPO=-6Q", "ACT_EST_MAPPING=PRECISE", "FS=MRC", "CURRENCY=USD", "XLFILL=b")</f>
        <v>80977</v>
      </c>
      <c r="L165" s="9">
        <f>_xll.BQL("AMZN US Equity", "IS_COGS_TO_FE_AND_PP_AND_G/1M", "FPT=Q", "FPO=-5Q", "ACT_EST_MAPPING=PRECISE", "FS=MRC", "CURRENCY=USD", "XLFILL=b")</f>
        <v>98893</v>
      </c>
      <c r="M165" s="9">
        <f>_xll.BQL("AMZN US Equity", "IS_COGS_TO_FE_AND_PP_AND_G/1M", "FPT=Q", "FPO=-4Q", "ACT_EST_MAPPING=PRECISE", "FS=MRC", "CURRENCY=USD", "XLFILL=b")</f>
        <v>76976</v>
      </c>
      <c r="N165" s="9">
        <f>_xll.BQL("AMZN US Equity", "IS_COGS_TO_FE_AND_PP_AND_G/1M", "FPT=Q", "FPO=-3Q", "ACT_EST_MAPPING=PRECISE", "FS=MRC", "CURRENCY=USD", "XLFILL=b")</f>
        <v>80809</v>
      </c>
      <c r="O165" s="9">
        <f>_xll.BQL("AMZN US Equity", "IS_COGS_TO_FE_AND_PP_AND_G/1M", "FPT=Q", "FPO=-2Q", "ACT_EST_MAPPING=PRECISE", "FS=MRC", "CURRENCY=USD", "XLFILL=b")</f>
        <v>88670</v>
      </c>
      <c r="P165" s="9">
        <f>_xll.BQL("AMZN US Equity", "IS_COGS_TO_FE_AND_PP_AND_G/1M", "FPT=Q", "FPO=-1Q", "ACT_EST_MAPPING=PRECISE", "FS=MRC", "CURRENCY=USD", "XLFILL=b")</f>
        <v>109959</v>
      </c>
      <c r="Q165" s="9">
        <f>_xll.BQL("AMZN US Equity", "IS_COGS_TO_FE_AND_PP_AND_G/1M", "FPT=Q", "FPO=0Q", "ACT_EST_MAPPING=PRECISE", "FS=MRC", "CURRENCY=USD", "XLFILL=b")</f>
        <v>87463</v>
      </c>
      <c r="R165" s="9">
        <f>_xll.BQL("AMZN US Equity", "IS_COGS_TO_FE_AND_PP_AND_G/1M", "FPT=Q", "FPO=1Q", "ACT_EST_MAPPING=PRECISE", "FS=MRC", "CURRENCY=USD", "XLFILL=b")</f>
        <v>94272.26944387611</v>
      </c>
      <c r="S165" s="9">
        <f>_xll.BQL("AMZN US Equity", "IS_COGS_TO_FE_AND_PP_AND_G/1M", "FPT=Q", "FPO=2Q", "ACT_EST_MAPPING=PRECISE", "FS=MRC", "CURRENCY=USD", "XLFILL=b")</f>
        <v>98972.714458805087</v>
      </c>
      <c r="T165" s="9">
        <f>_xll.BQL("AMZN US Equity", "IS_COGS_TO_FE_AND_PP_AND_G/1M", "FPT=Q", "FPO=3Q", "ACT_EST_MAPPING=PRECISE", "FS=MRC", "CURRENCY=USD", "XLFILL=b")</f>
        <v>121872.28647805311</v>
      </c>
      <c r="U165" s="9">
        <f>_xll.BQL("AMZN US Equity", "IS_COGS_TO_FE_AND_PP_AND_G/1M", "FPT=Q", "FPO=4Q", "ACT_EST_MAPPING=PRECISE", "FS=MRC", "CURRENCY=USD", "XLFILL=b")</f>
        <v>95780.316943404003</v>
      </c>
      <c r="V165" s="9">
        <f>_xll.BQL("AMZN US Equity", "IS_COGS_TO_FE_AND_PP_AND_G/1M", "FPT=Q", "FPO=5Q", "ACT_EST_MAPPING=PRECISE", "FS=MRC", "CURRENCY=USD", "XLFILL=b")</f>
        <v>102333.69888446457</v>
      </c>
      <c r="W165" s="9">
        <f>_xll.BQL("AMZN US Equity", "IS_COGS_TO_FE_AND_PP_AND_G/1M", "FPT=Q", "FPO=6Q", "ACT_EST_MAPPING=PRECISE", "FS=MRC", "CURRENCY=USD", "XLFILL=b")</f>
        <v>107499.3646914775</v>
      </c>
      <c r="X165" s="9">
        <f>_xll.BQL("AMZN US Equity", "IS_COGS_TO_FE_AND_PP_AND_G/1M", "FPT=Q", "FPO=7Q", "ACT_EST_MAPPING=PRECISE", "FS=MRC", "CURRENCY=USD", "XLFILL=b")</f>
        <v>130996.60871996648</v>
      </c>
    </row>
    <row r="166" spans="1:24" x14ac:dyDescent="0.25">
      <c r="A166" s="8" t="s">
        <v>178</v>
      </c>
      <c r="B166" s="4" t="s">
        <v>179</v>
      </c>
      <c r="C166" s="4" t="s">
        <v>180</v>
      </c>
      <c r="D166" s="4"/>
      <c r="E166" s="9">
        <f>_xll.BQL("AMZN US Equity", "COGS_TO_NET_SALES", "FPT=Q", "FPO=-12Q", "ACT_EST_MAPPING=PRECISE", "FS=MRC", "CURRENCY=USD", "XLFILL=b")</f>
        <v>53.228693917932127</v>
      </c>
      <c r="F166" s="9">
        <f>_xll.BQL("AMZN US Equity", "COGS_TO_NET_SALES", "FPT=Q", "FPO=-11Q", "ACT_EST_MAPPING=PRECISE", "FS=MRC", "CURRENCY=USD", "XLFILL=b")</f>
        <v>51.623345214796515</v>
      </c>
      <c r="G166" s="9">
        <f>_xll.BQL("AMZN US Equity", "COGS_TO_NET_SALES", "FPT=Q", "FPO=-10Q", "ACT_EST_MAPPING=PRECISE", "FS=MRC", "CURRENCY=USD", "XLFILL=b")</f>
        <v>52.432504210842659</v>
      </c>
      <c r="H166" s="9">
        <f>_xll.BQL("AMZN US Equity", "COGS_TO_NET_SALES", "FPT=Q", "FPO=-9Q", "ACT_EST_MAPPING=PRECISE", "FS=MRC", "CURRENCY=USD", "XLFILL=b")</f>
        <v>54.455433893657954</v>
      </c>
      <c r="I166" s="9">
        <f>_xll.BQL("AMZN US Equity", "COGS_TO_NET_SALES", "FPT=Q", "FPO=-8Q", "ACT_EST_MAPPING=PRECISE", "FS=MRC", "CURRENCY=USD", "XLFILL=b")</f>
        <v>50.681375730045431</v>
      </c>
      <c r="J166" s="9">
        <f>_xll.BQL("AMZN US Equity", "COGS_TO_NET_SALES", "FPT=Q", "FPO=-7Q", "ACT_EST_MAPPING=PRECISE", "FS=MRC", "CURRENCY=USD", "XLFILL=b")</f>
        <v>49.862478628435504</v>
      </c>
      <c r="K166" s="9">
        <f>_xll.BQL("AMZN US Equity", "COGS_TO_NET_SALES", "FPT=Q", "FPO=-6Q", "ACT_EST_MAPPING=PRECISE", "FS=MRC", "CURRENCY=USD", "XLFILL=b")</f>
        <v>50.968359170930974</v>
      </c>
      <c r="L166" s="9">
        <f>_xll.BQL("AMZN US Equity", "COGS_TO_NET_SALES", "FPT=Q", "FPO=-5Q", "ACT_EST_MAPPING=PRECISE", "FS=MRC", "CURRENCY=USD", "XLFILL=b")</f>
        <v>52.660922723012696</v>
      </c>
      <c r="M166" s="9">
        <f>_xll.BQL("AMZN US Equity", "COGS_TO_NET_SALES", "FPT=Q", "FPO=-4Q", "ACT_EST_MAPPING=PRECISE", "FS=MRC", "CURRENCY=USD", "XLFILL=b")</f>
        <v>49.449144648512529</v>
      </c>
      <c r="N166" s="9">
        <f>_xll.BQL("AMZN US Equity", "COGS_TO_NET_SALES", "FPT=Q", "FPO=-3Q", "ACT_EST_MAPPING=PRECISE", "FS=MRC", "CURRENCY=USD", "XLFILL=b")</f>
        <v>48.186068144685215</v>
      </c>
      <c r="O166" s="9">
        <f>_xll.BQL("AMZN US Equity", "COGS_TO_NET_SALES", "FPT=Q", "FPO=-2Q", "ACT_EST_MAPPING=PRECISE", "FS=MRC", "CURRENCY=USD", "XLFILL=b")</f>
        <v>49.214903784779843</v>
      </c>
      <c r="P166" s="9">
        <f>_xll.BQL("AMZN US Equity", "COGS_TO_NET_SALES", "FPT=Q", "FPO=-1Q", "ACT_EST_MAPPING=PRECISE", "FS=MRC", "CURRENCY=USD", "XLFILL=b")</f>
        <v>51.530559643088111</v>
      </c>
      <c r="Q166" s="9">
        <f>_xll.BQL("AMZN US Equity", "COGS_TO_NET_SALES", "FPT=Q", "FPO=0Q", "ACT_EST_MAPPING=PRECISE", "FS=MRC", "CURRENCY=USD", "XLFILL=b")</f>
        <v>48.183936667786838</v>
      </c>
      <c r="R166" s="9">
        <f>_xll.BQL("AMZN US Equity", "COGS_TO_NET_SALES", "FPT=Q", "FPO=1Q", "ACT_EST_MAPPING=PRECISE", "FS=MRC", "CURRENCY=USD", "XLFILL=b")</f>
        <v>47.746423920354168</v>
      </c>
      <c r="S166" s="9">
        <f>_xll.BQL("AMZN US Equity", "COGS_TO_NET_SALES", "FPT=Q", "FPO=2Q", "ACT_EST_MAPPING=PRECISE", "FS=MRC", "CURRENCY=USD", "XLFILL=b")</f>
        <v>48.212093456634001</v>
      </c>
      <c r="T166" s="9">
        <f>_xll.BQL("AMZN US Equity", "COGS_TO_NET_SALES", "FPT=Q", "FPO=3Q", "ACT_EST_MAPPING=PRECISE", "FS=MRC", "CURRENCY=USD", "XLFILL=b")</f>
        <v>50.201084882078014</v>
      </c>
      <c r="U166" s="9">
        <f>_xll.BQL("AMZN US Equity", "COGS_TO_NET_SALES", "FPT=Q", "FPO=4Q", "ACT_EST_MAPPING=PRECISE", "FS=MRC", "CURRENCY=USD", "XLFILL=b")</f>
        <v>47.150292424961997</v>
      </c>
      <c r="V166" s="9">
        <f>_xll.BQL("AMZN US Equity", "COGS_TO_NET_SALES", "FPT=Q", "FPO=5Q", "ACT_EST_MAPPING=PRECISE", "FS=MRC", "CURRENCY=USD", "XLFILL=b")</f>
        <v>46.626106081650661</v>
      </c>
      <c r="W166" s="9">
        <f>_xll.BQL("AMZN US Equity", "COGS_TO_NET_SALES", "FPT=Q", "FPO=6Q", "ACT_EST_MAPPING=PRECISE", "FS=MRC", "CURRENCY=USD", "XLFILL=b")</f>
        <v>47.078627308860753</v>
      </c>
      <c r="X166" s="9">
        <f>_xll.BQL("AMZN US Equity", "COGS_TO_NET_SALES", "FPT=Q", "FPO=7Q", "ACT_EST_MAPPING=PRECISE", "FS=MRC", "CURRENCY=USD", "XLFILL=b")</f>
        <v>48.970868913309225</v>
      </c>
    </row>
    <row r="167" spans="1:24" x14ac:dyDescent="0.25">
      <c r="A167" s="8" t="s">
        <v>14</v>
      </c>
      <c r="B167" s="4"/>
      <c r="C167" s="4"/>
      <c r="D167" s="4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</row>
    <row r="168" spans="1:24" x14ac:dyDescent="0.25">
      <c r="A168" s="8" t="s">
        <v>181</v>
      </c>
      <c r="B168" s="4" t="s">
        <v>182</v>
      </c>
      <c r="C168" s="4" t="s">
        <v>183</v>
      </c>
      <c r="D168" s="4"/>
      <c r="E168" s="9">
        <f>_xll.BQL("AMZN US Equity", "GROSS_PROFIT/1M", "FPT=Q", "FPO=-12Q", "ACT_EST_MAPPING=PRECISE", "FS=MRC", "CURRENCY=USD", "XLFILL=b")</f>
        <v>59567</v>
      </c>
      <c r="F168" s="9">
        <f>_xll.BQL("AMZN US Equity", "GROSS_PROFIT/1M", "FPT=Q", "FPO=-11Q", "ACT_EST_MAPPING=PRECISE", "FS=MRC", "CURRENCY=USD", "XLFILL=b")</f>
        <v>65010</v>
      </c>
      <c r="G168" s="9">
        <f>_xll.BQL("AMZN US Equity", "GROSS_PROFIT/1M", "FPT=Q", "FPO=-10Q", "ACT_EST_MAPPING=PRECISE", "FS=MRC", "CURRENCY=USD", "XLFILL=b")</f>
        <v>68061</v>
      </c>
      <c r="H168" s="9">
        <f>_xll.BQL("AMZN US Equity", "GROSS_PROFIT/1M", "FPT=Q", "FPO=-9Q", "ACT_EST_MAPPING=PRECISE", "FS=MRC", "CURRENCY=USD", "XLFILL=b")</f>
        <v>77408</v>
      </c>
      <c r="I168" s="9">
        <f>_xll.BQL("AMZN US Equity", "GROSS_PROFIT/1M", "FPT=Q", "FPO=-8Q", "ACT_EST_MAPPING=PRECISE", "FS=MRC", "CURRENCY=USD", "XLFILL=b")</f>
        <v>70680</v>
      </c>
      <c r="J168" s="9">
        <f>_xll.BQL("AMZN US Equity", "GROSS_PROFIT/1M", "FPT=Q", "FPO=-7Q", "ACT_EST_MAPPING=PRECISE", "FS=MRC", "CURRENCY=USD", "XLFILL=b")</f>
        <v>74192</v>
      </c>
      <c r="K168" s="9">
        <f>_xll.BQL("AMZN US Equity", "GROSS_PROFIT/1M", "FPT=Q", "FPO=-6Q", "ACT_EST_MAPPING=PRECISE", "FS=MRC", "CURRENCY=USD", "XLFILL=b")</f>
        <v>77900</v>
      </c>
      <c r="L168" s="9">
        <f>_xll.BQL("AMZN US Equity", "GROSS_PROFIT/1M", "FPT=Q", "FPO=-5Q", "ACT_EST_MAPPING=PRECISE", "FS=MRC", "CURRENCY=USD", "XLFILL=b")</f>
        <v>88899</v>
      </c>
      <c r="M168" s="9">
        <f>_xll.BQL("AMZN US Equity", "GROSS_PROFIT/1M", "FPT=Q", "FPO=-4Q", "ACT_EST_MAPPING=PRECISE", "FS=MRC", "CURRENCY=USD", "XLFILL=b")</f>
        <v>78691</v>
      </c>
      <c r="N168" s="9">
        <f>_xll.BQL("AMZN US Equity", "GROSS_PROFIT/1M", "FPT=Q", "FPO=-3Q", "ACT_EST_MAPPING=PRECISE", "FS=MRC", "CURRENCY=USD", "XLFILL=b")</f>
        <v>86893</v>
      </c>
      <c r="O168" s="9">
        <f>_xll.BQL("AMZN US Equity", "GROSS_PROFIT/1M", "FPT=Q", "FPO=-2Q", "ACT_EST_MAPPING=PRECISE", "FS=MRC", "CURRENCY=USD", "XLFILL=b")</f>
        <v>91499</v>
      </c>
      <c r="P168" s="9">
        <f>_xll.BQL("AMZN US Equity", "GROSS_PROFIT/1M", "FPT=Q", "FPO=-1Q", "ACT_EST_MAPPING=PRECISE", "FS=MRC", "CURRENCY=USD", "XLFILL=b")</f>
        <v>103427</v>
      </c>
      <c r="Q168" s="9">
        <f>_xll.BQL("AMZN US Equity", "GROSS_PROFIT/1M", "FPT=Q", "FPO=0Q", "ACT_EST_MAPPING=PRECISE", "FS=MRC", "CURRENCY=USD", "XLFILL=b")</f>
        <v>94056</v>
      </c>
      <c r="R168" s="9">
        <f>_xll.BQL("AMZN US Equity", "GROSS_PROFIT/1M", "FPT=Q", "FPO=1Q", "ACT_EST_MAPPING=PRECISE", "FS=MRC", "CURRENCY=USD", "XLFILL=b")</f>
        <v>102970.50353639046</v>
      </c>
      <c r="S168" s="9">
        <f>_xll.BQL("AMZN US Equity", "GROSS_PROFIT/1M", "FPT=Q", "FPO=2Q", "ACT_EST_MAPPING=PRECISE", "FS=MRC", "CURRENCY=USD", "XLFILL=b")</f>
        <v>105669.29349404635</v>
      </c>
      <c r="T168" s="9">
        <f>_xll.BQL("AMZN US Equity", "GROSS_PROFIT/1M", "FPT=Q", "FPO=3Q", "ACT_EST_MAPPING=PRECISE", "FS=MRC", "CURRENCY=USD", "XLFILL=b")</f>
        <v>120820.51993261847</v>
      </c>
      <c r="U168" s="9">
        <f>_xll.BQL("AMZN US Equity", "GROSS_PROFIT/1M", "FPT=Q", "FPO=4Q", "ACT_EST_MAPPING=PRECISE", "FS=MRC", "CURRENCY=USD", "XLFILL=b")</f>
        <v>109461.17351127017</v>
      </c>
      <c r="V168" s="9">
        <f>_xll.BQL("AMZN US Equity", "GROSS_PROFIT/1M", "FPT=Q", "FPO=5Q", "ACT_EST_MAPPING=PRECISE", "FS=MRC", "CURRENCY=USD", "XLFILL=b")</f>
        <v>120384.43895379534</v>
      </c>
      <c r="W168" s="9">
        <f>_xll.BQL("AMZN US Equity", "GROSS_PROFIT/1M", "FPT=Q", "FPO=6Q", "ACT_EST_MAPPING=PRECISE", "FS=MRC", "CURRENCY=USD", "XLFILL=b")</f>
        <v>123809.74160332151</v>
      </c>
      <c r="X168" s="9">
        <f>_xll.BQL("AMZN US Equity", "GROSS_PROFIT/1M", "FPT=Q", "FPO=7Q", "ACT_EST_MAPPING=PRECISE", "FS=MRC", "CURRENCY=USD", "XLFILL=b")</f>
        <v>140447.84936259297</v>
      </c>
    </row>
    <row r="169" spans="1:24" x14ac:dyDescent="0.25">
      <c r="A169" s="8" t="s">
        <v>184</v>
      </c>
      <c r="B169" s="4" t="s">
        <v>185</v>
      </c>
      <c r="C169" s="4" t="s">
        <v>186</v>
      </c>
      <c r="D169" s="4"/>
      <c r="E169" s="9">
        <f>_xll.BQL("AMZN US Equity", "IS_COMP_GROSS_MARGIN_PERCENTAGE", "FPT=Q", "FPO=-12Q", "ACT_EST_MAPPING=PRECISE", "FS=MRC", "CURRENCY=USD", "XLFILL=b")</f>
        <v>46.771306000000003</v>
      </c>
      <c r="F169" s="9">
        <f>_xll.BQL("AMZN US Equity", "IS_COMP_GROSS_MARGIN_PERCENTAGE", "FPT=Q", "FPO=-11Q", "ACT_EST_MAPPING=PRECISE", "FS=MRC", "CURRENCY=USD", "XLFILL=b")</f>
        <v>48.376655</v>
      </c>
      <c r="G169" s="9">
        <f>_xll.BQL("AMZN US Equity", "IS_COMP_GROSS_MARGIN_PERCENTAGE", "FPT=Q", "FPO=-10Q", "ACT_EST_MAPPING=PRECISE", "FS=MRC", "CURRENCY=USD", "XLFILL=b")</f>
        <v>47.567495999999998</v>
      </c>
      <c r="H169" s="9">
        <f>_xll.BQL("AMZN US Equity", "IS_COMP_GROSS_MARGIN_PERCENTAGE", "FPT=Q", "FPO=-9Q", "ACT_EST_MAPPING=PRECISE", "FS=MRC", "CURRENCY=USD", "XLFILL=b")</f>
        <v>45.544566000000003</v>
      </c>
      <c r="I169" s="9">
        <f>_xll.BQL("AMZN US Equity", "IS_COMP_GROSS_MARGIN_PERCENTAGE", "FPT=Q", "FPO=-8Q", "ACT_EST_MAPPING=PRECISE", "FS=MRC", "CURRENCY=USD", "XLFILL=b")</f>
        <v>49.318624</v>
      </c>
      <c r="J169" s="9">
        <f>_xll.BQL("AMZN US Equity", "IS_COMP_GROSS_MARGIN_PERCENTAGE", "FPT=Q", "FPO=-7Q", "ACT_EST_MAPPING=PRECISE", "FS=MRC", "CURRENCY=USD", "XLFILL=b")</f>
        <v>50.137521</v>
      </c>
      <c r="K169" s="9">
        <f>_xll.BQL("AMZN US Equity", "IS_COMP_GROSS_MARGIN_PERCENTAGE", "FPT=Q", "FPO=-6Q", "ACT_EST_MAPPING=PRECISE", "FS=MRC", "CURRENCY=USD", "XLFILL=b")</f>
        <v>49.031641</v>
      </c>
      <c r="L169" s="9">
        <f>_xll.BQL("AMZN US Equity", "IS_COMP_GROSS_MARGIN_PERCENTAGE", "FPT=Q", "FPO=-5Q", "ACT_EST_MAPPING=PRECISE", "FS=MRC", "CURRENCY=USD", "XLFILL=b")</f>
        <v>47.339077000000003</v>
      </c>
      <c r="M169" s="9">
        <f>_xll.BQL("AMZN US Equity", "IS_COMP_GROSS_MARGIN_PERCENTAGE", "FPT=Q", "FPO=-4Q", "ACT_EST_MAPPING=PRECISE", "FS=MRC", "CURRENCY=USD", "XLFILL=b")</f>
        <v>50.550854999999999</v>
      </c>
      <c r="N169" s="9">
        <f>_xll.BQL("AMZN US Equity", "IS_COMP_GROSS_MARGIN_PERCENTAGE", "FPT=Q", "FPO=-3Q", "ACT_EST_MAPPING=PRECISE", "FS=MRC", "CURRENCY=USD", "XLFILL=b")</f>
        <v>51.813932000000001</v>
      </c>
      <c r="O169" s="9">
        <f>_xll.BQL("AMZN US Equity", "IS_COMP_GROSS_MARGIN_PERCENTAGE", "FPT=Q", "FPO=-2Q", "ACT_EST_MAPPING=PRECISE", "FS=MRC", "CURRENCY=USD", "XLFILL=b")</f>
        <v>50.785096000000003</v>
      </c>
      <c r="P169" s="9">
        <f>_xll.BQL("AMZN US Equity", "IS_COMP_GROSS_MARGIN_PERCENTAGE", "FPT=Q", "FPO=-1Q", "ACT_EST_MAPPING=PRECISE", "FS=MRC", "CURRENCY=USD", "XLFILL=b")</f>
        <v>48.469439999999999</v>
      </c>
      <c r="Q169" s="9">
        <f>_xll.BQL("AMZN US Equity", "IS_COMP_GROSS_MARGIN_PERCENTAGE", "FPT=Q", "FPO=0Q", "ACT_EST_MAPPING=PRECISE", "FS=MRC", "CURRENCY=USD", "XLFILL=b")</f>
        <v>51.821488000000002</v>
      </c>
      <c r="R169" s="9">
        <f>_xll.BQL("AMZN US Equity", "IS_COMP_GROSS_MARGIN_PERCENTAGE", "FPT=Q", "FPO=1Q", "ACT_EST_MAPPING=PRECISE", "FS=MRC", "CURRENCY=USD", "XLFILL=b")</f>
        <v>52.125855743784165</v>
      </c>
      <c r="S169" s="9">
        <f>_xll.BQL("AMZN US Equity", "IS_COMP_GROSS_MARGIN_PERCENTAGE", "FPT=Q", "FPO=2Q", "ACT_EST_MAPPING=PRECISE", "FS=MRC", "CURRENCY=USD", "XLFILL=b")</f>
        <v>51.713071363020219</v>
      </c>
      <c r="T169" s="9">
        <f>_xll.BQL("AMZN US Equity", "IS_COMP_GROSS_MARGIN_PERCENTAGE", "FPT=Q", "FPO=3Q", "ACT_EST_MAPPING=PRECISE", "FS=MRC", "CURRENCY=USD", "XLFILL=b")</f>
        <v>49.788273572171967</v>
      </c>
      <c r="U169" s="9">
        <f>_xll.BQL("AMZN US Equity", "IS_COMP_GROSS_MARGIN_PERCENTAGE", "FPT=Q", "FPO=4Q", "ACT_EST_MAPPING=PRECISE", "FS=MRC", "CURRENCY=USD", "XLFILL=b")</f>
        <v>53.141390384397035</v>
      </c>
      <c r="V169" s="9">
        <f>_xll.BQL("AMZN US Equity", "IS_COMP_GROSS_MARGIN_PERCENTAGE", "FPT=Q", "FPO=5Q", "ACT_EST_MAPPING=PRECISE", "FS=MRC", "CURRENCY=USD", "XLFILL=b")</f>
        <v>53.842171109426502</v>
      </c>
      <c r="W169" s="9">
        <f>_xll.BQL("AMZN US Equity", "IS_COMP_GROSS_MARGIN_PERCENTAGE", "FPT=Q", "FPO=6Q", "ACT_EST_MAPPING=PRECISE", "FS=MRC", "CURRENCY=USD", "XLFILL=b")</f>
        <v>53.510871351278894</v>
      </c>
      <c r="X169" s="9">
        <f>_xll.BQL("AMZN US Equity", "IS_COMP_GROSS_MARGIN_PERCENTAGE", "FPT=Q", "FPO=7Q", "ACT_EST_MAPPING=PRECISE", "FS=MRC", "CURRENCY=USD", "XLFILL=b")</f>
        <v>51.643570673386378</v>
      </c>
    </row>
    <row r="170" spans="1:24" x14ac:dyDescent="0.25">
      <c r="A170" s="8" t="s">
        <v>14</v>
      </c>
      <c r="B170" s="4"/>
      <c r="C170" s="4"/>
      <c r="D170" s="4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</row>
    <row r="171" spans="1:24" x14ac:dyDescent="0.25">
      <c r="A171" s="8" t="s">
        <v>187</v>
      </c>
      <c r="B171" s="4" t="s">
        <v>132</v>
      </c>
      <c r="C171" s="4" t="s">
        <v>133</v>
      </c>
      <c r="D171" s="4"/>
      <c r="E171" s="9">
        <f>_xll.BQL("AMZN US Equity", "IS_TOT_OPER_EXP/1M", "FPT=Q", "FPO=-12Q", "ACT_EST_MAPPING=PRECISE", "FS=MRC", "CURRENCY=USD", "XLFILL=b")</f>
        <v>122584</v>
      </c>
      <c r="F171" s="9">
        <f>_xll.BQL("AMZN US Equity", "IS_TOT_OPER_EXP/1M", "FPT=Q", "FPO=-11Q", "ACT_EST_MAPPING=PRECISE", "FS=MRC", "CURRENCY=USD", "XLFILL=b")</f>
        <v>126702</v>
      </c>
      <c r="G171" s="9">
        <f>_xll.BQL("AMZN US Equity", "IS_TOT_OPER_EXP/1M", "FPT=Q", "FPO=-10Q", "ACT_EST_MAPPING=PRECISE", "FS=MRC", "CURRENCY=USD", "XLFILL=b")</f>
        <v>131895</v>
      </c>
      <c r="H171" s="9">
        <f>_xll.BQL("AMZN US Equity", "IS_TOT_OPER_EXP/1M", "FPT=Q", "FPO=-9Q", "ACT_EST_MAPPING=PRECISE", "FS=MRC", "CURRENCY=USD", "XLFILL=b")</f>
        <v>156752</v>
      </c>
      <c r="I171" s="9">
        <f>_xll.BQL("AMZN US Equity", "IS_TOT_OPER_EXP/1M", "FPT=Q", "FPO=-8Q", "ACT_EST_MAPPING=PRECISE", "FS=MRC", "CURRENCY=USD", "XLFILL=b")</f>
        <v>128006</v>
      </c>
      <c r="J171" s="9">
        <f>_xll.BQL("AMZN US Equity", "IS_TOT_OPER_EXP/1M", "FPT=Q", "FPO=-7Q", "ACT_EST_MAPPING=PRECISE", "FS=MRC", "CURRENCY=USD", "XLFILL=b")</f>
        <v>133305</v>
      </c>
      <c r="K171" s="9">
        <f>_xll.BQL("AMZN US Equity", "IS_TOT_OPER_EXP/1M", "FPT=Q", "FPO=-6Q", "ACT_EST_MAPPING=PRECISE", "FS=MRC", "CURRENCY=USD", "XLFILL=b")</f>
        <v>141466</v>
      </c>
      <c r="L171" s="9">
        <f>_xll.BQL("AMZN US Equity", "IS_TOT_OPER_EXP/1M", "FPT=Q", "FPO=-5Q", "ACT_EST_MAPPING=PRECISE", "FS=MRC", "CURRENCY=USD", "XLFILL=b")</f>
        <v>166589</v>
      </c>
      <c r="M171" s="9">
        <f>_xll.BQL("AMZN US Equity", "IS_TOT_OPER_EXP/1M", "FPT=Q", "FPO=-4Q", "ACT_EST_MAPPING=PRECISE", "FS=MRC", "CURRENCY=USD", "XLFILL=b")</f>
        <v>137262</v>
      </c>
      <c r="N171" s="9">
        <f>_xll.BQL("AMZN US Equity", "IS_TOT_OPER_EXP/1M", "FPT=Q", "FPO=-3Q", "ACT_EST_MAPPING=PRECISE", "FS=MRC", "CURRENCY=USD", "XLFILL=b")</f>
        <v>148531</v>
      </c>
      <c r="O171" s="9">
        <f>_xll.BQL("AMZN US Equity", "IS_TOT_OPER_EXP/1M", "FPT=Q", "FPO=-2Q", "ACT_EST_MAPPING=PRECISE", "FS=MRC", "CURRENCY=USD", "XLFILL=b")</f>
        <v>162747</v>
      </c>
      <c r="P171" s="9">
        <f>_xll.BQL("AMZN US Equity", "IS_TOT_OPER_EXP/1M", "FPT=Q", "FPO=-1Q", "ACT_EST_MAPPING=PRECISE", "FS=MRC", "CURRENCY=USD", "XLFILL=b")</f>
        <v>188409</v>
      </c>
      <c r="Q171" s="9">
        <f>_xll.BQL("AMZN US Equity", "IS_TOT_OPER_EXP/1M", "FPT=Q", "FPO=0Q", "ACT_EST_MAPPING=PRECISE", "FS=MRC", "CURRENCY=USD", "XLFILL=b")</f>
        <v>157667</v>
      </c>
      <c r="R171" s="9">
        <f>_xll.BQL("AMZN US Equity", "IS_TOT_OPER_EXP/1M", "FPT=Q", "FPO=1Q", "ACT_EST_MAPPING=PRECISE", "FS=MRC", "CURRENCY=USD", "XLFILL=b")</f>
        <v>173715.06974793234</v>
      </c>
      <c r="S171" s="9">
        <f>_xll.BQL("AMZN US Equity", "IS_TOT_OPER_EXP/1M", "FPT=Q", "FPO=2Q", "ACT_EST_MAPPING=PRECISE", "FS=MRC", "CURRENCY=USD", "XLFILL=b")</f>
        <v>179133.27225538623</v>
      </c>
      <c r="T171" s="9">
        <f>_xll.BQL("AMZN US Equity", "IS_TOT_OPER_EXP/1M", "FPT=Q", "FPO=3Q", "ACT_EST_MAPPING=PRECISE", "FS=MRC", "CURRENCY=USD", "XLFILL=b")</f>
        <v>213131.4497429968</v>
      </c>
      <c r="U171" s="9">
        <f>_xll.BQL("AMZN US Equity", "IS_TOT_OPER_EXP/1M", "FPT=Q", "FPO=4Q", "ACT_EST_MAPPING=PRECISE", "FS=MRC", "CURRENCY=USD", "XLFILL=b")</f>
        <v>177258.84071815369</v>
      </c>
      <c r="V171" s="9">
        <f>_xll.BQL("AMZN US Equity", "IS_TOT_OPER_EXP/1M", "FPT=Q", "FPO=5Q", "ACT_EST_MAPPING=PRECISE", "FS=MRC", "CURRENCY=USD", "XLFILL=b")</f>
        <v>194755.7011926439</v>
      </c>
      <c r="W171" s="9">
        <f>_xll.BQL("AMZN US Equity", "IS_TOT_OPER_EXP/1M", "FPT=Q", "FPO=6Q", "ACT_EST_MAPPING=PRECISE", "FS=MRC", "CURRENCY=USD", "XLFILL=b")</f>
        <v>201431.95579765181</v>
      </c>
      <c r="X171" s="9">
        <f>_xll.BQL("AMZN US Equity", "IS_TOT_OPER_EXP/1M", "FPT=Q", "FPO=7Q", "ACT_EST_MAPPING=PRECISE", "FS=MRC", "CURRENCY=USD", "XLFILL=b")</f>
        <v>238370.30105463328</v>
      </c>
    </row>
    <row r="172" spans="1:24" x14ac:dyDescent="0.25">
      <c r="A172" s="8" t="s">
        <v>178</v>
      </c>
      <c r="B172" s="4" t="s">
        <v>188</v>
      </c>
      <c r="C172" s="4" t="s">
        <v>189</v>
      </c>
      <c r="D172" s="4"/>
      <c r="E172" s="9">
        <f>_xll.BQL("AMZN US Equity", "TOTAL_OPEX_AS_A_PERCENTAGE_SALES", "FPT=Q", "FPO=-12Q", "ACT_EST_MAPPING=PRECISE", "FS=MRC", "CURRENCY=USD", "XLFILL=b")</f>
        <v>96.251511487303503</v>
      </c>
      <c r="F172" s="9">
        <f>_xll.BQL("AMZN US Equity", "TOTAL_OPEX_AS_A_PERCENTAGE_SALES", "FPT=Q", "FPO=-11Q", "ACT_EST_MAPPING=PRECISE", "FS=MRC", "CURRENCY=USD", "XLFILL=b")</f>
        <v>94.284247263418735</v>
      </c>
      <c r="G172" s="9">
        <f>_xll.BQL("AMZN US Equity", "TOTAL_OPEX_AS_A_PERCENTAGE_SALES", "FPT=Q", "FPO=-10Q", "ACT_EST_MAPPING=PRECISE", "FS=MRC", "CURRENCY=USD", "XLFILL=b")</f>
        <v>92.180762214938184</v>
      </c>
      <c r="H172" s="9">
        <f>_xll.BQL("AMZN US Equity", "TOTAL_OPEX_AS_A_PERCENTAGE_SALES", "FPT=Q", "FPO=-9Q", "ACT_EST_MAPPING=PRECISE", "FS=MRC", "CURRENCY=USD", "XLFILL=b")</f>
        <v>92.228217061561182</v>
      </c>
      <c r="I172" s="9">
        <f>_xll.BQL("AMZN US Equity", "TOTAL_OPEX_AS_A_PERCENTAGE_SALES", "FPT=Q", "FPO=-8Q", "ACT_EST_MAPPING=PRECISE", "FS=MRC", "CURRENCY=USD", "XLFILL=b")</f>
        <v>89.319182488678621</v>
      </c>
      <c r="J172" s="9">
        <f>_xll.BQL("AMZN US Equity", "TOTAL_OPEX_AS_A_PERCENTAGE_SALES", "FPT=Q", "FPO=-7Q", "ACT_EST_MAPPING=PRECISE", "FS=MRC", "CURRENCY=USD", "XLFILL=b")</f>
        <v>90.084945633443041</v>
      </c>
      <c r="K172" s="9">
        <f>_xll.BQL("AMZN US Equity", "TOTAL_OPEX_AS_A_PERCENTAGE_SALES", "FPT=Q", "FPO=-6Q", "ACT_EST_MAPPING=PRECISE", "FS=MRC", "CURRENCY=USD", "XLFILL=b")</f>
        <v>89.041207978499088</v>
      </c>
      <c r="L172" s="9">
        <f>_xll.BQL("AMZN US Equity", "TOTAL_OPEX_AS_A_PERCENTAGE_SALES", "FPT=Q", "FPO=-5Q", "ACT_EST_MAPPING=PRECISE", "FS=MRC", "CURRENCY=USD", "XLFILL=b")</f>
        <v>88.709316690806844</v>
      </c>
      <c r="M172" s="9">
        <f>_xll.BQL("AMZN US Equity", "TOTAL_OPEX_AS_A_PERCENTAGE_SALES", "FPT=Q", "FPO=-4Q", "ACT_EST_MAPPING=PRECISE", "FS=MRC", "CURRENCY=USD", "XLFILL=b")</f>
        <v>88.176684846499256</v>
      </c>
      <c r="N172" s="9">
        <f>_xll.BQL("AMZN US Equity", "TOTAL_OPEX_AS_A_PERCENTAGE_SALES", "FPT=Q", "FPO=-3Q", "ACT_EST_MAPPING=PRECISE", "FS=MRC", "CURRENCY=USD", "XLFILL=b")</f>
        <v>88.568413018330133</v>
      </c>
      <c r="O172" s="9">
        <f>_xll.BQL("AMZN US Equity", "TOTAL_OPEX_AS_A_PERCENTAGE_SALES", "FPT=Q", "FPO=-2Q", "ACT_EST_MAPPING=PRECISE", "FS=MRC", "CURRENCY=USD", "XLFILL=b")</f>
        <v>90.33018998828878</v>
      </c>
      <c r="P172" s="9">
        <f>_xll.BQL("AMZN US Equity", "TOTAL_OPEX_AS_A_PERCENTAGE_SALES", "FPT=Q", "FPO=-1Q", "ACT_EST_MAPPING=PRECISE", "FS=MRC", "CURRENCY=USD", "XLFILL=b")</f>
        <v>88.29492094139259</v>
      </c>
      <c r="Q172" s="9">
        <f>_xll.BQL("AMZN US Equity", "TOTAL_OPEX_AS_A_PERCENTAGE_SALES", "FPT=Q", "FPO=0Q", "ACT_EST_MAPPING=PRECISE", "FS=MRC", "CURRENCY=USD", "XLFILL=b")</f>
        <v>86.859777764311175</v>
      </c>
      <c r="R172" s="9">
        <f>_xll.BQL("AMZN US Equity", "TOTAL_OPEX_AS_A_PERCENTAGE_SALES", "FPT=Q", "FPO=1Q", "ACT_EST_MAPPING=PRECISE", "FS=MRC", "CURRENCY=USD", "XLFILL=b")</f>
        <v>89.823628038883243</v>
      </c>
      <c r="S172" s="9">
        <f>_xll.BQL("AMZN US Equity", "TOTAL_OPEX_AS_A_PERCENTAGE_SALES", "FPT=Q", "FPO=2Q", "ACT_EST_MAPPING=PRECISE", "FS=MRC", "CURRENCY=USD", "XLFILL=b")</f>
        <v>89.728914976331794</v>
      </c>
      <c r="T172" s="9">
        <f>_xll.BQL("AMZN US Equity", "TOTAL_OPEX_AS_A_PERCENTAGE_SALES", "FPT=Q", "FPO=3Q", "ACT_EST_MAPPING=PRECISE", "FS=MRC", "CURRENCY=USD", "XLFILL=b")</f>
        <v>89.812735308927529</v>
      </c>
      <c r="U172" s="9">
        <f>_xll.BQL("AMZN US Equity", "TOTAL_OPEX_AS_A_PERCENTAGE_SALES", "FPT=Q", "FPO=4Q", "ACT_EST_MAPPING=PRECISE", "FS=MRC", "CURRENCY=USD", "XLFILL=b")</f>
        <v>88.793522511100889</v>
      </c>
      <c r="V172" s="9">
        <f>_xll.BQL("AMZN US Equity", "TOTAL_OPEX_AS_A_PERCENTAGE_SALES", "FPT=Q", "FPO=5Q", "ACT_EST_MAPPING=PRECISE", "FS=MRC", "CURRENCY=USD", "XLFILL=b")</f>
        <v>89.994053929739991</v>
      </c>
      <c r="W172" s="9">
        <f>_xll.BQL("AMZN US Equity", "TOTAL_OPEX_AS_A_PERCENTAGE_SALES", "FPT=Q", "FPO=6Q", "ACT_EST_MAPPING=PRECISE", "FS=MRC", "CURRENCY=USD", "XLFILL=b")</f>
        <v>89.539293417470944</v>
      </c>
      <c r="X172" s="9">
        <f>_xll.BQL("AMZN US Equity", "TOTAL_OPEX_AS_A_PERCENTAGE_SALES", "FPT=Q", "FPO=7Q", "ACT_EST_MAPPING=PRECISE", "FS=MRC", "CURRENCY=USD", "XLFILL=b")</f>
        <v>89.602575306417748</v>
      </c>
    </row>
    <row r="173" spans="1:24" x14ac:dyDescent="0.25">
      <c r="A173" s="8" t="s">
        <v>190</v>
      </c>
      <c r="B173" s="4" t="s">
        <v>191</v>
      </c>
      <c r="C173" s="4" t="s">
        <v>192</v>
      </c>
      <c r="D173" s="4"/>
      <c r="E173" s="9">
        <f>_xll.BQL("AMZN US Equity", "IS_OPERATING_EXPN/1M", "FPT=Q", "FPO=-12Q", "ACT_EST_MAPPING=PRECISE", "FS=MRC", "CURRENCY=USD", "XLFILL=b")</f>
        <v>54793</v>
      </c>
      <c r="F173" s="9">
        <f>_xll.BQL("AMZN US Equity", "IS_OPERATING_EXPN/1M", "FPT=Q", "FPO=-11Q", "ACT_EST_MAPPING=PRECISE", "FS=MRC", "CURRENCY=USD", "XLFILL=b")</f>
        <v>57329</v>
      </c>
      <c r="G173" s="9">
        <f>_xll.BQL("AMZN US Equity", "IS_OPERATING_EXPN/1M", "FPT=Q", "FPO=-10Q", "ACT_EST_MAPPING=PRECISE", "FS=MRC", "CURRENCY=USD", "XLFILL=b")</f>
        <v>56873</v>
      </c>
      <c r="H173" s="9">
        <f>_xll.BQL("AMZN US Equity", "IS_OPERATING_EXPN/1M", "FPT=Q", "FPO=-9Q", "ACT_EST_MAPPING=PRECISE", "FS=MRC", "CURRENCY=USD", "XLFILL=b")</f>
        <v>64199</v>
      </c>
      <c r="I173" s="9">
        <f>_xll.BQL("AMZN US Equity", "IS_OPERATING_EXPN/1M", "FPT=Q", "FPO=-8Q", "ACT_EST_MAPPING=PRECISE", "FS=MRC", "CURRENCY=USD", "XLFILL=b")</f>
        <v>55373</v>
      </c>
      <c r="J173" s="9">
        <f>_xll.BQL("AMZN US Equity", "IS_OPERATING_EXPN/1M", "FPT=Q", "FPO=-7Q", "ACT_EST_MAPPING=PRECISE", "FS=MRC", "CURRENCY=USD", "XLFILL=b")</f>
        <v>59520</v>
      </c>
      <c r="K173" s="9">
        <f>_xll.BQL("AMZN US Equity", "IS_OPERATING_EXPN/1M", "FPT=Q", "FPO=-6Q", "ACT_EST_MAPPING=PRECISE", "FS=MRC", "CURRENCY=USD", "XLFILL=b")</f>
        <v>60489</v>
      </c>
      <c r="L173" s="9">
        <f>_xll.BQL("AMZN US Equity", "IS_OPERATING_EXPN/1M", "FPT=Q", "FPO=-5Q", "ACT_EST_MAPPING=PRECISE", "FS=MRC", "CURRENCY=USD", "XLFILL=b")</f>
        <v>67696</v>
      </c>
      <c r="M173" s="9">
        <f>_xll.BQL("AMZN US Equity", "IS_OPERATING_EXPN/1M", "FPT=Q", "FPO=-4Q", "ACT_EST_MAPPING=PRECISE", "FS=MRC", "CURRENCY=USD", "XLFILL=b")</f>
        <v>60286</v>
      </c>
      <c r="N173" s="9">
        <f>_xll.BQL("AMZN US Equity", "IS_OPERATING_EXPN/1M", "FPT=Q", "FPO=-3Q", "ACT_EST_MAPPING=PRECISE", "FS=MRC", "CURRENCY=USD", "XLFILL=b")</f>
        <v>67722</v>
      </c>
      <c r="O173" s="9">
        <f>_xll.BQL("AMZN US Equity", "IS_OPERATING_EXPN/1M", "FPT=Q", "FPO=-2Q", "ACT_EST_MAPPING=PRECISE", "FS=MRC", "CURRENCY=USD", "XLFILL=b")</f>
        <v>74077</v>
      </c>
      <c r="P173" s="9">
        <f>_xll.BQL("AMZN US Equity", "IS_OPERATING_EXPN/1M", "FPT=Q", "FPO=-1Q", "ACT_EST_MAPPING=PRECISE", "FS=MRC", "CURRENCY=USD", "XLFILL=b")</f>
        <v>78450</v>
      </c>
      <c r="Q173" s="9">
        <f>_xll.BQL("AMZN US Equity", "IS_OPERATING_EXPN/1M", "FPT=Q", "FPO=0Q", "ACT_EST_MAPPING=PRECISE", "FS=MRC", "CURRENCY=USD", "XLFILL=b")</f>
        <v>70204</v>
      </c>
      <c r="R173" s="9">
        <f>_xll.BQL("AMZN US Equity", "IS_OPERATING_EXPN/1M", "FPT=Q", "FPO=1Q", "ACT_EST_MAPPING=PRECISE", "FS=MRC", "CURRENCY=USD", "XLFILL=b")</f>
        <v>79552.541211896096</v>
      </c>
      <c r="S173" s="9">
        <f>_xll.BQL("AMZN US Equity", "IS_OPERATING_EXPN/1M", "FPT=Q", "FPO=2Q", "ACT_EST_MAPPING=PRECISE", "FS=MRC", "CURRENCY=USD", "XLFILL=b")</f>
        <v>80702.701600297311</v>
      </c>
      <c r="T173" s="9">
        <f>_xll.BQL("AMZN US Equity", "IS_OPERATING_EXPN/1M", "FPT=Q", "FPO=3Q", "ACT_EST_MAPPING=PRECISE", "FS=MRC", "CURRENCY=USD", "XLFILL=b")</f>
        <v>89143.820742220079</v>
      </c>
      <c r="U173" s="9">
        <f>_xll.BQL("AMZN US Equity", "IS_OPERATING_EXPN/1M", "FPT=Q", "FPO=4Q", "ACT_EST_MAPPING=PRECISE", "FS=MRC", "CURRENCY=USD", "XLFILL=b")</f>
        <v>79511.985330289957</v>
      </c>
      <c r="V173" s="9">
        <f>_xll.BQL("AMZN US Equity", "IS_OPERATING_EXPN/1M", "FPT=Q", "FPO=5Q", "ACT_EST_MAPPING=PRECISE", "FS=MRC", "CURRENCY=USD", "XLFILL=b")</f>
        <v>88822.202775414567</v>
      </c>
      <c r="W173" s="9">
        <f>_xll.BQL("AMZN US Equity", "IS_OPERATING_EXPN/1M", "FPT=Q", "FPO=6Q", "ACT_EST_MAPPING=PRECISE", "FS=MRC", "CURRENCY=USD", "XLFILL=b")</f>
        <v>91231.496659743541</v>
      </c>
      <c r="X173" s="9">
        <f>_xll.BQL("AMZN US Equity", "IS_OPERATING_EXPN/1M", "FPT=Q", "FPO=7Q", "ACT_EST_MAPPING=PRECISE", "FS=MRC", "CURRENCY=USD", "XLFILL=b")</f>
        <v>101402.243622861</v>
      </c>
    </row>
    <row r="174" spans="1:24" x14ac:dyDescent="0.25">
      <c r="A174" s="8" t="s">
        <v>178</v>
      </c>
      <c r="B174" s="4" t="s">
        <v>193</v>
      </c>
      <c r="C174" s="4" t="s">
        <v>194</v>
      </c>
      <c r="D174" s="4"/>
      <c r="E174" s="9">
        <f>_xll.BQL("AMZN US Equity", "OPERATING_EXPENSES_TO_NET_SALES", "FPT=Q", "FPO=-12Q", "ACT_EST_MAPPING=PRECISE", "FS=MRC", "CURRENCY=USD", "XLFILL=b")</f>
        <v>43.022817569371377</v>
      </c>
      <c r="F174" s="9">
        <f>_xll.BQL("AMZN US Equity", "OPERATING_EXPENSES_TO_NET_SALES", "FPT=Q", "FPO=-11Q", "ACT_EST_MAPPING=PRECISE", "FS=MRC", "CURRENCY=USD", "XLFILL=b")</f>
        <v>42.660902048622226</v>
      </c>
      <c r="G174" s="9">
        <f>_xll.BQL("AMZN US Equity", "OPERATING_EXPENSES_TO_NET_SALES", "FPT=Q", "FPO=-10Q", "ACT_EST_MAPPING=PRECISE", "FS=MRC", "CURRENCY=USD", "XLFILL=b")</f>
        <v>39.748258004095526</v>
      </c>
      <c r="H174" s="9">
        <f>_xll.BQL("AMZN US Equity", "OPERATING_EXPENSES_TO_NET_SALES", "FPT=Q", "FPO=-9Q", "ACT_EST_MAPPING=PRECISE", "FS=MRC", "CURRENCY=USD", "XLFILL=b")</f>
        <v>37.772783167903221</v>
      </c>
      <c r="I174" s="9">
        <f>_xll.BQL("AMZN US Equity", "OPERATING_EXPENSES_TO_NET_SALES", "FPT=Q", "FPO=-8Q", "ACT_EST_MAPPING=PRECISE", "FS=MRC", "CURRENCY=USD", "XLFILL=b")</f>
        <v>38.637806758633204</v>
      </c>
      <c r="J174" s="9">
        <f>_xll.BQL("AMZN US Equity", "OPERATING_EXPENSES_TO_NET_SALES", "FPT=Q", "FPO=-7Q", "ACT_EST_MAPPING=PRECISE", "FS=MRC", "CURRENCY=USD", "XLFILL=b")</f>
        <v>40.22246700500753</v>
      </c>
      <c r="K174" s="9">
        <f>_xll.BQL("AMZN US Equity", "OPERATING_EXPENSES_TO_NET_SALES", "FPT=Q", "FPO=-6Q", "ACT_EST_MAPPING=PRECISE", "FS=MRC", "CURRENCY=USD", "XLFILL=b")</f>
        <v>38.072848807568114</v>
      </c>
      <c r="L174" s="9">
        <f>_xll.BQL("AMZN US Equity", "OPERATING_EXPENSES_TO_NET_SALES", "FPT=Q", "FPO=-5Q", "ACT_EST_MAPPING=PRECISE", "FS=MRC", "CURRENCY=USD", "XLFILL=b")</f>
        <v>36.048393967794155</v>
      </c>
      <c r="M174" s="9">
        <f>_xll.BQL("AMZN US Equity", "OPERATING_EXPENSES_TO_NET_SALES", "FPT=Q", "FPO=-4Q", "ACT_EST_MAPPING=PRECISE", "FS=MRC", "CURRENCY=USD", "XLFILL=b")</f>
        <v>38.727540197986727</v>
      </c>
      <c r="N174" s="9">
        <f>_xll.BQL("AMZN US Equity", "OPERATING_EXPENSES_TO_NET_SALES", "FPT=Q", "FPO=-3Q", "ACT_EST_MAPPING=PRECISE", "FS=MRC", "CURRENCY=USD", "XLFILL=b")</f>
        <v>40.382344873644918</v>
      </c>
      <c r="O174" s="9">
        <f>_xll.BQL("AMZN US Equity", "OPERATING_EXPENSES_TO_NET_SALES", "FPT=Q", "FPO=-2Q", "ACT_EST_MAPPING=PRECISE", "FS=MRC", "CURRENCY=USD", "XLFILL=b")</f>
        <v>41.11528620350893</v>
      </c>
      <c r="P174" s="9">
        <f>_xll.BQL("AMZN US Equity", "OPERATING_EXPENSES_TO_NET_SALES", "FPT=Q", "FPO=-1Q", "ACT_EST_MAPPING=PRECISE", "FS=MRC", "CURRENCY=USD", "XLFILL=b")</f>
        <v>36.764361298304479</v>
      </c>
      <c r="Q174" s="9">
        <f>_xll.BQL("AMZN US Equity", "OPERATING_EXPENSES_TO_NET_SALES", "FPT=Q", "FPO=0Q", "ACT_EST_MAPPING=PRECISE", "FS=MRC", "CURRENCY=USD", "XLFILL=b")</f>
        <v>38.67584109652433</v>
      </c>
      <c r="R174" s="9">
        <f>_xll.BQL("AMZN US Equity", "OPERATING_EXPENSES_TO_NET_SALES", "FPT=Q", "FPO=1Q", "ACT_EST_MAPPING=PRECISE", "FS=MRC", "CURRENCY=USD", "XLFILL=b")</f>
        <v>39.520318881983307</v>
      </c>
      <c r="S174" s="9">
        <f>_xll.BQL("AMZN US Equity", "OPERATING_EXPENSES_TO_NET_SALES", "FPT=Q", "FPO=2Q", "ACT_EST_MAPPING=PRECISE", "FS=MRC", "CURRENCY=USD", "XLFILL=b")</f>
        <v>38.877808340913226</v>
      </c>
      <c r="T174" s="9">
        <f>_xll.BQL("AMZN US Equity", "OPERATING_EXPENSES_TO_NET_SALES", "FPT=Q", "FPO=3Q", "ACT_EST_MAPPING=PRECISE", "FS=MRC", "CURRENCY=USD", "XLFILL=b")</f>
        <v>35.765224550741948</v>
      </c>
      <c r="U174" s="9">
        <f>_xll.BQL("AMZN US Equity", "OPERATING_EXPENSES_TO_NET_SALES", "FPT=Q", "FPO=4Q", "ACT_EST_MAPPING=PRECISE", "FS=MRC", "CURRENCY=USD", "XLFILL=b")</f>
        <v>38.599950928566813</v>
      </c>
      <c r="V174" s="9">
        <f>_xll.BQL("AMZN US Equity", "OPERATING_EXPENSES_TO_NET_SALES", "FPT=Q", "FPO=5Q", "ACT_EST_MAPPING=PRECISE", "FS=MRC", "CURRENCY=USD", "XLFILL=b")</f>
        <v>40.251854852285547</v>
      </c>
      <c r="W174" s="9">
        <f>_xll.BQL("AMZN US Equity", "OPERATING_EXPENSES_TO_NET_SALES", "FPT=Q", "FPO=6Q", "ACT_EST_MAPPING=PRECISE", "FS=MRC", "CURRENCY=USD", "XLFILL=b")</f>
        <v>39.891366059061163</v>
      </c>
      <c r="X174" s="9">
        <f>_xll.BQL("AMZN US Equity", "OPERATING_EXPENSES_TO_NET_SALES", "FPT=Q", "FPO=7Q", "ACT_EST_MAPPING=PRECISE", "FS=MRC", "CURRENCY=USD", "XLFILL=b")</f>
        <v>36.699894785708167</v>
      </c>
    </row>
    <row r="175" spans="1:24" x14ac:dyDescent="0.25">
      <c r="A175" s="8" t="s">
        <v>195</v>
      </c>
      <c r="B175" s="4" t="s">
        <v>196</v>
      </c>
      <c r="C175" s="4" t="s">
        <v>197</v>
      </c>
      <c r="D175" s="4"/>
      <c r="E175" s="9">
        <f>_xll.BQL("AMZN US Equity", "IS_OPEX_R_AND_D_GAAP/1M", "FPT=Q", "FPO=-12Q", "ACT_EST_MAPPING=PRECISE", "FS=MRC", "CURRENCY=USD", "XLFILL=b")</f>
        <v>20450</v>
      </c>
      <c r="F175" s="9">
        <f>_xll.BQL("AMZN US Equity", "IS_OPEX_R_AND_D_GAAP/1M", "FPT=Q", "FPO=-11Q", "ACT_EST_MAPPING=PRECISE", "FS=MRC", "CURRENCY=USD", "XLFILL=b")</f>
        <v>21931</v>
      </c>
      <c r="G175" s="9">
        <f>_xll.BQL("AMZN US Equity", "IS_OPEX_R_AND_D_GAAP/1M", "FPT=Q", "FPO=-10Q", "ACT_EST_MAPPING=PRECISE", "FS=MRC", "CURRENCY=USD", "XLFILL=b")</f>
        <v>21203</v>
      </c>
      <c r="H175" s="9">
        <f>_xll.BQL("AMZN US Equity", "IS_OPEX_R_AND_D_GAAP/1M", "FPT=Q", "FPO=-9Q", "ACT_EST_MAPPING=PRECISE", "FS=MRC", "CURRENCY=USD", "XLFILL=b")</f>
        <v>22038</v>
      </c>
      <c r="I175" s="9">
        <f>_xll.BQL("AMZN US Equity", "IS_OPEX_R_AND_D_GAAP/1M", "FPT=Q", "FPO=-8Q", "ACT_EST_MAPPING=PRECISE", "FS=MRC", "CURRENCY=USD", "XLFILL=b")</f>
        <v>20424</v>
      </c>
      <c r="J175" s="9">
        <f>_xll.BQL("AMZN US Equity", "IS_OPEX_R_AND_D_GAAP/1M", "FPT=Q", "FPO=-7Q", "ACT_EST_MAPPING=PRECISE", "FS=MRC", "CURRENCY=USD", "XLFILL=b")</f>
        <v>22304</v>
      </c>
      <c r="K175" s="9">
        <f>_xll.BQL("AMZN US Equity", "IS_OPEX_R_AND_D_GAAP/1M", "FPT=Q", "FPO=-6Q", "ACT_EST_MAPPING=PRECISE", "FS=MRC", "CURRENCY=USD", "XLFILL=b")</f>
        <v>22245</v>
      </c>
      <c r="L175" s="9">
        <f>_xll.BQL("AMZN US Equity", "IS_OPEX_R_AND_D_GAAP/1M", "FPT=Q", "FPO=-5Q", "ACT_EST_MAPPING=PRECISE", "FS=MRC", "CURRENCY=USD", "XLFILL=b")</f>
        <v>23571</v>
      </c>
      <c r="M175" s="9">
        <f>_xll.BQL("AMZN US Equity", "IS_OPEX_R_AND_D_GAAP/1M", "FPT=Q", "FPO=-4Q", "ACT_EST_MAPPING=PRECISE", "FS=MRC", "CURRENCY=USD", "XLFILL=b")</f>
        <v>22994</v>
      </c>
      <c r="N175" s="9">
        <f>_xll.BQL("AMZN US Equity", "IS_OPEX_R_AND_D_GAAP/1M", "FPT=Q", "FPO=-3Q", "ACT_EST_MAPPING=PRECISE", "FS=MRC", "CURRENCY=USD", "XLFILL=b")</f>
        <v>27166</v>
      </c>
      <c r="O175" s="9">
        <f>_xll.BQL("AMZN US Equity", "IS_OPEX_R_AND_D_GAAP/1M", "FPT=Q", "FPO=-2Q", "ACT_EST_MAPPING=PRECISE", "FS=MRC", "CURRENCY=USD", "XLFILL=b")</f>
        <v>28962</v>
      </c>
      <c r="P175" s="9">
        <f>_xll.BQL("AMZN US Equity", "IS_OPEX_R_AND_D_GAAP/1M", "FPT=Q", "FPO=-1Q", "ACT_EST_MAPPING=PRECISE", "FS=MRC", "CURRENCY=USD", "XLFILL=b")</f>
        <v>29399</v>
      </c>
      <c r="Q175" s="9">
        <f>_xll.BQL("AMZN US Equity", "IS_OPEX_R_AND_D_GAAP/1M", "FPT=Q", "FPO=0Q", "ACT_EST_MAPPING=PRECISE", "FS=MRC", "CURRENCY=USD", "XLFILL=b")</f>
        <v>29567</v>
      </c>
      <c r="R175" s="9">
        <f>_xll.BQL("AMZN US Equity", "IS_OPEX_R_AND_D_GAAP/1M", "FPT=Q", "FPO=1Q", "ACT_EST_MAPPING=PRECISE", "FS=MRC", "CURRENCY=USD", "XLFILL=b")</f>
        <v>33251.961641517926</v>
      </c>
      <c r="S175" s="9">
        <f>_xll.BQL("AMZN US Equity", "IS_OPEX_R_AND_D_GAAP/1M", "FPT=Q", "FPO=2Q", "ACT_EST_MAPPING=PRECISE", "FS=MRC", "CURRENCY=USD", "XLFILL=b")</f>
        <v>33953.736604701226</v>
      </c>
      <c r="T175" s="9">
        <f>_xll.BQL("AMZN US Equity", "IS_OPEX_R_AND_D_GAAP/1M", "FPT=Q", "FPO=3Q", "ACT_EST_MAPPING=PRECISE", "FS=MRC", "CURRENCY=USD", "XLFILL=b")</f>
        <v>36569.999368533674</v>
      </c>
      <c r="U175" s="9">
        <f>_xll.BQL("AMZN US Equity", "IS_OPEX_R_AND_D_GAAP/1M", "FPT=Q", "FPO=4Q", "ACT_EST_MAPPING=PRECISE", "FS=MRC", "CURRENCY=USD", "XLFILL=b")</f>
        <v>34289.004365689427</v>
      </c>
      <c r="V175" s="9">
        <f>_xll.BQL("AMZN US Equity", "IS_OPEX_R_AND_D_GAAP/1M", "FPT=Q", "FPO=5Q", "ACT_EST_MAPPING=PRECISE", "FS=MRC", "CURRENCY=USD", "XLFILL=b")</f>
        <v>38612.808262001381</v>
      </c>
      <c r="W175" s="9">
        <f>_xll.BQL("AMZN US Equity", "IS_OPEX_R_AND_D_GAAP/1M", "FPT=Q", "FPO=6Q", "ACT_EST_MAPPING=PRECISE", "FS=MRC", "CURRENCY=USD", "XLFILL=b")</f>
        <v>39641.335697382026</v>
      </c>
      <c r="X175" s="9">
        <f>_xll.BQL("AMZN US Equity", "IS_OPEX_R_AND_D_GAAP/1M", "FPT=Q", "FPO=7Q", "ACT_EST_MAPPING=PRECISE", "FS=MRC", "CURRENCY=USD", "XLFILL=b")</f>
        <v>43359.582663777415</v>
      </c>
    </row>
    <row r="176" spans="1:24" x14ac:dyDescent="0.25">
      <c r="A176" s="8" t="s">
        <v>130</v>
      </c>
      <c r="B176" s="4" t="s">
        <v>198</v>
      </c>
      <c r="C176" s="4" t="s">
        <v>199</v>
      </c>
      <c r="D176" s="4"/>
      <c r="E176" s="9">
        <f>_xll.BQL("AMZN US Equity", "RD_EXPEND_TO_NET_SALES", "FPT=Q", "FPO=-12Q", "ACT_EST_MAPPING=PRECISE", "FS=MRC", "CURRENCY=USD", "XLFILL=b")</f>
        <v>16.057098886603118</v>
      </c>
      <c r="F176" s="9">
        <f>_xll.BQL("AMZN US Equity", "RD_EXPEND_TO_NET_SALES", "FPT=Q", "FPO=-11Q", "ACT_EST_MAPPING=PRECISE", "FS=MRC", "CURRENCY=USD", "XLFILL=b")</f>
        <v>16.319772590282998</v>
      </c>
      <c r="G176" s="9">
        <f>_xll.BQL("AMZN US Equity", "RD_EXPEND_TO_NET_SALES", "FPT=Q", "FPO=-10Q", "ACT_EST_MAPPING=PRECISE", "FS=MRC", "CURRENCY=USD", "XLFILL=b")</f>
        <v>14.818671680073802</v>
      </c>
      <c r="H176" s="9">
        <f>_xll.BQL("AMZN US Equity", "RD_EXPEND_TO_NET_SALES", "FPT=Q", "FPO=-9Q", "ACT_EST_MAPPING=PRECISE", "FS=MRC", "CURRENCY=USD", "XLFILL=b")</f>
        <v>12.966504080347843</v>
      </c>
      <c r="I176" s="9">
        <f>_xll.BQL("AMZN US Equity", "RD_EXPEND_TO_NET_SALES", "FPT=Q", "FPO=-8Q", "ACT_EST_MAPPING=PRECISE", "FS=MRC", "CURRENCY=USD", "XLFILL=b")</f>
        <v>14.25132402503611</v>
      </c>
      <c r="J176" s="9">
        <f>_xll.BQL("AMZN US Equity", "RD_EXPEND_TO_NET_SALES", "FPT=Q", "FPO=-7Q", "ACT_EST_MAPPING=PRECISE", "FS=MRC", "CURRENCY=USD", "XLFILL=b")</f>
        <v>15.072612635747449</v>
      </c>
      <c r="K176" s="9">
        <f>_xll.BQL("AMZN US Equity", "RD_EXPEND_TO_NET_SALES", "FPT=Q", "FPO=-6Q", "ACT_EST_MAPPING=PRECISE", "FS=MRC", "CURRENCY=USD", "XLFILL=b")</f>
        <v>14.001397307350969</v>
      </c>
      <c r="L176" s="9">
        <f>_xll.BQL("AMZN US Equity", "RD_EXPEND_TO_NET_SALES", "FPT=Q", "FPO=-5Q", "ACT_EST_MAPPING=PRECISE", "FS=MRC", "CURRENCY=USD", "XLFILL=b")</f>
        <v>12.551652892561984</v>
      </c>
      <c r="M176" s="9">
        <f>_xll.BQL("AMZN US Equity", "RD_EXPEND_TO_NET_SALES", "FPT=Q", "FPO=-4Q", "ACT_EST_MAPPING=PRECISE", "FS=MRC", "CURRENCY=USD", "XLFILL=b")</f>
        <v>14.771274579711822</v>
      </c>
      <c r="N176" s="9">
        <f>_xll.BQL("AMZN US Equity", "RD_EXPEND_TO_NET_SALES", "FPT=Q", "FPO=-3Q", "ACT_EST_MAPPING=PRECISE", "FS=MRC", "CURRENCY=USD", "XLFILL=b")</f>
        <v>16.198971986022826</v>
      </c>
      <c r="O176" s="9">
        <f>_xll.BQL("AMZN US Equity", "RD_EXPEND_TO_NET_SALES", "FPT=Q", "FPO=-2Q", "ACT_EST_MAPPING=PRECISE", "FS=MRC", "CURRENCY=USD", "XLFILL=b")</f>
        <v>16.074907448007149</v>
      </c>
      <c r="P176" s="9">
        <f>_xll.BQL("AMZN US Equity", "RD_EXPEND_TO_NET_SALES", "FPT=Q", "FPO=-1Q", "ACT_EST_MAPPING=PRECISE", "FS=MRC", "CURRENCY=USD", "XLFILL=b")</f>
        <v>13.777379959322541</v>
      </c>
      <c r="Q176" s="9">
        <f>_xll.BQL("AMZN US Equity", "RD_EXPEND_TO_NET_SALES", "FPT=Q", "FPO=0Q", "ACT_EST_MAPPING=PRECISE", "FS=MRC", "CURRENCY=USD", "XLFILL=b")</f>
        <v>16.28865297847608</v>
      </c>
      <c r="R176" s="9">
        <f>_xll.BQL("AMZN US Equity", "RD_EXPEND_TO_NET_SALES", "FPT=Q", "FPO=1Q", "ACT_EST_MAPPING=PRECISE", "FS=MRC", "CURRENCY=USD", "XLFILL=b")</f>
        <v>16.792039781554127</v>
      </c>
      <c r="S176" s="9">
        <f>_xll.BQL("AMZN US Equity", "RD_EXPEND_TO_NET_SALES", "FPT=Q", "FPO=2Q", "ACT_EST_MAPPING=PRECISE", "FS=MRC", "CURRENCY=USD", "XLFILL=b")</f>
        <v>16.590140075686467</v>
      </c>
      <c r="T176" s="9">
        <f>_xll.BQL("AMZN US Equity", "RD_EXPEND_TO_NET_SALES", "FPT=Q", "FPO=3Q", "ACT_EST_MAPPING=PRECISE", "FS=MRC", "CURRENCY=USD", "XLFILL=b")</f>
        <v>14.956674728952011</v>
      </c>
      <c r="U176" s="9">
        <f>_xll.BQL("AMZN US Equity", "RD_EXPEND_TO_NET_SALES", "FPT=Q", "FPO=4Q", "ACT_EST_MAPPING=PRECISE", "FS=MRC", "CURRENCY=USD", "XLFILL=b")</f>
        <v>16.652634942637636</v>
      </c>
      <c r="V176" s="9">
        <f>_xll.BQL("AMZN US Equity", "RD_EXPEND_TO_NET_SALES", "FPT=Q", "FPO=5Q", "ACT_EST_MAPPING=PRECISE", "FS=MRC", "CURRENCY=USD", "XLFILL=b")</f>
        <v>17.099600938252951</v>
      </c>
      <c r="W176" s="9">
        <f>_xll.BQL("AMZN US Equity", "RD_EXPEND_TO_NET_SALES", "FPT=Q", "FPO=6Q", "ACT_EST_MAPPING=PRECISE", "FS=MRC", "CURRENCY=USD", "XLFILL=b")</f>
        <v>16.921300703632934</v>
      </c>
      <c r="X176" s="9">
        <f>_xll.BQL("AMZN US Equity", "RD_EXPEND_TO_NET_SALES", "FPT=Q", "FPO=7Q", "ACT_EST_MAPPING=PRECISE", "FS=MRC", "CURRENCY=USD", "XLFILL=b")</f>
        <v>15.534645578360616</v>
      </c>
    </row>
    <row r="177" spans="1:24" x14ac:dyDescent="0.25">
      <c r="A177" s="8" t="s">
        <v>200</v>
      </c>
      <c r="B177" s="4" t="s">
        <v>201</v>
      </c>
      <c r="C177" s="4" t="s">
        <v>202</v>
      </c>
      <c r="D177" s="4"/>
      <c r="E177" s="9">
        <f>_xll.BQL("AMZN US Equity", "TOTAL_CONTENT_COST/1M", "FPT=Q", "FPO=-12Q", "ACT_EST_MAPPING=PRECISE", "FS=MRC", "CURRENCY=USD", "XLFILL=b")</f>
        <v>4000</v>
      </c>
      <c r="F177" s="9">
        <f>_xll.BQL("AMZN US Equity", "TOTAL_CONTENT_COST/1M", "FPT=Q", "FPO=-11Q", "ACT_EST_MAPPING=PRECISE", "FS=MRC", "CURRENCY=USD", "XLFILL=b")</f>
        <v>4400</v>
      </c>
      <c r="G177" s="9">
        <f>_xll.BQL("AMZN US Equity", "TOTAL_CONTENT_COST/1M", "FPT=Q", "FPO=-10Q", "ACT_EST_MAPPING=PRECISE", "FS=MRC", "CURRENCY=USD", "XLFILL=b")</f>
        <v>4600</v>
      </c>
      <c r="H177" s="9" t="str">
        <f>_xll.BQL("AMZN US Equity", "TOTAL_CONTENT_COST/1M", "FPT=Q", "FPO=-9Q", "ACT_EST_MAPPING=PRECISE", "FS=MRC", "CURRENCY=USD", "XLFILL=b")</f>
        <v/>
      </c>
      <c r="I177" s="9">
        <f>_xll.BQL("AMZN US Equity", "TOTAL_CONTENT_COST/1M", "FPT=Q", "FPO=-8Q", "ACT_EST_MAPPING=PRECISE", "FS=MRC", "CURRENCY=USD", "XLFILL=b")</f>
        <v>4600</v>
      </c>
      <c r="J177" s="9">
        <f>_xll.BQL("AMZN US Equity", "TOTAL_CONTENT_COST/1M", "FPT=Q", "FPO=-7Q", "ACT_EST_MAPPING=PRECISE", "FS=MRC", "CURRENCY=USD", "XLFILL=b")</f>
        <v>4600</v>
      </c>
      <c r="K177" s="9">
        <f>_xll.BQL("AMZN US Equity", "TOTAL_CONTENT_COST/1M", "FPT=Q", "FPO=-6Q", "ACT_EST_MAPPING=PRECISE", "FS=MRC", "CURRENCY=USD", "XLFILL=b")</f>
        <v>5000</v>
      </c>
      <c r="L177" s="9" t="str">
        <f>_xll.BQL("AMZN US Equity", "TOTAL_CONTENT_COST/1M", "FPT=Q", "FPO=-5Q", "ACT_EST_MAPPING=PRECISE", "FS=MRC", "CURRENCY=USD", "XLFILL=b")</f>
        <v/>
      </c>
      <c r="M177" s="9">
        <f>_xll.BQL("AMZN US Equity", "TOTAL_CONTENT_COST/1M", "FPT=Q", "FPO=-4Q", "ACT_EST_MAPPING=PRECISE", "FS=MRC", "CURRENCY=USD", "XLFILL=b")</f>
        <v>5100</v>
      </c>
      <c r="N177" s="9">
        <f>_xll.BQL("AMZN US Equity", "TOTAL_CONTENT_COST/1M", "FPT=Q", "FPO=-3Q", "ACT_EST_MAPPING=PRECISE", "FS=MRC", "CURRENCY=USD", "XLFILL=b")</f>
        <v>5100</v>
      </c>
      <c r="O177" s="9">
        <f>_xll.BQL("AMZN US Equity", "TOTAL_CONTENT_COST/1M", "FPT=Q", "FPO=-2Q", "ACT_EST_MAPPING=PRECISE", "FS=MRC", "CURRENCY=USD", "XLFILL=b")</f>
        <v>5500</v>
      </c>
      <c r="P177" s="9" t="str">
        <f>_xll.BQL("AMZN US Equity", "TOTAL_CONTENT_COST/1M", "FPT=Q", "FPO=-1Q", "ACT_EST_MAPPING=PRECISE", "FS=MRC", "CURRENCY=USD", "XLFILL=b")</f>
        <v/>
      </c>
      <c r="Q177" s="9" t="str">
        <f>_xll.BQL("AMZN US Equity", "TOTAL_CONTENT_COST/1M", "FPT=Q", "FPO=0Q", "ACT_EST_MAPPING=PRECISE", "FS=MRC", "CURRENCY=USD", "XLFILL=b")</f>
        <v/>
      </c>
      <c r="R177" s="9">
        <f>_xll.BQL("AMZN US Equity", "TOTAL_CONTENT_COST/1M", "FPT=Q", "FPO=1Q", "ACT_EST_MAPPING=PRECISE", "FS=MRC", "CURRENCY=USD", "XLFILL=b")</f>
        <v>6013.3204810519337</v>
      </c>
      <c r="S177" s="9">
        <f>_xll.BQL("AMZN US Equity", "TOTAL_CONTENT_COST/1M", "FPT=Q", "FPO=2Q", "ACT_EST_MAPPING=PRECISE", "FS=MRC", "CURRENCY=USD", "XLFILL=b")</f>
        <v>6259.2274195770779</v>
      </c>
      <c r="T177" s="9">
        <f>_xll.BQL("AMZN US Equity", "TOTAL_CONTENT_COST/1M", "FPT=Q", "FPO=3Q", "ACT_EST_MAPPING=PRECISE", "FS=MRC", "CURRENCY=USD", "XLFILL=b")</f>
        <v>7381.1078745921805</v>
      </c>
      <c r="U177" s="9">
        <f>_xll.BQL("AMZN US Equity", "TOTAL_CONTENT_COST/1M", "FPT=Q", "FPO=4Q", "ACT_EST_MAPPING=PRECISE", "FS=MRC", "CURRENCY=USD", "XLFILL=b")</f>
        <v>6477.035604308996</v>
      </c>
      <c r="V177" s="9">
        <f>_xll.BQL("AMZN US Equity", "TOTAL_CONTENT_COST/1M", "FPT=Q", "FPO=5Q", "ACT_EST_MAPPING=PRECISE", "FS=MRC", "CURRENCY=USD", "XLFILL=b")</f>
        <v>6678.5339541255489</v>
      </c>
      <c r="W177" s="9">
        <f>_xll.BQL("AMZN US Equity", "TOTAL_CONTENT_COST/1M", "FPT=Q", "FPO=6Q", "ACT_EST_MAPPING=PRECISE", "FS=MRC", "CURRENCY=USD", "XLFILL=b")</f>
        <v>6906.3934245258597</v>
      </c>
      <c r="X177" s="9">
        <f>_xll.BQL("AMZN US Equity", "TOTAL_CONTENT_COST/1M", "FPT=Q", "FPO=7Q", "ACT_EST_MAPPING=PRECISE", "FS=MRC", "CURRENCY=USD", "XLFILL=b")</f>
        <v>8089.8820674100789</v>
      </c>
    </row>
    <row r="178" spans="1:24" x14ac:dyDescent="0.25">
      <c r="A178" s="8" t="s">
        <v>203</v>
      </c>
      <c r="B178" s="4" t="s">
        <v>204</v>
      </c>
      <c r="C178" s="4" t="s">
        <v>205</v>
      </c>
      <c r="D178" s="4"/>
      <c r="E178" s="9">
        <f>_xll.BQL("AMZN US Equity", "CB_IS_S_AND_M_EXPENSE/1M", "FPT=Q", "FPO=-12Q", "ACT_EST_MAPPING=PRECISE", "FS=MRC", "CURRENCY=USD", "XLFILL=b")</f>
        <v>10172</v>
      </c>
      <c r="F178" s="9">
        <f>_xll.BQL("AMZN US Equity", "CB_IS_S_AND_M_EXPENSE/1M", "FPT=Q", "FPO=-11Q", "ACT_EST_MAPPING=PRECISE", "FS=MRC", "CURRENCY=USD", "XLFILL=b")</f>
        <v>10745</v>
      </c>
      <c r="G178" s="9">
        <f>_xll.BQL("AMZN US Equity", "CB_IS_S_AND_M_EXPENSE/1M", "FPT=Q", "FPO=-10Q", "ACT_EST_MAPPING=PRECISE", "FS=MRC", "CURRENCY=USD", "XLFILL=b")</f>
        <v>10551</v>
      </c>
      <c r="H178" s="9">
        <f>_xll.BQL("AMZN US Equity", "CB_IS_S_AND_M_EXPENSE/1M", "FPT=Q", "FPO=-9Q", "ACT_EST_MAPPING=PRECISE", "FS=MRC", "CURRENCY=USD", "XLFILL=b")</f>
        <v>12902</v>
      </c>
      <c r="I178" s="9">
        <f>_xll.BQL("AMZN US Equity", "CB_IS_S_AND_M_EXPENSE/1M", "FPT=Q", "FPO=-8Q", "ACT_EST_MAPPING=PRECISE", "FS=MRC", "CURRENCY=USD", "XLFILL=b")</f>
        <v>9662</v>
      </c>
      <c r="J178" s="9">
        <f>_xll.BQL("AMZN US Equity", "CB_IS_S_AND_M_EXPENSE/1M", "FPT=Q", "FPO=-7Q", "ACT_EST_MAPPING=PRECISE", "FS=MRC", "CURRENCY=USD", "XLFILL=b")</f>
        <v>10512</v>
      </c>
      <c r="K178" s="9">
        <f>_xll.BQL("AMZN US Equity", "CB_IS_S_AND_M_EXPENSE/1M", "FPT=Q", "FPO=-6Q", "ACT_EST_MAPPING=PRECISE", "FS=MRC", "CURRENCY=USD", "XLFILL=b")</f>
        <v>10609</v>
      </c>
      <c r="L178" s="9">
        <f>_xll.BQL("AMZN US Equity", "CB_IS_S_AND_M_EXPENSE/1M", "FPT=Q", "FPO=-5Q", "ACT_EST_MAPPING=PRECISE", "FS=MRC", "CURRENCY=USD", "XLFILL=b")</f>
        <v>13124</v>
      </c>
      <c r="M178" s="9">
        <f>_xll.BQL("AMZN US Equity", "CB_IS_S_AND_M_EXPENSE/1M", "FPT=Q", "FPO=-4Q", "ACT_EST_MAPPING=PRECISE", "FS=MRC", "CURRENCY=USD", "XLFILL=b")</f>
        <v>9763</v>
      </c>
      <c r="N178" s="9">
        <f>_xll.BQL("AMZN US Equity", "CB_IS_S_AND_M_EXPENSE/1M", "FPT=Q", "FPO=-3Q", "ACT_EST_MAPPING=PRECISE", "FS=MRC", "CURRENCY=USD", "XLFILL=b")</f>
        <v>11416</v>
      </c>
      <c r="O178" s="9">
        <f>_xll.BQL("AMZN US Equity", "CB_IS_S_AND_M_EXPENSE/1M", "FPT=Q", "FPO=-2Q", "ACT_EST_MAPPING=PRECISE", "FS=MRC", "CURRENCY=USD", "XLFILL=b")</f>
        <v>11686</v>
      </c>
      <c r="P178" s="9">
        <f>_xll.BQL("AMZN US Equity", "CB_IS_S_AND_M_EXPENSE/1M", "FPT=Q", "FPO=-1Q", "ACT_EST_MAPPING=PRECISE", "FS=MRC", "CURRENCY=USD", "XLFILL=b")</f>
        <v>14264</v>
      </c>
      <c r="Q178" s="9">
        <f>_xll.BQL("AMZN US Equity", "CB_IS_S_AND_M_EXPENSE/1M", "FPT=Q", "FPO=0Q", "ACT_EST_MAPPING=PRECISE", "FS=MRC", "CURRENCY=USD", "XLFILL=b")</f>
        <v>10314</v>
      </c>
      <c r="R178" s="9">
        <f>_xll.BQL("AMZN US Equity", "CB_IS_S_AND_M_EXPENSE/1M", "FPT=Q", "FPO=1Q", "ACT_EST_MAPPING=PRECISE", "FS=MRC", "CURRENCY=USD", "XLFILL=b")</f>
        <v>12915.738001555043</v>
      </c>
      <c r="S178" s="9">
        <f>_xll.BQL("AMZN US Equity", "CB_IS_S_AND_M_EXPENSE/1M", "FPT=Q", "FPO=2Q", "ACT_EST_MAPPING=PRECISE", "FS=MRC", "CURRENCY=USD", "XLFILL=b")</f>
        <v>13132.256379540528</v>
      </c>
      <c r="T178" s="9">
        <f>_xll.BQL("AMZN US Equity", "CB_IS_S_AND_M_EXPENSE/1M", "FPT=Q", "FPO=3Q", "ACT_EST_MAPPING=PRECISE", "FS=MRC", "CURRENCY=USD", "XLFILL=b")</f>
        <v>15962.600812550463</v>
      </c>
      <c r="U178" s="9">
        <f>_xll.BQL("AMZN US Equity", "CB_IS_S_AND_M_EXPENSE/1M", "FPT=Q", "FPO=4Q", "ACT_EST_MAPPING=PRECISE", "FS=MRC", "CURRENCY=USD", "XLFILL=b")</f>
        <v>12196.853100322516</v>
      </c>
      <c r="V178" s="9">
        <f>_xll.BQL("AMZN US Equity", "CB_IS_S_AND_M_EXPENSE/1M", "FPT=Q", "FPO=5Q", "ACT_EST_MAPPING=PRECISE", "FS=MRC", "CURRENCY=USD", "XLFILL=b")</f>
        <v>14409.940801242437</v>
      </c>
      <c r="W178" s="9">
        <f>_xll.BQL("AMZN US Equity", "CB_IS_S_AND_M_EXPENSE/1M", "FPT=Q", "FPO=6Q", "ACT_EST_MAPPING=PRECISE", "FS=MRC", "CURRENCY=USD", "XLFILL=b")</f>
        <v>14864.821474425242</v>
      </c>
      <c r="X178" s="9">
        <f>_xll.BQL("AMZN US Equity", "CB_IS_S_AND_M_EXPENSE/1M", "FPT=Q", "FPO=7Q", "ACT_EST_MAPPING=PRECISE", "FS=MRC", "CURRENCY=USD", "XLFILL=b")</f>
        <v>17976.115380642925</v>
      </c>
    </row>
    <row r="179" spans="1:24" x14ac:dyDescent="0.25">
      <c r="A179" s="8" t="s">
        <v>206</v>
      </c>
      <c r="B179" s="4" t="s">
        <v>207</v>
      </c>
      <c r="C179" s="4" t="s">
        <v>208</v>
      </c>
      <c r="D179" s="4"/>
      <c r="E179" s="9" t="str">
        <f>_xll.BQL("AMZN US Equity", "CB_IS_ADVERTISING_EXPENSE_PCT_REV", "FPT=Q", "FPO=-12Q", "ACT_EST_MAPPING=PRECISE", "FS=MRC", "CURRENCY=USD", "XLFILL=b")</f>
        <v/>
      </c>
      <c r="F179" s="9" t="str">
        <f>_xll.BQL("AMZN US Equity", "CB_IS_ADVERTISING_EXPENSE_PCT_REV", "FPT=Q", "FPO=-11Q", "ACT_EST_MAPPING=PRECISE", "FS=MRC", "CURRENCY=USD", "XLFILL=b")</f>
        <v/>
      </c>
      <c r="G179" s="9" t="str">
        <f>_xll.BQL("AMZN US Equity", "CB_IS_ADVERTISING_EXPENSE_PCT_REV", "FPT=Q", "FPO=-10Q", "ACT_EST_MAPPING=PRECISE", "FS=MRC", "CURRENCY=USD", "XLFILL=b")</f>
        <v/>
      </c>
      <c r="H179" s="9" t="str">
        <f>_xll.BQL("AMZN US Equity", "CB_IS_ADVERTISING_EXPENSE_PCT_REV", "FPT=Q", "FPO=-9Q", "ACT_EST_MAPPING=PRECISE", "FS=MRC", "CURRENCY=USD", "XLFILL=b")</f>
        <v/>
      </c>
      <c r="I179" s="9" t="str">
        <f>_xll.BQL("AMZN US Equity", "CB_IS_ADVERTISING_EXPENSE_PCT_REV", "FPT=Q", "FPO=-8Q", "ACT_EST_MAPPING=PRECISE", "FS=MRC", "CURRENCY=USD", "XLFILL=b")</f>
        <v/>
      </c>
      <c r="J179" s="9" t="str">
        <f>_xll.BQL("AMZN US Equity", "CB_IS_ADVERTISING_EXPENSE_PCT_REV", "FPT=Q", "FPO=-7Q", "ACT_EST_MAPPING=PRECISE", "FS=MRC", "CURRENCY=USD", "XLFILL=b")</f>
        <v/>
      </c>
      <c r="K179" s="9" t="str">
        <f>_xll.BQL("AMZN US Equity", "CB_IS_ADVERTISING_EXPENSE_PCT_REV", "FPT=Q", "FPO=-6Q", "ACT_EST_MAPPING=PRECISE", "FS=MRC", "CURRENCY=USD", "XLFILL=b")</f>
        <v/>
      </c>
      <c r="L179" s="9" t="str">
        <f>_xll.BQL("AMZN US Equity", "CB_IS_ADVERTISING_EXPENSE_PCT_REV", "FPT=Q", "FPO=-5Q", "ACT_EST_MAPPING=PRECISE", "FS=MRC", "CURRENCY=USD", "XLFILL=b")</f>
        <v/>
      </c>
      <c r="M179" s="9" t="str">
        <f>_xll.BQL("AMZN US Equity", "CB_IS_ADVERTISING_EXPENSE_PCT_REV", "FPT=Q", "FPO=-4Q", "ACT_EST_MAPPING=PRECISE", "FS=MRC", "CURRENCY=USD", "XLFILL=b")</f>
        <v/>
      </c>
      <c r="N179" s="9" t="str">
        <f>_xll.BQL("AMZN US Equity", "CB_IS_ADVERTISING_EXPENSE_PCT_REV", "FPT=Q", "FPO=-3Q", "ACT_EST_MAPPING=PRECISE", "FS=MRC", "CURRENCY=USD", "XLFILL=b")</f>
        <v/>
      </c>
      <c r="O179" s="9" t="str">
        <f>_xll.BQL("AMZN US Equity", "CB_IS_ADVERTISING_EXPENSE_PCT_REV", "FPT=Q", "FPO=-2Q", "ACT_EST_MAPPING=PRECISE", "FS=MRC", "CURRENCY=USD", "XLFILL=b")</f>
        <v/>
      </c>
      <c r="P179" s="9" t="str">
        <f>_xll.BQL("AMZN US Equity", "CB_IS_ADVERTISING_EXPENSE_PCT_REV", "FPT=Q", "FPO=-1Q", "ACT_EST_MAPPING=PRECISE", "FS=MRC", "CURRENCY=USD", "XLFILL=b")</f>
        <v/>
      </c>
      <c r="Q179" s="9" t="str">
        <f>_xll.BQL("AMZN US Equity", "CB_IS_ADVERTISING_EXPENSE_PCT_REV", "FPT=Q", "FPO=0Q", "ACT_EST_MAPPING=PRECISE", "FS=MRC", "CURRENCY=USD", "XLFILL=b")</f>
        <v/>
      </c>
      <c r="R179" s="9">
        <f>_xll.BQL("AMZN US Equity", "CB_IS_ADVERTISING_EXPENSE_PCT_REV", "FPT=Q", "FPO=1Q", "ACT_EST_MAPPING=PRECISE", "FS=MRC", "CURRENCY=USD", "XLFILL=b")</f>
        <v>6.515279365776653</v>
      </c>
      <c r="S179" s="9">
        <f>_xll.BQL("AMZN US Equity", "CB_IS_ADVERTISING_EXPENSE_PCT_REV", "FPT=Q", "FPO=2Q", "ACT_EST_MAPPING=PRECISE", "FS=MRC", "CURRENCY=USD", "XLFILL=b")</f>
        <v>6.3526143513768529</v>
      </c>
      <c r="T179" s="9">
        <f>_xll.BQL("AMZN US Equity", "CB_IS_ADVERTISING_EXPENSE_PCT_REV", "FPT=Q", "FPO=3Q", "ACT_EST_MAPPING=PRECISE", "FS=MRC", "CURRENCY=USD", "XLFILL=b")</f>
        <v>6.4318382167481252</v>
      </c>
      <c r="U179" s="9">
        <f>_xll.BQL("AMZN US Equity", "CB_IS_ADVERTISING_EXPENSE_PCT_REV", "FPT=Q", "FPO=4Q", "ACT_EST_MAPPING=PRECISE", "FS=MRC", "CURRENCY=USD", "XLFILL=b")</f>
        <v>5.8058648951857226</v>
      </c>
      <c r="V179" s="9">
        <f>_xll.BQL("AMZN US Equity", "CB_IS_ADVERTISING_EXPENSE_PCT_REV", "FPT=Q", "FPO=5Q", "ACT_EST_MAPPING=PRECISE", "FS=MRC", "CURRENCY=USD", "XLFILL=b")</f>
        <v>6.3158209826713163</v>
      </c>
      <c r="W179" s="9">
        <f>_xll.BQL("AMZN US Equity", "CB_IS_ADVERTISING_EXPENSE_PCT_REV", "FPT=Q", "FPO=6Q", "ACT_EST_MAPPING=PRECISE", "FS=MRC", "CURRENCY=USD", "XLFILL=b")</f>
        <v>6.2024534637885642</v>
      </c>
      <c r="X179" s="9">
        <f>_xll.BQL("AMZN US Equity", "CB_IS_ADVERTISING_EXPENSE_PCT_REV", "FPT=Q", "FPO=7Q", "ACT_EST_MAPPING=PRECISE", "FS=MRC", "CURRENCY=USD", "XLFILL=b")</f>
        <v>6.4012702419492138</v>
      </c>
    </row>
    <row r="180" spans="1:24" x14ac:dyDescent="0.25">
      <c r="A180" s="8" t="s">
        <v>209</v>
      </c>
      <c r="B180" s="4" t="s">
        <v>210</v>
      </c>
      <c r="C180" s="4" t="s">
        <v>211</v>
      </c>
      <c r="D180" s="4"/>
      <c r="E180" s="9">
        <f>_xll.BQL("AMZN US Equity", "CB_IS_GENL_AND_ADMIN_EXPN/1M", "FPT=Q", "FPO=-12Q", "ACT_EST_MAPPING=PRECISE", "FS=MRC", "CURRENCY=USD", "XLFILL=b")</f>
        <v>3043</v>
      </c>
      <c r="F180" s="9">
        <f>_xll.BQL("AMZN US Equity", "CB_IS_GENL_AND_ADMIN_EXPN/1M", "FPT=Q", "FPO=-11Q", "ACT_EST_MAPPING=PRECISE", "FS=MRC", "CURRENCY=USD", "XLFILL=b")</f>
        <v>3202</v>
      </c>
      <c r="G180" s="9">
        <f>_xll.BQL("AMZN US Equity", "CB_IS_GENL_AND_ADMIN_EXPN/1M", "FPT=Q", "FPO=-10Q", "ACT_EST_MAPPING=PRECISE", "FS=MRC", "CURRENCY=USD", "XLFILL=b")</f>
        <v>2561</v>
      </c>
      <c r="H180" s="9">
        <f>_xll.BQL("AMZN US Equity", "CB_IS_GENL_AND_ADMIN_EXPN/1M", "FPT=Q", "FPO=-9Q", "ACT_EST_MAPPING=PRECISE", "FS=MRC", "CURRENCY=USD", "XLFILL=b")</f>
        <v>3010</v>
      </c>
      <c r="I180" s="9">
        <f>_xll.BQL("AMZN US Equity", "CB_IS_GENL_AND_ADMIN_EXPN/1M", "FPT=Q", "FPO=-8Q", "ACT_EST_MAPPING=PRECISE", "FS=MRC", "CURRENCY=USD", "XLFILL=b")</f>
        <v>2742</v>
      </c>
      <c r="J180" s="9">
        <f>_xll.BQL("AMZN US Equity", "CB_IS_GENL_AND_ADMIN_EXPN/1M", "FPT=Q", "FPO=-7Q", "ACT_EST_MAPPING=PRECISE", "FS=MRC", "CURRENCY=USD", "XLFILL=b")</f>
        <v>3041</v>
      </c>
      <c r="K180" s="9">
        <f>_xll.BQL("AMZN US Equity", "CB_IS_GENL_AND_ADMIN_EXPN/1M", "FPT=Q", "FPO=-6Q", "ACT_EST_MAPPING=PRECISE", "FS=MRC", "CURRENCY=USD", "XLFILL=b")</f>
        <v>2713</v>
      </c>
      <c r="L180" s="9">
        <f>_xll.BQL("AMZN US Equity", "CB_IS_GENL_AND_ADMIN_EXPN/1M", "FPT=Q", "FPO=-5Q", "ACT_EST_MAPPING=PRECISE", "FS=MRC", "CURRENCY=USD", "XLFILL=b")</f>
        <v>2863</v>
      </c>
      <c r="M180" s="9">
        <f>_xll.BQL("AMZN US Equity", "CB_IS_GENL_AND_ADMIN_EXPN/1M", "FPT=Q", "FPO=-4Q", "ACT_EST_MAPPING=PRECISE", "FS=MRC", "CURRENCY=USD", "XLFILL=b")</f>
        <v>2628</v>
      </c>
      <c r="N180" s="9">
        <f>_xll.BQL("AMZN US Equity", "CB_IS_GENL_AND_ADMIN_EXPN/1M", "FPT=Q", "FPO=-3Q", "ACT_EST_MAPPING=PRECISE", "FS=MRC", "CURRENCY=USD", "XLFILL=b")</f>
        <v>2965</v>
      </c>
      <c r="O180" s="9">
        <f>_xll.BQL("AMZN US Equity", "CB_IS_GENL_AND_ADMIN_EXPN/1M", "FPT=Q", "FPO=-2Q", "ACT_EST_MAPPING=PRECISE", "FS=MRC", "CURRENCY=USD", "XLFILL=b")</f>
        <v>2875</v>
      </c>
      <c r="P180" s="9">
        <f>_xll.BQL("AMZN US Equity", "CB_IS_GENL_AND_ADMIN_EXPN/1M", "FPT=Q", "FPO=-1Q", "ACT_EST_MAPPING=PRECISE", "FS=MRC", "CURRENCY=USD", "XLFILL=b")</f>
        <v>2704</v>
      </c>
      <c r="Q180" s="9">
        <f>_xll.BQL("AMZN US Equity", "CB_IS_GENL_AND_ADMIN_EXPN/1M", "FPT=Q", "FPO=0Q", "ACT_EST_MAPPING=PRECISE", "FS=MRC", "CURRENCY=USD", "XLFILL=b")</f>
        <v>2587</v>
      </c>
      <c r="R180" s="9">
        <f>_xll.BQL("AMZN US Equity", "CB_IS_GENL_AND_ADMIN_EXPN/1M", "FPT=Q", "FPO=1Q", "ACT_EST_MAPPING=PRECISE", "FS=MRC", "CURRENCY=USD", "XLFILL=b")</f>
        <v>3158.4304646944934</v>
      </c>
      <c r="S180" s="9">
        <f>_xll.BQL("AMZN US Equity", "CB_IS_GENL_AND_ADMIN_EXPN/1M", "FPT=Q", "FPO=2Q", "ACT_EST_MAPPING=PRECISE", "FS=MRC", "CURRENCY=USD", "XLFILL=b")</f>
        <v>3071.4822361677097</v>
      </c>
      <c r="T180" s="9">
        <f>_xll.BQL("AMZN US Equity", "CB_IS_GENL_AND_ADMIN_EXPN/1M", "FPT=Q", "FPO=3Q", "ACT_EST_MAPPING=PRECISE", "FS=MRC", "CURRENCY=USD", "XLFILL=b")</f>
        <v>3142.499498375822</v>
      </c>
      <c r="U180" s="9">
        <f>_xll.BQL("AMZN US Equity", "CB_IS_GENL_AND_ADMIN_EXPN/1M", "FPT=Q", "FPO=4Q", "ACT_EST_MAPPING=PRECISE", "FS=MRC", "CURRENCY=USD", "XLFILL=b")</f>
        <v>2922.2771308074161</v>
      </c>
      <c r="V180" s="9">
        <f>_xll.BQL("AMZN US Equity", "CB_IS_GENL_AND_ADMIN_EXPN/1M", "FPT=Q", "FPO=5Q", "ACT_EST_MAPPING=PRECISE", "FS=MRC", "CURRENCY=USD", "XLFILL=b")</f>
        <v>3420.1323225581382</v>
      </c>
      <c r="W180" s="9">
        <f>_xll.BQL("AMZN US Equity", "CB_IS_GENL_AND_ADMIN_EXPN/1M", "FPT=Q", "FPO=6Q", "ACT_EST_MAPPING=PRECISE", "FS=MRC", "CURRENCY=USD", "XLFILL=b")</f>
        <v>3287.2124132971176</v>
      </c>
      <c r="X180" s="9">
        <f>_xll.BQL("AMZN US Equity", "CB_IS_GENL_AND_ADMIN_EXPN/1M", "FPT=Q", "FPO=7Q", "ACT_EST_MAPPING=PRECISE", "FS=MRC", "CURRENCY=USD", "XLFILL=b")</f>
        <v>3332.6844885044202</v>
      </c>
    </row>
    <row r="181" spans="1:24" x14ac:dyDescent="0.25">
      <c r="A181" s="8" t="s">
        <v>206</v>
      </c>
      <c r="B181" s="4" t="s">
        <v>212</v>
      </c>
      <c r="C181" s="4" t="s">
        <v>213</v>
      </c>
      <c r="D181" s="4"/>
      <c r="E181" s="9" t="str">
        <f>_xll.BQL("AMZN US Equity", "G_AND_A_COST_PCT_REVENUES", "FPT=Q", "FPO=-12Q", "ACT_EST_MAPPING=PRECISE", "FS=MRC", "CURRENCY=USD", "XLFILL=b")</f>
        <v/>
      </c>
      <c r="F181" s="9" t="str">
        <f>_xll.BQL("AMZN US Equity", "G_AND_A_COST_PCT_REVENUES", "FPT=Q", "FPO=-11Q", "ACT_EST_MAPPING=PRECISE", "FS=MRC", "CURRENCY=USD", "XLFILL=b")</f>
        <v/>
      </c>
      <c r="G181" s="9" t="str">
        <f>_xll.BQL("AMZN US Equity", "G_AND_A_COST_PCT_REVENUES", "FPT=Q", "FPO=-10Q", "ACT_EST_MAPPING=PRECISE", "FS=MRC", "CURRENCY=USD", "XLFILL=b")</f>
        <v/>
      </c>
      <c r="H181" s="9" t="str">
        <f>_xll.BQL("AMZN US Equity", "G_AND_A_COST_PCT_REVENUES", "FPT=Q", "FPO=-9Q", "ACT_EST_MAPPING=PRECISE", "FS=MRC", "CURRENCY=USD", "XLFILL=b")</f>
        <v/>
      </c>
      <c r="I181" s="9" t="str">
        <f>_xll.BQL("AMZN US Equity", "G_AND_A_COST_PCT_REVENUES", "FPT=Q", "FPO=-8Q", "ACT_EST_MAPPING=PRECISE", "FS=MRC", "CURRENCY=USD", "XLFILL=b")</f>
        <v/>
      </c>
      <c r="J181" s="9" t="str">
        <f>_xll.BQL("AMZN US Equity", "G_AND_A_COST_PCT_REVENUES", "FPT=Q", "FPO=-7Q", "ACT_EST_MAPPING=PRECISE", "FS=MRC", "CURRENCY=USD", "XLFILL=b")</f>
        <v/>
      </c>
      <c r="K181" s="9" t="str">
        <f>_xll.BQL("AMZN US Equity", "G_AND_A_COST_PCT_REVENUES", "FPT=Q", "FPO=-6Q", "ACT_EST_MAPPING=PRECISE", "FS=MRC", "CURRENCY=USD", "XLFILL=b")</f>
        <v/>
      </c>
      <c r="L181" s="9" t="str">
        <f>_xll.BQL("AMZN US Equity", "G_AND_A_COST_PCT_REVENUES", "FPT=Q", "FPO=-5Q", "ACT_EST_MAPPING=PRECISE", "FS=MRC", "CURRENCY=USD", "XLFILL=b")</f>
        <v/>
      </c>
      <c r="M181" s="9" t="str">
        <f>_xll.BQL("AMZN US Equity", "G_AND_A_COST_PCT_REVENUES", "FPT=Q", "FPO=-4Q", "ACT_EST_MAPPING=PRECISE", "FS=MRC", "CURRENCY=USD", "XLFILL=b")</f>
        <v/>
      </c>
      <c r="N181" s="9" t="str">
        <f>_xll.BQL("AMZN US Equity", "G_AND_A_COST_PCT_REVENUES", "FPT=Q", "FPO=-3Q", "ACT_EST_MAPPING=PRECISE", "FS=MRC", "CURRENCY=USD", "XLFILL=b")</f>
        <v/>
      </c>
      <c r="O181" s="9" t="str">
        <f>_xll.BQL("AMZN US Equity", "G_AND_A_COST_PCT_REVENUES", "FPT=Q", "FPO=-2Q", "ACT_EST_MAPPING=PRECISE", "FS=MRC", "CURRENCY=USD", "XLFILL=b")</f>
        <v/>
      </c>
      <c r="P181" s="9" t="str">
        <f>_xll.BQL("AMZN US Equity", "G_AND_A_COST_PCT_REVENUES", "FPT=Q", "FPO=-1Q", "ACT_EST_MAPPING=PRECISE", "FS=MRC", "CURRENCY=USD", "XLFILL=b")</f>
        <v/>
      </c>
      <c r="Q181" s="9" t="str">
        <f>_xll.BQL("AMZN US Equity", "G_AND_A_COST_PCT_REVENUES", "FPT=Q", "FPO=0Q", "ACT_EST_MAPPING=PRECISE", "FS=MRC", "CURRENCY=USD", "XLFILL=b")</f>
        <v/>
      </c>
      <c r="R181" s="9">
        <f>_xll.BQL("AMZN US Equity", "G_AND_A_COST_PCT_REVENUES", "FPT=Q", "FPO=1Q", "ACT_EST_MAPPING=PRECISE", "FS=MRC", "CURRENCY=USD", "XLFILL=b")</f>
        <v>1.6924829310070739</v>
      </c>
      <c r="S181" s="9">
        <f>_xll.BQL("AMZN US Equity", "G_AND_A_COST_PCT_REVENUES", "FPT=Q", "FPO=2Q", "ACT_EST_MAPPING=PRECISE", "FS=MRC", "CURRENCY=USD", "XLFILL=b")</f>
        <v>1.5667550506899046</v>
      </c>
      <c r="T181" s="9">
        <f>_xll.BQL("AMZN US Equity", "G_AND_A_COST_PCT_REVENUES", "FPT=Q", "FPO=3Q", "ACT_EST_MAPPING=PRECISE", "FS=MRC", "CURRENCY=USD", "XLFILL=b")</f>
        <v>1.3883810975566342</v>
      </c>
      <c r="U181" s="9">
        <f>_xll.BQL("AMZN US Equity", "G_AND_A_COST_PCT_REVENUES", "FPT=Q", "FPO=4Q", "ACT_EST_MAPPING=PRECISE", "FS=MRC", "CURRENCY=USD", "XLFILL=b")</f>
        <v>1.5318704662456846</v>
      </c>
      <c r="V181" s="9">
        <f>_xll.BQL("AMZN US Equity", "G_AND_A_COST_PCT_REVENUES", "FPT=Q", "FPO=5Q", "ACT_EST_MAPPING=PRECISE", "FS=MRC", "CURRENCY=USD", "XLFILL=b")</f>
        <v>1.650412536371678</v>
      </c>
      <c r="W181" s="9">
        <f>_xll.BQL("AMZN US Equity", "G_AND_A_COST_PCT_REVENUES", "FPT=Q", "FPO=6Q", "ACT_EST_MAPPING=PRECISE", "FS=MRC", "CURRENCY=USD", "XLFILL=b")</f>
        <v>1.4722120116258572</v>
      </c>
      <c r="X181" s="9">
        <f>_xll.BQL("AMZN US Equity", "G_AND_A_COST_PCT_REVENUES", "FPT=Q", "FPO=7Q", "ACT_EST_MAPPING=PRECISE", "FS=MRC", "CURRENCY=USD", "XLFILL=b")</f>
        <v>1.3646918065191385</v>
      </c>
    </row>
    <row r="182" spans="1:24" x14ac:dyDescent="0.25">
      <c r="A182" s="8" t="s">
        <v>214</v>
      </c>
      <c r="B182" s="4" t="s">
        <v>215</v>
      </c>
      <c r="C182" s="4" t="s">
        <v>216</v>
      </c>
      <c r="D182" s="4"/>
      <c r="E182" s="9" t="str">
        <f>_xll.BQL("AMZN US Equity", "IS_ADVERTISING_EXPENSES/1M", "FPT=Q", "FPO=-12Q", "ACT_EST_MAPPING=PRECISE", "FS=MRC", "CURRENCY=USD", "XLFILL=b")</f>
        <v/>
      </c>
      <c r="F182" s="9" t="str">
        <f>_xll.BQL("AMZN US Equity", "IS_ADVERTISING_EXPENSES/1M", "FPT=Q", "FPO=-11Q", "ACT_EST_MAPPING=PRECISE", "FS=MRC", "CURRENCY=USD", "XLFILL=b")</f>
        <v/>
      </c>
      <c r="G182" s="9" t="str">
        <f>_xll.BQL("AMZN US Equity", "IS_ADVERTISING_EXPENSES/1M", "FPT=Q", "FPO=-10Q", "ACT_EST_MAPPING=PRECISE", "FS=MRC", "CURRENCY=USD", "XLFILL=b")</f>
        <v/>
      </c>
      <c r="H182" s="9" t="str">
        <f>_xll.BQL("AMZN US Equity", "IS_ADVERTISING_EXPENSES/1M", "FPT=Q", "FPO=-9Q", "ACT_EST_MAPPING=PRECISE", "FS=MRC", "CURRENCY=USD", "XLFILL=b")</f>
        <v/>
      </c>
      <c r="I182" s="9" t="str">
        <f>_xll.BQL("AMZN US Equity", "IS_ADVERTISING_EXPENSES/1M", "FPT=Q", "FPO=-8Q", "ACT_EST_MAPPING=PRECISE", "FS=MRC", "CURRENCY=USD", "XLFILL=b")</f>
        <v/>
      </c>
      <c r="J182" s="9" t="str">
        <f>_xll.BQL("AMZN US Equity", "IS_ADVERTISING_EXPENSES/1M", "FPT=Q", "FPO=-7Q", "ACT_EST_MAPPING=PRECISE", "FS=MRC", "CURRENCY=USD", "XLFILL=b")</f>
        <v/>
      </c>
      <c r="K182" s="9" t="str">
        <f>_xll.BQL("AMZN US Equity", "IS_ADVERTISING_EXPENSES/1M", "FPT=Q", "FPO=-6Q", "ACT_EST_MAPPING=PRECISE", "FS=MRC", "CURRENCY=USD", "XLFILL=b")</f>
        <v/>
      </c>
      <c r="L182" s="9" t="str">
        <f>_xll.BQL("AMZN US Equity", "IS_ADVERTISING_EXPENSES/1M", "FPT=Q", "FPO=-5Q", "ACT_EST_MAPPING=PRECISE", "FS=MRC", "CURRENCY=USD", "XLFILL=b")</f>
        <v/>
      </c>
      <c r="M182" s="9" t="str">
        <f>_xll.BQL("AMZN US Equity", "IS_ADVERTISING_EXPENSES/1M", "FPT=Q", "FPO=-4Q", "ACT_EST_MAPPING=PRECISE", "FS=MRC", "CURRENCY=USD", "XLFILL=b")</f>
        <v/>
      </c>
      <c r="N182" s="9" t="str">
        <f>_xll.BQL("AMZN US Equity", "IS_ADVERTISING_EXPENSES/1M", "FPT=Q", "FPO=-3Q", "ACT_EST_MAPPING=PRECISE", "FS=MRC", "CURRENCY=USD", "XLFILL=b")</f>
        <v/>
      </c>
      <c r="O182" s="9" t="str">
        <f>_xll.BQL("AMZN US Equity", "IS_ADVERTISING_EXPENSES/1M", "FPT=Q", "FPO=-2Q", "ACT_EST_MAPPING=PRECISE", "FS=MRC", "CURRENCY=USD", "XLFILL=b")</f>
        <v/>
      </c>
      <c r="P182" s="9" t="str">
        <f>_xll.BQL("AMZN US Equity", "IS_ADVERTISING_EXPENSES/1M", "FPT=Q", "FPO=-1Q", "ACT_EST_MAPPING=PRECISE", "FS=MRC", "CURRENCY=USD", "XLFILL=b")</f>
        <v/>
      </c>
      <c r="Q182" s="9" t="str">
        <f>_xll.BQL("AMZN US Equity", "IS_ADVERTISING_EXPENSES/1M", "FPT=Q", "FPO=0Q", "ACT_EST_MAPPING=PRECISE", "FS=MRC", "CURRENCY=USD", "XLFILL=b")</f>
        <v/>
      </c>
      <c r="R182" s="9">
        <f>_xll.BQL("AMZN US Equity", "IS_ADVERTISING_EXPENSES/1M", "FPT=Q", "FPO=1Q", "ACT_EST_MAPPING=PRECISE", "FS=MRC", "CURRENCY=USD", "XLFILL=b")</f>
        <v>5905.4444863410208</v>
      </c>
      <c r="S182" s="9">
        <f>_xll.BQL("AMZN US Equity", "IS_ADVERTISING_EXPENSES/1M", "FPT=Q", "FPO=2Q", "ACT_EST_MAPPING=PRECISE", "FS=MRC", "CURRENCY=USD", "XLFILL=b")</f>
        <v>5901.5485020688939</v>
      </c>
      <c r="T182" s="9">
        <f>_xll.BQL("AMZN US Equity", "IS_ADVERTISING_EXPENSES/1M", "FPT=Q", "FPO=3Q", "ACT_EST_MAPPING=PRECISE", "FS=MRC", "CURRENCY=USD", "XLFILL=b")</f>
        <v>8771.5070824405357</v>
      </c>
      <c r="U182" s="9">
        <f>_xll.BQL("AMZN US Equity", "IS_ADVERTISING_EXPENSES/1M", "FPT=Q", "FPO=4Q", "ACT_EST_MAPPING=PRECISE", "FS=MRC", "CURRENCY=USD", "XLFILL=b")</f>
        <v>5624.6244341963102</v>
      </c>
      <c r="V182" s="9">
        <f>_xll.BQL("AMZN US Equity", "IS_ADVERTISING_EXPENSES/1M", "FPT=Q", "FPO=5Q", "ACT_EST_MAPPING=PRECISE", "FS=MRC", "CURRENCY=USD", "XLFILL=b")</f>
        <v>6142.5220341432951</v>
      </c>
      <c r="W182" s="9">
        <f>_xll.BQL("AMZN US Equity", "IS_ADVERTISING_EXPENSES/1M", "FPT=Q", "FPO=6Q", "ACT_EST_MAPPING=PRECISE", "FS=MRC", "CURRENCY=USD", "XLFILL=b")</f>
        <v>6378.2115630113967</v>
      </c>
      <c r="X182" s="9">
        <f>_xll.BQL("AMZN US Equity", "IS_ADVERTISING_EXPENSES/1M", "FPT=Q", "FPO=7Q", "ACT_EST_MAPPING=PRECISE", "FS=MRC", "CURRENCY=USD", "XLFILL=b")</f>
        <v>8550.3508369129449</v>
      </c>
    </row>
    <row r="183" spans="1:24" x14ac:dyDescent="0.25">
      <c r="A183" s="8" t="s">
        <v>217</v>
      </c>
      <c r="B183" s="4" t="s">
        <v>218</v>
      </c>
      <c r="C183" s="4" t="s">
        <v>219</v>
      </c>
      <c r="D183" s="4"/>
      <c r="E183" s="9">
        <f>_xll.BQL("AMZN US Equity", "HEADLINE_DEPR_EXPN/1M", "FPT=Q", "FPO=-12Q", "ACT_EST_MAPPING=PRECISE", "FS=MRC", "CURRENCY=USD", "XLFILL=b")</f>
        <v>11123</v>
      </c>
      <c r="F183" s="9">
        <f>_xll.BQL("AMZN US Equity", "HEADLINE_DEPR_EXPN/1M", "FPT=Q", "FPO=-11Q", "ACT_EST_MAPPING=PRECISE", "FS=MRC", "CURRENCY=USD", "XLFILL=b")</f>
        <v>11589</v>
      </c>
      <c r="G183" s="9">
        <f>_xll.BQL("AMZN US Equity", "HEADLINE_DEPR_EXPN/1M", "FPT=Q", "FPO=-10Q", "ACT_EST_MAPPING=PRECISE", "FS=MRC", "CURRENCY=USD", "XLFILL=b")</f>
        <v>12131</v>
      </c>
      <c r="H183" s="9">
        <f>_xll.BQL("AMZN US Equity", "HEADLINE_DEPR_EXPN/1M", "FPT=Q", "FPO=-9Q", "ACT_EST_MAPPING=PRECISE", "FS=MRC", "CURRENCY=USD", "XLFILL=b")</f>
        <v>13820</v>
      </c>
      <c r="I183" s="9">
        <f>_xll.BQL("AMZN US Equity", "HEADLINE_DEPR_EXPN/1M", "FPT=Q", "FPO=-8Q", "ACT_EST_MAPPING=PRECISE", "FS=MRC", "CURRENCY=USD", "XLFILL=b")</f>
        <v>11684</v>
      </c>
      <c r="J183" s="9">
        <f>_xll.BQL("AMZN US Equity", "HEADLINE_DEPR_EXPN/1M", "FPT=Q", "FPO=-7Q", "ACT_EST_MAPPING=PRECISE", "FS=MRC", "CURRENCY=USD", "XLFILL=b")</f>
        <v>12038</v>
      </c>
      <c r="K183" s="9">
        <f>_xll.BQL("AMZN US Equity", "HEADLINE_DEPR_EXPN/1M", "FPT=Q", "FPO=-6Q", "ACT_EST_MAPPING=PRECISE", "FS=MRC", "CURRENCY=USD", "XLFILL=b")</f>
        <v>13442</v>
      </c>
      <c r="L183" s="9">
        <f>_xll.BQL("AMZN US Equity", "HEADLINE_DEPR_EXPN/1M", "FPT=Q", "FPO=-5Q", "ACT_EST_MAPPING=PRECISE", "FS=MRC", "CURRENCY=USD", "XLFILL=b")</f>
        <v>15631</v>
      </c>
      <c r="M183" s="9">
        <f>_xll.BQL("AMZN US Equity", "HEADLINE_DEPR_EXPN/1M", "FPT=Q", "FPO=-4Q", "ACT_EST_MAPPING=PRECISE", "FS=MRC", "CURRENCY=USD", "XLFILL=b")</f>
        <v>14262</v>
      </c>
      <c r="N183" s="9">
        <f>_xll.BQL("AMZN US Equity", "HEADLINE_DEPR_EXPN/1M", "FPT=Q", "FPO=-3Q", "ACT_EST_MAPPING=PRECISE", "FS=MRC", "CURRENCY=USD", "XLFILL=b")</f>
        <v>15227</v>
      </c>
      <c r="O183" s="9">
        <f>_xll.BQL("AMZN US Equity", "HEADLINE_DEPR_EXPN/1M", "FPT=Q", "FPO=-2Q", "ACT_EST_MAPPING=PRECISE", "FS=MRC", "CURRENCY=USD", "XLFILL=b")</f>
        <v>16796</v>
      </c>
      <c r="P183" s="9">
        <f>_xll.BQL("AMZN US Equity", "HEADLINE_DEPR_EXPN/1M", "FPT=Q", "FPO=-1Q", "ACT_EST_MAPPING=PRECISE", "FS=MRC", "CURRENCY=USD", "XLFILL=b")</f>
        <v>19471</v>
      </c>
      <c r="Q183" s="9">
        <f>_xll.BQL("AMZN US Equity", "HEADLINE_DEPR_EXPN/1M", "FPT=Q", "FPO=0Q", "ACT_EST_MAPPING=PRECISE", "FS=MRC", "CURRENCY=USD", "XLFILL=b")</f>
        <v>18945</v>
      </c>
      <c r="R183" s="9">
        <f>_xll.BQL("AMZN US Equity", "HEADLINE_DEPR_EXPN/1M", "FPT=Q", "FPO=1Q", "ACT_EST_MAPPING=PRECISE", "FS=MRC", "CURRENCY=USD", "XLFILL=b")</f>
        <v>20708.304231809201</v>
      </c>
      <c r="S183" s="9">
        <f>_xll.BQL("AMZN US Equity", "HEADLINE_DEPR_EXPN/1M", "FPT=Q", "FPO=2Q", "ACT_EST_MAPPING=PRECISE", "FS=MRC", "CURRENCY=USD", "XLFILL=b")</f>
        <v>21953.152378606999</v>
      </c>
      <c r="T183" s="9">
        <f>_xll.BQL("AMZN US Equity", "HEADLINE_DEPR_EXPN/1M", "FPT=Q", "FPO=3Q", "ACT_EST_MAPPING=PRECISE", "FS=MRC", "CURRENCY=USD", "XLFILL=b")</f>
        <v>24414.2399229736</v>
      </c>
      <c r="U183" s="9">
        <f>_xll.BQL("AMZN US Equity", "HEADLINE_DEPR_EXPN/1M", "FPT=Q", "FPO=4Q", "ACT_EST_MAPPING=PRECISE", "FS=MRC", "CURRENCY=USD", "XLFILL=b")</f>
        <v>24653.218821973202</v>
      </c>
      <c r="V183" s="9">
        <f>_xll.BQL("AMZN US Equity", "HEADLINE_DEPR_EXPN/1M", "FPT=Q", "FPO=5Q", "ACT_EST_MAPPING=PRECISE", "FS=MRC", "CURRENCY=USD", "XLFILL=b")</f>
        <v>26463.252074016</v>
      </c>
      <c r="W183" s="9">
        <f>_xll.BQL("AMZN US Equity", "HEADLINE_DEPR_EXPN/1M", "FPT=Q", "FPO=6Q", "ACT_EST_MAPPING=PRECISE", "FS=MRC", "CURRENCY=USD", "XLFILL=b")</f>
        <v>28245.080423257899</v>
      </c>
      <c r="X183" s="9">
        <f>_xll.BQL("AMZN US Equity", "HEADLINE_DEPR_EXPN/1M", "FPT=Q", "FPO=7Q", "ACT_EST_MAPPING=PRECISE", "FS=MRC", "CURRENCY=USD", "XLFILL=b")</f>
        <v>31185.701248633599</v>
      </c>
    </row>
    <row r="184" spans="1:24" x14ac:dyDescent="0.25">
      <c r="A184" s="8" t="s">
        <v>220</v>
      </c>
      <c r="B184" s="4" t="s">
        <v>49</v>
      </c>
      <c r="C184" s="4" t="s">
        <v>50</v>
      </c>
      <c r="D184" s="4"/>
      <c r="E184" s="9">
        <f>_xll.BQL("AMZN US Equity", "CB_IS_OTHER_OPEX/1M", "FPT=Q", "FPO=-12Q", "ACT_EST_MAPPING=PRECISE", "FS=MRC", "CURRENCY=USD", "XLFILL=b")</f>
        <v>20905</v>
      </c>
      <c r="F184" s="9">
        <f>_xll.BQL("AMZN US Equity", "CB_IS_OTHER_OPEX/1M", "FPT=Q", "FPO=-11Q", "ACT_EST_MAPPING=PRECISE", "FS=MRC", "CURRENCY=USD", "XLFILL=b")</f>
        <v>21305</v>
      </c>
      <c r="G184" s="9">
        <f>_xll.BQL("AMZN US Equity", "CB_IS_OTHER_OPEX/1M", "FPT=Q", "FPO=-10Q", "ACT_EST_MAPPING=PRECISE", "FS=MRC", "CURRENCY=USD", "XLFILL=b")</f>
        <v>22314</v>
      </c>
      <c r="H184" s="9">
        <f>_xll.BQL("AMZN US Equity", "CB_IS_OTHER_OPEX/1M", "FPT=Q", "FPO=-9Q", "ACT_EST_MAPPING=PRECISE", "FS=MRC", "CURRENCY=USD", "XLFILL=b")</f>
        <v>26095</v>
      </c>
      <c r="I184" s="9">
        <f>_xll.BQL("AMZN US Equity", "CB_IS_OTHER_OPEX/1M", "FPT=Q", "FPO=-8Q", "ACT_EST_MAPPING=PRECISE", "FS=MRC", "CURRENCY=USD", "XLFILL=b")</f>
        <v>22317</v>
      </c>
      <c r="J184" s="9">
        <f>_xll.BQL("AMZN US Equity", "CB_IS_OTHER_OPEX/1M", "FPT=Q", "FPO=-7Q", "ACT_EST_MAPPING=PRECISE", "FS=MRC", "CURRENCY=USD", "XLFILL=b")</f>
        <v>23566</v>
      </c>
      <c r="K184" s="9">
        <f>_xll.BQL("AMZN US Equity", "CB_IS_OTHER_OPEX/1M", "FPT=Q", "FPO=-6Q", "ACT_EST_MAPPING=PRECISE", "FS=MRC", "CURRENCY=USD", "XLFILL=b")</f>
        <v>24660</v>
      </c>
      <c r="L184" s="9">
        <f>_xll.BQL("AMZN US Equity", "CB_IS_OTHER_OPEX/1M", "FPT=Q", "FPO=-5Q", "ACT_EST_MAPPING=PRECISE", "FS=MRC", "CURRENCY=USD", "XLFILL=b")</f>
        <v>27962</v>
      </c>
      <c r="M184" s="9">
        <f>_xll.BQL("AMZN US Equity", "CB_IS_OTHER_OPEX/1M", "FPT=Q", "FPO=-4Q", "ACT_EST_MAPPING=PRECISE", "FS=MRC", "CURRENCY=USD", "XLFILL=b")</f>
        <v>24593</v>
      </c>
      <c r="N184" s="9">
        <f>_xll.BQL("AMZN US Equity", "CB_IS_OTHER_OPEX/1M", "FPT=Q", "FPO=-3Q", "ACT_EST_MAPPING=PRECISE", "FS=MRC", "CURRENCY=USD", "XLFILL=b")</f>
        <v>25976</v>
      </c>
      <c r="O184" s="9">
        <f>_xll.BQL("AMZN US Equity", "CB_IS_OTHER_OPEX/1M", "FPT=Q", "FPO=-2Q", "ACT_EST_MAPPING=PRECISE", "FS=MRC", "CURRENCY=USD", "XLFILL=b")</f>
        <v>27679</v>
      </c>
      <c r="P184" s="9">
        <f>_xll.BQL("AMZN US Equity", "CB_IS_OTHER_OPEX/1M", "FPT=Q", "FPO=-1Q", "ACT_EST_MAPPING=PRECISE", "FS=MRC", "CURRENCY=USD", "XLFILL=b")</f>
        <v>30826</v>
      </c>
      <c r="Q184" s="9">
        <f>_xll.BQL("AMZN US Equity", "CB_IS_OTHER_OPEX/1M", "FPT=Q", "FPO=0Q", "ACT_EST_MAPPING=PRECISE", "FS=MRC", "CURRENCY=USD", "XLFILL=b")</f>
        <v>27289</v>
      </c>
      <c r="R184" s="9">
        <f>_xll.BQL("AMZN US Equity", "CB_IS_OTHER_OPEX/1M", "FPT=Q", "FPO=1Q", "ACT_EST_MAPPING=PRECISE", "FS=MRC", "CURRENCY=USD", "XLFILL=b")</f>
        <v>29784.160192845717</v>
      </c>
      <c r="S184" s="9">
        <f>_xll.BQL("AMZN US Equity", "CB_IS_OTHER_OPEX/1M", "FPT=Q", "FPO=2Q", "ACT_EST_MAPPING=PRECISE", "FS=MRC", "CURRENCY=USD", "XLFILL=b")</f>
        <v>30629.855216361506</v>
      </c>
      <c r="T184" s="9">
        <f>_xll.BQL("AMZN US Equity", "CB_IS_OTHER_OPEX/1M", "FPT=Q", "FPO=3Q", "ACT_EST_MAPPING=PRECISE", "FS=MRC", "CURRENCY=USD", "XLFILL=b")</f>
        <v>34749.230107010117</v>
      </c>
      <c r="U184" s="9">
        <f>_xll.BQL("AMZN US Equity", "CB_IS_OTHER_OPEX/1M", "FPT=Q", "FPO=4Q", "ACT_EST_MAPPING=PRECISE", "FS=MRC", "CURRENCY=USD", "XLFILL=b")</f>
        <v>30252.495919869933</v>
      </c>
      <c r="V184" s="9">
        <f>_xll.BQL("AMZN US Equity", "CB_IS_OTHER_OPEX/1M", "FPT=Q", "FPO=5Q", "ACT_EST_MAPPING=PRECISE", "FS=MRC", "CURRENCY=USD", "XLFILL=b")</f>
        <v>32780.951637483122</v>
      </c>
      <c r="W184" s="9">
        <f>_xll.BQL("AMZN US Equity", "CB_IS_OTHER_OPEX/1M", "FPT=Q", "FPO=6Q", "ACT_EST_MAPPING=PRECISE", "FS=MRC", "CURRENCY=USD", "XLFILL=b")</f>
        <v>33956.211055049505</v>
      </c>
      <c r="X184" s="9">
        <f>_xll.BQL("AMZN US Equity", "CB_IS_OTHER_OPEX/1M", "FPT=Q", "FPO=7Q", "ACT_EST_MAPPING=PRECISE", "FS=MRC", "CURRENCY=USD", "XLFILL=b")</f>
        <v>38132.6700168237</v>
      </c>
    </row>
    <row r="185" spans="1:24" x14ac:dyDescent="0.25">
      <c r="A185" s="8" t="s">
        <v>221</v>
      </c>
      <c r="B185" s="4" t="s">
        <v>222</v>
      </c>
      <c r="C185" s="4" t="s">
        <v>223</v>
      </c>
      <c r="D185" s="4"/>
      <c r="E185" s="9">
        <f>_xll.BQL("AMZN US Equity", "IS_OTHER_OPERATING_INCOME_EXPN/1M", "FPT=Q", "FPO=-12Q", "ACT_EST_MAPPING=PRECISE", "FS=MRC", "CURRENCY=USD", "XLFILL=b")</f>
        <v>-223</v>
      </c>
      <c r="F185" s="9">
        <f>_xll.BQL("AMZN US Equity", "IS_OTHER_OPERATING_INCOME_EXPN/1M", "FPT=Q", "FPO=-11Q", "ACT_EST_MAPPING=PRECISE", "FS=MRC", "CURRENCY=USD", "XLFILL=b")</f>
        <v>-146</v>
      </c>
      <c r="G185" s="9">
        <f>_xll.BQL("AMZN US Equity", "IS_OTHER_OPERATING_INCOME_EXPN/1M", "FPT=Q", "FPO=-10Q", "ACT_EST_MAPPING=PRECISE", "FS=MRC", "CURRENCY=USD", "XLFILL=b")</f>
        <v>-244</v>
      </c>
      <c r="H185" s="9">
        <f>_xll.BQL("AMZN US Equity", "IS_OTHER_OPERATING_INCOME_EXPN/1M", "FPT=Q", "FPO=-9Q", "ACT_EST_MAPPING=PRECISE", "FS=MRC", "CURRENCY=USD", "XLFILL=b")</f>
        <v>-154</v>
      </c>
      <c r="I185" s="9">
        <f>_xll.BQL("AMZN US Equity", "IS_OTHER_OPERATING_INCOME_EXPN/1M", "FPT=Q", "FPO=-8Q", "ACT_EST_MAPPING=PRECISE", "FS=MRC", "CURRENCY=USD", "XLFILL=b")</f>
        <v>-228</v>
      </c>
      <c r="J185" s="9">
        <f>_xll.BQL("AMZN US Equity", "IS_OTHER_OPERATING_INCOME_EXPN/1M", "FPT=Q", "FPO=-7Q", "ACT_EST_MAPPING=PRECISE", "FS=MRC", "CURRENCY=USD", "XLFILL=b")</f>
        <v>-97</v>
      </c>
      <c r="K185" s="9">
        <f>_xll.BQL("AMZN US Equity", "IS_OTHER_OPERATING_INCOME_EXPN/1M", "FPT=Q", "FPO=-6Q", "ACT_EST_MAPPING=PRECISE", "FS=MRC", "CURRENCY=USD", "XLFILL=b")</f>
        <v>-262</v>
      </c>
      <c r="L185" s="9">
        <f>_xll.BQL("AMZN US Equity", "IS_OTHER_OPERATING_INCOME_EXPN/1M", "FPT=Q", "FPO=-5Q", "ACT_EST_MAPPING=PRECISE", "FS=MRC", "CURRENCY=USD", "XLFILL=b")</f>
        <v>-176</v>
      </c>
      <c r="M185" s="9">
        <f>_xll.BQL("AMZN US Equity", "IS_OTHER_OPERATING_INCOME_EXPN/1M", "FPT=Q", "FPO=-4Q", "ACT_EST_MAPPING=PRECISE", "FS=MRC", "CURRENCY=USD", "XLFILL=b")</f>
        <v>-308</v>
      </c>
      <c r="N185" s="9">
        <f>_xll.BQL("AMZN US Equity", "IS_OTHER_OPERATING_INCOME_EXPN/1M", "FPT=Q", "FPO=-3Q", "ACT_EST_MAPPING=PRECISE", "FS=MRC", "CURRENCY=USD", "XLFILL=b")</f>
        <v>-199</v>
      </c>
      <c r="O185" s="9">
        <f>_xll.BQL("AMZN US Equity", "IS_OTHER_OPERATING_INCOME_EXPN/1M", "FPT=Q", "FPO=-2Q", "ACT_EST_MAPPING=PRECISE", "FS=MRC", "CURRENCY=USD", "XLFILL=b")</f>
        <v>-2875</v>
      </c>
      <c r="P185" s="9">
        <f>_xll.BQL("AMZN US Equity", "IS_OTHER_OPERATING_INCOME_EXPN/1M", "FPT=Q", "FPO=-1Q", "ACT_EST_MAPPING=PRECISE", "FS=MRC", "CURRENCY=USD", "XLFILL=b")</f>
        <v>-1257</v>
      </c>
      <c r="Q185" s="9">
        <f>_xll.BQL("AMZN US Equity", "IS_OTHER_OPERATING_INCOME_EXPN/1M", "FPT=Q", "FPO=0Q", "ACT_EST_MAPPING=PRECISE", "FS=MRC", "CURRENCY=USD", "XLFILL=b")</f>
        <v>-447</v>
      </c>
      <c r="R185" s="9">
        <f>_xll.BQL("AMZN US Equity", "IS_OTHER_OPERATING_INCOME_EXPN/1M", "FPT=Q", "FPO=1Q", "ACT_EST_MAPPING=PRECISE", "FS=MRC", "CURRENCY=USD", "XLFILL=b")</f>
        <v>-261.53482714002325</v>
      </c>
      <c r="S185" s="9">
        <f>_xll.BQL("AMZN US Equity", "IS_OTHER_OPERATING_INCOME_EXPN/1M", "FPT=Q", "FPO=2Q", "ACT_EST_MAPPING=PRECISE", "FS=MRC", "CURRENCY=USD", "XLFILL=b")</f>
        <v>-441.66808981917848</v>
      </c>
      <c r="T185" s="9">
        <f>_xll.BQL("AMZN US Equity", "IS_OTHER_OPERATING_INCOME_EXPN/1M", "FPT=Q", "FPO=3Q", "ACT_EST_MAPPING=PRECISE", "FS=MRC", "CURRENCY=USD", "XLFILL=b")</f>
        <v>-458.44981244144316</v>
      </c>
      <c r="U185" s="9">
        <f>_xll.BQL("AMZN US Equity", "IS_OTHER_OPERATING_INCOME_EXPN/1M", "FPT=Q", "FPO=4Q", "ACT_EST_MAPPING=PRECISE", "FS=MRC", "CURRENCY=USD", "XLFILL=b")</f>
        <v>-309.2549278164841</v>
      </c>
      <c r="V185" s="9">
        <f>_xll.BQL("AMZN US Equity", "IS_OTHER_OPERATING_INCOME_EXPN/1M", "FPT=Q", "FPO=5Q", "ACT_EST_MAPPING=PRECISE", "FS=MRC", "CURRENCY=USD", "XLFILL=b")</f>
        <v>-261.39672290086691</v>
      </c>
      <c r="W185" s="9">
        <f>_xll.BQL("AMZN US Equity", "IS_OTHER_OPERATING_INCOME_EXPN/1M", "FPT=Q", "FPO=6Q", "ACT_EST_MAPPING=PRECISE", "FS=MRC", "CURRENCY=USD", "XLFILL=b")</f>
        <v>-519.11408021035868</v>
      </c>
      <c r="X185" s="9">
        <f>_xll.BQL("AMZN US Equity", "IS_OTHER_OPERATING_INCOME_EXPN/1M", "FPT=Q", "FPO=7Q", "ACT_EST_MAPPING=PRECISE", "FS=MRC", "CURRENCY=USD", "XLFILL=b")</f>
        <v>-394.39286783461114</v>
      </c>
    </row>
    <row r="186" spans="1:24" x14ac:dyDescent="0.25">
      <c r="A186" s="8" t="s">
        <v>14</v>
      </c>
      <c r="B186" s="4"/>
      <c r="C186" s="4"/>
      <c r="D186" s="4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</row>
    <row r="187" spans="1:24" x14ac:dyDescent="0.25">
      <c r="A187" s="8" t="s">
        <v>51</v>
      </c>
      <c r="B187" s="4" t="s">
        <v>52</v>
      </c>
      <c r="C187" s="4" t="s">
        <v>53</v>
      </c>
      <c r="D187" s="4"/>
      <c r="E187" s="9">
        <f>_xll.BQL("AMZN US Equity", "IS_COMPARABLE_EBIT/1M", "FPT=Q", "FPO=-12Q", "ACT_EST_MAPPING=PRECISE", "FS=MRC", "CURRENCY=USD", "XLFILL=b")</f>
        <v>4774</v>
      </c>
      <c r="F187" s="9">
        <f>_xll.BQL("AMZN US Equity", "IS_COMPARABLE_EBIT/1M", "FPT=Q", "FPO=-11Q", "ACT_EST_MAPPING=PRECISE", "FS=MRC", "CURRENCY=USD", "XLFILL=b")</f>
        <v>7681</v>
      </c>
      <c r="G187" s="9">
        <f>_xll.BQL("AMZN US Equity", "IS_COMPARABLE_EBIT/1M", "FPT=Q", "FPO=-10Q", "ACT_EST_MAPPING=PRECISE", "FS=MRC", "CURRENCY=USD", "XLFILL=b")</f>
        <v>11188</v>
      </c>
      <c r="H187" s="9">
        <f>_xll.BQL("AMZN US Equity", "IS_COMPARABLE_EBIT/1M", "FPT=Q", "FPO=-9Q", "ACT_EST_MAPPING=PRECISE", "FS=MRC", "CURRENCY=USD", "XLFILL=b")</f>
        <v>13209</v>
      </c>
      <c r="I187" s="9">
        <f>_xll.BQL("AMZN US Equity", "IS_COMPARABLE_EBIT/1M", "FPT=Q", "FPO=-8Q", "ACT_EST_MAPPING=PRECISE", "FS=MRC", "CURRENCY=USD", "XLFILL=b")</f>
        <v>15307</v>
      </c>
      <c r="J187" s="9">
        <f>_xll.BQL("AMZN US Equity", "IS_COMPARABLE_EBIT/1M", "FPT=Q", "FPO=-7Q", "ACT_EST_MAPPING=PRECISE", "FS=MRC", "CURRENCY=USD", "XLFILL=b")</f>
        <v>14672</v>
      </c>
      <c r="K187" s="9">
        <f>_xll.BQL("AMZN US Equity", "IS_COMPARABLE_EBIT/1M", "FPT=Q", "FPO=-6Q", "ACT_EST_MAPPING=PRECISE", "FS=MRC", "CURRENCY=USD", "XLFILL=b")</f>
        <v>17411</v>
      </c>
      <c r="L187" s="9">
        <f>_xll.BQL("AMZN US Equity", "IS_COMPARABLE_EBIT/1M", "FPT=Q", "FPO=-5Q", "ACT_EST_MAPPING=PRECISE", "FS=MRC", "CURRENCY=USD", "XLFILL=b")</f>
        <v>21203</v>
      </c>
      <c r="M187" s="9">
        <f>_xll.BQL("AMZN US Equity", "IS_COMPARABLE_EBIT/1M", "FPT=Q", "FPO=-4Q", "ACT_EST_MAPPING=PRECISE", "FS=MRC", "CURRENCY=USD", "XLFILL=b")</f>
        <v>18405</v>
      </c>
      <c r="N187" s="9">
        <f>_xll.BQL("AMZN US Equity", "IS_COMPARABLE_EBIT/1M", "FPT=Q", "FPO=-3Q", "ACT_EST_MAPPING=PRECISE", "FS=MRC", "CURRENCY=USD", "XLFILL=b")</f>
        <v>19171</v>
      </c>
      <c r="O187" s="9">
        <f>_xll.BQL("AMZN US Equity", "IS_COMPARABLE_EBIT/1M", "FPT=Q", "FPO=-2Q", "ACT_EST_MAPPING=PRECISE", "FS=MRC", "CURRENCY=USD", "XLFILL=b")</f>
        <v>17422</v>
      </c>
      <c r="P187" s="9">
        <f>_xll.BQL("AMZN US Equity", "IS_COMPARABLE_EBIT/1M", "FPT=Q", "FPO=-1Q", "ACT_EST_MAPPING=PRECISE", "FS=MRC", "CURRENCY=USD", "XLFILL=b")</f>
        <v>24977</v>
      </c>
      <c r="Q187" s="9">
        <f>_xll.BQL("AMZN US Equity", "IS_COMPARABLE_EBIT/1M", "FPT=Q", "FPO=0Q", "ACT_EST_MAPPING=PRECISE", "FS=MRC", "CURRENCY=USD", "XLFILL=b")</f>
        <v>23852</v>
      </c>
      <c r="R187" s="9">
        <f>_xll.BQL("AMZN US Equity", "IS_COMPARABLE_EBIT/1M", "FPT=Q", "FPO=1Q", "ACT_EST_MAPPING=PRECISE", "FS=MRC", "CURRENCY=USD", "XLFILL=b")</f>
        <v>23741.952380952382</v>
      </c>
      <c r="S187" s="9">
        <f>_xll.BQL("AMZN US Equity", "IS_COMPARABLE_EBIT/1M", "FPT=Q", "FPO=2Q", "ACT_EST_MAPPING=PRECISE", "FS=MRC", "CURRENCY=USD", "XLFILL=b")</f>
        <v>24996.166666666668</v>
      </c>
      <c r="T187" s="9">
        <f>_xll.BQL("AMZN US Equity", "IS_COMPARABLE_EBIT/1M", "FPT=Q", "FPO=3Q", "ACT_EST_MAPPING=PRECISE", "FS=MRC", "CURRENCY=USD", "XLFILL=b")</f>
        <v>31444.195121951219</v>
      </c>
      <c r="U187" s="9">
        <f>_xll.BQL("AMZN US Equity", "IS_COMPARABLE_EBIT/1M", "FPT=Q", "FPO=4Q", "ACT_EST_MAPPING=PRECISE", "FS=MRC", "CURRENCY=USD", "XLFILL=b")</f>
        <v>29647.08</v>
      </c>
      <c r="V187" s="9">
        <f>_xll.BQL("AMZN US Equity", "IS_COMPARABLE_EBIT/1M", "FPT=Q", "FPO=5Q", "ACT_EST_MAPPING=PRECISE", "FS=MRC", "CURRENCY=USD", "XLFILL=b")</f>
        <v>30531.291666666668</v>
      </c>
      <c r="W187" s="9">
        <f>_xll.BQL("AMZN US Equity", "IS_COMPARABLE_EBIT/1M", "FPT=Q", "FPO=6Q", "ACT_EST_MAPPING=PRECISE", "FS=MRC", "CURRENCY=USD", "XLFILL=b")</f>
        <v>32080.17391304348</v>
      </c>
      <c r="X187" s="9">
        <f>_xll.BQL("AMZN US Equity", "IS_COMPARABLE_EBIT/1M", "FPT=Q", "FPO=7Q", "ACT_EST_MAPPING=PRECISE", "FS=MRC", "CURRENCY=USD", "XLFILL=b")</f>
        <v>39110.478260869568</v>
      </c>
    </row>
    <row r="188" spans="1:24" x14ac:dyDescent="0.25">
      <c r="A188" s="8" t="s">
        <v>54</v>
      </c>
      <c r="B188" s="4" t="s">
        <v>55</v>
      </c>
      <c r="C188" s="4" t="s">
        <v>56</v>
      </c>
      <c r="D188" s="4"/>
      <c r="E188" s="9">
        <f>_xll.BQL("AMZN US Equity", "OPER_MARGIN", "FPT=Q", "FPO=-12Q", "ACT_EST_MAPPING=PRECISE", "FS=MRC", "CURRENCY=USD", "XLFILL=b")</f>
        <v>3.7484885126964933</v>
      </c>
      <c r="F188" s="9">
        <f>_xll.BQL("AMZN US Equity", "OPER_MARGIN", "FPT=Q", "FPO=-11Q", "ACT_EST_MAPPING=PRECISE", "FS=MRC", "CURRENCY=USD", "XLFILL=b")</f>
        <v>5.7157527365812637</v>
      </c>
      <c r="G188" s="9">
        <f>_xll.BQL("AMZN US Equity", "OPER_MARGIN", "FPT=Q", "FPO=-10Q", "ACT_EST_MAPPING=PRECISE", "FS=MRC", "CURRENCY=USD", "XLFILL=b")</f>
        <v>7.8192377850618167</v>
      </c>
      <c r="H188" s="9">
        <f>_xll.BQL("AMZN US Equity", "OPER_MARGIN", "FPT=Q", "FPO=-9Q", "ACT_EST_MAPPING=PRECISE", "FS=MRC", "CURRENCY=USD", "XLFILL=b")</f>
        <v>7.7717829384388191</v>
      </c>
      <c r="I188" s="9">
        <f>_xll.BQL("AMZN US Equity", "OPER_MARGIN", "FPT=Q", "FPO=-8Q", "ACT_EST_MAPPING=PRECISE", "FS=MRC", "CURRENCY=USD", "XLFILL=b")</f>
        <v>10.680817511321374</v>
      </c>
      <c r="J188" s="9">
        <f>_xll.BQL("AMZN US Equity", "OPER_MARGIN", "FPT=Q", "FPO=-7Q", "ACT_EST_MAPPING=PRECISE", "FS=MRC", "CURRENCY=USD", "XLFILL=b")</f>
        <v>9.9150543665569657</v>
      </c>
      <c r="K188" s="9">
        <f>_xll.BQL("AMZN US Equity", "OPER_MARGIN", "FPT=Q", "FPO=-6Q", "ACT_EST_MAPPING=PRECISE", "FS=MRC", "CURRENCY=USD", "XLFILL=b")</f>
        <v>10.95879202150091</v>
      </c>
      <c r="L188" s="9">
        <f>_xll.BQL("AMZN US Equity", "OPER_MARGIN", "FPT=Q", "FPO=-5Q", "ACT_EST_MAPPING=PRECISE", "FS=MRC", "CURRENCY=USD", "XLFILL=b")</f>
        <v>11.290683309193151</v>
      </c>
      <c r="M188" s="9">
        <f>_xll.BQL("AMZN US Equity", "OPER_MARGIN", "FPT=Q", "FPO=-4Q", "ACT_EST_MAPPING=PRECISE", "FS=MRC", "CURRENCY=USD", "XLFILL=b")</f>
        <v>11.823315153500742</v>
      </c>
      <c r="N188" s="9">
        <f>_xll.BQL("AMZN US Equity", "OPER_MARGIN", "FPT=Q", "FPO=-3Q", "ACT_EST_MAPPING=PRECISE", "FS=MRC", "CURRENCY=USD", "XLFILL=b")</f>
        <v>11.431586981669867</v>
      </c>
      <c r="O188" s="9">
        <f>_xll.BQL("AMZN US Equity", "OPER_MARGIN", "FPT=Q", "FPO=-2Q", "ACT_EST_MAPPING=PRECISE", "FS=MRC", "CURRENCY=USD", "XLFILL=b")</f>
        <v>9.6698100117112276</v>
      </c>
      <c r="P188" s="9">
        <f>_xll.BQL("AMZN US Equity", "OPER_MARGIN", "FPT=Q", "FPO=-1Q", "ACT_EST_MAPPING=PRECISE", "FS=MRC", "CURRENCY=USD", "XLFILL=b")</f>
        <v>11.705079058607406</v>
      </c>
      <c r="Q188" s="9">
        <f>_xll.BQL("AMZN US Equity", "OPER_MARGIN", "FPT=Q", "FPO=0Q", "ACT_EST_MAPPING=PRECISE", "FS=MRC", "CURRENCY=USD", "XLFILL=b")</f>
        <v>13.140222235688825</v>
      </c>
      <c r="R188" s="9">
        <f>_xll.BQL("AMZN US Equity", "OPER_MARGIN", "FPT=Q", "FPO=1Q", "ACT_EST_MAPPING=PRECISE", "FS=MRC", "CURRENCY=USD", "XLFILL=b")</f>
        <v>11.982010780216619</v>
      </c>
      <c r="S188" s="9">
        <f>_xll.BQL("AMZN US Equity", "OPER_MARGIN", "FPT=Q", "FPO=2Q", "ACT_EST_MAPPING=PRECISE", "FS=MRC", "CURRENCY=USD", "XLFILL=b")</f>
        <v>12.230274562264817</v>
      </c>
      <c r="T188" s="9">
        <f>_xll.BQL("AMZN US Equity", "OPER_MARGIN", "FPT=Q", "FPO=3Q", "ACT_EST_MAPPING=PRECISE", "FS=MRC", "CURRENCY=USD", "XLFILL=b")</f>
        <v>12.908729668037935</v>
      </c>
      <c r="U188" s="9">
        <f>_xll.BQL("AMZN US Equity", "OPER_MARGIN", "FPT=Q", "FPO=4Q", "ACT_EST_MAPPING=PRECISE", "FS=MRC", "CURRENCY=USD", "XLFILL=b")</f>
        <v>14.348491777993564</v>
      </c>
      <c r="V188" s="9">
        <f>_xll.BQL("AMZN US Equity", "OPER_MARGIN", "FPT=Q", "FPO=5Q", "ACT_EST_MAPPING=PRECISE", "FS=MRC", "CURRENCY=USD", "XLFILL=b")</f>
        <v>13.668730235047221</v>
      </c>
      <c r="W188" s="9">
        <f>_xll.BQL("AMZN US Equity", "OPER_MARGIN", "FPT=Q", "FPO=6Q", "ACT_EST_MAPPING=PRECISE", "FS=MRC", "CURRENCY=USD", "XLFILL=b")</f>
        <v>13.805615449096297</v>
      </c>
      <c r="X188" s="9">
        <f>_xll.BQL("AMZN US Equity", "OPER_MARGIN", "FPT=Q", "FPO=7Q", "ACT_EST_MAPPING=PRECISE", "FS=MRC", "CURRENCY=USD", "XLFILL=b")</f>
        <v>14.290120009023678</v>
      </c>
    </row>
    <row r="189" spans="1:24" x14ac:dyDescent="0.25">
      <c r="A189" s="8" t="s">
        <v>14</v>
      </c>
      <c r="B189" s="4"/>
      <c r="C189" s="4"/>
      <c r="D189" s="4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</row>
    <row r="190" spans="1:24" x14ac:dyDescent="0.25">
      <c r="A190" s="8" t="s">
        <v>224</v>
      </c>
      <c r="B190" s="4" t="s">
        <v>225</v>
      </c>
      <c r="C190" s="4" t="s">
        <v>226</v>
      </c>
      <c r="D190" s="4"/>
      <c r="E190" s="9" t="str">
        <f>_xll.BQL("AMZN US Equity", "IS_EBITDA/1M", "FPT=Q", "FPO=-12Q", "ACT_EST_MAPPING=PRECISE", "FS=MRC", "CURRENCY=USD", "XLFILL=b")</f>
        <v/>
      </c>
      <c r="F190" s="9" t="str">
        <f>_xll.BQL("AMZN US Equity", "IS_EBITDA/1M", "FPT=Q", "FPO=-11Q", "ACT_EST_MAPPING=PRECISE", "FS=MRC", "CURRENCY=USD", "XLFILL=b")</f>
        <v/>
      </c>
      <c r="G190" s="9" t="str">
        <f>_xll.BQL("AMZN US Equity", "IS_EBITDA/1M", "FPT=Q", "FPO=-10Q", "ACT_EST_MAPPING=PRECISE", "FS=MRC", "CURRENCY=USD", "XLFILL=b")</f>
        <v/>
      </c>
      <c r="H190" s="9" t="str">
        <f>_xll.BQL("AMZN US Equity", "IS_EBITDA/1M", "FPT=Q", "FPO=-9Q", "ACT_EST_MAPPING=PRECISE", "FS=MRC", "CURRENCY=USD", "XLFILL=b")</f>
        <v/>
      </c>
      <c r="I190" s="9" t="str">
        <f>_xll.BQL("AMZN US Equity", "IS_EBITDA/1M", "FPT=Q", "FPO=-8Q", "ACT_EST_MAPPING=PRECISE", "FS=MRC", "CURRENCY=USD", "XLFILL=b")</f>
        <v/>
      </c>
      <c r="J190" s="9" t="str">
        <f>_xll.BQL("AMZN US Equity", "IS_EBITDA/1M", "FPT=Q", "FPO=-7Q", "ACT_EST_MAPPING=PRECISE", "FS=MRC", "CURRENCY=USD", "XLFILL=b")</f>
        <v/>
      </c>
      <c r="K190" s="9" t="str">
        <f>_xll.BQL("AMZN US Equity", "IS_EBITDA/1M", "FPT=Q", "FPO=-6Q", "ACT_EST_MAPPING=PRECISE", "FS=MRC", "CURRENCY=USD", "XLFILL=b")</f>
        <v/>
      </c>
      <c r="L190" s="9" t="str">
        <f>_xll.BQL("AMZN US Equity", "IS_EBITDA/1M", "FPT=Q", "FPO=-5Q", "ACT_EST_MAPPING=PRECISE", "FS=MRC", "CURRENCY=USD", "XLFILL=b")</f>
        <v/>
      </c>
      <c r="M190" s="9" t="str">
        <f>_xll.BQL("AMZN US Equity", "IS_EBITDA/1M", "FPT=Q", "FPO=-4Q", "ACT_EST_MAPPING=PRECISE", "FS=MRC", "CURRENCY=USD", "XLFILL=b")</f>
        <v/>
      </c>
      <c r="N190" s="9" t="str">
        <f>_xll.BQL("AMZN US Equity", "IS_EBITDA/1M", "FPT=Q", "FPO=-3Q", "ACT_EST_MAPPING=PRECISE", "FS=MRC", "CURRENCY=USD", "XLFILL=b")</f>
        <v/>
      </c>
      <c r="O190" s="9" t="str">
        <f>_xll.BQL("AMZN US Equity", "IS_EBITDA/1M", "FPT=Q", "FPO=-2Q", "ACT_EST_MAPPING=PRECISE", "FS=MRC", "CURRENCY=USD", "XLFILL=b")</f>
        <v/>
      </c>
      <c r="P190" s="9" t="str">
        <f>_xll.BQL("AMZN US Equity", "IS_EBITDA/1M", "FPT=Q", "FPO=-1Q", "ACT_EST_MAPPING=PRECISE", "FS=MRC", "CURRENCY=USD", "XLFILL=b")</f>
        <v/>
      </c>
      <c r="Q190" s="9" t="str">
        <f>_xll.BQL("AMZN US Equity", "IS_EBITDA/1M", "FPT=Q", "FPO=0Q", "ACT_EST_MAPPING=PRECISE", "FS=MRC", "CURRENCY=USD", "XLFILL=b")</f>
        <v/>
      </c>
      <c r="R190" s="9">
        <f>_xll.BQL("AMZN US Equity", "IS_EBITDA/1M", "FPT=Q", "FPO=1Q", "ACT_EST_MAPPING=PRECISE", "FS=MRC", "CURRENCY=USD", "XLFILL=b")</f>
        <v>43799.825860162615</v>
      </c>
      <c r="S190" s="9">
        <f>_xll.BQL("AMZN US Equity", "IS_EBITDA/1M", "FPT=Q", "FPO=2Q", "ACT_EST_MAPPING=PRECISE", "FS=MRC", "CURRENCY=USD", "XLFILL=b")</f>
        <v>45672.01398655674</v>
      </c>
      <c r="T190" s="9">
        <f>_xll.BQL("AMZN US Equity", "IS_EBITDA/1M", "FPT=Q", "FPO=3Q", "ACT_EST_MAPPING=PRECISE", "FS=MRC", "CURRENCY=USD", "XLFILL=b")</f>
        <v>54977.495917597618</v>
      </c>
      <c r="U190" s="9">
        <f>_xll.BQL("AMZN US Equity", "IS_EBITDA/1M", "FPT=Q", "FPO=4Q", "ACT_EST_MAPPING=PRECISE", "FS=MRC", "CURRENCY=USD", "XLFILL=b")</f>
        <v>52607.386426826364</v>
      </c>
      <c r="V190" s="9">
        <f>_xll.BQL("AMZN US Equity", "IS_EBITDA/1M", "FPT=Q", "FPO=5Q", "ACT_EST_MAPPING=PRECISE", "FS=MRC", "CURRENCY=USD", "XLFILL=b")</f>
        <v>55280.947552392667</v>
      </c>
      <c r="W190" s="9">
        <f>_xll.BQL("AMZN US Equity", "IS_EBITDA/1M", "FPT=Q", "FPO=6Q", "ACT_EST_MAPPING=PRECISE", "FS=MRC", "CURRENCY=USD", "XLFILL=b")</f>
        <v>58590.810937106289</v>
      </c>
      <c r="X190" s="9">
        <f>_xll.BQL("AMZN US Equity", "IS_EBITDA/1M", "FPT=Q", "FPO=7Q", "ACT_EST_MAPPING=PRECISE", "FS=MRC", "CURRENCY=USD", "XLFILL=b")</f>
        <v>68917.769088453089</v>
      </c>
    </row>
    <row r="191" spans="1:24" x14ac:dyDescent="0.25">
      <c r="A191" s="8" t="s">
        <v>14</v>
      </c>
      <c r="B191" s="4"/>
      <c r="C191" s="4"/>
      <c r="D191" s="4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</row>
    <row r="192" spans="1:24" x14ac:dyDescent="0.25">
      <c r="A192" s="8" t="s">
        <v>227</v>
      </c>
      <c r="B192" s="4" t="s">
        <v>228</v>
      </c>
      <c r="C192" s="4" t="s">
        <v>229</v>
      </c>
      <c r="D192" s="4"/>
      <c r="E192" s="9">
        <f>_xll.BQL("AMZN US Equity", "IS_NON_OPERATING_INC_LOSS_GAAP/1M", "FPT=Q", "FPO=-12Q", "ACT_EST_MAPPING=PRECISE", "FS=MRC", "CURRENCY=USD", "XLFILL=b")</f>
        <v>655</v>
      </c>
      <c r="F192" s="9">
        <f>_xll.BQL("AMZN US Equity", "IS_NON_OPERATING_INC_LOSS_GAAP/1M", "FPT=Q", "FPO=-11Q", "ACT_EST_MAPPING=PRECISE", "FS=MRC", "CURRENCY=USD", "XLFILL=b")</f>
        <v>118</v>
      </c>
      <c r="G192" s="9">
        <f>_xll.BQL("AMZN US Equity", "IS_NON_OPERATING_INC_LOSS_GAAP/1M", "FPT=Q", "FPO=-10Q", "ACT_EST_MAPPING=PRECISE", "FS=MRC", "CURRENCY=USD", "XLFILL=b")</f>
        <v>-1001</v>
      </c>
      <c r="H192" s="9">
        <f>_xll.BQL("AMZN US Equity", "IS_NON_OPERATING_INC_LOSS_GAAP/1M", "FPT=Q", "FPO=-9Q", "ACT_EST_MAPPING=PRECISE", "FS=MRC", "CURRENCY=USD", "XLFILL=b")</f>
        <v>-477</v>
      </c>
      <c r="I192" s="9">
        <f>_xll.BQL("AMZN US Equity", "IS_NON_OPERATING_INC_LOSS_GAAP/1M", "FPT=Q", "FPO=-8Q", "ACT_EST_MAPPING=PRECISE", "FS=MRC", "CURRENCY=USD", "XLFILL=b")</f>
        <v>2324</v>
      </c>
      <c r="J192" s="9">
        <f>_xll.BQL("AMZN US Equity", "IS_NON_OPERATING_INC_LOSS_GAAP/1M", "FPT=Q", "FPO=-7Q", "ACT_EST_MAPPING=PRECISE", "FS=MRC", "CURRENCY=USD", "XLFILL=b")</f>
        <v>-573</v>
      </c>
      <c r="K192" s="9">
        <f>_xll.BQL("AMZN US Equity", "IS_NON_OPERATING_INC_LOSS_GAAP/1M", "FPT=Q", "FPO=-6Q", "ACT_EST_MAPPING=PRECISE", "FS=MRC", "CURRENCY=USD", "XLFILL=b")</f>
        <v>-626</v>
      </c>
      <c r="L192" s="9">
        <f>_xll.BQL("AMZN US Equity", "IS_NON_OPERATING_INC_LOSS_GAAP/1M", "FPT=Q", "FPO=-5Q", "ACT_EST_MAPPING=PRECISE", "FS=MRC", "CURRENCY=USD", "XLFILL=b")</f>
        <v>-1146</v>
      </c>
      <c r="M192" s="9">
        <f>_xll.BQL("AMZN US Equity", "IS_NON_OPERATING_INC_LOSS_GAAP/1M", "FPT=Q", "FPO=-4Q", "ACT_EST_MAPPING=PRECISE", "FS=MRC", "CURRENCY=USD", "XLFILL=b")</f>
        <v>-3274</v>
      </c>
      <c r="N192" s="9">
        <f>_xll.BQL("AMZN US Equity", "IS_NON_OPERATING_INC_LOSS_GAAP/1M", "FPT=Q", "FPO=-3Q", "ACT_EST_MAPPING=PRECISE", "FS=MRC", "CURRENCY=USD", "XLFILL=b")</f>
        <v>-1686</v>
      </c>
      <c r="O192" s="9">
        <f>_xll.BQL("AMZN US Equity", "IS_NON_OPERATING_INC_LOSS_GAAP/1M", "FPT=Q", "FPO=-2Q", "ACT_EST_MAPPING=PRECISE", "FS=MRC", "CURRENCY=USD", "XLFILL=b")</f>
        <v>-10748</v>
      </c>
      <c r="P192" s="9">
        <f>_xll.BQL("AMZN US Equity", "IS_NON_OPERATING_INC_LOSS_GAAP/1M", "FPT=Q", "FPO=-1Q", "ACT_EST_MAPPING=PRECISE", "FS=MRC", "CURRENCY=USD", "XLFILL=b")</f>
        <v>-1628</v>
      </c>
      <c r="Q192" s="9">
        <f>_xll.BQL("AMZN US Equity", "IS_NON_OPERATING_INC_LOSS_GAAP/1M", "FPT=Q", "FPO=0Q", "ACT_EST_MAPPING=PRECISE", "FS=MRC", "CURRENCY=USD", "XLFILL=b")</f>
        <v>-15982</v>
      </c>
      <c r="R192" s="9">
        <f>_xll.BQL("AMZN US Equity", "IS_NON_OPERATING_INC_LOSS_GAAP/1M", "FPT=Q", "FPO=1Q", "ACT_EST_MAPPING=PRECISE", "FS=MRC", "CURRENCY=USD", "XLFILL=b")</f>
        <v>-491.28514861938157</v>
      </c>
      <c r="S192" s="9">
        <f>_xll.BQL("AMZN US Equity", "IS_NON_OPERATING_INC_LOSS_GAAP/1M", "FPT=Q", "FPO=2Q", "ACT_EST_MAPPING=PRECISE", "FS=MRC", "CURRENCY=USD", "XLFILL=b")</f>
        <v>-615.71465704473701</v>
      </c>
      <c r="T192" s="9">
        <f>_xll.BQL("AMZN US Equity", "IS_NON_OPERATING_INC_LOSS_GAAP/1M", "FPT=Q", "FPO=3Q", "ACT_EST_MAPPING=PRECISE", "FS=MRC", "CURRENCY=USD", "XLFILL=b")</f>
        <v>-417.34532300386178</v>
      </c>
      <c r="U192" s="9">
        <f>_xll.BQL("AMZN US Equity", "IS_NON_OPERATING_INC_LOSS_GAAP/1M", "FPT=Q", "FPO=4Q", "ACT_EST_MAPPING=PRECISE", "FS=MRC", "CURRENCY=USD", "XLFILL=b")</f>
        <v>-566.17960591388305</v>
      </c>
      <c r="V192" s="9">
        <f>_xll.BQL("AMZN US Equity", "IS_NON_OPERATING_INC_LOSS_GAAP/1M", "FPT=Q", "FPO=5Q", "ACT_EST_MAPPING=PRECISE", "FS=MRC", "CURRENCY=USD", "XLFILL=b")</f>
        <v>-601.71495724784643</v>
      </c>
      <c r="W192" s="9">
        <f>_xll.BQL("AMZN US Equity", "IS_NON_OPERATING_INC_LOSS_GAAP/1M", "FPT=Q", "FPO=6Q", "ACT_EST_MAPPING=PRECISE", "FS=MRC", "CURRENCY=USD", "XLFILL=b")</f>
        <v>-930.72523631632305</v>
      </c>
      <c r="X192" s="9">
        <f>_xll.BQL("AMZN US Equity", "IS_NON_OPERATING_INC_LOSS_GAAP/1M", "FPT=Q", "FPO=7Q", "ACT_EST_MAPPING=PRECISE", "FS=MRC", "CURRENCY=USD", "XLFILL=b")</f>
        <v>-524.05545981735702</v>
      </c>
    </row>
    <row r="193" spans="1:24" x14ac:dyDescent="0.25">
      <c r="A193" s="8" t="s">
        <v>230</v>
      </c>
      <c r="B193" s="4" t="s">
        <v>231</v>
      </c>
      <c r="C193" s="4" t="s">
        <v>232</v>
      </c>
      <c r="D193" s="4"/>
      <c r="E193" s="9">
        <f>_xll.BQL("AMZN US Equity", "IS_NET_INTEREST_EXPENSE/1M", "FPT=Q", "FPO=-12Q", "ACT_EST_MAPPING=PRECISE", "FS=MRC", "CURRENCY=USD", "XLFILL=b")</f>
        <v>212</v>
      </c>
      <c r="F193" s="9">
        <f>_xll.BQL("AMZN US Equity", "IS_NET_INTEREST_EXPENSE/1M", "FPT=Q", "FPO=-11Q", "ACT_EST_MAPPING=PRECISE", "FS=MRC", "CURRENCY=USD", "XLFILL=b")</f>
        <v>179</v>
      </c>
      <c r="G193" s="9">
        <f>_xll.BQL("AMZN US Equity", "IS_NET_INTEREST_EXPENSE/1M", "FPT=Q", "FPO=-10Q", "ACT_EST_MAPPING=PRECISE", "FS=MRC", "CURRENCY=USD", "XLFILL=b")</f>
        <v>30</v>
      </c>
      <c r="H193" s="9">
        <f>_xll.BQL("AMZN US Equity", "IS_NET_INTEREST_EXPENSE/1M", "FPT=Q", "FPO=-9Q", "ACT_EST_MAPPING=PRECISE", "FS=MRC", "CURRENCY=USD", "XLFILL=b")</f>
        <v>-188</v>
      </c>
      <c r="I193" s="9">
        <f>_xll.BQL("AMZN US Equity", "IS_NET_INTEREST_EXPENSE/1M", "FPT=Q", "FPO=-8Q", "ACT_EST_MAPPING=PRECISE", "FS=MRC", "CURRENCY=USD", "XLFILL=b")</f>
        <v>-349</v>
      </c>
      <c r="J193" s="9">
        <f>_xll.BQL("AMZN US Equity", "IS_NET_INTEREST_EXPENSE/1M", "FPT=Q", "FPO=-7Q", "ACT_EST_MAPPING=PRECISE", "FS=MRC", "CURRENCY=USD", "XLFILL=b")</f>
        <v>-591</v>
      </c>
      <c r="K193" s="9">
        <f>_xll.BQL("AMZN US Equity", "IS_NET_INTEREST_EXPENSE/1M", "FPT=Q", "FPO=-6Q", "ACT_EST_MAPPING=PRECISE", "FS=MRC", "CURRENCY=USD", "XLFILL=b")</f>
        <v>-653</v>
      </c>
      <c r="L193" s="9">
        <f>_xll.BQL("AMZN US Equity", "IS_NET_INTEREST_EXPENSE/1M", "FPT=Q", "FPO=-5Q", "ACT_EST_MAPPING=PRECISE", "FS=MRC", "CURRENCY=USD", "XLFILL=b")</f>
        <v>-678</v>
      </c>
      <c r="M193" s="9">
        <f>_xll.BQL("AMZN US Equity", "IS_NET_INTEREST_EXPENSE/1M", "FPT=Q", "FPO=-4Q", "ACT_EST_MAPPING=PRECISE", "FS=MRC", "CURRENCY=USD", "XLFILL=b")</f>
        <v>-525</v>
      </c>
      <c r="N193" s="9">
        <f>_xll.BQL("AMZN US Equity", "IS_NET_INTEREST_EXPENSE/1M", "FPT=Q", "FPO=-3Q", "ACT_EST_MAPPING=PRECISE", "FS=MRC", "CURRENCY=USD", "XLFILL=b")</f>
        <v>-569</v>
      </c>
      <c r="O193" s="9">
        <f>_xll.BQL("AMZN US Equity", "IS_NET_INTEREST_EXPENSE/1M", "FPT=Q", "FPO=-2Q", "ACT_EST_MAPPING=PRECISE", "FS=MRC", "CURRENCY=USD", "XLFILL=b")</f>
        <v>-562</v>
      </c>
      <c r="P193" s="9">
        <f>_xll.BQL("AMZN US Equity", "IS_NET_INTEREST_EXPENSE/1M", "FPT=Q", "FPO=-1Q", "ACT_EST_MAPPING=PRECISE", "FS=MRC", "CURRENCY=USD", "XLFILL=b")</f>
        <v>-451</v>
      </c>
      <c r="Q193" s="9">
        <f>_xll.BQL("AMZN US Equity", "IS_NET_INTEREST_EXPENSE/1M", "FPT=Q", "FPO=0Q", "ACT_EST_MAPPING=PRECISE", "FS=MRC", "CURRENCY=USD", "XLFILL=b")</f>
        <v>-335</v>
      </c>
      <c r="R193" s="9">
        <f>_xll.BQL("AMZN US Equity", "IS_NET_INTEREST_EXPENSE/1M", "FPT=Q", "FPO=1Q", "ACT_EST_MAPPING=PRECISE", "FS=MRC", "CURRENCY=USD", "XLFILL=b")</f>
        <v>-420.55632270578172</v>
      </c>
      <c r="S193" s="9">
        <f>_xll.BQL("AMZN US Equity", "IS_NET_INTEREST_EXPENSE/1M", "FPT=Q", "FPO=2Q", "ACT_EST_MAPPING=PRECISE", "FS=MRC", "CURRENCY=USD", "XLFILL=b")</f>
        <v>-318.99519736420274</v>
      </c>
      <c r="T193" s="9">
        <f>_xll.BQL("AMZN US Equity", "IS_NET_INTEREST_EXPENSE/1M", "FPT=Q", "FPO=3Q", "ACT_EST_MAPPING=PRECISE", "FS=MRC", "CURRENCY=USD", "XLFILL=b")</f>
        <v>-337.92464719513862</v>
      </c>
      <c r="U193" s="9">
        <f>_xll.BQL("AMZN US Equity", "IS_NET_INTEREST_EXPENSE/1M", "FPT=Q", "FPO=4Q", "ACT_EST_MAPPING=PRECISE", "FS=MRC", "CURRENCY=USD", "XLFILL=b")</f>
        <v>-230.44455427865623</v>
      </c>
      <c r="V193" s="9">
        <f>_xll.BQL("AMZN US Equity", "IS_NET_INTEREST_EXPENSE/1M", "FPT=Q", "FPO=5Q", "ACT_EST_MAPPING=PRECISE", "FS=MRC", "CURRENCY=USD", "XLFILL=b")</f>
        <v>-285.77935471904453</v>
      </c>
      <c r="W193" s="9">
        <f>_xll.BQL("AMZN US Equity", "IS_NET_INTEREST_EXPENSE/1M", "FPT=Q", "FPO=6Q", "ACT_EST_MAPPING=PRECISE", "FS=MRC", "CURRENCY=USD", "XLFILL=b")</f>
        <v>-258.02685881776097</v>
      </c>
      <c r="X193" s="9">
        <f>_xll.BQL("AMZN US Equity", "IS_NET_INTEREST_EXPENSE/1M", "FPT=Q", "FPO=7Q", "ACT_EST_MAPPING=PRECISE", "FS=MRC", "CURRENCY=USD", "XLFILL=b")</f>
        <v>-181.3581369262586</v>
      </c>
    </row>
    <row r="194" spans="1:24" x14ac:dyDescent="0.25">
      <c r="A194" s="8" t="s">
        <v>233</v>
      </c>
      <c r="B194" s="4" t="s">
        <v>234</v>
      </c>
      <c r="C194" s="4" t="s">
        <v>235</v>
      </c>
      <c r="D194" s="4"/>
      <c r="E194" s="9">
        <f>_xll.BQL("AMZN US Equity", "IS_INT_INC/1M", "FPT=Q", "FPO=-12Q", "ACT_EST_MAPPING=PRECISE", "FS=MRC", "CURRENCY=USD", "XLFILL=b")</f>
        <v>611</v>
      </c>
      <c r="F194" s="9">
        <f>_xll.BQL("AMZN US Equity", "IS_INT_INC/1M", "FPT=Q", "FPO=-11Q", "ACT_EST_MAPPING=PRECISE", "FS=MRC", "CURRENCY=USD", "XLFILL=b")</f>
        <v>661</v>
      </c>
      <c r="G194" s="9">
        <f>_xll.BQL("AMZN US Equity", "IS_INT_INC/1M", "FPT=Q", "FPO=-10Q", "ACT_EST_MAPPING=PRECISE", "FS=MRC", "CURRENCY=USD", "XLFILL=b")</f>
        <v>776</v>
      </c>
      <c r="H194" s="9">
        <f>_xll.BQL("AMZN US Equity", "IS_INT_INC/1M", "FPT=Q", "FPO=-9Q", "ACT_EST_MAPPING=PRECISE", "FS=MRC", "CURRENCY=USD", "XLFILL=b")</f>
        <v>901</v>
      </c>
      <c r="I194" s="9">
        <f>_xll.BQL("AMZN US Equity", "IS_INT_INC/1M", "FPT=Q", "FPO=-8Q", "ACT_EST_MAPPING=PRECISE", "FS=MRC", "CURRENCY=USD", "XLFILL=b")</f>
        <v>993</v>
      </c>
      <c r="J194" s="9">
        <f>_xll.BQL("AMZN US Equity", "IS_INT_INC/1M", "FPT=Q", "FPO=-7Q", "ACT_EST_MAPPING=PRECISE", "FS=MRC", "CURRENCY=USD", "XLFILL=b")</f>
        <v>1180</v>
      </c>
      <c r="K194" s="9">
        <f>_xll.BQL("AMZN US Equity", "IS_INT_INC/1M", "FPT=Q", "FPO=-6Q", "ACT_EST_MAPPING=PRECISE", "FS=MRC", "CURRENCY=USD", "XLFILL=b")</f>
        <v>1256</v>
      </c>
      <c r="L194" s="9">
        <f>_xll.BQL("AMZN US Equity", "IS_INT_INC/1M", "FPT=Q", "FPO=-5Q", "ACT_EST_MAPPING=PRECISE", "FS=MRC", "CURRENCY=USD", "XLFILL=b")</f>
        <v>1248</v>
      </c>
      <c r="M194" s="9">
        <f>_xll.BQL("AMZN US Equity", "IS_INT_INC/1M", "FPT=Q", "FPO=-4Q", "ACT_EST_MAPPING=PRECISE", "FS=MRC", "CURRENCY=USD", "XLFILL=b")</f>
        <v>1066</v>
      </c>
      <c r="N194" s="9">
        <f>_xll.BQL("AMZN US Equity", "IS_INT_INC/1M", "FPT=Q", "FPO=-3Q", "ACT_EST_MAPPING=PRECISE", "FS=MRC", "CURRENCY=USD", "XLFILL=b")</f>
        <v>1085</v>
      </c>
      <c r="O194" s="9">
        <f>_xll.BQL("AMZN US Equity", "IS_INT_INC/1M", "FPT=Q", "FPO=-2Q", "ACT_EST_MAPPING=PRECISE", "FS=MRC", "CURRENCY=USD", "XLFILL=b")</f>
        <v>1100</v>
      </c>
      <c r="P194" s="9">
        <f>_xll.BQL("AMZN US Equity", "IS_INT_INC/1M", "FPT=Q", "FPO=-1Q", "ACT_EST_MAPPING=PRECISE", "FS=MRC", "CURRENCY=USD", "XLFILL=b")</f>
        <v>1130</v>
      </c>
      <c r="Q194" s="9">
        <f>_xll.BQL("AMZN US Equity", "IS_INT_INC/1M", "FPT=Q", "FPO=0Q", "ACT_EST_MAPPING=PRECISE", "FS=MRC", "CURRENCY=USD", "XLFILL=b")</f>
        <v>1135</v>
      </c>
      <c r="R194" s="9">
        <f>_xll.BQL("AMZN US Equity", "IS_INT_INC/1M", "FPT=Q", "FPO=1Q", "ACT_EST_MAPPING=PRECISE", "FS=MRC", "CURRENCY=USD", "XLFILL=b")</f>
        <v>1255.9373452238376</v>
      </c>
      <c r="S194" s="9">
        <f>_xll.BQL("AMZN US Equity", "IS_INT_INC/1M", "FPT=Q", "FPO=2Q", "ACT_EST_MAPPING=PRECISE", "FS=MRC", "CURRENCY=USD", "XLFILL=b")</f>
        <v>1242.2992522126908</v>
      </c>
      <c r="T194" s="9">
        <f>_xll.BQL("AMZN US Equity", "IS_INT_INC/1M", "FPT=Q", "FPO=3Q", "ACT_EST_MAPPING=PRECISE", "FS=MRC", "CURRENCY=USD", "XLFILL=b")</f>
        <v>1222.9101424747598</v>
      </c>
      <c r="U194" s="9">
        <f>_xll.BQL("AMZN US Equity", "IS_INT_INC/1M", "FPT=Q", "FPO=4Q", "ACT_EST_MAPPING=PRECISE", "FS=MRC", "CURRENCY=USD", "XLFILL=b")</f>
        <v>1188.0436359676696</v>
      </c>
      <c r="V194" s="9">
        <f>_xll.BQL("AMZN US Equity", "IS_INT_INC/1M", "FPT=Q", "FPO=5Q", "ACT_EST_MAPPING=PRECISE", "FS=MRC", "CURRENCY=USD", "XLFILL=b")</f>
        <v>1188.2199294331922</v>
      </c>
      <c r="W194" s="9">
        <f>_xll.BQL("AMZN US Equity", "IS_INT_INC/1M", "FPT=Q", "FPO=6Q", "ACT_EST_MAPPING=PRECISE", "FS=MRC", "CURRENCY=USD", "XLFILL=b")</f>
        <v>1157.4291284594676</v>
      </c>
      <c r="X194" s="9">
        <f>_xll.BQL("AMZN US Equity", "IS_INT_INC/1M", "FPT=Q", "FPO=7Q", "ACT_EST_MAPPING=PRECISE", "FS=MRC", "CURRENCY=USD", "XLFILL=b")</f>
        <v>1126.9643600860272</v>
      </c>
    </row>
    <row r="195" spans="1:24" x14ac:dyDescent="0.25">
      <c r="A195" s="8" t="s">
        <v>236</v>
      </c>
      <c r="B195" s="4" t="s">
        <v>237</v>
      </c>
      <c r="C195" s="4" t="s">
        <v>238</v>
      </c>
      <c r="D195" s="4"/>
      <c r="E195" s="9">
        <f>_xll.BQL("AMZN US Equity", "IS_INT_EXPENSE/1M", "FPT=Q", "FPO=-12Q", "ACT_EST_MAPPING=PRECISE", "FS=MRC", "CURRENCY=USD", "XLFILL=b")</f>
        <v>823</v>
      </c>
      <c r="F195" s="9">
        <f>_xll.BQL("AMZN US Equity", "IS_INT_EXPENSE/1M", "FPT=Q", "FPO=-11Q", "ACT_EST_MAPPING=PRECISE", "FS=MRC", "CURRENCY=USD", "XLFILL=b")</f>
        <v>840</v>
      </c>
      <c r="G195" s="9">
        <f>_xll.BQL("AMZN US Equity", "IS_INT_EXPENSE/1M", "FPT=Q", "FPO=-10Q", "ACT_EST_MAPPING=PRECISE", "FS=MRC", "CURRENCY=USD", "XLFILL=b")</f>
        <v>806</v>
      </c>
      <c r="H195" s="9">
        <f>_xll.BQL("AMZN US Equity", "IS_INT_EXPENSE/1M", "FPT=Q", "FPO=-9Q", "ACT_EST_MAPPING=PRECISE", "FS=MRC", "CURRENCY=USD", "XLFILL=b")</f>
        <v>713</v>
      </c>
      <c r="I195" s="9">
        <f>_xll.BQL("AMZN US Equity", "IS_INT_EXPENSE/1M", "FPT=Q", "FPO=-8Q", "ACT_EST_MAPPING=PRECISE", "FS=MRC", "CURRENCY=USD", "XLFILL=b")</f>
        <v>644</v>
      </c>
      <c r="J195" s="9">
        <f>_xll.BQL("AMZN US Equity", "IS_INT_EXPENSE/1M", "FPT=Q", "FPO=-7Q", "ACT_EST_MAPPING=PRECISE", "FS=MRC", "CURRENCY=USD", "XLFILL=b")</f>
        <v>589</v>
      </c>
      <c r="K195" s="9">
        <f>_xll.BQL("AMZN US Equity", "IS_INT_EXPENSE/1M", "FPT=Q", "FPO=-6Q", "ACT_EST_MAPPING=PRECISE", "FS=MRC", "CURRENCY=USD", "XLFILL=b")</f>
        <v>603</v>
      </c>
      <c r="L195" s="9">
        <f>_xll.BQL("AMZN US Equity", "IS_INT_EXPENSE/1M", "FPT=Q", "FPO=-5Q", "ACT_EST_MAPPING=PRECISE", "FS=MRC", "CURRENCY=USD", "XLFILL=b")</f>
        <v>570</v>
      </c>
      <c r="M195" s="9">
        <f>_xll.BQL("AMZN US Equity", "IS_INT_EXPENSE/1M", "FPT=Q", "FPO=-4Q", "ACT_EST_MAPPING=PRECISE", "FS=MRC", "CURRENCY=USD", "XLFILL=b")</f>
        <v>541</v>
      </c>
      <c r="N195" s="9">
        <f>_xll.BQL("AMZN US Equity", "IS_INT_EXPENSE/1M", "FPT=Q", "FPO=-3Q", "ACT_EST_MAPPING=PRECISE", "FS=MRC", "CURRENCY=USD", "XLFILL=b")</f>
        <v>516</v>
      </c>
      <c r="O195" s="9">
        <f>_xll.BQL("AMZN US Equity", "IS_INT_EXPENSE/1M", "FPT=Q", "FPO=-2Q", "ACT_EST_MAPPING=PRECISE", "FS=MRC", "CURRENCY=USD", "XLFILL=b")</f>
        <v>538</v>
      </c>
      <c r="P195" s="9">
        <f>_xll.BQL("AMZN US Equity", "IS_INT_EXPENSE/1M", "FPT=Q", "FPO=-1Q", "ACT_EST_MAPPING=PRECISE", "FS=MRC", "CURRENCY=USD", "XLFILL=b")</f>
        <v>679</v>
      </c>
      <c r="Q195" s="9">
        <f>_xll.BQL("AMZN US Equity", "IS_INT_EXPENSE/1M", "FPT=Q", "FPO=0Q", "ACT_EST_MAPPING=PRECISE", "FS=MRC", "CURRENCY=USD", "XLFILL=b")</f>
        <v>800</v>
      </c>
      <c r="R195" s="9">
        <f>_xll.BQL("AMZN US Equity", "IS_INT_EXPENSE/1M", "FPT=Q", "FPO=1Q", "ACT_EST_MAPPING=PRECISE", "FS=MRC", "CURRENCY=USD", "XLFILL=b")</f>
        <v>962.33866544237299</v>
      </c>
      <c r="S195" s="9">
        <f>_xll.BQL("AMZN US Equity", "IS_INT_EXPENSE/1M", "FPT=Q", "FPO=2Q", "ACT_EST_MAPPING=PRECISE", "FS=MRC", "CURRENCY=USD", "XLFILL=b")</f>
        <v>978.80406441490834</v>
      </c>
      <c r="T195" s="9">
        <f>_xll.BQL("AMZN US Equity", "IS_INT_EXPENSE/1M", "FPT=Q", "FPO=3Q", "ACT_EST_MAPPING=PRECISE", "FS=MRC", "CURRENCY=USD", "XLFILL=b")</f>
        <v>1003.2429975063217</v>
      </c>
      <c r="U195" s="9">
        <f>_xll.BQL("AMZN US Equity", "IS_INT_EXPENSE/1M", "FPT=Q", "FPO=4Q", "ACT_EST_MAPPING=PRECISE", "FS=MRC", "CURRENCY=USD", "XLFILL=b")</f>
        <v>1054.7750563406887</v>
      </c>
      <c r="V195" s="9">
        <f>_xll.BQL("AMZN US Equity", "IS_INT_EXPENSE/1M", "FPT=Q", "FPO=5Q", "ACT_EST_MAPPING=PRECISE", "FS=MRC", "CURRENCY=USD", "XLFILL=b")</f>
        <v>1065.7885017543306</v>
      </c>
      <c r="W195" s="9">
        <f>_xll.BQL("AMZN US Equity", "IS_INT_EXPENSE/1M", "FPT=Q", "FPO=6Q", "ACT_EST_MAPPING=PRECISE", "FS=MRC", "CURRENCY=USD", "XLFILL=b")</f>
        <v>1054.1729871122668</v>
      </c>
      <c r="X195" s="9">
        <f>_xll.BQL("AMZN US Equity", "IS_INT_EXPENSE/1M", "FPT=Q", "FPO=7Q", "ACT_EST_MAPPING=PRECISE", "FS=MRC", "CURRENCY=USD", "XLFILL=b")</f>
        <v>1086.7673889564526</v>
      </c>
    </row>
    <row r="196" spans="1:24" x14ac:dyDescent="0.25">
      <c r="A196" s="8" t="s">
        <v>239</v>
      </c>
      <c r="B196" s="4" t="s">
        <v>240</v>
      </c>
      <c r="C196" s="4" t="s">
        <v>241</v>
      </c>
      <c r="D196" s="4"/>
      <c r="E196" s="9">
        <f>_xll.BQL("AMZN US Equity", "CB_IS_OTHER_NON_OPER_INC_EXPN/1M", "FPT=Q", "FPO=-12Q", "ACT_EST_MAPPING=PRECISE", "FS=MRC", "CURRENCY=USD", "XLFILL=b")</f>
        <v>443</v>
      </c>
      <c r="F196" s="9">
        <f>_xll.BQL("AMZN US Equity", "CB_IS_OTHER_NON_OPER_INC_EXPN/1M", "FPT=Q", "FPO=-11Q", "ACT_EST_MAPPING=PRECISE", "FS=MRC", "CURRENCY=USD", "XLFILL=b")</f>
        <v>-61</v>
      </c>
      <c r="G196" s="9">
        <f>_xll.BQL("AMZN US Equity", "CB_IS_OTHER_NON_OPER_INC_EXPN/1M", "FPT=Q", "FPO=-10Q", "ACT_EST_MAPPING=PRECISE", "FS=MRC", "CURRENCY=USD", "XLFILL=b")</f>
        <v>-1031</v>
      </c>
      <c r="H196" s="9">
        <f>_xll.BQL("AMZN US Equity", "CB_IS_OTHER_NON_OPER_INC_EXPN/1M", "FPT=Q", "FPO=-9Q", "ACT_EST_MAPPING=PRECISE", "FS=MRC", "CURRENCY=USD", "XLFILL=b")</f>
        <v>-289</v>
      </c>
      <c r="I196" s="9">
        <f>_xll.BQL("AMZN US Equity", "CB_IS_OTHER_NON_OPER_INC_EXPN/1M", "FPT=Q", "FPO=-8Q", "ACT_EST_MAPPING=PRECISE", "FS=MRC", "CURRENCY=USD", "XLFILL=b")</f>
        <v>2673</v>
      </c>
      <c r="J196" s="9">
        <f>_xll.BQL("AMZN US Equity", "CB_IS_OTHER_NON_OPER_INC_EXPN/1M", "FPT=Q", "FPO=-7Q", "ACT_EST_MAPPING=PRECISE", "FS=MRC", "CURRENCY=USD", "XLFILL=b")</f>
        <v>18</v>
      </c>
      <c r="K196" s="9">
        <f>_xll.BQL("AMZN US Equity", "CB_IS_OTHER_NON_OPER_INC_EXPN/1M", "FPT=Q", "FPO=-6Q", "ACT_EST_MAPPING=PRECISE", "FS=MRC", "CURRENCY=USD", "XLFILL=b")</f>
        <v>27</v>
      </c>
      <c r="L196" s="9">
        <f>_xll.BQL("AMZN US Equity", "CB_IS_OTHER_NON_OPER_INC_EXPN/1M", "FPT=Q", "FPO=-5Q", "ACT_EST_MAPPING=PRECISE", "FS=MRC", "CURRENCY=USD", "XLFILL=b")</f>
        <v>-468</v>
      </c>
      <c r="M196" s="9">
        <f>_xll.BQL("AMZN US Equity", "CB_IS_OTHER_NON_OPER_INC_EXPN/1M", "FPT=Q", "FPO=-4Q", "ACT_EST_MAPPING=PRECISE", "FS=MRC", "CURRENCY=USD", "XLFILL=b")</f>
        <v>-2749</v>
      </c>
      <c r="N196" s="9">
        <f>_xll.BQL("AMZN US Equity", "CB_IS_OTHER_NON_OPER_INC_EXPN/1M", "FPT=Q", "FPO=-3Q", "ACT_EST_MAPPING=PRECISE", "FS=MRC", "CURRENCY=USD", "XLFILL=b")</f>
        <v>-1117</v>
      </c>
      <c r="O196" s="9">
        <f>_xll.BQL("AMZN US Equity", "CB_IS_OTHER_NON_OPER_INC_EXPN/1M", "FPT=Q", "FPO=-2Q", "ACT_EST_MAPPING=PRECISE", "FS=MRC", "CURRENCY=USD", "XLFILL=b")</f>
        <v>-10186</v>
      </c>
      <c r="P196" s="9">
        <f>_xll.BQL("AMZN US Equity", "CB_IS_OTHER_NON_OPER_INC_EXPN/1M", "FPT=Q", "FPO=-1Q", "ACT_EST_MAPPING=PRECISE", "FS=MRC", "CURRENCY=USD", "XLFILL=b")</f>
        <v>-1177</v>
      </c>
      <c r="Q196" s="9">
        <f>_xll.BQL("AMZN US Equity", "CB_IS_OTHER_NON_OPER_INC_EXPN/1M", "FPT=Q", "FPO=0Q", "ACT_EST_MAPPING=PRECISE", "FS=MRC", "CURRENCY=USD", "XLFILL=b")</f>
        <v>-15647</v>
      </c>
      <c r="R196" s="9">
        <f>_xll.BQL("AMZN US Equity", "CB_IS_OTHER_NON_OPER_INC_EXPN/1M", "FPT=Q", "FPO=1Q", "ACT_EST_MAPPING=PRECISE", "FS=MRC", "CURRENCY=USD", "XLFILL=b")</f>
        <v>-683.89010416666667</v>
      </c>
      <c r="S196" s="9">
        <f>_xll.BQL("AMZN US Equity", "CB_IS_OTHER_NON_OPER_INC_EXPN/1M", "FPT=Q", "FPO=2Q", "ACT_EST_MAPPING=PRECISE", "FS=MRC", "CURRENCY=USD", "XLFILL=b")</f>
        <v>-866.43889999999999</v>
      </c>
      <c r="T196" s="9">
        <f>_xll.BQL("AMZN US Equity", "CB_IS_OTHER_NON_OPER_INC_EXPN/1M", "FPT=Q", "FPO=3Q", "ACT_EST_MAPPING=PRECISE", "FS=MRC", "CURRENCY=USD", "XLFILL=b")</f>
        <v>-559.61807499999998</v>
      </c>
      <c r="U196" s="9">
        <f>_xll.BQL("AMZN US Equity", "CB_IS_OTHER_NON_OPER_INC_EXPN/1M", "FPT=Q", "FPO=4Q", "ACT_EST_MAPPING=PRECISE", "FS=MRC", "CURRENCY=USD", "XLFILL=b")</f>
        <v>-950.12721999999997</v>
      </c>
      <c r="V196" s="9">
        <f>_xll.BQL("AMZN US Equity", "CB_IS_OTHER_NON_OPER_INC_EXPN/1M", "FPT=Q", "FPO=5Q", "ACT_EST_MAPPING=PRECISE", "FS=MRC", "CURRENCY=USD", "XLFILL=b")</f>
        <v>-841.76958070000001</v>
      </c>
      <c r="W196" s="9">
        <f>_xll.BQL("AMZN US Equity", "CB_IS_OTHER_NON_OPER_INC_EXPN/1M", "FPT=Q", "FPO=6Q", "ACT_EST_MAPPING=PRECISE", "FS=MRC", "CURRENCY=USD", "XLFILL=b")</f>
        <v>-1142.5936604999999</v>
      </c>
      <c r="X196" s="9">
        <f>_xll.BQL("AMZN US Equity", "CB_IS_OTHER_NON_OPER_INC_EXPN/1M", "FPT=Q", "FPO=7Q", "ACT_EST_MAPPING=PRECISE", "FS=MRC", "CURRENCY=USD", "XLFILL=b")</f>
        <v>-755.25907714999994</v>
      </c>
    </row>
    <row r="197" spans="1:24" x14ac:dyDescent="0.25">
      <c r="A197" s="8" t="s">
        <v>14</v>
      </c>
      <c r="B197" s="4"/>
      <c r="C197" s="4"/>
      <c r="D197" s="4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</row>
    <row r="198" spans="1:24" x14ac:dyDescent="0.25">
      <c r="A198" s="8" t="s">
        <v>242</v>
      </c>
      <c r="B198" s="4" t="s">
        <v>243</v>
      </c>
      <c r="C198" s="4" t="s">
        <v>244</v>
      </c>
      <c r="D198" s="4"/>
      <c r="E198" s="9">
        <f>_xll.BQL("AMZN US Equity", "IS_COMP_PTP_EX_STK_BASED_COMP/1M", "FPT=Q", "FPO=-12Q", "ACT_EST_MAPPING=PRECISE", "FS=MRC", "CURRENCY=USD", "XLFILL=b")</f>
        <v>4619</v>
      </c>
      <c r="F198" s="9">
        <f>_xll.BQL("AMZN US Equity", "IS_COMP_PTP_EX_STK_BASED_COMP/1M", "FPT=Q", "FPO=-11Q", "ACT_EST_MAPPING=PRECISE", "FS=MRC", "CURRENCY=USD", "XLFILL=b")</f>
        <v>7363</v>
      </c>
      <c r="G198" s="9">
        <f>_xll.BQL("AMZN US Equity", "IS_COMP_PTP_EX_STK_BASED_COMP/1M", "FPT=Q", "FPO=-10Q", "ACT_EST_MAPPING=PRECISE", "FS=MRC", "CURRENCY=USD", "XLFILL=b")</f>
        <v>10989</v>
      </c>
      <c r="H198" s="9">
        <f>_xll.BQL("AMZN US Equity", "IS_COMP_PTP_EX_STK_BASED_COMP/1M", "FPT=Q", "FPO=-9Q", "ACT_EST_MAPPING=PRECISE", "FS=MRC", "CURRENCY=USD", "XLFILL=b")</f>
        <v>13786</v>
      </c>
      <c r="I198" s="9">
        <f>_xll.BQL("AMZN US Equity", "IS_COMP_PTP_EX_STK_BASED_COMP/1M", "FPT=Q", "FPO=-8Q", "ACT_EST_MAPPING=PRECISE", "FS=MRC", "CURRENCY=USD", "XLFILL=b")</f>
        <v>12983</v>
      </c>
      <c r="J198" s="9">
        <f>_xll.BQL("AMZN US Equity", "IS_COMP_PTP_EX_STK_BASED_COMP/1M", "FPT=Q", "FPO=-7Q", "ACT_EST_MAPPING=PRECISE", "FS=MRC", "CURRENCY=USD", "XLFILL=b")</f>
        <v>15245</v>
      </c>
      <c r="K198" s="9">
        <f>_xll.BQL("AMZN US Equity", "IS_COMP_PTP_EX_STK_BASED_COMP/1M", "FPT=Q", "FPO=-6Q", "ACT_EST_MAPPING=PRECISE", "FS=MRC", "CURRENCY=USD", "XLFILL=b")</f>
        <v>18037</v>
      </c>
      <c r="L198" s="9">
        <f>_xll.BQL("AMZN US Equity", "IS_COMP_PTP_EX_STK_BASED_COMP/1M", "FPT=Q", "FPO=-5Q", "ACT_EST_MAPPING=PRECISE", "FS=MRC", "CURRENCY=USD", "XLFILL=b")</f>
        <v>22349</v>
      </c>
      <c r="M198" s="9">
        <f>_xll.BQL("AMZN US Equity", "IS_COMP_PTP_EX_STK_BASED_COMP/1M", "FPT=Q", "FPO=-4Q", "ACT_EST_MAPPING=PRECISE", "FS=MRC", "CURRENCY=USD", "XLFILL=b")</f>
        <v>21679</v>
      </c>
      <c r="N198" s="9">
        <f>_xll.BQL("AMZN US Equity", "IS_COMP_PTP_EX_STK_BASED_COMP/1M", "FPT=Q", "FPO=-3Q", "ACT_EST_MAPPING=PRECISE", "FS=MRC", "CURRENCY=USD", "XLFILL=b")</f>
        <v>20857</v>
      </c>
      <c r="O198" s="9">
        <f>_xll.BQL("AMZN US Equity", "IS_COMP_PTP_EX_STK_BASED_COMP/1M", "FPT=Q", "FPO=-2Q", "ACT_EST_MAPPING=PRECISE", "FS=MRC", "CURRENCY=USD", "XLFILL=b")</f>
        <v>28170</v>
      </c>
      <c r="P198" s="9">
        <f>_xll.BQL("AMZN US Equity", "IS_COMP_PTP_EX_STK_BASED_COMP/1M", "FPT=Q", "FPO=-1Q", "ACT_EST_MAPPING=PRECISE", "FS=MRC", "CURRENCY=USD", "XLFILL=b")</f>
        <v>26605</v>
      </c>
      <c r="Q198" s="9">
        <f>_xll.BQL("AMZN US Equity", "IS_COMP_PTP_EX_STK_BASED_COMP/1M", "FPT=Q", "FPO=0Q", "ACT_EST_MAPPING=PRECISE", "FS=MRC", "CURRENCY=USD", "XLFILL=b")</f>
        <v>39834</v>
      </c>
      <c r="R198" s="9">
        <f>_xll.BQL("AMZN US Equity", "IS_COMP_PTP_EX_STK_BASED_COMP/1M", "FPT=Q", "FPO=1Q", "ACT_EST_MAPPING=PRECISE", "FS=MRC", "CURRENCY=USD", "XLFILL=b")</f>
        <v>24439.228571428568</v>
      </c>
      <c r="S198" s="9">
        <f>_xll.BQL("AMZN US Equity", "IS_COMP_PTP_EX_STK_BASED_COMP/1M", "FPT=Q", "FPO=2Q", "ACT_EST_MAPPING=PRECISE", "FS=MRC", "CURRENCY=USD", "XLFILL=b")</f>
        <v>26158.571428571431</v>
      </c>
      <c r="T198" s="9">
        <f>_xll.BQL("AMZN US Equity", "IS_COMP_PTP_EX_STK_BASED_COMP/1M", "FPT=Q", "FPO=3Q", "ACT_EST_MAPPING=PRECISE", "FS=MRC", "CURRENCY=USD", "XLFILL=b")</f>
        <v>32179.441176470587</v>
      </c>
      <c r="U198" s="9">
        <f>_xll.BQL("AMZN US Equity", "IS_COMP_PTP_EX_STK_BASED_COMP/1M", "FPT=Q", "FPO=4Q", "ACT_EST_MAPPING=PRECISE", "FS=MRC", "CURRENCY=USD", "XLFILL=b")</f>
        <v>30608.55</v>
      </c>
      <c r="V198" s="9">
        <f>_xll.BQL("AMZN US Equity", "IS_COMP_PTP_EX_STK_BASED_COMP/1M", "FPT=Q", "FPO=5Q", "ACT_EST_MAPPING=PRECISE", "FS=MRC", "CURRENCY=USD", "XLFILL=b")</f>
        <v>31398.55</v>
      </c>
      <c r="W198" s="9">
        <f>_xll.BQL("AMZN US Equity", "IS_COMP_PTP_EX_STK_BASED_COMP/1M", "FPT=Q", "FPO=6Q", "ACT_EST_MAPPING=PRECISE", "FS=MRC", "CURRENCY=USD", "XLFILL=b")</f>
        <v>33325.85</v>
      </c>
      <c r="X198" s="9">
        <f>_xll.BQL("AMZN US Equity", "IS_COMP_PTP_EX_STK_BASED_COMP/1M", "FPT=Q", "FPO=7Q", "ACT_EST_MAPPING=PRECISE", "FS=MRC", "CURRENCY=USD", "XLFILL=b")</f>
        <v>39903</v>
      </c>
    </row>
    <row r="199" spans="1:24" x14ac:dyDescent="0.25">
      <c r="A199" s="8" t="s">
        <v>245</v>
      </c>
      <c r="B199" s="4" t="s">
        <v>246</v>
      </c>
      <c r="C199" s="4" t="s">
        <v>247</v>
      </c>
      <c r="D199" s="4"/>
      <c r="E199" s="9">
        <f>_xll.BQL("AMZN US Equity", "PRETAX_MARGIN", "FPT=Q", "FPO=-12Q", "ACT_EST_MAPPING=PRECISE", "FS=MRC", "CURRENCY=USD", "XLFILL=b")</f>
        <v>3.2341902353994252</v>
      </c>
      <c r="F199" s="9">
        <f>_xll.BQL("AMZN US Equity", "PRETAX_MARGIN", "FPT=Q", "FPO=-11Q", "ACT_EST_MAPPING=PRECISE", "FS=MRC", "CURRENCY=USD", "XLFILL=b")</f>
        <v>5.6279440107751721</v>
      </c>
      <c r="G199" s="9">
        <f>_xll.BQL("AMZN US Equity", "PRETAX_MARGIN", "FPT=Q", "FPO=-10Q", "ACT_EST_MAPPING=PRECISE", "FS=MRC", "CURRENCY=USD", "XLFILL=b")</f>
        <v>8.5188317270395508</v>
      </c>
      <c r="H199" s="9">
        <f>_xll.BQL("AMZN US Equity", "PRETAX_MARGIN", "FPT=Q", "FPO=-9Q", "ACT_EST_MAPPING=PRECISE", "FS=MRC", "CURRENCY=USD", "XLFILL=b")</f>
        <v>8.0524355587458292</v>
      </c>
      <c r="I199" s="9">
        <f>_xll.BQL("AMZN US Equity", "PRETAX_MARGIN", "FPT=Q", "FPO=-8Q", "ACT_EST_MAPPING=PRECISE", "FS=MRC", "CURRENCY=USD", "XLFILL=b")</f>
        <v>9.0591921179516159</v>
      </c>
      <c r="J199" s="9">
        <f>_xll.BQL("AMZN US Equity", "PRETAX_MARGIN", "FPT=Q", "FPO=-7Q", "ACT_EST_MAPPING=PRECISE", "FS=MRC", "CURRENCY=USD", "XLFILL=b")</f>
        <v>10.30227670516364</v>
      </c>
      <c r="K199" s="9">
        <f>_xll.BQL("AMZN US Equity", "PRETAX_MARGIN", "FPT=Q", "FPO=-6Q", "ACT_EST_MAPPING=PRECISE", "FS=MRC", "CURRENCY=USD", "XLFILL=b")</f>
        <v>11.352807517765315</v>
      </c>
      <c r="L199" s="9">
        <f>_xll.BQL("AMZN US Equity", "PRETAX_MARGIN", "FPT=Q", "FPO=-5Q", "ACT_EST_MAPPING=PRECISE", "FS=MRC", "CURRENCY=USD", "XLFILL=b")</f>
        <v>11.900932947090398</v>
      </c>
      <c r="M199" s="9">
        <f>_xll.BQL("AMZN US Equity", "PRETAX_MARGIN", "FPT=Q", "FPO=-4Q", "ACT_EST_MAPPING=PRECISE", "FS=MRC", "CURRENCY=USD", "XLFILL=b")</f>
        <v>13.92652264127914</v>
      </c>
      <c r="N199" s="9">
        <f>_xll.BQL("AMZN US Equity", "PRETAX_MARGIN", "FPT=Q", "FPO=-3Q", "ACT_EST_MAPPING=PRECISE", "FS=MRC", "CURRENCY=USD", "XLFILL=b")</f>
        <v>12.436941718047489</v>
      </c>
      <c r="O199" s="9">
        <f>_xll.BQL("AMZN US Equity", "PRETAX_MARGIN", "FPT=Q", "FPO=-2Q", "ACT_EST_MAPPING=PRECISE", "FS=MRC", "CURRENCY=USD", "XLFILL=b")</f>
        <v>15.635320171616648</v>
      </c>
      <c r="P199" s="9">
        <f>_xll.BQL("AMZN US Equity", "PRETAX_MARGIN", "FPT=Q", "FPO=-1Q", "ACT_EST_MAPPING=PRECISE", "FS=MRC", "CURRENCY=USD", "XLFILL=b")</f>
        <v>12.468015708621934</v>
      </c>
      <c r="Q199" s="9">
        <f>_xll.BQL("AMZN US Equity", "PRETAX_MARGIN", "FPT=Q", "FPO=0Q", "ACT_EST_MAPPING=PRECISE", "FS=MRC", "CURRENCY=USD", "XLFILL=b")</f>
        <v>21.944810185159682</v>
      </c>
      <c r="R199" s="9">
        <f>_xll.BQL("AMZN US Equity", "PRETAX_MARGIN", "FPT=Q", "FPO=1Q", "ACT_EST_MAPPING=PRECISE", "FS=MRC", "CURRENCY=USD", "XLFILL=b")</f>
        <v>12.217266876953937</v>
      </c>
      <c r="S199" s="9">
        <f>_xll.BQL("AMZN US Equity", "PRETAX_MARGIN", "FPT=Q", "FPO=2Q", "ACT_EST_MAPPING=PRECISE", "FS=MRC", "CURRENCY=USD", "XLFILL=b")</f>
        <v>12.189554036889112</v>
      </c>
      <c r="T199" s="9">
        <f>_xll.BQL("AMZN US Equity", "PRETAX_MARGIN", "FPT=Q", "FPO=3Q", "ACT_EST_MAPPING=PRECISE", "FS=MRC", "CURRENCY=USD", "XLFILL=b")</f>
        <v>12.795010135897684</v>
      </c>
      <c r="U199" s="9">
        <f>_xll.BQL("AMZN US Equity", "PRETAX_MARGIN", "FPT=Q", "FPO=4Q", "ACT_EST_MAPPING=PRECISE", "FS=MRC", "CURRENCY=USD", "XLFILL=b")</f>
        <v>14.263980819507779</v>
      </c>
      <c r="V199" s="9">
        <f>_xll.BQL("AMZN US Equity", "PRETAX_MARGIN", "FPT=Q", "FPO=5Q", "ACT_EST_MAPPING=PRECISE", "FS=MRC", "CURRENCY=USD", "XLFILL=b")</f>
        <v>13.669207051088298</v>
      </c>
      <c r="W199" s="9">
        <f>_xll.BQL("AMZN US Equity", "PRETAX_MARGIN", "FPT=Q", "FPO=6Q", "ACT_EST_MAPPING=PRECISE", "FS=MRC", "CURRENCY=USD", "XLFILL=b")</f>
        <v>13.51248806958553</v>
      </c>
      <c r="X199" s="9">
        <f>_xll.BQL("AMZN US Equity", "PRETAX_MARGIN", "FPT=Q", "FPO=7Q", "ACT_EST_MAPPING=PRECISE", "FS=MRC", "CURRENCY=USD", "XLFILL=b")</f>
        <v>13.970384051990317</v>
      </c>
    </row>
    <row r="200" spans="1:24" x14ac:dyDescent="0.25">
      <c r="A200" s="8" t="s">
        <v>14</v>
      </c>
      <c r="B200" s="4"/>
      <c r="C200" s="4"/>
      <c r="D200" s="4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</row>
    <row r="201" spans="1:24" x14ac:dyDescent="0.25">
      <c r="A201" s="8" t="s">
        <v>248</v>
      </c>
      <c r="B201" s="4" t="s">
        <v>249</v>
      </c>
      <c r="C201" s="4" t="s">
        <v>250</v>
      </c>
      <c r="D201" s="4"/>
      <c r="E201" s="9">
        <f>_xll.BQL("AMZN US Equity", "IS_INC_TAX_EXP/1M", "FPT=Q", "FPO=-12Q", "ACT_EST_MAPPING=PRECISE", "FS=MRC", "CURRENCY=USD", "XLFILL=b")</f>
        <v>948</v>
      </c>
      <c r="F201" s="9">
        <f>_xll.BQL("AMZN US Equity", "IS_INC_TAX_EXP/1M", "FPT=Q", "FPO=-11Q", "ACT_EST_MAPPING=PRECISE", "FS=MRC", "CURRENCY=USD", "XLFILL=b")</f>
        <v>804</v>
      </c>
      <c r="G201" s="9">
        <f>_xll.BQL("AMZN US Equity", "IS_INC_TAX_EXP/1M", "FPT=Q", "FPO=-10Q", "ACT_EST_MAPPING=PRECISE", "FS=MRC", "CURRENCY=USD", "XLFILL=b")</f>
        <v>2306</v>
      </c>
      <c r="H201" s="9">
        <f>_xll.BQL("AMZN US Equity", "IS_INC_TAX_EXP/1M", "FPT=Q", "FPO=-9Q", "ACT_EST_MAPPING=PRECISE", "FS=MRC", "CURRENCY=USD", "XLFILL=b")</f>
        <v>3062</v>
      </c>
      <c r="I201" s="9">
        <f>_xll.BQL("AMZN US Equity", "IS_INC_TAX_EXP/1M", "FPT=Q", "FPO=-8Q", "ACT_EST_MAPPING=PRECISE", "FS=MRC", "CURRENCY=USD", "XLFILL=b")</f>
        <v>2467</v>
      </c>
      <c r="J201" s="9">
        <f>_xll.BQL("AMZN US Equity", "IS_INC_TAX_EXP/1M", "FPT=Q", "FPO=-7Q", "ACT_EST_MAPPING=PRECISE", "FS=MRC", "CURRENCY=USD", "XLFILL=b")</f>
        <v>1767</v>
      </c>
      <c r="K201" s="9">
        <f>_xll.BQL("AMZN US Equity", "IS_INC_TAX_EXP/1M", "FPT=Q", "FPO=-6Q", "ACT_EST_MAPPING=PRECISE", "FS=MRC", "CURRENCY=USD", "XLFILL=b")</f>
        <v>2706</v>
      </c>
      <c r="L201" s="9">
        <f>_xll.BQL("AMZN US Equity", "IS_INC_TAX_EXP/1M", "FPT=Q", "FPO=-5Q", "ACT_EST_MAPPING=PRECISE", "FS=MRC", "CURRENCY=USD", "XLFILL=b")</f>
        <v>2325</v>
      </c>
      <c r="M201" s="9">
        <f>_xll.BQL("AMZN US Equity", "IS_INC_TAX_EXP/1M", "FPT=Q", "FPO=-4Q", "ACT_EST_MAPPING=PRECISE", "FS=MRC", "CURRENCY=USD", "XLFILL=b")</f>
        <v>4553</v>
      </c>
      <c r="N201" s="9">
        <f>_xll.BQL("AMZN US Equity", "IS_INC_TAX_EXP/1M", "FPT=Q", "FPO=-3Q", "ACT_EST_MAPPING=PRECISE", "FS=MRC", "CURRENCY=USD", "XLFILL=b")</f>
        <v>2678</v>
      </c>
      <c r="O201" s="9">
        <f>_xll.BQL("AMZN US Equity", "IS_INC_TAX_EXP/1M", "FPT=Q", "FPO=-2Q", "ACT_EST_MAPPING=PRECISE", "FS=MRC", "CURRENCY=USD", "XLFILL=b")</f>
        <v>6910</v>
      </c>
      <c r="P201" s="9">
        <f>_xll.BQL("AMZN US Equity", "IS_INC_TAX_EXP/1M", "FPT=Q", "FPO=-1Q", "ACT_EST_MAPPING=PRECISE", "FS=MRC", "CURRENCY=USD", "XLFILL=b")</f>
        <v>4946</v>
      </c>
      <c r="Q201" s="9">
        <f>_xll.BQL("AMZN US Equity", "IS_INC_TAX_EXP/1M", "FPT=Q", "FPO=0Q", "ACT_EST_MAPPING=PRECISE", "FS=MRC", "CURRENCY=USD", "XLFILL=b")</f>
        <v>9560</v>
      </c>
      <c r="R201" s="9">
        <f>_xll.BQL("AMZN US Equity", "IS_INC_TAX_EXP/1M", "FPT=Q", "FPO=1Q", "ACT_EST_MAPPING=PRECISE", "FS=MRC", "CURRENCY=USD", "XLFILL=b")</f>
        <v>4403.7086242606429</v>
      </c>
      <c r="S201" s="9">
        <f>_xll.BQL("AMZN US Equity", "IS_INC_TAX_EXP/1M", "FPT=Q", "FPO=2Q", "ACT_EST_MAPPING=PRECISE", "FS=MRC", "CURRENCY=USD", "XLFILL=b")</f>
        <v>4848.1420598393652</v>
      </c>
      <c r="T201" s="9">
        <f>_xll.BQL("AMZN US Equity", "IS_INC_TAX_EXP/1M", "FPT=Q", "FPO=3Q", "ACT_EST_MAPPING=PRECISE", "FS=MRC", "CURRENCY=USD", "XLFILL=b")</f>
        <v>5897.2205592555774</v>
      </c>
      <c r="U201" s="9">
        <f>_xll.BQL("AMZN US Equity", "IS_INC_TAX_EXP/1M", "FPT=Q", "FPO=4Q", "ACT_EST_MAPPING=PRECISE", "FS=MRC", "CURRENCY=USD", "XLFILL=b")</f>
        <v>5536.3567610091859</v>
      </c>
      <c r="V201" s="9">
        <f>_xll.BQL("AMZN US Equity", "IS_INC_TAX_EXP/1M", "FPT=Q", "FPO=5Q", "ACT_EST_MAPPING=PRECISE", "FS=MRC", "CURRENCY=USD", "XLFILL=b")</f>
        <v>5527.5080543193144</v>
      </c>
      <c r="W201" s="9">
        <f>_xll.BQL("AMZN US Equity", "IS_INC_TAX_EXP/1M", "FPT=Q", "FPO=6Q", "ACT_EST_MAPPING=PRECISE", "FS=MRC", "CURRENCY=USD", "XLFILL=b")</f>
        <v>5973.0722871114358</v>
      </c>
      <c r="X201" s="9">
        <f>_xll.BQL("AMZN US Equity", "IS_INC_TAX_EXP/1M", "FPT=Q", "FPO=7Q", "ACT_EST_MAPPING=PRECISE", "FS=MRC", "CURRENCY=USD", "XLFILL=b")</f>
        <v>7022.1136477817963</v>
      </c>
    </row>
    <row r="202" spans="1:24" x14ac:dyDescent="0.25">
      <c r="A202" s="8" t="s">
        <v>251</v>
      </c>
      <c r="B202" s="4" t="s">
        <v>252</v>
      </c>
      <c r="C202" s="4" t="s">
        <v>253</v>
      </c>
      <c r="D202" s="4"/>
      <c r="E202" s="9">
        <f>_xll.BQL("AMZN US Equity", "EFF_TAX_RATE", "FPT=Q", "FPO=-12Q", "ACT_EST_MAPPING=PRECISE", "FS=MRC", "CURRENCY=USD", "XLFILL=b")</f>
        <v>23.015294974508375</v>
      </c>
      <c r="F202" s="9">
        <f>_xll.BQL("AMZN US Equity", "EFF_TAX_RATE", "FPT=Q", "FPO=-11Q", "ACT_EST_MAPPING=PRECISE", "FS=MRC", "CURRENCY=USD", "XLFILL=b")</f>
        <v>10.630702102340342</v>
      </c>
      <c r="G202" s="9">
        <f>_xll.BQL("AMZN US Equity", "EFF_TAX_RATE", "FPT=Q", "FPO=-10Q", "ACT_EST_MAPPING=PRECISE", "FS=MRC", "CURRENCY=USD", "XLFILL=b")</f>
        <v>18.918697185987366</v>
      </c>
      <c r="H202" s="9">
        <f>_xll.BQL("AMZN US Equity", "EFF_TAX_RATE", "FPT=Q", "FPO=-9Q", "ACT_EST_MAPPING=PRECISE", "FS=MRC", "CURRENCY=USD", "XLFILL=b")</f>
        <v>22.373228116323251</v>
      </c>
      <c r="I202" s="9">
        <f>_xll.BQL("AMZN US Equity", "EFF_TAX_RATE", "FPT=Q", "FPO=-8Q", "ACT_EST_MAPPING=PRECISE", "FS=MRC", "CURRENCY=USD", "XLFILL=b")</f>
        <v>19.001771547408151</v>
      </c>
      <c r="J202" s="9">
        <f>_xll.BQL("AMZN US Equity", "EFF_TAX_RATE", "FPT=Q", "FPO=-7Q", "ACT_EST_MAPPING=PRECISE", "FS=MRC", "CURRENCY=USD", "XLFILL=b")</f>
        <v>11.590685470646113</v>
      </c>
      <c r="K202" s="9">
        <f>_xll.BQL("AMZN US Equity", "EFF_TAX_RATE", "FPT=Q", "FPO=-6Q", "ACT_EST_MAPPING=PRECISE", "FS=MRC", "CURRENCY=USD", "XLFILL=b")</f>
        <v>15.002494871652713</v>
      </c>
      <c r="L202" s="9">
        <f>_xll.BQL("AMZN US Equity", "EFF_TAX_RATE", "FPT=Q", "FPO=-5Q", "ACT_EST_MAPPING=PRECISE", "FS=MRC", "CURRENCY=USD", "XLFILL=b")</f>
        <v>10.403150029084076</v>
      </c>
      <c r="M202" s="9">
        <f>_xll.BQL("AMZN US Equity", "EFF_TAX_RATE", "FPT=Q", "FPO=-4Q", "ACT_EST_MAPPING=PRECISE", "FS=MRC", "CURRENCY=USD", "XLFILL=b")</f>
        <v>21.001891231145347</v>
      </c>
      <c r="N202" s="9">
        <f>_xll.BQL("AMZN US Equity", "EFF_TAX_RATE", "FPT=Q", "FPO=-3Q", "ACT_EST_MAPPING=PRECISE", "FS=MRC", "CURRENCY=USD", "XLFILL=b")</f>
        <v>12.839813971328571</v>
      </c>
      <c r="O202" s="9">
        <f>_xll.BQL("AMZN US Equity", "EFF_TAX_RATE", "FPT=Q", "FPO=-2Q", "ACT_EST_MAPPING=PRECISE", "FS=MRC", "CURRENCY=USD", "XLFILL=b")</f>
        <v>24.52964146254881</v>
      </c>
      <c r="P202" s="9">
        <f>_xll.BQL("AMZN US Equity", "EFF_TAX_RATE", "FPT=Q", "FPO=-1Q", "ACT_EST_MAPPING=PRECISE", "FS=MRC", "CURRENCY=USD", "XLFILL=b")</f>
        <v>18.590490509302764</v>
      </c>
      <c r="Q202" s="9">
        <f>_xll.BQL("AMZN US Equity", "EFF_TAX_RATE", "FPT=Q", "FPO=0Q", "ACT_EST_MAPPING=PRECISE", "FS=MRC", "CURRENCY=USD", "XLFILL=b")</f>
        <v>23.999598333082293</v>
      </c>
      <c r="R202" s="9">
        <f>_xll.BQL("AMZN US Equity", "EFF_TAX_RATE", "FPT=Q", "FPO=1Q", "ACT_EST_MAPPING=PRECISE", "FS=MRC", "CURRENCY=USD", "XLFILL=b")</f>
        <v>18.098139665775015</v>
      </c>
      <c r="S202" s="9">
        <f>_xll.BQL("AMZN US Equity", "EFF_TAX_RATE", "FPT=Q", "FPO=2Q", "ACT_EST_MAPPING=PRECISE", "FS=MRC", "CURRENCY=USD", "XLFILL=b")</f>
        <v>19.225104135205932</v>
      </c>
      <c r="T202" s="9">
        <f>_xll.BQL("AMZN US Equity", "EFF_TAX_RATE", "FPT=Q", "FPO=3Q", "ACT_EST_MAPPING=PRECISE", "FS=MRC", "CURRENCY=USD", "XLFILL=b")</f>
        <v>18.820887439653021</v>
      </c>
      <c r="U202" s="9">
        <f>_xll.BQL("AMZN US Equity", "EFF_TAX_RATE", "FPT=Q", "FPO=4Q", "ACT_EST_MAPPING=PRECISE", "FS=MRC", "CURRENCY=USD", "XLFILL=b")</f>
        <v>18.143871509748188</v>
      </c>
      <c r="V202" s="9">
        <f>_xll.BQL("AMZN US Equity", "EFF_TAX_RATE", "FPT=Q", "FPO=5Q", "ACT_EST_MAPPING=PRECISE", "FS=MRC", "CURRENCY=USD", "XLFILL=b")</f>
        <v>17.49107846135616</v>
      </c>
      <c r="W202" s="9">
        <f>_xll.BQL("AMZN US Equity", "EFF_TAX_RATE", "FPT=Q", "FPO=6Q", "ACT_EST_MAPPING=PRECISE", "FS=MRC", "CURRENCY=USD", "XLFILL=b")</f>
        <v>18.196068877535062</v>
      </c>
      <c r="X202" s="9">
        <f>_xll.BQL("AMZN US Equity", "EFF_TAX_RATE", "FPT=Q", "FPO=7Q", "ACT_EST_MAPPING=PRECISE", "FS=MRC", "CURRENCY=USD", "XLFILL=b")</f>
        <v>17.810560491243614</v>
      </c>
    </row>
    <row r="203" spans="1:24" x14ac:dyDescent="0.25">
      <c r="A203" s="8" t="s">
        <v>14</v>
      </c>
      <c r="B203" s="4"/>
      <c r="C203" s="4"/>
      <c r="D203" s="4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</row>
    <row r="204" spans="1:24" x14ac:dyDescent="0.25">
      <c r="A204" s="8" t="s">
        <v>254</v>
      </c>
      <c r="B204" s="4" t="s">
        <v>255</v>
      </c>
      <c r="C204" s="4" t="s">
        <v>256</v>
      </c>
      <c r="D204" s="4"/>
      <c r="E204" s="9">
        <f>_xll.BQL("AMZN US Equity", "IS_SH_PRO_EQY_MT_INV_NET_OF_TAX/1M", "FPT=Q", "FPO=-12Q", "ACT_EST_MAPPING=PRECISE", "FS=MRC", "CURRENCY=USD", "XLFILL=b")</f>
        <v>-1</v>
      </c>
      <c r="F204" s="9">
        <f>_xll.BQL("AMZN US Equity", "IS_SH_PRO_EQY_MT_INV_NET_OF_TAX/1M", "FPT=Q", "FPO=-11Q", "ACT_EST_MAPPING=PRECISE", "FS=MRC", "CURRENCY=USD", "XLFILL=b")</f>
        <v>9</v>
      </c>
      <c r="G204" s="9">
        <f>_xll.BQL("AMZN US Equity", "IS_SH_PRO_EQY_MT_INV_NET_OF_TAX/1M", "FPT=Q", "FPO=-10Q", "ACT_EST_MAPPING=PRECISE", "FS=MRC", "CURRENCY=USD", "XLFILL=b")</f>
        <v>4</v>
      </c>
      <c r="H204" s="9">
        <f>_xll.BQL("AMZN US Equity", "IS_SH_PRO_EQY_MT_INV_NET_OF_TAX/1M", "FPT=Q", "FPO=-9Q", "ACT_EST_MAPPING=PRECISE", "FS=MRC", "CURRENCY=USD", "XLFILL=b")</f>
        <v>0</v>
      </c>
      <c r="I204" s="9">
        <f>_xll.BQL("AMZN US Equity", "IS_SH_PRO_EQY_MT_INV_NET_OF_TAX/1M", "FPT=Q", "FPO=-8Q", "ACT_EST_MAPPING=PRECISE", "FS=MRC", "CURRENCY=USD", "XLFILL=b")</f>
        <v>85</v>
      </c>
      <c r="J204" s="9">
        <f>_xll.BQL("AMZN US Equity", "IS_SH_PRO_EQY_MT_INV_NET_OF_TAX/1M", "FPT=Q", "FPO=-7Q", "ACT_EST_MAPPING=PRECISE", "FS=MRC", "CURRENCY=USD", "XLFILL=b")</f>
        <v>-7</v>
      </c>
      <c r="K204" s="9">
        <f>_xll.BQL("AMZN US Equity", "IS_SH_PRO_EQY_MT_INV_NET_OF_TAX/1M", "FPT=Q", "FPO=-6Q", "ACT_EST_MAPPING=PRECISE", "FS=MRC", "CURRENCY=USD", "XLFILL=b")</f>
        <v>3</v>
      </c>
      <c r="L204" s="9">
        <f>_xll.BQL("AMZN US Equity", "IS_SH_PRO_EQY_MT_INV_NET_OF_TAX/1M", "FPT=Q", "FPO=-5Q", "ACT_EST_MAPPING=PRECISE", "FS=MRC", "CURRENCY=USD", "XLFILL=b")</f>
        <v>20</v>
      </c>
      <c r="M204" s="9">
        <f>_xll.BQL("AMZN US Equity", "IS_SH_PRO_EQY_MT_INV_NET_OF_TAX/1M", "FPT=Q", "FPO=-4Q", "ACT_EST_MAPPING=PRECISE", "FS=MRC", "CURRENCY=USD", "XLFILL=b")</f>
        <v>-1</v>
      </c>
      <c r="N204" s="9">
        <f>_xll.BQL("AMZN US Equity", "IS_SH_PRO_EQY_MT_INV_NET_OF_TAX/1M", "FPT=Q", "FPO=-3Q", "ACT_EST_MAPPING=PRECISE", "FS=MRC", "CURRENCY=USD", "XLFILL=b")</f>
        <v>15</v>
      </c>
      <c r="O204" s="9">
        <f>_xll.BQL("AMZN US Equity", "IS_SH_PRO_EQY_MT_INV_NET_OF_TAX/1M", "FPT=Q", "FPO=-2Q", "ACT_EST_MAPPING=PRECISE", "FS=MRC", "CURRENCY=USD", "XLFILL=b")</f>
        <v>73</v>
      </c>
      <c r="P204" s="9">
        <f>_xll.BQL("AMZN US Equity", "IS_SH_PRO_EQY_MT_INV_NET_OF_TAX/1M", "FPT=Q", "FPO=-1Q", "ACT_EST_MAPPING=PRECISE", "FS=MRC", "CURRENCY=USD", "XLFILL=b")</f>
        <v>467</v>
      </c>
      <c r="Q204" s="9">
        <f>_xll.BQL("AMZN US Equity", "IS_SH_PRO_EQY_MT_INV_NET_OF_TAX/1M", "FPT=Q", "FPO=0Q", "ACT_EST_MAPPING=PRECISE", "FS=MRC", "CURRENCY=USD", "XLFILL=b")</f>
        <v>19</v>
      </c>
      <c r="R204" s="9">
        <f>_xll.BQL("AMZN US Equity", "IS_SH_PRO_EQY_MT_INV_NET_OF_TAX/1M", "FPT=Q", "FPO=1Q", "ACT_EST_MAPPING=PRECISE", "FS=MRC", "CURRENCY=USD", "XLFILL=b")</f>
        <v>17.447381400387567</v>
      </c>
      <c r="S204" s="9">
        <f>_xll.BQL("AMZN US Equity", "IS_SH_PRO_EQY_MT_INV_NET_OF_TAX/1M", "FPT=Q", "FPO=2Q", "ACT_EST_MAPPING=PRECISE", "FS=MRC", "CURRENCY=USD", "XLFILL=b")</f>
        <v>29.784435212896387</v>
      </c>
      <c r="T204" s="9">
        <f>_xll.BQL("AMZN US Equity", "IS_SH_PRO_EQY_MT_INV_NET_OF_TAX/1M", "FPT=Q", "FPO=3Q", "ACT_EST_MAPPING=PRECISE", "FS=MRC", "CURRENCY=USD", "XLFILL=b")</f>
        <v>122.81036805978759</v>
      </c>
      <c r="U204" s="9">
        <f>_xll.BQL("AMZN US Equity", "IS_SH_PRO_EQY_MT_INV_NET_OF_TAX/1M", "FPT=Q", "FPO=4Q", "ACT_EST_MAPPING=PRECISE", "FS=MRC", "CURRENCY=USD", "XLFILL=b")</f>
        <v>68.011325950002743</v>
      </c>
      <c r="V204" s="9">
        <f>_xll.BQL("AMZN US Equity", "IS_SH_PRO_EQY_MT_INV_NET_OF_TAX/1M", "FPT=Q", "FPO=5Q", "ACT_EST_MAPPING=PRECISE", "FS=MRC", "CURRENCY=USD", "XLFILL=b")</f>
        <v>66.905654112099214</v>
      </c>
      <c r="W204" s="9">
        <f>_xll.BQL("AMZN US Equity", "IS_SH_PRO_EQY_MT_INV_NET_OF_TAX/1M", "FPT=Q", "FPO=6Q", "ACT_EST_MAPPING=PRECISE", "FS=MRC", "CURRENCY=USD", "XLFILL=b")</f>
        <v>81.372301154316602</v>
      </c>
      <c r="X204" s="9">
        <f>_xll.BQL("AMZN US Equity", "IS_SH_PRO_EQY_MT_INV_NET_OF_TAX/1M", "FPT=Q", "FPO=7Q", "ACT_EST_MAPPING=PRECISE", "FS=MRC", "CURRENCY=USD", "XLFILL=b")</f>
        <v>180.25416793534706</v>
      </c>
    </row>
    <row r="205" spans="1:24" x14ac:dyDescent="0.25">
      <c r="A205" s="8" t="s">
        <v>257</v>
      </c>
      <c r="B205" s="4" t="s">
        <v>258</v>
      </c>
      <c r="C205" s="4" t="s">
        <v>259</v>
      </c>
      <c r="D205" s="4"/>
      <c r="E205" s="9">
        <f>_xll.BQL("AMZN US Equity", "IS_COMP_NET_INCOME_GAAP/1M", "FPT=Q", "FPO=-12Q", "ACT_EST_MAPPING=PRECISE", "FS=MRC", "CURRENCY=USD", "XLFILL=b")</f>
        <v>3567</v>
      </c>
      <c r="F205" s="9">
        <f>_xll.BQL("AMZN US Equity", "IS_COMP_NET_INCOME_GAAP/1M", "FPT=Q", "FPO=-11Q", "ACT_EST_MAPPING=PRECISE", "FS=MRC", "CURRENCY=USD", "XLFILL=b")</f>
        <v>6592</v>
      </c>
      <c r="G205" s="9">
        <f>_xll.BQL("AMZN US Equity", "IS_COMP_NET_INCOME_GAAP/1M", "FPT=Q", "FPO=-10Q", "ACT_EST_MAPPING=PRECISE", "FS=MRC", "CURRENCY=USD", "XLFILL=b")</f>
        <v>8931</v>
      </c>
      <c r="H205" s="9">
        <f>_xll.BQL("AMZN US Equity", "IS_COMP_NET_INCOME_GAAP/1M", "FPT=Q", "FPO=-9Q", "ACT_EST_MAPPING=PRECISE", "FS=MRC", "CURRENCY=USD", "XLFILL=b")</f>
        <v>10703</v>
      </c>
      <c r="I205" s="9">
        <f>_xll.BQL("AMZN US Equity", "IS_COMP_NET_INCOME_GAAP/1M", "FPT=Q", "FPO=-8Q", "ACT_EST_MAPPING=PRECISE", "FS=MRC", "CURRENCY=USD", "XLFILL=b")</f>
        <v>10431</v>
      </c>
      <c r="J205" s="9">
        <f>_xll.BQL("AMZN US Equity", "IS_COMP_NET_INCOME_GAAP/1M", "FPT=Q", "FPO=-7Q", "ACT_EST_MAPPING=PRECISE", "FS=MRC", "CURRENCY=USD", "XLFILL=b")</f>
        <v>13485</v>
      </c>
      <c r="K205" s="9">
        <f>_xll.BQL("AMZN US Equity", "IS_COMP_NET_INCOME_GAAP/1M", "FPT=Q", "FPO=-6Q", "ACT_EST_MAPPING=PRECISE", "FS=MRC", "CURRENCY=USD", "XLFILL=b")</f>
        <v>15328</v>
      </c>
      <c r="L205" s="9">
        <f>_xll.BQL("AMZN US Equity", "IS_COMP_NET_INCOME_GAAP/1M", "FPT=Q", "FPO=-5Q", "ACT_EST_MAPPING=PRECISE", "FS=MRC", "CURRENCY=USD", "XLFILL=b")</f>
        <v>20004</v>
      </c>
      <c r="M205" s="9">
        <f>_xll.BQL("AMZN US Equity", "IS_COMP_NET_INCOME_GAAP/1M", "FPT=Q", "FPO=-4Q", "ACT_EST_MAPPING=PRECISE", "FS=MRC", "CURRENCY=USD", "XLFILL=b")</f>
        <v>17127</v>
      </c>
      <c r="N205" s="9">
        <f>_xll.BQL("AMZN US Equity", "IS_COMP_NET_INCOME_GAAP/1M", "FPT=Q", "FPO=-3Q", "ACT_EST_MAPPING=PRECISE", "FS=MRC", "CURRENCY=USD", "XLFILL=b")</f>
        <v>18164</v>
      </c>
      <c r="O205" s="9">
        <f>_xll.BQL("AMZN US Equity", "IS_COMP_NET_INCOME_GAAP/1M", "FPT=Q", "FPO=-2Q", "ACT_EST_MAPPING=PRECISE", "FS=MRC", "CURRENCY=USD", "XLFILL=b")</f>
        <v>21187</v>
      </c>
      <c r="P205" s="9">
        <f>_xll.BQL("AMZN US Equity", "IS_COMP_NET_INCOME_GAAP/1M", "FPT=Q", "FPO=-1Q", "ACT_EST_MAPPING=PRECISE", "FS=MRC", "CURRENCY=USD", "XLFILL=b")</f>
        <v>21192</v>
      </c>
      <c r="Q205" s="9">
        <f>_xll.BQL("AMZN US Equity", "IS_COMP_NET_INCOME_GAAP/1M", "FPT=Q", "FPO=0Q", "ACT_EST_MAPPING=PRECISE", "FS=MRC", "CURRENCY=USD", "XLFILL=b")</f>
        <v>30255</v>
      </c>
      <c r="R205" s="9">
        <f>_xll.BQL("AMZN US Equity", "IS_COMP_NET_INCOME_GAAP/1M", "FPT=Q", "FPO=1Q", "ACT_EST_MAPPING=PRECISE", "FS=MRC", "CURRENCY=USD", "XLFILL=b")</f>
        <v>19894.923076923078</v>
      </c>
      <c r="S205" s="9">
        <f>_xll.BQL("AMZN US Equity", "IS_COMP_NET_INCOME_GAAP/1M", "FPT=Q", "FPO=2Q", "ACT_EST_MAPPING=PRECISE", "FS=MRC", "CURRENCY=USD", "XLFILL=b")</f>
        <v>21007.973684210527</v>
      </c>
      <c r="T205" s="9">
        <f>_xll.BQL("AMZN US Equity", "IS_COMP_NET_INCOME_GAAP/1M", "FPT=Q", "FPO=3Q", "ACT_EST_MAPPING=PRECISE", "FS=MRC", "CURRENCY=USD", "XLFILL=b")</f>
        <v>26061.486486486487</v>
      </c>
      <c r="U205" s="9">
        <f>_xll.BQL("AMZN US Equity", "IS_COMP_NET_INCOME_GAAP/1M", "FPT=Q", "FPO=4Q", "ACT_EST_MAPPING=PRECISE", "FS=MRC", "CURRENCY=USD", "XLFILL=b")</f>
        <v>24999.208333333332</v>
      </c>
      <c r="V205" s="9">
        <f>_xll.BQL("AMZN US Equity", "IS_COMP_NET_INCOME_GAAP/1M", "FPT=Q", "FPO=5Q", "ACT_EST_MAPPING=PRECISE", "FS=MRC", "CURRENCY=USD", "XLFILL=b")</f>
        <v>26142.565217391304</v>
      </c>
      <c r="W205" s="9">
        <f>_xll.BQL("AMZN US Equity", "IS_COMP_NET_INCOME_GAAP/1M", "FPT=Q", "FPO=6Q", "ACT_EST_MAPPING=PRECISE", "FS=MRC", "CURRENCY=USD", "XLFILL=b")</f>
        <v>27489.652173913044</v>
      </c>
      <c r="X205" s="9">
        <f>_xll.BQL("AMZN US Equity", "IS_COMP_NET_INCOME_GAAP/1M", "FPT=Q", "FPO=7Q", "ACT_EST_MAPPING=PRECISE", "FS=MRC", "CURRENCY=USD", "XLFILL=b")</f>
        <v>33460.17391304348</v>
      </c>
    </row>
    <row r="206" spans="1:24" x14ac:dyDescent="0.25">
      <c r="A206" s="8" t="s">
        <v>260</v>
      </c>
      <c r="B206" s="4" t="s">
        <v>261</v>
      </c>
      <c r="C206" s="4" t="s">
        <v>262</v>
      </c>
      <c r="D206" s="4"/>
      <c r="E206" s="9">
        <f>_xll.BQL("AMZN US Equity", "PROF_MARGIN", "FPT=Q", "FPO=-12Q", "ACT_EST_MAPPING=PRECISE", "FS=MRC", "CURRENCY=USD", "XLFILL=b")</f>
        <v>2.4906170008951145</v>
      </c>
      <c r="F206" s="9">
        <f>_xll.BQL("AMZN US Equity", "PROF_MARGIN", "FPT=Q", "FPO=-11Q", "ACT_EST_MAPPING=PRECISE", "FS=MRC", "CURRENCY=USD", "XLFILL=b")</f>
        <v>5.0229567728060847</v>
      </c>
      <c r="G206" s="9">
        <f>_xll.BQL("AMZN US Equity", "PROF_MARGIN", "FPT=Q", "FPO=-10Q", "ACT_EST_MAPPING=PRECISE", "FS=MRC", "CURRENCY=USD", "XLFILL=b")</f>
        <v>6.9043841686293979</v>
      </c>
      <c r="H206" s="9">
        <f>_xll.BQL("AMZN US Equity", "PROF_MARGIN", "FPT=Q", "FPO=-9Q", "ACT_EST_MAPPING=PRECISE", "FS=MRC", "CURRENCY=USD", "XLFILL=b")</f>
        <v>6.2508457822676968</v>
      </c>
      <c r="I206" s="9">
        <f>_xll.BQL("AMZN US Equity", "PROF_MARGIN", "FPT=Q", "FPO=-8Q", "ACT_EST_MAPPING=PRECISE", "FS=MRC", "CURRENCY=USD", "XLFILL=b")</f>
        <v>7.278474388227167</v>
      </c>
      <c r="J206" s="9">
        <f>_xll.BQL("AMZN US Equity", "PROF_MARGIN", "FPT=Q", "FPO=-7Q", "ACT_EST_MAPPING=PRECISE", "FS=MRC", "CURRENCY=USD", "XLFILL=b")</f>
        <v>9.1129026808220193</v>
      </c>
      <c r="K206" s="9">
        <f>_xll.BQL("AMZN US Equity", "PROF_MARGIN", "FPT=Q", "FPO=-6Q", "ACT_EST_MAPPING=PRECISE", "FS=MRC", "CURRENCY=USD", "XLFILL=b")</f>
        <v>9.6477148989469832</v>
      </c>
      <c r="L206" s="9">
        <f>_xll.BQL("AMZN US Equity", "PROF_MARGIN", "FPT=Q", "FPO=-5Q", "ACT_EST_MAPPING=PRECISE", "FS=MRC", "CURRENCY=USD", "XLFILL=b")</f>
        <v>10.652210956803271</v>
      </c>
      <c r="M206" s="9">
        <f>_xll.BQL("AMZN US Equity", "PROF_MARGIN", "FPT=Q", "FPO=-4Q", "ACT_EST_MAPPING=PRECISE", "FS=MRC", "CURRENCY=USD", "XLFILL=b")</f>
        <v>11.002331900788221</v>
      </c>
      <c r="N206" s="9">
        <f>_xll.BQL("AMZN US Equity", "PROF_MARGIN", "FPT=Q", "FPO=-3Q", "ACT_EST_MAPPING=PRECISE", "FS=MRC", "CURRENCY=USD", "XLFILL=b")</f>
        <v>10.831117100571252</v>
      </c>
      <c r="O206" s="9">
        <f>_xll.BQL("AMZN US Equity", "PROF_MARGIN", "FPT=Q", "FPO=-2Q", "ACT_EST_MAPPING=PRECISE", "FS=MRC", "CURRENCY=USD", "XLFILL=b")</f>
        <v>11.759514677885763</v>
      </c>
      <c r="P206" s="9">
        <f>_xll.BQL("AMZN US Equity", "PROF_MARGIN", "FPT=Q", "FPO=-1Q", "ACT_EST_MAPPING=PRECISE", "FS=MRC", "CURRENCY=USD", "XLFILL=b")</f>
        <v>9.9312982107542211</v>
      </c>
      <c r="Q206" s="9">
        <f>_xll.BQL("AMZN US Equity", "PROF_MARGIN", "FPT=Q", "FPO=0Q", "ACT_EST_MAPPING=PRECISE", "FS=MRC", "CURRENCY=USD", "XLFILL=b")</f>
        <v>16.667676661947233</v>
      </c>
      <c r="R206" s="9">
        <f>_xll.BQL("AMZN US Equity", "PROF_MARGIN", "FPT=Q", "FPO=1Q", "ACT_EST_MAPPING=PRECISE", "FS=MRC", "CURRENCY=USD", "XLFILL=b")</f>
        <v>10.229813265277343</v>
      </c>
      <c r="S206" s="9">
        <f>_xll.BQL("AMZN US Equity", "PROF_MARGIN", "FPT=Q", "FPO=2Q", "ACT_EST_MAPPING=PRECISE", "FS=MRC", "CURRENCY=USD", "XLFILL=b")</f>
        <v>10.195298603172491</v>
      </c>
      <c r="T206" s="9">
        <f>_xll.BQL("AMZN US Equity", "PROF_MARGIN", "FPT=Q", "FPO=3Q", "ACT_EST_MAPPING=PRECISE", "FS=MRC", "CURRENCY=USD", "XLFILL=b")</f>
        <v>10.594539342943522</v>
      </c>
      <c r="U206" s="9">
        <f>_xll.BQL("AMZN US Equity", "PROF_MARGIN", "FPT=Q", "FPO=4Q", "ACT_EST_MAPPING=PRECISE", "FS=MRC", "CURRENCY=USD", "XLFILL=b")</f>
        <v>12.030462029034078</v>
      </c>
      <c r="V206" s="9">
        <f>_xll.BQL("AMZN US Equity", "PROF_MARGIN", "FPT=Q", "FPO=5Q", "ACT_EST_MAPPING=PRECISE", "FS=MRC", "CURRENCY=USD", "XLFILL=b")</f>
        <v>11.910791576549125</v>
      </c>
      <c r="W206" s="9">
        <f>_xll.BQL("AMZN US Equity", "PROF_MARGIN", "FPT=Q", "FPO=6Q", "ACT_EST_MAPPING=PRECISE", "FS=MRC", "CURRENCY=USD", "XLFILL=b")</f>
        <v>11.969796845871731</v>
      </c>
      <c r="X206" s="9">
        <f>_xll.BQL("AMZN US Equity", "PROF_MARGIN", "FPT=Q", "FPO=7Q", "ACT_EST_MAPPING=PRECISE", "FS=MRC", "CURRENCY=USD", "XLFILL=b")</f>
        <v>12.184149114888152</v>
      </c>
    </row>
    <row r="207" spans="1:24" x14ac:dyDescent="0.25">
      <c r="A207" s="8" t="s">
        <v>14</v>
      </c>
      <c r="B207" s="4"/>
      <c r="C207" s="4"/>
      <c r="D207" s="4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</row>
    <row r="208" spans="1:24" x14ac:dyDescent="0.25">
      <c r="A208" s="8" t="s">
        <v>263</v>
      </c>
      <c r="B208" s="4" t="s">
        <v>264</v>
      </c>
      <c r="C208" s="4" t="s">
        <v>265</v>
      </c>
      <c r="D208" s="4"/>
      <c r="E208" s="9">
        <f>_xll.BQL("AMZN US Equity", "IS_AVG_NUM_SH_FOR_EPS/1M", "FPT=Q", "FPO=-12Q", "ACT_EST_MAPPING=PRECISE", "FS=MRC", "CURRENCY=USD", "XLFILL=b")</f>
        <v>10250</v>
      </c>
      <c r="F208" s="9">
        <f>_xll.BQL("AMZN US Equity", "IS_AVG_NUM_SH_FOR_EPS/1M", "FPT=Q", "FPO=-11Q", "ACT_EST_MAPPING=PRECISE", "FS=MRC", "CURRENCY=USD", "XLFILL=b")</f>
        <v>10285</v>
      </c>
      <c r="G208" s="9">
        <f>_xll.BQL("AMZN US Equity", "IS_AVG_NUM_SH_FOR_EPS/1M", "FPT=Q", "FPO=-10Q", "ACT_EST_MAPPING=PRECISE", "FS=MRC", "CURRENCY=USD", "XLFILL=b")</f>
        <v>10322</v>
      </c>
      <c r="H208" s="9">
        <f>_xll.BQL("AMZN US Equity", "IS_AVG_NUM_SH_FOR_EPS/1M", "FPT=Q", "FPO=-9Q", "ACT_EST_MAPPING=PRECISE", "FS=MRC", "CURRENCY=USD", "XLFILL=b")</f>
        <v>10356</v>
      </c>
      <c r="I208" s="9">
        <f>_xll.BQL("AMZN US Equity", "IS_AVG_NUM_SH_FOR_EPS/1M", "FPT=Q", "FPO=-8Q", "ACT_EST_MAPPING=PRECISE", "FS=MRC", "CURRENCY=USD", "XLFILL=b")</f>
        <v>10393</v>
      </c>
      <c r="J208" s="9">
        <f>_xll.BQL("AMZN US Equity", "IS_AVG_NUM_SH_FOR_EPS/1M", "FPT=Q", "FPO=-7Q", "ACT_EST_MAPPING=PRECISE", "FS=MRC", "CURRENCY=USD", "XLFILL=b")</f>
        <v>10447</v>
      </c>
      <c r="K208" s="9">
        <f>_xll.BQL("AMZN US Equity", "IS_AVG_NUM_SH_FOR_EPS/1M", "FPT=Q", "FPO=-6Q", "ACT_EST_MAPPING=PRECISE", "FS=MRC", "CURRENCY=USD", "XLFILL=b")</f>
        <v>10501</v>
      </c>
      <c r="L208" s="9">
        <f>_xll.BQL("AMZN US Equity", "IS_AVG_NUM_SH_FOR_EPS/1M", "FPT=Q", "FPO=-5Q", "ACT_EST_MAPPING=PRECISE", "FS=MRC", "CURRENCY=USD", "XLFILL=b")</f>
        <v>10552</v>
      </c>
      <c r="M208" s="9">
        <f>_xll.BQL("AMZN US Equity", "IS_AVG_NUM_SH_FOR_EPS/1M", "FPT=Q", "FPO=-4Q", "ACT_EST_MAPPING=PRECISE", "FS=MRC", "CURRENCY=USD", "XLFILL=b")</f>
        <v>10603</v>
      </c>
      <c r="N208" s="9">
        <f>_xll.BQL("AMZN US Equity", "IS_AVG_NUM_SH_FOR_EPS/1M", "FPT=Q", "FPO=-3Q", "ACT_EST_MAPPING=PRECISE", "FS=MRC", "CURRENCY=USD", "XLFILL=b")</f>
        <v>10637</v>
      </c>
      <c r="O208" s="9">
        <f>_xll.BQL("AMZN US Equity", "IS_AVG_NUM_SH_FOR_EPS/1M", "FPT=Q", "FPO=-2Q", "ACT_EST_MAPPING=PRECISE", "FS=MRC", "CURRENCY=USD", "XLFILL=b")</f>
        <v>10674</v>
      </c>
      <c r="P208" s="9">
        <f>_xll.BQL("AMZN US Equity", "IS_AVG_NUM_SH_FOR_EPS/1M", "FPT=Q", "FPO=-1Q", "ACT_EST_MAPPING=PRECISE", "FS=MRC", "CURRENCY=USD", "XLFILL=b")</f>
        <v>10709</v>
      </c>
      <c r="Q208" s="9">
        <f>_xll.BQL("AMZN US Equity", "IS_AVG_NUM_SH_FOR_EPS/1M", "FPT=Q", "FPO=0Q", "ACT_EST_MAPPING=PRECISE", "FS=MRC", "CURRENCY=USD", "XLFILL=b")</f>
        <v>10743</v>
      </c>
      <c r="R208" s="9">
        <f>_xll.BQL("AMZN US Equity", "IS_AVG_NUM_SH_FOR_EPS/1M", "FPT=Q", "FPO=1Q", "ACT_EST_MAPPING=PRECISE", "FS=MRC", "CURRENCY=USD", "XLFILL=b")</f>
        <v>10850.09321774097</v>
      </c>
      <c r="S208" s="9">
        <f>_xll.BQL("AMZN US Equity", "IS_AVG_NUM_SH_FOR_EPS/1M", "FPT=Q", "FPO=2Q", "ACT_EST_MAPPING=PRECISE", "FS=MRC", "CURRENCY=USD", "XLFILL=b")</f>
        <v>10885.254551963511</v>
      </c>
      <c r="T208" s="9">
        <f>_xll.BQL("AMZN US Equity", "IS_AVG_NUM_SH_FOR_EPS/1M", "FPT=Q", "FPO=3Q", "ACT_EST_MAPPING=PRECISE", "FS=MRC", "CURRENCY=USD", "XLFILL=b")</f>
        <v>10918.148086345906</v>
      </c>
      <c r="U208" s="9">
        <f>_xll.BQL("AMZN US Equity", "IS_AVG_NUM_SH_FOR_EPS/1M", "FPT=Q", "FPO=4Q", "ACT_EST_MAPPING=PRECISE", "FS=MRC", "CURRENCY=USD", "XLFILL=b")</f>
        <v>10966.957690215211</v>
      </c>
      <c r="V208" s="9">
        <f>_xll.BQL("AMZN US Equity", "IS_AVG_NUM_SH_FOR_EPS/1M", "FPT=Q", "FPO=5Q", "ACT_EST_MAPPING=PRECISE", "FS=MRC", "CURRENCY=USD", "XLFILL=b")</f>
        <v>11006.658706346918</v>
      </c>
      <c r="W208" s="9">
        <f>_xll.BQL("AMZN US Equity", "IS_AVG_NUM_SH_FOR_EPS/1M", "FPT=Q", "FPO=6Q", "ACT_EST_MAPPING=PRECISE", "FS=MRC", "CURRENCY=USD", "XLFILL=b")</f>
        <v>11050.507259930044</v>
      </c>
      <c r="X208" s="9">
        <f>_xll.BQL("AMZN US Equity", "IS_AVG_NUM_SH_FOR_EPS/1M", "FPT=Q", "FPO=7Q", "ACT_EST_MAPPING=PRECISE", "FS=MRC", "CURRENCY=USD", "XLFILL=b")</f>
        <v>11090.940849291932</v>
      </c>
    </row>
    <row r="209" spans="1:24" x14ac:dyDescent="0.25">
      <c r="A209" s="8" t="s">
        <v>266</v>
      </c>
      <c r="B209" s="4" t="s">
        <v>267</v>
      </c>
      <c r="C209" s="4" t="s">
        <v>268</v>
      </c>
      <c r="D209" s="4"/>
      <c r="E209" s="9">
        <f>_xll.BQL("AMZN US Equity", "IS_EPS", "FPT=Q", "FPO=-12Q", "ACT_EST_MAPPING=PRECISE", "FS=MRC", "CURRENCY=USD", "XLFILL=b")</f>
        <v>0.31</v>
      </c>
      <c r="F209" s="9">
        <f>_xll.BQL("AMZN US Equity", "IS_EPS", "FPT=Q", "FPO=-11Q", "ACT_EST_MAPPING=PRECISE", "FS=MRC", "CURRENCY=USD", "XLFILL=b")</f>
        <v>0.66</v>
      </c>
      <c r="G209" s="9">
        <f>_xll.BQL("AMZN US Equity", "IS_EPS", "FPT=Q", "FPO=-10Q", "ACT_EST_MAPPING=PRECISE", "FS=MRC", "CURRENCY=USD", "XLFILL=b")</f>
        <v>0.96</v>
      </c>
      <c r="H209" s="9">
        <f>_xll.BQL("AMZN US Equity", "IS_EPS", "FPT=Q", "FPO=-9Q", "ACT_EST_MAPPING=PRECISE", "FS=MRC", "CURRENCY=USD", "XLFILL=b")</f>
        <v>1.03</v>
      </c>
      <c r="I209" s="9">
        <f>_xll.BQL("AMZN US Equity", "IS_EPS", "FPT=Q", "FPO=-8Q", "ACT_EST_MAPPING=PRECISE", "FS=MRC", "CURRENCY=USD", "XLFILL=b")</f>
        <v>1</v>
      </c>
      <c r="J209" s="9">
        <f>_xll.BQL("AMZN US Equity", "IS_EPS", "FPT=Q", "FPO=-7Q", "ACT_EST_MAPPING=PRECISE", "FS=MRC", "CURRENCY=USD", "XLFILL=b")</f>
        <v>1.29</v>
      </c>
      <c r="K209" s="9">
        <f>_xll.BQL("AMZN US Equity", "IS_EPS", "FPT=Q", "FPO=-6Q", "ACT_EST_MAPPING=PRECISE", "FS=MRC", "CURRENCY=USD", "XLFILL=b")</f>
        <v>1.46</v>
      </c>
      <c r="L209" s="9">
        <f>_xll.BQL("AMZN US Equity", "IS_EPS", "FPT=Q", "FPO=-5Q", "ACT_EST_MAPPING=PRECISE", "FS=MRC", "CURRENCY=USD", "XLFILL=b")</f>
        <v>1.9</v>
      </c>
      <c r="M209" s="9">
        <f>_xll.BQL("AMZN US Equity", "IS_EPS", "FPT=Q", "FPO=-4Q", "ACT_EST_MAPPING=PRECISE", "FS=MRC", "CURRENCY=USD", "XLFILL=b")</f>
        <v>1.62</v>
      </c>
      <c r="N209" s="9">
        <f>_xll.BQL("AMZN US Equity", "IS_EPS", "FPT=Q", "FPO=-3Q", "ACT_EST_MAPPING=PRECISE", "FS=MRC", "CURRENCY=USD", "XLFILL=b")</f>
        <v>1.71</v>
      </c>
      <c r="O209" s="9">
        <f>_xll.BQL("AMZN US Equity", "IS_EPS", "FPT=Q", "FPO=-2Q", "ACT_EST_MAPPING=PRECISE", "FS=MRC", "CURRENCY=USD", "XLFILL=b")</f>
        <v>1.98</v>
      </c>
      <c r="P209" s="9">
        <f>_xll.BQL("AMZN US Equity", "IS_EPS", "FPT=Q", "FPO=-1Q", "ACT_EST_MAPPING=PRECISE", "FS=MRC", "CURRENCY=USD", "XLFILL=b")</f>
        <v>1.98</v>
      </c>
      <c r="Q209" s="9">
        <f>_xll.BQL("AMZN US Equity", "IS_EPS", "FPT=Q", "FPO=0Q", "ACT_EST_MAPPING=PRECISE", "FS=MRC", "CURRENCY=USD", "XLFILL=b")</f>
        <v>2.82</v>
      </c>
      <c r="R209" s="9">
        <f>_xll.BQL("AMZN US Equity", "IS_EPS", "FPT=Q", "FPO=1Q", "ACT_EST_MAPPING=PRECISE", "FS=MRC", "CURRENCY=USD", "XLFILL=b")</f>
        <v>1.8349322044709102</v>
      </c>
      <c r="S209" s="9">
        <f>_xll.BQL("AMZN US Equity", "IS_EPS", "FPT=Q", "FPO=2Q", "ACT_EST_MAPPING=PRECISE", "FS=MRC", "CURRENCY=USD", "XLFILL=b")</f>
        <v>1.9332430038643393</v>
      </c>
      <c r="T209" s="9">
        <f>_xll.BQL("AMZN US Equity", "IS_EPS", "FPT=Q", "FPO=3Q", "ACT_EST_MAPPING=PRECISE", "FS=MRC", "CURRENCY=USD", "XLFILL=b")</f>
        <v>2.3862473333828653</v>
      </c>
      <c r="U209" s="9">
        <f>_xll.BQL("AMZN US Equity", "IS_EPS", "FPT=Q", "FPO=4Q", "ACT_EST_MAPPING=PRECISE", "FS=MRC", "CURRENCY=USD", "XLFILL=b")</f>
        <v>2.3681465531408423</v>
      </c>
      <c r="V209" s="9">
        <f>_xll.BQL("AMZN US Equity", "IS_EPS", "FPT=Q", "FPO=5Q", "ACT_EST_MAPPING=PRECISE", "FS=MRC", "CURRENCY=USD", "XLFILL=b")</f>
        <v>2.4601730541690405</v>
      </c>
      <c r="W209" s="9">
        <f>_xll.BQL("AMZN US Equity", "IS_EPS", "FPT=Q", "FPO=6Q", "ACT_EST_MAPPING=PRECISE", "FS=MRC", "CURRENCY=USD", "XLFILL=b")</f>
        <v>2.5695939183763121</v>
      </c>
      <c r="X209" s="9">
        <f>_xll.BQL("AMZN US Equity", "IS_EPS", "FPT=Q", "FPO=7Q", "ACT_EST_MAPPING=PRECISE", "FS=MRC", "CURRENCY=USD", "XLFILL=b")</f>
        <v>3.1104214854333176</v>
      </c>
    </row>
    <row r="210" spans="1:24" x14ac:dyDescent="0.25">
      <c r="A210" s="8" t="s">
        <v>14</v>
      </c>
      <c r="B210" s="4"/>
      <c r="C210" s="4"/>
      <c r="D210" s="4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</row>
    <row r="211" spans="1:24" x14ac:dyDescent="0.25">
      <c r="A211" s="8" t="s">
        <v>269</v>
      </c>
      <c r="B211" s="4" t="s">
        <v>270</v>
      </c>
      <c r="C211" s="4" t="s">
        <v>271</v>
      </c>
      <c r="D211" s="4"/>
      <c r="E211" s="9">
        <f>_xll.BQL("AMZN US Equity", "IS_SH_FOR_DILUTED_EPS/1M", "FPT=Q", "FPO=-12Q", "ACT_EST_MAPPING=PRECISE", "FS=MRC", "CURRENCY=USD", "XLFILL=b")</f>
        <v>10347</v>
      </c>
      <c r="F211" s="9">
        <f>_xll.BQL("AMZN US Equity", "IS_SH_FOR_DILUTED_EPS/1M", "FPT=Q", "FPO=-11Q", "ACT_EST_MAPPING=PRECISE", "FS=MRC", "CURRENCY=USD", "XLFILL=b")</f>
        <v>10449</v>
      </c>
      <c r="G211" s="9">
        <f>_xll.BQL("AMZN US Equity", "IS_SH_FOR_DILUTED_EPS/1M", "FPT=Q", "FPO=-10Q", "ACT_EST_MAPPING=PRECISE", "FS=MRC", "CURRENCY=USD", "XLFILL=b")</f>
        <v>10558</v>
      </c>
      <c r="H211" s="9">
        <f>_xll.BQL("AMZN US Equity", "IS_SH_FOR_DILUTED_EPS/1M", "FPT=Q", "FPO=-9Q", "ACT_EST_MAPPING=PRECISE", "FS=MRC", "CURRENCY=USD", "XLFILL=b")</f>
        <v>10610</v>
      </c>
      <c r="I211" s="9">
        <f>_xll.BQL("AMZN US Equity", "IS_SH_FOR_DILUTED_EPS/1M", "FPT=Q", "FPO=-8Q", "ACT_EST_MAPPING=PRECISE", "FS=MRC", "CURRENCY=USD", "XLFILL=b")</f>
        <v>10670</v>
      </c>
      <c r="J211" s="9">
        <f>_xll.BQL("AMZN US Equity", "IS_SH_FOR_DILUTED_EPS/1M", "FPT=Q", "FPO=-7Q", "ACT_EST_MAPPING=PRECISE", "FS=MRC", "CURRENCY=USD", "XLFILL=b")</f>
        <v>10708</v>
      </c>
      <c r="K211" s="9">
        <f>_xll.BQL("AMZN US Equity", "IS_SH_FOR_DILUTED_EPS/1M", "FPT=Q", "FPO=-6Q", "ACT_EST_MAPPING=PRECISE", "FS=MRC", "CURRENCY=USD", "XLFILL=b")</f>
        <v>10735</v>
      </c>
      <c r="L211" s="9">
        <f>_xll.BQL("AMZN US Equity", "IS_SH_FOR_DILUTED_EPS/1M", "FPT=Q", "FPO=-5Q", "ACT_EST_MAPPING=PRECISE", "FS=MRC", "CURRENCY=USD", "XLFILL=b")</f>
        <v>10771</v>
      </c>
      <c r="M211" s="9">
        <f>_xll.BQL("AMZN US Equity", "IS_SH_FOR_DILUTED_EPS/1M", "FPT=Q", "FPO=-4Q", "ACT_EST_MAPPING=PRECISE", "FS=MRC", "CURRENCY=USD", "XLFILL=b")</f>
        <v>10793</v>
      </c>
      <c r="N211" s="9">
        <f>_xll.BQL("AMZN US Equity", "IS_SH_FOR_DILUTED_EPS/1M", "FPT=Q", "FPO=-3Q", "ACT_EST_MAPPING=PRECISE", "FS=MRC", "CURRENCY=USD", "XLFILL=b")</f>
        <v>10806</v>
      </c>
      <c r="O211" s="9">
        <f>_xll.BQL("AMZN US Equity", "IS_SH_FOR_DILUTED_EPS/1M", "FPT=Q", "FPO=-2Q", "ACT_EST_MAPPING=PRECISE", "FS=MRC", "CURRENCY=USD", "XLFILL=b")</f>
        <v>10845</v>
      </c>
      <c r="P211" s="9">
        <f>_xll.BQL("AMZN US Equity", "IS_SH_FOR_DILUTED_EPS/1M", "FPT=Q", "FPO=-1Q", "ACT_EST_MAPPING=PRECISE", "FS=MRC", "CURRENCY=USD", "XLFILL=b")</f>
        <v>10863</v>
      </c>
      <c r="Q211" s="9">
        <f>_xll.BQL("AMZN US Equity", "IS_SH_FOR_DILUTED_EPS/1M", "FPT=Q", "FPO=0Q", "ACT_EST_MAPPING=PRECISE", "FS=MRC", "CURRENCY=USD", "XLFILL=b")</f>
        <v>10874</v>
      </c>
      <c r="R211" s="9">
        <f>_xll.BQL("AMZN US Equity", "IS_SH_FOR_DILUTED_EPS/1M", "FPT=Q", "FPO=1Q", "ACT_EST_MAPPING=PRECISE", "FS=MRC", "CURRENCY=USD", "XLFILL=b")</f>
        <v>10872.663008701566</v>
      </c>
      <c r="S211" s="9">
        <f>_xll.BQL("AMZN US Equity", "IS_SH_FOR_DILUTED_EPS/1M", "FPT=Q", "FPO=2Q", "ACT_EST_MAPPING=PRECISE", "FS=MRC", "CURRENCY=USD", "XLFILL=b")</f>
        <v>10901.084356742009</v>
      </c>
      <c r="T211" s="9">
        <f>_xll.BQL("AMZN US Equity", "IS_SH_FOR_DILUTED_EPS/1M", "FPT=Q", "FPO=3Q", "ACT_EST_MAPPING=PRECISE", "FS=MRC", "CURRENCY=USD", "XLFILL=b")</f>
        <v>10925.615330018956</v>
      </c>
      <c r="U211" s="9">
        <f>_xll.BQL("AMZN US Equity", "IS_SH_FOR_DILUTED_EPS/1M", "FPT=Q", "FPO=4Q", "ACT_EST_MAPPING=PRECISE", "FS=MRC", "CURRENCY=USD", "XLFILL=b")</f>
        <v>10974.71206539131</v>
      </c>
      <c r="V211" s="9">
        <f>_xll.BQL("AMZN US Equity", "IS_SH_FOR_DILUTED_EPS/1M", "FPT=Q", "FPO=5Q", "ACT_EST_MAPPING=PRECISE", "FS=MRC", "CURRENCY=USD", "XLFILL=b")</f>
        <v>11010.735276490943</v>
      </c>
      <c r="W211" s="9">
        <f>_xll.BQL("AMZN US Equity", "IS_SH_FOR_DILUTED_EPS/1M", "FPT=Q", "FPO=6Q", "ACT_EST_MAPPING=PRECISE", "FS=MRC", "CURRENCY=USD", "XLFILL=b")</f>
        <v>11044.791885720704</v>
      </c>
      <c r="X211" s="9">
        <f>_xll.BQL("AMZN US Equity", "IS_SH_FOR_DILUTED_EPS/1M", "FPT=Q", "FPO=7Q", "ACT_EST_MAPPING=PRECISE", "FS=MRC", "CURRENCY=USD", "XLFILL=b")</f>
        <v>11077.683155435967</v>
      </c>
    </row>
    <row r="212" spans="1:24" x14ac:dyDescent="0.25">
      <c r="A212" s="8" t="s">
        <v>8</v>
      </c>
      <c r="B212" s="4" t="s">
        <v>9</v>
      </c>
      <c r="C212" s="4" t="s">
        <v>10</v>
      </c>
      <c r="D212" s="4"/>
      <c r="E212" s="9">
        <f>_xll.BQL("AMZN US Equity", "IS_COMP_EPS_GAAP", "FPT=Q", "FPO=-12Q", "ACT_EST_MAPPING=PRECISE", "FS=MRC", "CURRENCY=USD", "XLFILL=b")</f>
        <v>0.34473799999999999</v>
      </c>
      <c r="F212" s="9">
        <f>_xll.BQL("AMZN US Equity", "IS_COMP_EPS_GAAP", "FPT=Q", "FPO=-11Q", "ACT_EST_MAPPING=PRECISE", "FS=MRC", "CURRENCY=USD", "XLFILL=b")</f>
        <v>0.63089960759999997</v>
      </c>
      <c r="G212" s="9">
        <f>_xll.BQL("AMZN US Equity", "IS_COMP_EPS_GAAP", "FPT=Q", "FPO=-10Q", "ACT_EST_MAPPING=PRECISE", "FS=MRC", "CURRENCY=USD", "XLFILL=b")</f>
        <v>0.82658079179999999</v>
      </c>
      <c r="H212" s="9">
        <f>_xll.BQL("AMZN US Equity", "IS_COMP_EPS_GAAP", "FPT=Q", "FPO=-9Q", "ACT_EST_MAPPING=PRECISE", "FS=MRC", "CURRENCY=USD", "XLFILL=b")</f>
        <v>1.0087653000000001</v>
      </c>
      <c r="I212" s="9">
        <f>_xll.BQL("AMZN US Equity", "IS_COMP_EPS_GAAP", "FPT=Q", "FPO=-8Q", "ACT_EST_MAPPING=PRECISE", "FS=MRC", "CURRENCY=USD", "XLFILL=b")</f>
        <v>0.98</v>
      </c>
      <c r="J212" s="9">
        <f>_xll.BQL("AMZN US Equity", "IS_COMP_EPS_GAAP", "FPT=Q", "FPO=-7Q", "ACT_EST_MAPPING=PRECISE", "FS=MRC", "CURRENCY=USD", "XLFILL=b")</f>
        <v>1.26</v>
      </c>
      <c r="K212" s="9">
        <f>_xll.BQL("AMZN US Equity", "IS_COMP_EPS_GAAP", "FPT=Q", "FPO=-6Q", "ACT_EST_MAPPING=PRECISE", "FS=MRC", "CURRENCY=USD", "XLFILL=b")</f>
        <v>1.43</v>
      </c>
      <c r="L212" s="9">
        <f>_xll.BQL("AMZN US Equity", "IS_COMP_EPS_GAAP", "FPT=Q", "FPO=-5Q", "ACT_EST_MAPPING=PRECISE", "FS=MRC", "CURRENCY=USD", "XLFILL=b")</f>
        <v>1.86</v>
      </c>
      <c r="M212" s="9">
        <f>_xll.BQL("AMZN US Equity", "IS_COMP_EPS_GAAP", "FPT=Q", "FPO=-4Q", "ACT_EST_MAPPING=PRECISE", "FS=MRC", "CURRENCY=USD", "XLFILL=b")</f>
        <v>1.59</v>
      </c>
      <c r="N212" s="9">
        <f>_xll.BQL("AMZN US Equity", "IS_COMP_EPS_GAAP", "FPT=Q", "FPO=-3Q", "ACT_EST_MAPPING=PRECISE", "FS=MRC", "CURRENCY=USD", "XLFILL=b")</f>
        <v>1.68</v>
      </c>
      <c r="O212" s="9">
        <f>_xll.BQL("AMZN US Equity", "IS_COMP_EPS_GAAP", "FPT=Q", "FPO=-2Q", "ACT_EST_MAPPING=PRECISE", "FS=MRC", "CURRENCY=USD", "XLFILL=b")</f>
        <v>1.95</v>
      </c>
      <c r="P212" s="9">
        <f>_xll.BQL("AMZN US Equity", "IS_COMP_EPS_GAAP", "FPT=Q", "FPO=-1Q", "ACT_EST_MAPPING=PRECISE", "FS=MRC", "CURRENCY=USD", "XLFILL=b")</f>
        <v>1.95</v>
      </c>
      <c r="Q212" s="9">
        <f>_xll.BQL("AMZN US Equity", "IS_COMP_EPS_GAAP", "FPT=Q", "FPO=0Q", "ACT_EST_MAPPING=PRECISE", "FS=MRC", "CURRENCY=USD", "XLFILL=b")</f>
        <v>2.78</v>
      </c>
      <c r="R212" s="9">
        <f>_xll.BQL("AMZN US Equity", "IS_COMP_EPS_GAAP", "FPT=Q", "FPO=1Q", "ACT_EST_MAPPING=PRECISE", "FS=MRC", "CURRENCY=USD", "XLFILL=b")</f>
        <v>1.8229268292682923</v>
      </c>
      <c r="S212" s="9">
        <f>_xll.BQL("AMZN US Equity", "IS_COMP_EPS_GAAP", "FPT=Q", "FPO=2Q", "ACT_EST_MAPPING=PRECISE", "FS=MRC", "CURRENCY=USD", "XLFILL=b")</f>
        <v>1.937073170731707</v>
      </c>
      <c r="T212" s="9">
        <f>_xll.BQL("AMZN US Equity", "IS_COMP_EPS_GAAP", "FPT=Q", "FPO=3Q", "ACT_EST_MAPPING=PRECISE", "FS=MRC", "CURRENCY=USD", "XLFILL=b")</f>
        <v>2.3992499999999999</v>
      </c>
      <c r="U212" s="9">
        <f>_xll.BQL("AMZN US Equity", "IS_COMP_EPS_GAAP", "FPT=Q", "FPO=4Q", "ACT_EST_MAPPING=PRECISE", "FS=MRC", "CURRENCY=USD", "XLFILL=b")</f>
        <v>2.2952380952380951</v>
      </c>
      <c r="V212" s="9">
        <f>_xll.BQL("AMZN US Equity", "IS_COMP_EPS_GAAP", "FPT=Q", "FPO=5Q", "ACT_EST_MAPPING=PRECISE", "FS=MRC", "CURRENCY=USD", "XLFILL=b")</f>
        <v>2.4230000000000005</v>
      </c>
      <c r="W212" s="9">
        <f>_xll.BQL("AMZN US Equity", "IS_COMP_EPS_GAAP", "FPT=Q", "FPO=6Q", "ACT_EST_MAPPING=PRECISE", "FS=MRC", "CURRENCY=USD", "XLFILL=b")</f>
        <v>2.5642105263157893</v>
      </c>
      <c r="X212" s="9">
        <f>_xll.BQL("AMZN US Equity", "IS_COMP_EPS_GAAP", "FPT=Q", "FPO=7Q", "ACT_EST_MAPPING=PRECISE", "FS=MRC", "CURRENCY=USD", "XLFILL=b")</f>
        <v>3.088421052631579</v>
      </c>
    </row>
    <row r="213" spans="1:24" x14ac:dyDescent="0.25">
      <c r="A213" s="8" t="s">
        <v>14</v>
      </c>
      <c r="B213" s="4"/>
      <c r="C213" s="4"/>
      <c r="D213" s="4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</row>
    <row r="214" spans="1:24" x14ac:dyDescent="0.25">
      <c r="A214" s="8" t="s">
        <v>272</v>
      </c>
      <c r="B214" s="4" t="s">
        <v>273</v>
      </c>
      <c r="C214" s="4" t="s">
        <v>274</v>
      </c>
      <c r="D214" s="4"/>
      <c r="E214" s="9">
        <f>_xll.BQL("AMZN US Equity", "IS_REGULAR_CASH_DIVIDEND_PER_SH", "FPT=Q", "FPO=-12Q", "ACT_EST_MAPPING=PRECISE", "FS=MRC", "CURRENCY=USD", "XLFILL=b")</f>
        <v>0</v>
      </c>
      <c r="F214" s="9">
        <f>_xll.BQL("AMZN US Equity", "IS_REGULAR_CASH_DIVIDEND_PER_SH", "FPT=Q", "FPO=-11Q", "ACT_EST_MAPPING=PRECISE", "FS=MRC", "CURRENCY=USD", "XLFILL=b")</f>
        <v>0</v>
      </c>
      <c r="G214" s="9">
        <f>_xll.BQL("AMZN US Equity", "IS_REGULAR_CASH_DIVIDEND_PER_SH", "FPT=Q", "FPO=-10Q", "ACT_EST_MAPPING=PRECISE", "FS=MRC", "CURRENCY=USD", "XLFILL=b")</f>
        <v>0</v>
      </c>
      <c r="H214" s="9">
        <f>_xll.BQL("AMZN US Equity", "IS_REGULAR_CASH_DIVIDEND_PER_SH", "FPT=Q", "FPO=-9Q", "ACT_EST_MAPPING=PRECISE", "FS=MRC", "CURRENCY=USD", "XLFILL=b")</f>
        <v>0</v>
      </c>
      <c r="I214" s="9">
        <f>_xll.BQL("AMZN US Equity", "IS_REGULAR_CASH_DIVIDEND_PER_SH", "FPT=Q", "FPO=-8Q", "ACT_EST_MAPPING=PRECISE", "FS=MRC", "CURRENCY=USD", "XLFILL=b")</f>
        <v>0</v>
      </c>
      <c r="J214" s="9">
        <f>_xll.BQL("AMZN US Equity", "IS_REGULAR_CASH_DIVIDEND_PER_SH", "FPT=Q", "FPO=-7Q", "ACT_EST_MAPPING=PRECISE", "FS=MRC", "CURRENCY=USD", "XLFILL=b")</f>
        <v>0</v>
      </c>
      <c r="K214" s="9">
        <f>_xll.BQL("AMZN US Equity", "IS_REGULAR_CASH_DIVIDEND_PER_SH", "FPT=Q", "FPO=-6Q", "ACT_EST_MAPPING=PRECISE", "FS=MRC", "CURRENCY=USD", "XLFILL=b")</f>
        <v>0</v>
      </c>
      <c r="L214" s="9">
        <f>_xll.BQL("AMZN US Equity", "IS_REGULAR_CASH_DIVIDEND_PER_SH", "FPT=Q", "FPO=-5Q", "ACT_EST_MAPPING=PRECISE", "FS=MRC", "CURRENCY=USD", "XLFILL=b")</f>
        <v>0</v>
      </c>
      <c r="M214" s="9">
        <f>_xll.BQL("AMZN US Equity", "IS_REGULAR_CASH_DIVIDEND_PER_SH", "FPT=Q", "FPO=-4Q", "ACT_EST_MAPPING=PRECISE", "FS=MRC", "CURRENCY=USD", "XLFILL=b")</f>
        <v>0</v>
      </c>
      <c r="N214" s="9">
        <f>_xll.BQL("AMZN US Equity", "IS_REGULAR_CASH_DIVIDEND_PER_SH", "FPT=Q", "FPO=-3Q", "ACT_EST_MAPPING=PRECISE", "FS=MRC", "CURRENCY=USD", "XLFILL=b")</f>
        <v>0</v>
      </c>
      <c r="O214" s="9">
        <f>_xll.BQL("AMZN US Equity", "IS_REGULAR_CASH_DIVIDEND_PER_SH", "FPT=Q", "FPO=-2Q", "ACT_EST_MAPPING=PRECISE", "FS=MRC", "CURRENCY=USD", "XLFILL=b")</f>
        <v>0</v>
      </c>
      <c r="P214" s="9">
        <f>_xll.BQL("AMZN US Equity", "IS_REGULAR_CASH_DIVIDEND_PER_SH", "FPT=Q", "FPO=-1Q", "ACT_EST_MAPPING=PRECISE", "FS=MRC", "CURRENCY=USD", "XLFILL=b")</f>
        <v>0</v>
      </c>
      <c r="Q214" s="9">
        <f>_xll.BQL("AMZN US Equity", "IS_REGULAR_CASH_DIVIDEND_PER_SH", "FPT=Q", "FPO=0Q", "ACT_EST_MAPPING=PRECISE", "FS=MRC", "CURRENCY=USD", "XLFILL=b")</f>
        <v>0</v>
      </c>
      <c r="R214" s="9" t="str">
        <f>_xll.BQL("AMZN US Equity", "IS_REGULAR_CASH_DIVIDEND_PER_SH", "FPT=Q", "FPO=1Q", "ACT_EST_MAPPING=PRECISE", "FS=MRC", "CURRENCY=USD", "XLFILL=b")</f>
        <v/>
      </c>
      <c r="S214" s="9" t="str">
        <f>_xll.BQL("AMZN US Equity", "IS_REGULAR_CASH_DIVIDEND_PER_SH", "FPT=Q", "FPO=2Q", "ACT_EST_MAPPING=PRECISE", "FS=MRC", "CURRENCY=USD", "XLFILL=b")</f>
        <v/>
      </c>
      <c r="T214" s="9" t="str">
        <f>_xll.BQL("AMZN US Equity", "IS_REGULAR_CASH_DIVIDEND_PER_SH", "FPT=Q", "FPO=3Q", "ACT_EST_MAPPING=PRECISE", "FS=MRC", "CURRENCY=USD", "XLFILL=b")</f>
        <v/>
      </c>
      <c r="U214" s="9" t="str">
        <f>_xll.BQL("AMZN US Equity", "IS_REGULAR_CASH_DIVIDEND_PER_SH", "FPT=Q", "FPO=4Q", "ACT_EST_MAPPING=PRECISE", "FS=MRC", "CURRENCY=USD", "XLFILL=b")</f>
        <v/>
      </c>
      <c r="V214" s="9" t="str">
        <f>_xll.BQL("AMZN US Equity", "IS_REGULAR_CASH_DIVIDEND_PER_SH", "FPT=Q", "FPO=5Q", "ACT_EST_MAPPING=PRECISE", "FS=MRC", "CURRENCY=USD", "XLFILL=b")</f>
        <v/>
      </c>
      <c r="W214" s="9" t="str">
        <f>_xll.BQL("AMZN US Equity", "IS_REGULAR_CASH_DIVIDEND_PER_SH", "FPT=Q", "FPO=6Q", "ACT_EST_MAPPING=PRECISE", "FS=MRC", "CURRENCY=USD", "XLFILL=b")</f>
        <v/>
      </c>
      <c r="X214" s="9" t="str">
        <f>_xll.BQL("AMZN US Equity", "IS_REGULAR_CASH_DIVIDEND_PER_SH", "FPT=Q", "FPO=7Q", "ACT_EST_MAPPING=PRECISE", "FS=MRC", "CURRENCY=USD", "XLFILL=b")</f>
        <v/>
      </c>
    </row>
    <row r="215" spans="1:24" x14ac:dyDescent="0.25">
      <c r="A215" s="8" t="s">
        <v>14</v>
      </c>
      <c r="B215" s="4"/>
      <c r="C215" s="4"/>
      <c r="D215" s="4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</row>
    <row r="216" spans="1:24" x14ac:dyDescent="0.25">
      <c r="A216" s="8" t="s">
        <v>275</v>
      </c>
      <c r="B216" s="4"/>
      <c r="C216" s="4"/>
      <c r="D216" s="4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</row>
    <row r="217" spans="1:24" x14ac:dyDescent="0.25">
      <c r="A217" s="8" t="s">
        <v>276</v>
      </c>
      <c r="B217" s="4" t="s">
        <v>277</v>
      </c>
      <c r="C217" s="4" t="s">
        <v>278</v>
      </c>
      <c r="D217" s="4"/>
      <c r="E217" s="9" t="str">
        <f>_xll.BQL("AMZN US Equity", "IS_ADJUSTED_COGS_AS_REPORTED/1M", "FPT=Q", "FPO=-12Q", "ACT_EST_MAPPING=PRECISE", "FS=MRC", "CURRENCY=USD", "XLFILL=b")</f>
        <v/>
      </c>
      <c r="F217" s="9" t="str">
        <f>_xll.BQL("AMZN US Equity", "IS_ADJUSTED_COGS_AS_REPORTED/1M", "FPT=Q", "FPO=-11Q", "ACT_EST_MAPPING=PRECISE", "FS=MRC", "CURRENCY=USD", "XLFILL=b")</f>
        <v/>
      </c>
      <c r="G217" s="9" t="str">
        <f>_xll.BQL("AMZN US Equity", "IS_ADJUSTED_COGS_AS_REPORTED/1M", "FPT=Q", "FPO=-10Q", "ACT_EST_MAPPING=PRECISE", "FS=MRC", "CURRENCY=USD", "XLFILL=b")</f>
        <v/>
      </c>
      <c r="H217" s="9" t="str">
        <f>_xll.BQL("AMZN US Equity", "IS_ADJUSTED_COGS_AS_REPORTED/1M", "FPT=Q", "FPO=-9Q", "ACT_EST_MAPPING=PRECISE", "FS=MRC", "CURRENCY=USD", "XLFILL=b")</f>
        <v/>
      </c>
      <c r="I217" s="9" t="str">
        <f>_xll.BQL("AMZN US Equity", "IS_ADJUSTED_COGS_AS_REPORTED/1M", "FPT=Q", "FPO=-8Q", "ACT_EST_MAPPING=PRECISE", "FS=MRC", "CURRENCY=USD", "XLFILL=b")</f>
        <v/>
      </c>
      <c r="J217" s="9" t="str">
        <f>_xll.BQL("AMZN US Equity", "IS_ADJUSTED_COGS_AS_REPORTED/1M", "FPT=Q", "FPO=-7Q", "ACT_EST_MAPPING=PRECISE", "FS=MRC", "CURRENCY=USD", "XLFILL=b")</f>
        <v/>
      </c>
      <c r="K217" s="9" t="str">
        <f>_xll.BQL("AMZN US Equity", "IS_ADJUSTED_COGS_AS_REPORTED/1M", "FPT=Q", "FPO=-6Q", "ACT_EST_MAPPING=PRECISE", "FS=MRC", "CURRENCY=USD", "XLFILL=b")</f>
        <v/>
      </c>
      <c r="L217" s="9" t="str">
        <f>_xll.BQL("AMZN US Equity", "IS_ADJUSTED_COGS_AS_REPORTED/1M", "FPT=Q", "FPO=-5Q", "ACT_EST_MAPPING=PRECISE", "FS=MRC", "CURRENCY=USD", "XLFILL=b")</f>
        <v/>
      </c>
      <c r="M217" s="9" t="str">
        <f>_xll.BQL("AMZN US Equity", "IS_ADJUSTED_COGS_AS_REPORTED/1M", "FPT=Q", "FPO=-4Q", "ACT_EST_MAPPING=PRECISE", "FS=MRC", "CURRENCY=USD", "XLFILL=b")</f>
        <v/>
      </c>
      <c r="N217" s="9" t="str">
        <f>_xll.BQL("AMZN US Equity", "IS_ADJUSTED_COGS_AS_REPORTED/1M", "FPT=Q", "FPO=-3Q", "ACT_EST_MAPPING=PRECISE", "FS=MRC", "CURRENCY=USD", "XLFILL=b")</f>
        <v/>
      </c>
      <c r="O217" s="9" t="str">
        <f>_xll.BQL("AMZN US Equity", "IS_ADJUSTED_COGS_AS_REPORTED/1M", "FPT=Q", "FPO=-2Q", "ACT_EST_MAPPING=PRECISE", "FS=MRC", "CURRENCY=USD", "XLFILL=b")</f>
        <v/>
      </c>
      <c r="P217" s="9" t="str">
        <f>_xll.BQL("AMZN US Equity", "IS_ADJUSTED_COGS_AS_REPORTED/1M", "FPT=Q", "FPO=-1Q", "ACT_EST_MAPPING=PRECISE", "FS=MRC", "CURRENCY=USD", "XLFILL=b")</f>
        <v/>
      </c>
      <c r="Q217" s="9" t="str">
        <f>_xll.BQL("AMZN US Equity", "IS_ADJUSTED_COGS_AS_REPORTED/1M", "FPT=Q", "FPO=0Q", "ACT_EST_MAPPING=PRECISE", "FS=MRC", "CURRENCY=USD", "XLFILL=b")</f>
        <v/>
      </c>
      <c r="R217" s="9">
        <f>_xll.BQL("AMZN US Equity", "IS_ADJUSTED_COGS_AS_REPORTED/1M", "FPT=Q", "FPO=1Q", "ACT_EST_MAPPING=PRECISE", "FS=MRC", "CURRENCY=USD", "XLFILL=b")</f>
        <v>94003.576817022607</v>
      </c>
      <c r="S217" s="9">
        <f>_xll.BQL("AMZN US Equity", "IS_ADJUSTED_COGS_AS_REPORTED/1M", "FPT=Q", "FPO=2Q", "ACT_EST_MAPPING=PRECISE", "FS=MRC", "CURRENCY=USD", "XLFILL=b")</f>
        <v>97289.592417267384</v>
      </c>
      <c r="T217" s="9">
        <f>_xll.BQL("AMZN US Equity", "IS_ADJUSTED_COGS_AS_REPORTED/1M", "FPT=Q", "FPO=3Q", "ACT_EST_MAPPING=PRECISE", "FS=MRC", "CURRENCY=USD", "XLFILL=b")</f>
        <v>121277.13007849356</v>
      </c>
      <c r="U217" s="9">
        <f>_xll.BQL("AMZN US Equity", "IS_ADJUSTED_COGS_AS_REPORTED/1M", "FPT=Q", "FPO=4Q", "ACT_EST_MAPPING=PRECISE", "FS=MRC", "CURRENCY=USD", "XLFILL=b")</f>
        <v>95171.987422748076</v>
      </c>
      <c r="V217" s="9">
        <f>_xll.BQL("AMZN US Equity", "IS_ADJUSTED_COGS_AS_REPORTED/1M", "FPT=Q", "FPO=5Q", "ACT_EST_MAPPING=PRECISE", "FS=MRC", "CURRENCY=USD", "XLFILL=b")</f>
        <v>101588.47886239036</v>
      </c>
      <c r="W217" s="9">
        <f>_xll.BQL("AMZN US Equity", "IS_ADJUSTED_COGS_AS_REPORTED/1M", "FPT=Q", "FPO=6Q", "ACT_EST_MAPPING=PRECISE", "FS=MRC", "CURRENCY=USD", "XLFILL=b")</f>
        <v>105421.5065736002</v>
      </c>
      <c r="X217" s="9">
        <f>_xll.BQL("AMZN US Equity", "IS_ADJUSTED_COGS_AS_REPORTED/1M", "FPT=Q", "FPO=7Q", "ACT_EST_MAPPING=PRECISE", "FS=MRC", "CURRENCY=USD", "XLFILL=b")</f>
        <v>131205.83127318817</v>
      </c>
    </row>
    <row r="218" spans="1:24" x14ac:dyDescent="0.25">
      <c r="A218" s="8" t="s">
        <v>279</v>
      </c>
      <c r="B218" s="4"/>
      <c r="C218" s="4"/>
      <c r="D218" s="4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</row>
    <row r="219" spans="1:24" x14ac:dyDescent="0.25">
      <c r="A219" s="8" t="s">
        <v>280</v>
      </c>
      <c r="B219" s="4" t="s">
        <v>185</v>
      </c>
      <c r="C219" s="4" t="s">
        <v>186</v>
      </c>
      <c r="D219" s="4"/>
      <c r="E219" s="9">
        <f>_xll.BQL("AMZN US Equity", "IS_COMP_GROSS_MARGIN_PERCENTAGE", "FPT=Q", "FPO=-12Q", "ACT_EST_MAPPING=PRECISE", "FS=MRC", "CURRENCY=USD", "XLFILL=b")</f>
        <v>46.771306000000003</v>
      </c>
      <c r="F219" s="9">
        <f>_xll.BQL("AMZN US Equity", "IS_COMP_GROSS_MARGIN_PERCENTAGE", "FPT=Q", "FPO=-11Q", "ACT_EST_MAPPING=PRECISE", "FS=MRC", "CURRENCY=USD", "XLFILL=b")</f>
        <v>48.376655</v>
      </c>
      <c r="G219" s="9">
        <f>_xll.BQL("AMZN US Equity", "IS_COMP_GROSS_MARGIN_PERCENTAGE", "FPT=Q", "FPO=-10Q", "ACT_EST_MAPPING=PRECISE", "FS=MRC", "CURRENCY=USD", "XLFILL=b")</f>
        <v>47.567495999999998</v>
      </c>
      <c r="H219" s="9">
        <f>_xll.BQL("AMZN US Equity", "IS_COMP_GROSS_MARGIN_PERCENTAGE", "FPT=Q", "FPO=-9Q", "ACT_EST_MAPPING=PRECISE", "FS=MRC", "CURRENCY=USD", "XLFILL=b")</f>
        <v>45.544566000000003</v>
      </c>
      <c r="I219" s="9">
        <f>_xll.BQL("AMZN US Equity", "IS_COMP_GROSS_MARGIN_PERCENTAGE", "FPT=Q", "FPO=-8Q", "ACT_EST_MAPPING=PRECISE", "FS=MRC", "CURRENCY=USD", "XLFILL=b")</f>
        <v>49.318624</v>
      </c>
      <c r="J219" s="9">
        <f>_xll.BQL("AMZN US Equity", "IS_COMP_GROSS_MARGIN_PERCENTAGE", "FPT=Q", "FPO=-7Q", "ACT_EST_MAPPING=PRECISE", "FS=MRC", "CURRENCY=USD", "XLFILL=b")</f>
        <v>50.137521</v>
      </c>
      <c r="K219" s="9">
        <f>_xll.BQL("AMZN US Equity", "IS_COMP_GROSS_MARGIN_PERCENTAGE", "FPT=Q", "FPO=-6Q", "ACT_EST_MAPPING=PRECISE", "FS=MRC", "CURRENCY=USD", "XLFILL=b")</f>
        <v>49.031641</v>
      </c>
      <c r="L219" s="9">
        <f>_xll.BQL("AMZN US Equity", "IS_COMP_GROSS_MARGIN_PERCENTAGE", "FPT=Q", "FPO=-5Q", "ACT_EST_MAPPING=PRECISE", "FS=MRC", "CURRENCY=USD", "XLFILL=b")</f>
        <v>47.339077000000003</v>
      </c>
      <c r="M219" s="9">
        <f>_xll.BQL("AMZN US Equity", "IS_COMP_GROSS_MARGIN_PERCENTAGE", "FPT=Q", "FPO=-4Q", "ACT_EST_MAPPING=PRECISE", "FS=MRC", "CURRENCY=USD", "XLFILL=b")</f>
        <v>50.550854999999999</v>
      </c>
      <c r="N219" s="9">
        <f>_xll.BQL("AMZN US Equity", "IS_COMP_GROSS_MARGIN_PERCENTAGE", "FPT=Q", "FPO=-3Q", "ACT_EST_MAPPING=PRECISE", "FS=MRC", "CURRENCY=USD", "XLFILL=b")</f>
        <v>51.813932000000001</v>
      </c>
      <c r="O219" s="9">
        <f>_xll.BQL("AMZN US Equity", "IS_COMP_GROSS_MARGIN_PERCENTAGE", "FPT=Q", "FPO=-2Q", "ACT_EST_MAPPING=PRECISE", "FS=MRC", "CURRENCY=USD", "XLFILL=b")</f>
        <v>50.785096000000003</v>
      </c>
      <c r="P219" s="9">
        <f>_xll.BQL("AMZN US Equity", "IS_COMP_GROSS_MARGIN_PERCENTAGE", "FPT=Q", "FPO=-1Q", "ACT_EST_MAPPING=PRECISE", "FS=MRC", "CURRENCY=USD", "XLFILL=b")</f>
        <v>48.469439999999999</v>
      </c>
      <c r="Q219" s="9">
        <f>_xll.BQL("AMZN US Equity", "IS_COMP_GROSS_MARGIN_PERCENTAGE", "FPT=Q", "FPO=0Q", "ACT_EST_MAPPING=PRECISE", "FS=MRC", "CURRENCY=USD", "XLFILL=b")</f>
        <v>51.821488000000002</v>
      </c>
      <c r="R219" s="9">
        <f>_xll.BQL("AMZN US Equity", "IS_COMP_GROSS_MARGIN_PERCENTAGE", "FPT=Q", "FPO=1Q", "ACT_EST_MAPPING=PRECISE", "FS=MRC", "CURRENCY=USD", "XLFILL=b")</f>
        <v>52.125855743784165</v>
      </c>
      <c r="S219" s="9">
        <f>_xll.BQL("AMZN US Equity", "IS_COMP_GROSS_MARGIN_PERCENTAGE", "FPT=Q", "FPO=2Q", "ACT_EST_MAPPING=PRECISE", "FS=MRC", "CURRENCY=USD", "XLFILL=b")</f>
        <v>51.713071363020219</v>
      </c>
      <c r="T219" s="9">
        <f>_xll.BQL("AMZN US Equity", "IS_COMP_GROSS_MARGIN_PERCENTAGE", "FPT=Q", "FPO=3Q", "ACT_EST_MAPPING=PRECISE", "FS=MRC", "CURRENCY=USD", "XLFILL=b")</f>
        <v>49.788273572171967</v>
      </c>
      <c r="U219" s="9">
        <f>_xll.BQL("AMZN US Equity", "IS_COMP_GROSS_MARGIN_PERCENTAGE", "FPT=Q", "FPO=4Q", "ACT_EST_MAPPING=PRECISE", "FS=MRC", "CURRENCY=USD", "XLFILL=b")</f>
        <v>53.141390384397035</v>
      </c>
      <c r="V219" s="9">
        <f>_xll.BQL("AMZN US Equity", "IS_COMP_GROSS_MARGIN_PERCENTAGE", "FPT=Q", "FPO=5Q", "ACT_EST_MAPPING=PRECISE", "FS=MRC", "CURRENCY=USD", "XLFILL=b")</f>
        <v>53.842171109426502</v>
      </c>
      <c r="W219" s="9">
        <f>_xll.BQL("AMZN US Equity", "IS_COMP_GROSS_MARGIN_PERCENTAGE", "FPT=Q", "FPO=6Q", "ACT_EST_MAPPING=PRECISE", "FS=MRC", "CURRENCY=USD", "XLFILL=b")</f>
        <v>53.510871351278894</v>
      </c>
      <c r="X219" s="9">
        <f>_xll.BQL("AMZN US Equity", "IS_COMP_GROSS_MARGIN_PERCENTAGE", "FPT=Q", "FPO=7Q", "ACT_EST_MAPPING=PRECISE", "FS=MRC", "CURRENCY=USD", "XLFILL=b")</f>
        <v>51.643570673386378</v>
      </c>
    </row>
    <row r="220" spans="1:24" x14ac:dyDescent="0.25">
      <c r="A220" s="8" t="s">
        <v>131</v>
      </c>
      <c r="B220" s="4" t="s">
        <v>281</v>
      </c>
      <c r="C220" s="4" t="s">
        <v>282</v>
      </c>
      <c r="D220" s="4"/>
      <c r="E220" s="9" t="str">
        <f>_xll.BQL("AMZN US Equity", "CB_IS_ADJUSTED_OPEX/1M", "FPT=Q", "FPO=-12Q", "ACT_EST_MAPPING=PRECISE", "FS=MRC", "CURRENCY=USD", "XLFILL=b")</f>
        <v/>
      </c>
      <c r="F220" s="9" t="str">
        <f>_xll.BQL("AMZN US Equity", "CB_IS_ADJUSTED_OPEX/1M", "FPT=Q", "FPO=-11Q", "ACT_EST_MAPPING=PRECISE", "FS=MRC", "CURRENCY=USD", "XLFILL=b")</f>
        <v/>
      </c>
      <c r="G220" s="9" t="str">
        <f>_xll.BQL("AMZN US Equity", "CB_IS_ADJUSTED_OPEX/1M", "FPT=Q", "FPO=-10Q", "ACT_EST_MAPPING=PRECISE", "FS=MRC", "CURRENCY=USD", "XLFILL=b")</f>
        <v/>
      </c>
      <c r="H220" s="9" t="str">
        <f>_xll.BQL("AMZN US Equity", "CB_IS_ADJUSTED_OPEX/1M", "FPT=Q", "FPO=-9Q", "ACT_EST_MAPPING=PRECISE", "FS=MRC", "CURRENCY=USD", "XLFILL=b")</f>
        <v/>
      </c>
      <c r="I220" s="9" t="str">
        <f>_xll.BQL("AMZN US Equity", "CB_IS_ADJUSTED_OPEX/1M", "FPT=Q", "FPO=-8Q", "ACT_EST_MAPPING=PRECISE", "FS=MRC", "CURRENCY=USD", "XLFILL=b")</f>
        <v/>
      </c>
      <c r="J220" s="9" t="str">
        <f>_xll.BQL("AMZN US Equity", "CB_IS_ADJUSTED_OPEX/1M", "FPT=Q", "FPO=-7Q", "ACT_EST_MAPPING=PRECISE", "FS=MRC", "CURRENCY=USD", "XLFILL=b")</f>
        <v/>
      </c>
      <c r="K220" s="9" t="str">
        <f>_xll.BQL("AMZN US Equity", "CB_IS_ADJUSTED_OPEX/1M", "FPT=Q", "FPO=-6Q", "ACT_EST_MAPPING=PRECISE", "FS=MRC", "CURRENCY=USD", "XLFILL=b")</f>
        <v/>
      </c>
      <c r="L220" s="9" t="str">
        <f>_xll.BQL("AMZN US Equity", "CB_IS_ADJUSTED_OPEX/1M", "FPT=Q", "FPO=-5Q", "ACT_EST_MAPPING=PRECISE", "FS=MRC", "CURRENCY=USD", "XLFILL=b")</f>
        <v/>
      </c>
      <c r="M220" s="9" t="str">
        <f>_xll.BQL("AMZN US Equity", "CB_IS_ADJUSTED_OPEX/1M", "FPT=Q", "FPO=-4Q", "ACT_EST_MAPPING=PRECISE", "FS=MRC", "CURRENCY=USD", "XLFILL=b")</f>
        <v/>
      </c>
      <c r="N220" s="9" t="str">
        <f>_xll.BQL("AMZN US Equity", "CB_IS_ADJUSTED_OPEX/1M", "FPT=Q", "FPO=-3Q", "ACT_EST_MAPPING=PRECISE", "FS=MRC", "CURRENCY=USD", "XLFILL=b")</f>
        <v/>
      </c>
      <c r="O220" s="9" t="str">
        <f>_xll.BQL("AMZN US Equity", "CB_IS_ADJUSTED_OPEX/1M", "FPT=Q", "FPO=-2Q", "ACT_EST_MAPPING=PRECISE", "FS=MRC", "CURRENCY=USD", "XLFILL=b")</f>
        <v/>
      </c>
      <c r="P220" s="9" t="str">
        <f>_xll.BQL("AMZN US Equity", "CB_IS_ADJUSTED_OPEX/1M", "FPT=Q", "FPO=-1Q", "ACT_EST_MAPPING=PRECISE", "FS=MRC", "CURRENCY=USD", "XLFILL=b")</f>
        <v/>
      </c>
      <c r="Q220" s="9" t="str">
        <f>_xll.BQL("AMZN US Equity", "CB_IS_ADJUSTED_OPEX/1M", "FPT=Q", "FPO=0Q", "ACT_EST_MAPPING=PRECISE", "FS=MRC", "CURRENCY=USD", "XLFILL=b")</f>
        <v/>
      </c>
      <c r="R220" s="9">
        <f>_xll.BQL("AMZN US Equity", "CB_IS_ADJUSTED_OPEX/1M", "FPT=Q", "FPO=1Q", "ACT_EST_MAPPING=PRECISE", "FS=MRC", "CURRENCY=USD", "XLFILL=b")</f>
        <v>73463.172210641627</v>
      </c>
      <c r="S220" s="9">
        <f>_xll.BQL("AMZN US Equity", "CB_IS_ADJUSTED_OPEX/1M", "FPT=Q", "FPO=2Q", "ACT_EST_MAPPING=PRECISE", "FS=MRC", "CURRENCY=USD", "XLFILL=b")</f>
        <v>76161.415125249827</v>
      </c>
      <c r="T220" s="9">
        <f>_xll.BQL("AMZN US Equity", "CB_IS_ADJUSTED_OPEX/1M", "FPT=Q", "FPO=3Q", "ACT_EST_MAPPING=PRECISE", "FS=MRC", "CURRENCY=USD", "XLFILL=b")</f>
        <v>83533.293991067098</v>
      </c>
      <c r="U220" s="9">
        <f>_xll.BQL("AMZN US Equity", "CB_IS_ADJUSTED_OPEX/1M", "FPT=Q", "FPO=4Q", "ACT_EST_MAPPING=PRECISE", "FS=MRC", "CURRENCY=USD", "XLFILL=b")</f>
        <v>73837.406218422868</v>
      </c>
      <c r="V220" s="9">
        <f>_xll.BQL("AMZN US Equity", "CB_IS_ADJUSTED_OPEX/1M", "FPT=Q", "FPO=5Q", "ACT_EST_MAPPING=PRECISE", "FS=MRC", "CURRENCY=USD", "XLFILL=b")</f>
        <v>81761.678978288401</v>
      </c>
      <c r="W220" s="9">
        <f>_xll.BQL("AMZN US Equity", "CB_IS_ADJUSTED_OPEX/1M", "FPT=Q", "FPO=6Q", "ACT_EST_MAPPING=PRECISE", "FS=MRC", "CURRENCY=USD", "XLFILL=b")</f>
        <v>85005.046111744028</v>
      </c>
      <c r="X220" s="9">
        <f>_xll.BQL("AMZN US Equity", "CB_IS_ADJUSTED_OPEX/1M", "FPT=Q", "FPO=7Q", "ACT_EST_MAPPING=PRECISE", "FS=MRC", "CURRENCY=USD", "XLFILL=b")</f>
        <v>92124.531473805706</v>
      </c>
    </row>
    <row r="221" spans="1:24" x14ac:dyDescent="0.25">
      <c r="A221" s="8" t="s">
        <v>283</v>
      </c>
      <c r="B221" s="4" t="s">
        <v>284</v>
      </c>
      <c r="C221" s="4" t="s">
        <v>285</v>
      </c>
      <c r="D221" s="4"/>
      <c r="E221" s="9" t="str">
        <f>_xll.BQL("AMZN US Equity", "IS_ADJ_R_AND_D_AS_REPORTED/1M", "FPT=Q", "FPO=-12Q", "ACT_EST_MAPPING=PRECISE", "FS=MRC", "CURRENCY=USD", "XLFILL=b")</f>
        <v/>
      </c>
      <c r="F221" s="9" t="str">
        <f>_xll.BQL("AMZN US Equity", "IS_ADJ_R_AND_D_AS_REPORTED/1M", "FPT=Q", "FPO=-11Q", "ACT_EST_MAPPING=PRECISE", "FS=MRC", "CURRENCY=USD", "XLFILL=b")</f>
        <v/>
      </c>
      <c r="G221" s="9" t="str">
        <f>_xll.BQL("AMZN US Equity", "IS_ADJ_R_AND_D_AS_REPORTED/1M", "FPT=Q", "FPO=-10Q", "ACT_EST_MAPPING=PRECISE", "FS=MRC", "CURRENCY=USD", "XLFILL=b")</f>
        <v/>
      </c>
      <c r="H221" s="9" t="str">
        <f>_xll.BQL("AMZN US Equity", "IS_ADJ_R_AND_D_AS_REPORTED/1M", "FPT=Q", "FPO=-9Q", "ACT_EST_MAPPING=PRECISE", "FS=MRC", "CURRENCY=USD", "XLFILL=b")</f>
        <v/>
      </c>
      <c r="I221" s="9" t="str">
        <f>_xll.BQL("AMZN US Equity", "IS_ADJ_R_AND_D_AS_REPORTED/1M", "FPT=Q", "FPO=-8Q", "ACT_EST_MAPPING=PRECISE", "FS=MRC", "CURRENCY=USD", "XLFILL=b")</f>
        <v/>
      </c>
      <c r="J221" s="9" t="str">
        <f>_xll.BQL("AMZN US Equity", "IS_ADJ_R_AND_D_AS_REPORTED/1M", "FPT=Q", "FPO=-7Q", "ACT_EST_MAPPING=PRECISE", "FS=MRC", "CURRENCY=USD", "XLFILL=b")</f>
        <v/>
      </c>
      <c r="K221" s="9" t="str">
        <f>_xll.BQL("AMZN US Equity", "IS_ADJ_R_AND_D_AS_REPORTED/1M", "FPT=Q", "FPO=-6Q", "ACT_EST_MAPPING=PRECISE", "FS=MRC", "CURRENCY=USD", "XLFILL=b")</f>
        <v/>
      </c>
      <c r="L221" s="9" t="str">
        <f>_xll.BQL("AMZN US Equity", "IS_ADJ_R_AND_D_AS_REPORTED/1M", "FPT=Q", "FPO=-5Q", "ACT_EST_MAPPING=PRECISE", "FS=MRC", "CURRENCY=USD", "XLFILL=b")</f>
        <v/>
      </c>
      <c r="M221" s="9" t="str">
        <f>_xll.BQL("AMZN US Equity", "IS_ADJ_R_AND_D_AS_REPORTED/1M", "FPT=Q", "FPO=-4Q", "ACT_EST_MAPPING=PRECISE", "FS=MRC", "CURRENCY=USD", "XLFILL=b")</f>
        <v/>
      </c>
      <c r="N221" s="9" t="str">
        <f>_xll.BQL("AMZN US Equity", "IS_ADJ_R_AND_D_AS_REPORTED/1M", "FPT=Q", "FPO=-3Q", "ACT_EST_MAPPING=PRECISE", "FS=MRC", "CURRENCY=USD", "XLFILL=b")</f>
        <v/>
      </c>
      <c r="O221" s="9" t="str">
        <f>_xll.BQL("AMZN US Equity", "IS_ADJ_R_AND_D_AS_REPORTED/1M", "FPT=Q", "FPO=-2Q", "ACT_EST_MAPPING=PRECISE", "FS=MRC", "CURRENCY=USD", "XLFILL=b")</f>
        <v/>
      </c>
      <c r="P221" s="9" t="str">
        <f>_xll.BQL("AMZN US Equity", "IS_ADJ_R_AND_D_AS_REPORTED/1M", "FPT=Q", "FPO=-1Q", "ACT_EST_MAPPING=PRECISE", "FS=MRC", "CURRENCY=USD", "XLFILL=b")</f>
        <v/>
      </c>
      <c r="Q221" s="9">
        <f>_xll.BQL("AMZN US Equity", "IS_ADJ_R_AND_D_AS_REPORTED/1M", "FPT=Q", "FPO=0Q", "ACT_EST_MAPPING=PRECISE", "FS=MRC", "CURRENCY=USD", "XLFILL=b")</f>
        <v>27281</v>
      </c>
      <c r="R221" s="9">
        <f>_xll.BQL("AMZN US Equity", "IS_ADJ_R_AND_D_AS_REPORTED/1M", "FPT=Q", "FPO=1Q", "ACT_EST_MAPPING=PRECISE", "FS=MRC", "CURRENCY=USD", "XLFILL=b")</f>
        <v>29970.217445511353</v>
      </c>
      <c r="S221" s="9">
        <f>_xll.BQL("AMZN US Equity", "IS_ADJ_R_AND_D_AS_REPORTED/1M", "FPT=Q", "FPO=2Q", "ACT_EST_MAPPING=PRECISE", "FS=MRC", "CURRENCY=USD", "XLFILL=b")</f>
        <v>30908.870018299229</v>
      </c>
      <c r="T221" s="9">
        <f>_xll.BQL("AMZN US Equity", "IS_ADJ_R_AND_D_AS_REPORTED/1M", "FPT=Q", "FPO=3Q", "ACT_EST_MAPPING=PRECISE", "FS=MRC", "CURRENCY=USD", "XLFILL=b")</f>
        <v>33386.836592509069</v>
      </c>
      <c r="U221" s="9">
        <f>_xll.BQL("AMZN US Equity", "IS_ADJ_R_AND_D_AS_REPORTED/1M", "FPT=Q", "FPO=4Q", "ACT_EST_MAPPING=PRECISE", "FS=MRC", "CURRENCY=USD", "XLFILL=b")</f>
        <v>32702.738850110974</v>
      </c>
      <c r="V221" s="9">
        <f>_xll.BQL("AMZN US Equity", "IS_ADJ_R_AND_D_AS_REPORTED/1M", "FPT=Q", "FPO=5Q", "ACT_EST_MAPPING=PRECISE", "FS=MRC", "CURRENCY=USD", "XLFILL=b")</f>
        <v>35982.618641343011</v>
      </c>
      <c r="W221" s="9">
        <f>_xll.BQL("AMZN US Equity", "IS_ADJ_R_AND_D_AS_REPORTED/1M", "FPT=Q", "FPO=6Q", "ACT_EST_MAPPING=PRECISE", "FS=MRC", "CURRENCY=USD", "XLFILL=b")</f>
        <v>37956.01255013582</v>
      </c>
      <c r="X221" s="9">
        <f>_xll.BQL("AMZN US Equity", "IS_ADJ_R_AND_D_AS_REPORTED/1M", "FPT=Q", "FPO=7Q", "ACT_EST_MAPPING=PRECISE", "FS=MRC", "CURRENCY=USD", "XLFILL=b")</f>
        <v>41583.410209366702</v>
      </c>
    </row>
    <row r="222" spans="1:24" x14ac:dyDescent="0.25">
      <c r="A222" s="8" t="s">
        <v>206</v>
      </c>
      <c r="B222" s="4" t="s">
        <v>286</v>
      </c>
      <c r="C222" s="4" t="s">
        <v>287</v>
      </c>
      <c r="D222" s="4"/>
      <c r="E222" s="9" t="str">
        <f>_xll.BQL("AMZN US Equity", "ADJ_R_AND_D_TO_SALES", "FPT=Q", "FPO=-12Q", "ACT_EST_MAPPING=PRECISE", "FS=MRC", "CURRENCY=USD", "XLFILL=b")</f>
        <v/>
      </c>
      <c r="F222" s="9" t="str">
        <f>_xll.BQL("AMZN US Equity", "ADJ_R_AND_D_TO_SALES", "FPT=Q", "FPO=-11Q", "ACT_EST_MAPPING=PRECISE", "FS=MRC", "CURRENCY=USD", "XLFILL=b")</f>
        <v/>
      </c>
      <c r="G222" s="9" t="str">
        <f>_xll.BQL("AMZN US Equity", "ADJ_R_AND_D_TO_SALES", "FPT=Q", "FPO=-10Q", "ACT_EST_MAPPING=PRECISE", "FS=MRC", "CURRENCY=USD", "XLFILL=b")</f>
        <v/>
      </c>
      <c r="H222" s="9" t="str">
        <f>_xll.BQL("AMZN US Equity", "ADJ_R_AND_D_TO_SALES", "FPT=Q", "FPO=-9Q", "ACT_EST_MAPPING=PRECISE", "FS=MRC", "CURRENCY=USD", "XLFILL=b")</f>
        <v/>
      </c>
      <c r="I222" s="9" t="str">
        <f>_xll.BQL("AMZN US Equity", "ADJ_R_AND_D_TO_SALES", "FPT=Q", "FPO=-8Q", "ACT_EST_MAPPING=PRECISE", "FS=MRC", "CURRENCY=USD", "XLFILL=b")</f>
        <v/>
      </c>
      <c r="J222" s="9" t="str">
        <f>_xll.BQL("AMZN US Equity", "ADJ_R_AND_D_TO_SALES", "FPT=Q", "FPO=-7Q", "ACT_EST_MAPPING=PRECISE", "FS=MRC", "CURRENCY=USD", "XLFILL=b")</f>
        <v/>
      </c>
      <c r="K222" s="9" t="str">
        <f>_xll.BQL("AMZN US Equity", "ADJ_R_AND_D_TO_SALES", "FPT=Q", "FPO=-6Q", "ACT_EST_MAPPING=PRECISE", "FS=MRC", "CURRENCY=USD", "XLFILL=b")</f>
        <v/>
      </c>
      <c r="L222" s="9" t="str">
        <f>_xll.BQL("AMZN US Equity", "ADJ_R_AND_D_TO_SALES", "FPT=Q", "FPO=-5Q", "ACT_EST_MAPPING=PRECISE", "FS=MRC", "CURRENCY=USD", "XLFILL=b")</f>
        <v/>
      </c>
      <c r="M222" s="9" t="str">
        <f>_xll.BQL("AMZN US Equity", "ADJ_R_AND_D_TO_SALES", "FPT=Q", "FPO=-4Q", "ACT_EST_MAPPING=PRECISE", "FS=MRC", "CURRENCY=USD", "XLFILL=b")</f>
        <v/>
      </c>
      <c r="N222" s="9" t="str">
        <f>_xll.BQL("AMZN US Equity", "ADJ_R_AND_D_TO_SALES", "FPT=Q", "FPO=-3Q", "ACT_EST_MAPPING=PRECISE", "FS=MRC", "CURRENCY=USD", "XLFILL=b")</f>
        <v/>
      </c>
      <c r="O222" s="9" t="str">
        <f>_xll.BQL("AMZN US Equity", "ADJ_R_AND_D_TO_SALES", "FPT=Q", "FPO=-2Q", "ACT_EST_MAPPING=PRECISE", "FS=MRC", "CURRENCY=USD", "XLFILL=b")</f>
        <v/>
      </c>
      <c r="P222" s="9" t="str">
        <f>_xll.BQL("AMZN US Equity", "ADJ_R_AND_D_TO_SALES", "FPT=Q", "FPO=-1Q", "ACT_EST_MAPPING=PRECISE", "FS=MRC", "CURRENCY=USD", "XLFILL=b")</f>
        <v/>
      </c>
      <c r="Q222" s="9">
        <f>_xll.BQL("AMZN US Equity", "ADJ_R_AND_D_TO_SALES", "FPT=Q", "FPO=0Q", "ACT_EST_MAPPING=PRECISE", "FS=MRC", "CURRENCY=USD", "XLFILL=b")</f>
        <v>15.029280681361179</v>
      </c>
      <c r="R222" s="9">
        <f>_xll.BQL("AMZN US Equity", "ADJ_R_AND_D_TO_SALES", "FPT=Q", "FPO=1Q", "ACT_EST_MAPPING=PRECISE", "FS=MRC", "CURRENCY=USD", "XLFILL=b")</f>
        <v>12.953254030043706</v>
      </c>
      <c r="S222" s="9">
        <f>_xll.BQL("AMZN US Equity", "ADJ_R_AND_D_TO_SALES", "FPT=Q", "FPO=2Q", "ACT_EST_MAPPING=PRECISE", "FS=MRC", "CURRENCY=USD", "XLFILL=b")</f>
        <v>12.753768224994133</v>
      </c>
      <c r="T222" s="9">
        <f>_xll.BQL("AMZN US Equity", "ADJ_R_AND_D_TO_SALES", "FPT=Q", "FPO=3Q", "ACT_EST_MAPPING=PRECISE", "FS=MRC", "CURRENCY=USD", "XLFILL=b")</f>
        <v>11.297316587104113</v>
      </c>
      <c r="U222" s="9">
        <f>_xll.BQL("AMZN US Equity", "ADJ_R_AND_D_TO_SALES", "FPT=Q", "FPO=4Q", "ACT_EST_MAPPING=PRECISE", "FS=MRC", "CURRENCY=USD", "XLFILL=b")</f>
        <v>15.054280681361179</v>
      </c>
      <c r="V222" s="9">
        <f>_xll.BQL("AMZN US Equity", "ADJ_R_AND_D_TO_SALES", "FPT=Q", "FPO=5Q", "ACT_EST_MAPPING=PRECISE", "FS=MRC", "CURRENCY=USD", "XLFILL=b")</f>
        <v>14.269510798917127</v>
      </c>
      <c r="W222" s="9">
        <f>_xll.BQL("AMZN US Equity", "ADJ_R_AND_D_TO_SALES", "FPT=Q", "FPO=6Q", "ACT_EST_MAPPING=PRECISE", "FS=MRC", "CURRENCY=USD", "XLFILL=b")</f>
        <v>14.427979563631922</v>
      </c>
      <c r="X222" s="9">
        <f>_xll.BQL("AMZN US Equity", "ADJ_R_AND_D_TO_SALES", "FPT=Q", "FPO=7Q", "ACT_EST_MAPPING=PRECISE", "FS=MRC", "CURRENCY=USD", "XLFILL=b")</f>
        <v>12.575008201100353</v>
      </c>
    </row>
    <row r="223" spans="1:24" x14ac:dyDescent="0.25">
      <c r="A223" s="8" t="s">
        <v>288</v>
      </c>
      <c r="B223" s="4" t="s">
        <v>289</v>
      </c>
      <c r="C223" s="4" t="s">
        <v>290</v>
      </c>
      <c r="D223" s="4"/>
      <c r="E223" s="9">
        <f>_xll.BQL("AMZN US Equity", "IS_ADJ_SELLING_AND_MRKTG_EXPN_AR/1M", "FPT=Q", "FPO=-12Q", "ACT_EST_MAPPING=PRECISE", "FS=MRC", "CURRENCY=USD", "XLFILL=b")</f>
        <v>9179</v>
      </c>
      <c r="F223" s="9">
        <f>_xll.BQL("AMZN US Equity", "IS_ADJ_SELLING_AND_MRKTG_EXPN_AR/1M", "FPT=Q", "FPO=-11Q", "ACT_EST_MAPPING=PRECISE", "FS=MRC", "CURRENCY=USD", "XLFILL=b")</f>
        <v>9442</v>
      </c>
      <c r="G223" s="9">
        <f>_xll.BQL("AMZN US Equity", "IS_ADJ_SELLING_AND_MRKTG_EXPN_AR/1M", "FPT=Q", "FPO=-10Q", "ACT_EST_MAPPING=PRECISE", "FS=MRC", "CURRENCY=USD", "XLFILL=b")</f>
        <v>9440</v>
      </c>
      <c r="H223" s="9">
        <f>_xll.BQL("AMZN US Equity", "IS_ADJ_SELLING_AND_MRKTG_EXPN_AR/1M", "FPT=Q", "FPO=-9Q", "ACT_EST_MAPPING=PRECISE", "FS=MRC", "CURRENCY=USD", "XLFILL=b")</f>
        <v>11686</v>
      </c>
      <c r="I223" s="9">
        <f>_xll.BQL("AMZN US Equity", "IS_ADJ_SELLING_AND_MRKTG_EXPN_AR/1M", "FPT=Q", "FPO=-8Q", "ACT_EST_MAPPING=PRECISE", "FS=MRC", "CURRENCY=USD", "XLFILL=b")</f>
        <v>8730</v>
      </c>
      <c r="J223" s="9">
        <f>_xll.BQL("AMZN US Equity", "IS_ADJ_SELLING_AND_MRKTG_EXPN_AR/1M", "FPT=Q", "FPO=-7Q", "ACT_EST_MAPPING=PRECISE", "FS=MRC", "CURRENCY=USD", "XLFILL=b")</f>
        <v>9288</v>
      </c>
      <c r="K223" s="9">
        <f>_xll.BQL("AMZN US Equity", "IS_ADJ_SELLING_AND_MRKTG_EXPN_AR/1M", "FPT=Q", "FPO=-6Q", "ACT_EST_MAPPING=PRECISE", "FS=MRC", "CURRENCY=USD", "XLFILL=b")</f>
        <v>9597</v>
      </c>
      <c r="L223" s="9">
        <f>_xll.BQL("AMZN US Equity", "IS_ADJ_SELLING_AND_MRKTG_EXPN_AR/1M", "FPT=Q", "FPO=-5Q", "ACT_EST_MAPPING=PRECISE", "FS=MRC", "CURRENCY=USD", "XLFILL=b")</f>
        <v>12208</v>
      </c>
      <c r="M223" s="9">
        <f>_xll.BQL("AMZN US Equity", "IS_ADJ_SELLING_AND_MRKTG_EXPN_AR/1M", "FPT=Q", "FPO=-4Q", "ACT_EST_MAPPING=PRECISE", "FS=MRC", "CURRENCY=USD", "XLFILL=b")</f>
        <v>9110</v>
      </c>
      <c r="N223" s="9">
        <f>_xll.BQL("AMZN US Equity", "IS_ADJ_SELLING_AND_MRKTG_EXPN_AR/1M", "FPT=Q", "FPO=-3Q", "ACT_EST_MAPPING=PRECISE", "FS=MRC", "CURRENCY=USD", "XLFILL=b")</f>
        <v>10209</v>
      </c>
      <c r="O223" s="9">
        <f>_xll.BQL("AMZN US Equity", "IS_ADJ_SELLING_AND_MRKTG_EXPN_AR/1M", "FPT=Q", "FPO=-2Q", "ACT_EST_MAPPING=PRECISE", "FS=MRC", "CURRENCY=USD", "XLFILL=b")</f>
        <v>10854</v>
      </c>
      <c r="P223" s="9">
        <f>_xll.BQL("AMZN US Equity", "IS_ADJ_SELLING_AND_MRKTG_EXPN_AR/1M", "FPT=Q", "FPO=-1Q", "ACT_EST_MAPPING=PRECISE", "FS=MRC", "CURRENCY=USD", "XLFILL=b")</f>
        <v>8127</v>
      </c>
      <c r="Q223" s="9">
        <f>_xll.BQL("AMZN US Equity", "IS_ADJ_SELLING_AND_MRKTG_EXPN_AR/1M", "FPT=Q", "FPO=0Q", "ACT_EST_MAPPING=PRECISE", "FS=MRC", "CURRENCY=USD", "XLFILL=b")</f>
        <v>9651</v>
      </c>
      <c r="R223" s="9">
        <f>_xll.BQL("AMZN US Equity", "IS_ADJ_SELLING_AND_MRKTG_EXPN_AR/1M", "FPT=Q", "FPO=1Q", "ACT_EST_MAPPING=PRECISE", "FS=MRC", "CURRENCY=USD", "XLFILL=b")</f>
        <v>11460.811442292297</v>
      </c>
      <c r="S223" s="9">
        <f>_xll.BQL("AMZN US Equity", "IS_ADJ_SELLING_AND_MRKTG_EXPN_AR/1M", "FPT=Q", "FPO=2Q", "ACT_EST_MAPPING=PRECISE", "FS=MRC", "CURRENCY=USD", "XLFILL=b")</f>
        <v>11751.164337038572</v>
      </c>
      <c r="T223" s="9">
        <f>_xll.BQL("AMZN US Equity", "IS_ADJ_SELLING_AND_MRKTG_EXPN_AR/1M", "FPT=Q", "FPO=3Q", "ACT_EST_MAPPING=PRECISE", "FS=MRC", "CURRENCY=USD", "XLFILL=b")</f>
        <v>14811.849437730119</v>
      </c>
      <c r="U223" s="9">
        <f>_xll.BQL("AMZN US Equity", "IS_ADJ_SELLING_AND_MRKTG_EXPN_AR/1M", "FPT=Q", "FPO=4Q", "ACT_EST_MAPPING=PRECISE", "FS=MRC", "CURRENCY=USD", "XLFILL=b")</f>
        <v>10900.922960340231</v>
      </c>
      <c r="V223" s="9">
        <f>_xll.BQL("AMZN US Equity", "IS_ADJ_SELLING_AND_MRKTG_EXPN_AR/1M", "FPT=Q", "FPO=5Q", "ACT_EST_MAPPING=PRECISE", "FS=MRC", "CURRENCY=USD", "XLFILL=b")</f>
        <v>12723.499850778779</v>
      </c>
      <c r="W223" s="9">
        <f>_xll.BQL("AMZN US Equity", "IS_ADJ_SELLING_AND_MRKTG_EXPN_AR/1M", "FPT=Q", "FPO=6Q", "ACT_EST_MAPPING=PRECISE", "FS=MRC", "CURRENCY=USD", "XLFILL=b")</f>
        <v>13221.586206933796</v>
      </c>
      <c r="X223" s="9">
        <f>_xll.BQL("AMZN US Equity", "IS_ADJ_SELLING_AND_MRKTG_EXPN_AR/1M", "FPT=Q", "FPO=7Q", "ACT_EST_MAPPING=PRECISE", "FS=MRC", "CURRENCY=USD", "XLFILL=b")</f>
        <v>16561.944285914007</v>
      </c>
    </row>
    <row r="224" spans="1:24" x14ac:dyDescent="0.25">
      <c r="A224" s="8" t="s">
        <v>209</v>
      </c>
      <c r="B224" s="4" t="s">
        <v>291</v>
      </c>
      <c r="C224" s="4" t="s">
        <v>292</v>
      </c>
      <c r="D224" s="4"/>
      <c r="E224" s="9" t="str">
        <f>_xll.BQL("AMZN US Equity", "IS_ADJ_SG_AND_A_AS_REPORTED/1M", "FPT=Q", "FPO=-12Q", "ACT_EST_MAPPING=PRECISE", "FS=MRC", "CURRENCY=USD", "XLFILL=b")</f>
        <v/>
      </c>
      <c r="F224" s="9" t="str">
        <f>_xll.BQL("AMZN US Equity", "IS_ADJ_SG_AND_A_AS_REPORTED/1M", "FPT=Q", "FPO=-11Q", "ACT_EST_MAPPING=PRECISE", "FS=MRC", "CURRENCY=USD", "XLFILL=b")</f>
        <v/>
      </c>
      <c r="G224" s="9" t="str">
        <f>_xll.BQL("AMZN US Equity", "IS_ADJ_SG_AND_A_AS_REPORTED/1M", "FPT=Q", "FPO=-10Q", "ACT_EST_MAPPING=PRECISE", "FS=MRC", "CURRENCY=USD", "XLFILL=b")</f>
        <v/>
      </c>
      <c r="H224" s="9" t="str">
        <f>_xll.BQL("AMZN US Equity", "IS_ADJ_SG_AND_A_AS_REPORTED/1M", "FPT=Q", "FPO=-9Q", "ACT_EST_MAPPING=PRECISE", "FS=MRC", "CURRENCY=USD", "XLFILL=b")</f>
        <v/>
      </c>
      <c r="I224" s="9" t="str">
        <f>_xll.BQL("AMZN US Equity", "IS_ADJ_SG_AND_A_AS_REPORTED/1M", "FPT=Q", "FPO=-8Q", "ACT_EST_MAPPING=PRECISE", "FS=MRC", "CURRENCY=USD", "XLFILL=b")</f>
        <v/>
      </c>
      <c r="J224" s="9" t="str">
        <f>_xll.BQL("AMZN US Equity", "IS_ADJ_SG_AND_A_AS_REPORTED/1M", "FPT=Q", "FPO=-7Q", "ACT_EST_MAPPING=PRECISE", "FS=MRC", "CURRENCY=USD", "XLFILL=b")</f>
        <v/>
      </c>
      <c r="K224" s="9" t="str">
        <f>_xll.BQL("AMZN US Equity", "IS_ADJ_SG_AND_A_AS_REPORTED/1M", "FPT=Q", "FPO=-6Q", "ACT_EST_MAPPING=PRECISE", "FS=MRC", "CURRENCY=USD", "XLFILL=b")</f>
        <v/>
      </c>
      <c r="L224" s="9" t="str">
        <f>_xll.BQL("AMZN US Equity", "IS_ADJ_SG_AND_A_AS_REPORTED/1M", "FPT=Q", "FPO=-5Q", "ACT_EST_MAPPING=PRECISE", "FS=MRC", "CURRENCY=USD", "XLFILL=b")</f>
        <v/>
      </c>
      <c r="M224" s="9" t="str">
        <f>_xll.BQL("AMZN US Equity", "IS_ADJ_SG_AND_A_AS_REPORTED/1M", "FPT=Q", "FPO=-4Q", "ACT_EST_MAPPING=PRECISE", "FS=MRC", "CURRENCY=USD", "XLFILL=b")</f>
        <v/>
      </c>
      <c r="N224" s="9" t="str">
        <f>_xll.BQL("AMZN US Equity", "IS_ADJ_SG_AND_A_AS_REPORTED/1M", "FPT=Q", "FPO=-3Q", "ACT_EST_MAPPING=PRECISE", "FS=MRC", "CURRENCY=USD", "XLFILL=b")</f>
        <v/>
      </c>
      <c r="O224" s="9" t="str">
        <f>_xll.BQL("AMZN US Equity", "IS_ADJ_SG_AND_A_AS_REPORTED/1M", "FPT=Q", "FPO=-2Q", "ACT_EST_MAPPING=PRECISE", "FS=MRC", "CURRENCY=USD", "XLFILL=b")</f>
        <v/>
      </c>
      <c r="P224" s="9" t="str">
        <f>_xll.BQL("AMZN US Equity", "IS_ADJ_SG_AND_A_AS_REPORTED/1M", "FPT=Q", "FPO=-1Q", "ACT_EST_MAPPING=PRECISE", "FS=MRC", "CURRENCY=USD", "XLFILL=b")</f>
        <v/>
      </c>
      <c r="Q224" s="9">
        <f>_xll.BQL("AMZN US Equity", "IS_ADJ_SG_AND_A_AS_REPORTED/1M", "FPT=Q", "FPO=0Q", "ACT_EST_MAPPING=PRECISE", "FS=MRC", "CURRENCY=USD", "XLFILL=b")</f>
        <v>11927</v>
      </c>
      <c r="R224" s="9">
        <f>_xll.BQL("AMZN US Equity", "IS_ADJ_SG_AND_A_AS_REPORTED/1M", "FPT=Q", "FPO=1Q", "ACT_EST_MAPPING=PRECISE", "FS=MRC", "CURRENCY=USD", "XLFILL=b")</f>
        <v>2552.1971101594618</v>
      </c>
      <c r="S224" s="9">
        <f>_xll.BQL("AMZN US Equity", "IS_ADJ_SG_AND_A_AS_REPORTED/1M", "FPT=Q", "FPO=2Q", "ACT_EST_MAPPING=PRECISE", "FS=MRC", "CURRENCY=USD", "XLFILL=b")</f>
        <v>2566.0275310315965</v>
      </c>
      <c r="T224" s="9">
        <f>_xll.BQL("AMZN US Equity", "IS_ADJ_SG_AND_A_AS_REPORTED/1M", "FPT=Q", "FPO=3Q", "ACT_EST_MAPPING=PRECISE", "FS=MRC", "CURRENCY=USD", "XLFILL=b")</f>
        <v>2737.5286419741765</v>
      </c>
      <c r="U224" s="9">
        <f>_xll.BQL("AMZN US Equity", "IS_ADJ_SG_AND_A_AS_REPORTED/1M", "FPT=Q", "FPO=4Q", "ACT_EST_MAPPING=PRECISE", "FS=MRC", "CURRENCY=USD", "XLFILL=b")</f>
        <v>2536.1557085246222</v>
      </c>
      <c r="V224" s="9">
        <f>_xll.BQL("AMZN US Equity", "IS_ADJ_SG_AND_A_AS_REPORTED/1M", "FPT=Q", "FPO=5Q", "ACT_EST_MAPPING=PRECISE", "FS=MRC", "CURRENCY=USD", "XLFILL=b")</f>
        <v>2686.6390804970674</v>
      </c>
      <c r="W224" s="9">
        <f>_xll.BQL("AMZN US Equity", "IS_ADJ_SG_AND_A_AS_REPORTED/1M", "FPT=Q", "FPO=6Q", "ACT_EST_MAPPING=PRECISE", "FS=MRC", "CURRENCY=USD", "XLFILL=b")</f>
        <v>2665.2794612242351</v>
      </c>
      <c r="X224" s="9">
        <f>_xll.BQL("AMZN US Equity", "IS_ADJ_SG_AND_A_AS_REPORTED/1M", "FPT=Q", "FPO=7Q", "ACT_EST_MAPPING=PRECISE", "FS=MRC", "CURRENCY=USD", "XLFILL=b")</f>
        <v>2940.8517974186543</v>
      </c>
    </row>
    <row r="225" spans="1:24" x14ac:dyDescent="0.25">
      <c r="A225" s="8" t="s">
        <v>293</v>
      </c>
      <c r="B225" s="4" t="s">
        <v>294</v>
      </c>
      <c r="C225" s="4" t="s">
        <v>295</v>
      </c>
      <c r="D225" s="4"/>
      <c r="E225" s="9">
        <f>_xll.BQL("AMZN US Equity", "CB_IS_ADJ_OPER_AND_MAIN_EXPN/1M", "FPT=Q", "FPO=-12Q", "ACT_EST_MAPPING=PRECISE", "FS=MRC", "CURRENCY=USD", "XLFILL=b")</f>
        <v>20302</v>
      </c>
      <c r="F225" s="9">
        <f>_xll.BQL("AMZN US Equity", "CB_IS_ADJ_OPER_AND_MAIN_EXPN/1M", "FPT=Q", "FPO=-11Q", "ACT_EST_MAPPING=PRECISE", "FS=MRC", "CURRENCY=USD", "XLFILL=b")</f>
        <v>20373</v>
      </c>
      <c r="G225" s="9">
        <f>_xll.BQL("AMZN US Equity", "CB_IS_ADJ_OPER_AND_MAIN_EXPN/1M", "FPT=Q", "FPO=-10Q", "ACT_EST_MAPPING=PRECISE", "FS=MRC", "CURRENCY=USD", "XLFILL=b")</f>
        <v>21582</v>
      </c>
      <c r="H225" s="9">
        <f>_xll.BQL("AMZN US Equity", "CB_IS_ADJ_OPER_AND_MAIN_EXPN/1M", "FPT=Q", "FPO=-9Q", "ACT_EST_MAPPING=PRECISE", "FS=MRC", "CURRENCY=USD", "XLFILL=b")</f>
        <v>25272</v>
      </c>
      <c r="I225" s="9">
        <f>_xll.BQL("AMZN US Equity", "CB_IS_ADJ_OPER_AND_MAIN_EXPN/1M", "FPT=Q", "FPO=-8Q", "ACT_EST_MAPPING=PRECISE", "FS=MRC", "CURRENCY=USD", "XLFILL=b")</f>
        <v>21681</v>
      </c>
      <c r="J225" s="9">
        <f>_xll.BQL("AMZN US Equity", "CB_IS_ADJ_OPER_AND_MAIN_EXPN/1M", "FPT=Q", "FPO=-7Q", "ACT_EST_MAPPING=PRECISE", "FS=MRC", "CURRENCY=USD", "XLFILL=b")</f>
        <v>22622</v>
      </c>
      <c r="K225" s="9">
        <f>_xll.BQL("AMZN US Equity", "CB_IS_ADJ_OPER_AND_MAIN_EXPN/1M", "FPT=Q", "FPO=-6Q", "ACT_EST_MAPPING=PRECISE", "FS=MRC", "CURRENCY=USD", "XLFILL=b")</f>
        <v>23964</v>
      </c>
      <c r="L225" s="9">
        <f>_xll.BQL("AMZN US Equity", "CB_IS_ADJ_OPER_AND_MAIN_EXPN/1M", "FPT=Q", "FPO=-5Q", "ACT_EST_MAPPING=PRECISE", "FS=MRC", "CURRENCY=USD", "XLFILL=b")</f>
        <v>27265</v>
      </c>
      <c r="M225" s="9">
        <f>_xll.BQL("AMZN US Equity", "CB_IS_ADJ_OPER_AND_MAIN_EXPN/1M", "FPT=Q", "FPO=-4Q", "ACT_EST_MAPPING=PRECISE", "FS=MRC", "CURRENCY=USD", "XLFILL=b")</f>
        <v>24096</v>
      </c>
      <c r="N225" s="9">
        <f>_xll.BQL("AMZN US Equity", "CB_IS_ADJ_OPER_AND_MAIN_EXPN/1M", "FPT=Q", "FPO=-3Q", "ACT_EST_MAPPING=PRECISE", "FS=MRC", "CURRENCY=USD", "XLFILL=b")</f>
        <v>25096</v>
      </c>
      <c r="O225" s="9">
        <f>_xll.BQL("AMZN US Equity", "CB_IS_ADJ_OPER_AND_MAIN_EXPN/1M", "FPT=Q", "FPO=-2Q", "ACT_EST_MAPPING=PRECISE", "FS=MRC", "CURRENCY=USD", "XLFILL=b")</f>
        <v>26994</v>
      </c>
      <c r="P225" s="9">
        <f>_xll.BQL("AMZN US Equity", "CB_IS_ADJ_OPER_AND_MAIN_EXPN/1M", "FPT=Q", "FPO=-1Q", "ACT_EST_MAPPING=PRECISE", "FS=MRC", "CURRENCY=USD", "XLFILL=b")</f>
        <v>26061</v>
      </c>
      <c r="Q225" s="9">
        <f>_xll.BQL("AMZN US Equity", "CB_IS_ADJ_OPER_AND_MAIN_EXPN/1M", "FPT=Q", "FPO=0Q", "ACT_EST_MAPPING=PRECISE", "FS=MRC", "CURRENCY=USD", "XLFILL=b")</f>
        <v>26688</v>
      </c>
      <c r="R225" s="9">
        <f>_xll.BQL("AMZN US Equity", "CB_IS_ADJ_OPER_AND_MAIN_EXPN/1M", "FPT=Q", "FPO=1Q", "ACT_EST_MAPPING=PRECISE", "FS=MRC", "CURRENCY=USD", "XLFILL=b")</f>
        <v>28766.223891727241</v>
      </c>
      <c r="S225" s="9">
        <f>_xll.BQL("AMZN US Equity", "CB_IS_ADJ_OPER_AND_MAIN_EXPN/1M", "FPT=Q", "FPO=2Q", "ACT_EST_MAPPING=PRECISE", "FS=MRC", "CURRENCY=USD", "XLFILL=b")</f>
        <v>29665.152494857979</v>
      </c>
      <c r="T225" s="9">
        <f>_xll.BQL("AMZN US Equity", "CB_IS_ADJ_OPER_AND_MAIN_EXPN/1M", "FPT=Q", "FPO=3Q", "ACT_EST_MAPPING=PRECISE", "FS=MRC", "CURRENCY=USD", "XLFILL=b")</f>
        <v>33707.227290882911</v>
      </c>
      <c r="U225" s="9">
        <f>_xll.BQL("AMZN US Equity", "CB_IS_ADJ_OPER_AND_MAIN_EXPN/1M", "FPT=Q", "FPO=4Q", "ACT_EST_MAPPING=PRECISE", "FS=MRC", "CURRENCY=USD", "XLFILL=b")</f>
        <v>29529.777289180067</v>
      </c>
      <c r="V225" s="9">
        <f>_xll.BQL("AMZN US Equity", "CB_IS_ADJ_OPER_AND_MAIN_EXPN/1M", "FPT=Q", "FPO=5Q", "ACT_EST_MAPPING=PRECISE", "FS=MRC", "CURRENCY=USD", "XLFILL=b")</f>
        <v>31759.769115307052</v>
      </c>
      <c r="W225" s="9">
        <f>_xll.BQL("AMZN US Equity", "CB_IS_ADJ_OPER_AND_MAIN_EXPN/1M", "FPT=Q", "FPO=6Q", "ACT_EST_MAPPING=PRECISE", "FS=MRC", "CURRENCY=USD", "XLFILL=b")</f>
        <v>32645.236134304152</v>
      </c>
      <c r="X225" s="9">
        <f>_xll.BQL("AMZN US Equity", "CB_IS_ADJ_OPER_AND_MAIN_EXPN/1M", "FPT=Q", "FPO=7Q", "ACT_EST_MAPPING=PRECISE", "FS=MRC", "CURRENCY=USD", "XLFILL=b")</f>
        <v>36955.477586048932</v>
      </c>
    </row>
    <row r="226" spans="1:24" x14ac:dyDescent="0.25">
      <c r="A226" s="8" t="s">
        <v>134</v>
      </c>
      <c r="B226" s="4" t="s">
        <v>296</v>
      </c>
      <c r="C226" s="4" t="s">
        <v>297</v>
      </c>
      <c r="D226" s="4"/>
      <c r="E226" s="9">
        <f>_xll.BQL("AMZN US Equity", "IS_ADJ_EBIT_OP_INC_AS_REPORTED/1M", "FPT=Q", "FPO=-12Q", "ACT_EST_MAPPING=PRECISE", "FS=MRC", "CURRENCY=USD", "XLFILL=b")</f>
        <v>4774</v>
      </c>
      <c r="F226" s="9">
        <f>_xll.BQL("AMZN US Equity", "IS_ADJ_EBIT_OP_INC_AS_REPORTED/1M", "FPT=Q", "FPO=-11Q", "ACT_EST_MAPPING=PRECISE", "FS=MRC", "CURRENCY=USD", "XLFILL=b")</f>
        <v>7681</v>
      </c>
      <c r="G226" s="9">
        <f>_xll.BQL("AMZN US Equity", "IS_ADJ_EBIT_OP_INC_AS_REPORTED/1M", "FPT=Q", "FPO=-10Q", "ACT_EST_MAPPING=PRECISE", "FS=MRC", "CURRENCY=USD", "XLFILL=b")</f>
        <v>11188</v>
      </c>
      <c r="H226" s="9">
        <f>_xll.BQL("AMZN US Equity", "IS_ADJ_EBIT_OP_INC_AS_REPORTED/1M", "FPT=Q", "FPO=-9Q", "ACT_EST_MAPPING=PRECISE", "FS=MRC", "CURRENCY=USD", "XLFILL=b")</f>
        <v>13209</v>
      </c>
      <c r="I226" s="9">
        <f>_xll.BQL("AMZN US Equity", "IS_ADJ_EBIT_OP_INC_AS_REPORTED/1M", "FPT=Q", "FPO=-8Q", "ACT_EST_MAPPING=PRECISE", "FS=MRC", "CURRENCY=USD", "XLFILL=b")</f>
        <v>15307</v>
      </c>
      <c r="J226" s="9">
        <f>_xll.BQL("AMZN US Equity", "IS_ADJ_EBIT_OP_INC_AS_REPORTED/1M", "FPT=Q", "FPO=-7Q", "ACT_EST_MAPPING=PRECISE", "FS=MRC", "CURRENCY=USD", "XLFILL=b")</f>
        <v>14672</v>
      </c>
      <c r="K226" s="9">
        <f>_xll.BQL("AMZN US Equity", "IS_ADJ_EBIT_OP_INC_AS_REPORTED/1M", "FPT=Q", "FPO=-6Q", "ACT_EST_MAPPING=PRECISE", "FS=MRC", "CURRENCY=USD", "XLFILL=b")</f>
        <v>17411</v>
      </c>
      <c r="L226" s="9">
        <f>_xll.BQL("AMZN US Equity", "IS_ADJ_EBIT_OP_INC_AS_REPORTED/1M", "FPT=Q", "FPO=-5Q", "ACT_EST_MAPPING=PRECISE", "FS=MRC", "CURRENCY=USD", "XLFILL=b")</f>
        <v>21203</v>
      </c>
      <c r="M226" s="9">
        <f>_xll.BQL("AMZN US Equity", "IS_ADJ_EBIT_OP_INC_AS_REPORTED/1M", "FPT=Q", "FPO=-4Q", "ACT_EST_MAPPING=PRECISE", "FS=MRC", "CURRENCY=USD", "XLFILL=b")</f>
        <v>18405</v>
      </c>
      <c r="N226" s="9">
        <f>_xll.BQL("AMZN US Equity", "IS_ADJ_EBIT_OP_INC_AS_REPORTED/1M", "FPT=Q", "FPO=-3Q", "ACT_EST_MAPPING=PRECISE", "FS=MRC", "CURRENCY=USD", "XLFILL=b")</f>
        <v>19171</v>
      </c>
      <c r="O226" s="9">
        <f>_xll.BQL("AMZN US Equity", "IS_ADJ_EBIT_OP_INC_AS_REPORTED/1M", "FPT=Q", "FPO=-2Q", "ACT_EST_MAPPING=PRECISE", "FS=MRC", "CURRENCY=USD", "XLFILL=b")</f>
        <v>17422</v>
      </c>
      <c r="P226" s="9">
        <f>_xll.BQL("AMZN US Equity", "IS_ADJ_EBIT_OP_INC_AS_REPORTED/1M", "FPT=Q", "FPO=-1Q", "ACT_EST_MAPPING=PRECISE", "FS=MRC", "CURRENCY=USD", "XLFILL=b")</f>
        <v>24977</v>
      </c>
      <c r="Q226" s="9">
        <f>_xll.BQL("AMZN US Equity", "IS_ADJ_EBIT_OP_INC_AS_REPORTED/1M", "FPT=Q", "FPO=0Q", "ACT_EST_MAPPING=PRECISE", "FS=MRC", "CURRENCY=USD", "XLFILL=b")</f>
        <v>23852</v>
      </c>
      <c r="R226" s="9">
        <f>_xll.BQL("AMZN US Equity", "IS_ADJ_EBIT_OP_INC_AS_REPORTED/1M", "FPT=Q", "FPO=1Q", "ACT_EST_MAPPING=PRECISE", "FS=MRC", "CURRENCY=USD", "XLFILL=b")</f>
        <v>30398.866240992225</v>
      </c>
      <c r="S226" s="9">
        <f>_xll.BQL("AMZN US Equity", "IS_ADJ_EBIT_OP_INC_AS_REPORTED/1M", "FPT=Q", "FPO=2Q", "ACT_EST_MAPPING=PRECISE", "FS=MRC", "CURRENCY=USD", "XLFILL=b")</f>
        <v>30144.417212943281</v>
      </c>
      <c r="T226" s="9">
        <f>_xll.BQL("AMZN US Equity", "IS_ADJ_EBIT_OP_INC_AS_REPORTED/1M", "FPT=Q", "FPO=3Q", "ACT_EST_MAPPING=PRECISE", "FS=MRC", "CURRENCY=USD", "XLFILL=b")</f>
        <v>36153.359885910388</v>
      </c>
      <c r="U226" s="9">
        <f>_xll.BQL("AMZN US Equity", "IS_ADJ_EBIT_OP_INC_AS_REPORTED/1M", "FPT=Q", "FPO=4Q", "ACT_EST_MAPPING=PRECISE", "FS=MRC", "CURRENCY=USD", "XLFILL=b")</f>
        <v>34115.074477495276</v>
      </c>
      <c r="V226" s="9">
        <f>_xll.BQL("AMZN US Equity", "IS_ADJ_EBIT_OP_INC_AS_REPORTED/1M", "FPT=Q", "FPO=5Q", "ACT_EST_MAPPING=PRECISE", "FS=MRC", "CURRENCY=USD", "XLFILL=b")</f>
        <v>37169.932043678135</v>
      </c>
      <c r="W226" s="9">
        <f>_xll.BQL("AMZN US Equity", "IS_ADJ_EBIT_OP_INC_AS_REPORTED/1M", "FPT=Q", "FPO=6Q", "ACT_EST_MAPPING=PRECISE", "FS=MRC", "CURRENCY=USD", "XLFILL=b")</f>
        <v>37064.499368887511</v>
      </c>
      <c r="X226" s="9">
        <f>_xll.BQL("AMZN US Equity", "IS_ADJ_EBIT_OP_INC_AS_REPORTED/1M", "FPT=Q", "FPO=7Q", "ACT_EST_MAPPING=PRECISE", "FS=MRC", "CURRENCY=USD", "XLFILL=b")</f>
        <v>43416.333167892786</v>
      </c>
    </row>
    <row r="227" spans="1:24" x14ac:dyDescent="0.25">
      <c r="A227" s="8" t="s">
        <v>298</v>
      </c>
      <c r="B227" s="4" t="s">
        <v>299</v>
      </c>
      <c r="C227" s="4" t="s">
        <v>300</v>
      </c>
      <c r="D227" s="4"/>
      <c r="E227" s="9" t="str">
        <f>_xll.BQL("AMZN US Equity", "CB_IS_ADJ_OPERATING_MARGIN", "FPT=Q", "FPO=-12Q", "ACT_EST_MAPPING=PRECISE", "FS=MRC", "CURRENCY=USD", "XLFILL=b")</f>
        <v/>
      </c>
      <c r="F227" s="9" t="str">
        <f>_xll.BQL("AMZN US Equity", "CB_IS_ADJ_OPERATING_MARGIN", "FPT=Q", "FPO=-11Q", "ACT_EST_MAPPING=PRECISE", "FS=MRC", "CURRENCY=USD", "XLFILL=b")</f>
        <v/>
      </c>
      <c r="G227" s="9" t="str">
        <f>_xll.BQL("AMZN US Equity", "CB_IS_ADJ_OPERATING_MARGIN", "FPT=Q", "FPO=-10Q", "ACT_EST_MAPPING=PRECISE", "FS=MRC", "CURRENCY=USD", "XLFILL=b")</f>
        <v/>
      </c>
      <c r="H227" s="9" t="str">
        <f>_xll.BQL("AMZN US Equity", "CB_IS_ADJ_OPERATING_MARGIN", "FPT=Q", "FPO=-9Q", "ACT_EST_MAPPING=PRECISE", "FS=MRC", "CURRENCY=USD", "XLFILL=b")</f>
        <v/>
      </c>
      <c r="I227" s="9" t="str">
        <f>_xll.BQL("AMZN US Equity", "CB_IS_ADJ_OPERATING_MARGIN", "FPT=Q", "FPO=-8Q", "ACT_EST_MAPPING=PRECISE", "FS=MRC", "CURRENCY=USD", "XLFILL=b")</f>
        <v/>
      </c>
      <c r="J227" s="9" t="str">
        <f>_xll.BQL("AMZN US Equity", "CB_IS_ADJ_OPERATING_MARGIN", "FPT=Q", "FPO=-7Q", "ACT_EST_MAPPING=PRECISE", "FS=MRC", "CURRENCY=USD", "XLFILL=b")</f>
        <v/>
      </c>
      <c r="K227" s="9" t="str">
        <f>_xll.BQL("AMZN US Equity", "CB_IS_ADJ_OPERATING_MARGIN", "FPT=Q", "FPO=-6Q", "ACT_EST_MAPPING=PRECISE", "FS=MRC", "CURRENCY=USD", "XLFILL=b")</f>
        <v/>
      </c>
      <c r="L227" s="9" t="str">
        <f>_xll.BQL("AMZN US Equity", "CB_IS_ADJ_OPERATING_MARGIN", "FPT=Q", "FPO=-5Q", "ACT_EST_MAPPING=PRECISE", "FS=MRC", "CURRENCY=USD", "XLFILL=b")</f>
        <v/>
      </c>
      <c r="M227" s="9" t="str">
        <f>_xll.BQL("AMZN US Equity", "CB_IS_ADJ_OPERATING_MARGIN", "FPT=Q", "FPO=-4Q", "ACT_EST_MAPPING=PRECISE", "FS=MRC", "CURRENCY=USD", "XLFILL=b")</f>
        <v/>
      </c>
      <c r="N227" s="9" t="str">
        <f>_xll.BQL("AMZN US Equity", "CB_IS_ADJ_OPERATING_MARGIN", "FPT=Q", "FPO=-3Q", "ACT_EST_MAPPING=PRECISE", "FS=MRC", "CURRENCY=USD", "XLFILL=b")</f>
        <v/>
      </c>
      <c r="O227" s="9" t="str">
        <f>_xll.BQL("AMZN US Equity", "CB_IS_ADJ_OPERATING_MARGIN", "FPT=Q", "FPO=-2Q", "ACT_EST_MAPPING=PRECISE", "FS=MRC", "CURRENCY=USD", "XLFILL=b")</f>
        <v/>
      </c>
      <c r="P227" s="9">
        <f>_xll.BQL("AMZN US Equity", "CB_IS_ADJ_OPERATING_MARGIN", "FPT=Q", "FPO=-1Q", "ACT_EST_MAPPING=PRECISE", "FS=MRC", "CURRENCY=USD", "XLFILL=b")</f>
        <v>11.705</v>
      </c>
      <c r="Q227" s="9" t="str">
        <f>_xll.BQL("AMZN US Equity", "CB_IS_ADJ_OPERATING_MARGIN", "FPT=Q", "FPO=0Q", "ACT_EST_MAPPING=PRECISE", "FS=MRC", "CURRENCY=USD", "XLFILL=b")</f>
        <v/>
      </c>
      <c r="R227" s="9">
        <f>_xll.BQL("AMZN US Equity", "CB_IS_ADJ_OPERATING_MARGIN", "FPT=Q", "FPO=1Q", "ACT_EST_MAPPING=PRECISE", "FS=MRC", "CURRENCY=USD", "XLFILL=b")</f>
        <v>15.175005588974223</v>
      </c>
      <c r="S227" s="9">
        <f>_xll.BQL("AMZN US Equity", "CB_IS_ADJ_OPERATING_MARGIN", "FPT=Q", "FPO=2Q", "ACT_EST_MAPPING=PRECISE", "FS=MRC", "CURRENCY=USD", "XLFILL=b")</f>
        <v>14.256978313210624</v>
      </c>
      <c r="T227" s="9">
        <f>_xll.BQL("AMZN US Equity", "CB_IS_ADJ_OPERATING_MARGIN", "FPT=Q", "FPO=3Q", "ACT_EST_MAPPING=PRECISE", "FS=MRC", "CURRENCY=USD", "XLFILL=b")</f>
        <v>14.407231065911166</v>
      </c>
      <c r="U227" s="9">
        <f>_xll.BQL("AMZN US Equity", "CB_IS_ADJ_OPERATING_MARGIN", "FPT=Q", "FPO=4Q", "ACT_EST_MAPPING=PRECISE", "FS=MRC", "CURRENCY=USD", "XLFILL=b")</f>
        <v>16.664475612194657</v>
      </c>
      <c r="V227" s="9">
        <f>_xll.BQL("AMZN US Equity", "CB_IS_ADJ_OPERATING_MARGIN", "FPT=Q", "FPO=5Q", "ACT_EST_MAPPING=PRECISE", "FS=MRC", "CURRENCY=USD", "XLFILL=b")</f>
        <v>16.971974835627456</v>
      </c>
      <c r="W227" s="9">
        <f>_xll.BQL("AMZN US Equity", "CB_IS_ADJ_OPERATING_MARGIN", "FPT=Q", "FPO=6Q", "ACT_EST_MAPPING=PRECISE", "FS=MRC", "CURRENCY=USD", "XLFILL=b")</f>
        <v>15.9122511941372</v>
      </c>
      <c r="X227" s="9">
        <f>_xll.BQL("AMZN US Equity", "CB_IS_ADJ_OPERATING_MARGIN", "FPT=Q", "FPO=7Q", "ACT_EST_MAPPING=PRECISE", "FS=MRC", "CURRENCY=USD", "XLFILL=b")</f>
        <v>15.662592896897898</v>
      </c>
    </row>
    <row r="228" spans="1:24" x14ac:dyDescent="0.25">
      <c r="A228" s="8" t="s">
        <v>301</v>
      </c>
      <c r="B228" s="4" t="s">
        <v>302</v>
      </c>
      <c r="C228" s="4" t="s">
        <v>303</v>
      </c>
      <c r="D228" s="4"/>
      <c r="E228" s="9">
        <f>_xll.BQL("AMZN US Equity", "IS_COMPARABLE_EBITDA/1M", "FPT=Q", "FPO=-12Q", "ACT_EST_MAPPING=PRECISE", "FS=MRC", "CURRENCY=USD", "XLFILL=b")</f>
        <v>20645</v>
      </c>
      <c r="F228" s="9">
        <f>_xll.BQL("AMZN US Equity", "IS_COMPARABLE_EBITDA/1M", "FPT=Q", "FPO=-11Q", "ACT_EST_MAPPING=PRECISE", "FS=MRC", "CURRENCY=USD", "XLFILL=b")</f>
        <v>26397</v>
      </c>
      <c r="G228" s="9">
        <f>_xll.BQL("AMZN US Equity", "IS_COMPARABLE_EBITDA/1M", "FPT=Q", "FPO=-10Q", "ACT_EST_MAPPING=PRECISE", "FS=MRC", "CURRENCY=USD", "XLFILL=b")</f>
        <v>29148</v>
      </c>
      <c r="H228" s="9">
        <f>_xll.BQL("AMZN US Equity", "IS_COMPARABLE_EBITDA/1M", "FPT=Q", "FPO=-9Q", "ACT_EST_MAPPING=PRECISE", "FS=MRC", "CURRENCY=USD", "XLFILL=b")</f>
        <v>33348</v>
      </c>
      <c r="I228" s="9">
        <f>_xll.BQL("AMZN US Equity", "IS_COMPARABLE_EBITDA/1M", "FPT=Q", "FPO=-8Q", "ACT_EST_MAPPING=PRECISE", "FS=MRC", "CURRENCY=USD", "XLFILL=b")</f>
        <v>31952</v>
      </c>
      <c r="J228" s="9">
        <f>_xll.BQL("AMZN US Equity", "IS_COMPARABLE_EBITDA/1M", "FPT=Q", "FPO=-7Q", "ACT_EST_MAPPING=PRECISE", "FS=MRC", "CURRENCY=USD", "XLFILL=b")</f>
        <v>33432</v>
      </c>
      <c r="K228" s="9">
        <f>_xll.BQL("AMZN US Equity", "IS_COMPARABLE_EBITDA/1M", "FPT=Q", "FPO=-6Q", "ACT_EST_MAPPING=PRECISE", "FS=MRC", "CURRENCY=USD", "XLFILL=b")</f>
        <v>36186</v>
      </c>
      <c r="L228" s="9">
        <f>_xll.BQL("AMZN US Equity", "IS_COMPARABLE_EBITDA/1M", "FPT=Q", "FPO=-5Q", "ACT_EST_MAPPING=PRECISE", "FS=MRC", "CURRENCY=USD", "XLFILL=b")</f>
        <v>41829</v>
      </c>
      <c r="M228" s="9">
        <f>_xll.BQL("AMZN US Equity", "IS_COMPARABLE_EBITDA/1M", "FPT=Q", "FPO=-4Q", "ACT_EST_MAPPING=PRECISE", "FS=MRC", "CURRENCY=USD", "XLFILL=b")</f>
        <v>32667</v>
      </c>
      <c r="N228" s="9">
        <f>_xll.BQL("AMZN US Equity", "IS_COMPARABLE_EBITDA/1M", "FPT=Q", "FPO=-3Q", "ACT_EST_MAPPING=PRECISE", "FS=MRC", "CURRENCY=USD", "XLFILL=b")</f>
        <v>40932</v>
      </c>
      <c r="O228" s="9">
        <f>_xll.BQL("AMZN US Equity", "IS_COMPARABLE_EBITDA/1M", "FPT=Q", "FPO=-2Q", "ACT_EST_MAPPING=PRECISE", "FS=MRC", "CURRENCY=USD", "XLFILL=b")</f>
        <v>39065</v>
      </c>
      <c r="P228" s="9">
        <f>_xll.BQL("AMZN US Equity", "IS_COMPARABLE_EBITDA/1M", "FPT=Q", "FPO=-1Q", "ACT_EST_MAPPING=PRECISE", "FS=MRC", "CURRENCY=USD", "XLFILL=b")</f>
        <v>48845</v>
      </c>
      <c r="Q228" s="9">
        <f>_xll.BQL("AMZN US Equity", "IS_COMPARABLE_EBITDA/1M", "FPT=Q", "FPO=0Q", "ACT_EST_MAPPING=PRECISE", "FS=MRC", "CURRENCY=USD", "XLFILL=b")</f>
        <v>23870.945</v>
      </c>
      <c r="R228" s="9">
        <f>_xll.BQL("AMZN US Equity", "IS_COMPARABLE_EBITDA/1M", "FPT=Q", "FPO=1Q", "ACT_EST_MAPPING=PRECISE", "FS=MRC", "CURRENCY=USD", "XLFILL=b")</f>
        <v>50717.545454545456</v>
      </c>
      <c r="S228" s="9">
        <f>_xll.BQL("AMZN US Equity", "IS_COMPARABLE_EBITDA/1M", "FPT=Q", "FPO=2Q", "ACT_EST_MAPPING=PRECISE", "FS=MRC", "CURRENCY=USD", "XLFILL=b")</f>
        <v>52146.909090909088</v>
      </c>
      <c r="T228" s="9">
        <f>_xll.BQL("AMZN US Equity", "IS_COMPARABLE_EBITDA/1M", "FPT=Q", "FPO=3Q", "ACT_EST_MAPPING=PRECISE", "FS=MRC", "CURRENCY=USD", "XLFILL=b")</f>
        <v>61116.454545454544</v>
      </c>
      <c r="U228" s="9">
        <f>_xll.BQL("AMZN US Equity", "IS_COMPARABLE_EBITDA/1M", "FPT=Q", "FPO=4Q", "ACT_EST_MAPPING=PRECISE", "FS=MRC", "CURRENCY=USD", "XLFILL=b")</f>
        <v>59723.947368421053</v>
      </c>
      <c r="V228" s="9">
        <f>_xll.BQL("AMZN US Equity", "IS_COMPARABLE_EBITDA/1M", "FPT=Q", "FPO=5Q", "ACT_EST_MAPPING=PRECISE", "FS=MRC", "CURRENCY=USD", "XLFILL=b")</f>
        <v>64848.833333333336</v>
      </c>
      <c r="W228" s="9">
        <f>_xll.BQL("AMZN US Equity", "IS_COMPARABLE_EBITDA/1M", "FPT=Q", "FPO=6Q", "ACT_EST_MAPPING=PRECISE", "FS=MRC", "CURRENCY=USD", "XLFILL=b")</f>
        <v>67003.777777777781</v>
      </c>
      <c r="X228" s="9">
        <f>_xll.BQL("AMZN US Equity", "IS_COMPARABLE_EBITDA/1M", "FPT=Q", "FPO=7Q", "ACT_EST_MAPPING=PRECISE", "FS=MRC", "CURRENCY=USD", "XLFILL=b")</f>
        <v>77093</v>
      </c>
    </row>
    <row r="229" spans="1:24" x14ac:dyDescent="0.25">
      <c r="A229" s="8" t="s">
        <v>304</v>
      </c>
      <c r="B229" s="4" t="s">
        <v>305</v>
      </c>
      <c r="C229" s="4" t="s">
        <v>306</v>
      </c>
      <c r="D229" s="4"/>
      <c r="E229" s="9">
        <f>_xll.BQL("AMZN US Equity", "EBITDA_TO_REVENUE", "FPT=Q", "FPO=-12Q", "ACT_EST_MAPPING=PRECISE", "FS=MRC", "CURRENCY=USD", "XLFILL=b")</f>
        <v>14.454529750781262</v>
      </c>
      <c r="F229" s="9">
        <f>_xll.BQL("AMZN US Equity", "EBITDA_TO_REVENUE", "FPT=Q", "FPO=-11Q", "ACT_EST_MAPPING=PRECISE", "FS=MRC", "CURRENCY=USD", "XLFILL=b")</f>
        <v>16.28033307784467</v>
      </c>
      <c r="G229" s="9">
        <f>_xll.BQL("AMZN US Equity", "EBITDA_TO_REVENUE", "FPT=Q", "FPO=-10Q", "ACT_EST_MAPPING=PRECISE", "FS=MRC", "CURRENCY=USD", "XLFILL=b")</f>
        <v>18.169873430107</v>
      </c>
      <c r="H229" s="9">
        <f>_xll.BQL("AMZN US Equity", "EBITDA_TO_REVENUE", "FPT=Q", "FPO=-9Q", "ACT_EST_MAPPING=PRECISE", "FS=MRC", "CURRENCY=USD", "XLFILL=b")</f>
        <v>17.521666735309864</v>
      </c>
      <c r="I229" s="9">
        <f>_xll.BQL("AMZN US Equity", "EBITDA_TO_REVENUE", "FPT=Q", "FPO=-8Q", "ACT_EST_MAPPING=PRECISE", "FS=MRC", "CURRENCY=USD", "XLFILL=b")</f>
        <v>20.807602939021582</v>
      </c>
      <c r="J229" s="9">
        <f>_xll.BQL("AMZN US Equity", "EBITDA_TO_REVENUE", "FPT=Q", "FPO=-7Q", "ACT_EST_MAPPING=PRECISE", "FS=MRC", "CURRENCY=USD", "XLFILL=b")</f>
        <v>20.024057792765092</v>
      </c>
      <c r="K229" s="9">
        <f>_xll.BQL("AMZN US Equity", "EBITDA_TO_REVENUE", "FPT=Q", "FPO=-6Q", "ACT_EST_MAPPING=PRECISE", "FS=MRC", "CURRENCY=USD", "XLFILL=b")</f>
        <v>21.343555077198083</v>
      </c>
      <c r="L229" s="9">
        <f>_xll.BQL("AMZN US Equity", "EBITDA_TO_REVENUE", "FPT=Q", "FPO=-5Q", "ACT_EST_MAPPING=PRECISE", "FS=MRC", "CURRENCY=USD", "XLFILL=b")</f>
        <v>21.293771832665929</v>
      </c>
      <c r="M229" s="9">
        <f>_xll.BQL("AMZN US Equity", "EBITDA_TO_REVENUE", "FPT=Q", "FPO=-4Q", "ACT_EST_MAPPING=PRECISE", "FS=MRC", "CURRENCY=USD", "XLFILL=b")</f>
        <v>23.066545896047334</v>
      </c>
      <c r="N229" s="9">
        <f>_xll.BQL("AMZN US Equity", "EBITDA_TO_REVENUE", "FPT=Q", "FPO=-3Q", "ACT_EST_MAPPING=PRECISE", "FS=MRC", "CURRENCY=USD", "XLFILL=b")</f>
        <v>22.554292733539256</v>
      </c>
      <c r="O229" s="9">
        <f>_xll.BQL("AMZN US Equity", "EBITDA_TO_REVENUE", "FPT=Q", "FPO=-2Q", "ACT_EST_MAPPING=PRECISE", "FS=MRC", "CURRENCY=USD", "XLFILL=b")</f>
        <v>20.986407206567169</v>
      </c>
      <c r="P229" s="9">
        <f>_xll.BQL("AMZN US Equity", "EBITDA_TO_REVENUE", "FPT=Q", "FPO=-1Q", "ACT_EST_MAPPING=PRECISE", "FS=MRC", "CURRENCY=USD", "XLFILL=b")</f>
        <v>22.585830373126633</v>
      </c>
      <c r="Q229" s="9">
        <f>_xll.BQL("AMZN US Equity", "EBITDA_TO_REVENUE", "FPT=Q", "FPO=0Q", "ACT_EST_MAPPING=PRECISE", "FS=MRC", "CURRENCY=USD", "XLFILL=b")</f>
        <v>25.7350470198712</v>
      </c>
      <c r="R229" s="9">
        <f>_xll.BQL("AMZN US Equity", "EBITDA_TO_REVENUE", "FPT=Q", "FPO=1Q", "ACT_EST_MAPPING=PRECISE", "FS=MRC", "CURRENCY=USD", "XLFILL=b")</f>
        <v>25.862188737278494</v>
      </c>
      <c r="S229" s="9">
        <f>_xll.BQL("AMZN US Equity", "EBITDA_TO_REVENUE", "FPT=Q", "FPO=2Q", "ACT_EST_MAPPING=PRECISE", "FS=MRC", "CURRENCY=USD", "XLFILL=b")</f>
        <v>25.620078998635471</v>
      </c>
      <c r="T229" s="9">
        <f>_xll.BQL("AMZN US Equity", "EBITDA_TO_REVENUE", "FPT=Q", "FPO=3Q", "ACT_EST_MAPPING=PRECISE", "FS=MRC", "CURRENCY=USD", "XLFILL=b")</f>
        <v>25.152906953541127</v>
      </c>
      <c r="U229" s="9">
        <f>_xll.BQL("AMZN US Equity", "EBITDA_TO_REVENUE", "FPT=Q", "FPO=4Q", "ACT_EST_MAPPING=PRECISE", "FS=MRC", "CURRENCY=USD", "XLFILL=b")</f>
        <v>28.870513984750396</v>
      </c>
      <c r="V229" s="9">
        <f>_xll.BQL("AMZN US Equity", "EBITDA_TO_REVENUE", "FPT=Q", "FPO=5Q", "ACT_EST_MAPPING=PRECISE", "FS=MRC", "CURRENCY=USD", "XLFILL=b")</f>
        <v>28.605417808722294</v>
      </c>
      <c r="W229" s="9">
        <f>_xll.BQL("AMZN US Equity", "EBITDA_TO_REVENUE", "FPT=Q", "FPO=6Q", "ACT_EST_MAPPING=PRECISE", "FS=MRC", "CURRENCY=USD", "XLFILL=b")</f>
        <v>28.357298373705035</v>
      </c>
      <c r="X229" s="9">
        <f>_xll.BQL("AMZN US Equity", "EBITDA_TO_REVENUE", "FPT=Q", "FPO=7Q", "ACT_EST_MAPPING=PRECISE", "FS=MRC", "CURRENCY=USD", "XLFILL=b")</f>
        <v>27.613522639679051</v>
      </c>
    </row>
    <row r="230" spans="1:24" x14ac:dyDescent="0.25">
      <c r="A230" s="8" t="s">
        <v>307</v>
      </c>
      <c r="B230" s="4" t="s">
        <v>308</v>
      </c>
      <c r="C230" s="4" t="s">
        <v>309</v>
      </c>
      <c r="D230" s="4"/>
      <c r="E230" s="9">
        <f>_xll.BQL("AMZN US Equity", "IS_COMP_NET_INC_EXCL_STOCK_COMP/1M", "FPT=Q", "FPO=-12Q", "ACT_EST_MAPPING=PRECISE", "FS=MRC", "CURRENCY=USD", "XLFILL=b")</f>
        <v>7317.92</v>
      </c>
      <c r="F230" s="9">
        <f>_xll.BQL("AMZN US Equity", "IS_COMP_NET_INC_EXCL_STOCK_COMP/1M", "FPT=Q", "FPO=-11Q", "ACT_EST_MAPPING=PRECISE", "FS=MRC", "CURRENCY=USD", "XLFILL=b")</f>
        <v>12222.33</v>
      </c>
      <c r="G230" s="9">
        <f>_xll.BQL("AMZN US Equity", "IS_COMP_NET_INC_EXCL_STOCK_COMP/1M", "FPT=Q", "FPO=-10Q", "ACT_EST_MAPPING=PRECISE", "FS=MRC", "CURRENCY=USD", "XLFILL=b")</f>
        <v>13535.91</v>
      </c>
      <c r="H230" s="9">
        <f>_xll.BQL("AMZN US Equity", "IS_COMP_NET_INC_EXCL_STOCK_COMP/1M", "FPT=Q", "FPO=-9Q", "ACT_EST_MAPPING=PRECISE", "FS=MRC", "CURRENCY=USD", "XLFILL=b")</f>
        <v>15695.01</v>
      </c>
      <c r="I230" s="9">
        <f>_xll.BQL("AMZN US Equity", "IS_COMP_NET_INC_EXCL_STOCK_COMP/1M", "FPT=Q", "FPO=-8Q", "ACT_EST_MAPPING=PRECISE", "FS=MRC", "CURRENCY=USD", "XLFILL=b")</f>
        <v>14350.19</v>
      </c>
      <c r="J230" s="9">
        <f>_xll.BQL("AMZN US Equity", "IS_COMP_NET_INC_EXCL_STOCK_COMP/1M", "FPT=Q", "FPO=-7Q", "ACT_EST_MAPPING=PRECISE", "FS=MRC", "CURRENCY=USD", "XLFILL=b")</f>
        <v>18795.38</v>
      </c>
      <c r="K230" s="9">
        <f>_xll.BQL("AMZN US Equity", "IS_COMP_NET_INC_EXCL_STOCK_COMP/1M", "FPT=Q", "FPO=-6Q", "ACT_EST_MAPPING=PRECISE", "FS=MRC", "CURRENCY=USD", "XLFILL=b")</f>
        <v>20167</v>
      </c>
      <c r="L230" s="9">
        <f>_xll.BQL("AMZN US Equity", "IS_COMP_NET_INC_EXCL_STOCK_COMP/1M", "FPT=Q", "FPO=-5Q", "ACT_EST_MAPPING=PRECISE", "FS=MRC", "CURRENCY=USD", "XLFILL=b")</f>
        <v>23950.05</v>
      </c>
      <c r="M230" s="9">
        <f>_xll.BQL("AMZN US Equity", "IS_COMP_NET_INC_EXCL_STOCK_COMP/1M", "FPT=Q", "FPO=-4Q", "ACT_EST_MAPPING=PRECISE", "FS=MRC", "CURRENCY=USD", "XLFILL=b")</f>
        <v>20041.310000000001</v>
      </c>
      <c r="N230" s="9">
        <f>_xll.BQL("AMZN US Equity", "IS_COMP_NET_INC_EXCL_STOCK_COMP/1M", "FPT=Q", "FPO=-3Q", "ACT_EST_MAPPING=PRECISE", "FS=MRC", "CURRENCY=USD", "XLFILL=b")</f>
        <v>23325.86</v>
      </c>
      <c r="O230" s="9">
        <f>_xll.BQL("AMZN US Equity", "IS_COMP_NET_INC_EXCL_STOCK_COMP/1M", "FPT=Q", "FPO=-2Q", "ACT_EST_MAPPING=PRECISE", "FS=MRC", "CURRENCY=USD", "XLFILL=b")</f>
        <v>25016.13</v>
      </c>
      <c r="P230" s="9">
        <f>_xll.BQL("AMZN US Equity", "IS_COMP_NET_INC_EXCL_STOCK_COMP/1M", "FPT=Q", "FPO=-1Q", "ACT_EST_MAPPING=PRECISE", "FS=MRC", "CURRENCY=USD", "XLFILL=b")</f>
        <v>25589</v>
      </c>
      <c r="Q230" s="9">
        <f>_xll.BQL("AMZN US Equity", "IS_COMP_NET_INC_EXCL_STOCK_COMP/1M", "FPT=Q", "FPO=0Q", "ACT_EST_MAPPING=PRECISE", "FS=MRC", "CURRENCY=USD", "XLFILL=b")</f>
        <v>30255</v>
      </c>
      <c r="R230" s="9">
        <f>_xll.BQL("AMZN US Equity", "IS_COMP_NET_INC_EXCL_STOCK_COMP/1M", "FPT=Q", "FPO=1Q", "ACT_EST_MAPPING=PRECISE", "FS=MRC", "CURRENCY=USD", "XLFILL=b")</f>
        <v>24700.3125</v>
      </c>
      <c r="S230" s="9">
        <f>_xll.BQL("AMZN US Equity", "IS_COMP_NET_INC_EXCL_STOCK_COMP/1M", "FPT=Q", "FPO=2Q", "ACT_EST_MAPPING=PRECISE", "FS=MRC", "CURRENCY=USD", "XLFILL=b")</f>
        <v>24343.1875</v>
      </c>
      <c r="T230" s="9">
        <f>_xll.BQL("AMZN US Equity", "IS_COMP_NET_INC_EXCL_STOCK_COMP/1M", "FPT=Q", "FPO=3Q", "ACT_EST_MAPPING=PRECISE", "FS=MRC", "CURRENCY=USD", "XLFILL=b")</f>
        <v>29737.1875</v>
      </c>
      <c r="U230" s="9">
        <f>_xll.BQL("AMZN US Equity", "IS_COMP_NET_INC_EXCL_STOCK_COMP/1M", "FPT=Q", "FPO=4Q", "ACT_EST_MAPPING=PRECISE", "FS=MRC", "CURRENCY=USD", "XLFILL=b")</f>
        <v>28807.25</v>
      </c>
      <c r="V230" s="9">
        <f>_xll.BQL("AMZN US Equity", "IS_COMP_NET_INC_EXCL_STOCK_COMP/1M", "FPT=Q", "FPO=5Q", "ACT_EST_MAPPING=PRECISE", "FS=MRC", "CURRENCY=USD", "XLFILL=b")</f>
        <v>31995</v>
      </c>
      <c r="W230" s="9">
        <f>_xll.BQL("AMZN US Equity", "IS_COMP_NET_INC_EXCL_STOCK_COMP/1M", "FPT=Q", "FPO=6Q", "ACT_EST_MAPPING=PRECISE", "FS=MRC", "CURRENCY=USD", "XLFILL=b")</f>
        <v>31652</v>
      </c>
      <c r="X230" s="9">
        <f>_xll.BQL("AMZN US Equity", "IS_COMP_NET_INC_EXCL_STOCK_COMP/1M", "FPT=Q", "FPO=7Q", "ACT_EST_MAPPING=PRECISE", "FS=MRC", "CURRENCY=USD", "XLFILL=b")</f>
        <v>38271.75</v>
      </c>
    </row>
    <row r="231" spans="1:24" x14ac:dyDescent="0.25">
      <c r="A231" s="8" t="s">
        <v>310</v>
      </c>
      <c r="B231" s="4" t="s">
        <v>311</v>
      </c>
      <c r="C231" s="4" t="s">
        <v>312</v>
      </c>
      <c r="D231" s="4"/>
      <c r="E231" s="9">
        <f>_xll.BQL("AMZN US Equity", "IS_COMP_EPS_EXCL_STOCK_COMP", "FPT=Q", "FPO=-12Q", "ACT_EST_MAPPING=PRECISE", "FS=MRC", "CURRENCY=USD", "XLFILL=b")</f>
        <v>0.70725000000000005</v>
      </c>
      <c r="F231" s="9">
        <f>_xll.BQL("AMZN US Equity", "IS_COMP_EPS_EXCL_STOCK_COMP", "FPT=Q", "FPO=-11Q", "ACT_EST_MAPPING=PRECISE", "FS=MRC", "CURRENCY=USD", "XLFILL=b")</f>
        <v>1.1697390000000001</v>
      </c>
      <c r="G231" s="9">
        <f>_xll.BQL("AMZN US Equity", "IS_COMP_EPS_EXCL_STOCK_COMP", "FPT=Q", "FPO=-10Q", "ACT_EST_MAPPING=PRECISE", "FS=MRC", "CURRENCY=USD", "XLFILL=b")</f>
        <v>1.262734</v>
      </c>
      <c r="H231" s="9">
        <f>_xll.BQL("AMZN US Equity", "IS_COMP_EPS_EXCL_STOCK_COMP", "FPT=Q", "FPO=-9Q", "ACT_EST_MAPPING=PRECISE", "FS=MRC", "CURRENCY=USD", "XLFILL=b")</f>
        <v>1.4792650000000001</v>
      </c>
      <c r="I231" s="9">
        <f>_xll.BQL("AMZN US Equity", "IS_COMP_EPS_EXCL_STOCK_COMP", "FPT=Q", "FPO=-8Q", "ACT_EST_MAPPING=PRECISE", "FS=MRC", "CURRENCY=USD", "XLFILL=b")</f>
        <v>1.3473090000000001</v>
      </c>
      <c r="J231" s="9">
        <f>_xll.BQL("AMZN US Equity", "IS_COMP_EPS_EXCL_STOCK_COMP", "FPT=Q", "FPO=-7Q", "ACT_EST_MAPPING=PRECISE", "FS=MRC", "CURRENCY=USD", "XLFILL=b")</f>
        <v>1.7559260000000001</v>
      </c>
      <c r="K231" s="9">
        <f>_xll.BQL("AMZN US Equity", "IS_COMP_EPS_EXCL_STOCK_COMP", "FPT=Q", "FPO=-6Q", "ACT_EST_MAPPING=PRECISE", "FS=MRC", "CURRENCY=USD", "XLFILL=b")</f>
        <v>1.8224610000000001</v>
      </c>
      <c r="L231" s="9">
        <f>_xll.BQL("AMZN US Equity", "IS_COMP_EPS_EXCL_STOCK_COMP", "FPT=Q", "FPO=-5Q", "ACT_EST_MAPPING=PRECISE", "FS=MRC", "CURRENCY=USD", "XLFILL=b")</f>
        <v>2.226359</v>
      </c>
      <c r="M231" s="9">
        <f>_xll.BQL("AMZN US Equity", "IS_COMP_EPS_EXCL_STOCK_COMP", "FPT=Q", "FPO=-4Q", "ACT_EST_MAPPING=PRECISE", "FS=MRC", "CURRENCY=USD", "XLFILL=b")</f>
        <v>1.8600190000000001</v>
      </c>
      <c r="N231" s="9">
        <f>_xll.BQL("AMZN US Equity", "IS_COMP_EPS_EXCL_STOCK_COMP", "FPT=Q", "FPO=-3Q", "ACT_EST_MAPPING=PRECISE", "FS=MRC", "CURRENCY=USD", "XLFILL=b")</f>
        <v>2.1586029999999998</v>
      </c>
      <c r="O231" s="9">
        <f>_xll.BQL("AMZN US Equity", "IS_COMP_EPS_EXCL_STOCK_COMP", "FPT=Q", "FPO=-2Q", "ACT_EST_MAPPING=PRECISE", "FS=MRC", "CURRENCY=USD", "XLFILL=b")</f>
        <v>2.3030780000000002</v>
      </c>
      <c r="P231" s="9">
        <f>_xll.BQL("AMZN US Equity", "IS_COMP_EPS_EXCL_STOCK_COMP", "FPT=Q", "FPO=-1Q", "ACT_EST_MAPPING=PRECISE", "FS=MRC", "CURRENCY=USD", "XLFILL=b")</f>
        <v>2.354768</v>
      </c>
      <c r="Q231" s="9">
        <f>_xll.BQL("AMZN US Equity", "IS_COMP_EPS_EXCL_STOCK_COMP", "FPT=Q", "FPO=0Q", "ACT_EST_MAPPING=PRECISE", "FS=MRC", "CURRENCY=USD", "XLFILL=b")</f>
        <v>2.78</v>
      </c>
      <c r="R231" s="9">
        <f>_xll.BQL("AMZN US Equity", "IS_COMP_EPS_EXCL_STOCK_COMP", "FPT=Q", "FPO=1Q", "ACT_EST_MAPPING=PRECISE", "FS=MRC", "CURRENCY=USD", "XLFILL=b")</f>
        <v>2.2680000000000002</v>
      </c>
      <c r="S231" s="9">
        <f>_xll.BQL("AMZN US Equity", "IS_COMP_EPS_EXCL_STOCK_COMP", "FPT=Q", "FPO=2Q", "ACT_EST_MAPPING=PRECISE", "FS=MRC", "CURRENCY=USD", "XLFILL=b")</f>
        <v>2.1890000000000001</v>
      </c>
      <c r="T231" s="9">
        <f>_xll.BQL("AMZN US Equity", "IS_COMP_EPS_EXCL_STOCK_COMP", "FPT=Q", "FPO=3Q", "ACT_EST_MAPPING=PRECISE", "FS=MRC", "CURRENCY=USD", "XLFILL=b")</f>
        <v>2.7030000000000003</v>
      </c>
      <c r="U231" s="9">
        <f>_xll.BQL("AMZN US Equity", "IS_COMP_EPS_EXCL_STOCK_COMP", "FPT=Q", "FPO=4Q", "ACT_EST_MAPPING=PRECISE", "FS=MRC", "CURRENCY=USD", "XLFILL=b")</f>
        <v>2.6666666666666665</v>
      </c>
      <c r="V231" s="9">
        <f>_xll.BQL("AMZN US Equity", "IS_COMP_EPS_EXCL_STOCK_COMP", "FPT=Q", "FPO=5Q", "ACT_EST_MAPPING=PRECISE", "FS=MRC", "CURRENCY=USD", "XLFILL=b")</f>
        <v>2.8966666666666665</v>
      </c>
      <c r="W231" s="9">
        <f>_xll.BQL("AMZN US Equity", "IS_COMP_EPS_EXCL_STOCK_COMP", "FPT=Q", "FPO=6Q", "ACT_EST_MAPPING=PRECISE", "FS=MRC", "CURRENCY=USD", "XLFILL=b")</f>
        <v>2.8733333333333331</v>
      </c>
      <c r="X231" s="9">
        <f>_xll.BQL("AMZN US Equity", "IS_COMP_EPS_EXCL_STOCK_COMP", "FPT=Q", "FPO=7Q", "ACT_EST_MAPPING=PRECISE", "FS=MRC", "CURRENCY=USD", "XLFILL=b")</f>
        <v>3.4766666666666666</v>
      </c>
    </row>
    <row r="232" spans="1:24" x14ac:dyDescent="0.25">
      <c r="A232" s="8" t="s">
        <v>14</v>
      </c>
      <c r="B232" s="4"/>
      <c r="C232" s="4"/>
      <c r="D232" s="4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</row>
    <row r="233" spans="1:24" x14ac:dyDescent="0.25">
      <c r="A233" s="8" t="s">
        <v>313</v>
      </c>
      <c r="B233" s="4"/>
      <c r="C233" s="4"/>
      <c r="D233" s="4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</row>
    <row r="234" spans="1:24" x14ac:dyDescent="0.25">
      <c r="A234" s="8" t="s">
        <v>314</v>
      </c>
      <c r="B234" s="4" t="s">
        <v>315</v>
      </c>
      <c r="C234" s="4" t="s">
        <v>316</v>
      </c>
      <c r="D234" s="4"/>
      <c r="E234" s="9">
        <f>_xll.BQL("AMZN US Equity", "CF_STOCK_BASED_COMPENSATION/1M", "FPT=Q", "FPO=-12Q", "ACT_EST_MAPPING=PRECISE", "FS=MRC", "CURRENCY=USD", "XLFILL=b")</f>
        <v>4748</v>
      </c>
      <c r="F234" s="9">
        <f>_xll.BQL("AMZN US Equity", "CF_STOCK_BASED_COMPENSATION/1M", "FPT=Q", "FPO=-11Q", "ACT_EST_MAPPING=PRECISE", "FS=MRC", "CURRENCY=USD", "XLFILL=b")</f>
        <v>7127</v>
      </c>
      <c r="G234" s="9">
        <f>_xll.BQL("AMZN US Equity", "CF_STOCK_BASED_COMPENSATION/1M", "FPT=Q", "FPO=-10Q", "ACT_EST_MAPPING=PRECISE", "FS=MRC", "CURRENCY=USD", "XLFILL=b")</f>
        <v>5829</v>
      </c>
      <c r="H234" s="9">
        <f>_xll.BQL("AMZN US Equity", "CF_STOCK_BASED_COMPENSATION/1M", "FPT=Q", "FPO=-9Q", "ACT_EST_MAPPING=PRECISE", "FS=MRC", "CURRENCY=USD", "XLFILL=b")</f>
        <v>6319</v>
      </c>
      <c r="I234" s="9">
        <f>_xll.BQL("AMZN US Equity", "CF_STOCK_BASED_COMPENSATION/1M", "FPT=Q", "FPO=-8Q", "ACT_EST_MAPPING=PRECISE", "FS=MRC", "CURRENCY=USD", "XLFILL=b")</f>
        <v>4961</v>
      </c>
      <c r="J234" s="9">
        <f>_xll.BQL("AMZN US Equity", "CF_STOCK_BASED_COMPENSATION/1M", "FPT=Q", "FPO=-7Q", "ACT_EST_MAPPING=PRECISE", "FS=MRC", "CURRENCY=USD", "XLFILL=b")</f>
        <v>6722</v>
      </c>
      <c r="K234" s="9">
        <f>_xll.BQL("AMZN US Equity", "CF_STOCK_BASED_COMPENSATION/1M", "FPT=Q", "FPO=-6Q", "ACT_EST_MAPPING=PRECISE", "FS=MRC", "CURRENCY=USD", "XLFILL=b")</f>
        <v>5333</v>
      </c>
      <c r="L234" s="9">
        <f>_xll.BQL("AMZN US Equity", "CF_STOCK_BASED_COMPENSATION/1M", "FPT=Q", "FPO=-5Q", "ACT_EST_MAPPING=PRECISE", "FS=MRC", "CURRENCY=USD", "XLFILL=b")</f>
        <v>4995</v>
      </c>
      <c r="M234" s="9">
        <f>_xll.BQL("AMZN US Equity", "CF_STOCK_BASED_COMPENSATION/1M", "FPT=Q", "FPO=-4Q", "ACT_EST_MAPPING=PRECISE", "FS=MRC", "CURRENCY=USD", "XLFILL=b")</f>
        <v>3689</v>
      </c>
      <c r="N234" s="9">
        <f>_xll.BQL("AMZN US Equity", "CF_STOCK_BASED_COMPENSATION/1M", "FPT=Q", "FPO=-3Q", "ACT_EST_MAPPING=PRECISE", "FS=MRC", "CURRENCY=USD", "XLFILL=b")</f>
        <v>6534</v>
      </c>
      <c r="O234" s="9">
        <f>_xll.BQL("AMZN US Equity", "CF_STOCK_BASED_COMPENSATION/1M", "FPT=Q", "FPO=-2Q", "ACT_EST_MAPPING=PRECISE", "FS=MRC", "CURRENCY=USD", "XLFILL=b")</f>
        <v>4847</v>
      </c>
      <c r="P234" s="9">
        <f>_xll.BQL("AMZN US Equity", "CF_STOCK_BASED_COMPENSATION/1M", "FPT=Q", "FPO=-1Q", "ACT_EST_MAPPING=PRECISE", "FS=MRC", "CURRENCY=USD", "XLFILL=b")</f>
        <v>4397</v>
      </c>
      <c r="Q234" s="9">
        <f>_xll.BQL("AMZN US Equity", "CF_STOCK_BASED_COMPENSATION/1M", "FPT=Q", "FPO=0Q", "ACT_EST_MAPPING=PRECISE", "FS=MRC", "CURRENCY=USD", "XLFILL=b")</f>
        <v>4032</v>
      </c>
      <c r="R234" s="9">
        <f>_xll.BQL("AMZN US Equity", "CF_STOCK_BASED_COMPENSATION/1M", "FPT=Q", "FPO=1Q", "ACT_EST_MAPPING=PRECISE", "FS=MRC", "CURRENCY=USD", "XLFILL=b")</f>
        <v>6497.8772229369279</v>
      </c>
      <c r="S234" s="9">
        <f>_xll.BQL("AMZN US Equity", "CF_STOCK_BASED_COMPENSATION/1M", "FPT=Q", "FPO=2Q", "ACT_EST_MAPPING=PRECISE", "FS=MRC", "CURRENCY=USD", "XLFILL=b")</f>
        <v>5090.1375218443991</v>
      </c>
      <c r="T234" s="9">
        <f>_xll.BQL("AMZN US Equity", "CF_STOCK_BASED_COMPENSATION/1M", "FPT=Q", "FPO=3Q", "ACT_EST_MAPPING=PRECISE", "FS=MRC", "CURRENCY=USD", "XLFILL=b")</f>
        <v>4892.2856434080513</v>
      </c>
      <c r="U234" s="9">
        <f>_xll.BQL("AMZN US Equity", "CF_STOCK_BASED_COMPENSATION/1M", "FPT=Q", "FPO=4Q", "ACT_EST_MAPPING=PRECISE", "FS=MRC", "CURRENCY=USD", "XLFILL=b")</f>
        <v>4454.0473094639901</v>
      </c>
      <c r="V234" s="9">
        <f>_xll.BQL("AMZN US Equity", "CF_STOCK_BASED_COMPENSATION/1M", "FPT=Q", "FPO=5Q", "ACT_EST_MAPPING=PRECISE", "FS=MRC", "CURRENCY=USD", "XLFILL=b")</f>
        <v>7123.0016596607466</v>
      </c>
      <c r="W234" s="9">
        <f>_xll.BQL("AMZN US Equity", "CF_STOCK_BASED_COMPENSATION/1M", "FPT=Q", "FPO=6Q", "ACT_EST_MAPPING=PRECISE", "FS=MRC", "CURRENCY=USD", "XLFILL=b")</f>
        <v>5754.0376124679979</v>
      </c>
      <c r="X234" s="9">
        <f>_xll.BQL("AMZN US Equity", "CF_STOCK_BASED_COMPENSATION/1M", "FPT=Q", "FPO=7Q", "ACT_EST_MAPPING=PRECISE", "FS=MRC", "CURRENCY=USD", "XLFILL=b")</f>
        <v>5555.5252931951627</v>
      </c>
    </row>
    <row r="235" spans="1:24" x14ac:dyDescent="0.25">
      <c r="A235" s="8" t="s">
        <v>317</v>
      </c>
      <c r="B235" s="4" t="s">
        <v>318</v>
      </c>
      <c r="C235" s="4" t="s">
        <v>319</v>
      </c>
      <c r="D235" s="4"/>
      <c r="E235" s="9">
        <f>_xll.BQL("AMZN US Equity", "IS_SBC_ATTRIB_TO_COGS_PRETX/1M", "FPT=Q", "FPO=-12Q", "ACT_EST_MAPPING=PRECISE", "FS=MRC", "CURRENCY=USD", "XLFILL=b")</f>
        <v>165</v>
      </c>
      <c r="F235" s="9">
        <f>_xll.BQL("AMZN US Equity", "IS_SBC_ATTRIB_TO_COGS_PRETX/1M", "FPT=Q", "FPO=-11Q", "ACT_EST_MAPPING=PRECISE", "FS=MRC", "CURRENCY=USD", "XLFILL=b")</f>
        <v>251</v>
      </c>
      <c r="G235" s="9">
        <f>_xll.BQL("AMZN US Equity", "IS_SBC_ATTRIB_TO_COGS_PRETX/1M", "FPT=Q", "FPO=-10Q", "ACT_EST_MAPPING=PRECISE", "FS=MRC", "CURRENCY=USD", "XLFILL=b")</f>
        <v>193</v>
      </c>
      <c r="H235" s="9">
        <f>_xll.BQL("AMZN US Equity", "IS_SBC_ATTRIB_TO_COGS_PRETX/1M", "FPT=Q", "FPO=-9Q", "ACT_EST_MAPPING=PRECISE", "FS=MRC", "CURRENCY=USD", "XLFILL=b")</f>
        <v>227</v>
      </c>
      <c r="I235" s="9">
        <f>_xll.BQL("AMZN US Equity", "IS_SBC_ATTRIB_TO_COGS_PRETX/1M", "FPT=Q", "FPO=-8Q", "ACT_EST_MAPPING=PRECISE", "FS=MRC", "CURRENCY=USD", "XLFILL=b")</f>
        <v>174</v>
      </c>
      <c r="J235" s="9">
        <f>_xll.BQL("AMZN US Equity", "IS_SBC_ATTRIB_TO_COGS_PRETX/1M", "FPT=Q", "FPO=-7Q", "ACT_EST_MAPPING=PRECISE", "FS=MRC", "CURRENCY=USD", "XLFILL=b")</f>
        <v>266</v>
      </c>
      <c r="K235" s="9">
        <f>_xll.BQL("AMZN US Equity", "IS_SBC_ATTRIB_TO_COGS_PRETX/1M", "FPT=Q", "FPO=-6Q", "ACT_EST_MAPPING=PRECISE", "FS=MRC", "CURRENCY=USD", "XLFILL=b")</f>
        <v>193</v>
      </c>
      <c r="L235" s="9">
        <f>_xll.BQL("AMZN US Equity", "IS_SBC_ATTRIB_TO_COGS_PRETX/1M", "FPT=Q", "FPO=-5Q", "ACT_EST_MAPPING=PRECISE", "FS=MRC", "CURRENCY=USD", "XLFILL=b")</f>
        <v>205</v>
      </c>
      <c r="M235" s="9">
        <f>_xll.BQL("AMZN US Equity", "IS_SBC_ATTRIB_TO_COGS_PRETX/1M", "FPT=Q", "FPO=-4Q", "ACT_EST_MAPPING=PRECISE", "FS=MRC", "CURRENCY=USD", "XLFILL=b")</f>
        <v>148</v>
      </c>
      <c r="N235" s="9">
        <f>_xll.BQL("AMZN US Equity", "IS_SBC_ATTRIB_TO_COGS_PRETX/1M", "FPT=Q", "FPO=-3Q", "ACT_EST_MAPPING=PRECISE", "FS=MRC", "CURRENCY=USD", "XLFILL=b")</f>
        <v>250</v>
      </c>
      <c r="O235" s="9">
        <f>_xll.BQL("AMZN US Equity", "IS_SBC_ATTRIB_TO_COGS_PRETX/1M", "FPT=Q", "FPO=-2Q", "ACT_EST_MAPPING=PRECISE", "FS=MRC", "CURRENCY=USD", "XLFILL=b")</f>
        <v>197</v>
      </c>
      <c r="P235" s="9">
        <f>_xll.BQL("AMZN US Equity", "IS_SBC_ATTRIB_TO_COGS_PRETX/1M", "FPT=Q", "FPO=-1Q", "ACT_EST_MAPPING=PRECISE", "FS=MRC", "CURRENCY=USD", "XLFILL=b")</f>
        <v>182</v>
      </c>
      <c r="Q235" s="9">
        <f>_xll.BQL("AMZN US Equity", "IS_SBC_ATTRIB_TO_COGS_PRETX/1M", "FPT=Q", "FPO=0Q", "ACT_EST_MAPPING=PRECISE", "FS=MRC", "CURRENCY=USD", "XLFILL=b")</f>
        <v>171</v>
      </c>
      <c r="R235" s="9">
        <f>_xll.BQL("AMZN US Equity", "IS_SBC_ATTRIB_TO_COGS_PRETX/1M", "FPT=Q", "FPO=1Q", "ACT_EST_MAPPING=PRECISE", "FS=MRC", "CURRENCY=USD", "XLFILL=b")</f>
        <v>279.49352366250525</v>
      </c>
      <c r="S235" s="9">
        <f>_xll.BQL("AMZN US Equity", "IS_SBC_ATTRIB_TO_COGS_PRETX/1M", "FPT=Q", "FPO=2Q", "ACT_EST_MAPPING=PRECISE", "FS=MRC", "CURRENCY=USD", "XLFILL=b")</f>
        <v>218.61061735128837</v>
      </c>
      <c r="T235" s="9">
        <f>_xll.BQL("AMZN US Equity", "IS_SBC_ATTRIB_TO_COGS_PRETX/1M", "FPT=Q", "FPO=3Q", "ACT_EST_MAPPING=PRECISE", "FS=MRC", "CURRENCY=USD", "XLFILL=b")</f>
        <v>209.97148050988775</v>
      </c>
      <c r="U235" s="9">
        <f>_xll.BQL("AMZN US Equity", "IS_SBC_ATTRIB_TO_COGS_PRETX/1M", "FPT=Q", "FPO=4Q", "ACT_EST_MAPPING=PRECISE", "FS=MRC", "CURRENCY=USD", "XLFILL=b")</f>
        <v>190.89959850938877</v>
      </c>
      <c r="V235" s="9">
        <f>_xll.BQL("AMZN US Equity", "IS_SBC_ATTRIB_TO_COGS_PRETX/1M", "FPT=Q", "FPO=5Q", "ACT_EST_MAPPING=PRECISE", "FS=MRC", "CURRENCY=USD", "XLFILL=b")</f>
        <v>312.27267116413725</v>
      </c>
      <c r="W235" s="9">
        <f>_xll.BQL("AMZN US Equity", "IS_SBC_ATTRIB_TO_COGS_PRETX/1M", "FPT=Q", "FPO=6Q", "ACT_EST_MAPPING=PRECISE", "FS=MRC", "CURRENCY=USD", "XLFILL=b")</f>
        <v>240.02638980190326</v>
      </c>
      <c r="X235" s="9">
        <f>_xll.BQL("AMZN US Equity", "IS_SBC_ATTRIB_TO_COGS_PRETX/1M", "FPT=Q", "FPO=7Q", "ACT_EST_MAPPING=PRECISE", "FS=MRC", "CURRENCY=USD", "XLFILL=b")</f>
        <v>228.30591409599148</v>
      </c>
    </row>
    <row r="236" spans="1:24" x14ac:dyDescent="0.25">
      <c r="A236" s="8" t="s">
        <v>320</v>
      </c>
      <c r="B236" s="4" t="s">
        <v>321</v>
      </c>
      <c r="C236" s="4" t="s">
        <v>322</v>
      </c>
      <c r="D236" s="4"/>
      <c r="E236" s="9">
        <f>_xll.BQL("AMZN US Equity", "IS_SBC_ATT_TO_S_AND_M_PRETX/1M", "FPT=Q", "FPO=-12Q", "ACT_EST_MAPPING=PRECISE", "FS=MRC", "CURRENCY=USD", "XLFILL=b")</f>
        <v>993</v>
      </c>
      <c r="F236" s="9">
        <f>_xll.BQL("AMZN US Equity", "IS_SBC_ATT_TO_S_AND_M_PRETX/1M", "FPT=Q", "FPO=-11Q", "ACT_EST_MAPPING=PRECISE", "FS=MRC", "CURRENCY=USD", "XLFILL=b")</f>
        <v>1303</v>
      </c>
      <c r="G236" s="9">
        <f>_xll.BQL("AMZN US Equity", "IS_SBC_ATT_TO_S_AND_M_PRETX/1M", "FPT=Q", "FPO=-10Q", "ACT_EST_MAPPING=PRECISE", "FS=MRC", "CURRENCY=USD", "XLFILL=b")</f>
        <v>1111</v>
      </c>
      <c r="H236" s="9">
        <f>_xll.BQL("AMZN US Equity", "IS_SBC_ATT_TO_S_AND_M_PRETX/1M", "FPT=Q", "FPO=-9Q", "ACT_EST_MAPPING=PRECISE", "FS=MRC", "CURRENCY=USD", "XLFILL=b")</f>
        <v>1216</v>
      </c>
      <c r="I236" s="9">
        <f>_xll.BQL("AMZN US Equity", "IS_SBC_ATT_TO_S_AND_M_PRETX/1M", "FPT=Q", "FPO=-8Q", "ACT_EST_MAPPING=PRECISE", "FS=MRC", "CURRENCY=USD", "XLFILL=b")</f>
        <v>932</v>
      </c>
      <c r="J236" s="9">
        <f>_xll.BQL("AMZN US Equity", "IS_SBC_ATT_TO_S_AND_M_PRETX/1M", "FPT=Q", "FPO=-7Q", "ACT_EST_MAPPING=PRECISE", "FS=MRC", "CURRENCY=USD", "XLFILL=b")</f>
        <v>1224</v>
      </c>
      <c r="K236" s="9">
        <f>_xll.BQL("AMZN US Equity", "IS_SBC_ATT_TO_S_AND_M_PRETX/1M", "FPT=Q", "FPO=-6Q", "ACT_EST_MAPPING=PRECISE", "FS=MRC", "CURRENCY=USD", "XLFILL=b")</f>
        <v>1012</v>
      </c>
      <c r="L236" s="9">
        <f>_xll.BQL("AMZN US Equity", "IS_SBC_ATT_TO_S_AND_M_PRETX/1M", "FPT=Q", "FPO=-5Q", "ACT_EST_MAPPING=PRECISE", "FS=MRC", "CURRENCY=USD", "XLFILL=b")</f>
        <v>916</v>
      </c>
      <c r="M236" s="9">
        <f>_xll.BQL("AMZN US Equity", "IS_SBC_ATT_TO_S_AND_M_PRETX/1M", "FPT=Q", "FPO=-4Q", "ACT_EST_MAPPING=PRECISE", "FS=MRC", "CURRENCY=USD", "XLFILL=b")</f>
        <v>653</v>
      </c>
      <c r="N236" s="9">
        <f>_xll.BQL("AMZN US Equity", "IS_SBC_ATT_TO_S_AND_M_PRETX/1M", "FPT=Q", "FPO=-3Q", "ACT_EST_MAPPING=PRECISE", "FS=MRC", "CURRENCY=USD", "XLFILL=b")</f>
        <v>1207</v>
      </c>
      <c r="O236" s="9">
        <f>_xll.BQL("AMZN US Equity", "IS_SBC_ATT_TO_S_AND_M_PRETX/1M", "FPT=Q", "FPO=-2Q", "ACT_EST_MAPPING=PRECISE", "FS=MRC", "CURRENCY=USD", "XLFILL=b")</f>
        <v>832</v>
      </c>
      <c r="P236" s="9">
        <f>_xll.BQL("AMZN US Equity", "IS_SBC_ATT_TO_S_AND_M_PRETX/1M", "FPT=Q", "FPO=-1Q", "ACT_EST_MAPPING=PRECISE", "FS=MRC", "CURRENCY=USD", "XLFILL=b")</f>
        <v>753</v>
      </c>
      <c r="Q236" s="9">
        <f>_xll.BQL("AMZN US Equity", "IS_SBC_ATT_TO_S_AND_M_PRETX/1M", "FPT=Q", "FPO=0Q", "ACT_EST_MAPPING=PRECISE", "FS=MRC", "CURRENCY=USD", "XLFILL=b")</f>
        <v>663</v>
      </c>
      <c r="R236" s="9">
        <f>_xll.BQL("AMZN US Equity", "IS_SBC_ATT_TO_S_AND_M_PRETX/1M", "FPT=Q", "FPO=1Q", "ACT_EST_MAPPING=PRECISE", "FS=MRC", "CURRENCY=USD", "XLFILL=b")</f>
        <v>1167.7417064103024</v>
      </c>
      <c r="S236" s="9">
        <f>_xll.BQL("AMZN US Equity", "IS_SBC_ATT_TO_S_AND_M_PRETX/1M", "FPT=Q", "FPO=2Q", "ACT_EST_MAPPING=PRECISE", "FS=MRC", "CURRENCY=USD", "XLFILL=b")</f>
        <v>1007.7675247701349</v>
      </c>
      <c r="T236" s="9">
        <f>_xll.BQL("AMZN US Equity", "IS_SBC_ATT_TO_S_AND_M_PRETX/1M", "FPT=Q", "FPO=3Q", "ACT_EST_MAPPING=PRECISE", "FS=MRC", "CURRENCY=USD", "XLFILL=b")</f>
        <v>870.40653640348262</v>
      </c>
      <c r="U236" s="9">
        <f>_xll.BQL("AMZN US Equity", "IS_SBC_ATT_TO_S_AND_M_PRETX/1M", "FPT=Q", "FPO=4Q", "ACT_EST_MAPPING=PRECISE", "FS=MRC", "CURRENCY=USD", "XLFILL=b")</f>
        <v>827.7547500553228</v>
      </c>
      <c r="V236" s="9">
        <f>_xll.BQL("AMZN US Equity", "IS_SBC_ATT_TO_S_AND_M_PRETX/1M", "FPT=Q", "FPO=5Q", "ACT_EST_MAPPING=PRECISE", "FS=MRC", "CURRENCY=USD", "XLFILL=b")</f>
        <v>1283.7981706465846</v>
      </c>
      <c r="W236" s="9">
        <f>_xll.BQL("AMZN US Equity", "IS_SBC_ATT_TO_S_AND_M_PRETX/1M", "FPT=Q", "FPO=6Q", "ACT_EST_MAPPING=PRECISE", "FS=MRC", "CURRENCY=USD", "XLFILL=b")</f>
        <v>1008.5285489391836</v>
      </c>
      <c r="X236" s="9">
        <f>_xll.BQL("AMZN US Equity", "IS_SBC_ATT_TO_S_AND_M_PRETX/1M", "FPT=Q", "FPO=7Q", "ACT_EST_MAPPING=PRECISE", "FS=MRC", "CURRENCY=USD", "XLFILL=b")</f>
        <v>970.00075816659091</v>
      </c>
    </row>
    <row r="237" spans="1:24" x14ac:dyDescent="0.25">
      <c r="A237" s="8" t="s">
        <v>323</v>
      </c>
      <c r="B237" s="4" t="s">
        <v>324</v>
      </c>
      <c r="C237" s="4" t="s">
        <v>325</v>
      </c>
      <c r="D237" s="4"/>
      <c r="E237" s="9">
        <f>_xll.BQL("AMZN US Equity", "IS_SBC_ATTRIBUTABLE_TO_R_AND_D_PRETX/1M", "FPT=Q", "FPO=-12Q", "ACT_EST_MAPPING=PRECISE", "FS=MRC", "CURRENCY=USD", "XLFILL=b")</f>
        <v>2574</v>
      </c>
      <c r="F237" s="9">
        <f>_xll.BQL("AMZN US Equity", "IS_SBC_ATTRIBUTABLE_TO_R_AND_D_PRETX/1M", "FPT=Q", "FPO=-11Q", "ACT_EST_MAPPING=PRECISE", "FS=MRC", "CURRENCY=USD", "XLFILL=b")</f>
        <v>4043</v>
      </c>
      <c r="G237" s="9">
        <f>_xll.BQL("AMZN US Equity", "IS_SBC_ATTRIBUTABLE_TO_R_AND_D_PRETX/1M", "FPT=Q", "FPO=-10Q", "ACT_EST_MAPPING=PRECISE", "FS=MRC", "CURRENCY=USD", "XLFILL=b")</f>
        <v>3284</v>
      </c>
      <c r="H237" s="9">
        <f>_xll.BQL("AMZN US Equity", "IS_SBC_ATTRIBUTABLE_TO_R_AND_D_PRETX/1M", "FPT=Q", "FPO=-9Q", "ACT_EST_MAPPING=PRECISE", "FS=MRC", "CURRENCY=USD", "XLFILL=b")</f>
        <v>3533</v>
      </c>
      <c r="I237" s="9">
        <f>_xll.BQL("AMZN US Equity", "IS_SBC_ATTRIBUTABLE_TO_R_AND_D_PRETX/1M", "FPT=Q", "FPO=-8Q", "ACT_EST_MAPPING=PRECISE", "FS=MRC", "CURRENCY=USD", "XLFILL=b")</f>
        <v>2772</v>
      </c>
      <c r="J237" s="9">
        <f>_xll.BQL("AMZN US Equity", "IS_SBC_ATTRIBUTABLE_TO_R_AND_D_PRETX/1M", "FPT=Q", "FPO=-7Q", "ACT_EST_MAPPING=PRECISE", "FS=MRC", "CURRENCY=USD", "XLFILL=b")</f>
        <v>3670</v>
      </c>
      <c r="K237" s="9">
        <f>_xll.BQL("AMZN US Equity", "IS_SBC_ATTRIBUTABLE_TO_R_AND_D_PRETX/1M", "FPT=Q", "FPO=-6Q", "ACT_EST_MAPPING=PRECISE", "FS=MRC", "CURRENCY=USD", "XLFILL=b")</f>
        <v>2961</v>
      </c>
      <c r="L237" s="9">
        <f>_xll.BQL("AMZN US Equity", "IS_SBC_ATTRIBUTABLE_TO_R_AND_D_PRETX/1M", "FPT=Q", "FPO=-5Q", "ACT_EST_MAPPING=PRECISE", "FS=MRC", "CURRENCY=USD", "XLFILL=b")</f>
        <v>2747</v>
      </c>
      <c r="M237" s="9">
        <f>_xll.BQL("AMZN US Equity", "IS_SBC_ATTRIBUTABLE_TO_R_AND_D_PRETX/1M", "FPT=Q", "FPO=-4Q", "ACT_EST_MAPPING=PRECISE", "FS=MRC", "CURRENCY=USD", "XLFILL=b")</f>
        <v>2060</v>
      </c>
      <c r="N237" s="9">
        <f>_xll.BQL("AMZN US Equity", "IS_SBC_ATTRIBUTABLE_TO_R_AND_D_PRETX/1M", "FPT=Q", "FPO=-3Q", "ACT_EST_MAPPING=PRECISE", "FS=MRC", "CURRENCY=USD", "XLFILL=b")</f>
        <v>3655</v>
      </c>
      <c r="O237" s="9">
        <f>_xll.BQL("AMZN US Equity", "IS_SBC_ATTRIBUTABLE_TO_R_AND_D_PRETX/1M", "FPT=Q", "FPO=-2Q", "ACT_EST_MAPPING=PRECISE", "FS=MRC", "CURRENCY=USD", "XLFILL=b")</f>
        <v>2697</v>
      </c>
      <c r="P237" s="9">
        <f>_xll.BQL("AMZN US Equity", "IS_SBC_ATTRIBUTABLE_TO_R_AND_D_PRETX/1M", "FPT=Q", "FPO=-1Q", "ACT_EST_MAPPING=PRECISE", "FS=MRC", "CURRENCY=USD", "XLFILL=b")</f>
        <v>2459</v>
      </c>
      <c r="Q237" s="9">
        <f>_xll.BQL("AMZN US Equity", "IS_SBC_ATTRIBUTABLE_TO_R_AND_D_PRETX/1M", "FPT=Q", "FPO=0Q", "ACT_EST_MAPPING=PRECISE", "FS=MRC", "CURRENCY=USD", "XLFILL=b")</f>
        <v>2286</v>
      </c>
      <c r="R237" s="9">
        <f>_xll.BQL("AMZN US Equity", "IS_SBC_ATTRIBUTABLE_TO_R_AND_D_PRETX/1M", "FPT=Q", "FPO=1Q", "ACT_EST_MAPPING=PRECISE", "FS=MRC", "CURRENCY=USD", "XLFILL=b")</f>
        <v>3671.5675198076738</v>
      </c>
      <c r="S237" s="9">
        <f>_xll.BQL("AMZN US Equity", "IS_SBC_ATTRIBUTABLE_TO_R_AND_D_PRETX/1M", "FPT=Q", "FPO=2Q", "ACT_EST_MAPPING=PRECISE", "FS=MRC", "CURRENCY=USD", "XLFILL=b")</f>
        <v>2852.0930979271561</v>
      </c>
      <c r="T237" s="9">
        <f>_xll.BQL("AMZN US Equity", "IS_SBC_ATTRIBUTABLE_TO_R_AND_D_PRETX/1M", "FPT=Q", "FPO=3Q", "ACT_EST_MAPPING=PRECISE", "FS=MRC", "CURRENCY=USD", "XLFILL=b")</f>
        <v>2870.2973497331118</v>
      </c>
      <c r="U237" s="9">
        <f>_xll.BQL("AMZN US Equity", "IS_SBC_ATTRIBUTABLE_TO_R_AND_D_PRETX/1M", "FPT=Q", "FPO=4Q", "ACT_EST_MAPPING=PRECISE", "FS=MRC", "CURRENCY=USD", "XLFILL=b")</f>
        <v>2596.5050817407819</v>
      </c>
      <c r="V237" s="9">
        <f>_xll.BQL("AMZN US Equity", "IS_SBC_ATTRIBUTABLE_TO_R_AND_D_PRETX/1M", "FPT=Q", "FPO=5Q", "ACT_EST_MAPPING=PRECISE", "FS=MRC", "CURRENCY=USD", "XLFILL=b")</f>
        <v>4002.7552431159129</v>
      </c>
      <c r="W237" s="9">
        <f>_xll.BQL("AMZN US Equity", "IS_SBC_ATTRIBUTABLE_TO_R_AND_D_PRETX/1M", "FPT=Q", "FPO=6Q", "ACT_EST_MAPPING=PRECISE", "FS=MRC", "CURRENCY=USD", "XLFILL=b")</f>
        <v>3221.7181541286736</v>
      </c>
      <c r="X237" s="9">
        <f>_xll.BQL("AMZN US Equity", "IS_SBC_ATTRIBUTABLE_TO_R_AND_D_PRETX/1M", "FPT=Q", "FPO=7Q", "ACT_EST_MAPPING=PRECISE", "FS=MRC", "CURRENCY=USD", "XLFILL=b")</f>
        <v>3154.6313145193103</v>
      </c>
    </row>
    <row r="238" spans="1:24" x14ac:dyDescent="0.25">
      <c r="A238" s="8" t="s">
        <v>326</v>
      </c>
      <c r="B238" s="4" t="s">
        <v>327</v>
      </c>
      <c r="C238" s="4" t="s">
        <v>328</v>
      </c>
      <c r="D238" s="4"/>
      <c r="E238" s="9">
        <f>_xll.BQL("AMZN US Equity", "IS_SBC_ATT_TO_GENL_AND_ADMIN_PRETX/1M", "FPT=Q", "FPO=-12Q", "ACT_EST_MAPPING=PRECISE", "FS=MRC", "CURRENCY=USD", "XLFILL=b")</f>
        <v>413</v>
      </c>
      <c r="F238" s="9">
        <f>_xll.BQL("AMZN US Equity", "IS_SBC_ATT_TO_GENL_AND_ADMIN_PRETX/1M", "FPT=Q", "FPO=-11Q", "ACT_EST_MAPPING=PRECISE", "FS=MRC", "CURRENCY=USD", "XLFILL=b")</f>
        <v>598</v>
      </c>
      <c r="G238" s="9">
        <f>_xll.BQL("AMZN US Equity", "IS_SBC_ATT_TO_GENL_AND_ADMIN_PRETX/1M", "FPT=Q", "FPO=-10Q", "ACT_EST_MAPPING=PRECISE", "FS=MRC", "CURRENCY=USD", "XLFILL=b")</f>
        <v>509</v>
      </c>
      <c r="H238" s="9">
        <f>_xll.BQL("AMZN US Equity", "IS_SBC_ATT_TO_GENL_AND_ADMIN_PRETX/1M", "FPT=Q", "FPO=-9Q", "ACT_EST_MAPPING=PRECISE", "FS=MRC", "CURRENCY=USD", "XLFILL=b")</f>
        <v>520</v>
      </c>
      <c r="I238" s="9">
        <f>_xll.BQL("AMZN US Equity", "IS_SBC_ATT_TO_GENL_AND_ADMIN_PRETX/1M", "FPT=Q", "FPO=-8Q", "ACT_EST_MAPPING=PRECISE", "FS=MRC", "CURRENCY=USD", "XLFILL=b")</f>
        <v>447</v>
      </c>
      <c r="J238" s="9">
        <f>_xll.BQL("AMZN US Equity", "IS_SBC_ATT_TO_GENL_AND_ADMIN_PRETX/1M", "FPT=Q", "FPO=-7Q", "ACT_EST_MAPPING=PRECISE", "FS=MRC", "CURRENCY=USD", "XLFILL=b")</f>
        <v>618</v>
      </c>
      <c r="K238" s="9">
        <f>_xll.BQL("AMZN US Equity", "IS_SBC_ATT_TO_GENL_AND_ADMIN_PRETX/1M", "FPT=Q", "FPO=-6Q", "ACT_EST_MAPPING=PRECISE", "FS=MRC", "CURRENCY=USD", "XLFILL=b")</f>
        <v>471</v>
      </c>
      <c r="L238" s="9">
        <f>_xll.BQL("AMZN US Equity", "IS_SBC_ATT_TO_GENL_AND_ADMIN_PRETX/1M", "FPT=Q", "FPO=-5Q", "ACT_EST_MAPPING=PRECISE", "FS=MRC", "CURRENCY=USD", "XLFILL=b")</f>
        <v>430</v>
      </c>
      <c r="M238" s="9">
        <f>_xll.BQL("AMZN US Equity", "IS_SBC_ATT_TO_GENL_AND_ADMIN_PRETX/1M", "FPT=Q", "FPO=-4Q", "ACT_EST_MAPPING=PRECISE", "FS=MRC", "CURRENCY=USD", "XLFILL=b")</f>
        <v>331</v>
      </c>
      <c r="N238" s="9">
        <f>_xll.BQL("AMZN US Equity", "IS_SBC_ATT_TO_GENL_AND_ADMIN_PRETX/1M", "FPT=Q", "FPO=-3Q", "ACT_EST_MAPPING=PRECISE", "FS=MRC", "CURRENCY=USD", "XLFILL=b")</f>
        <v>542</v>
      </c>
      <c r="O238" s="9">
        <f>_xll.BQL("AMZN US Equity", "IS_SBC_ATT_TO_GENL_AND_ADMIN_PRETX/1M", "FPT=Q", "FPO=-2Q", "ACT_EST_MAPPING=PRECISE", "FS=MRC", "CURRENCY=USD", "XLFILL=b")</f>
        <v>436</v>
      </c>
      <c r="P238" s="9">
        <f>_xll.BQL("AMZN US Equity", "IS_SBC_ATT_TO_GENL_AND_ADMIN_PRETX/1M", "FPT=Q", "FPO=-1Q", "ACT_EST_MAPPING=PRECISE", "FS=MRC", "CURRENCY=USD", "XLFILL=b")</f>
        <v>362</v>
      </c>
      <c r="Q238" s="9">
        <f>_xll.BQL("AMZN US Equity", "IS_SBC_ATT_TO_GENL_AND_ADMIN_PRETX/1M", "FPT=Q", "FPO=0Q", "ACT_EST_MAPPING=PRECISE", "FS=MRC", "CURRENCY=USD", "XLFILL=b")</f>
        <v>311</v>
      </c>
      <c r="R238" s="9">
        <f>_xll.BQL("AMZN US Equity", "IS_SBC_ATT_TO_GENL_AND_ADMIN_PRETX/1M", "FPT=Q", "FPO=1Q", "ACT_EST_MAPPING=PRECISE", "FS=MRC", "CURRENCY=USD", "XLFILL=b")</f>
        <v>544.32612009951981</v>
      </c>
      <c r="S238" s="9">
        <f>_xll.BQL("AMZN US Equity", "IS_SBC_ATT_TO_GENL_AND_ADMIN_PRETX/1M", "FPT=Q", "FPO=2Q", "ACT_EST_MAPPING=PRECISE", "FS=MRC", "CURRENCY=USD", "XLFILL=b")</f>
        <v>439.36202068201419</v>
      </c>
      <c r="T238" s="9">
        <f>_xll.BQL("AMZN US Equity", "IS_SBC_ATT_TO_GENL_AND_ADMIN_PRETX/1M", "FPT=Q", "FPO=3Q", "ACT_EST_MAPPING=PRECISE", "FS=MRC", "CURRENCY=USD", "XLFILL=b")</f>
        <v>332.34036307267587</v>
      </c>
      <c r="U238" s="9">
        <f>_xll.BQL("AMZN US Equity", "IS_SBC_ATT_TO_GENL_AND_ADMIN_PRETX/1M", "FPT=Q", "FPO=4Q", "ACT_EST_MAPPING=PRECISE", "FS=MRC", "CURRENCY=USD", "XLFILL=b")</f>
        <v>214.75563248384984</v>
      </c>
      <c r="V238" s="9">
        <f>_xll.BQL("AMZN US Equity", "IS_SBC_ATT_TO_GENL_AND_ADMIN_PRETX/1M", "FPT=Q", "FPO=5Q", "ACT_EST_MAPPING=PRECISE", "FS=MRC", "CURRENCY=USD", "XLFILL=b")</f>
        <v>577.65586619593057</v>
      </c>
      <c r="W238" s="9">
        <f>_xll.BQL("AMZN US Equity", "IS_SBC_ATT_TO_GENL_AND_ADMIN_PRETX/1M", "FPT=Q", "FPO=6Q", "ACT_EST_MAPPING=PRECISE", "FS=MRC", "CURRENCY=USD", "XLFILL=b")</f>
        <v>440.60377910411495</v>
      </c>
      <c r="X238" s="9">
        <f>_xll.BQL("AMZN US Equity", "IS_SBC_ATT_TO_GENL_AND_ADMIN_PRETX/1M", "FPT=Q", "FPO=7Q", "ACT_EST_MAPPING=PRECISE", "FS=MRC", "CURRENCY=USD", "XLFILL=b")</f>
        <v>344.52920012638583</v>
      </c>
    </row>
    <row r="239" spans="1:24" x14ac:dyDescent="0.25">
      <c r="A239" s="8" t="s">
        <v>329</v>
      </c>
      <c r="B239" s="4" t="s">
        <v>330</v>
      </c>
      <c r="C239" s="4" t="s">
        <v>331</v>
      </c>
      <c r="D239" s="4"/>
      <c r="E239" s="9">
        <f>_xll.BQL("AMZN US Equity", "IS_SBC_ATTRIBUTABLE_TO_OTH_PRETX/1M", "FPT=Q", "FPO=-12Q", "ACT_EST_MAPPING=PRECISE", "FS=MRC", "CURRENCY=USD", "XLFILL=b")</f>
        <v>603</v>
      </c>
      <c r="F239" s="9">
        <f>_xll.BQL("AMZN US Equity", "IS_SBC_ATTRIBUTABLE_TO_OTH_PRETX/1M", "FPT=Q", "FPO=-11Q", "ACT_EST_MAPPING=PRECISE", "FS=MRC", "CURRENCY=USD", "XLFILL=b")</f>
        <v>932</v>
      </c>
      <c r="G239" s="9">
        <f>_xll.BQL("AMZN US Equity", "IS_SBC_ATTRIBUTABLE_TO_OTH_PRETX/1M", "FPT=Q", "FPO=-10Q", "ACT_EST_MAPPING=PRECISE", "FS=MRC", "CURRENCY=USD", "XLFILL=b")</f>
        <v>732</v>
      </c>
      <c r="H239" s="9">
        <f>_xll.BQL("AMZN US Equity", "IS_SBC_ATTRIBUTABLE_TO_OTH_PRETX/1M", "FPT=Q", "FPO=-9Q", "ACT_EST_MAPPING=PRECISE", "FS=MRC", "CURRENCY=USD", "XLFILL=b")</f>
        <v>823</v>
      </c>
      <c r="I239" s="9">
        <f>_xll.BQL("AMZN US Equity", "IS_SBC_ATTRIBUTABLE_TO_OTH_PRETX/1M", "FPT=Q", "FPO=-8Q", "ACT_EST_MAPPING=PRECISE", "FS=MRC", "CURRENCY=USD", "XLFILL=b")</f>
        <v>636</v>
      </c>
      <c r="J239" s="9">
        <f>_xll.BQL("AMZN US Equity", "IS_SBC_ATTRIBUTABLE_TO_OTH_PRETX/1M", "FPT=Q", "FPO=-7Q", "ACT_EST_MAPPING=PRECISE", "FS=MRC", "CURRENCY=USD", "XLFILL=b")</f>
        <v>944</v>
      </c>
      <c r="K239" s="9">
        <f>_xll.BQL("AMZN US Equity", "IS_SBC_ATTRIBUTABLE_TO_OTH_PRETX/1M", "FPT=Q", "FPO=-6Q", "ACT_EST_MAPPING=PRECISE", "FS=MRC", "CURRENCY=USD", "XLFILL=b")</f>
        <v>696</v>
      </c>
      <c r="L239" s="9">
        <f>_xll.BQL("AMZN US Equity", "IS_SBC_ATTRIBUTABLE_TO_OTH_PRETX/1M", "FPT=Q", "FPO=-5Q", "ACT_EST_MAPPING=PRECISE", "FS=MRC", "CURRENCY=USD", "XLFILL=b")</f>
        <v>697</v>
      </c>
      <c r="M239" s="9">
        <f>_xll.BQL("AMZN US Equity", "IS_SBC_ATTRIBUTABLE_TO_OTH_PRETX/1M", "FPT=Q", "FPO=-4Q", "ACT_EST_MAPPING=PRECISE", "FS=MRC", "CURRENCY=USD", "XLFILL=b")</f>
        <v>497</v>
      </c>
      <c r="N239" s="9">
        <f>_xll.BQL("AMZN US Equity", "IS_SBC_ATTRIBUTABLE_TO_OTH_PRETX/1M", "FPT=Q", "FPO=-3Q", "ACT_EST_MAPPING=PRECISE", "FS=MRC", "CURRENCY=USD", "XLFILL=b")</f>
        <v>880</v>
      </c>
      <c r="O239" s="9">
        <f>_xll.BQL("AMZN US Equity", "IS_SBC_ATTRIBUTABLE_TO_OTH_PRETX/1M", "FPT=Q", "FPO=-2Q", "ACT_EST_MAPPING=PRECISE", "FS=MRC", "CURRENCY=USD", "XLFILL=b")</f>
        <v>685</v>
      </c>
      <c r="P239" s="9">
        <f>_xll.BQL("AMZN US Equity", "IS_SBC_ATTRIBUTABLE_TO_OTH_PRETX/1M", "FPT=Q", "FPO=-1Q", "ACT_EST_MAPPING=PRECISE", "FS=MRC", "CURRENCY=USD", "XLFILL=b")</f>
        <v>641</v>
      </c>
      <c r="Q239" s="9">
        <f>_xll.BQL("AMZN US Equity", "IS_SBC_ATTRIBUTABLE_TO_OTH_PRETX/1M", "FPT=Q", "FPO=0Q", "ACT_EST_MAPPING=PRECISE", "FS=MRC", "CURRENCY=USD", "XLFILL=b")</f>
        <v>601</v>
      </c>
      <c r="R239" s="9">
        <f>_xll.BQL("AMZN US Equity", "IS_SBC_ATTRIBUTABLE_TO_OTH_PRETX/1M", "FPT=Q", "FPO=1Q", "ACT_EST_MAPPING=PRECISE", "FS=MRC", "CURRENCY=USD", "XLFILL=b")</f>
        <v>985.79259411266651</v>
      </c>
      <c r="S239" s="9">
        <f>_xll.BQL("AMZN US Equity", "IS_SBC_ATTRIBUTABLE_TO_OTH_PRETX/1M", "FPT=Q", "FPO=2Q", "ACT_EST_MAPPING=PRECISE", "FS=MRC", "CURRENCY=USD", "XLFILL=b")</f>
        <v>780.17667305669795</v>
      </c>
      <c r="T239" s="9">
        <f>_xll.BQL("AMZN US Equity", "IS_SBC_ATTRIBUTABLE_TO_OTH_PRETX/1M", "FPT=Q", "FPO=3Q", "ACT_EST_MAPPING=PRECISE", "FS=MRC", "CURRENCY=USD", "XLFILL=b")</f>
        <v>750.59965560530861</v>
      </c>
      <c r="U239" s="9">
        <f>_xll.BQL("AMZN US Equity", "IS_SBC_ATTRIBUTABLE_TO_OTH_PRETX/1M", "FPT=Q", "FPO=4Q", "ACT_EST_MAPPING=PRECISE", "FS=MRC", "CURRENCY=USD", "XLFILL=b")</f>
        <v>700.67534219543347</v>
      </c>
      <c r="V239" s="9">
        <f>_xll.BQL("AMZN US Equity", "IS_SBC_ATTRIBUTABLE_TO_OTH_PRETX/1M", "FPT=Q", "FPO=5Q", "ACT_EST_MAPPING=PRECISE", "FS=MRC", "CURRENCY=USD", "XLFILL=b")</f>
        <v>1094.2471362187805</v>
      </c>
      <c r="W239" s="9">
        <f>_xll.BQL("AMZN US Equity", "IS_SBC_ATTRIBUTABLE_TO_OTH_PRETX/1M", "FPT=Q", "FPO=6Q", "ACT_EST_MAPPING=PRECISE", "FS=MRC", "CURRENCY=USD", "XLFILL=b")</f>
        <v>859.56430401122441</v>
      </c>
      <c r="X239" s="9">
        <f>_xll.BQL("AMZN US Equity", "IS_SBC_ATTRIBUTABLE_TO_OTH_PRETX/1M", "FPT=Q", "FPO=7Q", "ACT_EST_MAPPING=PRECISE", "FS=MRC", "CURRENCY=USD", "XLFILL=b")</f>
        <v>824.08750274033798</v>
      </c>
    </row>
    <row r="240" spans="1:24" x14ac:dyDescent="0.25">
      <c r="A240" s="8" t="s">
        <v>14</v>
      </c>
      <c r="B240" s="4"/>
      <c r="C240" s="4"/>
      <c r="D240" s="4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</row>
    <row r="241" spans="1:24" x14ac:dyDescent="0.25">
      <c r="A241" s="8" t="s">
        <v>332</v>
      </c>
      <c r="B241" s="4"/>
      <c r="C241" s="4"/>
      <c r="D241" s="4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</row>
    <row r="242" spans="1:24" x14ac:dyDescent="0.25">
      <c r="A242" s="8" t="s">
        <v>333</v>
      </c>
      <c r="B242" s="4"/>
      <c r="C242" s="4"/>
      <c r="D242" s="4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</row>
    <row r="243" spans="1:24" x14ac:dyDescent="0.25">
      <c r="A243" s="8" t="s">
        <v>334</v>
      </c>
      <c r="B243" s="4" t="s">
        <v>335</v>
      </c>
      <c r="C243" s="4" t="s">
        <v>336</v>
      </c>
      <c r="D243" s="4"/>
      <c r="E243" s="9">
        <f>_xll.BQL("AMZN US Equity", "BS_CUR_ASSET_REPORT/1M", "FPT=Q", "FPO=-12Q", "ACT_EST_MAPPING=PRECISE", "FS=MRC", "CURRENCY=USD", "XLFILL=b")</f>
        <v>136221</v>
      </c>
      <c r="F243" s="9">
        <f>_xll.BQL("AMZN US Equity", "BS_CUR_ASSET_REPORT/1M", "FPT=Q", "FPO=-11Q", "ACT_EST_MAPPING=PRECISE", "FS=MRC", "CURRENCY=USD", "XLFILL=b")</f>
        <v>140482</v>
      </c>
      <c r="G243" s="9">
        <f>_xll.BQL("AMZN US Equity", "BS_CUR_ASSET_REPORT/1M", "FPT=Q", "FPO=-10Q", "ACT_EST_MAPPING=PRECISE", "FS=MRC", "CURRENCY=USD", "XLFILL=b")</f>
        <v>142995</v>
      </c>
      <c r="H243" s="9">
        <f>_xll.BQL("AMZN US Equity", "BS_CUR_ASSET_REPORT/1M", "FPT=Q", "FPO=-9Q", "ACT_EST_MAPPING=PRECISE", "FS=MRC", "CURRENCY=USD", "XLFILL=b")</f>
        <v>172351</v>
      </c>
      <c r="I243" s="9">
        <f>_xll.BQL("AMZN US Equity", "BS_CUR_ASSET_REPORT/1M", "FPT=Q", "FPO=-8Q", "ACT_EST_MAPPING=PRECISE", "FS=MRC", "CURRENCY=USD", "XLFILL=b")</f>
        <v>163989</v>
      </c>
      <c r="J243" s="9">
        <f>_xll.BQL("AMZN US Equity", "BS_CUR_ASSET_REPORT/1M", "FPT=Q", "FPO=-7Q", "ACT_EST_MAPPING=PRECISE", "FS=MRC", "CURRENCY=USD", "XLFILL=b")</f>
        <v>173307</v>
      </c>
      <c r="K243" s="9">
        <f>_xll.BQL("AMZN US Equity", "BS_CUR_ASSET_REPORT/1M", "FPT=Q", "FPO=-6Q", "ACT_EST_MAPPING=PRECISE", "FS=MRC", "CURRENCY=USD", "XLFILL=b")</f>
        <v>175792</v>
      </c>
      <c r="L243" s="9">
        <f>_xll.BQL("AMZN US Equity", "BS_CUR_ASSET_REPORT/1M", "FPT=Q", "FPO=-5Q", "ACT_EST_MAPPING=PRECISE", "FS=MRC", "CURRENCY=USD", "XLFILL=b")</f>
        <v>190867</v>
      </c>
      <c r="M243" s="9">
        <f>_xll.BQL("AMZN US Equity", "BS_CUR_ASSET_REPORT/1M", "FPT=Q", "FPO=-4Q", "ACT_EST_MAPPING=PRECISE", "FS=MRC", "CURRENCY=USD", "XLFILL=b")</f>
        <v>184645</v>
      </c>
      <c r="N243" s="9">
        <f>_xll.BQL("AMZN US Equity", "BS_CUR_ASSET_REPORT/1M", "FPT=Q", "FPO=-3Q", "ACT_EST_MAPPING=PRECISE", "FS=MRC", "CURRENCY=USD", "XLFILL=b")</f>
        <v>191420</v>
      </c>
      <c r="O243" s="9">
        <f>_xll.BQL("AMZN US Equity", "BS_CUR_ASSET_REPORT/1M", "FPT=Q", "FPO=-2Q", "ACT_EST_MAPPING=PRECISE", "FS=MRC", "CURRENCY=USD", "XLFILL=b")</f>
        <v>196866</v>
      </c>
      <c r="P243" s="9">
        <f>_xll.BQL("AMZN US Equity", "BS_CUR_ASSET_REPORT/1M", "FPT=Q", "FPO=-1Q", "ACT_EST_MAPPING=PRECISE", "FS=MRC", "CURRENCY=USD", "XLFILL=b")</f>
        <v>229083</v>
      </c>
      <c r="Q243" s="9">
        <f>_xll.BQL("AMZN US Equity", "BS_CUR_ASSET_REPORT/1M", "FPT=Q", "FPO=0Q", "ACT_EST_MAPPING=PRECISE", "FS=MRC", "CURRENCY=USD", "XLFILL=b")</f>
        <v>255155</v>
      </c>
      <c r="R243" s="9">
        <f>_xll.BQL("AMZN US Equity", "BS_CUR_ASSET_REPORT/1M", "FPT=Q", "FPO=1Q", "ACT_EST_MAPPING=PRECISE", "FS=MRC", "CURRENCY=USD", "XLFILL=b")</f>
        <v>260631.90185945356</v>
      </c>
      <c r="S243" s="9">
        <f>_xll.BQL("AMZN US Equity", "BS_CUR_ASSET_REPORT/1M", "FPT=Q", "FPO=2Q", "ACT_EST_MAPPING=PRECISE", "FS=MRC", "CURRENCY=USD", "XLFILL=b")</f>
        <v>258729.94765941249</v>
      </c>
      <c r="T243" s="9">
        <f>_xll.BQL("AMZN US Equity", "BS_CUR_ASSET_REPORT/1M", "FPT=Q", "FPO=3Q", "ACT_EST_MAPPING=PRECISE", "FS=MRC", "CURRENCY=USD", "XLFILL=b")</f>
        <v>274027.4495989579</v>
      </c>
      <c r="U243" s="9">
        <f>_xll.BQL("AMZN US Equity", "BS_CUR_ASSET_REPORT/1M", "FPT=Q", "FPO=4Q", "ACT_EST_MAPPING=PRECISE", "FS=MRC", "CURRENCY=USD", "XLFILL=b")</f>
        <v>273021.54379801208</v>
      </c>
      <c r="V243" s="9">
        <f>_xll.BQL("AMZN US Equity", "BS_CUR_ASSET_REPORT/1M", "FPT=Q", "FPO=5Q", "ACT_EST_MAPPING=PRECISE", "FS=MRC", "CURRENCY=USD", "XLFILL=b")</f>
        <v>281510.4441162229</v>
      </c>
      <c r="W243" s="9">
        <f>_xll.BQL("AMZN US Equity", "BS_CUR_ASSET_REPORT/1M", "FPT=Q", "FPO=6Q", "ACT_EST_MAPPING=PRECISE", "FS=MRC", "CURRENCY=USD", "XLFILL=b")</f>
        <v>282222.31832498848</v>
      </c>
      <c r="X243" s="9">
        <f>_xll.BQL("AMZN US Equity", "BS_CUR_ASSET_REPORT/1M", "FPT=Q", "FPO=7Q", "ACT_EST_MAPPING=PRECISE", "FS=MRC", "CURRENCY=USD", "XLFILL=b")</f>
        <v>302564.26125317696</v>
      </c>
    </row>
    <row r="244" spans="1:24" x14ac:dyDescent="0.25">
      <c r="A244" s="8" t="s">
        <v>337</v>
      </c>
      <c r="B244" s="4" t="s">
        <v>338</v>
      </c>
      <c r="C244" s="4" t="s">
        <v>339</v>
      </c>
      <c r="D244" s="4"/>
      <c r="E244" s="9">
        <f>_xll.BQL("AMZN US Equity", "BS_CASH_CASH_EQUIVALENTS_AND_STI/1M", "FPT=Q", "FPO=-12Q", "ACT_EST_MAPPING=PRECISE", "FS=MRC", "CURRENCY=USD", "XLFILL=b")</f>
        <v>64405</v>
      </c>
      <c r="F244" s="9">
        <f>_xll.BQL("AMZN US Equity", "BS_CASH_CASH_EQUIVALENTS_AND_STI/1M", "FPT=Q", "FPO=-11Q", "ACT_EST_MAPPING=PRECISE", "FS=MRC", "CURRENCY=USD", "XLFILL=b")</f>
        <v>63970</v>
      </c>
      <c r="G244" s="9">
        <f>_xll.BQL("AMZN US Equity", "BS_CASH_CASH_EQUIVALENTS_AND_STI/1M", "FPT=Q", "FPO=-10Q", "ACT_EST_MAPPING=PRECISE", "FS=MRC", "CURRENCY=USD", "XLFILL=b")</f>
        <v>64169</v>
      </c>
      <c r="H244" s="9">
        <f>_xll.BQL("AMZN US Equity", "BS_CASH_CASH_EQUIVALENTS_AND_STI/1M", "FPT=Q", "FPO=-9Q", "ACT_EST_MAPPING=PRECISE", "FS=MRC", "CURRENCY=USD", "XLFILL=b")</f>
        <v>86780</v>
      </c>
      <c r="I244" s="9">
        <f>_xll.BQL("AMZN US Equity", "BS_CASH_CASH_EQUIVALENTS_AND_STI/1M", "FPT=Q", "FPO=-8Q", "ACT_EST_MAPPING=PRECISE", "FS=MRC", "CURRENCY=USD", "XLFILL=b")</f>
        <v>85074</v>
      </c>
      <c r="J244" s="9">
        <f>_xll.BQL("AMZN US Equity", "BS_CASH_CASH_EQUIVALENTS_AND_STI/1M", "FPT=Q", "FPO=-7Q", "ACT_EST_MAPPING=PRECISE", "FS=MRC", "CURRENCY=USD", "XLFILL=b")</f>
        <v>89092</v>
      </c>
      <c r="K244" s="9">
        <f>_xll.BQL("AMZN US Equity", "BS_CASH_CASH_EQUIVALENTS_AND_STI/1M", "FPT=Q", "FPO=-6Q", "ACT_EST_MAPPING=PRECISE", "FS=MRC", "CURRENCY=USD", "XLFILL=b")</f>
        <v>88051</v>
      </c>
      <c r="L244" s="9">
        <f>_xll.BQL("AMZN US Equity", "BS_CASH_CASH_EQUIVALENTS_AND_STI/1M", "FPT=Q", "FPO=-5Q", "ACT_EST_MAPPING=PRECISE", "FS=MRC", "CURRENCY=USD", "XLFILL=b")</f>
        <v>101202</v>
      </c>
      <c r="M244" s="9">
        <f>_xll.BQL("AMZN US Equity", "BS_CASH_CASH_EQUIVALENTS_AND_STI/1M", "FPT=Q", "FPO=-4Q", "ACT_EST_MAPPING=PRECISE", "FS=MRC", "CURRENCY=USD", "XLFILL=b")</f>
        <v>94565</v>
      </c>
      <c r="N244" s="9">
        <f>_xll.BQL("AMZN US Equity", "BS_CASH_CASH_EQUIVALENTS_AND_STI/1M", "FPT=Q", "FPO=-3Q", "ACT_EST_MAPPING=PRECISE", "FS=MRC", "CURRENCY=USD", "XLFILL=b")</f>
        <v>93180</v>
      </c>
      <c r="O244" s="9">
        <f>_xll.BQL("AMZN US Equity", "BS_CASH_CASH_EQUIVALENTS_AND_STI/1M", "FPT=Q", "FPO=-2Q", "ACT_EST_MAPPING=PRECISE", "FS=MRC", "CURRENCY=USD", "XLFILL=b")</f>
        <v>94197</v>
      </c>
      <c r="P244" s="9">
        <f>_xll.BQL("AMZN US Equity", "BS_CASH_CASH_EQUIVALENTS_AND_STI/1M", "FPT=Q", "FPO=-1Q", "ACT_EST_MAPPING=PRECISE", "FS=MRC", "CURRENCY=USD", "XLFILL=b")</f>
        <v>123029</v>
      </c>
      <c r="Q244" s="9">
        <f>_xll.BQL("AMZN US Equity", "BS_CASH_CASH_EQUIVALENTS_AND_STI/1M", "FPT=Q", "FPO=0Q", "ACT_EST_MAPPING=PRECISE", "FS=MRC", "CURRENCY=USD", "XLFILL=b")</f>
        <v>143089</v>
      </c>
      <c r="R244" s="9">
        <f>_xll.BQL("AMZN US Equity", "BS_CASH_CASH_EQUIVALENTS_AND_STI/1M", "FPT=Q", "FPO=1Q", "ACT_EST_MAPPING=PRECISE", "FS=MRC", "CURRENCY=USD", "XLFILL=b")</f>
        <v>144222.81199879243</v>
      </c>
      <c r="S244" s="9">
        <f>_xll.BQL("AMZN US Equity", "BS_CASH_CASH_EQUIVALENTS_AND_STI/1M", "FPT=Q", "FPO=2Q", "ACT_EST_MAPPING=PRECISE", "FS=MRC", "CURRENCY=USD", "XLFILL=b")</f>
        <v>143512.60608397971</v>
      </c>
      <c r="T244" s="9">
        <f>_xll.BQL("AMZN US Equity", "BS_CASH_CASH_EQUIVALENTS_AND_STI/1M", "FPT=Q", "FPO=3Q", "ACT_EST_MAPPING=PRECISE", "FS=MRC", "CURRENCY=USD", "XLFILL=b")</f>
        <v>156779.85827526596</v>
      </c>
      <c r="U244" s="9">
        <f>_xll.BQL("AMZN US Equity", "BS_CASH_CASH_EQUIVALENTS_AND_STI/1M", "FPT=Q", "FPO=4Q", "ACT_EST_MAPPING=PRECISE", "FS=MRC", "CURRENCY=USD", "XLFILL=b")</f>
        <v>132994.64180566094</v>
      </c>
      <c r="V244" s="9">
        <f>_xll.BQL("AMZN US Equity", "BS_CASH_CASH_EQUIVALENTS_AND_STI/1M", "FPT=Q", "FPO=5Q", "ACT_EST_MAPPING=PRECISE", "FS=MRC", "CURRENCY=USD", "XLFILL=b")</f>
        <v>141326.11041439339</v>
      </c>
      <c r="W244" s="9">
        <f>_xll.BQL("AMZN US Equity", "BS_CASH_CASH_EQUIVALENTS_AND_STI/1M", "FPT=Q", "FPO=6Q", "ACT_EST_MAPPING=PRECISE", "FS=MRC", "CURRENCY=USD", "XLFILL=b")</f>
        <v>140542.99643618157</v>
      </c>
      <c r="X244" s="9">
        <f>_xll.BQL("AMZN US Equity", "BS_CASH_CASH_EQUIVALENTS_AND_STI/1M", "FPT=Q", "FPO=7Q", "ACT_EST_MAPPING=PRECISE", "FS=MRC", "CURRENCY=USD", "XLFILL=b")</f>
        <v>152366.61905075383</v>
      </c>
    </row>
    <row r="245" spans="1:24" x14ac:dyDescent="0.25">
      <c r="A245" s="8" t="s">
        <v>340</v>
      </c>
      <c r="B245" s="4" t="s">
        <v>341</v>
      </c>
      <c r="C245" s="4" t="s">
        <v>342</v>
      </c>
      <c r="D245" s="4"/>
      <c r="E245" s="9">
        <f>_xll.BQL("AMZN US Equity", "BS_CASH_NEAR_CASH_ITEM/1M", "FPT=Q", "FPO=-12Q", "ACT_EST_MAPPING=PRECISE", "FS=MRC", "CURRENCY=USD", "XLFILL=b")</f>
        <v>49343</v>
      </c>
      <c r="F245" s="9">
        <f>_xll.BQL("AMZN US Equity", "BS_CASH_NEAR_CASH_ITEM/1M", "FPT=Q", "FPO=-11Q", "ACT_EST_MAPPING=PRECISE", "FS=MRC", "CURRENCY=USD", "XLFILL=b")</f>
        <v>49529</v>
      </c>
      <c r="G245" s="9">
        <f>_xll.BQL("AMZN US Equity", "BS_CASH_NEAR_CASH_ITEM/1M", "FPT=Q", "FPO=-10Q", "ACT_EST_MAPPING=PRECISE", "FS=MRC", "CURRENCY=USD", "XLFILL=b")</f>
        <v>49605</v>
      </c>
      <c r="H245" s="9">
        <f>_xll.BQL("AMZN US Equity", "BS_CASH_NEAR_CASH_ITEM/1M", "FPT=Q", "FPO=-9Q", "ACT_EST_MAPPING=PRECISE", "FS=MRC", "CURRENCY=USD", "XLFILL=b")</f>
        <v>73387</v>
      </c>
      <c r="I245" s="9">
        <f>_xll.BQL("AMZN US Equity", "BS_CASH_NEAR_CASH_ITEM/1M", "FPT=Q", "FPO=-8Q", "ACT_EST_MAPPING=PRECISE", "FS=MRC", "CURRENCY=USD", "XLFILL=b")</f>
        <v>72852</v>
      </c>
      <c r="J245" s="9">
        <f>_xll.BQL("AMZN US Equity", "BS_CASH_NEAR_CASH_ITEM/1M", "FPT=Q", "FPO=-7Q", "ACT_EST_MAPPING=PRECISE", "FS=MRC", "CURRENCY=USD", "XLFILL=b")</f>
        <v>71178</v>
      </c>
      <c r="K245" s="9">
        <f>_xll.BQL("AMZN US Equity", "BS_CASH_NEAR_CASH_ITEM/1M", "FPT=Q", "FPO=-6Q", "ACT_EST_MAPPING=PRECISE", "FS=MRC", "CURRENCY=USD", "XLFILL=b")</f>
        <v>75091</v>
      </c>
      <c r="L245" s="9">
        <f>_xll.BQL("AMZN US Equity", "BS_CASH_NEAR_CASH_ITEM/1M", "FPT=Q", "FPO=-5Q", "ACT_EST_MAPPING=PRECISE", "FS=MRC", "CURRENCY=USD", "XLFILL=b")</f>
        <v>78779</v>
      </c>
      <c r="M245" s="9">
        <f>_xll.BQL("AMZN US Equity", "BS_CASH_NEAR_CASH_ITEM/1M", "FPT=Q", "FPO=-4Q", "ACT_EST_MAPPING=PRECISE", "FS=MRC", "CURRENCY=USD", "XLFILL=b")</f>
        <v>66207</v>
      </c>
      <c r="N245" s="9">
        <f>_xll.BQL("AMZN US Equity", "BS_CASH_NEAR_CASH_ITEM/1M", "FPT=Q", "FPO=-3Q", "ACT_EST_MAPPING=PRECISE", "FS=MRC", "CURRENCY=USD", "XLFILL=b")</f>
        <v>57741</v>
      </c>
      <c r="O245" s="9">
        <f>_xll.BQL("AMZN US Equity", "BS_CASH_NEAR_CASH_ITEM/1M", "FPT=Q", "FPO=-2Q", "ACT_EST_MAPPING=PRECISE", "FS=MRC", "CURRENCY=USD", "XLFILL=b")</f>
        <v>66922</v>
      </c>
      <c r="P245" s="9">
        <f>_xll.BQL("AMZN US Equity", "BS_CASH_NEAR_CASH_ITEM/1M", "FPT=Q", "FPO=-1Q", "ACT_EST_MAPPING=PRECISE", "FS=MRC", "CURRENCY=USD", "XLFILL=b")</f>
        <v>86810</v>
      </c>
      <c r="Q245" s="9">
        <f>_xll.BQL("AMZN US Equity", "BS_CASH_NEAR_CASH_ITEM/1M", "FPT=Q", "FPO=0Q", "ACT_EST_MAPPING=PRECISE", "FS=MRC", "CURRENCY=USD", "XLFILL=b")</f>
        <v>101816</v>
      </c>
      <c r="R245" s="9">
        <f>_xll.BQL("AMZN US Equity", "BS_CASH_NEAR_CASH_ITEM/1M", "FPT=Q", "FPO=1Q", "ACT_EST_MAPPING=PRECISE", "FS=MRC", "CURRENCY=USD", "XLFILL=b")</f>
        <v>106312.12024418087</v>
      </c>
      <c r="S245" s="9">
        <f>_xll.BQL("AMZN US Equity", "BS_CASH_NEAR_CASH_ITEM/1M", "FPT=Q", "FPO=2Q", "ACT_EST_MAPPING=PRECISE", "FS=MRC", "CURRENCY=USD", "XLFILL=b")</f>
        <v>102093.44200307003</v>
      </c>
      <c r="T245" s="9">
        <f>_xll.BQL("AMZN US Equity", "BS_CASH_NEAR_CASH_ITEM/1M", "FPT=Q", "FPO=3Q", "ACT_EST_MAPPING=PRECISE", "FS=MRC", "CURRENCY=USD", "XLFILL=b")</f>
        <v>108211.14905119737</v>
      </c>
      <c r="U245" s="9">
        <f>_xll.BQL("AMZN US Equity", "BS_CASH_NEAR_CASH_ITEM/1M", "FPT=Q", "FPO=4Q", "ACT_EST_MAPPING=PRECISE", "FS=MRC", "CURRENCY=USD", "XLFILL=b")</f>
        <v>108708.34467439314</v>
      </c>
      <c r="V245" s="9">
        <f>_xll.BQL("AMZN US Equity", "BS_CASH_NEAR_CASH_ITEM/1M", "FPT=Q", "FPO=5Q", "ACT_EST_MAPPING=PRECISE", "FS=MRC", "CURRENCY=USD", "XLFILL=b")</f>
        <v>111933.23451574892</v>
      </c>
      <c r="W245" s="9">
        <f>_xll.BQL("AMZN US Equity", "BS_CASH_NEAR_CASH_ITEM/1M", "FPT=Q", "FPO=6Q", "ACT_EST_MAPPING=PRECISE", "FS=MRC", "CURRENCY=USD", "XLFILL=b")</f>
        <v>109743.29545323277</v>
      </c>
      <c r="X245" s="9">
        <f>_xll.BQL("AMZN US Equity", "BS_CASH_NEAR_CASH_ITEM/1M", "FPT=Q", "FPO=7Q", "ACT_EST_MAPPING=PRECISE", "FS=MRC", "CURRENCY=USD", "XLFILL=b")</f>
        <v>128002.38462039085</v>
      </c>
    </row>
    <row r="246" spans="1:24" x14ac:dyDescent="0.25">
      <c r="A246" s="8" t="s">
        <v>343</v>
      </c>
      <c r="B246" s="4" t="s">
        <v>344</v>
      </c>
      <c r="C246" s="4" t="s">
        <v>345</v>
      </c>
      <c r="D246" s="4"/>
      <c r="E246" s="9">
        <f>_xll.BQL("AMZN US Equity", "BS_MKT_SEC_OTHER_ST_INVEST/1M", "FPT=Q", "FPO=-12Q", "ACT_EST_MAPPING=PRECISE", "FS=MRC", "CURRENCY=USD", "XLFILL=b")</f>
        <v>15062</v>
      </c>
      <c r="F246" s="9">
        <f>_xll.BQL("AMZN US Equity", "BS_MKT_SEC_OTHER_ST_INVEST/1M", "FPT=Q", "FPO=-11Q", "ACT_EST_MAPPING=PRECISE", "FS=MRC", "CURRENCY=USD", "XLFILL=b")</f>
        <v>14441</v>
      </c>
      <c r="G246" s="9">
        <f>_xll.BQL("AMZN US Equity", "BS_MKT_SEC_OTHER_ST_INVEST/1M", "FPT=Q", "FPO=-10Q", "ACT_EST_MAPPING=PRECISE", "FS=MRC", "CURRENCY=USD", "XLFILL=b")</f>
        <v>14564</v>
      </c>
      <c r="H246" s="9">
        <f>_xll.BQL("AMZN US Equity", "BS_MKT_SEC_OTHER_ST_INVEST/1M", "FPT=Q", "FPO=-9Q", "ACT_EST_MAPPING=PRECISE", "FS=MRC", "CURRENCY=USD", "XLFILL=b")</f>
        <v>13393</v>
      </c>
      <c r="I246" s="9">
        <f>_xll.BQL("AMZN US Equity", "BS_MKT_SEC_OTHER_ST_INVEST/1M", "FPT=Q", "FPO=-8Q", "ACT_EST_MAPPING=PRECISE", "FS=MRC", "CURRENCY=USD", "XLFILL=b")</f>
        <v>12222</v>
      </c>
      <c r="J246" s="9">
        <f>_xll.BQL("AMZN US Equity", "BS_MKT_SEC_OTHER_ST_INVEST/1M", "FPT=Q", "FPO=-7Q", "ACT_EST_MAPPING=PRECISE", "FS=MRC", "CURRENCY=USD", "XLFILL=b")</f>
        <v>17914</v>
      </c>
      <c r="K246" s="9">
        <f>_xll.BQL("AMZN US Equity", "BS_MKT_SEC_OTHER_ST_INVEST/1M", "FPT=Q", "FPO=-6Q", "ACT_EST_MAPPING=PRECISE", "FS=MRC", "CURRENCY=USD", "XLFILL=b")</f>
        <v>12960</v>
      </c>
      <c r="L246" s="9">
        <f>_xll.BQL("AMZN US Equity", "BS_MKT_SEC_OTHER_ST_INVEST/1M", "FPT=Q", "FPO=-5Q", "ACT_EST_MAPPING=PRECISE", "FS=MRC", "CURRENCY=USD", "XLFILL=b")</f>
        <v>22423</v>
      </c>
      <c r="M246" s="9">
        <f>_xll.BQL("AMZN US Equity", "BS_MKT_SEC_OTHER_ST_INVEST/1M", "FPT=Q", "FPO=-4Q", "ACT_EST_MAPPING=PRECISE", "FS=MRC", "CURRENCY=USD", "XLFILL=b")</f>
        <v>28358</v>
      </c>
      <c r="N246" s="9">
        <f>_xll.BQL("AMZN US Equity", "BS_MKT_SEC_OTHER_ST_INVEST/1M", "FPT=Q", "FPO=-3Q", "ACT_EST_MAPPING=PRECISE", "FS=MRC", "CURRENCY=USD", "XLFILL=b")</f>
        <v>35439</v>
      </c>
      <c r="O246" s="9">
        <f>_xll.BQL("AMZN US Equity", "BS_MKT_SEC_OTHER_ST_INVEST/1M", "FPT=Q", "FPO=-2Q", "ACT_EST_MAPPING=PRECISE", "FS=MRC", "CURRENCY=USD", "XLFILL=b")</f>
        <v>27275</v>
      </c>
      <c r="P246" s="9">
        <f>_xll.BQL("AMZN US Equity", "BS_MKT_SEC_OTHER_ST_INVEST/1M", "FPT=Q", "FPO=-1Q", "ACT_EST_MAPPING=PRECISE", "FS=MRC", "CURRENCY=USD", "XLFILL=b")</f>
        <v>36219</v>
      </c>
      <c r="Q246" s="9">
        <f>_xll.BQL("AMZN US Equity", "BS_MKT_SEC_OTHER_ST_INVEST/1M", "FPT=Q", "FPO=0Q", "ACT_EST_MAPPING=PRECISE", "FS=MRC", "CURRENCY=USD", "XLFILL=b")</f>
        <v>41273</v>
      </c>
      <c r="R246" s="9">
        <f>_xll.BQL("AMZN US Equity", "BS_MKT_SEC_OTHER_ST_INVEST/1M", "FPT=Q", "FPO=1Q", "ACT_EST_MAPPING=PRECISE", "FS=MRC", "CURRENCY=USD", "XLFILL=b")</f>
        <v>41347.274597126736</v>
      </c>
      <c r="S246" s="9">
        <f>_xll.BQL("AMZN US Equity", "BS_MKT_SEC_OTHER_ST_INVEST/1M", "FPT=Q", "FPO=2Q", "ACT_EST_MAPPING=PRECISE", "FS=MRC", "CURRENCY=USD", "XLFILL=b")</f>
        <v>41311.853217169519</v>
      </c>
      <c r="T246" s="9">
        <f>_xll.BQL("AMZN US Equity", "BS_MKT_SEC_OTHER_ST_INVEST/1M", "FPT=Q", "FPO=3Q", "ACT_EST_MAPPING=PRECISE", "FS=MRC", "CURRENCY=USD", "XLFILL=b")</f>
        <v>41313.973005668202</v>
      </c>
      <c r="U246" s="9">
        <f>_xll.BQL("AMZN US Equity", "BS_MKT_SEC_OTHER_ST_INVEST/1M", "FPT=Q", "FPO=4Q", "ACT_EST_MAPPING=PRECISE", "FS=MRC", "CURRENCY=USD", "XLFILL=b")</f>
        <v>41184.853622940071</v>
      </c>
      <c r="V246" s="9">
        <f>_xll.BQL("AMZN US Equity", "BS_MKT_SEC_OTHER_ST_INVEST/1M", "FPT=Q", "FPO=5Q", "ACT_EST_MAPPING=PRECISE", "FS=MRC", "CURRENCY=USD", "XLFILL=b")</f>
        <v>43473.9732398462</v>
      </c>
      <c r="W246" s="9">
        <f>_xll.BQL("AMZN US Equity", "BS_MKT_SEC_OTHER_ST_INVEST/1M", "FPT=Q", "FPO=6Q", "ACT_EST_MAPPING=PRECISE", "FS=MRC", "CURRENCY=USD", "XLFILL=b")</f>
        <v>44156.09202806199</v>
      </c>
      <c r="X246" s="9">
        <f>_xll.BQL("AMZN US Equity", "BS_MKT_SEC_OTHER_ST_INVEST/1M", "FPT=Q", "FPO=7Q", "ACT_EST_MAPPING=PRECISE", "FS=MRC", "CURRENCY=USD", "XLFILL=b")</f>
        <v>46060.203309024866</v>
      </c>
    </row>
    <row r="247" spans="1:24" x14ac:dyDescent="0.25">
      <c r="A247" s="8" t="s">
        <v>346</v>
      </c>
      <c r="B247" s="4" t="s">
        <v>347</v>
      </c>
      <c r="C247" s="4" t="s">
        <v>348</v>
      </c>
      <c r="D247" s="4"/>
      <c r="E247" s="9">
        <f>_xll.BQL("AMZN US Equity", "BS_INVENTORIES/1M", "FPT=Q", "FPO=-12Q", "ACT_EST_MAPPING=PRECISE", "FS=MRC", "CURRENCY=USD", "XLFILL=b")</f>
        <v>34170</v>
      </c>
      <c r="F247" s="9">
        <f>_xll.BQL("AMZN US Equity", "BS_INVENTORIES/1M", "FPT=Q", "FPO=-11Q", "ACT_EST_MAPPING=PRECISE", "FS=MRC", "CURRENCY=USD", "XLFILL=b")</f>
        <v>36587</v>
      </c>
      <c r="G247" s="9">
        <f>_xll.BQL("AMZN US Equity", "BS_INVENTORIES/1M", "FPT=Q", "FPO=-10Q", "ACT_EST_MAPPING=PRECISE", "FS=MRC", "CURRENCY=USD", "XLFILL=b")</f>
        <v>35406</v>
      </c>
      <c r="H247" s="9">
        <f>_xll.BQL("AMZN US Equity", "BS_INVENTORIES/1M", "FPT=Q", "FPO=-9Q", "ACT_EST_MAPPING=PRECISE", "FS=MRC", "CURRENCY=USD", "XLFILL=b")</f>
        <v>33318</v>
      </c>
      <c r="I247" s="9">
        <f>_xll.BQL("AMZN US Equity", "BS_INVENTORIES/1M", "FPT=Q", "FPO=-8Q", "ACT_EST_MAPPING=PRECISE", "FS=MRC", "CURRENCY=USD", "XLFILL=b")</f>
        <v>31147</v>
      </c>
      <c r="J247" s="9">
        <f>_xll.BQL("AMZN US Equity", "BS_INVENTORIES/1M", "FPT=Q", "FPO=-7Q", "ACT_EST_MAPPING=PRECISE", "FS=MRC", "CURRENCY=USD", "XLFILL=b")</f>
        <v>34109</v>
      </c>
      <c r="K247" s="9">
        <f>_xll.BQL("AMZN US Equity", "BS_INVENTORIES/1M", "FPT=Q", "FPO=-6Q", "ACT_EST_MAPPING=PRECISE", "FS=MRC", "CURRENCY=USD", "XLFILL=b")</f>
        <v>36103</v>
      </c>
      <c r="L247" s="9">
        <f>_xll.BQL("AMZN US Equity", "BS_INVENTORIES/1M", "FPT=Q", "FPO=-5Q", "ACT_EST_MAPPING=PRECISE", "FS=MRC", "CURRENCY=USD", "XLFILL=b")</f>
        <v>34214</v>
      </c>
      <c r="M247" s="9">
        <f>_xll.BQL("AMZN US Equity", "BS_INVENTORIES/1M", "FPT=Q", "FPO=-4Q", "ACT_EST_MAPPING=PRECISE", "FS=MRC", "CURRENCY=USD", "XLFILL=b")</f>
        <v>35864</v>
      </c>
      <c r="N247" s="9">
        <f>_xll.BQL("AMZN US Equity", "BS_INVENTORIES/1M", "FPT=Q", "FPO=-3Q", "ACT_EST_MAPPING=PRECISE", "FS=MRC", "CURRENCY=USD", "XLFILL=b")</f>
        <v>40825</v>
      </c>
      <c r="O247" s="9">
        <f>_xll.BQL("AMZN US Equity", "BS_INVENTORIES/1M", "FPT=Q", "FPO=-2Q", "ACT_EST_MAPPING=PRECISE", "FS=MRC", "CURRENCY=USD", "XLFILL=b")</f>
        <v>41494</v>
      </c>
      <c r="P247" s="9">
        <f>_xll.BQL("AMZN US Equity", "BS_INVENTORIES/1M", "FPT=Q", "FPO=-1Q", "ACT_EST_MAPPING=PRECISE", "FS=MRC", "CURRENCY=USD", "XLFILL=b")</f>
        <v>38325</v>
      </c>
      <c r="Q247" s="9">
        <f>_xll.BQL("AMZN US Equity", "BS_INVENTORIES/1M", "FPT=Q", "FPO=0Q", "ACT_EST_MAPPING=PRECISE", "FS=MRC", "CURRENCY=USD", "XLFILL=b")</f>
        <v>36534</v>
      </c>
      <c r="R247" s="9">
        <f>_xll.BQL("AMZN US Equity", "BS_INVENTORIES/1M", "FPT=Q", "FPO=1Q", "ACT_EST_MAPPING=PRECISE", "FS=MRC", "CURRENCY=USD", "XLFILL=b")</f>
        <v>44048.307860825553</v>
      </c>
      <c r="S247" s="9">
        <f>_xll.BQL("AMZN US Equity", "BS_INVENTORIES/1M", "FPT=Q", "FPO=2Q", "ACT_EST_MAPPING=PRECISE", "FS=MRC", "CURRENCY=USD", "XLFILL=b")</f>
        <v>44120.781911803948</v>
      </c>
      <c r="T247" s="9">
        <f>_xll.BQL("AMZN US Equity", "BS_INVENTORIES/1M", "FPT=Q", "FPO=3Q", "ACT_EST_MAPPING=PRECISE", "FS=MRC", "CURRENCY=USD", "XLFILL=b")</f>
        <v>42523.57116224082</v>
      </c>
      <c r="U247" s="9">
        <f>_xll.BQL("AMZN US Equity", "BS_INVENTORIES/1M", "FPT=Q", "FPO=4Q", "ACT_EST_MAPPING=PRECISE", "FS=MRC", "CURRENCY=USD", "XLFILL=b")</f>
        <v>39451.299817357787</v>
      </c>
      <c r="V247" s="9">
        <f>_xll.BQL("AMZN US Equity", "BS_INVENTORIES/1M", "FPT=Q", "FPO=5Q", "ACT_EST_MAPPING=PRECISE", "FS=MRC", "CURRENCY=USD", "XLFILL=b")</f>
        <v>46087.833787873475</v>
      </c>
      <c r="W247" s="9">
        <f>_xll.BQL("AMZN US Equity", "BS_INVENTORIES/1M", "FPT=Q", "FPO=6Q", "ACT_EST_MAPPING=PRECISE", "FS=MRC", "CURRENCY=USD", "XLFILL=b")</f>
        <v>46250.274616972616</v>
      </c>
      <c r="X247" s="9">
        <f>_xll.BQL("AMZN US Equity", "BS_INVENTORIES/1M", "FPT=Q", "FPO=7Q", "ACT_EST_MAPPING=PRECISE", "FS=MRC", "CURRENCY=USD", "XLFILL=b")</f>
        <v>43438.160553756388</v>
      </c>
    </row>
    <row r="248" spans="1:24" x14ac:dyDescent="0.25">
      <c r="A248" s="8" t="s">
        <v>349</v>
      </c>
      <c r="B248" s="4" t="s">
        <v>350</v>
      </c>
      <c r="C248" s="4" t="s">
        <v>351</v>
      </c>
      <c r="D248" s="4"/>
      <c r="E248" s="9">
        <f>_xll.BQL("AMZN US Equity", "BS_ACCTS_REC_EXCL_NOTES_REC/1M", "FPT=Q", "FPO=-12Q", "ACT_EST_MAPPING=PRECISE", "FS=MRC", "CURRENCY=USD", "XLFILL=b")</f>
        <v>37646</v>
      </c>
      <c r="F248" s="9">
        <f>_xll.BQL("AMZN US Equity", "BS_ACCTS_REC_EXCL_NOTES_REC/1M", "FPT=Q", "FPO=-11Q", "ACT_EST_MAPPING=PRECISE", "FS=MRC", "CURRENCY=USD", "XLFILL=b")</f>
        <v>39925</v>
      </c>
      <c r="G248" s="9">
        <f>_xll.BQL("AMZN US Equity", "BS_ACCTS_REC_EXCL_NOTES_REC/1M", "FPT=Q", "FPO=-10Q", "ACT_EST_MAPPING=PRECISE", "FS=MRC", "CURRENCY=USD", "XLFILL=b")</f>
        <v>43420</v>
      </c>
      <c r="H248" s="9">
        <f>_xll.BQL("AMZN US Equity", "BS_ACCTS_REC_EXCL_NOTES_REC/1M", "FPT=Q", "FPO=-9Q", "ACT_EST_MAPPING=PRECISE", "FS=MRC", "CURRENCY=USD", "XLFILL=b")</f>
        <v>52253</v>
      </c>
      <c r="I248" s="9">
        <f>_xll.BQL("AMZN US Equity", "BS_ACCTS_REC_EXCL_NOTES_REC/1M", "FPT=Q", "FPO=-8Q", "ACT_EST_MAPPING=PRECISE", "FS=MRC", "CURRENCY=USD", "XLFILL=b")</f>
        <v>47768</v>
      </c>
      <c r="J248" s="9">
        <f>_xll.BQL("AMZN US Equity", "BS_ACCTS_REC_EXCL_NOTES_REC/1M", "FPT=Q", "FPO=-7Q", "ACT_EST_MAPPING=PRECISE", "FS=MRC", "CURRENCY=USD", "XLFILL=b")</f>
        <v>50106</v>
      </c>
      <c r="K248" s="9">
        <f>_xll.BQL("AMZN US Equity", "BS_ACCTS_REC_EXCL_NOTES_REC/1M", "FPT=Q", "FPO=-6Q", "ACT_EST_MAPPING=PRECISE", "FS=MRC", "CURRENCY=USD", "XLFILL=b")</f>
        <v>51638</v>
      </c>
      <c r="L248" s="9">
        <f>_xll.BQL("AMZN US Equity", "BS_ACCTS_REC_EXCL_NOTES_REC/1M", "FPT=Q", "FPO=-5Q", "ACT_EST_MAPPING=PRECISE", "FS=MRC", "CURRENCY=USD", "XLFILL=b")</f>
        <v>55451</v>
      </c>
      <c r="M248" s="9">
        <f>_xll.BQL("AMZN US Equity", "BS_ACCTS_REC_EXCL_NOTES_REC/1M", "FPT=Q", "FPO=-4Q", "ACT_EST_MAPPING=PRECISE", "FS=MRC", "CURRENCY=USD", "XLFILL=b")</f>
        <v>54216</v>
      </c>
      <c r="N248" s="9">
        <f>_xll.BQL("AMZN US Equity", "BS_ACCTS_REC_EXCL_NOTES_REC/1M", "FPT=Q", "FPO=-3Q", "ACT_EST_MAPPING=PRECISE", "FS=MRC", "CURRENCY=USD", "XLFILL=b")</f>
        <v>57415</v>
      </c>
      <c r="O248" s="9">
        <f>_xll.BQL("AMZN US Equity", "BS_ACCTS_REC_EXCL_NOTES_REC/1M", "FPT=Q", "FPO=-2Q", "ACT_EST_MAPPING=PRECISE", "FS=MRC", "CURRENCY=USD", "XLFILL=b")</f>
        <v>61175</v>
      </c>
      <c r="P248" s="9">
        <f>_xll.BQL("AMZN US Equity", "BS_ACCTS_REC_EXCL_NOTES_REC/1M", "FPT=Q", "FPO=-1Q", "ACT_EST_MAPPING=PRECISE", "FS=MRC", "CURRENCY=USD", "XLFILL=b")</f>
        <v>67729</v>
      </c>
      <c r="Q248" s="9">
        <f>_xll.BQL("AMZN US Equity", "BS_ACCTS_REC_EXCL_NOTES_REC/1M", "FPT=Q", "FPO=0Q", "ACT_EST_MAPPING=PRECISE", "FS=MRC", "CURRENCY=USD", "XLFILL=b")</f>
        <v>75532</v>
      </c>
      <c r="R248" s="9">
        <f>_xll.BQL("AMZN US Equity", "BS_ACCTS_REC_EXCL_NOTES_REC/1M", "FPT=Q", "FPO=1Q", "ACT_EST_MAPPING=PRECISE", "FS=MRC", "CURRENCY=USD", "XLFILL=b")</f>
        <v>70164.133785799771</v>
      </c>
      <c r="S248" s="9">
        <f>_xll.BQL("AMZN US Equity", "BS_ACCTS_REC_EXCL_NOTES_REC/1M", "FPT=Q", "FPO=2Q", "ACT_EST_MAPPING=PRECISE", "FS=MRC", "CURRENCY=USD", "XLFILL=b")</f>
        <v>71692.125140782984</v>
      </c>
      <c r="T248" s="9">
        <f>_xll.BQL("AMZN US Equity", "BS_ACCTS_REC_EXCL_NOTES_REC/1M", "FPT=Q", "FPO=3Q", "ACT_EST_MAPPING=PRECISE", "FS=MRC", "CURRENCY=USD", "XLFILL=b")</f>
        <v>80019.573863457525</v>
      </c>
      <c r="U248" s="9">
        <f>_xll.BQL("AMZN US Equity", "BS_ACCTS_REC_EXCL_NOTES_REC/1M", "FPT=Q", "FPO=4Q", "ACT_EST_MAPPING=PRECISE", "FS=MRC", "CURRENCY=USD", "XLFILL=b")</f>
        <v>81387.688380638167</v>
      </c>
      <c r="V248" s="9">
        <f>_xll.BQL("AMZN US Equity", "BS_ACCTS_REC_EXCL_NOTES_REC/1M", "FPT=Q", "FPO=5Q", "ACT_EST_MAPPING=PRECISE", "FS=MRC", "CURRENCY=USD", "XLFILL=b")</f>
        <v>79549.843215059867</v>
      </c>
      <c r="W248" s="9">
        <f>_xll.BQL("AMZN US Equity", "BS_ACCTS_REC_EXCL_NOTES_REC/1M", "FPT=Q", "FPO=6Q", "ACT_EST_MAPPING=PRECISE", "FS=MRC", "CURRENCY=USD", "XLFILL=b")</f>
        <v>80686.039148949116</v>
      </c>
      <c r="X248" s="9">
        <f>_xll.BQL("AMZN US Equity", "BS_ACCTS_REC_EXCL_NOTES_REC/1M", "FPT=Q", "FPO=7Q", "ACT_EST_MAPPING=PRECISE", "FS=MRC", "CURRENCY=USD", "XLFILL=b")</f>
        <v>88880.644390109723</v>
      </c>
    </row>
    <row r="249" spans="1:24" x14ac:dyDescent="0.25">
      <c r="A249" s="8" t="s">
        <v>352</v>
      </c>
      <c r="B249" s="4" t="s">
        <v>353</v>
      </c>
      <c r="C249" s="4" t="s">
        <v>354</v>
      </c>
      <c r="D249" s="4"/>
      <c r="E249" s="9">
        <f>_xll.BQL("AMZN US Equity", "INVENT_TO_SALES", "FPT=Q", "FPO=-12Q", "ACT_EST_MAPPING=PRECISE", "FS=MRC", "CURRENCY=USD", "XLFILL=b")</f>
        <v>6.5098485988679675</v>
      </c>
      <c r="F249" s="9">
        <f>_xll.BQL("AMZN US Equity", "INVENT_TO_SALES", "FPT=Q", "FPO=-11Q", "ACT_EST_MAPPING=PRECISE", "FS=MRC", "CURRENCY=USD", "XLFILL=b")</f>
        <v>6.7999762102125088</v>
      </c>
      <c r="G249" s="9">
        <f>_xll.BQL("AMZN US Equity", "INVENT_TO_SALES", "FPT=Q", "FPO=-10Q", "ACT_EST_MAPPING=PRECISE", "FS=MRC", "CURRENCY=USD", "XLFILL=b")</f>
        <v>6.3906517360133419</v>
      </c>
      <c r="H249" s="9">
        <f>_xll.BQL("AMZN US Equity", "INVENT_TO_SALES", "FPT=Q", "FPO=-9Q", "ACT_EST_MAPPING=PRECISE", "FS=MRC", "CURRENCY=USD", "XLFILL=b")</f>
        <v>5.7966022077820405</v>
      </c>
      <c r="I249" s="9">
        <f>_xll.BQL("AMZN US Equity", "INVENT_TO_SALES", "FPT=Q", "FPO=-8Q", "ACT_EST_MAPPING=PRECISE", "FS=MRC", "CURRENCY=USD", "XLFILL=b")</f>
        <v>5.2725395266953319</v>
      </c>
      <c r="J249" s="9">
        <f>_xll.BQL("AMZN US Equity", "INVENT_TO_SALES", "FPT=Q", "FPO=-7Q", "ACT_EST_MAPPING=PRECISE", "FS=MRC", "CURRENCY=USD", "XLFILL=b")</f>
        <v>5.6440643749979316</v>
      </c>
      <c r="K249" s="9">
        <f>_xll.BQL("AMZN US Equity", "INVENT_TO_SALES", "FPT=Q", "FPO=-6Q", "ACT_EST_MAPPING=PRECISE", "FS=MRC", "CURRENCY=USD", "XLFILL=b")</f>
        <v>5.8218625832086275</v>
      </c>
      <c r="L249" s="9">
        <f>_xll.BQL("AMZN US Equity", "INVENT_TO_SALES", "FPT=Q", "FPO=-5Q", "ACT_EST_MAPPING=PRECISE", "FS=MRC", "CURRENCY=USD", "XLFILL=b")</f>
        <v>5.3630405715727818</v>
      </c>
      <c r="M249" s="9">
        <f>_xll.BQL("AMZN US Equity", "INVENT_TO_SALES", "FPT=Q", "FPO=-4Q", "ACT_EST_MAPPING=PRECISE", "FS=MRC", "CURRENCY=USD", "XLFILL=b")</f>
        <v>5.5148828333433286</v>
      </c>
      <c r="N249" s="9">
        <f>_xll.BQL("AMZN US Equity", "INVENT_TO_SALES", "FPT=Q", "FPO=-3Q", "ACT_EST_MAPPING=PRECISE", "FS=MRC", "CURRENCY=USD", "XLFILL=b")</f>
        <v>6.0929380124709347</v>
      </c>
      <c r="O249" s="9">
        <f>_xll.BQL("AMZN US Equity", "INVENT_TO_SALES", "FPT=Q", "FPO=-2Q", "ACT_EST_MAPPING=PRECISE", "FS=MRC", "CURRENCY=USD", "XLFILL=b")</f>
        <v>6.0020540118322652</v>
      </c>
      <c r="P249" s="9">
        <f>_xll.BQL("AMZN US Equity", "INVENT_TO_SALES", "FPT=Q", "FPO=-1Q", "ACT_EST_MAPPING=PRECISE", "FS=MRC", "CURRENCY=USD", "XLFILL=b")</f>
        <v>5.3457549196288587</v>
      </c>
      <c r="Q249" s="9">
        <f>_xll.BQL("AMZN US Equity", "INVENT_TO_SALES", "FPT=Q", "FPO=0Q", "ACT_EST_MAPPING=PRECISE", "FS=MRC", "CURRENCY=USD", "XLFILL=b")</f>
        <v>4.9185757213480246</v>
      </c>
      <c r="R249" s="9">
        <f>_xll.BQL("AMZN US Equity", "INVENT_TO_SALES", "FPT=Q", "FPO=1Q", "ACT_EST_MAPPING=PRECISE", "FS=MRC", "CURRENCY=USD", "XLFILL=b")</f>
        <v>16.823973920755627</v>
      </c>
      <c r="S249" s="9">
        <f>_xll.BQL("AMZN US Equity", "INVENT_TO_SALES", "FPT=Q", "FPO=2Q", "ACT_EST_MAPPING=PRECISE", "FS=MRC", "CURRENCY=USD", "XLFILL=b")</f>
        <v>16.723366949028684</v>
      </c>
      <c r="T249" s="9">
        <f>_xll.BQL("AMZN US Equity", "INVENT_TO_SALES", "FPT=Q", "FPO=3Q", "ACT_EST_MAPPING=PRECISE", "FS=MRC", "CURRENCY=USD", "XLFILL=b")</f>
        <v>14.384082736084441</v>
      </c>
      <c r="U249" s="9">
        <f>_xll.BQL("AMZN US Equity", "INVENT_TO_SALES", "FPT=Q", "FPO=4Q", "ACT_EST_MAPPING=PRECISE", "FS=MRC", "CURRENCY=USD", "XLFILL=b")</f>
        <v>19.099876592170776</v>
      </c>
      <c r="V249" s="9">
        <f>_xll.BQL("AMZN US Equity", "INVENT_TO_SALES", "FPT=Q", "FPO=5Q", "ACT_EST_MAPPING=PRECISE", "FS=MRC", "CURRENCY=USD", "XLFILL=b")</f>
        <v>22.506487419334693</v>
      </c>
      <c r="W249" s="9">
        <f>_xll.BQL("AMZN US Equity", "INVENT_TO_SALES", "FPT=Q", "FPO=6Q", "ACT_EST_MAPPING=PRECISE", "FS=MRC", "CURRENCY=USD", "XLFILL=b")</f>
        <v>20.724527598202489</v>
      </c>
      <c r="X249" s="9">
        <f>_xll.BQL("AMZN US Equity", "INVENT_TO_SALES", "FPT=Q", "FPO=7Q", "ACT_EST_MAPPING=PRECISE", "FS=MRC", "CURRENCY=USD", "XLFILL=b")</f>
        <v>14.371837405802504</v>
      </c>
    </row>
    <row r="250" spans="1:24" x14ac:dyDescent="0.25">
      <c r="A250" s="8" t="s">
        <v>355</v>
      </c>
      <c r="B250" s="4" t="s">
        <v>356</v>
      </c>
      <c r="C250" s="4" t="s">
        <v>357</v>
      </c>
      <c r="D250" s="4"/>
      <c r="E250" s="9">
        <f>_xll.BQL("AMZN US Equity", "BS_TOT_NON_CUR_ASSET/1M", "FPT=Q", "FPO=-12Q", "ACT_EST_MAPPING=PRECISE", "FS=MRC", "CURRENCY=USD", "XLFILL=b")</f>
        <v>328157</v>
      </c>
      <c r="F250" s="9">
        <f>_xll.BQL("AMZN US Equity", "BS_TOT_NON_CUR_ASSET/1M", "FPT=Q", "FPO=-11Q", "ACT_EST_MAPPING=PRECISE", "FS=MRC", "CURRENCY=USD", "XLFILL=b")</f>
        <v>337125</v>
      </c>
      <c r="G250" s="9">
        <f>_xll.BQL("AMZN US Equity", "BS_TOT_NON_CUR_ASSET/1M", "FPT=Q", "FPO=-10Q", "ACT_EST_MAPPING=PRECISE", "FS=MRC", "CURRENCY=USD", "XLFILL=b")</f>
        <v>343888</v>
      </c>
      <c r="H250" s="9">
        <f>_xll.BQL("AMZN US Equity", "BS_TOT_NON_CUR_ASSET/1M", "FPT=Q", "FPO=-9Q", "ACT_EST_MAPPING=PRECISE", "FS=MRC", "CURRENCY=USD", "XLFILL=b")</f>
        <v>355503</v>
      </c>
      <c r="I250" s="9">
        <f>_xll.BQL("AMZN US Equity", "BS_TOT_NON_CUR_ASSET/1M", "FPT=Q", "FPO=-8Q", "ACT_EST_MAPPING=PRECISE", "FS=MRC", "CURRENCY=USD", "XLFILL=b")</f>
        <v>366980</v>
      </c>
      <c r="J250" s="9">
        <f>_xll.BQL("AMZN US Equity", "BS_TOT_NON_CUR_ASSET/1M", "FPT=Q", "FPO=-7Q", "ACT_EST_MAPPING=PRECISE", "FS=MRC", "CURRENCY=USD", "XLFILL=b")</f>
        <v>381511</v>
      </c>
      <c r="K250" s="9">
        <f>_xll.BQL("AMZN US Equity", "BS_TOT_NON_CUR_ASSET/1M", "FPT=Q", "FPO=-6Q", "ACT_EST_MAPPING=PRECISE", "FS=MRC", "CURRENCY=USD", "XLFILL=b")</f>
        <v>408834</v>
      </c>
      <c r="L250" s="9">
        <f>_xll.BQL("AMZN US Equity", "BS_TOT_NON_CUR_ASSET/1M", "FPT=Q", "FPO=-5Q", "ACT_EST_MAPPING=PRECISE", "FS=MRC", "CURRENCY=USD", "XLFILL=b")</f>
        <v>434027</v>
      </c>
      <c r="M250" s="9">
        <f>_xll.BQL("AMZN US Equity", "BS_TOT_NON_CUR_ASSET/1M", "FPT=Q", "FPO=-4Q", "ACT_EST_MAPPING=PRECISE", "FS=MRC", "CURRENCY=USD", "XLFILL=b")</f>
        <v>458611</v>
      </c>
      <c r="N250" s="9">
        <f>_xll.BQL("AMZN US Equity", "BS_TOT_NON_CUR_ASSET/1M", "FPT=Q", "FPO=-3Q", "ACT_EST_MAPPING=PRECISE", "FS=MRC", "CURRENCY=USD", "XLFILL=b")</f>
        <v>490750</v>
      </c>
      <c r="O250" s="9">
        <f>_xll.BQL("AMZN US Equity", "BS_TOT_NON_CUR_ASSET/1M", "FPT=Q", "FPO=-2Q", "ACT_EST_MAPPING=PRECISE", "FS=MRC", "CURRENCY=USD", "XLFILL=b")</f>
        <v>531055</v>
      </c>
      <c r="P250" s="9">
        <f>_xll.BQL("AMZN US Equity", "BS_TOT_NON_CUR_ASSET/1M", "FPT=Q", "FPO=-1Q", "ACT_EST_MAPPING=PRECISE", "FS=MRC", "CURRENCY=USD", "XLFILL=b")</f>
        <v>588959</v>
      </c>
      <c r="Q250" s="9">
        <f>_xll.BQL("AMZN US Equity", "BS_TOT_NON_CUR_ASSET/1M", "FPT=Q", "FPO=0Q", "ACT_EST_MAPPING=PRECISE", "FS=MRC", "CURRENCY=USD", "XLFILL=b")</f>
        <v>661475</v>
      </c>
      <c r="R250" s="9">
        <f>_xll.BQL("AMZN US Equity", "BS_TOT_NON_CUR_ASSET/1M", "FPT=Q", "FPO=1Q", "ACT_EST_MAPPING=PRECISE", "FS=MRC", "CURRENCY=USD", "XLFILL=b")</f>
        <v>649617.77986322704</v>
      </c>
      <c r="S250" s="9">
        <f>_xll.BQL("AMZN US Equity", "BS_TOT_NON_CUR_ASSET/1M", "FPT=Q", "FPO=2Q", "ACT_EST_MAPPING=PRECISE", "FS=MRC", "CURRENCY=USD", "XLFILL=b")</f>
        <v>686628.01251087501</v>
      </c>
      <c r="T250" s="9">
        <f>_xll.BQL("AMZN US Equity", "BS_TOT_NON_CUR_ASSET/1M", "FPT=Q", "FPO=3Q", "ACT_EST_MAPPING=PRECISE", "FS=MRC", "CURRENCY=USD", "XLFILL=b")</f>
        <v>732593.47161542147</v>
      </c>
      <c r="U250" s="9">
        <f>_xll.BQL("AMZN US Equity", "BS_TOT_NON_CUR_ASSET/1M", "FPT=Q", "FPO=4Q", "ACT_EST_MAPPING=PRECISE", "FS=MRC", "CURRENCY=USD", "XLFILL=b")</f>
        <v>817407.32062848494</v>
      </c>
      <c r="V250" s="9">
        <f>_xll.BQL("AMZN US Equity", "BS_TOT_NON_CUR_ASSET/1M", "FPT=Q", "FPO=5Q", "ACT_EST_MAPPING=PRECISE", "FS=MRC", "CURRENCY=USD", "XLFILL=b")</f>
        <v>861965.6054837259</v>
      </c>
      <c r="W250" s="9">
        <f>_xll.BQL("AMZN US Equity", "BS_TOT_NON_CUR_ASSET/1M", "FPT=Q", "FPO=6Q", "ACT_EST_MAPPING=PRECISE", "FS=MRC", "CURRENCY=USD", "XLFILL=b")</f>
        <v>909051.77901083708</v>
      </c>
      <c r="X250" s="9">
        <f>_xll.BQL("AMZN US Equity", "BS_TOT_NON_CUR_ASSET/1M", "FPT=Q", "FPO=7Q", "ACT_EST_MAPPING=PRECISE", "FS=MRC", "CURRENCY=USD", "XLFILL=b")</f>
        <v>958719.57712960942</v>
      </c>
    </row>
    <row r="251" spans="1:24" x14ac:dyDescent="0.25">
      <c r="A251" s="8" t="s">
        <v>358</v>
      </c>
      <c r="B251" s="4" t="s">
        <v>359</v>
      </c>
      <c r="C251" s="4" t="s">
        <v>360</v>
      </c>
      <c r="D251" s="4"/>
      <c r="E251" s="9">
        <f>_xll.BQL("AMZN US Equity", "BS_NET_FIX_ASSET/1M", "FPT=Q", "FPO=-12Q", "ACT_EST_MAPPING=PRECISE", "FS=MRC", "CURRENCY=USD", "XLFILL=b")</f>
        <v>259016</v>
      </c>
      <c r="F251" s="9">
        <f>_xll.BQL("AMZN US Equity", "BS_NET_FIX_ASSET/1M", "FPT=Q", "FPO=-11Q", "ACT_EST_MAPPING=PRECISE", "FS=MRC", "CURRENCY=USD", "XLFILL=b")</f>
        <v>264116</v>
      </c>
      <c r="G251" s="9">
        <f>_xll.BQL("AMZN US Equity", "BS_NET_FIX_ASSET/1M", "FPT=Q", "FPO=-10Q", "ACT_EST_MAPPING=PRECISE", "FS=MRC", "CURRENCY=USD", "XLFILL=b")</f>
        <v>267226</v>
      </c>
      <c r="H251" s="9">
        <f>_xll.BQL("AMZN US Equity", "BS_NET_FIX_ASSET/1M", "FPT=Q", "FPO=-9Q", "ACT_EST_MAPPING=PRECISE", "FS=MRC", "CURRENCY=USD", "XLFILL=b")</f>
        <v>276690</v>
      </c>
      <c r="I251" s="9">
        <f>_xll.BQL("AMZN US Equity", "BS_NET_FIX_ASSET/1M", "FPT=Q", "FPO=-8Q", "ACT_EST_MAPPING=PRECISE", "FS=MRC", "CURRENCY=USD", "XLFILL=b")</f>
        <v>283263</v>
      </c>
      <c r="J251" s="9">
        <f>_xll.BQL("AMZN US Equity", "BS_NET_FIX_ASSET/1M", "FPT=Q", "FPO=-7Q", "ACT_EST_MAPPING=PRECISE", "FS=MRC", "CURRENCY=USD", "XLFILL=b")</f>
        <v>295292</v>
      </c>
      <c r="K251" s="9">
        <f>_xll.BQL("AMZN US Equity", "BS_NET_FIX_ASSET/1M", "FPT=Q", "FPO=-6Q", "ACT_EST_MAPPING=PRECISE", "FS=MRC", "CURRENCY=USD", "XLFILL=b")</f>
        <v>314444</v>
      </c>
      <c r="L251" s="9">
        <f>_xll.BQL("AMZN US Equity", "BS_NET_FIX_ASSET/1M", "FPT=Q", "FPO=-5Q", "ACT_EST_MAPPING=PRECISE", "FS=MRC", "CURRENCY=USD", "XLFILL=b")</f>
        <v>328806</v>
      </c>
      <c r="M251" s="9">
        <f>_xll.BQL("AMZN US Equity", "BS_NET_FIX_ASSET/1M", "FPT=Q", "FPO=-4Q", "ACT_EST_MAPPING=PRECISE", "FS=MRC", "CURRENCY=USD", "XLFILL=b")</f>
        <v>351276</v>
      </c>
      <c r="N251" s="9">
        <f>_xll.BQL("AMZN US Equity", "BS_NET_FIX_ASSET/1M", "FPT=Q", "FPO=-3Q", "ACT_EST_MAPPING=PRECISE", "FS=MRC", "CURRENCY=USD", "XLFILL=b")</f>
        <v>379741</v>
      </c>
      <c r="O251" s="9">
        <f>_xll.BQL("AMZN US Equity", "BS_NET_FIX_ASSET/1M", "FPT=Q", "FPO=-2Q", "ACT_EST_MAPPING=PRECISE", "FS=MRC", "CURRENCY=USD", "XLFILL=b")</f>
        <v>407891</v>
      </c>
      <c r="P251" s="9">
        <f>_xll.BQL("AMZN US Equity", "BS_NET_FIX_ASSET/1M", "FPT=Q", "FPO=-1Q", "ACT_EST_MAPPING=PRECISE", "FS=MRC", "CURRENCY=USD", "XLFILL=b")</f>
        <v>443079</v>
      </c>
      <c r="Q251" s="9">
        <f>_xll.BQL("AMZN US Equity", "BS_NET_FIX_ASSET/1M", "FPT=Q", "FPO=0Q", "ACT_EST_MAPPING=PRECISE", "FS=MRC", "CURRENCY=USD", "XLFILL=b")</f>
        <v>486199</v>
      </c>
      <c r="R251" s="9">
        <f>_xll.BQL("AMZN US Equity", "BS_NET_FIX_ASSET/1M", "FPT=Q", "FPO=1Q", "ACT_EST_MAPPING=PRECISE", "FS=MRC", "CURRENCY=USD", "XLFILL=b")</f>
        <v>512849.69715261535</v>
      </c>
      <c r="S251" s="9">
        <f>_xll.BQL("AMZN US Equity", "BS_NET_FIX_ASSET/1M", "FPT=Q", "FPO=2Q", "ACT_EST_MAPPING=PRECISE", "FS=MRC", "CURRENCY=USD", "XLFILL=b")</f>
        <v>543094.24050955265</v>
      </c>
      <c r="T251" s="9">
        <f>_xll.BQL("AMZN US Equity", "BS_NET_FIX_ASSET/1M", "FPT=Q", "FPO=3Q", "ACT_EST_MAPPING=PRECISE", "FS=MRC", "CURRENCY=USD", "XLFILL=b")</f>
        <v>572751.20773808891</v>
      </c>
      <c r="U251" s="9">
        <f>_xll.BQL("AMZN US Equity", "BS_NET_FIX_ASSET/1M", "FPT=Q", "FPO=4Q", "ACT_EST_MAPPING=PRECISE", "FS=MRC", "CURRENCY=USD", "XLFILL=b")</f>
        <v>612359.19166592485</v>
      </c>
      <c r="V251" s="9">
        <f>_xll.BQL("AMZN US Equity", "BS_NET_FIX_ASSET/1M", "FPT=Q", "FPO=5Q", "ACT_EST_MAPPING=PRECISE", "FS=MRC", "CURRENCY=USD", "XLFILL=b")</f>
        <v>648715.55136266351</v>
      </c>
      <c r="W251" s="9">
        <f>_xll.BQL("AMZN US Equity", "BS_NET_FIX_ASSET/1M", "FPT=Q", "FPO=6Q", "ACT_EST_MAPPING=PRECISE", "FS=MRC", "CURRENCY=USD", "XLFILL=b")</f>
        <v>687271.72272493213</v>
      </c>
      <c r="X251" s="9">
        <f>_xll.BQL("AMZN US Equity", "BS_NET_FIX_ASSET/1M", "FPT=Q", "FPO=7Q", "ACT_EST_MAPPING=PRECISE", "FS=MRC", "CURRENCY=USD", "XLFILL=b")</f>
        <v>728068.31859226828</v>
      </c>
    </row>
    <row r="252" spans="1:24" x14ac:dyDescent="0.25">
      <c r="A252" s="8" t="s">
        <v>361</v>
      </c>
      <c r="B252" s="4" t="s">
        <v>141</v>
      </c>
      <c r="C252" s="4" t="s">
        <v>142</v>
      </c>
      <c r="D252" s="4"/>
      <c r="E252" s="9">
        <f>_xll.BQL("AMZN US Equity", "CB_BS_PP_AND_E_NET/1M", "FPT=Q", "FPO=-12Q", "ACT_EST_MAPPING=PRECISE", "FS=MRC", "CURRENCY=USD", "XLFILL=b")</f>
        <v>190754</v>
      </c>
      <c r="F252" s="9">
        <f>_xll.BQL("AMZN US Equity", "CB_BS_PP_AND_E_NET/1M", "FPT=Q", "FPO=-11Q", "ACT_EST_MAPPING=PRECISE", "FS=MRC", "CURRENCY=USD", "XLFILL=b")</f>
        <v>193784</v>
      </c>
      <c r="G252" s="9">
        <f>_xll.BQL("AMZN US Equity", "CB_BS_PP_AND_E_NET/1M", "FPT=Q", "FPO=-10Q", "ACT_EST_MAPPING=PRECISE", "FS=MRC", "CURRENCY=USD", "XLFILL=b")</f>
        <v>196468</v>
      </c>
      <c r="H252" s="9">
        <f>_xll.BQL("AMZN US Equity", "CB_BS_PP_AND_E_NET/1M", "FPT=Q", "FPO=-9Q", "ACT_EST_MAPPING=PRECISE", "FS=MRC", "CURRENCY=USD", "XLFILL=b")</f>
        <v>204177</v>
      </c>
      <c r="I252" s="9">
        <f>_xll.BQL("AMZN US Equity", "CB_BS_PP_AND_E_NET/1M", "FPT=Q", "FPO=-8Q", "ACT_EST_MAPPING=PRECISE", "FS=MRC", "CURRENCY=USD", "XLFILL=b")</f>
        <v>209950</v>
      </c>
      <c r="J252" s="9">
        <f>_xll.BQL("AMZN US Equity", "CB_BS_PP_AND_E_NET/1M", "FPT=Q", "FPO=-7Q", "ACT_EST_MAPPING=PRECISE", "FS=MRC", "CURRENCY=USD", "XLFILL=b")</f>
        <v>220717</v>
      </c>
      <c r="K252" s="9">
        <f>_xll.BQL("AMZN US Equity", "CB_BS_PP_AND_E_NET/1M", "FPT=Q", "FPO=-6Q", "ACT_EST_MAPPING=PRECISE", "FS=MRC", "CURRENCY=USD", "XLFILL=b")</f>
        <v>237917</v>
      </c>
      <c r="L252" s="9">
        <f>_xll.BQL("AMZN US Equity", "CB_BS_PP_AND_E_NET/1M", "FPT=Q", "FPO=-5Q", "ACT_EST_MAPPING=PRECISE", "FS=MRC", "CURRENCY=USD", "XLFILL=b")</f>
        <v>252665</v>
      </c>
      <c r="M252" s="9">
        <f>_xll.BQL("AMZN US Equity", "CB_BS_PP_AND_E_NET/1M", "FPT=Q", "FPO=-4Q", "ACT_EST_MAPPING=PRECISE", "FS=MRC", "CURRENCY=USD", "XLFILL=b")</f>
        <v>272781</v>
      </c>
      <c r="N252" s="9">
        <f>_xll.BQL("AMZN US Equity", "CB_BS_PP_AND_E_NET/1M", "FPT=Q", "FPO=-3Q", "ACT_EST_MAPPING=PRECISE", "FS=MRC", "CURRENCY=USD", "XLFILL=b")</f>
        <v>297616</v>
      </c>
      <c r="O252" s="9">
        <f>_xll.BQL("AMZN US Equity", "CB_BS_PP_AND_E_NET/1M", "FPT=Q", "FPO=-2Q", "ACT_EST_MAPPING=PRECISE", "FS=MRC", "CURRENCY=USD", "XLFILL=b")</f>
        <v>324435</v>
      </c>
      <c r="P252" s="9">
        <f>_xll.BQL("AMZN US Equity", "CB_BS_PP_AND_E_NET/1M", "FPT=Q", "FPO=-1Q", "ACT_EST_MAPPING=PRECISE", "FS=MRC", "CURRENCY=USD", "XLFILL=b")</f>
        <v>357025</v>
      </c>
      <c r="Q252" s="9">
        <f>_xll.BQL("AMZN US Equity", "CB_BS_PP_AND_E_NET/1M", "FPT=Q", "FPO=0Q", "ACT_EST_MAPPING=PRECISE", "FS=MRC", "CURRENCY=USD", "XLFILL=b")</f>
        <v>397458</v>
      </c>
      <c r="R252" s="9">
        <f>_xll.BQL("AMZN US Equity", "CB_BS_PP_AND_E_NET/1M", "FPT=Q", "FPO=1Q", "ACT_EST_MAPPING=PRECISE", "FS=MRC", "CURRENCY=USD", "XLFILL=b")</f>
        <v>424920.66871899023</v>
      </c>
      <c r="S252" s="9">
        <f>_xll.BQL("AMZN US Equity", "CB_BS_PP_AND_E_NET/1M", "FPT=Q", "FPO=2Q", "ACT_EST_MAPPING=PRECISE", "FS=MRC", "CURRENCY=USD", "XLFILL=b")</f>
        <v>457182.34041777725</v>
      </c>
      <c r="T252" s="9">
        <f>_xll.BQL("AMZN US Equity", "CB_BS_PP_AND_E_NET/1M", "FPT=Q", "FPO=3Q", "ACT_EST_MAPPING=PRECISE", "FS=MRC", "CURRENCY=USD", "XLFILL=b")</f>
        <v>490128.93785289896</v>
      </c>
      <c r="U252" s="9">
        <f>_xll.BQL("AMZN US Equity", "CB_BS_PP_AND_E_NET/1M", "FPT=Q", "FPO=4Q", "ACT_EST_MAPPING=PRECISE", "FS=MRC", "CURRENCY=USD", "XLFILL=b")</f>
        <v>517115.73158613447</v>
      </c>
      <c r="V252" s="9">
        <f>_xll.BQL("AMZN US Equity", "CB_BS_PP_AND_E_NET/1M", "FPT=Q", "FPO=5Q", "ACT_EST_MAPPING=PRECISE", "FS=MRC", "CURRENCY=USD", "XLFILL=b")</f>
        <v>547272.50776855485</v>
      </c>
      <c r="W252" s="9">
        <f>_xll.BQL("AMZN US Equity", "CB_BS_PP_AND_E_NET/1M", "FPT=Q", "FPO=6Q", "ACT_EST_MAPPING=PRECISE", "FS=MRC", "CURRENCY=USD", "XLFILL=b")</f>
        <v>580655.10680359381</v>
      </c>
      <c r="X252" s="9">
        <f>_xll.BQL("AMZN US Equity", "CB_BS_PP_AND_E_NET/1M", "FPT=Q", "FPO=7Q", "ACT_EST_MAPPING=PRECISE", "FS=MRC", "CURRENCY=USD", "XLFILL=b")</f>
        <v>613455.4954256796</v>
      </c>
    </row>
    <row r="253" spans="1:24" x14ac:dyDescent="0.25">
      <c r="A253" s="8" t="s">
        <v>362</v>
      </c>
      <c r="B253" s="4" t="s">
        <v>363</v>
      </c>
      <c r="C253" s="4" t="s">
        <v>364</v>
      </c>
      <c r="D253" s="4"/>
      <c r="E253" s="9">
        <f>_xll.BQL("AMZN US Equity", "BS_OPER_LEA_RT_OF_USE_ASSETS/1M", "FPT=Q", "FPO=-12Q", "ACT_EST_MAPPING=PRECISE", "FS=MRC", "CURRENCY=USD", "XLFILL=b")</f>
        <v>68262</v>
      </c>
      <c r="F253" s="9">
        <f>_xll.BQL("AMZN US Equity", "BS_OPER_LEA_RT_OF_USE_ASSETS/1M", "FPT=Q", "FPO=-11Q", "ACT_EST_MAPPING=PRECISE", "FS=MRC", "CURRENCY=USD", "XLFILL=b")</f>
        <v>70332</v>
      </c>
      <c r="G253" s="9">
        <f>_xll.BQL("AMZN US Equity", "BS_OPER_LEA_RT_OF_USE_ASSETS/1M", "FPT=Q", "FPO=-10Q", "ACT_EST_MAPPING=PRECISE", "FS=MRC", "CURRENCY=USD", "XLFILL=b")</f>
        <v>70758</v>
      </c>
      <c r="H253" s="9">
        <f>_xll.BQL("AMZN US Equity", "BS_OPER_LEA_RT_OF_USE_ASSETS/1M", "FPT=Q", "FPO=-9Q", "ACT_EST_MAPPING=PRECISE", "FS=MRC", "CURRENCY=USD", "XLFILL=b")</f>
        <v>72513</v>
      </c>
      <c r="I253" s="9">
        <f>_xll.BQL("AMZN US Equity", "BS_OPER_LEA_RT_OF_USE_ASSETS/1M", "FPT=Q", "FPO=-8Q", "ACT_EST_MAPPING=PRECISE", "FS=MRC", "CURRENCY=USD", "XLFILL=b")</f>
        <v>73313</v>
      </c>
      <c r="J253" s="9">
        <f>_xll.BQL("AMZN US Equity", "BS_OPER_LEA_RT_OF_USE_ASSETS/1M", "FPT=Q", "FPO=-7Q", "ACT_EST_MAPPING=PRECISE", "FS=MRC", "CURRENCY=USD", "XLFILL=b")</f>
        <v>74575</v>
      </c>
      <c r="K253" s="9">
        <f>_xll.BQL("AMZN US Equity", "BS_OPER_LEA_RT_OF_USE_ASSETS/1M", "FPT=Q", "FPO=-6Q", "ACT_EST_MAPPING=PRECISE", "FS=MRC", "CURRENCY=USD", "XLFILL=b")</f>
        <v>76527</v>
      </c>
      <c r="L253" s="9">
        <f>_xll.BQL("AMZN US Equity", "BS_OPER_LEA_RT_OF_USE_ASSETS/1M", "FPT=Q", "FPO=-5Q", "ACT_EST_MAPPING=PRECISE", "FS=MRC", "CURRENCY=USD", "XLFILL=b")</f>
        <v>76141</v>
      </c>
      <c r="M253" s="9">
        <f>_xll.BQL("AMZN US Equity", "BS_OPER_LEA_RT_OF_USE_ASSETS/1M", "FPT=Q", "FPO=-4Q", "ACT_EST_MAPPING=PRECISE", "FS=MRC", "CURRENCY=USD", "XLFILL=b")</f>
        <v>78495</v>
      </c>
      <c r="N253" s="9">
        <f>_xll.BQL("AMZN US Equity", "BS_OPER_LEA_RT_OF_USE_ASSETS/1M", "FPT=Q", "FPO=-3Q", "ACT_EST_MAPPING=PRECISE", "FS=MRC", "CURRENCY=USD", "XLFILL=b")</f>
        <v>82125</v>
      </c>
      <c r="O253" s="9">
        <f>_xll.BQL("AMZN US Equity", "BS_OPER_LEA_RT_OF_USE_ASSETS/1M", "FPT=Q", "FPO=-2Q", "ACT_EST_MAPPING=PRECISE", "FS=MRC", "CURRENCY=USD", "XLFILL=b")</f>
        <v>83456</v>
      </c>
      <c r="P253" s="9">
        <f>_xll.BQL("AMZN US Equity", "BS_OPER_LEA_RT_OF_USE_ASSETS/1M", "FPT=Q", "FPO=-1Q", "ACT_EST_MAPPING=PRECISE", "FS=MRC", "CURRENCY=USD", "XLFILL=b")</f>
        <v>86054</v>
      </c>
      <c r="Q253" s="9">
        <f>_xll.BQL("AMZN US Equity", "BS_OPER_LEA_RT_OF_USE_ASSETS/1M", "FPT=Q", "FPO=0Q", "ACT_EST_MAPPING=PRECISE", "FS=MRC", "CURRENCY=USD", "XLFILL=b")</f>
        <v>88741</v>
      </c>
      <c r="R253" s="9">
        <f>_xll.BQL("AMZN US Equity", "BS_OPER_LEA_RT_OF_USE_ASSETS/1M", "FPT=Q", "FPO=1Q", "ACT_EST_MAPPING=PRECISE", "FS=MRC", "CURRENCY=USD", "XLFILL=b")</f>
        <v>86210.93423430463</v>
      </c>
      <c r="S253" s="9">
        <f>_xll.BQL("AMZN US Equity", "BS_OPER_LEA_RT_OF_USE_ASSETS/1M", "FPT=Q", "FPO=2Q", "ACT_EST_MAPPING=PRECISE", "FS=MRC", "CURRENCY=USD", "XLFILL=b")</f>
        <v>86225.074042188222</v>
      </c>
      <c r="T253" s="9">
        <f>_xll.BQL("AMZN US Equity", "BS_OPER_LEA_RT_OF_USE_ASSETS/1M", "FPT=Q", "FPO=3Q", "ACT_EST_MAPPING=PRECISE", "FS=MRC", "CURRENCY=USD", "XLFILL=b")</f>
        <v>86812.753799725848</v>
      </c>
      <c r="U253" s="9">
        <f>_xll.BQL("AMZN US Equity", "BS_OPER_LEA_RT_OF_USE_ASSETS/1M", "FPT=Q", "FPO=4Q", "ACT_EST_MAPPING=PRECISE", "FS=MRC", "CURRENCY=USD", "XLFILL=b")</f>
        <v>90344.599843195479</v>
      </c>
      <c r="V253" s="9">
        <f>_xll.BQL("AMZN US Equity", "BS_OPER_LEA_RT_OF_USE_ASSETS/1M", "FPT=Q", "FPO=5Q", "ACT_EST_MAPPING=PRECISE", "FS=MRC", "CURRENCY=USD", "XLFILL=b")</f>
        <v>91014.033938488108</v>
      </c>
      <c r="W253" s="9">
        <f>_xll.BQL("AMZN US Equity", "BS_OPER_LEA_RT_OF_USE_ASSETS/1M", "FPT=Q", "FPO=6Q", "ACT_EST_MAPPING=PRECISE", "FS=MRC", "CURRENCY=USD", "XLFILL=b")</f>
        <v>90948.373483379721</v>
      </c>
      <c r="X253" s="9">
        <f>_xll.BQL("AMZN US Equity", "BS_OPER_LEA_RT_OF_USE_ASSETS/1M", "FPT=Q", "FPO=7Q", "ACT_EST_MAPPING=PRECISE", "FS=MRC", "CURRENCY=USD", "XLFILL=b")</f>
        <v>91538.337927990462</v>
      </c>
    </row>
    <row r="254" spans="1:24" x14ac:dyDescent="0.25">
      <c r="A254" s="8" t="s">
        <v>365</v>
      </c>
      <c r="B254" s="4" t="s">
        <v>366</v>
      </c>
      <c r="C254" s="4" t="s">
        <v>367</v>
      </c>
      <c r="D254" s="4"/>
      <c r="E254" s="9">
        <f>_xll.BQL("AMZN US Equity", "BS_GOODWILL/1M", "FPT=Q", "FPO=-12Q", "ACT_EST_MAPPING=PRECISE", "FS=MRC", "CURRENCY=USD", "XLFILL=b")</f>
        <v>22749</v>
      </c>
      <c r="F254" s="9">
        <f>_xll.BQL("AMZN US Equity", "BS_GOODWILL/1M", "FPT=Q", "FPO=-11Q", "ACT_EST_MAPPING=PRECISE", "FS=MRC", "CURRENCY=USD", "XLFILL=b")</f>
        <v>22785</v>
      </c>
      <c r="G254" s="9">
        <f>_xll.BQL("AMZN US Equity", "BS_GOODWILL/1M", "FPT=Q", "FPO=-10Q", "ACT_EST_MAPPING=PRECISE", "FS=MRC", "CURRENCY=USD", "XLFILL=b")</f>
        <v>22749</v>
      </c>
      <c r="H254" s="9">
        <f>_xll.BQL("AMZN US Equity", "BS_GOODWILL/1M", "FPT=Q", "FPO=-9Q", "ACT_EST_MAPPING=PRECISE", "FS=MRC", "CURRENCY=USD", "XLFILL=b")</f>
        <v>22789</v>
      </c>
      <c r="I254" s="9">
        <f>_xll.BQL("AMZN US Equity", "BS_GOODWILL/1M", "FPT=Q", "FPO=-8Q", "ACT_EST_MAPPING=PRECISE", "FS=MRC", "CURRENCY=USD", "XLFILL=b")</f>
        <v>22770</v>
      </c>
      <c r="J254" s="9">
        <f>_xll.BQL("AMZN US Equity", "BS_GOODWILL/1M", "FPT=Q", "FPO=-7Q", "ACT_EST_MAPPING=PRECISE", "FS=MRC", "CURRENCY=USD", "XLFILL=b")</f>
        <v>22879</v>
      </c>
      <c r="K254" s="9">
        <f>_xll.BQL("AMZN US Equity", "BS_GOODWILL/1M", "FPT=Q", "FPO=-6Q", "ACT_EST_MAPPING=PRECISE", "FS=MRC", "CURRENCY=USD", "XLFILL=b")</f>
        <v>23081</v>
      </c>
      <c r="L254" s="9">
        <f>_xll.BQL("AMZN US Equity", "BS_GOODWILL/1M", "FPT=Q", "FPO=-5Q", "ACT_EST_MAPPING=PRECISE", "FS=MRC", "CURRENCY=USD", "XLFILL=b")</f>
        <v>23074</v>
      </c>
      <c r="M254" s="9">
        <f>_xll.BQL("AMZN US Equity", "BS_GOODWILL/1M", "FPT=Q", "FPO=-4Q", "ACT_EST_MAPPING=PRECISE", "FS=MRC", "CURRENCY=USD", "XLFILL=b")</f>
        <v>23089</v>
      </c>
      <c r="N254" s="9">
        <f>_xll.BQL("AMZN US Equity", "BS_GOODWILL/1M", "FPT=Q", "FPO=-3Q", "ACT_EST_MAPPING=PRECISE", "FS=MRC", "CURRENCY=USD", "XLFILL=b")</f>
        <v>23155</v>
      </c>
      <c r="O254" s="9">
        <f>_xll.BQL("AMZN US Equity", "BS_GOODWILL/1M", "FPT=Q", "FPO=-2Q", "ACT_EST_MAPPING=PRECISE", "FS=MRC", "CURRENCY=USD", "XLFILL=b")</f>
        <v>23260</v>
      </c>
      <c r="P254" s="9">
        <f>_xll.BQL("AMZN US Equity", "BS_GOODWILL/1M", "FPT=Q", "FPO=-1Q", "ACT_EST_MAPPING=PRECISE", "FS=MRC", "CURRENCY=USD", "XLFILL=b")</f>
        <v>23273</v>
      </c>
      <c r="Q254" s="9">
        <f>_xll.BQL("AMZN US Equity", "BS_GOODWILL/1M", "FPT=Q", "FPO=0Q", "ACT_EST_MAPPING=PRECISE", "FS=MRC", "CURRENCY=USD", "XLFILL=b")</f>
        <v>23449</v>
      </c>
      <c r="R254" s="9">
        <f>_xll.BQL("AMZN US Equity", "BS_GOODWILL/1M", "FPT=Q", "FPO=1Q", "ACT_EST_MAPPING=PRECISE", "FS=MRC", "CURRENCY=USD", "XLFILL=b")</f>
        <v>23436.419354838712</v>
      </c>
      <c r="S254" s="9">
        <f>_xll.BQL("AMZN US Equity", "BS_GOODWILL/1M", "FPT=Q", "FPO=2Q", "ACT_EST_MAPPING=PRECISE", "FS=MRC", "CURRENCY=USD", "XLFILL=b")</f>
        <v>23423.838709677417</v>
      </c>
      <c r="T254" s="9">
        <f>_xll.BQL("AMZN US Equity", "BS_GOODWILL/1M", "FPT=Q", "FPO=3Q", "ACT_EST_MAPPING=PRECISE", "FS=MRC", "CURRENCY=USD", "XLFILL=b")</f>
        <v>23411.258064516129</v>
      </c>
      <c r="U254" s="9">
        <f>_xll.BQL("AMZN US Equity", "BS_GOODWILL/1M", "FPT=Q", "FPO=4Q", "ACT_EST_MAPPING=PRECISE", "FS=MRC", "CURRENCY=USD", "XLFILL=b")</f>
        <v>23371</v>
      </c>
      <c r="V254" s="9">
        <f>_xll.BQL("AMZN US Equity", "BS_GOODWILL/1M", "FPT=Q", "FPO=5Q", "ACT_EST_MAPPING=PRECISE", "FS=MRC", "CURRENCY=USD", "XLFILL=b")</f>
        <v>23351.5</v>
      </c>
      <c r="W254" s="9">
        <f>_xll.BQL("AMZN US Equity", "BS_GOODWILL/1M", "FPT=Q", "FPO=6Q", "ACT_EST_MAPPING=PRECISE", "FS=MRC", "CURRENCY=USD", "XLFILL=b")</f>
        <v>23332</v>
      </c>
      <c r="X254" s="9">
        <f>_xll.BQL("AMZN US Equity", "BS_GOODWILL/1M", "FPT=Q", "FPO=7Q", "ACT_EST_MAPPING=PRECISE", "FS=MRC", "CURRENCY=USD", "XLFILL=b")</f>
        <v>23312.5</v>
      </c>
    </row>
    <row r="255" spans="1:24" x14ac:dyDescent="0.25">
      <c r="A255" s="8" t="s">
        <v>368</v>
      </c>
      <c r="B255" s="4" t="s">
        <v>369</v>
      </c>
      <c r="C255" s="4" t="s">
        <v>370</v>
      </c>
      <c r="D255" s="4"/>
      <c r="E255" s="9">
        <f>_xll.BQL("AMZN US Equity", "CB_BS_OTHER_NONCURRENT_ASSETS/1M", "FPT=Q", "FPO=-12Q", "ACT_EST_MAPPING=PRECISE", "FS=MRC", "CURRENCY=USD", "XLFILL=b")</f>
        <v>46392</v>
      </c>
      <c r="F255" s="9">
        <f>_xll.BQL("AMZN US Equity", "CB_BS_OTHER_NONCURRENT_ASSETS/1M", "FPT=Q", "FPO=-11Q", "ACT_EST_MAPPING=PRECISE", "FS=MRC", "CURRENCY=USD", "XLFILL=b")</f>
        <v>50224</v>
      </c>
      <c r="G255" s="9">
        <f>_xll.BQL("AMZN US Equity", "CB_BS_OTHER_NONCURRENT_ASSETS/1M", "FPT=Q", "FPO=-10Q", "ACT_EST_MAPPING=PRECISE", "FS=MRC", "CURRENCY=USD", "XLFILL=b")</f>
        <v>53913</v>
      </c>
      <c r="H255" s="9">
        <f>_xll.BQL("AMZN US Equity", "CB_BS_OTHER_NONCURRENT_ASSETS/1M", "FPT=Q", "FPO=-9Q", "ACT_EST_MAPPING=PRECISE", "FS=MRC", "CURRENCY=USD", "XLFILL=b")</f>
        <v>56024</v>
      </c>
      <c r="I255" s="9">
        <f>_xll.BQL("AMZN US Equity", "CB_BS_OTHER_NONCURRENT_ASSETS/1M", "FPT=Q", "FPO=-8Q", "ACT_EST_MAPPING=PRECISE", "FS=MRC", "CURRENCY=USD", "XLFILL=b")</f>
        <v>60947</v>
      </c>
      <c r="J255" s="9">
        <f>_xll.BQL("AMZN US Equity", "CB_BS_OTHER_NONCURRENT_ASSETS/1M", "FPT=Q", "FPO=-7Q", "ACT_EST_MAPPING=PRECISE", "FS=MRC", "CURRENCY=USD", "XLFILL=b")</f>
        <v>63340</v>
      </c>
      <c r="K255" s="9">
        <f>_xll.BQL("AMZN US Equity", "CB_BS_OTHER_NONCURRENT_ASSETS/1M", "FPT=Q", "FPO=-6Q", "ACT_EST_MAPPING=PRECISE", "FS=MRC", "CURRENCY=USD", "XLFILL=b")</f>
        <v>71309</v>
      </c>
      <c r="L255" s="9">
        <f>_xll.BQL("AMZN US Equity", "CB_BS_OTHER_NONCURRENT_ASSETS/1M", "FPT=Q", "FPO=-5Q", "ACT_EST_MAPPING=PRECISE", "FS=MRC", "CURRENCY=USD", "XLFILL=b")</f>
        <v>82147</v>
      </c>
      <c r="M255" s="9">
        <f>_xll.BQL("AMZN US Equity", "CB_BS_OTHER_NONCURRENT_ASSETS/1M", "FPT=Q", "FPO=-4Q", "ACT_EST_MAPPING=PRECISE", "FS=MRC", "CURRENCY=USD", "XLFILL=b")</f>
        <v>84246</v>
      </c>
      <c r="N255" s="9">
        <f>_xll.BQL("AMZN US Equity", "CB_BS_OTHER_NONCURRENT_ASSETS/1M", "FPT=Q", "FPO=-3Q", "ACT_EST_MAPPING=PRECISE", "FS=MRC", "CURRENCY=USD", "XLFILL=b")</f>
        <v>87854</v>
      </c>
      <c r="O255" s="9">
        <f>_xll.BQL("AMZN US Equity", "CB_BS_OTHER_NONCURRENT_ASSETS/1M", "FPT=Q", "FPO=-2Q", "ACT_EST_MAPPING=PRECISE", "FS=MRC", "CURRENCY=USD", "XLFILL=b")</f>
        <v>99904</v>
      </c>
      <c r="P255" s="9">
        <f>_xll.BQL("AMZN US Equity", "CB_BS_OTHER_NONCURRENT_ASSETS/1M", "FPT=Q", "FPO=-1Q", "ACT_EST_MAPPING=PRECISE", "FS=MRC", "CURRENCY=USD", "XLFILL=b")</f>
        <v>122607</v>
      </c>
      <c r="Q255" s="9">
        <f>_xll.BQL("AMZN US Equity", "CB_BS_OTHER_NONCURRENT_ASSETS/1M", "FPT=Q", "FPO=0Q", "ACT_EST_MAPPING=PRECISE", "FS=MRC", "CURRENCY=USD", "XLFILL=b")</f>
        <v>151827</v>
      </c>
      <c r="R255" s="9">
        <f>_xll.BQL("AMZN US Equity", "CB_BS_OTHER_NONCURRENT_ASSETS/1M", "FPT=Q", "FPO=1Q", "ACT_EST_MAPPING=PRECISE", "FS=MRC", "CURRENCY=USD", "XLFILL=b")</f>
        <v>140759.50405986147</v>
      </c>
      <c r="S255" s="9">
        <f>_xll.BQL("AMZN US Equity", "CB_BS_OTHER_NONCURRENT_ASSETS/1M", "FPT=Q", "FPO=2Q", "ACT_EST_MAPPING=PRECISE", "FS=MRC", "CURRENCY=USD", "XLFILL=b")</f>
        <v>143604.10743337168</v>
      </c>
      <c r="T255" s="9">
        <f>_xll.BQL("AMZN US Equity", "CB_BS_OTHER_NONCURRENT_ASSETS/1M", "FPT=Q", "FPO=3Q", "ACT_EST_MAPPING=PRECISE", "FS=MRC", "CURRENCY=USD", "XLFILL=b")</f>
        <v>152717.14301113266</v>
      </c>
      <c r="U255" s="9">
        <f>_xll.BQL("AMZN US Equity", "CB_BS_OTHER_NONCURRENT_ASSETS/1M", "FPT=Q", "FPO=4Q", "ACT_EST_MAPPING=PRECISE", "FS=MRC", "CURRENCY=USD", "XLFILL=b")</f>
        <v>155081.65206322988</v>
      </c>
      <c r="V255" s="9">
        <f>_xll.BQL("AMZN US Equity", "CB_BS_OTHER_NONCURRENT_ASSETS/1M", "FPT=Q", "FPO=5Q", "ACT_EST_MAPPING=PRECISE", "FS=MRC", "CURRENCY=USD", "XLFILL=b")</f>
        <v>145695.54557349731</v>
      </c>
      <c r="W255" s="9">
        <f>_xll.BQL("AMZN US Equity", "CB_BS_OTHER_NONCURRENT_ASSETS/1M", "FPT=Q", "FPO=6Q", "ACT_EST_MAPPING=PRECISE", "FS=MRC", "CURRENCY=USD", "XLFILL=b")</f>
        <v>148931.0537907535</v>
      </c>
      <c r="X255" s="9">
        <f>_xll.BQL("AMZN US Equity", "CB_BS_OTHER_NONCURRENT_ASSETS/1M", "FPT=Q", "FPO=7Q", "ACT_EST_MAPPING=PRECISE", "FS=MRC", "CURRENCY=USD", "XLFILL=b")</f>
        <v>158527.11633013087</v>
      </c>
    </row>
    <row r="256" spans="1:24" x14ac:dyDescent="0.25">
      <c r="A256" s="8" t="s">
        <v>371</v>
      </c>
      <c r="B256" s="4" t="s">
        <v>372</v>
      </c>
      <c r="C256" s="4" t="s">
        <v>373</v>
      </c>
      <c r="D256" s="4"/>
      <c r="E256" s="9">
        <f>_xll.BQL("AMZN US Equity", "BS_TOT_ASSET/1M", "FPT=Q", "FPO=-12Q", "ACT_EST_MAPPING=PRECISE", "FS=MRC", "CURRENCY=USD", "XLFILL=b")</f>
        <v>464378</v>
      </c>
      <c r="F256" s="9">
        <f>_xll.BQL("AMZN US Equity", "BS_TOT_ASSET/1M", "FPT=Q", "FPO=-11Q", "ACT_EST_MAPPING=PRECISE", "FS=MRC", "CURRENCY=USD", "XLFILL=b")</f>
        <v>477607</v>
      </c>
      <c r="G256" s="9">
        <f>_xll.BQL("AMZN US Equity", "BS_TOT_ASSET/1M", "FPT=Q", "FPO=-10Q", "ACT_EST_MAPPING=PRECISE", "FS=MRC", "CURRENCY=USD", "XLFILL=b")</f>
        <v>486883</v>
      </c>
      <c r="H256" s="9">
        <f>_xll.BQL("AMZN US Equity", "BS_TOT_ASSET/1M", "FPT=Q", "FPO=-9Q", "ACT_EST_MAPPING=PRECISE", "FS=MRC", "CURRENCY=USD", "XLFILL=b")</f>
        <v>527854</v>
      </c>
      <c r="I256" s="9">
        <f>_xll.BQL("AMZN US Equity", "BS_TOT_ASSET/1M", "FPT=Q", "FPO=-8Q", "ACT_EST_MAPPING=PRECISE", "FS=MRC", "CURRENCY=USD", "XLFILL=b")</f>
        <v>530969</v>
      </c>
      <c r="J256" s="9">
        <f>_xll.BQL("AMZN US Equity", "BS_TOT_ASSET/1M", "FPT=Q", "FPO=-7Q", "ACT_EST_MAPPING=PRECISE", "FS=MRC", "CURRENCY=USD", "XLFILL=b")</f>
        <v>554818</v>
      </c>
      <c r="K256" s="9">
        <f>_xll.BQL("AMZN US Equity", "BS_TOT_ASSET/1M", "FPT=Q", "FPO=-6Q", "ACT_EST_MAPPING=PRECISE", "FS=MRC", "CURRENCY=USD", "XLFILL=b")</f>
        <v>584626</v>
      </c>
      <c r="L256" s="9">
        <f>_xll.BQL("AMZN US Equity", "BS_TOT_ASSET/1M", "FPT=Q", "FPO=-5Q", "ACT_EST_MAPPING=PRECISE", "FS=MRC", "CURRENCY=USD", "XLFILL=b")</f>
        <v>624894</v>
      </c>
      <c r="M256" s="9">
        <f>_xll.BQL("AMZN US Equity", "BS_TOT_ASSET/1M", "FPT=Q", "FPO=-4Q", "ACT_EST_MAPPING=PRECISE", "FS=MRC", "CURRENCY=USD", "XLFILL=b")</f>
        <v>643256</v>
      </c>
      <c r="N256" s="9">
        <f>_xll.BQL("AMZN US Equity", "BS_TOT_ASSET/1M", "FPT=Q", "FPO=-3Q", "ACT_EST_MAPPING=PRECISE", "FS=MRC", "CURRENCY=USD", "XLFILL=b")</f>
        <v>682170</v>
      </c>
      <c r="O256" s="9">
        <f>_xll.BQL("AMZN US Equity", "BS_TOT_ASSET/1M", "FPT=Q", "FPO=-2Q", "ACT_EST_MAPPING=PRECISE", "FS=MRC", "CURRENCY=USD", "XLFILL=b")</f>
        <v>727921</v>
      </c>
      <c r="P256" s="9">
        <f>_xll.BQL("AMZN US Equity", "BS_TOT_ASSET/1M", "FPT=Q", "FPO=-1Q", "ACT_EST_MAPPING=PRECISE", "FS=MRC", "CURRENCY=USD", "XLFILL=b")</f>
        <v>818042</v>
      </c>
      <c r="Q256" s="9">
        <f>_xll.BQL("AMZN US Equity", "BS_TOT_ASSET/1M", "FPT=Q", "FPO=0Q", "ACT_EST_MAPPING=PRECISE", "FS=MRC", "CURRENCY=USD", "XLFILL=b")</f>
        <v>916630</v>
      </c>
      <c r="R256" s="9">
        <f>_xll.BQL("AMZN US Equity", "BS_TOT_ASSET/1M", "FPT=Q", "FPO=1Q", "ACT_EST_MAPPING=PRECISE", "FS=MRC", "CURRENCY=USD", "XLFILL=b")</f>
        <v>935792.11515813344</v>
      </c>
      <c r="S256" s="9">
        <f>_xll.BQL("AMZN US Equity", "BS_TOT_ASSET/1M", "FPT=Q", "FPO=2Q", "ACT_EST_MAPPING=PRECISE", "FS=MRC", "CURRENCY=USD", "XLFILL=b")</f>
        <v>969130.3882434601</v>
      </c>
      <c r="T256" s="9">
        <f>_xll.BQL("AMZN US Equity", "BS_TOT_ASSET/1M", "FPT=Q", "FPO=3Q", "ACT_EST_MAPPING=PRECISE", "FS=MRC", "CURRENCY=USD", "XLFILL=b")</f>
        <v>1026658.6822417888</v>
      </c>
      <c r="U256" s="9">
        <f>_xll.BQL("AMZN US Equity", "BS_TOT_ASSET/1M", "FPT=Q", "FPO=4Q", "ACT_EST_MAPPING=PRECISE", "FS=MRC", "CURRENCY=USD", "XLFILL=b")</f>
        <v>1060248.6331490115</v>
      </c>
      <c r="V256" s="9">
        <f>_xll.BQL("AMZN US Equity", "BS_TOT_ASSET/1M", "FPT=Q", "FPO=5Q", "ACT_EST_MAPPING=PRECISE", "FS=MRC", "CURRENCY=USD", "XLFILL=b")</f>
        <v>1092713.6893196113</v>
      </c>
      <c r="W256" s="9">
        <f>_xll.BQL("AMZN US Equity", "BS_TOT_ASSET/1M", "FPT=Q", "FPO=6Q", "ACT_EST_MAPPING=PRECISE", "FS=MRC", "CURRENCY=USD", "XLFILL=b")</f>
        <v>1130330.3028343238</v>
      </c>
      <c r="X256" s="9">
        <f>_xll.BQL("AMZN US Equity", "BS_TOT_ASSET/1M", "FPT=Q", "FPO=7Q", "ACT_EST_MAPPING=PRECISE", "FS=MRC", "CURRENCY=USD", "XLFILL=b")</f>
        <v>1193245.5244783408</v>
      </c>
    </row>
    <row r="257" spans="1:24" x14ac:dyDescent="0.25">
      <c r="A257" s="8" t="s">
        <v>14</v>
      </c>
      <c r="B257" s="4"/>
      <c r="C257" s="4"/>
      <c r="D257" s="4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</row>
    <row r="258" spans="1:24" x14ac:dyDescent="0.25">
      <c r="A258" s="8" t="s">
        <v>374</v>
      </c>
      <c r="B258" s="4"/>
      <c r="C258" s="4"/>
      <c r="D258" s="4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</row>
    <row r="259" spans="1:24" x14ac:dyDescent="0.25">
      <c r="A259" s="8" t="s">
        <v>375</v>
      </c>
      <c r="B259" s="4" t="s">
        <v>376</v>
      </c>
      <c r="C259" s="4" t="s">
        <v>377</v>
      </c>
      <c r="D259" s="4"/>
      <c r="E259" s="9">
        <f>_xll.BQL("AMZN US Equity", "BS_CUR_LIAB/1M", "FPT=Q", "FPO=-12Q", "ACT_EST_MAPPING=PRECISE", "FS=MRC", "CURRENCY=USD", "XLFILL=b")</f>
        <v>147570</v>
      </c>
      <c r="F259" s="9">
        <f>_xll.BQL("AMZN US Equity", "BS_CUR_LIAB/1M", "FPT=Q", "FPO=-11Q", "ACT_EST_MAPPING=PRECISE", "FS=MRC", "CURRENCY=USD", "XLFILL=b")</f>
        <v>148238</v>
      </c>
      <c r="G259" s="9">
        <f>_xll.BQL("AMZN US Equity", "BS_CUR_LIAB/1M", "FPT=Q", "FPO=-10Q", "ACT_EST_MAPPING=PRECISE", "FS=MRC", "CURRENCY=USD", "XLFILL=b")</f>
        <v>145214</v>
      </c>
      <c r="H259" s="9">
        <f>_xll.BQL("AMZN US Equity", "BS_CUR_LIAB/1M", "FPT=Q", "FPO=-9Q", "ACT_EST_MAPPING=PRECISE", "FS=MRC", "CURRENCY=USD", "XLFILL=b")</f>
        <v>164917</v>
      </c>
      <c r="I259" s="9">
        <f>_xll.BQL("AMZN US Equity", "BS_CUR_LIAB/1M", "FPT=Q", "FPO=-8Q", "ACT_EST_MAPPING=PRECISE", "FS=MRC", "CURRENCY=USD", "XLFILL=b")</f>
        <v>152965</v>
      </c>
      <c r="J259" s="9">
        <f>_xll.BQL("AMZN US Equity", "BS_CUR_LIAB/1M", "FPT=Q", "FPO=-7Q", "ACT_EST_MAPPING=PRECISE", "FS=MRC", "CURRENCY=USD", "XLFILL=b")</f>
        <v>158172</v>
      </c>
      <c r="K259" s="9">
        <f>_xll.BQL("AMZN US Equity", "BS_CUR_LIAB/1M", "FPT=Q", "FPO=-6Q", "ACT_EST_MAPPING=PRECISE", "FS=MRC", "CURRENCY=USD", "XLFILL=b")</f>
        <v>161477</v>
      </c>
      <c r="L259" s="9">
        <f>_xll.BQL("AMZN US Equity", "BS_CUR_LIAB/1M", "FPT=Q", "FPO=-5Q", "ACT_EST_MAPPING=PRECISE", "FS=MRC", "CURRENCY=USD", "XLFILL=b")</f>
        <v>179431</v>
      </c>
      <c r="M259" s="9">
        <f>_xll.BQL("AMZN US Equity", "BS_CUR_LIAB/1M", "FPT=Q", "FPO=-4Q", "ACT_EST_MAPPING=PRECISE", "FS=MRC", "CURRENCY=USD", "XLFILL=b")</f>
        <v>176171</v>
      </c>
      <c r="N259" s="9">
        <f>_xll.BQL("AMZN US Equity", "BS_CUR_LIAB/1M", "FPT=Q", "FPO=-3Q", "ACT_EST_MAPPING=PRECISE", "FS=MRC", "CURRENCY=USD", "XLFILL=b")</f>
        <v>186921</v>
      </c>
      <c r="O259" s="9">
        <f>_xll.BQL("AMZN US Equity", "BS_CUR_LIAB/1M", "FPT=Q", "FPO=-2Q", "ACT_EST_MAPPING=PRECISE", "FS=MRC", "CURRENCY=USD", "XLFILL=b")</f>
        <v>195196</v>
      </c>
      <c r="P259" s="9">
        <f>_xll.BQL("AMZN US Equity", "BS_CUR_LIAB/1M", "FPT=Q", "FPO=-1Q", "ACT_EST_MAPPING=PRECISE", "FS=MRC", "CURRENCY=USD", "XLFILL=b")</f>
        <v>218005</v>
      </c>
      <c r="Q259" s="9">
        <f>_xll.BQL("AMZN US Equity", "BS_CUR_LIAB/1M", "FPT=Q", "FPO=0Q", "ACT_EST_MAPPING=PRECISE", "FS=MRC", "CURRENCY=USD", "XLFILL=b")</f>
        <v>216756</v>
      </c>
      <c r="R259" s="9">
        <f>_xll.BQL("AMZN US Equity", "BS_CUR_LIAB/1M", "FPT=Q", "FPO=1Q", "ACT_EST_MAPPING=PRECISE", "FS=MRC", "CURRENCY=USD", "XLFILL=b")</f>
        <v>215839.85060775821</v>
      </c>
      <c r="S259" s="9">
        <f>_xll.BQL("AMZN US Equity", "BS_CUR_LIAB/1M", "FPT=Q", "FPO=2Q", "ACT_EST_MAPPING=PRECISE", "FS=MRC", "CURRENCY=USD", "XLFILL=b")</f>
        <v>216591.97385011276</v>
      </c>
      <c r="T259" s="9">
        <f>_xll.BQL("AMZN US Equity", "BS_CUR_LIAB/1M", "FPT=Q", "FPO=3Q", "ACT_EST_MAPPING=PRECISE", "FS=MRC", "CURRENCY=USD", "XLFILL=b")</f>
        <v>238237.72144382662</v>
      </c>
      <c r="U259" s="9">
        <f>_xll.BQL("AMZN US Equity", "BS_CUR_LIAB/1M", "FPT=Q", "FPO=4Q", "ACT_EST_MAPPING=PRECISE", "FS=MRC", "CURRENCY=USD", "XLFILL=b")</f>
        <v>235961.40987705436</v>
      </c>
      <c r="V259" s="9">
        <f>_xll.BQL("AMZN US Equity", "BS_CUR_LIAB/1M", "FPT=Q", "FPO=5Q", "ACT_EST_MAPPING=PRECISE", "FS=MRC", "CURRENCY=USD", "XLFILL=b")</f>
        <v>238059.05422500341</v>
      </c>
      <c r="W259" s="9">
        <f>_xll.BQL("AMZN US Equity", "BS_CUR_LIAB/1M", "FPT=Q", "FPO=6Q", "ACT_EST_MAPPING=PRECISE", "FS=MRC", "CURRENCY=USD", "XLFILL=b")</f>
        <v>239970.31247526399</v>
      </c>
      <c r="X259" s="9">
        <f>_xll.BQL("AMZN US Equity", "BS_CUR_LIAB/1M", "FPT=Q", "FPO=7Q", "ACT_EST_MAPPING=PRECISE", "FS=MRC", "CURRENCY=USD", "XLFILL=b")</f>
        <v>260056.23010911176</v>
      </c>
    </row>
    <row r="260" spans="1:24" x14ac:dyDescent="0.25">
      <c r="A260" s="8" t="s">
        <v>378</v>
      </c>
      <c r="B260" s="4" t="s">
        <v>379</v>
      </c>
      <c r="C260" s="4" t="s">
        <v>380</v>
      </c>
      <c r="D260" s="4"/>
      <c r="E260" s="9">
        <f>_xll.BQL("AMZN US Equity", "BS_ACCT_PAYABLE/1M", "FPT=Q", "FPO=-12Q", "ACT_EST_MAPPING=PRECISE", "FS=MRC", "CURRENCY=USD", "XLFILL=b")</f>
        <v>66907</v>
      </c>
      <c r="F260" s="9">
        <f>_xll.BQL("AMZN US Equity", "BS_ACCT_PAYABLE/1M", "FPT=Q", "FPO=-11Q", "ACT_EST_MAPPING=PRECISE", "FS=MRC", "CURRENCY=USD", "XLFILL=b")</f>
        <v>69481</v>
      </c>
      <c r="G260" s="9">
        <f>_xll.BQL("AMZN US Equity", "BS_ACCT_PAYABLE/1M", "FPT=Q", "FPO=-10Q", "ACT_EST_MAPPING=PRECISE", "FS=MRC", "CURRENCY=USD", "XLFILL=b")</f>
        <v>72004</v>
      </c>
      <c r="H260" s="9">
        <f>_xll.BQL("AMZN US Equity", "BS_ACCT_PAYABLE/1M", "FPT=Q", "FPO=-9Q", "ACT_EST_MAPPING=PRECISE", "FS=MRC", "CURRENCY=USD", "XLFILL=b")</f>
        <v>84981</v>
      </c>
      <c r="I260" s="9">
        <f>_xll.BQL("AMZN US Equity", "BS_ACCT_PAYABLE/1M", "FPT=Q", "FPO=-8Q", "ACT_EST_MAPPING=PRECISE", "FS=MRC", "CURRENCY=USD", "XLFILL=b")</f>
        <v>73068</v>
      </c>
      <c r="J260" s="9">
        <f>_xll.BQL("AMZN US Equity", "BS_ACCT_PAYABLE/1M", "FPT=Q", "FPO=-7Q", "ACT_EST_MAPPING=PRECISE", "FS=MRC", "CURRENCY=USD", "XLFILL=b")</f>
        <v>81817</v>
      </c>
      <c r="K260" s="9">
        <f>_xll.BQL("AMZN US Equity", "BS_ACCT_PAYABLE/1M", "FPT=Q", "FPO=-6Q", "ACT_EST_MAPPING=PRECISE", "FS=MRC", "CURRENCY=USD", "XLFILL=b")</f>
        <v>84570</v>
      </c>
      <c r="L260" s="9">
        <f>_xll.BQL("AMZN US Equity", "BS_ACCT_PAYABLE/1M", "FPT=Q", "FPO=-5Q", "ACT_EST_MAPPING=PRECISE", "FS=MRC", "CURRENCY=USD", "XLFILL=b")</f>
        <v>94363</v>
      </c>
      <c r="M260" s="9">
        <f>_xll.BQL("AMZN US Equity", "BS_ACCT_PAYABLE/1M", "FPT=Q", "FPO=-4Q", "ACT_EST_MAPPING=PRECISE", "FS=MRC", "CURRENCY=USD", "XLFILL=b")</f>
        <v>89241</v>
      </c>
      <c r="N260" s="9">
        <f>_xll.BQL("AMZN US Equity", "BS_ACCT_PAYABLE/1M", "FPT=Q", "FPO=-3Q", "ACT_EST_MAPPING=PRECISE", "FS=MRC", "CURRENCY=USD", "XLFILL=b")</f>
        <v>98285</v>
      </c>
      <c r="O260" s="9">
        <f>_xll.BQL("AMZN US Equity", "BS_ACCT_PAYABLE/1M", "FPT=Q", "FPO=-2Q", "ACT_EST_MAPPING=PRECISE", "FS=MRC", "CURRENCY=USD", "XLFILL=b")</f>
        <v>106032</v>
      </c>
      <c r="P260" s="9">
        <f>_xll.BQL("AMZN US Equity", "BS_ACCT_PAYABLE/1M", "FPT=Q", "FPO=-1Q", "ACT_EST_MAPPING=PRECISE", "FS=MRC", "CURRENCY=USD", "XLFILL=b")</f>
        <v>121909</v>
      </c>
      <c r="Q260" s="9">
        <f>_xll.BQL("AMZN US Equity", "BS_ACCT_PAYABLE/1M", "FPT=Q", "FPO=0Q", "ACT_EST_MAPPING=PRECISE", "FS=MRC", "CURRENCY=USD", "XLFILL=b")</f>
        <v>124749</v>
      </c>
      <c r="R260" s="9">
        <f>_xll.BQL("AMZN US Equity", "BS_ACCT_PAYABLE/1M", "FPT=Q", "FPO=1Q", "ACT_EST_MAPPING=PRECISE", "FS=MRC", "CURRENCY=USD", "XLFILL=b")</f>
        <v>117944.96819524812</v>
      </c>
      <c r="S260" s="9">
        <f>_xll.BQL("AMZN US Equity", "BS_ACCT_PAYABLE/1M", "FPT=Q", "FPO=2Q", "ACT_EST_MAPPING=PRECISE", "FS=MRC", "CURRENCY=USD", "XLFILL=b")</f>
        <v>119233.35055349857</v>
      </c>
      <c r="T260" s="9">
        <f>_xll.BQL("AMZN US Equity", "BS_ACCT_PAYABLE/1M", "FPT=Q", "FPO=3Q", "ACT_EST_MAPPING=PRECISE", "FS=MRC", "CURRENCY=USD", "XLFILL=b")</f>
        <v>133551.7573540142</v>
      </c>
      <c r="U260" s="9">
        <f>_xll.BQL("AMZN US Equity", "BS_ACCT_PAYABLE/1M", "FPT=Q", "FPO=4Q", "ACT_EST_MAPPING=PRECISE", "FS=MRC", "CURRENCY=USD", "XLFILL=b")</f>
        <v>132033.28545403457</v>
      </c>
      <c r="V260" s="9">
        <f>_xll.BQL("AMZN US Equity", "BS_ACCT_PAYABLE/1M", "FPT=Q", "FPO=5Q", "ACT_EST_MAPPING=PRECISE", "FS=MRC", "CURRENCY=USD", "XLFILL=b")</f>
        <v>128175.96952017042</v>
      </c>
      <c r="W260" s="9">
        <f>_xll.BQL("AMZN US Equity", "BS_ACCT_PAYABLE/1M", "FPT=Q", "FPO=6Q", "ACT_EST_MAPPING=PRECISE", "FS=MRC", "CURRENCY=USD", "XLFILL=b")</f>
        <v>130571.39989019743</v>
      </c>
      <c r="X260" s="9">
        <f>_xll.BQL("AMZN US Equity", "BS_ACCT_PAYABLE/1M", "FPT=Q", "FPO=7Q", "ACT_EST_MAPPING=PRECISE", "FS=MRC", "CURRENCY=USD", "XLFILL=b")</f>
        <v>145622.945350653</v>
      </c>
    </row>
    <row r="261" spans="1:24" x14ac:dyDescent="0.25">
      <c r="A261" s="8" t="s">
        <v>381</v>
      </c>
      <c r="B261" s="4" t="s">
        <v>382</v>
      </c>
      <c r="C261" s="4" t="s">
        <v>383</v>
      </c>
      <c r="D261" s="4"/>
      <c r="E261" s="9">
        <f>_xll.BQL("AMZN US Equity", "BS_ACCRUD_EXPNSS_AND_OTHR/1M", "FPT=Q", "FPO=-12Q", "ACT_EST_MAPPING=PRECISE", "FS=MRC", "CURRENCY=USD", "XLFILL=b")</f>
        <v>66382</v>
      </c>
      <c r="F261" s="9">
        <f>_xll.BQL("AMZN US Equity", "BS_ACCRUD_EXPNSS_AND_OTHR/1M", "FPT=Q", "FPO=-11Q", "ACT_EST_MAPPING=PRECISE", "FS=MRC", "CURRENCY=USD", "XLFILL=b")</f>
        <v>64235</v>
      </c>
      <c r="G261" s="9">
        <f>_xll.BQL("AMZN US Equity", "BS_ACCRUD_EXPNSS_AND_OTHR/1M", "FPT=Q", "FPO=-10Q", "ACT_EST_MAPPING=PRECISE", "FS=MRC", "CURRENCY=USD", "XLFILL=b")</f>
        <v>58812</v>
      </c>
      <c r="H261" s="9">
        <f>_xll.BQL("AMZN US Equity", "BS_ACCRUD_EXPNSS_AND_OTHR/1M", "FPT=Q", "FPO=-9Q", "ACT_EST_MAPPING=PRECISE", "FS=MRC", "CURRENCY=USD", "XLFILL=b")</f>
        <v>64709</v>
      </c>
      <c r="I261" s="9">
        <f>_xll.BQL("AMZN US Equity", "BS_ACCRUD_EXPNSS_AND_OTHR/1M", "FPT=Q", "FPO=-8Q", "ACT_EST_MAPPING=PRECISE", "FS=MRC", "CURRENCY=USD", "XLFILL=b")</f>
        <v>63970</v>
      </c>
      <c r="J261" s="9">
        <f>_xll.BQL("AMZN US Equity", "BS_ACCRUD_EXPNSS_AND_OTHR/1M", "FPT=Q", "FPO=-7Q", "ACT_EST_MAPPING=PRECISE", "FS=MRC", "CURRENCY=USD", "XLFILL=b")</f>
        <v>60351</v>
      </c>
      <c r="K261" s="9">
        <f>_xll.BQL("AMZN US Equity", "BS_ACCRUD_EXPNSS_AND_OTHR/1M", "FPT=Q", "FPO=-6Q", "ACT_EST_MAPPING=PRECISE", "FS=MRC", "CURRENCY=USD", "XLFILL=b")</f>
        <v>60602</v>
      </c>
      <c r="L261" s="9">
        <f>_xll.BQL("AMZN US Equity", "BS_ACCRUD_EXPNSS_AND_OTHR/1M", "FPT=Q", "FPO=-5Q", "ACT_EST_MAPPING=PRECISE", "FS=MRC", "CURRENCY=USD", "XLFILL=b")</f>
        <v>66965</v>
      </c>
      <c r="M261" s="9">
        <f>_xll.BQL("AMZN US Equity", "BS_ACCRUD_EXPNSS_AND_OTHR/1M", "FPT=Q", "FPO=-4Q", "ACT_EST_MAPPING=PRECISE", "FS=MRC", "CURRENCY=USD", "XLFILL=b")</f>
        <v>66331</v>
      </c>
      <c r="N261" s="9">
        <f>_xll.BQL("AMZN US Equity", "BS_ACCRUD_EXPNSS_AND_OTHR/1M", "FPT=Q", "FPO=-3Q", "ACT_EST_MAPPING=PRECISE", "FS=MRC", "CURRENCY=USD", "XLFILL=b")</f>
        <v>66974</v>
      </c>
      <c r="O261" s="9">
        <f>_xll.BQL("AMZN US Equity", "BS_ACCRUD_EXPNSS_AND_OTHR/1M", "FPT=Q", "FPO=-2Q", "ACT_EST_MAPPING=PRECISE", "FS=MRC", "CURRENCY=USD", "XLFILL=b")</f>
        <v>68051</v>
      </c>
      <c r="P261" s="9">
        <f>_xll.BQL("AMZN US Equity", "BS_ACCRUD_EXPNSS_AND_OTHR/1M", "FPT=Q", "FPO=-1Q", "ACT_EST_MAPPING=PRECISE", "FS=MRC", "CURRENCY=USD", "XLFILL=b")</f>
        <v>75520</v>
      </c>
      <c r="Q261" s="9">
        <f>_xll.BQL("AMZN US Equity", "BS_ACCRUD_EXPNSS_AND_OTHR/1M", "FPT=Q", "FPO=0Q", "ACT_EST_MAPPING=PRECISE", "FS=MRC", "CURRENCY=USD", "XLFILL=b")</f>
        <v>71120</v>
      </c>
      <c r="R261" s="9">
        <f>_xll.BQL("AMZN US Equity", "BS_ACCRUD_EXPNSS_AND_OTHR/1M", "FPT=Q", "FPO=1Q", "ACT_EST_MAPPING=PRECISE", "FS=MRC", "CURRENCY=USD", "XLFILL=b")</f>
        <v>73918.016773428782</v>
      </c>
      <c r="S261" s="9">
        <f>_xll.BQL("AMZN US Equity", "BS_ACCRUD_EXPNSS_AND_OTHR/1M", "FPT=Q", "FPO=2Q", "ACT_EST_MAPPING=PRECISE", "FS=MRC", "CURRENCY=USD", "XLFILL=b")</f>
        <v>74017.506580629546</v>
      </c>
      <c r="T261" s="9">
        <f>_xll.BQL("AMZN US Equity", "BS_ACCRUD_EXPNSS_AND_OTHR/1M", "FPT=Q", "FPO=3Q", "ACT_EST_MAPPING=PRECISE", "FS=MRC", "CURRENCY=USD", "XLFILL=b")</f>
        <v>81448.436980857892</v>
      </c>
      <c r="U261" s="9">
        <f>_xll.BQL("AMZN US Equity", "BS_ACCRUD_EXPNSS_AND_OTHR/1M", "FPT=Q", "FPO=4Q", "ACT_EST_MAPPING=PRECISE", "FS=MRC", "CURRENCY=USD", "XLFILL=b")</f>
        <v>79200.326344321045</v>
      </c>
      <c r="V261" s="9">
        <f>_xll.BQL("AMZN US Equity", "BS_ACCRUD_EXPNSS_AND_OTHR/1M", "FPT=Q", "FPO=5Q", "ACT_EST_MAPPING=PRECISE", "FS=MRC", "CURRENCY=USD", "XLFILL=b")</f>
        <v>82730.612176368173</v>
      </c>
      <c r="W261" s="9">
        <f>_xll.BQL("AMZN US Equity", "BS_ACCRUD_EXPNSS_AND_OTHR/1M", "FPT=Q", "FPO=6Q", "ACT_EST_MAPPING=PRECISE", "FS=MRC", "CURRENCY=USD", "XLFILL=b")</f>
        <v>82311.409616564575</v>
      </c>
      <c r="X261" s="9">
        <f>_xll.BQL("AMZN US Equity", "BS_ACCRUD_EXPNSS_AND_OTHR/1M", "FPT=Q", "FPO=7Q", "ACT_EST_MAPPING=PRECISE", "FS=MRC", "CURRENCY=USD", "XLFILL=b")</f>
        <v>88980.242106075908</v>
      </c>
    </row>
    <row r="262" spans="1:24" x14ac:dyDescent="0.25">
      <c r="A262" s="8" t="s">
        <v>384</v>
      </c>
      <c r="B262" s="4" t="s">
        <v>385</v>
      </c>
      <c r="C262" s="4" t="s">
        <v>386</v>
      </c>
      <c r="D262" s="4"/>
      <c r="E262" s="9">
        <f>_xll.BQL("AMZN US Equity", "ST_DEFERRED_REVENUE/1M", "FPT=Q", "FPO=-12Q", "ACT_EST_MAPPING=PRECISE", "FS=MRC", "CURRENCY=USD", "XLFILL=b")</f>
        <v>14281</v>
      </c>
      <c r="F262" s="9">
        <f>_xll.BQL("AMZN US Equity", "ST_DEFERRED_REVENUE/1M", "FPT=Q", "FPO=-11Q", "ACT_EST_MAPPING=PRECISE", "FS=MRC", "CURRENCY=USD", "XLFILL=b")</f>
        <v>14522</v>
      </c>
      <c r="G262" s="9">
        <f>_xll.BQL("AMZN US Equity", "ST_DEFERRED_REVENUE/1M", "FPT=Q", "FPO=-10Q", "ACT_EST_MAPPING=PRECISE", "FS=MRC", "CURRENCY=USD", "XLFILL=b")</f>
        <v>14398</v>
      </c>
      <c r="H262" s="9">
        <f>_xll.BQL("AMZN US Equity", "ST_DEFERRED_REVENUE/1M", "FPT=Q", "FPO=-9Q", "ACT_EST_MAPPING=PRECISE", "FS=MRC", "CURRENCY=USD", "XLFILL=b")</f>
        <v>15227</v>
      </c>
      <c r="I262" s="9">
        <f>_xll.BQL("AMZN US Equity", "ST_DEFERRED_REVENUE/1M", "FPT=Q", "FPO=-8Q", "ACT_EST_MAPPING=PRECISE", "FS=MRC", "CURRENCY=USD", "XLFILL=b")</f>
        <v>15927</v>
      </c>
      <c r="J262" s="9">
        <f>_xll.BQL("AMZN US Equity", "ST_DEFERRED_REVENUE/1M", "FPT=Q", "FPO=-7Q", "ACT_EST_MAPPING=PRECISE", "FS=MRC", "CURRENCY=USD", "XLFILL=b")</f>
        <v>16004</v>
      </c>
      <c r="K262" s="9">
        <f>_xll.BQL("AMZN US Equity", "ST_DEFERRED_REVENUE/1M", "FPT=Q", "FPO=-6Q", "ACT_EST_MAPPING=PRECISE", "FS=MRC", "CURRENCY=USD", "XLFILL=b")</f>
        <v>16305</v>
      </c>
      <c r="L262" s="9">
        <f>_xll.BQL("AMZN US Equity", "ST_DEFERRED_REVENUE/1M", "FPT=Q", "FPO=-5Q", "ACT_EST_MAPPING=PRECISE", "FS=MRC", "CURRENCY=USD", "XLFILL=b")</f>
        <v>18103</v>
      </c>
      <c r="M262" s="9">
        <f>_xll.BQL("AMZN US Equity", "ST_DEFERRED_REVENUE/1M", "FPT=Q", "FPO=-4Q", "ACT_EST_MAPPING=PRECISE", "FS=MRC", "CURRENCY=USD", "XLFILL=b")</f>
        <v>20599</v>
      </c>
      <c r="N262" s="9">
        <f>_xll.BQL("AMZN US Equity", "ST_DEFERRED_REVENUE/1M", "FPT=Q", "FPO=-3Q", "ACT_EST_MAPPING=PRECISE", "FS=MRC", "CURRENCY=USD", "XLFILL=b")</f>
        <v>21662</v>
      </c>
      <c r="O262" s="9">
        <f>_xll.BQL("AMZN US Equity", "ST_DEFERRED_REVENUE/1M", "FPT=Q", "FPO=-2Q", "ACT_EST_MAPPING=PRECISE", "FS=MRC", "CURRENCY=USD", "XLFILL=b")</f>
        <v>21113</v>
      </c>
      <c r="P262" s="9">
        <f>_xll.BQL("AMZN US Equity", "ST_DEFERRED_REVENUE/1M", "FPT=Q", "FPO=-1Q", "ACT_EST_MAPPING=PRECISE", "FS=MRC", "CURRENCY=USD", "XLFILL=b")</f>
        <v>20576</v>
      </c>
      <c r="Q262" s="9">
        <f>_xll.BQL("AMZN US Equity", "ST_DEFERRED_REVENUE/1M", "FPT=Q", "FPO=0Q", "ACT_EST_MAPPING=PRECISE", "FS=MRC", "CURRENCY=USD", "XLFILL=b")</f>
        <v>20887</v>
      </c>
      <c r="R262" s="9">
        <f>_xll.BQL("AMZN US Equity", "ST_DEFERRED_REVENUE/1M", "FPT=Q", "FPO=1Q", "ACT_EST_MAPPING=PRECISE", "FS=MRC", "CURRENCY=USD", "XLFILL=b")</f>
        <v>22752.378938954924</v>
      </c>
      <c r="S262" s="9">
        <f>_xll.BQL("AMZN US Equity", "ST_DEFERRED_REVENUE/1M", "FPT=Q", "FPO=2Q", "ACT_EST_MAPPING=PRECISE", "FS=MRC", "CURRENCY=USD", "XLFILL=b")</f>
        <v>22504.844593476009</v>
      </c>
      <c r="T262" s="9">
        <f>_xll.BQL("AMZN US Equity", "ST_DEFERRED_REVENUE/1M", "FPT=Q", "FPO=3Q", "ACT_EST_MAPPING=PRECISE", "FS=MRC", "CURRENCY=USD", "XLFILL=b")</f>
        <v>22346.631683830168</v>
      </c>
      <c r="U262" s="9">
        <f>_xll.BQL("AMZN US Equity", "ST_DEFERRED_REVENUE/1M", "FPT=Q", "FPO=4Q", "ACT_EST_MAPPING=PRECISE", "FS=MRC", "CURRENCY=USD", "XLFILL=b")</f>
        <v>23876.240280039445</v>
      </c>
      <c r="V262" s="9">
        <f>_xll.BQL("AMZN US Equity", "ST_DEFERRED_REVENUE/1M", "FPT=Q", "FPO=5Q", "ACT_EST_MAPPING=PRECISE", "FS=MRC", "CURRENCY=USD", "XLFILL=b")</f>
        <v>26499.335104690537</v>
      </c>
      <c r="W262" s="9">
        <f>_xll.BQL("AMZN US Equity", "ST_DEFERRED_REVENUE/1M", "FPT=Q", "FPO=6Q", "ACT_EST_MAPPING=PRECISE", "FS=MRC", "CURRENCY=USD", "XLFILL=b")</f>
        <v>26394.8729477776</v>
      </c>
      <c r="X262" s="9">
        <f>_xll.BQL("AMZN US Equity", "ST_DEFERRED_REVENUE/1M", "FPT=Q", "FPO=7Q", "ACT_EST_MAPPING=PRECISE", "FS=MRC", "CURRENCY=USD", "XLFILL=b")</f>
        <v>24776.963001282322</v>
      </c>
    </row>
    <row r="263" spans="1:24" x14ac:dyDescent="0.25">
      <c r="A263" s="8" t="s">
        <v>387</v>
      </c>
      <c r="B263" s="4" t="s">
        <v>388</v>
      </c>
      <c r="C263" s="4" t="s">
        <v>389</v>
      </c>
      <c r="D263" s="4"/>
      <c r="E263" s="9">
        <f>_xll.BQL("AMZN US Equity", "CB_BS_CURRENT_PORTION_OF_LT_DEBT/1M", "FPT=Q", "FPO=-12Q", "ACT_EST_MAPPING=PRECISE", "FS=MRC", "CURRENCY=USD", "XLFILL=b")</f>
        <v>2000</v>
      </c>
      <c r="F263" s="9">
        <f>_xll.BQL("AMZN US Equity", "CB_BS_CURRENT_PORTION_OF_LT_DEBT/1M", "FPT=Q", "FPO=-11Q", "ACT_EST_MAPPING=PRECISE", "FS=MRC", "CURRENCY=USD", "XLFILL=b")</f>
        <v>3997</v>
      </c>
      <c r="G263" s="9">
        <f>_xll.BQL("AMZN US Equity", "CB_BS_CURRENT_PORTION_OF_LT_DEBT/1M", "FPT=Q", "FPO=-10Q", "ACT_EST_MAPPING=PRECISE", "FS=MRC", "CURRENCY=USD", "XLFILL=b")</f>
        <v>5995</v>
      </c>
      <c r="H263" s="9">
        <f>_xll.BQL("AMZN US Equity", "CB_BS_CURRENT_PORTION_OF_LT_DEBT/1M", "FPT=Q", "FPO=-9Q", "ACT_EST_MAPPING=PRECISE", "FS=MRC", "CURRENCY=USD", "XLFILL=b")</f>
        <v>8494</v>
      </c>
      <c r="I263" s="9">
        <f>_xll.BQL("AMZN US Equity", "CB_BS_CURRENT_PORTION_OF_LT_DEBT/1M", "FPT=Q", "FPO=-8Q", "ACT_EST_MAPPING=PRECISE", "FS=MRC", "CURRENCY=USD", "XLFILL=b")</f>
        <v>8848</v>
      </c>
      <c r="J263" s="9">
        <f>_xll.BQL("AMZN US Equity", "CB_BS_CURRENT_PORTION_OF_LT_DEBT/1M", "FPT=Q", "FPO=-7Q", "ACT_EST_MAPPING=PRECISE", "FS=MRC", "CURRENCY=USD", "XLFILL=b")</f>
        <v>7429</v>
      </c>
      <c r="K263" s="9">
        <f>_xll.BQL("AMZN US Equity", "CB_BS_CURRENT_PORTION_OF_LT_DEBT/1M", "FPT=Q", "FPO=-6Q", "ACT_EST_MAPPING=PRECISE", "FS=MRC", "CURRENCY=USD", "XLFILL=b")</f>
        <v>5248</v>
      </c>
      <c r="L263" s="9">
        <f>_xll.BQL("AMZN US Equity", "CB_BS_CURRENT_PORTION_OF_LT_DEBT/1M", "FPT=Q", "FPO=-5Q", "ACT_EST_MAPPING=PRECISE", "FS=MRC", "CURRENCY=USD", "XLFILL=b")</f>
        <v>5017</v>
      </c>
      <c r="M263" s="9">
        <f>_xll.BQL("AMZN US Equity", "CB_BS_CURRENT_PORTION_OF_LT_DEBT/1M", "FPT=Q", "FPO=-4Q", "ACT_EST_MAPPING=PRECISE", "FS=MRC", "CURRENCY=USD", "XLFILL=b")</f>
        <v>5014</v>
      </c>
      <c r="N263" s="9">
        <f>_xll.BQL("AMZN US Equity", "CB_BS_CURRENT_PORTION_OF_LT_DEBT/1M", "FPT=Q", "FPO=-3Q", "ACT_EST_MAPPING=PRECISE", "FS=MRC", "CURRENCY=USD", "XLFILL=b")</f>
        <v>5005</v>
      </c>
      <c r="O263" s="9">
        <f>_xll.BQL("AMZN US Equity", "CB_BS_CURRENT_PORTION_OF_LT_DEBT/1M", "FPT=Q", "FPO=-2Q", "ACT_EST_MAPPING=PRECISE", "FS=MRC", "CURRENCY=USD", "XLFILL=b")</f>
        <v>3997</v>
      </c>
      <c r="P263" s="9">
        <f>_xll.BQL("AMZN US Equity", "CB_BS_CURRENT_PORTION_OF_LT_DEBT/1M", "FPT=Q", "FPO=-1Q", "ACT_EST_MAPPING=PRECISE", "FS=MRC", "CURRENCY=USD", "XLFILL=b")</f>
        <v>2748</v>
      </c>
      <c r="Q263" s="9">
        <f>_xll.BQL("AMZN US Equity", "CB_BS_CURRENT_PORTION_OF_LT_DEBT/1M", "FPT=Q", "FPO=0Q", "ACT_EST_MAPPING=PRECISE", "FS=MRC", "CURRENCY=USD", "XLFILL=b")</f>
        <v>2832</v>
      </c>
      <c r="R263" s="9">
        <f>_xll.BQL("AMZN US Equity", "CB_BS_CURRENT_PORTION_OF_LT_DEBT/1M", "FPT=Q", "FPO=1Q", "ACT_EST_MAPPING=PRECISE", "FS=MRC", "CURRENCY=USD", "XLFILL=b")</f>
        <v>2748</v>
      </c>
      <c r="S263" s="9">
        <f>_xll.BQL("AMZN US Equity", "CB_BS_CURRENT_PORTION_OF_LT_DEBT/1M", "FPT=Q", "FPO=2Q", "ACT_EST_MAPPING=PRECISE", "FS=MRC", "CURRENCY=USD", "XLFILL=b")</f>
        <v>2748</v>
      </c>
      <c r="T263" s="9">
        <f>_xll.BQL("AMZN US Equity", "CB_BS_CURRENT_PORTION_OF_LT_DEBT/1M", "FPT=Q", "FPO=3Q", "ACT_EST_MAPPING=PRECISE", "FS=MRC", "CURRENCY=USD", "XLFILL=b")</f>
        <v>2748</v>
      </c>
      <c r="U263" s="9">
        <f>_xll.BQL("AMZN US Equity", "CB_BS_CURRENT_PORTION_OF_LT_DEBT/1M", "FPT=Q", "FPO=4Q", "ACT_EST_MAPPING=PRECISE", "FS=MRC", "CURRENCY=USD", "XLFILL=b")</f>
        <v>2748</v>
      </c>
      <c r="V263" s="9">
        <f>_xll.BQL("AMZN US Equity", "CB_BS_CURRENT_PORTION_OF_LT_DEBT/1M", "FPT=Q", "FPO=5Q", "ACT_EST_MAPPING=PRECISE", "FS=MRC", "CURRENCY=USD", "XLFILL=b")</f>
        <v>2748</v>
      </c>
      <c r="W263" s="9">
        <f>_xll.BQL("AMZN US Equity", "CB_BS_CURRENT_PORTION_OF_LT_DEBT/1M", "FPT=Q", "FPO=6Q", "ACT_EST_MAPPING=PRECISE", "FS=MRC", "CURRENCY=USD", "XLFILL=b")</f>
        <v>2748</v>
      </c>
      <c r="X263" s="9">
        <f>_xll.BQL("AMZN US Equity", "CB_BS_CURRENT_PORTION_OF_LT_DEBT/1M", "FPT=Q", "FPO=7Q", "ACT_EST_MAPPING=PRECISE", "FS=MRC", "CURRENCY=USD", "XLFILL=b")</f>
        <v>2748</v>
      </c>
    </row>
    <row r="264" spans="1:24" x14ac:dyDescent="0.25">
      <c r="A264" s="8" t="s">
        <v>390</v>
      </c>
      <c r="B264" s="4" t="s">
        <v>391</v>
      </c>
      <c r="C264" s="4" t="s">
        <v>392</v>
      </c>
      <c r="D264" s="4"/>
      <c r="E264" s="9">
        <f>_xll.BQL("AMZN US Equity", "BS_ST_PORTION_OF_LT_DEBT/1M", "FPT=Q", "FPO=-12Q", "ACT_EST_MAPPING=PRECISE", "FS=MRC", "CURRENCY=USD", "XLFILL=b")</f>
        <v>21428</v>
      </c>
      <c r="F264" s="9">
        <f>_xll.BQL("AMZN US Equity", "BS_ST_PORTION_OF_LT_DEBT/1M", "FPT=Q", "FPO=-11Q", "ACT_EST_MAPPING=PRECISE", "FS=MRC", "CURRENCY=USD", "XLFILL=b")</f>
        <v>15003</v>
      </c>
      <c r="G264" s="9">
        <f>_xll.BQL("AMZN US Equity", "BS_ST_PORTION_OF_LT_DEBT/1M", "FPT=Q", "FPO=-10Q", "ACT_EST_MAPPING=PRECISE", "FS=MRC", "CURRENCY=USD", "XLFILL=b")</f>
        <v>16472</v>
      </c>
      <c r="H264" s="9">
        <f>_xll.BQL("AMZN US Equity", "BS_ST_PORTION_OF_LT_DEBT/1M", "FPT=Q", "FPO=-9Q", "ACT_EST_MAPPING=PRECISE", "FS=MRC", "CURRENCY=USD", "XLFILL=b")</f>
        <v>18945</v>
      </c>
      <c r="I264" s="9">
        <f>_xll.BQL("AMZN US Equity", "BS_ST_PORTION_OF_LT_DEBT/1M", "FPT=Q", "FPO=-8Q", "ACT_EST_MAPPING=PRECISE", "FS=MRC", "CURRENCY=USD", "XLFILL=b")</f>
        <v>19055</v>
      </c>
      <c r="J264" s="9">
        <f>_xll.BQL("AMZN US Equity", "BS_ST_PORTION_OF_LT_DEBT/1M", "FPT=Q", "FPO=-7Q", "ACT_EST_MAPPING=PRECISE", "FS=MRC", "CURRENCY=USD", "XLFILL=b")</f>
        <v>17604</v>
      </c>
      <c r="K264" s="9">
        <f>_xll.BQL("AMZN US Equity", "BS_ST_PORTION_OF_LT_DEBT/1M", "FPT=Q", "FPO=-6Q", "ACT_EST_MAPPING=PRECISE", "FS=MRC", "CURRENCY=USD", "XLFILL=b")</f>
        <v>15942</v>
      </c>
      <c r="L264" s="9">
        <f>_xll.BQL("AMZN US Equity", "BS_ST_PORTION_OF_LT_DEBT/1M", "FPT=Q", "FPO=-5Q", "ACT_EST_MAPPING=PRECISE", "FS=MRC", "CURRENCY=USD", "XLFILL=b")</f>
        <v>16938</v>
      </c>
      <c r="M264" s="9">
        <f>_xll.BQL("AMZN US Equity", "BS_ST_PORTION_OF_LT_DEBT/1M", "FPT=Q", "FPO=-4Q", "ACT_EST_MAPPING=PRECISE", "FS=MRC", "CURRENCY=USD", "XLFILL=b")</f>
        <v>17257</v>
      </c>
      <c r="N264" s="9">
        <f>_xll.BQL("AMZN US Equity", "BS_ST_PORTION_OF_LT_DEBT/1M", "FPT=Q", "FPO=-3Q", "ACT_EST_MAPPING=PRECISE", "FS=MRC", "CURRENCY=USD", "XLFILL=b")</f>
        <v>17978</v>
      </c>
      <c r="O264" s="9">
        <f>_xll.BQL("AMZN US Equity", "BS_ST_PORTION_OF_LT_DEBT/1M", "FPT=Q", "FPO=-2Q", "ACT_EST_MAPPING=PRECISE", "FS=MRC", "CURRENCY=USD", "XLFILL=b")</f>
        <v>17318</v>
      </c>
      <c r="P264" s="9">
        <f>_xll.BQL("AMZN US Equity", "BS_ST_PORTION_OF_LT_DEBT/1M", "FPT=Q", "FPO=-1Q", "ACT_EST_MAPPING=PRECISE", "FS=MRC", "CURRENCY=USD", "XLFILL=b")</f>
        <v>16947</v>
      </c>
      <c r="Q264" s="9">
        <f>_xll.BQL("AMZN US Equity", "BS_ST_PORTION_OF_LT_DEBT/1M", "FPT=Q", "FPO=0Q", "ACT_EST_MAPPING=PRECISE", "FS=MRC", "CURRENCY=USD", "XLFILL=b")</f>
        <v>16960</v>
      </c>
      <c r="R264" s="9" t="str">
        <f>_xll.BQL("AMZN US Equity", "BS_ST_PORTION_OF_LT_DEBT/1M", "FPT=Q", "FPO=1Q", "ACT_EST_MAPPING=PRECISE", "FS=MRC", "CURRENCY=USD", "XLFILL=b")</f>
        <v/>
      </c>
      <c r="S264" s="9" t="str">
        <f>_xll.BQL("AMZN US Equity", "BS_ST_PORTION_OF_LT_DEBT/1M", "FPT=Q", "FPO=2Q", "ACT_EST_MAPPING=PRECISE", "FS=MRC", "CURRENCY=USD", "XLFILL=b")</f>
        <v/>
      </c>
      <c r="T264" s="9" t="str">
        <f>_xll.BQL("AMZN US Equity", "BS_ST_PORTION_OF_LT_DEBT/1M", "FPT=Q", "FPO=3Q", "ACT_EST_MAPPING=PRECISE", "FS=MRC", "CURRENCY=USD", "XLFILL=b")</f>
        <v/>
      </c>
      <c r="U264" s="9" t="str">
        <f>_xll.BQL("AMZN US Equity", "BS_ST_PORTION_OF_LT_DEBT/1M", "FPT=Q", "FPO=4Q", "ACT_EST_MAPPING=PRECISE", "FS=MRC", "CURRENCY=USD", "XLFILL=b")</f>
        <v/>
      </c>
      <c r="V264" s="9" t="str">
        <f>_xll.BQL("AMZN US Equity", "BS_ST_PORTION_OF_LT_DEBT/1M", "FPT=Q", "FPO=5Q", "ACT_EST_MAPPING=PRECISE", "FS=MRC", "CURRENCY=USD", "XLFILL=b")</f>
        <v/>
      </c>
      <c r="W264" s="9" t="str">
        <f>_xll.BQL("AMZN US Equity", "BS_ST_PORTION_OF_LT_DEBT/1M", "FPT=Q", "FPO=6Q", "ACT_EST_MAPPING=PRECISE", "FS=MRC", "CURRENCY=USD", "XLFILL=b")</f>
        <v/>
      </c>
      <c r="X264" s="9" t="str">
        <f>_xll.BQL("AMZN US Equity", "BS_ST_PORTION_OF_LT_DEBT/1M", "FPT=Q", "FPO=7Q", "ACT_EST_MAPPING=PRECISE", "FS=MRC", "CURRENCY=USD", "XLFILL=b")</f>
        <v/>
      </c>
    </row>
    <row r="265" spans="1:24" x14ac:dyDescent="0.25">
      <c r="A265" s="8" t="s">
        <v>393</v>
      </c>
      <c r="B265" s="4" t="s">
        <v>394</v>
      </c>
      <c r="C265" s="4" t="s">
        <v>395</v>
      </c>
      <c r="D265" s="4"/>
      <c r="E265" s="9">
        <f>_xll.BQL("AMZN US Equity", "BS_ADJ_TOTAL_LT_LIABILITIES/1M", "FPT=Q", "FPO=-12Q", "ACT_EST_MAPPING=PRECISE", "FS=MRC", "CURRENCY=USD", "XLFILL=b")</f>
        <v>162282</v>
      </c>
      <c r="F265" s="9">
        <f>_xll.BQL("AMZN US Equity", "BS_ADJ_TOTAL_LT_LIABILITIES/1M", "FPT=Q", "FPO=-11Q", "ACT_EST_MAPPING=PRECISE", "FS=MRC", "CURRENCY=USD", "XLFILL=b")</f>
        <v>160767</v>
      </c>
      <c r="G265" s="9">
        <f>_xll.BQL("AMZN US Equity", "BS_ADJ_TOTAL_LT_LIABILITIES/1M", "FPT=Q", "FPO=-10Q", "ACT_EST_MAPPING=PRECISE", "FS=MRC", "CURRENCY=USD", "XLFILL=b")</f>
        <v>158696</v>
      </c>
      <c r="H265" s="9">
        <f>_xll.BQL("AMZN US Equity", "BS_ADJ_TOTAL_LT_LIABILITIES/1M", "FPT=Q", "FPO=-9Q", "ACT_EST_MAPPING=PRECISE", "FS=MRC", "CURRENCY=USD", "XLFILL=b")</f>
        <v>161062</v>
      </c>
      <c r="I265" s="9">
        <f>_xll.BQL("AMZN US Equity", "BS_ADJ_TOTAL_LT_LIABILITIES/1M", "FPT=Q", "FPO=-8Q", "ACT_EST_MAPPING=PRECISE", "FS=MRC", "CURRENCY=USD", "XLFILL=b")</f>
        <v>161343</v>
      </c>
      <c r="J265" s="9">
        <f>_xll.BQL("AMZN US Equity", "BS_ADJ_TOTAL_LT_LIABILITIES/1M", "FPT=Q", "FPO=-7Q", "ACT_EST_MAPPING=PRECISE", "FS=MRC", "CURRENCY=USD", "XLFILL=b")</f>
        <v>160199</v>
      </c>
      <c r="K265" s="9">
        <f>_xll.BQL("AMZN US Equity", "BS_ADJ_TOTAL_LT_LIABILITIES/1M", "FPT=Q", "FPO=-6Q", "ACT_EST_MAPPING=PRECISE", "FS=MRC", "CURRENCY=USD", "XLFILL=b")</f>
        <v>163998</v>
      </c>
      <c r="L265" s="9">
        <f>_xll.BQL("AMZN US Equity", "BS_ADJ_TOTAL_LT_LIABILITIES/1M", "FPT=Q", "FPO=-5Q", "ACT_EST_MAPPING=PRECISE", "FS=MRC", "CURRENCY=USD", "XLFILL=b")</f>
        <v>159493</v>
      </c>
      <c r="M265" s="9">
        <f>_xll.BQL("AMZN US Equity", "BS_ADJ_TOTAL_LT_LIABILITIES/1M", "FPT=Q", "FPO=-4Q", "ACT_EST_MAPPING=PRECISE", "FS=MRC", "CURRENCY=USD", "XLFILL=b")</f>
        <v>161218</v>
      </c>
      <c r="N265" s="9">
        <f>_xll.BQL("AMZN US Equity", "BS_ADJ_TOTAL_LT_LIABILITIES/1M", "FPT=Q", "FPO=-3Q", "ACT_EST_MAPPING=PRECISE", "FS=MRC", "CURRENCY=USD", "XLFILL=b")</f>
        <v>161474</v>
      </c>
      <c r="O265" s="9">
        <f>_xll.BQL("AMZN US Equity", "BS_ADJ_TOTAL_LT_LIABILITIES/1M", "FPT=Q", "FPO=-2Q", "ACT_EST_MAPPING=PRECISE", "FS=MRC", "CURRENCY=USD", "XLFILL=b")</f>
        <v>163094</v>
      </c>
      <c r="P265" s="9">
        <f>_xll.BQL("AMZN US Equity", "BS_ADJ_TOTAL_LT_LIABILITIES/1M", "FPT=Q", "FPO=-1Q", "ACT_EST_MAPPING=PRECISE", "FS=MRC", "CURRENCY=USD", "XLFILL=b")</f>
        <v>188972</v>
      </c>
      <c r="Q265" s="9">
        <f>_xll.BQL("AMZN US Equity", "BS_ADJ_TOTAL_LT_LIABILITIES/1M", "FPT=Q", "FPO=0Q", "ACT_EST_MAPPING=PRECISE", "FS=MRC", "CURRENCY=USD", "XLFILL=b")</f>
        <v>257960</v>
      </c>
      <c r="R265" s="9">
        <f>_xll.BQL("AMZN US Equity", "BS_ADJ_TOTAL_LT_LIABILITIES/1M", "FPT=Q", "FPO=1Q", "ACT_EST_MAPPING=PRECISE", "FS=MRC", "CURRENCY=USD", "XLFILL=b")</f>
        <v>234648.51344312905</v>
      </c>
      <c r="S265" s="9">
        <f>_xll.BQL("AMZN US Equity", "BS_ADJ_TOTAL_LT_LIABILITIES/1M", "FPT=Q", "FPO=2Q", "ACT_EST_MAPPING=PRECISE", "FS=MRC", "CURRENCY=USD", "XLFILL=b")</f>
        <v>234679.49646510009</v>
      </c>
      <c r="T265" s="9">
        <f>_xll.BQL("AMZN US Equity", "BS_ADJ_TOTAL_LT_LIABILITIES/1M", "FPT=Q", "FPO=3Q", "ACT_EST_MAPPING=PRECISE", "FS=MRC", "CURRENCY=USD", "XLFILL=b")</f>
        <v>237756.74882001197</v>
      </c>
      <c r="U265" s="9">
        <f>_xll.BQL("AMZN US Equity", "BS_ADJ_TOTAL_LT_LIABILITIES/1M", "FPT=Q", "FPO=4Q", "ACT_EST_MAPPING=PRECISE", "FS=MRC", "CURRENCY=USD", "XLFILL=b")</f>
        <v>253895.72453119999</v>
      </c>
      <c r="V265" s="9">
        <f>_xll.BQL("AMZN US Equity", "BS_ADJ_TOTAL_LT_LIABILITIES/1M", "FPT=Q", "FPO=5Q", "ACT_EST_MAPPING=PRECISE", "FS=MRC", "CURRENCY=USD", "XLFILL=b")</f>
        <v>253084.53326146558</v>
      </c>
      <c r="W265" s="9">
        <f>_xll.BQL("AMZN US Equity", "BS_ADJ_TOTAL_LT_LIABILITIES/1M", "FPT=Q", "FPO=6Q", "ACT_EST_MAPPING=PRECISE", "FS=MRC", "CURRENCY=USD", "XLFILL=b")</f>
        <v>252357.05074596146</v>
      </c>
      <c r="X265" s="9">
        <f>_xll.BQL("AMZN US Equity", "BS_ADJ_TOTAL_LT_LIABILITIES/1M", "FPT=Q", "FPO=7Q", "ACT_EST_MAPPING=PRECISE", "FS=MRC", "CURRENCY=USD", "XLFILL=b")</f>
        <v>251714.3022067564</v>
      </c>
    </row>
    <row r="266" spans="1:24" x14ac:dyDescent="0.25">
      <c r="A266" s="8" t="s">
        <v>396</v>
      </c>
      <c r="B266" s="4" t="s">
        <v>397</v>
      </c>
      <c r="C266" s="4" t="s">
        <v>398</v>
      </c>
      <c r="D266" s="4"/>
      <c r="E266" s="9">
        <f>_xll.BQL("AMZN US Equity", "BS_LONG_TERM_BORROWINGS/1M", "FPT=Q", "FPO=-12Q", "ACT_EST_MAPPING=PRECISE", "FS=MRC", "CURRENCY=USD", "XLFILL=b")</f>
        <v>67084</v>
      </c>
      <c r="F266" s="9">
        <f>_xll.BQL("AMZN US Equity", "BS_LONG_TERM_BORROWINGS/1M", "FPT=Q", "FPO=-11Q", "ACT_EST_MAPPING=PRECISE", "FS=MRC", "CURRENCY=USD", "XLFILL=b")</f>
        <v>63092</v>
      </c>
      <c r="G266" s="9">
        <f>_xll.BQL("AMZN US Equity", "BS_LONG_TERM_BORROWINGS/1M", "FPT=Q", "FPO=-10Q", "ACT_EST_MAPPING=PRECISE", "FS=MRC", "CURRENCY=USD", "XLFILL=b")</f>
        <v>61098</v>
      </c>
      <c r="H266" s="9">
        <f>_xll.BQL("AMZN US Equity", "BS_LONG_TERM_BORROWINGS/1M", "FPT=Q", "FPO=-9Q", "ACT_EST_MAPPING=PRECISE", "FS=MRC", "CURRENCY=USD", "XLFILL=b")</f>
        <v>58314</v>
      </c>
      <c r="I266" s="9">
        <f>_xll.BQL("AMZN US Equity", "BS_LONG_TERM_BORROWINGS/1M", "FPT=Q", "FPO=-8Q", "ACT_EST_MAPPING=PRECISE", "FS=MRC", "CURRENCY=USD", "XLFILL=b")</f>
        <v>57634</v>
      </c>
      <c r="J266" s="9">
        <f>_xll.BQL("AMZN US Equity", "BS_LONG_TERM_BORROWINGS/1M", "FPT=Q", "FPO=-7Q", "ACT_EST_MAPPING=PRECISE", "FS=MRC", "CURRENCY=USD", "XLFILL=b")</f>
        <v>54889</v>
      </c>
      <c r="K266" s="9">
        <f>_xll.BQL("AMZN US Equity", "BS_LONG_TERM_BORROWINGS/1M", "FPT=Q", "FPO=-6Q", "ACT_EST_MAPPING=PRECISE", "FS=MRC", "CURRENCY=USD", "XLFILL=b")</f>
        <v>54890</v>
      </c>
      <c r="L266" s="9">
        <f>_xll.BQL("AMZN US Equity", "BS_LONG_TERM_BORROWINGS/1M", "FPT=Q", "FPO=-5Q", "ACT_EST_MAPPING=PRECISE", "FS=MRC", "CURRENCY=USD", "XLFILL=b")</f>
        <v>52623</v>
      </c>
      <c r="M266" s="9">
        <f>_xll.BQL("AMZN US Equity", "BS_LONG_TERM_BORROWINGS/1M", "FPT=Q", "FPO=-4Q", "ACT_EST_MAPPING=PRECISE", "FS=MRC", "CURRENCY=USD", "XLFILL=b")</f>
        <v>53374</v>
      </c>
      <c r="N266" s="9">
        <f>_xll.BQL("AMZN US Equity", "BS_LONG_TERM_BORROWINGS/1M", "FPT=Q", "FPO=-3Q", "ACT_EST_MAPPING=PRECISE", "FS=MRC", "CURRENCY=USD", "XLFILL=b")</f>
        <v>50718</v>
      </c>
      <c r="O266" s="9">
        <f>_xll.BQL("AMZN US Equity", "BS_LONG_TERM_BORROWINGS/1M", "FPT=Q", "FPO=-2Q", "ACT_EST_MAPPING=PRECISE", "FS=MRC", "CURRENCY=USD", "XLFILL=b")</f>
        <v>50742</v>
      </c>
      <c r="P266" s="9">
        <f>_xll.BQL("AMZN US Equity", "BS_LONG_TERM_BORROWINGS/1M", "FPT=Q", "FPO=-1Q", "ACT_EST_MAPPING=PRECISE", "FS=MRC", "CURRENCY=USD", "XLFILL=b")</f>
        <v>65648</v>
      </c>
      <c r="Q266" s="9">
        <f>_xll.BQL("AMZN US Equity", "BS_LONG_TERM_BORROWINGS/1M", "FPT=Q", "FPO=0Q", "ACT_EST_MAPPING=PRECISE", "FS=MRC", "CURRENCY=USD", "XLFILL=b")</f>
        <v>119074</v>
      </c>
      <c r="R266" s="9">
        <f>_xll.BQL("AMZN US Equity", "BS_LONG_TERM_BORROWINGS/1M", "FPT=Q", "FPO=1Q", "ACT_EST_MAPPING=PRECISE", "FS=MRC", "CURRENCY=USD", "XLFILL=b")</f>
        <v>115675.82153869547</v>
      </c>
      <c r="S266" s="9">
        <f>_xll.BQL("AMZN US Equity", "BS_LONG_TERM_BORROWINGS/1M", "FPT=Q", "FPO=2Q", "ACT_EST_MAPPING=PRECISE", "FS=MRC", "CURRENCY=USD", "XLFILL=b")</f>
        <v>119721.9941224356</v>
      </c>
      <c r="T266" s="9">
        <f>_xll.BQL("AMZN US Equity", "BS_LONG_TERM_BORROWINGS/1M", "FPT=Q", "FPO=3Q", "ACT_EST_MAPPING=PRECISE", "FS=MRC", "CURRENCY=USD", "XLFILL=b")</f>
        <v>121835.03760069649</v>
      </c>
      <c r="U266" s="9">
        <f>_xll.BQL("AMZN US Equity", "BS_LONG_TERM_BORROWINGS/1M", "FPT=Q", "FPO=4Q", "ACT_EST_MAPPING=PRECISE", "FS=MRC", "CURRENCY=USD", "XLFILL=b")</f>
        <v>134960.99098773461</v>
      </c>
      <c r="V266" s="9">
        <f>_xll.BQL("AMZN US Equity", "BS_LONG_TERM_BORROWINGS/1M", "FPT=Q", "FPO=5Q", "ACT_EST_MAPPING=PRECISE", "FS=MRC", "CURRENCY=USD", "XLFILL=b")</f>
        <v>137472.89098773463</v>
      </c>
      <c r="W266" s="9">
        <f>_xll.BQL("AMZN US Equity", "BS_LONG_TERM_BORROWINGS/1M", "FPT=Q", "FPO=6Q", "ACT_EST_MAPPING=PRECISE", "FS=MRC", "CURRENCY=USD", "XLFILL=b")</f>
        <v>140612.89098773463</v>
      </c>
      <c r="X266" s="9">
        <f>_xll.BQL("AMZN US Equity", "BS_LONG_TERM_BORROWINGS/1M", "FPT=Q", "FPO=7Q", "ACT_EST_MAPPING=PRECISE", "FS=MRC", "CURRENCY=USD", "XLFILL=b")</f>
        <v>143852.89098773463</v>
      </c>
    </row>
    <row r="267" spans="1:24" x14ac:dyDescent="0.25">
      <c r="A267" s="8" t="s">
        <v>399</v>
      </c>
      <c r="B267" s="4" t="s">
        <v>400</v>
      </c>
      <c r="C267" s="4" t="s">
        <v>401</v>
      </c>
      <c r="D267" s="4"/>
      <c r="E267" s="9">
        <f>_xll.BQL("AMZN US Equity", "BS_LT_BORROW/1M", "FPT=Q", "FPO=-12Q", "ACT_EST_MAPPING=PRECISE", "FS=MRC", "CURRENCY=USD", "XLFILL=b")</f>
        <v>141351</v>
      </c>
      <c r="F267" s="9">
        <f>_xll.BQL("AMZN US Equity", "BS_LT_BORROW/1M", "FPT=Q", "FPO=-11Q", "ACT_EST_MAPPING=PRECISE", "FS=MRC", "CURRENCY=USD", "XLFILL=b")</f>
        <v>138914</v>
      </c>
      <c r="G267" s="9">
        <f>_xll.BQL("AMZN US Equity", "BS_LT_BORROW/1M", "FPT=Q", "FPO=-10Q", "ACT_EST_MAPPING=PRECISE", "FS=MRC", "CURRENCY=USD", "XLFILL=b")</f>
        <v>136989</v>
      </c>
      <c r="H267" s="9">
        <f>_xll.BQL("AMZN US Equity", "BS_LT_BORROW/1M", "FPT=Q", "FPO=-9Q", "ACT_EST_MAPPING=PRECISE", "FS=MRC", "CURRENCY=USD", "XLFILL=b")</f>
        <v>135611</v>
      </c>
      <c r="I267" s="9">
        <f>_xll.BQL("AMZN US Equity", "BS_LT_BORROW/1M", "FPT=Q", "FPO=-8Q", "ACT_EST_MAPPING=PRECISE", "FS=MRC", "CURRENCY=USD", "XLFILL=b")</f>
        <v>134686</v>
      </c>
      <c r="J267" s="9">
        <f>_xll.BQL("AMZN US Equity", "BS_LT_BORROW/1M", "FPT=Q", "FPO=-7Q", "ACT_EST_MAPPING=PRECISE", "FS=MRC", "CURRENCY=USD", "XLFILL=b")</f>
        <v>132973</v>
      </c>
      <c r="K267" s="9">
        <f>_xll.BQL("AMZN US Equity", "BS_LT_BORROW/1M", "FPT=Q", "FPO=-6Q", "ACT_EST_MAPPING=PRECISE", "FS=MRC", "CURRENCY=USD", "XLFILL=b")</f>
        <v>134692</v>
      </c>
      <c r="L267" s="9">
        <f>_xll.BQL("AMZN US Equity", "BS_LT_BORROW/1M", "FPT=Q", "FPO=-5Q", "ACT_EST_MAPPING=PRECISE", "FS=MRC", "CURRENCY=USD", "XLFILL=b")</f>
        <v>130900</v>
      </c>
      <c r="M267" s="9">
        <f>_xll.BQL("AMZN US Equity", "BS_LT_BORROW/1M", "FPT=Q", "FPO=-4Q", "ACT_EST_MAPPING=PRECISE", "FS=MRC", "CURRENCY=USD", "XLFILL=b")</f>
        <v>133245</v>
      </c>
      <c r="N267" s="9">
        <f>_xll.BQL("AMZN US Equity", "BS_LT_BORROW/1M", "FPT=Q", "FPO=-3Q", "ACT_EST_MAPPING=PRECISE", "FS=MRC", "CURRENCY=USD", "XLFILL=b")</f>
        <v>133939</v>
      </c>
      <c r="O267" s="9">
        <f>_xll.BQL("AMZN US Equity", "BS_LT_BORROW/1M", "FPT=Q", "FPO=-2Q", "ACT_EST_MAPPING=PRECISE", "FS=MRC", "CURRENCY=USD", "XLFILL=b")</f>
        <v>135419</v>
      </c>
      <c r="P267" s="9">
        <f>_xll.BQL("AMZN US Equity", "BS_LT_BORROW/1M", "FPT=Q", "FPO=-1Q", "ACT_EST_MAPPING=PRECISE", "FS=MRC", "CURRENCY=USD", "XLFILL=b")</f>
        <v>152987</v>
      </c>
      <c r="Q267" s="9">
        <f>_xll.BQL("AMZN US Equity", "BS_LT_BORROW/1M", "FPT=Q", "FPO=0Q", "ACT_EST_MAPPING=PRECISE", "FS=MRC", "CURRENCY=USD", "XLFILL=b")</f>
        <v>209888</v>
      </c>
      <c r="R267" s="9">
        <f>_xll.BQL("AMZN US Equity", "BS_LT_BORROW/1M", "FPT=Q", "FPO=1Q", "ACT_EST_MAPPING=PRECISE", "FS=MRC", "CURRENCY=USD", "XLFILL=b")</f>
        <v>202207.344659375</v>
      </c>
      <c r="S267" s="9">
        <f>_xll.BQL("AMZN US Equity", "BS_LT_BORROW/1M", "FPT=Q", "FPO=2Q", "ACT_EST_MAPPING=PRECISE", "FS=MRC", "CURRENCY=USD", "XLFILL=b")</f>
        <v>206955.74374375</v>
      </c>
      <c r="T267" s="9">
        <f>_xll.BQL("AMZN US Equity", "BS_LT_BORROW/1M", "FPT=Q", "FPO=3Q", "ACT_EST_MAPPING=PRECISE", "FS=MRC", "CURRENCY=USD", "XLFILL=b")</f>
        <v>205688.246227125</v>
      </c>
      <c r="U267" s="9">
        <f>_xll.BQL("AMZN US Equity", "BS_LT_BORROW/1M", "FPT=Q", "FPO=4Q", "ACT_EST_MAPPING=PRECISE", "FS=MRC", "CURRENCY=USD", "XLFILL=b")</f>
        <v>220973.33612202664</v>
      </c>
      <c r="V267" s="9">
        <f>_xll.BQL("AMZN US Equity", "BS_LT_BORROW/1M", "FPT=Q", "FPO=5Q", "ACT_EST_MAPPING=PRECISE", "FS=MRC", "CURRENCY=USD", "XLFILL=b")</f>
        <v>216766.04273291945</v>
      </c>
      <c r="W267" s="9">
        <f>_xll.BQL("AMZN US Equity", "BS_LT_BORROW/1M", "FPT=Q", "FPO=6Q", "ACT_EST_MAPPING=PRECISE", "FS=MRC", "CURRENCY=USD", "XLFILL=b")</f>
        <v>215501.22854492773</v>
      </c>
      <c r="X267" s="9">
        <f>_xll.BQL("AMZN US Equity", "BS_LT_BORROW/1M", "FPT=Q", "FPO=7Q", "ACT_EST_MAPPING=PRECISE", "FS=MRC", "CURRENCY=USD", "XLFILL=b")</f>
        <v>214261.71064069582</v>
      </c>
    </row>
    <row r="268" spans="1:24" x14ac:dyDescent="0.25">
      <c r="A268" s="8" t="s">
        <v>402</v>
      </c>
      <c r="B268" s="4" t="s">
        <v>403</v>
      </c>
      <c r="C268" s="4" t="s">
        <v>404</v>
      </c>
      <c r="D268" s="4"/>
      <c r="E268" s="9">
        <f>_xll.BQL("AMZN US Equity", "BS_LT_CPTL_LEA_AND_OP_LEA_LIABS/1M", "FPT=Q", "FPO=-12Q", "ACT_EST_MAPPING=PRECISE", "FS=MRC", "CURRENCY=USD", "XLFILL=b")</f>
        <v>74267</v>
      </c>
      <c r="F268" s="9">
        <f>_xll.BQL("AMZN US Equity", "BS_LT_CPTL_LEA_AND_OP_LEA_LIABS/1M", "FPT=Q", "FPO=-11Q", "ACT_EST_MAPPING=PRECISE", "FS=MRC", "CURRENCY=USD", "XLFILL=b")</f>
        <v>75822</v>
      </c>
      <c r="G268" s="9">
        <f>_xll.BQL("AMZN US Equity", "BS_LT_CPTL_LEA_AND_OP_LEA_LIABS/1M", "FPT=Q", "FPO=-10Q", "ACT_EST_MAPPING=PRECISE", "FS=MRC", "CURRENCY=USD", "XLFILL=b")</f>
        <v>75891</v>
      </c>
      <c r="H268" s="9">
        <f>_xll.BQL("AMZN US Equity", "BS_LT_CPTL_LEA_AND_OP_LEA_LIABS/1M", "FPT=Q", "FPO=-9Q", "ACT_EST_MAPPING=PRECISE", "FS=MRC", "CURRENCY=USD", "XLFILL=b")</f>
        <v>77297</v>
      </c>
      <c r="I268" s="9">
        <f>_xll.BQL("AMZN US Equity", "BS_LT_CPTL_LEA_AND_OP_LEA_LIABS/1M", "FPT=Q", "FPO=-8Q", "ACT_EST_MAPPING=PRECISE", "FS=MRC", "CURRENCY=USD", "XLFILL=b")</f>
        <v>77052</v>
      </c>
      <c r="J268" s="9">
        <f>_xll.BQL("AMZN US Equity", "BS_LT_CPTL_LEA_AND_OP_LEA_LIABS/1M", "FPT=Q", "FPO=-7Q", "ACT_EST_MAPPING=PRECISE", "FS=MRC", "CURRENCY=USD", "XLFILL=b")</f>
        <v>78084</v>
      </c>
      <c r="K268" s="9">
        <f>_xll.BQL("AMZN US Equity", "BS_LT_CPTL_LEA_AND_OP_LEA_LIABS/1M", "FPT=Q", "FPO=-6Q", "ACT_EST_MAPPING=PRECISE", "FS=MRC", "CURRENCY=USD", "XLFILL=b")</f>
        <v>79802</v>
      </c>
      <c r="L268" s="9">
        <f>_xll.BQL("AMZN US Equity", "BS_LT_CPTL_LEA_AND_OP_LEA_LIABS/1M", "FPT=Q", "FPO=-5Q", "ACT_EST_MAPPING=PRECISE", "FS=MRC", "CURRENCY=USD", "XLFILL=b")</f>
        <v>78277</v>
      </c>
      <c r="M268" s="9">
        <f>_xll.BQL("AMZN US Equity", "BS_LT_CPTL_LEA_AND_OP_LEA_LIABS/1M", "FPT=Q", "FPO=-4Q", "ACT_EST_MAPPING=PRECISE", "FS=MRC", "CURRENCY=USD", "XLFILL=b")</f>
        <v>79871</v>
      </c>
      <c r="N268" s="9">
        <f>_xll.BQL("AMZN US Equity", "BS_LT_CPTL_LEA_AND_OP_LEA_LIABS/1M", "FPT=Q", "FPO=-3Q", "ACT_EST_MAPPING=PRECISE", "FS=MRC", "CURRENCY=USD", "XLFILL=b")</f>
        <v>83221</v>
      </c>
      <c r="O268" s="9">
        <f>_xll.BQL("AMZN US Equity", "BS_LT_CPTL_LEA_AND_OP_LEA_LIABS/1M", "FPT=Q", "FPO=-2Q", "ACT_EST_MAPPING=PRECISE", "FS=MRC", "CURRENCY=USD", "XLFILL=b")</f>
        <v>84677</v>
      </c>
      <c r="P268" s="9">
        <f>_xll.BQL("AMZN US Equity", "BS_LT_CPTL_LEA_AND_OP_LEA_LIABS/1M", "FPT=Q", "FPO=-1Q", "ACT_EST_MAPPING=PRECISE", "FS=MRC", "CURRENCY=USD", "XLFILL=b")</f>
        <v>87339</v>
      </c>
      <c r="Q268" s="9">
        <f>_xll.BQL("AMZN US Equity", "BS_LT_CPTL_LEA_AND_OP_LEA_LIABS/1M", "FPT=Q", "FPO=0Q", "ACT_EST_MAPPING=PRECISE", "FS=MRC", "CURRENCY=USD", "XLFILL=b")</f>
        <v>90814</v>
      </c>
      <c r="R268" s="9">
        <f>_xll.BQL("AMZN US Equity", "BS_LT_CPTL_LEA_AND_OP_LEA_LIABS/1M", "FPT=Q", "FPO=1Q", "ACT_EST_MAPPING=PRECISE", "FS=MRC", "CURRENCY=USD", "XLFILL=b")</f>
        <v>82197.456592437738</v>
      </c>
      <c r="S268" s="9">
        <f>_xll.BQL("AMZN US Equity", "BS_LT_CPTL_LEA_AND_OP_LEA_LIABS/1M", "FPT=Q", "FPO=2Q", "ACT_EST_MAPPING=PRECISE", "FS=MRC", "CURRENCY=USD", "XLFILL=b")</f>
        <v>83245.119028060042</v>
      </c>
      <c r="T268" s="9">
        <f>_xll.BQL("AMZN US Equity", "BS_LT_CPTL_LEA_AND_OP_LEA_LIABS/1M", "FPT=Q", "FPO=3Q", "ACT_EST_MAPPING=PRECISE", "FS=MRC", "CURRENCY=USD", "XLFILL=b")</f>
        <v>88295.919738460696</v>
      </c>
      <c r="U268" s="9">
        <f>_xll.BQL("AMZN US Equity", "BS_LT_CPTL_LEA_AND_OP_LEA_LIABS/1M", "FPT=Q", "FPO=4Q", "ACT_EST_MAPPING=PRECISE", "FS=MRC", "CURRENCY=USD", "XLFILL=b")</f>
        <v>95980.213614091568</v>
      </c>
      <c r="V268" s="9">
        <f>_xll.BQL("AMZN US Equity", "BS_LT_CPTL_LEA_AND_OP_LEA_LIABS/1M", "FPT=Q", "FPO=5Q", "ACT_EST_MAPPING=PRECISE", "FS=MRC", "CURRENCY=USD", "XLFILL=b")</f>
        <v>91864.436172980975</v>
      </c>
      <c r="W268" s="9">
        <f>_xll.BQL("AMZN US Equity", "BS_LT_CPTL_LEA_AND_OP_LEA_LIABS/1M", "FPT=Q", "FPO=6Q", "ACT_EST_MAPPING=PRECISE", "FS=MRC", "CURRENCY=USD", "XLFILL=b")</f>
        <v>93474.424106182079</v>
      </c>
      <c r="X268" s="9">
        <f>_xll.BQL("AMZN US Equity", "BS_LT_CPTL_LEA_AND_OP_LEA_LIABS/1M", "FPT=Q", "FPO=7Q", "ACT_EST_MAPPING=PRECISE", "FS=MRC", "CURRENCY=USD", "XLFILL=b")</f>
        <v>97372.934721573372</v>
      </c>
    </row>
    <row r="269" spans="1:24" x14ac:dyDescent="0.25">
      <c r="A269" s="8" t="s">
        <v>405</v>
      </c>
      <c r="B269" s="4" t="s">
        <v>406</v>
      </c>
      <c r="C269" s="4" t="s">
        <v>407</v>
      </c>
      <c r="D269" s="4"/>
      <c r="E269" s="9">
        <f>_xll.BQL("AMZN US Equity", "LT_CAPITAL_LEASE_OBLIGATIONS/1M", "FPT=Q", "FPO=-12Q", "ACT_EST_MAPPING=PRECISE", "FS=MRC", "CURRENCY=USD", "XLFILL=b")</f>
        <v>10771</v>
      </c>
      <c r="F269" s="9">
        <f>_xll.BQL("AMZN US Equity", "LT_CAPITAL_LEASE_OBLIGATIONS/1M", "FPT=Q", "FPO=-11Q", "ACT_EST_MAPPING=PRECISE", "FS=MRC", "CURRENCY=USD", "XLFILL=b")</f>
        <v>10434</v>
      </c>
      <c r="G269" s="9">
        <f>_xll.BQL("AMZN US Equity", "LT_CAPITAL_LEASE_OBLIGATIONS/1M", "FPT=Q", "FPO=-10Q", "ACT_EST_MAPPING=PRECISE", "FS=MRC", "CURRENCY=USD", "XLFILL=b")</f>
        <v>10081</v>
      </c>
      <c r="H269" s="9">
        <f>_xll.BQL("AMZN US Equity", "LT_CAPITAL_LEASE_OBLIGATIONS/1M", "FPT=Q", "FPO=-9Q", "ACT_EST_MAPPING=PRECISE", "FS=MRC", "CURRENCY=USD", "XLFILL=b")</f>
        <v>10077</v>
      </c>
      <c r="I269" s="9">
        <f>_xll.BQL("AMZN US Equity", "LT_CAPITAL_LEASE_OBLIGATIONS/1M", "FPT=Q", "FPO=-8Q", "ACT_EST_MAPPING=PRECISE", "FS=MRC", "CURRENCY=USD", "XLFILL=b")</f>
        <v>9614</v>
      </c>
      <c r="J269" s="9">
        <f>_xll.BQL("AMZN US Equity", "LT_CAPITAL_LEASE_OBLIGATIONS/1M", "FPT=Q", "FPO=-7Q", "ACT_EST_MAPPING=PRECISE", "FS=MRC", "CURRENCY=USD", "XLFILL=b")</f>
        <v>9388</v>
      </c>
      <c r="K269" s="9">
        <f>_xll.BQL("AMZN US Equity", "LT_CAPITAL_LEASE_OBLIGATIONS/1M", "FPT=Q", "FPO=-6Q", "ACT_EST_MAPPING=PRECISE", "FS=MRC", "CURRENCY=USD", "XLFILL=b")</f>
        <v>9426</v>
      </c>
      <c r="L269" s="9">
        <f>_xll.BQL("AMZN US Equity", "LT_CAPITAL_LEASE_OBLIGATIONS/1M", "FPT=Q", "FPO=-5Q", "ACT_EST_MAPPING=PRECISE", "FS=MRC", "CURRENCY=USD", "XLFILL=b")</f>
        <v>9227</v>
      </c>
      <c r="M269" s="9">
        <f>_xll.BQL("AMZN US Equity", "LT_CAPITAL_LEASE_OBLIGATIONS/1M", "FPT=Q", "FPO=-4Q", "ACT_EST_MAPPING=PRECISE", "FS=MRC", "CURRENCY=USD", "XLFILL=b")</f>
        <v>9024</v>
      </c>
      <c r="N269" s="9">
        <f>_xll.BQL("AMZN US Equity", "LT_CAPITAL_LEASE_OBLIGATIONS/1M", "FPT=Q", "FPO=-3Q", "ACT_EST_MAPPING=PRECISE", "FS=MRC", "CURRENCY=USD", "XLFILL=b")</f>
        <v>9827</v>
      </c>
      <c r="O269" s="9">
        <f>_xll.BQL("AMZN US Equity", "LT_CAPITAL_LEASE_OBLIGATIONS/1M", "FPT=Q", "FPO=-2Q", "ACT_EST_MAPPING=PRECISE", "FS=MRC", "CURRENCY=USD", "XLFILL=b")</f>
        <v>10317</v>
      </c>
      <c r="P269" s="9">
        <f>_xll.BQL("AMZN US Equity", "LT_CAPITAL_LEASE_OBLIGATIONS/1M", "FPT=Q", "FPO=-1Q", "ACT_EST_MAPPING=PRECISE", "FS=MRC", "CURRENCY=USD", "XLFILL=b")</f>
        <v>10742</v>
      </c>
      <c r="Q269" s="9">
        <f>_xll.BQL("AMZN US Equity", "LT_CAPITAL_LEASE_OBLIGATIONS/1M", "FPT=Q", "FPO=0Q", "ACT_EST_MAPPING=PRECISE", "FS=MRC", "CURRENCY=USD", "XLFILL=b")</f>
        <v>11747</v>
      </c>
      <c r="R269" s="9">
        <f>_xll.BQL("AMZN US Equity", "LT_CAPITAL_LEASE_OBLIGATIONS/1M", "FPT=Q", "FPO=1Q", "ACT_EST_MAPPING=PRECISE", "FS=MRC", "CURRENCY=USD", "XLFILL=b")</f>
        <v>19816.835436406127</v>
      </c>
      <c r="S269" s="9">
        <f>_xll.BQL("AMZN US Equity", "LT_CAPITAL_LEASE_OBLIGATIONS/1M", "FPT=Q", "FPO=2Q", "ACT_EST_MAPPING=PRECISE", "FS=MRC", "CURRENCY=USD", "XLFILL=b")</f>
        <v>19851.503302024805</v>
      </c>
      <c r="T269" s="9">
        <f>_xll.BQL("AMZN US Equity", "LT_CAPITAL_LEASE_OBLIGATIONS/1M", "FPT=Q", "FPO=3Q", "ACT_EST_MAPPING=PRECISE", "FS=MRC", "CURRENCY=USD", "XLFILL=b")</f>
        <v>19893.269130597699</v>
      </c>
      <c r="U269" s="9">
        <f>_xll.BQL("AMZN US Equity", "LT_CAPITAL_LEASE_OBLIGATIONS/1M", "FPT=Q", "FPO=4Q", "ACT_EST_MAPPING=PRECISE", "FS=MRC", "CURRENCY=USD", "XLFILL=b")</f>
        <v>19928.316742964089</v>
      </c>
      <c r="V269" s="9">
        <f>_xll.BQL("AMZN US Equity", "LT_CAPITAL_LEASE_OBLIGATIONS/1M", "FPT=Q", "FPO=5Q", "ACT_EST_MAPPING=PRECISE", "FS=MRC", "CURRENCY=USD", "XLFILL=b")</f>
        <v>19966.591681320377</v>
      </c>
      <c r="W269" s="9">
        <f>_xll.BQL("AMZN US Equity", "LT_CAPITAL_LEASE_OBLIGATIONS/1M", "FPT=Q", "FPO=6Q", "ACT_EST_MAPPING=PRECISE", "FS=MRC", "CURRENCY=USD", "XLFILL=b")</f>
        <v>20006.165825446627</v>
      </c>
      <c r="X269" s="9">
        <f>_xll.BQL("AMZN US Equity", "LT_CAPITAL_LEASE_OBLIGATIONS/1M", "FPT=Q", "FPO=7Q", "ACT_EST_MAPPING=PRECISE", "FS=MRC", "CURRENCY=USD", "XLFILL=b")</f>
        <v>20053.000144727848</v>
      </c>
    </row>
    <row r="270" spans="1:24" x14ac:dyDescent="0.25">
      <c r="A270" s="8" t="s">
        <v>408</v>
      </c>
      <c r="B270" s="4" t="s">
        <v>409</v>
      </c>
      <c r="C270" s="4" t="s">
        <v>410</v>
      </c>
      <c r="D270" s="4"/>
      <c r="E270" s="9">
        <f>_xll.BQL("AMZN US Equity", "BS_LT_OPERATING_LEASE_LIABS/1M", "FPT=Q", "FPO=-12Q", "ACT_EST_MAPPING=PRECISE", "FS=MRC", "CURRENCY=USD", "XLFILL=b")</f>
        <v>63496</v>
      </c>
      <c r="F270" s="9">
        <f>_xll.BQL("AMZN US Equity", "BS_LT_OPERATING_LEASE_LIABS/1M", "FPT=Q", "FPO=-11Q", "ACT_EST_MAPPING=PRECISE", "FS=MRC", "CURRENCY=USD", "XLFILL=b")</f>
        <v>65388</v>
      </c>
      <c r="G270" s="9">
        <f>_xll.BQL("AMZN US Equity", "BS_LT_OPERATING_LEASE_LIABS/1M", "FPT=Q", "FPO=-10Q", "ACT_EST_MAPPING=PRECISE", "FS=MRC", "CURRENCY=USD", "XLFILL=b")</f>
        <v>65810</v>
      </c>
      <c r="H270" s="9">
        <f>_xll.BQL("AMZN US Equity", "BS_LT_OPERATING_LEASE_LIABS/1M", "FPT=Q", "FPO=-9Q", "ACT_EST_MAPPING=PRECISE", "FS=MRC", "CURRENCY=USD", "XLFILL=b")</f>
        <v>67220</v>
      </c>
      <c r="I270" s="9">
        <f>_xll.BQL("AMZN US Equity", "BS_LT_OPERATING_LEASE_LIABS/1M", "FPT=Q", "FPO=-8Q", "ACT_EST_MAPPING=PRECISE", "FS=MRC", "CURRENCY=USD", "XLFILL=b")</f>
        <v>67438</v>
      </c>
      <c r="J270" s="9">
        <f>_xll.BQL("AMZN US Equity", "BS_LT_OPERATING_LEASE_LIABS/1M", "FPT=Q", "FPO=-7Q", "ACT_EST_MAPPING=PRECISE", "FS=MRC", "CURRENCY=USD", "XLFILL=b")</f>
        <v>68696</v>
      </c>
      <c r="K270" s="9">
        <f>_xll.BQL("AMZN US Equity", "BS_LT_OPERATING_LEASE_LIABS/1M", "FPT=Q", "FPO=-6Q", "ACT_EST_MAPPING=PRECISE", "FS=MRC", "CURRENCY=USD", "XLFILL=b")</f>
        <v>70376</v>
      </c>
      <c r="L270" s="9">
        <f>_xll.BQL("AMZN US Equity", "BS_LT_OPERATING_LEASE_LIABS/1M", "FPT=Q", "FPO=-5Q", "ACT_EST_MAPPING=PRECISE", "FS=MRC", "CURRENCY=USD", "XLFILL=b")</f>
        <v>69050</v>
      </c>
      <c r="M270" s="9">
        <f>_xll.BQL("AMZN US Equity", "BS_LT_OPERATING_LEASE_LIABS/1M", "FPT=Q", "FPO=-4Q", "ACT_EST_MAPPING=PRECISE", "FS=MRC", "CURRENCY=USD", "XLFILL=b")</f>
        <v>70847</v>
      </c>
      <c r="N270" s="9">
        <f>_xll.BQL("AMZN US Equity", "BS_LT_OPERATING_LEASE_LIABS/1M", "FPT=Q", "FPO=-3Q", "ACT_EST_MAPPING=PRECISE", "FS=MRC", "CURRENCY=USD", "XLFILL=b")</f>
        <v>73394</v>
      </c>
      <c r="O270" s="9">
        <f>_xll.BQL("AMZN US Equity", "BS_LT_OPERATING_LEASE_LIABS/1M", "FPT=Q", "FPO=-2Q", "ACT_EST_MAPPING=PRECISE", "FS=MRC", "CURRENCY=USD", "XLFILL=b")</f>
        <v>74360</v>
      </c>
      <c r="P270" s="9">
        <f>_xll.BQL("AMZN US Equity", "BS_LT_OPERATING_LEASE_LIABS/1M", "FPT=Q", "FPO=-1Q", "ACT_EST_MAPPING=PRECISE", "FS=MRC", "CURRENCY=USD", "XLFILL=b")</f>
        <v>76597</v>
      </c>
      <c r="Q270" s="9">
        <f>_xll.BQL("AMZN US Equity", "BS_LT_OPERATING_LEASE_LIABS/1M", "FPT=Q", "FPO=0Q", "ACT_EST_MAPPING=PRECISE", "FS=MRC", "CURRENCY=USD", "XLFILL=b")</f>
        <v>79067</v>
      </c>
      <c r="R270" s="9">
        <f>_xll.BQL("AMZN US Equity", "BS_LT_OPERATING_LEASE_LIABS/1M", "FPT=Q", "FPO=1Q", "ACT_EST_MAPPING=PRECISE", "FS=MRC", "CURRENCY=USD", "XLFILL=b")</f>
        <v>16664.914288420809</v>
      </c>
      <c r="S270" s="9">
        <f>_xll.BQL("AMZN US Equity", "BS_LT_OPERATING_LEASE_LIABS/1M", "FPT=Q", "FPO=2Q", "ACT_EST_MAPPING=PRECISE", "FS=MRC", "CURRENCY=USD", "XLFILL=b")</f>
        <v>15426.807405110278</v>
      </c>
      <c r="T270" s="9">
        <f>_xll.BQL("AMZN US Equity", "BS_LT_OPERATING_LEASE_LIABS/1M", "FPT=Q", "FPO=3Q", "ACT_EST_MAPPING=PRECISE", "FS=MRC", "CURRENCY=USD", "XLFILL=b")</f>
        <v>14294.042616775117</v>
      </c>
      <c r="U270" s="9">
        <f>_xll.BQL("AMZN US Equity", "BS_LT_OPERATING_LEASE_LIABS/1M", "FPT=Q", "FPO=4Q", "ACT_EST_MAPPING=PRECISE", "FS=MRC", "CURRENCY=USD", "XLFILL=b")</f>
        <v>13199.479430924897</v>
      </c>
      <c r="V270" s="9">
        <f>_xll.BQL("AMZN US Equity", "BS_LT_OPERATING_LEASE_LIABS/1M", "FPT=Q", "FPO=5Q", "ACT_EST_MAPPING=PRECISE", "FS=MRC", "CURRENCY=USD", "XLFILL=b")</f>
        <v>12183.54126748606</v>
      </c>
      <c r="W270" s="9">
        <f>_xll.BQL("AMZN US Equity", "BS_LT_OPERATING_LEASE_LIABS/1M", "FPT=Q", "FPO=6Q", "ACT_EST_MAPPING=PRECISE", "FS=MRC", "CURRENCY=USD", "XLFILL=b")</f>
        <v>11233.713431051987</v>
      </c>
      <c r="X270" s="9">
        <f>_xll.BQL("AMZN US Equity", "BS_LT_OPERATING_LEASE_LIABS/1M", "FPT=Q", "FPO=7Q", "ACT_EST_MAPPING=PRECISE", "FS=MRC", "CURRENCY=USD", "XLFILL=b")</f>
        <v>10372.91486910166</v>
      </c>
    </row>
    <row r="271" spans="1:24" x14ac:dyDescent="0.25">
      <c r="A271" s="8" t="s">
        <v>411</v>
      </c>
      <c r="B271" s="4" t="s">
        <v>412</v>
      </c>
      <c r="C271" s="4" t="s">
        <v>413</v>
      </c>
      <c r="D271" s="4"/>
      <c r="E271" s="9">
        <f>_xll.BQL("AMZN US Equity", "CB_BS_OTHER_NONCURRENT_LIABS/1M", "FPT=Q", "FPO=-12Q", "ACT_EST_MAPPING=PRECISE", "FS=MRC", "CURRENCY=USD", "XLFILL=b")</f>
        <v>20931</v>
      </c>
      <c r="F271" s="9">
        <f>_xll.BQL("AMZN US Equity", "CB_BS_OTHER_NONCURRENT_LIABS/1M", "FPT=Q", "FPO=-11Q", "ACT_EST_MAPPING=PRECISE", "FS=MRC", "CURRENCY=USD", "XLFILL=b")</f>
        <v>21853</v>
      </c>
      <c r="G271" s="9">
        <f>_xll.BQL("AMZN US Equity", "CB_BS_OTHER_NONCURRENT_LIABS/1M", "FPT=Q", "FPO=-10Q", "ACT_EST_MAPPING=PRECISE", "FS=MRC", "CURRENCY=USD", "XLFILL=b")</f>
        <v>21707</v>
      </c>
      <c r="H271" s="9">
        <f>_xll.BQL("AMZN US Equity", "CB_BS_OTHER_NONCURRENT_LIABS/1M", "FPT=Q", "FPO=-9Q", "ACT_EST_MAPPING=PRECISE", "FS=MRC", "CURRENCY=USD", "XLFILL=b")</f>
        <v>25451</v>
      </c>
      <c r="I271" s="9">
        <f>_xll.BQL("AMZN US Equity", "CB_BS_OTHER_NONCURRENT_LIABS/1M", "FPT=Q", "FPO=-8Q", "ACT_EST_MAPPING=PRECISE", "FS=MRC", "CURRENCY=USD", "XLFILL=b")</f>
        <v>26657</v>
      </c>
      <c r="J271" s="9">
        <f>_xll.BQL("AMZN US Equity", "CB_BS_OTHER_NONCURRENT_LIABS/1M", "FPT=Q", "FPO=-7Q", "ACT_EST_MAPPING=PRECISE", "FS=MRC", "CURRENCY=USD", "XLFILL=b")</f>
        <v>27226</v>
      </c>
      <c r="K271" s="9">
        <f>_xll.BQL("AMZN US Equity", "CB_BS_OTHER_NONCURRENT_LIABS/1M", "FPT=Q", "FPO=-6Q", "ACT_EST_MAPPING=PRECISE", "FS=MRC", "CURRENCY=USD", "XLFILL=b")</f>
        <v>29306</v>
      </c>
      <c r="L271" s="9">
        <f>_xll.BQL("AMZN US Equity", "CB_BS_OTHER_NONCURRENT_LIABS/1M", "FPT=Q", "FPO=-5Q", "ACT_EST_MAPPING=PRECISE", "FS=MRC", "CURRENCY=USD", "XLFILL=b")</f>
        <v>28593</v>
      </c>
      <c r="M271" s="9">
        <f>_xll.BQL("AMZN US Equity", "CB_BS_OTHER_NONCURRENT_LIABS/1M", "FPT=Q", "FPO=-4Q", "ACT_EST_MAPPING=PRECISE", "FS=MRC", "CURRENCY=USD", "XLFILL=b")</f>
        <v>27973</v>
      </c>
      <c r="N271" s="9">
        <f>_xll.BQL("AMZN US Equity", "CB_BS_OTHER_NONCURRENT_LIABS/1M", "FPT=Q", "FPO=-3Q", "ACT_EST_MAPPING=PRECISE", "FS=MRC", "CURRENCY=USD", "XLFILL=b")</f>
        <v>27535</v>
      </c>
      <c r="O271" s="9">
        <f>_xll.BQL("AMZN US Equity", "CB_BS_OTHER_NONCURRENT_LIABS/1M", "FPT=Q", "FPO=-2Q", "ACT_EST_MAPPING=PRECISE", "FS=MRC", "CURRENCY=USD", "XLFILL=b")</f>
        <v>27675</v>
      </c>
      <c r="P271" s="9">
        <f>_xll.BQL("AMZN US Equity", "CB_BS_OTHER_NONCURRENT_LIABS/1M", "FPT=Q", "FPO=-1Q", "ACT_EST_MAPPING=PRECISE", "FS=MRC", "CURRENCY=USD", "XLFILL=b")</f>
        <v>35985</v>
      </c>
      <c r="Q271" s="9">
        <f>_xll.BQL("AMZN US Equity", "CB_BS_OTHER_NONCURRENT_LIABS/1M", "FPT=Q", "FPO=0Q", "ACT_EST_MAPPING=PRECISE", "FS=MRC", "CURRENCY=USD", "XLFILL=b")</f>
        <v>48072</v>
      </c>
      <c r="R271" s="9">
        <f>_xll.BQL("AMZN US Equity", "CB_BS_OTHER_NONCURRENT_LIABS/1M", "FPT=Q", "FPO=1Q", "ACT_EST_MAPPING=PRECISE", "FS=MRC", "CURRENCY=USD", "XLFILL=b")</f>
        <v>46643.373958451026</v>
      </c>
      <c r="S271" s="9">
        <f>_xll.BQL("AMZN US Equity", "CB_BS_OTHER_NONCURRENT_LIABS/1M", "FPT=Q", "FPO=2Q", "ACT_EST_MAPPING=PRECISE", "FS=MRC", "CURRENCY=USD", "XLFILL=b")</f>
        <v>47012.442028834746</v>
      </c>
      <c r="T271" s="9">
        <f>_xll.BQL("AMZN US Equity", "CB_BS_OTHER_NONCURRENT_LIABS/1M", "FPT=Q", "FPO=3Q", "ACT_EST_MAPPING=PRECISE", "FS=MRC", "CURRENCY=USD", "XLFILL=b")</f>
        <v>48097.177269757725</v>
      </c>
      <c r="U271" s="9">
        <f>_xll.BQL("AMZN US Equity", "CB_BS_OTHER_NONCURRENT_LIABS/1M", "FPT=Q", "FPO=4Q", "ACT_EST_MAPPING=PRECISE", "FS=MRC", "CURRENCY=USD", "XLFILL=b")</f>
        <v>51262.629764660996</v>
      </c>
      <c r="V271" s="9">
        <f>_xll.BQL("AMZN US Equity", "CB_BS_OTHER_NONCURRENT_LIABS/1M", "FPT=Q", "FPO=5Q", "ACT_EST_MAPPING=PRECISE", "FS=MRC", "CURRENCY=USD", "XLFILL=b")</f>
        <v>49007.75019307826</v>
      </c>
      <c r="W271" s="9">
        <f>_xll.BQL("AMZN US Equity", "CB_BS_OTHER_NONCURRENT_LIABS/1M", "FPT=Q", "FPO=6Q", "ACT_EST_MAPPING=PRECISE", "FS=MRC", "CURRENCY=USD", "XLFILL=b")</f>
        <v>49289.039442774949</v>
      </c>
      <c r="X271" s="9">
        <f>_xll.BQL("AMZN US Equity", "CB_BS_OTHER_NONCURRENT_LIABS/1M", "FPT=Q", "FPO=7Q", "ACT_EST_MAPPING=PRECISE", "FS=MRC", "CURRENCY=USD", "XLFILL=b")</f>
        <v>48582.155293182703</v>
      </c>
    </row>
    <row r="272" spans="1:24" x14ac:dyDescent="0.25">
      <c r="A272" s="8" t="s">
        <v>414</v>
      </c>
      <c r="B272" s="4" t="s">
        <v>415</v>
      </c>
      <c r="C272" s="4" t="s">
        <v>416</v>
      </c>
      <c r="D272" s="4"/>
      <c r="E272" s="9">
        <f>_xll.BQL("AMZN US Equity", "BS_TOTAL_LIABILITIES/1M", "FPT=Q", "FPO=-12Q", "ACT_EST_MAPPING=PRECISE", "FS=MRC", "CURRENCY=USD", "XLFILL=b")</f>
        <v>309852</v>
      </c>
      <c r="F272" s="9">
        <f>_xll.BQL("AMZN US Equity", "BS_TOTAL_LIABILITIES/1M", "FPT=Q", "FPO=-11Q", "ACT_EST_MAPPING=PRECISE", "FS=MRC", "CURRENCY=USD", "XLFILL=b")</f>
        <v>309005</v>
      </c>
      <c r="G272" s="9">
        <f>_xll.BQL("AMZN US Equity", "BS_TOTAL_LIABILITIES/1M", "FPT=Q", "FPO=-10Q", "ACT_EST_MAPPING=PRECISE", "FS=MRC", "CURRENCY=USD", "XLFILL=b")</f>
        <v>303910</v>
      </c>
      <c r="H272" s="9">
        <f>_xll.BQL("AMZN US Equity", "BS_TOTAL_LIABILITIES/1M", "FPT=Q", "FPO=-9Q", "ACT_EST_MAPPING=PRECISE", "FS=MRC", "CURRENCY=USD", "XLFILL=b")</f>
        <v>325979</v>
      </c>
      <c r="I272" s="9">
        <f>_xll.BQL("AMZN US Equity", "BS_TOTAL_LIABILITIES/1M", "FPT=Q", "FPO=-8Q", "ACT_EST_MAPPING=PRECISE", "FS=MRC", "CURRENCY=USD", "XLFILL=b")</f>
        <v>314308</v>
      </c>
      <c r="J272" s="9">
        <f>_xll.BQL("AMZN US Equity", "BS_TOTAL_LIABILITIES/1M", "FPT=Q", "FPO=-7Q", "ACT_EST_MAPPING=PRECISE", "FS=MRC", "CURRENCY=USD", "XLFILL=b")</f>
        <v>318371</v>
      </c>
      <c r="K272" s="9">
        <f>_xll.BQL("AMZN US Equity", "BS_TOTAL_LIABILITIES/1M", "FPT=Q", "FPO=-6Q", "ACT_EST_MAPPING=PRECISE", "FS=MRC", "CURRENCY=USD", "XLFILL=b")</f>
        <v>325475</v>
      </c>
      <c r="L272" s="9">
        <f>_xll.BQL("AMZN US Equity", "BS_TOTAL_LIABILITIES/1M", "FPT=Q", "FPO=-5Q", "ACT_EST_MAPPING=PRECISE", "FS=MRC", "CURRENCY=USD", "XLFILL=b")</f>
        <v>338924</v>
      </c>
      <c r="M272" s="9">
        <f>_xll.BQL("AMZN US Equity", "BS_TOTAL_LIABILITIES/1M", "FPT=Q", "FPO=-4Q", "ACT_EST_MAPPING=PRECISE", "FS=MRC", "CURRENCY=USD", "XLFILL=b")</f>
        <v>337389</v>
      </c>
      <c r="N272" s="9">
        <f>_xll.BQL("AMZN US Equity", "BS_TOTAL_LIABILITIES/1M", "FPT=Q", "FPO=-3Q", "ACT_EST_MAPPING=PRECISE", "FS=MRC", "CURRENCY=USD", "XLFILL=b")</f>
        <v>348395</v>
      </c>
      <c r="O272" s="9">
        <f>_xll.BQL("AMZN US Equity", "BS_TOTAL_LIABILITIES/1M", "FPT=Q", "FPO=-2Q", "ACT_EST_MAPPING=PRECISE", "FS=MRC", "CURRENCY=USD", "XLFILL=b")</f>
        <v>358290</v>
      </c>
      <c r="P272" s="9">
        <f>_xll.BQL("AMZN US Equity", "BS_TOTAL_LIABILITIES/1M", "FPT=Q", "FPO=-1Q", "ACT_EST_MAPPING=PRECISE", "FS=MRC", "CURRENCY=USD", "XLFILL=b")</f>
        <v>406977</v>
      </c>
      <c r="Q272" s="9">
        <f>_xll.BQL("AMZN US Equity", "BS_TOTAL_LIABILITIES/1M", "FPT=Q", "FPO=0Q", "ACT_EST_MAPPING=PRECISE", "FS=MRC", "CURRENCY=USD", "XLFILL=b")</f>
        <v>474716</v>
      </c>
      <c r="R272" s="9">
        <f>_xll.BQL("AMZN US Equity", "BS_TOTAL_LIABILITIES/1M", "FPT=Q", "FPO=1Q", "ACT_EST_MAPPING=PRECISE", "FS=MRC", "CURRENCY=USD", "XLFILL=b")</f>
        <v>462658.47844526492</v>
      </c>
      <c r="S272" s="9">
        <f>_xll.BQL("AMZN US Equity", "BS_TOTAL_LIABILITIES/1M", "FPT=Q", "FPO=2Q", "ACT_EST_MAPPING=PRECISE", "FS=MRC", "CURRENCY=USD", "XLFILL=b")</f>
        <v>469936.6404861951</v>
      </c>
      <c r="T272" s="9">
        <f>_xll.BQL("AMZN US Equity", "BS_TOTAL_LIABILITIES/1M", "FPT=Q", "FPO=3Q", "ACT_EST_MAPPING=PRECISE", "FS=MRC", "CURRENCY=USD", "XLFILL=b")</f>
        <v>497210.86607211153</v>
      </c>
      <c r="U272" s="9">
        <f>_xll.BQL("AMZN US Equity", "BS_TOTAL_LIABILITIES/1M", "FPT=Q", "FPO=4Q", "ACT_EST_MAPPING=PRECISE", "FS=MRC", "CURRENCY=USD", "XLFILL=b")</f>
        <v>507694.13194075547</v>
      </c>
      <c r="V272" s="9">
        <f>_xll.BQL("AMZN US Equity", "BS_TOTAL_LIABILITIES/1M", "FPT=Q", "FPO=5Q", "ACT_EST_MAPPING=PRECISE", "FS=MRC", "CURRENCY=USD", "XLFILL=b")</f>
        <v>509101.06409388495</v>
      </c>
      <c r="W272" s="9">
        <f>_xll.BQL("AMZN US Equity", "BS_TOTAL_LIABILITIES/1M", "FPT=Q", "FPO=6Q", "ACT_EST_MAPPING=PRECISE", "FS=MRC", "CURRENCY=USD", "XLFILL=b")</f>
        <v>518727.40522187977</v>
      </c>
      <c r="X272" s="9">
        <f>_xll.BQL("AMZN US Equity", "BS_TOTAL_LIABILITIES/1M", "FPT=Q", "FPO=7Q", "ACT_EST_MAPPING=PRECISE", "FS=MRC", "CURRENCY=USD", "XLFILL=b")</f>
        <v>544885.35602120054</v>
      </c>
    </row>
    <row r="273" spans="1:24" x14ac:dyDescent="0.25">
      <c r="A273" s="8" t="s">
        <v>417</v>
      </c>
      <c r="B273" s="4" t="s">
        <v>418</v>
      </c>
      <c r="C273" s="4" t="s">
        <v>419</v>
      </c>
      <c r="D273" s="4"/>
      <c r="E273" s="9">
        <f>_xll.BQL("AMZN US Equity", "HEADLINE_NAV/1M", "FPT=Q", "FPO=-12Q", "ACT_EST_MAPPING=PRECISE", "FS=MRC", "CURRENCY=USD", "XLFILL=b")</f>
        <v>154526</v>
      </c>
      <c r="F273" s="9">
        <f>_xll.BQL("AMZN US Equity", "HEADLINE_NAV/1M", "FPT=Q", "FPO=-11Q", "ACT_EST_MAPPING=PRECISE", "FS=MRC", "CURRENCY=USD", "XLFILL=b")</f>
        <v>168602</v>
      </c>
      <c r="G273" s="9">
        <f>_xll.BQL("AMZN US Equity", "HEADLINE_NAV/1M", "FPT=Q", "FPO=-10Q", "ACT_EST_MAPPING=PRECISE", "FS=MRC", "CURRENCY=USD", "XLFILL=b")</f>
        <v>182973</v>
      </c>
      <c r="H273" s="9">
        <f>_xll.BQL("AMZN US Equity", "HEADLINE_NAV/1M", "FPT=Q", "FPO=-9Q", "ACT_EST_MAPPING=PRECISE", "FS=MRC", "CURRENCY=USD", "XLFILL=b")</f>
        <v>201875</v>
      </c>
      <c r="I273" s="9">
        <f>_xll.BQL("AMZN US Equity", "HEADLINE_NAV/1M", "FPT=Q", "FPO=-8Q", "ACT_EST_MAPPING=PRECISE", "FS=MRC", "CURRENCY=USD", "XLFILL=b")</f>
        <v>216661</v>
      </c>
      <c r="J273" s="9">
        <f>_xll.BQL("AMZN US Equity", "HEADLINE_NAV/1M", "FPT=Q", "FPO=-7Q", "ACT_EST_MAPPING=PRECISE", "FS=MRC", "CURRENCY=USD", "XLFILL=b")</f>
        <v>236447</v>
      </c>
      <c r="K273" s="9">
        <f>_xll.BQL("AMZN US Equity", "HEADLINE_NAV/1M", "FPT=Q", "FPO=-6Q", "ACT_EST_MAPPING=PRECISE", "FS=MRC", "CURRENCY=USD", "XLFILL=b")</f>
        <v>259151</v>
      </c>
      <c r="L273" s="9">
        <f>_xll.BQL("AMZN US Equity", "HEADLINE_NAV/1M", "FPT=Q", "FPO=-5Q", "ACT_EST_MAPPING=PRECISE", "FS=MRC", "CURRENCY=USD", "XLFILL=b")</f>
        <v>285970</v>
      </c>
      <c r="M273" s="9">
        <f>_xll.BQL("AMZN US Equity", "HEADLINE_NAV/1M", "FPT=Q", "FPO=-4Q", "ACT_EST_MAPPING=PRECISE", "FS=MRC", "CURRENCY=USD", "XLFILL=b")</f>
        <v>305867</v>
      </c>
      <c r="N273" s="9">
        <f>_xll.BQL("AMZN US Equity", "HEADLINE_NAV/1M", "FPT=Q", "FPO=-3Q", "ACT_EST_MAPPING=PRECISE", "FS=MRC", "CURRENCY=USD", "XLFILL=b")</f>
        <v>333775</v>
      </c>
      <c r="O273" s="9">
        <f>_xll.BQL("AMZN US Equity", "HEADLINE_NAV/1M", "FPT=Q", "FPO=-2Q", "ACT_EST_MAPPING=PRECISE", "FS=MRC", "CURRENCY=USD", "XLFILL=b")</f>
        <v>369631</v>
      </c>
      <c r="P273" s="9">
        <f>_xll.BQL("AMZN US Equity", "HEADLINE_NAV/1M", "FPT=Q", "FPO=-1Q", "ACT_EST_MAPPING=PRECISE", "FS=MRC", "CURRENCY=USD", "XLFILL=b")</f>
        <v>411065</v>
      </c>
      <c r="Q273" s="9">
        <f>_xll.BQL("AMZN US Equity", "HEADLINE_NAV/1M", "FPT=Q", "FPO=0Q", "ACT_EST_MAPPING=PRECISE", "FS=MRC", "CURRENCY=USD", "XLFILL=b")</f>
        <v>441914</v>
      </c>
      <c r="R273" s="9">
        <f>_xll.BQL("AMZN US Equity", "HEADLINE_NAV/1M", "FPT=Q", "FPO=1Q", "ACT_EST_MAPPING=PRECISE", "FS=MRC", "CURRENCY=USD", "XLFILL=b")</f>
        <v>469335.21428571432</v>
      </c>
      <c r="S273" s="9">
        <f>_xll.BQL("AMZN US Equity", "HEADLINE_NAV/1M", "FPT=Q", "FPO=2Q", "ACT_EST_MAPPING=PRECISE", "FS=MRC", "CURRENCY=USD", "XLFILL=b")</f>
        <v>496996.17857142858</v>
      </c>
      <c r="T273" s="9">
        <f>_xll.BQL("AMZN US Equity", "HEADLINE_NAV/1M", "FPT=Q", "FPO=3Q", "ACT_EST_MAPPING=PRECISE", "FS=MRC", "CURRENCY=USD", "XLFILL=b")</f>
        <v>527778.75</v>
      </c>
      <c r="U273" s="9">
        <f>_xll.BQL("AMZN US Equity", "HEADLINE_NAV/1M", "FPT=Q", "FPO=4Q", "ACT_EST_MAPPING=PRECISE", "FS=MRC", "CURRENCY=USD", "XLFILL=b")</f>
        <v>553015.0555555555</v>
      </c>
      <c r="V273" s="9">
        <f>_xll.BQL("AMZN US Equity", "HEADLINE_NAV/1M", "FPT=Q", "FPO=5Q", "ACT_EST_MAPPING=PRECISE", "FS=MRC", "CURRENCY=USD", "XLFILL=b")</f>
        <v>586630.77777777787</v>
      </c>
      <c r="W273" s="9">
        <f>_xll.BQL("AMZN US Equity", "HEADLINE_NAV/1M", "FPT=Q", "FPO=6Q", "ACT_EST_MAPPING=PRECISE", "FS=MRC", "CURRENCY=USD", "XLFILL=b")</f>
        <v>620093.72222222213</v>
      </c>
      <c r="X273" s="9">
        <f>_xll.BQL("AMZN US Equity", "HEADLINE_NAV/1M", "FPT=Q", "FPO=7Q", "ACT_EST_MAPPING=PRECISE", "FS=MRC", "CURRENCY=USD", "XLFILL=b")</f>
        <v>659664.77777777787</v>
      </c>
    </row>
    <row r="274" spans="1:24" x14ac:dyDescent="0.25">
      <c r="A274" s="8" t="s">
        <v>420</v>
      </c>
      <c r="B274" s="4" t="s">
        <v>421</v>
      </c>
      <c r="C274" s="4" t="s">
        <v>422</v>
      </c>
      <c r="D274" s="4"/>
      <c r="E274" s="9">
        <f>_xll.BQL("AMZN US Equity", "BS_COMMON_STOCK/1M", "FPT=Q", "FPO=-12Q", "ACT_EST_MAPPING=PRECISE", "FS=MRC", "CURRENCY=USD", "XLFILL=b")</f>
        <v>108</v>
      </c>
      <c r="F274" s="9">
        <f>_xll.BQL("AMZN US Equity", "BS_COMMON_STOCK/1M", "FPT=Q", "FPO=-11Q", "ACT_EST_MAPPING=PRECISE", "FS=MRC", "CURRENCY=USD", "XLFILL=b")</f>
        <v>108</v>
      </c>
      <c r="G274" s="9">
        <f>_xll.BQL("AMZN US Equity", "BS_COMMON_STOCK/1M", "FPT=Q", "FPO=-10Q", "ACT_EST_MAPPING=PRECISE", "FS=MRC", "CURRENCY=USD", "XLFILL=b")</f>
        <v>108</v>
      </c>
      <c r="H274" s="9">
        <f>_xll.BQL("AMZN US Equity", "BS_COMMON_STOCK/1M", "FPT=Q", "FPO=-9Q", "ACT_EST_MAPPING=PRECISE", "FS=MRC", "CURRENCY=USD", "XLFILL=b")</f>
        <v>109</v>
      </c>
      <c r="I274" s="9">
        <f>_xll.BQL("AMZN US Equity", "BS_COMMON_STOCK/1M", "FPT=Q", "FPO=-8Q", "ACT_EST_MAPPING=PRECISE", "FS=MRC", "CURRENCY=USD", "XLFILL=b")</f>
        <v>109</v>
      </c>
      <c r="J274" s="9">
        <f>_xll.BQL("AMZN US Equity", "BS_COMMON_STOCK/1M", "FPT=Q", "FPO=-7Q", "ACT_EST_MAPPING=PRECISE", "FS=MRC", "CURRENCY=USD", "XLFILL=b")</f>
        <v>110</v>
      </c>
      <c r="K274" s="9">
        <f>_xll.BQL("AMZN US Equity", "BS_COMMON_STOCK/1M", "FPT=Q", "FPO=-6Q", "ACT_EST_MAPPING=PRECISE", "FS=MRC", "CURRENCY=USD", "XLFILL=b")</f>
        <v>110</v>
      </c>
      <c r="L274" s="9">
        <f>_xll.BQL("AMZN US Equity", "BS_COMMON_STOCK/1M", "FPT=Q", "FPO=-5Q", "ACT_EST_MAPPING=PRECISE", "FS=MRC", "CURRENCY=USD", "XLFILL=b")</f>
        <v>111</v>
      </c>
      <c r="M274" s="9">
        <f>_xll.BQL("AMZN US Equity", "BS_COMMON_STOCK/1M", "FPT=Q", "FPO=-4Q", "ACT_EST_MAPPING=PRECISE", "FS=MRC", "CURRENCY=USD", "XLFILL=b")</f>
        <v>111</v>
      </c>
      <c r="N274" s="9">
        <f>_xll.BQL("AMZN US Equity", "BS_COMMON_STOCK/1M", "FPT=Q", "FPO=-3Q", "ACT_EST_MAPPING=PRECISE", "FS=MRC", "CURRENCY=USD", "XLFILL=b")</f>
        <v>112</v>
      </c>
      <c r="O274" s="9">
        <f>_xll.BQL("AMZN US Equity", "BS_COMMON_STOCK/1M", "FPT=Q", "FPO=-2Q", "ACT_EST_MAPPING=PRECISE", "FS=MRC", "CURRENCY=USD", "XLFILL=b")</f>
        <v>112</v>
      </c>
      <c r="P274" s="9">
        <f>_xll.BQL("AMZN US Equity", "BS_COMMON_STOCK/1M", "FPT=Q", "FPO=-1Q", "ACT_EST_MAPPING=PRECISE", "FS=MRC", "CURRENCY=USD", "XLFILL=b")</f>
        <v>112</v>
      </c>
      <c r="Q274" s="9">
        <f>_xll.BQL("AMZN US Equity", "BS_COMMON_STOCK/1M", "FPT=Q", "FPO=0Q", "ACT_EST_MAPPING=PRECISE", "FS=MRC", "CURRENCY=USD", "XLFILL=b")</f>
        <v>113</v>
      </c>
      <c r="R274" s="9">
        <f>_xll.BQL("AMZN US Equity", "BS_COMMON_STOCK/1M", "FPT=Q", "FPO=1Q", "ACT_EST_MAPPING=PRECISE", "FS=MRC", "CURRENCY=USD", "XLFILL=b")</f>
        <v>113</v>
      </c>
      <c r="S274" s="9">
        <f>_xll.BQL("AMZN US Equity", "BS_COMMON_STOCK/1M", "FPT=Q", "FPO=2Q", "ACT_EST_MAPPING=PRECISE", "FS=MRC", "CURRENCY=USD", "XLFILL=b")</f>
        <v>113</v>
      </c>
      <c r="T274" s="9">
        <f>_xll.BQL("AMZN US Equity", "BS_COMMON_STOCK/1M", "FPT=Q", "FPO=3Q", "ACT_EST_MAPPING=PRECISE", "FS=MRC", "CURRENCY=USD", "XLFILL=b")</f>
        <v>113</v>
      </c>
      <c r="U274" s="9">
        <f>_xll.BQL("AMZN US Equity", "BS_COMMON_STOCK/1M", "FPT=Q", "FPO=4Q", "ACT_EST_MAPPING=PRECISE", "FS=MRC", "CURRENCY=USD", "XLFILL=b")</f>
        <v>113</v>
      </c>
      <c r="V274" s="9">
        <f>_xll.BQL("AMZN US Equity", "BS_COMMON_STOCK/1M", "FPT=Q", "FPO=5Q", "ACT_EST_MAPPING=PRECISE", "FS=MRC", "CURRENCY=USD", "XLFILL=b")</f>
        <v>113</v>
      </c>
      <c r="W274" s="9">
        <f>_xll.BQL("AMZN US Equity", "BS_COMMON_STOCK/1M", "FPT=Q", "FPO=6Q", "ACT_EST_MAPPING=PRECISE", "FS=MRC", "CURRENCY=USD", "XLFILL=b")</f>
        <v>113</v>
      </c>
      <c r="X274" s="9">
        <f>_xll.BQL("AMZN US Equity", "BS_COMMON_STOCK/1M", "FPT=Q", "FPO=7Q", "ACT_EST_MAPPING=PRECISE", "FS=MRC", "CURRENCY=USD", "XLFILL=b")</f>
        <v>113</v>
      </c>
    </row>
    <row r="275" spans="1:24" x14ac:dyDescent="0.25">
      <c r="A275" s="8" t="s">
        <v>423</v>
      </c>
      <c r="B275" s="4" t="s">
        <v>424</v>
      </c>
      <c r="C275" s="4" t="s">
        <v>425</v>
      </c>
      <c r="D275" s="4"/>
      <c r="E275" s="9">
        <f>_xll.BQL("AMZN US Equity", "BS_AMT_OF_TSY_STOCK/1M", "FPT=Q", "FPO=-12Q", "ACT_EST_MAPPING=PRECISE", "FS=MRC", "CURRENCY=USD", "XLFILL=b")</f>
        <v>7837</v>
      </c>
      <c r="F275" s="9">
        <f>_xll.BQL("AMZN US Equity", "BS_AMT_OF_TSY_STOCK/1M", "FPT=Q", "FPO=-11Q", "ACT_EST_MAPPING=PRECISE", "FS=MRC", "CURRENCY=USD", "XLFILL=b")</f>
        <v>7837</v>
      </c>
      <c r="G275" s="9">
        <f>_xll.BQL("AMZN US Equity", "BS_AMT_OF_TSY_STOCK/1M", "FPT=Q", "FPO=-10Q", "ACT_EST_MAPPING=PRECISE", "FS=MRC", "CURRENCY=USD", "XLFILL=b")</f>
        <v>7837</v>
      </c>
      <c r="H275" s="9">
        <f>_xll.BQL("AMZN US Equity", "BS_AMT_OF_TSY_STOCK/1M", "FPT=Q", "FPO=-9Q", "ACT_EST_MAPPING=PRECISE", "FS=MRC", "CURRENCY=USD", "XLFILL=b")</f>
        <v>7837</v>
      </c>
      <c r="I275" s="9">
        <f>_xll.BQL("AMZN US Equity", "BS_AMT_OF_TSY_STOCK/1M", "FPT=Q", "FPO=-8Q", "ACT_EST_MAPPING=PRECISE", "FS=MRC", "CURRENCY=USD", "XLFILL=b")</f>
        <v>7837</v>
      </c>
      <c r="J275" s="9">
        <f>_xll.BQL("AMZN US Equity", "BS_AMT_OF_TSY_STOCK/1M", "FPT=Q", "FPO=-7Q", "ACT_EST_MAPPING=PRECISE", "FS=MRC", "CURRENCY=USD", "XLFILL=b")</f>
        <v>7837</v>
      </c>
      <c r="K275" s="9">
        <f>_xll.BQL("AMZN US Equity", "BS_AMT_OF_TSY_STOCK/1M", "FPT=Q", "FPO=-6Q", "ACT_EST_MAPPING=PRECISE", "FS=MRC", "CURRENCY=USD", "XLFILL=b")</f>
        <v>7837</v>
      </c>
      <c r="L275" s="9">
        <f>_xll.BQL("AMZN US Equity", "BS_AMT_OF_TSY_STOCK/1M", "FPT=Q", "FPO=-5Q", "ACT_EST_MAPPING=PRECISE", "FS=MRC", "CURRENCY=USD", "XLFILL=b")</f>
        <v>7837</v>
      </c>
      <c r="M275" s="9">
        <f>_xll.BQL("AMZN US Equity", "BS_AMT_OF_TSY_STOCK/1M", "FPT=Q", "FPO=-4Q", "ACT_EST_MAPPING=PRECISE", "FS=MRC", "CURRENCY=USD", "XLFILL=b")</f>
        <v>7837</v>
      </c>
      <c r="N275" s="9">
        <f>_xll.BQL("AMZN US Equity", "BS_AMT_OF_TSY_STOCK/1M", "FPT=Q", "FPO=-3Q", "ACT_EST_MAPPING=PRECISE", "FS=MRC", "CURRENCY=USD", "XLFILL=b")</f>
        <v>7837</v>
      </c>
      <c r="O275" s="9">
        <f>_xll.BQL("AMZN US Equity", "BS_AMT_OF_TSY_STOCK/1M", "FPT=Q", "FPO=-2Q", "ACT_EST_MAPPING=PRECISE", "FS=MRC", "CURRENCY=USD", "XLFILL=b")</f>
        <v>7837</v>
      </c>
      <c r="P275" s="9">
        <f>_xll.BQL("AMZN US Equity", "BS_AMT_OF_TSY_STOCK/1M", "FPT=Q", "FPO=-1Q", "ACT_EST_MAPPING=PRECISE", "FS=MRC", "CURRENCY=USD", "XLFILL=b")</f>
        <v>7837</v>
      </c>
      <c r="Q275" s="9">
        <f>_xll.BQL("AMZN US Equity", "BS_AMT_OF_TSY_STOCK/1M", "FPT=Q", "FPO=0Q", "ACT_EST_MAPPING=PRECISE", "FS=MRC", "CURRENCY=USD", "XLFILL=b")</f>
        <v>7837</v>
      </c>
      <c r="R275" s="9">
        <f>_xll.BQL("AMZN US Equity", "BS_AMT_OF_TSY_STOCK/1M", "FPT=Q", "FPO=1Q", "ACT_EST_MAPPING=PRECISE", "FS=MRC", "CURRENCY=USD", "XLFILL=b")</f>
        <v>7837</v>
      </c>
      <c r="S275" s="9">
        <f>_xll.BQL("AMZN US Equity", "BS_AMT_OF_TSY_STOCK/1M", "FPT=Q", "FPO=2Q", "ACT_EST_MAPPING=PRECISE", "FS=MRC", "CURRENCY=USD", "XLFILL=b")</f>
        <v>7837</v>
      </c>
      <c r="T275" s="9">
        <f>_xll.BQL("AMZN US Equity", "BS_AMT_OF_TSY_STOCK/1M", "FPT=Q", "FPO=3Q", "ACT_EST_MAPPING=PRECISE", "FS=MRC", "CURRENCY=USD", "XLFILL=b")</f>
        <v>7837</v>
      </c>
      <c r="U275" s="9">
        <f>_xll.BQL("AMZN US Equity", "BS_AMT_OF_TSY_STOCK/1M", "FPT=Q", "FPO=4Q", "ACT_EST_MAPPING=PRECISE", "FS=MRC", "CURRENCY=USD", "XLFILL=b")</f>
        <v>7837</v>
      </c>
      <c r="V275" s="9">
        <f>_xll.BQL("AMZN US Equity", "BS_AMT_OF_TSY_STOCK/1M", "FPT=Q", "FPO=5Q", "ACT_EST_MAPPING=PRECISE", "FS=MRC", "CURRENCY=USD", "XLFILL=b")</f>
        <v>7837</v>
      </c>
      <c r="W275" s="9">
        <f>_xll.BQL("AMZN US Equity", "BS_AMT_OF_TSY_STOCK/1M", "FPT=Q", "FPO=6Q", "ACT_EST_MAPPING=PRECISE", "FS=MRC", "CURRENCY=USD", "XLFILL=b")</f>
        <v>7837</v>
      </c>
      <c r="X275" s="9">
        <f>_xll.BQL("AMZN US Equity", "BS_AMT_OF_TSY_STOCK/1M", "FPT=Q", "FPO=7Q", "ACT_EST_MAPPING=PRECISE", "FS=MRC", "CURRENCY=USD", "XLFILL=b")</f>
        <v>7837</v>
      </c>
    </row>
    <row r="276" spans="1:24" x14ac:dyDescent="0.25">
      <c r="A276" s="8" t="s">
        <v>426</v>
      </c>
      <c r="B276" s="4" t="s">
        <v>427</v>
      </c>
      <c r="C276" s="4" t="s">
        <v>428</v>
      </c>
      <c r="D276" s="4"/>
      <c r="E276" s="9">
        <f>_xll.BQL("AMZN US Equity", "BS_ADD_PAID_IN_CAP/1M", "FPT=Q", "FPO=-12Q", "ACT_EST_MAPPING=PRECISE", "FS=MRC", "CURRENCY=USD", "XLFILL=b")</f>
        <v>79863</v>
      </c>
      <c r="F276" s="9">
        <f>_xll.BQL("AMZN US Equity", "BS_ADD_PAID_IN_CAP/1M", "FPT=Q", "FPO=-11Q", "ACT_EST_MAPPING=PRECISE", "FS=MRC", "CURRENCY=USD", "XLFILL=b")</f>
        <v>86896</v>
      </c>
      <c r="G276" s="9">
        <f>_xll.BQL("AMZN US Equity", "BS_ADD_PAID_IN_CAP/1M", "FPT=Q", "FPO=-10Q", "ACT_EST_MAPPING=PRECISE", "FS=MRC", "CURRENCY=USD", "XLFILL=b")</f>
        <v>92711</v>
      </c>
      <c r="H276" s="9">
        <f>_xll.BQL("AMZN US Equity", "BS_ADD_PAID_IN_CAP/1M", "FPT=Q", "FPO=-9Q", "ACT_EST_MAPPING=PRECISE", "FS=MRC", "CURRENCY=USD", "XLFILL=b")</f>
        <v>99025</v>
      </c>
      <c r="I276" s="9">
        <f>_xll.BQL("AMZN US Equity", "BS_ADD_PAID_IN_CAP/1M", "FPT=Q", "FPO=-8Q", "ACT_EST_MAPPING=PRECISE", "FS=MRC", "CURRENCY=USD", "XLFILL=b")</f>
        <v>103938</v>
      </c>
      <c r="J276" s="9">
        <f>_xll.BQL("AMZN US Equity", "BS_ADD_PAID_IN_CAP/1M", "FPT=Q", "FPO=-7Q", "ACT_EST_MAPPING=PRECISE", "FS=MRC", "CURRENCY=USD", "XLFILL=b")</f>
        <v>110633</v>
      </c>
      <c r="K276" s="9">
        <f>_xll.BQL("AMZN US Equity", "BS_ADD_PAID_IN_CAP/1M", "FPT=Q", "FPO=-6Q", "ACT_EST_MAPPING=PRECISE", "FS=MRC", "CURRENCY=USD", "XLFILL=b")</f>
        <v>115934</v>
      </c>
      <c r="L276" s="9">
        <f>_xll.BQL("AMZN US Equity", "BS_ADD_PAID_IN_CAP/1M", "FPT=Q", "FPO=-5Q", "ACT_EST_MAPPING=PRECISE", "FS=MRC", "CURRENCY=USD", "XLFILL=b")</f>
        <v>120864</v>
      </c>
      <c r="M276" s="9">
        <f>_xll.BQL("AMZN US Equity", "BS_ADD_PAID_IN_CAP/1M", "FPT=Q", "FPO=-4Q", "ACT_EST_MAPPING=PRECISE", "FS=MRC", "CURRENCY=USD", "XLFILL=b")</f>
        <v>124514</v>
      </c>
      <c r="N276" s="9">
        <f>_xll.BQL("AMZN US Equity", "BS_ADD_PAID_IN_CAP/1M", "FPT=Q", "FPO=-3Q", "ACT_EST_MAPPING=PRECISE", "FS=MRC", "CURRENCY=USD", "XLFILL=b")</f>
        <v>130923</v>
      </c>
      <c r="O276" s="9">
        <f>_xll.BQL("AMZN US Equity", "BS_ADD_PAID_IN_CAP/1M", "FPT=Q", "FPO=-2Q", "ACT_EST_MAPPING=PRECISE", "FS=MRC", "CURRENCY=USD", "XLFILL=b")</f>
        <v>135679</v>
      </c>
      <c r="P276" s="9">
        <f>_xll.BQL("AMZN US Equity", "BS_ADD_PAID_IN_CAP/1M", "FPT=Q", "FPO=-1Q", "ACT_EST_MAPPING=PRECISE", "FS=MRC", "CURRENCY=USD", "XLFILL=b")</f>
        <v>140024</v>
      </c>
      <c r="Q276" s="9">
        <f>_xll.BQL("AMZN US Equity", "BS_ADD_PAID_IN_CAP/1M", "FPT=Q", "FPO=0Q", "ACT_EST_MAPPING=PRECISE", "FS=MRC", "CURRENCY=USD", "XLFILL=b")</f>
        <v>143979</v>
      </c>
      <c r="R276" s="9">
        <f>_xll.BQL("AMZN US Equity", "BS_ADD_PAID_IN_CAP/1M", "FPT=Q", "FPO=1Q", "ACT_EST_MAPPING=PRECISE", "FS=MRC", "CURRENCY=USD", "XLFILL=b")</f>
        <v>147255.29940410831</v>
      </c>
      <c r="S276" s="9">
        <f>_xll.BQL("AMZN US Equity", "BS_ADD_PAID_IN_CAP/1M", "FPT=Q", "FPO=2Q", "ACT_EST_MAPPING=PRECISE", "FS=MRC", "CURRENCY=USD", "XLFILL=b")</f>
        <v>151199.89500723922</v>
      </c>
      <c r="T276" s="9">
        <f>_xll.BQL("AMZN US Equity", "BS_ADD_PAID_IN_CAP/1M", "FPT=Q", "FPO=3Q", "ACT_EST_MAPPING=PRECISE", "FS=MRC", "CURRENCY=USD", "XLFILL=b")</f>
        <v>157313.41501215461</v>
      </c>
      <c r="U276" s="9">
        <f>_xll.BQL("AMZN US Equity", "BS_ADD_PAID_IN_CAP/1M", "FPT=Q", "FPO=4Q", "ACT_EST_MAPPING=PRECISE", "FS=MRC", "CURRENCY=USD", "XLFILL=b")</f>
        <v>161389.29552932698</v>
      </c>
      <c r="V276" s="9">
        <f>_xll.BQL("AMZN US Equity", "BS_ADD_PAID_IN_CAP/1M", "FPT=Q", "FPO=5Q", "ACT_EST_MAPPING=PRECISE", "FS=MRC", "CURRENCY=USD", "XLFILL=b")</f>
        <v>168032.73757457742</v>
      </c>
      <c r="W276" s="9">
        <f>_xll.BQL("AMZN US Equity", "BS_ADD_PAID_IN_CAP/1M", "FPT=Q", "FPO=6Q", "ACT_EST_MAPPING=PRECISE", "FS=MRC", "CURRENCY=USD", "XLFILL=b")</f>
        <v>173337.73922068838</v>
      </c>
      <c r="X276" s="9">
        <f>_xll.BQL("AMZN US Equity", "BS_ADD_PAID_IN_CAP/1M", "FPT=Q", "FPO=7Q", "ACT_EST_MAPPING=PRECISE", "FS=MRC", "CURRENCY=USD", "XLFILL=b")</f>
        <v>181931.85973564052</v>
      </c>
    </row>
    <row r="277" spans="1:24" x14ac:dyDescent="0.25">
      <c r="A277" s="8" t="s">
        <v>429</v>
      </c>
      <c r="B277" s="4" t="s">
        <v>430</v>
      </c>
      <c r="C277" s="4" t="s">
        <v>431</v>
      </c>
      <c r="D277" s="4"/>
      <c r="E277" s="9">
        <f>_xll.BQL("AMZN US Equity", "BS_CAPITAL_RESERVE/1M", "FPT=Q", "FPO=-12Q", "ACT_EST_MAPPING=PRECISE", "FS=MRC", "CURRENCY=USD", "XLFILL=b")</f>
        <v>-3973</v>
      </c>
      <c r="F277" s="9">
        <f>_xll.BQL("AMZN US Equity", "BS_CAPITAL_RESERVE/1M", "FPT=Q", "FPO=-11Q", "ACT_EST_MAPPING=PRECISE", "FS=MRC", "CURRENCY=USD", "XLFILL=b")</f>
        <v>-3680</v>
      </c>
      <c r="G277" s="9">
        <f>_xll.BQL("AMZN US Equity", "BS_CAPITAL_RESERVE/1M", "FPT=Q", "FPO=-10Q", "ACT_EST_MAPPING=PRECISE", "FS=MRC", "CURRENCY=USD", "XLFILL=b")</f>
        <v>-5003</v>
      </c>
      <c r="H277" s="9">
        <f>_xll.BQL("AMZN US Equity", "BS_CAPITAL_RESERVE/1M", "FPT=Q", "FPO=-9Q", "ACT_EST_MAPPING=PRECISE", "FS=MRC", "CURRENCY=USD", "XLFILL=b")</f>
        <v>-3040</v>
      </c>
      <c r="I277" s="9">
        <f>_xll.BQL("AMZN US Equity", "BS_CAPITAL_RESERVE/1M", "FPT=Q", "FPO=-8Q", "ACT_EST_MAPPING=PRECISE", "FS=MRC", "CURRENCY=USD", "XLFILL=b")</f>
        <v>-3598</v>
      </c>
      <c r="J277" s="9">
        <f>_xll.BQL("AMZN US Equity", "BS_CAPITAL_RESERVE/1M", "FPT=Q", "FPO=-7Q", "ACT_EST_MAPPING=PRECISE", "FS=MRC", "CURRENCY=USD", "XLFILL=b")</f>
        <v>-3993</v>
      </c>
      <c r="K277" s="9">
        <f>_xll.BQL("AMZN US Equity", "BS_CAPITAL_RESERVE/1M", "FPT=Q", "FPO=-6Q", "ACT_EST_MAPPING=PRECISE", "FS=MRC", "CURRENCY=USD", "XLFILL=b")</f>
        <v>-1918</v>
      </c>
      <c r="L277" s="9">
        <f>_xll.BQL("AMZN US Equity", "BS_CAPITAL_RESERVE/1M", "FPT=Q", "FPO=-5Q", "ACT_EST_MAPPING=PRECISE", "FS=MRC", "CURRENCY=USD", "XLFILL=b")</f>
        <v>-34</v>
      </c>
      <c r="M277" s="9">
        <f>_xll.BQL("AMZN US Equity", "BS_CAPITAL_RESERVE/1M", "FPT=Q", "FPO=-4Q", "ACT_EST_MAPPING=PRECISE", "FS=MRC", "CURRENCY=USD", "XLFILL=b")</f>
        <v>-914</v>
      </c>
      <c r="N277" s="9">
        <f>_xll.BQL("AMZN US Equity", "BS_CAPITAL_RESERVE/1M", "FPT=Q", "FPO=-3Q", "ACT_EST_MAPPING=PRECISE", "FS=MRC", "CURRENCY=USD", "XLFILL=b")</f>
        <v>2420</v>
      </c>
      <c r="O277" s="9">
        <f>_xll.BQL("AMZN US Equity", "BS_CAPITAL_RESERVE/1M", "FPT=Q", "FPO=-2Q", "ACT_EST_MAPPING=PRECISE", "FS=MRC", "CURRENCY=USD", "XLFILL=b")</f>
        <v>12333</v>
      </c>
      <c r="P277" s="9">
        <f>_xll.BQL("AMZN US Equity", "BS_CAPITAL_RESERVE/1M", "FPT=Q", "FPO=-1Q", "ACT_EST_MAPPING=PRECISE", "FS=MRC", "CURRENCY=USD", "XLFILL=b")</f>
        <v>28230</v>
      </c>
      <c r="Q277" s="9">
        <f>_xll.BQL("AMZN US Equity", "BS_CAPITAL_RESERVE/1M", "FPT=Q", "FPO=0Q", "ACT_EST_MAPPING=PRECISE", "FS=MRC", "CURRENCY=USD", "XLFILL=b")</f>
        <v>24868</v>
      </c>
      <c r="R277" s="9">
        <f>_xll.BQL("AMZN US Equity", "BS_CAPITAL_RESERVE/1M", "FPT=Q", "FPO=1Q", "ACT_EST_MAPPING=PRECISE", "FS=MRC", "CURRENCY=USD", "XLFILL=b")</f>
        <v>24868</v>
      </c>
      <c r="S277" s="9">
        <f>_xll.BQL("AMZN US Equity", "BS_CAPITAL_RESERVE/1M", "FPT=Q", "FPO=2Q", "ACT_EST_MAPPING=PRECISE", "FS=MRC", "CURRENCY=USD", "XLFILL=b")</f>
        <v>24868</v>
      </c>
      <c r="T277" s="9">
        <f>_xll.BQL("AMZN US Equity", "BS_CAPITAL_RESERVE/1M", "FPT=Q", "FPO=3Q", "ACT_EST_MAPPING=PRECISE", "FS=MRC", "CURRENCY=USD", "XLFILL=b")</f>
        <v>24868</v>
      </c>
      <c r="U277" s="9">
        <f>_xll.BQL("AMZN US Equity", "BS_CAPITAL_RESERVE/1M", "FPT=Q", "FPO=4Q", "ACT_EST_MAPPING=PRECISE", "FS=MRC", "CURRENCY=USD", "XLFILL=b")</f>
        <v>33764.752520917238</v>
      </c>
      <c r="V277" s="9">
        <f>_xll.BQL("AMZN US Equity", "BS_CAPITAL_RESERVE/1M", "FPT=Q", "FPO=5Q", "ACT_EST_MAPPING=PRECISE", "FS=MRC", "CURRENCY=USD", "XLFILL=b")</f>
        <v>36274.671628926626</v>
      </c>
      <c r="W277" s="9">
        <f>_xll.BQL("AMZN US Equity", "BS_CAPITAL_RESERVE/1M", "FPT=Q", "FPO=6Q", "ACT_EST_MAPPING=PRECISE", "FS=MRC", "CURRENCY=USD", "XLFILL=b")</f>
        <v>39177.345006685209</v>
      </c>
      <c r="X277" s="9">
        <f>_xll.BQL("AMZN US Equity", "BS_CAPITAL_RESERVE/1M", "FPT=Q", "FPO=7Q", "ACT_EST_MAPPING=PRECISE", "FS=MRC", "CURRENCY=USD", "XLFILL=b")</f>
        <v>42382.691999302151</v>
      </c>
    </row>
    <row r="278" spans="1:24" x14ac:dyDescent="0.25">
      <c r="A278" s="8" t="s">
        <v>432</v>
      </c>
      <c r="B278" s="4" t="s">
        <v>433</v>
      </c>
      <c r="C278" s="4" t="s">
        <v>434</v>
      </c>
      <c r="D278" s="4"/>
      <c r="E278" s="9">
        <f>_xll.BQL("AMZN US Equity", "BS_PURE_RETAINED_EARNINGS/1M", "FPT=Q", "FPO=-12Q", "ACT_EST_MAPPING=PRECISE", "FS=MRC", "CURRENCY=USD", "XLFILL=b")</f>
        <v>86365</v>
      </c>
      <c r="F278" s="9">
        <f>_xll.BQL("AMZN US Equity", "BS_PURE_RETAINED_EARNINGS/1M", "FPT=Q", "FPO=-11Q", "ACT_EST_MAPPING=PRECISE", "FS=MRC", "CURRENCY=USD", "XLFILL=b")</f>
        <v>93115</v>
      </c>
      <c r="G278" s="9">
        <f>_xll.BQL("AMZN US Equity", "BS_PURE_RETAINED_EARNINGS/1M", "FPT=Q", "FPO=-10Q", "ACT_EST_MAPPING=PRECISE", "FS=MRC", "CURRENCY=USD", "XLFILL=b")</f>
        <v>102994</v>
      </c>
      <c r="H278" s="9">
        <f>_xll.BQL("AMZN US Equity", "BS_PURE_RETAINED_EARNINGS/1M", "FPT=Q", "FPO=-9Q", "ACT_EST_MAPPING=PRECISE", "FS=MRC", "CURRENCY=USD", "XLFILL=b")</f>
        <v>113618</v>
      </c>
      <c r="I278" s="9">
        <f>_xll.BQL("AMZN US Equity", "BS_PURE_RETAINED_EARNINGS/1M", "FPT=Q", "FPO=-8Q", "ACT_EST_MAPPING=PRECISE", "FS=MRC", "CURRENCY=USD", "XLFILL=b")</f>
        <v>124049</v>
      </c>
      <c r="J278" s="9">
        <f>_xll.BQL("AMZN US Equity", "BS_PURE_RETAINED_EARNINGS/1M", "FPT=Q", "FPO=-7Q", "ACT_EST_MAPPING=PRECISE", "FS=MRC", "CURRENCY=USD", "XLFILL=b")</f>
        <v>137534</v>
      </c>
      <c r="K278" s="9">
        <f>_xll.BQL("AMZN US Equity", "BS_PURE_RETAINED_EARNINGS/1M", "FPT=Q", "FPO=-6Q", "ACT_EST_MAPPING=PRECISE", "FS=MRC", "CURRENCY=USD", "XLFILL=b")</f>
        <v>152862</v>
      </c>
      <c r="L278" s="9">
        <f>_xll.BQL("AMZN US Equity", "BS_PURE_RETAINED_EARNINGS/1M", "FPT=Q", "FPO=-5Q", "ACT_EST_MAPPING=PRECISE", "FS=MRC", "CURRENCY=USD", "XLFILL=b")</f>
        <v>172866</v>
      </c>
      <c r="M278" s="9">
        <f>_xll.BQL("AMZN US Equity", "BS_PURE_RETAINED_EARNINGS/1M", "FPT=Q", "FPO=-4Q", "ACT_EST_MAPPING=PRECISE", "FS=MRC", "CURRENCY=USD", "XLFILL=b")</f>
        <v>189993</v>
      </c>
      <c r="N278" s="9">
        <f>_xll.BQL("AMZN US Equity", "BS_PURE_RETAINED_EARNINGS/1M", "FPT=Q", "FPO=-3Q", "ACT_EST_MAPPING=PRECISE", "FS=MRC", "CURRENCY=USD", "XLFILL=b")</f>
        <v>208157</v>
      </c>
      <c r="O278" s="9">
        <f>_xll.BQL("AMZN US Equity", "BS_PURE_RETAINED_EARNINGS/1M", "FPT=Q", "FPO=-2Q", "ACT_EST_MAPPING=PRECISE", "FS=MRC", "CURRENCY=USD", "XLFILL=b")</f>
        <v>229344</v>
      </c>
      <c r="P278" s="9">
        <f>_xll.BQL("AMZN US Equity", "BS_PURE_RETAINED_EARNINGS/1M", "FPT=Q", "FPO=-1Q", "ACT_EST_MAPPING=PRECISE", "FS=MRC", "CURRENCY=USD", "XLFILL=b")</f>
        <v>250536</v>
      </c>
      <c r="Q278" s="9">
        <f>_xll.BQL("AMZN US Equity", "BS_PURE_RETAINED_EARNINGS/1M", "FPT=Q", "FPO=0Q", "ACT_EST_MAPPING=PRECISE", "FS=MRC", "CURRENCY=USD", "XLFILL=b")</f>
        <v>280791</v>
      </c>
      <c r="R278" s="9">
        <f>_xll.BQL("AMZN US Equity", "BS_PURE_RETAINED_EARNINGS/1M", "FPT=Q", "FPO=1Q", "ACT_EST_MAPPING=PRECISE", "FS=MRC", "CURRENCY=USD", "XLFILL=b")</f>
        <v>302131.40056334139</v>
      </c>
      <c r="S278" s="9">
        <f>_xll.BQL("AMZN US Equity", "BS_PURE_RETAINED_EARNINGS/1M", "FPT=Q", "FPO=2Q", "ACT_EST_MAPPING=PRECISE", "FS=MRC", "CURRENCY=USD", "XLFILL=b")</f>
        <v>323325.85768154979</v>
      </c>
      <c r="T278" s="9">
        <f>_xll.BQL("AMZN US Equity", "BS_PURE_RETAINED_EARNINGS/1M", "FPT=Q", "FPO=3Q", "ACT_EST_MAPPING=PRECISE", "FS=MRC", "CURRENCY=USD", "XLFILL=b")</f>
        <v>347238.75181752659</v>
      </c>
      <c r="U278" s="9">
        <f>_xll.BQL("AMZN US Equity", "BS_PURE_RETAINED_EARNINGS/1M", "FPT=Q", "FPO=4Q", "ACT_EST_MAPPING=PRECISE", "FS=MRC", "CURRENCY=USD", "XLFILL=b")</f>
        <v>366661.10219234967</v>
      </c>
      <c r="V278" s="9">
        <f>_xll.BQL("AMZN US Equity", "BS_PURE_RETAINED_EARNINGS/1M", "FPT=Q", "FPO=5Q", "ACT_EST_MAPPING=PRECISE", "FS=MRC", "CURRENCY=USD", "XLFILL=b")</f>
        <v>391744.08825537801</v>
      </c>
      <c r="W278" s="9">
        <f>_xll.BQL("AMZN US Equity", "BS_PURE_RETAINED_EARNINGS/1M", "FPT=Q", "FPO=6Q", "ACT_EST_MAPPING=PRECISE", "FS=MRC", "CURRENCY=USD", "XLFILL=b")</f>
        <v>417867.32210142829</v>
      </c>
      <c r="X278" s="9">
        <f>_xll.BQL("AMZN US Equity", "BS_PURE_RETAINED_EARNINGS/1M", "FPT=Q", "FPO=7Q", "ACT_EST_MAPPING=PRECISE", "FS=MRC", "CURRENCY=USD", "XLFILL=b")</f>
        <v>449656.65936037718</v>
      </c>
    </row>
    <row r="279" spans="1:24" x14ac:dyDescent="0.25">
      <c r="A279" s="8" t="s">
        <v>435</v>
      </c>
      <c r="B279" s="4" t="s">
        <v>372</v>
      </c>
      <c r="C279" s="4" t="s">
        <v>373</v>
      </c>
      <c r="D279" s="4"/>
      <c r="E279" s="9">
        <f>_xll.BQL("AMZN US Equity", "BS_TOT_ASSET/1M", "FPT=Q", "FPO=-12Q", "ACT_EST_MAPPING=PRECISE", "FS=MRC", "CURRENCY=USD", "XLFILL=b")</f>
        <v>464378</v>
      </c>
      <c r="F279" s="9">
        <f>_xll.BQL("AMZN US Equity", "BS_TOT_ASSET/1M", "FPT=Q", "FPO=-11Q", "ACT_EST_MAPPING=PRECISE", "FS=MRC", "CURRENCY=USD", "XLFILL=b")</f>
        <v>477607</v>
      </c>
      <c r="G279" s="9">
        <f>_xll.BQL("AMZN US Equity", "BS_TOT_ASSET/1M", "FPT=Q", "FPO=-10Q", "ACT_EST_MAPPING=PRECISE", "FS=MRC", "CURRENCY=USD", "XLFILL=b")</f>
        <v>486883</v>
      </c>
      <c r="H279" s="9">
        <f>_xll.BQL("AMZN US Equity", "BS_TOT_ASSET/1M", "FPT=Q", "FPO=-9Q", "ACT_EST_MAPPING=PRECISE", "FS=MRC", "CURRENCY=USD", "XLFILL=b")</f>
        <v>527854</v>
      </c>
      <c r="I279" s="9">
        <f>_xll.BQL("AMZN US Equity", "BS_TOT_ASSET/1M", "FPT=Q", "FPO=-8Q", "ACT_EST_MAPPING=PRECISE", "FS=MRC", "CURRENCY=USD", "XLFILL=b")</f>
        <v>530969</v>
      </c>
      <c r="J279" s="9">
        <f>_xll.BQL("AMZN US Equity", "BS_TOT_ASSET/1M", "FPT=Q", "FPO=-7Q", "ACT_EST_MAPPING=PRECISE", "FS=MRC", "CURRENCY=USD", "XLFILL=b")</f>
        <v>554818</v>
      </c>
      <c r="K279" s="9">
        <f>_xll.BQL("AMZN US Equity", "BS_TOT_ASSET/1M", "FPT=Q", "FPO=-6Q", "ACT_EST_MAPPING=PRECISE", "FS=MRC", "CURRENCY=USD", "XLFILL=b")</f>
        <v>584626</v>
      </c>
      <c r="L279" s="9">
        <f>_xll.BQL("AMZN US Equity", "BS_TOT_ASSET/1M", "FPT=Q", "FPO=-5Q", "ACT_EST_MAPPING=PRECISE", "FS=MRC", "CURRENCY=USD", "XLFILL=b")</f>
        <v>624894</v>
      </c>
      <c r="M279" s="9">
        <f>_xll.BQL("AMZN US Equity", "BS_TOT_ASSET/1M", "FPT=Q", "FPO=-4Q", "ACT_EST_MAPPING=PRECISE", "FS=MRC", "CURRENCY=USD", "XLFILL=b")</f>
        <v>643256</v>
      </c>
      <c r="N279" s="9">
        <f>_xll.BQL("AMZN US Equity", "BS_TOT_ASSET/1M", "FPT=Q", "FPO=-3Q", "ACT_EST_MAPPING=PRECISE", "FS=MRC", "CURRENCY=USD", "XLFILL=b")</f>
        <v>682170</v>
      </c>
      <c r="O279" s="9">
        <f>_xll.BQL("AMZN US Equity", "BS_TOT_ASSET/1M", "FPT=Q", "FPO=-2Q", "ACT_EST_MAPPING=PRECISE", "FS=MRC", "CURRENCY=USD", "XLFILL=b")</f>
        <v>727921</v>
      </c>
      <c r="P279" s="9">
        <f>_xll.BQL("AMZN US Equity", "BS_TOT_ASSET/1M", "FPT=Q", "FPO=-1Q", "ACT_EST_MAPPING=PRECISE", "FS=MRC", "CURRENCY=USD", "XLFILL=b")</f>
        <v>818042</v>
      </c>
      <c r="Q279" s="9">
        <f>_xll.BQL("AMZN US Equity", "BS_TOT_ASSET/1M", "FPT=Q", "FPO=0Q", "ACT_EST_MAPPING=PRECISE", "FS=MRC", "CURRENCY=USD", "XLFILL=b")</f>
        <v>916630</v>
      </c>
      <c r="R279" s="9">
        <f>_xll.BQL("AMZN US Equity", "BS_TOT_ASSET/1M", "FPT=Q", "FPO=1Q", "ACT_EST_MAPPING=PRECISE", "FS=MRC", "CURRENCY=USD", "XLFILL=b")</f>
        <v>935792.11515813344</v>
      </c>
      <c r="S279" s="9">
        <f>_xll.BQL("AMZN US Equity", "BS_TOT_ASSET/1M", "FPT=Q", "FPO=2Q", "ACT_EST_MAPPING=PRECISE", "FS=MRC", "CURRENCY=USD", "XLFILL=b")</f>
        <v>969130.3882434601</v>
      </c>
      <c r="T279" s="9">
        <f>_xll.BQL("AMZN US Equity", "BS_TOT_ASSET/1M", "FPT=Q", "FPO=3Q", "ACT_EST_MAPPING=PRECISE", "FS=MRC", "CURRENCY=USD", "XLFILL=b")</f>
        <v>1026658.6822417888</v>
      </c>
      <c r="U279" s="9">
        <f>_xll.BQL("AMZN US Equity", "BS_TOT_ASSET/1M", "FPT=Q", "FPO=4Q", "ACT_EST_MAPPING=PRECISE", "FS=MRC", "CURRENCY=USD", "XLFILL=b")</f>
        <v>1060248.6331490115</v>
      </c>
      <c r="V279" s="9">
        <f>_xll.BQL("AMZN US Equity", "BS_TOT_ASSET/1M", "FPT=Q", "FPO=5Q", "ACT_EST_MAPPING=PRECISE", "FS=MRC", "CURRENCY=USD", "XLFILL=b")</f>
        <v>1092713.6893196113</v>
      </c>
      <c r="W279" s="9">
        <f>_xll.BQL("AMZN US Equity", "BS_TOT_ASSET/1M", "FPT=Q", "FPO=6Q", "ACT_EST_MAPPING=PRECISE", "FS=MRC", "CURRENCY=USD", "XLFILL=b")</f>
        <v>1130330.3028343238</v>
      </c>
      <c r="X279" s="9">
        <f>_xll.BQL("AMZN US Equity", "BS_TOT_ASSET/1M", "FPT=Q", "FPO=7Q", "ACT_EST_MAPPING=PRECISE", "FS=MRC", "CURRENCY=USD", "XLFILL=b")</f>
        <v>1193245.5244783408</v>
      </c>
    </row>
    <row r="280" spans="1:24" x14ac:dyDescent="0.25">
      <c r="A280" s="8" t="s">
        <v>14</v>
      </c>
      <c r="B280" s="4"/>
      <c r="C280" s="4"/>
      <c r="D280" s="4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</row>
    <row r="281" spans="1:24" x14ac:dyDescent="0.25">
      <c r="A281" s="8" t="s">
        <v>436</v>
      </c>
      <c r="B281" s="4"/>
      <c r="C281" s="4"/>
      <c r="D281" s="4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</row>
    <row r="282" spans="1:24" x14ac:dyDescent="0.25">
      <c r="A282" s="8" t="s">
        <v>437</v>
      </c>
      <c r="B282" s="4" t="s">
        <v>438</v>
      </c>
      <c r="C282" s="4" t="s">
        <v>439</v>
      </c>
      <c r="D282" s="4"/>
      <c r="E282" s="9">
        <f>_xll.BQL("AMZN US Equity", "CB_BS_TOTAL_DEBT_FROM_SCHEDULE/1M", "FPT=Q", "FPO=-12Q", "ACT_EST_MAPPING=PRECISE", "FS=MRC", "CURRENCY=USD", "XLFILL=b")</f>
        <v>69472</v>
      </c>
      <c r="F282" s="9">
        <f>_xll.BQL("AMZN US Equity", "CB_BS_TOTAL_DEBT_FROM_SCHEDULE/1M", "FPT=Q", "FPO=-11Q", "ACT_EST_MAPPING=PRECISE", "FS=MRC", "CURRENCY=USD", "XLFILL=b")</f>
        <v>67472</v>
      </c>
      <c r="G282" s="9">
        <f>_xll.BQL("AMZN US Equity", "CB_BS_TOTAL_DEBT_FROM_SCHEDULE/1M", "FPT=Q", "FPO=-10Q", "ACT_EST_MAPPING=PRECISE", "FS=MRC", "CURRENCY=USD", "XLFILL=b")</f>
        <v>67472</v>
      </c>
      <c r="H282" s="9">
        <f>_xll.BQL("AMZN US Equity", "CB_BS_TOTAL_DEBT_FROM_SCHEDULE/1M", "FPT=Q", "FPO=-9Q", "ACT_EST_MAPPING=PRECISE", "FS=MRC", "CURRENCY=USD", "XLFILL=b")</f>
        <v>67182</v>
      </c>
      <c r="I282" s="9">
        <f>_xll.BQL("AMZN US Equity", "CB_BS_TOTAL_DEBT_FROM_SCHEDULE/1M", "FPT=Q", "FPO=-8Q", "ACT_EST_MAPPING=PRECISE", "FS=MRC", "CURRENCY=USD", "XLFILL=b")</f>
        <v>66852</v>
      </c>
      <c r="J282" s="9">
        <f>_xll.BQL("AMZN US Equity", "CB_BS_TOTAL_DEBT_FROM_SCHEDULE/1M", "FPT=Q", "FPO=-7Q", "ACT_EST_MAPPING=PRECISE", "FS=MRC", "CURRENCY=USD", "XLFILL=b")</f>
        <v>62683</v>
      </c>
      <c r="K282" s="9">
        <f>_xll.BQL("AMZN US Equity", "CB_BS_TOTAL_DEBT_FROM_SCHEDULE/1M", "FPT=Q", "FPO=-6Q", "ACT_EST_MAPPING=PRECISE", "FS=MRC", "CURRENCY=USD", "XLFILL=b")</f>
        <v>60500</v>
      </c>
      <c r="L282" s="9">
        <f>_xll.BQL("AMZN US Equity", "CB_BS_TOTAL_DEBT_FROM_SCHEDULE/1M", "FPT=Q", "FPO=-5Q", "ACT_EST_MAPPING=PRECISE", "FS=MRC", "CURRENCY=USD", "XLFILL=b")</f>
        <v>58000</v>
      </c>
      <c r="M282" s="9">
        <f>_xll.BQL("AMZN US Equity", "CB_BS_TOTAL_DEBT_FROM_SCHEDULE/1M", "FPT=Q", "FPO=-4Q", "ACT_EST_MAPPING=PRECISE", "FS=MRC", "CURRENCY=USD", "XLFILL=b")</f>
        <v>58750</v>
      </c>
      <c r="N282" s="9">
        <f>_xll.BQL("AMZN US Equity", "CB_BS_TOTAL_DEBT_FROM_SCHEDULE/1M", "FPT=Q", "FPO=-3Q", "ACT_EST_MAPPING=PRECISE", "FS=MRC", "CURRENCY=USD", "XLFILL=b")</f>
        <v>56082</v>
      </c>
      <c r="O282" s="9">
        <f>_xll.BQL("AMZN US Equity", "CB_BS_TOTAL_DEBT_FROM_SCHEDULE/1M", "FPT=Q", "FPO=-2Q", "ACT_EST_MAPPING=PRECISE", "FS=MRC", "CURRENCY=USD", "XLFILL=b")</f>
        <v>55097</v>
      </c>
      <c r="P282" s="9">
        <f>_xll.BQL("AMZN US Equity", "CB_BS_TOTAL_DEBT_FROM_SCHEDULE/1M", "FPT=Q", "FPO=-1Q", "ACT_EST_MAPPING=PRECISE", "FS=MRC", "CURRENCY=USD", "XLFILL=b")</f>
        <v>68836</v>
      </c>
      <c r="Q282" s="9">
        <f>_xll.BQL("AMZN US Equity", "CB_BS_TOTAL_DEBT_FROM_SCHEDULE/1M", "FPT=Q", "FPO=0Q", "ACT_EST_MAPPING=PRECISE", "FS=MRC", "CURRENCY=USD", "XLFILL=b")</f>
        <v>122632</v>
      </c>
      <c r="R282" s="9">
        <f>_xll.BQL("AMZN US Equity", "CB_BS_TOTAL_DEBT_FROM_SCHEDULE/1M", "FPT=Q", "FPO=1Q", "ACT_EST_MAPPING=PRECISE", "FS=MRC", "CURRENCY=USD", "XLFILL=b")</f>
        <v>103094.92403064507</v>
      </c>
      <c r="S282" s="9">
        <f>_xll.BQL("AMZN US Equity", "CB_BS_TOTAL_DEBT_FROM_SCHEDULE/1M", "FPT=Q", "FPO=2Q", "ACT_EST_MAPPING=PRECISE", "FS=MRC", "CURRENCY=USD", "XLFILL=b")</f>
        <v>103094.92403064507</v>
      </c>
      <c r="T282" s="9">
        <f>_xll.BQL("AMZN US Equity", "CB_BS_TOTAL_DEBT_FROM_SCHEDULE/1M", "FPT=Q", "FPO=3Q", "ACT_EST_MAPPING=PRECISE", "FS=MRC", "CURRENCY=USD", "XLFILL=b")</f>
        <v>102844.92403064507</v>
      </c>
      <c r="U282" s="9">
        <f>_xll.BQL("AMZN US Equity", "CB_BS_TOTAL_DEBT_FROM_SCHEDULE/1M", "FPT=Q", "FPO=4Q", "ACT_EST_MAPPING=PRECISE", "FS=MRC", "CURRENCY=USD", "XLFILL=b")</f>
        <v>101532.42403064507</v>
      </c>
      <c r="V282" s="9">
        <f>_xll.BQL("AMZN US Equity", "CB_BS_TOTAL_DEBT_FROM_SCHEDULE/1M", "FPT=Q", "FPO=5Q", "ACT_EST_MAPPING=PRECISE", "FS=MRC", "CURRENCY=USD", "XLFILL=b")</f>
        <v>100282.42403064507</v>
      </c>
      <c r="W282" s="9">
        <f>_xll.BQL("AMZN US Equity", "CB_BS_TOTAL_DEBT_FROM_SCHEDULE/1M", "FPT=Q", "FPO=6Q", "ACT_EST_MAPPING=PRECISE", "FS=MRC", "CURRENCY=USD", "XLFILL=b")</f>
        <v>99407.424030645067</v>
      </c>
      <c r="X282" s="9">
        <f>_xll.BQL("AMZN US Equity", "CB_BS_TOTAL_DEBT_FROM_SCHEDULE/1M", "FPT=Q", "FPO=7Q", "ACT_EST_MAPPING=PRECISE", "FS=MRC", "CURRENCY=USD", "XLFILL=b")</f>
        <v>98657.424030645067</v>
      </c>
    </row>
    <row r="283" spans="1:24" x14ac:dyDescent="0.25">
      <c r="A283" s="8" t="s">
        <v>440</v>
      </c>
      <c r="B283" s="4" t="s">
        <v>441</v>
      </c>
      <c r="C283" s="4" t="s">
        <v>442</v>
      </c>
      <c r="D283" s="4"/>
      <c r="E283" s="9">
        <f>_xll.BQL("AMZN US Equity", "CB_BS_UNAMORT_PREMIUM_DISCOUNT/1M", "FPT=Q", "FPO=-12Q", "ACT_EST_MAPPING=PRECISE", "FS=MRC", "CURRENCY=USD", "XLFILL=b")</f>
        <v>-388</v>
      </c>
      <c r="F283" s="9">
        <f>_xll.BQL("AMZN US Equity", "CB_BS_UNAMORT_PREMIUM_DISCOUNT/1M", "FPT=Q", "FPO=-11Q", "ACT_EST_MAPPING=PRECISE", "FS=MRC", "CURRENCY=USD", "XLFILL=b")</f>
        <v>-383</v>
      </c>
      <c r="G283" s="9">
        <f>_xll.BQL("AMZN US Equity", "CB_BS_UNAMORT_PREMIUM_DISCOUNT/1M", "FPT=Q", "FPO=-10Q", "ACT_EST_MAPPING=PRECISE", "FS=MRC", "CURRENCY=USD", "XLFILL=b")</f>
        <v>-379</v>
      </c>
      <c r="H283" s="9">
        <f>_xll.BQL("AMZN US Equity", "CB_BS_UNAMORT_PREMIUM_DISCOUNT/1M", "FPT=Q", "FPO=-9Q", "ACT_EST_MAPPING=PRECISE", "FS=MRC", "CURRENCY=USD", "XLFILL=b")</f>
        <v>-374</v>
      </c>
      <c r="I283" s="9">
        <f>_xll.BQL("AMZN US Equity", "CB_BS_UNAMORT_PREMIUM_DISCOUNT/1M", "FPT=Q", "FPO=-8Q", "ACT_EST_MAPPING=PRECISE", "FS=MRC", "CURRENCY=USD", "XLFILL=b")</f>
        <v>-370</v>
      </c>
      <c r="J283" s="9">
        <f>_xll.BQL("AMZN US Equity", "CB_BS_UNAMORT_PREMIUM_DISCOUNT/1M", "FPT=Q", "FPO=-7Q", "ACT_EST_MAPPING=PRECISE", "FS=MRC", "CURRENCY=USD", "XLFILL=b")</f>
        <v>-365</v>
      </c>
      <c r="K283" s="9">
        <f>_xll.BQL("AMZN US Equity", "CB_BS_UNAMORT_PREMIUM_DISCOUNT/1M", "FPT=Q", "FPO=-6Q", "ACT_EST_MAPPING=PRECISE", "FS=MRC", "CURRENCY=USD", "XLFILL=b")</f>
        <v>-362</v>
      </c>
      <c r="L283" s="9">
        <f>_xll.BQL("AMZN US Equity", "CB_BS_UNAMORT_PREMIUM_DISCOUNT/1M", "FPT=Q", "FPO=-5Q", "ACT_EST_MAPPING=PRECISE", "FS=MRC", "CURRENCY=USD", "XLFILL=b")</f>
        <v>-360</v>
      </c>
      <c r="M283" s="9">
        <f>_xll.BQL("AMZN US Equity", "CB_BS_UNAMORT_PREMIUM_DISCOUNT/1M", "FPT=Q", "FPO=-4Q", "ACT_EST_MAPPING=PRECISE", "FS=MRC", "CURRENCY=USD", "XLFILL=b")</f>
        <v>-362</v>
      </c>
      <c r="N283" s="9">
        <f>_xll.BQL("AMZN US Equity", "CB_BS_UNAMORT_PREMIUM_DISCOUNT/1M", "FPT=Q", "FPO=-3Q", "ACT_EST_MAPPING=PRECISE", "FS=MRC", "CURRENCY=USD", "XLFILL=b")</f>
        <v>-359</v>
      </c>
      <c r="O283" s="9">
        <f>_xll.BQL("AMZN US Equity", "CB_BS_UNAMORT_PREMIUM_DISCOUNT/1M", "FPT=Q", "FPO=-2Q", "ACT_EST_MAPPING=PRECISE", "FS=MRC", "CURRENCY=USD", "XLFILL=b")</f>
        <v>-358</v>
      </c>
      <c r="P283" s="9">
        <f>_xll.BQL("AMZN US Equity", "CB_BS_UNAMORT_PREMIUM_DISCOUNT/1M", "FPT=Q", "FPO=-1Q", "ACT_EST_MAPPING=PRECISE", "FS=MRC", "CURRENCY=USD", "XLFILL=b")</f>
        <v>-440</v>
      </c>
      <c r="Q283" s="9">
        <f>_xll.BQL("AMZN US Equity", "CB_BS_UNAMORT_PREMIUM_DISCOUNT/1M", "FPT=Q", "FPO=0Q", "ACT_EST_MAPPING=PRECISE", "FS=MRC", "CURRENCY=USD", "XLFILL=b")</f>
        <v>-726</v>
      </c>
      <c r="R283" s="9">
        <f>_xll.BQL("AMZN US Equity", "CB_BS_UNAMORT_PREMIUM_DISCOUNT/1M", "FPT=Q", "FPO=1Q", "ACT_EST_MAPPING=PRECISE", "FS=MRC", "CURRENCY=USD", "XLFILL=b")</f>
        <v>-554.4</v>
      </c>
      <c r="S283" s="9">
        <f>_xll.BQL("AMZN US Equity", "CB_BS_UNAMORT_PREMIUM_DISCOUNT/1M", "FPT=Q", "FPO=2Q", "ACT_EST_MAPPING=PRECISE", "FS=MRC", "CURRENCY=USD", "XLFILL=b")</f>
        <v>-554.4</v>
      </c>
      <c r="T283" s="9">
        <f>_xll.BQL("AMZN US Equity", "CB_BS_UNAMORT_PREMIUM_DISCOUNT/1M", "FPT=Q", "FPO=3Q", "ACT_EST_MAPPING=PRECISE", "FS=MRC", "CURRENCY=USD", "XLFILL=b")</f>
        <v>-554.4</v>
      </c>
      <c r="U283" s="9">
        <f>_xll.BQL("AMZN US Equity", "CB_BS_UNAMORT_PREMIUM_DISCOUNT/1M", "FPT=Q", "FPO=4Q", "ACT_EST_MAPPING=PRECISE", "FS=MRC", "CURRENCY=USD", "XLFILL=b")</f>
        <v>-511.5</v>
      </c>
      <c r="V283" s="9">
        <f>_xll.BQL("AMZN US Equity", "CB_BS_UNAMORT_PREMIUM_DISCOUNT/1M", "FPT=Q", "FPO=5Q", "ACT_EST_MAPPING=PRECISE", "FS=MRC", "CURRENCY=USD", "XLFILL=b")</f>
        <v>-511.5</v>
      </c>
      <c r="W283" s="9">
        <f>_xll.BQL("AMZN US Equity", "CB_BS_UNAMORT_PREMIUM_DISCOUNT/1M", "FPT=Q", "FPO=6Q", "ACT_EST_MAPPING=PRECISE", "FS=MRC", "CURRENCY=USD", "XLFILL=b")</f>
        <v>-511.5</v>
      </c>
      <c r="X283" s="9">
        <f>_xll.BQL("AMZN US Equity", "CB_BS_UNAMORT_PREMIUM_DISCOUNT/1M", "FPT=Q", "FPO=7Q", "ACT_EST_MAPPING=PRECISE", "FS=MRC", "CURRENCY=USD", "XLFILL=b")</f>
        <v>-511.5</v>
      </c>
    </row>
    <row r="284" spans="1:24" x14ac:dyDescent="0.25">
      <c r="A284" s="8" t="s">
        <v>443</v>
      </c>
      <c r="B284" s="4" t="s">
        <v>444</v>
      </c>
      <c r="C284" s="4" t="s">
        <v>445</v>
      </c>
      <c r="D284" s="4"/>
      <c r="E284" s="9">
        <f>_xll.BQL("AMZN US Equity", "QUICK_RATIO", "FPT=Q", "FPO=-12Q", "ACT_EST_MAPPING=PRECISE", "FS=MRC", "CURRENCY=USD", "XLFILL=b")</f>
        <v>0.69154299654401297</v>
      </c>
      <c r="F284" s="9">
        <f>_xll.BQL("AMZN US Equity", "QUICK_RATIO", "FPT=Q", "FPO=-11Q", "ACT_EST_MAPPING=PRECISE", "FS=MRC", "CURRENCY=USD", "XLFILL=b")</f>
        <v>0.70086617466506562</v>
      </c>
      <c r="G284" s="9">
        <f>_xll.BQL("AMZN US Equity", "QUICK_RATIO", "FPT=Q", "FPO=-10Q", "ACT_EST_MAPPING=PRECISE", "FS=MRC", "CURRENCY=USD", "XLFILL=b")</f>
        <v>0.74089963777597201</v>
      </c>
      <c r="H284" s="9">
        <f>_xll.BQL("AMZN US Equity", "QUICK_RATIO", "FPT=Q", "FPO=-9Q", "ACT_EST_MAPPING=PRECISE", "FS=MRC", "CURRENCY=USD", "XLFILL=b")</f>
        <v>0.84304832127676343</v>
      </c>
      <c r="I284" s="9">
        <f>_xll.BQL("AMZN US Equity", "QUICK_RATIO", "FPT=Q", "FPO=-8Q", "ACT_EST_MAPPING=PRECISE", "FS=MRC", "CURRENCY=USD", "XLFILL=b")</f>
        <v>0.86844703036642368</v>
      </c>
      <c r="J284" s="9">
        <f>_xll.BQL("AMZN US Equity", "QUICK_RATIO", "FPT=Q", "FPO=-7Q", "ACT_EST_MAPPING=PRECISE", "FS=MRC", "CURRENCY=USD", "XLFILL=b")</f>
        <v>0.88004197961712571</v>
      </c>
      <c r="K284" s="9">
        <f>_xll.BQL("AMZN US Equity", "QUICK_RATIO", "FPT=Q", "FPO=-6Q", "ACT_EST_MAPPING=PRECISE", "FS=MRC", "CURRENCY=USD", "XLFILL=b")</f>
        <v>0.86507056732537757</v>
      </c>
      <c r="L284" s="9">
        <f>_xll.BQL("AMZN US Equity", "QUICK_RATIO", "FPT=Q", "FPO=-5Q", "ACT_EST_MAPPING=PRECISE", "FS=MRC", "CURRENCY=USD", "XLFILL=b")</f>
        <v>0.87305426598525337</v>
      </c>
      <c r="M284" s="9">
        <f>_xll.BQL("AMZN US Equity", "QUICK_RATIO", "FPT=Q", "FPO=-4Q", "ACT_EST_MAPPING=PRECISE", "FS=MRC", "CURRENCY=USD", "XLFILL=b")</f>
        <v>0.84452605706955175</v>
      </c>
      <c r="N284" s="9">
        <f>_xll.BQL("AMZN US Equity", "QUICK_RATIO", "FPT=Q", "FPO=-3Q", "ACT_EST_MAPPING=PRECISE", "FS=MRC", "CURRENCY=USD", "XLFILL=b")</f>
        <v>0.80566121516576517</v>
      </c>
      <c r="O284" s="9">
        <f>_xll.BQL("AMZN US Equity", "QUICK_RATIO", "FPT=Q", "FPO=-2Q", "ACT_EST_MAPPING=PRECISE", "FS=MRC", "CURRENCY=USD", "XLFILL=b")</f>
        <v>0.79597942580790593</v>
      </c>
      <c r="P284" s="9">
        <f>_xll.BQL("AMZN US Equity", "QUICK_RATIO", "FPT=Q", "FPO=-1Q", "ACT_EST_MAPPING=PRECISE", "FS=MRC", "CURRENCY=USD", "XLFILL=b")</f>
        <v>0.8750166280589895</v>
      </c>
      <c r="Q284" s="9">
        <f>_xll.BQL("AMZN US Equity", "QUICK_RATIO", "FPT=Q", "FPO=0Q", "ACT_EST_MAPPING=PRECISE", "FS=MRC", "CURRENCY=USD", "XLFILL=b")</f>
        <v>1.0086041447526251</v>
      </c>
      <c r="R284" s="9">
        <f>_xll.BQL("AMZN US Equity", "QUICK_RATIO", "FPT=Q", "FPO=1Q", "ACT_EST_MAPPING=PRECISE", "FS=MRC", "CURRENCY=USD", "XLFILL=b")</f>
        <v>44.860735452619871</v>
      </c>
      <c r="S284" s="9">
        <f>_xll.BQL("AMZN US Equity", "QUICK_RATIO", "FPT=Q", "FPO=2Q", "ACT_EST_MAPPING=PRECISE", "FS=MRC", "CURRENCY=USD", "XLFILL=b")</f>
        <v>44.824602120050841</v>
      </c>
      <c r="T284" s="9">
        <f>_xll.BQL("AMZN US Equity", "QUICK_RATIO", "FPT=Q", "FPO=3Q", "ACT_EST_MAPPING=PRECISE", "FS=MRC", "CURRENCY=USD", "XLFILL=b")</f>
        <v>44.766644965455932</v>
      </c>
      <c r="U284" s="9">
        <f>_xll.BQL("AMZN US Equity", "QUICK_RATIO", "FPT=Q", "FPO=4Q", "ACT_EST_MAPPING=PRECISE", "FS=MRC", "CURRENCY=USD", "XLFILL=b")</f>
        <v>89.396075870298901</v>
      </c>
      <c r="V284" s="9">
        <f>_xll.BQL("AMZN US Equity", "QUICK_RATIO", "FPT=Q", "FPO=5Q", "ACT_EST_MAPPING=PRECISE", "FS=MRC", "CURRENCY=USD", "XLFILL=b")</f>
        <v>89.31173834631106</v>
      </c>
      <c r="W284" s="9">
        <f>_xll.BQL("AMZN US Equity", "QUICK_RATIO", "FPT=Q", "FPO=6Q", "ACT_EST_MAPPING=PRECISE", "FS=MRC", "CURRENCY=USD", "XLFILL=b")</f>
        <v>89.280684843183565</v>
      </c>
      <c r="X284" s="9">
        <f>_xll.BQL("AMZN US Equity", "QUICK_RATIO", "FPT=Q", "FPO=7Q", "ACT_EST_MAPPING=PRECISE", "FS=MRC", "CURRENCY=USD", "XLFILL=b")</f>
        <v>89.191950262568852</v>
      </c>
    </row>
    <row r="285" spans="1:24" x14ac:dyDescent="0.25">
      <c r="A285" s="8" t="s">
        <v>446</v>
      </c>
      <c r="B285" s="4" t="s">
        <v>447</v>
      </c>
      <c r="C285" s="4" t="s">
        <v>448</v>
      </c>
      <c r="D285" s="4"/>
      <c r="E285" s="9">
        <f>_xll.BQL("AMZN US Equity", "HEADLINE_ROA", "FPT=Q", "FPO=-12Q", "ACT_EST_MAPPING=PRECISE", "FS=MRC", "CURRENCY=USD", "XLFILL=b")</f>
        <v>0.98132309502996651</v>
      </c>
      <c r="F285" s="9">
        <f>_xll.BQL("AMZN US Equity", "HEADLINE_ROA", "FPT=Q", "FPO=-11Q", "ACT_EST_MAPPING=PRECISE", "FS=MRC", "CURRENCY=USD", "XLFILL=b")</f>
        <v>2.9135161338853384</v>
      </c>
      <c r="G285" s="9">
        <f>_xll.BQL("AMZN US Equity", "HEADLINE_ROA", "FPT=Q", "FPO=-10Q", "ACT_EST_MAPPING=PRECISE", "FS=MRC", "CURRENCY=USD", "XLFILL=b")</f>
        <v>4.3876776163759432</v>
      </c>
      <c r="H285" s="9">
        <f>_xll.BQL("AMZN US Equity", "HEADLINE_ROA", "FPT=Q", "FPO=-9Q", "ACT_EST_MAPPING=PRECISE", "FS=MRC", "CURRENCY=USD", "XLFILL=b")</f>
        <v>6.1431820774555819</v>
      </c>
      <c r="I285" s="9">
        <f>_xll.BQL("AMZN US Equity", "HEADLINE_ROA", "FPT=Q", "FPO=-8Q", "ACT_EST_MAPPING=PRECISE", "FS=MRC", "CURRENCY=USD", "XLFILL=b")</f>
        <v>7.5720326680042236</v>
      </c>
      <c r="J285" s="9">
        <f>_xll.BQL("AMZN US Equity", "HEADLINE_ROA", "FPT=Q", "FPO=-7Q", "ACT_EST_MAPPING=PRECISE", "FS=MRC", "CURRENCY=USD", "XLFILL=b")</f>
        <v>8.6047896941666462</v>
      </c>
      <c r="K285" s="9">
        <f>_xll.BQL("AMZN US Equity", "HEADLINE_ROA", "FPT=Q", "FPO=-6Q", "ACT_EST_MAPPING=PRECISE", "FS=MRC", "CURRENCY=USD", "XLFILL=b")</f>
        <v>9.3079946132043698</v>
      </c>
      <c r="L285" s="9">
        <f>_xll.BQL("AMZN US Equity", "HEADLINE_ROA", "FPT=Q", "FPO=-5Q", "ACT_EST_MAPPING=PRECISE", "FS=MRC", "CURRENCY=USD", "XLFILL=b")</f>
        <v>10.279436615808486</v>
      </c>
      <c r="M285" s="9">
        <f>_xll.BQL("AMZN US Equity", "HEADLINE_ROA", "FPT=Q", "FPO=-4Q", "ACT_EST_MAPPING=PRECISE", "FS=MRC", "CURRENCY=USD", "XLFILL=b")</f>
        <v>11.231918925248568</v>
      </c>
      <c r="N285" s="9">
        <f>_xll.BQL("AMZN US Equity", "HEADLINE_ROA", "FPT=Q", "FPO=-3Q", "ACT_EST_MAPPING=PRECISE", "FS=MRC", "CURRENCY=USD", "XLFILL=b")</f>
        <v>11.41854245958732</v>
      </c>
      <c r="O285" s="9">
        <f>_xll.BQL("AMZN US Equity", "HEADLINE_ROA", "FPT=Q", "FPO=-2Q", "ACT_EST_MAPPING=PRECISE", "FS=MRC", "CURRENCY=USD", "XLFILL=b")</f>
        <v>11.653982676429871</v>
      </c>
      <c r="P285" s="9">
        <f>_xll.BQL("AMZN US Equity", "HEADLINE_ROA", "FPT=Q", "FPO=-1Q", "ACT_EST_MAPPING=PRECISE", "FS=MRC", "CURRENCY=USD", "XLFILL=b")</f>
        <v>10.76555023923445</v>
      </c>
      <c r="Q285" s="9">
        <f>_xll.BQL("AMZN US Equity", "HEADLINE_ROA", "FPT=Q", "FPO=0Q", "ACT_EST_MAPPING=PRECISE", "FS=MRC", "CURRENCY=USD", "XLFILL=b")</f>
        <v>11.64161996453587</v>
      </c>
      <c r="R285" s="9">
        <f>_xll.BQL("AMZN US Equity", "HEADLINE_ROA", "FPT=Q", "FPO=1Q", "ACT_EST_MAPPING=PRECISE", "FS=MRC", "CURRENCY=USD", "XLFILL=b")</f>
        <v>2.14</v>
      </c>
      <c r="S285" s="9">
        <f>_xll.BQL("AMZN US Equity", "HEADLINE_ROA", "FPT=Q", "FPO=2Q", "ACT_EST_MAPPING=PRECISE", "FS=MRC", "CURRENCY=USD", "XLFILL=b")</f>
        <v>2.12</v>
      </c>
      <c r="T285" s="9">
        <f>_xll.BQL("AMZN US Equity", "HEADLINE_ROA", "FPT=Q", "FPO=3Q", "ACT_EST_MAPPING=PRECISE", "FS=MRC", "CURRENCY=USD", "XLFILL=b")</f>
        <v>2.42</v>
      </c>
      <c r="U285" s="9" t="str">
        <f>_xll.BQL("AMZN US Equity", "HEADLINE_ROA", "FPT=Q", "FPO=4Q", "ACT_EST_MAPPING=PRECISE", "FS=MRC", "CURRENCY=USD", "XLFILL=b")</f>
        <v/>
      </c>
      <c r="V285" s="9" t="str">
        <f>_xll.BQL("AMZN US Equity", "HEADLINE_ROA", "FPT=Q", "FPO=5Q", "ACT_EST_MAPPING=PRECISE", "FS=MRC", "CURRENCY=USD", "XLFILL=b")</f>
        <v/>
      </c>
      <c r="W285" s="9" t="str">
        <f>_xll.BQL("AMZN US Equity", "HEADLINE_ROA", "FPT=Q", "FPO=6Q", "ACT_EST_MAPPING=PRECISE", "FS=MRC", "CURRENCY=USD", "XLFILL=b")</f>
        <v/>
      </c>
      <c r="X285" s="9" t="str">
        <f>_xll.BQL("AMZN US Equity", "HEADLINE_ROA", "FPT=Q", "FPO=7Q", "ACT_EST_MAPPING=PRECISE", "FS=MRC", "CURRENCY=USD", "XLFILL=b")</f>
        <v/>
      </c>
    </row>
    <row r="286" spans="1:24" x14ac:dyDescent="0.25">
      <c r="A286" s="8" t="s">
        <v>449</v>
      </c>
      <c r="B286" s="4" t="s">
        <v>450</v>
      </c>
      <c r="C286" s="4" t="s">
        <v>451</v>
      </c>
      <c r="D286" s="4"/>
      <c r="E286" s="9">
        <f>_xll.BQL("AMZN US Equity", "RETURN_COM_EQY", "FPT=Q", "FPO=-12Q", "ACT_EST_MAPPING=PRECISE", "FS=MRC", "CURRENCY=USD", "XLFILL=b")</f>
        <v>2.9764978667507722</v>
      </c>
      <c r="F286" s="9">
        <f>_xll.BQL("AMZN US Equity", "RETURN_COM_EQY", "FPT=Q", "FPO=-11Q", "ACT_EST_MAPPING=PRECISE", "FS=MRC", "CURRENCY=USD", "XLFILL=b")</f>
        <v>8.7145504726603651</v>
      </c>
      <c r="G286" s="9">
        <f>_xll.BQL("AMZN US Equity", "RETURN_COM_EQY", "FPT=Q", "FPO=-10Q", "ACT_EST_MAPPING=PRECISE", "FS=MRC", "CURRENCY=USD", "XLFILL=b")</f>
        <v>12.531282960226173</v>
      </c>
      <c r="H286" s="9">
        <f>_xll.BQL("AMZN US Equity", "RETURN_COM_EQY", "FPT=Q", "FPO=-9Q", "ACT_EST_MAPPING=PRECISE", "FS=MRC", "CURRENCY=USD", "XLFILL=b")</f>
        <v>17.48975333268184</v>
      </c>
      <c r="I286" s="9">
        <f>_xll.BQL("AMZN US Equity", "RETURN_COM_EQY", "FPT=Q", "FPO=-8Q", "ACT_EST_MAPPING=PRECISE", "FS=MRC", "CURRENCY=USD", "XLFILL=b")</f>
        <v>20.30459040860806</v>
      </c>
      <c r="J286" s="9">
        <f>_xll.BQL("AMZN US Equity", "RETURN_COM_EQY", "FPT=Q", "FPO=-7Q", "ACT_EST_MAPPING=PRECISE", "FS=MRC", "CURRENCY=USD", "XLFILL=b")</f>
        <v>21.93265506148639</v>
      </c>
      <c r="K286" s="9">
        <f>_xll.BQL("AMZN US Equity", "RETURN_COM_EQY", "FPT=Q", "FPO=-6Q", "ACT_EST_MAPPING=PRECISE", "FS=MRC", "CURRENCY=USD", "XLFILL=b")</f>
        <v>22.558377287819706</v>
      </c>
      <c r="L286" s="9">
        <f>_xll.BQL("AMZN US Equity", "RETURN_COM_EQY", "FPT=Q", "FPO=-5Q", "ACT_EST_MAPPING=PRECISE", "FS=MRC", "CURRENCY=USD", "XLFILL=b")</f>
        <v>24.289682173641218</v>
      </c>
      <c r="M286" s="9">
        <f>_xll.BQL("AMZN US Equity", "RETURN_COM_EQY", "FPT=Q", "FPO=-4Q", "ACT_EST_MAPPING=PRECISE", "FS=MRC", "CURRENCY=USD", "XLFILL=b")</f>
        <v>25.240369894053526</v>
      </c>
      <c r="N286" s="9">
        <f>_xll.BQL("AMZN US Equity", "RETURN_COM_EQY", "FPT=Q", "FPO=-3Q", "ACT_EST_MAPPING=PRECISE", "FS=MRC", "CURRENCY=USD", "XLFILL=b")</f>
        <v>24.770352599513874</v>
      </c>
      <c r="O286" s="9">
        <f>_xll.BQL("AMZN US Equity", "RETURN_COM_EQY", "FPT=Q", "FPO=-2Q", "ACT_EST_MAPPING=PRECISE", "FS=MRC", "CURRENCY=USD", "XLFILL=b")</f>
        <v>24.327032262373923</v>
      </c>
      <c r="P286" s="9">
        <f>_xll.BQL("AMZN US Equity", "RETURN_COM_EQY", "FPT=Q", "FPO=-1Q", "ACT_EST_MAPPING=PRECISE", "FS=MRC", "CURRENCY=USD", "XLFILL=b")</f>
        <v>22.285824958574533</v>
      </c>
      <c r="Q286" s="9">
        <f>_xll.BQL("AMZN US Equity", "RETURN_COM_EQY", "FPT=Q", "FPO=0Q", "ACT_EST_MAPPING=PRECISE", "FS=MRC", "CURRENCY=USD", "XLFILL=b")</f>
        <v>24.284650185014062</v>
      </c>
      <c r="R286" s="9">
        <f>_xll.BQL("AMZN US Equity", "RETURN_COM_EQY", "FPT=Q", "FPO=1Q", "ACT_EST_MAPPING=PRECISE", "FS=MRC", "CURRENCY=USD", "XLFILL=b")</f>
        <v>14.200907428348785</v>
      </c>
      <c r="S286" s="9">
        <f>_xll.BQL("AMZN US Equity", "RETURN_COM_EQY", "FPT=Q", "FPO=2Q", "ACT_EST_MAPPING=PRECISE", "FS=MRC", "CURRENCY=USD", "XLFILL=b")</f>
        <v>12.845781112021776</v>
      </c>
      <c r="T286" s="9">
        <f>_xll.BQL("AMZN US Equity", "RETURN_COM_EQY", "FPT=Q", "FPO=3Q", "ACT_EST_MAPPING=PRECISE", "FS=MRC", "CURRENCY=USD", "XLFILL=b")</f>
        <v>12.818590217161283</v>
      </c>
      <c r="U286" s="9">
        <f>_xll.BQL("AMZN US Equity", "RETURN_COM_EQY", "FPT=Q", "FPO=4Q", "ACT_EST_MAPPING=PRECISE", "FS=MRC", "CURRENCY=USD", "XLFILL=b")</f>
        <v>11.167125179372119</v>
      </c>
      <c r="V286" s="9">
        <f>_xll.BQL("AMZN US Equity", "RETURN_COM_EQY", "FPT=Q", "FPO=5Q", "ACT_EST_MAPPING=PRECISE", "FS=MRC", "CURRENCY=USD", "XLFILL=b")</f>
        <v>11.184965505555711</v>
      </c>
      <c r="W286" s="9">
        <f>_xll.BQL("AMZN US Equity", "RETURN_COM_EQY", "FPT=Q", "FPO=6Q", "ACT_EST_MAPPING=PRECISE", "FS=MRC", "CURRENCY=USD", "XLFILL=b")</f>
        <v>10.997092981212109</v>
      </c>
      <c r="X286" s="9">
        <f>_xll.BQL("AMZN US Equity", "RETURN_COM_EQY", "FPT=Q", "FPO=7Q", "ACT_EST_MAPPING=PRECISE", "FS=MRC", "CURRENCY=USD", "XLFILL=b")</f>
        <v>11.446116117828359</v>
      </c>
    </row>
    <row r="287" spans="1:24" x14ac:dyDescent="0.25">
      <c r="A287" s="8" t="s">
        <v>452</v>
      </c>
      <c r="B287" s="4" t="s">
        <v>453</v>
      </c>
      <c r="C287" s="4" t="s">
        <v>454</v>
      </c>
      <c r="D287" s="4"/>
      <c r="E287" s="9">
        <f>_xll.BQL("AMZN US Equity", "ASSET_TURNOVER", "FPT=Q", "FPO=-12Q", "ACT_EST_MAPPING=PRECISE", "FS=MRC", "CURRENCY=USD", "XLFILL=b")</f>
        <v>1.1995657862411371</v>
      </c>
      <c r="F287" s="9">
        <f>_xll.BQL("AMZN US Equity", "ASSET_TURNOVER", "FPT=Q", "FPO=-11Q", "ACT_EST_MAPPING=PRECISE", "FS=MRC", "CURRENCY=USD", "XLFILL=b")</f>
        <v>1.1992087681857946</v>
      </c>
      <c r="G287" s="9">
        <f>_xll.BQL("AMZN US Equity", "ASSET_TURNOVER", "FPT=Q", "FPO=-10Q", "ACT_EST_MAPPING=PRECISE", "FS=MRC", "CURRENCY=USD", "XLFILL=b")</f>
        <v>1.2106659965364466</v>
      </c>
      <c r="H287" s="9">
        <f>_xll.BQL("AMZN US Equity", "ASSET_TURNOVER", "FPT=Q", "FPO=-9Q", "ACT_EST_MAPPING=PRECISE", "FS=MRC", "CURRENCY=USD", "XLFILL=b")</f>
        <v>1.1605616796681368</v>
      </c>
      <c r="I287" s="9">
        <f>_xll.BQL("AMZN US Equity", "ASSET_TURNOVER", "FPT=Q", "FPO=-8Q", "ACT_EST_MAPPING=PRECISE", "FS=MRC", "CURRENCY=USD", "XLFILL=b")</f>
        <v>1.1870031255431523</v>
      </c>
      <c r="J287" s="9">
        <f>_xll.BQL("AMZN US Equity", "ASSET_TURNOVER", "FPT=Q", "FPO=-7Q", "ACT_EST_MAPPING=PRECISE", "FS=MRC", "CURRENCY=USD", "XLFILL=b")</f>
        <v>1.1707077995980337</v>
      </c>
      <c r="K287" s="9">
        <f>_xll.BQL("AMZN US Equity", "ASSET_TURNOVER", "FPT=Q", "FPO=-6Q", "ACT_EST_MAPPING=PRECISE", "FS=MRC", "CURRENCY=USD", "XLFILL=b")</f>
        <v>1.1574853780976175</v>
      </c>
      <c r="L287" s="9">
        <f>_xll.BQL("AMZN US Equity", "ASSET_TURNOVER", "FPT=Q", "FPO=-5Q", "ACT_EST_MAPPING=PRECISE", "FS=MRC", "CURRENCY=USD", "XLFILL=b")</f>
        <v>1.1068490251121668</v>
      </c>
      <c r="M287" s="9">
        <f>_xll.BQL("AMZN US Equity", "ASSET_TURNOVER", "FPT=Q", "FPO=-4Q", "ACT_EST_MAPPING=PRECISE", "FS=MRC", "CURRENCY=USD", "XLFILL=b")</f>
        <v>1.1076463199131341</v>
      </c>
      <c r="N287" s="9">
        <f>_xll.BQL("AMZN US Equity", "ASSET_TURNOVER", "FPT=Q", "FPO=-3Q", "ACT_EST_MAPPING=PRECISE", "FS=MRC", "CURRENCY=USD", "XLFILL=b")</f>
        <v>1.0833379143532516</v>
      </c>
      <c r="O287" s="9">
        <f>_xll.BQL("AMZN US Equity", "ASSET_TURNOVER", "FPT=Q", "FPO=-2Q", "ACT_EST_MAPPING=PRECISE", "FS=MRC", "CURRENCY=USD", "XLFILL=b")</f>
        <v>1.0534175157156278</v>
      </c>
      <c r="P287" s="9">
        <f>_xll.BQL("AMZN US Equity", "ASSET_TURNOVER", "FPT=Q", "FPO=-1Q", "ACT_EST_MAPPING=PRECISE", "FS=MRC", "CURRENCY=USD", "XLFILL=b")</f>
        <v>0.99370173036087528</v>
      </c>
      <c r="Q287" s="9">
        <f>_xll.BQL("AMZN US Equity", "ASSET_TURNOVER", "FPT=Q", "FPO=0Q", "ACT_EST_MAPPING=PRECISE", "FS=MRC", "CURRENCY=USD", "XLFILL=b")</f>
        <v>0.95234651763013456</v>
      </c>
      <c r="R287" s="9" t="str">
        <f>_xll.BQL("AMZN US Equity", "ASSET_TURNOVER", "FPT=Q", "FPO=1Q", "ACT_EST_MAPPING=PRECISE", "FS=MRC", "CURRENCY=USD", "XLFILL=b")</f>
        <v/>
      </c>
      <c r="S287" s="9" t="str">
        <f>_xll.BQL("AMZN US Equity", "ASSET_TURNOVER", "FPT=Q", "FPO=2Q", "ACT_EST_MAPPING=PRECISE", "FS=MRC", "CURRENCY=USD", "XLFILL=b")</f>
        <v/>
      </c>
      <c r="T287" s="9" t="str">
        <f>_xll.BQL("AMZN US Equity", "ASSET_TURNOVER", "FPT=Q", "FPO=3Q", "ACT_EST_MAPPING=PRECISE", "FS=MRC", "CURRENCY=USD", "XLFILL=b")</f>
        <v/>
      </c>
      <c r="U287" s="9" t="str">
        <f>_xll.BQL("AMZN US Equity", "ASSET_TURNOVER", "FPT=Q", "FPO=4Q", "ACT_EST_MAPPING=PRECISE", "FS=MRC", "CURRENCY=USD", "XLFILL=b")</f>
        <v/>
      </c>
      <c r="V287" s="9" t="str">
        <f>_xll.BQL("AMZN US Equity", "ASSET_TURNOVER", "FPT=Q", "FPO=5Q", "ACT_EST_MAPPING=PRECISE", "FS=MRC", "CURRENCY=USD", "XLFILL=b")</f>
        <v/>
      </c>
      <c r="W287" s="9" t="str">
        <f>_xll.BQL("AMZN US Equity", "ASSET_TURNOVER", "FPT=Q", "FPO=6Q", "ACT_EST_MAPPING=PRECISE", "FS=MRC", "CURRENCY=USD", "XLFILL=b")</f>
        <v/>
      </c>
      <c r="X287" s="9" t="str">
        <f>_xll.BQL("AMZN US Equity", "ASSET_TURNOVER", "FPT=Q", "FPO=7Q", "ACT_EST_MAPPING=PRECISE", "FS=MRC", "CURRENCY=USD", "XLFILL=b")</f>
        <v/>
      </c>
    </row>
    <row r="288" spans="1:24" x14ac:dyDescent="0.25">
      <c r="A288" s="8" t="s">
        <v>455</v>
      </c>
      <c r="B288" s="4" t="s">
        <v>456</v>
      </c>
      <c r="C288" s="4" t="s">
        <v>457</v>
      </c>
      <c r="D288" s="4"/>
      <c r="E288" s="9">
        <f>_xll.BQL("AMZN US Equity", "AVERAGE_TOTAL_ASSETS/1M", "FPT=Q", "FPO=-12Q", "ACT_EST_MAPPING=PRECISE", "FS=MRC", "CURRENCY=USD", "XLFILL=b")</f>
        <v>463526.5</v>
      </c>
      <c r="F288" s="9">
        <f>_xll.BQL("AMZN US Equity", "AVERAGE_TOTAL_ASSETS/1M", "FPT=Q", "FPO=-11Q", "ACT_EST_MAPPING=PRECISE", "FS=MRC", "CURRENCY=USD", "XLFILL=b")</f>
        <v>470992.5</v>
      </c>
      <c r="G288" s="9">
        <f>_xll.BQL("AMZN US Equity", "AVERAGE_TOTAL_ASSETS/1M", "FPT=Q", "FPO=-10Q", "ACT_EST_MAPPING=PRECISE", "FS=MRC", "CURRENCY=USD", "XLFILL=b")</f>
        <v>482245</v>
      </c>
      <c r="H288" s="9">
        <f>_xll.BQL("AMZN US Equity", "AVERAGE_TOTAL_ASSETS/1M", "FPT=Q", "FPO=-9Q", "ACT_EST_MAPPING=PRECISE", "FS=MRC", "CURRENCY=USD", "XLFILL=b")</f>
        <v>507368.5</v>
      </c>
      <c r="I288" s="9">
        <f>_xll.BQL("AMZN US Equity", "AVERAGE_TOTAL_ASSETS/1M", "FPT=Q", "FPO=-8Q", "ACT_EST_MAPPING=PRECISE", "FS=MRC", "CURRENCY=USD", "XLFILL=b")</f>
        <v>529411.5</v>
      </c>
      <c r="J288" s="9">
        <f>_xll.BQL("AMZN US Equity", "AVERAGE_TOTAL_ASSETS/1M", "FPT=Q", "FPO=-7Q", "ACT_EST_MAPPING=PRECISE", "FS=MRC", "CURRENCY=USD", "XLFILL=b")</f>
        <v>542893.5</v>
      </c>
      <c r="K288" s="9">
        <f>_xll.BQL("AMZN US Equity", "AVERAGE_TOTAL_ASSETS/1M", "FPT=Q", "FPO=-6Q", "ACT_EST_MAPPING=PRECISE", "FS=MRC", "CURRENCY=USD", "XLFILL=b")</f>
        <v>569722</v>
      </c>
      <c r="L288" s="9">
        <f>_xll.BQL("AMZN US Equity", "AVERAGE_TOTAL_ASSETS/1M", "FPT=Q", "FPO=-5Q", "ACT_EST_MAPPING=PRECISE", "FS=MRC", "CURRENCY=USD", "XLFILL=b")</f>
        <v>604760</v>
      </c>
      <c r="M288" s="9">
        <f>_xll.BQL("AMZN US Equity", "AVERAGE_TOTAL_ASSETS/1M", "FPT=Q", "FPO=-4Q", "ACT_EST_MAPPING=PRECISE", "FS=MRC", "CURRENCY=USD", "XLFILL=b")</f>
        <v>634075</v>
      </c>
      <c r="N288" s="9">
        <f>_xll.BQL("AMZN US Equity", "AVERAGE_TOTAL_ASSETS/1M", "FPT=Q", "FPO=-3Q", "ACT_EST_MAPPING=PRECISE", "FS=MRC", "CURRENCY=USD", "XLFILL=b")</f>
        <v>662713</v>
      </c>
      <c r="O288" s="9">
        <f>_xll.BQL("AMZN US Equity", "AVERAGE_TOTAL_ASSETS/1M", "FPT=Q", "FPO=-2Q", "ACT_EST_MAPPING=PRECISE", "FS=MRC", "CURRENCY=USD", "XLFILL=b")</f>
        <v>705045.5</v>
      </c>
      <c r="P288" s="9">
        <f>_xll.BQL("AMZN US Equity", "AVERAGE_TOTAL_ASSETS/1M", "FPT=Q", "FPO=-1Q", "ACT_EST_MAPPING=PRECISE", "FS=MRC", "CURRENCY=USD", "XLFILL=b")</f>
        <v>772981.5</v>
      </c>
      <c r="Q288" s="9">
        <f>_xll.BQL("AMZN US Equity", "AVERAGE_TOTAL_ASSETS/1M", "FPT=Q", "FPO=0Q", "ACT_EST_MAPPING=PRECISE", "FS=MRC", "CURRENCY=USD", "XLFILL=b")</f>
        <v>867336</v>
      </c>
      <c r="R288" s="9">
        <f>_xll.BQL("AMZN US Equity", "AVERAGE_TOTAL_ASSETS/1M", "FPT=Q", "FPO=1Q", "ACT_EST_MAPPING=PRECISE", "FS=MRC", "CURRENCY=USD", "XLFILL=b")</f>
        <v>933947.94180010923</v>
      </c>
      <c r="S288" s="9">
        <f>_xll.BQL("AMZN US Equity", "AVERAGE_TOTAL_ASSETS/1M", "FPT=Q", "FPO=2Q", "ACT_EST_MAPPING=PRECISE", "FS=MRC", "CURRENCY=USD", "XLFILL=b")</f>
        <v>966300.83963299566</v>
      </c>
      <c r="T288" s="9">
        <f>_xll.BQL("AMZN US Equity", "AVERAGE_TOTAL_ASSETS/1M", "FPT=Q", "FPO=3Q", "ACT_EST_MAPPING=PRECISE", "FS=MRC", "CURRENCY=USD", "XLFILL=b")</f>
        <v>1010109.5015634731</v>
      </c>
      <c r="U288" s="9">
        <f>_xll.BQL("AMZN US Equity", "AVERAGE_TOTAL_ASSETS/1M", "FPT=Q", "FPO=4Q", "ACT_EST_MAPPING=PRECISE", "FS=MRC", "CURRENCY=USD", "XLFILL=b")</f>
        <v>1052091.9206553486</v>
      </c>
      <c r="V288" s="9">
        <f>_xll.BQL("AMZN US Equity", "AVERAGE_TOTAL_ASSETS/1M", "FPT=Q", "FPO=5Q", "ACT_EST_MAPPING=PRECISE", "FS=MRC", "CURRENCY=USD", "XLFILL=b")</f>
        <v>1078561.8882793838</v>
      </c>
      <c r="W288" s="9">
        <f>_xll.BQL("AMZN US Equity", "AVERAGE_TOTAL_ASSETS/1M", "FPT=Q", "FPO=6Q", "ACT_EST_MAPPING=PRECISE", "FS=MRC", "CURRENCY=USD", "XLFILL=b")</f>
        <v>1108669.7285677078</v>
      </c>
      <c r="X288" s="9">
        <f>_xll.BQL("AMZN US Equity", "AVERAGE_TOTAL_ASSETS/1M", "FPT=Q", "FPO=7Q", "ACT_EST_MAPPING=PRECISE", "FS=MRC", "CURRENCY=USD", "XLFILL=b")</f>
        <v>1155220.804064652</v>
      </c>
    </row>
    <row r="289" spans="1:24" x14ac:dyDescent="0.25">
      <c r="A289" s="8" t="s">
        <v>458</v>
      </c>
      <c r="B289" s="4" t="s">
        <v>459</v>
      </c>
      <c r="C289" s="4" t="s">
        <v>460</v>
      </c>
      <c r="D289" s="4"/>
      <c r="E289" s="9">
        <f>_xll.BQL("AMZN US Equity", "ANNUALIZED_DAYS_SALES_OUTSTDG", "FPT=Q", "FPO=-12Q", "ACT_EST_MAPPING=PRECISE", "FS=MRC", "CURRENCY=USD", "XLFILL=b")</f>
        <v>26.603275805210512</v>
      </c>
      <c r="F289" s="9">
        <f>_xll.BQL("AMZN US Equity", "ANNUALIZED_DAYS_SALES_OUTSTDG", "FPT=Q", "FPO=-11Q", "ACT_EST_MAPPING=PRECISE", "FS=MRC", "CURRENCY=USD", "XLFILL=b")</f>
        <v>27.035971811910731</v>
      </c>
      <c r="G289" s="9">
        <f>_xll.BQL("AMZN US Equity", "ANNUALIZED_DAYS_SALES_OUTSTDG", "FPT=Q", "FPO=-10Q", "ACT_EST_MAPPING=PRECISE", "FS=MRC", "CURRENCY=USD", "XLFILL=b")</f>
        <v>27.918341102716603</v>
      </c>
      <c r="H289" s="9">
        <f>_xll.BQL("AMZN US Equity", "ANNUALIZED_DAYS_SALES_OUTSTDG", "FPT=Q", "FPO=-9Q", "ACT_EST_MAPPING=PRECISE", "FS=MRC", "CURRENCY=USD", "XLFILL=b")</f>
        <v>28.284582933731858</v>
      </c>
      <c r="I289" s="9">
        <f>_xll.BQL("AMZN US Equity", "ANNUALIZED_DAYS_SALES_OUTSTDG", "FPT=Q", "FPO=-8Q", "ACT_EST_MAPPING=PRECISE", "FS=MRC", "CURRENCY=USD", "XLFILL=b")</f>
        <v>30.331428411937509</v>
      </c>
      <c r="J289" s="9">
        <f>_xll.BQL("AMZN US Equity", "ANNUALIZED_DAYS_SALES_OUTSTDG", "FPT=Q", "FPO=-7Q", "ACT_EST_MAPPING=PRECISE", "FS=MRC", "CURRENCY=USD", "XLFILL=b")</f>
        <v>30.813207457915759</v>
      </c>
      <c r="K289" s="9">
        <f>_xll.BQL("AMZN US Equity", "ANNUALIZED_DAYS_SALES_OUTSTDG", "FPT=Q", "FPO=-6Q", "ACT_EST_MAPPING=PRECISE", "FS=MRC", "CURRENCY=USD", "XLFILL=b")</f>
        <v>29.901722716315135</v>
      </c>
      <c r="L289" s="9">
        <f>_xll.BQL("AMZN US Equity", "ANNUALIZED_DAYS_SALES_OUTSTDG", "FPT=Q", "FPO=-5Q", "ACT_EST_MAPPING=PRECISE", "FS=MRC", "CURRENCY=USD", "XLFILL=b")</f>
        <v>27.165651358950328</v>
      </c>
      <c r="M289" s="9">
        <f>_xll.BQL("AMZN US Equity", "ANNUALIZED_DAYS_SALES_OUTSTDG", "FPT=Q", "FPO=-4Q", "ACT_EST_MAPPING=PRECISE", "FS=MRC", "CURRENCY=USD", "XLFILL=b")</f>
        <v>31.345371851452136</v>
      </c>
      <c r="N289" s="9">
        <f>_xll.BQL("AMZN US Equity", "ANNUALIZED_DAYS_SALES_OUTSTDG", "FPT=Q", "FPO=-3Q", "ACT_EST_MAPPING=PRECISE", "FS=MRC", "CURRENCY=USD", "XLFILL=b")</f>
        <v>31.155054799584978</v>
      </c>
      <c r="O289" s="9">
        <f>_xll.BQL("AMZN US Equity", "ANNUALIZED_DAYS_SALES_OUTSTDG", "FPT=Q", "FPO=-2Q", "ACT_EST_MAPPING=PRECISE", "FS=MRC", "CURRENCY=USD", "XLFILL=b")</f>
        <v>31.237893311279965</v>
      </c>
      <c r="P289" s="9">
        <f>_xll.BQL("AMZN US Equity", "ANNUALIZED_DAYS_SALES_OUTSTDG", "FPT=Q", "FPO=-1Q", "ACT_EST_MAPPING=PRECISE", "FS=MRC", "CURRENCY=USD", "XLFILL=b")</f>
        <v>29.200922272314024</v>
      </c>
      <c r="Q289" s="9">
        <f>_xll.BQL("AMZN US Equity", "ANNUALIZED_DAYS_SALES_OUTSTDG", "FPT=Q", "FPO=0Q", "ACT_EST_MAPPING=PRECISE", "FS=MRC", "CURRENCY=USD", "XLFILL=b")</f>
        <v>37.449963915623158</v>
      </c>
      <c r="R289" s="9">
        <f>_xll.BQL("AMZN US Equity", "ANNUALIZED_DAYS_SALES_OUTSTDG", "FPT=Q", "FPO=1Q", "ACT_EST_MAPPING=PRECISE", "FS=MRC", "CURRENCY=USD", "XLFILL=b")</f>
        <v>33.890754173797021</v>
      </c>
      <c r="S289" s="9">
        <f>_xll.BQL("AMZN US Equity", "ANNUALIZED_DAYS_SALES_OUTSTDG", "FPT=Q", "FPO=2Q", "ACT_EST_MAPPING=PRECISE", "FS=MRC", "CURRENCY=USD", "XLFILL=b")</f>
        <v>33.012133626181907</v>
      </c>
      <c r="T289" s="9">
        <f>_xll.BQL("AMZN US Equity", "ANNUALIZED_DAYS_SALES_OUTSTDG", "FPT=Q", "FPO=3Q", "ACT_EST_MAPPING=PRECISE", "FS=MRC", "CURRENCY=USD", "XLFILL=b")</f>
        <v>31.739091580055749</v>
      </c>
      <c r="U289" s="9">
        <f>_xll.BQL("AMZN US Equity", "ANNUALIZED_DAYS_SALES_OUTSTDG", "FPT=Q", "FPO=4Q", "ACT_EST_MAPPING=PRECISE", "FS=MRC", "CURRENCY=USD", "XLFILL=b")</f>
        <v>35.651238720810618</v>
      </c>
      <c r="V289" s="9">
        <f>_xll.BQL("AMZN US Equity", "ANNUALIZED_DAYS_SALES_OUTSTDG", "FPT=Q", "FPO=5Q", "ACT_EST_MAPPING=PRECISE", "FS=MRC", "CURRENCY=USD", "XLFILL=b")</f>
        <v>32.920810751571231</v>
      </c>
      <c r="W289" s="9">
        <f>_xll.BQL("AMZN US Equity", "ANNUALIZED_DAYS_SALES_OUTSTDG", "FPT=Q", "FPO=6Q", "ACT_EST_MAPPING=PRECISE", "FS=MRC", "CURRENCY=USD", "XLFILL=b")</f>
        <v>32.433013555706289</v>
      </c>
      <c r="X289" s="9">
        <f>_xll.BQL("AMZN US Equity", "ANNUALIZED_DAYS_SALES_OUTSTDG", "FPT=Q", "FPO=7Q", "ACT_EST_MAPPING=PRECISE", "FS=MRC", "CURRENCY=USD", "XLFILL=b")</f>
        <v>31.561054950857116</v>
      </c>
    </row>
    <row r="290" spans="1:24" x14ac:dyDescent="0.25">
      <c r="A290" s="8" t="s">
        <v>461</v>
      </c>
      <c r="B290" s="4" t="s">
        <v>462</v>
      </c>
      <c r="C290" s="4" t="s">
        <v>463</v>
      </c>
      <c r="D290" s="4"/>
      <c r="E290" s="9">
        <f>_xll.BQL("AMZN US Equity", "BS_AMT_SHRS_AUTH_FOR_REPURCHASE/1M", "FPT=Q", "FPO=-12Q", "ACT_EST_MAPPING=PRECISE", "FS=MRC", "CURRENCY=USD", "XLFILL=b")</f>
        <v>10000</v>
      </c>
      <c r="F290" s="9">
        <f>_xll.BQL("AMZN US Equity", "BS_AMT_SHRS_AUTH_FOR_REPURCHASE/1M", "FPT=Q", "FPO=-11Q", "ACT_EST_MAPPING=PRECISE", "FS=MRC", "CURRENCY=USD", "XLFILL=b")</f>
        <v>10000</v>
      </c>
      <c r="G290" s="9">
        <f>_xll.BQL("AMZN US Equity", "BS_AMT_SHRS_AUTH_FOR_REPURCHASE/1M", "FPT=Q", "FPO=-10Q", "ACT_EST_MAPPING=PRECISE", "FS=MRC", "CURRENCY=USD", "XLFILL=b")</f>
        <v>10000</v>
      </c>
      <c r="H290" s="9">
        <f>_xll.BQL("AMZN US Equity", "BS_AMT_SHRS_AUTH_FOR_REPURCHASE/1M", "FPT=Q", "FPO=-9Q", "ACT_EST_MAPPING=PRECISE", "FS=MRC", "CURRENCY=USD", "XLFILL=b")</f>
        <v>10000</v>
      </c>
      <c r="I290" s="9">
        <f>_xll.BQL("AMZN US Equity", "BS_AMT_SHRS_AUTH_FOR_REPURCHASE/1M", "FPT=Q", "FPO=-8Q", "ACT_EST_MAPPING=PRECISE", "FS=MRC", "CURRENCY=USD", "XLFILL=b")</f>
        <v>10000</v>
      </c>
      <c r="J290" s="9">
        <f>_xll.BQL("AMZN US Equity", "BS_AMT_SHRS_AUTH_FOR_REPURCHASE/1M", "FPT=Q", "FPO=-7Q", "ACT_EST_MAPPING=PRECISE", "FS=MRC", "CURRENCY=USD", "XLFILL=b")</f>
        <v>10000</v>
      </c>
      <c r="K290" s="9">
        <f>_xll.BQL("AMZN US Equity", "BS_AMT_SHRS_AUTH_FOR_REPURCHASE/1M", "FPT=Q", "FPO=-6Q", "ACT_EST_MAPPING=PRECISE", "FS=MRC", "CURRENCY=USD", "XLFILL=b")</f>
        <v>10000</v>
      </c>
      <c r="L290" s="9">
        <f>_xll.BQL("AMZN US Equity", "BS_AMT_SHRS_AUTH_FOR_REPURCHASE/1M", "FPT=Q", "FPO=-5Q", "ACT_EST_MAPPING=PRECISE", "FS=MRC", "CURRENCY=USD", "XLFILL=b")</f>
        <v>10000</v>
      </c>
      <c r="M290" s="9">
        <f>_xll.BQL("AMZN US Equity", "BS_AMT_SHRS_AUTH_FOR_REPURCHASE/1M", "FPT=Q", "FPO=-4Q", "ACT_EST_MAPPING=PRECISE", "FS=MRC", "CURRENCY=USD", "XLFILL=b")</f>
        <v>10000</v>
      </c>
      <c r="N290" s="9">
        <f>_xll.BQL("AMZN US Equity", "BS_AMT_SHRS_AUTH_FOR_REPURCHASE/1M", "FPT=Q", "FPO=-3Q", "ACT_EST_MAPPING=PRECISE", "FS=MRC", "CURRENCY=USD", "XLFILL=b")</f>
        <v>10000</v>
      </c>
      <c r="O290" s="9">
        <f>_xll.BQL("AMZN US Equity", "BS_AMT_SHRS_AUTH_FOR_REPURCHASE/1M", "FPT=Q", "FPO=-2Q", "ACT_EST_MAPPING=PRECISE", "FS=MRC", "CURRENCY=USD", "XLFILL=b")</f>
        <v>10000</v>
      </c>
      <c r="P290" s="9">
        <f>_xll.BQL("AMZN US Equity", "BS_AMT_SHRS_AUTH_FOR_REPURCHASE/1M", "FPT=Q", "FPO=-1Q", "ACT_EST_MAPPING=PRECISE", "FS=MRC", "CURRENCY=USD", "XLFILL=b")</f>
        <v>10000</v>
      </c>
      <c r="Q290" s="9">
        <f>_xll.BQL("AMZN US Equity", "BS_AMT_SHRS_AUTH_FOR_REPURCHASE/1M", "FPT=Q", "FPO=0Q", "ACT_EST_MAPPING=PRECISE", "FS=MRC", "CURRENCY=USD", "XLFILL=b")</f>
        <v>10000</v>
      </c>
      <c r="R290" s="9">
        <f>_xll.BQL("AMZN US Equity", "BS_AMT_SHRS_AUTH_FOR_REPURCHASE/1M", "FPT=Q", "FPO=1Q", "ACT_EST_MAPPING=PRECISE", "FS=MRC", "CURRENCY=USD", "XLFILL=b")</f>
        <v>11000</v>
      </c>
      <c r="S290" s="9">
        <f>_xll.BQL("AMZN US Equity", "BS_AMT_SHRS_AUTH_FOR_REPURCHASE/1M", "FPT=Q", "FPO=2Q", "ACT_EST_MAPPING=PRECISE", "FS=MRC", "CURRENCY=USD", "XLFILL=b")</f>
        <v>11000</v>
      </c>
      <c r="T290" s="9">
        <f>_xll.BQL("AMZN US Equity", "BS_AMT_SHRS_AUTH_FOR_REPURCHASE/1M", "FPT=Q", "FPO=3Q", "ACT_EST_MAPPING=PRECISE", "FS=MRC", "CURRENCY=USD", "XLFILL=b")</f>
        <v>11000</v>
      </c>
      <c r="U290" s="9">
        <f>_xll.BQL("AMZN US Equity", "BS_AMT_SHRS_AUTH_FOR_REPURCHASE/1M", "FPT=Q", "FPO=4Q", "ACT_EST_MAPPING=PRECISE", "FS=MRC", "CURRENCY=USD", "XLFILL=b")</f>
        <v>11000</v>
      </c>
      <c r="V290" s="9">
        <f>_xll.BQL("AMZN US Equity", "BS_AMT_SHRS_AUTH_FOR_REPURCHASE/1M", "FPT=Q", "FPO=5Q", "ACT_EST_MAPPING=PRECISE", "FS=MRC", "CURRENCY=USD", "XLFILL=b")</f>
        <v>11000</v>
      </c>
      <c r="W290" s="9">
        <f>_xll.BQL("AMZN US Equity", "BS_AMT_SHRS_AUTH_FOR_REPURCHASE/1M", "FPT=Q", "FPO=6Q", "ACT_EST_MAPPING=PRECISE", "FS=MRC", "CURRENCY=USD", "XLFILL=b")</f>
        <v>11000</v>
      </c>
      <c r="X290" s="9">
        <f>_xll.BQL("AMZN US Equity", "BS_AMT_SHRS_AUTH_FOR_REPURCHASE/1M", "FPT=Q", "FPO=7Q", "ACT_EST_MAPPING=PRECISE", "FS=MRC", "CURRENCY=USD", "XLFILL=b")</f>
        <v>11000</v>
      </c>
    </row>
    <row r="291" spans="1:24" x14ac:dyDescent="0.25">
      <c r="A291" s="8" t="s">
        <v>464</v>
      </c>
      <c r="B291" s="4" t="s">
        <v>465</v>
      </c>
      <c r="C291" s="4" t="s">
        <v>466</v>
      </c>
      <c r="D291" s="4"/>
      <c r="E291" s="9">
        <f>_xll.BQL("AMZN US Equity", "BS_SH_OUT/1M", "FPT=Q", "FPO=-12Q", "ACT_EST_MAPPING=PRECISE", "FS=MRC", "CURRENCY=USD", "XLFILL=b")</f>
        <v>10258</v>
      </c>
      <c r="F291" s="9">
        <f>_xll.BQL("AMZN US Equity", "BS_SH_OUT/1M", "FPT=Q", "FPO=-11Q", "ACT_EST_MAPPING=PRECISE", "FS=MRC", "CURRENCY=USD", "XLFILL=b")</f>
        <v>10313</v>
      </c>
      <c r="G291" s="9">
        <f>_xll.BQL("AMZN US Equity", "BS_SH_OUT/1M", "FPT=Q", "FPO=-10Q", "ACT_EST_MAPPING=PRECISE", "FS=MRC", "CURRENCY=USD", "XLFILL=b")</f>
        <v>10330</v>
      </c>
      <c r="H291" s="9">
        <f>_xll.BQL("AMZN US Equity", "BS_SH_OUT/1M", "FPT=Q", "FPO=-9Q", "ACT_EST_MAPPING=PRECISE", "FS=MRC", "CURRENCY=USD", "XLFILL=b")</f>
        <v>10383</v>
      </c>
      <c r="I291" s="9">
        <f>_xll.BQL("AMZN US Equity", "BS_SH_OUT/1M", "FPT=Q", "FPO=-8Q", "ACT_EST_MAPPING=PRECISE", "FS=MRC", "CURRENCY=USD", "XLFILL=b")</f>
        <v>10383</v>
      </c>
      <c r="J291" s="9">
        <f>_xll.BQL("AMZN US Equity", "BS_SH_OUT/1M", "FPT=Q", "FPO=-7Q", "ACT_EST_MAPPING=PRECISE", "FS=MRC", "CURRENCY=USD", "XLFILL=b")</f>
        <v>10490</v>
      </c>
      <c r="K291" s="9">
        <f>_xll.BQL("AMZN US Equity", "BS_SH_OUT/1M", "FPT=Q", "FPO=-6Q", "ACT_EST_MAPPING=PRECISE", "FS=MRC", "CURRENCY=USD", "XLFILL=b")</f>
        <v>10511</v>
      </c>
      <c r="L291" s="9">
        <f>_xll.BQL("AMZN US Equity", "BS_SH_OUT/1M", "FPT=Q", "FPO=-5Q", "ACT_EST_MAPPING=PRECISE", "FS=MRC", "CURRENCY=USD", "XLFILL=b")</f>
        <v>10593</v>
      </c>
      <c r="M291" s="9">
        <f>_xll.BQL("AMZN US Equity", "BS_SH_OUT/1M", "FPT=Q", "FPO=-4Q", "ACT_EST_MAPPING=PRECISE", "FS=MRC", "CURRENCY=USD", "XLFILL=b")</f>
        <v>10613</v>
      </c>
      <c r="N291" s="9">
        <f>_xll.BQL("AMZN US Equity", "BS_SH_OUT/1M", "FPT=Q", "FPO=-3Q", "ACT_EST_MAPPING=PRECISE", "FS=MRC", "CURRENCY=USD", "XLFILL=b")</f>
        <v>10660</v>
      </c>
      <c r="O291" s="9">
        <f>_xll.BQL("AMZN US Equity", "BS_SH_OUT/1M", "FPT=Q", "FPO=-2Q", "ACT_EST_MAPPING=PRECISE", "FS=MRC", "CURRENCY=USD", "XLFILL=b")</f>
        <v>10687</v>
      </c>
      <c r="P291" s="9">
        <f>_xll.BQL("AMZN US Equity", "BS_SH_OUT/1M", "FPT=Q", "FPO=-1Q", "ACT_EST_MAPPING=PRECISE", "FS=MRC", "CURRENCY=USD", "XLFILL=b")</f>
        <v>10731</v>
      </c>
      <c r="Q291" s="9">
        <f>_xll.BQL("AMZN US Equity", "BS_SH_OUT/1M", "FPT=Q", "FPO=0Q", "ACT_EST_MAPPING=PRECISE", "FS=MRC", "CURRENCY=USD", "XLFILL=b")</f>
        <v>10754</v>
      </c>
      <c r="R291" s="9">
        <f>_xll.BQL("AMZN US Equity", "BS_SH_OUT/1M", "FPT=Q", "FPO=1Q", "ACT_EST_MAPPING=PRECISE", "FS=MRC", "CURRENCY=USD", "XLFILL=b")</f>
        <v>10821.240184345388</v>
      </c>
      <c r="S291" s="9">
        <f>_xll.BQL("AMZN US Equity", "BS_SH_OUT/1M", "FPT=Q", "FPO=2Q", "ACT_EST_MAPPING=PRECISE", "FS=MRC", "CURRENCY=USD", "XLFILL=b")</f>
        <v>10845.542821446637</v>
      </c>
      <c r="T291" s="9">
        <f>_xll.BQL("AMZN US Equity", "BS_SH_OUT/1M", "FPT=Q", "FPO=3Q", "ACT_EST_MAPPING=PRECISE", "FS=MRC", "CURRENCY=USD", "XLFILL=b")</f>
        <v>10874.733318258275</v>
      </c>
      <c r="U291" s="9">
        <f>_xll.BQL("AMZN US Equity", "BS_SH_OUT/1M", "FPT=Q", "FPO=4Q", "ACT_EST_MAPPING=PRECISE", "FS=MRC", "CURRENCY=USD", "XLFILL=b")</f>
        <v>10862.862395999347</v>
      </c>
      <c r="V291" s="9">
        <f>_xll.BQL("AMZN US Equity", "BS_SH_OUT/1M", "FPT=Q", "FPO=5Q", "ACT_EST_MAPPING=PRECISE", "FS=MRC", "CURRENCY=USD", "XLFILL=b")</f>
        <v>10903.610177966666</v>
      </c>
      <c r="W291" s="9">
        <f>_xll.BQL("AMZN US Equity", "BS_SH_OUT/1M", "FPT=Q", "FPO=6Q", "ACT_EST_MAPPING=PRECISE", "FS=MRC", "CURRENCY=USD", "XLFILL=b")</f>
        <v>10929.559958387299</v>
      </c>
      <c r="X291" s="9">
        <f>_xll.BQL("AMZN US Equity", "BS_SH_OUT/1M", "FPT=Q", "FPO=7Q", "ACT_EST_MAPPING=PRECISE", "FS=MRC", "CURRENCY=USD", "XLFILL=b")</f>
        <v>10962.681010636104</v>
      </c>
    </row>
    <row r="292" spans="1:24" x14ac:dyDescent="0.25">
      <c r="A292" s="8" t="s">
        <v>467</v>
      </c>
      <c r="B292" s="4" t="s">
        <v>468</v>
      </c>
      <c r="C292" s="4" t="s">
        <v>469</v>
      </c>
      <c r="D292" s="4"/>
      <c r="E292" s="9">
        <f>_xll.BQL("AMZN US Equity", "BV_PER_WEIGHTED_DILUTED_SHARE", "FPT=Q", "FPO=-12Q", "ACT_EST_MAPPING=PRECISE", "FS=MRC", "CURRENCY=USD", "XLFILL=b")</f>
        <v>14.934377114139364</v>
      </c>
      <c r="F292" s="9">
        <f>_xll.BQL("AMZN US Equity", "BV_PER_WEIGHTED_DILUTED_SHARE", "FPT=Q", "FPO=-11Q", "ACT_EST_MAPPING=PRECISE", "FS=MRC", "CURRENCY=USD", "XLFILL=b")</f>
        <v>16.135706766197721</v>
      </c>
      <c r="G292" s="9">
        <f>_xll.BQL("AMZN US Equity", "BV_PER_WEIGHTED_DILUTED_SHARE", "FPT=Q", "FPO=-10Q", "ACT_EST_MAPPING=PRECISE", "FS=MRC", "CURRENCY=USD", "XLFILL=b")</f>
        <v>17.33027088463724</v>
      </c>
      <c r="H292" s="9">
        <f>_xll.BQL("AMZN US Equity", "BV_PER_WEIGHTED_DILUTED_SHARE", "FPT=Q", "FPO=-9Q", "ACT_EST_MAPPING=PRECISE", "FS=MRC", "CURRENCY=USD", "XLFILL=b")</f>
        <v>19.026861451460885</v>
      </c>
      <c r="I292" s="9">
        <f>_xll.BQL("AMZN US Equity", "BV_PER_WEIGHTED_DILUTED_SHARE", "FPT=Q", "FPO=-8Q", "ACT_EST_MAPPING=PRECISE", "FS=MRC", "CURRENCY=USD", "XLFILL=b")</f>
        <v>20.305623242736644</v>
      </c>
      <c r="J292" s="9">
        <f>_xll.BQL("AMZN US Equity", "BV_PER_WEIGHTED_DILUTED_SHARE", "FPT=Q", "FPO=-7Q", "ACT_EST_MAPPING=PRECISE", "FS=MRC", "CURRENCY=USD", "XLFILL=b")</f>
        <v>22.081341053418004</v>
      </c>
      <c r="K292" s="9">
        <f>_xll.BQL("AMZN US Equity", "BV_PER_WEIGHTED_DILUTED_SHARE", "FPT=Q", "FPO=-6Q", "ACT_EST_MAPPING=PRECISE", "FS=MRC", "CURRENCY=USD", "XLFILL=b")</f>
        <v>24.140754541220307</v>
      </c>
      <c r="L292" s="9">
        <f>_xll.BQL("AMZN US Equity", "BV_PER_WEIGHTED_DILUTED_SHARE", "FPT=Q", "FPO=-5Q", "ACT_EST_MAPPING=PRECISE", "FS=MRC", "CURRENCY=USD", "XLFILL=b")</f>
        <v>26.549995357905487</v>
      </c>
      <c r="M292" s="9">
        <f>_xll.BQL("AMZN US Equity", "BV_PER_WEIGHTED_DILUTED_SHARE", "FPT=Q", "FPO=-4Q", "ACT_EST_MAPPING=PRECISE", "FS=MRC", "CURRENCY=USD", "XLFILL=b")</f>
        <v>28.339386639488556</v>
      </c>
      <c r="N292" s="9">
        <f>_xll.BQL("AMZN US Equity", "BV_PER_WEIGHTED_DILUTED_SHARE", "FPT=Q", "FPO=-3Q", "ACT_EST_MAPPING=PRECISE", "FS=MRC", "CURRENCY=USD", "XLFILL=b")</f>
        <v>30.887932630020359</v>
      </c>
      <c r="O292" s="9">
        <f>_xll.BQL("AMZN US Equity", "BV_PER_WEIGHTED_DILUTED_SHARE", "FPT=Q", "FPO=-2Q", "ACT_EST_MAPPING=PRECISE", "FS=MRC", "CURRENCY=USD", "XLFILL=b")</f>
        <v>34.083079760258187</v>
      </c>
      <c r="P292" s="9">
        <f>_xll.BQL("AMZN US Equity", "BV_PER_WEIGHTED_DILUTED_SHARE", "FPT=Q", "FPO=-1Q", "ACT_EST_MAPPING=PRECISE", "FS=MRC", "CURRENCY=USD", "XLFILL=b")</f>
        <v>37.840835864862377</v>
      </c>
      <c r="Q292" s="9">
        <f>_xll.BQL("AMZN US Equity", "BV_PER_WEIGHTED_DILUTED_SHARE", "FPT=Q", "FPO=0Q", "ACT_EST_MAPPING=PRECISE", "FS=MRC", "CURRENCY=USD", "XLFILL=b")</f>
        <v>40.639507081110906</v>
      </c>
      <c r="R292" s="9">
        <f>_xll.BQL("AMZN US Equity", "BV_PER_WEIGHTED_DILUTED_SHARE", "FPT=Q", "FPO=1Q", "ACT_EST_MAPPING=PRECISE", "FS=MRC", "CURRENCY=USD", "XLFILL=b")</f>
        <v>43.214255129533676</v>
      </c>
      <c r="S292" s="9">
        <f>_xll.BQL("AMZN US Equity", "BV_PER_WEIGHTED_DILUTED_SHARE", "FPT=Q", "FPO=2Q", "ACT_EST_MAPPING=PRECISE", "FS=MRC", "CURRENCY=USD", "XLFILL=b")</f>
        <v>45.674054820021261</v>
      </c>
      <c r="T292" s="9">
        <f>_xll.BQL("AMZN US Equity", "BV_PER_WEIGHTED_DILUTED_SHARE", "FPT=Q", "FPO=3Q", "ACT_EST_MAPPING=PRECISE", "FS=MRC", "CURRENCY=USD", "XLFILL=b")</f>
        <v>48.688476383199571</v>
      </c>
      <c r="U292" s="9">
        <f>_xll.BQL("AMZN US Equity", "BV_PER_WEIGHTED_DILUTED_SHARE", "FPT=Q", "FPO=4Q", "ACT_EST_MAPPING=PRECISE", "FS=MRC", "CURRENCY=USD", "XLFILL=b")</f>
        <v>49.11450730989921</v>
      </c>
      <c r="V292" s="9">
        <f>_xll.BQL("AMZN US Equity", "BV_PER_WEIGHTED_DILUTED_SHARE", "FPT=Q", "FPO=5Q", "ACT_EST_MAPPING=PRECISE", "FS=MRC", "CURRENCY=USD", "XLFILL=b")</f>
        <v>51.643461604982832</v>
      </c>
      <c r="W292" s="9">
        <f>_xll.BQL("AMZN US Equity", "BV_PER_WEIGHTED_DILUTED_SHARE", "FPT=Q", "FPO=6Q", "ACT_EST_MAPPING=PRECISE", "FS=MRC", "CURRENCY=USD", "XLFILL=b")</f>
        <v>54.027517174298836</v>
      </c>
      <c r="X292" s="9">
        <f>_xll.BQL("AMZN US Equity", "BV_PER_WEIGHTED_DILUTED_SHARE", "FPT=Q", "FPO=7Q", "ACT_EST_MAPPING=PRECISE", "FS=MRC", "CURRENCY=USD", "XLFILL=b")</f>
        <v>56.954813024777856</v>
      </c>
    </row>
    <row r="293" spans="1:24" x14ac:dyDescent="0.25">
      <c r="A293" s="8" t="s">
        <v>470</v>
      </c>
      <c r="B293" s="4" t="s">
        <v>471</v>
      </c>
      <c r="C293" s="4" t="s">
        <v>472</v>
      </c>
      <c r="D293" s="4"/>
      <c r="E293" s="9" t="str">
        <f>_xll.BQL("AMZN US Equity", "CB_BS_GROSS_FIXED_ASSETS/1M", "FPT=Q", "FPO=-12Q", "ACT_EST_MAPPING=PRECISE", "FS=MRC", "CURRENCY=USD", "XLFILL=b")</f>
        <v/>
      </c>
      <c r="F293" s="9" t="str">
        <f>_xll.BQL("AMZN US Equity", "CB_BS_GROSS_FIXED_ASSETS/1M", "FPT=Q", "FPO=-11Q", "ACT_EST_MAPPING=PRECISE", "FS=MRC", "CURRENCY=USD", "XLFILL=b")</f>
        <v/>
      </c>
      <c r="G293" s="9" t="str">
        <f>_xll.BQL("AMZN US Equity", "CB_BS_GROSS_FIXED_ASSETS/1M", "FPT=Q", "FPO=-10Q", "ACT_EST_MAPPING=PRECISE", "FS=MRC", "CURRENCY=USD", "XLFILL=b")</f>
        <v/>
      </c>
      <c r="H293" s="9">
        <f>_xll.BQL("AMZN US Equity", "CB_BS_GROSS_FIXED_ASSETS/1M", "FPT=Q", "FPO=-9Q", "ACT_EST_MAPPING=PRECISE", "FS=MRC", "CURRENCY=USD", "XLFILL=b")</f>
        <v>324288</v>
      </c>
      <c r="I293" s="9" t="str">
        <f>_xll.BQL("AMZN US Equity", "CB_BS_GROSS_FIXED_ASSETS/1M", "FPT=Q", "FPO=-8Q", "ACT_EST_MAPPING=PRECISE", "FS=MRC", "CURRENCY=USD", "XLFILL=b")</f>
        <v/>
      </c>
      <c r="J293" s="9" t="str">
        <f>_xll.BQL("AMZN US Equity", "CB_BS_GROSS_FIXED_ASSETS/1M", "FPT=Q", "FPO=-7Q", "ACT_EST_MAPPING=PRECISE", "FS=MRC", "CURRENCY=USD", "XLFILL=b")</f>
        <v/>
      </c>
      <c r="K293" s="9" t="str">
        <f>_xll.BQL("AMZN US Equity", "CB_BS_GROSS_FIXED_ASSETS/1M", "FPT=Q", "FPO=-6Q", "ACT_EST_MAPPING=PRECISE", "FS=MRC", "CURRENCY=USD", "XLFILL=b")</f>
        <v/>
      </c>
      <c r="L293" s="9">
        <f>_xll.BQL("AMZN US Equity", "CB_BS_GROSS_FIXED_ASSETS/1M", "FPT=Q", "FPO=-5Q", "ACT_EST_MAPPING=PRECISE", "FS=MRC", "CURRENCY=USD", "XLFILL=b")</f>
        <v>394055</v>
      </c>
      <c r="M293" s="9" t="str">
        <f>_xll.BQL("AMZN US Equity", "CB_BS_GROSS_FIXED_ASSETS/1M", "FPT=Q", "FPO=-4Q", "ACT_EST_MAPPING=PRECISE", "FS=MRC", "CURRENCY=USD", "XLFILL=b")</f>
        <v/>
      </c>
      <c r="N293" s="9" t="str">
        <f>_xll.BQL("AMZN US Equity", "CB_BS_GROSS_FIXED_ASSETS/1M", "FPT=Q", "FPO=-3Q", "ACT_EST_MAPPING=PRECISE", "FS=MRC", "CURRENCY=USD", "XLFILL=b")</f>
        <v/>
      </c>
      <c r="O293" s="9" t="str">
        <f>_xll.BQL("AMZN US Equity", "CB_BS_GROSS_FIXED_ASSETS/1M", "FPT=Q", "FPO=-2Q", "ACT_EST_MAPPING=PRECISE", "FS=MRC", "CURRENCY=USD", "XLFILL=b")</f>
        <v/>
      </c>
      <c r="P293" s="9">
        <f>_xll.BQL("AMZN US Equity", "CB_BS_GROSS_FIXED_ASSETS/1M", "FPT=Q", "FPO=-1Q", "ACT_EST_MAPPING=PRECISE", "FS=MRC", "CURRENCY=USD", "XLFILL=b")</f>
        <v>357025</v>
      </c>
      <c r="Q293" s="9" t="str">
        <f>_xll.BQL("AMZN US Equity", "CB_BS_GROSS_FIXED_ASSETS/1M", "FPT=Q", "FPO=0Q", "ACT_EST_MAPPING=PRECISE", "FS=MRC", "CURRENCY=USD", "XLFILL=b")</f>
        <v/>
      </c>
      <c r="R293" s="9">
        <f>_xll.BQL("AMZN US Equity", "CB_BS_GROSS_FIXED_ASSETS/1M", "FPT=Q", "FPO=1Q", "ACT_EST_MAPPING=PRECISE", "FS=MRC", "CURRENCY=USD", "XLFILL=b")</f>
        <v>625835.10103004077</v>
      </c>
      <c r="S293" s="9">
        <f>_xll.BQL("AMZN US Equity", "CB_BS_GROSS_FIXED_ASSETS/1M", "FPT=Q", "FPO=2Q", "ACT_EST_MAPPING=PRECISE", "FS=MRC", "CURRENCY=USD", "XLFILL=b")</f>
        <v>676497.31459324679</v>
      </c>
      <c r="T293" s="9">
        <f>_xll.BQL("AMZN US Equity", "CB_BS_GROSS_FIXED_ASSETS/1M", "FPT=Q", "FPO=3Q", "ACT_EST_MAPPING=PRECISE", "FS=MRC", "CURRENCY=USD", "XLFILL=b")</f>
        <v>732871.11237626371</v>
      </c>
      <c r="U293" s="9">
        <f>_xll.BQL("AMZN US Equity", "CB_BS_GROSS_FIXED_ASSETS/1M", "FPT=Q", "FPO=4Q", "ACT_EST_MAPPING=PRECISE", "FS=MRC", "CURRENCY=USD", "XLFILL=b")</f>
        <v>785318.64591849607</v>
      </c>
      <c r="V293" s="9">
        <f>_xll.BQL("AMZN US Equity", "CB_BS_GROSS_FIXED_ASSETS/1M", "FPT=Q", "FPO=5Q", "ACT_EST_MAPPING=PRECISE", "FS=MRC", "CURRENCY=USD", "XLFILL=b")</f>
        <v>847724.7944068634</v>
      </c>
      <c r="W293" s="9">
        <f>_xll.BQL("AMZN US Equity", "CB_BS_GROSS_FIXED_ASSETS/1M", "FPT=Q", "FPO=6Q", "ACT_EST_MAPPING=PRECISE", "FS=MRC", "CURRENCY=USD", "XLFILL=b")</f>
        <v>910850.98778966337</v>
      </c>
      <c r="X293" s="9">
        <f>_xll.BQL("AMZN US Equity", "CB_BS_GROSS_FIXED_ASSETS/1M", "FPT=Q", "FPO=7Q", "ACT_EST_MAPPING=PRECISE", "FS=MRC", "CURRENCY=USD", "XLFILL=b")</f>
        <v>977339.85448896652</v>
      </c>
    </row>
    <row r="294" spans="1:24" x14ac:dyDescent="0.25">
      <c r="A294" s="8" t="s">
        <v>473</v>
      </c>
      <c r="B294" s="4" t="s">
        <v>474</v>
      </c>
      <c r="C294" s="4" t="s">
        <v>475</v>
      </c>
      <c r="D294" s="4"/>
      <c r="E294" s="9" t="str">
        <f>_xll.BQL("AMZN US Equity", "CB_BS_LAND_AND_BLDGS_GROSS/1M", "FPT=Q", "FPO=-12Q", "ACT_EST_MAPPING=PRECISE", "FS=MRC", "CURRENCY=USD", "XLFILL=b")</f>
        <v/>
      </c>
      <c r="F294" s="9" t="str">
        <f>_xll.BQL("AMZN US Equity", "CB_BS_LAND_AND_BLDGS_GROSS/1M", "FPT=Q", "FPO=-11Q", "ACT_EST_MAPPING=PRECISE", "FS=MRC", "CURRENCY=USD", "XLFILL=b")</f>
        <v/>
      </c>
      <c r="G294" s="9" t="str">
        <f>_xll.BQL("AMZN US Equity", "CB_BS_LAND_AND_BLDGS_GROSS/1M", "FPT=Q", "FPO=-10Q", "ACT_EST_MAPPING=PRECISE", "FS=MRC", "CURRENCY=USD", "XLFILL=b")</f>
        <v/>
      </c>
      <c r="H294" s="9">
        <f>_xll.BQL("AMZN US Equity", "CB_BS_LAND_AND_BLDGS_GROSS/1M", "FPT=Q", "FPO=-9Q", "ACT_EST_MAPPING=PRECISE", "FS=MRC", "CURRENCY=USD", "XLFILL=b")</f>
        <v>105293</v>
      </c>
      <c r="I294" s="9" t="str">
        <f>_xll.BQL("AMZN US Equity", "CB_BS_LAND_AND_BLDGS_GROSS/1M", "FPT=Q", "FPO=-8Q", "ACT_EST_MAPPING=PRECISE", "FS=MRC", "CURRENCY=USD", "XLFILL=b")</f>
        <v/>
      </c>
      <c r="J294" s="9" t="str">
        <f>_xll.BQL("AMZN US Equity", "CB_BS_LAND_AND_BLDGS_GROSS/1M", "FPT=Q", "FPO=-7Q", "ACT_EST_MAPPING=PRECISE", "FS=MRC", "CURRENCY=USD", "XLFILL=b")</f>
        <v/>
      </c>
      <c r="K294" s="9" t="str">
        <f>_xll.BQL("AMZN US Equity", "CB_BS_LAND_AND_BLDGS_GROSS/1M", "FPT=Q", "FPO=-6Q", "ACT_EST_MAPPING=PRECISE", "FS=MRC", "CURRENCY=USD", "XLFILL=b")</f>
        <v/>
      </c>
      <c r="L294" s="9">
        <f>_xll.BQL("AMZN US Equity", "CB_BS_LAND_AND_BLDGS_GROSS/1M", "FPT=Q", "FPO=-5Q", "ACT_EST_MAPPING=PRECISE", "FS=MRC", "CURRENCY=USD", "XLFILL=b")</f>
        <v>123039</v>
      </c>
      <c r="M294" s="9" t="str">
        <f>_xll.BQL("AMZN US Equity", "CB_BS_LAND_AND_BLDGS_GROSS/1M", "FPT=Q", "FPO=-4Q", "ACT_EST_MAPPING=PRECISE", "FS=MRC", "CURRENCY=USD", "XLFILL=b")</f>
        <v/>
      </c>
      <c r="N294" s="9" t="str">
        <f>_xll.BQL("AMZN US Equity", "CB_BS_LAND_AND_BLDGS_GROSS/1M", "FPT=Q", "FPO=-3Q", "ACT_EST_MAPPING=PRECISE", "FS=MRC", "CURRENCY=USD", "XLFILL=b")</f>
        <v/>
      </c>
      <c r="O294" s="9" t="str">
        <f>_xll.BQL("AMZN US Equity", "CB_BS_LAND_AND_BLDGS_GROSS/1M", "FPT=Q", "FPO=-2Q", "ACT_EST_MAPPING=PRECISE", "FS=MRC", "CURRENCY=USD", "XLFILL=b")</f>
        <v/>
      </c>
      <c r="P294" s="9">
        <f>_xll.BQL("AMZN US Equity", "CB_BS_LAND_AND_BLDGS_GROSS/1M", "FPT=Q", "FPO=-1Q", "ACT_EST_MAPPING=PRECISE", "FS=MRC", "CURRENCY=USD", "XLFILL=b")</f>
        <v>155121</v>
      </c>
      <c r="Q294" s="9" t="str">
        <f>_xll.BQL("AMZN US Equity", "CB_BS_LAND_AND_BLDGS_GROSS/1M", "FPT=Q", "FPO=0Q", "ACT_EST_MAPPING=PRECISE", "FS=MRC", "CURRENCY=USD", "XLFILL=b")</f>
        <v/>
      </c>
      <c r="R294" s="9" t="str">
        <f>_xll.BQL("AMZN US Equity", "CB_BS_LAND_AND_BLDGS_GROSS/1M", "FPT=Q", "FPO=1Q", "ACT_EST_MAPPING=PRECISE", "FS=MRC", "CURRENCY=USD", "XLFILL=b")</f>
        <v/>
      </c>
      <c r="S294" s="9" t="str">
        <f>_xll.BQL("AMZN US Equity", "CB_BS_LAND_AND_BLDGS_GROSS/1M", "FPT=Q", "FPO=2Q", "ACT_EST_MAPPING=PRECISE", "FS=MRC", "CURRENCY=USD", "XLFILL=b")</f>
        <v/>
      </c>
      <c r="T294" s="9" t="str">
        <f>_xll.BQL("AMZN US Equity", "CB_BS_LAND_AND_BLDGS_GROSS/1M", "FPT=Q", "FPO=3Q", "ACT_EST_MAPPING=PRECISE", "FS=MRC", "CURRENCY=USD", "XLFILL=b")</f>
        <v/>
      </c>
      <c r="U294" s="9" t="str">
        <f>_xll.BQL("AMZN US Equity", "CB_BS_LAND_AND_BLDGS_GROSS/1M", "FPT=Q", "FPO=4Q", "ACT_EST_MAPPING=PRECISE", "FS=MRC", "CURRENCY=USD", "XLFILL=b")</f>
        <v/>
      </c>
      <c r="V294" s="9" t="str">
        <f>_xll.BQL("AMZN US Equity", "CB_BS_LAND_AND_BLDGS_GROSS/1M", "FPT=Q", "FPO=5Q", "ACT_EST_MAPPING=PRECISE", "FS=MRC", "CURRENCY=USD", "XLFILL=b")</f>
        <v/>
      </c>
      <c r="W294" s="9" t="str">
        <f>_xll.BQL("AMZN US Equity", "CB_BS_LAND_AND_BLDGS_GROSS/1M", "FPT=Q", "FPO=6Q", "ACT_EST_MAPPING=PRECISE", "FS=MRC", "CURRENCY=USD", "XLFILL=b")</f>
        <v/>
      </c>
      <c r="X294" s="9" t="str">
        <f>_xll.BQL("AMZN US Equity", "CB_BS_LAND_AND_BLDGS_GROSS/1M", "FPT=Q", "FPO=7Q", "ACT_EST_MAPPING=PRECISE", "FS=MRC", "CURRENCY=USD", "XLFILL=b")</f>
        <v/>
      </c>
    </row>
    <row r="295" spans="1:24" x14ac:dyDescent="0.25">
      <c r="A295" s="8" t="s">
        <v>476</v>
      </c>
      <c r="B295" s="4" t="s">
        <v>477</v>
      </c>
      <c r="C295" s="4" t="s">
        <v>478</v>
      </c>
      <c r="D295" s="4"/>
      <c r="E295" s="9" t="str">
        <f>_xll.BQL("AMZN US Equity", "BS_MACHINERY_EQUIPMENT_FURN_GR/1M", "FPT=Q", "FPO=-12Q", "ACT_EST_MAPPING=PRECISE", "FS=MRC", "CURRENCY=USD", "XLFILL=b")</f>
        <v/>
      </c>
      <c r="F295" s="9" t="str">
        <f>_xll.BQL("AMZN US Equity", "BS_MACHINERY_EQUIPMENT_FURN_GR/1M", "FPT=Q", "FPO=-11Q", "ACT_EST_MAPPING=PRECISE", "FS=MRC", "CURRENCY=USD", "XLFILL=b")</f>
        <v/>
      </c>
      <c r="G295" s="9" t="str">
        <f>_xll.BQL("AMZN US Equity", "BS_MACHINERY_EQUIPMENT_FURN_GR/1M", "FPT=Q", "FPO=-10Q", "ACT_EST_MAPPING=PRECISE", "FS=MRC", "CURRENCY=USD", "XLFILL=b")</f>
        <v/>
      </c>
      <c r="H295" s="9" t="str">
        <f>_xll.BQL("AMZN US Equity", "BS_MACHINERY_EQUIPMENT_FURN_GR/1M", "FPT=Q", "FPO=-9Q", "ACT_EST_MAPPING=PRECISE", "FS=MRC", "CURRENCY=USD", "XLFILL=b")</f>
        <v/>
      </c>
      <c r="I295" s="9" t="str">
        <f>_xll.BQL("AMZN US Equity", "BS_MACHINERY_EQUIPMENT_FURN_GR/1M", "FPT=Q", "FPO=-8Q", "ACT_EST_MAPPING=PRECISE", "FS=MRC", "CURRENCY=USD", "XLFILL=b")</f>
        <v/>
      </c>
      <c r="J295" s="9" t="str">
        <f>_xll.BQL("AMZN US Equity", "BS_MACHINERY_EQUIPMENT_FURN_GR/1M", "FPT=Q", "FPO=-7Q", "ACT_EST_MAPPING=PRECISE", "FS=MRC", "CURRENCY=USD", "XLFILL=b")</f>
        <v/>
      </c>
      <c r="K295" s="9" t="str">
        <f>_xll.BQL("AMZN US Equity", "BS_MACHINERY_EQUIPMENT_FURN_GR/1M", "FPT=Q", "FPO=-6Q", "ACT_EST_MAPPING=PRECISE", "FS=MRC", "CURRENCY=USD", "XLFILL=b")</f>
        <v/>
      </c>
      <c r="L295" s="9" t="str">
        <f>_xll.BQL("AMZN US Equity", "BS_MACHINERY_EQUIPMENT_FURN_GR/1M", "FPT=Q", "FPO=-5Q", "ACT_EST_MAPPING=PRECISE", "FS=MRC", "CURRENCY=USD", "XLFILL=b")</f>
        <v/>
      </c>
      <c r="M295" s="9" t="str">
        <f>_xll.BQL("AMZN US Equity", "BS_MACHINERY_EQUIPMENT_FURN_GR/1M", "FPT=Q", "FPO=-4Q", "ACT_EST_MAPPING=PRECISE", "FS=MRC", "CURRENCY=USD", "XLFILL=b")</f>
        <v/>
      </c>
      <c r="N295" s="9" t="str">
        <f>_xll.BQL("AMZN US Equity", "BS_MACHINERY_EQUIPMENT_FURN_GR/1M", "FPT=Q", "FPO=-3Q", "ACT_EST_MAPPING=PRECISE", "FS=MRC", "CURRENCY=USD", "XLFILL=b")</f>
        <v/>
      </c>
      <c r="O295" s="9" t="str">
        <f>_xll.BQL("AMZN US Equity", "BS_MACHINERY_EQUIPMENT_FURN_GR/1M", "FPT=Q", "FPO=-2Q", "ACT_EST_MAPPING=PRECISE", "FS=MRC", "CURRENCY=USD", "XLFILL=b")</f>
        <v/>
      </c>
      <c r="P295" s="9" t="str">
        <f>_xll.BQL("AMZN US Equity", "BS_MACHINERY_EQUIPMENT_FURN_GR/1M", "FPT=Q", "FPO=-1Q", "ACT_EST_MAPPING=PRECISE", "FS=MRC", "CURRENCY=USD", "XLFILL=b")</f>
        <v/>
      </c>
      <c r="Q295" s="9" t="str">
        <f>_xll.BQL("AMZN US Equity", "BS_MACHINERY_EQUIPMENT_FURN_GR/1M", "FPT=Q", "FPO=0Q", "ACT_EST_MAPPING=PRECISE", "FS=MRC", "CURRENCY=USD", "XLFILL=b")</f>
        <v/>
      </c>
      <c r="R295" s="9" t="str">
        <f>_xll.BQL("AMZN US Equity", "BS_MACHINERY_EQUIPMENT_FURN_GR/1M", "FPT=Q", "FPO=1Q", "ACT_EST_MAPPING=PRECISE", "FS=MRC", "CURRENCY=USD", "XLFILL=b")</f>
        <v/>
      </c>
      <c r="S295" s="9" t="str">
        <f>_xll.BQL("AMZN US Equity", "BS_MACHINERY_EQUIPMENT_FURN_GR/1M", "FPT=Q", "FPO=2Q", "ACT_EST_MAPPING=PRECISE", "FS=MRC", "CURRENCY=USD", "XLFILL=b")</f>
        <v/>
      </c>
      <c r="T295" s="9" t="str">
        <f>_xll.BQL("AMZN US Equity", "BS_MACHINERY_EQUIPMENT_FURN_GR/1M", "FPT=Q", "FPO=3Q", "ACT_EST_MAPPING=PRECISE", "FS=MRC", "CURRENCY=USD", "XLFILL=b")</f>
        <v/>
      </c>
      <c r="U295" s="9" t="str">
        <f>_xll.BQL("AMZN US Equity", "BS_MACHINERY_EQUIPMENT_FURN_GR/1M", "FPT=Q", "FPO=4Q", "ACT_EST_MAPPING=PRECISE", "FS=MRC", "CURRENCY=USD", "XLFILL=b")</f>
        <v/>
      </c>
      <c r="V295" s="9" t="str">
        <f>_xll.BQL("AMZN US Equity", "BS_MACHINERY_EQUIPMENT_FURN_GR/1M", "FPT=Q", "FPO=5Q", "ACT_EST_MAPPING=PRECISE", "FS=MRC", "CURRENCY=USD", "XLFILL=b")</f>
        <v/>
      </c>
      <c r="W295" s="9" t="str">
        <f>_xll.BQL("AMZN US Equity", "BS_MACHINERY_EQUIPMENT_FURN_GR/1M", "FPT=Q", "FPO=6Q", "ACT_EST_MAPPING=PRECISE", "FS=MRC", "CURRENCY=USD", "XLFILL=b")</f>
        <v/>
      </c>
      <c r="X295" s="9" t="str">
        <f>_xll.BQL("AMZN US Equity", "BS_MACHINERY_EQUIPMENT_FURN_GR/1M", "FPT=Q", "FPO=7Q", "ACT_EST_MAPPING=PRECISE", "FS=MRC", "CURRENCY=USD", "XLFILL=b")</f>
        <v/>
      </c>
    </row>
    <row r="296" spans="1:24" x14ac:dyDescent="0.25">
      <c r="A296" s="8" t="s">
        <v>479</v>
      </c>
      <c r="B296" s="4" t="s">
        <v>480</v>
      </c>
      <c r="C296" s="4" t="s">
        <v>481</v>
      </c>
      <c r="D296" s="4"/>
      <c r="E296" s="9" t="str">
        <f>_xll.BQL("AMZN US Equity", "BS_OTHER_PPE_GROSS/1M", "FPT=Q", "FPO=-12Q", "ACT_EST_MAPPING=PRECISE", "FS=MRC", "CURRENCY=USD", "XLFILL=b")</f>
        <v/>
      </c>
      <c r="F296" s="9" t="str">
        <f>_xll.BQL("AMZN US Equity", "BS_OTHER_PPE_GROSS/1M", "FPT=Q", "FPO=-11Q", "ACT_EST_MAPPING=PRECISE", "FS=MRC", "CURRENCY=USD", "XLFILL=b")</f>
        <v/>
      </c>
      <c r="G296" s="9" t="str">
        <f>_xll.BQL("AMZN US Equity", "BS_OTHER_PPE_GROSS/1M", "FPT=Q", "FPO=-10Q", "ACT_EST_MAPPING=PRECISE", "FS=MRC", "CURRENCY=USD", "XLFILL=b")</f>
        <v/>
      </c>
      <c r="H296" s="9">
        <f>_xll.BQL("AMZN US Equity", "BS_OTHER_PPE_GROSS/1M", "FPT=Q", "FPO=-9Q", "ACT_EST_MAPPING=PRECISE", "FS=MRC", "CURRENCY=USD", "XLFILL=b")</f>
        <v>5116</v>
      </c>
      <c r="I296" s="9" t="str">
        <f>_xll.BQL("AMZN US Equity", "BS_OTHER_PPE_GROSS/1M", "FPT=Q", "FPO=-8Q", "ACT_EST_MAPPING=PRECISE", "FS=MRC", "CURRENCY=USD", "XLFILL=b")</f>
        <v/>
      </c>
      <c r="J296" s="9" t="str">
        <f>_xll.BQL("AMZN US Equity", "BS_OTHER_PPE_GROSS/1M", "FPT=Q", "FPO=-7Q", "ACT_EST_MAPPING=PRECISE", "FS=MRC", "CURRENCY=USD", "XLFILL=b")</f>
        <v/>
      </c>
      <c r="K296" s="9" t="str">
        <f>_xll.BQL("AMZN US Equity", "BS_OTHER_PPE_GROSS/1M", "FPT=Q", "FPO=-6Q", "ACT_EST_MAPPING=PRECISE", "FS=MRC", "CURRENCY=USD", "XLFILL=b")</f>
        <v/>
      </c>
      <c r="L296" s="9">
        <f>_xll.BQL("AMZN US Equity", "BS_OTHER_PPE_GROSS/1M", "FPT=Q", "FPO=-5Q", "ACT_EST_MAPPING=PRECISE", "FS=MRC", "CURRENCY=USD", "XLFILL=b")</f>
        <v>5487</v>
      </c>
      <c r="M296" s="9" t="str">
        <f>_xll.BQL("AMZN US Equity", "BS_OTHER_PPE_GROSS/1M", "FPT=Q", "FPO=-4Q", "ACT_EST_MAPPING=PRECISE", "FS=MRC", "CURRENCY=USD", "XLFILL=b")</f>
        <v/>
      </c>
      <c r="N296" s="9" t="str">
        <f>_xll.BQL("AMZN US Equity", "BS_OTHER_PPE_GROSS/1M", "FPT=Q", "FPO=-3Q", "ACT_EST_MAPPING=PRECISE", "FS=MRC", "CURRENCY=USD", "XLFILL=b")</f>
        <v/>
      </c>
      <c r="O296" s="9" t="str">
        <f>_xll.BQL("AMZN US Equity", "BS_OTHER_PPE_GROSS/1M", "FPT=Q", "FPO=-2Q", "ACT_EST_MAPPING=PRECISE", "FS=MRC", "CURRENCY=USD", "XLFILL=b")</f>
        <v/>
      </c>
      <c r="P296" s="9">
        <f>_xll.BQL("AMZN US Equity", "BS_OTHER_PPE_GROSS/1M", "FPT=Q", "FPO=-1Q", "ACT_EST_MAPPING=PRECISE", "FS=MRC", "CURRENCY=USD", "XLFILL=b")</f>
        <v>5819</v>
      </c>
      <c r="Q296" s="9" t="str">
        <f>_xll.BQL("AMZN US Equity", "BS_OTHER_PPE_GROSS/1M", "FPT=Q", "FPO=0Q", "ACT_EST_MAPPING=PRECISE", "FS=MRC", "CURRENCY=USD", "XLFILL=b")</f>
        <v/>
      </c>
      <c r="R296" s="9" t="str">
        <f>_xll.BQL("AMZN US Equity", "BS_OTHER_PPE_GROSS/1M", "FPT=Q", "FPO=1Q", "ACT_EST_MAPPING=PRECISE", "FS=MRC", "CURRENCY=USD", "XLFILL=b")</f>
        <v/>
      </c>
      <c r="S296" s="9" t="str">
        <f>_xll.BQL("AMZN US Equity", "BS_OTHER_PPE_GROSS/1M", "FPT=Q", "FPO=2Q", "ACT_EST_MAPPING=PRECISE", "FS=MRC", "CURRENCY=USD", "XLFILL=b")</f>
        <v/>
      </c>
      <c r="T296" s="9" t="str">
        <f>_xll.BQL("AMZN US Equity", "BS_OTHER_PPE_GROSS/1M", "FPT=Q", "FPO=3Q", "ACT_EST_MAPPING=PRECISE", "FS=MRC", "CURRENCY=USD", "XLFILL=b")</f>
        <v/>
      </c>
      <c r="U296" s="9" t="str">
        <f>_xll.BQL("AMZN US Equity", "BS_OTHER_PPE_GROSS/1M", "FPT=Q", "FPO=4Q", "ACT_EST_MAPPING=PRECISE", "FS=MRC", "CURRENCY=USD", "XLFILL=b")</f>
        <v/>
      </c>
      <c r="V296" s="9" t="str">
        <f>_xll.BQL("AMZN US Equity", "BS_OTHER_PPE_GROSS/1M", "FPT=Q", "FPO=5Q", "ACT_EST_MAPPING=PRECISE", "FS=MRC", "CURRENCY=USD", "XLFILL=b")</f>
        <v/>
      </c>
      <c r="W296" s="9" t="str">
        <f>_xll.BQL("AMZN US Equity", "BS_OTHER_PPE_GROSS/1M", "FPT=Q", "FPO=6Q", "ACT_EST_MAPPING=PRECISE", "FS=MRC", "CURRENCY=USD", "XLFILL=b")</f>
        <v/>
      </c>
      <c r="X296" s="9" t="str">
        <f>_xll.BQL("AMZN US Equity", "BS_OTHER_PPE_GROSS/1M", "FPT=Q", "FPO=7Q", "ACT_EST_MAPPING=PRECISE", "FS=MRC", "CURRENCY=USD", "XLFILL=b")</f>
        <v/>
      </c>
    </row>
    <row r="297" spans="1:24" x14ac:dyDescent="0.25">
      <c r="A297" s="8" t="s">
        <v>482</v>
      </c>
      <c r="B297" s="4" t="s">
        <v>483</v>
      </c>
      <c r="C297" s="4" t="s">
        <v>484</v>
      </c>
      <c r="D297" s="4"/>
      <c r="E297" s="9" t="str">
        <f>_xll.BQL("AMZN US Equity", "BS_PLANT_CONST_IN_PROG/1M", "FPT=Q", "FPO=-12Q", "ACT_EST_MAPPING=PRECISE", "FS=MRC", "CURRENCY=USD", "XLFILL=b")</f>
        <v/>
      </c>
      <c r="F297" s="9" t="str">
        <f>_xll.BQL("AMZN US Equity", "BS_PLANT_CONST_IN_PROG/1M", "FPT=Q", "FPO=-11Q", "ACT_EST_MAPPING=PRECISE", "FS=MRC", "CURRENCY=USD", "XLFILL=b")</f>
        <v/>
      </c>
      <c r="G297" s="9" t="str">
        <f>_xll.BQL("AMZN US Equity", "BS_PLANT_CONST_IN_PROG/1M", "FPT=Q", "FPO=-10Q", "ACT_EST_MAPPING=PRECISE", "FS=MRC", "CURRENCY=USD", "XLFILL=b")</f>
        <v/>
      </c>
      <c r="H297" s="9">
        <f>_xll.BQL("AMZN US Equity", "BS_PLANT_CONST_IN_PROG/1M", "FPT=Q", "FPO=-9Q", "ACT_EST_MAPPING=PRECISE", "FS=MRC", "CURRENCY=USD", "XLFILL=b")</f>
        <v>28840</v>
      </c>
      <c r="I297" s="9" t="str">
        <f>_xll.BQL("AMZN US Equity", "BS_PLANT_CONST_IN_PROG/1M", "FPT=Q", "FPO=-8Q", "ACT_EST_MAPPING=PRECISE", "FS=MRC", "CURRENCY=USD", "XLFILL=b")</f>
        <v/>
      </c>
      <c r="J297" s="9" t="str">
        <f>_xll.BQL("AMZN US Equity", "BS_PLANT_CONST_IN_PROG/1M", "FPT=Q", "FPO=-7Q", "ACT_EST_MAPPING=PRECISE", "FS=MRC", "CURRENCY=USD", "XLFILL=b")</f>
        <v/>
      </c>
      <c r="K297" s="9" t="str">
        <f>_xll.BQL("AMZN US Equity", "BS_PLANT_CONST_IN_PROG/1M", "FPT=Q", "FPO=-6Q", "ACT_EST_MAPPING=PRECISE", "FS=MRC", "CURRENCY=USD", "XLFILL=b")</f>
        <v/>
      </c>
      <c r="L297" s="9">
        <f>_xll.BQL("AMZN US Equity", "BS_PLANT_CONST_IN_PROG/1M", "FPT=Q", "FPO=-5Q", "ACT_EST_MAPPING=PRECISE", "FS=MRC", "CURRENCY=USD", "XLFILL=b")</f>
        <v>46636</v>
      </c>
      <c r="M297" s="9" t="str">
        <f>_xll.BQL("AMZN US Equity", "BS_PLANT_CONST_IN_PROG/1M", "FPT=Q", "FPO=-4Q", "ACT_EST_MAPPING=PRECISE", "FS=MRC", "CURRENCY=USD", "XLFILL=b")</f>
        <v/>
      </c>
      <c r="N297" s="9" t="str">
        <f>_xll.BQL("AMZN US Equity", "BS_PLANT_CONST_IN_PROG/1M", "FPT=Q", "FPO=-3Q", "ACT_EST_MAPPING=PRECISE", "FS=MRC", "CURRENCY=USD", "XLFILL=b")</f>
        <v/>
      </c>
      <c r="O297" s="9" t="str">
        <f>_xll.BQL("AMZN US Equity", "BS_PLANT_CONST_IN_PROG/1M", "FPT=Q", "FPO=-2Q", "ACT_EST_MAPPING=PRECISE", "FS=MRC", "CURRENCY=USD", "XLFILL=b")</f>
        <v/>
      </c>
      <c r="P297" s="9">
        <f>_xll.BQL("AMZN US Equity", "BS_PLANT_CONST_IN_PROG/1M", "FPT=Q", "FPO=-1Q", "ACT_EST_MAPPING=PRECISE", "FS=MRC", "CURRENCY=USD", "XLFILL=b")</f>
        <v>71745</v>
      </c>
      <c r="Q297" s="9" t="str">
        <f>_xll.BQL("AMZN US Equity", "BS_PLANT_CONST_IN_PROG/1M", "FPT=Q", "FPO=0Q", "ACT_EST_MAPPING=PRECISE", "FS=MRC", "CURRENCY=USD", "XLFILL=b")</f>
        <v/>
      </c>
      <c r="R297" s="9" t="str">
        <f>_xll.BQL("AMZN US Equity", "BS_PLANT_CONST_IN_PROG/1M", "FPT=Q", "FPO=1Q", "ACT_EST_MAPPING=PRECISE", "FS=MRC", "CURRENCY=USD", "XLFILL=b")</f>
        <v/>
      </c>
      <c r="S297" s="9" t="str">
        <f>_xll.BQL("AMZN US Equity", "BS_PLANT_CONST_IN_PROG/1M", "FPT=Q", "FPO=2Q", "ACT_EST_MAPPING=PRECISE", "FS=MRC", "CURRENCY=USD", "XLFILL=b")</f>
        <v/>
      </c>
      <c r="T297" s="9" t="str">
        <f>_xll.BQL("AMZN US Equity", "BS_PLANT_CONST_IN_PROG/1M", "FPT=Q", "FPO=3Q", "ACT_EST_MAPPING=PRECISE", "FS=MRC", "CURRENCY=USD", "XLFILL=b")</f>
        <v/>
      </c>
      <c r="U297" s="9" t="str">
        <f>_xll.BQL("AMZN US Equity", "BS_PLANT_CONST_IN_PROG/1M", "FPT=Q", "FPO=4Q", "ACT_EST_MAPPING=PRECISE", "FS=MRC", "CURRENCY=USD", "XLFILL=b")</f>
        <v/>
      </c>
      <c r="V297" s="9" t="str">
        <f>_xll.BQL("AMZN US Equity", "BS_PLANT_CONST_IN_PROG/1M", "FPT=Q", "FPO=5Q", "ACT_EST_MAPPING=PRECISE", "FS=MRC", "CURRENCY=USD", "XLFILL=b")</f>
        <v/>
      </c>
      <c r="W297" s="9" t="str">
        <f>_xll.BQL("AMZN US Equity", "BS_PLANT_CONST_IN_PROG/1M", "FPT=Q", "FPO=6Q", "ACT_EST_MAPPING=PRECISE", "FS=MRC", "CURRENCY=USD", "XLFILL=b")</f>
        <v/>
      </c>
      <c r="X297" s="9" t="str">
        <f>_xll.BQL("AMZN US Equity", "BS_PLANT_CONST_IN_PROG/1M", "FPT=Q", "FPO=7Q", "ACT_EST_MAPPING=PRECISE", "FS=MRC", "CURRENCY=USD", "XLFILL=b")</f>
        <v/>
      </c>
    </row>
    <row r="298" spans="1:24" x14ac:dyDescent="0.25">
      <c r="A298" s="8" t="s">
        <v>485</v>
      </c>
      <c r="B298" s="4" t="s">
        <v>486</v>
      </c>
      <c r="C298" s="4" t="s">
        <v>487</v>
      </c>
      <c r="D298" s="4"/>
      <c r="E298" s="9" t="str">
        <f>_xll.BQL("AMZN US Equity", "BS_ACCUM_DEPR/1M", "FPT=Q", "FPO=-12Q", "ACT_EST_MAPPING=PRECISE", "FS=MRC", "CURRENCY=USD", "XLFILL=b")</f>
        <v/>
      </c>
      <c r="F298" s="9" t="str">
        <f>_xll.BQL("AMZN US Equity", "BS_ACCUM_DEPR/1M", "FPT=Q", "FPO=-11Q", "ACT_EST_MAPPING=PRECISE", "FS=MRC", "CURRENCY=USD", "XLFILL=b")</f>
        <v/>
      </c>
      <c r="G298" s="9" t="str">
        <f>_xll.BQL("AMZN US Equity", "BS_ACCUM_DEPR/1M", "FPT=Q", "FPO=-10Q", "ACT_EST_MAPPING=PRECISE", "FS=MRC", "CURRENCY=USD", "XLFILL=b")</f>
        <v/>
      </c>
      <c r="H298" s="9">
        <f>_xll.BQL("AMZN US Equity", "BS_ACCUM_DEPR/1M", "FPT=Q", "FPO=-9Q", "ACT_EST_MAPPING=PRECISE", "FS=MRC", "CURRENCY=USD", "XLFILL=b")</f>
        <v>120111</v>
      </c>
      <c r="I298" s="9" t="str">
        <f>_xll.BQL("AMZN US Equity", "BS_ACCUM_DEPR/1M", "FPT=Q", "FPO=-8Q", "ACT_EST_MAPPING=PRECISE", "FS=MRC", "CURRENCY=USD", "XLFILL=b")</f>
        <v/>
      </c>
      <c r="J298" s="9" t="str">
        <f>_xll.BQL("AMZN US Equity", "BS_ACCUM_DEPR/1M", "FPT=Q", "FPO=-7Q", "ACT_EST_MAPPING=PRECISE", "FS=MRC", "CURRENCY=USD", "XLFILL=b")</f>
        <v/>
      </c>
      <c r="K298" s="9" t="str">
        <f>_xll.BQL("AMZN US Equity", "BS_ACCUM_DEPR/1M", "FPT=Q", "FPO=-6Q", "ACT_EST_MAPPING=PRECISE", "FS=MRC", "CURRENCY=USD", "XLFILL=b")</f>
        <v/>
      </c>
      <c r="L298" s="9">
        <f>_xll.BQL("AMZN US Equity", "BS_ACCUM_DEPR/1M", "FPT=Q", "FPO=-5Q", "ACT_EST_MAPPING=PRECISE", "FS=MRC", "CURRENCY=USD", "XLFILL=b")</f>
        <v>141390</v>
      </c>
      <c r="M298" s="9" t="str">
        <f>_xll.BQL("AMZN US Equity", "BS_ACCUM_DEPR/1M", "FPT=Q", "FPO=-4Q", "ACT_EST_MAPPING=PRECISE", "FS=MRC", "CURRENCY=USD", "XLFILL=b")</f>
        <v/>
      </c>
      <c r="N298" s="9" t="str">
        <f>_xll.BQL("AMZN US Equity", "BS_ACCUM_DEPR/1M", "FPT=Q", "FPO=-3Q", "ACT_EST_MAPPING=PRECISE", "FS=MRC", "CURRENCY=USD", "XLFILL=b")</f>
        <v/>
      </c>
      <c r="O298" s="9" t="str">
        <f>_xll.BQL("AMZN US Equity", "BS_ACCUM_DEPR/1M", "FPT=Q", "FPO=-2Q", "ACT_EST_MAPPING=PRECISE", "FS=MRC", "CURRENCY=USD", "XLFILL=b")</f>
        <v/>
      </c>
      <c r="P298" s="9">
        <f>_xll.BQL("AMZN US Equity", "BS_ACCUM_DEPR/1M", "FPT=Q", "FPO=-1Q", "ACT_EST_MAPPING=PRECISE", "FS=MRC", "CURRENCY=USD", "XLFILL=b")</f>
        <v>177073</v>
      </c>
      <c r="Q298" s="9" t="str">
        <f>_xll.BQL("AMZN US Equity", "BS_ACCUM_DEPR/1M", "FPT=Q", "FPO=0Q", "ACT_EST_MAPPING=PRECISE", "FS=MRC", "CURRENCY=USD", "XLFILL=b")</f>
        <v/>
      </c>
      <c r="R298" s="9">
        <f>_xll.BQL("AMZN US Equity", "BS_ACCUM_DEPR/1M", "FPT=Q", "FPO=1Q", "ACT_EST_MAPPING=PRECISE", "FS=MRC", "CURRENCY=USD", "XLFILL=b")</f>
        <v>199677.46419189562</v>
      </c>
      <c r="S298" s="9">
        <f>_xll.BQL("AMZN US Equity", "BS_ACCUM_DEPR/1M", "FPT=Q", "FPO=2Q", "ACT_EST_MAPPING=PRECISE", "FS=MRC", "CURRENCY=USD", "XLFILL=b")</f>
        <v>218985.61232538489</v>
      </c>
      <c r="T298" s="9">
        <f>_xll.BQL("AMZN US Equity", "BS_ACCUM_DEPR/1M", "FPT=Q", "FPO=3Q", "ACT_EST_MAPPING=PRECISE", "FS=MRC", "CURRENCY=USD", "XLFILL=b")</f>
        <v>242957.92750604881</v>
      </c>
      <c r="U298" s="9">
        <f>_xll.BQL("AMZN US Equity", "BS_ACCUM_DEPR/1M", "FPT=Q", "FPO=4Q", "ACT_EST_MAPPING=PRECISE", "FS=MRC", "CURRENCY=USD", "XLFILL=b")</f>
        <v>264482.36580203241</v>
      </c>
      <c r="V298" s="9">
        <f>_xll.BQL("AMZN US Equity", "BS_ACCUM_DEPR/1M", "FPT=Q", "FPO=5Q", "ACT_EST_MAPPING=PRECISE", "FS=MRC", "CURRENCY=USD", "XLFILL=b")</f>
        <v>287847.83129392797</v>
      </c>
      <c r="W298" s="9">
        <f>_xll.BQL("AMZN US Equity", "BS_ACCUM_DEPR/1M", "FPT=Q", "FPO=6Q", "ACT_EST_MAPPING=PRECISE", "FS=MRC", "CURRENCY=USD", "XLFILL=b")</f>
        <v>313146.38328887598</v>
      </c>
      <c r="X298" s="9">
        <f>_xll.BQL("AMZN US Equity", "BS_ACCUM_DEPR/1M", "FPT=Q", "FPO=7Q", "ACT_EST_MAPPING=PRECISE", "FS=MRC", "CURRENCY=USD", "XLFILL=b")</f>
        <v>341599.91028701828</v>
      </c>
    </row>
    <row r="299" spans="1:24" x14ac:dyDescent="0.25">
      <c r="A299" s="8" t="s">
        <v>488</v>
      </c>
      <c r="B299" s="4" t="s">
        <v>489</v>
      </c>
      <c r="C299" s="4" t="s">
        <v>490</v>
      </c>
      <c r="D299" s="4"/>
      <c r="E299" s="9">
        <f>_xll.BQL("AMZN US Equity", "IS_TOT_FIN_LEA_AND_OPER_LEA_CST/1M", "FPT=Q", "FPO=-12Q", "ACT_EST_MAPPING=PRECISE", "FS=MRC", "CURRENCY=USD", "XLFILL=b")</f>
        <v>4656</v>
      </c>
      <c r="F299" s="9">
        <f>_xll.BQL("AMZN US Equity", "IS_TOT_FIN_LEA_AND_OPER_LEA_CST/1M", "FPT=Q", "FPO=-11Q", "ACT_EST_MAPPING=PRECISE", "FS=MRC", "CURRENCY=USD", "XLFILL=b")</f>
        <v>4717</v>
      </c>
      <c r="G299" s="9">
        <f>_xll.BQL("AMZN US Equity", "IS_TOT_FIN_LEA_AND_OPER_LEA_CST/1M", "FPT=Q", "FPO=-10Q", "ACT_EST_MAPPING=PRECISE", "FS=MRC", "CURRENCY=USD", "XLFILL=b")</f>
        <v>4759</v>
      </c>
      <c r="H299" s="9">
        <f>_xll.BQL("AMZN US Equity", "IS_TOT_FIN_LEA_AND_OPER_LEA_CST/1M", "FPT=Q", "FPO=-9Q", "ACT_EST_MAPPING=PRECISE", "FS=MRC", "CURRENCY=USD", "XLFILL=b")</f>
        <v>4786</v>
      </c>
      <c r="I299" s="9">
        <f>_xll.BQL("AMZN US Equity", "IS_TOT_FIN_LEA_AND_OPER_LEA_CST/1M", "FPT=Q", "FPO=-8Q", "ACT_EST_MAPPING=PRECISE", "FS=MRC", "CURRENCY=USD", "XLFILL=b")</f>
        <v>4478</v>
      </c>
      <c r="J299" s="9">
        <f>_xll.BQL("AMZN US Equity", "IS_TOT_FIN_LEA_AND_OPER_LEA_CST/1M", "FPT=Q", "FPO=-7Q", "ACT_EST_MAPPING=PRECISE", "FS=MRC", "CURRENCY=USD", "XLFILL=b")</f>
        <v>4533</v>
      </c>
      <c r="K299" s="9">
        <f>_xll.BQL("AMZN US Equity", "IS_TOT_FIN_LEA_AND_OPER_LEA_CST/1M", "FPT=Q", "FPO=-6Q", "ACT_EST_MAPPING=PRECISE", "FS=MRC", "CURRENCY=USD", "XLFILL=b")</f>
        <v>4772</v>
      </c>
      <c r="L299" s="9">
        <f>_xll.BQL("AMZN US Equity", "IS_TOT_FIN_LEA_AND_OPER_LEA_CST/1M", "FPT=Q", "FPO=-5Q", "ACT_EST_MAPPING=PRECISE", "FS=MRC", "CURRENCY=USD", "XLFILL=b")</f>
        <v>4794</v>
      </c>
      <c r="M299" s="9">
        <f>_xll.BQL("AMZN US Equity", "IS_TOT_FIN_LEA_AND_OPER_LEA_CST/1M", "FPT=Q", "FPO=-4Q", "ACT_EST_MAPPING=PRECISE", "FS=MRC", "CURRENCY=USD", "XLFILL=b")</f>
        <v>4880</v>
      </c>
      <c r="N299" s="9">
        <f>_xll.BQL("AMZN US Equity", "IS_TOT_FIN_LEA_AND_OPER_LEA_CST/1M", "FPT=Q", "FPO=-3Q", "ACT_EST_MAPPING=PRECISE", "FS=MRC", "CURRENCY=USD", "XLFILL=b")</f>
        <v>4984</v>
      </c>
      <c r="O299" s="9">
        <f>_xll.BQL("AMZN US Equity", "IS_TOT_FIN_LEA_AND_OPER_LEA_CST/1M", "FPT=Q", "FPO=-2Q", "ACT_EST_MAPPING=PRECISE", "FS=MRC", "CURRENCY=USD", "XLFILL=b")</f>
        <v>5124</v>
      </c>
      <c r="P299" s="9">
        <f>_xll.BQL("AMZN US Equity", "IS_TOT_FIN_LEA_AND_OPER_LEA_CST/1M", "FPT=Q", "FPO=-1Q", "ACT_EST_MAPPING=PRECISE", "FS=MRC", "CURRENCY=USD", "XLFILL=b")</f>
        <v>5308</v>
      </c>
      <c r="Q299" s="9">
        <f>_xll.BQL("AMZN US Equity", "IS_TOT_FIN_LEA_AND_OPER_LEA_CST/1M", "FPT=Q", "FPO=0Q", "ACT_EST_MAPPING=PRECISE", "FS=MRC", "CURRENCY=USD", "XLFILL=b")</f>
        <v>5493</v>
      </c>
      <c r="R299" s="9" t="str">
        <f>_xll.BQL("AMZN US Equity", "IS_TOT_FIN_LEA_AND_OPER_LEA_CST/1M", "FPT=Q", "FPO=1Q", "ACT_EST_MAPPING=PRECISE", "FS=MRC", "CURRENCY=USD", "XLFILL=b")</f>
        <v/>
      </c>
      <c r="S299" s="9" t="str">
        <f>_xll.BQL("AMZN US Equity", "IS_TOT_FIN_LEA_AND_OPER_LEA_CST/1M", "FPT=Q", "FPO=2Q", "ACT_EST_MAPPING=PRECISE", "FS=MRC", "CURRENCY=USD", "XLFILL=b")</f>
        <v/>
      </c>
      <c r="T299" s="9" t="str">
        <f>_xll.BQL("AMZN US Equity", "IS_TOT_FIN_LEA_AND_OPER_LEA_CST/1M", "FPT=Q", "FPO=3Q", "ACT_EST_MAPPING=PRECISE", "FS=MRC", "CURRENCY=USD", "XLFILL=b")</f>
        <v/>
      </c>
      <c r="U299" s="9" t="str">
        <f>_xll.BQL("AMZN US Equity", "IS_TOT_FIN_LEA_AND_OPER_LEA_CST/1M", "FPT=Q", "FPO=4Q", "ACT_EST_MAPPING=PRECISE", "FS=MRC", "CURRENCY=USD", "XLFILL=b")</f>
        <v/>
      </c>
      <c r="V299" s="9" t="str">
        <f>_xll.BQL("AMZN US Equity", "IS_TOT_FIN_LEA_AND_OPER_LEA_CST/1M", "FPT=Q", "FPO=5Q", "ACT_EST_MAPPING=PRECISE", "FS=MRC", "CURRENCY=USD", "XLFILL=b")</f>
        <v/>
      </c>
      <c r="W299" s="9" t="str">
        <f>_xll.BQL("AMZN US Equity", "IS_TOT_FIN_LEA_AND_OPER_LEA_CST/1M", "FPT=Q", "FPO=6Q", "ACT_EST_MAPPING=PRECISE", "FS=MRC", "CURRENCY=USD", "XLFILL=b")</f>
        <v/>
      </c>
      <c r="X299" s="9" t="str">
        <f>_xll.BQL("AMZN US Equity", "IS_TOT_FIN_LEA_AND_OPER_LEA_CST/1M", "FPT=Q", "FPO=7Q", "ACT_EST_MAPPING=PRECISE", "FS=MRC", "CURRENCY=USD", "XLFILL=b")</f>
        <v/>
      </c>
    </row>
    <row r="300" spans="1:24" x14ac:dyDescent="0.25">
      <c r="A300" s="8" t="s">
        <v>491</v>
      </c>
      <c r="B300" s="4" t="s">
        <v>492</v>
      </c>
      <c r="C300" s="4" t="s">
        <v>493</v>
      </c>
      <c r="D300" s="4"/>
      <c r="E300" s="9">
        <f>_xll.BQL("AMZN US Equity", "IS_CAPITALIZED_OPERATING_LEA_CST/1M", "FPT=Q", "FPO=-12Q", "ACT_EST_MAPPING=PRECISE", "FS=MRC", "CURRENCY=USD", "XLFILL=b")</f>
        <v>2512</v>
      </c>
      <c r="F300" s="9">
        <f>_xll.BQL("AMZN US Equity", "IS_CAPITALIZED_OPERATING_LEA_CST/1M", "FPT=Q", "FPO=-11Q", "ACT_EST_MAPPING=PRECISE", "FS=MRC", "CURRENCY=USD", "XLFILL=b")</f>
        <v>2608</v>
      </c>
      <c r="G300" s="9">
        <f>_xll.BQL("AMZN US Equity", "IS_CAPITALIZED_OPERATING_LEA_CST/1M", "FPT=Q", "FPO=-10Q", "ACT_EST_MAPPING=PRECISE", "FS=MRC", "CURRENCY=USD", "XLFILL=b")</f>
        <v>2679</v>
      </c>
      <c r="H300" s="9">
        <f>_xll.BQL("AMZN US Equity", "IS_CAPITALIZED_OPERATING_LEA_CST/1M", "FPT=Q", "FPO=-9Q", "ACT_EST_MAPPING=PRECISE", "FS=MRC", "CURRENCY=USD", "XLFILL=b")</f>
        <v>2751</v>
      </c>
      <c r="I300" s="9">
        <f>_xll.BQL("AMZN US Equity", "IS_CAPITALIZED_OPERATING_LEA_CST/1M", "FPT=Q", "FPO=-8Q", "ACT_EST_MAPPING=PRECISE", "FS=MRC", "CURRENCY=USD", "XLFILL=b")</f>
        <v>2829</v>
      </c>
      <c r="J300" s="9">
        <f>_xll.BQL("AMZN US Equity", "IS_CAPITALIZED_OPERATING_LEA_CST/1M", "FPT=Q", "FPO=-7Q", "ACT_EST_MAPPING=PRECISE", "FS=MRC", "CURRENCY=USD", "XLFILL=b")</f>
        <v>2921</v>
      </c>
      <c r="K300" s="9">
        <f>_xll.BQL("AMZN US Equity", "IS_CAPITALIZED_OPERATING_LEA_CST/1M", "FPT=Q", "FPO=-6Q", "ACT_EST_MAPPING=PRECISE", "FS=MRC", "CURRENCY=USD", "XLFILL=b")</f>
        <v>3057</v>
      </c>
      <c r="L300" s="9">
        <f>_xll.BQL("AMZN US Equity", "IS_CAPITALIZED_OPERATING_LEA_CST/1M", "FPT=Q", "FPO=-5Q", "ACT_EST_MAPPING=PRECISE", "FS=MRC", "CURRENCY=USD", "XLFILL=b")</f>
        <v>3154</v>
      </c>
      <c r="M300" s="9">
        <f>_xll.BQL("AMZN US Equity", "IS_CAPITALIZED_OPERATING_LEA_CST/1M", "FPT=Q", "FPO=-4Q", "ACT_EST_MAPPING=PRECISE", "FS=MRC", "CURRENCY=USD", "XLFILL=b")</f>
        <v>3240</v>
      </c>
      <c r="N300" s="9">
        <f>_xll.BQL("AMZN US Equity", "IS_CAPITALIZED_OPERATING_LEA_CST/1M", "FPT=Q", "FPO=-3Q", "ACT_EST_MAPPING=PRECISE", "FS=MRC", "CURRENCY=USD", "XLFILL=b")</f>
        <v>3426</v>
      </c>
      <c r="O300" s="9">
        <f>_xll.BQL("AMZN US Equity", "IS_CAPITALIZED_OPERATING_LEA_CST/1M", "FPT=Q", "FPO=-2Q", "ACT_EST_MAPPING=PRECISE", "FS=MRC", "CURRENCY=USD", "XLFILL=b")</f>
        <v>3593</v>
      </c>
      <c r="P300" s="9">
        <f>_xll.BQL("AMZN US Equity", "IS_CAPITALIZED_OPERATING_LEA_CST/1M", "FPT=Q", "FPO=-1Q", "ACT_EST_MAPPING=PRECISE", "FS=MRC", "CURRENCY=USD", "XLFILL=b")</f>
        <v>3747</v>
      </c>
      <c r="Q300" s="9">
        <f>_xll.BQL("AMZN US Equity", "IS_CAPITALIZED_OPERATING_LEA_CST/1M", "FPT=Q", "FPO=0Q", "ACT_EST_MAPPING=PRECISE", "FS=MRC", "CURRENCY=USD", "XLFILL=b")</f>
        <v>3917</v>
      </c>
      <c r="R300" s="9">
        <f>_xll.BQL("AMZN US Equity", "IS_CAPITALIZED_OPERATING_LEA_CST/1M", "FPT=Q", "FPO=1Q", "ACT_EST_MAPPING=PRECISE", "FS=MRC", "CURRENCY=USD", "XLFILL=b")</f>
        <v>3493.08</v>
      </c>
      <c r="S300" s="9">
        <f>_xll.BQL("AMZN US Equity", "IS_CAPITALIZED_OPERATING_LEA_CST/1M", "FPT=Q", "FPO=2Q", "ACT_EST_MAPPING=PRECISE", "FS=MRC", "CURRENCY=USD", "XLFILL=b")</f>
        <v>3557.08</v>
      </c>
      <c r="T300" s="9">
        <f>_xll.BQL("AMZN US Equity", "IS_CAPITALIZED_OPERATING_LEA_CST/1M", "FPT=Q", "FPO=3Q", "ACT_EST_MAPPING=PRECISE", "FS=MRC", "CURRENCY=USD", "XLFILL=b")</f>
        <v>3621.08</v>
      </c>
      <c r="U300" s="9">
        <f>_xll.BQL("AMZN US Equity", "IS_CAPITALIZED_OPERATING_LEA_CST/1M", "FPT=Q", "FPO=4Q", "ACT_EST_MAPPING=PRECISE", "FS=MRC", "CURRENCY=USD", "XLFILL=b")</f>
        <v>3685.08</v>
      </c>
      <c r="V300" s="9">
        <f>_xll.BQL("AMZN US Equity", "IS_CAPITALIZED_OPERATING_LEA_CST/1M", "FPT=Q", "FPO=5Q", "ACT_EST_MAPPING=PRECISE", "FS=MRC", "CURRENCY=USD", "XLFILL=b")</f>
        <v>3749.08</v>
      </c>
      <c r="W300" s="9">
        <f>_xll.BQL("AMZN US Equity", "IS_CAPITALIZED_OPERATING_LEA_CST/1M", "FPT=Q", "FPO=6Q", "ACT_EST_MAPPING=PRECISE", "FS=MRC", "CURRENCY=USD", "XLFILL=b")</f>
        <v>3813.08</v>
      </c>
      <c r="X300" s="9">
        <f>_xll.BQL("AMZN US Equity", "IS_CAPITALIZED_OPERATING_LEA_CST/1M", "FPT=Q", "FPO=7Q", "ACT_EST_MAPPING=PRECISE", "FS=MRC", "CURRENCY=USD", "XLFILL=b")</f>
        <v>3877.08</v>
      </c>
    </row>
    <row r="301" spans="1:24" x14ac:dyDescent="0.25">
      <c r="A301" s="8" t="s">
        <v>494</v>
      </c>
      <c r="B301" s="4" t="s">
        <v>495</v>
      </c>
      <c r="C301" s="4" t="s">
        <v>496</v>
      </c>
      <c r="D301" s="4"/>
      <c r="E301" s="9">
        <f>_xll.BQL("AMZN US Equity", "IS_AMO_RT_OF_USE_AST_FIN_LS/1M", "FPT=Q", "FPO=-12Q", "ACT_EST_MAPPING=PRECISE", "FS=MRC", "CURRENCY=USD", "XLFILL=b")</f>
        <v>1546</v>
      </c>
      <c r="F301" s="9">
        <f>_xll.BQL("AMZN US Equity", "IS_AMO_RT_OF_USE_AST_FIN_LS/1M", "FPT=Q", "FPO=-11Q", "ACT_EST_MAPPING=PRECISE", "FS=MRC", "CURRENCY=USD", "XLFILL=b")</f>
        <v>1539</v>
      </c>
      <c r="G301" s="9">
        <f>_xll.BQL("AMZN US Equity", "IS_AMO_RT_OF_USE_AST_FIN_LS/1M", "FPT=Q", "FPO=-10Q", "ACT_EST_MAPPING=PRECISE", "FS=MRC", "CURRENCY=USD", "XLFILL=b")</f>
        <v>1439</v>
      </c>
      <c r="H301" s="9">
        <f>_xll.BQL("AMZN US Equity", "IS_AMO_RT_OF_USE_AST_FIN_LS/1M", "FPT=Q", "FPO=-9Q", "ACT_EST_MAPPING=PRECISE", "FS=MRC", "CURRENCY=USD", "XLFILL=b")</f>
        <v>1375</v>
      </c>
      <c r="I301" s="9">
        <f>_xll.BQL("AMZN US Equity", "IS_AMO_RT_OF_USE_AST_FIN_LS/1M", "FPT=Q", "FPO=-8Q", "ACT_EST_MAPPING=PRECISE", "FS=MRC", "CURRENCY=USD", "XLFILL=b")</f>
        <v>941</v>
      </c>
      <c r="J301" s="9">
        <f>_xll.BQL("AMZN US Equity", "IS_AMO_RT_OF_USE_AST_FIN_LS/1M", "FPT=Q", "FPO=-7Q", "ACT_EST_MAPPING=PRECISE", "FS=MRC", "CURRENCY=USD", "XLFILL=b")</f>
        <v>948</v>
      </c>
      <c r="K301" s="9">
        <f>_xll.BQL("AMZN US Equity", "IS_AMO_RT_OF_USE_AST_FIN_LS/1M", "FPT=Q", "FPO=-6Q", "ACT_EST_MAPPING=PRECISE", "FS=MRC", "CURRENCY=USD", "XLFILL=b")</f>
        <v>1040</v>
      </c>
      <c r="L301" s="9">
        <f>_xll.BQL("AMZN US Equity", "IS_AMO_RT_OF_USE_AST_FIN_LS/1M", "FPT=Q", "FPO=-5Q", "ACT_EST_MAPPING=PRECISE", "FS=MRC", "CURRENCY=USD", "XLFILL=b")</f>
        <v>937</v>
      </c>
      <c r="M301" s="9">
        <f>_xll.BQL("AMZN US Equity", "IS_AMO_RT_OF_USE_AST_FIN_LS/1M", "FPT=Q", "FPO=-4Q", "ACT_EST_MAPPING=PRECISE", "FS=MRC", "CURRENCY=USD", "XLFILL=b")</f>
        <v>873</v>
      </c>
      <c r="N301" s="9">
        <f>_xll.BQL("AMZN US Equity", "IS_AMO_RT_OF_USE_AST_FIN_LS/1M", "FPT=Q", "FPO=-3Q", "ACT_EST_MAPPING=PRECISE", "FS=MRC", "CURRENCY=USD", "XLFILL=b")</f>
        <v>827</v>
      </c>
      <c r="O301" s="9">
        <f>_xll.BQL("AMZN US Equity", "IS_AMO_RT_OF_USE_AST_FIN_LS/1M", "FPT=Q", "FPO=-2Q", "ACT_EST_MAPPING=PRECISE", "FS=MRC", "CURRENCY=USD", "XLFILL=b")</f>
        <v>813</v>
      </c>
      <c r="P301" s="9">
        <f>_xll.BQL("AMZN US Equity", "IS_AMO_RT_OF_USE_AST_FIN_LS/1M", "FPT=Q", "FPO=-1Q", "ACT_EST_MAPPING=PRECISE", "FS=MRC", "CURRENCY=USD", "XLFILL=b")</f>
        <v>771</v>
      </c>
      <c r="Q301" s="9">
        <f>_xll.BQL("AMZN US Equity", "IS_AMO_RT_OF_USE_AST_FIN_LS/1M", "FPT=Q", "FPO=0Q", "ACT_EST_MAPPING=PRECISE", "FS=MRC", "CURRENCY=USD", "XLFILL=b")</f>
        <v>733</v>
      </c>
      <c r="R301" s="9">
        <f>_xll.BQL("AMZN US Equity", "IS_AMO_RT_OF_USE_AST_FIN_LS/1M", "FPT=Q", "FPO=1Q", "ACT_EST_MAPPING=PRECISE", "FS=MRC", "CURRENCY=USD", "XLFILL=b")</f>
        <v>1055.1475582407759</v>
      </c>
      <c r="S301" s="9">
        <f>_xll.BQL("AMZN US Equity", "IS_AMO_RT_OF_USE_AST_FIN_LS/1M", "FPT=Q", "FPO=2Q", "ACT_EST_MAPPING=PRECISE", "FS=MRC", "CURRENCY=USD", "XLFILL=b")</f>
        <v>1177.4990327622811</v>
      </c>
      <c r="T301" s="9">
        <f>_xll.BQL("AMZN US Equity", "IS_AMO_RT_OF_USE_AST_FIN_LS/1M", "FPT=Q", "FPO=3Q", "ACT_EST_MAPPING=PRECISE", "FS=MRC", "CURRENCY=USD", "XLFILL=b")</f>
        <v>1353.2571553705905</v>
      </c>
      <c r="U301" s="9">
        <f>_xll.BQL("AMZN US Equity", "IS_AMO_RT_OF_USE_AST_FIN_LS/1M", "FPT=Q", "FPO=4Q", "ACT_EST_MAPPING=PRECISE", "FS=MRC", "CURRENCY=USD", "XLFILL=b")</f>
        <v>1286.0883132087126</v>
      </c>
      <c r="V301" s="9">
        <f>_xll.BQL("AMZN US Equity", "IS_AMO_RT_OF_USE_AST_FIN_LS/1M", "FPT=Q", "FPO=5Q", "ACT_EST_MAPPING=PRECISE", "FS=MRC", "CURRENCY=USD", "XLFILL=b")</f>
        <v>1411.729844961412</v>
      </c>
      <c r="W301" s="9">
        <f>_xll.BQL("AMZN US Equity", "IS_AMO_RT_OF_USE_AST_FIN_LS/1M", "FPT=Q", "FPO=6Q", "ACT_EST_MAPPING=PRECISE", "FS=MRC", "CURRENCY=USD", "XLFILL=b")</f>
        <v>1545.5718230436707</v>
      </c>
      <c r="X301" s="9">
        <f>_xll.BQL("AMZN US Equity", "IS_AMO_RT_OF_USE_AST_FIN_LS/1M", "FPT=Q", "FPO=7Q", "ACT_EST_MAPPING=PRECISE", "FS=MRC", "CURRENCY=USD", "XLFILL=b")</f>
        <v>1688.0949801707711</v>
      </c>
    </row>
    <row r="302" spans="1:24" x14ac:dyDescent="0.25">
      <c r="A302" s="8" t="s">
        <v>497</v>
      </c>
      <c r="B302" s="4" t="s">
        <v>498</v>
      </c>
      <c r="C302" s="4" t="s">
        <v>499</v>
      </c>
      <c r="D302" s="4"/>
      <c r="E302" s="9">
        <f>_xll.BQL("AMZN US Equity", "IS_INTEREST_ON_FIN_LEASE_LIABS/1M", "FPT=Q", "FPO=-12Q", "ACT_EST_MAPPING=PRECISE", "FS=MRC", "CURRENCY=USD", "XLFILL=b")</f>
        <v>80</v>
      </c>
      <c r="F302" s="9">
        <f>_xll.BQL("AMZN US Equity", "IS_INTEREST_ON_FIN_LEASE_LIABS/1M", "FPT=Q", "FPO=-11Q", "ACT_EST_MAPPING=PRECISE", "FS=MRC", "CURRENCY=USD", "XLFILL=b")</f>
        <v>76</v>
      </c>
      <c r="G302" s="9">
        <f>_xll.BQL("AMZN US Equity", "IS_INTEREST_ON_FIN_LEASE_LIABS/1M", "FPT=Q", "FPO=-10Q", "ACT_EST_MAPPING=PRECISE", "FS=MRC", "CURRENCY=USD", "XLFILL=b")</f>
        <v>74</v>
      </c>
      <c r="H302" s="9">
        <f>_xll.BQL("AMZN US Equity", "IS_INTEREST_ON_FIN_LEASE_LIABS/1M", "FPT=Q", "FPO=-9Q", "ACT_EST_MAPPING=PRECISE", "FS=MRC", "CURRENCY=USD", "XLFILL=b")</f>
        <v>74</v>
      </c>
      <c r="I302" s="9">
        <f>_xll.BQL("AMZN US Equity", "IS_INTEREST_ON_FIN_LEASE_LIABS/1M", "FPT=Q", "FPO=-8Q", "ACT_EST_MAPPING=PRECISE", "FS=MRC", "CURRENCY=USD", "XLFILL=b")</f>
        <v>73</v>
      </c>
      <c r="J302" s="9">
        <f>_xll.BQL("AMZN US Equity", "IS_INTEREST_ON_FIN_LEASE_LIABS/1M", "FPT=Q", "FPO=-7Q", "ACT_EST_MAPPING=PRECISE", "FS=MRC", "CURRENCY=USD", "XLFILL=b")</f>
        <v>72</v>
      </c>
      <c r="K302" s="9">
        <f>_xll.BQL("AMZN US Equity", "IS_INTEREST_ON_FIN_LEASE_LIABS/1M", "FPT=Q", "FPO=-6Q", "ACT_EST_MAPPING=PRECISE", "FS=MRC", "CURRENCY=USD", "XLFILL=b")</f>
        <v>70</v>
      </c>
      <c r="L302" s="9">
        <f>_xll.BQL("AMZN US Equity", "IS_INTEREST_ON_FIN_LEASE_LIABS/1M", "FPT=Q", "FPO=-5Q", "ACT_EST_MAPPING=PRECISE", "FS=MRC", "CURRENCY=USD", "XLFILL=b")</f>
        <v>70</v>
      </c>
      <c r="M302" s="9">
        <f>_xll.BQL("AMZN US Equity", "IS_INTEREST_ON_FIN_LEASE_LIABS/1M", "FPT=Q", "FPO=-4Q", "ACT_EST_MAPPING=PRECISE", "FS=MRC", "CURRENCY=USD", "XLFILL=b")</f>
        <v>71</v>
      </c>
      <c r="N302" s="9">
        <f>_xll.BQL("AMZN US Equity", "IS_INTEREST_ON_FIN_LEASE_LIABS/1M", "FPT=Q", "FPO=-3Q", "ACT_EST_MAPPING=PRECISE", "FS=MRC", "CURRENCY=USD", "XLFILL=b")</f>
        <v>72</v>
      </c>
      <c r="O302" s="9">
        <f>_xll.BQL("AMZN US Equity", "IS_INTEREST_ON_FIN_LEASE_LIABS/1M", "FPT=Q", "FPO=-2Q", "ACT_EST_MAPPING=PRECISE", "FS=MRC", "CURRENCY=USD", "XLFILL=b")</f>
        <v>81</v>
      </c>
      <c r="P302" s="9">
        <f>_xll.BQL("AMZN US Equity", "IS_INTEREST_ON_FIN_LEASE_LIABS/1M", "FPT=Q", "FPO=-1Q", "ACT_EST_MAPPING=PRECISE", "FS=MRC", "CURRENCY=USD", "XLFILL=b")</f>
        <v>88</v>
      </c>
      <c r="Q302" s="9">
        <f>_xll.BQL("AMZN US Equity", "IS_INTEREST_ON_FIN_LEASE_LIABS/1M", "FPT=Q", "FPO=0Q", "ACT_EST_MAPPING=PRECISE", "FS=MRC", "CURRENCY=USD", "XLFILL=b")</f>
        <v>101</v>
      </c>
      <c r="R302" s="9" t="str">
        <f>_xll.BQL("AMZN US Equity", "IS_INTEREST_ON_FIN_LEASE_LIABS/1M", "FPT=Q", "FPO=1Q", "ACT_EST_MAPPING=PRECISE", "FS=MRC", "CURRENCY=USD", "XLFILL=b")</f>
        <v/>
      </c>
      <c r="S302" s="9" t="str">
        <f>_xll.BQL("AMZN US Equity", "IS_INTEREST_ON_FIN_LEASE_LIABS/1M", "FPT=Q", "FPO=2Q", "ACT_EST_MAPPING=PRECISE", "FS=MRC", "CURRENCY=USD", "XLFILL=b")</f>
        <v/>
      </c>
      <c r="T302" s="9" t="str">
        <f>_xll.BQL("AMZN US Equity", "IS_INTEREST_ON_FIN_LEASE_LIABS/1M", "FPT=Q", "FPO=3Q", "ACT_EST_MAPPING=PRECISE", "FS=MRC", "CURRENCY=USD", "XLFILL=b")</f>
        <v/>
      </c>
      <c r="U302" s="9" t="str">
        <f>_xll.BQL("AMZN US Equity", "IS_INTEREST_ON_FIN_LEASE_LIABS/1M", "FPT=Q", "FPO=4Q", "ACT_EST_MAPPING=PRECISE", "FS=MRC", "CURRENCY=USD", "XLFILL=b")</f>
        <v/>
      </c>
      <c r="V302" s="9" t="str">
        <f>_xll.BQL("AMZN US Equity", "IS_INTEREST_ON_FIN_LEASE_LIABS/1M", "FPT=Q", "FPO=5Q", "ACT_EST_MAPPING=PRECISE", "FS=MRC", "CURRENCY=USD", "XLFILL=b")</f>
        <v/>
      </c>
      <c r="W302" s="9" t="str">
        <f>_xll.BQL("AMZN US Equity", "IS_INTEREST_ON_FIN_LEASE_LIABS/1M", "FPT=Q", "FPO=6Q", "ACT_EST_MAPPING=PRECISE", "FS=MRC", "CURRENCY=USD", "XLFILL=b")</f>
        <v/>
      </c>
      <c r="X302" s="9" t="str">
        <f>_xll.BQL("AMZN US Equity", "IS_INTEREST_ON_FIN_LEASE_LIABS/1M", "FPT=Q", "FPO=7Q", "ACT_EST_MAPPING=PRECISE", "FS=MRC", "CURRENCY=USD", "XLFILL=b")</f>
        <v/>
      </c>
    </row>
    <row r="303" spans="1:24" x14ac:dyDescent="0.25">
      <c r="A303" s="8" t="s">
        <v>500</v>
      </c>
      <c r="B303" s="4" t="s">
        <v>501</v>
      </c>
      <c r="C303" s="4" t="s">
        <v>502</v>
      </c>
      <c r="D303" s="4"/>
      <c r="E303" s="9">
        <f>_xll.BQL("AMZN US Equity", "IS_TOTAL_FINANCE_LEASE_COST/1M", "FPT=Q", "FPO=-12Q", "ACT_EST_MAPPING=PRECISE", "FS=MRC", "CURRENCY=USD", "XLFILL=b")</f>
        <v>1626</v>
      </c>
      <c r="F303" s="9">
        <f>_xll.BQL("AMZN US Equity", "IS_TOTAL_FINANCE_LEASE_COST/1M", "FPT=Q", "FPO=-11Q", "ACT_EST_MAPPING=PRECISE", "FS=MRC", "CURRENCY=USD", "XLFILL=b")</f>
        <v>1615</v>
      </c>
      <c r="G303" s="9">
        <f>_xll.BQL("AMZN US Equity", "IS_TOTAL_FINANCE_LEASE_COST/1M", "FPT=Q", "FPO=-10Q", "ACT_EST_MAPPING=PRECISE", "FS=MRC", "CURRENCY=USD", "XLFILL=b")</f>
        <v>1513</v>
      </c>
      <c r="H303" s="9">
        <f>_xll.BQL("AMZN US Equity", "IS_TOTAL_FINANCE_LEASE_COST/1M", "FPT=Q", "FPO=-9Q", "ACT_EST_MAPPING=PRECISE", "FS=MRC", "CURRENCY=USD", "XLFILL=b")</f>
        <v>1449</v>
      </c>
      <c r="I303" s="9">
        <f>_xll.BQL("AMZN US Equity", "IS_TOTAL_FINANCE_LEASE_COST/1M", "FPT=Q", "FPO=-8Q", "ACT_EST_MAPPING=PRECISE", "FS=MRC", "CURRENCY=USD", "XLFILL=b")</f>
        <v>1014</v>
      </c>
      <c r="J303" s="9">
        <f>_xll.BQL("AMZN US Equity", "IS_TOTAL_FINANCE_LEASE_COST/1M", "FPT=Q", "FPO=-7Q", "ACT_EST_MAPPING=PRECISE", "FS=MRC", "CURRENCY=USD", "XLFILL=b")</f>
        <v>1020</v>
      </c>
      <c r="K303" s="9">
        <f>_xll.BQL("AMZN US Equity", "IS_TOTAL_FINANCE_LEASE_COST/1M", "FPT=Q", "FPO=-6Q", "ACT_EST_MAPPING=PRECISE", "FS=MRC", "CURRENCY=USD", "XLFILL=b")</f>
        <v>1110</v>
      </c>
      <c r="L303" s="9">
        <f>_xll.BQL("AMZN US Equity", "IS_TOTAL_FINANCE_LEASE_COST/1M", "FPT=Q", "FPO=-5Q", "ACT_EST_MAPPING=PRECISE", "FS=MRC", "CURRENCY=USD", "XLFILL=b")</f>
        <v>1007</v>
      </c>
      <c r="M303" s="9">
        <f>_xll.BQL("AMZN US Equity", "IS_TOTAL_FINANCE_LEASE_COST/1M", "FPT=Q", "FPO=-4Q", "ACT_EST_MAPPING=PRECISE", "FS=MRC", "CURRENCY=USD", "XLFILL=b")</f>
        <v>944</v>
      </c>
      <c r="N303" s="9">
        <f>_xll.BQL("AMZN US Equity", "IS_TOTAL_FINANCE_LEASE_COST/1M", "FPT=Q", "FPO=-3Q", "ACT_EST_MAPPING=PRECISE", "FS=MRC", "CURRENCY=USD", "XLFILL=b")</f>
        <v>899</v>
      </c>
      <c r="O303" s="9">
        <f>_xll.BQL("AMZN US Equity", "IS_TOTAL_FINANCE_LEASE_COST/1M", "FPT=Q", "FPO=-2Q", "ACT_EST_MAPPING=PRECISE", "FS=MRC", "CURRENCY=USD", "XLFILL=b")</f>
        <v>894</v>
      </c>
      <c r="P303" s="9">
        <f>_xll.BQL("AMZN US Equity", "IS_TOTAL_FINANCE_LEASE_COST/1M", "FPT=Q", "FPO=-1Q", "ACT_EST_MAPPING=PRECISE", "FS=MRC", "CURRENCY=USD", "XLFILL=b")</f>
        <v>859</v>
      </c>
      <c r="Q303" s="9">
        <f>_xll.BQL("AMZN US Equity", "IS_TOTAL_FINANCE_LEASE_COST/1M", "FPT=Q", "FPO=0Q", "ACT_EST_MAPPING=PRECISE", "FS=MRC", "CURRENCY=USD", "XLFILL=b")</f>
        <v>834</v>
      </c>
      <c r="R303" s="9" t="str">
        <f>_xll.BQL("AMZN US Equity", "IS_TOTAL_FINANCE_LEASE_COST/1M", "FPT=Q", "FPO=1Q", "ACT_EST_MAPPING=PRECISE", "FS=MRC", "CURRENCY=USD", "XLFILL=b")</f>
        <v/>
      </c>
      <c r="S303" s="9" t="str">
        <f>_xll.BQL("AMZN US Equity", "IS_TOTAL_FINANCE_LEASE_COST/1M", "FPT=Q", "FPO=2Q", "ACT_EST_MAPPING=PRECISE", "FS=MRC", "CURRENCY=USD", "XLFILL=b")</f>
        <v/>
      </c>
      <c r="T303" s="9" t="str">
        <f>_xll.BQL("AMZN US Equity", "IS_TOTAL_FINANCE_LEASE_COST/1M", "FPT=Q", "FPO=3Q", "ACT_EST_MAPPING=PRECISE", "FS=MRC", "CURRENCY=USD", "XLFILL=b")</f>
        <v/>
      </c>
      <c r="U303" s="9" t="str">
        <f>_xll.BQL("AMZN US Equity", "IS_TOTAL_FINANCE_LEASE_COST/1M", "FPT=Q", "FPO=4Q", "ACT_EST_MAPPING=PRECISE", "FS=MRC", "CURRENCY=USD", "XLFILL=b")</f>
        <v/>
      </c>
      <c r="V303" s="9" t="str">
        <f>_xll.BQL("AMZN US Equity", "IS_TOTAL_FINANCE_LEASE_COST/1M", "FPT=Q", "FPO=5Q", "ACT_EST_MAPPING=PRECISE", "FS=MRC", "CURRENCY=USD", "XLFILL=b")</f>
        <v/>
      </c>
      <c r="W303" s="9" t="str">
        <f>_xll.BQL("AMZN US Equity", "IS_TOTAL_FINANCE_LEASE_COST/1M", "FPT=Q", "FPO=6Q", "ACT_EST_MAPPING=PRECISE", "FS=MRC", "CURRENCY=USD", "XLFILL=b")</f>
        <v/>
      </c>
      <c r="X303" s="9" t="str">
        <f>_xll.BQL("AMZN US Equity", "IS_TOTAL_FINANCE_LEASE_COST/1M", "FPT=Q", "FPO=7Q", "ACT_EST_MAPPING=PRECISE", "FS=MRC", "CURRENCY=USD", "XLFILL=b")</f>
        <v/>
      </c>
    </row>
    <row r="304" spans="1:24" x14ac:dyDescent="0.25">
      <c r="A304" s="8" t="s">
        <v>503</v>
      </c>
      <c r="B304" s="4" t="s">
        <v>504</v>
      </c>
      <c r="C304" s="4" t="s">
        <v>505</v>
      </c>
      <c r="D304" s="4"/>
      <c r="E304" s="9">
        <f>_xll.BQL("AMZN US Equity", "IS_VARIABLE_LEASE_COST/1M", "FPT=Q", "FPO=-12Q", "ACT_EST_MAPPING=PRECISE", "FS=MRC", "CURRENCY=USD", "XLFILL=b")</f>
        <v>518</v>
      </c>
      <c r="F304" s="9">
        <f>_xll.BQL("AMZN US Equity", "IS_VARIABLE_LEASE_COST/1M", "FPT=Q", "FPO=-11Q", "ACT_EST_MAPPING=PRECISE", "FS=MRC", "CURRENCY=USD", "XLFILL=b")</f>
        <v>494</v>
      </c>
      <c r="G304" s="9">
        <f>_xll.BQL("AMZN US Equity", "IS_VARIABLE_LEASE_COST/1M", "FPT=Q", "FPO=-10Q", "ACT_EST_MAPPING=PRECISE", "FS=MRC", "CURRENCY=USD", "XLFILL=b")</f>
        <v>567</v>
      </c>
      <c r="H304" s="9">
        <f>_xll.BQL("AMZN US Equity", "IS_VARIABLE_LEASE_COST/1M", "FPT=Q", "FPO=-9Q", "ACT_EST_MAPPING=PRECISE", "FS=MRC", "CURRENCY=USD", "XLFILL=b")</f>
        <v>586</v>
      </c>
      <c r="I304" s="9">
        <f>_xll.BQL("AMZN US Equity", "IS_VARIABLE_LEASE_COST/1M", "FPT=Q", "FPO=-8Q", "ACT_EST_MAPPING=PRECISE", "FS=MRC", "CURRENCY=USD", "XLFILL=b")</f>
        <v>635</v>
      </c>
      <c r="J304" s="9">
        <f>_xll.BQL("AMZN US Equity", "IS_VARIABLE_LEASE_COST/1M", "FPT=Q", "FPO=-7Q", "ACT_EST_MAPPING=PRECISE", "FS=MRC", "CURRENCY=USD", "XLFILL=b")</f>
        <v>592</v>
      </c>
      <c r="K304" s="9">
        <f>_xll.BQL("AMZN US Equity", "IS_VARIABLE_LEASE_COST/1M", "FPT=Q", "FPO=-6Q", "ACT_EST_MAPPING=PRECISE", "FS=MRC", "CURRENCY=USD", "XLFILL=b")</f>
        <v>605</v>
      </c>
      <c r="L304" s="9">
        <f>_xll.BQL("AMZN US Equity", "IS_VARIABLE_LEASE_COST/1M", "FPT=Q", "FPO=-5Q", "ACT_EST_MAPPING=PRECISE", "FS=MRC", "CURRENCY=USD", "XLFILL=b")</f>
        <v>633</v>
      </c>
      <c r="M304" s="9">
        <f>_xll.BQL("AMZN US Equity", "IS_VARIABLE_LEASE_COST/1M", "FPT=Q", "FPO=-4Q", "ACT_EST_MAPPING=PRECISE", "FS=MRC", "CURRENCY=USD", "XLFILL=b")</f>
        <v>696</v>
      </c>
      <c r="N304" s="9">
        <f>_xll.BQL("AMZN US Equity", "IS_VARIABLE_LEASE_COST/1M", "FPT=Q", "FPO=-3Q", "ACT_EST_MAPPING=PRECISE", "FS=MRC", "CURRENCY=USD", "XLFILL=b")</f>
        <v>659</v>
      </c>
      <c r="O304" s="9">
        <f>_xll.BQL("AMZN US Equity", "IS_VARIABLE_LEASE_COST/1M", "FPT=Q", "FPO=-2Q", "ACT_EST_MAPPING=PRECISE", "FS=MRC", "CURRENCY=USD", "XLFILL=b")</f>
        <v>637</v>
      </c>
      <c r="P304" s="9">
        <f>_xll.BQL("AMZN US Equity", "IS_VARIABLE_LEASE_COST/1M", "FPT=Q", "FPO=-1Q", "ACT_EST_MAPPING=PRECISE", "FS=MRC", "CURRENCY=USD", "XLFILL=b")</f>
        <v>702</v>
      </c>
      <c r="Q304" s="9">
        <f>_xll.BQL("AMZN US Equity", "IS_VARIABLE_LEASE_COST/1M", "FPT=Q", "FPO=0Q", "ACT_EST_MAPPING=PRECISE", "FS=MRC", "CURRENCY=USD", "XLFILL=b")</f>
        <v>742</v>
      </c>
      <c r="R304" s="9" t="str">
        <f>_xll.BQL("AMZN US Equity", "IS_VARIABLE_LEASE_COST/1M", "FPT=Q", "FPO=1Q", "ACT_EST_MAPPING=PRECISE", "FS=MRC", "CURRENCY=USD", "XLFILL=b")</f>
        <v/>
      </c>
      <c r="S304" s="9" t="str">
        <f>_xll.BQL("AMZN US Equity", "IS_VARIABLE_LEASE_COST/1M", "FPT=Q", "FPO=2Q", "ACT_EST_MAPPING=PRECISE", "FS=MRC", "CURRENCY=USD", "XLFILL=b")</f>
        <v/>
      </c>
      <c r="T304" s="9" t="str">
        <f>_xll.BQL("AMZN US Equity", "IS_VARIABLE_LEASE_COST/1M", "FPT=Q", "FPO=3Q", "ACT_EST_MAPPING=PRECISE", "FS=MRC", "CURRENCY=USD", "XLFILL=b")</f>
        <v/>
      </c>
      <c r="U304" s="9" t="str">
        <f>_xll.BQL("AMZN US Equity", "IS_VARIABLE_LEASE_COST/1M", "FPT=Q", "FPO=4Q", "ACT_EST_MAPPING=PRECISE", "FS=MRC", "CURRENCY=USD", "XLFILL=b")</f>
        <v/>
      </c>
      <c r="V304" s="9" t="str">
        <f>_xll.BQL("AMZN US Equity", "IS_VARIABLE_LEASE_COST/1M", "FPT=Q", "FPO=5Q", "ACT_EST_MAPPING=PRECISE", "FS=MRC", "CURRENCY=USD", "XLFILL=b")</f>
        <v/>
      </c>
      <c r="W304" s="9" t="str">
        <f>_xll.BQL("AMZN US Equity", "IS_VARIABLE_LEASE_COST/1M", "FPT=Q", "FPO=6Q", "ACT_EST_MAPPING=PRECISE", "FS=MRC", "CURRENCY=USD", "XLFILL=b")</f>
        <v/>
      </c>
      <c r="X304" s="9" t="str">
        <f>_xll.BQL("AMZN US Equity", "IS_VARIABLE_LEASE_COST/1M", "FPT=Q", "FPO=7Q", "ACT_EST_MAPPING=PRECISE", "FS=MRC", "CURRENCY=USD", "XLFILL=b")</f>
        <v/>
      </c>
    </row>
    <row r="305" spans="1:24" x14ac:dyDescent="0.25">
      <c r="A305" s="8" t="s">
        <v>14</v>
      </c>
      <c r="B305" s="4"/>
      <c r="C305" s="4"/>
      <c r="D305" s="4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</row>
    <row r="306" spans="1:24" x14ac:dyDescent="0.25">
      <c r="A306" s="8" t="s">
        <v>506</v>
      </c>
      <c r="B306" s="4"/>
      <c r="C306" s="4"/>
      <c r="D306" s="4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</row>
    <row r="307" spans="1:24" x14ac:dyDescent="0.25">
      <c r="A307" s="8" t="s">
        <v>507</v>
      </c>
      <c r="B307" s="4"/>
      <c r="C307" s="4"/>
      <c r="D307" s="4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</row>
    <row r="308" spans="1:24" x14ac:dyDescent="0.25">
      <c r="A308" s="8" t="s">
        <v>307</v>
      </c>
      <c r="B308" s="4" t="s">
        <v>258</v>
      </c>
      <c r="C308" s="4" t="s">
        <v>259</v>
      </c>
      <c r="D308" s="4"/>
      <c r="E308" s="9">
        <f>_xll.BQL("AMZN US Equity", "IS_COMP_NET_INCOME_GAAP/1M", "FPT=Q", "FPO=-12Q", "ACT_EST_MAPPING=PRECISE", "FS=MRC", "CURRENCY=USD", "XLFILL=b")</f>
        <v>3567</v>
      </c>
      <c r="F308" s="9">
        <f>_xll.BQL("AMZN US Equity", "IS_COMP_NET_INCOME_GAAP/1M", "FPT=Q", "FPO=-11Q", "ACT_EST_MAPPING=PRECISE", "FS=MRC", "CURRENCY=USD", "XLFILL=b")</f>
        <v>6592</v>
      </c>
      <c r="G308" s="9">
        <f>_xll.BQL("AMZN US Equity", "IS_COMP_NET_INCOME_GAAP/1M", "FPT=Q", "FPO=-10Q", "ACT_EST_MAPPING=PRECISE", "FS=MRC", "CURRENCY=USD", "XLFILL=b")</f>
        <v>8931</v>
      </c>
      <c r="H308" s="9">
        <f>_xll.BQL("AMZN US Equity", "IS_COMP_NET_INCOME_GAAP/1M", "FPT=Q", "FPO=-9Q", "ACT_EST_MAPPING=PRECISE", "FS=MRC", "CURRENCY=USD", "XLFILL=b")</f>
        <v>10703</v>
      </c>
      <c r="I308" s="9">
        <f>_xll.BQL("AMZN US Equity", "IS_COMP_NET_INCOME_GAAP/1M", "FPT=Q", "FPO=-8Q", "ACT_EST_MAPPING=PRECISE", "FS=MRC", "CURRENCY=USD", "XLFILL=b")</f>
        <v>10431</v>
      </c>
      <c r="J308" s="9">
        <f>_xll.BQL("AMZN US Equity", "IS_COMP_NET_INCOME_GAAP/1M", "FPT=Q", "FPO=-7Q", "ACT_EST_MAPPING=PRECISE", "FS=MRC", "CURRENCY=USD", "XLFILL=b")</f>
        <v>13485</v>
      </c>
      <c r="K308" s="9">
        <f>_xll.BQL("AMZN US Equity", "IS_COMP_NET_INCOME_GAAP/1M", "FPT=Q", "FPO=-6Q", "ACT_EST_MAPPING=PRECISE", "FS=MRC", "CURRENCY=USD", "XLFILL=b")</f>
        <v>15328</v>
      </c>
      <c r="L308" s="9">
        <f>_xll.BQL("AMZN US Equity", "IS_COMP_NET_INCOME_GAAP/1M", "FPT=Q", "FPO=-5Q", "ACT_EST_MAPPING=PRECISE", "FS=MRC", "CURRENCY=USD", "XLFILL=b")</f>
        <v>20004</v>
      </c>
      <c r="M308" s="9">
        <f>_xll.BQL("AMZN US Equity", "IS_COMP_NET_INCOME_GAAP/1M", "FPT=Q", "FPO=-4Q", "ACT_EST_MAPPING=PRECISE", "FS=MRC", "CURRENCY=USD", "XLFILL=b")</f>
        <v>17127</v>
      </c>
      <c r="N308" s="9">
        <f>_xll.BQL("AMZN US Equity", "IS_COMP_NET_INCOME_GAAP/1M", "FPT=Q", "FPO=-3Q", "ACT_EST_MAPPING=PRECISE", "FS=MRC", "CURRENCY=USD", "XLFILL=b")</f>
        <v>18164</v>
      </c>
      <c r="O308" s="9">
        <f>_xll.BQL("AMZN US Equity", "IS_COMP_NET_INCOME_GAAP/1M", "FPT=Q", "FPO=-2Q", "ACT_EST_MAPPING=PRECISE", "FS=MRC", "CURRENCY=USD", "XLFILL=b")</f>
        <v>21187</v>
      </c>
      <c r="P308" s="9">
        <f>_xll.BQL("AMZN US Equity", "IS_COMP_NET_INCOME_GAAP/1M", "FPT=Q", "FPO=-1Q", "ACT_EST_MAPPING=PRECISE", "FS=MRC", "CURRENCY=USD", "XLFILL=b")</f>
        <v>21192</v>
      </c>
      <c r="Q308" s="9">
        <f>_xll.BQL("AMZN US Equity", "IS_COMP_NET_INCOME_GAAP/1M", "FPT=Q", "FPO=0Q", "ACT_EST_MAPPING=PRECISE", "FS=MRC", "CURRENCY=USD", "XLFILL=b")</f>
        <v>30255</v>
      </c>
      <c r="R308" s="9">
        <f>_xll.BQL("AMZN US Equity", "IS_COMP_NET_INCOME_GAAP/1M", "FPT=Q", "FPO=1Q", "ACT_EST_MAPPING=PRECISE", "FS=MRC", "CURRENCY=USD", "XLFILL=b")</f>
        <v>19894.923076923078</v>
      </c>
      <c r="S308" s="9">
        <f>_xll.BQL("AMZN US Equity", "IS_COMP_NET_INCOME_GAAP/1M", "FPT=Q", "FPO=2Q", "ACT_EST_MAPPING=PRECISE", "FS=MRC", "CURRENCY=USD", "XLFILL=b")</f>
        <v>21007.973684210527</v>
      </c>
      <c r="T308" s="9">
        <f>_xll.BQL("AMZN US Equity", "IS_COMP_NET_INCOME_GAAP/1M", "FPT=Q", "FPO=3Q", "ACT_EST_MAPPING=PRECISE", "FS=MRC", "CURRENCY=USD", "XLFILL=b")</f>
        <v>26061.486486486487</v>
      </c>
      <c r="U308" s="9">
        <f>_xll.BQL("AMZN US Equity", "IS_COMP_NET_INCOME_GAAP/1M", "FPT=Q", "FPO=4Q", "ACT_EST_MAPPING=PRECISE", "FS=MRC", "CURRENCY=USD", "XLFILL=b")</f>
        <v>24999.208333333332</v>
      </c>
      <c r="V308" s="9">
        <f>_xll.BQL("AMZN US Equity", "IS_COMP_NET_INCOME_GAAP/1M", "FPT=Q", "FPO=5Q", "ACT_EST_MAPPING=PRECISE", "FS=MRC", "CURRENCY=USD", "XLFILL=b")</f>
        <v>26142.565217391304</v>
      </c>
      <c r="W308" s="9">
        <f>_xll.BQL("AMZN US Equity", "IS_COMP_NET_INCOME_GAAP/1M", "FPT=Q", "FPO=6Q", "ACT_EST_MAPPING=PRECISE", "FS=MRC", "CURRENCY=USD", "XLFILL=b")</f>
        <v>27489.652173913044</v>
      </c>
      <c r="X308" s="9">
        <f>_xll.BQL("AMZN US Equity", "IS_COMP_NET_INCOME_GAAP/1M", "FPT=Q", "FPO=7Q", "ACT_EST_MAPPING=PRECISE", "FS=MRC", "CURRENCY=USD", "XLFILL=b")</f>
        <v>33460.17391304348</v>
      </c>
    </row>
    <row r="309" spans="1:24" x14ac:dyDescent="0.25">
      <c r="A309" s="8" t="s">
        <v>137</v>
      </c>
      <c r="B309" s="4" t="s">
        <v>508</v>
      </c>
      <c r="C309" s="4" t="s">
        <v>509</v>
      </c>
      <c r="D309" s="4"/>
      <c r="E309" s="9">
        <f>_xll.BQL("AMZN US Equity", "CF_DEPR_AMORT/1M", "FPT=Q", "FPO=-12Q", "ACT_EST_MAPPING=PRECISE", "FS=MRC", "CURRENCY=USD", "XLFILL=b")</f>
        <v>11123</v>
      </c>
      <c r="F309" s="9">
        <f>_xll.BQL("AMZN US Equity", "CF_DEPR_AMORT/1M", "FPT=Q", "FPO=-11Q", "ACT_EST_MAPPING=PRECISE", "FS=MRC", "CURRENCY=USD", "XLFILL=b")</f>
        <v>11589</v>
      </c>
      <c r="G309" s="9">
        <f>_xll.BQL("AMZN US Equity", "CF_DEPR_AMORT/1M", "FPT=Q", "FPO=-10Q", "ACT_EST_MAPPING=PRECISE", "FS=MRC", "CURRENCY=USD", "XLFILL=b")</f>
        <v>12131</v>
      </c>
      <c r="H309" s="9">
        <f>_xll.BQL("AMZN US Equity", "CF_DEPR_AMORT/1M", "FPT=Q", "FPO=-9Q", "ACT_EST_MAPPING=PRECISE", "FS=MRC", "CURRENCY=USD", "XLFILL=b")</f>
        <v>13820</v>
      </c>
      <c r="I309" s="9">
        <f>_xll.BQL("AMZN US Equity", "CF_DEPR_AMORT/1M", "FPT=Q", "FPO=-8Q", "ACT_EST_MAPPING=PRECISE", "FS=MRC", "CURRENCY=USD", "XLFILL=b")</f>
        <v>11684</v>
      </c>
      <c r="J309" s="9">
        <f>_xll.BQL("AMZN US Equity", "CF_DEPR_AMORT/1M", "FPT=Q", "FPO=-7Q", "ACT_EST_MAPPING=PRECISE", "FS=MRC", "CURRENCY=USD", "XLFILL=b")</f>
        <v>12038</v>
      </c>
      <c r="K309" s="9">
        <f>_xll.BQL("AMZN US Equity", "CF_DEPR_AMORT/1M", "FPT=Q", "FPO=-6Q", "ACT_EST_MAPPING=PRECISE", "FS=MRC", "CURRENCY=USD", "XLFILL=b")</f>
        <v>13442</v>
      </c>
      <c r="L309" s="9">
        <f>_xll.BQL("AMZN US Equity", "CF_DEPR_AMORT/1M", "FPT=Q", "FPO=-5Q", "ACT_EST_MAPPING=PRECISE", "FS=MRC", "CURRENCY=USD", "XLFILL=b")</f>
        <v>15631</v>
      </c>
      <c r="M309" s="9">
        <f>_xll.BQL("AMZN US Equity", "CF_DEPR_AMORT/1M", "FPT=Q", "FPO=-4Q", "ACT_EST_MAPPING=PRECISE", "FS=MRC", "CURRENCY=USD", "XLFILL=b")</f>
        <v>14262</v>
      </c>
      <c r="N309" s="9">
        <f>_xll.BQL("AMZN US Equity", "CF_DEPR_AMORT/1M", "FPT=Q", "FPO=-3Q", "ACT_EST_MAPPING=PRECISE", "FS=MRC", "CURRENCY=USD", "XLFILL=b")</f>
        <v>15227</v>
      </c>
      <c r="O309" s="9">
        <f>_xll.BQL("AMZN US Equity", "CF_DEPR_AMORT/1M", "FPT=Q", "FPO=-2Q", "ACT_EST_MAPPING=PRECISE", "FS=MRC", "CURRENCY=USD", "XLFILL=b")</f>
        <v>16796</v>
      </c>
      <c r="P309" s="9">
        <f>_xll.BQL("AMZN US Equity", "CF_DEPR_AMORT/1M", "FPT=Q", "FPO=-1Q", "ACT_EST_MAPPING=PRECISE", "FS=MRC", "CURRENCY=USD", "XLFILL=b")</f>
        <v>19471</v>
      </c>
      <c r="Q309" s="9">
        <f>_xll.BQL("AMZN US Equity", "CF_DEPR_AMORT/1M", "FPT=Q", "FPO=0Q", "ACT_EST_MAPPING=PRECISE", "FS=MRC", "CURRENCY=USD", "XLFILL=b")</f>
        <v>18945</v>
      </c>
      <c r="R309" s="9">
        <f>_xll.BQL("AMZN US Equity", "CF_DEPR_AMORT/1M", "FPT=Q", "FPO=1Q", "ACT_EST_MAPPING=PRECISE", "FS=MRC", "CURRENCY=USD", "XLFILL=b")</f>
        <v>20667.509047076575</v>
      </c>
      <c r="S309" s="9">
        <f>_xll.BQL("AMZN US Equity", "CF_DEPR_AMORT/1M", "FPT=Q", "FPO=2Q", "ACT_EST_MAPPING=PRECISE", "FS=MRC", "CURRENCY=USD", "XLFILL=b")</f>
        <v>21965.882956064117</v>
      </c>
      <c r="T309" s="9">
        <f>_xll.BQL("AMZN US Equity", "CF_DEPR_AMORT/1M", "FPT=Q", "FPO=3Q", "ACT_EST_MAPPING=PRECISE", "FS=MRC", "CURRENCY=USD", "XLFILL=b")</f>
        <v>24500.464932037528</v>
      </c>
      <c r="U309" s="9">
        <f>_xll.BQL("AMZN US Equity", "CF_DEPR_AMORT/1M", "FPT=Q", "FPO=4Q", "ACT_EST_MAPPING=PRECISE", "FS=MRC", "CURRENCY=USD", "XLFILL=b")</f>
        <v>24653.218821973162</v>
      </c>
      <c r="V309" s="9">
        <f>_xll.BQL("AMZN US Equity", "CF_DEPR_AMORT/1M", "FPT=Q", "FPO=5Q", "ACT_EST_MAPPING=PRECISE", "FS=MRC", "CURRENCY=USD", "XLFILL=b")</f>
        <v>26463.252074015985</v>
      </c>
      <c r="W309" s="9">
        <f>_xll.BQL("AMZN US Equity", "CF_DEPR_AMORT/1M", "FPT=Q", "FPO=6Q", "ACT_EST_MAPPING=PRECISE", "FS=MRC", "CURRENCY=USD", "XLFILL=b")</f>
        <v>28245.08042325791</v>
      </c>
      <c r="X309" s="9">
        <f>_xll.BQL("AMZN US Equity", "CF_DEPR_AMORT/1M", "FPT=Q", "FPO=7Q", "ACT_EST_MAPPING=PRECISE", "FS=MRC", "CURRENCY=USD", "XLFILL=b")</f>
        <v>31185.701248633552</v>
      </c>
    </row>
    <row r="310" spans="1:24" x14ac:dyDescent="0.25">
      <c r="A310" s="8" t="s">
        <v>510</v>
      </c>
      <c r="B310" s="4" t="s">
        <v>511</v>
      </c>
      <c r="C310" s="4" t="s">
        <v>512</v>
      </c>
      <c r="D310" s="4"/>
      <c r="E310" s="9">
        <f>_xll.BQL("AMZN US Equity", "D_AND_A_TO_SALES", "FPT=Q", "FPO=-12Q", "ACT_EST_MAPPING=PRECISE", "FS=MRC", "CURRENCY=USD", "XLFILL=b")</f>
        <v>8.7336484555347909</v>
      </c>
      <c r="F310" s="9">
        <f>_xll.BQL("AMZN US Equity", "D_AND_A_TO_SALES", "FPT=Q", "FPO=-11Q", "ACT_EST_MAPPING=PRECISE", "FS=MRC", "CURRENCY=USD", "XLFILL=b")</f>
        <v>8.6238586725999564</v>
      </c>
      <c r="G310" s="9">
        <f>_xll.BQL("AMZN US Equity", "D_AND_A_TO_SALES", "FPT=Q", "FPO=-10Q", "ACT_EST_MAPPING=PRECISE", "FS=MRC", "CURRENCY=USD", "XLFILL=b")</f>
        <v>8.4782958143175637</v>
      </c>
      <c r="H310" s="9">
        <f>_xll.BQL("AMZN US Equity", "D_AND_A_TO_SALES", "FPT=Q", "FPO=-9Q", "ACT_EST_MAPPING=PRECISE", "FS=MRC", "CURRENCY=USD", "XLFILL=b")</f>
        <v>8.1312771753519915</v>
      </c>
      <c r="I310" s="9">
        <f>_xll.BQL("AMZN US Equity", "D_AND_A_TO_SALES", "FPT=Q", "FPO=-8Q", "ACT_EST_MAPPING=PRECISE", "FS=MRC", "CURRENCY=USD", "XLFILL=b")</f>
        <v>8.1527844647729086</v>
      </c>
      <c r="J310" s="9">
        <f>_xll.BQL("AMZN US Equity", "D_AND_A_TO_SALES", "FPT=Q", "FPO=-7Q", "ACT_EST_MAPPING=PRECISE", "FS=MRC", "CURRENCY=USD", "XLFILL=b")</f>
        <v>8.1350480142184249</v>
      </c>
      <c r="K310" s="9">
        <f>_xll.BQL("AMZN US Equity", "D_AND_A_TO_SALES", "FPT=Q", "FPO=-6Q", "ACT_EST_MAPPING=PRECISE", "FS=MRC", "CURRENCY=USD", "XLFILL=b")</f>
        <v>8.4606330683484714</v>
      </c>
      <c r="L310" s="9">
        <f>_xll.BQL("AMZN US Equity", "D_AND_A_TO_SALES", "FPT=Q", "FPO=-5Q", "ACT_EST_MAPPING=PRECISE", "FS=MRC", "CURRENCY=USD", "XLFILL=b")</f>
        <v>8.3235707591377697</v>
      </c>
      <c r="M310" s="9">
        <f>_xll.BQL("AMZN US Equity", "D_AND_A_TO_SALES", "FPT=Q", "FPO=-4Q", "ACT_EST_MAPPING=PRECISE", "FS=MRC", "CURRENCY=USD", "XLFILL=b")</f>
        <v>9.1618647497542831</v>
      </c>
      <c r="N310" s="9">
        <f>_xll.BQL("AMZN US Equity", "D_AND_A_TO_SALES", "FPT=Q", "FPO=-3Q", "ACT_EST_MAPPING=PRECISE", "FS=MRC", "CURRENCY=USD", "XLFILL=b")</f>
        <v>9.0797963053511577</v>
      </c>
      <c r="O310" s="9">
        <f>_xll.BQL("AMZN US Equity", "D_AND_A_TO_SALES", "FPT=Q", "FPO=-2Q", "ACT_EST_MAPPING=PRECISE", "FS=MRC", "CURRENCY=USD", "XLFILL=b")</f>
        <v>9.3223584523419678</v>
      </c>
      <c r="P310" s="9">
        <f>_xll.BQL("AMZN US Equity", "D_AND_A_TO_SALES", "FPT=Q", "FPO=-1Q", "ACT_EST_MAPPING=PRECISE", "FS=MRC", "CURRENCY=USD", "XLFILL=b")</f>
        <v>9.1247785702904594</v>
      </c>
      <c r="Q310" s="9">
        <f>_xll.BQL("AMZN US Equity", "D_AND_A_TO_SALES", "FPT=Q", "FPO=0Q", "ACT_EST_MAPPING=PRECISE", "FS=MRC", "CURRENCY=USD", "XLFILL=b")</f>
        <v>10.436923958373503</v>
      </c>
      <c r="R310" s="9">
        <f>_xll.BQL("AMZN US Equity", "D_AND_A_TO_SALES", "FPT=Q", "FPO=1Q", "ACT_EST_MAPPING=PRECISE", "FS=MRC", "CURRENCY=USD", "XLFILL=b")</f>
        <v>10.651171016338642</v>
      </c>
      <c r="S310" s="9">
        <f>_xll.BQL("AMZN US Equity", "D_AND_A_TO_SALES", "FPT=Q", "FPO=2Q", "ACT_EST_MAPPING=PRECISE", "FS=MRC", "CURRENCY=USD", "XLFILL=b")</f>
        <v>10.79371712137743</v>
      </c>
      <c r="T310" s="9">
        <f>_xll.BQL("AMZN US Equity", "D_AND_A_TO_SALES", "FPT=Q", "FPO=3Q", "ACT_EST_MAPPING=PRECISE", "FS=MRC", "CURRENCY=USD", "XLFILL=b")</f>
        <v>10.225375410146446</v>
      </c>
      <c r="U310" s="9">
        <f>_xll.BQL("AMZN US Equity", "D_AND_A_TO_SALES", "FPT=Q", "FPO=4Q", "ACT_EST_MAPPING=PRECISE", "FS=MRC", "CURRENCY=USD", "XLFILL=b")</f>
        <v>11.823095638030983</v>
      </c>
      <c r="V310" s="9">
        <f>_xll.BQL("AMZN US Equity", "D_AND_A_TO_SALES", "FPT=Q", "FPO=5Q", "ACT_EST_MAPPING=PRECISE", "FS=MRC", "CURRENCY=USD", "XLFILL=b")</f>
        <v>11.80478619232548</v>
      </c>
      <c r="W310" s="9">
        <f>_xll.BQL("AMZN US Equity", "D_AND_A_TO_SALES", "FPT=Q", "FPO=6Q", "ACT_EST_MAPPING=PRECISE", "FS=MRC", "CURRENCY=USD", "XLFILL=b")</f>
        <v>11.955661007961382</v>
      </c>
      <c r="X310" s="9">
        <f>_xll.BQL("AMZN US Equity", "D_AND_A_TO_SALES", "FPT=Q", "FPO=7Q", "ACT_EST_MAPPING=PRECISE", "FS=MRC", "CURRENCY=USD", "XLFILL=b")</f>
        <v>11.355698709811685</v>
      </c>
    </row>
    <row r="311" spans="1:24" x14ac:dyDescent="0.25">
      <c r="A311" s="8" t="s">
        <v>314</v>
      </c>
      <c r="B311" s="4" t="s">
        <v>315</v>
      </c>
      <c r="C311" s="4" t="s">
        <v>316</v>
      </c>
      <c r="D311" s="4"/>
      <c r="E311" s="9">
        <f>_xll.BQL("AMZN US Equity", "CF_STOCK_BASED_COMPENSATION/1M", "FPT=Q", "FPO=-12Q", "ACT_EST_MAPPING=PRECISE", "FS=MRC", "CURRENCY=USD", "XLFILL=b")</f>
        <v>4748</v>
      </c>
      <c r="F311" s="9">
        <f>_xll.BQL("AMZN US Equity", "CF_STOCK_BASED_COMPENSATION/1M", "FPT=Q", "FPO=-11Q", "ACT_EST_MAPPING=PRECISE", "FS=MRC", "CURRENCY=USD", "XLFILL=b")</f>
        <v>7127</v>
      </c>
      <c r="G311" s="9">
        <f>_xll.BQL("AMZN US Equity", "CF_STOCK_BASED_COMPENSATION/1M", "FPT=Q", "FPO=-10Q", "ACT_EST_MAPPING=PRECISE", "FS=MRC", "CURRENCY=USD", "XLFILL=b")</f>
        <v>5829</v>
      </c>
      <c r="H311" s="9">
        <f>_xll.BQL("AMZN US Equity", "CF_STOCK_BASED_COMPENSATION/1M", "FPT=Q", "FPO=-9Q", "ACT_EST_MAPPING=PRECISE", "FS=MRC", "CURRENCY=USD", "XLFILL=b")</f>
        <v>6319</v>
      </c>
      <c r="I311" s="9">
        <f>_xll.BQL("AMZN US Equity", "CF_STOCK_BASED_COMPENSATION/1M", "FPT=Q", "FPO=-8Q", "ACT_EST_MAPPING=PRECISE", "FS=MRC", "CURRENCY=USD", "XLFILL=b")</f>
        <v>4961</v>
      </c>
      <c r="J311" s="9">
        <f>_xll.BQL("AMZN US Equity", "CF_STOCK_BASED_COMPENSATION/1M", "FPT=Q", "FPO=-7Q", "ACT_EST_MAPPING=PRECISE", "FS=MRC", "CURRENCY=USD", "XLFILL=b")</f>
        <v>6722</v>
      </c>
      <c r="K311" s="9">
        <f>_xll.BQL("AMZN US Equity", "CF_STOCK_BASED_COMPENSATION/1M", "FPT=Q", "FPO=-6Q", "ACT_EST_MAPPING=PRECISE", "FS=MRC", "CURRENCY=USD", "XLFILL=b")</f>
        <v>5333</v>
      </c>
      <c r="L311" s="9">
        <f>_xll.BQL("AMZN US Equity", "CF_STOCK_BASED_COMPENSATION/1M", "FPT=Q", "FPO=-5Q", "ACT_EST_MAPPING=PRECISE", "FS=MRC", "CURRENCY=USD", "XLFILL=b")</f>
        <v>4995</v>
      </c>
      <c r="M311" s="9">
        <f>_xll.BQL("AMZN US Equity", "CF_STOCK_BASED_COMPENSATION/1M", "FPT=Q", "FPO=-4Q", "ACT_EST_MAPPING=PRECISE", "FS=MRC", "CURRENCY=USD", "XLFILL=b")</f>
        <v>3689</v>
      </c>
      <c r="N311" s="9">
        <f>_xll.BQL("AMZN US Equity", "CF_STOCK_BASED_COMPENSATION/1M", "FPT=Q", "FPO=-3Q", "ACT_EST_MAPPING=PRECISE", "FS=MRC", "CURRENCY=USD", "XLFILL=b")</f>
        <v>6534</v>
      </c>
      <c r="O311" s="9">
        <f>_xll.BQL("AMZN US Equity", "CF_STOCK_BASED_COMPENSATION/1M", "FPT=Q", "FPO=-2Q", "ACT_EST_MAPPING=PRECISE", "FS=MRC", "CURRENCY=USD", "XLFILL=b")</f>
        <v>4847</v>
      </c>
      <c r="P311" s="9">
        <f>_xll.BQL("AMZN US Equity", "CF_STOCK_BASED_COMPENSATION/1M", "FPT=Q", "FPO=-1Q", "ACT_EST_MAPPING=PRECISE", "FS=MRC", "CURRENCY=USD", "XLFILL=b")</f>
        <v>4397</v>
      </c>
      <c r="Q311" s="9">
        <f>_xll.BQL("AMZN US Equity", "CF_STOCK_BASED_COMPENSATION/1M", "FPT=Q", "FPO=0Q", "ACT_EST_MAPPING=PRECISE", "FS=MRC", "CURRENCY=USD", "XLFILL=b")</f>
        <v>4032</v>
      </c>
      <c r="R311" s="9">
        <f>_xll.BQL("AMZN US Equity", "CF_STOCK_BASED_COMPENSATION/1M", "FPT=Q", "FPO=1Q", "ACT_EST_MAPPING=PRECISE", "FS=MRC", "CURRENCY=USD", "XLFILL=b")</f>
        <v>6497.8772229369279</v>
      </c>
      <c r="S311" s="9">
        <f>_xll.BQL("AMZN US Equity", "CF_STOCK_BASED_COMPENSATION/1M", "FPT=Q", "FPO=2Q", "ACT_EST_MAPPING=PRECISE", "FS=MRC", "CURRENCY=USD", "XLFILL=b")</f>
        <v>5090.1375218443991</v>
      </c>
      <c r="T311" s="9">
        <f>_xll.BQL("AMZN US Equity", "CF_STOCK_BASED_COMPENSATION/1M", "FPT=Q", "FPO=3Q", "ACT_EST_MAPPING=PRECISE", "FS=MRC", "CURRENCY=USD", "XLFILL=b")</f>
        <v>4892.2856434080513</v>
      </c>
      <c r="U311" s="9">
        <f>_xll.BQL("AMZN US Equity", "CF_STOCK_BASED_COMPENSATION/1M", "FPT=Q", "FPO=4Q", "ACT_EST_MAPPING=PRECISE", "FS=MRC", "CURRENCY=USD", "XLFILL=b")</f>
        <v>4454.0473094639901</v>
      </c>
      <c r="V311" s="9">
        <f>_xll.BQL("AMZN US Equity", "CF_STOCK_BASED_COMPENSATION/1M", "FPT=Q", "FPO=5Q", "ACT_EST_MAPPING=PRECISE", "FS=MRC", "CURRENCY=USD", "XLFILL=b")</f>
        <v>7123.0016596607466</v>
      </c>
      <c r="W311" s="9">
        <f>_xll.BQL("AMZN US Equity", "CF_STOCK_BASED_COMPENSATION/1M", "FPT=Q", "FPO=6Q", "ACT_EST_MAPPING=PRECISE", "FS=MRC", "CURRENCY=USD", "XLFILL=b")</f>
        <v>5754.0376124679979</v>
      </c>
      <c r="X311" s="9">
        <f>_xll.BQL("AMZN US Equity", "CF_STOCK_BASED_COMPENSATION/1M", "FPT=Q", "FPO=7Q", "ACT_EST_MAPPING=PRECISE", "FS=MRC", "CURRENCY=USD", "XLFILL=b")</f>
        <v>5555.5252931951627</v>
      </c>
    </row>
    <row r="312" spans="1:24" x14ac:dyDescent="0.25">
      <c r="A312" s="8" t="s">
        <v>513</v>
      </c>
      <c r="B312" s="4" t="s">
        <v>514</v>
      </c>
      <c r="C312" s="4" t="s">
        <v>515</v>
      </c>
      <c r="D312" s="4"/>
      <c r="E312" s="9">
        <f>_xll.BQL("AMZN US Equity", "CF_DEF_INC_TAX/1M", "FPT=Q", "FPO=-12Q", "ACT_EST_MAPPING=PRECISE", "FS=MRC", "CURRENCY=USD", "XLFILL=b")</f>
        <v>-472</v>
      </c>
      <c r="F312" s="9">
        <f>_xll.BQL("AMZN US Equity", "CF_DEF_INC_TAX/1M", "FPT=Q", "FPO=-11Q", "ACT_EST_MAPPING=PRECISE", "FS=MRC", "CURRENCY=USD", "XLFILL=b")</f>
        <v>-2744</v>
      </c>
      <c r="G312" s="9">
        <f>_xll.BQL("AMZN US Equity", "CF_DEF_INC_TAX/1M", "FPT=Q", "FPO=-10Q", "ACT_EST_MAPPING=PRECISE", "FS=MRC", "CURRENCY=USD", "XLFILL=b")</f>
        <v>-1196</v>
      </c>
      <c r="H312" s="9">
        <f>_xll.BQL("AMZN US Equity", "CF_DEF_INC_TAX/1M", "FPT=Q", "FPO=-9Q", "ACT_EST_MAPPING=PRECISE", "FS=MRC", "CURRENCY=USD", "XLFILL=b")</f>
        <v>-1464</v>
      </c>
      <c r="I312" s="9">
        <f>_xll.BQL("AMZN US Equity", "CF_DEF_INC_TAX/1M", "FPT=Q", "FPO=-8Q", "ACT_EST_MAPPING=PRECISE", "FS=MRC", "CURRENCY=USD", "XLFILL=b")</f>
        <v>-938</v>
      </c>
      <c r="J312" s="9">
        <f>_xll.BQL("AMZN US Equity", "CF_DEF_INC_TAX/1M", "FPT=Q", "FPO=-7Q", "ACT_EST_MAPPING=PRECISE", "FS=MRC", "CURRENCY=USD", "XLFILL=b")</f>
        <v>-785</v>
      </c>
      <c r="K312" s="9">
        <f>_xll.BQL("AMZN US Equity", "CF_DEF_INC_TAX/1M", "FPT=Q", "FPO=-6Q", "ACT_EST_MAPPING=PRECISE", "FS=MRC", "CURRENCY=USD", "XLFILL=b")</f>
        <v>-1317</v>
      </c>
      <c r="L312" s="9">
        <f>_xll.BQL("AMZN US Equity", "CF_DEF_INC_TAX/1M", "FPT=Q", "FPO=-5Q", "ACT_EST_MAPPING=PRECISE", "FS=MRC", "CURRENCY=USD", "XLFILL=b")</f>
        <v>-1608</v>
      </c>
      <c r="M312" s="9">
        <f>_xll.BQL("AMZN US Equity", "CF_DEF_INC_TAX/1M", "FPT=Q", "FPO=-4Q", "ACT_EST_MAPPING=PRECISE", "FS=MRC", "CURRENCY=USD", "XLFILL=b")</f>
        <v>507</v>
      </c>
      <c r="N312" s="9">
        <f>_xll.BQL("AMZN US Equity", "CF_DEF_INC_TAX/1M", "FPT=Q", "FPO=-3Q", "ACT_EST_MAPPING=PRECISE", "FS=MRC", "CURRENCY=USD", "XLFILL=b")</f>
        <v>11</v>
      </c>
      <c r="O312" s="9">
        <f>_xll.BQL("AMZN US Equity", "CF_DEF_INC_TAX/1M", "FPT=Q", "FPO=-2Q", "ACT_EST_MAPPING=PRECISE", "FS=MRC", "CURRENCY=USD", "XLFILL=b")</f>
        <v>10130</v>
      </c>
      <c r="P312" s="9">
        <f>_xll.BQL("AMZN US Equity", "CF_DEF_INC_TAX/1M", "FPT=Q", "FPO=-1Q", "ACT_EST_MAPPING=PRECISE", "FS=MRC", "CURRENCY=USD", "XLFILL=b")</f>
        <v>822</v>
      </c>
      <c r="Q312" s="9">
        <f>_xll.BQL("AMZN US Equity", "CF_DEF_INC_TAX/1M", "FPT=Q", "FPO=0Q", "ACT_EST_MAPPING=PRECISE", "FS=MRC", "CURRENCY=USD", "XLFILL=b")</f>
        <v>12798</v>
      </c>
      <c r="R312" s="9">
        <f>_xll.BQL("AMZN US Equity", "CF_DEF_INC_TAX/1M", "FPT=Q", "FPO=1Q", "ACT_EST_MAPPING=PRECISE", "FS=MRC", "CURRENCY=USD", "XLFILL=b")</f>
        <v>9154.729696835162</v>
      </c>
      <c r="S312" s="9">
        <f>_xll.BQL("AMZN US Equity", "CF_DEF_INC_TAX/1M", "FPT=Q", "FPO=2Q", "ACT_EST_MAPPING=PRECISE", "FS=MRC", "CURRENCY=USD", "XLFILL=b")</f>
        <v>258.97476381428226</v>
      </c>
      <c r="T312" s="9">
        <f>_xll.BQL("AMZN US Equity", "CF_DEF_INC_TAX/1M", "FPT=Q", "FPO=3Q", "ACT_EST_MAPPING=PRECISE", "FS=MRC", "CURRENCY=USD", "XLFILL=b")</f>
        <v>-5553.8643678582202</v>
      </c>
      <c r="U312" s="9">
        <f>_xll.BQL("AMZN US Equity", "CF_DEF_INC_TAX/1M", "FPT=Q", "FPO=4Q", "ACT_EST_MAPPING=PRECISE", "FS=MRC", "CURRENCY=USD", "XLFILL=b")</f>
        <v>-1776.4245454503441</v>
      </c>
      <c r="V312" s="9">
        <f>_xll.BQL("AMZN US Equity", "CF_DEF_INC_TAX/1M", "FPT=Q", "FPO=5Q", "ACT_EST_MAPPING=PRECISE", "FS=MRC", "CURRENCY=USD", "XLFILL=b")</f>
        <v>14858.866722718292</v>
      </c>
      <c r="W312" s="9">
        <f>_xll.BQL("AMZN US Equity", "CF_DEF_INC_TAX/1M", "FPT=Q", "FPO=6Q", "ACT_EST_MAPPING=PRECISE", "FS=MRC", "CURRENCY=USD", "XLFILL=b")</f>
        <v>356.9708858349216</v>
      </c>
      <c r="X312" s="9">
        <f>_xll.BQL("AMZN US Equity", "CF_DEF_INC_TAX/1M", "FPT=Q", "FPO=7Q", "ACT_EST_MAPPING=PRECISE", "FS=MRC", "CURRENCY=USD", "XLFILL=b")</f>
        <v>-11790.566049861103</v>
      </c>
    </row>
    <row r="313" spans="1:24" x14ac:dyDescent="0.25">
      <c r="A313" s="8" t="s">
        <v>516</v>
      </c>
      <c r="B313" s="4" t="s">
        <v>517</v>
      </c>
      <c r="C313" s="4" t="s">
        <v>518</v>
      </c>
      <c r="D313" s="4"/>
      <c r="E313" s="9">
        <f>_xll.BQL("AMZN US Equity", "CB_CF_OTHR_NONCSH_ITEMS/1M", "FPT=Q", "FPO=-12Q", "ACT_EST_MAPPING=PRECISE", "FS=MRC", "CURRENCY=USD", "XLFILL=b")</f>
        <v>534</v>
      </c>
      <c r="F313" s="9">
        <f>_xll.BQL("AMZN US Equity", "CB_CF_OTHR_NONCSH_ITEMS/1M", "FPT=Q", "FPO=-11Q", "ACT_EST_MAPPING=PRECISE", "FS=MRC", "CURRENCY=USD", "XLFILL=b")</f>
        <v>47</v>
      </c>
      <c r="G313" s="9">
        <f>_xll.BQL("AMZN US Equity", "CB_CF_OTHR_NONCSH_ITEMS/1M", "FPT=Q", "FPO=-10Q", "ACT_EST_MAPPING=PRECISE", "FS=MRC", "CURRENCY=USD", "XLFILL=b")</f>
        <v>-990</v>
      </c>
      <c r="H313" s="9">
        <f>_xll.BQL("AMZN US Equity", "CB_CF_OTHR_NONCSH_ITEMS/1M", "FPT=Q", "FPO=-9Q", "ACT_EST_MAPPING=PRECISE", "FS=MRC", "CURRENCY=USD", "XLFILL=b")</f>
        <v>-339</v>
      </c>
      <c r="I313" s="9">
        <f>_xll.BQL("AMZN US Equity", "CB_CF_OTHR_NONCSH_ITEMS/1M", "FPT=Q", "FPO=-8Q", "ACT_EST_MAPPING=PRECISE", "FS=MRC", "CURRENCY=USD", "XLFILL=b")</f>
        <v>2734</v>
      </c>
      <c r="J313" s="9">
        <f>_xll.BQL("AMZN US Equity", "CB_CF_OTHR_NONCSH_ITEMS/1M", "FPT=Q", "FPO=-7Q", "ACT_EST_MAPPING=PRECISE", "FS=MRC", "CURRENCY=USD", "XLFILL=b")</f>
        <v>-95</v>
      </c>
      <c r="K313" s="9">
        <f>_xll.BQL("AMZN US Equity", "CB_CF_OTHR_NONCSH_ITEMS/1M", "FPT=Q", "FPO=-6Q", "ACT_EST_MAPPING=PRECISE", "FS=MRC", "CURRENCY=USD", "XLFILL=b")</f>
        <v>-141</v>
      </c>
      <c r="L313" s="9">
        <f>_xll.BQL("AMZN US Equity", "CB_CF_OTHR_NONCSH_ITEMS/1M", "FPT=Q", "FPO=-5Q", "ACT_EST_MAPPING=PRECISE", "FS=MRC", "CURRENCY=USD", "XLFILL=b")</f>
        <v>-486</v>
      </c>
      <c r="M313" s="9">
        <f>_xll.BQL("AMZN US Equity", "CB_CF_OTHR_NONCSH_ITEMS/1M", "FPT=Q", "FPO=-4Q", "ACT_EST_MAPPING=PRECISE", "FS=MRC", "CURRENCY=USD", "XLFILL=b")</f>
        <v>-2817</v>
      </c>
      <c r="N313" s="9">
        <f>_xll.BQL("AMZN US Equity", "CB_CF_OTHR_NONCSH_ITEMS/1M", "FPT=Q", "FPO=-3Q", "ACT_EST_MAPPING=PRECISE", "FS=MRC", "CURRENCY=USD", "XLFILL=b")</f>
        <v>-1258</v>
      </c>
      <c r="O313" s="9">
        <f>_xll.BQL("AMZN US Equity", "CB_CF_OTHR_NONCSH_ITEMS/1M", "FPT=Q", "FPO=-2Q", "ACT_EST_MAPPING=PRECISE", "FS=MRC", "CURRENCY=USD", "XLFILL=b")</f>
        <v>-10112</v>
      </c>
      <c r="P313" s="9">
        <f>_xll.BQL("AMZN US Equity", "CB_CF_OTHR_NONCSH_ITEMS/1M", "FPT=Q", "FPO=-1Q", "ACT_EST_MAPPING=PRECISE", "FS=MRC", "CURRENCY=USD", "XLFILL=b")</f>
        <v>-693</v>
      </c>
      <c r="Q313" s="9">
        <f>_xll.BQL("AMZN US Equity", "CB_CF_OTHR_NONCSH_ITEMS/1M", "FPT=Q", "FPO=0Q", "ACT_EST_MAPPING=PRECISE", "FS=MRC", "CURRENCY=USD", "XLFILL=b")</f>
        <v>-15632</v>
      </c>
      <c r="R313" s="9">
        <f>_xll.BQL("AMZN US Equity", "CB_CF_OTHR_NONCSH_ITEMS/1M", "FPT=Q", "FPO=1Q", "ACT_EST_MAPPING=PRECISE", "FS=MRC", "CURRENCY=USD", "XLFILL=b")</f>
        <v>-2059</v>
      </c>
      <c r="S313" s="9">
        <f>_xll.BQL("AMZN US Equity", "CB_CF_OTHR_NONCSH_ITEMS/1M", "FPT=Q", "FPO=2Q", "ACT_EST_MAPPING=PRECISE", "FS=MRC", "CURRENCY=USD", "XLFILL=b")</f>
        <v>1097</v>
      </c>
      <c r="T313" s="9">
        <f>_xll.BQL("AMZN US Equity", "CB_CF_OTHR_NONCSH_ITEMS/1M", "FPT=Q", "FPO=3Q", "ACT_EST_MAPPING=PRECISE", "FS=MRC", "CURRENCY=USD", "XLFILL=b")</f>
        <v>-875</v>
      </c>
      <c r="U313" s="9">
        <f>_xll.BQL("AMZN US Equity", "CB_CF_OTHR_NONCSH_ITEMS/1M", "FPT=Q", "FPO=4Q", "ACT_EST_MAPPING=PRECISE", "FS=MRC", "CURRENCY=USD", "XLFILL=b")</f>
        <v>-743.81074223078031</v>
      </c>
      <c r="V313" s="9">
        <f>_xll.BQL("AMZN US Equity", "CB_CF_OTHR_NONCSH_ITEMS/1M", "FPT=Q", "FPO=5Q", "ACT_EST_MAPPING=PRECISE", "FS=MRC", "CURRENCY=USD", "XLFILL=b")</f>
        <v>-7969.4689293894917</v>
      </c>
      <c r="W313" s="9">
        <f>_xll.BQL("AMZN US Equity", "CB_CF_OTHR_NONCSH_ITEMS/1M", "FPT=Q", "FPO=6Q", "ACT_EST_MAPPING=PRECISE", "FS=MRC", "CURRENCY=USD", "XLFILL=b")</f>
        <v>5508.7687266259309</v>
      </c>
      <c r="X313" s="9">
        <f>_xll.BQL("AMZN US Equity", "CB_CF_OTHR_NONCSH_ITEMS/1M", "FPT=Q", "FPO=7Q", "ACT_EST_MAPPING=PRECISE", "FS=MRC", "CURRENCY=USD", "XLFILL=b")</f>
        <v>-2875.0164691612154</v>
      </c>
    </row>
    <row r="314" spans="1:24" x14ac:dyDescent="0.25">
      <c r="A314" s="8" t="s">
        <v>519</v>
      </c>
      <c r="B314" s="4"/>
      <c r="C314" s="4"/>
      <c r="D314" s="4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</row>
    <row r="315" spans="1:24" x14ac:dyDescent="0.25">
      <c r="A315" s="8" t="s">
        <v>349</v>
      </c>
      <c r="B315" s="4" t="s">
        <v>520</v>
      </c>
      <c r="C315" s="4" t="s">
        <v>521</v>
      </c>
      <c r="D315" s="4"/>
      <c r="E315" s="9">
        <f>_xll.BQL("AMZN US Equity", "CF_ACCT_RCV_UNBILLED_REV/1M", "FPT=Q", "FPO=-12Q", "ACT_EST_MAPPING=PRECISE", "FS=MRC", "CURRENCY=USD", "XLFILL=b")</f>
        <v>1521</v>
      </c>
      <c r="F315" s="9">
        <f>_xll.BQL("AMZN US Equity", "CF_ACCT_RCV_UNBILLED_REV/1M", "FPT=Q", "FPO=-11Q", "ACT_EST_MAPPING=PRECISE", "FS=MRC", "CURRENCY=USD", "XLFILL=b")</f>
        <v>-5167</v>
      </c>
      <c r="G315" s="9">
        <f>_xll.BQL("AMZN US Equity", "CF_ACCT_RCV_UNBILLED_REV/1M", "FPT=Q", "FPO=-10Q", "ACT_EST_MAPPING=PRECISE", "FS=MRC", "CURRENCY=USD", "XLFILL=b")</f>
        <v>-6718</v>
      </c>
      <c r="H315" s="9">
        <f>_xll.BQL("AMZN US Equity", "CF_ACCT_RCV_UNBILLED_REV/1M", "FPT=Q", "FPO=-9Q", "ACT_EST_MAPPING=PRECISE", "FS=MRC", "CURRENCY=USD", "XLFILL=b")</f>
        <v>-7447</v>
      </c>
      <c r="I315" s="9">
        <f>_xll.BQL("AMZN US Equity", "CF_ACCT_RCV_UNBILLED_REV/1M", "FPT=Q", "FPO=-8Q", "ACT_EST_MAPPING=PRECISE", "FS=MRC", "CURRENCY=USD", "XLFILL=b")</f>
        <v>3684</v>
      </c>
      <c r="J315" s="9">
        <f>_xll.BQL("AMZN US Equity", "CF_ACCT_RCV_UNBILLED_REV/1M", "FPT=Q", "FPO=-7Q", "ACT_EST_MAPPING=PRECISE", "FS=MRC", "CURRENCY=USD", "XLFILL=b")</f>
        <v>-2209</v>
      </c>
      <c r="K315" s="9">
        <f>_xll.BQL("AMZN US Equity", "CF_ACCT_RCV_UNBILLED_REV/1M", "FPT=Q", "FPO=-6Q", "ACT_EST_MAPPING=PRECISE", "FS=MRC", "CURRENCY=USD", "XLFILL=b")</f>
        <v>-701</v>
      </c>
      <c r="L315" s="9">
        <f>_xll.BQL("AMZN US Equity", "CF_ACCT_RCV_UNBILLED_REV/1M", "FPT=Q", "FPO=-5Q", "ACT_EST_MAPPING=PRECISE", "FS=MRC", "CURRENCY=USD", "XLFILL=b")</f>
        <v>-4023</v>
      </c>
      <c r="M315" s="9">
        <f>_xll.BQL("AMZN US Equity", "CF_ACCT_RCV_UNBILLED_REV/1M", "FPT=Q", "FPO=-4Q", "ACT_EST_MAPPING=PRECISE", "FS=MRC", "CURRENCY=USD", "XLFILL=b")</f>
        <v>1247</v>
      </c>
      <c r="N315" s="9">
        <f>_xll.BQL("AMZN US Equity", "CF_ACCT_RCV_UNBILLED_REV/1M", "FPT=Q", "FPO=-3Q", "ACT_EST_MAPPING=PRECISE", "FS=MRC", "CURRENCY=USD", "XLFILL=b")</f>
        <v>-1125</v>
      </c>
      <c r="O315" s="9">
        <f>_xll.BQL("AMZN US Equity", "CF_ACCT_RCV_UNBILLED_REV/1M", "FPT=Q", "FPO=-2Q", "ACT_EST_MAPPING=PRECISE", "FS=MRC", "CURRENCY=USD", "XLFILL=b")</f>
        <v>-1977</v>
      </c>
      <c r="P315" s="9">
        <f>_xll.BQL("AMZN US Equity", "CF_ACCT_RCV_UNBILLED_REV/1M", "FPT=Q", "FPO=-1Q", "ACT_EST_MAPPING=PRECISE", "FS=MRC", "CURRENCY=USD", "XLFILL=b")</f>
        <v>-5478</v>
      </c>
      <c r="Q315" s="9">
        <f>_xll.BQL("AMZN US Equity", "CF_ACCT_RCV_UNBILLED_REV/1M", "FPT=Q", "FPO=0Q", "ACT_EST_MAPPING=PRECISE", "FS=MRC", "CURRENCY=USD", "XLFILL=b")</f>
        <v>-5750</v>
      </c>
      <c r="R315" s="9">
        <f>_xll.BQL("AMZN US Equity", "CF_ACCT_RCV_UNBILLED_REV/1M", "FPT=Q", "FPO=1Q", "ACT_EST_MAPPING=PRECISE", "FS=MRC", "CURRENCY=USD", "XLFILL=b")</f>
        <v>7946.6004705291189</v>
      </c>
      <c r="S315" s="9">
        <f>_xll.BQL("AMZN US Equity", "CF_ACCT_RCV_UNBILLED_REV/1M", "FPT=Q", "FPO=2Q", "ACT_EST_MAPPING=PRECISE", "FS=MRC", "CURRENCY=USD", "XLFILL=b")</f>
        <v>-1387.0505660683627</v>
      </c>
      <c r="T315" s="9">
        <f>_xll.BQL("AMZN US Equity", "CF_ACCT_RCV_UNBILLED_REV/1M", "FPT=Q", "FPO=3Q", "ACT_EST_MAPPING=PRECISE", "FS=MRC", "CURRENCY=USD", "XLFILL=b")</f>
        <v>-7417.5950246919765</v>
      </c>
      <c r="U315" s="9">
        <f>_xll.BQL("AMZN US Equity", "CF_ACCT_RCV_UNBILLED_REV/1M", "FPT=Q", "FPO=4Q", "ACT_EST_MAPPING=PRECISE", "FS=MRC", "CURRENCY=USD", "XLFILL=b")</f>
        <v>-5174.3881405540615</v>
      </c>
      <c r="V315" s="9">
        <f>_xll.BQL("AMZN US Equity", "CF_ACCT_RCV_UNBILLED_REV/1M", "FPT=Q", "FPO=5Q", "ACT_EST_MAPPING=PRECISE", "FS=MRC", "CURRENCY=USD", "XLFILL=b")</f>
        <v>5046.0937523914481</v>
      </c>
      <c r="W315" s="9">
        <f>_xll.BQL("AMZN US Equity", "CF_ACCT_RCV_UNBILLED_REV/1M", "FPT=Q", "FPO=6Q", "ACT_EST_MAPPING=PRECISE", "FS=MRC", "CURRENCY=USD", "XLFILL=b")</f>
        <v>-2114.734709552497</v>
      </c>
      <c r="X315" s="9">
        <f>_xll.BQL("AMZN US Equity", "CF_ACCT_RCV_UNBILLED_REV/1M", "FPT=Q", "FPO=7Q", "ACT_EST_MAPPING=PRECISE", "FS=MRC", "CURRENCY=USD", "XLFILL=b")</f>
        <v>-7586.156747155811</v>
      </c>
    </row>
    <row r="316" spans="1:24" x14ac:dyDescent="0.25">
      <c r="A316" s="8" t="s">
        <v>346</v>
      </c>
      <c r="B316" s="4" t="s">
        <v>522</v>
      </c>
      <c r="C316" s="4" t="s">
        <v>523</v>
      </c>
      <c r="D316" s="4"/>
      <c r="E316" s="9">
        <f>_xll.BQL("AMZN US Equity", "CF_CHANGE_IN_INVENTORIES/1M", "FPT=Q", "FPO=-12Q", "ACT_EST_MAPPING=PRECISE", "FS=MRC", "CURRENCY=USD", "XLFILL=b")</f>
        <v>371</v>
      </c>
      <c r="F316" s="9">
        <f>_xll.BQL("AMZN US Equity", "CF_CHANGE_IN_INVENTORIES/1M", "FPT=Q", "FPO=-11Q", "ACT_EST_MAPPING=PRECISE", "FS=MRC", "CURRENCY=USD", "XLFILL=b")</f>
        <v>-2373</v>
      </c>
      <c r="G316" s="9">
        <f>_xll.BQL("AMZN US Equity", "CF_CHANGE_IN_INVENTORIES/1M", "FPT=Q", "FPO=-10Q", "ACT_EST_MAPPING=PRECISE", "FS=MRC", "CURRENCY=USD", "XLFILL=b")</f>
        <v>808</v>
      </c>
      <c r="H316" s="9">
        <f>_xll.BQL("AMZN US Equity", "CF_CHANGE_IN_INVENTORIES/1M", "FPT=Q", "FPO=-9Q", "ACT_EST_MAPPING=PRECISE", "FS=MRC", "CURRENCY=USD", "XLFILL=b")</f>
        <v>2643</v>
      </c>
      <c r="I316" s="9">
        <f>_xll.BQL("AMZN US Equity", "CF_CHANGE_IN_INVENTORIES/1M", "FPT=Q", "FPO=-8Q", "ACT_EST_MAPPING=PRECISE", "FS=MRC", "CURRENCY=USD", "XLFILL=b")</f>
        <v>1776</v>
      </c>
      <c r="J316" s="9">
        <f>_xll.BQL("AMZN US Equity", "CF_CHANGE_IN_INVENTORIES/1M", "FPT=Q", "FPO=-7Q", "ACT_EST_MAPPING=PRECISE", "FS=MRC", "CURRENCY=USD", "XLFILL=b")</f>
        <v>-3085</v>
      </c>
      <c r="K316" s="9">
        <f>_xll.BQL("AMZN US Equity", "CF_CHANGE_IN_INVENTORIES/1M", "FPT=Q", "FPO=-6Q", "ACT_EST_MAPPING=PRECISE", "FS=MRC", "CURRENCY=USD", "XLFILL=b")</f>
        <v>-1509</v>
      </c>
      <c r="L316" s="9">
        <f>_xll.BQL("AMZN US Equity", "CF_CHANGE_IN_INVENTORIES/1M", "FPT=Q", "FPO=-5Q", "ACT_EST_MAPPING=PRECISE", "FS=MRC", "CURRENCY=USD", "XLFILL=b")</f>
        <v>934</v>
      </c>
      <c r="M316" s="9">
        <f>_xll.BQL("AMZN US Equity", "CF_CHANGE_IN_INVENTORIES/1M", "FPT=Q", "FPO=-4Q", "ACT_EST_MAPPING=PRECISE", "FS=MRC", "CURRENCY=USD", "XLFILL=b")</f>
        <v>-1222</v>
      </c>
      <c r="N316" s="9">
        <f>_xll.BQL("AMZN US Equity", "CF_CHANGE_IN_INVENTORIES/1M", "FPT=Q", "FPO=-3Q", "ACT_EST_MAPPING=PRECISE", "FS=MRC", "CURRENCY=USD", "XLFILL=b")</f>
        <v>-4054</v>
      </c>
      <c r="O316" s="9">
        <f>_xll.BQL("AMZN US Equity", "CF_CHANGE_IN_INVENTORIES/1M", "FPT=Q", "FPO=-2Q", "ACT_EST_MAPPING=PRECISE", "FS=MRC", "CURRENCY=USD", "XLFILL=b")</f>
        <v>-827</v>
      </c>
      <c r="P316" s="9">
        <f>_xll.BQL("AMZN US Equity", "CF_CHANGE_IN_INVENTORIES/1M", "FPT=Q", "FPO=-1Q", "ACT_EST_MAPPING=PRECISE", "FS=MRC", "CURRENCY=USD", "XLFILL=b")</f>
        <v>3101</v>
      </c>
      <c r="Q316" s="9">
        <f>_xll.BQL("AMZN US Equity", "CF_CHANGE_IN_INVENTORIES/1M", "FPT=Q", "FPO=0Q", "ACT_EST_MAPPING=PRECISE", "FS=MRC", "CURRENCY=USD", "XLFILL=b")</f>
        <v>1622</v>
      </c>
      <c r="R316" s="9">
        <f>_xll.BQL("AMZN US Equity", "CF_CHANGE_IN_INVENTORIES/1M", "FPT=Q", "FPO=1Q", "ACT_EST_MAPPING=PRECISE", "FS=MRC", "CURRENCY=USD", "XLFILL=b")</f>
        <v>-8211.8506677699424</v>
      </c>
      <c r="S316" s="9">
        <f>_xll.BQL("AMZN US Equity", "CF_CHANGE_IN_INVENTORIES/1M", "FPT=Q", "FPO=2Q", "ACT_EST_MAPPING=PRECISE", "FS=MRC", "CURRENCY=USD", "XLFILL=b")</f>
        <v>-243.3368184844123</v>
      </c>
      <c r="T316" s="9">
        <f>_xll.BQL("AMZN US Equity", "CF_CHANGE_IN_INVENTORIES/1M", "FPT=Q", "FPO=3Q", "ACT_EST_MAPPING=PRECISE", "FS=MRC", "CURRENCY=USD", "XLFILL=b")</f>
        <v>1334.5178565733365</v>
      </c>
      <c r="U316" s="9">
        <f>_xll.BQL("AMZN US Equity", "CF_CHANGE_IN_INVENTORIES/1M", "FPT=Q", "FPO=4Q", "ACT_EST_MAPPING=PRECISE", "FS=MRC", "CURRENCY=USD", "XLFILL=b")</f>
        <v>1901.860171968259</v>
      </c>
      <c r="V316" s="9">
        <f>_xll.BQL("AMZN US Equity", "CF_CHANGE_IN_INVENTORIES/1M", "FPT=Q", "FPO=5Q", "ACT_EST_MAPPING=PRECISE", "FS=MRC", "CURRENCY=USD", "XLFILL=b")</f>
        <v>-8426.2764058613284</v>
      </c>
      <c r="W316" s="9">
        <f>_xll.BQL("AMZN US Equity", "CF_CHANGE_IN_INVENTORIES/1M", "FPT=Q", "FPO=6Q", "ACT_EST_MAPPING=PRECISE", "FS=MRC", "CURRENCY=USD", "XLFILL=b")</f>
        <v>208.95906773328355</v>
      </c>
      <c r="X316" s="9">
        <f>_xll.BQL("AMZN US Equity", "CF_CHANGE_IN_INVENTORIES/1M", "FPT=Q", "FPO=7Q", "ACT_EST_MAPPING=PRECISE", "FS=MRC", "CURRENCY=USD", "XLFILL=b")</f>
        <v>3102.1350159947592</v>
      </c>
    </row>
    <row r="317" spans="1:24" x14ac:dyDescent="0.25">
      <c r="A317" s="8" t="s">
        <v>378</v>
      </c>
      <c r="B317" s="4" t="s">
        <v>524</v>
      </c>
      <c r="C317" s="4" t="s">
        <v>525</v>
      </c>
      <c r="D317" s="4"/>
      <c r="E317" s="9">
        <f>_xll.BQL("AMZN US Equity", "CF_CHANGE_IN_ACCOUNTS_PAYABLE/1M", "FPT=Q", "FPO=-12Q", "ACT_EST_MAPPING=PRECISE", "FS=MRC", "CURRENCY=USD", "XLFILL=b")</f>
        <v>-11264</v>
      </c>
      <c r="F317" s="9">
        <f>_xll.BQL("AMZN US Equity", "CF_CHANGE_IN_ACCOUNTS_PAYABLE/1M", "FPT=Q", "FPO=-11Q", "ACT_EST_MAPPING=PRECISE", "FS=MRC", "CURRENCY=USD", "XLFILL=b")</f>
        <v>3029</v>
      </c>
      <c r="G317" s="9">
        <f>_xll.BQL("AMZN US Equity", "CF_CHANGE_IN_ACCOUNTS_PAYABLE/1M", "FPT=Q", "FPO=-10Q", "ACT_EST_MAPPING=PRECISE", "FS=MRC", "CURRENCY=USD", "XLFILL=b")</f>
        <v>2820</v>
      </c>
      <c r="H317" s="9">
        <f>_xll.BQL("AMZN US Equity", "CF_CHANGE_IN_ACCOUNTS_PAYABLE/1M", "FPT=Q", "FPO=-9Q", "ACT_EST_MAPPING=PRECISE", "FS=MRC", "CURRENCY=USD", "XLFILL=b")</f>
        <v>10888</v>
      </c>
      <c r="I317" s="9">
        <f>_xll.BQL("AMZN US Equity", "CF_CHANGE_IN_ACCOUNTS_PAYABLE/1M", "FPT=Q", "FPO=-8Q", "ACT_EST_MAPPING=PRECISE", "FS=MRC", "CURRENCY=USD", "XLFILL=b")</f>
        <v>-11282</v>
      </c>
      <c r="J317" s="9">
        <f>_xll.BQL("AMZN US Equity", "CF_CHANGE_IN_ACCOUNTS_PAYABLE/1M", "FPT=Q", "FPO=-7Q", "ACT_EST_MAPPING=PRECISE", "FS=MRC", "CURRENCY=USD", "XLFILL=b")</f>
        <v>6005</v>
      </c>
      <c r="K317" s="9">
        <f>_xll.BQL("AMZN US Equity", "CF_CHANGE_IN_ACCOUNTS_PAYABLE/1M", "FPT=Q", "FPO=-6Q", "ACT_EST_MAPPING=PRECISE", "FS=MRC", "CURRENCY=USD", "XLFILL=b")</f>
        <v>-477</v>
      </c>
      <c r="L317" s="9">
        <f>_xll.BQL("AMZN US Equity", "CF_CHANGE_IN_ACCOUNTS_PAYABLE/1M", "FPT=Q", "FPO=-5Q", "ACT_EST_MAPPING=PRECISE", "FS=MRC", "CURRENCY=USD", "XLFILL=b")</f>
        <v>8726</v>
      </c>
      <c r="M317" s="9">
        <f>_xll.BQL("AMZN US Equity", "CF_CHANGE_IN_ACCOUNTS_PAYABLE/1M", "FPT=Q", "FPO=-4Q", "ACT_EST_MAPPING=PRECISE", "FS=MRC", "CURRENCY=USD", "XLFILL=b")</f>
        <v>-9043</v>
      </c>
      <c r="N317" s="9">
        <f>_xll.BQL("AMZN US Equity", "CF_CHANGE_IN_ACCOUNTS_PAYABLE/1M", "FPT=Q", "FPO=-3Q", "ACT_EST_MAPPING=PRECISE", "FS=MRC", "CURRENCY=USD", "XLFILL=b")</f>
        <v>7058</v>
      </c>
      <c r="O317" s="9">
        <f>_xll.BQL("AMZN US Equity", "CF_CHANGE_IN_ACCOUNTS_PAYABLE/1M", "FPT=Q", "FPO=-2Q", "ACT_EST_MAPPING=PRECISE", "FS=MRC", "CURRENCY=USD", "XLFILL=b")</f>
        <v>2151</v>
      </c>
      <c r="P317" s="9">
        <f>_xll.BQL("AMZN US Equity", "CF_CHANGE_IN_ACCOUNTS_PAYABLE/1M", "FPT=Q", "FPO=-1Q", "ACT_EST_MAPPING=PRECISE", "FS=MRC", "CURRENCY=USD", "XLFILL=b")</f>
        <v>11065</v>
      </c>
      <c r="Q317" s="9">
        <f>_xll.BQL("AMZN US Equity", "CF_CHANGE_IN_ACCOUNTS_PAYABLE/1M", "FPT=Q", "FPO=0Q", "ACT_EST_MAPPING=PRECISE", "FS=MRC", "CURRENCY=USD", "XLFILL=b")</f>
        <v>-8737</v>
      </c>
      <c r="R317" s="9">
        <f>_xll.BQL("AMZN US Equity", "CF_CHANGE_IN_ACCOUNTS_PAYABLE/1M", "FPT=Q", "FPO=1Q", "ACT_EST_MAPPING=PRECISE", "FS=MRC", "CURRENCY=USD", "XLFILL=b")</f>
        <v>-9596.1775625343907</v>
      </c>
      <c r="S317" s="9">
        <f>_xll.BQL("AMZN US Equity", "CF_CHANGE_IN_ACCOUNTS_PAYABLE/1M", "FPT=Q", "FPO=2Q", "ACT_EST_MAPPING=PRECISE", "FS=MRC", "CURRENCY=USD", "XLFILL=b")</f>
        <v>2565.4964546287852</v>
      </c>
      <c r="T317" s="9">
        <f>_xll.BQL("AMZN US Equity", "CF_CHANGE_IN_ACCOUNTS_PAYABLE/1M", "FPT=Q", "FPO=3Q", "ACT_EST_MAPPING=PRECISE", "FS=MRC", "CURRENCY=USD", "XLFILL=b")</f>
        <v>16241.383860686745</v>
      </c>
      <c r="U317" s="9">
        <f>_xll.BQL("AMZN US Equity", "CF_CHANGE_IN_ACCOUNTS_PAYABLE/1M", "FPT=Q", "FPO=4Q", "ACT_EST_MAPPING=PRECISE", "FS=MRC", "CURRENCY=USD", "XLFILL=b")</f>
        <v>-3218.3281050543851</v>
      </c>
      <c r="V317" s="9">
        <f>_xll.BQL("AMZN US Equity", "CF_CHANGE_IN_ACCOUNTS_PAYABLE/1M", "FPT=Q", "FPO=5Q", "ACT_EST_MAPPING=PRECISE", "FS=MRC", "CURRENCY=USD", "XLFILL=b")</f>
        <v>-7334.7937779365066</v>
      </c>
      <c r="W317" s="9">
        <f>_xll.BQL("AMZN US Equity", "CF_CHANGE_IN_ACCOUNTS_PAYABLE/1M", "FPT=Q", "FPO=6Q", "ACT_EST_MAPPING=PRECISE", "FS=MRC", "CURRENCY=USD", "XLFILL=b")</f>
        <v>3448.7331433240238</v>
      </c>
      <c r="X317" s="9">
        <f>_xll.BQL("AMZN US Equity", "CF_CHANGE_IN_ACCOUNTS_PAYABLE/1M", "FPT=Q", "FPO=7Q", "ACT_EST_MAPPING=PRECISE", "FS=MRC", "CURRENCY=USD", "XLFILL=b")</f>
        <v>19479.706588922698</v>
      </c>
    </row>
    <row r="318" spans="1:24" x14ac:dyDescent="0.25">
      <c r="A318" s="8" t="s">
        <v>381</v>
      </c>
      <c r="B318" s="4" t="s">
        <v>526</v>
      </c>
      <c r="C318" s="4" t="s">
        <v>527</v>
      </c>
      <c r="D318" s="4"/>
      <c r="E318" s="9">
        <f>_xll.BQL("AMZN US Equity", "CF_CHANGE_IN_ACCRUD_EXPNSS/1M", "FPT=Q", "FPO=-12Q", "ACT_EST_MAPPING=PRECISE", "FS=MRC", "CURRENCY=USD", "XLFILL=b")</f>
        <v>-5763</v>
      </c>
      <c r="F318" s="9">
        <f>_xll.BQL("AMZN US Equity", "CF_CHANGE_IN_ACCRUD_EXPNSS/1M", "FPT=Q", "FPO=-11Q", "ACT_EST_MAPPING=PRECISE", "FS=MRC", "CURRENCY=USD", "XLFILL=b")</f>
        <v>-1938</v>
      </c>
      <c r="G318" s="9">
        <f>_xll.BQL("AMZN US Equity", "CF_CHANGE_IN_ACCRUD_EXPNSS/1M", "FPT=Q", "FPO=-10Q", "ACT_EST_MAPPING=PRECISE", "FS=MRC", "CURRENCY=USD", "XLFILL=b")</f>
        <v>-1321</v>
      </c>
      <c r="H318" s="9">
        <f>_xll.BQL("AMZN US Equity", "CF_CHANGE_IN_ACCRUD_EXPNSS/1M", "FPT=Q", "FPO=-9Q", "ACT_EST_MAPPING=PRECISE", "FS=MRC", "CURRENCY=USD", "XLFILL=b")</f>
        <v>6594</v>
      </c>
      <c r="I318" s="9">
        <f>_xll.BQL("AMZN US Equity", "CF_CHANGE_IN_ACCRUD_EXPNSS/1M", "FPT=Q", "FPO=-8Q", "ACT_EST_MAPPING=PRECISE", "FS=MRC", "CURRENCY=USD", "XLFILL=b")</f>
        <v>-2928</v>
      </c>
      <c r="J318" s="9">
        <f>_xll.BQL("AMZN US Equity", "CF_CHANGE_IN_ACCRUD_EXPNSS/1M", "FPT=Q", "FPO=-7Q", "ACT_EST_MAPPING=PRECISE", "FS=MRC", "CURRENCY=USD", "XLFILL=b")</f>
        <v>-4147</v>
      </c>
      <c r="K318" s="9">
        <f>_xll.BQL("AMZN US Equity", "CF_CHANGE_IN_ACCRUD_EXPNSS/1M", "FPT=Q", "FPO=-6Q", "ACT_EST_MAPPING=PRECISE", "FS=MRC", "CURRENCY=USD", "XLFILL=b")</f>
        <v>129</v>
      </c>
      <c r="L318" s="9">
        <f>_xll.BQL("AMZN US Equity", "CF_CHANGE_IN_ACCRUD_EXPNSS/1M", "FPT=Q", "FPO=-5Q", "ACT_EST_MAPPING=PRECISE", "FS=MRC", "CURRENCY=USD", "XLFILL=b")</f>
        <v>4042</v>
      </c>
      <c r="M318" s="9">
        <f>_xll.BQL("AMZN US Equity", "CF_CHANGE_IN_ACCRUD_EXPNSS/1M", "FPT=Q", "FPO=-4Q", "ACT_EST_MAPPING=PRECISE", "FS=MRC", "CURRENCY=USD", "XLFILL=b")</f>
        <v>-4061</v>
      </c>
      <c r="N318" s="9">
        <f>_xll.BQL("AMZN US Equity", "CF_CHANGE_IN_ACCRUD_EXPNSS/1M", "FPT=Q", "FPO=-3Q", "ACT_EST_MAPPING=PRECISE", "FS=MRC", "CURRENCY=USD", "XLFILL=b")</f>
        <v>-4952</v>
      </c>
      <c r="O318" s="9">
        <f>_xll.BQL("AMZN US Equity", "CF_CHANGE_IN_ACCRUD_EXPNSS/1M", "FPT=Q", "FPO=-2Q", "ACT_EST_MAPPING=PRECISE", "FS=MRC", "CURRENCY=USD", "XLFILL=b")</f>
        <v>-1999</v>
      </c>
      <c r="P318" s="9">
        <f>_xll.BQL("AMZN US Equity", "CF_CHANGE_IN_ACCRUD_EXPNSS/1M", "FPT=Q", "FPO=-1Q", "ACT_EST_MAPPING=PRECISE", "FS=MRC", "CURRENCY=USD", "XLFILL=b")</f>
        <v>5993</v>
      </c>
      <c r="Q318" s="9">
        <f>_xll.BQL("AMZN US Equity", "CF_CHANGE_IN_ACCRUD_EXPNSS/1M", "FPT=Q", "FPO=0Q", "ACT_EST_MAPPING=PRECISE", "FS=MRC", "CURRENCY=USD", "XLFILL=b")</f>
        <v>-8045</v>
      </c>
      <c r="R318" s="9">
        <f>_xll.BQL("AMZN US Equity", "CF_CHANGE_IN_ACCRUD_EXPNSS/1M", "FPT=Q", "FPO=1Q", "ACT_EST_MAPPING=PRECISE", "FS=MRC", "CURRENCY=USD", "XLFILL=b")</f>
        <v>5067.0367590280284</v>
      </c>
      <c r="S318" s="9">
        <f>_xll.BQL("AMZN US Equity", "CF_CHANGE_IN_ACCRUD_EXPNSS/1M", "FPT=Q", "FPO=2Q", "ACT_EST_MAPPING=PRECISE", "FS=MRC", "CURRENCY=USD", "XLFILL=b")</f>
        <v>-428.98177670872587</v>
      </c>
      <c r="T318" s="9">
        <f>_xll.BQL("AMZN US Equity", "CF_CHANGE_IN_ACCRUD_EXPNSS/1M", "FPT=Q", "FPO=3Q", "ACT_EST_MAPPING=PRECISE", "FS=MRC", "CURRENCY=USD", "XLFILL=b")</f>
        <v>7019.3391989606471</v>
      </c>
      <c r="U318" s="9">
        <f>_xll.BQL("AMZN US Equity", "CF_CHANGE_IN_ACCRUD_EXPNSS/1M", "FPT=Q", "FPO=4Q", "ACT_EST_MAPPING=PRECISE", "FS=MRC", "CURRENCY=USD", "XLFILL=b")</f>
        <v>-6073.2661382699416</v>
      </c>
      <c r="V318" s="9">
        <f>_xll.BQL("AMZN US Equity", "CF_CHANGE_IN_ACCRUD_EXPNSS/1M", "FPT=Q", "FPO=5Q", "ACT_EST_MAPPING=PRECISE", "FS=MRC", "CURRENCY=USD", "XLFILL=b")</f>
        <v>7997.2307313971223</v>
      </c>
      <c r="W318" s="9">
        <f>_xll.BQL("AMZN US Equity", "CF_CHANGE_IN_ACCRUD_EXPNSS/1M", "FPT=Q", "FPO=6Q", "ACT_EST_MAPPING=PRECISE", "FS=MRC", "CURRENCY=USD", "XLFILL=b")</f>
        <v>-1226.5813479961032</v>
      </c>
      <c r="X318" s="9">
        <f>_xll.BQL("AMZN US Equity", "CF_CHANGE_IN_ACCRUD_EXPNSS/1M", "FPT=Q", "FPO=7Q", "ACT_EST_MAPPING=PRECISE", "FS=MRC", "CURRENCY=USD", "XLFILL=b")</f>
        <v>4647.3090081131941</v>
      </c>
    </row>
    <row r="319" spans="1:24" x14ac:dyDescent="0.25">
      <c r="A319" s="8" t="s">
        <v>528</v>
      </c>
      <c r="B319" s="4" t="s">
        <v>529</v>
      </c>
      <c r="C319" s="4" t="s">
        <v>530</v>
      </c>
      <c r="D319" s="4"/>
      <c r="E319" s="9">
        <f>_xll.BQL("AMZN US Equity", "CF_CHG_IN_DEFER_UNEARND_REV_ST/1M", "FPT=Q", "FPO=-12Q", "ACT_EST_MAPPING=PRECISE", "FS=MRC", "CURRENCY=USD", "XLFILL=b")</f>
        <v>818</v>
      </c>
      <c r="F319" s="9">
        <f>_xll.BQL("AMZN US Equity", "CF_CHG_IN_DEFER_UNEARND_REV_ST/1M", "FPT=Q", "FPO=-11Q", "ACT_EST_MAPPING=PRECISE", "FS=MRC", "CURRENCY=USD", "XLFILL=b")</f>
        <v>156</v>
      </c>
      <c r="G319" s="9">
        <f>_xll.BQL("AMZN US Equity", "CF_CHG_IN_DEFER_UNEARND_REV_ST/1M", "FPT=Q", "FPO=-10Q", "ACT_EST_MAPPING=PRECISE", "FS=MRC", "CURRENCY=USD", "XLFILL=b")</f>
        <v>-25</v>
      </c>
      <c r="H319" s="9">
        <f>_xll.BQL("AMZN US Equity", "CF_CHG_IN_DEFER_UNEARND_REV_ST/1M", "FPT=Q", "FPO=-9Q", "ACT_EST_MAPPING=PRECISE", "FS=MRC", "CURRENCY=USD", "XLFILL=b")</f>
        <v>3629</v>
      </c>
      <c r="I319" s="9">
        <f>_xll.BQL("AMZN US Equity", "CF_CHG_IN_DEFER_UNEARND_REV_ST/1M", "FPT=Q", "FPO=-8Q", "ACT_EST_MAPPING=PRECISE", "FS=MRC", "CURRENCY=USD", "XLFILL=b")</f>
        <v>1568</v>
      </c>
      <c r="J319" s="9">
        <f>_xll.BQL("AMZN US Equity", "CF_CHG_IN_DEFER_UNEARND_REV_ST/1M", "FPT=Q", "FPO=-7Q", "ACT_EST_MAPPING=PRECISE", "FS=MRC", "CURRENCY=USD", "XLFILL=b")</f>
        <v>407</v>
      </c>
      <c r="K319" s="9">
        <f>_xll.BQL("AMZN US Equity", "CF_CHG_IN_DEFER_UNEARND_REV_ST/1M", "FPT=Q", "FPO=-6Q", "ACT_EST_MAPPING=PRECISE", "FS=MRC", "CURRENCY=USD", "XLFILL=b")</f>
        <v>421</v>
      </c>
      <c r="L319" s="9">
        <f>_xll.BQL("AMZN US Equity", "CF_CHG_IN_DEFER_UNEARND_REV_ST/1M", "FPT=Q", "FPO=-5Q", "ACT_EST_MAPPING=PRECISE", "FS=MRC", "CURRENCY=USD", "XLFILL=b")</f>
        <v>1611</v>
      </c>
      <c r="M319" s="9">
        <f>_xll.BQL("AMZN US Equity", "CF_CHG_IN_DEFER_UNEARND_REV_ST/1M", "FPT=Q", "FPO=-4Q", "ACT_EST_MAPPING=PRECISE", "FS=MRC", "CURRENCY=USD", "XLFILL=b")</f>
        <v>728</v>
      </c>
      <c r="N319" s="9">
        <f>_xll.BQL("AMZN US Equity", "CF_CHG_IN_DEFER_UNEARND_REV_ST/1M", "FPT=Q", "FPO=-3Q", "ACT_EST_MAPPING=PRECISE", "FS=MRC", "CURRENCY=USD", "XLFILL=b")</f>
        <v>-119</v>
      </c>
      <c r="O319" s="9">
        <f>_xll.BQL("AMZN US Equity", "CF_CHG_IN_DEFER_UNEARND_REV_ST/1M", "FPT=Q", "FPO=-2Q", "ACT_EST_MAPPING=PRECISE", "FS=MRC", "CURRENCY=USD", "XLFILL=b")</f>
        <v>-632</v>
      </c>
      <c r="P319" s="9">
        <f>_xll.BQL("AMZN US Equity", "CF_CHG_IN_DEFER_UNEARND_REV_ST/1M", "FPT=Q", "FPO=-1Q", "ACT_EST_MAPPING=PRECISE", "FS=MRC", "CURRENCY=USD", "XLFILL=b")</f>
        <v>-191</v>
      </c>
      <c r="Q319" s="9">
        <f>_xll.BQL("AMZN US Equity", "CF_CHG_IN_DEFER_UNEARND_REV_ST/1M", "FPT=Q", "FPO=0Q", "ACT_EST_MAPPING=PRECISE", "FS=MRC", "CURRENCY=USD", "XLFILL=b")</f>
        <v>355</v>
      </c>
      <c r="R319" s="9">
        <f>_xll.BQL("AMZN US Equity", "CF_CHG_IN_DEFER_UNEARND_REV_ST/1M", "FPT=Q", "FPO=1Q", "ACT_EST_MAPPING=PRECISE", "FS=MRC", "CURRENCY=USD", "XLFILL=b")</f>
        <v>1003.8898871078048</v>
      </c>
      <c r="S319" s="9">
        <f>_xll.BQL("AMZN US Equity", "CF_CHG_IN_DEFER_UNEARND_REV_ST/1M", "FPT=Q", "FPO=2Q", "ACT_EST_MAPPING=PRECISE", "FS=MRC", "CURRENCY=USD", "XLFILL=b")</f>
        <v>-649.62040493618758</v>
      </c>
      <c r="T319" s="9">
        <f>_xll.BQL("AMZN US Equity", "CF_CHG_IN_DEFER_UNEARND_REV_ST/1M", "FPT=Q", "FPO=3Q", "ACT_EST_MAPPING=PRECISE", "FS=MRC", "CURRENCY=USD", "XLFILL=b")</f>
        <v>84.255063786082729</v>
      </c>
      <c r="U319" s="9">
        <f>_xll.BQL("AMZN US Equity", "CF_CHG_IN_DEFER_UNEARND_REV_ST/1M", "FPT=Q", "FPO=4Q", "ACT_EST_MAPPING=PRECISE", "FS=MRC", "CURRENCY=USD", "XLFILL=b")</f>
        <v>314.64958007311935</v>
      </c>
      <c r="V319" s="9">
        <f>_xll.BQL("AMZN US Equity", "CF_CHG_IN_DEFER_UNEARND_REV_ST/1M", "FPT=Q", "FPO=5Q", "ACT_EST_MAPPING=PRECISE", "FS=MRC", "CURRENCY=USD", "XLFILL=b")</f>
        <v>3013.8146712297225</v>
      </c>
      <c r="W319" s="9">
        <f>_xll.BQL("AMZN US Equity", "CF_CHG_IN_DEFER_UNEARND_REV_ST/1M", "FPT=Q", "FPO=6Q", "ACT_EST_MAPPING=PRECISE", "FS=MRC", "CURRENCY=USD", "XLFILL=b")</f>
        <v>-960.06590672606342</v>
      </c>
      <c r="X319" s="9">
        <f>_xll.BQL("AMZN US Equity", "CF_CHG_IN_DEFER_UNEARND_REV_ST/1M", "FPT=Q", "FPO=7Q", "ACT_EST_MAPPING=PRECISE", "FS=MRC", "CURRENCY=USD", "XLFILL=b")</f>
        <v>-1324.5936906575007</v>
      </c>
    </row>
    <row r="320" spans="1:24" x14ac:dyDescent="0.25">
      <c r="A320" s="8" t="s">
        <v>531</v>
      </c>
      <c r="B320" s="4" t="s">
        <v>532</v>
      </c>
      <c r="C320" s="4" t="s">
        <v>533</v>
      </c>
      <c r="D320" s="4"/>
      <c r="E320" s="9">
        <f>_xll.BQL("AMZN US Equity", "CB_CF_NET_CASH_OPERATING_ACT/1M", "FPT=Q", "FPO=-12Q", "ACT_EST_MAPPING=PRECISE", "FS=MRC", "CURRENCY=USD", "XLFILL=b")</f>
        <v>4788</v>
      </c>
      <c r="F320" s="9">
        <f>_xll.BQL("AMZN US Equity", "CB_CF_NET_CASH_OPERATING_ACT/1M", "FPT=Q", "FPO=-11Q", "ACT_EST_MAPPING=PRECISE", "FS=MRC", "CURRENCY=USD", "XLFILL=b")</f>
        <v>16476</v>
      </c>
      <c r="G320" s="9">
        <f>_xll.BQL("AMZN US Equity", "CB_CF_NET_CASH_OPERATING_ACT/1M", "FPT=Q", "FPO=-10Q", "ACT_EST_MAPPING=PRECISE", "FS=MRC", "CURRENCY=USD", "XLFILL=b")</f>
        <v>21217</v>
      </c>
      <c r="H320" s="9">
        <f>_xll.BQL("AMZN US Equity", "CB_CF_NET_CASH_OPERATING_ACT/1M", "FPT=Q", "FPO=-9Q", "ACT_EST_MAPPING=PRECISE", "FS=MRC", "CURRENCY=USD", "XLFILL=b")</f>
        <v>42465</v>
      </c>
      <c r="I320" s="9">
        <f>_xll.BQL("AMZN US Equity", "CB_CF_NET_CASH_OPERATING_ACT/1M", "FPT=Q", "FPO=-8Q", "ACT_EST_MAPPING=PRECISE", "FS=MRC", "CURRENCY=USD", "XLFILL=b")</f>
        <v>18989</v>
      </c>
      <c r="J320" s="9">
        <f>_xll.BQL("AMZN US Equity", "CB_CF_NET_CASH_OPERATING_ACT/1M", "FPT=Q", "FPO=-7Q", "ACT_EST_MAPPING=PRECISE", "FS=MRC", "CURRENCY=USD", "XLFILL=b")</f>
        <v>25281</v>
      </c>
      <c r="K320" s="9">
        <f>_xll.BQL("AMZN US Equity", "CB_CF_NET_CASH_OPERATING_ACT/1M", "FPT=Q", "FPO=-6Q", "ACT_EST_MAPPING=PRECISE", "FS=MRC", "CURRENCY=USD", "XLFILL=b")</f>
        <v>25971</v>
      </c>
      <c r="L320" s="9">
        <f>_xll.BQL("AMZN US Equity", "CB_CF_NET_CASH_OPERATING_ACT/1M", "FPT=Q", "FPO=-5Q", "ACT_EST_MAPPING=PRECISE", "FS=MRC", "CURRENCY=USD", "XLFILL=b")</f>
        <v>45636</v>
      </c>
      <c r="M320" s="9">
        <f>_xll.BQL("AMZN US Equity", "CB_CF_NET_CASH_OPERATING_ACT/1M", "FPT=Q", "FPO=-4Q", "ACT_EST_MAPPING=PRECISE", "FS=MRC", "CURRENCY=USD", "XLFILL=b")</f>
        <v>17015</v>
      </c>
      <c r="N320" s="9">
        <f>_xll.BQL("AMZN US Equity", "CB_CF_NET_CASH_OPERATING_ACT/1M", "FPT=Q", "FPO=-3Q", "ACT_EST_MAPPING=PRECISE", "FS=MRC", "CURRENCY=USD", "XLFILL=b")</f>
        <v>32515</v>
      </c>
      <c r="O320" s="9">
        <f>_xll.BQL("AMZN US Equity", "CB_CF_NET_CASH_OPERATING_ACT/1M", "FPT=Q", "FPO=-2Q", "ACT_EST_MAPPING=PRECISE", "FS=MRC", "CURRENCY=USD", "XLFILL=b")</f>
        <v>35525</v>
      </c>
      <c r="P320" s="9">
        <f>_xll.BQL("AMZN US Equity", "CB_CF_NET_CASH_OPERATING_ACT/1M", "FPT=Q", "FPO=-1Q", "ACT_EST_MAPPING=PRECISE", "FS=MRC", "CURRENCY=USD", "XLFILL=b")</f>
        <v>54459</v>
      </c>
      <c r="Q320" s="9">
        <f>_xll.BQL("AMZN US Equity", "CB_CF_NET_CASH_OPERATING_ACT/1M", "FPT=Q", "FPO=0Q", "ACT_EST_MAPPING=PRECISE", "FS=MRC", "CURRENCY=USD", "XLFILL=b")</f>
        <v>26032</v>
      </c>
      <c r="R320" s="9">
        <f>_xll.BQL("AMZN US Equity", "CB_CF_NET_CASH_OPERATING_ACT/1M", "FPT=Q", "FPO=1Q", "ACT_EST_MAPPING=PRECISE", "FS=MRC", "CURRENCY=USD", "XLFILL=b")</f>
        <v>51933.900861009555</v>
      </c>
      <c r="S320" s="9">
        <f>_xll.BQL("AMZN US Equity", "CB_CF_NET_CASH_OPERATING_ACT/1M", "FPT=Q", "FPO=2Q", "ACT_EST_MAPPING=PRECISE", "FS=MRC", "CURRENCY=USD", "XLFILL=b")</f>
        <v>44007.936455306037</v>
      </c>
      <c r="T320" s="9">
        <f>_xll.BQL("AMZN US Equity", "CB_CF_NET_CASH_OPERATING_ACT/1M", "FPT=Q", "FPO=3Q", "ACT_EST_MAPPING=PRECISE", "FS=MRC", "CURRENCY=USD", "XLFILL=b")</f>
        <v>64505.692283393961</v>
      </c>
      <c r="U320" s="9">
        <f>_xll.BQL("AMZN US Equity", "CB_CF_NET_CASH_OPERATING_ACT/1M", "FPT=Q", "FPO=4Q", "ACT_EST_MAPPING=PRECISE", "FS=MRC", "CURRENCY=USD", "XLFILL=b")</f>
        <v>42696.578673636752</v>
      </c>
      <c r="V320" s="9">
        <f>_xll.BQL("AMZN US Equity", "CB_CF_NET_CASH_OPERATING_ACT/1M", "FPT=Q", "FPO=5Q", "ACT_EST_MAPPING=PRECISE", "FS=MRC", "CURRENCY=USD", "XLFILL=b")</f>
        <v>59597.03852421364</v>
      </c>
      <c r="W320" s="9">
        <f>_xll.BQL("AMZN US Equity", "CB_CF_NET_CASH_OPERATING_ACT/1M", "FPT=Q", "FPO=6Q", "ACT_EST_MAPPING=PRECISE", "FS=MRC", "CURRENCY=USD", "XLFILL=b")</f>
        <v>58949.455052103069</v>
      </c>
      <c r="X320" s="9">
        <f>_xll.BQL("AMZN US Equity", "CB_CF_NET_CASH_OPERATING_ACT/1M", "FPT=Q", "FPO=7Q", "ACT_EST_MAPPING=PRECISE", "FS=MRC", "CURRENCY=USD", "XLFILL=b")</f>
        <v>82018.337287775561</v>
      </c>
    </row>
    <row r="321" spans="1:24" x14ac:dyDescent="0.25">
      <c r="A321" s="8" t="s">
        <v>14</v>
      </c>
      <c r="B321" s="4"/>
      <c r="C321" s="4"/>
      <c r="D321" s="4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</row>
    <row r="322" spans="1:24" x14ac:dyDescent="0.25">
      <c r="A322" s="8" t="s">
        <v>534</v>
      </c>
      <c r="B322" s="4"/>
      <c r="C322" s="4"/>
      <c r="D322" s="4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</row>
    <row r="323" spans="1:24" x14ac:dyDescent="0.25">
      <c r="A323" s="8" t="s">
        <v>535</v>
      </c>
      <c r="B323" s="4" t="s">
        <v>536</v>
      </c>
      <c r="C323" s="4" t="s">
        <v>537</v>
      </c>
      <c r="D323" s="4"/>
      <c r="E323" s="9">
        <f>_xll.BQL("AMZN US Equity", "CF_DISPOSAL_OF_FXD_AND_INTANGIBLES/1M", "FPT=Q", "FPO=-12Q", "ACT_EST_MAPPING=PRECISE", "FS=MRC", "CURRENCY=USD", "XLFILL=b")</f>
        <v>1137</v>
      </c>
      <c r="F323" s="9">
        <f>_xll.BQL("AMZN US Equity", "CF_DISPOSAL_OF_FXD_AND_INTANGIBLES/1M", "FPT=Q", "FPO=-11Q", "ACT_EST_MAPPING=PRECISE", "FS=MRC", "CURRENCY=USD", "XLFILL=b")</f>
        <v>1043</v>
      </c>
      <c r="G323" s="9">
        <f>_xll.BQL("AMZN US Equity", "CF_DISPOSAL_OF_FXD_AND_INTANGIBLES/1M", "FPT=Q", "FPO=-10Q", "ACT_EST_MAPPING=PRECISE", "FS=MRC", "CURRENCY=USD", "XLFILL=b")</f>
        <v>1181</v>
      </c>
      <c r="H323" s="9">
        <f>_xll.BQL("AMZN US Equity", "CF_DISPOSAL_OF_FXD_AND_INTANGIBLES/1M", "FPT=Q", "FPO=-9Q", "ACT_EST_MAPPING=PRECISE", "FS=MRC", "CURRENCY=USD", "XLFILL=b")</f>
        <v>1235</v>
      </c>
      <c r="I323" s="9">
        <f>_xll.BQL("AMZN US Equity", "CF_DISPOSAL_OF_FXD_AND_INTANGIBLES/1M", "FPT=Q", "FPO=-8Q", "ACT_EST_MAPPING=PRECISE", "FS=MRC", "CURRENCY=USD", "XLFILL=b")</f>
        <v>990</v>
      </c>
      <c r="J323" s="9">
        <f>_xll.BQL("AMZN US Equity", "CF_DISPOSAL_OF_FXD_AND_INTANGIBLES/1M", "FPT=Q", "FPO=-7Q", "ACT_EST_MAPPING=PRECISE", "FS=MRC", "CURRENCY=USD", "XLFILL=b")</f>
        <v>1227</v>
      </c>
      <c r="K323" s="9">
        <f>_xll.BQL("AMZN US Equity", "CF_DISPOSAL_OF_FXD_AND_INTANGIBLES/1M", "FPT=Q", "FPO=-6Q", "ACT_EST_MAPPING=PRECISE", "FS=MRC", "CURRENCY=USD", "XLFILL=b")</f>
        <v>1342</v>
      </c>
      <c r="L323" s="9">
        <f>_xll.BQL("AMZN US Equity", "CF_DISPOSAL_OF_FXD_AND_INTANGIBLES/1M", "FPT=Q", "FPO=-5Q", "ACT_EST_MAPPING=PRECISE", "FS=MRC", "CURRENCY=USD", "XLFILL=b")</f>
        <v>1782</v>
      </c>
      <c r="M323" s="9">
        <f>_xll.BQL("AMZN US Equity", "CF_DISPOSAL_OF_FXD_AND_INTANGIBLES/1M", "FPT=Q", "FPO=-4Q", "ACT_EST_MAPPING=PRECISE", "FS=MRC", "CURRENCY=USD", "XLFILL=b")</f>
        <v>764</v>
      </c>
      <c r="N323" s="9">
        <f>_xll.BQL("AMZN US Equity", "CF_DISPOSAL_OF_FXD_AND_INTANGIBLES/1M", "FPT=Q", "FPO=-3Q", "ACT_EST_MAPPING=PRECISE", "FS=MRC", "CURRENCY=USD", "XLFILL=b")</f>
        <v>815</v>
      </c>
      <c r="O323" s="9">
        <f>_xll.BQL("AMZN US Equity", "CF_DISPOSAL_OF_FXD_AND_INTANGIBLES/1M", "FPT=Q", "FPO=-2Q", "ACT_EST_MAPPING=PRECISE", "FS=MRC", "CURRENCY=USD", "XLFILL=b")</f>
        <v>867</v>
      </c>
      <c r="P323" s="9">
        <f>_xll.BQL("AMZN US Equity", "CF_DISPOSAL_OF_FXD_AND_INTANGIBLES/1M", "FPT=Q", "FPO=-1Q", "ACT_EST_MAPPING=PRECISE", "FS=MRC", "CURRENCY=USD", "XLFILL=b")</f>
        <v>1053</v>
      </c>
      <c r="Q323" s="9">
        <f>_xll.BQL("AMZN US Equity", "CF_DISPOSAL_OF_FXD_AND_INTANGIBLES/1M", "FPT=Q", "FPO=0Q", "ACT_EST_MAPPING=PRECISE", "FS=MRC", "CURRENCY=USD", "XLFILL=b")</f>
        <v>969</v>
      </c>
      <c r="R323" s="9">
        <f>_xll.BQL("AMZN US Equity", "CF_DISPOSAL_OF_FXD_AND_INTANGIBLES/1M", "FPT=Q", "FPO=1Q", "ACT_EST_MAPPING=PRECISE", "FS=MRC", "CURRENCY=USD", "XLFILL=b")</f>
        <v>988.63613339342908</v>
      </c>
      <c r="S323" s="9">
        <f>_xll.BQL("AMZN US Equity", "CF_DISPOSAL_OF_FXD_AND_INTANGIBLES/1M", "FPT=Q", "FPO=2Q", "ACT_EST_MAPPING=PRECISE", "FS=MRC", "CURRENCY=USD", "XLFILL=b")</f>
        <v>1033.3584373548974</v>
      </c>
      <c r="T323" s="9">
        <f>_xll.BQL("AMZN US Equity", "CF_DISPOSAL_OF_FXD_AND_INTANGIBLES/1M", "FPT=Q", "FPO=3Q", "ACT_EST_MAPPING=PRECISE", "FS=MRC", "CURRENCY=USD", "XLFILL=b")</f>
        <v>1139.7003853712456</v>
      </c>
      <c r="U323" s="9">
        <f>_xll.BQL("AMZN US Equity", "CF_DISPOSAL_OF_FXD_AND_INTANGIBLES/1M", "FPT=Q", "FPO=4Q", "ACT_EST_MAPPING=PRECISE", "FS=MRC", "CURRENCY=USD", "XLFILL=b")</f>
        <v>1127.1371376193893</v>
      </c>
      <c r="V323" s="9">
        <f>_xll.BQL("AMZN US Equity", "CF_DISPOSAL_OF_FXD_AND_INTANGIBLES/1M", "FPT=Q", "FPO=5Q", "ACT_EST_MAPPING=PRECISE", "FS=MRC", "CURRENCY=USD", "XLFILL=b")</f>
        <v>1244.0371923197047</v>
      </c>
      <c r="W323" s="9">
        <f>_xll.BQL("AMZN US Equity", "CF_DISPOSAL_OF_FXD_AND_INTANGIBLES/1M", "FPT=Q", "FPO=6Q", "ACT_EST_MAPPING=PRECISE", "FS=MRC", "CURRENCY=USD", "XLFILL=b")</f>
        <v>1304.16100799637</v>
      </c>
      <c r="X323" s="9">
        <f>_xll.BQL("AMZN US Equity", "CF_DISPOSAL_OF_FXD_AND_INTANGIBLES/1M", "FPT=Q", "FPO=7Q", "ACT_EST_MAPPING=PRECISE", "FS=MRC", "CURRENCY=USD", "XLFILL=b")</f>
        <v>1399.6907202609191</v>
      </c>
    </row>
    <row r="324" spans="1:24" x14ac:dyDescent="0.25">
      <c r="A324" s="8" t="s">
        <v>538</v>
      </c>
      <c r="B324" s="4" t="s">
        <v>58</v>
      </c>
      <c r="C324" s="4" t="s">
        <v>59</v>
      </c>
      <c r="D324" s="4"/>
      <c r="E324" s="9">
        <f>_xll.BQL("AMZN US Equity", "HEADLINE_CAPEX/1M", "FPT=Q", "FPO=-12Q", "ACT_EST_MAPPING=PRECISE", "FS=MRC", "CURRENCY=USD", "XLFILL=b")</f>
        <v>-14207</v>
      </c>
      <c r="F324" s="9">
        <f>_xll.BQL("AMZN US Equity", "HEADLINE_CAPEX/1M", "FPT=Q", "FPO=-11Q", "ACT_EST_MAPPING=PRECISE", "FS=MRC", "CURRENCY=USD", "XLFILL=b")</f>
        <v>-11455</v>
      </c>
      <c r="G324" s="9">
        <f>_xll.BQL("AMZN US Equity", "HEADLINE_CAPEX/1M", "FPT=Q", "FPO=-10Q", "ACT_EST_MAPPING=PRECISE", "FS=MRC", "CURRENCY=USD", "XLFILL=b")</f>
        <v>-12479</v>
      </c>
      <c r="H324" s="9">
        <f>_xll.BQL("AMZN US Equity", "HEADLINE_CAPEX/1M", "FPT=Q", "FPO=-9Q", "ACT_EST_MAPPING=PRECISE", "FS=MRC", "CURRENCY=USD", "XLFILL=b")</f>
        <v>-14588</v>
      </c>
      <c r="I324" s="9">
        <f>_xll.BQL("AMZN US Equity", "HEADLINE_CAPEX/1M", "FPT=Q", "FPO=-8Q", "ACT_EST_MAPPING=PRECISE", "FS=MRC", "CURRENCY=USD", "XLFILL=b")</f>
        <v>-14925</v>
      </c>
      <c r="J324" s="9">
        <f>_xll.BQL("AMZN US Equity", "HEADLINE_CAPEX/1M", "FPT=Q", "FPO=-7Q", "ACT_EST_MAPPING=PRECISE", "FS=MRC", "CURRENCY=USD", "XLFILL=b")</f>
        <v>-17620</v>
      </c>
      <c r="K324" s="9">
        <f>_xll.BQL("AMZN US Equity", "HEADLINE_CAPEX/1M", "FPT=Q", "FPO=-6Q", "ACT_EST_MAPPING=PRECISE", "FS=MRC", "CURRENCY=USD", "XLFILL=b")</f>
        <v>-22620</v>
      </c>
      <c r="L324" s="9">
        <f>_xll.BQL("AMZN US Equity", "HEADLINE_CAPEX/1M", "FPT=Q", "FPO=-5Q", "ACT_EST_MAPPING=PRECISE", "FS=MRC", "CURRENCY=USD", "XLFILL=b")</f>
        <v>-27834</v>
      </c>
      <c r="M324" s="9">
        <f>_xll.BQL("AMZN US Equity", "HEADLINE_CAPEX/1M", "FPT=Q", "FPO=-4Q", "ACT_EST_MAPPING=PRECISE", "FS=MRC", "CURRENCY=USD", "XLFILL=b")</f>
        <v>-25019</v>
      </c>
      <c r="N324" s="9">
        <f>_xll.BQL("AMZN US Equity", "HEADLINE_CAPEX/1M", "FPT=Q", "FPO=-3Q", "ACT_EST_MAPPING=PRECISE", "FS=MRC", "CURRENCY=USD", "XLFILL=b")</f>
        <v>-32183</v>
      </c>
      <c r="O324" s="9">
        <f>_xll.BQL("AMZN US Equity", "HEADLINE_CAPEX/1M", "FPT=Q", "FPO=-2Q", "ACT_EST_MAPPING=PRECISE", "FS=MRC", "CURRENCY=USD", "XLFILL=b")</f>
        <v>-35095</v>
      </c>
      <c r="P324" s="9">
        <f>_xll.BQL("AMZN US Equity", "HEADLINE_CAPEX/1M", "FPT=Q", "FPO=-1Q", "ACT_EST_MAPPING=PRECISE", "FS=MRC", "CURRENCY=USD", "XLFILL=b")</f>
        <v>-39522</v>
      </c>
      <c r="Q324" s="9">
        <f>_xll.BQL("AMZN US Equity", "HEADLINE_CAPEX/1M", "FPT=Q", "FPO=0Q", "ACT_EST_MAPPING=PRECISE", "FS=MRC", "CURRENCY=USD", "XLFILL=b")</f>
        <v>-44203</v>
      </c>
      <c r="R324" s="9">
        <f>_xll.BQL("AMZN US Equity", "HEADLINE_CAPEX/1M", "FPT=Q", "FPO=1Q", "ACT_EST_MAPPING=PRECISE", "FS=MRC", "CURRENCY=USD", "XLFILL=b")</f>
        <v>-48715</v>
      </c>
      <c r="S324" s="9">
        <f>_xll.BQL("AMZN US Equity", "HEADLINE_CAPEX/1M", "FPT=Q", "FPO=2Q", "ACT_EST_MAPPING=PRECISE", "FS=MRC", "CURRENCY=USD", "XLFILL=b")</f>
        <v>-52188.761904761901</v>
      </c>
      <c r="T324" s="9">
        <f>_xll.BQL("AMZN US Equity", "HEADLINE_CAPEX/1M", "FPT=Q", "FPO=3Q", "ACT_EST_MAPPING=PRECISE", "FS=MRC", "CURRENCY=USD", "XLFILL=b")</f>
        <v>-57245.190476190473</v>
      </c>
      <c r="U324" s="9">
        <f>_xll.BQL("AMZN US Equity", "HEADLINE_CAPEX/1M", "FPT=Q", "FPO=4Q", "ACT_EST_MAPPING=PRECISE", "FS=MRC", "CURRENCY=USD", "XLFILL=b")</f>
        <v>-52902.266666666663</v>
      </c>
      <c r="V324" s="9">
        <f>_xll.BQL("AMZN US Equity", "HEADLINE_CAPEX/1M", "FPT=Q", "FPO=5Q", "ACT_EST_MAPPING=PRECISE", "FS=MRC", "CURRENCY=USD", "XLFILL=b")</f>
        <v>-58180.928571428572</v>
      </c>
      <c r="W324" s="9">
        <f>_xll.BQL("AMZN US Equity", "HEADLINE_CAPEX/1M", "FPT=Q", "FPO=6Q", "ACT_EST_MAPPING=PRECISE", "FS=MRC", "CURRENCY=USD", "XLFILL=b")</f>
        <v>-61127.71428571429</v>
      </c>
      <c r="X324" s="9">
        <f>_xll.BQL("AMZN US Equity", "HEADLINE_CAPEX/1M", "FPT=Q", "FPO=7Q", "ACT_EST_MAPPING=PRECISE", "FS=MRC", "CURRENCY=USD", "XLFILL=b")</f>
        <v>-66789.42857142858</v>
      </c>
    </row>
    <row r="325" spans="1:24" x14ac:dyDescent="0.25">
      <c r="A325" s="8" t="s">
        <v>539</v>
      </c>
      <c r="B325" s="4" t="s">
        <v>540</v>
      </c>
      <c r="C325" s="4" t="s">
        <v>541</v>
      </c>
      <c r="D325" s="4"/>
      <c r="E325" s="9">
        <f>_xll.BQL("AMZN US Equity", "CAP_EXPEND_TO_SALES", "FPT=Q", "FPO=-12Q", "ACT_EST_MAPPING=PRECISE", "FS=MRC", "CURRENCY=USD", "XLFILL=b")</f>
        <v>11.155168893983888</v>
      </c>
      <c r="F325" s="9">
        <f>_xll.BQL("AMZN US Equity", "CAP_EXPEND_TO_SALES", "FPT=Q", "FPO=-11Q", "ACT_EST_MAPPING=PRECISE", "FS=MRC", "CURRENCY=USD", "XLFILL=b")</f>
        <v>8.5241436788879543</v>
      </c>
      <c r="G325" s="9">
        <f>_xll.BQL("AMZN US Equity", "CAP_EXPEND_TO_SALES", "FPT=Q", "FPO=-10Q", "ACT_EST_MAPPING=PRECISE", "FS=MRC", "CURRENCY=USD", "XLFILL=b")</f>
        <v>8.7215112906494827</v>
      </c>
      <c r="H325" s="9">
        <f>_xll.BQL("AMZN US Equity", "CAP_EXPEND_TO_SALES", "FPT=Q", "FPO=-9Q", "ACT_EST_MAPPING=PRECISE", "FS=MRC", "CURRENCY=USD", "XLFILL=b")</f>
        <v>8.5831455451544763</v>
      </c>
      <c r="I325" s="9">
        <f>_xll.BQL("AMZN US Equity", "CAP_EXPEND_TO_SALES", "FPT=Q", "FPO=-8Q", "ACT_EST_MAPPING=PRECISE", "FS=MRC", "CURRENCY=USD", "XLFILL=b")</f>
        <v>10.414268070586758</v>
      </c>
      <c r="J325" s="9">
        <f>_xll.BQL("AMZN US Equity", "CAP_EXPEND_TO_SALES", "FPT=Q", "FPO=-7Q", "ACT_EST_MAPPING=PRECISE", "FS=MRC", "CURRENCY=USD", "XLFILL=b")</f>
        <v>11.907255857329179</v>
      </c>
      <c r="K325" s="9">
        <f>_xll.BQL("AMZN US Equity", "CAP_EXPEND_TO_SALES", "FPT=Q", "FPO=-6Q", "ACT_EST_MAPPING=PRECISE", "FS=MRC", "CURRENCY=USD", "XLFILL=b")</f>
        <v>14.237428954474215</v>
      </c>
      <c r="L325" s="9">
        <f>_xll.BQL("AMZN US Equity", "CAP_EXPEND_TO_SALES", "FPT=Q", "FPO=-5Q", "ACT_EST_MAPPING=PRECISE", "FS=MRC", "CURRENCY=USD", "XLFILL=b")</f>
        <v>14.821717645054102</v>
      </c>
      <c r="M325" s="9">
        <f>_xll.BQL("AMZN US Equity", "CAP_EXPEND_TO_SALES", "FPT=Q", "FPO=-4Q", "ACT_EST_MAPPING=PRECISE", "FS=MRC", "CURRENCY=USD", "XLFILL=b")</f>
        <v>16.072128325207014</v>
      </c>
      <c r="N325" s="9">
        <f>_xll.BQL("AMZN US Equity", "CAP_EXPEND_TO_SALES", "FPT=Q", "FPO=-3Q", "ACT_EST_MAPPING=PRECISE", "FS=MRC", "CURRENCY=USD", "XLFILL=b")</f>
        <v>19.190588066928242</v>
      </c>
      <c r="O325" s="9">
        <f>_xll.BQL("AMZN US Equity", "CAP_EXPEND_TO_SALES", "FPT=Q", "FPO=-2Q", "ACT_EST_MAPPING=PRECISE", "FS=MRC", "CURRENCY=USD", "XLFILL=b")</f>
        <v>19.478933667834088</v>
      </c>
      <c r="P325" s="9">
        <f>_xll.BQL("AMZN US Equity", "CAP_EXPEND_TO_SALES", "FPT=Q", "FPO=-1Q", "ACT_EST_MAPPING=PRECISE", "FS=MRC", "CURRENCY=USD", "XLFILL=b")</f>
        <v>18.521365038006245</v>
      </c>
      <c r="Q325" s="9">
        <f>_xll.BQL("AMZN US Equity", "CAP_EXPEND_TO_SALES", "FPT=Q", "FPO=0Q", "ACT_EST_MAPPING=PRECISE", "FS=MRC", "CURRENCY=USD", "XLFILL=b")</f>
        <v>24.351720756504829</v>
      </c>
      <c r="R325" s="9" t="str">
        <f>_xll.BQL("AMZN US Equity", "CAP_EXPEND_TO_SALES", "FPT=Q", "FPO=1Q", "ACT_EST_MAPPING=PRECISE", "FS=MRC", "CURRENCY=USD", "XLFILL=b")</f>
        <v/>
      </c>
      <c r="S325" s="9" t="str">
        <f>_xll.BQL("AMZN US Equity", "CAP_EXPEND_TO_SALES", "FPT=Q", "FPO=2Q", "ACT_EST_MAPPING=PRECISE", "FS=MRC", "CURRENCY=USD", "XLFILL=b")</f>
        <v/>
      </c>
      <c r="T325" s="9" t="str">
        <f>_xll.BQL("AMZN US Equity", "CAP_EXPEND_TO_SALES", "FPT=Q", "FPO=3Q", "ACT_EST_MAPPING=PRECISE", "FS=MRC", "CURRENCY=USD", "XLFILL=b")</f>
        <v/>
      </c>
      <c r="U325" s="9" t="str">
        <f>_xll.BQL("AMZN US Equity", "CAP_EXPEND_TO_SALES", "FPT=Q", "FPO=4Q", "ACT_EST_MAPPING=PRECISE", "FS=MRC", "CURRENCY=USD", "XLFILL=b")</f>
        <v/>
      </c>
      <c r="V325" s="9" t="str">
        <f>_xll.BQL("AMZN US Equity", "CAP_EXPEND_TO_SALES", "FPT=Q", "FPO=5Q", "ACT_EST_MAPPING=PRECISE", "FS=MRC", "CURRENCY=USD", "XLFILL=b")</f>
        <v/>
      </c>
      <c r="W325" s="9" t="str">
        <f>_xll.BQL("AMZN US Equity", "CAP_EXPEND_TO_SALES", "FPT=Q", "FPO=6Q", "ACT_EST_MAPPING=PRECISE", "FS=MRC", "CURRENCY=USD", "XLFILL=b")</f>
        <v/>
      </c>
      <c r="X325" s="9" t="str">
        <f>_xll.BQL("AMZN US Equity", "CAP_EXPEND_TO_SALES", "FPT=Q", "FPO=7Q", "ACT_EST_MAPPING=PRECISE", "FS=MRC", "CURRENCY=USD", "XLFILL=b")</f>
        <v/>
      </c>
    </row>
    <row r="326" spans="1:24" x14ac:dyDescent="0.25">
      <c r="A326" s="8" t="s">
        <v>542</v>
      </c>
      <c r="B326" s="4" t="s">
        <v>61</v>
      </c>
      <c r="C326" s="4" t="s">
        <v>62</v>
      </c>
      <c r="D326" s="4"/>
      <c r="E326" s="9">
        <f>_xll.BQL("AMZN US Equity", "CF_CHG_IN_FIXED_AND_INTANG_ASSETS/1M", "FPT=Q", "FPO=-12Q", "ACT_EST_MAPPING=PRECISE", "FS=MRC", "CURRENCY=USD", "XLFILL=b")</f>
        <v>-13070</v>
      </c>
      <c r="F326" s="9">
        <f>_xll.BQL("AMZN US Equity", "CF_CHG_IN_FIXED_AND_INTANG_ASSETS/1M", "FPT=Q", "FPO=-11Q", "ACT_EST_MAPPING=PRECISE", "FS=MRC", "CURRENCY=USD", "XLFILL=b")</f>
        <v>-10412</v>
      </c>
      <c r="G326" s="9">
        <f>_xll.BQL("AMZN US Equity", "CF_CHG_IN_FIXED_AND_INTANG_ASSETS/1M", "FPT=Q", "FPO=-10Q", "ACT_EST_MAPPING=PRECISE", "FS=MRC", "CURRENCY=USD", "XLFILL=b")</f>
        <v>-11298</v>
      </c>
      <c r="H326" s="9">
        <f>_xll.BQL("AMZN US Equity", "CF_CHG_IN_FIXED_AND_INTANG_ASSETS/1M", "FPT=Q", "FPO=-9Q", "ACT_EST_MAPPING=PRECISE", "FS=MRC", "CURRENCY=USD", "XLFILL=b")</f>
        <v>-13353</v>
      </c>
      <c r="I326" s="9">
        <f>_xll.BQL("AMZN US Equity", "CF_CHG_IN_FIXED_AND_INTANG_ASSETS/1M", "FPT=Q", "FPO=-8Q", "ACT_EST_MAPPING=PRECISE", "FS=MRC", "CURRENCY=USD", "XLFILL=b")</f>
        <v>-13935</v>
      </c>
      <c r="J326" s="9">
        <f>_xll.BQL("AMZN US Equity", "CF_CHG_IN_FIXED_AND_INTANG_ASSETS/1M", "FPT=Q", "FPO=-7Q", "ACT_EST_MAPPING=PRECISE", "FS=MRC", "CURRENCY=USD", "XLFILL=b")</f>
        <v>-16393</v>
      </c>
      <c r="K326" s="9">
        <f>_xll.BQL("AMZN US Equity", "CF_CHG_IN_FIXED_AND_INTANG_ASSETS/1M", "FPT=Q", "FPO=-6Q", "ACT_EST_MAPPING=PRECISE", "FS=MRC", "CURRENCY=USD", "XLFILL=b")</f>
        <v>-21278</v>
      </c>
      <c r="L326" s="9">
        <f>_xll.BQL("AMZN US Equity", "CF_CHG_IN_FIXED_AND_INTANG_ASSETS/1M", "FPT=Q", "FPO=-5Q", "ACT_EST_MAPPING=PRECISE", "FS=MRC", "CURRENCY=USD", "XLFILL=b")</f>
        <v>-26052</v>
      </c>
      <c r="M326" s="9">
        <f>_xll.BQL("AMZN US Equity", "CF_CHG_IN_FIXED_AND_INTANG_ASSETS/1M", "FPT=Q", "FPO=-4Q", "ACT_EST_MAPPING=PRECISE", "FS=MRC", "CURRENCY=USD", "XLFILL=b")</f>
        <v>-24255</v>
      </c>
      <c r="N326" s="9">
        <f>_xll.BQL("AMZN US Equity", "CF_CHG_IN_FIXED_AND_INTANG_ASSETS/1M", "FPT=Q", "FPO=-3Q", "ACT_EST_MAPPING=PRECISE", "FS=MRC", "CURRENCY=USD", "XLFILL=b")</f>
        <v>-31368</v>
      </c>
      <c r="O326" s="9">
        <f>_xll.BQL("AMZN US Equity", "CF_CHG_IN_FIXED_AND_INTANG_ASSETS/1M", "FPT=Q", "FPO=-2Q", "ACT_EST_MAPPING=PRECISE", "FS=MRC", "CURRENCY=USD", "XLFILL=b")</f>
        <v>-34228</v>
      </c>
      <c r="P326" s="9">
        <f>_xll.BQL("AMZN US Equity", "CF_CHG_IN_FIXED_AND_INTANG_ASSETS/1M", "FPT=Q", "FPO=-1Q", "ACT_EST_MAPPING=PRECISE", "FS=MRC", "CURRENCY=USD", "XLFILL=b")</f>
        <v>-38469</v>
      </c>
      <c r="Q326" s="9">
        <f>_xll.BQL("AMZN US Equity", "CF_CHG_IN_FIXED_AND_INTANG_ASSETS/1M", "FPT=Q", "FPO=0Q", "ACT_EST_MAPPING=PRECISE", "FS=MRC", "CURRENCY=USD", "XLFILL=b")</f>
        <v>-43234</v>
      </c>
      <c r="R326" s="9">
        <f>_xll.BQL("AMZN US Equity", "CF_CHG_IN_FIXED_AND_INTANG_ASSETS/1M", "FPT=Q", "FPO=1Q", "ACT_EST_MAPPING=PRECISE", "FS=MRC", "CURRENCY=USD", "XLFILL=b")</f>
        <v>-48139.489591049431</v>
      </c>
      <c r="S326" s="9">
        <f>_xll.BQL("AMZN US Equity", "CF_CHG_IN_FIXED_AND_INTANG_ASSETS/1M", "FPT=Q", "FPO=2Q", "ACT_EST_MAPPING=PRECISE", "FS=MRC", "CURRENCY=USD", "XLFILL=b")</f>
        <v>-51658.909362224098</v>
      </c>
      <c r="T326" s="9">
        <f>_xll.BQL("AMZN US Equity", "CF_CHG_IN_FIXED_AND_INTANG_ASSETS/1M", "FPT=Q", "FPO=3Q", "ACT_EST_MAPPING=PRECISE", "FS=MRC", "CURRENCY=USD", "XLFILL=b")</f>
        <v>-57105.014910444705</v>
      </c>
      <c r="U326" s="9">
        <f>_xll.BQL("AMZN US Equity", "CF_CHG_IN_FIXED_AND_INTANG_ASSETS/1M", "FPT=Q", "FPO=4Q", "ACT_EST_MAPPING=PRECISE", "FS=MRC", "CURRENCY=USD", "XLFILL=b")</f>
        <v>-51620.614002996947</v>
      </c>
      <c r="V326" s="9">
        <f>_xll.BQL("AMZN US Equity", "CF_CHG_IN_FIXED_AND_INTANG_ASSETS/1M", "FPT=Q", "FPO=5Q", "ACT_EST_MAPPING=PRECISE", "FS=MRC", "CURRENCY=USD", "XLFILL=b")</f>
        <v>-58336.590386713491</v>
      </c>
      <c r="W326" s="9">
        <f>_xll.BQL("AMZN US Equity", "CF_CHG_IN_FIXED_AND_INTANG_ASSETS/1M", "FPT=Q", "FPO=6Q", "ACT_EST_MAPPING=PRECISE", "FS=MRC", "CURRENCY=USD", "XLFILL=b")</f>
        <v>-60359.894739931398</v>
      </c>
      <c r="X326" s="9">
        <f>_xll.BQL("AMZN US Equity", "CF_CHG_IN_FIXED_AND_INTANG_ASSETS/1M", "FPT=Q", "FPO=7Q", "ACT_EST_MAPPING=PRECISE", "FS=MRC", "CURRENCY=USD", "XLFILL=b")</f>
        <v>-65518.775144101484</v>
      </c>
    </row>
    <row r="327" spans="1:24" x14ac:dyDescent="0.25">
      <c r="A327" s="8" t="s">
        <v>543</v>
      </c>
      <c r="B327" s="4" t="s">
        <v>544</v>
      </c>
      <c r="C327" s="4" t="s">
        <v>545</v>
      </c>
      <c r="D327" s="4"/>
      <c r="E327" s="9">
        <f>_xll.BQL("AMZN US Equity", "CF_CASH_FOR_ACQUIS_SUBSIDIARIES/1M", "FPT=Q", "FPO=-12Q", "ACT_EST_MAPPING=PRECISE", "FS=MRC", "CURRENCY=USD", "XLFILL=b")</f>
        <v>-3513</v>
      </c>
      <c r="F327" s="9">
        <f>_xll.BQL("AMZN US Equity", "CF_CASH_FOR_ACQUIS_SUBSIDIARIES/1M", "FPT=Q", "FPO=-11Q", "ACT_EST_MAPPING=PRECISE", "FS=MRC", "CURRENCY=USD", "XLFILL=b")</f>
        <v>-316</v>
      </c>
      <c r="G327" s="9">
        <f>_xll.BQL("AMZN US Equity", "CF_CASH_FOR_ACQUIS_SUBSIDIARIES/1M", "FPT=Q", "FPO=-10Q", "ACT_EST_MAPPING=PRECISE", "FS=MRC", "CURRENCY=USD", "XLFILL=b")</f>
        <v>-1629</v>
      </c>
      <c r="H327" s="9">
        <f>_xll.BQL("AMZN US Equity", "CF_CASH_FOR_ACQUIS_SUBSIDIARIES/1M", "FPT=Q", "FPO=-9Q", "ACT_EST_MAPPING=PRECISE", "FS=MRC", "CURRENCY=USD", "XLFILL=b")</f>
        <v>-381</v>
      </c>
      <c r="I327" s="9">
        <f>_xll.BQL("AMZN US Equity", "CF_CASH_FOR_ACQUIS_SUBSIDIARIES/1M", "FPT=Q", "FPO=-8Q", "ACT_EST_MAPPING=PRECISE", "FS=MRC", "CURRENCY=USD", "XLFILL=b")</f>
        <v>-3354</v>
      </c>
      <c r="J327" s="9">
        <f>_xll.BQL("AMZN US Equity", "CF_CASH_FOR_ACQUIS_SUBSIDIARIES/1M", "FPT=Q", "FPO=-7Q", "ACT_EST_MAPPING=PRECISE", "FS=MRC", "CURRENCY=USD", "XLFILL=b")</f>
        <v>-571</v>
      </c>
      <c r="K327" s="9">
        <f>_xll.BQL("AMZN US Equity", "CF_CASH_FOR_ACQUIS_SUBSIDIARIES/1M", "FPT=Q", "FPO=-6Q", "ACT_EST_MAPPING=PRECISE", "FS=MRC", "CURRENCY=USD", "XLFILL=b")</f>
        <v>-622</v>
      </c>
      <c r="L327" s="9">
        <f>_xll.BQL("AMZN US Equity", "CF_CASH_FOR_ACQUIS_SUBSIDIARIES/1M", "FPT=Q", "FPO=-5Q", "ACT_EST_MAPPING=PRECISE", "FS=MRC", "CURRENCY=USD", "XLFILL=b")</f>
        <v>-2535</v>
      </c>
      <c r="M327" s="9">
        <f>_xll.BQL("AMZN US Equity", "CF_CASH_FOR_ACQUIS_SUBSIDIARIES/1M", "FPT=Q", "FPO=-4Q", "ACT_EST_MAPPING=PRECISE", "FS=MRC", "CURRENCY=USD", "XLFILL=b")</f>
        <v>48</v>
      </c>
      <c r="N327" s="9">
        <f>_xll.BQL("AMZN US Equity", "CF_CASH_FOR_ACQUIS_SUBSIDIARIES/1M", "FPT=Q", "FPO=-3Q", "ACT_EST_MAPPING=PRECISE", "FS=MRC", "CURRENCY=USD", "XLFILL=b")</f>
        <v>-1700</v>
      </c>
      <c r="O327" s="9">
        <f>_xll.BQL("AMZN US Equity", "CF_CASH_FOR_ACQUIS_SUBSIDIARIES/1M", "FPT=Q", "FPO=-2Q", "ACT_EST_MAPPING=PRECISE", "FS=MRC", "CURRENCY=USD", "XLFILL=b")</f>
        <v>-786</v>
      </c>
      <c r="P327" s="9">
        <f>_xll.BQL("AMZN US Equity", "CF_CASH_FOR_ACQUIS_SUBSIDIARIES/1M", "FPT=Q", "FPO=-1Q", "ACT_EST_MAPPING=PRECISE", "FS=MRC", "CURRENCY=USD", "XLFILL=b")</f>
        <v>-1403</v>
      </c>
      <c r="Q327" s="9">
        <f>_xll.BQL("AMZN US Equity", "CF_CASH_FOR_ACQUIS_SUBSIDIARIES/1M", "FPT=Q", "FPO=0Q", "ACT_EST_MAPPING=PRECISE", "FS=MRC", "CURRENCY=USD", "XLFILL=b")</f>
        <v>-15408</v>
      </c>
      <c r="R327" s="9">
        <f>_xll.BQL("AMZN US Equity", "CF_CASH_FOR_ACQUIS_SUBSIDIARIES/1M", "FPT=Q", "FPO=1Q", "ACT_EST_MAPPING=PRECISE", "FS=MRC", "CURRENCY=USD", "XLFILL=b")</f>
        <v>-264.62956011496823</v>
      </c>
      <c r="S327" s="9">
        <f>_xll.BQL("AMZN US Equity", "CF_CASH_FOR_ACQUIS_SUBSIDIARIES/1M", "FPT=Q", "FPO=2Q", "ACT_EST_MAPPING=PRECISE", "FS=MRC", "CURRENCY=USD", "XLFILL=b")</f>
        <v>-265.12916895701636</v>
      </c>
      <c r="T327" s="9">
        <f>_xll.BQL("AMZN US Equity", "CF_CASH_FOR_ACQUIS_SUBSIDIARIES/1M", "FPT=Q", "FPO=3Q", "ACT_EST_MAPPING=PRECISE", "FS=MRC", "CURRENCY=USD", "XLFILL=b")</f>
        <v>-323.37322160287471</v>
      </c>
      <c r="U327" s="9">
        <f>_xll.BQL("AMZN US Equity", "CF_CASH_FOR_ACQUIS_SUBSIDIARIES/1M", "FPT=Q", "FPO=4Q", "ACT_EST_MAPPING=PRECISE", "FS=MRC", "CURRENCY=USD", "XLFILL=b")</f>
        <v>-410.83134264633594</v>
      </c>
      <c r="V327" s="9">
        <f>_xll.BQL("AMZN US Equity", "CF_CASH_FOR_ACQUIS_SUBSIDIARIES/1M", "FPT=Q", "FPO=5Q", "ACT_EST_MAPPING=PRECISE", "FS=MRC", "CURRENCY=USD", "XLFILL=b")</f>
        <v>-445.36593064253663</v>
      </c>
      <c r="W327" s="9">
        <f>_xll.BQL("AMZN US Equity", "CF_CASH_FOR_ACQUIS_SUBSIDIARIES/1M", "FPT=Q", "FPO=6Q", "ACT_EST_MAPPING=PRECISE", "FS=MRC", "CURRENCY=USD", "XLFILL=b")</f>
        <v>-463.4966342845301</v>
      </c>
      <c r="X327" s="9">
        <f>_xll.BQL("AMZN US Equity", "CF_CASH_FOR_ACQUIS_SUBSIDIARIES/1M", "FPT=Q", "FPO=7Q", "ACT_EST_MAPPING=PRECISE", "FS=MRC", "CURRENCY=USD", "XLFILL=b")</f>
        <v>-554.57022246537156</v>
      </c>
    </row>
    <row r="328" spans="1:24" x14ac:dyDescent="0.25">
      <c r="A328" s="8" t="s">
        <v>546</v>
      </c>
      <c r="B328" s="4" t="s">
        <v>547</v>
      </c>
      <c r="C328" s="4" t="s">
        <v>548</v>
      </c>
      <c r="D328" s="4"/>
      <c r="E328" s="9">
        <f>_xll.BQL("AMZN US Equity", "OTHER_INVESTING_ACT_DETAILED/1M", "FPT=Q", "FPO=-12Q", "ACT_EST_MAPPING=PRECISE", "FS=MRC", "CURRENCY=USD", "XLFILL=b")</f>
        <v>777</v>
      </c>
      <c r="F328" s="9">
        <f>_xll.BQL("AMZN US Equity", "OTHER_INVESTING_ACT_DETAILED/1M", "FPT=Q", "FPO=-11Q", "ACT_EST_MAPPING=PRECISE", "FS=MRC", "CURRENCY=USD", "XLFILL=b")</f>
        <v>1055</v>
      </c>
      <c r="G328" s="9">
        <f>_xll.BQL("AMZN US Equity", "OTHER_INVESTING_ACT_DETAILED/1M", "FPT=Q", "FPO=-10Q", "ACT_EST_MAPPING=PRECISE", "FS=MRC", "CURRENCY=USD", "XLFILL=b")</f>
        <v>1174</v>
      </c>
      <c r="H328" s="9">
        <f>_xll.BQL("AMZN US Equity", "OTHER_INVESTING_ACT_DETAILED/1M", "FPT=Q", "FPO=-9Q", "ACT_EST_MAPPING=PRECISE", "FS=MRC", "CURRENCY=USD", "XLFILL=b")</f>
        <v>1133</v>
      </c>
      <c r="I328" s="9">
        <f>_xll.BQL("AMZN US Equity", "OTHER_INVESTING_ACT_DETAILED/1M", "FPT=Q", "FPO=-8Q", "ACT_EST_MAPPING=PRECISE", "FS=MRC", "CURRENCY=USD", "XLFILL=b")</f>
        <v>-573</v>
      </c>
      <c r="J328" s="9">
        <f>_xll.BQL("AMZN US Equity", "OTHER_INVESTING_ACT_DETAILED/1M", "FPT=Q", "FPO=-7Q", "ACT_EST_MAPPING=PRECISE", "FS=MRC", "CURRENCY=USD", "XLFILL=b")</f>
        <v>-5174</v>
      </c>
      <c r="K328" s="9">
        <f>_xll.BQL("AMZN US Equity", "OTHER_INVESTING_ACT_DETAILED/1M", "FPT=Q", "FPO=-6Q", "ACT_EST_MAPPING=PRECISE", "FS=MRC", "CURRENCY=USD", "XLFILL=b")</f>
        <v>5001</v>
      </c>
      <c r="L328" s="9">
        <f>_xll.BQL("AMZN US Equity", "OTHER_INVESTING_ACT_DETAILED/1M", "FPT=Q", "FPO=-5Q", "ACT_EST_MAPPING=PRECISE", "FS=MRC", "CURRENCY=USD", "XLFILL=b")</f>
        <v>-8856</v>
      </c>
      <c r="M328" s="9">
        <f>_xll.BQL("AMZN US Equity", "OTHER_INVESTING_ACT_DETAILED/1M", "FPT=Q", "FPO=-4Q", "ACT_EST_MAPPING=PRECISE", "FS=MRC", "CURRENCY=USD", "XLFILL=b")</f>
        <v>-5596</v>
      </c>
      <c r="N328" s="9">
        <f>_xll.BQL("AMZN US Equity", "OTHER_INVESTING_ACT_DETAILED/1M", "FPT=Q", "FPO=-3Q", "ACT_EST_MAPPING=PRECISE", "FS=MRC", "CURRENCY=USD", "XLFILL=b")</f>
        <v>-6356</v>
      </c>
      <c r="O328" s="9">
        <f>_xll.BQL("AMZN US Equity", "OTHER_INVESTING_ACT_DETAILED/1M", "FPT=Q", "FPO=-2Q", "ACT_EST_MAPPING=PRECISE", "FS=MRC", "CURRENCY=USD", "XLFILL=b")</f>
        <v>8941</v>
      </c>
      <c r="P328" s="9">
        <f>_xll.BQL("AMZN US Equity", "OTHER_INVESTING_ACT_DETAILED/1M", "FPT=Q", "FPO=-1Q", "ACT_EST_MAPPING=PRECISE", "FS=MRC", "CURRENCY=USD", "XLFILL=b")</f>
        <v>-7373</v>
      </c>
      <c r="Q328" s="9">
        <f>_xll.BQL("AMZN US Equity", "OTHER_INVESTING_ACT_DETAILED/1M", "FPT=Q", "FPO=0Q", "ACT_EST_MAPPING=PRECISE", "FS=MRC", "CURRENCY=USD", "XLFILL=b")</f>
        <v>-5570</v>
      </c>
      <c r="R328" s="9">
        <f>_xll.BQL("AMZN US Equity", "OTHER_INVESTING_ACT_DETAILED/1M", "FPT=Q", "FPO=1Q", "ACT_EST_MAPPING=PRECISE", "FS=MRC", "CURRENCY=USD", "XLFILL=b")</f>
        <v>-900</v>
      </c>
      <c r="S328" s="9">
        <f>_xll.BQL("AMZN US Equity", "OTHER_INVESTING_ACT_DETAILED/1M", "FPT=Q", "FPO=2Q", "ACT_EST_MAPPING=PRECISE", "FS=MRC", "CURRENCY=USD", "XLFILL=b")</f>
        <v>-900</v>
      </c>
      <c r="T328" s="9">
        <f>_xll.BQL("AMZN US Equity", "OTHER_INVESTING_ACT_DETAILED/1M", "FPT=Q", "FPO=3Q", "ACT_EST_MAPPING=PRECISE", "FS=MRC", "CURRENCY=USD", "XLFILL=b")</f>
        <v>-900</v>
      </c>
      <c r="U328" s="9">
        <f>_xll.BQL("AMZN US Equity", "OTHER_INVESTING_ACT_DETAILED/1M", "FPT=Q", "FPO=4Q", "ACT_EST_MAPPING=PRECISE", "FS=MRC", "CURRENCY=USD", "XLFILL=b")</f>
        <v>-1800</v>
      </c>
      <c r="V328" s="9">
        <f>_xll.BQL("AMZN US Equity", "OTHER_INVESTING_ACT_DETAILED/1M", "FPT=Q", "FPO=5Q", "ACT_EST_MAPPING=PRECISE", "FS=MRC", "CURRENCY=USD", "XLFILL=b")</f>
        <v>-1800</v>
      </c>
      <c r="W328" s="9">
        <f>_xll.BQL("AMZN US Equity", "OTHER_INVESTING_ACT_DETAILED/1M", "FPT=Q", "FPO=6Q", "ACT_EST_MAPPING=PRECISE", "FS=MRC", "CURRENCY=USD", "XLFILL=b")</f>
        <v>-1800</v>
      </c>
      <c r="X328" s="9">
        <f>_xll.BQL("AMZN US Equity", "OTHER_INVESTING_ACT_DETAILED/1M", "FPT=Q", "FPO=7Q", "ACT_EST_MAPPING=PRECISE", "FS=MRC", "CURRENCY=USD", "XLFILL=b")</f>
        <v>-1800</v>
      </c>
    </row>
    <row r="329" spans="1:24" x14ac:dyDescent="0.25">
      <c r="A329" s="8" t="s">
        <v>549</v>
      </c>
      <c r="B329" s="4" t="s">
        <v>550</v>
      </c>
      <c r="C329" s="4" t="s">
        <v>551</v>
      </c>
      <c r="D329" s="4"/>
      <c r="E329" s="9">
        <f>_xll.BQL("AMZN US Equity", "CF_PURCHSS_OF_INVSTMNTS/1M", "FPT=Q", "FPO=-12Q", "ACT_EST_MAPPING=PRECISE", "FS=MRC", "CURRENCY=USD", "XLFILL=b")</f>
        <v>-338</v>
      </c>
      <c r="F329" s="9">
        <f>_xll.BQL("AMZN US Equity", "CF_PURCHSS_OF_INVSTMNTS/1M", "FPT=Q", "FPO=-11Q", "ACT_EST_MAPPING=PRECISE", "FS=MRC", "CURRENCY=USD", "XLFILL=b")</f>
        <v>-496</v>
      </c>
      <c r="G329" s="9">
        <f>_xll.BQL("AMZN US Equity", "CF_PURCHSS_OF_INVSTMNTS/1M", "FPT=Q", "FPO=-10Q", "ACT_EST_MAPPING=PRECISE", "FS=MRC", "CURRENCY=USD", "XLFILL=b")</f>
        <v>-219</v>
      </c>
      <c r="H329" s="9">
        <f>_xll.BQL("AMZN US Equity", "CF_PURCHSS_OF_INVSTMNTS/1M", "FPT=Q", "FPO=-9Q", "ACT_EST_MAPPING=PRECISE", "FS=MRC", "CURRENCY=USD", "XLFILL=b")</f>
        <v>-435</v>
      </c>
      <c r="I329" s="9">
        <f>_xll.BQL("AMZN US Equity", "CF_PURCHSS_OF_INVSTMNTS/1M", "FPT=Q", "FPO=-8Q", "ACT_EST_MAPPING=PRECISE", "FS=MRC", "CURRENCY=USD", "XLFILL=b")</f>
        <v>-1965</v>
      </c>
      <c r="J329" s="9">
        <f>_xll.BQL("AMZN US Equity", "CF_PURCHSS_OF_INVSTMNTS/1M", "FPT=Q", "FPO=-7Q", "ACT_EST_MAPPING=PRECISE", "FS=MRC", "CURRENCY=USD", "XLFILL=b")</f>
        <v>-8439</v>
      </c>
      <c r="K329" s="9">
        <f>_xll.BQL("AMZN US Equity", "CF_PURCHSS_OF_INVSTMNTS/1M", "FPT=Q", "FPO=-6Q", "ACT_EST_MAPPING=PRECISE", "FS=MRC", "CURRENCY=USD", "XLFILL=b")</f>
        <v>-3068</v>
      </c>
      <c r="L329" s="9">
        <f>_xll.BQL("AMZN US Equity", "CF_PURCHSS_OF_INVSTMNTS/1M", "FPT=Q", "FPO=-5Q", "ACT_EST_MAPPING=PRECISE", "FS=MRC", "CURRENCY=USD", "XLFILL=b")</f>
        <v>-12533</v>
      </c>
      <c r="M329" s="9">
        <f>_xll.BQL("AMZN US Equity", "CF_PURCHSS_OF_INVSTMNTS/1M", "FPT=Q", "FPO=-4Q", "ACT_EST_MAPPING=PRECISE", "FS=MRC", "CURRENCY=USD", "XLFILL=b")</f>
        <v>-13333</v>
      </c>
      <c r="N329" s="9">
        <f>_xll.BQL("AMZN US Equity", "CF_PURCHSS_OF_INVSTMNTS/1M", "FPT=Q", "FPO=-3Q", "ACT_EST_MAPPING=PRECISE", "FS=MRC", "CURRENCY=USD", "XLFILL=b")</f>
        <v>-17797</v>
      </c>
      <c r="O329" s="9">
        <f>_xll.BQL("AMZN US Equity", "CF_PURCHSS_OF_INVSTMNTS/1M", "FPT=Q", "FPO=-2Q", "ACT_EST_MAPPING=PRECISE", "FS=MRC", "CURRENCY=USD", "XLFILL=b")</f>
        <v>-7426</v>
      </c>
      <c r="P329" s="9">
        <f>_xll.BQL("AMZN US Equity", "CF_PURCHSS_OF_INVSTMNTS/1M", "FPT=Q", "FPO=-1Q", "ACT_EST_MAPPING=PRECISE", "FS=MRC", "CURRENCY=USD", "XLFILL=b")</f>
        <v>-16214</v>
      </c>
      <c r="Q329" s="9">
        <f>_xll.BQL("AMZN US Equity", "CF_PURCHSS_OF_INVSTMNTS/1M", "FPT=Q", "FPO=0Q", "ACT_EST_MAPPING=PRECISE", "FS=MRC", "CURRENCY=USD", "XLFILL=b")</f>
        <v>-23256</v>
      </c>
      <c r="R329" s="9">
        <f>_xll.BQL("AMZN US Equity", "CF_PURCHSS_OF_INVSTMNTS/1M", "FPT=Q", "FPO=1Q", "ACT_EST_MAPPING=PRECISE", "FS=MRC", "CURRENCY=USD", "XLFILL=b")</f>
        <v>-18250.571357574754</v>
      </c>
      <c r="S329" s="9">
        <f>_xll.BQL("AMZN US Equity", "CF_PURCHSS_OF_INVSTMNTS/1M", "FPT=Q", "FPO=2Q", "ACT_EST_MAPPING=PRECISE", "FS=MRC", "CURRENCY=USD", "XLFILL=b")</f>
        <v>-20288.332821494008</v>
      </c>
      <c r="T329" s="9">
        <f>_xll.BQL("AMZN US Equity", "CF_PURCHSS_OF_INVSTMNTS/1M", "FPT=Q", "FPO=3Q", "ACT_EST_MAPPING=PRECISE", "FS=MRC", "CURRENCY=USD", "XLFILL=b")</f>
        <v>-22639.474868919988</v>
      </c>
      <c r="U329" s="9">
        <f>_xll.BQL("AMZN US Equity", "CF_PURCHSS_OF_INVSTMNTS/1M", "FPT=Q", "FPO=4Q", "ACT_EST_MAPPING=PRECISE", "FS=MRC", "CURRENCY=USD", "XLFILL=b")</f>
        <v>-25352.191261417971</v>
      </c>
      <c r="V329" s="9">
        <f>_xll.BQL("AMZN US Equity", "CF_PURCHSS_OF_INVSTMNTS/1M", "FPT=Q", "FPO=5Q", "ACT_EST_MAPPING=PRECISE", "FS=MRC", "CURRENCY=USD", "XLFILL=b")</f>
        <v>-28482.087319456517</v>
      </c>
      <c r="W329" s="9">
        <f>_xll.BQL("AMZN US Equity", "CF_PURCHSS_OF_INVSTMNTS/1M", "FPT=Q", "FPO=6Q", "ACT_EST_MAPPING=PRECISE", "FS=MRC", "CURRENCY=USD", "XLFILL=b")</f>
        <v>-32093.319721493372</v>
      </c>
      <c r="X329" s="9">
        <f>_xll.BQL("AMZN US Equity", "CF_PURCHSS_OF_INVSTMNTS/1M", "FPT=Q", "FPO=7Q", "ACT_EST_MAPPING=PRECISE", "FS=MRC", "CURRENCY=USD", "XLFILL=b")</f>
        <v>-36259.91158898607</v>
      </c>
    </row>
    <row r="330" spans="1:24" x14ac:dyDescent="0.25">
      <c r="A330" s="8" t="s">
        <v>552</v>
      </c>
      <c r="B330" s="4" t="s">
        <v>553</v>
      </c>
      <c r="C330" s="4" t="s">
        <v>554</v>
      </c>
      <c r="D330" s="4"/>
      <c r="E330" s="9">
        <f>_xll.BQL("AMZN US Equity", "CF_PROCDS_FROM_INVSTMNTS/1M", "FPT=Q", "FPO=-12Q", "ACT_EST_MAPPING=PRECISE", "FS=MRC", "CURRENCY=USD", "XLFILL=b")</f>
        <v>1115</v>
      </c>
      <c r="F330" s="9">
        <f>_xll.BQL("AMZN US Equity", "CF_PROCDS_FROM_INVSTMNTS/1M", "FPT=Q", "FPO=-11Q", "ACT_EST_MAPPING=PRECISE", "FS=MRC", "CURRENCY=USD", "XLFILL=b")</f>
        <v>1551</v>
      </c>
      <c r="G330" s="9">
        <f>_xll.BQL("AMZN US Equity", "CF_PROCDS_FROM_INVSTMNTS/1M", "FPT=Q", "FPO=-10Q", "ACT_EST_MAPPING=PRECISE", "FS=MRC", "CURRENCY=USD", "XLFILL=b")</f>
        <v>1393</v>
      </c>
      <c r="H330" s="9">
        <f>_xll.BQL("AMZN US Equity", "CF_PROCDS_FROM_INVSTMNTS/1M", "FPT=Q", "FPO=-9Q", "ACT_EST_MAPPING=PRECISE", "FS=MRC", "CURRENCY=USD", "XLFILL=b")</f>
        <v>1568</v>
      </c>
      <c r="I330" s="9">
        <f>_xll.BQL("AMZN US Equity", "CF_PROCDS_FROM_INVSTMNTS/1M", "FPT=Q", "FPO=-8Q", "ACT_EST_MAPPING=PRECISE", "FS=MRC", "CURRENCY=USD", "XLFILL=b")</f>
        <v>1392</v>
      </c>
      <c r="J330" s="9">
        <f>_xll.BQL("AMZN US Equity", "CF_PROCDS_FROM_INVSTMNTS/1M", "FPT=Q", "FPO=-7Q", "ACT_EST_MAPPING=PRECISE", "FS=MRC", "CURRENCY=USD", "XLFILL=b")</f>
        <v>3265</v>
      </c>
      <c r="K330" s="9">
        <f>_xll.BQL("AMZN US Equity", "CF_PROCDS_FROM_INVSTMNTS/1M", "FPT=Q", "FPO=-6Q", "ACT_EST_MAPPING=PRECISE", "FS=MRC", "CURRENCY=USD", "XLFILL=b")</f>
        <v>8069</v>
      </c>
      <c r="L330" s="9">
        <f>_xll.BQL("AMZN US Equity", "CF_PROCDS_FROM_INVSTMNTS/1M", "FPT=Q", "FPO=-5Q", "ACT_EST_MAPPING=PRECISE", "FS=MRC", "CURRENCY=USD", "XLFILL=b")</f>
        <v>3677</v>
      </c>
      <c r="M330" s="9">
        <f>_xll.BQL("AMZN US Equity", "CF_PROCDS_FROM_INVSTMNTS/1M", "FPT=Q", "FPO=-4Q", "ACT_EST_MAPPING=PRECISE", "FS=MRC", "CURRENCY=USD", "XLFILL=b")</f>
        <v>7737</v>
      </c>
      <c r="N330" s="9">
        <f>_xll.BQL("AMZN US Equity", "CF_PROCDS_FROM_INVSTMNTS/1M", "FPT=Q", "FPO=-3Q", "ACT_EST_MAPPING=PRECISE", "FS=MRC", "CURRENCY=USD", "XLFILL=b")</f>
        <v>11441</v>
      </c>
      <c r="O330" s="9">
        <f>_xll.BQL("AMZN US Equity", "CF_PROCDS_FROM_INVSTMNTS/1M", "FPT=Q", "FPO=-2Q", "ACT_EST_MAPPING=PRECISE", "FS=MRC", "CURRENCY=USD", "XLFILL=b")</f>
        <v>16367</v>
      </c>
      <c r="P330" s="9">
        <f>_xll.BQL("AMZN US Equity", "CF_PROCDS_FROM_INVSTMNTS/1M", "FPT=Q", "FPO=-1Q", "ACT_EST_MAPPING=PRECISE", "FS=MRC", "CURRENCY=USD", "XLFILL=b")</f>
        <v>8841</v>
      </c>
      <c r="Q330" s="9">
        <f>_xll.BQL("AMZN US Equity", "CF_PROCDS_FROM_INVSTMNTS/1M", "FPT=Q", "FPO=0Q", "ACT_EST_MAPPING=PRECISE", "FS=MRC", "CURRENCY=USD", "XLFILL=b")</f>
        <v>17686</v>
      </c>
      <c r="R330" s="9">
        <f>_xll.BQL("AMZN US Equity", "CF_PROCDS_FROM_INVSTMNTS/1M", "FPT=Q", "FPO=1Q", "ACT_EST_MAPPING=PRECISE", "FS=MRC", "CURRENCY=USD", "XLFILL=b")</f>
        <v>13446.634933782454</v>
      </c>
      <c r="S330" s="9">
        <f>_xll.BQL("AMZN US Equity", "CF_PROCDS_FROM_INVSTMNTS/1M", "FPT=Q", "FPO=2Q", "ACT_EST_MAPPING=PRECISE", "FS=MRC", "CURRENCY=USD", "XLFILL=b")</f>
        <v>14479.769013901589</v>
      </c>
      <c r="T330" s="9">
        <f>_xll.BQL("AMZN US Equity", "CF_PROCDS_FROM_INVSTMNTS/1M", "FPT=Q", "FPO=3Q", "ACT_EST_MAPPING=PRECISE", "FS=MRC", "CURRENCY=USD", "XLFILL=b")</f>
        <v>15671.785360959722</v>
      </c>
      <c r="U330" s="9">
        <f>_xll.BQL("AMZN US Equity", "CF_PROCDS_FROM_INVSTMNTS/1M", "FPT=Q", "FPO=4Q", "ACT_EST_MAPPING=PRECISE", "FS=MRC", "CURRENCY=USD", "XLFILL=b")</f>
        <v>17047.117952340275</v>
      </c>
      <c r="V330" s="9">
        <f>_xll.BQL("AMZN US Equity", "CF_PROCDS_FROM_INVSTMNTS/1M", "FPT=Q", "FPO=5Q", "ACT_EST_MAPPING=PRECISE", "FS=MRC", "CURRENCY=USD", "XLFILL=b")</f>
        <v>18633.958385847607</v>
      </c>
      <c r="W330" s="9">
        <f>_xll.BQL("AMZN US Equity", "CF_PROCDS_FROM_INVSTMNTS/1M", "FPT=Q", "FPO=6Q", "ACT_EST_MAPPING=PRECISE", "FS=MRC", "CURRENCY=USD", "XLFILL=b")</f>
        <v>20464.833751700833</v>
      </c>
      <c r="X330" s="9">
        <f>_xll.BQL("AMZN US Equity", "CF_PROCDS_FROM_INVSTMNTS/1M", "FPT=Q", "FPO=7Q", "ACT_EST_MAPPING=PRECISE", "FS=MRC", "CURRENCY=USD", "XLFILL=b")</f>
        <v>22577.273373546832</v>
      </c>
    </row>
    <row r="331" spans="1:24" x14ac:dyDescent="0.25">
      <c r="A331" s="8" t="s">
        <v>555</v>
      </c>
      <c r="B331" s="4" t="s">
        <v>556</v>
      </c>
      <c r="C331" s="4" t="s">
        <v>557</v>
      </c>
      <c r="D331" s="4"/>
      <c r="E331" s="9">
        <f>_xll.BQL("AMZN US Equity", "CB_CF_NET_CASH_INVESTING_ACT/1M", "FPT=Q", "FPO=-12Q", "ACT_EST_MAPPING=PRECISE", "FS=MRC", "CURRENCY=USD", "XLFILL=b")</f>
        <v>-15806</v>
      </c>
      <c r="F331" s="9">
        <f>_xll.BQL("AMZN US Equity", "CB_CF_NET_CASH_INVESTING_ACT/1M", "FPT=Q", "FPO=-11Q", "ACT_EST_MAPPING=PRECISE", "FS=MRC", "CURRENCY=USD", "XLFILL=b")</f>
        <v>-9673</v>
      </c>
      <c r="G331" s="9">
        <f>_xll.BQL("AMZN US Equity", "CB_CF_NET_CASH_INVESTING_ACT/1M", "FPT=Q", "FPO=-10Q", "ACT_EST_MAPPING=PRECISE", "FS=MRC", "CURRENCY=USD", "XLFILL=b")</f>
        <v>-11753</v>
      </c>
      <c r="H331" s="9">
        <f>_xll.BQL("AMZN US Equity", "CB_CF_NET_CASH_INVESTING_ACT/1M", "FPT=Q", "FPO=-9Q", "ACT_EST_MAPPING=PRECISE", "FS=MRC", "CURRENCY=USD", "XLFILL=b")</f>
        <v>-12601</v>
      </c>
      <c r="I331" s="9">
        <f>_xll.BQL("AMZN US Equity", "CB_CF_NET_CASH_INVESTING_ACT/1M", "FPT=Q", "FPO=-8Q", "ACT_EST_MAPPING=PRECISE", "FS=MRC", "CURRENCY=USD", "XLFILL=b")</f>
        <v>-17862</v>
      </c>
      <c r="J331" s="9">
        <f>_xll.BQL("AMZN US Equity", "CB_CF_NET_CASH_INVESTING_ACT/1M", "FPT=Q", "FPO=-7Q", "ACT_EST_MAPPING=PRECISE", "FS=MRC", "CURRENCY=USD", "XLFILL=b")</f>
        <v>-22138</v>
      </c>
      <c r="K331" s="9">
        <f>_xll.BQL("AMZN US Equity", "CB_CF_NET_CASH_INVESTING_ACT/1M", "FPT=Q", "FPO=-6Q", "ACT_EST_MAPPING=PRECISE", "FS=MRC", "CURRENCY=USD", "XLFILL=b")</f>
        <v>-16899</v>
      </c>
      <c r="L331" s="9">
        <f>_xll.BQL("AMZN US Equity", "CB_CF_NET_CASH_INVESTING_ACT/1M", "FPT=Q", "FPO=-5Q", "ACT_EST_MAPPING=PRECISE", "FS=MRC", "CURRENCY=USD", "XLFILL=b")</f>
        <v>-37443</v>
      </c>
      <c r="M331" s="9">
        <f>_xll.BQL("AMZN US Equity", "CB_CF_NET_CASH_INVESTING_ACT/1M", "FPT=Q", "FPO=-4Q", "ACT_EST_MAPPING=PRECISE", "FS=MRC", "CURRENCY=USD", "XLFILL=b")</f>
        <v>-29803</v>
      </c>
      <c r="N331" s="9">
        <f>_xll.BQL("AMZN US Equity", "CB_CF_NET_CASH_INVESTING_ACT/1M", "FPT=Q", "FPO=-3Q", "ACT_EST_MAPPING=PRECISE", "FS=MRC", "CURRENCY=USD", "XLFILL=b")</f>
        <v>-39424</v>
      </c>
      <c r="O331" s="9">
        <f>_xll.BQL("AMZN US Equity", "CB_CF_NET_CASH_INVESTING_ACT/1M", "FPT=Q", "FPO=-2Q", "ACT_EST_MAPPING=PRECISE", "FS=MRC", "CURRENCY=USD", "XLFILL=b")</f>
        <v>-26073</v>
      </c>
      <c r="P331" s="9">
        <f>_xll.BQL("AMZN US Equity", "CB_CF_NET_CASH_INVESTING_ACT/1M", "FPT=Q", "FPO=-1Q", "ACT_EST_MAPPING=PRECISE", "FS=MRC", "CURRENCY=USD", "XLFILL=b")</f>
        <v>-47245</v>
      </c>
      <c r="Q331" s="9">
        <f>_xll.BQL("AMZN US Equity", "CB_CF_NET_CASH_INVESTING_ACT/1M", "FPT=Q", "FPO=0Q", "ACT_EST_MAPPING=PRECISE", "FS=MRC", "CURRENCY=USD", "XLFILL=b")</f>
        <v>-64212</v>
      </c>
      <c r="R331" s="9">
        <f>_xll.BQL("AMZN US Equity", "CB_CF_NET_CASH_INVESTING_ACT/1M", "FPT=Q", "FPO=1Q", "ACT_EST_MAPPING=PRECISE", "FS=MRC", "CURRENCY=USD", "XLFILL=b")</f>
        <v>-46255.887995725709</v>
      </c>
      <c r="S331" s="9">
        <f>_xll.BQL("AMZN US Equity", "CB_CF_NET_CASH_INVESTING_ACT/1M", "FPT=Q", "FPO=2Q", "ACT_EST_MAPPING=PRECISE", "FS=MRC", "CURRENCY=USD", "XLFILL=b")</f>
        <v>-52707.897282800004</v>
      </c>
      <c r="T331" s="9">
        <f>_xll.BQL("AMZN US Equity", "CB_CF_NET_CASH_INVESTING_ACT/1M", "FPT=Q", "FPO=3Q", "ACT_EST_MAPPING=PRECISE", "FS=MRC", "CURRENCY=USD", "XLFILL=b")</f>
        <v>-60391.330559401904</v>
      </c>
      <c r="U331" s="9">
        <f>_xll.BQL("AMZN US Equity", "CB_CF_NET_CASH_INVESTING_ACT/1M", "FPT=Q", "FPO=4Q", "ACT_EST_MAPPING=PRECISE", "FS=MRC", "CURRENCY=USD", "XLFILL=b")</f>
        <v>-51164.879289639175</v>
      </c>
      <c r="V331" s="9">
        <f>_xll.BQL("AMZN US Equity", "CB_CF_NET_CASH_INVESTING_ACT/1M", "FPT=Q", "FPO=5Q", "ACT_EST_MAPPING=PRECISE", "FS=MRC", "CURRENCY=USD", "XLFILL=b")</f>
        <v>-58625.428483432945</v>
      </c>
      <c r="W331" s="9">
        <f>_xll.BQL("AMZN US Equity", "CB_CF_NET_CASH_INVESTING_ACT/1M", "FPT=Q", "FPO=6Q", "ACT_EST_MAPPING=PRECISE", "FS=MRC", "CURRENCY=USD", "XLFILL=b")</f>
        <v>-60881.379763857447</v>
      </c>
      <c r="X331" s="9">
        <f>_xll.BQL("AMZN US Equity", "CB_CF_NET_CASH_INVESTING_ACT/1M", "FPT=Q", "FPO=7Q", "ACT_EST_MAPPING=PRECISE", "FS=MRC", "CURRENCY=USD", "XLFILL=b")</f>
        <v>-67091.766744810855</v>
      </c>
    </row>
    <row r="332" spans="1:24" x14ac:dyDescent="0.25">
      <c r="A332" s="8" t="s">
        <v>14</v>
      </c>
      <c r="B332" s="4"/>
      <c r="C332" s="4"/>
      <c r="D332" s="4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</row>
    <row r="333" spans="1:24" x14ac:dyDescent="0.25">
      <c r="A333" s="8" t="s">
        <v>558</v>
      </c>
      <c r="B333" s="4"/>
      <c r="C333" s="4"/>
      <c r="D333" s="4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</row>
    <row r="334" spans="1:24" x14ac:dyDescent="0.25">
      <c r="A334" s="8" t="s">
        <v>559</v>
      </c>
      <c r="B334" s="4" t="s">
        <v>560</v>
      </c>
      <c r="C334" s="4" t="s">
        <v>561</v>
      </c>
      <c r="D334" s="4"/>
      <c r="E334" s="9" t="str">
        <f>_xll.BQL("AMZN US Equity", "CB_CF_DECRSE_IN_ST_AND_LT_BORROWINGS/1M", "FPT=Q", "FPO=-12Q", "ACT_EST_MAPPING=PRECISE", "FS=MRC", "CURRENCY=USD", "XLFILL=b")</f>
        <v/>
      </c>
      <c r="F334" s="9" t="str">
        <f>_xll.BQL("AMZN US Equity", "CB_CF_DECRSE_IN_ST_AND_LT_BORROWINGS/1M", "FPT=Q", "FPO=-11Q", "ACT_EST_MAPPING=PRECISE", "FS=MRC", "CURRENCY=USD", "XLFILL=b")</f>
        <v/>
      </c>
      <c r="G334" s="9" t="str">
        <f>_xll.BQL("AMZN US Equity", "CB_CF_DECRSE_IN_ST_AND_LT_BORROWINGS/1M", "FPT=Q", "FPO=-10Q", "ACT_EST_MAPPING=PRECISE", "FS=MRC", "CURRENCY=USD", "XLFILL=b")</f>
        <v/>
      </c>
      <c r="H334" s="9" t="str">
        <f>_xll.BQL("AMZN US Equity", "CB_CF_DECRSE_IN_ST_AND_LT_BORROWINGS/1M", "FPT=Q", "FPO=-9Q", "ACT_EST_MAPPING=PRECISE", "FS=MRC", "CURRENCY=USD", "XLFILL=b")</f>
        <v/>
      </c>
      <c r="I334" s="9" t="str">
        <f>_xll.BQL("AMZN US Equity", "CB_CF_DECRSE_IN_ST_AND_LT_BORROWINGS/1M", "FPT=Q", "FPO=-8Q", "ACT_EST_MAPPING=PRECISE", "FS=MRC", "CURRENCY=USD", "XLFILL=b")</f>
        <v/>
      </c>
      <c r="J334" s="9" t="str">
        <f>_xll.BQL("AMZN US Equity", "CB_CF_DECRSE_IN_ST_AND_LT_BORROWINGS/1M", "FPT=Q", "FPO=-7Q", "ACT_EST_MAPPING=PRECISE", "FS=MRC", "CURRENCY=USD", "XLFILL=b")</f>
        <v/>
      </c>
      <c r="K334" s="9" t="str">
        <f>_xll.BQL("AMZN US Equity", "CB_CF_DECRSE_IN_ST_AND_LT_BORROWINGS/1M", "FPT=Q", "FPO=-6Q", "ACT_EST_MAPPING=PRECISE", "FS=MRC", "CURRENCY=USD", "XLFILL=b")</f>
        <v/>
      </c>
      <c r="L334" s="9" t="str">
        <f>_xll.BQL("AMZN US Equity", "CB_CF_DECRSE_IN_ST_AND_LT_BORROWINGS/1M", "FPT=Q", "FPO=-5Q", "ACT_EST_MAPPING=PRECISE", "FS=MRC", "CURRENCY=USD", "XLFILL=b")</f>
        <v/>
      </c>
      <c r="M334" s="9" t="str">
        <f>_xll.BQL("AMZN US Equity", "CB_CF_DECRSE_IN_ST_AND_LT_BORROWINGS/1M", "FPT=Q", "FPO=-4Q", "ACT_EST_MAPPING=PRECISE", "FS=MRC", "CURRENCY=USD", "XLFILL=b")</f>
        <v/>
      </c>
      <c r="N334" s="9" t="str">
        <f>_xll.BQL("AMZN US Equity", "CB_CF_DECRSE_IN_ST_AND_LT_BORROWINGS/1M", "FPT=Q", "FPO=-3Q", "ACT_EST_MAPPING=PRECISE", "FS=MRC", "CURRENCY=USD", "XLFILL=b")</f>
        <v/>
      </c>
      <c r="O334" s="9" t="str">
        <f>_xll.BQL("AMZN US Equity", "CB_CF_DECRSE_IN_ST_AND_LT_BORROWINGS/1M", "FPT=Q", "FPO=-2Q", "ACT_EST_MAPPING=PRECISE", "FS=MRC", "CURRENCY=USD", "XLFILL=b")</f>
        <v/>
      </c>
      <c r="P334" s="9" t="str">
        <f>_xll.BQL("AMZN US Equity", "CB_CF_DECRSE_IN_ST_AND_LT_BORROWINGS/1M", "FPT=Q", "FPO=-1Q", "ACT_EST_MAPPING=PRECISE", "FS=MRC", "CURRENCY=USD", "XLFILL=b")</f>
        <v/>
      </c>
      <c r="Q334" s="9" t="str">
        <f>_xll.BQL("AMZN US Equity", "CB_CF_DECRSE_IN_ST_AND_LT_BORROWINGS/1M", "FPT=Q", "FPO=0Q", "ACT_EST_MAPPING=PRECISE", "FS=MRC", "CURRENCY=USD", "XLFILL=b")</f>
        <v/>
      </c>
      <c r="R334" s="9">
        <f>_xll.BQL("AMZN US Equity", "CB_CF_DECRSE_IN_ST_AND_LT_BORROWINGS/1M", "FPT=Q", "FPO=1Q", "ACT_EST_MAPPING=PRECISE", "FS=MRC", "CURRENCY=USD", "XLFILL=b")</f>
        <v>-3690.1122725</v>
      </c>
      <c r="S334" s="9">
        <f>_xll.BQL("AMZN US Equity", "CB_CF_DECRSE_IN_ST_AND_LT_BORROWINGS/1M", "FPT=Q", "FPO=2Q", "ACT_EST_MAPPING=PRECISE", "FS=MRC", "CURRENCY=USD", "XLFILL=b")</f>
        <v>-4139.3747156250001</v>
      </c>
      <c r="T334" s="9">
        <f>_xll.BQL("AMZN US Equity", "CB_CF_DECRSE_IN_ST_AND_LT_BORROWINGS/1M", "FPT=Q", "FPO=3Q", "ACT_EST_MAPPING=PRECISE", "FS=MRC", "CURRENCY=USD", "XLFILL=b")</f>
        <v>-3925.1403406250001</v>
      </c>
      <c r="U334" s="9">
        <f>_xll.BQL("AMZN US Equity", "CB_CF_DECRSE_IN_ST_AND_LT_BORROWINGS/1M", "FPT=Q", "FPO=4Q", "ACT_EST_MAPPING=PRECISE", "FS=MRC", "CURRENCY=USD", "XLFILL=b")</f>
        <v>-4429.5</v>
      </c>
      <c r="V334" s="9">
        <f>_xll.BQL("AMZN US Equity", "CB_CF_DECRSE_IN_ST_AND_LT_BORROWINGS/1M", "FPT=Q", "FPO=5Q", "ACT_EST_MAPPING=PRECISE", "FS=MRC", "CURRENCY=USD", "XLFILL=b")</f>
        <v>-4429.5</v>
      </c>
      <c r="W334" s="9">
        <f>_xll.BQL("AMZN US Equity", "CB_CF_DECRSE_IN_ST_AND_LT_BORROWINGS/1M", "FPT=Q", "FPO=6Q", "ACT_EST_MAPPING=PRECISE", "FS=MRC", "CURRENCY=USD", "XLFILL=b")</f>
        <v>-4429.5</v>
      </c>
      <c r="X334" s="9">
        <f>_xll.BQL("AMZN US Equity", "CB_CF_DECRSE_IN_ST_AND_LT_BORROWINGS/1M", "FPT=Q", "FPO=7Q", "ACT_EST_MAPPING=PRECISE", "FS=MRC", "CURRENCY=USD", "XLFILL=b")</f>
        <v>-4429.5</v>
      </c>
    </row>
    <row r="335" spans="1:24" x14ac:dyDescent="0.25">
      <c r="A335" s="8" t="s">
        <v>562</v>
      </c>
      <c r="B335" s="4" t="s">
        <v>563</v>
      </c>
      <c r="C335" s="4" t="s">
        <v>564</v>
      </c>
      <c r="D335" s="4"/>
      <c r="E335" s="9">
        <f>_xll.BQL("AMZN US Equity", "CB_CF_INCREASE_IN_ST_BORROWINGS/1M", "FPT=Q", "FPO=-12Q", "ACT_EST_MAPPING=PRECISE", "FS=MRC", "CURRENCY=USD", "XLFILL=b")</f>
        <v>12780</v>
      </c>
      <c r="F335" s="9">
        <f>_xll.BQL("AMZN US Equity", "CB_CF_INCREASE_IN_ST_BORROWINGS/1M", "FPT=Q", "FPO=-11Q", "ACT_EST_MAPPING=PRECISE", "FS=MRC", "CURRENCY=USD", "XLFILL=b")</f>
        <v>4399</v>
      </c>
      <c r="G335" s="9">
        <f>_xll.BQL("AMZN US Equity", "CB_CF_INCREASE_IN_ST_BORROWINGS/1M", "FPT=Q", "FPO=-10Q", "ACT_EST_MAPPING=PRECISE", "FS=MRC", "CURRENCY=USD", "XLFILL=b")</f>
        <v>216</v>
      </c>
      <c r="H335" s="9">
        <f>_xll.BQL("AMZN US Equity", "CB_CF_INCREASE_IN_ST_BORROWINGS/1M", "FPT=Q", "FPO=-9Q", "ACT_EST_MAPPING=PRECISE", "FS=MRC", "CURRENCY=USD", "XLFILL=b")</f>
        <v>734</v>
      </c>
      <c r="I335" s="9">
        <f>_xll.BQL("AMZN US Equity", "CB_CF_INCREASE_IN_ST_BORROWINGS/1M", "FPT=Q", "FPO=-8Q", "ACT_EST_MAPPING=PRECISE", "FS=MRC", "CURRENCY=USD", "XLFILL=b")</f>
        <v>338</v>
      </c>
      <c r="J335" s="9">
        <f>_xll.BQL("AMZN US Equity", "CB_CF_INCREASE_IN_ST_BORROWINGS/1M", "FPT=Q", "FPO=-7Q", "ACT_EST_MAPPING=PRECISE", "FS=MRC", "CURRENCY=USD", "XLFILL=b")</f>
        <v>525</v>
      </c>
      <c r="K335" s="9">
        <f>_xll.BQL("AMZN US Equity", "CB_CF_INCREASE_IN_ST_BORROWINGS/1M", "FPT=Q", "FPO=-6Q", "ACT_EST_MAPPING=PRECISE", "FS=MRC", "CURRENCY=USD", "XLFILL=b")</f>
        <v>1725</v>
      </c>
      <c r="L335" s="9">
        <f>_xll.BQL("AMZN US Equity", "CB_CF_INCREASE_IN_ST_BORROWINGS/1M", "FPT=Q", "FPO=-5Q", "ACT_EST_MAPPING=PRECISE", "FS=MRC", "CURRENCY=USD", "XLFILL=b")</f>
        <v>2554</v>
      </c>
      <c r="M335" s="9">
        <f>_xll.BQL("AMZN US Equity", "CB_CF_INCREASE_IN_ST_BORROWINGS/1M", "FPT=Q", "FPO=-4Q", "ACT_EST_MAPPING=PRECISE", "FS=MRC", "CURRENCY=USD", "XLFILL=b")</f>
        <v>1815</v>
      </c>
      <c r="N335" s="9">
        <f>_xll.BQL("AMZN US Equity", "CB_CF_INCREASE_IN_ST_BORROWINGS/1M", "FPT=Q", "FPO=-3Q", "ACT_EST_MAPPING=PRECISE", "FS=MRC", "CURRENCY=USD", "XLFILL=b")</f>
        <v>2093</v>
      </c>
      <c r="O335" s="9">
        <f>_xll.BQL("AMZN US Equity", "CB_CF_INCREASE_IN_ST_BORROWINGS/1M", "FPT=Q", "FPO=-2Q", "ACT_EST_MAPPING=PRECISE", "FS=MRC", "CURRENCY=USD", "XLFILL=b")</f>
        <v>3223</v>
      </c>
      <c r="P335" s="9">
        <f>_xll.BQL("AMZN US Equity", "CB_CF_INCREASE_IN_ST_BORROWINGS/1M", "FPT=Q", "FPO=-1Q", "ACT_EST_MAPPING=PRECISE", "FS=MRC", "CURRENCY=USD", "XLFILL=b")</f>
        <v>2189</v>
      </c>
      <c r="Q335" s="9">
        <f>_xll.BQL("AMZN US Equity", "CB_CF_INCREASE_IN_ST_BORROWINGS/1M", "FPT=Q", "FPO=0Q", "ACT_EST_MAPPING=PRECISE", "FS=MRC", "CURRENCY=USD", "XLFILL=b")</f>
        <v>6018</v>
      </c>
      <c r="R335" s="9">
        <f>_xll.BQL("AMZN US Equity", "CB_CF_INCREASE_IN_ST_BORROWINGS/1M", "FPT=Q", "FPO=1Q", "ACT_EST_MAPPING=PRECISE", "FS=MRC", "CURRENCY=USD", "XLFILL=b")</f>
        <v>30354.5</v>
      </c>
      <c r="S335" s="9">
        <f>_xll.BQL("AMZN US Equity", "CB_CF_INCREASE_IN_ST_BORROWINGS/1M", "FPT=Q", "FPO=2Q", "ACT_EST_MAPPING=PRECISE", "FS=MRC", "CURRENCY=USD", "XLFILL=b")</f>
        <v>30354.5</v>
      </c>
      <c r="T335" s="9">
        <f>_xll.BQL("AMZN US Equity", "CB_CF_INCREASE_IN_ST_BORROWINGS/1M", "FPT=Q", "FPO=3Q", "ACT_EST_MAPPING=PRECISE", "FS=MRC", "CURRENCY=USD", "XLFILL=b")</f>
        <v>30354.5</v>
      </c>
      <c r="U335" s="9">
        <f>_xll.BQL("AMZN US Equity", "CB_CF_INCREASE_IN_ST_BORROWINGS/1M", "FPT=Q", "FPO=4Q", "ACT_EST_MAPPING=PRECISE", "FS=MRC", "CURRENCY=USD", "XLFILL=b")</f>
        <v>59459</v>
      </c>
      <c r="V335" s="9">
        <f>_xll.BQL("AMZN US Equity", "CB_CF_INCREASE_IN_ST_BORROWINGS/1M", "FPT=Q", "FPO=5Q", "ACT_EST_MAPPING=PRECISE", "FS=MRC", "CURRENCY=USD", "XLFILL=b")</f>
        <v>59459</v>
      </c>
      <c r="W335" s="9">
        <f>_xll.BQL("AMZN US Equity", "CB_CF_INCREASE_IN_ST_BORROWINGS/1M", "FPT=Q", "FPO=6Q", "ACT_EST_MAPPING=PRECISE", "FS=MRC", "CURRENCY=USD", "XLFILL=b")</f>
        <v>59459</v>
      </c>
      <c r="X335" s="9">
        <f>_xll.BQL("AMZN US Equity", "CB_CF_INCREASE_IN_ST_BORROWINGS/1M", "FPT=Q", "FPO=7Q", "ACT_EST_MAPPING=PRECISE", "FS=MRC", "CURRENCY=USD", "XLFILL=b")</f>
        <v>59459</v>
      </c>
    </row>
    <row r="336" spans="1:24" x14ac:dyDescent="0.25">
      <c r="A336" s="8" t="s">
        <v>565</v>
      </c>
      <c r="B336" s="4" t="s">
        <v>566</v>
      </c>
      <c r="C336" s="4" t="s">
        <v>567</v>
      </c>
      <c r="D336" s="4"/>
      <c r="E336" s="9">
        <f>_xll.BQL("AMZN US Equity", "CB_CF_DECREASE_IN_ST_BORROWINGS/1M", "FPT=Q", "FPO=-12Q", "ACT_EST_MAPPING=PRECISE", "FS=MRC", "CURRENCY=USD", "XLFILL=b")</f>
        <v>-3603</v>
      </c>
      <c r="F336" s="9">
        <f>_xll.BQL("AMZN US Equity", "CB_CF_DECREASE_IN_ST_BORROWINGS/1M", "FPT=Q", "FPO=-11Q", "ACT_EST_MAPPING=PRECISE", "FS=MRC", "CURRENCY=USD", "XLFILL=b")</f>
        <v>-7641</v>
      </c>
      <c r="G336" s="9">
        <f>_xll.BQL("AMZN US Equity", "CB_CF_DECREASE_IN_ST_BORROWINGS/1M", "FPT=Q", "FPO=-10Q", "ACT_EST_MAPPING=PRECISE", "FS=MRC", "CURRENCY=USD", "XLFILL=b")</f>
        <v>-8095</v>
      </c>
      <c r="H336" s="9">
        <f>_xll.BQL("AMZN US Equity", "CB_CF_DECREASE_IN_ST_BORROWINGS/1M", "FPT=Q", "FPO=-9Q", "ACT_EST_MAPPING=PRECISE", "FS=MRC", "CURRENCY=USD", "XLFILL=b")</f>
        <v>-6338</v>
      </c>
      <c r="I336" s="9">
        <f>_xll.BQL("AMZN US Equity", "CB_CF_DECREASE_IN_ST_BORROWINGS/1M", "FPT=Q", "FPO=-8Q", "ACT_EST_MAPPING=PRECISE", "FS=MRC", "CURRENCY=USD", "XLFILL=b")</f>
        <v>-404</v>
      </c>
      <c r="J336" s="9">
        <f>_xll.BQL("AMZN US Equity", "CB_CF_DECREASE_IN_ST_BORROWINGS/1M", "FPT=Q", "FPO=-7Q", "ACT_EST_MAPPING=PRECISE", "FS=MRC", "CURRENCY=USD", "XLFILL=b")</f>
        <v>-229</v>
      </c>
      <c r="K336" s="9">
        <f>_xll.BQL("AMZN US Equity", "CB_CF_DECREASE_IN_ST_BORROWINGS/1M", "FPT=Q", "FPO=-6Q", "ACT_EST_MAPPING=PRECISE", "FS=MRC", "CURRENCY=USD", "XLFILL=b")</f>
        <v>-1820</v>
      </c>
      <c r="L336" s="9">
        <f>_xll.BQL("AMZN US Equity", "CB_CF_DECREASE_IN_ST_BORROWINGS/1M", "FPT=Q", "FPO=-5Q", "ACT_EST_MAPPING=PRECISE", "FS=MRC", "CURRENCY=USD", "XLFILL=b")</f>
        <v>-2607</v>
      </c>
      <c r="M336" s="9">
        <f>_xll.BQL("AMZN US Equity", "CB_CF_DECREASE_IN_ST_BORROWINGS/1M", "FPT=Q", "FPO=-4Q", "ACT_EST_MAPPING=PRECISE", "FS=MRC", "CURRENCY=USD", "XLFILL=b")</f>
        <v>-2082</v>
      </c>
      <c r="N336" s="9">
        <f>_xll.BQL("AMZN US Equity", "CB_CF_DECREASE_IN_ST_BORROWINGS/1M", "FPT=Q", "FPO=-3Q", "ACT_EST_MAPPING=PRECISE", "FS=MRC", "CURRENCY=USD", "XLFILL=b")</f>
        <v>-1392</v>
      </c>
      <c r="O336" s="9">
        <f>_xll.BQL("AMZN US Equity", "CB_CF_DECREASE_IN_ST_BORROWINGS/1M", "FPT=Q", "FPO=-2Q", "ACT_EST_MAPPING=PRECISE", "FS=MRC", "CURRENCY=USD", "XLFILL=b")</f>
        <v>-1826</v>
      </c>
      <c r="P336" s="9">
        <f>_xll.BQL("AMZN US Equity", "CB_CF_DECREASE_IN_ST_BORROWINGS/1M", "FPT=Q", "FPO=-1Q", "ACT_EST_MAPPING=PRECISE", "FS=MRC", "CURRENCY=USD", "XLFILL=b")</f>
        <v>-3126</v>
      </c>
      <c r="Q336" s="9">
        <f>_xll.BQL("AMZN US Equity", "CB_CF_DECREASE_IN_ST_BORROWINGS/1M", "FPT=Q", "FPO=0Q", "ACT_EST_MAPPING=PRECISE", "FS=MRC", "CURRENCY=USD", "XLFILL=b")</f>
        <v>-6109</v>
      </c>
      <c r="R336" s="9" t="str">
        <f>_xll.BQL("AMZN US Equity", "CB_CF_DECREASE_IN_ST_BORROWINGS/1M", "FPT=Q", "FPO=1Q", "ACT_EST_MAPPING=PRECISE", "FS=MRC", "CURRENCY=USD", "XLFILL=b")</f>
        <v/>
      </c>
      <c r="S336" s="9" t="str">
        <f>_xll.BQL("AMZN US Equity", "CB_CF_DECREASE_IN_ST_BORROWINGS/1M", "FPT=Q", "FPO=2Q", "ACT_EST_MAPPING=PRECISE", "FS=MRC", "CURRENCY=USD", "XLFILL=b")</f>
        <v/>
      </c>
      <c r="T336" s="9" t="str">
        <f>_xll.BQL("AMZN US Equity", "CB_CF_DECREASE_IN_ST_BORROWINGS/1M", "FPT=Q", "FPO=3Q", "ACT_EST_MAPPING=PRECISE", "FS=MRC", "CURRENCY=USD", "XLFILL=b")</f>
        <v/>
      </c>
      <c r="U336" s="9" t="str">
        <f>_xll.BQL("AMZN US Equity", "CB_CF_DECREASE_IN_ST_BORROWINGS/1M", "FPT=Q", "FPO=4Q", "ACT_EST_MAPPING=PRECISE", "FS=MRC", "CURRENCY=USD", "XLFILL=b")</f>
        <v/>
      </c>
      <c r="V336" s="9" t="str">
        <f>_xll.BQL("AMZN US Equity", "CB_CF_DECREASE_IN_ST_BORROWINGS/1M", "FPT=Q", "FPO=5Q", "ACT_EST_MAPPING=PRECISE", "FS=MRC", "CURRENCY=USD", "XLFILL=b")</f>
        <v/>
      </c>
      <c r="W336" s="9" t="str">
        <f>_xll.BQL("AMZN US Equity", "CB_CF_DECREASE_IN_ST_BORROWINGS/1M", "FPT=Q", "FPO=6Q", "ACT_EST_MAPPING=PRECISE", "FS=MRC", "CURRENCY=USD", "XLFILL=b")</f>
        <v/>
      </c>
      <c r="X336" s="9" t="str">
        <f>_xll.BQL("AMZN US Equity", "CB_CF_DECREASE_IN_ST_BORROWINGS/1M", "FPT=Q", "FPO=7Q", "ACT_EST_MAPPING=PRECISE", "FS=MRC", "CURRENCY=USD", "XLFILL=b")</f>
        <v/>
      </c>
    </row>
    <row r="337" spans="1:24" x14ac:dyDescent="0.25">
      <c r="A337" s="8" t="s">
        <v>568</v>
      </c>
      <c r="B337" s="4" t="s">
        <v>569</v>
      </c>
      <c r="C337" s="4" t="s">
        <v>570</v>
      </c>
      <c r="D337" s="4"/>
      <c r="E337" s="9">
        <f>_xll.BQL("AMZN US Equity", "CF_PROC_LT_DEBT_AND_CAPITAL_LEASE/1M", "FPT=Q", "FPO=-12Q", "ACT_EST_MAPPING=PRECISE", "FS=MRC", "CURRENCY=USD", "XLFILL=b")</f>
        <v>0</v>
      </c>
      <c r="F337" s="9">
        <f>_xll.BQL("AMZN US Equity", "CF_PROC_LT_DEBT_AND_CAPITAL_LEASE/1M", "FPT=Q", "FPO=-11Q", "ACT_EST_MAPPING=PRECISE", "FS=MRC", "CURRENCY=USD", "XLFILL=b")</f>
        <v>0</v>
      </c>
      <c r="G337" s="9">
        <f>_xll.BQL("AMZN US Equity", "CF_PROC_LT_DEBT_AND_CAPITAL_LEASE/1M", "FPT=Q", "FPO=-10Q", "ACT_EST_MAPPING=PRECISE", "FS=MRC", "CURRENCY=USD", "XLFILL=b")</f>
        <v>0</v>
      </c>
      <c r="H337" s="9">
        <f>_xll.BQL("AMZN US Equity", "CF_PROC_LT_DEBT_AND_CAPITAL_LEASE/1M", "FPT=Q", "FPO=-9Q", "ACT_EST_MAPPING=PRECISE", "FS=MRC", "CURRENCY=USD", "XLFILL=b")</f>
        <v>0</v>
      </c>
      <c r="I337" s="9">
        <f>_xll.BQL("AMZN US Equity", "CF_PROC_LT_DEBT_AND_CAPITAL_LEASE/1M", "FPT=Q", "FPO=-8Q", "ACT_EST_MAPPING=PRECISE", "FS=MRC", "CURRENCY=USD", "XLFILL=b")</f>
        <v>0</v>
      </c>
      <c r="J337" s="9">
        <f>_xll.BQL("AMZN US Equity", "CF_PROC_LT_DEBT_AND_CAPITAL_LEASE/1M", "FPT=Q", "FPO=-7Q", "ACT_EST_MAPPING=PRECISE", "FS=MRC", "CURRENCY=USD", "XLFILL=b")</f>
        <v>0</v>
      </c>
      <c r="K337" s="9">
        <f>_xll.BQL("AMZN US Equity", "CF_PROC_LT_DEBT_AND_CAPITAL_LEASE/1M", "FPT=Q", "FPO=-6Q", "ACT_EST_MAPPING=PRECISE", "FS=MRC", "CURRENCY=USD", "XLFILL=b")</f>
        <v>0</v>
      </c>
      <c r="L337" s="9" t="str">
        <f>_xll.BQL("AMZN US Equity", "CF_PROC_LT_DEBT_AND_CAPITAL_LEASE/1M", "FPT=Q", "FPO=-5Q", "ACT_EST_MAPPING=PRECISE", "FS=MRC", "CURRENCY=USD", "XLFILL=b")</f>
        <v/>
      </c>
      <c r="M337" s="9">
        <f>_xll.BQL("AMZN US Equity", "CF_PROC_LT_DEBT_AND_CAPITAL_LEASE/1M", "FPT=Q", "FPO=-4Q", "ACT_EST_MAPPING=PRECISE", "FS=MRC", "CURRENCY=USD", "XLFILL=b")</f>
        <v>746</v>
      </c>
      <c r="N337" s="9">
        <f>_xll.BQL("AMZN US Equity", "CF_PROC_LT_DEBT_AND_CAPITAL_LEASE/1M", "FPT=Q", "FPO=-3Q", "ACT_EST_MAPPING=PRECISE", "FS=MRC", "CURRENCY=USD", "XLFILL=b")</f>
        <v>0</v>
      </c>
      <c r="O337" s="9">
        <f>_xll.BQL("AMZN US Equity", "CF_PROC_LT_DEBT_AND_CAPITAL_LEASE/1M", "FPT=Q", "FPO=-2Q", "ACT_EST_MAPPING=PRECISE", "FS=MRC", "CURRENCY=USD", "XLFILL=b")</f>
        <v>0</v>
      </c>
      <c r="P337" s="9">
        <f>_xll.BQL("AMZN US Equity", "CF_PROC_LT_DEBT_AND_CAPITAL_LEASE/1M", "FPT=Q", "FPO=-1Q", "ACT_EST_MAPPING=PRECISE", "FS=MRC", "CURRENCY=USD", "XLFILL=b")</f>
        <v>14927</v>
      </c>
      <c r="Q337" s="9">
        <f>_xll.BQL("AMZN US Equity", "CF_PROC_LT_DEBT_AND_CAPITAL_LEASE/1M", "FPT=Q", "FPO=0Q", "ACT_EST_MAPPING=PRECISE", "FS=MRC", "CURRENCY=USD", "XLFILL=b")</f>
        <v>53441</v>
      </c>
      <c r="R337" s="9" t="str">
        <f>_xll.BQL("AMZN US Equity", "CF_PROC_LT_DEBT_AND_CAPITAL_LEASE/1M", "FPT=Q", "FPO=1Q", "ACT_EST_MAPPING=PRECISE", "FS=MRC", "CURRENCY=USD", "XLFILL=b")</f>
        <v/>
      </c>
      <c r="S337" s="9" t="str">
        <f>_xll.BQL("AMZN US Equity", "CF_PROC_LT_DEBT_AND_CAPITAL_LEASE/1M", "FPT=Q", "FPO=2Q", "ACT_EST_MAPPING=PRECISE", "FS=MRC", "CURRENCY=USD", "XLFILL=b")</f>
        <v/>
      </c>
      <c r="T337" s="9" t="str">
        <f>_xll.BQL("AMZN US Equity", "CF_PROC_LT_DEBT_AND_CAPITAL_LEASE/1M", "FPT=Q", "FPO=3Q", "ACT_EST_MAPPING=PRECISE", "FS=MRC", "CURRENCY=USD", "XLFILL=b")</f>
        <v/>
      </c>
      <c r="U337" s="9" t="str">
        <f>_xll.BQL("AMZN US Equity", "CF_PROC_LT_DEBT_AND_CAPITAL_LEASE/1M", "FPT=Q", "FPO=4Q", "ACT_EST_MAPPING=PRECISE", "FS=MRC", "CURRENCY=USD", "XLFILL=b")</f>
        <v/>
      </c>
      <c r="V337" s="9" t="str">
        <f>_xll.BQL("AMZN US Equity", "CF_PROC_LT_DEBT_AND_CAPITAL_LEASE/1M", "FPT=Q", "FPO=5Q", "ACT_EST_MAPPING=PRECISE", "FS=MRC", "CURRENCY=USD", "XLFILL=b")</f>
        <v/>
      </c>
      <c r="W337" s="9" t="str">
        <f>_xll.BQL("AMZN US Equity", "CF_PROC_LT_DEBT_AND_CAPITAL_LEASE/1M", "FPT=Q", "FPO=6Q", "ACT_EST_MAPPING=PRECISE", "FS=MRC", "CURRENCY=USD", "XLFILL=b")</f>
        <v/>
      </c>
      <c r="X337" s="9" t="str">
        <f>_xll.BQL("AMZN US Equity", "CF_PROC_LT_DEBT_AND_CAPITAL_LEASE/1M", "FPT=Q", "FPO=7Q", "ACT_EST_MAPPING=PRECISE", "FS=MRC", "CURRENCY=USD", "XLFILL=b")</f>
        <v/>
      </c>
    </row>
    <row r="338" spans="1:24" x14ac:dyDescent="0.25">
      <c r="A338" s="8" t="s">
        <v>571</v>
      </c>
      <c r="B338" s="4" t="s">
        <v>572</v>
      </c>
      <c r="C338" s="4" t="s">
        <v>573</v>
      </c>
      <c r="D338" s="4"/>
      <c r="E338" s="9">
        <f>_xll.BQL("AMZN US Equity", "CB_CF_REPAYMENT_LT_DEBT/1M", "FPT=Q", "FPO=-12Q", "ACT_EST_MAPPING=PRECISE", "FS=MRC", "CURRENCY=USD", "XLFILL=b")</f>
        <v>-1386</v>
      </c>
      <c r="F338" s="9">
        <f>_xll.BQL("AMZN US Equity", "CB_CF_REPAYMENT_LT_DEBT/1M", "FPT=Q", "FPO=-11Q", "ACT_EST_MAPPING=PRECISE", "FS=MRC", "CURRENCY=USD", "XLFILL=b")</f>
        <v>-2000</v>
      </c>
      <c r="G338" s="9">
        <f>_xll.BQL("AMZN US Equity", "CB_CF_REPAYMENT_LT_DEBT/1M", "FPT=Q", "FPO=-10Q", "ACT_EST_MAPPING=PRECISE", "FS=MRC", "CURRENCY=USD", "XLFILL=b")</f>
        <v>0</v>
      </c>
      <c r="H338" s="9">
        <f>_xll.BQL("AMZN US Equity", "CB_CF_REPAYMENT_LT_DEBT/1M", "FPT=Q", "FPO=-9Q", "ACT_EST_MAPPING=PRECISE", "FS=MRC", "CURRENCY=USD", "XLFILL=b")</f>
        <v>-290</v>
      </c>
      <c r="I338" s="9">
        <f>_xll.BQL("AMZN US Equity", "CB_CF_REPAYMENT_LT_DEBT/1M", "FPT=Q", "FPO=-8Q", "ACT_EST_MAPPING=PRECISE", "FS=MRC", "CURRENCY=USD", "XLFILL=b")</f>
        <v>-330</v>
      </c>
      <c r="J338" s="9">
        <f>_xll.BQL("AMZN US Equity", "CB_CF_REPAYMENT_LT_DEBT/1M", "FPT=Q", "FPO=-7Q", "ACT_EST_MAPPING=PRECISE", "FS=MRC", "CURRENCY=USD", "XLFILL=b")</f>
        <v>-4169</v>
      </c>
      <c r="K338" s="9">
        <f>_xll.BQL("AMZN US Equity", "CB_CF_REPAYMENT_LT_DEBT/1M", "FPT=Q", "FPO=-6Q", "ACT_EST_MAPPING=PRECISE", "FS=MRC", "CURRENCY=USD", "XLFILL=b")</f>
        <v>-2183</v>
      </c>
      <c r="L338" s="9">
        <f>_xll.BQL("AMZN US Equity", "CB_CF_REPAYMENT_LT_DEBT/1M", "FPT=Q", "FPO=-5Q", "ACT_EST_MAPPING=PRECISE", "FS=MRC", "CURRENCY=USD", "XLFILL=b")</f>
        <v>-2500</v>
      </c>
      <c r="M338" s="9">
        <f>_xll.BQL("AMZN US Equity", "CB_CF_REPAYMENT_LT_DEBT/1M", "FPT=Q", "FPO=-4Q", "ACT_EST_MAPPING=PRECISE", "FS=MRC", "CURRENCY=USD", "XLFILL=b")</f>
        <v>0</v>
      </c>
      <c r="N338" s="9">
        <f>_xll.BQL("AMZN US Equity", "CB_CF_REPAYMENT_LT_DEBT/1M", "FPT=Q", "FPO=-3Q", "ACT_EST_MAPPING=PRECISE", "FS=MRC", "CURRENCY=USD", "XLFILL=b")</f>
        <v>-2751</v>
      </c>
      <c r="O338" s="9">
        <f>_xll.BQL("AMZN US Equity", "CB_CF_REPAYMENT_LT_DEBT/1M", "FPT=Q", "FPO=-2Q", "ACT_EST_MAPPING=PRECISE", "FS=MRC", "CURRENCY=USD", "XLFILL=b")</f>
        <v>-1008</v>
      </c>
      <c r="P338" s="9">
        <f>_xll.BQL("AMZN US Equity", "CB_CF_REPAYMENT_LT_DEBT/1M", "FPT=Q", "FPO=-1Q", "ACT_EST_MAPPING=PRECISE", "FS=MRC", "CURRENCY=USD", "XLFILL=b")</f>
        <v>-1262</v>
      </c>
      <c r="Q338" s="9">
        <f>_xll.BQL("AMZN US Equity", "CB_CF_REPAYMENT_LT_DEBT/1M", "FPT=Q", "FPO=0Q", "ACT_EST_MAPPING=PRECISE", "FS=MRC", "CURRENCY=USD", "XLFILL=b")</f>
        <v>0</v>
      </c>
      <c r="R338" s="9">
        <f>_xll.BQL("AMZN US Equity", "CB_CF_REPAYMENT_LT_DEBT/1M", "FPT=Q", "FPO=1Q", "ACT_EST_MAPPING=PRECISE", "FS=MRC", "CURRENCY=USD", "XLFILL=b")</f>
        <v>-18612.75</v>
      </c>
      <c r="S338" s="9">
        <f>_xll.BQL("AMZN US Equity", "CB_CF_REPAYMENT_LT_DEBT/1M", "FPT=Q", "FPO=2Q", "ACT_EST_MAPPING=PRECISE", "FS=MRC", "CURRENCY=USD", "XLFILL=b")</f>
        <v>0</v>
      </c>
      <c r="T338" s="9">
        <f>_xll.BQL("AMZN US Equity", "CB_CF_REPAYMENT_LT_DEBT/1M", "FPT=Q", "FPO=3Q", "ACT_EST_MAPPING=PRECISE", "FS=MRC", "CURRENCY=USD", "XLFILL=b")</f>
        <v>-500</v>
      </c>
      <c r="U338" s="9">
        <f>_xll.BQL("AMZN US Equity", "CB_CF_REPAYMENT_LT_DEBT/1M", "FPT=Q", "FPO=4Q", "ACT_EST_MAPPING=PRECISE", "FS=MRC", "CURRENCY=USD", "XLFILL=b")</f>
        <v>-5250</v>
      </c>
      <c r="V338" s="9">
        <f>_xll.BQL("AMZN US Equity", "CB_CF_REPAYMENT_LT_DEBT/1M", "FPT=Q", "FPO=5Q", "ACT_EST_MAPPING=PRECISE", "FS=MRC", "CURRENCY=USD", "XLFILL=b")</f>
        <v>-1750</v>
      </c>
      <c r="W338" s="9" t="str">
        <f>_xll.BQL("AMZN US Equity", "CB_CF_REPAYMENT_LT_DEBT/1M", "FPT=Q", "FPO=6Q", "ACT_EST_MAPPING=PRECISE", "FS=MRC", "CURRENCY=USD", "XLFILL=b")</f>
        <v/>
      </c>
      <c r="X338" s="9">
        <f>_xll.BQL("AMZN US Equity", "CB_CF_REPAYMENT_LT_DEBT/1M", "FPT=Q", "FPO=7Q", "ACT_EST_MAPPING=PRECISE", "FS=MRC", "CURRENCY=USD", "XLFILL=b")</f>
        <v>-1000</v>
      </c>
    </row>
    <row r="339" spans="1:24" x14ac:dyDescent="0.25">
      <c r="A339" s="8" t="s">
        <v>574</v>
      </c>
      <c r="B339" s="4" t="s">
        <v>575</v>
      </c>
      <c r="C339" s="4" t="s">
        <v>576</v>
      </c>
      <c r="D339" s="4"/>
      <c r="E339" s="9">
        <f>_xll.BQL("AMZN US Equity", "CF_FINANCING_CF_FINANCE_LEASES/1M", "FPT=Q", "FPO=-12Q", "ACT_EST_MAPPING=PRECISE", "FS=MRC", "CURRENCY=USD", "XLFILL=b")</f>
        <v>1380</v>
      </c>
      <c r="F339" s="9">
        <f>_xll.BQL("AMZN US Equity", "CF_FINANCING_CF_FINANCE_LEASES/1M", "FPT=Q", "FPO=-11Q", "ACT_EST_MAPPING=PRECISE", "FS=MRC", "CURRENCY=USD", "XLFILL=b")</f>
        <v>1220</v>
      </c>
      <c r="G339" s="9">
        <f>_xll.BQL("AMZN US Equity", "CF_FINANCING_CF_FINANCE_LEASES/1M", "FPT=Q", "FPO=-10Q", "ACT_EST_MAPPING=PRECISE", "FS=MRC", "CURRENCY=USD", "XLFILL=b")</f>
        <v>1005</v>
      </c>
      <c r="H339" s="9">
        <f>_xll.BQL("AMZN US Equity", "CF_FINANCING_CF_FINANCE_LEASES/1M", "FPT=Q", "FPO=-9Q", "ACT_EST_MAPPING=PRECISE", "FS=MRC", "CURRENCY=USD", "XLFILL=b")</f>
        <v>779</v>
      </c>
      <c r="I339" s="9">
        <f>_xll.BQL("AMZN US Equity", "CF_FINANCING_CF_FINANCE_LEASES/1M", "FPT=Q", "FPO=-8Q", "ACT_EST_MAPPING=PRECISE", "FS=MRC", "CURRENCY=USD", "XLFILL=b")</f>
        <v>770</v>
      </c>
      <c r="J339" s="9">
        <f>_xll.BQL("AMZN US Equity", "CF_FINANCING_CF_FINANCE_LEASES/1M", "FPT=Q", "FPO=-7Q", "ACT_EST_MAPPING=PRECISE", "FS=MRC", "CURRENCY=USD", "XLFILL=b")</f>
        <v>538</v>
      </c>
      <c r="K339" s="9">
        <f>_xll.BQL("AMZN US Equity", "CF_FINANCING_CF_FINANCE_LEASES/1M", "FPT=Q", "FPO=-6Q", "ACT_EST_MAPPING=PRECISE", "FS=MRC", "CURRENCY=USD", "XLFILL=b")</f>
        <v>402</v>
      </c>
      <c r="L339" s="9">
        <f>_xll.BQL("AMZN US Equity", "CF_FINANCING_CF_FINANCE_LEASES/1M", "FPT=Q", "FPO=-5Q", "ACT_EST_MAPPING=PRECISE", "FS=MRC", "CURRENCY=USD", "XLFILL=b")</f>
        <v>333</v>
      </c>
      <c r="M339" s="9">
        <f>_xll.BQL("AMZN US Equity", "CF_FINANCING_CF_FINANCE_LEASES/1M", "FPT=Q", "FPO=-4Q", "ACT_EST_MAPPING=PRECISE", "FS=MRC", "CURRENCY=USD", "XLFILL=b")</f>
        <v>410</v>
      </c>
      <c r="N339" s="9">
        <f>_xll.BQL("AMZN US Equity", "CF_FINANCING_CF_FINANCE_LEASES/1M", "FPT=Q", "FPO=-3Q", "ACT_EST_MAPPING=PRECISE", "FS=MRC", "CURRENCY=USD", "XLFILL=b")</f>
        <v>411</v>
      </c>
      <c r="O339" s="9">
        <f>_xll.BQL("AMZN US Equity", "CF_FINANCING_CF_FINANCE_LEASES/1M", "FPT=Q", "FPO=-2Q", "ACT_EST_MAPPING=PRECISE", "FS=MRC", "CURRENCY=USD", "XLFILL=b")</f>
        <v>351</v>
      </c>
      <c r="P339" s="9">
        <f>_xll.BQL("AMZN US Equity", "CF_FINANCING_CF_FINANCE_LEASES/1M", "FPT=Q", "FPO=-1Q", "ACT_EST_MAPPING=PRECISE", "FS=MRC", "CURRENCY=USD", "XLFILL=b")</f>
        <v>385</v>
      </c>
      <c r="Q339" s="9">
        <f>_xll.BQL("AMZN US Equity", "CF_FINANCING_CF_FINANCE_LEASES/1M", "FPT=Q", "FPO=0Q", "ACT_EST_MAPPING=PRECISE", "FS=MRC", "CURRENCY=USD", "XLFILL=b")</f>
        <v>468</v>
      </c>
      <c r="R339" s="9">
        <f>_xll.BQL("AMZN US Equity", "CF_FINANCING_CF_FINANCE_LEASES/1M", "FPT=Q", "FPO=1Q", "ACT_EST_MAPPING=PRECISE", "FS=MRC", "CURRENCY=USD", "XLFILL=b")</f>
        <v>724.70221385364437</v>
      </c>
      <c r="S339" s="9">
        <f>_xll.BQL("AMZN US Equity", "CF_FINANCING_CF_FINANCE_LEASES/1M", "FPT=Q", "FPO=2Q", "ACT_EST_MAPPING=PRECISE", "FS=MRC", "CURRENCY=USD", "XLFILL=b")</f>
        <v>693.2758295227286</v>
      </c>
      <c r="T339" s="9">
        <f>_xll.BQL("AMZN US Equity", "CF_FINANCING_CF_FINANCE_LEASES/1M", "FPT=Q", "FPO=3Q", "ACT_EST_MAPPING=PRECISE", "FS=MRC", "CURRENCY=USD", "XLFILL=b")</f>
        <v>749.15308236363194</v>
      </c>
      <c r="U339" s="9">
        <f>_xll.BQL("AMZN US Equity", "CF_FINANCING_CF_FINANCE_LEASES/1M", "FPT=Q", "FPO=4Q", "ACT_EST_MAPPING=PRECISE", "FS=MRC", "CURRENCY=USD", "XLFILL=b")</f>
        <v>648.36463182225634</v>
      </c>
      <c r="V339" s="9">
        <f>_xll.BQL("AMZN US Equity", "CF_FINANCING_CF_FINANCE_LEASES/1M", "FPT=Q", "FPO=5Q", "ACT_EST_MAPPING=PRECISE", "FS=MRC", "CURRENCY=USD", "XLFILL=b")</f>
        <v>661.30684456609697</v>
      </c>
      <c r="W339" s="9">
        <f>_xll.BQL("AMZN US Equity", "CF_FINANCING_CF_FINANCE_LEASES/1M", "FPT=Q", "FPO=6Q", "ACT_EST_MAPPING=PRECISE", "FS=MRC", "CURRENCY=USD", "XLFILL=b")</f>
        <v>671.33530630774487</v>
      </c>
      <c r="X339" s="9">
        <f>_xll.BQL("AMZN US Equity", "CF_FINANCING_CF_FINANCE_LEASES/1M", "FPT=Q", "FPO=7Q", "ACT_EST_MAPPING=PRECISE", "FS=MRC", "CURRENCY=USD", "XLFILL=b")</f>
        <v>710.32982376704467</v>
      </c>
    </row>
    <row r="340" spans="1:24" x14ac:dyDescent="0.25">
      <c r="A340" s="8" t="s">
        <v>577</v>
      </c>
      <c r="B340" s="4" t="s">
        <v>578</v>
      </c>
      <c r="C340" s="4" t="s">
        <v>579</v>
      </c>
      <c r="D340" s="4"/>
      <c r="E340" s="9">
        <f>_xll.BQL("AMZN US Equity", "CF_RT_OF_AST_OBTAINED_FOR_OP_LS/1M", "FPT=Q", "FPO=-12Q", "ACT_EST_MAPPING=PRECISE", "FS=MRC", "CURRENCY=USD", "XLFILL=b")</f>
        <v>3626</v>
      </c>
      <c r="F340" s="9">
        <f>_xll.BQL("AMZN US Equity", "CF_RT_OF_AST_OBTAINED_FOR_OP_LS/1M", "FPT=Q", "FPO=-11Q", "ACT_EST_MAPPING=PRECISE", "FS=MRC", "CURRENCY=USD", "XLFILL=b")</f>
        <v>4104</v>
      </c>
      <c r="G340" s="9">
        <f>_xll.BQL("AMZN US Equity", "CF_RT_OF_AST_OBTAINED_FOR_OP_LS/1M", "FPT=Q", "FPO=-10Q", "ACT_EST_MAPPING=PRECISE", "FS=MRC", "CURRENCY=USD", "XLFILL=b")</f>
        <v>3345</v>
      </c>
      <c r="H340" s="9">
        <f>_xll.BQL("AMZN US Equity", "CF_RT_OF_AST_OBTAINED_FOR_OP_LS/1M", "FPT=Q", "FPO=-9Q", "ACT_EST_MAPPING=PRECISE", "FS=MRC", "CURRENCY=USD", "XLFILL=b")</f>
        <v>2977</v>
      </c>
      <c r="I340" s="9">
        <f>_xll.BQL("AMZN US Equity", "CF_RT_OF_AST_OBTAINED_FOR_OP_LS/1M", "FPT=Q", "FPO=-8Q", "ACT_EST_MAPPING=PRECISE", "FS=MRC", "CURRENCY=USD", "XLFILL=b")</f>
        <v>3753</v>
      </c>
      <c r="J340" s="9">
        <f>_xll.BQL("AMZN US Equity", "CF_RT_OF_AST_OBTAINED_FOR_OP_LS/1M", "FPT=Q", "FPO=-7Q", "ACT_EST_MAPPING=PRECISE", "FS=MRC", "CURRENCY=USD", "XLFILL=b")</f>
        <v>3911</v>
      </c>
      <c r="K340" s="9">
        <f>_xll.BQL("AMZN US Equity", "CF_RT_OF_AST_OBTAINED_FOR_OP_LS/1M", "FPT=Q", "FPO=-6Q", "ACT_EST_MAPPING=PRECISE", "FS=MRC", "CURRENCY=USD", "XLFILL=b")</f>
        <v>3571</v>
      </c>
      <c r="L340" s="9">
        <f>_xll.BQL("AMZN US Equity", "CF_RT_OF_AST_OBTAINED_FOR_OP_LS/1M", "FPT=Q", "FPO=-5Q", "ACT_EST_MAPPING=PRECISE", "FS=MRC", "CURRENCY=USD", "XLFILL=b")</f>
        <v>4189</v>
      </c>
      <c r="M340" s="9">
        <f>_xll.BQL("AMZN US Equity", "CF_RT_OF_AST_OBTAINED_FOR_OP_LS/1M", "FPT=Q", "FPO=-4Q", "ACT_EST_MAPPING=PRECISE", "FS=MRC", "CURRENCY=USD", "XLFILL=b")</f>
        <v>4321</v>
      </c>
      <c r="N340" s="9">
        <f>_xll.BQL("AMZN US Equity", "CF_RT_OF_AST_OBTAINED_FOR_OP_LS/1M", "FPT=Q", "FPO=-3Q", "ACT_EST_MAPPING=PRECISE", "FS=MRC", "CURRENCY=USD", "XLFILL=b")</f>
        <v>4621</v>
      </c>
      <c r="O340" s="9">
        <f>_xll.BQL("AMZN US Equity", "CF_RT_OF_AST_OBTAINED_FOR_OP_LS/1M", "FPT=Q", "FPO=-2Q", "ACT_EST_MAPPING=PRECISE", "FS=MRC", "CURRENCY=USD", "XLFILL=b")</f>
        <v>5057</v>
      </c>
      <c r="P340" s="9">
        <f>_xll.BQL("AMZN US Equity", "CF_RT_OF_AST_OBTAINED_FOR_OP_LS/1M", "FPT=Q", "FPO=-1Q", "ACT_EST_MAPPING=PRECISE", "FS=MRC", "CURRENCY=USD", "XLFILL=b")</f>
        <v>5931</v>
      </c>
      <c r="Q340" s="9">
        <f>_xll.BQL("AMZN US Equity", "CF_RT_OF_AST_OBTAINED_FOR_OP_LS/1M", "FPT=Q", "FPO=0Q", "ACT_EST_MAPPING=PRECISE", "FS=MRC", "CURRENCY=USD", "XLFILL=b")</f>
        <v>6239</v>
      </c>
      <c r="R340" s="9">
        <f>_xll.BQL("AMZN US Equity", "CF_RT_OF_AST_OBTAINED_FOR_OP_LS/1M", "FPT=Q", "FPO=1Q", "ACT_EST_MAPPING=PRECISE", "FS=MRC", "CURRENCY=USD", "XLFILL=b")</f>
        <v>6239</v>
      </c>
      <c r="S340" s="9">
        <f>_xll.BQL("AMZN US Equity", "CF_RT_OF_AST_OBTAINED_FOR_OP_LS/1M", "FPT=Q", "FPO=2Q", "ACT_EST_MAPPING=PRECISE", "FS=MRC", "CURRENCY=USD", "XLFILL=b")</f>
        <v>6239</v>
      </c>
      <c r="T340" s="9">
        <f>_xll.BQL("AMZN US Equity", "CF_RT_OF_AST_OBTAINED_FOR_OP_LS/1M", "FPT=Q", "FPO=3Q", "ACT_EST_MAPPING=PRECISE", "FS=MRC", "CURRENCY=USD", "XLFILL=b")</f>
        <v>6239</v>
      </c>
      <c r="U340" s="9" t="str">
        <f>_xll.BQL("AMZN US Equity", "CF_RT_OF_AST_OBTAINED_FOR_OP_LS/1M", "FPT=Q", "FPO=4Q", "ACT_EST_MAPPING=PRECISE", "FS=MRC", "CURRENCY=USD", "XLFILL=b")</f>
        <v/>
      </c>
      <c r="V340" s="9" t="str">
        <f>_xll.BQL("AMZN US Equity", "CF_RT_OF_AST_OBTAINED_FOR_OP_LS/1M", "FPT=Q", "FPO=5Q", "ACT_EST_MAPPING=PRECISE", "FS=MRC", "CURRENCY=USD", "XLFILL=b")</f>
        <v/>
      </c>
      <c r="W340" s="9" t="str">
        <f>_xll.BQL("AMZN US Equity", "CF_RT_OF_AST_OBTAINED_FOR_OP_LS/1M", "FPT=Q", "FPO=6Q", "ACT_EST_MAPPING=PRECISE", "FS=MRC", "CURRENCY=USD", "XLFILL=b")</f>
        <v/>
      </c>
      <c r="X340" s="9" t="str">
        <f>_xll.BQL("AMZN US Equity", "CF_RT_OF_AST_OBTAINED_FOR_OP_LS/1M", "FPT=Q", "FPO=7Q", "ACT_EST_MAPPING=PRECISE", "FS=MRC", "CURRENCY=USD", "XLFILL=b")</f>
        <v/>
      </c>
    </row>
    <row r="341" spans="1:24" x14ac:dyDescent="0.25">
      <c r="A341" s="8" t="s">
        <v>580</v>
      </c>
      <c r="B341" s="4" t="s">
        <v>581</v>
      </c>
      <c r="C341" s="4" t="s">
        <v>582</v>
      </c>
      <c r="D341" s="4"/>
      <c r="E341" s="9">
        <f>_xll.BQL("AMZN US Equity", "CF_OTHER_FINANCING_ACT_EXCL_FX/1M", "FPT=Q", "FPO=-12Q", "ACT_EST_MAPPING=PRECISE", "FS=MRC", "CURRENCY=USD", "XLFILL=b")</f>
        <v>-57</v>
      </c>
      <c r="F341" s="9">
        <f>_xll.BQL("AMZN US Equity", "CF_OTHER_FINANCING_ACT_EXCL_FX/1M", "FPT=Q", "FPO=-11Q", "ACT_EST_MAPPING=PRECISE", "FS=MRC", "CURRENCY=USD", "XLFILL=b")</f>
        <v>-77</v>
      </c>
      <c r="G341" s="9">
        <f>_xll.BQL("AMZN US Equity", "CF_OTHER_FINANCING_ACT_EXCL_FX/1M", "FPT=Q", "FPO=-10Q", "ACT_EST_MAPPING=PRECISE", "FS=MRC", "CURRENCY=USD", "XLFILL=b")</f>
        <v>-64</v>
      </c>
      <c r="H341" s="9">
        <f>_xll.BQL("AMZN US Equity", "CF_OTHER_FINANCING_ACT_EXCL_FX/1M", "FPT=Q", "FPO=-9Q", "ACT_EST_MAPPING=PRECISE", "FS=MRC", "CURRENCY=USD", "XLFILL=b")</f>
        <v>-73</v>
      </c>
      <c r="I341" s="9">
        <f>_xll.BQL("AMZN US Equity", "CF_OTHER_FINANCING_ACT_EXCL_FX/1M", "FPT=Q", "FPO=-8Q", "ACT_EST_MAPPING=PRECISE", "FS=MRC", "CURRENCY=USD", "XLFILL=b")</f>
        <v>-90</v>
      </c>
      <c r="J341" s="9">
        <f>_xll.BQL("AMZN US Equity", "CF_OTHER_FINANCING_ACT_EXCL_FX/1M", "FPT=Q", "FPO=-7Q", "ACT_EST_MAPPING=PRECISE", "FS=MRC", "CURRENCY=USD", "XLFILL=b")</f>
        <v>-79</v>
      </c>
      <c r="K341" s="9">
        <f>_xll.BQL("AMZN US Equity", "CF_OTHER_FINANCING_ACT_EXCL_FX/1M", "FPT=Q", "FPO=-6Q", "ACT_EST_MAPPING=PRECISE", "FS=MRC", "CURRENCY=USD", "XLFILL=b")</f>
        <v>-78</v>
      </c>
      <c r="L341" s="9">
        <f>_xll.BQL("AMZN US Equity", "CF_OTHER_FINANCING_ACT_EXCL_FX/1M", "FPT=Q", "FPO=-5Q", "ACT_EST_MAPPING=PRECISE", "FS=MRC", "CURRENCY=USD", "XLFILL=b")</f>
        <v>-422</v>
      </c>
      <c r="M341" s="9">
        <f>_xll.BQL("AMZN US Equity", "CF_OTHER_FINANCING_ACT_EXCL_FX/1M", "FPT=Q", "FPO=-4Q", "ACT_EST_MAPPING=PRECISE", "FS=MRC", "CURRENCY=USD", "XLFILL=b")</f>
        <v>-116</v>
      </c>
      <c r="N341" s="9">
        <f>_xll.BQL("AMZN US Equity", "CF_OTHER_FINANCING_ACT_EXCL_FX/1M", "FPT=Q", "FPO=-3Q", "ACT_EST_MAPPING=PRECISE", "FS=MRC", "CURRENCY=USD", "XLFILL=b")</f>
        <v>-78</v>
      </c>
      <c r="O341" s="9">
        <f>_xll.BQL("AMZN US Equity", "CF_OTHER_FINANCING_ACT_EXCL_FX/1M", "FPT=Q", "FPO=-2Q", "ACT_EST_MAPPING=PRECISE", "FS=MRC", "CURRENCY=USD", "XLFILL=b")</f>
        <v>-82</v>
      </c>
      <c r="P341" s="9">
        <f>_xll.BQL("AMZN US Equity", "CF_OTHER_FINANCING_ACT_EXCL_FX/1M", "FPT=Q", "FPO=-1Q", "ACT_EST_MAPPING=PRECISE", "FS=MRC", "CURRENCY=USD", "XLFILL=b")</f>
        <v>-52</v>
      </c>
      <c r="Q341" s="9">
        <f>_xll.BQL("AMZN US Equity", "CF_OTHER_FINANCING_ACT_EXCL_FX/1M", "FPT=Q", "FPO=0Q", "ACT_EST_MAPPING=PRECISE", "FS=MRC", "CURRENCY=USD", "XLFILL=b")</f>
        <v>-115</v>
      </c>
      <c r="R341" s="9">
        <f>_xll.BQL("AMZN US Equity", "CF_OTHER_FINANCING_ACT_EXCL_FX/1M", "FPT=Q", "FPO=1Q", "ACT_EST_MAPPING=PRECISE", "FS=MRC", "CURRENCY=USD", "XLFILL=b")</f>
        <v>-78.071796849099627</v>
      </c>
      <c r="S341" s="9">
        <f>_xll.BQL("AMZN US Equity", "CF_OTHER_FINANCING_ACT_EXCL_FX/1M", "FPT=Q", "FPO=2Q", "ACT_EST_MAPPING=PRECISE", "FS=MRC", "CURRENCY=USD", "XLFILL=b")</f>
        <v>-80.018949994296634</v>
      </c>
      <c r="T341" s="9">
        <f>_xll.BQL("AMZN US Equity", "CF_OTHER_FINANCING_ACT_EXCL_FX/1M", "FPT=Q", "FPO=3Q", "ACT_EST_MAPPING=PRECISE", "FS=MRC", "CURRENCY=USD", "XLFILL=b")</f>
        <v>-79.045252140135972</v>
      </c>
      <c r="U341" s="9">
        <f>_xll.BQL("AMZN US Equity", "CF_OTHER_FINANCING_ACT_EXCL_FX/1M", "FPT=Q", "FPO=4Q", "ACT_EST_MAPPING=PRECISE", "FS=MRC", "CURRENCY=USD", "XLFILL=b")</f>
        <v>-86.856967748979358</v>
      </c>
      <c r="V341" s="9">
        <f>_xll.BQL("AMZN US Equity", "CF_OTHER_FINANCING_ACT_EXCL_FX/1M", "FPT=Q", "FPO=5Q", "ACT_EST_MAPPING=PRECISE", "FS=MRC", "CURRENCY=USD", "XLFILL=b")</f>
        <v>-80.14769516025558</v>
      </c>
      <c r="W341" s="9">
        <f>_xll.BQL("AMZN US Equity", "CF_OTHER_FINANCING_ACT_EXCL_FX/1M", "FPT=Q", "FPO=6Q", "ACT_EST_MAPPING=PRECISE", "FS=MRC", "CURRENCY=USD", "XLFILL=b")</f>
        <v>-83.743276647803313</v>
      </c>
      <c r="X341" s="9">
        <f>_xll.BQL("AMZN US Equity", "CF_OTHER_FINANCING_ACT_EXCL_FX/1M", "FPT=Q", "FPO=7Q", "ACT_EST_MAPPING=PRECISE", "FS=MRC", "CURRENCY=USD", "XLFILL=b")</f>
        <v>-83.086344588433434</v>
      </c>
    </row>
    <row r="342" spans="1:24" x14ac:dyDescent="0.25">
      <c r="A342" s="8" t="s">
        <v>583</v>
      </c>
      <c r="B342" s="4" t="s">
        <v>584</v>
      </c>
      <c r="C342" s="4" t="s">
        <v>585</v>
      </c>
      <c r="D342" s="4"/>
      <c r="E342" s="9">
        <f>_xll.BQL("AMZN US Equity", "CB_CF_NET_CASH_FINANCING_ACT/1M", "FPT=Q", "FPO=-12Q", "ACT_EST_MAPPING=PRECISE", "FS=MRC", "CURRENCY=USD", "XLFILL=b")</f>
        <v>6354</v>
      </c>
      <c r="F342" s="9">
        <f>_xll.BQL("AMZN US Equity", "CB_CF_NET_CASH_FINANCING_ACT/1M", "FPT=Q", "FPO=-11Q", "ACT_EST_MAPPING=PRECISE", "FS=MRC", "CURRENCY=USD", "XLFILL=b")</f>
        <v>-6539</v>
      </c>
      <c r="G342" s="9">
        <f>_xll.BQL("AMZN US Equity", "CB_CF_NET_CASH_FINANCING_ACT/1M", "FPT=Q", "FPO=-10Q", "ACT_EST_MAPPING=PRECISE", "FS=MRC", "CURRENCY=USD", "XLFILL=b")</f>
        <v>-8948</v>
      </c>
      <c r="H342" s="9">
        <f>_xll.BQL("AMZN US Equity", "CB_CF_NET_CASH_FINANCING_ACT/1M", "FPT=Q", "FPO=-9Q", "ACT_EST_MAPPING=PRECISE", "FS=MRC", "CURRENCY=USD", "XLFILL=b")</f>
        <v>-6746</v>
      </c>
      <c r="I342" s="9">
        <f>_xll.BQL("AMZN US Equity", "CB_CF_NET_CASH_FINANCING_ACT/1M", "FPT=Q", "FPO=-8Q", "ACT_EST_MAPPING=PRECISE", "FS=MRC", "CURRENCY=USD", "XLFILL=b")</f>
        <v>-1256</v>
      </c>
      <c r="J342" s="9">
        <f>_xll.BQL("AMZN US Equity", "CB_CF_NET_CASH_FINANCING_ACT/1M", "FPT=Q", "FPO=-7Q", "ACT_EST_MAPPING=PRECISE", "FS=MRC", "CURRENCY=USD", "XLFILL=b")</f>
        <v>-4490</v>
      </c>
      <c r="K342" s="9">
        <f>_xll.BQL("AMZN US Equity", "CB_CF_NET_CASH_FINANCING_ACT/1M", "FPT=Q", "FPO=-6Q", "ACT_EST_MAPPING=PRECISE", "FS=MRC", "CURRENCY=USD", "XLFILL=b")</f>
        <v>-2758</v>
      </c>
      <c r="L342" s="9">
        <f>_xll.BQL("AMZN US Equity", "CB_CF_NET_CASH_FINANCING_ACT/1M", "FPT=Q", "FPO=-5Q", "ACT_EST_MAPPING=PRECISE", "FS=MRC", "CURRENCY=USD", "XLFILL=b")</f>
        <v>-3308</v>
      </c>
      <c r="M342" s="9">
        <f>_xll.BQL("AMZN US Equity", "CB_CF_NET_CASH_FINANCING_ACT/1M", "FPT=Q", "FPO=-4Q", "ACT_EST_MAPPING=PRECISE", "FS=MRC", "CURRENCY=USD", "XLFILL=b")</f>
        <v>-47</v>
      </c>
      <c r="N342" s="9">
        <f>_xll.BQL("AMZN US Equity", "CB_CF_NET_CASH_FINANCING_ACT/1M", "FPT=Q", "FPO=-3Q", "ACT_EST_MAPPING=PRECISE", "FS=MRC", "CURRENCY=USD", "XLFILL=b")</f>
        <v>-2539</v>
      </c>
      <c r="O342" s="9">
        <f>_xll.BQL("AMZN US Equity", "CB_CF_NET_CASH_FINANCING_ACT/1M", "FPT=Q", "FPO=-2Q", "ACT_EST_MAPPING=PRECISE", "FS=MRC", "CURRENCY=USD", "XLFILL=b")</f>
        <v>-44</v>
      </c>
      <c r="P342" s="9">
        <f>_xll.BQL("AMZN US Equity", "CB_CF_NET_CASH_FINANCING_ACT/1M", "FPT=Q", "FPO=-1Q", "ACT_EST_MAPPING=PRECISE", "FS=MRC", "CURRENCY=USD", "XLFILL=b")</f>
        <v>12291</v>
      </c>
      <c r="Q342" s="9">
        <f>_xll.BQL("AMZN US Equity", "CB_CF_NET_CASH_FINANCING_ACT/1M", "FPT=Q", "FPO=0Q", "ACT_EST_MAPPING=PRECISE", "FS=MRC", "CURRENCY=USD", "XLFILL=b")</f>
        <v>52767</v>
      </c>
      <c r="R342" s="9">
        <f>_xll.BQL("AMZN US Equity", "CB_CF_NET_CASH_FINANCING_ACT/1M", "FPT=Q", "FPO=1Q", "ACT_EST_MAPPING=PRECISE", "FS=MRC", "CURRENCY=USD", "XLFILL=b")</f>
        <v>3397.0195256653346</v>
      </c>
      <c r="S342" s="9">
        <f>_xll.BQL("AMZN US Equity", "CB_CF_NET_CASH_FINANCING_ACT/1M", "FPT=Q", "FPO=2Q", "ACT_EST_MAPPING=PRECISE", "FS=MRC", "CURRENCY=USD", "XLFILL=b")</f>
        <v>6802.266614355718</v>
      </c>
      <c r="T342" s="9">
        <f>_xll.BQL("AMZN US Equity", "CB_CF_NET_CASH_FINANCING_ACT/1M", "FPT=Q", "FPO=3Q", "ACT_EST_MAPPING=PRECISE", "FS=MRC", "CURRENCY=USD", "XLFILL=b")</f>
        <v>4185.1023515738443</v>
      </c>
      <c r="U342" s="9">
        <f>_xll.BQL("AMZN US Equity", "CB_CF_NET_CASH_FINANCING_ACT/1M", "FPT=Q", "FPO=4Q", "ACT_EST_MAPPING=PRECISE", "FS=MRC", "CURRENCY=USD", "XLFILL=b")</f>
        <v>2205.1564548410952</v>
      </c>
      <c r="V342" s="9">
        <f>_xll.BQL("AMZN US Equity", "CB_CF_NET_CASH_FINANCING_ACT/1M", "FPT=Q", "FPO=5Q", "ACT_EST_MAPPING=PRECISE", "FS=MRC", "CURRENCY=USD", "XLFILL=b")</f>
        <v>4405.8613863772098</v>
      </c>
      <c r="W342" s="9">
        <f>_xll.BQL("AMZN US Equity", "CB_CF_NET_CASH_FINANCING_ACT/1M", "FPT=Q", "FPO=6Q", "ACT_EST_MAPPING=PRECISE", "FS=MRC", "CURRENCY=USD", "XLFILL=b")</f>
        <v>6299.8823320575639</v>
      </c>
      <c r="X342" s="9">
        <f>_xll.BQL("AMZN US Equity", "CB_CF_NET_CASH_FINANCING_ACT/1M", "FPT=Q", "FPO=7Q", "ACT_EST_MAPPING=PRECISE", "FS=MRC", "CURRENCY=USD", "XLFILL=b")</f>
        <v>7387.5272395965058</v>
      </c>
    </row>
    <row r="343" spans="1:24" x14ac:dyDescent="0.25">
      <c r="A343" s="8" t="s">
        <v>14</v>
      </c>
      <c r="B343" s="4"/>
      <c r="C343" s="4"/>
      <c r="D343" s="4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</row>
    <row r="344" spans="1:24" x14ac:dyDescent="0.25">
      <c r="A344" s="8" t="s">
        <v>436</v>
      </c>
      <c r="B344" s="4"/>
      <c r="C344" s="4"/>
      <c r="D344" s="4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</row>
    <row r="345" spans="1:24" x14ac:dyDescent="0.25">
      <c r="A345" s="8" t="s">
        <v>586</v>
      </c>
      <c r="B345" s="4" t="s">
        <v>587</v>
      </c>
      <c r="C345" s="4" t="s">
        <v>588</v>
      </c>
      <c r="D345" s="4"/>
      <c r="E345" s="9">
        <f>_xll.BQL("AMZN US Equity", "CF_EFFECT_FOREIGN_EXCHANGES/1M", "FPT=Q", "FPO=-12Q", "ACT_EST_MAPPING=PRECISE", "FS=MRC", "CURRENCY=USD", "XLFILL=b")</f>
        <v>145</v>
      </c>
      <c r="F345" s="9">
        <f>_xll.BQL("AMZN US Equity", "CF_EFFECT_FOREIGN_EXCHANGES/1M", "FPT=Q", "FPO=-11Q", "ACT_EST_MAPPING=PRECISE", "FS=MRC", "CURRENCY=USD", "XLFILL=b")</f>
        <v>69</v>
      </c>
      <c r="G345" s="9">
        <f>_xll.BQL("AMZN US Equity", "CF_EFFECT_FOREIGN_EXCHANGES/1M", "FPT=Q", "FPO=-10Q", "ACT_EST_MAPPING=PRECISE", "FS=MRC", "CURRENCY=USD", "XLFILL=b")</f>
        <v>-502</v>
      </c>
      <c r="H345" s="9">
        <f>_xll.BQL("AMZN US Equity", "CF_EFFECT_FOREIGN_EXCHANGES/1M", "FPT=Q", "FPO=-9Q", "ACT_EST_MAPPING=PRECISE", "FS=MRC", "CURRENCY=USD", "XLFILL=b")</f>
        <v>691</v>
      </c>
      <c r="I345" s="9">
        <f>_xll.BQL("AMZN US Equity", "CF_EFFECT_FOREIGN_EXCHANGES/1M", "FPT=Q", "FPO=-8Q", "ACT_EST_MAPPING=PRECISE", "FS=MRC", "CURRENCY=USD", "XLFILL=b")</f>
        <v>-429</v>
      </c>
      <c r="J345" s="9">
        <f>_xll.BQL("AMZN US Equity", "CF_EFFECT_FOREIGN_EXCHANGES/1M", "FPT=Q", "FPO=-7Q", "ACT_EST_MAPPING=PRECISE", "FS=MRC", "CURRENCY=USD", "XLFILL=b")</f>
        <v>-312</v>
      </c>
      <c r="K345" s="9">
        <f>_xll.BQL("AMZN US Equity", "CF_EFFECT_FOREIGN_EXCHANGES/1M", "FPT=Q", "FPO=-6Q", "ACT_EST_MAPPING=PRECISE", "FS=MRC", "CURRENCY=USD", "XLFILL=b")</f>
        <v>690</v>
      </c>
      <c r="L345" s="9">
        <f>_xll.BQL("AMZN US Equity", "CF_EFFECT_FOREIGN_EXCHANGES/1M", "FPT=Q", "FPO=-5Q", "ACT_EST_MAPPING=PRECISE", "FS=MRC", "CURRENCY=USD", "XLFILL=b")</f>
        <v>-1250</v>
      </c>
      <c r="M345" s="9">
        <f>_xll.BQL("AMZN US Equity", "CF_EFFECT_FOREIGN_EXCHANGES/1M", "FPT=Q", "FPO=-4Q", "ACT_EST_MAPPING=PRECISE", "FS=MRC", "CURRENCY=USD", "XLFILL=b")</f>
        <v>416</v>
      </c>
      <c r="N345" s="9">
        <f>_xll.BQL("AMZN US Equity", "CF_EFFECT_FOREIGN_EXCHANGES/1M", "FPT=Q", "FPO=-3Q", "ACT_EST_MAPPING=PRECISE", "FS=MRC", "CURRENCY=USD", "XLFILL=b")</f>
        <v>1008</v>
      </c>
      <c r="O345" s="9">
        <f>_xll.BQL("AMZN US Equity", "CF_EFFECT_FOREIGN_EXCHANGES/1M", "FPT=Q", "FPO=-2Q", "ACT_EST_MAPPING=PRECISE", "FS=MRC", "CURRENCY=USD", "XLFILL=b")</f>
        <v>-397</v>
      </c>
      <c r="P345" s="9">
        <f>_xll.BQL("AMZN US Equity", "CF_EFFECT_FOREIGN_EXCHANGES/1M", "FPT=Q", "FPO=-1Q", "ACT_EST_MAPPING=PRECISE", "FS=MRC", "CURRENCY=USD", "XLFILL=b")</f>
        <v>137</v>
      </c>
      <c r="Q345" s="9">
        <f>_xll.BQL("AMZN US Equity", "CF_EFFECT_FOREIGN_EXCHANGES/1M", "FPT=Q", "FPO=0Q", "ACT_EST_MAPPING=PRECISE", "FS=MRC", "CURRENCY=USD", "XLFILL=b")</f>
        <v>-1</v>
      </c>
      <c r="R345" s="9">
        <f>_xll.BQL("AMZN US Equity", "CF_EFFECT_FOREIGN_EXCHANGES/1M", "FPT=Q", "FPO=1Q", "ACT_EST_MAPPING=PRECISE", "FS=MRC", "CURRENCY=USD", "XLFILL=b")</f>
        <v>-0.66666666666666663</v>
      </c>
      <c r="S345" s="9">
        <f>_xll.BQL("AMZN US Equity", "CF_EFFECT_FOREIGN_EXCHANGES/1M", "FPT=Q", "FPO=2Q", "ACT_EST_MAPPING=PRECISE", "FS=MRC", "CURRENCY=USD", "XLFILL=b")</f>
        <v>-0.66666666666666663</v>
      </c>
      <c r="T345" s="9">
        <f>_xll.BQL("AMZN US Equity", "CF_EFFECT_FOREIGN_EXCHANGES/1M", "FPT=Q", "FPO=3Q", "ACT_EST_MAPPING=PRECISE", "FS=MRC", "CURRENCY=USD", "XLFILL=b")</f>
        <v>-0.66666666666666663</v>
      </c>
      <c r="U345" s="9">
        <f>_xll.BQL("AMZN US Equity", "CF_EFFECT_FOREIGN_EXCHANGES/1M", "FPT=Q", "FPO=4Q", "ACT_EST_MAPPING=PRECISE", "FS=MRC", "CURRENCY=USD", "XLFILL=b")</f>
        <v>100</v>
      </c>
      <c r="V345" s="9">
        <f>_xll.BQL("AMZN US Equity", "CF_EFFECT_FOREIGN_EXCHANGES/1M", "FPT=Q", "FPO=5Q", "ACT_EST_MAPPING=PRECISE", "FS=MRC", "CURRENCY=USD", "XLFILL=b")</f>
        <v>100</v>
      </c>
      <c r="W345" s="9">
        <f>_xll.BQL("AMZN US Equity", "CF_EFFECT_FOREIGN_EXCHANGES/1M", "FPT=Q", "FPO=6Q", "ACT_EST_MAPPING=PRECISE", "FS=MRC", "CURRENCY=USD", "XLFILL=b")</f>
        <v>100</v>
      </c>
      <c r="X345" s="9">
        <f>_xll.BQL("AMZN US Equity", "CF_EFFECT_FOREIGN_EXCHANGES/1M", "FPT=Q", "FPO=7Q", "ACT_EST_MAPPING=PRECISE", "FS=MRC", "CURRENCY=USD", "XLFILL=b")</f>
        <v>100</v>
      </c>
    </row>
    <row r="346" spans="1:24" x14ac:dyDescent="0.25">
      <c r="A346" s="8" t="s">
        <v>589</v>
      </c>
      <c r="B346" s="4" t="s">
        <v>590</v>
      </c>
      <c r="C346" s="4" t="s">
        <v>591</v>
      </c>
      <c r="D346" s="4"/>
      <c r="E346" s="9">
        <f>_xll.BQL("AMZN US Equity", "CF_NET_CHNG_CASH/1M", "FPT=Q", "FPO=-12Q", "ACT_EST_MAPPING=PRECISE", "FS=MRC", "CURRENCY=USD", "XLFILL=b")</f>
        <v>-4519</v>
      </c>
      <c r="F346" s="9">
        <f>_xll.BQL("AMZN US Equity", "CF_NET_CHNG_CASH/1M", "FPT=Q", "FPO=-11Q", "ACT_EST_MAPPING=PRECISE", "FS=MRC", "CURRENCY=USD", "XLFILL=b")</f>
        <v>333</v>
      </c>
      <c r="G346" s="9">
        <f>_xll.BQL("AMZN US Equity", "CF_NET_CHNG_CASH/1M", "FPT=Q", "FPO=-10Q", "ACT_EST_MAPPING=PRECISE", "FS=MRC", "CURRENCY=USD", "XLFILL=b")</f>
        <v>14</v>
      </c>
      <c r="H346" s="9">
        <f>_xll.BQL("AMZN US Equity", "CF_NET_CHNG_CASH/1M", "FPT=Q", "FPO=-9Q", "ACT_EST_MAPPING=PRECISE", "FS=MRC", "CURRENCY=USD", "XLFILL=b")</f>
        <v>23809</v>
      </c>
      <c r="I346" s="9">
        <f>_xll.BQL("AMZN US Equity", "CF_NET_CHNG_CASH/1M", "FPT=Q", "FPO=-8Q", "ACT_EST_MAPPING=PRECISE", "FS=MRC", "CURRENCY=USD", "XLFILL=b")</f>
        <v>-558</v>
      </c>
      <c r="J346" s="9">
        <f>_xll.BQL("AMZN US Equity", "CF_NET_CHNG_CASH/1M", "FPT=Q", "FPO=-7Q", "ACT_EST_MAPPING=PRECISE", "FS=MRC", "CURRENCY=USD", "XLFILL=b")</f>
        <v>-1659</v>
      </c>
      <c r="K346" s="9">
        <f>_xll.BQL("AMZN US Equity", "CF_NET_CHNG_CASH/1M", "FPT=Q", "FPO=-6Q", "ACT_EST_MAPPING=PRECISE", "FS=MRC", "CURRENCY=USD", "XLFILL=b")</f>
        <v>7004</v>
      </c>
      <c r="L346" s="9">
        <f>_xll.BQL("AMZN US Equity", "CF_NET_CHNG_CASH/1M", "FPT=Q", "FPO=-5Q", "ACT_EST_MAPPING=PRECISE", "FS=MRC", "CURRENCY=USD", "XLFILL=b")</f>
        <v>3635</v>
      </c>
      <c r="M346" s="9">
        <f>_xll.BQL("AMZN US Equity", "CF_NET_CHNG_CASH/1M", "FPT=Q", "FPO=-4Q", "ACT_EST_MAPPING=PRECISE", "FS=MRC", "CURRENCY=USD", "XLFILL=b")</f>
        <v>-12419</v>
      </c>
      <c r="N346" s="9">
        <f>_xll.BQL("AMZN US Equity", "CF_NET_CHNG_CASH/1M", "FPT=Q", "FPO=-3Q", "ACT_EST_MAPPING=PRECISE", "FS=MRC", "CURRENCY=USD", "XLFILL=b")</f>
        <v>-8440</v>
      </c>
      <c r="O346" s="9">
        <f>_xll.BQL("AMZN US Equity", "CF_NET_CHNG_CASH/1M", "FPT=Q", "FPO=-2Q", "ACT_EST_MAPPING=PRECISE", "FS=MRC", "CURRENCY=USD", "XLFILL=b")</f>
        <v>9011</v>
      </c>
      <c r="P346" s="9">
        <f>_xll.BQL("AMZN US Equity", "CF_NET_CHNG_CASH/1M", "FPT=Q", "FPO=-1Q", "ACT_EST_MAPPING=PRECISE", "FS=MRC", "CURRENCY=USD", "XLFILL=b")</f>
        <v>19642</v>
      </c>
      <c r="Q346" s="9">
        <f>_xll.BQL("AMZN US Equity", "CF_NET_CHNG_CASH/1M", "FPT=Q", "FPO=0Q", "ACT_EST_MAPPING=PRECISE", "FS=MRC", "CURRENCY=USD", "XLFILL=b")</f>
        <v>14586</v>
      </c>
      <c r="R346" s="9">
        <f>_xll.BQL("AMZN US Equity", "CF_NET_CHNG_CASH/1M", "FPT=Q", "FPO=1Q", "ACT_EST_MAPPING=PRECISE", "FS=MRC", "CURRENCY=USD", "XLFILL=b")</f>
        <v>4844.3701810592029</v>
      </c>
      <c r="S346" s="9">
        <f>_xll.BQL("AMZN US Equity", "CF_NET_CHNG_CASH/1M", "FPT=Q", "FPO=2Q", "ACT_EST_MAPPING=PRECISE", "FS=MRC", "CURRENCY=USD", "XLFILL=b")</f>
        <v>-7409.4764147812739</v>
      </c>
      <c r="T346" s="9">
        <f>_xll.BQL("AMZN US Equity", "CF_NET_CHNG_CASH/1M", "FPT=Q", "FPO=3Q", "ACT_EST_MAPPING=PRECISE", "FS=MRC", "CURRENCY=USD", "XLFILL=b")</f>
        <v>4230.6315426368037</v>
      </c>
      <c r="U346" s="9">
        <f>_xll.BQL("AMZN US Equity", "CF_NET_CHNG_CASH/1M", "FPT=Q", "FPO=4Q", "ACT_EST_MAPPING=PRECISE", "FS=MRC", "CURRENCY=USD", "XLFILL=b")</f>
        <v>-4247.9931266135154</v>
      </c>
      <c r="V346" s="9">
        <f>_xll.BQL("AMZN US Equity", "CF_NET_CHNG_CASH/1M", "FPT=Q", "FPO=5Q", "ACT_EST_MAPPING=PRECISE", "FS=MRC", "CURRENCY=USD", "XLFILL=b")</f>
        <v>1281.9186947748967</v>
      </c>
      <c r="W346" s="9">
        <f>_xll.BQL("AMZN US Equity", "CF_NET_CHNG_CASH/1M", "FPT=Q", "FPO=6Q", "ACT_EST_MAPPING=PRECISE", "FS=MRC", "CURRENCY=USD", "XLFILL=b")</f>
        <v>-154.03144391561622</v>
      </c>
      <c r="X346" s="9">
        <f>_xll.BQL("AMZN US Equity", "CF_NET_CHNG_CASH/1M", "FPT=Q", "FPO=7Q", "ACT_EST_MAPPING=PRECISE", "FS=MRC", "CURRENCY=USD", "XLFILL=b")</f>
        <v>20854.04777309666</v>
      </c>
    </row>
    <row r="347" spans="1:24" x14ac:dyDescent="0.25">
      <c r="A347" s="8" t="s">
        <v>592</v>
      </c>
      <c r="B347" s="4" t="s">
        <v>593</v>
      </c>
      <c r="C347" s="4" t="s">
        <v>594</v>
      </c>
      <c r="D347" s="4"/>
      <c r="E347" s="9">
        <f>_xll.BQL("AMZN US Equity", "CF_CASH_AND_CASH_EQUIV_BEG_BAL/1M", "FPT=Q", "FPO=-12Q", "ACT_EST_MAPPING=PRECISE", "FS=MRC", "CURRENCY=USD", "XLFILL=b")</f>
        <v>54253</v>
      </c>
      <c r="F347" s="9">
        <f>_xll.BQL("AMZN US Equity", "CF_CASH_AND_CASH_EQUIV_BEG_BAL/1M", "FPT=Q", "FPO=-11Q", "ACT_EST_MAPPING=PRECISE", "FS=MRC", "CURRENCY=USD", "XLFILL=b")</f>
        <v>49734</v>
      </c>
      <c r="G347" s="9">
        <f>_xll.BQL("AMZN US Equity", "CF_CASH_AND_CASH_EQUIV_BEG_BAL/1M", "FPT=Q", "FPO=-10Q", "ACT_EST_MAPPING=PRECISE", "FS=MRC", "CURRENCY=USD", "XLFILL=b")</f>
        <v>50067</v>
      </c>
      <c r="H347" s="9">
        <f>_xll.BQL("AMZN US Equity", "CF_CASH_AND_CASH_EQUIV_BEG_BAL/1M", "FPT=Q", "FPO=-9Q", "ACT_EST_MAPPING=PRECISE", "FS=MRC", "CURRENCY=USD", "XLFILL=b")</f>
        <v>50081</v>
      </c>
      <c r="I347" s="9">
        <f>_xll.BQL("AMZN US Equity", "CF_CASH_AND_CASH_EQUIV_BEG_BAL/1M", "FPT=Q", "FPO=-8Q", "ACT_EST_MAPPING=PRECISE", "FS=MRC", "CURRENCY=USD", "XLFILL=b")</f>
        <v>73890</v>
      </c>
      <c r="J347" s="9">
        <f>_xll.BQL("AMZN US Equity", "CF_CASH_AND_CASH_EQUIV_BEG_BAL/1M", "FPT=Q", "FPO=-7Q", "ACT_EST_MAPPING=PRECISE", "FS=MRC", "CURRENCY=USD", "XLFILL=b")</f>
        <v>73332</v>
      </c>
      <c r="K347" s="9">
        <f>_xll.BQL("AMZN US Equity", "CF_CASH_AND_CASH_EQUIV_BEG_BAL/1M", "FPT=Q", "FPO=-6Q", "ACT_EST_MAPPING=PRECISE", "FS=MRC", "CURRENCY=USD", "XLFILL=b")</f>
        <v>71673</v>
      </c>
      <c r="L347" s="9">
        <f>_xll.BQL("AMZN US Equity", "CF_CASH_AND_CASH_EQUIV_BEG_BAL/1M", "FPT=Q", "FPO=-5Q", "ACT_EST_MAPPING=PRECISE", "FS=MRC", "CURRENCY=USD", "XLFILL=b")</f>
        <v>78677</v>
      </c>
      <c r="M347" s="9">
        <f>_xll.BQL("AMZN US Equity", "CF_CASH_AND_CASH_EQUIV_BEG_BAL/1M", "FPT=Q", "FPO=-4Q", "ACT_EST_MAPPING=PRECISE", "FS=MRC", "CURRENCY=USD", "XLFILL=b")</f>
        <v>82312</v>
      </c>
      <c r="N347" s="9">
        <f>_xll.BQL("AMZN US Equity", "CF_CASH_AND_CASH_EQUIV_BEG_BAL/1M", "FPT=Q", "FPO=-3Q", "ACT_EST_MAPPING=PRECISE", "FS=MRC", "CURRENCY=USD", "XLFILL=b")</f>
        <v>69893</v>
      </c>
      <c r="O347" s="9">
        <f>_xll.BQL("AMZN US Equity", "CF_CASH_AND_CASH_EQUIV_BEG_BAL/1M", "FPT=Q", "FPO=-2Q", "ACT_EST_MAPPING=PRECISE", "FS=MRC", "CURRENCY=USD", "XLFILL=b")</f>
        <v>61453</v>
      </c>
      <c r="P347" s="9">
        <f>_xll.BQL("AMZN US Equity", "CF_CASH_AND_CASH_EQUIV_BEG_BAL/1M", "FPT=Q", "FPO=-1Q", "ACT_EST_MAPPING=PRECISE", "FS=MRC", "CURRENCY=USD", "XLFILL=b")</f>
        <v>70464</v>
      </c>
      <c r="Q347" s="9">
        <f>_xll.BQL("AMZN US Equity", "CF_CASH_AND_CASH_EQUIV_BEG_BAL/1M", "FPT=Q", "FPO=0Q", "ACT_EST_MAPPING=PRECISE", "FS=MRC", "CURRENCY=USD", "XLFILL=b")</f>
        <v>90106</v>
      </c>
      <c r="R347" s="9">
        <f>_xll.BQL("AMZN US Equity", "CF_CASH_AND_CASH_EQUIV_BEG_BAL/1M", "FPT=Q", "FPO=1Q", "ACT_EST_MAPPING=PRECISE", "FS=MRC", "CURRENCY=USD", "XLFILL=b")</f>
        <v>103918.78500016667</v>
      </c>
      <c r="S347" s="9">
        <f>_xll.BQL("AMZN US Equity", "CF_CASH_AND_CASH_EQUIV_BEG_BAL/1M", "FPT=Q", "FPO=2Q", "ACT_EST_MAPPING=PRECISE", "FS=MRC", "CURRENCY=USD", "XLFILL=b")</f>
        <v>109967.04309098169</v>
      </c>
      <c r="T347" s="9">
        <f>_xll.BQL("AMZN US Equity", "CF_CASH_AND_CASH_EQUIV_BEG_BAL/1M", "FPT=Q", "FPO=3Q", "ACT_EST_MAPPING=PRECISE", "FS=MRC", "CURRENCY=USD", "XLFILL=b")</f>
        <v>106371.93772326859</v>
      </c>
      <c r="U347" s="9">
        <f>_xll.BQL("AMZN US Equity", "CF_CASH_AND_CASH_EQUIV_BEG_BAL/1M", "FPT=Q", "FPO=4Q", "ACT_EST_MAPPING=PRECISE", "FS=MRC", "CURRENCY=USD", "XLFILL=b")</f>
        <v>118223.9195459263</v>
      </c>
      <c r="V347" s="9">
        <f>_xll.BQL("AMZN US Equity", "CF_CASH_AND_CASH_EQUIV_BEG_BAL/1M", "FPT=Q", "FPO=5Q", "ACT_EST_MAPPING=PRECISE", "FS=MRC", "CURRENCY=USD", "XLFILL=b")</f>
        <v>115575.66825566294</v>
      </c>
      <c r="W347" s="9">
        <f>_xll.BQL("AMZN US Equity", "CF_CASH_AND_CASH_EQUIV_BEG_BAL/1M", "FPT=Q", "FPO=6Q", "ACT_EST_MAPPING=PRECISE", "FS=MRC", "CURRENCY=USD", "XLFILL=b")</f>
        <v>118174.97196474548</v>
      </c>
      <c r="X347" s="9">
        <f>_xll.BQL("AMZN US Equity", "CF_CASH_AND_CASH_EQUIV_BEG_BAL/1M", "FPT=Q", "FPO=7Q", "ACT_EST_MAPPING=PRECISE", "FS=MRC", "CURRENCY=USD", "XLFILL=b")</f>
        <v>118020.94052082986</v>
      </c>
    </row>
    <row r="348" spans="1:24" x14ac:dyDescent="0.25">
      <c r="A348" s="8" t="s">
        <v>595</v>
      </c>
      <c r="B348" s="4" t="s">
        <v>596</v>
      </c>
      <c r="C348" s="4" t="s">
        <v>597</v>
      </c>
      <c r="D348" s="4"/>
      <c r="E348" s="9">
        <f>_xll.BQL("AMZN US Equity", "CF_CASH_AND_CASH_EQUIV_END_BAL/1M", "FPT=Q", "FPO=-12Q", "ACT_EST_MAPPING=PRECISE", "FS=MRC", "CURRENCY=USD", "XLFILL=b")</f>
        <v>49734</v>
      </c>
      <c r="F348" s="9">
        <f>_xll.BQL("AMZN US Equity", "CF_CASH_AND_CASH_EQUIV_END_BAL/1M", "FPT=Q", "FPO=-11Q", "ACT_EST_MAPPING=PRECISE", "FS=MRC", "CURRENCY=USD", "XLFILL=b")</f>
        <v>50067</v>
      </c>
      <c r="G348" s="9">
        <f>_xll.BQL("AMZN US Equity", "CF_CASH_AND_CASH_EQUIV_END_BAL/1M", "FPT=Q", "FPO=-10Q", "ACT_EST_MAPPING=PRECISE", "FS=MRC", "CURRENCY=USD", "XLFILL=b")</f>
        <v>50081</v>
      </c>
      <c r="H348" s="9">
        <f>_xll.BQL("AMZN US Equity", "CF_CASH_AND_CASH_EQUIV_END_BAL/1M", "FPT=Q", "FPO=-9Q", "ACT_EST_MAPPING=PRECISE", "FS=MRC", "CURRENCY=USD", "XLFILL=b")</f>
        <v>73890</v>
      </c>
      <c r="I348" s="9">
        <f>_xll.BQL("AMZN US Equity", "CF_CASH_AND_CASH_EQUIV_END_BAL/1M", "FPT=Q", "FPO=-8Q", "ACT_EST_MAPPING=PRECISE", "FS=MRC", "CURRENCY=USD", "XLFILL=b")</f>
        <v>73332</v>
      </c>
      <c r="J348" s="9">
        <f>_xll.BQL("AMZN US Equity", "CF_CASH_AND_CASH_EQUIV_END_BAL/1M", "FPT=Q", "FPO=-7Q", "ACT_EST_MAPPING=PRECISE", "FS=MRC", "CURRENCY=USD", "XLFILL=b")</f>
        <v>71673</v>
      </c>
      <c r="K348" s="9">
        <f>_xll.BQL("AMZN US Equity", "CF_CASH_AND_CASH_EQUIV_END_BAL/1M", "FPT=Q", "FPO=-6Q", "ACT_EST_MAPPING=PRECISE", "FS=MRC", "CURRENCY=USD", "XLFILL=b")</f>
        <v>78677</v>
      </c>
      <c r="L348" s="9">
        <f>_xll.BQL("AMZN US Equity", "CF_CASH_AND_CASH_EQUIV_END_BAL/1M", "FPT=Q", "FPO=-5Q", "ACT_EST_MAPPING=PRECISE", "FS=MRC", "CURRENCY=USD", "XLFILL=b")</f>
        <v>82312</v>
      </c>
      <c r="M348" s="9">
        <f>_xll.BQL("AMZN US Equity", "CF_CASH_AND_CASH_EQUIV_END_BAL/1M", "FPT=Q", "FPO=-4Q", "ACT_EST_MAPPING=PRECISE", "FS=MRC", "CURRENCY=USD", "XLFILL=b")</f>
        <v>69893</v>
      </c>
      <c r="N348" s="9">
        <f>_xll.BQL("AMZN US Equity", "CF_CASH_AND_CASH_EQUIV_END_BAL/1M", "FPT=Q", "FPO=-3Q", "ACT_EST_MAPPING=PRECISE", "FS=MRC", "CURRENCY=USD", "XLFILL=b")</f>
        <v>61453</v>
      </c>
      <c r="O348" s="9">
        <f>_xll.BQL("AMZN US Equity", "CF_CASH_AND_CASH_EQUIV_END_BAL/1M", "FPT=Q", "FPO=-2Q", "ACT_EST_MAPPING=PRECISE", "FS=MRC", "CURRENCY=USD", "XLFILL=b")</f>
        <v>70464</v>
      </c>
      <c r="P348" s="9">
        <f>_xll.BQL("AMZN US Equity", "CF_CASH_AND_CASH_EQUIV_END_BAL/1M", "FPT=Q", "FPO=-1Q", "ACT_EST_MAPPING=PRECISE", "FS=MRC", "CURRENCY=USD", "XLFILL=b")</f>
        <v>90106</v>
      </c>
      <c r="Q348" s="9">
        <f>_xll.BQL("AMZN US Equity", "CF_CASH_AND_CASH_EQUIV_END_BAL/1M", "FPT=Q", "FPO=0Q", "ACT_EST_MAPPING=PRECISE", "FS=MRC", "CURRENCY=USD", "XLFILL=b")</f>
        <v>104692</v>
      </c>
      <c r="R348" s="9">
        <f>_xll.BQL("AMZN US Equity", "CF_CASH_AND_CASH_EQUIV_END_BAL/1M", "FPT=Q", "FPO=1Q", "ACT_EST_MAPPING=PRECISE", "FS=MRC", "CURRENCY=USD", "XLFILL=b")</f>
        <v>111960.30239302937</v>
      </c>
      <c r="S348" s="9">
        <f>_xll.BQL("AMZN US Equity", "CF_CASH_AND_CASH_EQUIV_END_BAL/1M", "FPT=Q", "FPO=2Q", "ACT_EST_MAPPING=PRECISE", "FS=MRC", "CURRENCY=USD", "XLFILL=b")</f>
        <v>107876.20370855603</v>
      </c>
      <c r="T348" s="9">
        <f>_xll.BQL("AMZN US Equity", "CF_CASH_AND_CASH_EQUIV_END_BAL/1M", "FPT=Q", "FPO=3Q", "ACT_EST_MAPPING=PRECISE", "FS=MRC", "CURRENCY=USD", "XLFILL=b")</f>
        <v>114274.48476418236</v>
      </c>
      <c r="U348" s="9">
        <f>_xll.BQL("AMZN US Equity", "CF_CASH_AND_CASH_EQUIV_END_BAL/1M", "FPT=Q", "FPO=4Q", "ACT_EST_MAPPING=PRECISE", "FS=MRC", "CURRENCY=USD", "XLFILL=b")</f>
        <v>100669.95165341753</v>
      </c>
      <c r="V348" s="9">
        <f>_xll.BQL("AMZN US Equity", "CF_CASH_AND_CASH_EQUIV_END_BAL/1M", "FPT=Q", "FPO=5Q", "ACT_EST_MAPPING=PRECISE", "FS=MRC", "CURRENCY=USD", "XLFILL=b")</f>
        <v>119821.43476316106</v>
      </c>
      <c r="W348" s="9">
        <f>_xll.BQL("AMZN US Equity", "CF_CASH_AND_CASH_EQUIV_END_BAL/1M", "FPT=Q", "FPO=6Q", "ACT_EST_MAPPING=PRECISE", "FS=MRC", "CURRENCY=USD", "XLFILL=b")</f>
        <v>119353.64984243338</v>
      </c>
      <c r="X348" s="9">
        <f>_xll.BQL("AMZN US Equity", "CF_CASH_AND_CASH_EQUIV_END_BAL/1M", "FPT=Q", "FPO=7Q", "ACT_EST_MAPPING=PRECISE", "FS=MRC", "CURRENCY=USD", "XLFILL=b")</f>
        <v>104437.07430968805</v>
      </c>
    </row>
    <row r="349" spans="1:24" x14ac:dyDescent="0.25">
      <c r="A349" s="8" t="s">
        <v>598</v>
      </c>
      <c r="B349" s="4"/>
      <c r="C349" s="4"/>
      <c r="D349" s="4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</row>
    <row r="350" spans="1:24" x14ac:dyDescent="0.25">
      <c r="A350" s="8" t="s">
        <v>599</v>
      </c>
      <c r="B350" s="4" t="s">
        <v>600</v>
      </c>
      <c r="C350" s="4" t="s">
        <v>601</v>
      </c>
      <c r="D350" s="4"/>
      <c r="E350" s="9">
        <f>_xll.BQL("AMZN US Equity", "CF_CASH_PAID_FOR_TAX/1M", "FPT=Q", "FPO=-12Q", "ACT_EST_MAPPING=PRECISE", "FS=MRC", "CURRENCY=USD", "XLFILL=b")</f>
        <v>619</v>
      </c>
      <c r="F350" s="9">
        <f>_xll.BQL("AMZN US Equity", "CF_CASH_PAID_FOR_TAX/1M", "FPT=Q", "FPO=-11Q", "ACT_EST_MAPPING=PRECISE", "FS=MRC", "CURRENCY=USD", "XLFILL=b")</f>
        <v>3735</v>
      </c>
      <c r="G350" s="9">
        <f>_xll.BQL("AMZN US Equity", "CF_CASH_PAID_FOR_TAX/1M", "FPT=Q", "FPO=-10Q", "ACT_EST_MAPPING=PRECISE", "FS=MRC", "CURRENCY=USD", "XLFILL=b")</f>
        <v>2628</v>
      </c>
      <c r="H350" s="9">
        <f>_xll.BQL("AMZN US Equity", "CF_CASH_PAID_FOR_TAX/1M", "FPT=Q", "FPO=-9Q", "ACT_EST_MAPPING=PRECISE", "FS=MRC", "CURRENCY=USD", "XLFILL=b")</f>
        <v>4197</v>
      </c>
      <c r="I350" s="9">
        <f>_xll.BQL("AMZN US Equity", "CF_CASH_PAID_FOR_TAX/1M", "FPT=Q", "FPO=-8Q", "ACT_EST_MAPPING=PRECISE", "FS=MRC", "CURRENCY=USD", "XLFILL=b")</f>
        <v>458</v>
      </c>
      <c r="J350" s="9">
        <f>_xll.BQL("AMZN US Equity", "CF_CASH_PAID_FOR_TAX/1M", "FPT=Q", "FPO=-7Q", "ACT_EST_MAPPING=PRECISE", "FS=MRC", "CURRENCY=USD", "XLFILL=b")</f>
        <v>5700</v>
      </c>
      <c r="K350" s="9">
        <f>_xll.BQL("AMZN US Equity", "CF_CASH_PAID_FOR_TAX/1M", "FPT=Q", "FPO=-6Q", "ACT_EST_MAPPING=PRECISE", "FS=MRC", "CURRENCY=USD", "XLFILL=b")</f>
        <v>2004</v>
      </c>
      <c r="L350" s="9">
        <f>_xll.BQL("AMZN US Equity", "CF_CASH_PAID_FOR_TAX/1M", "FPT=Q", "FPO=-5Q", "ACT_EST_MAPPING=PRECISE", "FS=MRC", "CURRENCY=USD", "XLFILL=b")</f>
        <v>4146</v>
      </c>
      <c r="M350" s="9">
        <f>_xll.BQL("AMZN US Equity", "CF_CASH_PAID_FOR_TAX/1M", "FPT=Q", "FPO=-4Q", "ACT_EST_MAPPING=PRECISE", "FS=MRC", "CURRENCY=USD", "XLFILL=b")</f>
        <v>877</v>
      </c>
      <c r="N350" s="9">
        <f>_xll.BQL("AMZN US Equity", "CF_CASH_PAID_FOR_TAX/1M", "FPT=Q", "FPO=-3Q", "ACT_EST_MAPPING=PRECISE", "FS=MRC", "CURRENCY=USD", "XLFILL=b")</f>
        <v>4761</v>
      </c>
      <c r="O350" s="9">
        <f>_xll.BQL("AMZN US Equity", "CF_CASH_PAID_FOR_TAX/1M", "FPT=Q", "FPO=-2Q", "ACT_EST_MAPPING=PRECISE", "FS=MRC", "CURRENCY=USD", "XLFILL=b")</f>
        <v>1136</v>
      </c>
      <c r="P350" s="9">
        <f>_xll.BQL("AMZN US Equity", "CF_CASH_PAID_FOR_TAX/1M", "FPT=Q", "FPO=-1Q", "ACT_EST_MAPPING=PRECISE", "FS=MRC", "CURRENCY=USD", "XLFILL=b")</f>
        <v>1521</v>
      </c>
      <c r="Q350" s="9">
        <f>_xll.BQL("AMZN US Equity", "CF_CASH_PAID_FOR_TAX/1M", "FPT=Q", "FPO=0Q", "ACT_EST_MAPPING=PRECISE", "FS=MRC", "CURRENCY=USD", "XLFILL=b")</f>
        <v>1323</v>
      </c>
      <c r="R350" s="9">
        <f>_xll.BQL("AMZN US Equity", "CF_CASH_PAID_FOR_TAX/1M", "FPT=Q", "FPO=1Q", "ACT_EST_MAPPING=PRECISE", "FS=MRC", "CURRENCY=USD", "XLFILL=b")</f>
        <v>3426.0109640164983</v>
      </c>
      <c r="S350" s="9">
        <f>_xll.BQL("AMZN US Equity", "CF_CASH_PAID_FOR_TAX/1M", "FPT=Q", "FPO=2Q", "ACT_EST_MAPPING=PRECISE", "FS=MRC", "CURRENCY=USD", "XLFILL=b")</f>
        <v>2436.7554227450382</v>
      </c>
      <c r="T350" s="9">
        <f>_xll.BQL("AMZN US Equity", "CF_CASH_PAID_FOR_TAX/1M", "FPT=Q", "FPO=3Q", "ACT_EST_MAPPING=PRECISE", "FS=MRC", "CURRENCY=USD", "XLFILL=b")</f>
        <v>3228.3815097535294</v>
      </c>
      <c r="U350" s="9">
        <f>_xll.BQL("AMZN US Equity", "CF_CASH_PAID_FOR_TAX/1M", "FPT=Q", "FPO=4Q", "ACT_EST_MAPPING=PRECISE", "FS=MRC", "CURRENCY=USD", "XLFILL=b")</f>
        <v>1129.1476923180574</v>
      </c>
      <c r="V350" s="9">
        <f>_xll.BQL("AMZN US Equity", "CF_CASH_PAID_FOR_TAX/1M", "FPT=Q", "FPO=5Q", "ACT_EST_MAPPING=PRECISE", "FS=MRC", "CURRENCY=USD", "XLFILL=b")</f>
        <v>2429.5875979526504</v>
      </c>
      <c r="W350" s="9">
        <f>_xll.BQL("AMZN US Equity", "CF_CASH_PAID_FOR_TAX/1M", "FPT=Q", "FPO=6Q", "ACT_EST_MAPPING=PRECISE", "FS=MRC", "CURRENCY=USD", "XLFILL=b")</f>
        <v>234.43203146178354</v>
      </c>
      <c r="X350" s="9">
        <f>_xll.BQL("AMZN US Equity", "CF_CASH_PAID_FOR_TAX/1M", "FPT=Q", "FPO=7Q", "ACT_EST_MAPPING=PRECISE", "FS=MRC", "CURRENCY=USD", "XLFILL=b")</f>
        <v>934.21450543742867</v>
      </c>
    </row>
    <row r="351" spans="1:24" x14ac:dyDescent="0.25">
      <c r="A351" s="8" t="s">
        <v>602</v>
      </c>
      <c r="B351" s="4" t="s">
        <v>603</v>
      </c>
      <c r="C351" s="4" t="s">
        <v>604</v>
      </c>
      <c r="D351" s="4"/>
      <c r="E351" s="9">
        <f>_xll.BQL("AMZN US Equity", "CF_ACT_CASH_PAID_FOR_INT_DEBT/1M", "FPT=Q", "FPO=-12Q", "ACT_EST_MAPPING=PRECISE", "FS=MRC", "CURRENCY=USD", "XLFILL=b")</f>
        <v>461</v>
      </c>
      <c r="F351" s="9">
        <f>_xll.BQL("AMZN US Equity", "CF_ACT_CASH_PAID_FOR_INT_DEBT/1M", "FPT=Q", "FPO=-11Q", "ACT_EST_MAPPING=PRECISE", "FS=MRC", "CURRENCY=USD", "XLFILL=b")</f>
        <v>995</v>
      </c>
      <c r="G351" s="9">
        <f>_xll.BQL("AMZN US Equity", "CF_ACT_CASH_PAID_FOR_INT_DEBT/1M", "FPT=Q", "FPO=-10Q", "ACT_EST_MAPPING=PRECISE", "FS=MRC", "CURRENCY=USD", "XLFILL=b")</f>
        <v>515</v>
      </c>
      <c r="H351" s="9">
        <f>_xll.BQL("AMZN US Equity", "CF_ACT_CASH_PAID_FOR_INT_DEBT/1M", "FPT=Q", "FPO=-9Q", "ACT_EST_MAPPING=PRECISE", "FS=MRC", "CURRENCY=USD", "XLFILL=b")</f>
        <v>833</v>
      </c>
      <c r="I351" s="9">
        <f>_xll.BQL("AMZN US Equity", "CF_ACT_CASH_PAID_FOR_INT_DEBT/1M", "FPT=Q", "FPO=-8Q", "ACT_EST_MAPPING=PRECISE", "FS=MRC", "CURRENCY=USD", "XLFILL=b")</f>
        <v>333</v>
      </c>
      <c r="J351" s="9">
        <f>_xll.BQL("AMZN US Equity", "CF_ACT_CASH_PAID_FOR_INT_DEBT/1M", "FPT=Q", "FPO=-7Q", "ACT_EST_MAPPING=PRECISE", "FS=MRC", "CURRENCY=USD", "XLFILL=b")</f>
        <v>730</v>
      </c>
      <c r="K351" s="9">
        <f>_xll.BQL("AMZN US Equity", "CF_ACT_CASH_PAID_FOR_INT_DEBT/1M", "FPT=Q", "FPO=-6Q", "ACT_EST_MAPPING=PRECISE", "FS=MRC", "CURRENCY=USD", "XLFILL=b")</f>
        <v>313</v>
      </c>
      <c r="L351" s="9">
        <f>_xll.BQL("AMZN US Equity", "CF_ACT_CASH_PAID_FOR_INT_DEBT/1M", "FPT=Q", "FPO=-5Q", "ACT_EST_MAPPING=PRECISE", "FS=MRC", "CURRENCY=USD", "XLFILL=b")</f>
        <v>701</v>
      </c>
      <c r="M351" s="9">
        <f>_xll.BQL("AMZN US Equity", "CF_ACT_CASH_PAID_FOR_INT_DEBT/1M", "FPT=Q", "FPO=-4Q", "ACT_EST_MAPPING=PRECISE", "FS=MRC", "CURRENCY=USD", "XLFILL=b")</f>
        <v>291</v>
      </c>
      <c r="N351" s="9">
        <f>_xll.BQL("AMZN US Equity", "CF_ACT_CASH_PAID_FOR_INT_DEBT/1M", "FPT=Q", "FPO=-3Q", "ACT_EST_MAPPING=PRECISE", "FS=MRC", "CURRENCY=USD", "XLFILL=b")</f>
        <v>575</v>
      </c>
      <c r="O351" s="9">
        <f>_xll.BQL("AMZN US Equity", "CF_ACT_CASH_PAID_FOR_INT_DEBT/1M", "FPT=Q", "FPO=-2Q", "ACT_EST_MAPPING=PRECISE", "FS=MRC", "CURRENCY=USD", "XLFILL=b")</f>
        <v>301</v>
      </c>
      <c r="P351" s="9">
        <f>_xll.BQL("AMZN US Equity", "CF_ACT_CASH_PAID_FOR_INT_DEBT/1M", "FPT=Q", "FPO=-1Q", "ACT_EST_MAPPING=PRECISE", "FS=MRC", "CURRENCY=USD", "XLFILL=b")</f>
        <v>487</v>
      </c>
      <c r="Q351" s="9">
        <f>_xll.BQL("AMZN US Equity", "CF_ACT_CASH_PAID_FOR_INT_DEBT/1M", "FPT=Q", "FPO=0Q", "ACT_EST_MAPPING=PRECISE", "FS=MRC", "CURRENCY=USD", "XLFILL=b")</f>
        <v>350</v>
      </c>
      <c r="R351" s="9">
        <f>_xll.BQL("AMZN US Equity", "CF_ACT_CASH_PAID_FOR_INT_DEBT/1M", "FPT=Q", "FPO=1Q", "ACT_EST_MAPPING=PRECISE", "FS=MRC", "CURRENCY=USD", "XLFILL=b")</f>
        <v>274</v>
      </c>
      <c r="S351" s="9">
        <f>_xll.BQL("AMZN US Equity", "CF_ACT_CASH_PAID_FOR_INT_DEBT/1M", "FPT=Q", "FPO=2Q", "ACT_EST_MAPPING=PRECISE", "FS=MRC", "CURRENCY=USD", "XLFILL=b")</f>
        <v>274</v>
      </c>
      <c r="T351" s="9">
        <f>_xll.BQL("AMZN US Equity", "CF_ACT_CASH_PAID_FOR_INT_DEBT/1M", "FPT=Q", "FPO=3Q", "ACT_EST_MAPPING=PRECISE", "FS=MRC", "CURRENCY=USD", "XLFILL=b")</f>
        <v>274</v>
      </c>
      <c r="U351" s="9" t="str">
        <f>_xll.BQL("AMZN US Equity", "CF_ACT_CASH_PAID_FOR_INT_DEBT/1M", "FPT=Q", "FPO=4Q", "ACT_EST_MAPPING=PRECISE", "FS=MRC", "CURRENCY=USD", "XLFILL=b")</f>
        <v/>
      </c>
      <c r="V351" s="9" t="str">
        <f>_xll.BQL("AMZN US Equity", "CF_ACT_CASH_PAID_FOR_INT_DEBT/1M", "FPT=Q", "FPO=5Q", "ACT_EST_MAPPING=PRECISE", "FS=MRC", "CURRENCY=USD", "XLFILL=b")</f>
        <v/>
      </c>
      <c r="W351" s="9" t="str">
        <f>_xll.BQL("AMZN US Equity", "CF_ACT_CASH_PAID_FOR_INT_DEBT/1M", "FPT=Q", "FPO=6Q", "ACT_EST_MAPPING=PRECISE", "FS=MRC", "CURRENCY=USD", "XLFILL=b")</f>
        <v/>
      </c>
      <c r="X351" s="9" t="str">
        <f>_xll.BQL("AMZN US Equity", "CF_ACT_CASH_PAID_FOR_INT_DEBT/1M", "FPT=Q", "FPO=7Q", "ACT_EST_MAPPING=PRECISE", "FS=MRC", "CURRENCY=USD", "XLFILL=b")</f>
        <v/>
      </c>
    </row>
    <row r="352" spans="1:24" x14ac:dyDescent="0.25">
      <c r="A352" s="8" t="s">
        <v>605</v>
      </c>
      <c r="B352" s="4" t="s">
        <v>606</v>
      </c>
      <c r="C352" s="4" t="s">
        <v>607</v>
      </c>
      <c r="D352" s="4"/>
      <c r="E352" s="9" t="str">
        <f>_xll.BQL("AMZN US Equity", "CB_IS_LEASE_TERMINATION_COST/1M", "FPT=Q", "FPO=-12Q", "ACT_EST_MAPPING=PRECISE", "FS=MRC", "CURRENCY=USD", "XLFILL=b")</f>
        <v/>
      </c>
      <c r="F352" s="9" t="str">
        <f>_xll.BQL("AMZN US Equity", "CB_IS_LEASE_TERMINATION_COST/1M", "FPT=Q", "FPO=-11Q", "ACT_EST_MAPPING=PRECISE", "FS=MRC", "CURRENCY=USD", "XLFILL=b")</f>
        <v/>
      </c>
      <c r="G352" s="9">
        <f>_xll.BQL("AMZN US Equity", "CB_IS_LEASE_TERMINATION_COST/1M", "FPT=Q", "FPO=-10Q", "ACT_EST_MAPPING=PRECISE", "FS=MRC", "CURRENCY=USD", "XLFILL=b")</f>
        <v>694</v>
      </c>
      <c r="H352" s="9">
        <f>_xll.BQL("AMZN US Equity", "CB_IS_LEASE_TERMINATION_COST/1M", "FPT=Q", "FPO=-9Q", "ACT_EST_MAPPING=PRECISE", "FS=MRC", "CURRENCY=USD", "XLFILL=b")</f>
        <v>-11</v>
      </c>
      <c r="I352" s="9" t="str">
        <f>_xll.BQL("AMZN US Equity", "CB_IS_LEASE_TERMINATION_COST/1M", "FPT=Q", "FPO=-8Q", "ACT_EST_MAPPING=PRECISE", "FS=MRC", "CURRENCY=USD", "XLFILL=b")</f>
        <v/>
      </c>
      <c r="J352" s="9" t="str">
        <f>_xll.BQL("AMZN US Equity", "CB_IS_LEASE_TERMINATION_COST/1M", "FPT=Q", "FPO=-7Q", "ACT_EST_MAPPING=PRECISE", "FS=MRC", "CURRENCY=USD", "XLFILL=b")</f>
        <v/>
      </c>
      <c r="K352" s="9">
        <f>_xll.BQL("AMZN US Equity", "CB_IS_LEASE_TERMINATION_COST/1M", "FPT=Q", "FPO=-6Q", "ACT_EST_MAPPING=PRECISE", "FS=MRC", "CURRENCY=USD", "XLFILL=b")</f>
        <v>785</v>
      </c>
      <c r="L352" s="9">
        <f>_xll.BQL("AMZN US Equity", "CB_IS_LEASE_TERMINATION_COST/1M", "FPT=Q", "FPO=-5Q", "ACT_EST_MAPPING=PRECISE", "FS=MRC", "CURRENCY=USD", "XLFILL=b")</f>
        <v>-18</v>
      </c>
      <c r="M352" s="9">
        <f>_xll.BQL("AMZN US Equity", "CB_IS_LEASE_TERMINATION_COST/1M", "FPT=Q", "FPO=-4Q", "ACT_EST_MAPPING=PRECISE", "FS=MRC", "CURRENCY=USD", "XLFILL=b")</f>
        <v>410</v>
      </c>
      <c r="N352" s="9" t="str">
        <f>_xll.BQL("AMZN US Equity", "CB_IS_LEASE_TERMINATION_COST/1M", "FPT=Q", "FPO=-3Q", "ACT_EST_MAPPING=PRECISE", "FS=MRC", "CURRENCY=USD", "XLFILL=b")</f>
        <v/>
      </c>
      <c r="O352" s="9" t="str">
        <f>_xll.BQL("AMZN US Equity", "CB_IS_LEASE_TERMINATION_COST/1M", "FPT=Q", "FPO=-2Q", "ACT_EST_MAPPING=PRECISE", "FS=MRC", "CURRENCY=USD", "XLFILL=b")</f>
        <v/>
      </c>
      <c r="P352" s="9">
        <f>_xll.BQL("AMZN US Equity", "CB_IS_LEASE_TERMINATION_COST/1M", "FPT=Q", "FPO=-1Q", "ACT_EST_MAPPING=PRECISE", "FS=MRC", "CURRENCY=USD", "XLFILL=b")</f>
        <v>1177</v>
      </c>
      <c r="Q352" s="9">
        <f>_xll.BQL("AMZN US Equity", "CB_IS_LEASE_TERMINATION_COST/1M", "FPT=Q", "FPO=0Q", "ACT_EST_MAPPING=PRECISE", "FS=MRC", "CURRENCY=USD", "XLFILL=b")</f>
        <v>468</v>
      </c>
      <c r="R352" s="9">
        <f>_xll.BQL("AMZN US Equity", "CB_IS_LEASE_TERMINATION_COST/1M", "FPT=Q", "FPO=1Q", "ACT_EST_MAPPING=PRECISE", "FS=MRC", "CURRENCY=USD", "XLFILL=b")</f>
        <v>271.49495058976225</v>
      </c>
      <c r="S352" s="9">
        <f>_xll.BQL("AMZN US Equity", "CB_IS_LEASE_TERMINATION_COST/1M", "FPT=Q", "FPO=2Q", "ACT_EST_MAPPING=PRECISE", "FS=MRC", "CURRENCY=USD", "XLFILL=b")</f>
        <v>278.90732435450633</v>
      </c>
      <c r="T352" s="9">
        <f>_xll.BQL("AMZN US Equity", "CB_IS_LEASE_TERMINATION_COST/1M", "FPT=Q", "FPO=3Q", "ACT_EST_MAPPING=PRECISE", "FS=MRC", "CURRENCY=USD", "XLFILL=b")</f>
        <v>286.50500746336894</v>
      </c>
      <c r="U352" s="9">
        <f>_xll.BQL("AMZN US Equity", "CB_IS_LEASE_TERMINATION_COST/1M", "FPT=Q", "FPO=4Q", "ACT_EST_MAPPING=PRECISE", "FS=MRC", "CURRENCY=USD", "XLFILL=b")</f>
        <v>-37.5</v>
      </c>
      <c r="V352" s="9">
        <f>_xll.BQL("AMZN US Equity", "CB_IS_LEASE_TERMINATION_COST/1M", "FPT=Q", "FPO=5Q", "ACT_EST_MAPPING=PRECISE", "FS=MRC", "CURRENCY=USD", "XLFILL=b")</f>
        <v>-37.5</v>
      </c>
      <c r="W352" s="9">
        <f>_xll.BQL("AMZN US Equity", "CB_IS_LEASE_TERMINATION_COST/1M", "FPT=Q", "FPO=6Q", "ACT_EST_MAPPING=PRECISE", "FS=MRC", "CURRENCY=USD", "XLFILL=b")</f>
        <v>-37.5</v>
      </c>
      <c r="X352" s="9">
        <f>_xll.BQL("AMZN US Equity", "CB_IS_LEASE_TERMINATION_COST/1M", "FPT=Q", "FPO=7Q", "ACT_EST_MAPPING=PRECISE", "FS=MRC", "CURRENCY=USD", "XLFILL=b")</f>
        <v>-37.5</v>
      </c>
    </row>
    <row r="353" spans="1:24" x14ac:dyDescent="0.25">
      <c r="A353" s="8" t="s">
        <v>608</v>
      </c>
      <c r="B353" s="4" t="s">
        <v>609</v>
      </c>
      <c r="C353" s="4" t="s">
        <v>610</v>
      </c>
      <c r="D353" s="4"/>
      <c r="E353" s="9">
        <f>_xll.BQL("AMZN US Equity", "CF_OCF_OPERATING_LEASES/1M", "FPT=Q", "FPO=-12Q", "ACT_EST_MAPPING=PRECISE", "FS=MRC", "CURRENCY=USD", "XLFILL=b")</f>
        <v>2467</v>
      </c>
      <c r="F353" s="9">
        <f>_xll.BQL("AMZN US Equity", "CF_OCF_OPERATING_LEASES/1M", "FPT=Q", "FPO=-11Q", "ACT_EST_MAPPING=PRECISE", "FS=MRC", "CURRENCY=USD", "XLFILL=b")</f>
        <v>2528</v>
      </c>
      <c r="G353" s="9">
        <f>_xll.BQL("AMZN US Equity", "CF_OCF_OPERATING_LEASES/1M", "FPT=Q", "FPO=-10Q", "ACT_EST_MAPPING=PRECISE", "FS=MRC", "CURRENCY=USD", "XLFILL=b")</f>
        <v>2692</v>
      </c>
      <c r="H353" s="9">
        <f>_xll.BQL("AMZN US Equity", "CF_OCF_OPERATING_LEASES/1M", "FPT=Q", "FPO=-9Q", "ACT_EST_MAPPING=PRECISE", "FS=MRC", "CURRENCY=USD", "XLFILL=b")</f>
        <v>2766</v>
      </c>
      <c r="I353" s="9">
        <f>_xll.BQL("AMZN US Equity", "CF_OCF_OPERATING_LEASES/1M", "FPT=Q", "FPO=-8Q", "ACT_EST_MAPPING=PRECISE", "FS=MRC", "CURRENCY=USD", "XLFILL=b")</f>
        <v>3332</v>
      </c>
      <c r="J353" s="9">
        <f>_xll.BQL("AMZN US Equity", "CF_OCF_OPERATING_LEASES/1M", "FPT=Q", "FPO=-7Q", "ACT_EST_MAPPING=PRECISE", "FS=MRC", "CURRENCY=USD", "XLFILL=b")</f>
        <v>2844</v>
      </c>
      <c r="K353" s="9">
        <f>_xll.BQL("AMZN US Equity", "CF_OCF_OPERATING_LEASES/1M", "FPT=Q", "FPO=-6Q", "ACT_EST_MAPPING=PRECISE", "FS=MRC", "CURRENCY=USD", "XLFILL=b")</f>
        <v>2940</v>
      </c>
      <c r="L353" s="9">
        <f>_xll.BQL("AMZN US Equity", "CF_OCF_OPERATING_LEASES/1M", "FPT=Q", "FPO=-5Q", "ACT_EST_MAPPING=PRECISE", "FS=MRC", "CURRENCY=USD", "XLFILL=b")</f>
        <v>3225</v>
      </c>
      <c r="M353" s="9">
        <f>_xll.BQL("AMZN US Equity", "CF_OCF_OPERATING_LEASES/1M", "FPT=Q", "FPO=-4Q", "ACT_EST_MAPPING=PRECISE", "FS=MRC", "CURRENCY=USD", "XLFILL=b")</f>
        <v>3562</v>
      </c>
      <c r="N353" s="9">
        <f>_xll.BQL("AMZN US Equity", "CF_OCF_OPERATING_LEASES/1M", "FPT=Q", "FPO=-3Q", "ACT_EST_MAPPING=PRECISE", "FS=MRC", "CURRENCY=USD", "XLFILL=b")</f>
        <v>3758</v>
      </c>
      <c r="O353" s="9">
        <f>_xll.BQL("AMZN US Equity", "CF_OCF_OPERATING_LEASES/1M", "FPT=Q", "FPO=-2Q", "ACT_EST_MAPPING=PRECISE", "FS=MRC", "CURRENCY=USD", "XLFILL=b")</f>
        <v>4155</v>
      </c>
      <c r="P353" s="9">
        <f>_xll.BQL("AMZN US Equity", "CF_OCF_OPERATING_LEASES/1M", "FPT=Q", "FPO=-1Q", "ACT_EST_MAPPING=PRECISE", "FS=MRC", "CURRENCY=USD", "XLFILL=b")</f>
        <v>3563</v>
      </c>
      <c r="Q353" s="9">
        <f>_xll.BQL("AMZN US Equity", "CF_OCF_OPERATING_LEASES/1M", "FPT=Q", "FPO=0Q", "ACT_EST_MAPPING=PRECISE", "FS=MRC", "CURRENCY=USD", "XLFILL=b")</f>
        <v>4315</v>
      </c>
      <c r="R353" s="9">
        <f>_xll.BQL("AMZN US Equity", "CF_OCF_OPERATING_LEASES/1M", "FPT=Q", "FPO=1Q", "ACT_EST_MAPPING=PRECISE", "FS=MRC", "CURRENCY=USD", "XLFILL=b")</f>
        <v>4315</v>
      </c>
      <c r="S353" s="9">
        <f>_xll.BQL("AMZN US Equity", "CF_OCF_OPERATING_LEASES/1M", "FPT=Q", "FPO=2Q", "ACT_EST_MAPPING=PRECISE", "FS=MRC", "CURRENCY=USD", "XLFILL=b")</f>
        <v>4315</v>
      </c>
      <c r="T353" s="9">
        <f>_xll.BQL("AMZN US Equity", "CF_OCF_OPERATING_LEASES/1M", "FPT=Q", "FPO=3Q", "ACT_EST_MAPPING=PRECISE", "FS=MRC", "CURRENCY=USD", "XLFILL=b")</f>
        <v>4315</v>
      </c>
      <c r="U353" s="9" t="str">
        <f>_xll.BQL("AMZN US Equity", "CF_OCF_OPERATING_LEASES/1M", "FPT=Q", "FPO=4Q", "ACT_EST_MAPPING=PRECISE", "FS=MRC", "CURRENCY=USD", "XLFILL=b")</f>
        <v/>
      </c>
      <c r="V353" s="9" t="str">
        <f>_xll.BQL("AMZN US Equity", "CF_OCF_OPERATING_LEASES/1M", "FPT=Q", "FPO=5Q", "ACT_EST_MAPPING=PRECISE", "FS=MRC", "CURRENCY=USD", "XLFILL=b")</f>
        <v/>
      </c>
      <c r="W353" s="9" t="str">
        <f>_xll.BQL("AMZN US Equity", "CF_OCF_OPERATING_LEASES/1M", "FPT=Q", "FPO=6Q", "ACT_EST_MAPPING=PRECISE", "FS=MRC", "CURRENCY=USD", "XLFILL=b")</f>
        <v/>
      </c>
      <c r="X353" s="9" t="str">
        <f>_xll.BQL("AMZN US Equity", "CF_OCF_OPERATING_LEASES/1M", "FPT=Q", "FPO=7Q", "ACT_EST_MAPPING=PRECISE", "FS=MRC", "CURRENCY=USD", "XLFILL=b")</f>
        <v/>
      </c>
    </row>
    <row r="354" spans="1:24" x14ac:dyDescent="0.25">
      <c r="A354" s="8" t="s">
        <v>611</v>
      </c>
      <c r="B354" s="4" t="s">
        <v>612</v>
      </c>
      <c r="C354" s="4" t="s">
        <v>613</v>
      </c>
      <c r="D354" s="4"/>
      <c r="E354" s="9">
        <f>_xll.BQL("AMZN US Equity", "CF_OCF_FINANCE_LEASES/1M", "FPT=Q", "FPO=-12Q", "ACT_EST_MAPPING=PRECISE", "FS=MRC", "CURRENCY=USD", "XLFILL=b")</f>
        <v>81</v>
      </c>
      <c r="F354" s="9">
        <f>_xll.BQL("AMZN US Equity", "CF_OCF_FINANCE_LEASES/1M", "FPT=Q", "FPO=-11Q", "ACT_EST_MAPPING=PRECISE", "FS=MRC", "CURRENCY=USD", "XLFILL=b")</f>
        <v>77</v>
      </c>
      <c r="G354" s="9">
        <f>_xll.BQL("AMZN US Equity", "CF_OCF_FINANCE_LEASES/1M", "FPT=Q", "FPO=-10Q", "ACT_EST_MAPPING=PRECISE", "FS=MRC", "CURRENCY=USD", "XLFILL=b")</f>
        <v>76</v>
      </c>
      <c r="H354" s="9">
        <f>_xll.BQL("AMZN US Equity", "CF_OCF_FINANCE_LEASES/1M", "FPT=Q", "FPO=-9Q", "ACT_EST_MAPPING=PRECISE", "FS=MRC", "CURRENCY=USD", "XLFILL=b")</f>
        <v>74</v>
      </c>
      <c r="I354" s="9">
        <f>_xll.BQL("AMZN US Equity", "CF_OCF_FINANCE_LEASES/1M", "FPT=Q", "FPO=-8Q", "ACT_EST_MAPPING=PRECISE", "FS=MRC", "CURRENCY=USD", "XLFILL=b")</f>
        <v>74</v>
      </c>
      <c r="J354" s="9">
        <f>_xll.BQL("AMZN US Equity", "CF_OCF_FINANCE_LEASES/1M", "FPT=Q", "FPO=-7Q", "ACT_EST_MAPPING=PRECISE", "FS=MRC", "CURRENCY=USD", "XLFILL=b")</f>
        <v>72</v>
      </c>
      <c r="K354" s="9">
        <f>_xll.BQL("AMZN US Equity", "CF_OCF_FINANCE_LEASES/1M", "FPT=Q", "FPO=-6Q", "ACT_EST_MAPPING=PRECISE", "FS=MRC", "CURRENCY=USD", "XLFILL=b")</f>
        <v>71</v>
      </c>
      <c r="L354" s="9">
        <f>_xll.BQL("AMZN US Equity", "CF_OCF_FINANCE_LEASES/1M", "FPT=Q", "FPO=-5Q", "ACT_EST_MAPPING=PRECISE", "FS=MRC", "CURRENCY=USD", "XLFILL=b")</f>
        <v>70</v>
      </c>
      <c r="M354" s="9">
        <f>_xll.BQL("AMZN US Equity", "CF_OCF_FINANCE_LEASES/1M", "FPT=Q", "FPO=-4Q", "ACT_EST_MAPPING=PRECISE", "FS=MRC", "CURRENCY=USD", "XLFILL=b")</f>
        <v>71</v>
      </c>
      <c r="N354" s="9">
        <f>_xll.BQL("AMZN US Equity", "CF_OCF_FINANCE_LEASES/1M", "FPT=Q", "FPO=-3Q", "ACT_EST_MAPPING=PRECISE", "FS=MRC", "CURRENCY=USD", "XLFILL=b")</f>
        <v>72</v>
      </c>
      <c r="O354" s="9">
        <f>_xll.BQL("AMZN US Equity", "CF_OCF_FINANCE_LEASES/1M", "FPT=Q", "FPO=-2Q", "ACT_EST_MAPPING=PRECISE", "FS=MRC", "CURRENCY=USD", "XLFILL=b")</f>
        <v>76</v>
      </c>
      <c r="P354" s="9">
        <f>_xll.BQL("AMZN US Equity", "CF_OCF_FINANCE_LEASES/1M", "FPT=Q", "FPO=-1Q", "ACT_EST_MAPPING=PRECISE", "FS=MRC", "CURRENCY=USD", "XLFILL=b")</f>
        <v>76</v>
      </c>
      <c r="Q354" s="9">
        <f>_xll.BQL("AMZN US Equity", "CF_OCF_FINANCE_LEASES/1M", "FPT=Q", "FPO=0Q", "ACT_EST_MAPPING=PRECISE", "FS=MRC", "CURRENCY=USD", "XLFILL=b")</f>
        <v>102</v>
      </c>
      <c r="R354" s="9">
        <f>_xll.BQL("AMZN US Equity", "CF_OCF_FINANCE_LEASES/1M", "FPT=Q", "FPO=1Q", "ACT_EST_MAPPING=PRECISE", "FS=MRC", "CURRENCY=USD", "XLFILL=b")</f>
        <v>81.497395497128878</v>
      </c>
      <c r="S354" s="9">
        <f>_xll.BQL("AMZN US Equity", "CF_OCF_FINANCE_LEASES/1M", "FPT=Q", "FPO=2Q", "ACT_EST_MAPPING=PRECISE", "FS=MRC", "CURRENCY=USD", "XLFILL=b")</f>
        <v>81.497395497128878</v>
      </c>
      <c r="T354" s="9">
        <f>_xll.BQL("AMZN US Equity", "CF_OCF_FINANCE_LEASES/1M", "FPT=Q", "FPO=3Q", "ACT_EST_MAPPING=PRECISE", "FS=MRC", "CURRENCY=USD", "XLFILL=b")</f>
        <v>81.497395497128878</v>
      </c>
      <c r="U354" s="9">
        <f>_xll.BQL("AMZN US Equity", "CF_OCF_FINANCE_LEASES/1M", "FPT=Q", "FPO=4Q", "ACT_EST_MAPPING=PRECISE", "FS=MRC", "CURRENCY=USD", "XLFILL=b")</f>
        <v>74.663193996171827</v>
      </c>
      <c r="V354" s="9">
        <f>_xll.BQL("AMZN US Equity", "CF_OCF_FINANCE_LEASES/1M", "FPT=Q", "FPO=5Q", "ACT_EST_MAPPING=PRECISE", "FS=MRC", "CURRENCY=USD", "XLFILL=b")</f>
        <v>74.663193996171827</v>
      </c>
      <c r="W354" s="9">
        <f>_xll.BQL("AMZN US Equity", "CF_OCF_FINANCE_LEASES/1M", "FPT=Q", "FPO=6Q", "ACT_EST_MAPPING=PRECISE", "FS=MRC", "CURRENCY=USD", "XLFILL=b")</f>
        <v>74.663193996171827</v>
      </c>
      <c r="X354" s="9">
        <f>_xll.BQL("AMZN US Equity", "CF_OCF_FINANCE_LEASES/1M", "FPT=Q", "FPO=7Q", "ACT_EST_MAPPING=PRECISE", "FS=MRC", "CURRENCY=USD", "XLFILL=b")</f>
        <v>74.663193996171827</v>
      </c>
    </row>
    <row r="355" spans="1:24" x14ac:dyDescent="0.25">
      <c r="A355" s="8" t="s">
        <v>614</v>
      </c>
      <c r="B355" s="4" t="s">
        <v>615</v>
      </c>
      <c r="C355" s="4" t="s">
        <v>616</v>
      </c>
      <c r="D355" s="4"/>
      <c r="E355" s="9">
        <f>_xll.BQL("AMZN US Equity", "FCF_PER_DIL_SHR", "FPT=Q", "FPO=-12Q", "ACT_EST_MAPPING=PRECISE", "FS=MRC", "CURRENCY=USD", "XLFILL=b")</f>
        <v>-0.91031216777809998</v>
      </c>
      <c r="F355" s="9">
        <f>_xll.BQL("AMZN US Equity", "FCF_PER_DIL_SHR", "FPT=Q", "FPO=-11Q", "ACT_EST_MAPPING=PRECISE", "FS=MRC", "CURRENCY=USD", "XLFILL=b")</f>
        <v>0.48052445210067951</v>
      </c>
      <c r="G355" s="9">
        <f>_xll.BQL("AMZN US Equity", "FCF_PER_DIL_SHR", "FPT=Q", "FPO=-10Q", "ACT_EST_MAPPING=PRECISE", "FS=MRC", "CURRENCY=USD", "XLFILL=b")</f>
        <v>0.82761886720969879</v>
      </c>
      <c r="H355" s="9">
        <f>_xll.BQL("AMZN US Equity", "FCF_PER_DIL_SHR", "FPT=Q", "FPO=-9Q", "ACT_EST_MAPPING=PRECISE", "FS=MRC", "CURRENCY=USD", "XLFILL=b")</f>
        <v>2.6274269557021679</v>
      </c>
      <c r="I355" s="9">
        <f>_xll.BQL("AMZN US Equity", "FCF_PER_DIL_SHR", "FPT=Q", "FPO=-8Q", "ACT_EST_MAPPING=PRECISE", "FS=MRC", "CURRENCY=USD", "XLFILL=b")</f>
        <v>0.38088097469540766</v>
      </c>
      <c r="J355" s="9">
        <f>_xll.BQL("AMZN US Equity", "FCF_PER_DIL_SHR", "FPT=Q", "FPO=-7Q", "ACT_EST_MAPPING=PRECISE", "FS=MRC", "CURRENCY=USD", "XLFILL=b")</f>
        <v>0.71544639521852815</v>
      </c>
      <c r="K355" s="9">
        <f>_xll.BQL("AMZN US Equity", "FCF_PER_DIL_SHR", "FPT=Q", "FPO=-6Q", "ACT_EST_MAPPING=PRECISE", "FS=MRC", "CURRENCY=USD", "XLFILL=b")</f>
        <v>0.312156497438286</v>
      </c>
      <c r="L355" s="9">
        <f>_xll.BQL("AMZN US Equity", "FCF_PER_DIL_SHR", "FPT=Q", "FPO=-5Q", "ACT_EST_MAPPING=PRECISE", "FS=MRC", "CURRENCY=USD", "XLFILL=b")</f>
        <v>1.6527713304242875</v>
      </c>
      <c r="M355" s="9">
        <f>_xll.BQL("AMZN US Equity", "FCF_PER_DIL_SHR", "FPT=Q", "FPO=-4Q", "ACT_EST_MAPPING=PRECISE", "FS=MRC", "CURRENCY=USD", "XLFILL=b")</f>
        <v>-0.74159177244510333</v>
      </c>
      <c r="N355" s="9">
        <f>_xll.BQL("AMZN US Equity", "FCF_PER_DIL_SHR", "FPT=Q", "FPO=-3Q", "ACT_EST_MAPPING=PRECISE", "FS=MRC", "CURRENCY=USD", "XLFILL=b")</f>
        <v>3.0723672034055155E-2</v>
      </c>
      <c r="O355" s="9">
        <f>_xll.BQL("AMZN US Equity", "FCF_PER_DIL_SHR", "FPT=Q", "FPO=-2Q", "ACT_EST_MAPPING=PRECISE", "FS=MRC", "CURRENCY=USD", "XLFILL=b")</f>
        <v>3.9649608114338403E-2</v>
      </c>
      <c r="P355" s="9">
        <f>_xll.BQL("AMZN US Equity", "FCF_PER_DIL_SHR", "FPT=Q", "FPO=-1Q", "ACT_EST_MAPPING=PRECISE", "FS=MRC", "CURRENCY=USD", "XLFILL=b")</f>
        <v>1.3750345208505939</v>
      </c>
      <c r="Q355" s="9">
        <f>_xll.BQL("AMZN US Equity", "FCF_PER_DIL_SHR", "FPT=Q", "FPO=0Q", "ACT_EST_MAPPING=PRECISE", "FS=MRC", "CURRENCY=USD", "XLFILL=b")</f>
        <v>-1.6710502115137025</v>
      </c>
      <c r="R355" s="9">
        <f>_xll.BQL("AMZN US Equity", "FCF_PER_DIL_SHR", "FPT=Q", "FPO=1Q", "ACT_EST_MAPPING=PRECISE", "FS=MRC", "CURRENCY=USD", "XLFILL=b")</f>
        <v>2.1592228614516866</v>
      </c>
      <c r="S355" s="9">
        <f>_xll.BQL("AMZN US Equity", "FCF_PER_DIL_SHR", "FPT=Q", "FPO=2Q", "ACT_EST_MAPPING=PRECISE", "FS=MRC", "CURRENCY=USD", "XLFILL=b")</f>
        <v>-0.76919824543459547</v>
      </c>
      <c r="T355" s="9">
        <f>_xll.BQL("AMZN US Equity", "FCF_PER_DIL_SHR", "FPT=Q", "FPO=3Q", "ACT_EST_MAPPING=PRECISE", "FS=MRC", "CURRENCY=USD", "XLFILL=b")</f>
        <v>-0.33370459504269057</v>
      </c>
      <c r="U355" s="9">
        <f>_xll.BQL("AMZN US Equity", "FCF_PER_DIL_SHR", "FPT=Q", "FPO=4Q", "ACT_EST_MAPPING=PRECISE", "FS=MRC", "CURRENCY=USD", "XLFILL=b")</f>
        <v>-1.8165263876972517</v>
      </c>
      <c r="V355" s="9">
        <f>_xll.BQL("AMZN US Equity", "FCF_PER_DIL_SHR", "FPT=Q", "FPO=5Q", "ACT_EST_MAPPING=PRECISE", "FS=MRC", "CURRENCY=USD", "XLFILL=b")</f>
        <v>0.20361714756237873</v>
      </c>
      <c r="W355" s="9">
        <f>_xll.BQL("AMZN US Equity", "FCF_PER_DIL_SHR", "FPT=Q", "FPO=6Q", "ACT_EST_MAPPING=PRECISE", "FS=MRC", "CURRENCY=USD", "XLFILL=b")</f>
        <v>-0.68641281359576301</v>
      </c>
      <c r="X355" s="9">
        <f>_xll.BQL("AMZN US Equity", "FCF_PER_DIL_SHR", "FPT=Q", "FPO=7Q", "ACT_EST_MAPPING=PRECISE", "FS=MRC", "CURRENCY=USD", "XLFILL=b")</f>
        <v>0.94633414336649968</v>
      </c>
    </row>
    <row r="356" spans="1:24" x14ac:dyDescent="0.25">
      <c r="A356" s="8" t="s">
        <v>617</v>
      </c>
      <c r="B356" s="4" t="s">
        <v>618</v>
      </c>
      <c r="C356" s="4" t="s">
        <v>619</v>
      </c>
      <c r="D356" s="4"/>
      <c r="E356" s="9">
        <f>_xll.BQL("AMZN US Equity", "CF_PER_DILUTED_SHARE", "FPT=Q", "FPO=-12Q", "ACT_EST_MAPPING=PRECISE", "FS=MRC", "CURRENCY=USD", "XLFILL=b")</f>
        <v>0.46274282400695854</v>
      </c>
      <c r="F356" s="9">
        <f>_xll.BQL("AMZN US Equity", "CF_PER_DILUTED_SHARE", "FPT=Q", "FPO=-11Q", "ACT_EST_MAPPING=PRECISE", "FS=MRC", "CURRENCY=USD", "XLFILL=b")</f>
        <v>1.5768016078093599</v>
      </c>
      <c r="G356" s="9">
        <f>_xll.BQL("AMZN US Equity", "CF_PER_DILUTED_SHARE", "FPT=Q", "FPO=-10Q", "ACT_EST_MAPPING=PRECISE", "FS=MRC", "CURRENCY=USD", "XLFILL=b")</f>
        <v>2.0095662057207804</v>
      </c>
      <c r="H356" s="9">
        <f>_xll.BQL("AMZN US Equity", "CF_PER_DILUTED_SHARE", "FPT=Q", "FPO=-9Q", "ACT_EST_MAPPING=PRECISE", "FS=MRC", "CURRENCY=USD", "XLFILL=b")</f>
        <v>4.0023562676720079</v>
      </c>
      <c r="I356" s="9">
        <f>_xll.BQL("AMZN US Equity", "CF_PER_DILUTED_SHARE", "FPT=Q", "FPO=-8Q", "ACT_EST_MAPPING=PRECISE", "FS=MRC", "CURRENCY=USD", "XLFILL=b")</f>
        <v>1.7796626054358013</v>
      </c>
      <c r="J356" s="9">
        <f>_xll.BQL("AMZN US Equity", "CF_PER_DILUTED_SHARE", "FPT=Q", "FPO=-7Q", "ACT_EST_MAPPING=PRECISE", "FS=MRC", "CURRENCY=USD", "XLFILL=b")</f>
        <v>2.3609450877848337</v>
      </c>
      <c r="K356" s="9">
        <f>_xll.BQL("AMZN US Equity", "CF_PER_DILUTED_SHARE", "FPT=Q", "FPO=-6Q", "ACT_EST_MAPPING=PRECISE", "FS=MRC", "CURRENCY=USD", "XLFILL=b")</f>
        <v>2.4192827200745226</v>
      </c>
      <c r="L356" s="9">
        <f>_xll.BQL("AMZN US Equity", "CF_PER_DILUTED_SHARE", "FPT=Q", "FPO=-5Q", "ACT_EST_MAPPING=PRECISE", "FS=MRC", "CURRENCY=USD", "XLFILL=b")</f>
        <v>4.2369325039457806</v>
      </c>
      <c r="M356" s="9">
        <f>_xll.BQL("AMZN US Equity", "CF_PER_DILUTED_SHARE", "FPT=Q", "FPO=-4Q", "ACT_EST_MAPPING=PRECISE", "FS=MRC", "CURRENCY=USD", "XLFILL=b")</f>
        <v>1.5764847586398592</v>
      </c>
      <c r="N356" s="9">
        <f>_xll.BQL("AMZN US Equity", "CF_PER_DILUTED_SHARE", "FPT=Q", "FPO=-3Q", "ACT_EST_MAPPING=PRECISE", "FS=MRC", "CURRENCY=USD", "XLFILL=b")</f>
        <v>3.0089764945400703</v>
      </c>
      <c r="O356" s="9">
        <f>_xll.BQL("AMZN US Equity", "CF_PER_DILUTED_SHARE", "FPT=Q", "FPO=-2Q", "ACT_EST_MAPPING=PRECISE", "FS=MRC", "CURRENCY=USD", "XLFILL=b")</f>
        <v>3.2757030889810972</v>
      </c>
      <c r="P356" s="9">
        <f>_xll.BQL("AMZN US Equity", "CF_PER_DILUTED_SHARE", "FPT=Q", "FPO=-1Q", "ACT_EST_MAPPING=PRECISE", "FS=MRC", "CURRENCY=USD", "XLFILL=b")</f>
        <v>5.0132560066280032</v>
      </c>
      <c r="Q356" s="9">
        <f>_xll.BQL("AMZN US Equity", "CF_PER_DILUTED_SHARE", "FPT=Q", "FPO=0Q", "ACT_EST_MAPPING=PRECISE", "FS=MRC", "CURRENCY=USD", "XLFILL=b")</f>
        <v>2.3939672613573664</v>
      </c>
      <c r="R356" s="9">
        <f>_xll.BQL("AMZN US Equity", "CF_PER_DILUTED_SHARE", "FPT=Q", "FPO=1Q", "ACT_EST_MAPPING=PRECISE", "FS=MRC", "CURRENCY=USD", "XLFILL=b")</f>
        <v>9.4127279776363348</v>
      </c>
      <c r="S356" s="9">
        <f>_xll.BQL("AMZN US Equity", "CF_PER_DILUTED_SHARE", "FPT=Q", "FPO=2Q", "ACT_EST_MAPPING=PRECISE", "FS=MRC", "CURRENCY=USD", "XLFILL=b")</f>
        <v>3.2438401959716368</v>
      </c>
      <c r="T356" s="9">
        <f>_xll.BQL("AMZN US Equity", "CF_PER_DILUTED_SHARE", "FPT=Q", "FPO=3Q", "ACT_EST_MAPPING=PRECISE", "FS=MRC", "CURRENCY=USD", "XLFILL=b")</f>
        <v>2.5962050072347749</v>
      </c>
      <c r="U356" s="9">
        <f>_xll.BQL("AMZN US Equity", "CF_PER_DILUTED_SHARE", "FPT=Q", "FPO=4Q", "ACT_EST_MAPPING=PRECISE", "FS=MRC", "CURRENCY=USD", "XLFILL=b")</f>
        <v>2.884667855959552</v>
      </c>
      <c r="V356" s="9">
        <f>_xll.BQL("AMZN US Equity", "CF_PER_DILUTED_SHARE", "FPT=Q", "FPO=5Q", "ACT_EST_MAPPING=PRECISE", "FS=MRC", "CURRENCY=USD", "XLFILL=b")</f>
        <v>10.146131829114148</v>
      </c>
      <c r="W356" s="9">
        <f>_xll.BQL("AMZN US Equity", "CF_PER_DILUTED_SHARE", "FPT=Q", "FPO=6Q", "ACT_EST_MAPPING=PRECISE", "FS=MRC", "CURRENCY=USD", "XLFILL=b")</f>
        <v>4.6084177717546133</v>
      </c>
      <c r="X356" s="9">
        <f>_xll.BQL("AMZN US Equity", "CF_PER_DILUTED_SHARE", "FPT=Q", "FPO=7Q", "ACT_EST_MAPPING=PRECISE", "FS=MRC", "CURRENCY=USD", "XLFILL=b")</f>
        <v>1.2019959872047101</v>
      </c>
    </row>
    <row r="357" spans="1:24" x14ac:dyDescent="0.25">
      <c r="A357" s="8" t="s">
        <v>620</v>
      </c>
      <c r="B357" s="4" t="s">
        <v>621</v>
      </c>
      <c r="C357" s="4" t="s">
        <v>622</v>
      </c>
      <c r="D357" s="4"/>
      <c r="E357" s="9">
        <f>_xll.BQL("AMZN US Equity", "CB_IS_ADJUSTED_CF_FROM_OPERATING/1M", "FPT=Q", "FPO=-12Q", "ACT_EST_MAPPING=PRECISE", "FS=MRC", "CURRENCY=USD", "XLFILL=b")</f>
        <v>-4455</v>
      </c>
      <c r="F357" s="9">
        <f>_xll.BQL("AMZN US Equity", "CB_IS_ADJUSTED_CF_FROM_OPERATING/1M", "FPT=Q", "FPO=-11Q", "ACT_EST_MAPPING=PRECISE", "FS=MRC", "CURRENCY=USD", "XLFILL=b")</f>
        <v>6734</v>
      </c>
      <c r="G357" s="9">
        <f>_xll.BQL("AMZN US Equity", "CB_IS_ADJUSTED_CF_FROM_OPERATING/1M", "FPT=Q", "FPO=-10Q", "ACT_EST_MAPPING=PRECISE", "FS=MRC", "CURRENCY=USD", "XLFILL=b")</f>
        <v>20241</v>
      </c>
      <c r="H357" s="9">
        <f>_xll.BQL("AMZN US Equity", "CB_IS_ADJUSTED_CF_FROM_OPERATING/1M", "FPT=Q", "FPO=-9Q", "ACT_EST_MAPPING=PRECISE", "FS=MRC", "CURRENCY=USD", "XLFILL=b")</f>
        <v>15308</v>
      </c>
      <c r="I357" s="9">
        <f>_xll.BQL("AMZN US Equity", "CB_IS_ADJUSTED_CF_FROM_OPERATING/1M", "FPT=Q", "FPO=-8Q", "ACT_EST_MAPPING=PRECISE", "FS=MRC", "CURRENCY=USD", "XLFILL=b")</f>
        <v>48778</v>
      </c>
      <c r="J357" s="9">
        <f>_xll.BQL("AMZN US Equity", "CB_IS_ADJUSTED_CF_FROM_OPERATING/1M", "FPT=Q", "FPO=-7Q", "ACT_EST_MAPPING=PRECISE", "FS=MRC", "CURRENCY=USD", "XLFILL=b")</f>
        <v>49575</v>
      </c>
      <c r="K357" s="9">
        <f>_xll.BQL("AMZN US Equity", "CB_IS_ADJUSTED_CF_FROM_OPERATING/1M", "FPT=Q", "FPO=-6Q", "ACT_EST_MAPPING=PRECISE", "FS=MRC", "CURRENCY=USD", "XLFILL=b")</f>
        <v>46150</v>
      </c>
      <c r="L357" s="9">
        <f>_xll.BQL("AMZN US Equity", "CB_IS_ADJUSTED_CF_FROM_OPERATING/1M", "FPT=Q", "FPO=-5Q", "ACT_EST_MAPPING=PRECISE", "FS=MRC", "CURRENCY=USD", "XLFILL=b")</f>
        <v>-9939</v>
      </c>
      <c r="M357" s="9" t="str">
        <f>_xll.BQL("AMZN US Equity", "CB_IS_ADJUSTED_CF_FROM_OPERATING/1M", "FPT=Q", "FPO=-4Q", "ACT_EST_MAPPING=PRECISE", "FS=MRC", "CURRENCY=USD", "XLFILL=b")</f>
        <v/>
      </c>
      <c r="N357" s="9">
        <f>_xll.BQL("AMZN US Equity", "CB_IS_ADJUSTED_CF_FROM_OPERATING/1M", "FPT=Q", "FPO=-3Q", "ACT_EST_MAPPING=PRECISE", "FS=MRC", "CURRENCY=USD", "XLFILL=b")</f>
        <v>18184</v>
      </c>
      <c r="O357" s="9">
        <f>_xll.BQL("AMZN US Equity", "CB_IS_ADJUSTED_CF_FROM_OPERATING/1M", "FPT=Q", "FPO=-2Q", "ACT_EST_MAPPING=PRECISE", "FS=MRC", "CURRENCY=USD", "XLFILL=b")</f>
        <v>14788</v>
      </c>
      <c r="P357" s="9">
        <f>_xll.BQL("AMZN US Equity", "CB_IS_ADJUSTED_CF_FROM_OPERATING/1M", "FPT=Q", "FPO=-1Q", "ACT_EST_MAPPING=PRECISE", "FS=MRC", "CURRENCY=USD", "XLFILL=b")</f>
        <v>-3594</v>
      </c>
      <c r="Q357" s="9">
        <f>_xll.BQL("AMZN US Equity", "CB_IS_ADJUSTED_CF_FROM_OPERATING/1M", "FPT=Q", "FPO=0Q", "ACT_EST_MAPPING=PRECISE", "FS=MRC", "CURRENCY=USD", "XLFILL=b")</f>
        <v>1232</v>
      </c>
      <c r="R357" s="9">
        <f>_xll.BQL("AMZN US Equity", "CB_IS_ADJUSTED_CF_FROM_OPERATING/1M", "FPT=Q", "FPO=1Q", "ACT_EST_MAPPING=PRECISE", "FS=MRC", "CURRENCY=USD", "XLFILL=b")</f>
        <v>-18032.359534769348</v>
      </c>
      <c r="S357" s="9">
        <f>_xll.BQL("AMZN US Equity", "CB_IS_ADJUSTED_CF_FROM_OPERATING/1M", "FPT=Q", "FPO=2Q", "ACT_EST_MAPPING=PRECISE", "FS=MRC", "CURRENCY=USD", "XLFILL=b")</f>
        <v>-9029.9669140227361</v>
      </c>
      <c r="T357" s="9">
        <f>_xll.BQL("AMZN US Equity", "CB_IS_ADJUSTED_CF_FROM_OPERATING/1M", "FPT=Q", "FPO=3Q", "ACT_EST_MAPPING=PRECISE", "FS=MRC", "CURRENCY=USD", "XLFILL=b")</f>
        <v>20815.779185819854</v>
      </c>
      <c r="U357" s="9">
        <f>_xll.BQL("AMZN US Equity", "CB_IS_ADJUSTED_CF_FROM_OPERATING/1M", "FPT=Q", "FPO=4Q", "ACT_EST_MAPPING=PRECISE", "FS=MRC", "CURRENCY=USD", "XLFILL=b")</f>
        <v>-3942.3697574599505</v>
      </c>
      <c r="V357" s="9">
        <f>_xll.BQL("AMZN US Equity", "CB_IS_ADJUSTED_CF_FROM_OPERATING/1M", "FPT=Q", "FPO=5Q", "ACT_EST_MAPPING=PRECISE", "FS=MRC", "CURRENCY=USD", "XLFILL=b")</f>
        <v>-28097.761225839815</v>
      </c>
      <c r="W357" s="9">
        <f>_xll.BQL("AMZN US Equity", "CB_IS_ADJUSTED_CF_FROM_OPERATING/1M", "FPT=Q", "FPO=6Q", "ACT_EST_MAPPING=PRECISE", "FS=MRC", "CURRENCY=USD", "XLFILL=b")</f>
        <v>-11701.219570831641</v>
      </c>
      <c r="X357" s="9">
        <f>_xll.BQL("AMZN US Equity", "CB_IS_ADJUSTED_CF_FROM_OPERATING/1M", "FPT=Q", "FPO=7Q", "ACT_EST_MAPPING=PRECISE", "FS=MRC", "CURRENCY=USD", "XLFILL=b")</f>
        <v>15059.99116250415</v>
      </c>
    </row>
    <row r="358" spans="1:24" x14ac:dyDescent="0.25">
      <c r="A358" s="8" t="s">
        <v>623</v>
      </c>
      <c r="B358" s="4" t="s">
        <v>624</v>
      </c>
      <c r="C358" s="4" t="s">
        <v>625</v>
      </c>
      <c r="D358" s="4"/>
      <c r="E358" s="9">
        <f>_xll.BQL("AMZN US Equity", "CF_FREE_CASH_FLOW/1M", "FPT=Q", "FPO=-12Q", "ACT_EST_MAPPING=PRECISE", "FS=MRC", "CURRENCY=USD", "XLFILL=b")</f>
        <v>-9419</v>
      </c>
      <c r="F358" s="9">
        <f>_xll.BQL("AMZN US Equity", "CF_FREE_CASH_FLOW/1M", "FPT=Q", "FPO=-11Q", "ACT_EST_MAPPING=PRECISE", "FS=MRC", "CURRENCY=USD", "XLFILL=b")</f>
        <v>5021</v>
      </c>
      <c r="G358" s="9">
        <f>_xll.BQL("AMZN US Equity", "CF_FREE_CASH_FLOW/1M", "FPT=Q", "FPO=-10Q", "ACT_EST_MAPPING=PRECISE", "FS=MRC", "CURRENCY=USD", "XLFILL=b")</f>
        <v>8738</v>
      </c>
      <c r="H358" s="9">
        <f>_xll.BQL("AMZN US Equity", "CF_FREE_CASH_FLOW/1M", "FPT=Q", "FPO=-9Q", "ACT_EST_MAPPING=PRECISE", "FS=MRC", "CURRENCY=USD", "XLFILL=b")</f>
        <v>27877</v>
      </c>
      <c r="I358" s="9">
        <f>_xll.BQL("AMZN US Equity", "CF_FREE_CASH_FLOW/1M", "FPT=Q", "FPO=-8Q", "ACT_EST_MAPPING=PRECISE", "FS=MRC", "CURRENCY=USD", "XLFILL=b")</f>
        <v>4064</v>
      </c>
      <c r="J358" s="9">
        <f>_xll.BQL("AMZN US Equity", "CF_FREE_CASH_FLOW/1M", "FPT=Q", "FPO=-7Q", "ACT_EST_MAPPING=PRECISE", "FS=MRC", "CURRENCY=USD", "XLFILL=b")</f>
        <v>7661</v>
      </c>
      <c r="K358" s="9">
        <f>_xll.BQL("AMZN US Equity", "CF_FREE_CASH_FLOW/1M", "FPT=Q", "FPO=-6Q", "ACT_EST_MAPPING=PRECISE", "FS=MRC", "CURRENCY=USD", "XLFILL=b")</f>
        <v>3351</v>
      </c>
      <c r="L358" s="9">
        <f>_xll.BQL("AMZN US Equity", "CF_FREE_CASH_FLOW/1M", "FPT=Q", "FPO=-5Q", "ACT_EST_MAPPING=PRECISE", "FS=MRC", "CURRENCY=USD", "XLFILL=b")</f>
        <v>17802</v>
      </c>
      <c r="M358" s="9">
        <f>_xll.BQL("AMZN US Equity", "CF_FREE_CASH_FLOW/1M", "FPT=Q", "FPO=-4Q", "ACT_EST_MAPPING=PRECISE", "FS=MRC", "CURRENCY=USD", "XLFILL=b")</f>
        <v>-8004</v>
      </c>
      <c r="N358" s="9">
        <f>_xll.BQL("AMZN US Equity", "CF_FREE_CASH_FLOW/1M", "FPT=Q", "FPO=-3Q", "ACT_EST_MAPPING=PRECISE", "FS=MRC", "CURRENCY=USD", "XLFILL=b")</f>
        <v>332</v>
      </c>
      <c r="O358" s="9">
        <f>_xll.BQL("AMZN US Equity", "CF_FREE_CASH_FLOW/1M", "FPT=Q", "FPO=-2Q", "ACT_EST_MAPPING=PRECISE", "FS=MRC", "CURRENCY=USD", "XLFILL=b")</f>
        <v>430</v>
      </c>
      <c r="P358" s="9">
        <f>_xll.BQL("AMZN US Equity", "CF_FREE_CASH_FLOW/1M", "FPT=Q", "FPO=-1Q", "ACT_EST_MAPPING=PRECISE", "FS=MRC", "CURRENCY=USD", "XLFILL=b")</f>
        <v>14937</v>
      </c>
      <c r="Q358" s="9">
        <f>_xll.BQL("AMZN US Equity", "CF_FREE_CASH_FLOW/1M", "FPT=Q", "FPO=0Q", "ACT_EST_MAPPING=PRECISE", "FS=MRC", "CURRENCY=USD", "XLFILL=b")</f>
        <v>-18171</v>
      </c>
      <c r="R358" s="9">
        <f>_xll.BQL("AMZN US Equity", "CF_FREE_CASH_FLOW/1M", "FPT=Q", "FPO=1Q", "ACT_EST_MAPPING=PRECISE", "FS=MRC", "CURRENCY=USD", "XLFILL=b")</f>
        <v>8458.8820921168244</v>
      </c>
      <c r="S358" s="9">
        <f>_xll.BQL("AMZN US Equity", "CF_FREE_CASH_FLOW/1M", "FPT=Q", "FPO=2Q", "ACT_EST_MAPPING=PRECISE", "FS=MRC", "CURRENCY=USD", "XLFILL=b")</f>
        <v>-7536.8947809175443</v>
      </c>
      <c r="T358" s="9">
        <f>_xll.BQL("AMZN US Equity", "CF_FREE_CASH_FLOW/1M", "FPT=Q", "FPO=3Q", "ACT_EST_MAPPING=PRECISE", "FS=MRC", "CURRENCY=USD", "XLFILL=b")</f>
        <v>3441.7698454817214</v>
      </c>
      <c r="U358" s="9">
        <f>_xll.BQL("AMZN US Equity", "CF_FREE_CASH_FLOW/1M", "FPT=Q", "FPO=4Q", "ACT_EST_MAPPING=PRECISE", "FS=MRC", "CURRENCY=USD", "XLFILL=b")</f>
        <v>-18551.088960655026</v>
      </c>
      <c r="V358" s="9">
        <f>_xll.BQL("AMZN US Equity", "CF_FREE_CASH_FLOW/1M", "FPT=Q", "FPO=5Q", "ACT_EST_MAPPING=PRECISE", "FS=MRC", "CURRENCY=USD", "XLFILL=b")</f>
        <v>9559.5984120034882</v>
      </c>
      <c r="W358" s="9">
        <f>_xll.BQL("AMZN US Equity", "CF_FREE_CASH_FLOW/1M", "FPT=Q", "FPO=6Q", "ACT_EST_MAPPING=PRECISE", "FS=MRC", "CURRENCY=USD", "XLFILL=b")</f>
        <v>-1406.471908927701</v>
      </c>
      <c r="X358" s="9">
        <f>_xll.BQL("AMZN US Equity", "CF_FREE_CASH_FLOW/1M", "FPT=Q", "FPO=7Q", "ACT_EST_MAPPING=PRECISE", "FS=MRC", "CURRENCY=USD", "XLFILL=b")</f>
        <v>10804.080578026196</v>
      </c>
    </row>
    <row r="359" spans="1:24" x14ac:dyDescent="0.25">
      <c r="A359" s="8" t="s">
        <v>626</v>
      </c>
      <c r="B359" s="4" t="s">
        <v>627</v>
      </c>
      <c r="C359" s="4" t="s">
        <v>628</v>
      </c>
      <c r="D359" s="4"/>
      <c r="E359" s="9">
        <f>_xll.BQL("AMZN US Equity", "CF_FREE_CASH_FLOW_AS_REPORTED/1M", "FPT=Q", "FPO=-12Q", "ACT_EST_MAPPING=PRECISE", "FS=MRC", "CURRENCY=USD", "XLFILL=b")</f>
        <v>-3319</v>
      </c>
      <c r="F359" s="9">
        <f>_xll.BQL("AMZN US Equity", "CF_FREE_CASH_FLOW_AS_REPORTED/1M", "FPT=Q", "FPO=-11Q", "ACT_EST_MAPPING=PRECISE", "FS=MRC", "CURRENCY=USD", "XLFILL=b")</f>
        <v>7878</v>
      </c>
      <c r="G359" s="9">
        <f>_xll.BQL("AMZN US Equity", "CF_FREE_CASH_FLOW_AS_REPORTED/1M", "FPT=Q", "FPO=-10Q", "ACT_EST_MAPPING=PRECISE", "FS=MRC", "CURRENCY=USD", "XLFILL=b")</f>
        <v>21434</v>
      </c>
      <c r="H359" s="9">
        <f>_xll.BQL("AMZN US Equity", "CF_FREE_CASH_FLOW_AS_REPORTED/1M", "FPT=Q", "FPO=-9Q", "ACT_EST_MAPPING=PRECISE", "FS=MRC", "CURRENCY=USD", "XLFILL=b")</f>
        <v>15379</v>
      </c>
      <c r="I359" s="9">
        <f>_xll.BQL("AMZN US Equity", "CF_FREE_CASH_FLOW_AS_REPORTED/1M", "FPT=Q", "FPO=-8Q", "ACT_EST_MAPPING=PRECISE", "FS=MRC", "CURRENCY=USD", "XLFILL=b")</f>
        <v>50149</v>
      </c>
      <c r="J359" s="9">
        <f>_xll.BQL("AMZN US Equity", "CF_FREE_CASH_FLOW_AS_REPORTED/1M", "FPT=Q", "FPO=-7Q", "ACT_EST_MAPPING=PRECISE", "FS=MRC", "CURRENCY=USD", "XLFILL=b")</f>
        <v>52973</v>
      </c>
      <c r="K359" s="9">
        <f>_xll.BQL("AMZN US Equity", "CF_FREE_CASH_FLOW_AS_REPORTED/1M", "FPT=Q", "FPO=-6Q", "ACT_EST_MAPPING=PRECISE", "FS=MRC", "CURRENCY=USD", "XLFILL=b")</f>
        <v>47747</v>
      </c>
      <c r="L359" s="9">
        <f>_xll.BQL("AMZN US Equity", "CF_FREE_CASH_FLOW_AS_REPORTED/1M", "FPT=Q", "FPO=-5Q", "ACT_EST_MAPPING=PRECISE", "FS=MRC", "CURRENCY=USD", "XLFILL=b")</f>
        <v>38219</v>
      </c>
      <c r="M359" s="9">
        <f>_xll.BQL("AMZN US Equity", "CF_FREE_CASH_FLOW_AS_REPORTED/1M", "FPT=Q", "FPO=-4Q", "ACT_EST_MAPPING=PRECISE", "FS=MRC", "CURRENCY=USD", "XLFILL=b")</f>
        <v>25925</v>
      </c>
      <c r="N359" s="9">
        <f>_xll.BQL("AMZN US Equity", "CF_FREE_CASH_FLOW_AS_REPORTED/1M", "FPT=Q", "FPO=-3Q", "ACT_EST_MAPPING=PRECISE", "FS=MRC", "CURRENCY=USD", "XLFILL=b")</f>
        <v>18184</v>
      </c>
      <c r="O359" s="9">
        <f>_xll.BQL("AMZN US Equity", "CF_FREE_CASH_FLOW_AS_REPORTED/1M", "FPT=Q", "FPO=-2Q", "ACT_EST_MAPPING=PRECISE", "FS=MRC", "CURRENCY=USD", "XLFILL=b")</f>
        <v>14788</v>
      </c>
      <c r="P359" s="9">
        <f>_xll.BQL("AMZN US Equity", "CF_FREE_CASH_FLOW_AS_REPORTED/1M", "FPT=Q", "FPO=-1Q", "ACT_EST_MAPPING=PRECISE", "FS=MRC", "CURRENCY=USD", "XLFILL=b")</f>
        <v>11194</v>
      </c>
      <c r="Q359" s="9">
        <f>_xll.BQL("AMZN US Equity", "CF_FREE_CASH_FLOW_AS_REPORTED/1M", "FPT=Q", "FPO=0Q", "ACT_EST_MAPPING=PRECISE", "FS=MRC", "CURRENCY=USD", "XLFILL=b")</f>
        <v>1232</v>
      </c>
      <c r="R359" s="9">
        <f>_xll.BQL("AMZN US Equity", "CF_FREE_CASH_FLOW_AS_REPORTED/1M", "FPT=Q", "FPO=1Q", "ACT_EST_MAPPING=PRECISE", "FS=MRC", "CURRENCY=USD", "XLFILL=b")</f>
        <v>-810.50432335141932</v>
      </c>
      <c r="S359" s="9">
        <f>_xll.BQL("AMZN US Equity", "CF_FREE_CASH_FLOW_AS_REPORTED/1M", "FPT=Q", "FPO=2Q", "ACT_EST_MAPPING=PRECISE", "FS=MRC", "CURRENCY=USD", "XLFILL=b")</f>
        <v>-6871.8965249200492</v>
      </c>
      <c r="T359" s="9">
        <f>_xll.BQL("AMZN US Equity", "CF_FREE_CASH_FLOW_AS_REPORTED/1M", "FPT=Q", "FPO=3Q", "ACT_EST_MAPPING=PRECISE", "FS=MRC", "CURRENCY=USD", "XLFILL=b")</f>
        <v>12505.764394247861</v>
      </c>
      <c r="U359" s="9">
        <f>_xll.BQL("AMZN US Equity", "CF_FREE_CASH_FLOW_AS_REPORTED/1M", "FPT=Q", "FPO=4Q", "ACT_EST_MAPPING=PRECISE", "FS=MRC", "CURRENCY=USD", "XLFILL=b")</f>
        <v>-5959.0418467023146</v>
      </c>
      <c r="V359" s="9">
        <f>_xll.BQL("AMZN US Equity", "CF_FREE_CASH_FLOW_AS_REPORTED/1M", "FPT=Q", "FPO=5Q", "ACT_EST_MAPPING=PRECISE", "FS=MRC", "CURRENCY=USD", "XLFILL=b")</f>
        <v>-2641.6571983572544</v>
      </c>
      <c r="W359" s="9">
        <f>_xll.BQL("AMZN US Equity", "CF_FREE_CASH_FLOW_AS_REPORTED/1M", "FPT=Q", "FPO=6Q", "ACT_EST_MAPPING=PRECISE", "FS=MRC", "CURRENCY=USD", "XLFILL=b")</f>
        <v>-2439.7461377543177</v>
      </c>
      <c r="X359" s="9">
        <f>_xll.BQL("AMZN US Equity", "CF_FREE_CASH_FLOW_AS_REPORTED/1M", "FPT=Q", "FPO=7Q", "ACT_EST_MAPPING=PRECISE", "FS=MRC", "CURRENCY=USD", "XLFILL=b")</f>
        <v>17607.794942445118</v>
      </c>
    </row>
    <row r="360" spans="1:24" x14ac:dyDescent="0.25">
      <c r="A360" s="8" t="s">
        <v>629</v>
      </c>
      <c r="B360" s="4" t="s">
        <v>630</v>
      </c>
      <c r="C360" s="4" t="s">
        <v>631</v>
      </c>
      <c r="D360" s="4"/>
      <c r="E360" s="9">
        <f>_xll.BQL("AMZN US Equity", "CASH_FLOW_PER_SH", "FPT=Q", "FPO=-12Q", "ACT_EST_MAPPING=PRECISE", "FS=MRC", "CURRENCY=USD", "XLFILL=b")</f>
        <v>0.46712195121951222</v>
      </c>
      <c r="F360" s="9">
        <f>_xll.BQL("AMZN US Equity", "CASH_FLOW_PER_SH", "FPT=Q", "FPO=-11Q", "ACT_EST_MAPPING=PRECISE", "FS=MRC", "CURRENCY=USD", "XLFILL=b")</f>
        <v>1.6019445794846865</v>
      </c>
      <c r="G360" s="9">
        <f>_xll.BQL("AMZN US Equity", "CASH_FLOW_PER_SH", "FPT=Q", "FPO=-10Q", "ACT_EST_MAPPING=PRECISE", "FS=MRC", "CURRENCY=USD", "XLFILL=b")</f>
        <v>2.0555124975779888</v>
      </c>
      <c r="H360" s="9">
        <f>_xll.BQL("AMZN US Equity", "CASH_FLOW_PER_SH", "FPT=Q", "FPO=-9Q", "ACT_EST_MAPPING=PRECISE", "FS=MRC", "CURRENCY=USD", "XLFILL=b")</f>
        <v>4.1005214368482044</v>
      </c>
      <c r="I360" s="9">
        <f>_xll.BQL("AMZN US Equity", "CASH_FLOW_PER_SH", "FPT=Q", "FPO=-8Q", "ACT_EST_MAPPING=PRECISE", "FS=MRC", "CURRENCY=USD", "XLFILL=b")</f>
        <v>1.8270951602039835</v>
      </c>
      <c r="J360" s="9">
        <f>_xll.BQL("AMZN US Equity", "CASH_FLOW_PER_SH", "FPT=Q", "FPO=-7Q", "ACT_EST_MAPPING=PRECISE", "FS=MRC", "CURRENCY=USD", "XLFILL=b")</f>
        <v>2.4199291662678282</v>
      </c>
      <c r="K360" s="9">
        <f>_xll.BQL("AMZN US Equity", "CASH_FLOW_PER_SH", "FPT=Q", "FPO=-6Q", "ACT_EST_MAPPING=PRECISE", "FS=MRC", "CURRENCY=USD", "XLFILL=b")</f>
        <v>2.4731930292353108</v>
      </c>
      <c r="L360" s="9">
        <f>_xll.BQL("AMZN US Equity", "CASH_FLOW_PER_SH", "FPT=Q", "FPO=-5Q", "ACT_EST_MAPPING=PRECISE", "FS=MRC", "CURRENCY=USD", "XLFILL=b")</f>
        <v>4.324867323730099</v>
      </c>
      <c r="M360" s="9">
        <f>_xll.BQL("AMZN US Equity", "CASH_FLOW_PER_SH", "FPT=Q", "FPO=-4Q", "ACT_EST_MAPPING=PRECISE", "FS=MRC", "CURRENCY=USD", "XLFILL=b")</f>
        <v>1.6047345091011977</v>
      </c>
      <c r="N360" s="9">
        <f>_xll.BQL("AMZN US Equity", "CASH_FLOW_PER_SH", "FPT=Q", "FPO=-3Q", "ACT_EST_MAPPING=PRECISE", "FS=MRC", "CURRENCY=USD", "XLFILL=b")</f>
        <v>3.056782927517157</v>
      </c>
      <c r="O360" s="9">
        <f>_xll.BQL("AMZN US Equity", "CASH_FLOW_PER_SH", "FPT=Q", "FPO=-2Q", "ACT_EST_MAPPING=PRECISE", "FS=MRC", "CURRENCY=USD", "XLFILL=b")</f>
        <v>3.3281806258197491</v>
      </c>
      <c r="P360" s="9">
        <f>_xll.BQL("AMZN US Equity", "CASH_FLOW_PER_SH", "FPT=Q", "FPO=-1Q", "ACT_EST_MAPPING=PRECISE", "FS=MRC", "CURRENCY=USD", "XLFILL=b")</f>
        <v>5.0853487720608834</v>
      </c>
      <c r="Q360" s="9">
        <f>_xll.BQL("AMZN US Equity", "CASH_FLOW_PER_SH", "FPT=Q", "FPO=0Q", "ACT_EST_MAPPING=PRECISE", "FS=MRC", "CURRENCY=USD", "XLFILL=b")</f>
        <v>2.4231592664991157</v>
      </c>
      <c r="R360" s="9">
        <f>_xll.BQL("AMZN US Equity", "CASH_FLOW_PER_SH", "FPT=Q", "FPO=1Q", "ACT_EST_MAPPING=PRECISE", "FS=MRC", "CURRENCY=USD", "XLFILL=b")</f>
        <v>9.5138401168364641</v>
      </c>
      <c r="S360" s="9">
        <f>_xll.BQL("AMZN US Equity", "CASH_FLOW_PER_SH", "FPT=Q", "FPO=2Q", "ACT_EST_MAPPING=PRECISE", "FS=MRC", "CURRENCY=USD", "XLFILL=b")</f>
        <v>3.2872562863157375</v>
      </c>
      <c r="T360" s="9">
        <f>_xll.BQL("AMZN US Equity", "CASH_FLOW_PER_SH", "FPT=Q", "FPO=3Q", "ACT_EST_MAPPING=PRECISE", "FS=MRC", "CURRENCY=USD", "XLFILL=b")</f>
        <v>2.6368735389070959</v>
      </c>
      <c r="U360" s="9">
        <f>_xll.BQL("AMZN US Equity", "CASH_FLOW_PER_SH", "FPT=Q", "FPO=4Q", "ACT_EST_MAPPING=PRECISE", "FS=MRC", "CURRENCY=USD", "XLFILL=b")</f>
        <v>2.943021014316078</v>
      </c>
      <c r="V360" s="9">
        <f>_xll.BQL("AMZN US Equity", "CASH_FLOW_PER_SH", "FPT=Q", "FPO=5Q", "ACT_EST_MAPPING=PRECISE", "FS=MRC", "CURRENCY=USD", "XLFILL=b")</f>
        <v>10.385352339809989</v>
      </c>
      <c r="W360" s="9">
        <f>_xll.BQL("AMZN US Equity", "CASH_FLOW_PER_SH", "FPT=Q", "FPO=6Q", "ACT_EST_MAPPING=PRECISE", "FS=MRC", "CURRENCY=USD", "XLFILL=b")</f>
        <v>4.7316628611350353</v>
      </c>
      <c r="X360" s="9">
        <f>_xll.BQL("AMZN US Equity", "CASH_FLOW_PER_SH", "FPT=Q", "FPO=7Q", "ACT_EST_MAPPING=PRECISE", "FS=MRC", "CURRENCY=USD", "XLFILL=b")</f>
        <v>1.2378167926597305</v>
      </c>
    </row>
    <row r="361" spans="1:24" x14ac:dyDescent="0.25">
      <c r="A361" s="8" t="s">
        <v>632</v>
      </c>
      <c r="B361" s="4" t="s">
        <v>633</v>
      </c>
      <c r="C361" s="4" t="s">
        <v>634</v>
      </c>
      <c r="D361" s="4"/>
      <c r="E361" s="9">
        <f>_xll.BQL("AMZN US Equity", "CFO_TO_SALES", "FPT=Q", "FPO=-12Q", "ACT_EST_MAPPING=PRECISE", "FS=MRC", "CURRENCY=USD", "XLFILL=b")</f>
        <v>3.759481147631087</v>
      </c>
      <c r="F361" s="9">
        <f>_xll.BQL("AMZN US Equity", "CFO_TO_SALES", "FPT=Q", "FPO=-11Q", "ACT_EST_MAPPING=PRECISE", "FS=MRC", "CURRENCY=USD", "XLFILL=b")</f>
        <v>12.260479376111562</v>
      </c>
      <c r="G361" s="9">
        <f>_xll.BQL("AMZN US Equity", "CFO_TO_SALES", "FPT=Q", "FPO=-10Q", "ACT_EST_MAPPING=PRECISE", "FS=MRC", "CURRENCY=USD", "XLFILL=b")</f>
        <v>14.828456210730835</v>
      </c>
      <c r="H361" s="9">
        <f>_xll.BQL("AMZN US Equity", "CFO_TO_SALES", "FPT=Q", "FPO=-9Q", "ACT_EST_MAPPING=PRECISE", "FS=MRC", "CURRENCY=USD", "XLFILL=b")</f>
        <v>24.985143650602197</v>
      </c>
      <c r="I361" s="9">
        <f>_xll.BQL("AMZN US Equity", "CFO_TO_SALES", "FPT=Q", "FPO=-8Q", "ACT_EST_MAPPING=PRECISE", "FS=MRC", "CURRENCY=USD", "XLFILL=b")</f>
        <v>13.250019188768638</v>
      </c>
      <c r="J361" s="9">
        <f>_xll.BQL("AMZN US Equity", "CFO_TO_SALES", "FPT=Q", "FPO=-7Q", "ACT_EST_MAPPING=PRECISE", "FS=MRC", "CURRENCY=USD", "XLFILL=b")</f>
        <v>17.084411766693471</v>
      </c>
      <c r="K361" s="9">
        <f>_xll.BQL("AMZN US Equity", "CFO_TO_SALES", "FPT=Q", "FPO=-6Q", "ACT_EST_MAPPING=PRECISE", "FS=MRC", "CURRENCY=USD", "XLFILL=b")</f>
        <v>16.346607753167543</v>
      </c>
      <c r="L361" s="9">
        <f>_xll.BQL("AMZN US Equity", "CFO_TO_SALES", "FPT=Q", "FPO=-5Q", "ACT_EST_MAPPING=PRECISE", "FS=MRC", "CURRENCY=USD", "XLFILL=b")</f>
        <v>24.301354690295646</v>
      </c>
      <c r="M361" s="9">
        <f>_xll.BQL("AMZN US Equity", "CFO_TO_SALES", "FPT=Q", "FPO=-4Q", "ACT_EST_MAPPING=PRECISE", "FS=MRC", "CURRENCY=USD", "XLFILL=b")</f>
        <v>10.930383446716387</v>
      </c>
      <c r="N361" s="9">
        <f>_xll.BQL("AMZN US Equity", "CFO_TO_SALES", "FPT=Q", "FPO=-3Q", "ACT_EST_MAPPING=PRECISE", "FS=MRC", "CURRENCY=USD", "XLFILL=b")</f>
        <v>19.388558275989553</v>
      </c>
      <c r="O361" s="9">
        <f>_xll.BQL("AMZN US Equity", "CFO_TO_SALES", "FPT=Q", "FPO=-2Q", "ACT_EST_MAPPING=PRECISE", "FS=MRC", "CURRENCY=USD", "XLFILL=b")</f>
        <v>19.717598476985497</v>
      </c>
      <c r="P361" s="9">
        <f>_xll.BQL("AMZN US Equity", "CFO_TO_SALES", "FPT=Q", "FPO=-1Q", "ACT_EST_MAPPING=PRECISE", "FS=MRC", "CURRENCY=USD", "XLFILL=b")</f>
        <v>25.521355665320122</v>
      </c>
      <c r="Q361" s="9">
        <f>_xll.BQL("AMZN US Equity", "CFO_TO_SALES", "FPT=Q", "FPO=0Q", "ACT_EST_MAPPING=PRECISE", "FS=MRC", "CURRENCY=USD", "XLFILL=b")</f>
        <v>14.341198442036371</v>
      </c>
      <c r="R361" s="9">
        <f>_xll.BQL("AMZN US Equity", "CFO_TO_SALES", "FPT=Q", "FPO=1Q", "ACT_EST_MAPPING=PRECISE", "FS=MRC", "CURRENCY=USD", "XLFILL=b")</f>
        <v>23.427278500575994</v>
      </c>
      <c r="S361" s="9">
        <f>_xll.BQL("AMZN US Equity", "CFO_TO_SALES", "FPT=Q", "FPO=2Q", "ACT_EST_MAPPING=PRECISE", "FS=MRC", "CURRENCY=USD", "XLFILL=b")</f>
        <v>22.175379571688541</v>
      </c>
      <c r="T361" s="9">
        <f>_xll.BQL("AMZN US Equity", "CFO_TO_SALES", "FPT=Q", "FPO=3Q", "ACT_EST_MAPPING=PRECISE", "FS=MRC", "CURRENCY=USD", "XLFILL=b")</f>
        <v>27.040749461848833</v>
      </c>
      <c r="U361" s="9">
        <f>_xll.BQL("AMZN US Equity", "CFO_TO_SALES", "FPT=Q", "FPO=4Q", "ACT_EST_MAPPING=PRECISE", "FS=MRC", "CURRENCY=USD", "XLFILL=b")</f>
        <v>24.625412895509982</v>
      </c>
      <c r="V361" s="9">
        <f>_xll.BQL("AMZN US Equity", "CFO_TO_SALES", "FPT=Q", "FPO=5Q", "ACT_EST_MAPPING=PRECISE", "FS=MRC", "CURRENCY=USD", "XLFILL=b")</f>
        <v>22.36617646101552</v>
      </c>
      <c r="W361" s="9">
        <f>_xll.BQL("AMZN US Equity", "CFO_TO_SALES", "FPT=Q", "FPO=6Q", "ACT_EST_MAPPING=PRECISE", "FS=MRC", "CURRENCY=USD", "XLFILL=b")</f>
        <v>26.261983147526443</v>
      </c>
      <c r="X361" s="9">
        <f>_xll.BQL("AMZN US Equity", "CFO_TO_SALES", "FPT=Q", "FPO=7Q", "ACT_EST_MAPPING=PRECISE", "FS=MRC", "CURRENCY=USD", "XLFILL=b")</f>
        <v>31.88832760793348</v>
      </c>
    </row>
    <row r="362" spans="1:24" x14ac:dyDescent="0.25">
      <c r="A362" s="8" t="s">
        <v>635</v>
      </c>
      <c r="B362" s="4"/>
      <c r="C362" s="4"/>
      <c r="D362" s="4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</row>
    <row r="363" spans="1:24" x14ac:dyDescent="0.25">
      <c r="A363" s="8" t="s">
        <v>636</v>
      </c>
      <c r="B363" s="4" t="s">
        <v>637</v>
      </c>
      <c r="C363" s="4" t="s">
        <v>638</v>
      </c>
      <c r="D363" s="4"/>
      <c r="E363" s="9">
        <f>_xll.BQL("AMZN US Equity", "CF_RT_OF_AST_OBTAINED_FOR_FIN_LS/1M", "FPT=Q", "FPO=-12Q", "ACT_EST_MAPPING=PRECISE", "FS=MRC", "CURRENCY=USD", "XLFILL=b")</f>
        <v>8</v>
      </c>
      <c r="F363" s="9">
        <f>_xll.BQL("AMZN US Equity", "CF_RT_OF_AST_OBTAINED_FOR_FIN_LS/1M", "FPT=Q", "FPO=-11Q", "ACT_EST_MAPPING=PRECISE", "FS=MRC", "CURRENCY=USD", "XLFILL=b")</f>
        <v>240</v>
      </c>
      <c r="G363" s="9">
        <f>_xll.BQL("AMZN US Equity", "CF_RT_OF_AST_OBTAINED_FOR_FIN_LS/1M", "FPT=Q", "FPO=-10Q", "ACT_EST_MAPPING=PRECISE", "FS=MRC", "CURRENCY=USD", "XLFILL=b")</f>
        <v>183</v>
      </c>
      <c r="H363" s="9">
        <f>_xll.BQL("AMZN US Equity", "CF_RT_OF_AST_OBTAINED_FOR_FIN_LS/1M", "FPT=Q", "FPO=-9Q", "ACT_EST_MAPPING=PRECISE", "FS=MRC", "CURRENCY=USD", "XLFILL=b")</f>
        <v>211</v>
      </c>
      <c r="I363" s="9">
        <f>_xll.BQL("AMZN US Equity", "CF_RT_OF_AST_OBTAINED_FOR_FIN_LS/1M", "FPT=Q", "FPO=-8Q", "ACT_EST_MAPPING=PRECISE", "FS=MRC", "CURRENCY=USD", "XLFILL=b")</f>
        <v>42</v>
      </c>
      <c r="J363" s="9">
        <f>_xll.BQL("AMZN US Equity", "CF_RT_OF_AST_OBTAINED_FOR_FIN_LS/1M", "FPT=Q", "FPO=-7Q", "ACT_EST_MAPPING=PRECISE", "FS=MRC", "CURRENCY=USD", "XLFILL=b")</f>
        <v>181</v>
      </c>
      <c r="K363" s="9">
        <f>_xll.BQL("AMZN US Equity", "CF_RT_OF_AST_OBTAINED_FOR_FIN_LS/1M", "FPT=Q", "FPO=-6Q", "ACT_EST_MAPPING=PRECISE", "FS=MRC", "CURRENCY=USD", "XLFILL=b")</f>
        <v>186</v>
      </c>
      <c r="L363" s="9">
        <f>_xll.BQL("AMZN US Equity", "CF_RT_OF_AST_OBTAINED_FOR_FIN_LS/1M", "FPT=Q", "FPO=-5Q", "ACT_EST_MAPPING=PRECISE", "FS=MRC", "CURRENCY=USD", "XLFILL=b")</f>
        <v>445</v>
      </c>
      <c r="M363" s="9">
        <f>_xll.BQL("AMZN US Equity", "CF_RT_OF_AST_OBTAINED_FOR_FIN_LS/1M", "FPT=Q", "FPO=-4Q", "ACT_EST_MAPPING=PRECISE", "FS=MRC", "CURRENCY=USD", "XLFILL=b")</f>
        <v>54</v>
      </c>
      <c r="N363" s="9">
        <f>_xll.BQL("AMZN US Equity", "CF_RT_OF_AST_OBTAINED_FOR_FIN_LS/1M", "FPT=Q", "FPO=-3Q", "ACT_EST_MAPPING=PRECISE", "FS=MRC", "CURRENCY=USD", "XLFILL=b")</f>
        <v>937</v>
      </c>
      <c r="O363" s="9">
        <f>_xll.BQL("AMZN US Equity", "CF_RT_OF_AST_OBTAINED_FOR_FIN_LS/1M", "FPT=Q", "FPO=-2Q", "ACT_EST_MAPPING=PRECISE", "FS=MRC", "CURRENCY=USD", "XLFILL=b")</f>
        <v>977</v>
      </c>
      <c r="P363" s="9">
        <f>_xll.BQL("AMZN US Equity", "CF_RT_OF_AST_OBTAINED_FOR_FIN_LS/1M", "FPT=Q", "FPO=-1Q", "ACT_EST_MAPPING=PRECISE", "FS=MRC", "CURRENCY=USD", "XLFILL=b")</f>
        <v>943</v>
      </c>
      <c r="Q363" s="9">
        <f>_xll.BQL("AMZN US Equity", "CF_RT_OF_AST_OBTAINED_FOR_FIN_LS/1M", "FPT=Q", "FPO=0Q", "ACT_EST_MAPPING=PRECISE", "FS=MRC", "CURRENCY=USD", "XLFILL=b")</f>
        <v>1565</v>
      </c>
      <c r="R363" s="9">
        <f>_xll.BQL("AMZN US Equity", "CF_RT_OF_AST_OBTAINED_FOR_FIN_LS/1M", "FPT=Q", "FPO=1Q", "ACT_EST_MAPPING=PRECISE", "FS=MRC", "CURRENCY=USD", "XLFILL=b")</f>
        <v>875.75897828464792</v>
      </c>
      <c r="S363" s="9">
        <f>_xll.BQL("AMZN US Equity", "CF_RT_OF_AST_OBTAINED_FOR_FIN_LS/1M", "FPT=Q", "FPO=2Q", "ACT_EST_MAPPING=PRECISE", "FS=MRC", "CURRENCY=USD", "XLFILL=b")</f>
        <v>911.42158133043051</v>
      </c>
      <c r="T363" s="9">
        <f>_xll.BQL("AMZN US Equity", "CF_RT_OF_AST_OBTAINED_FOR_FIN_LS/1M", "FPT=Q", "FPO=3Q", "ACT_EST_MAPPING=PRECISE", "FS=MRC", "CURRENCY=USD", "XLFILL=b")</f>
        <v>991.8681866669383</v>
      </c>
      <c r="U363" s="9">
        <f>_xll.BQL("AMZN US Equity", "CF_RT_OF_AST_OBTAINED_FOR_FIN_LS/1M", "FPT=Q", "FPO=4Q", "ACT_EST_MAPPING=PRECISE", "FS=MRC", "CURRENCY=USD", "XLFILL=b")</f>
        <v>994.85549997957162</v>
      </c>
      <c r="V363" s="9">
        <f>_xll.BQL("AMZN US Equity", "CF_RT_OF_AST_OBTAINED_FOR_FIN_LS/1M", "FPT=Q", "FPO=5Q", "ACT_EST_MAPPING=PRECISE", "FS=MRC", "CURRENCY=USD", "XLFILL=b")</f>
        <v>895.67790671259547</v>
      </c>
      <c r="W363" s="9">
        <f>_xll.BQL("AMZN US Equity", "CF_RT_OF_AST_OBTAINED_FOR_FIN_LS/1M", "FPT=Q", "FPO=6Q", "ACT_EST_MAPPING=PRECISE", "FS=MRC", "CURRENCY=USD", "XLFILL=b")</f>
        <v>946.49068687786712</v>
      </c>
      <c r="X363" s="9">
        <f>_xll.BQL("AMZN US Equity", "CF_RT_OF_AST_OBTAINED_FOR_FIN_LS/1M", "FPT=Q", "FPO=7Q", "ACT_EST_MAPPING=PRECISE", "FS=MRC", "CURRENCY=USD", "XLFILL=b")</f>
        <v>1046.7839177047035</v>
      </c>
    </row>
    <row r="364" spans="1:24" x14ac:dyDescent="0.25">
      <c r="A364" s="8" t="s">
        <v>639</v>
      </c>
      <c r="B364" s="4" t="s">
        <v>640</v>
      </c>
      <c r="C364" s="4" t="s">
        <v>641</v>
      </c>
      <c r="D364" s="4"/>
      <c r="E364" s="9">
        <f>_xll.BQL("AMZN US Equity", "CF_INV_FIN_LEA_RT_USE_ASSET/1M", "FPT=Q", "FPO=-12Q", "ACT_EST_MAPPING=PRECISE", "FS=MRC", "CURRENCY=USD", "XLFILL=b")</f>
        <v>131</v>
      </c>
      <c r="F364" s="9">
        <f>_xll.BQL("AMZN US Equity", "CF_INV_FIN_LEA_RT_USE_ASSET/1M", "FPT=Q", "FPO=-11Q", "ACT_EST_MAPPING=PRECISE", "FS=MRC", "CURRENCY=USD", "XLFILL=b")</f>
        <v>84</v>
      </c>
      <c r="G364" s="9">
        <f>_xll.BQL("AMZN US Equity", "CF_INV_FIN_LEA_RT_USE_ASSET/1M", "FPT=Q", "FPO=-10Q", "ACT_EST_MAPPING=PRECISE", "FS=MRC", "CURRENCY=USD", "XLFILL=b")</f>
        <v>93</v>
      </c>
      <c r="H364" s="9">
        <f>_xll.BQL("AMZN US Equity", "CF_INV_FIN_LEA_RT_USE_ASSET/1M", "FPT=Q", "FPO=-9Q", "ACT_EST_MAPPING=PRECISE", "FS=MRC", "CURRENCY=USD", "XLFILL=b")</f>
        <v>49</v>
      </c>
      <c r="I364" s="9">
        <f>_xll.BQL("AMZN US Equity", "CF_INV_FIN_LEA_RT_USE_ASSET/1M", "FPT=Q", "FPO=-8Q", "ACT_EST_MAPPING=PRECISE", "FS=MRC", "CURRENCY=USD", "XLFILL=b")</f>
        <v>37</v>
      </c>
      <c r="J364" s="9">
        <f>_xll.BQL("AMZN US Equity", "CF_INV_FIN_LEA_RT_USE_ASSET/1M", "FPT=Q", "FPO=-7Q", "ACT_EST_MAPPING=PRECISE", "FS=MRC", "CURRENCY=USD", "XLFILL=b")</f>
        <v>31</v>
      </c>
      <c r="K364" s="9">
        <f>_xll.BQL("AMZN US Equity", "CF_INV_FIN_LEA_RT_USE_ASSET/1M", "FPT=Q", "FPO=-6Q", "ACT_EST_MAPPING=PRECISE", "FS=MRC", "CURRENCY=USD", "XLFILL=b")</f>
        <v>21</v>
      </c>
      <c r="L364" s="9">
        <f>_xll.BQL("AMZN US Equity", "CF_INV_FIN_LEA_RT_USE_ASSET/1M", "FPT=Q", "FPO=-5Q", "ACT_EST_MAPPING=PRECISE", "FS=MRC", "CURRENCY=USD", "XLFILL=b")</f>
        <v>8</v>
      </c>
      <c r="M364" s="9" t="str">
        <f>_xll.BQL("AMZN US Equity", "CF_INV_FIN_LEA_RT_USE_ASSET/1M", "FPT=Q", "FPO=-4Q", "ACT_EST_MAPPING=PRECISE", "FS=MRC", "CURRENCY=USD", "XLFILL=b")</f>
        <v/>
      </c>
      <c r="N364" s="9" t="str">
        <f>_xll.BQL("AMZN US Equity", "CF_INV_FIN_LEA_RT_USE_ASSET/1M", "FPT=Q", "FPO=-3Q", "ACT_EST_MAPPING=PRECISE", "FS=MRC", "CURRENCY=USD", "XLFILL=b")</f>
        <v/>
      </c>
      <c r="O364" s="9" t="str">
        <f>_xll.BQL("AMZN US Equity", "CF_INV_FIN_LEA_RT_USE_ASSET/1M", "FPT=Q", "FPO=-2Q", "ACT_EST_MAPPING=PRECISE", "FS=MRC", "CURRENCY=USD", "XLFILL=b")</f>
        <v/>
      </c>
      <c r="P364" s="9" t="str">
        <f>_xll.BQL("AMZN US Equity", "CF_INV_FIN_LEA_RT_USE_ASSET/1M", "FPT=Q", "FPO=-1Q", "ACT_EST_MAPPING=PRECISE", "FS=MRC", "CURRENCY=USD", "XLFILL=b")</f>
        <v/>
      </c>
      <c r="Q364" s="9" t="str">
        <f>_xll.BQL("AMZN US Equity", "CF_INV_FIN_LEA_RT_USE_ASSET/1M", "FPT=Q", "FPO=0Q", "ACT_EST_MAPPING=PRECISE", "FS=MRC", "CURRENCY=USD", "XLFILL=b")</f>
        <v/>
      </c>
      <c r="R364" s="9">
        <f>_xll.BQL("AMZN US Equity", "CF_INV_FIN_LEA_RT_USE_ASSET/1M", "FPT=Q", "FPO=1Q", "ACT_EST_MAPPING=PRECISE", "FS=MRC", "CURRENCY=USD", "XLFILL=b")</f>
        <v>534.96556987510689</v>
      </c>
      <c r="S364" s="9">
        <f>_xll.BQL("AMZN US Equity", "CF_INV_FIN_LEA_RT_USE_ASSET/1M", "FPT=Q", "FPO=2Q", "ACT_EST_MAPPING=PRECISE", "FS=MRC", "CURRENCY=USD", "XLFILL=b")</f>
        <v>568.99582193046547</v>
      </c>
      <c r="T364" s="9">
        <f>_xll.BQL("AMZN US Equity", "CF_INV_FIN_LEA_RT_USE_ASSET/1M", "FPT=Q", "FPO=3Q", "ACT_EST_MAPPING=PRECISE", "FS=MRC", "CURRENCY=USD", "XLFILL=b")</f>
        <v>552.21424932583091</v>
      </c>
      <c r="U364" s="9">
        <f>_xll.BQL("AMZN US Equity", "CF_INV_FIN_LEA_RT_USE_ASSET/1M", "FPT=Q", "FPO=4Q", "ACT_EST_MAPPING=PRECISE", "FS=MRC", "CURRENCY=USD", "XLFILL=b")</f>
        <v>22.263564920313108</v>
      </c>
      <c r="V364" s="9">
        <f>_xll.BQL("AMZN US Equity", "CF_INV_FIN_LEA_RT_USE_ASSET/1M", "FPT=Q", "FPO=5Q", "ACT_EST_MAPPING=PRECISE", "FS=MRC", "CURRENCY=USD", "XLFILL=b")</f>
        <v>731.01532107879837</v>
      </c>
      <c r="W364" s="9">
        <f>_xll.BQL("AMZN US Equity", "CF_INV_FIN_LEA_RT_USE_ASSET/1M", "FPT=Q", "FPO=6Q", "ACT_EST_MAPPING=PRECISE", "FS=MRC", "CURRENCY=USD", "XLFILL=b")</f>
        <v>767.81767025095405</v>
      </c>
      <c r="X364" s="9">
        <f>_xll.BQL("AMZN US Equity", "CF_INV_FIN_LEA_RT_USE_ASSET/1M", "FPT=Q", "FPO=7Q", "ACT_EST_MAPPING=PRECISE", "FS=MRC", "CURRENCY=USD", "XLFILL=b")</f>
        <v>747.42899006392713</v>
      </c>
    </row>
    <row r="365" spans="1:24" x14ac:dyDescent="0.25">
      <c r="A365" s="8" t="s">
        <v>642</v>
      </c>
      <c r="B365" s="4" t="s">
        <v>643</v>
      </c>
      <c r="C365" s="4" t="s">
        <v>644</v>
      </c>
      <c r="D365" s="4"/>
      <c r="E365" s="9">
        <f>_xll.BQL("AMZN US Equity", "CFO_BEF_NON_CASH_WC/1M", "FPT=Q", "FPO=-12Q", "ACT_EST_MAPPING=PRECISE", "FS=MRC", "CURRENCY=USD", "XLFILL=b")</f>
        <v>19105</v>
      </c>
      <c r="F365" s="9">
        <f>_xll.BQL("AMZN US Equity", "CFO_BEF_NON_CASH_WC/1M", "FPT=Q", "FPO=-11Q", "ACT_EST_MAPPING=PRECISE", "FS=MRC", "CURRENCY=USD", "XLFILL=b")</f>
        <v>22769</v>
      </c>
      <c r="G365" s="9">
        <f>_xll.BQL("AMZN US Equity", "CFO_BEF_NON_CASH_WC/1M", "FPT=Q", "FPO=-10Q", "ACT_EST_MAPPING=PRECISE", "FS=MRC", "CURRENCY=USD", "XLFILL=b")</f>
        <v>25653</v>
      </c>
      <c r="H365" s="9">
        <f>_xll.BQL("AMZN US Equity", "CFO_BEF_NON_CASH_WC/1M", "FPT=Q", "FPO=-9Q", "ACT_EST_MAPPING=PRECISE", "FS=MRC", "CURRENCY=USD", "XLFILL=b")</f>
        <v>26158</v>
      </c>
      <c r="I365" s="9">
        <f>_xll.BQL("AMZN US Equity", "CFO_BEF_NON_CASH_WC/1M", "FPT=Q", "FPO=-8Q", "ACT_EST_MAPPING=PRECISE", "FS=MRC", "CURRENCY=USD", "XLFILL=b")</f>
        <v>26171</v>
      </c>
      <c r="J365" s="9">
        <f>_xll.BQL("AMZN US Equity", "CFO_BEF_NON_CASH_WC/1M", "FPT=Q", "FPO=-7Q", "ACT_EST_MAPPING=PRECISE", "FS=MRC", "CURRENCY=USD", "XLFILL=b")</f>
        <v>28310</v>
      </c>
      <c r="K365" s="9">
        <f>_xll.BQL("AMZN US Equity", "CFO_BEF_NON_CASH_WC/1M", "FPT=Q", "FPO=-6Q", "ACT_EST_MAPPING=PRECISE", "FS=MRC", "CURRENCY=USD", "XLFILL=b")</f>
        <v>28108</v>
      </c>
      <c r="L365" s="9">
        <f>_xll.BQL("AMZN US Equity", "CFO_BEF_NON_CASH_WC/1M", "FPT=Q", "FPO=-5Q", "ACT_EST_MAPPING=PRECISE", "FS=MRC", "CURRENCY=USD", "XLFILL=b")</f>
        <v>34346</v>
      </c>
      <c r="M365" s="9">
        <f>_xll.BQL("AMZN US Equity", "CFO_BEF_NON_CASH_WC/1M", "FPT=Q", "FPO=-4Q", "ACT_EST_MAPPING=PRECISE", "FS=MRC", "CURRENCY=USD", "XLFILL=b")</f>
        <v>29366</v>
      </c>
      <c r="N365" s="9">
        <f>_xll.BQL("AMZN US Equity", "CFO_BEF_NON_CASH_WC/1M", "FPT=Q", "FPO=-3Q", "ACT_EST_MAPPING=PRECISE", "FS=MRC", "CURRENCY=USD", "XLFILL=b")</f>
        <v>35707</v>
      </c>
      <c r="O365" s="9">
        <f>_xll.BQL("AMZN US Equity", "CFO_BEF_NON_CASH_WC/1M", "FPT=Q", "FPO=-2Q", "ACT_EST_MAPPING=PRECISE", "FS=MRC", "CURRENCY=USD", "XLFILL=b")</f>
        <v>38809</v>
      </c>
      <c r="P365" s="9">
        <f>_xll.BQL("AMZN US Equity", "CFO_BEF_NON_CASH_WC/1M", "FPT=Q", "FPO=-1Q", "ACT_EST_MAPPING=PRECISE", "FS=MRC", "CURRENCY=USD", "XLFILL=b")</f>
        <v>39969</v>
      </c>
      <c r="Q365" s="9">
        <f>_xll.BQL("AMZN US Equity", "CFO_BEF_NON_CASH_WC/1M", "FPT=Q", "FPO=0Q", "ACT_EST_MAPPING=PRECISE", "FS=MRC", "CURRENCY=USD", "XLFILL=b")</f>
        <v>46587</v>
      </c>
      <c r="R365" s="9">
        <f>_xll.BQL("AMZN US Equity", "CFO_BEF_NON_CASH_WC/1M", "FPT=Q", "FPO=1Q", "ACT_EST_MAPPING=PRECISE", "FS=MRC", "CURRENCY=USD", "XLFILL=b")</f>
        <v>59037.519467099875</v>
      </c>
      <c r="S365" s="9">
        <f>_xll.BQL("AMZN US Equity", "CFO_BEF_NON_CASH_WC/1M", "FPT=Q", "FPO=2Q", "ACT_EST_MAPPING=PRECISE", "FS=MRC", "CURRENCY=USD", "XLFILL=b")</f>
        <v>47076.257728084114</v>
      </c>
      <c r="T365" s="9">
        <f>_xll.BQL("AMZN US Equity", "CFO_BEF_NON_CASH_WC/1M", "FPT=Q", "FPO=3Q", "ACT_EST_MAPPING=PRECISE", "FS=MRC", "CURRENCY=USD", "XLFILL=b")</f>
        <v>47788.822213606756</v>
      </c>
      <c r="U365" s="9">
        <f>_xll.BQL("AMZN US Equity", "CFO_BEF_NON_CASH_WC/1M", "FPT=Q", "FPO=4Q", "ACT_EST_MAPPING=PRECISE", "FS=MRC", "CURRENCY=USD", "XLFILL=b")</f>
        <v>38057.176230735611</v>
      </c>
      <c r="V365" s="9">
        <f>_xll.BQL("AMZN US Equity", "CFO_BEF_NON_CASH_WC/1M", "FPT=Q", "FPO=5Q", "ACT_EST_MAPPING=PRECISE", "FS=MRC", "CURRENCY=USD", "XLFILL=b")</f>
        <v>103490.3280064154</v>
      </c>
      <c r="W365" s="9">
        <f>_xll.BQL("AMZN US Equity", "CFO_BEF_NON_CASH_WC/1M", "FPT=Q", "FPO=6Q", "ACT_EST_MAPPING=PRECISE", "FS=MRC", "CURRENCY=USD", "XLFILL=b")</f>
        <v>45979.613451571138</v>
      </c>
      <c r="X365" s="9">
        <f>_xll.BQL("AMZN US Equity", "CFO_BEF_NON_CASH_WC/1M", "FPT=Q", "FPO=7Q", "ACT_EST_MAPPING=PRECISE", "FS=MRC", "CURRENCY=USD", "XLFILL=b")</f>
        <v>8103.7200221449293</v>
      </c>
    </row>
    <row r="366" spans="1:24" x14ac:dyDescent="0.25">
      <c r="A366" s="8" t="s">
        <v>14</v>
      </c>
      <c r="B366" s="4"/>
      <c r="C366" s="4"/>
      <c r="D366" s="4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</row>
    <row r="367" spans="1:24" x14ac:dyDescent="0.25">
      <c r="A367" s="5" t="s">
        <v>645</v>
      </c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Multiple Periods Values</vt:lpstr>
      <vt:lpstr>Multiple Periods bbg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summit2 management</cp:lastModifiedBy>
  <dcterms:created xsi:type="dcterms:W3CDTF">2013-04-03T15:49:21Z</dcterms:created>
  <dcterms:modified xsi:type="dcterms:W3CDTF">2026-07-27T19:37:02Z</dcterms:modified>
</cp:coreProperties>
</file>