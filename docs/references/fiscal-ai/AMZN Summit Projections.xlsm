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codeName="ThisWorkbook"/>
  <xr:revisionPtr revIDLastSave="0" documentId="13_ncr:1_{01C711BD-5ADE-4DA4-8C7A-7B7E36B37954}" xr6:coauthVersionLast="47" xr6:coauthVersionMax="47" xr10:uidLastSave="{00000000-0000-0000-0000-000000000000}"/>
  <bookViews>
    <workbookView xWindow="-28920" yWindow="-90" windowWidth="29040" windowHeight="16440" tabRatio="712" firstSheet="1" activeTab="1" xr2:uid="{2C06F3E2-EC68-4506-AA64-555962FA4BEA}"/>
  </bookViews>
  <sheets>
    <sheet name="Amortization" sheetId="41" state="hidden" r:id="rId1"/>
    <sheet name="Projection History" sheetId="37" r:id="rId2"/>
    <sheet name="Actuals History" sheetId="38" r:id="rId3"/>
  </sheets>
  <externalReferences>
    <externalReference r:id="rId4"/>
  </externalReferences>
  <definedNames>
    <definedName name="_xleta.AND" hidden="1" xlm="1">#NAME?</definedName>
    <definedName name="_xleta.IF" hidden="1" xlm="1">#NAME?</definedName>
    <definedName name="_xleta.IFERROR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TIME" hidden="1" xlm="1">#NAME?</definedName>
    <definedName name="ACTUAL" localSheetId="0">[1]Summary!$A$19</definedName>
    <definedName name="ACTUAL">#REF!</definedName>
    <definedName name="ADEB">#REF!</definedName>
    <definedName name="ADEBM">#REF!</definedName>
    <definedName name="annualrevenue">#REF!</definedName>
    <definedName name="ASSUMPTIONS_CAPEX">#REF!</definedName>
    <definedName name="ASSUMPTIONS_CASH_GENERATION_FOR_THE_YEAR">#REF!</definedName>
    <definedName name="ASSUMPTIONS_CF_INVESTING" localSheetId="0">Amortization!#REF!</definedName>
    <definedName name="ASSUMPTIONS_CF_INVESTING">#REF!</definedName>
    <definedName name="ASSUMPTIONS_CFO">#REF!</definedName>
    <definedName name="ASSUMPTIONS_CURRENT_LT_DEBT" localSheetId="0">Amortization!#REF!</definedName>
    <definedName name="ASSUMPTIONS_CURRENT_LT_DEBT">#REF!</definedName>
    <definedName name="ASSUMPTIONS_DAYS_INVENTORY">#REF!</definedName>
    <definedName name="ASSUMPTIONS_DAYS_PAYABLE">#REF!</definedName>
    <definedName name="ASSUMPTIONS_DAYS_SALES">#REF!</definedName>
    <definedName name="ASSUMPTIONS_DIVIDENDS" localSheetId="0">Amortization!#REF!</definedName>
    <definedName name="ASSUMPTIONS_DIVIDENDS">#REF!</definedName>
    <definedName name="ASSUMPTIONS_EBITDA" localSheetId="0">[1]Annual!$202:$202,[1]Annual!$195:$195,[1]Annual!$185:$185,[1]Annual!$217:$217</definedName>
    <definedName name="ASSUMPTIONS_EBITDA">#REF!,#REF!,#REF!,#REF!</definedName>
    <definedName name="ASSUMPTIONS_GROSS_PROFIT">#REF!</definedName>
    <definedName name="ASSUMPTIONS_INTEREST_EXPENSE">#REF!</definedName>
    <definedName name="ASSUMPTIONS_INTEREST_INCOME">#REF!</definedName>
    <definedName name="ASSUMPTIONS_LT_DEBT" localSheetId="0">Amortization!#REF!</definedName>
    <definedName name="ASSUMPTIONS_LT_DEBT">#REF!</definedName>
    <definedName name="ASSUMPTIONS_NET_FIXED_ASSETS" localSheetId="0">Amortization!#REF!</definedName>
    <definedName name="ASSUMPTIONS_NET_FIXED_ASSETS">#REF!</definedName>
    <definedName name="ASSUMPTIONS_OP_INCOME">#REF!</definedName>
    <definedName name="ASSUMPTIONS_OTHER_INCOME">#REF!</definedName>
    <definedName name="ASSUMPTIONS_REVENUE">#REF!</definedName>
    <definedName name="ASSUMPTIONS_SBC">#REF!</definedName>
    <definedName name="ASSUMPTIONS_TAX_RATE">#REF!</definedName>
    <definedName name="AVG_USEFUL_LIFE" localSheetId="0">Amortization!$H$24</definedName>
    <definedName name="AVG_USEFUL_LIFE">#REF!</definedName>
    <definedName name="BASIC" localSheetId="0">[1]Summary!$A$16</definedName>
    <definedName name="BASIC">#REF!</definedName>
    <definedName name="BBG_QUARTERS" localSheetId="0">[1]SEG_BBG!$G$1</definedName>
    <definedName name="BBG_QUARTERS">#REF!</definedName>
    <definedName name="BBG_STATS" localSheetId="0">'[1]Discounted Cash Flow'!$D$19</definedName>
    <definedName name="BBG_STATS">#REF!</definedName>
    <definedName name="CHECK_CAPEX">#REF!</definedName>
    <definedName name="CHECK_CAPITAL_STRUCTURE" localSheetId="0">Amortization!#REF!</definedName>
    <definedName name="CHECK_CAPITAL_STRUCTURE">#REF!</definedName>
    <definedName name="CHECK_DIVIDEND" localSheetId="0">Amortization!#REF!</definedName>
    <definedName name="CHECK_DIVIDEND">#REF!</definedName>
    <definedName name="CHECK_LIST">#REF!</definedName>
    <definedName name="CHECK_PRINCIPAL_REPAYMENTS" localSheetId="0">Amortization!#REF!</definedName>
    <definedName name="CHECK_PRINCIPAL_REPAYMENTS">#REF!</definedName>
    <definedName name="CHECK_SHARE_BUYBACK" localSheetId="0">Amortization!#REF!</definedName>
    <definedName name="CHECK_SHARE_BUYBACK">#REF!</definedName>
    <definedName name="CHECK_WACC">#REF!</definedName>
    <definedName name="CHECK_WORKING_CAP">#REF!</definedName>
    <definedName name="COD" localSheetId="0">'[1]Discounted Cash Flow'!$Z$104</definedName>
    <definedName name="COD">#REF!</definedName>
    <definedName name="COE" localSheetId="0">'[1]Discounted Cash Flow'!$Z$100</definedName>
    <definedName name="COE">#REF!</definedName>
    <definedName name="COMPANY" localSheetId="0">[1]Summary!$C$11</definedName>
    <definedName name="COMPANY">#REF!</definedName>
    <definedName name="CURRENCY" localSheetId="0">[1]Summary!$H$18</definedName>
    <definedName name="CURRENCY">#REF!</definedName>
    <definedName name="currentprice" localSheetId="0">[1]Summary!$H$13</definedName>
    <definedName name="currentprice">#REF!</definedName>
    <definedName name="Cy">#REF!</definedName>
    <definedName name="DILUTED">#REF!</definedName>
    <definedName name="DividendsLast" localSheetId="0">'[1]Discounted Cash Flow'!$Z$112</definedName>
    <definedName name="DividendsLast">#REF!</definedName>
    <definedName name="EarningsLast" localSheetId="0">'[1]Discounted Cash Flow'!$Z$111</definedName>
    <definedName name="EarningsLast">#REF!</definedName>
    <definedName name="ebitda" localSheetId="0">'[1]Discounted Cash Flow'!$Z$114</definedName>
    <definedName name="ebitda">#REF!</definedName>
    <definedName name="ebitdalast" localSheetId="0">'[1]Discounted Cash Flow'!$Z$113</definedName>
    <definedName name="ebitdalast">#REF!</definedName>
    <definedName name="epsannual">#REF!</definedName>
    <definedName name="error">#REF!</definedName>
    <definedName name="erroroffline">#REF!</definedName>
    <definedName name="ev" localSheetId="0">'[1]Discounted Cash Flow'!$I$87</definedName>
    <definedName name="ev">#REF!</definedName>
    <definedName name="FairValue_FCFE" localSheetId="0">'[1]Discounted Cash Flow'!$Q$94</definedName>
    <definedName name="FairValue_FCFE">#REF!</definedName>
    <definedName name="FairValue_FCFF" localSheetId="0">'[1]Discounted Cash Flow'!$I$94</definedName>
    <definedName name="FairValue_FCFF">#REF!</definedName>
    <definedName name="FCFELast" localSheetId="0">'[1]Discounted Cash Flow'!$Z$117</definedName>
    <definedName name="FCFELast">#REF!</definedName>
    <definedName name="FCFFLast" localSheetId="0">'[1]Discounted Cash Flow'!$Z$116</definedName>
    <definedName name="FCFFLast">#REF!</definedName>
    <definedName name="freecash">#REF!</definedName>
    <definedName name="freecashflow" localSheetId="0">'[1]Discounted Cash Flow'!$M$22</definedName>
    <definedName name="freecashflow">#REF!</definedName>
    <definedName name="FV_SOTP">#REF!</definedName>
    <definedName name="GB">#REF!</definedName>
    <definedName name="Industry" localSheetId="0">[1]Summary!$H$14</definedName>
    <definedName name="Industry">#REF!</definedName>
    <definedName name="IQ_CY" hidden="1">10000</definedName>
    <definedName name="IQ_FQ" hidden="1">500</definedName>
    <definedName name="IQ_FY" hidden="1">1000</definedName>
    <definedName name="IQ_LTM" hidden="1">2000</definedName>
    <definedName name="IQ_TODAY" hidden="1">0</definedName>
    <definedName name="leveredev">#REF!</definedName>
    <definedName name="leveredfv">#REF!</definedName>
    <definedName name="lfqe" localSheetId="0">[1]Quarterly!$X$356</definedName>
    <definedName name="lfqe">#REF!</definedName>
    <definedName name="lfye" localSheetId="0">[1]Quarterly!$W$356</definedName>
    <definedName name="lfye">#REF!</definedName>
    <definedName name="marketcap">#REF!</definedName>
    <definedName name="NetDebt">#REF!</definedName>
    <definedName name="NORMALIZED" localSheetId="0">[1]Summary!$A$20</definedName>
    <definedName name="NORMALIZED">#REF!</definedName>
    <definedName name="OPI">#REF!</definedName>
    <definedName name="OPI_ADEB">#REF!</definedName>
    <definedName name="OPI_ADEB_TR">#REF!</definedName>
    <definedName name="OPIM">#REF!</definedName>
    <definedName name="pricetobook">#REF!</definedName>
    <definedName name="QoQGROWTH" localSheetId="0">[1]Summary!$A$23</definedName>
    <definedName name="QoQGROWTH">#REF!</definedName>
    <definedName name="quarter" localSheetId="0">[1]Quarterly!$AE$559:$AF$562</definedName>
    <definedName name="quarter">#REF!</definedName>
    <definedName name="returnonassets">#REF!</definedName>
    <definedName name="returnonequity">#REF!</definedName>
    <definedName name="REV">#REF!</definedName>
    <definedName name="REV_GB">#REF!</definedName>
    <definedName name="revenue" localSheetId="0">'[1]Discounted Cash Flow'!$Z$110</definedName>
    <definedName name="revenue">#REF!</definedName>
    <definedName name="rfr" localSheetId="0">'[1]Discounted Cash Flow'!$Z$96</definedName>
    <definedName name="rfr">#REF!</definedName>
    <definedName name="SCALE" localSheetId="0">[1]Summary!$H$19</definedName>
    <definedName name="SCALE">#REF!</definedName>
    <definedName name="Sector" localSheetId="0">[1]Summary!$H$15</definedName>
    <definedName name="Sector">#REF!</definedName>
    <definedName name="SEG_BBG_IDS" localSheetId="0">[1]SEG_BBG!$D$4:$D$153</definedName>
    <definedName name="SEG_BBG_IDS">#REF!</definedName>
    <definedName name="SEG_BBG_MATRIX" localSheetId="0">[1]SEG_BBG!$H$4:$AO$153</definedName>
    <definedName name="SEG_BBG_MATRIX">#REF!</definedName>
    <definedName name="SEG_BBG_QUARTERS" localSheetId="0">[1]SEG_BBG!$H$2:$AO$2</definedName>
    <definedName name="SEG_BBG_QUARTERS">#REF!</definedName>
    <definedName name="SEGMENTS" localSheetId="0">[1]Summary!$A$17</definedName>
    <definedName name="SEGMENTS">#REF!</definedName>
    <definedName name="SEGMENTS_ADEBM" localSheetId="0">[1]Segments!$360:$360,[1]Segments!$365:$365,[1]Segments!$369:$369,[1]Segments!$373:$373</definedName>
    <definedName name="SEGMENTS_ADEBM">#REF!,#REF!,#REF!,#REF!</definedName>
    <definedName name="SEGMENTS_AWS_MARGIN">#REF!</definedName>
    <definedName name="SEGMENTS_CAPEX">#REF!</definedName>
    <definedName name="SEGMENTS_CFO">#REF!</definedName>
    <definedName name="SEGMENTS_DEPRECIATION_AMORT" localSheetId="0">[1]Segments!#REF!</definedName>
    <definedName name="SEGMENTS_DEPRECIATION_AMORT">#REF!</definedName>
    <definedName name="SEGMENTS_FCF" localSheetId="0">[1]Segments!$435:$435,[1]Segments!$438:$438,[1]Segments!$498:$498</definedName>
    <definedName name="SEGMENTS_FCF">#REF!,#REF!,#REF!</definedName>
    <definedName name="SEGMENTS_GP">#REF!</definedName>
    <definedName name="SEGMENTS_GRAPHS_QUARTER_DATERANGE" localSheetId="0">[1]Segments!$EU$478:INDEX([1]Segments!$EU$478:$GL$478,COUNTA([1]Segments!$EU$478:$GL$478)-COUNTBLANK([1]Segments!$EU$478:$GL$478))</definedName>
    <definedName name="SEGMENTS_GRAPHS_QUARTER_DATERANGE">#REF!:INDEX(#REF!,COUNTA(#REF!)-COUNTBLANK(#REF!))</definedName>
    <definedName name="SEGMENTS_GRAPHS_QUARTER_OPIDIFF" localSheetId="0">[1]Segments!$EU$483:INDEX([1]Segments!$EU$483:$GL$483,COUNT([1]Segments!$EU$483:$GL$483))</definedName>
    <definedName name="SEGMENTS_GRAPHS_QUARTER_OPIDIFF">#REF!:INDEX(#REF!,COUNTA(#REF!)-COUNTBLANK(#REF!))</definedName>
    <definedName name="SEGMENTS_GRAPHS_QUARTER_REVDIFF" localSheetId="0">[1]Segments!$EU$479:INDEX([1]Segments!$EU$479:$GL$479,COUNTA([1]Segments!$EU$478:$GL$478)-COUNTBLANK([1]Segments!$EU$478:$GL$478))</definedName>
    <definedName name="SEGMENTS_GRAPHS_QUARTER_REVDIFF">#REF!:INDEX(#REF!,COUNTA(#REF!)-COUNTBLANK(#REF!))</definedName>
    <definedName name="SEGMENTS_GRAPHS_YEAR_DATERANGE" localSheetId="0">[1]Segments!$EH$478:INDEX([1]Segments!$EH$478:$ER$478,COUNT([1]Segments!$EH$478:$ER$478))</definedName>
    <definedName name="SEGMENTS_GRAPHS_YEAR_DATERANGE">#REF!:INDEX(#REF!,COUNT(#REF!))</definedName>
    <definedName name="SEGMENTS_GRAPHS_YEAR_OPIDIFF" localSheetId="0">[1]Segments!$EH$483:INDEX([1]Segments!$EH$483:$ER$483,COUNTA([1]Segments!$EH$478:$ER$478)-COUNTBLANK([1]Segments!$EH$478:$ER$478))</definedName>
    <definedName name="SEGMENTS_GRAPHS_YEAR_OPIDIFF">#REF!:INDEX(#REF!,COUNTA(#REF!)-COUNTBLANK(#REF!))</definedName>
    <definedName name="SEGMENTS_GRAPHS_YEAR_REVDIFF" localSheetId="0">[1]Segments!$EH$479:INDEX([1]Segments!$EH$479:$ER$479,COUNTA([1]Segments!$EH$478:$ER$478)-COUNTBLANK([1]Segments!$EH$478:$ER$478))</definedName>
    <definedName name="SEGMENTS_GRAPHS_YEAR_REVDIFF">#REF!:INDEX(#REF!,COUNTA(#REF!)-COUNTBLANK(#REF!))</definedName>
    <definedName name="SEGMENTS_GROSS_PROFIT">#REF!</definedName>
    <definedName name="SEGMENTS_INTEREST_EXPENSE">#REF!</definedName>
    <definedName name="SEGMENTS_INTEREST_INCOME">#REF!</definedName>
    <definedName name="SEGMENTS_INTERNATIONAL_MARGIN">#REF!</definedName>
    <definedName name="SEGMENTS_INTERNATIONAL_REVENUE">#REF!</definedName>
    <definedName name="SEGMENTS_OP_INCOME">#REF!</definedName>
    <definedName name="SEGMENTS_OTHER_INCOME">#REF!</definedName>
    <definedName name="SEGMENTS_REVENUE">#REF!</definedName>
    <definedName name="SEGMENTS_TAKERATE">#REF!,#REF!,#REF!,#REF!</definedName>
    <definedName name="SEGMENTS_US_MARGIN">#REF!</definedName>
    <definedName name="SEGMENTS_US_REVENUE">#REF!</definedName>
    <definedName name="SEGMETS_AWS_REVENUE">#REF!</definedName>
    <definedName name="shares" localSheetId="0">'[1]Discounted Cash Flow'!$Z$118</definedName>
    <definedName name="shares">#REF!</definedName>
    <definedName name="SharesOut" localSheetId="0">[1]Quarterly!$W$251</definedName>
    <definedName name="SharesOut">#REF!</definedName>
    <definedName name="SharesOutstanding" localSheetId="0">'[1]Discounted Cash Flow'!$Z$118</definedName>
    <definedName name="SharesOutstanding">#REF!</definedName>
    <definedName name="START" localSheetId="0">[1]Summary!$B$122</definedName>
    <definedName name="START">#REF!</definedName>
    <definedName name="STATUS">#REF!</definedName>
    <definedName name="SUMMARY_GRAPH_DATE" localSheetId="0">[1]Summary!$H$124:INDEX([1]Summary!$H$124:$H$1502,COUNT([1]Summary!$H$124:$H$1502))</definedName>
    <definedName name="SUMMARY_GRAPH_DATE">#REF!:INDEX(#REF!,COUNT(#REF!))</definedName>
    <definedName name="SUMMARY_GRAPH_FORWARD_RATIO" localSheetId="0">[1]Summary!$E$124:INDEX([1]Summary!$E$124:$E$1502,COUNT([1]Summary!$E$124:$E$1502))</definedName>
    <definedName name="SUMMARY_GRAPH_FORWARD_RATIO">#REF!:INDEX(#REF!,COUNT(#REF!))</definedName>
    <definedName name="SUMMARY_GRAPH_SPY" localSheetId="0">[1]Summary!$J$124:INDEX([1]Summary!$J$124:$J$1502,COUNT([1]Summary!$H$124:$H$1502))</definedName>
    <definedName name="SUMMARY_GRAPH_SPY">#REF!:INDEX(#REF!,COUNT(#REF!))</definedName>
    <definedName name="SUMMARY_GRAPH_STOCK" localSheetId="0">[1]Summary!$L$124:INDEX([1]Summary!$L$124:$L$1502,COUNT([1]Summary!$H$124:$H$1502))</definedName>
    <definedName name="SUMMARY_GRAPH_STOCK">#REF!:INDEX(#REF!,COUNT(#REF!))</definedName>
    <definedName name="SUMMARY_GRAPH_STOCKPRICE" localSheetId="0">[1]Summary!$C$126:INDEX([1]Summary!$C$126:$C$1504,COUNT([1]Summary!$C$126:$C$1504))</definedName>
    <definedName name="SUMMARY_GRAPH_STOCKPRICE">#REF!:INDEX(#REF!,COUNT(#REF!))</definedName>
    <definedName name="SUMMARY_GRAPH_TRAILING_RATIO" localSheetId="0">[1]Summary!$D$124:INDEX([1]Summary!$D$124:$D$1502,COUNT([1]Summary!$D$124:$D$1502))</definedName>
    <definedName name="SUMMARY_GRAPH_TRAILING_RATIO">#REF!:INDEX(#REF!,COUNT(#REF!))</definedName>
    <definedName name="ticker" localSheetId="0">[1]Summary!$H$12</definedName>
    <definedName name="ticker">#REF!</definedName>
    <definedName name="TICKER_BBG" localSheetId="0">Amortization!ticker&amp;" US EQUITY"</definedName>
    <definedName name="TICKER_BBG">ticker&amp;" US EQUITY"</definedName>
    <definedName name="TODAY" localSheetId="0">[1]Summary!$B$121</definedName>
    <definedName name="TODAY">#REF!</definedName>
    <definedName name="TR">#REF!</definedName>
    <definedName name="unleveredEV" localSheetId="0">'[1]Discounted Cash Flow'!$Q$87</definedName>
    <definedName name="unleveredEV">#REF!</definedName>
    <definedName name="unleveredfv">#REF!</definedName>
    <definedName name="wacc" localSheetId="0">'[1]Discounted Cash Flow'!$Z$84</definedName>
    <definedName name="wacc">#REF!</definedName>
    <definedName name="year" localSheetId="0">[1]Quarterly!$X$556</definedName>
    <definedName name="year">#REF!</definedName>
    <definedName name="YEAR_RANGE">#REF!</definedName>
    <definedName name="years">#REF!</definedName>
    <definedName name="YoYGROWTH" localSheetId="0">[1]Summary!$A$22</definedName>
    <definedName name="YoYGROW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37" l="1"/>
  <c r="K1" i="37" s="1"/>
  <c r="L1" i="37" l="1"/>
  <c r="V107" i="41"/>
  <c r="L80" i="41"/>
  <c r="K80" i="41" s="1"/>
  <c r="K57" i="41"/>
  <c r="L57" i="41"/>
  <c r="U76" i="41"/>
  <c r="T76" i="41"/>
  <c r="S76" i="41"/>
  <c r="R76" i="41"/>
  <c r="Q76" i="41"/>
  <c r="P76" i="41"/>
  <c r="O76" i="41"/>
  <c r="N76" i="41"/>
  <c r="U71" i="41"/>
  <c r="T71" i="41"/>
  <c r="S71" i="41"/>
  <c r="R71" i="41"/>
  <c r="Q71" i="41"/>
  <c r="P71" i="41"/>
  <c r="O71" i="41"/>
  <c r="N71" i="41"/>
  <c r="N66" i="41"/>
  <c r="N61" i="41"/>
  <c r="N56" i="41"/>
  <c r="U52" i="41"/>
  <c r="T52" i="41"/>
  <c r="S52" i="41"/>
  <c r="R52" i="41"/>
  <c r="Q52" i="41"/>
  <c r="P52" i="41"/>
  <c r="O52" i="41"/>
  <c r="N52" i="41"/>
  <c r="U47" i="41"/>
  <c r="T47" i="41"/>
  <c r="S47" i="41"/>
  <c r="R47" i="41"/>
  <c r="Q47" i="41"/>
  <c r="P47" i="41"/>
  <c r="O47" i="41"/>
  <c r="N47" i="41"/>
  <c r="M1" i="37" l="1"/>
  <c r="L31" i="41"/>
  <c r="L32" i="41"/>
  <c r="L33" i="41"/>
  <c r="L30" i="41"/>
  <c r="L39" i="41"/>
  <c r="N1" i="37" l="1"/>
  <c r="K33" i="41"/>
  <c r="L103" i="41"/>
  <c r="L99" i="41"/>
  <c r="K30" i="41"/>
  <c r="L87" i="41"/>
  <c r="K32" i="41"/>
  <c r="L95" i="41"/>
  <c r="K31" i="41"/>
  <c r="L91" i="41"/>
  <c r="L71" i="41"/>
  <c r="L68" i="41" s="1"/>
  <c r="L69" i="41" s="1"/>
  <c r="L56" i="41"/>
  <c r="L53" i="41" s="1"/>
  <c r="L76" i="41"/>
  <c r="L73" i="41" s="1"/>
  <c r="L66" i="41"/>
  <c r="L63" i="41" s="1"/>
  <c r="L47" i="41"/>
  <c r="L44" i="41" s="1"/>
  <c r="L61" i="41"/>
  <c r="L58" i="41" s="1"/>
  <c r="K39" i="41"/>
  <c r="BE13" i="41"/>
  <c r="BD13" i="41"/>
  <c r="BC13" i="41"/>
  <c r="BB13" i="41"/>
  <c r="BA13" i="41"/>
  <c r="AZ13" i="41"/>
  <c r="AY13" i="41"/>
  <c r="AX13" i="41"/>
  <c r="AW13" i="41"/>
  <c r="AV13" i="41"/>
  <c r="AU13" i="41"/>
  <c r="AT13" i="41"/>
  <c r="AS13" i="41"/>
  <c r="AR13" i="41"/>
  <c r="AQ13" i="41"/>
  <c r="AP13" i="41"/>
  <c r="AO13" i="41"/>
  <c r="AN13" i="41"/>
  <c r="AM13" i="41"/>
  <c r="AL13" i="41"/>
  <c r="AK13" i="41"/>
  <c r="AJ13" i="41"/>
  <c r="AI13" i="41"/>
  <c r="AH13" i="41"/>
  <c r="AG13" i="41"/>
  <c r="AF13" i="41"/>
  <c r="AE13" i="41"/>
  <c r="AD13" i="41"/>
  <c r="AC13" i="41"/>
  <c r="AB13" i="41"/>
  <c r="AA13" i="41"/>
  <c r="Z13" i="41"/>
  <c r="U63" i="41"/>
  <c r="T63" i="41"/>
  <c r="S63" i="41"/>
  <c r="R63" i="41"/>
  <c r="Q63" i="41"/>
  <c r="P63" i="41"/>
  <c r="U58" i="41"/>
  <c r="T58" i="41"/>
  <c r="S58" i="41"/>
  <c r="R58" i="41"/>
  <c r="Q58" i="41"/>
  <c r="P58" i="41"/>
  <c r="U53" i="41"/>
  <c r="T53" i="41"/>
  <c r="S53" i="41"/>
  <c r="R53" i="41"/>
  <c r="Q53" i="41"/>
  <c r="P53" i="41"/>
  <c r="U88" i="41"/>
  <c r="U87" i="41"/>
  <c r="T87" i="41"/>
  <c r="S87" i="41"/>
  <c r="R87" i="41"/>
  <c r="Q87" i="41"/>
  <c r="P87" i="41"/>
  <c r="O87" i="41"/>
  <c r="N87" i="41"/>
  <c r="U85" i="41"/>
  <c r="T85" i="41"/>
  <c r="S85" i="41"/>
  <c r="R85" i="41"/>
  <c r="Q85" i="41"/>
  <c r="P85" i="41"/>
  <c r="O85" i="41"/>
  <c r="N85" i="41"/>
  <c r="U104" i="41"/>
  <c r="U103" i="41"/>
  <c r="T103" i="41"/>
  <c r="S103" i="41"/>
  <c r="R103" i="41"/>
  <c r="Q103" i="41"/>
  <c r="P103" i="41"/>
  <c r="O103" i="41"/>
  <c r="N103" i="41"/>
  <c r="U99" i="41"/>
  <c r="N99" i="41"/>
  <c r="U95" i="41"/>
  <c r="N95" i="41"/>
  <c r="U91" i="41"/>
  <c r="N91" i="41"/>
  <c r="F18" i="41"/>
  <c r="H24" i="41"/>
  <c r="I24" i="41"/>
  <c r="G24" i="41"/>
  <c r="O1" i="37" l="1"/>
  <c r="AD14" i="41"/>
  <c r="T66" i="41"/>
  <c r="L70" i="41"/>
  <c r="AL14" i="41"/>
  <c r="N86" i="41"/>
  <c r="U86" i="41"/>
  <c r="K103" i="41"/>
  <c r="K91" i="41"/>
  <c r="K99" i="41"/>
  <c r="K95" i="41"/>
  <c r="K87" i="41"/>
  <c r="L85" i="41"/>
  <c r="K71" i="41"/>
  <c r="K68" i="41" s="1"/>
  <c r="K56" i="41"/>
  <c r="K53" i="41"/>
  <c r="L55" i="41"/>
  <c r="L54" i="41"/>
  <c r="L59" i="41"/>
  <c r="L60" i="41"/>
  <c r="K69" i="41"/>
  <c r="L64" i="41"/>
  <c r="L65" i="41"/>
  <c r="L75" i="41"/>
  <c r="L74" i="41"/>
  <c r="AH14" i="41"/>
  <c r="AX14" i="41"/>
  <c r="K76" i="41"/>
  <c r="K73" i="41" s="1"/>
  <c r="K66" i="41"/>
  <c r="K61" i="41"/>
  <c r="K58" i="41" s="1"/>
  <c r="K47" i="41"/>
  <c r="K44" i="41" s="1"/>
  <c r="K63" i="41"/>
  <c r="S61" i="41"/>
  <c r="L46" i="41"/>
  <c r="L45" i="41"/>
  <c r="T86" i="41"/>
  <c r="S56" i="41"/>
  <c r="O99" i="41"/>
  <c r="P66" i="41"/>
  <c r="O66" i="41"/>
  <c r="P99" i="41"/>
  <c r="Q66" i="41"/>
  <c r="Q99" i="41"/>
  <c r="R66" i="41"/>
  <c r="R99" i="41"/>
  <c r="S66" i="41"/>
  <c r="U64" i="41"/>
  <c r="U66" i="41"/>
  <c r="T59" i="41"/>
  <c r="T61" i="41"/>
  <c r="U96" i="41"/>
  <c r="U93" i="41" s="1"/>
  <c r="U94" i="41" s="1"/>
  <c r="U61" i="41"/>
  <c r="Q95" i="41"/>
  <c r="R61" i="41"/>
  <c r="P61" i="41"/>
  <c r="O61" i="41"/>
  <c r="P95" i="41"/>
  <c r="Q61" i="41"/>
  <c r="U54" i="41"/>
  <c r="U56" i="41"/>
  <c r="R54" i="41"/>
  <c r="R56" i="41"/>
  <c r="T54" i="41"/>
  <c r="T56" i="41"/>
  <c r="P56" i="41"/>
  <c r="O56" i="41"/>
  <c r="P91" i="41"/>
  <c r="Q56" i="41"/>
  <c r="BB14" i="41"/>
  <c r="O86" i="41"/>
  <c r="T64" i="41"/>
  <c r="P86" i="41"/>
  <c r="P54" i="41"/>
  <c r="Q54" i="41"/>
  <c r="AZ14" i="41"/>
  <c r="AR14" i="41"/>
  <c r="AA14" i="41"/>
  <c r="AT14" i="41"/>
  <c r="T91" i="41"/>
  <c r="U92" i="41"/>
  <c r="U89" i="41" s="1"/>
  <c r="U90" i="41" s="1"/>
  <c r="S86" i="41"/>
  <c r="S54" i="41"/>
  <c r="U59" i="41"/>
  <c r="AQ14" i="41"/>
  <c r="AS14" i="41"/>
  <c r="T99" i="41"/>
  <c r="AG14" i="41"/>
  <c r="AW14" i="41"/>
  <c r="AB14" i="41"/>
  <c r="AU14" i="41"/>
  <c r="Q86" i="41"/>
  <c r="AI14" i="41"/>
  <c r="AY14" i="41"/>
  <c r="AC14" i="41"/>
  <c r="AV14" i="41"/>
  <c r="AJ14" i="41"/>
  <c r="AK14" i="41"/>
  <c r="BA14" i="41"/>
  <c r="U100" i="41"/>
  <c r="U97" i="41" s="1"/>
  <c r="U98" i="41" s="1"/>
  <c r="O91" i="41"/>
  <c r="AM14" i="41"/>
  <c r="BC14" i="41"/>
  <c r="R91" i="41"/>
  <c r="AN14" i="41"/>
  <c r="BD14" i="41"/>
  <c r="S64" i="41"/>
  <c r="AE14" i="41"/>
  <c r="S99" i="41"/>
  <c r="P64" i="41"/>
  <c r="AO14" i="41"/>
  <c r="BE14" i="41"/>
  <c r="AF14" i="41"/>
  <c r="Z14" i="41"/>
  <c r="Z16" i="41" s="1"/>
  <c r="AP14" i="41"/>
  <c r="S95" i="41"/>
  <c r="R86" i="41"/>
  <c r="T95" i="41"/>
  <c r="Q64" i="41"/>
  <c r="R64" i="41"/>
  <c r="P59" i="41"/>
  <c r="Q59" i="41"/>
  <c r="R95" i="41"/>
  <c r="R59" i="41"/>
  <c r="S59" i="41"/>
  <c r="O95" i="41"/>
  <c r="Q91" i="41"/>
  <c r="S91" i="41"/>
  <c r="F24" i="41"/>
  <c r="F26" i="41" s="1"/>
  <c r="P1" i="37" l="1"/>
  <c r="K70" i="41"/>
  <c r="L86" i="41"/>
  <c r="K85" i="41"/>
  <c r="K55" i="41"/>
  <c r="K54" i="41"/>
  <c r="K75" i="41"/>
  <c r="K74" i="41"/>
  <c r="K59" i="41"/>
  <c r="K60" i="41"/>
  <c r="K64" i="41"/>
  <c r="K65" i="41"/>
  <c r="K46" i="41"/>
  <c r="K45" i="41"/>
  <c r="AL16" i="41"/>
  <c r="Q79" i="41" s="1"/>
  <c r="Q92" i="41" s="1"/>
  <c r="Q89" i="41" s="1"/>
  <c r="AP16" i="41"/>
  <c r="R79" i="41" s="1"/>
  <c r="R96" i="41" s="1"/>
  <c r="R93" i="41" s="1"/>
  <c r="AT16" i="41"/>
  <c r="S79" i="41" s="1"/>
  <c r="S96" i="41" s="1"/>
  <c r="S93" i="41" s="1"/>
  <c r="BB16" i="41"/>
  <c r="AX16" i="41"/>
  <c r="T79" i="41" s="1"/>
  <c r="T96" i="41" s="1"/>
  <c r="T93" i="41" s="1"/>
  <c r="T94" i="41" s="1"/>
  <c r="AH16" i="41"/>
  <c r="P79" i="41" s="1"/>
  <c r="P96" i="41" s="1"/>
  <c r="P93" i="41" s="1"/>
  <c r="AD16" i="41"/>
  <c r="O79" i="41" s="1"/>
  <c r="O96" i="41" s="1"/>
  <c r="O93" i="41" s="1"/>
  <c r="N79" i="41"/>
  <c r="U35" i="41"/>
  <c r="U37" i="41" s="1"/>
  <c r="U36" i="41" s="1"/>
  <c r="O35" i="41"/>
  <c r="O37" i="41" s="1"/>
  <c r="R35" i="41"/>
  <c r="R37" i="41" s="1"/>
  <c r="R36" i="41" s="1"/>
  <c r="S35" i="41"/>
  <c r="S37" i="41" s="1"/>
  <c r="S36" i="41" s="1"/>
  <c r="T35" i="41"/>
  <c r="T37" i="41" s="1"/>
  <c r="T36" i="41" s="1"/>
  <c r="P35" i="41"/>
  <c r="P37" i="41" s="1"/>
  <c r="P36" i="41" s="1"/>
  <c r="N35" i="41"/>
  <c r="N37" i="41" s="1"/>
  <c r="N36" i="41" s="1"/>
  <c r="Q35" i="41"/>
  <c r="Q37" i="41" s="1"/>
  <c r="Q36" i="41" s="1"/>
  <c r="Q1" i="37" l="1"/>
  <c r="K86" i="41"/>
  <c r="L79" i="41"/>
  <c r="Q100" i="41"/>
  <c r="Q97" i="41" s="1"/>
  <c r="Q104" i="41"/>
  <c r="Q96" i="41"/>
  <c r="Q93" i="41" s="1"/>
  <c r="Q94" i="41" s="1"/>
  <c r="Q88" i="41"/>
  <c r="T88" i="41"/>
  <c r="T104" i="41"/>
  <c r="O92" i="41"/>
  <c r="O89" i="41" s="1"/>
  <c r="T92" i="41"/>
  <c r="T89" i="41" s="1"/>
  <c r="T100" i="41"/>
  <c r="T97" i="41" s="1"/>
  <c r="T98" i="41" s="1"/>
  <c r="R104" i="41"/>
  <c r="R88" i="41"/>
  <c r="R100" i="41"/>
  <c r="R97" i="41" s="1"/>
  <c r="R92" i="41"/>
  <c r="R89" i="41" s="1"/>
  <c r="S88" i="41"/>
  <c r="S104" i="41"/>
  <c r="S92" i="41"/>
  <c r="S89" i="41" s="1"/>
  <c r="S100" i="41"/>
  <c r="S97" i="41" s="1"/>
  <c r="O100" i="41"/>
  <c r="O97" i="41" s="1"/>
  <c r="O88" i="41"/>
  <c r="O104" i="41"/>
  <c r="P100" i="41"/>
  <c r="P97" i="41" s="1"/>
  <c r="P104" i="41"/>
  <c r="P88" i="41"/>
  <c r="P92" i="41"/>
  <c r="P89" i="41" s="1"/>
  <c r="O94" i="41"/>
  <c r="R94" i="41"/>
  <c r="N96" i="41"/>
  <c r="N93" i="41" s="1"/>
  <c r="N100" i="41"/>
  <c r="N97" i="41" s="1"/>
  <c r="N92" i="41"/>
  <c r="N89" i="41" s="1"/>
  <c r="N88" i="41"/>
  <c r="N104" i="41"/>
  <c r="S94" i="41"/>
  <c r="O36" i="41"/>
  <c r="O65" i="41"/>
  <c r="N65" i="41"/>
  <c r="O60" i="41"/>
  <c r="N60" i="41"/>
  <c r="O55" i="41"/>
  <c r="N55" i="41"/>
  <c r="U74" i="41"/>
  <c r="T74" i="41"/>
  <c r="S74" i="41"/>
  <c r="R74" i="41"/>
  <c r="Q74" i="41"/>
  <c r="P74" i="41"/>
  <c r="O74" i="41"/>
  <c r="N74" i="41"/>
  <c r="U69" i="41"/>
  <c r="T69" i="41"/>
  <c r="S69" i="41"/>
  <c r="R69" i="41"/>
  <c r="Q69" i="41"/>
  <c r="P69" i="41"/>
  <c r="O69" i="41"/>
  <c r="N69" i="41"/>
  <c r="O64" i="41"/>
  <c r="N64" i="41"/>
  <c r="O59" i="41"/>
  <c r="N59" i="41"/>
  <c r="O54" i="41"/>
  <c r="N54" i="41"/>
  <c r="U50" i="41"/>
  <c r="T50" i="41"/>
  <c r="S50" i="41"/>
  <c r="R50" i="41"/>
  <c r="Q50" i="41"/>
  <c r="P50" i="41"/>
  <c r="O50" i="41"/>
  <c r="N50" i="41"/>
  <c r="U45" i="41"/>
  <c r="T45" i="41"/>
  <c r="S45" i="41"/>
  <c r="R45" i="41"/>
  <c r="Q45" i="41"/>
  <c r="P45" i="41"/>
  <c r="O45" i="41"/>
  <c r="N45" i="41"/>
  <c r="U40" i="41"/>
  <c r="T40" i="41"/>
  <c r="S40" i="41"/>
  <c r="R40" i="41"/>
  <c r="Q40" i="41"/>
  <c r="P40" i="41"/>
  <c r="O40" i="41"/>
  <c r="N40" i="41"/>
  <c r="U42" i="41"/>
  <c r="T42" i="41"/>
  <c r="S42" i="41"/>
  <c r="R42" i="41"/>
  <c r="Q42" i="41"/>
  <c r="P42" i="41"/>
  <c r="O42" i="41"/>
  <c r="N42" i="41"/>
  <c r="R1" i="37" l="1"/>
  <c r="Q98" i="41"/>
  <c r="P94" i="41"/>
  <c r="P98" i="41"/>
  <c r="K79" i="41"/>
  <c r="L100" i="41"/>
  <c r="L97" i="41" s="1"/>
  <c r="L98" i="41" s="1"/>
  <c r="L96" i="41"/>
  <c r="L93" i="41" s="1"/>
  <c r="L94" i="41" s="1"/>
  <c r="L88" i="41"/>
  <c r="L104" i="41"/>
  <c r="L101" i="41" s="1"/>
  <c r="L92" i="41"/>
  <c r="L89" i="41" s="1"/>
  <c r="O90" i="41"/>
  <c r="T90" i="41"/>
  <c r="Q90" i="41"/>
  <c r="R107" i="41"/>
  <c r="N94" i="41"/>
  <c r="N90" i="41"/>
  <c r="S98" i="41"/>
  <c r="S90" i="41"/>
  <c r="R98" i="41"/>
  <c r="N98" i="41"/>
  <c r="O98" i="41"/>
  <c r="R90" i="41"/>
  <c r="P90" i="41"/>
  <c r="U43" i="41"/>
  <c r="N51" i="41"/>
  <c r="R70" i="41"/>
  <c r="N101" i="41"/>
  <c r="N107" i="41" s="1"/>
  <c r="U101" i="41"/>
  <c r="O101" i="41"/>
  <c r="O107" i="41" s="1"/>
  <c r="R101" i="41"/>
  <c r="Q101" i="41"/>
  <c r="Q107" i="41" s="1"/>
  <c r="S101" i="41"/>
  <c r="S107" i="41" s="1"/>
  <c r="T43" i="41"/>
  <c r="P43" i="41"/>
  <c r="Q43" i="41"/>
  <c r="O43" i="41"/>
  <c r="S43" i="41"/>
  <c r="O46" i="41"/>
  <c r="N46" i="41"/>
  <c r="N70" i="41"/>
  <c r="O70" i="41"/>
  <c r="N75" i="41"/>
  <c r="S46" i="41"/>
  <c r="O51" i="41"/>
  <c r="O75" i="41"/>
  <c r="Q51" i="41"/>
  <c r="R75" i="41"/>
  <c r="U51" i="41"/>
  <c r="U75" i="41"/>
  <c r="S75" i="41"/>
  <c r="P51" i="41"/>
  <c r="T51" i="41"/>
  <c r="P46" i="41"/>
  <c r="P70" i="41"/>
  <c r="Q75" i="41"/>
  <c r="S51" i="41"/>
  <c r="T75" i="41"/>
  <c r="Q46" i="41"/>
  <c r="Q70" i="41"/>
  <c r="P75" i="41"/>
  <c r="R51" i="41"/>
  <c r="R46" i="41"/>
  <c r="S70" i="41"/>
  <c r="T46" i="41"/>
  <c r="T70" i="41"/>
  <c r="U46" i="41"/>
  <c r="U70" i="41"/>
  <c r="N43" i="41"/>
  <c r="R43" i="41"/>
  <c r="S1" i="37" l="1"/>
  <c r="L107" i="41"/>
  <c r="L90" i="41"/>
  <c r="U102" i="41"/>
  <c r="U107" i="41"/>
  <c r="K96" i="41"/>
  <c r="K93" i="41" s="1"/>
  <c r="K94" i="41" s="1"/>
  <c r="K100" i="41"/>
  <c r="K97" i="41" s="1"/>
  <c r="K98" i="41" s="1"/>
  <c r="K104" i="41"/>
  <c r="K101" i="41" s="1"/>
  <c r="K102" i="41" s="1"/>
  <c r="K92" i="41"/>
  <c r="K89" i="41" s="1"/>
  <c r="K88" i="41"/>
  <c r="L102" i="41"/>
  <c r="R102" i="41"/>
  <c r="Q102" i="41"/>
  <c r="P101" i="41"/>
  <c r="T101" i="41"/>
  <c r="N102" i="41"/>
  <c r="T4" i="41"/>
  <c r="S4" i="41" s="1"/>
  <c r="R4" i="41" s="1"/>
  <c r="Q4" i="41" s="1"/>
  <c r="P4" i="41" s="1"/>
  <c r="O4" i="41" s="1"/>
  <c r="N4" i="41" s="1"/>
  <c r="T1" i="37" l="1"/>
  <c r="T102" i="41"/>
  <c r="T107" i="41"/>
  <c r="K90" i="41"/>
  <c r="K107" i="41"/>
  <c r="P102" i="41"/>
  <c r="P107" i="41"/>
  <c r="S102" i="41"/>
  <c r="O102" i="41"/>
  <c r="U1" i="37" l="1"/>
  <c r="EX3" i="37"/>
  <c r="H3" i="38"/>
  <c r="G3" i="38"/>
  <c r="F3" i="38"/>
  <c r="E3" i="38"/>
  <c r="D3" i="38"/>
  <c r="C3" i="38"/>
  <c r="EJ3" i="38"/>
  <c r="EI3" i="38"/>
  <c r="EY3" i="37"/>
  <c r="H3" i="37"/>
  <c r="G3" i="37"/>
  <c r="F3" i="37"/>
  <c r="E3" i="37"/>
  <c r="D3" i="37"/>
  <c r="C3" i="37"/>
  <c r="V1" i="37" l="1"/>
  <c r="W1" i="37" l="1"/>
  <c r="EF3" i="37"/>
  <c r="EG3" i="37"/>
  <c r="EH3" i="37"/>
  <c r="EI3" i="37"/>
  <c r="EP3" i="37"/>
  <c r="EQ3" i="37"/>
  <c r="ER3" i="37"/>
  <c r="ES3" i="37"/>
  <c r="ET3" i="37"/>
  <c r="EU3" i="37"/>
  <c r="EV3" i="37"/>
  <c r="EW3" i="37"/>
  <c r="X1" i="37" l="1"/>
  <c r="EH3" i="38"/>
  <c r="EG3" i="38"/>
  <c r="EF3" i="38"/>
  <c r="Y1" i="37" l="1"/>
  <c r="EE3" i="38"/>
  <c r="ED3" i="38"/>
  <c r="EC3" i="38"/>
  <c r="EB3" i="38"/>
  <c r="EA3" i="38"/>
  <c r="DZ3" i="38"/>
  <c r="DY3" i="38"/>
  <c r="DX3" i="38"/>
  <c r="DW3" i="38"/>
  <c r="DV3" i="38"/>
  <c r="DU3" i="38"/>
  <c r="DT3" i="38"/>
  <c r="DS3" i="38"/>
  <c r="DR3" i="38"/>
  <c r="DQ3" i="38"/>
  <c r="DP3" i="38"/>
  <c r="DO3" i="38"/>
  <c r="DN3" i="38"/>
  <c r="DM3" i="38"/>
  <c r="DL3" i="38"/>
  <c r="DK3" i="38"/>
  <c r="DJ3" i="38"/>
  <c r="DI3" i="38"/>
  <c r="DH3" i="38"/>
  <c r="DG3" i="38"/>
  <c r="DF3" i="38"/>
  <c r="DE3" i="38"/>
  <c r="DD3" i="38"/>
  <c r="DC3" i="38"/>
  <c r="DB3" i="38"/>
  <c r="DA3" i="38"/>
  <c r="CZ3" i="38"/>
  <c r="CY3" i="38"/>
  <c r="CX3" i="38"/>
  <c r="CW3" i="38"/>
  <c r="CV3" i="38"/>
  <c r="CU3" i="38"/>
  <c r="CT3" i="38"/>
  <c r="CS3" i="38"/>
  <c r="CR3" i="38"/>
  <c r="CQ3" i="38"/>
  <c r="CP3" i="38"/>
  <c r="CO3" i="38"/>
  <c r="CN3" i="38"/>
  <c r="CM3" i="38"/>
  <c r="CL3" i="38"/>
  <c r="CK3" i="38"/>
  <c r="CJ3" i="38"/>
  <c r="CI3" i="38"/>
  <c r="CH3" i="38"/>
  <c r="CG3" i="38"/>
  <c r="CF3" i="38"/>
  <c r="CE3" i="38"/>
  <c r="CD3" i="38"/>
  <c r="CC3" i="38"/>
  <c r="CB3" i="38"/>
  <c r="CA3" i="38"/>
  <c r="BZ3" i="38"/>
  <c r="BY3" i="38"/>
  <c r="BX3" i="38"/>
  <c r="BW3" i="38"/>
  <c r="BV3" i="38"/>
  <c r="BU3" i="38"/>
  <c r="BT3" i="38"/>
  <c r="BS3" i="38"/>
  <c r="BR3" i="38"/>
  <c r="BQ3" i="38"/>
  <c r="BP3" i="38"/>
  <c r="BO3" i="38"/>
  <c r="BN3" i="38"/>
  <c r="BM3" i="38"/>
  <c r="BL3" i="38"/>
  <c r="BK3" i="38"/>
  <c r="BJ3" i="38"/>
  <c r="BI3" i="38"/>
  <c r="BH3" i="38"/>
  <c r="BG3" i="38"/>
  <c r="BF3" i="38"/>
  <c r="BE3" i="38"/>
  <c r="BD3" i="38"/>
  <c r="BC3" i="38"/>
  <c r="BB3" i="38"/>
  <c r="BA3" i="38"/>
  <c r="AZ3" i="38"/>
  <c r="AY3" i="38"/>
  <c r="AX3" i="38"/>
  <c r="AW3" i="38"/>
  <c r="AV3" i="38"/>
  <c r="AU3" i="38"/>
  <c r="AT3" i="38"/>
  <c r="AS3" i="38"/>
  <c r="AR3" i="38"/>
  <c r="AQ3" i="38"/>
  <c r="AP3" i="38"/>
  <c r="AO3" i="38"/>
  <c r="AN3" i="38"/>
  <c r="AM3" i="38"/>
  <c r="AL3" i="38"/>
  <c r="AK3" i="38"/>
  <c r="I3" i="38"/>
  <c r="B3" i="38"/>
  <c r="J1" i="38"/>
  <c r="EO3" i="37"/>
  <c r="EN3" i="37"/>
  <c r="EM3" i="37"/>
  <c r="EL3" i="37"/>
  <c r="EK3" i="37"/>
  <c r="EJ3" i="37"/>
  <c r="EE3" i="37"/>
  <c r="ED3" i="37"/>
  <c r="EC3" i="37"/>
  <c r="EB3" i="37"/>
  <c r="EA3" i="37"/>
  <c r="DZ3" i="37"/>
  <c r="DY3" i="37"/>
  <c r="DX3" i="37"/>
  <c r="DW3" i="37"/>
  <c r="DV3" i="37"/>
  <c r="DU3" i="37"/>
  <c r="DT3" i="37"/>
  <c r="DS3" i="37"/>
  <c r="DR3" i="37"/>
  <c r="DQ3" i="37"/>
  <c r="DP3" i="37"/>
  <c r="DO3" i="37"/>
  <c r="DN3" i="37"/>
  <c r="DM3" i="37"/>
  <c r="DL3" i="37"/>
  <c r="DK3" i="37"/>
  <c r="DJ3" i="37"/>
  <c r="DI3" i="37"/>
  <c r="DH3" i="37"/>
  <c r="DG3" i="37"/>
  <c r="DF3" i="37"/>
  <c r="DE3" i="37"/>
  <c r="DD3" i="37"/>
  <c r="DC3" i="37"/>
  <c r="DB3" i="37"/>
  <c r="DA3" i="37"/>
  <c r="CZ3" i="37"/>
  <c r="CY3" i="37"/>
  <c r="CX3" i="37"/>
  <c r="CW3" i="37"/>
  <c r="CV3" i="37"/>
  <c r="CU3" i="37"/>
  <c r="CT3" i="37"/>
  <c r="CS3" i="37"/>
  <c r="CR3" i="37"/>
  <c r="CQ3" i="37"/>
  <c r="CP3" i="37"/>
  <c r="CO3" i="37"/>
  <c r="CN3" i="37"/>
  <c r="CM3" i="37"/>
  <c r="CL3" i="37"/>
  <c r="CK3" i="37"/>
  <c r="CJ3" i="37"/>
  <c r="CI3" i="37"/>
  <c r="CH3" i="37"/>
  <c r="CG3" i="37"/>
  <c r="CF3" i="37"/>
  <c r="CE3" i="37"/>
  <c r="CD3" i="37"/>
  <c r="CC3" i="37"/>
  <c r="CB3" i="37"/>
  <c r="CA3" i="37"/>
  <c r="BZ3" i="37"/>
  <c r="BY3" i="37"/>
  <c r="BX3" i="37"/>
  <c r="BW3" i="37"/>
  <c r="BV3" i="37"/>
  <c r="BU3" i="37"/>
  <c r="BT3" i="37"/>
  <c r="BS3" i="37"/>
  <c r="BR3" i="37"/>
  <c r="BQ3" i="37"/>
  <c r="BP3" i="37"/>
  <c r="BO3" i="37"/>
  <c r="BN3" i="37"/>
  <c r="BM3" i="37"/>
  <c r="BL3" i="37"/>
  <c r="BK3" i="37"/>
  <c r="BJ3" i="37"/>
  <c r="BI3" i="37"/>
  <c r="BH3" i="37"/>
  <c r="BG3" i="37"/>
  <c r="BF3" i="37"/>
  <c r="BE3" i="37"/>
  <c r="BD3" i="37"/>
  <c r="BC3" i="37"/>
  <c r="BB3" i="37"/>
  <c r="BA3" i="37"/>
  <c r="AZ3" i="37"/>
  <c r="AY3" i="37"/>
  <c r="AX3" i="37"/>
  <c r="AW3" i="37"/>
  <c r="AV3" i="37"/>
  <c r="AU3" i="37"/>
  <c r="AT3" i="37"/>
  <c r="AS3" i="37"/>
  <c r="AR3" i="37"/>
  <c r="AQ3" i="37"/>
  <c r="AP3" i="37"/>
  <c r="AO3" i="37"/>
  <c r="AN3" i="37"/>
  <c r="AM3" i="37"/>
  <c r="AL3" i="37"/>
  <c r="AK3" i="37"/>
  <c r="I3" i="37"/>
  <c r="B3" i="37"/>
  <c r="Z1" i="37" l="1"/>
  <c r="J3" i="37"/>
  <c r="J3" i="38"/>
  <c r="K1" i="38"/>
  <c r="AA1" i="37" l="1"/>
  <c r="K3" i="37"/>
  <c r="K3" i="38"/>
  <c r="L1" i="38"/>
  <c r="AB1" i="37" l="1"/>
  <c r="L3" i="38"/>
  <c r="M1" i="38"/>
  <c r="L3" i="37"/>
  <c r="AC1" i="37" l="1"/>
  <c r="M3" i="38"/>
  <c r="N1" i="38"/>
  <c r="M3" i="37"/>
  <c r="AD1" i="37" l="1"/>
  <c r="N3" i="37"/>
  <c r="N3" i="38"/>
  <c r="O1" i="38"/>
  <c r="AE1" i="37" l="1"/>
  <c r="O3" i="38"/>
  <c r="P1" i="38"/>
  <c r="O3" i="37"/>
  <c r="AF1" i="37" l="1"/>
  <c r="P3" i="37"/>
  <c r="P3" i="38"/>
  <c r="Q1" i="38"/>
  <c r="AG1" i="37" l="1"/>
  <c r="Q3" i="37"/>
  <c r="Q3" i="38"/>
  <c r="R1" i="38"/>
  <c r="AH1" i="37" l="1"/>
  <c r="R3" i="38"/>
  <c r="S1" i="38"/>
  <c r="R3" i="37"/>
  <c r="AI1" i="37" l="1"/>
  <c r="T1" i="38"/>
  <c r="S3" i="38"/>
  <c r="S3" i="37"/>
  <c r="AJ1" i="37" l="1"/>
  <c r="T3" i="37"/>
  <c r="U1" i="38"/>
  <c r="T3" i="38"/>
  <c r="U3" i="37" l="1"/>
  <c r="V1" i="38"/>
  <c r="U3" i="38"/>
  <c r="V3" i="37" l="1"/>
  <c r="W1" i="38"/>
  <c r="V3" i="38"/>
  <c r="W3" i="37" l="1"/>
  <c r="X1" i="38"/>
  <c r="W3" i="38"/>
  <c r="X3" i="37" l="1"/>
  <c r="X3" i="38"/>
  <c r="Y1" i="38"/>
  <c r="Y3" i="37" l="1"/>
  <c r="Y3" i="38"/>
  <c r="Z1" i="38"/>
  <c r="Z3" i="38" l="1"/>
  <c r="AA1" i="38"/>
  <c r="Z3" i="37"/>
  <c r="AB1" i="38" l="1"/>
  <c r="AA3" i="38"/>
  <c r="AA3" i="37"/>
  <c r="AB3" i="37" l="1"/>
  <c r="AB3" i="38"/>
  <c r="AC1" i="38"/>
  <c r="AC3" i="38" l="1"/>
  <c r="AD1" i="38"/>
  <c r="AC3" i="37"/>
  <c r="AD3" i="38" l="1"/>
  <c r="AE1" i="38"/>
  <c r="AD3" i="37"/>
  <c r="AE3" i="37" l="1"/>
  <c r="AE3" i="38"/>
  <c r="AF1" i="38"/>
  <c r="AF3" i="37" l="1"/>
  <c r="AF3" i="38"/>
  <c r="AG1" i="38"/>
  <c r="AG3" i="38" l="1"/>
  <c r="AH1" i="38"/>
  <c r="AG3" i="37"/>
  <c r="AH3" i="38" l="1"/>
  <c r="AI1" i="38"/>
  <c r="AH3" i="37"/>
  <c r="AI3" i="37" l="1"/>
  <c r="AI3" i="38"/>
  <c r="AJ1" i="38"/>
  <c r="AJ3" i="38" l="1"/>
  <c r="AJ3" i="37"/>
  <c r="BE4" i="41" l="1"/>
  <c r="BC4" i="41" l="1"/>
  <c r="BD4" i="41"/>
  <c r="BB4" i="41"/>
  <c r="BA4" i="41" l="1"/>
  <c r="AZ4" i="41" l="1"/>
  <c r="AY4" i="41" l="1"/>
  <c r="AX4" i="41"/>
  <c r="AW4" i="41" l="1"/>
  <c r="AV4" i="41" l="1"/>
  <c r="AU4" i="41" l="1"/>
  <c r="AT4" i="41" l="1"/>
  <c r="AS4" i="41" l="1"/>
  <c r="AR4" i="41" l="1"/>
  <c r="AQ4" i="41" l="1"/>
  <c r="AP4" i="41" l="1"/>
  <c r="AO4" i="41" l="1"/>
  <c r="AN4" i="41" l="1"/>
  <c r="L2" i="37"/>
  <c r="L2" i="38"/>
  <c r="M2" i="38"/>
  <c r="M2" i="37"/>
  <c r="N2" i="37"/>
  <c r="N2" i="38"/>
  <c r="J2" i="37"/>
  <c r="J2" i="38"/>
  <c r="Y2" i="38"/>
  <c r="U2" i="37"/>
  <c r="V2" i="38"/>
  <c r="W2" i="38"/>
  <c r="X2" i="38"/>
  <c r="Z2" i="38"/>
  <c r="AA2" i="38"/>
  <c r="AB2" i="37"/>
  <c r="AD2" i="38"/>
  <c r="AE2" i="38"/>
  <c r="AF2" i="37"/>
  <c r="AG2" i="37"/>
  <c r="AH2" i="37"/>
  <c r="AI2" i="38"/>
  <c r="AJ2" i="38"/>
  <c r="U2" i="38"/>
  <c r="I2" i="37"/>
  <c r="K2" i="38"/>
  <c r="K2" i="37"/>
  <c r="V2" i="37"/>
  <c r="X2" i="37"/>
  <c r="Y2" i="37"/>
  <c r="Z2" i="37"/>
  <c r="AA2" i="37"/>
  <c r="AB2" i="38"/>
  <c r="AC2" i="37"/>
  <c r="AD2" i="37"/>
  <c r="AF2" i="38"/>
  <c r="AG2" i="38"/>
  <c r="AH2" i="38"/>
  <c r="AI2" i="37"/>
  <c r="W2" i="37"/>
  <c r="AJ2" i="37"/>
  <c r="AC2" i="38"/>
  <c r="I2" i="38"/>
  <c r="AE2" i="37"/>
  <c r="AM4" i="41" l="1"/>
  <c r="O2" i="38"/>
  <c r="O2" i="37"/>
  <c r="P2" i="38"/>
  <c r="P2" i="37"/>
  <c r="AL4" i="41" l="1"/>
  <c r="Q2" i="37"/>
  <c r="Q2" i="38"/>
  <c r="AK4" i="41" l="1"/>
  <c r="R2" i="37"/>
  <c r="R2" i="38"/>
  <c r="AJ4" i="41" l="1"/>
  <c r="S2" i="38"/>
  <c r="S2" i="37"/>
  <c r="T2" i="37" l="1"/>
  <c r="T2" i="38"/>
  <c r="AI4" i="41" l="1"/>
  <c r="AH4" i="41" l="1"/>
  <c r="AG4" i="41" l="1"/>
  <c r="AF4" i="41" l="1"/>
  <c r="AD4" i="41" l="1"/>
  <c r="AE4" i="41"/>
  <c r="AC4" i="41" l="1"/>
  <c r="AB4" i="41" l="1"/>
  <c r="AA4" i="41"/>
  <c r="Z4" i="41" l="1"/>
  <c r="AQ2" i="37" l="1"/>
  <c r="AM2" i="37"/>
  <c r="AQ2" i="38"/>
  <c r="AR2" i="37"/>
  <c r="AN2" i="38"/>
  <c r="AL2" i="38"/>
  <c r="AP2" i="37"/>
  <c r="AP2" i="38"/>
  <c r="AL2" i="37"/>
  <c r="AT2" i="37"/>
  <c r="AM2" i="38"/>
  <c r="CR2" i="37" l="1"/>
  <c r="DD2" i="38"/>
  <c r="CB2" i="37"/>
  <c r="CM2" i="37"/>
  <c r="CV2" i="37"/>
  <c r="CQ2" i="37"/>
  <c r="DT2" i="37"/>
  <c r="CD2" i="37"/>
  <c r="DX2" i="38"/>
  <c r="DQ2" i="37"/>
  <c r="CT2" i="37"/>
  <c r="DD2" i="37"/>
  <c r="DL2" i="37"/>
  <c r="CJ2" i="38"/>
  <c r="CU2" i="38"/>
  <c r="DT2" i="38"/>
  <c r="CI2" i="37"/>
  <c r="CW2" i="37"/>
  <c r="BV2" i="37"/>
  <c r="DW2" i="38"/>
  <c r="DB2" i="38"/>
  <c r="DM2" i="38"/>
  <c r="DO2" i="38"/>
  <c r="DL2" i="38"/>
  <c r="DG2" i="37"/>
  <c r="DE2" i="38"/>
  <c r="DI2" i="38"/>
  <c r="BT2" i="37"/>
  <c r="BZ2" i="37"/>
  <c r="CL2" i="37"/>
  <c r="CU2" i="37"/>
  <c r="DY2" i="38"/>
  <c r="CC2" i="38"/>
  <c r="DQ2" i="38"/>
  <c r="DJ2" i="38"/>
  <c r="DA2" i="37"/>
  <c r="DO2" i="37"/>
  <c r="EC2" i="38"/>
  <c r="EB2" i="37"/>
  <c r="DC2" i="38"/>
  <c r="CN2" i="37"/>
  <c r="CK2" i="37"/>
  <c r="DG2" i="38"/>
  <c r="CL2" i="38"/>
  <c r="CT2" i="38"/>
  <c r="DP2" i="37"/>
  <c r="BT2" i="38"/>
  <c r="DC2" i="37"/>
  <c r="EA2" i="37"/>
  <c r="CN2" i="38"/>
  <c r="CG2" i="38"/>
  <c r="CF2" i="38"/>
  <c r="BR2" i="38"/>
  <c r="DN2" i="37"/>
  <c r="DU2" i="37"/>
  <c r="CO2" i="37"/>
  <c r="BS2" i="37"/>
  <c r="CH2" i="38"/>
  <c r="CC2" i="37"/>
  <c r="CY2" i="38"/>
  <c r="DH2" i="38"/>
  <c r="CB2" i="38"/>
  <c r="DK2" i="38"/>
  <c r="CV2" i="38"/>
  <c r="EA2" i="38"/>
  <c r="CS2" i="38"/>
  <c r="CE2" i="38"/>
  <c r="DU2" i="38"/>
  <c r="DS2" i="38"/>
  <c r="DZ2" i="38"/>
  <c r="DP2" i="38"/>
  <c r="CP2" i="38"/>
  <c r="DB2" i="37"/>
  <c r="BW2" i="38"/>
  <c r="BZ2" i="38"/>
  <c r="DX2" i="37"/>
  <c r="CS2" i="37"/>
  <c r="CA2" i="37"/>
  <c r="CJ2" i="37"/>
  <c r="BY2" i="38"/>
  <c r="DW2" i="37"/>
  <c r="DY2" i="37"/>
  <c r="CY2" i="37"/>
  <c r="BX2" i="37"/>
  <c r="CF2" i="37"/>
  <c r="CQ2" i="38"/>
  <c r="EB2" i="38"/>
  <c r="EC2" i="37"/>
  <c r="DN2" i="38"/>
  <c r="CP2" i="37"/>
  <c r="CO2" i="38"/>
  <c r="CW2" i="38"/>
  <c r="DV2" i="38"/>
  <c r="BX2" i="38"/>
  <c r="DA2" i="38"/>
  <c r="CZ2" i="37"/>
  <c r="DS2" i="37"/>
  <c r="CG2" i="37"/>
  <c r="DZ2" i="37"/>
  <c r="DF2" i="38"/>
  <c r="BY2" i="37"/>
  <c r="CH2" i="37"/>
  <c r="CE2" i="37"/>
  <c r="BR2" i="37"/>
  <c r="DI2" i="37"/>
  <c r="DR2" i="38"/>
  <c r="DM2" i="37"/>
  <c r="CI2" i="38"/>
  <c r="CR2" i="38"/>
  <c r="CK2" i="38"/>
  <c r="CZ2" i="38"/>
  <c r="CA2" i="38"/>
  <c r="DE2" i="37"/>
  <c r="BS2" i="38"/>
  <c r="BV2" i="38"/>
  <c r="DV2" i="37"/>
  <c r="BU2" i="37"/>
  <c r="CX2" i="38"/>
  <c r="CM2" i="38"/>
  <c r="BW2" i="37"/>
  <c r="DJ2" i="37"/>
  <c r="BU2" i="38"/>
  <c r="DR2" i="37"/>
  <c r="DK2" i="37"/>
  <c r="DH2" i="37"/>
  <c r="DF2" i="37"/>
  <c r="CX2" i="37"/>
  <c r="CD2" i="38"/>
  <c r="AT2" i="38"/>
  <c r="AN2" i="37"/>
  <c r="AO2" i="38"/>
  <c r="AO2" i="37"/>
  <c r="AU2" i="37"/>
  <c r="AU2" i="38"/>
  <c r="AX2" i="38"/>
  <c r="AX2" i="37"/>
  <c r="AV2" i="37"/>
  <c r="AV2" i="38"/>
  <c r="AR2" i="38" l="1"/>
  <c r="AS2" i="38"/>
  <c r="AS2" i="37"/>
  <c r="BB2" i="37"/>
  <c r="BB2" i="38"/>
  <c r="AY2" i="38"/>
  <c r="AY2" i="37"/>
  <c r="AZ2" i="37"/>
  <c r="AZ2" i="38"/>
  <c r="BC2" i="38"/>
  <c r="BC2" i="37"/>
  <c r="BD2" i="38"/>
  <c r="BD2" i="37"/>
  <c r="BF2" i="37" l="1"/>
  <c r="BF2" i="38"/>
  <c r="AW2" i="38"/>
  <c r="AW2" i="37"/>
  <c r="BG2" i="37"/>
  <c r="BG2" i="38"/>
  <c r="BH2" i="38"/>
  <c r="BH2" i="37"/>
  <c r="BA2" i="37" l="1"/>
  <c r="BA2" i="38"/>
  <c r="BJ2" i="37"/>
  <c r="BJ2" i="38"/>
  <c r="BL2" i="37"/>
  <c r="BL2" i="38"/>
  <c r="BK2" i="37"/>
  <c r="BK2" i="38"/>
  <c r="BE2" i="37" l="1"/>
  <c r="BE2" i="38"/>
  <c r="BN2" i="38"/>
  <c r="BN2" i="37"/>
  <c r="BP2" i="37"/>
  <c r="BP2" i="38"/>
  <c r="BO2" i="38"/>
  <c r="BO2" i="37"/>
  <c r="BI2" i="38" l="1"/>
  <c r="BI2" i="37"/>
  <c r="BM2" i="37" l="1"/>
  <c r="BM2" i="38"/>
  <c r="BQ2" i="38" l="1"/>
  <c r="BQ2" i="37"/>
</calcChain>
</file>

<file path=xl/sharedStrings.xml><?xml version="1.0" encoding="utf-8"?>
<sst xmlns="http://schemas.openxmlformats.org/spreadsheetml/2006/main" count="3212" uniqueCount="292">
  <si>
    <t>Ticker</t>
  </si>
  <si>
    <t>Current Price</t>
  </si>
  <si>
    <t>P / E</t>
  </si>
  <si>
    <t>EBITDA</t>
  </si>
  <si>
    <t>D&amp;A</t>
  </si>
  <si>
    <t>CapEx</t>
  </si>
  <si>
    <t>EV / EBITDA</t>
  </si>
  <si>
    <t>WACC</t>
  </si>
  <si>
    <t>Equity to Total Capital</t>
  </si>
  <si>
    <t>Interest Expense</t>
  </si>
  <si>
    <t>Revenue</t>
  </si>
  <si>
    <t>Earnings</t>
  </si>
  <si>
    <t>Date</t>
  </si>
  <si>
    <t>Common Size</t>
  </si>
  <si>
    <t>Operating Income</t>
  </si>
  <si>
    <t>Interest Income</t>
  </si>
  <si>
    <t>Multiple</t>
  </si>
  <si>
    <t>Trailing</t>
  </si>
  <si>
    <t>COE</t>
  </si>
  <si>
    <t>YoY Growth %</t>
  </si>
  <si>
    <t>Proyection Years</t>
  </si>
  <si>
    <t>Tax Rate</t>
  </si>
  <si>
    <t>CFO</t>
  </si>
  <si>
    <t>Type</t>
  </si>
  <si>
    <t>Forward</t>
  </si>
  <si>
    <t>FCF</t>
  </si>
  <si>
    <t>.</t>
  </si>
  <si>
    <t>AWS</t>
  </si>
  <si>
    <t>AWS Revenue</t>
  </si>
  <si>
    <t>International Revenue</t>
  </si>
  <si>
    <t>Total</t>
  </si>
  <si>
    <t>Price Target</t>
  </si>
  <si>
    <t>AMZN</t>
  </si>
  <si>
    <t>International Operating Income</t>
  </si>
  <si>
    <t>SALES_REV_TURN</t>
  </si>
  <si>
    <t>ARD_OPERATING_INCOME</t>
  </si>
  <si>
    <t>IS_INT_INC</t>
  </si>
  <si>
    <t>IS_INT_EXPENSE</t>
  </si>
  <si>
    <t>ARD_DEPRECIATION_AND_AMORT_CF</t>
  </si>
  <si>
    <t>IS_COMPARABLE_EBITDA</t>
  </si>
  <si>
    <t>IS_COMP_NET_INCOME_GAAP</t>
  </si>
  <si>
    <t>IS_SH_FOR_DILUTED_EPS</t>
  </si>
  <si>
    <t>ARD_TOT_CASH_FLOWS_FROM_OPS</t>
  </si>
  <si>
    <t>ARD_CAPITAL_EXPENDITURES</t>
  </si>
  <si>
    <t>SEG0000227465 Segment</t>
  </si>
  <si>
    <t>SEG0000227430 Segment</t>
  </si>
  <si>
    <t>SEG0000227462 Segment</t>
  </si>
  <si>
    <t>IS_OPER_INC</t>
  </si>
  <si>
    <t/>
  </si>
  <si>
    <t>US Revenue</t>
  </si>
  <si>
    <t>USREV</t>
  </si>
  <si>
    <t>INTREV</t>
  </si>
  <si>
    <t>OPINC</t>
  </si>
  <si>
    <t>OPINC2</t>
  </si>
  <si>
    <t>OPINC3</t>
  </si>
  <si>
    <t>Q1 - 2022</t>
  </si>
  <si>
    <t>Q2 - 2022</t>
  </si>
  <si>
    <t>Q3 - 2022</t>
  </si>
  <si>
    <t>Q4 - 2022</t>
  </si>
  <si>
    <t>Q1 - 2023</t>
  </si>
  <si>
    <t>Q2 - 2023</t>
  </si>
  <si>
    <t>Q3 - 2023</t>
  </si>
  <si>
    <t>Q4 - 2023</t>
  </si>
  <si>
    <t>Q1 - 2024</t>
  </si>
  <si>
    <t>Q2 - 2024</t>
  </si>
  <si>
    <t>Q3 - 2024</t>
  </si>
  <si>
    <t>Q4 - 2024</t>
  </si>
  <si>
    <t>Q1 - 2025</t>
  </si>
  <si>
    <t>Q2 - 2025</t>
  </si>
  <si>
    <t>Q3 - 2025</t>
  </si>
  <si>
    <t>Q4 - 2025</t>
  </si>
  <si>
    <t>Q1 - 2026</t>
  </si>
  <si>
    <t>Q2 - 2026</t>
  </si>
  <si>
    <t>Q3 - 2026</t>
  </si>
  <si>
    <t>Q4 - 2026</t>
  </si>
  <si>
    <t>Q1 - 2027</t>
  </si>
  <si>
    <t>Q2 - 2027</t>
  </si>
  <si>
    <t>Q3 - 2027</t>
  </si>
  <si>
    <t>Q4 - 2027</t>
  </si>
  <si>
    <t>Q1 - 2028</t>
  </si>
  <si>
    <t>Q2 - 2028</t>
  </si>
  <si>
    <t>Q3 - 2028</t>
  </si>
  <si>
    <t>Q4 - 2028</t>
  </si>
  <si>
    <t>Q1 - 2029</t>
  </si>
  <si>
    <t>Q2 - 2029</t>
  </si>
  <si>
    <t>Q3 - 2029</t>
  </si>
  <si>
    <t>Q4 - 2029</t>
  </si>
  <si>
    <t>Q1 - 2030</t>
  </si>
  <si>
    <t>Q2 - 2030</t>
  </si>
  <si>
    <t>Q3 - 2030</t>
  </si>
  <si>
    <t>Q4 - 2030</t>
  </si>
  <si>
    <t>Q1 - 2031</t>
  </si>
  <si>
    <t>Q2 - 2031</t>
  </si>
  <si>
    <t>Q3 - 2031</t>
  </si>
  <si>
    <t>Q4 - 2031</t>
  </si>
  <si>
    <t>Q1 - 2032</t>
  </si>
  <si>
    <t>Q2 - 2032</t>
  </si>
  <si>
    <t>Q3 - 2032</t>
  </si>
  <si>
    <t>Q4 - 2032</t>
  </si>
  <si>
    <t>Q1 - 2033</t>
  </si>
  <si>
    <t>Q2 - 2033</t>
  </si>
  <si>
    <t>Q3 - 2033</t>
  </si>
  <si>
    <t>Q4 - 2033</t>
  </si>
  <si>
    <t>Q1 - 2034</t>
  </si>
  <si>
    <t>Q2 - 2034</t>
  </si>
  <si>
    <t>Q3 - 2034</t>
  </si>
  <si>
    <t>Q4 - 2034</t>
  </si>
  <si>
    <t>Q1 - 2035</t>
  </si>
  <si>
    <t>Q2 - 2035</t>
  </si>
  <si>
    <t>Q3 - 2035</t>
  </si>
  <si>
    <t>Q4 - 2035</t>
  </si>
  <si>
    <t>Q1 - 2036</t>
  </si>
  <si>
    <t>Q2 - 2036</t>
  </si>
  <si>
    <t>Q3 - 2036</t>
  </si>
  <si>
    <t>Q4 - 2036</t>
  </si>
  <si>
    <t>Q1 - 2037</t>
  </si>
  <si>
    <t>Q2 - 2037</t>
  </si>
  <si>
    <t>Q3 - 2037</t>
  </si>
  <si>
    <t>Q4 - 2037</t>
  </si>
  <si>
    <t>Q1 - 2038</t>
  </si>
  <si>
    <t>Q2 - 2038</t>
  </si>
  <si>
    <t>Q3 - 2038</t>
  </si>
  <si>
    <t>Q4 - 2038</t>
  </si>
  <si>
    <t>Q1 - 2039</t>
  </si>
  <si>
    <t>Q2 - 2039</t>
  </si>
  <si>
    <t>Q3 - 2039</t>
  </si>
  <si>
    <t>Q4 - 2039</t>
  </si>
  <si>
    <t>Q1 - 2040</t>
  </si>
  <si>
    <t>Q2 - 2040</t>
  </si>
  <si>
    <t>Q3 - 2040</t>
  </si>
  <si>
    <t>Q4 - 2040</t>
  </si>
  <si>
    <t>Q1 - 2041</t>
  </si>
  <si>
    <t>Q2 - 2041</t>
  </si>
  <si>
    <t>Q3 - 2041</t>
  </si>
  <si>
    <t>Q4 - 2041</t>
  </si>
  <si>
    <t>Q1 - 2042</t>
  </si>
  <si>
    <t>Q2 - 2042</t>
  </si>
  <si>
    <t>Q3 - 2042</t>
  </si>
  <si>
    <t>Q4 - 2042</t>
  </si>
  <si>
    <t>Q1 - 2043</t>
  </si>
  <si>
    <t>Q2 - 2043</t>
  </si>
  <si>
    <t>Q3 - 2043</t>
  </si>
  <si>
    <t>Q4 - 2043</t>
  </si>
  <si>
    <t>Q1 - 2044</t>
  </si>
  <si>
    <t>Q2 - 2044</t>
  </si>
  <si>
    <t>Q3 - 2044</t>
  </si>
  <si>
    <t>Q4 - 2044</t>
  </si>
  <si>
    <t>Q1 - 2045</t>
  </si>
  <si>
    <t>Q2 - 2045</t>
  </si>
  <si>
    <t>Q3 - 2045</t>
  </si>
  <si>
    <t>Q4 - 2045</t>
  </si>
  <si>
    <t>Snapshot Date</t>
  </si>
  <si>
    <t>After Quarter</t>
  </si>
  <si>
    <t>Case</t>
  </si>
  <si>
    <t xml:space="preserve">Year </t>
  </si>
  <si>
    <t>Fair Value</t>
  </si>
  <si>
    <t># of Shares</t>
  </si>
  <si>
    <t>AWS Operating Income</t>
  </si>
  <si>
    <t>US operating Income</t>
  </si>
  <si>
    <t>Time</t>
  </si>
  <si>
    <t>ID</t>
  </si>
  <si>
    <t>Multiple Type</t>
  </si>
  <si>
    <t>COD</t>
  </si>
  <si>
    <t>Beta</t>
  </si>
  <si>
    <t>Avg Market Return</t>
  </si>
  <si>
    <t>RFR</t>
  </si>
  <si>
    <t>US_DNA</t>
  </si>
  <si>
    <t>US_CAPEX</t>
  </si>
  <si>
    <t>INT_DNA</t>
  </si>
  <si>
    <t>INT_CAPEX</t>
  </si>
  <si>
    <t>INT_PPE</t>
  </si>
  <si>
    <t>US_PPE</t>
  </si>
  <si>
    <t>AWS_DNA</t>
  </si>
  <si>
    <t>AWS_CAPEX</t>
  </si>
  <si>
    <t>AWS_PPE</t>
  </si>
  <si>
    <t>CORP_CAPEX</t>
  </si>
  <si>
    <t>CORP_PPE</t>
  </si>
  <si>
    <t>Corporate &amp; Other D&amp;A</t>
  </si>
  <si>
    <t>USD</t>
  </si>
  <si>
    <t>Revenue (BBG Est.)</t>
  </si>
  <si>
    <t>EBITDA (BBG Est.)</t>
  </si>
  <si>
    <t>US EBITDA</t>
  </si>
  <si>
    <t>International EBITDA</t>
  </si>
  <si>
    <t>AWS EBITDA</t>
  </si>
  <si>
    <t>US D&amp;A</t>
  </si>
  <si>
    <t>International D&amp;A</t>
  </si>
  <si>
    <t>AWS D&amp;A</t>
  </si>
  <si>
    <t>US CapEx</t>
  </si>
  <si>
    <t>International CapEx</t>
  </si>
  <si>
    <t>AWS CapEx</t>
  </si>
  <si>
    <t>US PP&amp;E</t>
  </si>
  <si>
    <t>International PP&amp;E</t>
  </si>
  <si>
    <t>AWS PP&amp;E</t>
  </si>
  <si>
    <t>US_EBITDA</t>
  </si>
  <si>
    <t>AWS_EBITDA</t>
  </si>
  <si>
    <t>INT_EBITDA</t>
  </si>
  <si>
    <t>EBITDA Segments</t>
  </si>
  <si>
    <t>Corporate &amp; Other EBITDA</t>
  </si>
  <si>
    <t>Corporate CapEx</t>
  </si>
  <si>
    <t>Other CapEx</t>
  </si>
  <si>
    <t>Corporate PP&amp;E</t>
  </si>
  <si>
    <t>Other PP&amp;E</t>
  </si>
  <si>
    <t>OTHER_CAPEX</t>
  </si>
  <si>
    <t>CORP_OTHER_DNA</t>
  </si>
  <si>
    <t>CORP_OTHER_EBITDA</t>
  </si>
  <si>
    <t>EBITDA_SEGM</t>
  </si>
  <si>
    <t>OTHER_PPE</t>
  </si>
  <si>
    <t>Shares Outstanding (BBG Est.)</t>
  </si>
  <si>
    <t>Earnings (BBG Est.)</t>
  </si>
  <si>
    <t>Base</t>
  </si>
  <si>
    <t>M</t>
  </si>
  <si>
    <t>metric</t>
  </si>
  <si>
    <t>segment</t>
  </si>
  <si>
    <t>unit</t>
  </si>
  <si>
    <t>scale</t>
  </si>
  <si>
    <t>source</t>
  </si>
  <si>
    <t>DEFAULT</t>
  </si>
  <si>
    <t>NUM</t>
  </si>
  <si>
    <t>U</t>
  </si>
  <si>
    <t>EFF_TAX_RATE</t>
  </si>
  <si>
    <t>PERCENT</t>
  </si>
  <si>
    <t>HEADLINE_FCF</t>
  </si>
  <si>
    <t>contributor_stats(SALES_REV_TURN)</t>
  </si>
  <si>
    <t>BBG</t>
  </si>
  <si>
    <t>contributor_stats(EBITDA)</t>
  </si>
  <si>
    <t>contributor_stats(CB_IS_ADJ_DILUTED_AVG_SHS)</t>
  </si>
  <si>
    <t>contributor_stats(IS_COMP_NET_INCOME_GAAP)</t>
  </si>
  <si>
    <t>SEGM</t>
  </si>
  <si>
    <t>REV</t>
  </si>
  <si>
    <t>OP_INCOME</t>
  </si>
  <si>
    <t>EARNINGS</t>
  </si>
  <si>
    <t>SHARES</t>
  </si>
  <si>
    <t>DNA</t>
  </si>
  <si>
    <t>INT_INC</t>
  </si>
  <si>
    <t>INT_EXP</t>
  </si>
  <si>
    <t>TAX_RATE</t>
  </si>
  <si>
    <t>CAPEX</t>
  </si>
  <si>
    <t>REV_BBG_EST</t>
  </si>
  <si>
    <t>EBITDA_BBG_EST</t>
  </si>
  <si>
    <t>SHARES_BBG_EST</t>
  </si>
  <si>
    <t>EARNINGS_BBG_EST</t>
  </si>
  <si>
    <t>sm_code</t>
  </si>
  <si>
    <t>period_type</t>
  </si>
  <si>
    <t>projection</t>
  </si>
  <si>
    <t>actual</t>
  </si>
  <si>
    <t>Dollar Growth</t>
  </si>
  <si>
    <t>Model Inputs</t>
  </si>
  <si>
    <t>Land &amp; Buildings</t>
  </si>
  <si>
    <t>Equipment</t>
  </si>
  <si>
    <t>Construction in Progress</t>
  </si>
  <si>
    <t>Other Assets</t>
  </si>
  <si>
    <t>Other Equipment</t>
  </si>
  <si>
    <t>Heavy Equipment</t>
  </si>
  <si>
    <t>Servers &amp; Network Equipment</t>
  </si>
  <si>
    <t>Gross PP&amp;E</t>
  </si>
  <si>
    <t>Intra-Year Adjustment</t>
  </si>
  <si>
    <t>Adjustment Factor</t>
  </si>
  <si>
    <t>Capacity</t>
  </si>
  <si>
    <t>General Infrastructure</t>
  </si>
  <si>
    <t>Chips</t>
  </si>
  <si>
    <t>Chip Assumptions</t>
  </si>
  <si>
    <t>Trainium</t>
  </si>
  <si>
    <t>Inferentia2</t>
  </si>
  <si>
    <t>Blackwell H200</t>
  </si>
  <si>
    <t>% share in DCs</t>
  </si>
  <si>
    <t>Energy Consumption (kW)</t>
  </si>
  <si>
    <t>Cost of Chip</t>
  </si>
  <si>
    <t>Cost in GW</t>
  </si>
  <si>
    <t>Electrical</t>
  </si>
  <si>
    <t>Mechanical</t>
  </si>
  <si>
    <t>Building Shell</t>
  </si>
  <si>
    <t>Interior Fit Out</t>
  </si>
  <si>
    <t>Land</t>
  </si>
  <si>
    <t>$ Cost</t>
  </si>
  <si>
    <t>Total GW Cost $</t>
  </si>
  <si>
    <t>Shell Cost (GW)</t>
  </si>
  <si>
    <t>Useful Lives</t>
  </si>
  <si>
    <t>Buildings</t>
  </si>
  <si>
    <t>Servers and networking equipment</t>
  </si>
  <si>
    <t>Heavy equipment</t>
  </si>
  <si>
    <t>Other equipment</t>
  </si>
  <si>
    <t>Capex</t>
  </si>
  <si>
    <t>Depreciation</t>
  </si>
  <si>
    <t>Previous PP&amp;E Depreciation</t>
  </si>
  <si>
    <t>New PP&amp;E Depreciation</t>
  </si>
  <si>
    <t>Land as % of Land &amp; Buildings</t>
  </si>
  <si>
    <t>CapEx Deployment Analytics</t>
  </si>
  <si>
    <t>Percentage of Year CapEx</t>
  </si>
  <si>
    <t>Time-Weight Factor</t>
  </si>
  <si>
    <t>Common Size Addition</t>
  </si>
  <si>
    <t xml:space="preserve">% CIP change flowing to L&amp;B </t>
  </si>
  <si>
    <t>Depreciation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</si>
</sst>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0.0%"/>
    <numFmt numFmtId="166" formatCode="&quot;$&quot;#,##0.00"/>
    <numFmt numFmtId="168" formatCode="#,##0.0_);\(#,##0.0\)"/>
    <numFmt numFmtId="170" formatCode="[$-409]mmm\-yy;@"/>
    <numFmt numFmtId="171" formatCode="#,##0.0"/>
    <numFmt numFmtId="172" formatCode="_(* #,##0_);_(* \(#,##0\);_(* &quot;-&quot;??_);_(@_)"/>
    <numFmt numFmtId="183" formatCode="&quot;$&quot;#,##0"/>
    <numFmt numFmtId="185" formatCode="_-* #,##0.00_-;\-* #,##0.00_-;_-* &quot;-&quot;??_-;_-@_-"/>
    <numFmt numFmtId="190" formatCode="#,##0.0\ &quot;Years&quot;"/>
    <numFmt numFmtId="198" formatCode="0&quot;E&quot;"/>
    <numFmt numFmtId="199" formatCode="m/d/yy\ h:mm;@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Nunito"/>
    </font>
    <font>
      <sz val="11"/>
      <color theme="1"/>
      <name val="Nunito"/>
    </font>
    <font>
      <b/>
      <sz val="10"/>
      <color theme="1"/>
      <name val="Nunito"/>
    </font>
    <font>
      <sz val="11"/>
      <name val="Nunito"/>
    </font>
    <font>
      <b/>
      <sz val="11"/>
      <color theme="1"/>
      <name val="Nunito"/>
    </font>
    <font>
      <b/>
      <sz val="12"/>
      <name val="Nunito"/>
    </font>
    <font>
      <b/>
      <sz val="11"/>
      <name val="Nunito"/>
    </font>
    <font>
      <sz val="14"/>
      <name val="Nunito"/>
    </font>
    <font>
      <b/>
      <sz val="14"/>
      <name val="Nunito"/>
    </font>
    <font>
      <i/>
      <sz val="11"/>
      <name val="Nunito"/>
    </font>
    <font>
      <sz val="10"/>
      <color theme="0" tint="-0.499984740745262"/>
      <name val="Nunito"/>
    </font>
    <font>
      <i/>
      <sz val="11"/>
      <color theme="1"/>
      <name val="Nunito"/>
    </font>
    <font>
      <sz val="11"/>
      <color theme="0" tint="-0.499984740745262"/>
      <name val="Nunito"/>
    </font>
    <font>
      <sz val="11"/>
      <color theme="8"/>
      <name val="Nunito"/>
    </font>
    <font>
      <b/>
      <i/>
      <sz val="11"/>
      <color theme="8"/>
      <name val="Nunito"/>
    </font>
    <font>
      <i/>
      <sz val="11"/>
      <color theme="7" tint="-0.499984740745262"/>
      <name val="Nunito"/>
    </font>
    <font>
      <i/>
      <sz val="11"/>
      <color theme="8"/>
      <name val="Nunito"/>
    </font>
    <font>
      <b/>
      <i/>
      <sz val="11"/>
      <name val="Nunito"/>
    </font>
    <font>
      <b/>
      <sz val="16"/>
      <color indexed="9"/>
      <name val="Arial"/>
      <family val="2"/>
    </font>
    <font>
      <i/>
      <sz val="10"/>
      <color indexed="63"/>
      <name val="Arial"/>
      <family val="2"/>
    </font>
    <font>
      <b/>
      <sz val="10"/>
      <color indexed="9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8"/>
      <name val="Arial"/>
      <family val="2"/>
    </font>
    <font>
      <i/>
      <sz val="11"/>
      <color theme="0" tint="-0.499984740745262"/>
      <name val="Nunito"/>
    </font>
    <font>
      <i/>
      <sz val="10"/>
      <color theme="0" tint="-0.499984740745262"/>
      <name val="Nunito"/>
    </font>
    <font>
      <b/>
      <i/>
      <sz val="11"/>
      <color theme="1"/>
      <name val="Nunito"/>
    </font>
    <font>
      <i/>
      <sz val="10"/>
      <color rgb="FFFF0000"/>
      <name val="Nunito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9E7FE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85" fontId="2" fillId="0" borderId="0" applyFont="0" applyFill="0" applyBorder="0" applyAlignment="0" applyProtection="0"/>
    <xf numFmtId="0" fontId="21" fillId="4" borderId="6" applyNumberFormat="0" applyProtection="0">
      <alignment horizontal="left" vertical="center" readingOrder="1"/>
    </xf>
    <xf numFmtId="0" fontId="23" fillId="4" borderId="3">
      <alignment horizontal="left"/>
    </xf>
  </cellStyleXfs>
  <cellXfs count="150">
    <xf numFmtId="0" fontId="0" fillId="0" borderId="0" xfId="0"/>
    <xf numFmtId="0" fontId="4" fillId="0" borderId="0" xfId="0" applyFont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6" fillId="2" borderId="0" xfId="0" applyFont="1" applyFill="1"/>
    <xf numFmtId="168" fontId="6" fillId="2" borderId="0" xfId="0" applyNumberFormat="1" applyFont="1" applyFill="1"/>
    <xf numFmtId="0" fontId="6" fillId="2" borderId="0" xfId="0" applyFont="1" applyFill="1" applyAlignment="1">
      <alignment horizontal="right"/>
    </xf>
    <xf numFmtId="9" fontId="6" fillId="2" borderId="0" xfId="3" applyFont="1" applyFill="1" applyBorder="1" applyAlignment="1">
      <alignment horizontal="right"/>
    </xf>
    <xf numFmtId="0" fontId="10" fillId="2" borderId="0" xfId="0" applyFont="1" applyFill="1"/>
    <xf numFmtId="168" fontId="10" fillId="2" borderId="0" xfId="0" applyNumberFormat="1" applyFont="1" applyFill="1"/>
    <xf numFmtId="0" fontId="10" fillId="2" borderId="0" xfId="0" applyFont="1" applyFill="1" applyAlignment="1">
      <alignment horizontal="right"/>
    </xf>
    <xf numFmtId="0" fontId="11" fillId="2" borderId="0" xfId="0" applyFont="1" applyFill="1"/>
    <xf numFmtId="0" fontId="12" fillId="2" borderId="0" xfId="0" applyFont="1" applyFill="1"/>
    <xf numFmtId="0" fontId="12" fillId="2" borderId="0" xfId="0" applyFont="1" applyFill="1" applyAlignment="1">
      <alignment horizontal="right"/>
    </xf>
    <xf numFmtId="171" fontId="12" fillId="2" borderId="0" xfId="0" applyNumberFormat="1" applyFont="1" applyFill="1" applyAlignment="1">
      <alignment horizontal="right"/>
    </xf>
    <xf numFmtId="17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14" fontId="6" fillId="2" borderId="0" xfId="0" applyNumberFormat="1" applyFont="1" applyFill="1" applyAlignment="1">
      <alignment horizontal="right"/>
    </xf>
    <xf numFmtId="170" fontId="6" fillId="2" borderId="0" xfId="0" applyNumberFormat="1" applyFont="1" applyFill="1" applyAlignment="1">
      <alignment horizontal="right"/>
    </xf>
    <xf numFmtId="0" fontId="8" fillId="2" borderId="0" xfId="0" applyFont="1" applyFill="1"/>
    <xf numFmtId="0" fontId="9" fillId="2" borderId="0" xfId="0" applyFont="1" applyFill="1"/>
    <xf numFmtId="43" fontId="6" fillId="2" borderId="0" xfId="1" applyFont="1" applyFill="1" applyBorder="1" applyAlignment="1">
      <alignment horizontal="right"/>
    </xf>
    <xf numFmtId="168" fontId="6" fillId="2" borderId="5" xfId="0" applyNumberFormat="1" applyFont="1" applyFill="1" applyBorder="1"/>
    <xf numFmtId="170" fontId="6" fillId="2" borderId="5" xfId="0" applyNumberFormat="1" applyFont="1" applyFill="1" applyBorder="1" applyAlignment="1">
      <alignment horizontal="right"/>
    </xf>
    <xf numFmtId="168" fontId="6" fillId="2" borderId="0" xfId="1" applyNumberFormat="1" applyFont="1" applyFill="1"/>
    <xf numFmtId="171" fontId="6" fillId="3" borderId="0" xfId="2" applyNumberFormat="1" applyFont="1" applyFill="1" applyAlignment="1">
      <alignment horizontal="right"/>
    </xf>
    <xf numFmtId="168" fontId="6" fillId="2" borderId="0" xfId="1" applyNumberFormat="1" applyFont="1" applyFill="1" applyAlignment="1">
      <alignment horizontal="right"/>
    </xf>
    <xf numFmtId="165" fontId="13" fillId="3" borderId="0" xfId="3" applyNumberFormat="1" applyFont="1" applyFill="1" applyAlignment="1">
      <alignment horizontal="right"/>
    </xf>
    <xf numFmtId="9" fontId="13" fillId="3" borderId="0" xfId="3" applyFont="1" applyFill="1" applyAlignment="1">
      <alignment horizontal="right"/>
    </xf>
    <xf numFmtId="9" fontId="13" fillId="3" borderId="0" xfId="3" applyFont="1" applyFill="1" applyBorder="1" applyAlignment="1">
      <alignment horizontal="right"/>
    </xf>
    <xf numFmtId="9" fontId="13" fillId="3" borderId="1" xfId="3" applyFont="1" applyFill="1" applyBorder="1" applyAlignment="1">
      <alignment horizontal="right"/>
    </xf>
    <xf numFmtId="168" fontId="12" fillId="2" borderId="0" xfId="0" applyNumberFormat="1" applyFont="1" applyFill="1"/>
    <xf numFmtId="168" fontId="12" fillId="2" borderId="0" xfId="2" applyNumberFormat="1" applyFont="1" applyFill="1" applyBorder="1" applyAlignment="1">
      <alignment horizontal="right"/>
    </xf>
    <xf numFmtId="168" fontId="12" fillId="2" borderId="0" xfId="2" applyNumberFormat="1" applyFont="1" applyFill="1" applyAlignment="1">
      <alignment horizontal="right"/>
    </xf>
    <xf numFmtId="168" fontId="6" fillId="2" borderId="0" xfId="0" applyNumberFormat="1" applyFont="1" applyFill="1" applyAlignment="1">
      <alignment horizontal="left"/>
    </xf>
    <xf numFmtId="171" fontId="12" fillId="2" borderId="1" xfId="2" applyNumberFormat="1" applyFont="1" applyFill="1" applyBorder="1" applyAlignment="1">
      <alignment horizontal="right"/>
    </xf>
    <xf numFmtId="171" fontId="12" fillId="2" borderId="0" xfId="2" applyNumberFormat="1" applyFont="1" applyFill="1" applyBorder="1" applyAlignment="1">
      <alignment horizontal="right"/>
    </xf>
    <xf numFmtId="171" fontId="6" fillId="2" borderId="0" xfId="0" applyNumberFormat="1" applyFont="1" applyFill="1" applyAlignment="1">
      <alignment horizontal="right"/>
    </xf>
    <xf numFmtId="171" fontId="6" fillId="2" borderId="5" xfId="0" applyNumberFormat="1" applyFont="1" applyFill="1" applyBorder="1" applyAlignment="1">
      <alignment horizontal="right"/>
    </xf>
    <xf numFmtId="10" fontId="6" fillId="2" borderId="5" xfId="3" applyNumberFormat="1" applyFont="1" applyFill="1" applyBorder="1" applyAlignment="1">
      <alignment horizontal="right"/>
    </xf>
    <xf numFmtId="171" fontId="12" fillId="2" borderId="0" xfId="2" applyNumberFormat="1" applyFont="1" applyFill="1" applyAlignment="1">
      <alignment horizontal="right"/>
    </xf>
    <xf numFmtId="168" fontId="4" fillId="2" borderId="0" xfId="1" applyNumberFormat="1" applyFont="1" applyFill="1"/>
    <xf numFmtId="168" fontId="4" fillId="2" borderId="0" xfId="1" applyNumberFormat="1" applyFont="1" applyFill="1" applyAlignment="1">
      <alignment horizontal="left" indent="2"/>
    </xf>
    <xf numFmtId="168" fontId="14" fillId="2" borderId="0" xfId="0" applyNumberFormat="1" applyFont="1" applyFill="1"/>
    <xf numFmtId="171" fontId="12" fillId="2" borderId="0" xfId="1" applyNumberFormat="1" applyFont="1" applyFill="1" applyBorder="1" applyAlignment="1">
      <alignment horizontal="right"/>
    </xf>
    <xf numFmtId="170" fontId="9" fillId="2" borderId="0" xfId="0" applyNumberFormat="1" applyFont="1" applyFill="1" applyAlignment="1">
      <alignment horizontal="right"/>
    </xf>
    <xf numFmtId="9" fontId="6" fillId="2" borderId="0" xfId="3" applyFont="1" applyFill="1" applyAlignment="1">
      <alignment horizontal="right"/>
    </xf>
    <xf numFmtId="168" fontId="4" fillId="2" borderId="0" xfId="1" applyNumberFormat="1" applyFont="1" applyFill="1" applyBorder="1"/>
    <xf numFmtId="4" fontId="12" fillId="2" borderId="0" xfId="1" applyNumberFormat="1" applyFont="1" applyFill="1" applyBorder="1" applyAlignment="1">
      <alignment horizontal="right"/>
    </xf>
    <xf numFmtId="9" fontId="12" fillId="2" borderId="0" xfId="3" applyFont="1" applyFill="1" applyAlignment="1">
      <alignment horizontal="right"/>
    </xf>
    <xf numFmtId="0" fontId="6" fillId="0" borderId="0" xfId="0" applyFont="1" applyAlignment="1">
      <alignment horizontal="right"/>
    </xf>
    <xf numFmtId="0" fontId="9" fillId="2" borderId="5" xfId="0" applyFont="1" applyFill="1" applyBorder="1" applyAlignment="1">
      <alignment horizontal="right"/>
    </xf>
    <xf numFmtId="0" fontId="9" fillId="0" borderId="5" xfId="0" applyFont="1" applyBorder="1" applyAlignment="1">
      <alignment horizontal="right"/>
    </xf>
    <xf numFmtId="0" fontId="9" fillId="2" borderId="5" xfId="0" applyFont="1" applyFill="1" applyBorder="1" applyAlignment="1">
      <alignment horizontal="center" vertical="center"/>
    </xf>
    <xf numFmtId="43" fontId="6" fillId="2" borderId="0" xfId="1" applyFont="1" applyFill="1" applyAlignment="1">
      <alignment horizontal="center"/>
    </xf>
    <xf numFmtId="43" fontId="6" fillId="0" borderId="0" xfId="1" applyFont="1" applyFill="1" applyBorder="1" applyAlignment="1">
      <alignment horizontal="right"/>
    </xf>
    <xf numFmtId="170" fontId="6" fillId="0" borderId="0" xfId="0" applyNumberFormat="1" applyFont="1" applyAlignment="1">
      <alignment horizontal="right"/>
    </xf>
    <xf numFmtId="10" fontId="12" fillId="2" borderId="0" xfId="3" applyNumberFormat="1" applyFont="1" applyFill="1" applyAlignment="1">
      <alignment horizontal="right"/>
    </xf>
    <xf numFmtId="190" fontId="17" fillId="2" borderId="0" xfId="2" applyNumberFormat="1" applyFont="1" applyFill="1" applyAlignment="1">
      <alignment horizontal="right"/>
    </xf>
    <xf numFmtId="171" fontId="18" fillId="2" borderId="0" xfId="2" applyNumberFormat="1" applyFont="1" applyFill="1" applyAlignment="1">
      <alignment horizontal="right"/>
    </xf>
    <xf numFmtId="0" fontId="14" fillId="2" borderId="0" xfId="0" applyFont="1" applyFill="1" applyAlignment="1">
      <alignment horizontal="right" indent="5"/>
    </xf>
    <xf numFmtId="168" fontId="12" fillId="2" borderId="1" xfId="0" applyNumberFormat="1" applyFont="1" applyFill="1" applyBorder="1"/>
    <xf numFmtId="0" fontId="14" fillId="2" borderId="0" xfId="0" applyFont="1" applyFill="1"/>
    <xf numFmtId="3" fontId="6" fillId="3" borderId="0" xfId="2" applyNumberFormat="1" applyFont="1" applyFill="1" applyAlignment="1">
      <alignment horizontal="right"/>
    </xf>
    <xf numFmtId="10" fontId="6" fillId="2" borderId="0" xfId="3" applyNumberFormat="1" applyFont="1" applyFill="1" applyBorder="1" applyAlignment="1">
      <alignment horizontal="righ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4" fontId="3" fillId="0" borderId="0" xfId="0" applyNumberFormat="1" applyFont="1"/>
    <xf numFmtId="0" fontId="7" fillId="0" borderId="0" xfId="0" applyFont="1"/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98" fontId="3" fillId="0" borderId="0" xfId="0" applyNumberFormat="1" applyFont="1" applyAlignment="1">
      <alignment horizontal="center" vertical="center"/>
    </xf>
    <xf numFmtId="0" fontId="5" fillId="0" borderId="0" xfId="0" applyFont="1"/>
    <xf numFmtId="172" fontId="3" fillId="0" borderId="0" xfId="1" applyNumberFormat="1" applyFont="1"/>
    <xf numFmtId="9" fontId="3" fillId="0" borderId="0" xfId="3" applyFont="1"/>
    <xf numFmtId="0" fontId="3" fillId="0" borderId="0" xfId="2" applyNumberFormat="1" applyFont="1" applyAlignment="1">
      <alignment horizontal="center"/>
    </xf>
    <xf numFmtId="44" fontId="3" fillId="0" borderId="0" xfId="2" applyFont="1" applyAlignment="1">
      <alignment horizontal="center"/>
    </xf>
    <xf numFmtId="172" fontId="3" fillId="0" borderId="0" xfId="1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199" fontId="3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14" fontId="4" fillId="0" borderId="0" xfId="0" applyNumberFormat="1" applyFont="1" applyAlignment="1">
      <alignment horizontal="center"/>
    </xf>
    <xf numFmtId="165" fontId="3" fillId="0" borderId="0" xfId="3" applyNumberFormat="1" applyFont="1" applyAlignment="1">
      <alignment horizontal="center"/>
    </xf>
    <xf numFmtId="10" fontId="3" fillId="0" borderId="0" xfId="2" applyNumberFormat="1" applyFont="1" applyAlignment="1">
      <alignment horizontal="center"/>
    </xf>
    <xf numFmtId="2" fontId="3" fillId="0" borderId="0" xfId="2" applyNumberFormat="1" applyFont="1" applyAlignment="1">
      <alignment horizontal="center"/>
    </xf>
    <xf numFmtId="14" fontId="4" fillId="0" borderId="0" xfId="0" applyNumberFormat="1" applyFont="1"/>
    <xf numFmtId="0" fontId="8" fillId="2" borderId="0" xfId="0" applyFont="1" applyFill="1" applyAlignment="1">
      <alignment horizontal="center"/>
    </xf>
    <xf numFmtId="171" fontId="12" fillId="2" borderId="5" xfId="0" applyNumberFormat="1" applyFont="1" applyFill="1" applyBorder="1" applyAlignment="1">
      <alignment horizontal="right"/>
    </xf>
    <xf numFmtId="43" fontId="12" fillId="2" borderId="0" xfId="1" applyFont="1" applyFill="1" applyAlignment="1">
      <alignment horizontal="right"/>
    </xf>
    <xf numFmtId="10" fontId="12" fillId="2" borderId="5" xfId="3" applyNumberFormat="1" applyFont="1" applyFill="1" applyBorder="1" applyAlignment="1">
      <alignment horizontal="right"/>
    </xf>
    <xf numFmtId="43" fontId="12" fillId="2" borderId="5" xfId="1" applyFont="1" applyFill="1" applyBorder="1" applyAlignment="1">
      <alignment horizontal="right"/>
    </xf>
    <xf numFmtId="43" fontId="17" fillId="2" borderId="0" xfId="1" applyFont="1" applyFill="1" applyAlignment="1">
      <alignment horizontal="right"/>
    </xf>
    <xf numFmtId="43" fontId="18" fillId="2" borderId="0" xfId="1" applyFont="1" applyFill="1" applyAlignment="1">
      <alignment horizontal="right"/>
    </xf>
    <xf numFmtId="168" fontId="15" fillId="2" borderId="0" xfId="1" applyNumberFormat="1" applyFont="1" applyFill="1"/>
    <xf numFmtId="0" fontId="27" fillId="2" borderId="0" xfId="0" applyFont="1" applyFill="1" applyAlignment="1">
      <alignment horizontal="left" indent="3"/>
    </xf>
    <xf numFmtId="168" fontId="15" fillId="2" borderId="0" xfId="0" applyNumberFormat="1" applyFont="1" applyFill="1"/>
    <xf numFmtId="171" fontId="27" fillId="2" borderId="0" xfId="1" applyNumberFormat="1" applyFont="1" applyFill="1" applyBorder="1" applyAlignment="1">
      <alignment horizontal="right"/>
    </xf>
    <xf numFmtId="0" fontId="15" fillId="2" borderId="0" xfId="0" applyFont="1" applyFill="1" applyAlignment="1">
      <alignment horizontal="right"/>
    </xf>
    <xf numFmtId="171" fontId="27" fillId="2" borderId="0" xfId="2" applyNumberFormat="1" applyFont="1" applyFill="1" applyBorder="1" applyAlignment="1">
      <alignment horizontal="right"/>
    </xf>
    <xf numFmtId="168" fontId="15" fillId="2" borderId="0" xfId="1" applyNumberFormat="1" applyFont="1" applyFill="1" applyAlignment="1">
      <alignment horizontal="right"/>
    </xf>
    <xf numFmtId="171" fontId="27" fillId="2" borderId="0" xfId="2" applyNumberFormat="1" applyFont="1" applyFill="1" applyAlignment="1">
      <alignment horizontal="right"/>
    </xf>
    <xf numFmtId="3" fontId="12" fillId="2" borderId="0" xfId="2" applyNumberFormat="1" applyFont="1" applyFill="1" applyAlignment="1">
      <alignment horizontal="right"/>
    </xf>
    <xf numFmtId="43" fontId="12" fillId="2" borderId="0" xfId="1" applyFont="1" applyFill="1" applyBorder="1" applyAlignment="1">
      <alignment horizontal="right"/>
    </xf>
    <xf numFmtId="10" fontId="12" fillId="2" borderId="0" xfId="3" applyNumberFormat="1" applyFont="1" applyFill="1" applyBorder="1" applyAlignment="1">
      <alignment horizontal="right"/>
    </xf>
    <xf numFmtId="168" fontId="12" fillId="2" borderId="0" xfId="0" applyNumberFormat="1" applyFont="1" applyFill="1" applyAlignment="1">
      <alignment horizontal="left" indent="3"/>
    </xf>
    <xf numFmtId="0" fontId="27" fillId="2" borderId="0" xfId="0" applyFont="1" applyFill="1" applyAlignment="1">
      <alignment horizontal="left" indent="6"/>
    </xf>
    <xf numFmtId="168" fontId="12" fillId="2" borderId="0" xfId="0" applyNumberFormat="1" applyFont="1" applyFill="1" applyAlignment="1">
      <alignment horizontal="left" indent="6"/>
    </xf>
    <xf numFmtId="0" fontId="27" fillId="2" borderId="0" xfId="0" applyFont="1" applyFill="1" applyAlignment="1">
      <alignment horizontal="left" indent="9"/>
    </xf>
    <xf numFmtId="9" fontId="28" fillId="2" borderId="0" xfId="3" applyFont="1" applyFill="1" applyBorder="1" applyAlignment="1">
      <alignment horizontal="right"/>
    </xf>
    <xf numFmtId="1" fontId="12" fillId="2" borderId="5" xfId="0" applyNumberFormat="1" applyFont="1" applyFill="1" applyBorder="1" applyAlignment="1">
      <alignment horizontal="center"/>
    </xf>
    <xf numFmtId="166" fontId="12" fillId="2" borderId="0" xfId="2" applyNumberFormat="1" applyFont="1" applyFill="1" applyAlignment="1">
      <alignment horizontal="right"/>
    </xf>
    <xf numFmtId="1" fontId="12" fillId="2" borderId="0" xfId="0" applyNumberFormat="1" applyFont="1" applyFill="1" applyAlignment="1">
      <alignment horizontal="center"/>
    </xf>
    <xf numFmtId="0" fontId="20" fillId="2" borderId="0" xfId="0" applyFont="1" applyFill="1"/>
    <xf numFmtId="168" fontId="4" fillId="2" borderId="9" xfId="1" applyNumberFormat="1" applyFont="1" applyFill="1" applyBorder="1"/>
    <xf numFmtId="168" fontId="7" fillId="2" borderId="9" xfId="1" applyNumberFormat="1" applyFont="1" applyFill="1" applyBorder="1"/>
    <xf numFmtId="9" fontId="12" fillId="2" borderId="9" xfId="1" applyNumberFormat="1" applyFont="1" applyFill="1" applyBorder="1" applyAlignment="1">
      <alignment horizontal="right"/>
    </xf>
    <xf numFmtId="43" fontId="12" fillId="2" borderId="9" xfId="1" applyFont="1" applyFill="1" applyBorder="1" applyAlignment="1">
      <alignment horizontal="right"/>
    </xf>
    <xf numFmtId="166" fontId="12" fillId="2" borderId="9" xfId="2" applyNumberFormat="1" applyFont="1" applyFill="1" applyBorder="1" applyAlignment="1">
      <alignment horizontal="right"/>
    </xf>
    <xf numFmtId="183" fontId="12" fillId="2" borderId="9" xfId="1" applyNumberFormat="1" applyFont="1" applyFill="1" applyBorder="1" applyAlignment="1">
      <alignment horizontal="right"/>
    </xf>
    <xf numFmtId="183" fontId="12" fillId="2" borderId="0" xfId="1" applyNumberFormat="1" applyFont="1" applyFill="1" applyBorder="1" applyAlignment="1">
      <alignment horizontal="right"/>
    </xf>
    <xf numFmtId="168" fontId="7" fillId="2" borderId="0" xfId="1" applyNumberFormat="1" applyFont="1" applyFill="1" applyBorder="1"/>
    <xf numFmtId="9" fontId="12" fillId="2" borderId="0" xfId="1" applyNumberFormat="1" applyFont="1" applyFill="1" applyBorder="1" applyAlignment="1">
      <alignment horizontal="right"/>
    </xf>
    <xf numFmtId="166" fontId="12" fillId="2" borderId="0" xfId="2" applyNumberFormat="1" applyFont="1" applyFill="1" applyBorder="1" applyAlignment="1">
      <alignment horizontal="right"/>
    </xf>
    <xf numFmtId="166" fontId="6" fillId="2" borderId="0" xfId="3" applyNumberFormat="1" applyFont="1" applyFill="1" applyAlignment="1">
      <alignment horizontal="right"/>
    </xf>
    <xf numFmtId="9" fontId="13" fillId="3" borderId="5" xfId="3" applyFont="1" applyFill="1" applyBorder="1" applyAlignment="1">
      <alignment horizontal="right"/>
    </xf>
    <xf numFmtId="168" fontId="4" fillId="2" borderId="1" xfId="1" applyNumberFormat="1" applyFont="1" applyFill="1" applyBorder="1"/>
    <xf numFmtId="168" fontId="29" fillId="2" borderId="1" xfId="1" applyNumberFormat="1" applyFont="1" applyFill="1" applyBorder="1"/>
    <xf numFmtId="171" fontId="18" fillId="2" borderId="1" xfId="2" applyNumberFormat="1" applyFont="1" applyFill="1" applyBorder="1" applyAlignment="1">
      <alignment horizontal="right"/>
    </xf>
    <xf numFmtId="43" fontId="18" fillId="2" borderId="0" xfId="1" applyFont="1" applyFill="1" applyBorder="1" applyAlignment="1">
      <alignment horizontal="right"/>
    </xf>
    <xf numFmtId="166" fontId="6" fillId="2" borderId="0" xfId="3" applyNumberFormat="1" applyFont="1" applyFill="1" applyBorder="1" applyAlignment="1">
      <alignment horizontal="right"/>
    </xf>
    <xf numFmtId="9" fontId="12" fillId="2" borderId="0" xfId="3" applyFont="1" applyFill="1" applyBorder="1" applyAlignment="1">
      <alignment horizontal="right"/>
    </xf>
    <xf numFmtId="0" fontId="4" fillId="2" borderId="0" xfId="0" applyFont="1" applyFill="1" applyAlignment="1">
      <alignment horizontal="right" indent="5"/>
    </xf>
    <xf numFmtId="0" fontId="27" fillId="2" borderId="0" xfId="0" applyFont="1" applyFill="1" applyAlignment="1">
      <alignment horizontal="left" indent="4"/>
    </xf>
    <xf numFmtId="3" fontId="12" fillId="2" borderId="0" xfId="1" applyNumberFormat="1" applyFont="1" applyFill="1" applyBorder="1" applyAlignment="1">
      <alignment horizontal="right"/>
    </xf>
    <xf numFmtId="172" fontId="28" fillId="2" borderId="0" xfId="1" applyNumberFormat="1" applyFont="1" applyFill="1" applyBorder="1" applyAlignment="1">
      <alignment horizontal="right"/>
    </xf>
    <xf numFmtId="9" fontId="17" fillId="2" borderId="0" xfId="3" applyFont="1" applyFill="1" applyBorder="1" applyAlignment="1">
      <alignment horizontal="center"/>
    </xf>
    <xf numFmtId="9" fontId="30" fillId="2" borderId="0" xfId="3" applyFont="1" applyFill="1" applyBorder="1" applyAlignment="1">
      <alignment horizontal="right"/>
    </xf>
    <xf numFmtId="10" fontId="12" fillId="2" borderId="0" xfId="3" applyNumberFormat="1" applyFont="1" applyFill="1" applyAlignment="1">
      <alignment horizontal="left"/>
    </xf>
    <xf numFmtId="171" fontId="12" fillId="2" borderId="0" xfId="2" applyNumberFormat="1" applyFont="1" applyFill="1" applyAlignment="1">
      <alignment horizontal="left"/>
    </xf>
    <xf numFmtId="0" fontId="19" fillId="2" borderId="0" xfId="0" applyFont="1" applyFill="1" applyAlignment="1">
      <alignment horizontal="left" indent="6"/>
    </xf>
    <xf numFmtId="0" fontId="19" fillId="2" borderId="0" xfId="0" applyFont="1" applyFill="1" applyAlignment="1">
      <alignment horizontal="left" indent="9"/>
    </xf>
    <xf numFmtId="168" fontId="16" fillId="2" borderId="0" xfId="0" applyNumberFormat="1" applyFont="1" applyFill="1"/>
    <xf numFmtId="171" fontId="19" fillId="2" borderId="0" xfId="1" applyNumberFormat="1" applyFont="1" applyFill="1" applyBorder="1" applyAlignment="1">
      <alignment horizontal="right"/>
    </xf>
    <xf numFmtId="172" fontId="15" fillId="2" borderId="0" xfId="1" applyNumberFormat="1" applyFont="1" applyFill="1" applyAlignment="1">
      <alignment horizontal="right"/>
    </xf>
    <xf numFmtId="172" fontId="13" fillId="3" borderId="0" xfId="1" applyNumberFormat="1" applyFont="1" applyFill="1" applyAlignment="1">
      <alignment horizontal="right"/>
    </xf>
    <xf numFmtId="43" fontId="19" fillId="2" borderId="0" xfId="1" applyFont="1" applyFill="1" applyBorder="1" applyAlignment="1">
      <alignment horizontal="right"/>
    </xf>
    <xf numFmtId="9" fontId="16" fillId="3" borderId="0" xfId="3" applyFont="1" applyFill="1" applyAlignment="1">
      <alignment horizontal="right"/>
    </xf>
    <xf numFmtId="0" fontId="8" fillId="2" borderId="0" xfId="0" applyFont="1" applyFill="1" applyAlignment="1">
      <alignment horizontal="center"/>
    </xf>
  </cellXfs>
  <cellStyles count="7">
    <cellStyle name="blp_title_header_row_left" xfId="5" xr:uid="{90296915-351D-44E8-B60F-9A1227A6BB2C}"/>
    <cellStyle name="Comma" xfId="1" builtinId="3"/>
    <cellStyle name="Comma 2" xfId="4" xr:uid="{C18348C5-08A7-4597-B861-0DE9271D51BE}"/>
    <cellStyle name="Currency" xfId="2" builtinId="4"/>
    <cellStyle name="fa_column_header_bottom_left" xfId="6" xr:uid="{C02B18FD-5708-4A82-AE6A-615FC74D9D33}"/>
    <cellStyle name="Normal" xfId="0" builtinId="0"/>
    <cellStyle name="Percent" xfId="3" builtinId="5"/>
  </cellStyles>
  <dxfs count="2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8"/>
      </font>
    </dxf>
    <dxf>
      <font>
        <color theme="8"/>
      </font>
    </dxf>
    <dxf>
      <fill>
        <patternFill>
          <bgColor theme="2"/>
        </patternFill>
      </fill>
    </dxf>
    <dxf>
      <font>
        <color theme="0" tint="-0.499984740745262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6E413A"/>
      <color rgb="FF264478"/>
      <color rgb="FF83A8CB"/>
      <color rgb="FFC9C9C9"/>
      <color rgb="FFA5A5A5"/>
      <color rgb="FF335AA1"/>
      <color rgb="FF255E91"/>
      <color rgb="FF4472C5"/>
      <color rgb="FF5B9BD5"/>
      <color rgb="FF317D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Summit\Docs\Research\DCF\Payments%20-%20All\MA\DCF%20MA%20-%20New.xlsm" TargetMode="External"/><Relationship Id="rId1" Type="http://schemas.openxmlformats.org/officeDocument/2006/relationships/externalLinkPath" Target="file:///G:\My%20Drive\Summit\Docs\Research\DCF\Payments%20-%20All\MA\DCF%20MA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Annual"/>
      <sheetName val="Quarterly"/>
      <sheetName val="Segments"/>
      <sheetName val="Amortization"/>
      <sheetName val="Calendars"/>
      <sheetName val="Ratios Year"/>
      <sheetName val="Discounted Cash Flow"/>
      <sheetName val="SOTP"/>
      <sheetName val="Assumptions"/>
      <sheetName val="SEG_BBG"/>
      <sheetName val="Projection History"/>
      <sheetName val="Actuals History"/>
      <sheetName val="Data"/>
    </sheetNames>
    <sheetDataSet>
      <sheetData sheetId="0">
        <row r="11">
          <cell r="C11" t="e">
            <v>#VALUE!</v>
          </cell>
        </row>
        <row r="12">
          <cell r="H12" t="str">
            <v>MA</v>
          </cell>
        </row>
        <row r="13">
          <cell r="H13">
            <v>501.02</v>
          </cell>
        </row>
        <row r="14">
          <cell r="H14" t="str">
            <v>Financial Services</v>
          </cell>
        </row>
        <row r="15">
          <cell r="H15" t="str">
            <v>Financials</v>
          </cell>
        </row>
        <row r="16">
          <cell r="A16" t="str">
            <v>Assumptions</v>
          </cell>
        </row>
        <row r="17">
          <cell r="A17" t="str">
            <v>Segments</v>
          </cell>
        </row>
        <row r="18">
          <cell r="H18" t="str">
            <v>USD</v>
          </cell>
        </row>
        <row r="19">
          <cell r="A19" t="str">
            <v>Actual</v>
          </cell>
          <cell r="H19" t="str">
            <v>Millions</v>
          </cell>
        </row>
        <row r="20">
          <cell r="A20" t="str">
            <v>Normalized</v>
          </cell>
        </row>
        <row r="22">
          <cell r="A22" t="str">
            <v>YoY Growth %</v>
          </cell>
        </row>
        <row r="23">
          <cell r="A23" t="str">
            <v>QoQ Growth % (Sequential)</v>
          </cell>
        </row>
        <row r="121">
          <cell r="B121">
            <v>46149</v>
          </cell>
        </row>
        <row r="122">
          <cell r="B122">
            <v>45418</v>
          </cell>
        </row>
        <row r="124">
          <cell r="D124">
            <v>25.903881011097411</v>
          </cell>
          <cell r="E124">
            <v>25.302058485197069</v>
          </cell>
          <cell r="H124">
            <v>45418</v>
          </cell>
          <cell r="J124">
            <v>0</v>
          </cell>
          <cell r="L124">
            <v>0</v>
          </cell>
        </row>
        <row r="125">
          <cell r="D125">
            <v>26.116590628853267</v>
          </cell>
          <cell r="E125">
            <v>25.509826239631892</v>
          </cell>
          <cell r="H125">
            <v>45419</v>
          </cell>
          <cell r="J125">
            <v>1.1034322550669273E-3</v>
          </cell>
          <cell r="L125">
            <v>8.2114960945323112E-3</v>
          </cell>
        </row>
        <row r="126">
          <cell r="C126">
            <v>454.77</v>
          </cell>
          <cell r="D126">
            <v>26.215163378545004</v>
          </cell>
          <cell r="E126">
            <v>25.606108857540711</v>
          </cell>
          <cell r="H126">
            <v>45420</v>
          </cell>
          <cell r="J126">
            <v>1.2002245581430593E-3</v>
          </cell>
          <cell r="L126">
            <v>1.2016823552974065E-2</v>
          </cell>
        </row>
        <row r="127">
          <cell r="C127">
            <v>455.49</v>
          </cell>
          <cell r="D127">
            <v>26.256667694204687</v>
          </cell>
          <cell r="E127">
            <v>25.646648907186535</v>
          </cell>
          <cell r="H127">
            <v>45421</v>
          </cell>
          <cell r="J127">
            <v>6.9690458214761719E-3</v>
          </cell>
          <cell r="L127">
            <v>1.3619066693370874E-2</v>
          </cell>
        </row>
        <row r="128">
          <cell r="C128">
            <v>456.98</v>
          </cell>
          <cell r="D128">
            <v>26.34255856966708</v>
          </cell>
          <cell r="E128">
            <v>25.730544287703577</v>
          </cell>
          <cell r="H128">
            <v>45422</v>
          </cell>
          <cell r="J128">
            <v>8.2660626826955852E-3</v>
          </cell>
          <cell r="L128">
            <v>1.6934819858913652E-2</v>
          </cell>
        </row>
        <row r="129">
          <cell r="C129">
            <v>457.76</v>
          </cell>
          <cell r="D129">
            <v>26.387521578298397</v>
          </cell>
          <cell r="E129">
            <v>25.77446267481988</v>
          </cell>
          <cell r="H129">
            <v>45425</v>
          </cell>
          <cell r="J129">
            <v>8.4015719070020811E-3</v>
          </cell>
          <cell r="L129">
            <v>1.8670583261009899E-2</v>
          </cell>
        </row>
        <row r="130">
          <cell r="C130">
            <v>454.2</v>
          </cell>
          <cell r="D130">
            <v>26.182305795314427</v>
          </cell>
          <cell r="E130">
            <v>25.574014651571105</v>
          </cell>
          <cell r="H130">
            <v>45426</v>
          </cell>
          <cell r="J130">
            <v>1.302824399403768E-2</v>
          </cell>
          <cell r="L130">
            <v>1.0748381066826962E-2</v>
          </cell>
        </row>
        <row r="131">
          <cell r="C131">
            <v>458</v>
          </cell>
          <cell r="D131">
            <v>26.401356350184958</v>
          </cell>
          <cell r="E131">
            <v>25.78797602470182</v>
          </cell>
          <cell r="H131">
            <v>45427</v>
          </cell>
          <cell r="J131">
            <v>2.5572526472694923E-2</v>
          </cell>
          <cell r="L131">
            <v>1.9204664307808983E-2</v>
          </cell>
        </row>
        <row r="132">
          <cell r="C132">
            <v>458.87</v>
          </cell>
          <cell r="D132">
            <v>26.451507398273737</v>
          </cell>
          <cell r="E132">
            <v>25.836961918023853</v>
          </cell>
          <cell r="H132">
            <v>45428</v>
          </cell>
          <cell r="J132">
            <v>2.3462454265636978E-2</v>
          </cell>
          <cell r="L132">
            <v>2.114070810245483E-2</v>
          </cell>
        </row>
        <row r="133">
          <cell r="C133">
            <v>460.27</v>
          </cell>
          <cell r="D133">
            <v>26.532210234278669</v>
          </cell>
          <cell r="E133">
            <v>25.915789792335168</v>
          </cell>
          <cell r="H133">
            <v>45429</v>
          </cell>
          <cell r="J133">
            <v>2.4933697272393029E-2</v>
          </cell>
          <cell r="L133">
            <v>2.425618087544823E-2</v>
          </cell>
        </row>
        <row r="134">
          <cell r="C134">
            <v>459.66</v>
          </cell>
          <cell r="D134">
            <v>26.497046855733664</v>
          </cell>
          <cell r="E134">
            <v>25.881443361385237</v>
          </cell>
          <cell r="H134">
            <v>45432</v>
          </cell>
          <cell r="J134">
            <v>2.6114563369920685E-2</v>
          </cell>
          <cell r="L134">
            <v>2.2898724881501353E-2</v>
          </cell>
        </row>
        <row r="135">
          <cell r="C135">
            <v>459.1</v>
          </cell>
          <cell r="D135">
            <v>26.464765721331691</v>
          </cell>
          <cell r="E135">
            <v>25.849912211660712</v>
          </cell>
          <cell r="H135">
            <v>45433</v>
          </cell>
          <cell r="J135">
            <v>2.8631163249898339E-2</v>
          </cell>
          <cell r="L135">
            <v>2.1652535772304082E-2</v>
          </cell>
        </row>
        <row r="136">
          <cell r="C136">
            <v>456.52</v>
          </cell>
          <cell r="D136">
            <v>26.316041923551172</v>
          </cell>
          <cell r="E136">
            <v>25.704643700429859</v>
          </cell>
          <cell r="H136">
            <v>45434</v>
          </cell>
          <cell r="J136">
            <v>2.5669318775771055E-2</v>
          </cell>
          <cell r="L136">
            <v>1.5911164519216259E-2</v>
          </cell>
        </row>
        <row r="137">
          <cell r="C137">
            <v>451.21</v>
          </cell>
          <cell r="D137">
            <v>26.009947595561034</v>
          </cell>
          <cell r="E137">
            <v>25.40566083429194</v>
          </cell>
          <cell r="H137">
            <v>45435</v>
          </cell>
          <cell r="J137">
            <v>1.8177594517684081E-2</v>
          </cell>
          <cell r="L137">
            <v>4.0946213587915725E-3</v>
          </cell>
        </row>
        <row r="138">
          <cell r="C138">
            <v>451.18</v>
          </cell>
          <cell r="D138">
            <v>26.008218249075217</v>
          </cell>
          <cell r="E138">
            <v>25.403971665556696</v>
          </cell>
          <cell r="H138">
            <v>45436</v>
          </cell>
          <cell r="J138">
            <v>2.4914338811777847E-2</v>
          </cell>
          <cell r="L138">
            <v>4.0278612279416315E-3</v>
          </cell>
        </row>
        <row r="139">
          <cell r="C139">
            <v>445.08</v>
          </cell>
          <cell r="D139">
            <v>25.656584463625155</v>
          </cell>
          <cell r="E139">
            <v>25.060507356057393</v>
          </cell>
          <cell r="H139">
            <v>45440</v>
          </cell>
          <cell r="J139">
            <v>2.5630601854540469E-2</v>
          </cell>
          <cell r="L139">
            <v>-9.5466987115291335E-3</v>
          </cell>
        </row>
        <row r="140">
          <cell r="C140">
            <v>442.47</v>
          </cell>
          <cell r="D140">
            <v>25.506131319358818</v>
          </cell>
          <cell r="E140">
            <v>24.9135496760913</v>
          </cell>
          <cell r="H140">
            <v>45441</v>
          </cell>
          <cell r="J140">
            <v>1.8448612966297073E-2</v>
          </cell>
          <cell r="L140">
            <v>-1.5354830095466454E-2</v>
          </cell>
        </row>
        <row r="141">
          <cell r="C141">
            <v>442.1</v>
          </cell>
          <cell r="D141">
            <v>25.484802712700372</v>
          </cell>
          <cell r="E141">
            <v>24.892716595023309</v>
          </cell>
          <cell r="H141">
            <v>45442</v>
          </cell>
          <cell r="J141">
            <v>1.1692510211588125E-2</v>
          </cell>
          <cell r="L141">
            <v>-1.6178205042614691E-2</v>
          </cell>
        </row>
        <row r="142">
          <cell r="C142">
            <v>447.07</v>
          </cell>
          <cell r="D142">
            <v>25.77129778051788</v>
          </cell>
          <cell r="E142">
            <v>25.172555548828477</v>
          </cell>
          <cell r="H142">
            <v>45443</v>
          </cell>
          <cell r="J142">
            <v>2.090713746442896E-2</v>
          </cell>
          <cell r="L142">
            <v>-5.118276698488522E-3</v>
          </cell>
        </row>
        <row r="143">
          <cell r="C143">
            <v>443.19</v>
          </cell>
          <cell r="D143">
            <v>25.547635635018494</v>
          </cell>
          <cell r="E143">
            <v>24.954089725737116</v>
          </cell>
          <cell r="H143">
            <v>45446</v>
          </cell>
          <cell r="J143">
            <v>2.1739551270882895E-2</v>
          </cell>
          <cell r="L143">
            <v>-1.3752586955069868E-2</v>
          </cell>
        </row>
        <row r="144">
          <cell r="C144">
            <v>444.77</v>
          </cell>
          <cell r="D144">
            <v>25.638714549938346</v>
          </cell>
          <cell r="E144">
            <v>25.043052612459888</v>
          </cell>
          <cell r="H144">
            <v>45447</v>
          </cell>
          <cell r="J144">
            <v>2.2881700447180409E-2</v>
          </cell>
          <cell r="L144">
            <v>-1.0236553396977599E-2</v>
          </cell>
        </row>
        <row r="145">
          <cell r="C145">
            <v>446.66</v>
          </cell>
          <cell r="D145">
            <v>25.747663378545006</v>
          </cell>
          <cell r="E145">
            <v>25.149470242780165</v>
          </cell>
          <cell r="H145">
            <v>45448</v>
          </cell>
          <cell r="J145">
            <v>3.5038813713533346E-2</v>
          </cell>
          <cell r="L145">
            <v>-6.0306651534365319E-3</v>
          </cell>
        </row>
        <row r="146">
          <cell r="C146">
            <v>448.68</v>
          </cell>
          <cell r="D146">
            <v>25.864106041923552</v>
          </cell>
          <cell r="E146">
            <v>25.263207604286492</v>
          </cell>
          <cell r="H146">
            <v>45449</v>
          </cell>
          <cell r="J146">
            <v>3.5019455252918164E-2</v>
          </cell>
          <cell r="L146">
            <v>-1.5354830095462013E-3</v>
          </cell>
        </row>
        <row r="147">
          <cell r="C147">
            <v>449.79</v>
          </cell>
          <cell r="D147">
            <v>25.928091861898892</v>
          </cell>
          <cell r="E147">
            <v>25.325706847490462</v>
          </cell>
          <cell r="H147">
            <v>45450</v>
          </cell>
          <cell r="J147">
            <v>3.3761155312929336E-2</v>
          </cell>
          <cell r="L147">
            <v>9.3464183189850836E-4</v>
          </cell>
        </row>
        <row r="148">
          <cell r="C148">
            <v>449.25</v>
          </cell>
          <cell r="D148">
            <v>25.896963625154129</v>
          </cell>
          <cell r="E148">
            <v>25.295301810256099</v>
          </cell>
          <cell r="H148">
            <v>45453</v>
          </cell>
          <cell r="J148">
            <v>3.6955301314439248E-2</v>
          </cell>
          <cell r="L148">
            <v>-2.6704052339898698E-4</v>
          </cell>
        </row>
        <row r="149">
          <cell r="C149">
            <v>449.04</v>
          </cell>
          <cell r="D149">
            <v>25.884858199753392</v>
          </cell>
          <cell r="E149">
            <v>25.283477629109402</v>
          </cell>
          <cell r="H149">
            <v>45454</v>
          </cell>
          <cell r="J149">
            <v>3.9452542733801721E-2</v>
          </cell>
          <cell r="L149">
            <v>-7.343614393479081E-4</v>
          </cell>
        </row>
        <row r="150">
          <cell r="C150">
            <v>443</v>
          </cell>
          <cell r="D150">
            <v>25.536683107274968</v>
          </cell>
          <cell r="E150">
            <v>24.943391657080582</v>
          </cell>
          <cell r="H150">
            <v>45455</v>
          </cell>
          <cell r="J150">
            <v>4.7989623865110076E-2</v>
          </cell>
          <cell r="L150">
            <v>-1.4175401117119013E-2</v>
          </cell>
        </row>
        <row r="151">
          <cell r="C151">
            <v>445</v>
          </cell>
          <cell r="D151">
            <v>25.6519728729963</v>
          </cell>
          <cell r="E151">
            <v>25.056002906096747</v>
          </cell>
          <cell r="H151">
            <v>45456</v>
          </cell>
          <cell r="J151">
            <v>5.0099696072168243E-2</v>
          </cell>
          <cell r="L151">
            <v>-9.7247257271286802E-3</v>
          </cell>
        </row>
        <row r="152">
          <cell r="C152">
            <v>444.63</v>
          </cell>
          <cell r="D152">
            <v>25.630644266337853</v>
          </cell>
          <cell r="E152">
            <v>25.035169825028756</v>
          </cell>
          <cell r="H152">
            <v>45457</v>
          </cell>
          <cell r="J152">
            <v>5.0738525272470136E-2</v>
          </cell>
          <cell r="L152">
            <v>-1.0548100674276917E-2</v>
          </cell>
        </row>
        <row r="153">
          <cell r="C153">
            <v>448.11</v>
          </cell>
          <cell r="D153">
            <v>25.831248458692972</v>
          </cell>
          <cell r="E153">
            <v>25.231113398316886</v>
          </cell>
          <cell r="H153">
            <v>45460</v>
          </cell>
          <cell r="J153">
            <v>5.9101380258241853E-2</v>
          </cell>
          <cell r="L153">
            <v>-2.8039254956934156E-3</v>
          </cell>
        </row>
        <row r="154">
          <cell r="C154">
            <v>450.11</v>
          </cell>
          <cell r="D154">
            <v>25.946538224414304</v>
          </cell>
          <cell r="E154">
            <v>25.343724647333051</v>
          </cell>
          <cell r="H154">
            <v>45461</v>
          </cell>
          <cell r="J154">
            <v>6.1792206283756146E-2</v>
          </cell>
          <cell r="L154">
            <v>1.6467498942971392E-3</v>
          </cell>
        </row>
        <row r="155">
          <cell r="C155">
            <v>452.51</v>
          </cell>
          <cell r="D155">
            <v>26.0848859432799</v>
          </cell>
          <cell r="E155">
            <v>25.478858146152447</v>
          </cell>
          <cell r="H155">
            <v>45463</v>
          </cell>
          <cell r="J155">
            <v>5.890779565208959E-2</v>
          </cell>
          <cell r="L155">
            <v>6.9875603622857607E-3</v>
          </cell>
        </row>
        <row r="156">
          <cell r="C156">
            <v>454.85</v>
          </cell>
          <cell r="D156">
            <v>26.219774969173862</v>
          </cell>
          <cell r="E156">
            <v>25.61061330750136</v>
          </cell>
          <cell r="H156">
            <v>45464</v>
          </cell>
          <cell r="J156">
            <v>5.4087538958901726E-2</v>
          </cell>
          <cell r="L156">
            <v>1.21948505685745E-2</v>
          </cell>
        </row>
        <row r="157">
          <cell r="C157">
            <v>456.96</v>
          </cell>
          <cell r="D157">
            <v>26.341405672009863</v>
          </cell>
          <cell r="E157">
            <v>25.729418175213414</v>
          </cell>
          <cell r="H157">
            <v>45467</v>
          </cell>
          <cell r="J157">
            <v>5.0661091430009408E-2</v>
          </cell>
          <cell r="L157">
            <v>1.6890313105014432E-2</v>
          </cell>
        </row>
        <row r="158">
          <cell r="C158">
            <v>455.65</v>
          </cell>
          <cell r="D158">
            <v>26.265890875462389</v>
          </cell>
          <cell r="E158">
            <v>25.655657807107826</v>
          </cell>
          <cell r="H158">
            <v>45468</v>
          </cell>
          <cell r="J158">
            <v>5.4707009698588882E-2</v>
          </cell>
          <cell r="L158">
            <v>1.3975120724570633E-2</v>
          </cell>
        </row>
        <row r="159">
          <cell r="C159">
            <v>452.38</v>
          </cell>
          <cell r="D159">
            <v>26.077392108508015</v>
          </cell>
          <cell r="E159">
            <v>25.471538414966396</v>
          </cell>
          <cell r="H159">
            <v>45469</v>
          </cell>
          <cell r="J159">
            <v>5.6023385020423255E-2</v>
          </cell>
          <cell r="L159">
            <v>6.6982664619361643E-3</v>
          </cell>
        </row>
        <row r="160">
          <cell r="C160">
            <v>442.75</v>
          </cell>
          <cell r="D160">
            <v>25.522271886559803</v>
          </cell>
          <cell r="E160">
            <v>24.929315250953561</v>
          </cell>
          <cell r="H160">
            <v>45470</v>
          </cell>
          <cell r="J160">
            <v>5.7688212633331348E-2</v>
          </cell>
          <cell r="L160">
            <v>-1.4731735540867708E-2</v>
          </cell>
        </row>
        <row r="161">
          <cell r="C161">
            <v>441.16</v>
          </cell>
          <cell r="D161">
            <v>25.430616522811345</v>
          </cell>
          <cell r="E161">
            <v>24.839789307985711</v>
          </cell>
          <cell r="H161">
            <v>45471</v>
          </cell>
          <cell r="J161">
            <v>5.3526143601060783E-2</v>
          </cell>
          <cell r="L161">
            <v>-1.8270022475910142E-2</v>
          </cell>
        </row>
        <row r="162">
          <cell r="C162">
            <v>437.61</v>
          </cell>
          <cell r="D162">
            <v>24.639904340982017</v>
          </cell>
          <cell r="E162">
            <v>24.286869262614747</v>
          </cell>
          <cell r="H162">
            <v>45474</v>
          </cell>
          <cell r="J162">
            <v>5.5694291189964495E-2</v>
          </cell>
          <cell r="L162">
            <v>-2.6169971293143135E-2</v>
          </cell>
        </row>
        <row r="163">
          <cell r="C163">
            <v>444.65</v>
          </cell>
          <cell r="D163">
            <v>25.036295937518918</v>
          </cell>
          <cell r="E163">
            <v>24.677581448371029</v>
          </cell>
          <cell r="H163">
            <v>45475</v>
          </cell>
          <cell r="J163">
            <v>6.2798846235747163E-2</v>
          </cell>
          <cell r="L163">
            <v>-1.0503593920376919E-2</v>
          </cell>
        </row>
        <row r="164">
          <cell r="C164">
            <v>448.18</v>
          </cell>
          <cell r="D164">
            <v>25.23505479203245</v>
          </cell>
          <cell r="E164">
            <v>24.873492530149395</v>
          </cell>
          <cell r="H164">
            <v>45476</v>
          </cell>
          <cell r="J164">
            <v>6.7541669086474299E-2</v>
          </cell>
          <cell r="L164">
            <v>-2.6481518570437013E-3</v>
          </cell>
        </row>
        <row r="165">
          <cell r="C165">
            <v>449.49</v>
          </cell>
          <cell r="D165">
            <v>25.308815160138039</v>
          </cell>
          <cell r="E165">
            <v>24.946196076078479</v>
          </cell>
          <cell r="H165">
            <v>45478</v>
          </cell>
          <cell r="J165">
            <v>7.3697659562111717E-2</v>
          </cell>
          <cell r="L165">
            <v>2.6704052339998618E-4</v>
          </cell>
        </row>
        <row r="166">
          <cell r="C166">
            <v>446.24</v>
          </cell>
          <cell r="D166">
            <v>25.125821880486768</v>
          </cell>
          <cell r="E166">
            <v>24.765824683506327</v>
          </cell>
          <cell r="H166">
            <v>45481</v>
          </cell>
          <cell r="J166">
            <v>7.4936601041485362E-2</v>
          </cell>
          <cell r="L166">
            <v>-6.9653069853344851E-3</v>
          </cell>
        </row>
        <row r="167">
          <cell r="C167">
            <v>444.7</v>
          </cell>
          <cell r="D167">
            <v>25.039111218744321</v>
          </cell>
          <cell r="E167">
            <v>24.680356392872142</v>
          </cell>
          <cell r="H167">
            <v>45482</v>
          </cell>
          <cell r="J167">
            <v>7.5981957914706744E-2</v>
          </cell>
          <cell r="L167">
            <v>-1.0392327035627202E-2</v>
          </cell>
        </row>
        <row r="168">
          <cell r="C168">
            <v>433.64</v>
          </cell>
          <cell r="D168">
            <v>24.416371011684927</v>
          </cell>
          <cell r="E168">
            <v>24.066538669226613</v>
          </cell>
          <cell r="H168">
            <v>45483</v>
          </cell>
          <cell r="J168">
            <v>8.6629111253073265E-2</v>
          </cell>
          <cell r="L168">
            <v>-3.5004561942274304E-2</v>
          </cell>
        </row>
        <row r="169">
          <cell r="C169">
            <v>436.42</v>
          </cell>
          <cell r="D169">
            <v>24.572900647817399</v>
          </cell>
          <cell r="E169">
            <v>24.220825583488331</v>
          </cell>
          <cell r="H169">
            <v>45484</v>
          </cell>
          <cell r="J169">
            <v>7.7259616315310753E-2</v>
          </cell>
          <cell r="L169">
            <v>-2.8818123150187613E-2</v>
          </cell>
        </row>
        <row r="170">
          <cell r="C170">
            <v>440.11</v>
          </cell>
          <cell r="D170">
            <v>24.780668402252225</v>
          </cell>
          <cell r="E170">
            <v>24.425616487670247</v>
          </cell>
          <cell r="H170">
            <v>45485</v>
          </cell>
          <cell r="J170">
            <v>8.4054435991250065E-2</v>
          </cell>
          <cell r="L170">
            <v>-2.0606627055655302E-2</v>
          </cell>
        </row>
        <row r="171">
          <cell r="C171">
            <v>444</v>
          </cell>
          <cell r="D171">
            <v>24.999697281588663</v>
          </cell>
          <cell r="E171">
            <v>24.641507169856602</v>
          </cell>
          <cell r="H171">
            <v>45488</v>
          </cell>
          <cell r="J171">
            <v>8.7035638925992531E-2</v>
          </cell>
          <cell r="L171">
            <v>-1.1950063422124013E-2</v>
          </cell>
        </row>
        <row r="172">
          <cell r="C172">
            <v>443.53</v>
          </cell>
          <cell r="D172">
            <v>24.973233638069864</v>
          </cell>
          <cell r="E172">
            <v>24.615422691546165</v>
          </cell>
          <cell r="H172">
            <v>45489</v>
          </cell>
          <cell r="J172">
            <v>9.3482006310858123E-2</v>
          </cell>
          <cell r="L172">
            <v>-1.2995972138771794E-2</v>
          </cell>
        </row>
        <row r="173">
          <cell r="C173">
            <v>451.16</v>
          </cell>
          <cell r="D173">
            <v>25.402845553066538</v>
          </cell>
          <cell r="E173">
            <v>25.038879222415552</v>
          </cell>
          <cell r="H173">
            <v>45490</v>
          </cell>
          <cell r="J173">
            <v>7.8150105503610456E-2</v>
          </cell>
          <cell r="L173">
            <v>3.9833544740419669E-3</v>
          </cell>
        </row>
        <row r="174">
          <cell r="C174">
            <v>448.72</v>
          </cell>
          <cell r="D174">
            <v>25.265459829266817</v>
          </cell>
          <cell r="E174">
            <v>24.903461930761384</v>
          </cell>
          <cell r="H174">
            <v>45491</v>
          </cell>
          <cell r="J174">
            <v>6.9864684360299689E-2</v>
          </cell>
          <cell r="L174">
            <v>-1.4464695017463169E-3</v>
          </cell>
        </row>
        <row r="175">
          <cell r="C175">
            <v>443.69</v>
          </cell>
          <cell r="D175">
            <v>24.982242537991159</v>
          </cell>
          <cell r="E175">
            <v>24.624302513949718</v>
          </cell>
          <cell r="H175">
            <v>45492</v>
          </cell>
          <cell r="J175">
            <v>6.2760129314517021E-2</v>
          </cell>
          <cell r="L175">
            <v>-1.2639918107572368E-2</v>
          </cell>
        </row>
        <row r="176">
          <cell r="C176">
            <v>447.94</v>
          </cell>
          <cell r="D176">
            <v>25.22154144215051</v>
          </cell>
          <cell r="E176">
            <v>24.860172796544067</v>
          </cell>
          <cell r="H176">
            <v>45495</v>
          </cell>
          <cell r="J176">
            <v>7.3717018022726677E-2</v>
          </cell>
          <cell r="L176">
            <v>-3.1822329038427855E-3</v>
          </cell>
        </row>
        <row r="177">
          <cell r="C177">
            <v>441.72</v>
          </cell>
          <cell r="D177">
            <v>24.871320457710237</v>
          </cell>
          <cell r="E177">
            <v>24.514969700605988</v>
          </cell>
          <cell r="H177">
            <v>45496</v>
          </cell>
          <cell r="J177">
            <v>7.203283194920318E-2</v>
          </cell>
          <cell r="L177">
            <v>-1.7023833366712982E-2</v>
          </cell>
        </row>
        <row r="178">
          <cell r="C178">
            <v>432.45</v>
          </cell>
          <cell r="D178">
            <v>24.349367318520311</v>
          </cell>
          <cell r="E178">
            <v>24.000494990100197</v>
          </cell>
          <cell r="H178">
            <v>45497</v>
          </cell>
          <cell r="J178">
            <v>4.7737963877112266E-2</v>
          </cell>
          <cell r="L178">
            <v>-3.7652713799318782E-2</v>
          </cell>
        </row>
        <row r="179">
          <cell r="C179">
            <v>429.6</v>
          </cell>
          <cell r="D179">
            <v>24.188896288672275</v>
          </cell>
          <cell r="E179">
            <v>23.842323153536928</v>
          </cell>
          <cell r="H179">
            <v>45498</v>
          </cell>
          <cell r="J179">
            <v>4.2278877983622287E-2</v>
          </cell>
          <cell r="L179">
            <v>-4.3994926230055076E-2</v>
          </cell>
        </row>
        <row r="180">
          <cell r="C180">
            <v>438.18</v>
          </cell>
          <cell r="D180">
            <v>24.671998546951624</v>
          </cell>
          <cell r="E180">
            <v>24.318503629927399</v>
          </cell>
          <cell r="H180">
            <v>45499</v>
          </cell>
          <cell r="J180">
            <v>5.3952029734595008E-2</v>
          </cell>
          <cell r="L180">
            <v>-2.4901528806996143E-2</v>
          </cell>
        </row>
        <row r="181">
          <cell r="C181">
            <v>441.3</v>
          </cell>
          <cell r="D181">
            <v>24.847672095416844</v>
          </cell>
          <cell r="E181">
            <v>24.491660166796663</v>
          </cell>
          <cell r="H181">
            <v>45502</v>
          </cell>
          <cell r="J181">
            <v>5.457150047428172E-2</v>
          </cell>
          <cell r="L181">
            <v>-1.7958475198611046E-2</v>
          </cell>
        </row>
        <row r="182">
          <cell r="C182">
            <v>447.45</v>
          </cell>
          <cell r="D182">
            <v>25.193951686141549</v>
          </cell>
          <cell r="E182">
            <v>24.83297834043319</v>
          </cell>
          <cell r="H182">
            <v>45503</v>
          </cell>
          <cell r="J182">
            <v>4.9228565344483277E-2</v>
          </cell>
          <cell r="L182">
            <v>-4.2726483743905641E-3</v>
          </cell>
        </row>
        <row r="183">
          <cell r="C183">
            <v>463.71</v>
          </cell>
          <cell r="D183">
            <v>26.10948114064297</v>
          </cell>
          <cell r="E183">
            <v>25.735390292194154</v>
          </cell>
          <cell r="H183">
            <v>45504</v>
          </cell>
          <cell r="J183">
            <v>6.6283369146484805E-2</v>
          </cell>
          <cell r="L183">
            <v>3.1911342546231625E-2</v>
          </cell>
        </row>
        <row r="184">
          <cell r="C184">
            <v>462.41</v>
          </cell>
          <cell r="D184">
            <v>26.036283828782466</v>
          </cell>
          <cell r="E184">
            <v>25.663241735165297</v>
          </cell>
          <cell r="H184">
            <v>45505</v>
          </cell>
          <cell r="J184">
            <v>5.1183769866619766E-2</v>
          </cell>
          <cell r="L184">
            <v>2.9018403542737881E-2</v>
          </cell>
        </row>
        <row r="185">
          <cell r="C185">
            <v>462.02</v>
          </cell>
          <cell r="D185">
            <v>26.014324635224312</v>
          </cell>
          <cell r="E185">
            <v>25.641597168056638</v>
          </cell>
          <cell r="H185">
            <v>45506</v>
          </cell>
          <cell r="J185">
            <v>3.1612366184640583E-2</v>
          </cell>
          <cell r="L185">
            <v>2.8150521841689757E-2</v>
          </cell>
        </row>
        <row r="186">
          <cell r="C186">
            <v>442</v>
          </cell>
          <cell r="D186">
            <v>24.887086032572498</v>
          </cell>
          <cell r="E186">
            <v>24.530509389812202</v>
          </cell>
          <cell r="H186">
            <v>45509</v>
          </cell>
          <cell r="J186">
            <v>1.568035309831739E-3</v>
          </cell>
          <cell r="L186">
            <v>-1.6400738812114457E-2</v>
          </cell>
        </row>
        <row r="187">
          <cell r="C187">
            <v>448.3</v>
          </cell>
          <cell r="D187">
            <v>25.24181146697342</v>
          </cell>
          <cell r="E187">
            <v>24.880152396952059</v>
          </cell>
          <cell r="H187">
            <v>45510</v>
          </cell>
          <cell r="J187">
            <v>1.0802021023287756E-2</v>
          </cell>
          <cell r="L187">
            <v>-2.3811113336446033E-3</v>
          </cell>
        </row>
        <row r="188">
          <cell r="C188">
            <v>449.84</v>
          </cell>
          <cell r="D188">
            <v>25.328522128715864</v>
          </cell>
          <cell r="E188">
            <v>24.965620687586245</v>
          </cell>
          <cell r="H188">
            <v>45511</v>
          </cell>
          <cell r="J188">
            <v>4.0459182685788075E-3</v>
          </cell>
          <cell r="L188">
            <v>1.045908716648114E-3</v>
          </cell>
        </row>
        <row r="189">
          <cell r="C189">
            <v>455.58</v>
          </cell>
          <cell r="D189">
            <v>25.651716413392261</v>
          </cell>
          <cell r="E189">
            <v>25.28418431631367</v>
          </cell>
          <cell r="H189">
            <v>45512</v>
          </cell>
          <cell r="J189">
            <v>2.7256712546217754E-2</v>
          </cell>
          <cell r="L189">
            <v>1.3819347085920697E-2</v>
          </cell>
        </row>
        <row r="190">
          <cell r="C190">
            <v>456.78</v>
          </cell>
          <cell r="D190">
            <v>25.719283162801958</v>
          </cell>
          <cell r="E190">
            <v>25.350782984340309</v>
          </cell>
          <cell r="H190">
            <v>45513</v>
          </cell>
          <cell r="J190">
            <v>3.1786592330177443E-2</v>
          </cell>
          <cell r="L190">
            <v>1.6489752319914786E-2</v>
          </cell>
        </row>
        <row r="191">
          <cell r="C191">
            <v>455.69</v>
          </cell>
          <cell r="D191">
            <v>25.65791003208815</v>
          </cell>
          <cell r="E191">
            <v>25.290289194216115</v>
          </cell>
          <cell r="H191">
            <v>45516</v>
          </cell>
          <cell r="J191">
            <v>3.2328629227403205E-2</v>
          </cell>
          <cell r="L191">
            <v>1.4064134232369963E-2</v>
          </cell>
        </row>
        <row r="192">
          <cell r="C192">
            <v>459.36</v>
          </cell>
          <cell r="D192">
            <v>25.864551674032814</v>
          </cell>
          <cell r="E192">
            <v>25.493970120597588</v>
          </cell>
          <cell r="H192">
            <v>45517</v>
          </cell>
          <cell r="J192">
            <v>4.9305999186943783E-2</v>
          </cell>
          <cell r="L192">
            <v>2.2231123573002387E-2</v>
          </cell>
        </row>
        <row r="193">
          <cell r="C193">
            <v>460.16</v>
          </cell>
          <cell r="D193">
            <v>25.909596173639279</v>
          </cell>
          <cell r="E193">
            <v>25.538369232615349</v>
          </cell>
          <cell r="H193">
            <v>45518</v>
          </cell>
          <cell r="J193">
            <v>5.2616295952145231E-2</v>
          </cell>
          <cell r="L193">
            <v>2.4011393728998742E-2</v>
          </cell>
        </row>
        <row r="194">
          <cell r="C194">
            <v>468.71</v>
          </cell>
          <cell r="D194">
            <v>26.391009263183385</v>
          </cell>
          <cell r="E194">
            <v>26.01288474230515</v>
          </cell>
          <cell r="H194">
            <v>45519</v>
          </cell>
          <cell r="J194">
            <v>7.0658381245522817E-2</v>
          </cell>
          <cell r="L194">
            <v>4.3038031021207734E-2</v>
          </cell>
        </row>
        <row r="195">
          <cell r="C195">
            <v>468.88</v>
          </cell>
          <cell r="D195">
            <v>26.400581219349757</v>
          </cell>
          <cell r="E195">
            <v>26.022319553608927</v>
          </cell>
          <cell r="H195">
            <v>45520</v>
          </cell>
          <cell r="J195">
            <v>7.3058830361808935E-2</v>
          </cell>
          <cell r="L195">
            <v>4.3416338429356882E-2</v>
          </cell>
        </row>
        <row r="196">
          <cell r="C196">
            <v>466.98</v>
          </cell>
          <cell r="D196">
            <v>26.293600532784403</v>
          </cell>
          <cell r="E196">
            <v>25.916871662566749</v>
          </cell>
          <cell r="H196">
            <v>45523</v>
          </cell>
          <cell r="J196">
            <v>8.3318814487871373E-2</v>
          </cell>
          <cell r="L196">
            <v>3.9188196808865872E-2</v>
          </cell>
        </row>
        <row r="197">
          <cell r="C197">
            <v>469.12</v>
          </cell>
          <cell r="D197">
            <v>26.4140945692317</v>
          </cell>
          <cell r="E197">
            <v>26.035639287214256</v>
          </cell>
          <cell r="H197">
            <v>45524</v>
          </cell>
          <cell r="J197">
            <v>8.1557194571887148E-2</v>
          </cell>
          <cell r="L197">
            <v>4.3950419476155522E-2</v>
          </cell>
        </row>
        <row r="198">
          <cell r="C198">
            <v>468</v>
          </cell>
          <cell r="D198">
            <v>26.351032269782646</v>
          </cell>
          <cell r="E198">
            <v>25.973480530389391</v>
          </cell>
          <cell r="H198">
            <v>45525</v>
          </cell>
          <cell r="J198">
            <v>8.527401901000764E-2</v>
          </cell>
          <cell r="L198">
            <v>4.145804125776098E-2</v>
          </cell>
        </row>
        <row r="199">
          <cell r="C199">
            <v>468.82</v>
          </cell>
          <cell r="D199">
            <v>26.397202881879274</v>
          </cell>
          <cell r="E199">
            <v>26.018989620207595</v>
          </cell>
          <cell r="H199">
            <v>45526</v>
          </cell>
          <cell r="J199">
            <v>7.6756296339314467E-2</v>
          </cell>
          <cell r="L199">
            <v>4.3282818167657E-2</v>
          </cell>
        </row>
        <row r="200">
          <cell r="C200">
            <v>466.44</v>
          </cell>
          <cell r="D200">
            <v>26.263195495550036</v>
          </cell>
          <cell r="E200">
            <v>25.886902261954759</v>
          </cell>
          <cell r="H200">
            <v>45527</v>
          </cell>
          <cell r="J200">
            <v>8.819714656290456E-2</v>
          </cell>
          <cell r="L200">
            <v>3.7986514453568265E-2</v>
          </cell>
        </row>
        <row r="201">
          <cell r="C201">
            <v>468.64</v>
          </cell>
          <cell r="D201">
            <v>26.387067869467817</v>
          </cell>
          <cell r="E201">
            <v>26.008999820003599</v>
          </cell>
          <cell r="H201">
            <v>45530</v>
          </cell>
          <cell r="J201">
            <v>8.5603112840465956E-2</v>
          </cell>
          <cell r="L201">
            <v>4.2882257382557798E-2</v>
          </cell>
        </row>
        <row r="202">
          <cell r="C202">
            <v>474.99</v>
          </cell>
          <cell r="D202">
            <v>26.744608585094145</v>
          </cell>
          <cell r="E202">
            <v>26.361417771644565</v>
          </cell>
          <cell r="H202">
            <v>45531</v>
          </cell>
          <cell r="J202">
            <v>8.7093714307837189E-2</v>
          </cell>
          <cell r="L202">
            <v>5.7013151745777479E-2</v>
          </cell>
        </row>
        <row r="203">
          <cell r="C203">
            <v>471.8</v>
          </cell>
          <cell r="D203">
            <v>26.564993642913361</v>
          </cell>
          <cell r="E203">
            <v>26.184376312473749</v>
          </cell>
          <cell r="H203">
            <v>45532</v>
          </cell>
          <cell r="J203">
            <v>8.0782856147278093E-2</v>
          </cell>
          <cell r="L203">
            <v>4.9914324498742779E-2</v>
          </cell>
        </row>
        <row r="204">
          <cell r="C204">
            <v>480.8</v>
          </cell>
          <cell r="D204">
            <v>27.071744263486103</v>
          </cell>
          <cell r="E204">
            <v>26.683866322673545</v>
          </cell>
          <cell r="H204">
            <v>45533</v>
          </cell>
          <cell r="J204">
            <v>8.0879648450354225E-2</v>
          </cell>
          <cell r="L204">
            <v>6.9942363753699777E-2</v>
          </cell>
        </row>
        <row r="205">
          <cell r="C205">
            <v>483.34</v>
          </cell>
          <cell r="D205">
            <v>27.214760549736631</v>
          </cell>
          <cell r="E205">
            <v>26.824833503329931</v>
          </cell>
          <cell r="H205">
            <v>45534</v>
          </cell>
          <cell r="J205">
            <v>9.1197707958261987E-2</v>
          </cell>
          <cell r="L205">
            <v>7.5594721498987605E-2</v>
          </cell>
        </row>
        <row r="206">
          <cell r="C206">
            <v>482.12</v>
          </cell>
          <cell r="D206">
            <v>27.146067687836773</v>
          </cell>
          <cell r="E206">
            <v>26.757124857502848</v>
          </cell>
          <cell r="H206">
            <v>45538</v>
          </cell>
          <cell r="J206">
            <v>6.8741893644616248E-2</v>
          </cell>
          <cell r="L206">
            <v>7.2879809511093407E-2</v>
          </cell>
        </row>
        <row r="207">
          <cell r="C207">
            <v>483.14</v>
          </cell>
          <cell r="D207">
            <v>27.203499424835016</v>
          </cell>
          <cell r="E207">
            <v>26.813733725325491</v>
          </cell>
          <cell r="H207">
            <v>45539</v>
          </cell>
          <cell r="J207">
            <v>6.6554387595097353E-2</v>
          </cell>
          <cell r="L207">
            <v>7.5149653959988294E-2</v>
          </cell>
        </row>
        <row r="208">
          <cell r="C208">
            <v>477.36</v>
          </cell>
          <cell r="D208">
            <v>26.878052915178301</v>
          </cell>
          <cell r="E208">
            <v>26.492950140997181</v>
          </cell>
          <cell r="H208">
            <v>45540</v>
          </cell>
          <cell r="J208">
            <v>6.396035387265897E-2</v>
          </cell>
          <cell r="L208">
            <v>6.228720208291616E-2</v>
          </cell>
        </row>
        <row r="209">
          <cell r="C209">
            <v>476.12</v>
          </cell>
          <cell r="D209">
            <v>26.808233940788277</v>
          </cell>
          <cell r="E209">
            <v>26.424131517369652</v>
          </cell>
          <cell r="H209">
            <v>45541</v>
          </cell>
          <cell r="J209">
            <v>4.6053777803587881E-2</v>
          </cell>
          <cell r="L209">
            <v>5.9527783341122076E-2</v>
          </cell>
        </row>
        <row r="210">
          <cell r="C210">
            <v>487.09</v>
          </cell>
          <cell r="D210">
            <v>27.425906641641941</v>
          </cell>
          <cell r="E210">
            <v>27.032954340913179</v>
          </cell>
          <cell r="H210">
            <v>45544</v>
          </cell>
          <cell r="J210">
            <v>5.7765646475791188E-2</v>
          </cell>
          <cell r="L210">
            <v>8.3939737855219576E-2</v>
          </cell>
        </row>
        <row r="211">
          <cell r="C211">
            <v>488.02</v>
          </cell>
          <cell r="D211">
            <v>27.478270872434457</v>
          </cell>
          <cell r="E211">
            <v>27.084568308633823</v>
          </cell>
          <cell r="H211">
            <v>45545</v>
          </cell>
          <cell r="J211">
            <v>6.2372960102211605E-2</v>
          </cell>
          <cell r="L211">
            <v>8.6009301911565084E-2</v>
          </cell>
        </row>
        <row r="212">
          <cell r="C212">
            <v>488.18</v>
          </cell>
          <cell r="D212">
            <v>27.487279772355752</v>
          </cell>
          <cell r="E212">
            <v>27.093448131037377</v>
          </cell>
          <cell r="H212">
            <v>45546</v>
          </cell>
          <cell r="J212">
            <v>7.3271773428575937E-2</v>
          </cell>
          <cell r="L212">
            <v>8.6365355942764399E-2</v>
          </cell>
        </row>
        <row r="213">
          <cell r="C213">
            <v>492.11</v>
          </cell>
          <cell r="D213">
            <v>27.708560876672518</v>
          </cell>
          <cell r="E213">
            <v>27.311558768824622</v>
          </cell>
          <cell r="H213">
            <v>45547</v>
          </cell>
          <cell r="J213">
            <v>8.2312174535880134E-2</v>
          </cell>
          <cell r="L213">
            <v>9.5110933084095572E-2</v>
          </cell>
        </row>
        <row r="214">
          <cell r="C214">
            <v>493.36</v>
          </cell>
          <cell r="D214">
            <v>27.77894290730762</v>
          </cell>
          <cell r="E214">
            <v>27.380932381352373</v>
          </cell>
          <cell r="H214">
            <v>45548</v>
          </cell>
          <cell r="J214">
            <v>8.7964845035521932E-2</v>
          </cell>
          <cell r="L214">
            <v>9.7892605202839711E-2</v>
          </cell>
        </row>
        <row r="215">
          <cell r="C215">
            <v>497.71</v>
          </cell>
          <cell r="D215">
            <v>28.023872373917779</v>
          </cell>
          <cell r="E215">
            <v>27.622352552948939</v>
          </cell>
          <cell r="H215">
            <v>45551</v>
          </cell>
          <cell r="J215">
            <v>8.957159726658448E-2</v>
          </cell>
          <cell r="L215">
            <v>0.10757282417606873</v>
          </cell>
        </row>
        <row r="216">
          <cell r="C216">
            <v>500.99</v>
          </cell>
          <cell r="D216">
            <v>28.20855482230429</v>
          </cell>
          <cell r="E216">
            <v>27.804388912221754</v>
          </cell>
          <cell r="H216">
            <v>45552</v>
          </cell>
          <cell r="J216">
            <v>9.0016841860734331E-2</v>
          </cell>
          <cell r="L216">
            <v>0.11487193181565303</v>
          </cell>
        </row>
        <row r="217">
          <cell r="C217">
            <v>494.76</v>
          </cell>
          <cell r="D217">
            <v>27.857770781618935</v>
          </cell>
          <cell r="E217">
            <v>27.458630827383452</v>
          </cell>
          <cell r="H217">
            <v>45553</v>
          </cell>
          <cell r="J217">
            <v>8.6783978937993833E-2</v>
          </cell>
          <cell r="L217">
            <v>0.10100807797583289</v>
          </cell>
        </row>
        <row r="218">
          <cell r="C218">
            <v>493.01</v>
          </cell>
          <cell r="D218">
            <v>27.759235938729791</v>
          </cell>
          <cell r="E218">
            <v>27.3615077698446</v>
          </cell>
          <cell r="H218">
            <v>45554</v>
          </cell>
          <cell r="J218">
            <v>0.10532938420736682</v>
          </cell>
          <cell r="L218">
            <v>9.7113737009591361E-2</v>
          </cell>
        </row>
        <row r="219">
          <cell r="C219">
            <v>492.74</v>
          </cell>
          <cell r="D219">
            <v>27.744033420112611</v>
          </cell>
          <cell r="E219">
            <v>27.346523069538609</v>
          </cell>
          <cell r="H219">
            <v>45555</v>
          </cell>
          <cell r="J219">
            <v>0.10004452445941392</v>
          </cell>
          <cell r="L219">
            <v>9.651289583194278E-2</v>
          </cell>
        </row>
        <row r="220">
          <cell r="C220">
            <v>497.14</v>
          </cell>
          <cell r="D220">
            <v>27.991778167948173</v>
          </cell>
          <cell r="E220">
            <v>27.590718185636284</v>
          </cell>
          <cell r="H220">
            <v>45558</v>
          </cell>
          <cell r="J220">
            <v>0.10279342586677398</v>
          </cell>
          <cell r="L220">
            <v>0.10630438168992185</v>
          </cell>
        </row>
        <row r="221">
          <cell r="C221">
            <v>487.41</v>
          </cell>
          <cell r="D221">
            <v>27.44392444148453</v>
          </cell>
          <cell r="E221">
            <v>27.050713985720286</v>
          </cell>
          <cell r="H221">
            <v>45559</v>
          </cell>
          <cell r="J221">
            <v>0.10594885494705353</v>
          </cell>
          <cell r="L221">
            <v>8.4651845917618429E-2</v>
          </cell>
        </row>
        <row r="222">
          <cell r="C222">
            <v>489.45</v>
          </cell>
          <cell r="D222">
            <v>27.558787915481016</v>
          </cell>
          <cell r="E222">
            <v>27.163931721365572</v>
          </cell>
          <cell r="H222">
            <v>45560</v>
          </cell>
          <cell r="J222">
            <v>0.10350968890953682</v>
          </cell>
          <cell r="L222">
            <v>8.9191534815408424E-2</v>
          </cell>
        </row>
        <row r="223">
          <cell r="C223">
            <v>491.27</v>
          </cell>
          <cell r="D223">
            <v>27.661264152085728</v>
          </cell>
          <cell r="E223">
            <v>27.264939701205972</v>
          </cell>
          <cell r="H223">
            <v>45561</v>
          </cell>
          <cell r="J223">
            <v>0.10788470100857483</v>
          </cell>
          <cell r="L223">
            <v>9.3241649420299666E-2</v>
          </cell>
        </row>
        <row r="224">
          <cell r="C224">
            <v>493.64</v>
          </cell>
          <cell r="D224">
            <v>27.794708482169884</v>
          </cell>
          <cell r="E224">
            <v>27.396472070558588</v>
          </cell>
          <cell r="H224">
            <v>45562</v>
          </cell>
          <cell r="J224">
            <v>0.10627794877751229</v>
          </cell>
          <cell r="L224">
            <v>9.8515699757438346E-2</v>
          </cell>
        </row>
        <row r="225">
          <cell r="C225">
            <v>493.8</v>
          </cell>
          <cell r="D225">
            <v>27.803717382091179</v>
          </cell>
          <cell r="E225">
            <v>27.405351892962141</v>
          </cell>
          <cell r="H225">
            <v>45565</v>
          </cell>
          <cell r="J225">
            <v>0.11071103625839585</v>
          </cell>
          <cell r="L225">
            <v>9.8871753788637662E-2</v>
          </cell>
        </row>
        <row r="226">
          <cell r="C226">
            <v>496.38</v>
          </cell>
          <cell r="D226">
            <v>27.548539029219413</v>
          </cell>
          <cell r="E226">
            <v>26.33338451769324</v>
          </cell>
          <cell r="H226">
            <v>45566</v>
          </cell>
          <cell r="J226">
            <v>0.10076078750217698</v>
          </cell>
          <cell r="L226">
            <v>0.10461312504172526</v>
          </cell>
        </row>
        <row r="227">
          <cell r="C227">
            <v>495.57</v>
          </cell>
          <cell r="D227">
            <v>27.503584928301432</v>
          </cell>
          <cell r="E227">
            <v>26.290413323327368</v>
          </cell>
          <cell r="H227">
            <v>45567</v>
          </cell>
          <cell r="J227">
            <v>0.10122539055694202</v>
          </cell>
          <cell r="L227">
            <v>0.10281060150877908</v>
          </cell>
        </row>
        <row r="228">
          <cell r="C228">
            <v>494.97</v>
          </cell>
          <cell r="D228">
            <v>27.470285594288114</v>
          </cell>
          <cell r="E228">
            <v>26.258582808982279</v>
          </cell>
          <cell r="H228">
            <v>45568</v>
          </cell>
          <cell r="J228">
            <v>9.9212110652959984E-2</v>
          </cell>
          <cell r="L228">
            <v>0.10147539889178203</v>
          </cell>
        </row>
        <row r="229">
          <cell r="C229">
            <v>497.7</v>
          </cell>
          <cell r="D229">
            <v>27.621797564048716</v>
          </cell>
          <cell r="E229">
            <v>26.403411649252437</v>
          </cell>
          <cell r="H229">
            <v>45569</v>
          </cell>
          <cell r="J229">
            <v>0.10920107633040921</v>
          </cell>
          <cell r="L229">
            <v>0.10755057079911867</v>
          </cell>
        </row>
        <row r="230">
          <cell r="C230">
            <v>491.3</v>
          </cell>
          <cell r="D230">
            <v>27.266604667906641</v>
          </cell>
          <cell r="E230">
            <v>26.063886162904808</v>
          </cell>
          <cell r="H230">
            <v>45572</v>
          </cell>
          <cell r="J230">
            <v>9.9173393731729398E-2</v>
          </cell>
          <cell r="L230">
            <v>9.3308409551149385E-2</v>
          </cell>
        </row>
        <row r="231">
          <cell r="C231">
            <v>497.06</v>
          </cell>
          <cell r="D231">
            <v>27.586278274434509</v>
          </cell>
          <cell r="E231">
            <v>26.369459100617675</v>
          </cell>
          <cell r="H231">
            <v>45573</v>
          </cell>
          <cell r="J231">
            <v>0.10956888708209811</v>
          </cell>
          <cell r="L231">
            <v>0.10612635467432185</v>
          </cell>
        </row>
        <row r="232">
          <cell r="C232">
            <v>499.95</v>
          </cell>
          <cell r="D232">
            <v>27.746670066598664</v>
          </cell>
          <cell r="E232">
            <v>26.522776078046526</v>
          </cell>
          <cell r="H232">
            <v>45574</v>
          </cell>
          <cell r="J232">
            <v>0.11725419594633713</v>
          </cell>
          <cell r="L232">
            <v>0.11255758061285803</v>
          </cell>
        </row>
        <row r="233">
          <cell r="C233">
            <v>498.02</v>
          </cell>
          <cell r="D233">
            <v>27.63955720885582</v>
          </cell>
          <cell r="E233">
            <v>26.42038792356982</v>
          </cell>
          <cell r="H233">
            <v>45575</v>
          </cell>
          <cell r="J233">
            <v>0.11529899142420064</v>
          </cell>
          <cell r="L233">
            <v>0.1082626788615173</v>
          </cell>
        </row>
        <row r="234">
          <cell r="C234">
            <v>502.26</v>
          </cell>
          <cell r="D234">
            <v>27.874872502549948</v>
          </cell>
          <cell r="E234">
            <v>26.645323558275127</v>
          </cell>
          <cell r="H234">
            <v>45576</v>
          </cell>
          <cell r="J234">
            <v>0.12197766033644886</v>
          </cell>
          <cell r="L234">
            <v>0.11769811068829683</v>
          </cell>
        </row>
        <row r="235">
          <cell r="C235">
            <v>506.66</v>
          </cell>
          <cell r="D235">
            <v>28.119067618647627</v>
          </cell>
          <cell r="E235">
            <v>26.878747330139124</v>
          </cell>
          <cell r="H235">
            <v>45579</v>
          </cell>
          <cell r="J235">
            <v>0.13115357066805933</v>
          </cell>
          <cell r="L235">
            <v>0.1274895965462759</v>
          </cell>
        </row>
        <row r="236">
          <cell r="C236">
            <v>507.23</v>
          </cell>
          <cell r="D236">
            <v>28.150701985960279</v>
          </cell>
          <cell r="E236">
            <v>26.90898631876696</v>
          </cell>
          <cell r="H236">
            <v>45580</v>
          </cell>
          <cell r="J236">
            <v>0.12236482954875294</v>
          </cell>
          <cell r="L236">
            <v>0.12875803903242322</v>
          </cell>
        </row>
        <row r="237">
          <cell r="C237">
            <v>514.07000000000005</v>
          </cell>
          <cell r="D237">
            <v>28.530314393712128</v>
          </cell>
          <cell r="E237">
            <v>27.271854182300991</v>
          </cell>
          <cell r="H237">
            <v>45581</v>
          </cell>
          <cell r="J237">
            <v>0.12724316162378635</v>
          </cell>
          <cell r="L237">
            <v>0.14397934886619068</v>
          </cell>
        </row>
        <row r="238">
          <cell r="C238">
            <v>513.76</v>
          </cell>
          <cell r="D238">
            <v>28.513109737805241</v>
          </cell>
          <cell r="E238">
            <v>27.255408416556023</v>
          </cell>
          <cell r="H238">
            <v>45582</v>
          </cell>
          <cell r="J238">
            <v>0.12733995392686248</v>
          </cell>
          <cell r="L238">
            <v>0.14328949418074211</v>
          </cell>
        </row>
        <row r="239">
          <cell r="C239">
            <v>516.34</v>
          </cell>
          <cell r="D239">
            <v>28.656296874062519</v>
          </cell>
          <cell r="E239">
            <v>27.392279628239915</v>
          </cell>
          <cell r="H239">
            <v>45583</v>
          </cell>
          <cell r="J239">
            <v>0.13167624910466991</v>
          </cell>
          <cell r="L239">
            <v>0.14903086543382971</v>
          </cell>
        </row>
        <row r="240">
          <cell r="C240">
            <v>515.01</v>
          </cell>
          <cell r="D240">
            <v>28.582483350332993</v>
          </cell>
          <cell r="E240">
            <v>27.321721988108294</v>
          </cell>
          <cell r="H240">
            <v>45586</v>
          </cell>
          <cell r="J240">
            <v>0.12981783688560933</v>
          </cell>
          <cell r="L240">
            <v>0.14607116629948602</v>
          </cell>
        </row>
        <row r="241">
          <cell r="C241">
            <v>513.02</v>
          </cell>
          <cell r="D241">
            <v>28.472040559188812</v>
          </cell>
          <cell r="E241">
            <v>27.216150782197079</v>
          </cell>
          <cell r="H241">
            <v>45587</v>
          </cell>
          <cell r="J241">
            <v>0.1292177246065378</v>
          </cell>
          <cell r="L241">
            <v>0.14164274428644563</v>
          </cell>
        </row>
        <row r="242">
          <cell r="C242">
            <v>513.73</v>
          </cell>
          <cell r="D242">
            <v>28.511444771104578</v>
          </cell>
          <cell r="E242">
            <v>27.25381689083877</v>
          </cell>
          <cell r="H242">
            <v>45588</v>
          </cell>
          <cell r="J242">
            <v>0.11889966509862981</v>
          </cell>
          <cell r="L242">
            <v>0.14322273404989239</v>
          </cell>
        </row>
        <row r="243">
          <cell r="C243">
            <v>510.62</v>
          </cell>
          <cell r="D243">
            <v>28.338843223135537</v>
          </cell>
          <cell r="E243">
            <v>27.088828724816718</v>
          </cell>
          <cell r="H243">
            <v>45589</v>
          </cell>
          <cell r="J243">
            <v>0.12131947267553134</v>
          </cell>
          <cell r="L243">
            <v>0.13630193381845723</v>
          </cell>
        </row>
        <row r="244">
          <cell r="C244">
            <v>507.36</v>
          </cell>
          <cell r="D244">
            <v>28.157916841663166</v>
          </cell>
          <cell r="E244">
            <v>26.915882930208394</v>
          </cell>
          <cell r="H244">
            <v>45590</v>
          </cell>
          <cell r="J244">
            <v>0.12093230346322703</v>
          </cell>
          <cell r="L244">
            <v>0.12904733293277282</v>
          </cell>
        </row>
        <row r="245">
          <cell r="C245">
            <v>508.21</v>
          </cell>
          <cell r="D245">
            <v>28.205090898182032</v>
          </cell>
          <cell r="E245">
            <v>26.960976158863936</v>
          </cell>
          <cell r="H245">
            <v>45593</v>
          </cell>
          <cell r="J245">
            <v>0.12439746791335016</v>
          </cell>
          <cell r="L245">
            <v>0.13093886997351878</v>
          </cell>
        </row>
        <row r="246">
          <cell r="C246">
            <v>506.28</v>
          </cell>
          <cell r="D246">
            <v>28.097978040439187</v>
          </cell>
          <cell r="E246">
            <v>26.858588004387229</v>
          </cell>
          <cell r="H246">
            <v>45594</v>
          </cell>
          <cell r="J246">
            <v>0.12621716321117993</v>
          </cell>
          <cell r="L246">
            <v>0.12664396822217805</v>
          </cell>
        </row>
        <row r="247">
          <cell r="C247">
            <v>513.69000000000005</v>
          </cell>
          <cell r="D247">
            <v>28.509224815503693</v>
          </cell>
          <cell r="E247">
            <v>27.251694856549101</v>
          </cell>
          <cell r="H247">
            <v>45595</v>
          </cell>
          <cell r="J247">
            <v>0.12281007414290257</v>
          </cell>
          <cell r="L247">
            <v>0.14313372054209261</v>
          </cell>
        </row>
        <row r="248">
          <cell r="C248">
            <v>499.59</v>
          </cell>
          <cell r="D248">
            <v>27.726690466190671</v>
          </cell>
          <cell r="E248">
            <v>26.503677769439474</v>
          </cell>
          <cell r="H248">
            <v>45596</v>
          </cell>
          <cell r="J248">
            <v>0.10079950442340668</v>
          </cell>
          <cell r="L248">
            <v>0.11175645904265985</v>
          </cell>
        </row>
        <row r="249">
          <cell r="C249">
            <v>508.08</v>
          </cell>
          <cell r="D249">
            <v>28.197876042479148</v>
          </cell>
          <cell r="E249">
            <v>26.954079547422502</v>
          </cell>
          <cell r="H249">
            <v>45597</v>
          </cell>
          <cell r="J249">
            <v>0.10544553497105769</v>
          </cell>
          <cell r="L249">
            <v>0.13064957607316918</v>
          </cell>
        </row>
        <row r="250">
          <cell r="C250">
            <v>505.58</v>
          </cell>
          <cell r="D250">
            <v>28.059128817423648</v>
          </cell>
          <cell r="E250">
            <v>26.821452404317959</v>
          </cell>
          <cell r="H250">
            <v>45600</v>
          </cell>
          <cell r="J250">
            <v>0.10306444431538653</v>
          </cell>
          <cell r="L250">
            <v>0.12508623183568113</v>
          </cell>
        </row>
        <row r="251">
          <cell r="C251">
            <v>505.56</v>
          </cell>
          <cell r="D251">
            <v>28.058018839623205</v>
          </cell>
          <cell r="E251">
            <v>26.820391387173121</v>
          </cell>
          <cell r="H251">
            <v>45601</v>
          </cell>
          <cell r="J251">
            <v>0.11640242367926756</v>
          </cell>
          <cell r="L251">
            <v>0.12504172508178124</v>
          </cell>
        </row>
        <row r="252">
          <cell r="C252">
            <v>521.13</v>
          </cell>
          <cell r="D252">
            <v>28.922136557268853</v>
          </cell>
          <cell r="E252">
            <v>27.646393234428217</v>
          </cell>
          <cell r="H252">
            <v>45602</v>
          </cell>
          <cell r="J252">
            <v>0.14416245620148116</v>
          </cell>
          <cell r="L252">
            <v>0.15969023299285667</v>
          </cell>
        </row>
        <row r="253">
          <cell r="C253">
            <v>517.88</v>
          </cell>
          <cell r="D253">
            <v>28.741765164696705</v>
          </cell>
          <cell r="E253">
            <v>27.47397794839231</v>
          </cell>
          <cell r="H253">
            <v>45603</v>
          </cell>
          <cell r="J253">
            <v>0.15300927270263287</v>
          </cell>
          <cell r="L253">
            <v>0.15245788548412231</v>
          </cell>
        </row>
        <row r="254">
          <cell r="C254">
            <v>524.76</v>
          </cell>
          <cell r="D254">
            <v>29.123597528049437</v>
          </cell>
          <cell r="E254">
            <v>27.838967846216011</v>
          </cell>
          <cell r="H254">
            <v>45604</v>
          </cell>
          <cell r="J254">
            <v>0.15800375554135782</v>
          </cell>
          <cell r="L254">
            <v>0.16776820882568932</v>
          </cell>
        </row>
        <row r="255">
          <cell r="C255">
            <v>530.12</v>
          </cell>
          <cell r="D255">
            <v>29.421071578568426</v>
          </cell>
          <cell r="E255">
            <v>28.123320441032153</v>
          </cell>
          <cell r="H255">
            <v>45607</v>
          </cell>
          <cell r="J255">
            <v>0.15910718779642496</v>
          </cell>
          <cell r="L255">
            <v>0.17969601887086384</v>
          </cell>
        </row>
        <row r="256">
          <cell r="C256">
            <v>529.16999999999996</v>
          </cell>
          <cell r="D256">
            <v>29.368347633047335</v>
          </cell>
          <cell r="E256">
            <v>28.072922126652426</v>
          </cell>
          <cell r="H256">
            <v>45608</v>
          </cell>
          <cell r="J256">
            <v>0.15550651412199556</v>
          </cell>
          <cell r="L256">
            <v>0.17758194806061822</v>
          </cell>
        </row>
        <row r="257">
          <cell r="C257">
            <v>521.88</v>
          </cell>
          <cell r="D257">
            <v>28.963760724785502</v>
          </cell>
          <cell r="E257">
            <v>27.686181377359581</v>
          </cell>
          <cell r="H257">
            <v>45609</v>
          </cell>
          <cell r="J257">
            <v>0.15606790947983695</v>
          </cell>
          <cell r="L257">
            <v>0.1613592362641032</v>
          </cell>
        </row>
        <row r="258">
          <cell r="C258">
            <v>520.4</v>
          </cell>
          <cell r="D258">
            <v>28.881622367552644</v>
          </cell>
          <cell r="E258">
            <v>27.607666108641688</v>
          </cell>
          <cell r="H258">
            <v>45610</v>
          </cell>
          <cell r="J258">
            <v>0.14863426060359552</v>
          </cell>
          <cell r="L258">
            <v>0.15806573647551025</v>
          </cell>
        </row>
        <row r="259">
          <cell r="C259">
            <v>521.89</v>
          </cell>
          <cell r="D259">
            <v>28.964315713685725</v>
          </cell>
          <cell r="E259">
            <v>27.686711885931999</v>
          </cell>
          <cell r="H259">
            <v>45611</v>
          </cell>
          <cell r="J259">
            <v>0.13392183053603457</v>
          </cell>
          <cell r="L259">
            <v>0.16138148964105326</v>
          </cell>
        </row>
        <row r="260">
          <cell r="C260">
            <v>521.63</v>
          </cell>
          <cell r="D260">
            <v>28.949886002279953</v>
          </cell>
          <cell r="E260">
            <v>27.672918663049124</v>
          </cell>
          <cell r="H260">
            <v>45614</v>
          </cell>
          <cell r="J260">
            <v>0.13856786108368535</v>
          </cell>
          <cell r="L260">
            <v>0.16080290184035451</v>
          </cell>
        </row>
        <row r="261">
          <cell r="C261">
            <v>519.46</v>
          </cell>
          <cell r="D261">
            <v>28.82945341093178</v>
          </cell>
          <cell r="E261">
            <v>27.557798302834385</v>
          </cell>
          <cell r="H261">
            <v>45615</v>
          </cell>
          <cell r="J261">
            <v>0.14272993011595592</v>
          </cell>
          <cell r="L261">
            <v>0.15597391904221491</v>
          </cell>
        </row>
        <row r="262">
          <cell r="C262">
            <v>512.54</v>
          </cell>
          <cell r="D262">
            <v>28.445401091978155</v>
          </cell>
          <cell r="E262">
            <v>27.190686370721004</v>
          </cell>
          <cell r="H262">
            <v>45616</v>
          </cell>
          <cell r="J262">
            <v>0.14311709932826022</v>
          </cell>
          <cell r="L262">
            <v>0.14057458219284791</v>
          </cell>
        </row>
        <row r="263">
          <cell r="C263">
            <v>515.1</v>
          </cell>
          <cell r="D263">
            <v>28.587478250434991</v>
          </cell>
          <cell r="E263">
            <v>27.326496565260062</v>
          </cell>
          <cell r="H263">
            <v>45617</v>
          </cell>
          <cell r="J263">
            <v>0.14925373134328224</v>
          </cell>
          <cell r="L263">
            <v>0.14627144669203584</v>
          </cell>
        </row>
        <row r="264">
          <cell r="C264">
            <v>520.86</v>
          </cell>
          <cell r="D264">
            <v>28.907151856962859</v>
          </cell>
          <cell r="E264">
            <v>27.632069502972929</v>
          </cell>
          <cell r="H264">
            <v>45618</v>
          </cell>
          <cell r="J264">
            <v>0.15281568809648105</v>
          </cell>
          <cell r="L264">
            <v>0.15908939181520809</v>
          </cell>
        </row>
        <row r="265">
          <cell r="C265">
            <v>526.6</v>
          </cell>
          <cell r="D265">
            <v>29.225715485690287</v>
          </cell>
          <cell r="E265">
            <v>27.936581423540957</v>
          </cell>
          <cell r="H265">
            <v>45621</v>
          </cell>
          <cell r="J265">
            <v>0.15672609714075358</v>
          </cell>
          <cell r="L265">
            <v>0.17186283018448067</v>
          </cell>
        </row>
        <row r="266">
          <cell r="C266">
            <v>528.48</v>
          </cell>
          <cell r="D266">
            <v>29.330053398932019</v>
          </cell>
          <cell r="E266">
            <v>28.036317035155573</v>
          </cell>
          <cell r="H266">
            <v>45622</v>
          </cell>
          <cell r="J266">
            <v>0.16276593685269947</v>
          </cell>
          <cell r="L266">
            <v>0.17604646505107158</v>
          </cell>
        </row>
        <row r="267">
          <cell r="C267">
            <v>532.38</v>
          </cell>
          <cell r="D267">
            <v>29.546499070018598</v>
          </cell>
          <cell r="E267">
            <v>28.243215378398659</v>
          </cell>
          <cell r="H267">
            <v>45623</v>
          </cell>
          <cell r="J267">
            <v>0.15924269702073102</v>
          </cell>
          <cell r="L267">
            <v>0.18472528206155281</v>
          </cell>
        </row>
        <row r="268">
          <cell r="C268">
            <v>532.94000000000005</v>
          </cell>
          <cell r="D268">
            <v>29.577578448431034</v>
          </cell>
          <cell r="E268">
            <v>28.272923858454082</v>
          </cell>
          <cell r="H268">
            <v>45625</v>
          </cell>
          <cell r="J268">
            <v>0.16644404436958959</v>
          </cell>
          <cell r="L268">
            <v>0.1859714711707503</v>
          </cell>
        </row>
        <row r="269">
          <cell r="C269">
            <v>531.36</v>
          </cell>
          <cell r="D269">
            <v>29.489890202195955</v>
          </cell>
          <cell r="E269">
            <v>28.189103504012007</v>
          </cell>
          <cell r="H269">
            <v>45628</v>
          </cell>
          <cell r="J269">
            <v>0.16853475811603258</v>
          </cell>
          <cell r="L269">
            <v>0.1824554376126577</v>
          </cell>
        </row>
        <row r="270">
          <cell r="C270">
            <v>526.17999999999995</v>
          </cell>
          <cell r="D270">
            <v>29.202405951880959</v>
          </cell>
          <cell r="E270">
            <v>27.91430006349939</v>
          </cell>
          <cell r="H270">
            <v>45629</v>
          </cell>
          <cell r="J270">
            <v>0.16907679501325856</v>
          </cell>
          <cell r="L270">
            <v>0.17092818835258239</v>
          </cell>
        </row>
        <row r="271">
          <cell r="C271">
            <v>521.14</v>
          </cell>
          <cell r="D271">
            <v>28.922691546169073</v>
          </cell>
          <cell r="E271">
            <v>27.646923743000634</v>
          </cell>
          <cell r="H271">
            <v>45630</v>
          </cell>
          <cell r="J271">
            <v>0.17633621774396291</v>
          </cell>
          <cell r="L271">
            <v>0.15971248636980651</v>
          </cell>
        </row>
        <row r="272">
          <cell r="C272">
            <v>524.77</v>
          </cell>
          <cell r="D272">
            <v>29.124152516949657</v>
          </cell>
          <cell r="E272">
            <v>27.839498354788432</v>
          </cell>
          <cell r="H272">
            <v>45631</v>
          </cell>
          <cell r="J272">
            <v>0.17440037168244182</v>
          </cell>
          <cell r="L272">
            <v>0.16779046220263916</v>
          </cell>
        </row>
        <row r="273">
          <cell r="C273">
            <v>528.57000000000005</v>
          </cell>
          <cell r="D273">
            <v>29.335048299034021</v>
          </cell>
          <cell r="E273">
            <v>28.041091612307341</v>
          </cell>
          <cell r="H273">
            <v>45632</v>
          </cell>
          <cell r="J273">
            <v>0.1766265946531913</v>
          </cell>
          <cell r="L273">
            <v>0.17624674544362118</v>
          </cell>
        </row>
        <row r="274">
          <cell r="C274">
            <v>522.82000000000005</v>
          </cell>
          <cell r="D274">
            <v>29.015929681406373</v>
          </cell>
          <cell r="E274">
            <v>27.736049183166891</v>
          </cell>
          <cell r="H274">
            <v>45635</v>
          </cell>
          <cell r="J274">
            <v>0.17056739648063002</v>
          </cell>
          <cell r="L274">
            <v>0.16345105369739876</v>
          </cell>
        </row>
        <row r="275">
          <cell r="C275">
            <v>529.01</v>
          </cell>
          <cell r="D275">
            <v>29.359467810643785</v>
          </cell>
          <cell r="E275">
            <v>28.064433989493736</v>
          </cell>
          <cell r="H275">
            <v>45636</v>
          </cell>
          <cell r="J275">
            <v>0.16692800588497025</v>
          </cell>
          <cell r="L275">
            <v>0.17722589402941913</v>
          </cell>
        </row>
        <row r="276">
          <cell r="C276">
            <v>534.45000000000005</v>
          </cell>
          <cell r="D276">
            <v>29.661381772364553</v>
          </cell>
          <cell r="E276">
            <v>28.353030652889224</v>
          </cell>
          <cell r="H276">
            <v>45637</v>
          </cell>
          <cell r="J276">
            <v>0.17594904853165905</v>
          </cell>
          <cell r="L276">
            <v>0.18933173109019319</v>
          </cell>
        </row>
        <row r="277">
          <cell r="C277">
            <v>532.41</v>
          </cell>
          <cell r="D277">
            <v>29.54816403671926</v>
          </cell>
          <cell r="E277">
            <v>28.244806904115915</v>
          </cell>
          <cell r="H277">
            <v>45638</v>
          </cell>
          <cell r="J277">
            <v>0.16988985035909776</v>
          </cell>
          <cell r="L277">
            <v>0.18479204219240275</v>
          </cell>
        </row>
        <row r="278">
          <cell r="C278">
            <v>529</v>
          </cell>
          <cell r="D278">
            <v>29.358912821743562</v>
          </cell>
          <cell r="E278">
            <v>28.063903480921319</v>
          </cell>
          <cell r="H278">
            <v>45639</v>
          </cell>
          <cell r="J278">
            <v>0.16965754883171513</v>
          </cell>
          <cell r="L278">
            <v>0.17720364065246907</v>
          </cell>
        </row>
        <row r="279">
          <cell r="C279">
            <v>530.30999999999995</v>
          </cell>
          <cell r="D279">
            <v>29.431616367672643</v>
          </cell>
          <cell r="E279">
            <v>28.133400103908095</v>
          </cell>
          <cell r="H279">
            <v>45642</v>
          </cell>
          <cell r="J279">
            <v>0.17465203167043963</v>
          </cell>
          <cell r="L279">
            <v>0.18011883303291287</v>
          </cell>
        </row>
        <row r="280">
          <cell r="C280">
            <v>531.01</v>
          </cell>
          <cell r="D280">
            <v>29.470465590688185</v>
          </cell>
          <cell r="E280">
            <v>28.170535703977372</v>
          </cell>
          <cell r="H280">
            <v>45643</v>
          </cell>
          <cell r="J280">
            <v>0.16981241651663659</v>
          </cell>
          <cell r="L280">
            <v>0.18167656941940957</v>
          </cell>
        </row>
        <row r="281">
          <cell r="C281">
            <v>519.96</v>
          </cell>
          <cell r="D281">
            <v>28.85720285594288</v>
          </cell>
          <cell r="E281">
            <v>27.584323731455292</v>
          </cell>
          <cell r="H281">
            <v>45644</v>
          </cell>
          <cell r="J281">
            <v>0.1349478289486401</v>
          </cell>
          <cell r="L281">
            <v>0.15708658788971253</v>
          </cell>
        </row>
        <row r="282">
          <cell r="C282">
            <v>523.28</v>
          </cell>
          <cell r="D282">
            <v>29.04145917081658</v>
          </cell>
          <cell r="E282">
            <v>27.760452577498121</v>
          </cell>
          <cell r="H282">
            <v>45645</v>
          </cell>
          <cell r="J282">
            <v>0.13459937665756638</v>
          </cell>
          <cell r="L282">
            <v>0.1644747090370966</v>
          </cell>
        </row>
        <row r="283">
          <cell r="C283">
            <v>528.03</v>
          </cell>
          <cell r="D283">
            <v>29.305078898422028</v>
          </cell>
          <cell r="E283">
            <v>28.012444149396753</v>
          </cell>
          <cell r="H283">
            <v>45646</v>
          </cell>
          <cell r="J283">
            <v>0.14437539926824816</v>
          </cell>
          <cell r="L283">
            <v>0.17504506308832379</v>
          </cell>
        </row>
        <row r="284">
          <cell r="C284">
            <v>528.96</v>
          </cell>
          <cell r="D284">
            <v>29.356692866142676</v>
          </cell>
          <cell r="E284">
            <v>28.061781446631649</v>
          </cell>
          <cell r="H284">
            <v>45649</v>
          </cell>
          <cell r="J284">
            <v>0.15122829432603324</v>
          </cell>
          <cell r="L284">
            <v>0.17711462714466952</v>
          </cell>
        </row>
        <row r="285">
          <cell r="C285">
            <v>535.71</v>
          </cell>
          <cell r="D285">
            <v>29.731310373792525</v>
          </cell>
          <cell r="E285">
            <v>28.419874733013913</v>
          </cell>
          <cell r="H285">
            <v>45650</v>
          </cell>
          <cell r="J285">
            <v>0.16402423679268807</v>
          </cell>
          <cell r="L285">
            <v>0.19213565658588716</v>
          </cell>
        </row>
        <row r="286">
          <cell r="C286">
            <v>536.15</v>
          </cell>
          <cell r="D286">
            <v>29.755729885402289</v>
          </cell>
          <cell r="E286">
            <v>28.443217110200312</v>
          </cell>
          <cell r="H286">
            <v>45652</v>
          </cell>
          <cell r="J286">
            <v>0.16410167063514902</v>
          </cell>
          <cell r="L286">
            <v>0.19311480517168489</v>
          </cell>
        </row>
        <row r="287">
          <cell r="C287">
            <v>532.20000000000005</v>
          </cell>
          <cell r="D287">
            <v>29.536509269814605</v>
          </cell>
          <cell r="E287">
            <v>28.233666224095135</v>
          </cell>
          <cell r="H287">
            <v>45653</v>
          </cell>
          <cell r="J287">
            <v>0.15184776506571973</v>
          </cell>
          <cell r="L287">
            <v>0.18432472127645383</v>
          </cell>
        </row>
        <row r="288">
          <cell r="C288">
            <v>525.54999999999995</v>
          </cell>
          <cell r="D288">
            <v>29.167441651166971</v>
          </cell>
          <cell r="E288">
            <v>27.880878023437045</v>
          </cell>
          <cell r="H288">
            <v>45656</v>
          </cell>
          <cell r="J288">
            <v>0.13870337030799096</v>
          </cell>
          <cell r="L288">
            <v>0.1695262256047354</v>
          </cell>
        </row>
        <row r="289">
          <cell r="C289">
            <v>526.57000000000005</v>
          </cell>
          <cell r="D289">
            <v>29.224050518989621</v>
          </cell>
          <cell r="E289">
            <v>27.934989897823705</v>
          </cell>
          <cell r="H289">
            <v>45657</v>
          </cell>
          <cell r="J289">
            <v>0.1345606597363358</v>
          </cell>
          <cell r="L289">
            <v>0.17179607005363073</v>
          </cell>
        </row>
        <row r="290">
          <cell r="C290">
            <v>522.4</v>
          </cell>
          <cell r="D290">
            <v>27.713767823125323</v>
          </cell>
          <cell r="E290">
            <v>26.662586553495643</v>
          </cell>
          <cell r="H290">
            <v>45659</v>
          </cell>
          <cell r="J290">
            <v>0.13177304140774515</v>
          </cell>
          <cell r="L290">
            <v>0.16251641186550048</v>
          </cell>
        </row>
        <row r="291">
          <cell r="C291">
            <v>521.36</v>
          </cell>
          <cell r="D291">
            <v>27.658594931593836</v>
          </cell>
          <cell r="E291">
            <v>26.609506365870001</v>
          </cell>
          <cell r="H291">
            <v>45660</v>
          </cell>
          <cell r="J291">
            <v>0.14592407611746516</v>
          </cell>
          <cell r="L291">
            <v>0.16020206066270548</v>
          </cell>
        </row>
        <row r="292">
          <cell r="C292">
            <v>511.93</v>
          </cell>
          <cell r="D292">
            <v>27.158325347803498</v>
          </cell>
          <cell r="E292">
            <v>26.128211972302882</v>
          </cell>
          <cell r="H292">
            <v>45663</v>
          </cell>
          <cell r="J292">
            <v>0.15252531118725221</v>
          </cell>
          <cell r="L292">
            <v>0.13921712619890059</v>
          </cell>
        </row>
        <row r="293">
          <cell r="C293">
            <v>511.4</v>
          </cell>
          <cell r="D293">
            <v>27.130208393465335</v>
          </cell>
          <cell r="E293">
            <v>26.101161492070581</v>
          </cell>
          <cell r="H293">
            <v>45664</v>
          </cell>
          <cell r="J293">
            <v>0.13949706719321453</v>
          </cell>
          <cell r="L293">
            <v>0.13803769722055304</v>
          </cell>
        </row>
        <row r="294">
          <cell r="C294">
            <v>516.4</v>
          </cell>
          <cell r="D294">
            <v>27.39546267967442</v>
          </cell>
          <cell r="E294">
            <v>26.356354701809245</v>
          </cell>
          <cell r="H294">
            <v>45665</v>
          </cell>
          <cell r="J294">
            <v>0.14116189480612262</v>
          </cell>
          <cell r="L294">
            <v>0.14916438569552914</v>
          </cell>
        </row>
        <row r="295">
          <cell r="C295">
            <v>504.67</v>
          </cell>
          <cell r="D295">
            <v>26.773176124227906</v>
          </cell>
          <cell r="E295">
            <v>25.75767143176234</v>
          </cell>
          <cell r="H295">
            <v>45667</v>
          </cell>
          <cell r="J295">
            <v>0.12373928025243197</v>
          </cell>
          <cell r="L295">
            <v>0.12306117453323528</v>
          </cell>
        </row>
        <row r="296">
          <cell r="C296">
            <v>504.91</v>
          </cell>
          <cell r="D296">
            <v>26.785908329965942</v>
          </cell>
          <cell r="E296">
            <v>25.769920705829797</v>
          </cell>
          <cell r="H296">
            <v>45670</v>
          </cell>
          <cell r="J296">
            <v>0.12548154170780101</v>
          </cell>
          <cell r="L296">
            <v>0.12359525558003415</v>
          </cell>
        </row>
        <row r="297">
          <cell r="C297">
            <v>509.02</v>
          </cell>
          <cell r="D297">
            <v>27.003947353229808</v>
          </cell>
          <cell r="E297">
            <v>25.979689524234978</v>
          </cell>
          <cell r="H297">
            <v>45671</v>
          </cell>
          <cell r="J297">
            <v>0.12703021855701802</v>
          </cell>
          <cell r="L297">
            <v>0.1327413935064643</v>
          </cell>
        </row>
        <row r="298">
          <cell r="C298">
            <v>522.35</v>
          </cell>
          <cell r="D298">
            <v>27.711115280263236</v>
          </cell>
          <cell r="E298">
            <v>26.660034621398257</v>
          </cell>
          <cell r="H298">
            <v>45672</v>
          </cell>
          <cell r="J298">
            <v>0.14753082834852704</v>
          </cell>
          <cell r="L298">
            <v>0.16240514498075043</v>
          </cell>
        </row>
        <row r="299">
          <cell r="C299">
            <v>523.14</v>
          </cell>
          <cell r="D299">
            <v>27.75302545748427</v>
          </cell>
          <cell r="E299">
            <v>26.700355148536964</v>
          </cell>
          <cell r="H299">
            <v>45673</v>
          </cell>
          <cell r="J299">
            <v>0.14532396383839297</v>
          </cell>
          <cell r="L299">
            <v>0.16416316175979651</v>
          </cell>
        </row>
        <row r="300">
          <cell r="C300">
            <v>524.70000000000005</v>
          </cell>
          <cell r="D300">
            <v>27.835784794781507</v>
          </cell>
          <cell r="E300">
            <v>26.77997542997543</v>
          </cell>
          <cell r="H300">
            <v>45674</v>
          </cell>
          <cell r="J300">
            <v>0.15682288944382883</v>
          </cell>
          <cell r="L300">
            <v>0.16763468856398922</v>
          </cell>
        </row>
        <row r="301">
          <cell r="C301">
            <v>528.05999999999995</v>
          </cell>
          <cell r="D301">
            <v>28.014035675114009</v>
          </cell>
          <cell r="E301">
            <v>26.951465266919808</v>
          </cell>
          <cell r="H301">
            <v>45678</v>
          </cell>
          <cell r="J301">
            <v>0.16741196740034936</v>
          </cell>
          <cell r="L301">
            <v>0.17511182321917285</v>
          </cell>
        </row>
        <row r="302">
          <cell r="C302">
            <v>527.17999999999995</v>
          </cell>
          <cell r="D302">
            <v>27.967350920741207</v>
          </cell>
          <cell r="E302">
            <v>26.906551262005802</v>
          </cell>
          <cell r="H302">
            <v>45679</v>
          </cell>
          <cell r="J302">
            <v>0.17397448554890627</v>
          </cell>
          <cell r="L302">
            <v>0.17315352604757717</v>
          </cell>
        </row>
        <row r="303">
          <cell r="C303">
            <v>534.22</v>
          </cell>
          <cell r="D303">
            <v>28.340828955723605</v>
          </cell>
          <cell r="E303">
            <v>27.265863301317847</v>
          </cell>
          <cell r="H303">
            <v>45680</v>
          </cell>
          <cell r="J303">
            <v>0.18038213601254149</v>
          </cell>
          <cell r="L303">
            <v>0.18881990342034349</v>
          </cell>
        </row>
        <row r="304">
          <cell r="C304">
            <v>533.49</v>
          </cell>
          <cell r="D304">
            <v>28.302101829937079</v>
          </cell>
          <cell r="E304">
            <v>27.228605092696</v>
          </cell>
          <cell r="H304">
            <v>45681</v>
          </cell>
          <cell r="J304">
            <v>0.17693633002303377</v>
          </cell>
          <cell r="L304">
            <v>0.18719540690299707</v>
          </cell>
        </row>
        <row r="305">
          <cell r="C305">
            <v>547.64</v>
          </cell>
          <cell r="D305">
            <v>29.05277145990879</v>
          </cell>
          <cell r="E305">
            <v>27.950801876256421</v>
          </cell>
          <cell r="H305">
            <v>45684</v>
          </cell>
          <cell r="J305">
            <v>0.16028805389395151</v>
          </cell>
          <cell r="L305">
            <v>0.21868393528717944</v>
          </cell>
        </row>
        <row r="306">
          <cell r="C306">
            <v>547.36</v>
          </cell>
          <cell r="D306">
            <v>29.037917219881084</v>
          </cell>
          <cell r="E306">
            <v>27.936511056511055</v>
          </cell>
          <cell r="H306">
            <v>45685</v>
          </cell>
          <cell r="J306">
            <v>0.17025766111078577</v>
          </cell>
          <cell r="L306">
            <v>0.21806084073258081</v>
          </cell>
        </row>
        <row r="307">
          <cell r="C307">
            <v>548.79999999999995</v>
          </cell>
          <cell r="D307">
            <v>29.114310454309297</v>
          </cell>
          <cell r="E307">
            <v>28.010006700915788</v>
          </cell>
          <cell r="H307">
            <v>45686</v>
          </cell>
          <cell r="J307">
            <v>0.16501151828406324</v>
          </cell>
          <cell r="L307">
            <v>0.22126532701337376</v>
          </cell>
        </row>
        <row r="308">
          <cell r="C308">
            <v>566.01</v>
          </cell>
          <cell r="D308">
            <v>30.027315707440973</v>
          </cell>
          <cell r="E308">
            <v>28.888381728836272</v>
          </cell>
          <cell r="H308">
            <v>45687</v>
          </cell>
          <cell r="J308">
            <v>0.17126430106277679</v>
          </cell>
          <cell r="L308">
            <v>0.25956338874424145</v>
          </cell>
        </row>
        <row r="309">
          <cell r="C309">
            <v>555.42999999999995</v>
          </cell>
          <cell r="D309">
            <v>29.466037637822545</v>
          </cell>
          <cell r="E309">
            <v>28.348392897029257</v>
          </cell>
          <cell r="H309">
            <v>45688</v>
          </cell>
          <cell r="J309">
            <v>0.16503087674467887</v>
          </cell>
          <cell r="L309">
            <v>0.23601931593119208</v>
          </cell>
        </row>
        <row r="310">
          <cell r="C310">
            <v>563.95000000000005</v>
          </cell>
          <cell r="D310">
            <v>29.918030941522833</v>
          </cell>
          <cell r="E310">
            <v>28.783242126423946</v>
          </cell>
          <cell r="H310">
            <v>45691</v>
          </cell>
          <cell r="J310">
            <v>0.15719070019551795</v>
          </cell>
          <cell r="L310">
            <v>0.25497919309255157</v>
          </cell>
        </row>
        <row r="311">
          <cell r="C311">
            <v>559.11</v>
          </cell>
          <cell r="D311">
            <v>29.661264792472437</v>
          </cell>
          <cell r="E311">
            <v>28.536215099396916</v>
          </cell>
          <cell r="H311">
            <v>45692</v>
          </cell>
          <cell r="J311">
            <v>0.16495344290221792</v>
          </cell>
          <cell r="L311">
            <v>0.24420855864877478</v>
          </cell>
        </row>
        <row r="312">
          <cell r="C312">
            <v>566.29</v>
          </cell>
          <cell r="D312">
            <v>30.042169947468683</v>
          </cell>
          <cell r="E312">
            <v>28.902672548581638</v>
          </cell>
          <cell r="H312">
            <v>45693</v>
          </cell>
          <cell r="J312">
            <v>0.16967690729232965</v>
          </cell>
          <cell r="L312">
            <v>0.26018648329884009</v>
          </cell>
        </row>
        <row r="313">
          <cell r="C313">
            <v>567.16</v>
          </cell>
          <cell r="D313">
            <v>30.088324193269063</v>
          </cell>
          <cell r="E313">
            <v>28.947076167076165</v>
          </cell>
          <cell r="H313">
            <v>45694</v>
          </cell>
          <cell r="J313">
            <v>0.17374218402152408</v>
          </cell>
          <cell r="L313">
            <v>0.26212252709348594</v>
          </cell>
        </row>
        <row r="314">
          <cell r="C314">
            <v>562.75</v>
          </cell>
          <cell r="D314">
            <v>29.854369912832649</v>
          </cell>
          <cell r="E314">
            <v>28.721995756086663</v>
          </cell>
          <cell r="H314">
            <v>45695</v>
          </cell>
          <cell r="J314">
            <v>0.16299823838008143</v>
          </cell>
          <cell r="L314">
            <v>0.25230878785855704</v>
          </cell>
        </row>
        <row r="315">
          <cell r="C315">
            <v>565.49</v>
          </cell>
          <cell r="D315">
            <v>29.999729261675231</v>
          </cell>
          <cell r="E315">
            <v>28.861841635023453</v>
          </cell>
          <cell r="H315">
            <v>45698</v>
          </cell>
          <cell r="J315">
            <v>0.17089649031108789</v>
          </cell>
          <cell r="L315">
            <v>0.25840621314284395</v>
          </cell>
        </row>
        <row r="316">
          <cell r="C316">
            <v>564.70000000000005</v>
          </cell>
          <cell r="D316">
            <v>29.957819084454197</v>
          </cell>
          <cell r="E316">
            <v>28.821521107884745</v>
          </cell>
          <cell r="H316">
            <v>45699</v>
          </cell>
          <cell r="J316">
            <v>0.17178697949938737</v>
          </cell>
          <cell r="L316">
            <v>0.25664819636379765</v>
          </cell>
        </row>
        <row r="317">
          <cell r="C317">
            <v>564.6</v>
          </cell>
          <cell r="D317">
            <v>29.952513998730012</v>
          </cell>
          <cell r="E317">
            <v>28.816417243689973</v>
          </cell>
          <cell r="H317">
            <v>45700</v>
          </cell>
          <cell r="J317">
            <v>0.16801207967942111</v>
          </cell>
          <cell r="L317">
            <v>0.256425662594298</v>
          </cell>
        </row>
        <row r="318">
          <cell r="C318">
            <v>566.30999999999995</v>
          </cell>
          <cell r="D318">
            <v>30.043230964613517</v>
          </cell>
          <cell r="E318">
            <v>28.90369332142059</v>
          </cell>
          <cell r="H318">
            <v>45701</v>
          </cell>
          <cell r="J318">
            <v>0.18034341909131091</v>
          </cell>
          <cell r="L318">
            <v>0.26023099005273953</v>
          </cell>
        </row>
        <row r="319">
          <cell r="C319">
            <v>564.76</v>
          </cell>
          <cell r="D319">
            <v>29.961002135888702</v>
          </cell>
          <cell r="E319">
            <v>28.824583426401606</v>
          </cell>
          <cell r="H319">
            <v>45702</v>
          </cell>
          <cell r="J319">
            <v>0.18028534370946536</v>
          </cell>
          <cell r="L319">
            <v>0.25678171662549709</v>
          </cell>
        </row>
        <row r="320">
          <cell r="C320">
            <v>568.61</v>
          </cell>
          <cell r="D320">
            <v>30.165247936269701</v>
          </cell>
          <cell r="E320">
            <v>29.02108219790038</v>
          </cell>
          <cell r="H320">
            <v>45706</v>
          </cell>
          <cell r="J320">
            <v>0.18375050815958827</v>
          </cell>
          <cell r="L320">
            <v>0.26534926675122872</v>
          </cell>
        </row>
        <row r="321">
          <cell r="C321">
            <v>568.5</v>
          </cell>
          <cell r="D321">
            <v>30.159412341973098</v>
          </cell>
          <cell r="E321">
            <v>29.01546794728613</v>
          </cell>
          <cell r="H321">
            <v>45707</v>
          </cell>
          <cell r="J321">
            <v>0.18653812648817869</v>
          </cell>
          <cell r="L321">
            <v>0.26510447960477923</v>
          </cell>
        </row>
        <row r="322">
          <cell r="C322">
            <v>563.28</v>
          </cell>
          <cell r="D322">
            <v>29.882486867170812</v>
          </cell>
          <cell r="E322">
            <v>28.749046236318961</v>
          </cell>
          <cell r="H322">
            <v>45708</v>
          </cell>
          <cell r="J322">
            <v>0.18160171903129974</v>
          </cell>
          <cell r="L322">
            <v>0.25348821683690415</v>
          </cell>
        </row>
        <row r="323">
          <cell r="C323">
            <v>557.51</v>
          </cell>
          <cell r="D323">
            <v>29.576383420885527</v>
          </cell>
          <cell r="E323">
            <v>28.454553272280542</v>
          </cell>
          <cell r="H323">
            <v>45709</v>
          </cell>
          <cell r="J323">
            <v>0.16139148614901866</v>
          </cell>
          <cell r="L323">
            <v>0.24064801833678184</v>
          </cell>
        </row>
        <row r="324">
          <cell r="C324">
            <v>559</v>
          </cell>
          <cell r="D324">
            <v>29.655429198175835</v>
          </cell>
          <cell r="E324">
            <v>28.530600848782665</v>
          </cell>
          <cell r="H324">
            <v>45712</v>
          </cell>
          <cell r="J324">
            <v>0.15610662640106576</v>
          </cell>
          <cell r="L324">
            <v>0.24396377150232462</v>
          </cell>
        </row>
        <row r="325">
          <cell r="C325">
            <v>564.03</v>
          </cell>
          <cell r="D325">
            <v>29.922275010102176</v>
          </cell>
          <cell r="E325">
            <v>28.78732521777976</v>
          </cell>
          <cell r="H325">
            <v>45713</v>
          </cell>
          <cell r="J325">
            <v>0.15035716359834783</v>
          </cell>
          <cell r="L325">
            <v>0.25515722010815045</v>
          </cell>
        </row>
        <row r="326">
          <cell r="C326">
            <v>561.27</v>
          </cell>
          <cell r="D326">
            <v>29.775854644114759</v>
          </cell>
          <cell r="E326">
            <v>28.646458566004018</v>
          </cell>
          <cell r="H326">
            <v>45714</v>
          </cell>
          <cell r="J326">
            <v>0.15093791741680396</v>
          </cell>
          <cell r="L326">
            <v>0.24901528806996365</v>
          </cell>
        </row>
        <row r="327">
          <cell r="C327">
            <v>564.82000000000005</v>
          </cell>
          <cell r="D327">
            <v>29.964185187323213</v>
          </cell>
          <cell r="E327">
            <v>28.827645744918474</v>
          </cell>
          <cell r="H327">
            <v>45715</v>
          </cell>
          <cell r="J327">
            <v>0.13256673829296783</v>
          </cell>
          <cell r="L327">
            <v>0.25691523688719675</v>
          </cell>
        </row>
        <row r="328">
          <cell r="C328">
            <v>576.30999999999995</v>
          </cell>
          <cell r="D328">
            <v>30.573739537031688</v>
          </cell>
          <cell r="E328">
            <v>29.414079740897918</v>
          </cell>
          <cell r="H328">
            <v>45716</v>
          </cell>
          <cell r="J328">
            <v>0.1502410128346563</v>
          </cell>
          <cell r="L328">
            <v>0.28248436700269153</v>
          </cell>
        </row>
        <row r="329">
          <cell r="C329">
            <v>574.91999999999996</v>
          </cell>
          <cell r="D329">
            <v>30.499998845465566</v>
          </cell>
          <cell r="E329">
            <v>29.343136028590571</v>
          </cell>
          <cell r="H329">
            <v>45719</v>
          </cell>
          <cell r="J329">
            <v>0.13008885533422077</v>
          </cell>
          <cell r="L329">
            <v>0.27939114760664818</v>
          </cell>
        </row>
        <row r="330">
          <cell r="C330">
            <v>555.07000000000005</v>
          </cell>
          <cell r="D330">
            <v>29.446939329215496</v>
          </cell>
          <cell r="E330">
            <v>28.330018985928078</v>
          </cell>
          <cell r="H330">
            <v>45720</v>
          </cell>
          <cell r="J330">
            <v>0.11671215904910959</v>
          </cell>
          <cell r="L330">
            <v>0.23521819436099345</v>
          </cell>
        </row>
        <row r="331">
          <cell r="C331">
            <v>558.29999999999995</v>
          </cell>
          <cell r="D331">
            <v>29.618293598106561</v>
          </cell>
          <cell r="E331">
            <v>28.494873799419249</v>
          </cell>
          <cell r="H331">
            <v>45721</v>
          </cell>
          <cell r="J331">
            <v>0.12871440463054085</v>
          </cell>
          <cell r="L331">
            <v>0.2424060351158277</v>
          </cell>
        </row>
        <row r="332">
          <cell r="C332">
            <v>549.82000000000005</v>
          </cell>
          <cell r="D332">
            <v>29.168422328695957</v>
          </cell>
          <cell r="E332">
            <v>28.062066115702482</v>
          </cell>
          <cell r="H332">
            <v>45722</v>
          </cell>
          <cell r="J332">
            <v>0.10867839789379685</v>
          </cell>
          <cell r="L332">
            <v>0.22353517146226842</v>
          </cell>
        </row>
        <row r="333">
          <cell r="C333">
            <v>546.77</v>
          </cell>
          <cell r="D333">
            <v>29.00661721410841</v>
          </cell>
          <cell r="E333">
            <v>27.906398257761893</v>
          </cell>
          <cell r="H333">
            <v>45723</v>
          </cell>
          <cell r="J333">
            <v>0.11489246375127959</v>
          </cell>
          <cell r="L333">
            <v>0.21674789149253293</v>
          </cell>
        </row>
        <row r="334">
          <cell r="C334">
            <v>537.12</v>
          </cell>
          <cell r="D334">
            <v>28.494676441724874</v>
          </cell>
          <cell r="E334">
            <v>27.413875362966269</v>
          </cell>
          <cell r="H334">
            <v>45726</v>
          </cell>
          <cell r="J334">
            <v>8.5196585167544914E-2</v>
          </cell>
          <cell r="L334">
            <v>0.19527338273582906</v>
          </cell>
        </row>
        <row r="335">
          <cell r="C335">
            <v>525.79999999999995</v>
          </cell>
          <cell r="D335">
            <v>27.894140737747502</v>
          </cell>
          <cell r="E335">
            <v>26.836117936117933</v>
          </cell>
          <cell r="H335">
            <v>45727</v>
          </cell>
          <cell r="J335">
            <v>7.6175542520856121E-2</v>
          </cell>
          <cell r="L335">
            <v>0.17008256002848321</v>
          </cell>
        </row>
        <row r="336">
          <cell r="C336">
            <v>524.64</v>
          </cell>
          <cell r="D336">
            <v>27.832601743346995</v>
          </cell>
          <cell r="E336">
            <v>26.776913111458565</v>
          </cell>
          <cell r="H336">
            <v>45728</v>
          </cell>
          <cell r="J336">
            <v>8.1886288402343688E-2</v>
          </cell>
          <cell r="L336">
            <v>0.16750116830228889</v>
          </cell>
        </row>
        <row r="337">
          <cell r="C337">
            <v>519.83000000000004</v>
          </cell>
          <cell r="D337">
            <v>27.577427120013855</v>
          </cell>
          <cell r="E337">
            <v>26.531417243689972</v>
          </cell>
          <cell r="H337">
            <v>45729</v>
          </cell>
          <cell r="J337">
            <v>6.7464235244010684E-2</v>
          </cell>
          <cell r="L337">
            <v>0.15679729398936204</v>
          </cell>
        </row>
        <row r="338">
          <cell r="C338">
            <v>527.64</v>
          </cell>
          <cell r="D338">
            <v>27.991754315072445</v>
          </cell>
          <cell r="E338">
            <v>26.930029037301761</v>
          </cell>
          <cell r="H338">
            <v>45730</v>
          </cell>
          <cell r="J338">
            <v>8.9513521884736935E-2</v>
          </cell>
          <cell r="L338">
            <v>0.17417718138727434</v>
          </cell>
        </row>
        <row r="339">
          <cell r="C339">
            <v>531.99</v>
          </cell>
          <cell r="D339">
            <v>28.222525544074351</v>
          </cell>
          <cell r="E339">
            <v>27.152047129774402</v>
          </cell>
          <cell r="H339">
            <v>45733</v>
          </cell>
          <cell r="J339">
            <v>9.7915093791739016E-2</v>
          </cell>
          <cell r="L339">
            <v>0.18385740036050358</v>
          </cell>
        </row>
        <row r="340">
          <cell r="C340">
            <v>530.19000000000005</v>
          </cell>
          <cell r="D340">
            <v>28.127034001039085</v>
          </cell>
          <cell r="E340">
            <v>27.060177574268486</v>
          </cell>
          <cell r="H340">
            <v>45734</v>
          </cell>
          <cell r="J340">
            <v>8.6048357434614253E-2</v>
          </cell>
          <cell r="L340">
            <v>0.17985179250951222</v>
          </cell>
        </row>
        <row r="341">
          <cell r="C341">
            <v>536.09</v>
          </cell>
          <cell r="D341">
            <v>28.440034058765804</v>
          </cell>
          <cell r="E341">
            <v>27.361305561760108</v>
          </cell>
          <cell r="H341">
            <v>45735</v>
          </cell>
          <cell r="J341">
            <v>9.7876376870508652E-2</v>
          </cell>
          <cell r="L341">
            <v>0.1929812849099839</v>
          </cell>
        </row>
        <row r="342">
          <cell r="C342">
            <v>536.38</v>
          </cell>
          <cell r="D342">
            <v>28.45541880736593</v>
          </cell>
          <cell r="E342">
            <v>27.376106767924949</v>
          </cell>
          <cell r="H342">
            <v>45736</v>
          </cell>
          <cell r="J342">
            <v>9.4701589329613922E-2</v>
          </cell>
          <cell r="L342">
            <v>0.19362663284153259</v>
          </cell>
        </row>
        <row r="343">
          <cell r="C343">
            <v>535.69000000000005</v>
          </cell>
          <cell r="D343">
            <v>28.418813715869078</v>
          </cell>
          <cell r="E343">
            <v>27.340890104981014</v>
          </cell>
          <cell r="H343">
            <v>45737</v>
          </cell>
          <cell r="J343">
            <v>9.1778461776717002E-2</v>
          </cell>
          <cell r="L343">
            <v>0.19209114983198616</v>
          </cell>
        </row>
        <row r="344">
          <cell r="C344">
            <v>543.66999999999996</v>
          </cell>
          <cell r="D344">
            <v>28.842159556658775</v>
          </cell>
          <cell r="E344">
            <v>27.748178467723918</v>
          </cell>
          <cell r="H344">
            <v>45740</v>
          </cell>
          <cell r="J344">
            <v>0.111330506998081</v>
          </cell>
          <cell r="L344">
            <v>0.20984934463804761</v>
          </cell>
        </row>
        <row r="345">
          <cell r="C345">
            <v>545.16</v>
          </cell>
          <cell r="D345">
            <v>28.921205333949082</v>
          </cell>
          <cell r="E345">
            <v>27.824226044226041</v>
          </cell>
          <cell r="H345">
            <v>45741</v>
          </cell>
          <cell r="J345">
            <v>0.11400197456298033</v>
          </cell>
          <cell r="L345">
            <v>0.21316509780359039</v>
          </cell>
        </row>
        <row r="346">
          <cell r="C346">
            <v>549.07000000000005</v>
          </cell>
          <cell r="D346">
            <v>29.128634185764593</v>
          </cell>
          <cell r="E346">
            <v>28.02378713424168</v>
          </cell>
          <cell r="H346">
            <v>45742</v>
          </cell>
          <cell r="J346">
            <v>0.10070271212032988</v>
          </cell>
          <cell r="L346">
            <v>0.2218661681910219</v>
          </cell>
        </row>
        <row r="347">
          <cell r="C347">
            <v>557.57000000000005</v>
          </cell>
          <cell r="D347">
            <v>29.579566472320039</v>
          </cell>
          <cell r="E347">
            <v>28.45761559079741</v>
          </cell>
          <cell r="H347">
            <v>45743</v>
          </cell>
          <cell r="J347">
            <v>9.7779584567432964E-2</v>
          </cell>
          <cell r="L347">
            <v>0.24078153859848128</v>
          </cell>
        </row>
        <row r="348">
          <cell r="C348">
            <v>540.61</v>
          </cell>
          <cell r="D348">
            <v>28.679823933498817</v>
          </cell>
          <cell r="E348">
            <v>27.592000223363858</v>
          </cell>
          <cell r="H348">
            <v>45744</v>
          </cell>
          <cell r="J348">
            <v>7.5672222544860945E-2</v>
          </cell>
          <cell r="L348">
            <v>0.2030398112913625</v>
          </cell>
        </row>
        <row r="349">
          <cell r="C349">
            <v>548.12</v>
          </cell>
          <cell r="D349">
            <v>29.078235871384866</v>
          </cell>
          <cell r="E349">
            <v>27.975300424391332</v>
          </cell>
          <cell r="H349">
            <v>45747</v>
          </cell>
          <cell r="J349">
            <v>8.2892928354334927E-2</v>
          </cell>
          <cell r="L349">
            <v>0.2197520973807765</v>
          </cell>
        </row>
        <row r="350">
          <cell r="C350">
            <v>548.51</v>
          </cell>
          <cell r="D350">
            <v>27.995205494750948</v>
          </cell>
          <cell r="E350">
            <v>26.573340617172093</v>
          </cell>
          <cell r="H350">
            <v>45748</v>
          </cell>
          <cell r="J350">
            <v>8.5951565131538565E-2</v>
          </cell>
          <cell r="L350">
            <v>0.22061997908182462</v>
          </cell>
        </row>
        <row r="351">
          <cell r="C351">
            <v>547.38</v>
          </cell>
          <cell r="D351">
            <v>27.937531829350011</v>
          </cell>
          <cell r="E351">
            <v>26.518596173319828</v>
          </cell>
          <cell r="H351">
            <v>45749</v>
          </cell>
          <cell r="J351">
            <v>9.2823818649938827E-2</v>
          </cell>
          <cell r="L351">
            <v>0.21810534748648003</v>
          </cell>
        </row>
        <row r="352">
          <cell r="C352">
            <v>530.54999999999995</v>
          </cell>
          <cell r="D352">
            <v>27.078551485369665</v>
          </cell>
          <cell r="E352">
            <v>25.70324308479454</v>
          </cell>
          <cell r="H352">
            <v>45750</v>
          </cell>
          <cell r="J352">
            <v>3.8968581218419507E-2</v>
          </cell>
          <cell r="L352">
            <v>0.1806529140797104</v>
          </cell>
        </row>
        <row r="353">
          <cell r="C353">
            <v>489.77</v>
          </cell>
          <cell r="D353">
            <v>24.997195666741121</v>
          </cell>
          <cell r="E353">
            <v>23.727598465064219</v>
          </cell>
          <cell r="H353">
            <v>45751</v>
          </cell>
          <cell r="J353">
            <v>-2.1855702034576319E-2</v>
          </cell>
          <cell r="L353">
            <v>8.9903642877805723E-2</v>
          </cell>
        </row>
        <row r="354">
          <cell r="C354">
            <v>485.52</v>
          </cell>
          <cell r="D354">
            <v>24.780281438463255</v>
          </cell>
          <cell r="E354">
            <v>23.521701220487127</v>
          </cell>
          <cell r="H354">
            <v>45754</v>
          </cell>
          <cell r="J354">
            <v>-2.3597963489945251E-2</v>
          </cell>
          <cell r="L354">
            <v>8.0445957674076141E-2</v>
          </cell>
        </row>
        <row r="355">
          <cell r="C355">
            <v>479.92</v>
          </cell>
          <cell r="D355">
            <v>24.494465043555952</v>
          </cell>
          <cell r="E355">
            <v>23.250401321750253</v>
          </cell>
          <cell r="H355">
            <v>45755</v>
          </cell>
          <cell r="J355">
            <v>-3.8891147375962554E-2</v>
          </cell>
          <cell r="L355">
            <v>6.7984066582102987E-2</v>
          </cell>
        </row>
        <row r="356">
          <cell r="C356">
            <v>515.42999999999995</v>
          </cell>
          <cell r="D356">
            <v>26.306847219119941</v>
          </cell>
          <cell r="E356">
            <v>24.970733358204974</v>
          </cell>
          <cell r="H356">
            <v>45756</v>
          </cell>
          <cell r="J356">
            <v>6.2043866271751957E-2</v>
          </cell>
          <cell r="L356">
            <v>0.14700580813138275</v>
          </cell>
        </row>
        <row r="357">
          <cell r="C357">
            <v>499.34</v>
          </cell>
          <cell r="D357">
            <v>25.485635470180924</v>
          </cell>
          <cell r="E357">
            <v>24.191230613441345</v>
          </cell>
          <cell r="H357">
            <v>45757</v>
          </cell>
          <cell r="J357">
            <v>1.5506126952782751E-2</v>
          </cell>
          <cell r="L357">
            <v>0.11120012461890982</v>
          </cell>
        </row>
        <row r="358">
          <cell r="C358">
            <v>509.75</v>
          </cell>
          <cell r="D358">
            <v>26.016947732856824</v>
          </cell>
          <cell r="E358">
            <v>24.695557746629003</v>
          </cell>
          <cell r="H358">
            <v>45758</v>
          </cell>
          <cell r="J358">
            <v>3.3625646088621064E-2</v>
          </cell>
          <cell r="L358">
            <v>0.13436589002380983</v>
          </cell>
        </row>
        <row r="359">
          <cell r="C359">
            <v>512.46</v>
          </cell>
          <cell r="D359">
            <v>26.15526245253518</v>
          </cell>
          <cell r="E359">
            <v>24.826847519053455</v>
          </cell>
          <cell r="H359">
            <v>45761</v>
          </cell>
          <cell r="J359">
            <v>4.3653328687300874E-2</v>
          </cell>
          <cell r="L359">
            <v>0.14039655517724703</v>
          </cell>
        </row>
        <row r="360">
          <cell r="C360">
            <v>517.38</v>
          </cell>
          <cell r="D360">
            <v>26.406372570918023</v>
          </cell>
          <cell r="E360">
            <v>25.065203858657995</v>
          </cell>
          <cell r="H360">
            <v>45762</v>
          </cell>
          <cell r="J360">
            <v>4.0730201134403954E-2</v>
          </cell>
          <cell r="L360">
            <v>0.15134521663662337</v>
          </cell>
        </row>
        <row r="361">
          <cell r="C361">
            <v>513.42999999999995</v>
          </cell>
          <cell r="D361">
            <v>26.204769935224476</v>
          </cell>
          <cell r="E361">
            <v>24.873840537227519</v>
          </cell>
          <cell r="H361">
            <v>45763</v>
          </cell>
          <cell r="J361">
            <v>1.7596840699225735E-2</v>
          </cell>
          <cell r="L361">
            <v>0.14255513274139209</v>
          </cell>
        </row>
        <row r="362">
          <cell r="C362">
            <v>517.33000000000004</v>
          </cell>
          <cell r="D362">
            <v>26.40382063882064</v>
          </cell>
          <cell r="E362">
            <v>25.06278153813356</v>
          </cell>
          <cell r="H362">
            <v>45764</v>
          </cell>
          <cell r="J362">
            <v>1.9048725245366604E-2</v>
          </cell>
          <cell r="L362">
            <v>0.15123394975187354</v>
          </cell>
        </row>
        <row r="363">
          <cell r="C363">
            <v>509.32</v>
          </cell>
          <cell r="D363">
            <v>25.995001116819296</v>
          </cell>
          <cell r="E363">
            <v>24.674725790118849</v>
          </cell>
          <cell r="H363">
            <v>45768</v>
          </cell>
          <cell r="J363">
            <v>-5.2074259054937233E-3</v>
          </cell>
          <cell r="L363">
            <v>0.13340899481496171</v>
          </cell>
        </row>
        <row r="364">
          <cell r="C364">
            <v>527.33000000000004</v>
          </cell>
          <cell r="D364">
            <v>26.914207058297968</v>
          </cell>
          <cell r="E364">
            <v>25.54724564302084</v>
          </cell>
          <cell r="H364">
            <v>45769</v>
          </cell>
          <cell r="J364">
            <v>2.0674835937044556E-2</v>
          </cell>
          <cell r="L364">
            <v>0.17348732670182554</v>
          </cell>
        </row>
        <row r="365">
          <cell r="C365">
            <v>530.01</v>
          </cell>
          <cell r="D365">
            <v>27.05099061871789</v>
          </cell>
          <cell r="E365">
            <v>25.677082023130627</v>
          </cell>
          <cell r="H365">
            <v>45770</v>
          </cell>
          <cell r="J365">
            <v>3.6490698259672438E-2</v>
          </cell>
          <cell r="L365">
            <v>0.17945123172441257</v>
          </cell>
        </row>
        <row r="366">
          <cell r="C366">
            <v>535.46</v>
          </cell>
          <cell r="D366">
            <v>27.329151217333035</v>
          </cell>
          <cell r="E366">
            <v>25.941114960294197</v>
          </cell>
          <cell r="H366">
            <v>45771</v>
          </cell>
          <cell r="J366">
            <v>5.8307683373016506E-2</v>
          </cell>
          <cell r="L366">
            <v>0.19157932216213669</v>
          </cell>
        </row>
        <row r="367">
          <cell r="C367">
            <v>533.48</v>
          </cell>
          <cell r="D367">
            <v>27.228094706276526</v>
          </cell>
          <cell r="E367">
            <v>25.845191067526514</v>
          </cell>
          <cell r="H367">
            <v>45772</v>
          </cell>
          <cell r="J367">
            <v>6.5954275316024935E-2</v>
          </cell>
          <cell r="L367">
            <v>0.18717315352604613</v>
          </cell>
        </row>
        <row r="368">
          <cell r="C368">
            <v>534.49</v>
          </cell>
          <cell r="D368">
            <v>27.279643734643734</v>
          </cell>
          <cell r="E368">
            <v>25.89412194212013</v>
          </cell>
          <cell r="H368">
            <v>45775</v>
          </cell>
          <cell r="J368">
            <v>6.6360802988944645E-2</v>
          </cell>
          <cell r="L368">
            <v>0.18942074459799119</v>
          </cell>
        </row>
        <row r="369">
          <cell r="C369">
            <v>539.67999999999995</v>
          </cell>
          <cell r="D369">
            <v>27.544534286352466</v>
          </cell>
          <cell r="E369">
            <v>26.145558812556622</v>
          </cell>
          <cell r="H369">
            <v>45776</v>
          </cell>
          <cell r="J369">
            <v>7.3078188822423007E-2</v>
          </cell>
          <cell r="L369">
            <v>0.20097024723501611</v>
          </cell>
        </row>
        <row r="370">
          <cell r="C370">
            <v>548.05999999999995</v>
          </cell>
          <cell r="D370">
            <v>27.972238105874464</v>
          </cell>
          <cell r="E370">
            <v>26.551539732452163</v>
          </cell>
          <cell r="H370">
            <v>45777</v>
          </cell>
          <cell r="J370">
            <v>7.3504074955957455E-2</v>
          </cell>
          <cell r="L370">
            <v>0.21961857711907595</v>
          </cell>
        </row>
        <row r="371">
          <cell r="C371">
            <v>546.63</v>
          </cell>
          <cell r="D371">
            <v>27.899252847889212</v>
          </cell>
          <cell r="E371">
            <v>26.482261365453283</v>
          </cell>
          <cell r="H371">
            <v>45778</v>
          </cell>
          <cell r="J371">
            <v>8.1111949977735742E-2</v>
          </cell>
          <cell r="L371">
            <v>0.21643634421523283</v>
          </cell>
        </row>
        <row r="372">
          <cell r="C372">
            <v>559.39</v>
          </cell>
          <cell r="D372">
            <v>28.550505919142282</v>
          </cell>
          <cell r="E372">
            <v>27.10043756328945</v>
          </cell>
          <cell r="H372">
            <v>45779</v>
          </cell>
          <cell r="J372">
            <v>9.7160113827746253E-2</v>
          </cell>
          <cell r="L372">
            <v>0.24483165320337164</v>
          </cell>
        </row>
        <row r="373">
          <cell r="C373">
            <v>561.12</v>
          </cell>
          <cell r="D373">
            <v>28.638802769711859</v>
          </cell>
          <cell r="E373">
            <v>27.184249853434949</v>
          </cell>
          <cell r="H373">
            <v>45782</v>
          </cell>
          <cell r="J373">
            <v>9.0868614127802561E-2</v>
          </cell>
          <cell r="L373">
            <v>0.24868148741571328</v>
          </cell>
        </row>
        <row r="374">
          <cell r="C374">
            <v>558.99</v>
          </cell>
          <cell r="D374">
            <v>28.530090462363187</v>
          </cell>
          <cell r="E374">
            <v>27.081058999093962</v>
          </cell>
          <cell r="H374">
            <v>45783</v>
          </cell>
          <cell r="J374">
            <v>8.1750779178037636E-2</v>
          </cell>
          <cell r="L374">
            <v>0.24394151812537346</v>
          </cell>
        </row>
        <row r="375">
          <cell r="C375">
            <v>566.33000000000004</v>
          </cell>
          <cell r="D375">
            <v>28.90471409425955</v>
          </cell>
          <cell r="E375">
            <v>27.436655652081225</v>
          </cell>
          <cell r="H375">
            <v>45784</v>
          </cell>
          <cell r="J375">
            <v>8.6300017422612507E-2</v>
          </cell>
          <cell r="L375">
            <v>0.26027549680663831</v>
          </cell>
        </row>
        <row r="376">
          <cell r="C376">
            <v>567.12</v>
          </cell>
          <cell r="D376">
            <v>28.945034621398257</v>
          </cell>
          <cell r="E376">
            <v>27.474928316367318</v>
          </cell>
          <cell r="H376">
            <v>45785</v>
          </cell>
          <cell r="J376">
            <v>9.3869175523160209E-2</v>
          </cell>
          <cell r="L376">
            <v>0.26203351358568439</v>
          </cell>
        </row>
        <row r="377">
          <cell r="C377">
            <v>568.64</v>
          </cell>
          <cell r="D377">
            <v>29.022613357158811</v>
          </cell>
          <cell r="E377">
            <v>27.548566860310181</v>
          </cell>
          <cell r="H377">
            <v>45786</v>
          </cell>
          <cell r="J377">
            <v>9.2475366358865108E-2</v>
          </cell>
          <cell r="L377">
            <v>0.26541602688207711</v>
          </cell>
        </row>
        <row r="378">
          <cell r="C378">
            <v>578.27</v>
          </cell>
          <cell r="D378">
            <v>29.514115479115478</v>
          </cell>
          <cell r="E378">
            <v>28.015105793316632</v>
          </cell>
          <cell r="H378">
            <v>45789</v>
          </cell>
          <cell r="J378">
            <v>0.12857889540623502</v>
          </cell>
          <cell r="L378">
            <v>0.28684602888488087</v>
          </cell>
        </row>
        <row r="379">
          <cell r="C379">
            <v>576.59</v>
          </cell>
          <cell r="D379">
            <v>29.428370560643287</v>
          </cell>
          <cell r="E379">
            <v>27.933715823695572</v>
          </cell>
          <cell r="H379">
            <v>45790</v>
          </cell>
          <cell r="J379">
            <v>0.13603190274309185</v>
          </cell>
          <cell r="L379">
            <v>0.28310746155728905</v>
          </cell>
        </row>
        <row r="380">
          <cell r="C380">
            <v>573.28</v>
          </cell>
          <cell r="D380">
            <v>29.259432655796289</v>
          </cell>
          <cell r="E380">
            <v>27.773358204977878</v>
          </cell>
          <cell r="H380">
            <v>45791</v>
          </cell>
          <cell r="J380">
            <v>0.13748378728923272</v>
          </cell>
          <cell r="L380">
            <v>0.27574159378685481</v>
          </cell>
        </row>
        <row r="381">
          <cell r="C381">
            <v>582.20000000000005</v>
          </cell>
          <cell r="D381">
            <v>29.714697341970069</v>
          </cell>
          <cell r="E381">
            <v>28.205500186537336</v>
          </cell>
          <cell r="H381">
            <v>45792</v>
          </cell>
          <cell r="J381">
            <v>0.14303966548579861</v>
          </cell>
          <cell r="L381">
            <v>0.29559160602621226</v>
          </cell>
        </row>
        <row r="382">
          <cell r="C382">
            <v>583.28</v>
          </cell>
          <cell r="D382">
            <v>29.769819075273617</v>
          </cell>
          <cell r="E382">
            <v>28.257822309865158</v>
          </cell>
          <cell r="H382">
            <v>45793</v>
          </cell>
          <cell r="J382">
            <v>0.15027972975588799</v>
          </cell>
          <cell r="L382">
            <v>0.29799497073680681</v>
          </cell>
        </row>
        <row r="383">
          <cell r="C383">
            <v>586.41</v>
          </cell>
          <cell r="D383">
            <v>29.929570024570022</v>
          </cell>
          <cell r="E383">
            <v>28.409459574694875</v>
          </cell>
          <cell r="H383">
            <v>45796</v>
          </cell>
          <cell r="J383">
            <v>0.15153802969587682</v>
          </cell>
          <cell r="L383">
            <v>0.30496027772214185</v>
          </cell>
        </row>
        <row r="384">
          <cell r="C384">
            <v>581.11</v>
          </cell>
          <cell r="D384">
            <v>29.65906522224704</v>
          </cell>
          <cell r="E384">
            <v>28.152693599104619</v>
          </cell>
          <cell r="H384">
            <v>45797</v>
          </cell>
          <cell r="J384">
            <v>0.14766633757283443</v>
          </cell>
          <cell r="L384">
            <v>0.29316598793866722</v>
          </cell>
        </row>
        <row r="385">
          <cell r="C385">
            <v>569.54</v>
          </cell>
          <cell r="D385">
            <v>29.068548134911769</v>
          </cell>
          <cell r="E385">
            <v>27.592168629750038</v>
          </cell>
          <cell r="H385">
            <v>45798</v>
          </cell>
          <cell r="J385">
            <v>0.12832723541823787</v>
          </cell>
          <cell r="L385">
            <v>0.26741883080757245</v>
          </cell>
        </row>
        <row r="386">
          <cell r="C386">
            <v>570.14</v>
          </cell>
          <cell r="D386">
            <v>29.099171320080409</v>
          </cell>
          <cell r="E386">
            <v>27.621236476043276</v>
          </cell>
          <cell r="H386">
            <v>45799</v>
          </cell>
          <cell r="J386">
            <v>0.12877248001238795</v>
          </cell>
          <cell r="L386">
            <v>0.26875403342456972</v>
          </cell>
        </row>
        <row r="387">
          <cell r="C387">
            <v>563.58000000000004</v>
          </cell>
          <cell r="D387">
            <v>28.764357828903286</v>
          </cell>
          <cell r="E387">
            <v>27.303428023237224</v>
          </cell>
          <cell r="H387">
            <v>45800</v>
          </cell>
          <cell r="J387">
            <v>0.12106781268753353</v>
          </cell>
          <cell r="L387">
            <v>0.25415581814540134</v>
          </cell>
        </row>
        <row r="388">
          <cell r="C388">
            <v>574.54999999999995</v>
          </cell>
          <cell r="D388">
            <v>29.324251731069911</v>
          </cell>
          <cell r="E388">
            <v>27.834885146298564</v>
          </cell>
          <cell r="H388">
            <v>45804</v>
          </cell>
          <cell r="J388">
            <v>0.14437539926824861</v>
          </cell>
          <cell r="L388">
            <v>0.27856777265949861</v>
          </cell>
        </row>
        <row r="389">
          <cell r="C389">
            <v>575.91999999999996</v>
          </cell>
          <cell r="D389">
            <v>29.394174670538305</v>
          </cell>
          <cell r="E389">
            <v>27.90125672866812</v>
          </cell>
          <cell r="H389">
            <v>45805</v>
          </cell>
          <cell r="J389">
            <v>0.13775480573784615</v>
          </cell>
          <cell r="L389">
            <v>0.28161648530164207</v>
          </cell>
        </row>
        <row r="390">
          <cell r="C390">
            <v>577.78</v>
          </cell>
          <cell r="D390">
            <v>29.489106544561089</v>
          </cell>
          <cell r="E390">
            <v>27.991367052177154</v>
          </cell>
          <cell r="H390">
            <v>45806</v>
          </cell>
          <cell r="J390">
            <v>0.14224596860057526</v>
          </cell>
          <cell r="L390">
            <v>0.28575561341433309</v>
          </cell>
        </row>
        <row r="391">
          <cell r="C391">
            <v>585.6</v>
          </cell>
          <cell r="D391">
            <v>29.888228724592359</v>
          </cell>
          <cell r="E391">
            <v>28.370217982199009</v>
          </cell>
          <cell r="H391">
            <v>45807</v>
          </cell>
          <cell r="J391">
            <v>0.14096831019997147</v>
          </cell>
          <cell r="L391">
            <v>0.30315775418919566</v>
          </cell>
        </row>
        <row r="392">
          <cell r="C392">
            <v>581.22</v>
          </cell>
          <cell r="D392">
            <v>29.664679472861291</v>
          </cell>
          <cell r="E392">
            <v>28.158022704258382</v>
          </cell>
          <cell r="H392">
            <v>45810</v>
          </cell>
          <cell r="J392">
            <v>0.14739531912422188</v>
          </cell>
          <cell r="L392">
            <v>0.2934107750851167</v>
          </cell>
        </row>
        <row r="393">
          <cell r="C393">
            <v>581.97</v>
          </cell>
          <cell r="D393">
            <v>29.70295845432209</v>
          </cell>
          <cell r="E393">
            <v>28.194357512124927</v>
          </cell>
          <cell r="H393">
            <v>45811</v>
          </cell>
          <cell r="J393">
            <v>0.1539384788121636</v>
          </cell>
          <cell r="L393">
            <v>0.29507977835636323</v>
          </cell>
        </row>
        <row r="394">
          <cell r="C394">
            <v>584.13</v>
          </cell>
          <cell r="D394">
            <v>29.813201920929192</v>
          </cell>
          <cell r="E394">
            <v>28.299001758780577</v>
          </cell>
          <cell r="H394">
            <v>45812</v>
          </cell>
          <cell r="J394">
            <v>0.15362874344232003</v>
          </cell>
          <cell r="L394">
            <v>0.29988650777755277</v>
          </cell>
        </row>
        <row r="395">
          <cell r="C395">
            <v>585.44000000000005</v>
          </cell>
          <cell r="D395">
            <v>29.880062541880726</v>
          </cell>
          <cell r="E395">
            <v>28.362466556520815</v>
          </cell>
          <cell r="H395">
            <v>45813</v>
          </cell>
          <cell r="J395">
            <v>0.14805350678513896</v>
          </cell>
          <cell r="L395">
            <v>0.30280170015799657</v>
          </cell>
        </row>
        <row r="396">
          <cell r="C396">
            <v>590.12</v>
          </cell>
          <cell r="D396">
            <v>30.118923386196112</v>
          </cell>
          <cell r="E396">
            <v>28.589195757608056</v>
          </cell>
          <cell r="H396">
            <v>45814</v>
          </cell>
          <cell r="J396">
            <v>0.15984280929980299</v>
          </cell>
          <cell r="L396">
            <v>0.31321628057057405</v>
          </cell>
        </row>
        <row r="397">
          <cell r="C397">
            <v>584.33000000000004</v>
          </cell>
          <cell r="D397">
            <v>29.823409649318741</v>
          </cell>
          <cell r="E397">
            <v>28.308691040878326</v>
          </cell>
          <cell r="H397">
            <v>45817</v>
          </cell>
          <cell r="J397">
            <v>0.16088816617302437</v>
          </cell>
          <cell r="L397">
            <v>0.30033157531655186</v>
          </cell>
        </row>
        <row r="398">
          <cell r="C398">
            <v>589.54</v>
          </cell>
          <cell r="D398">
            <v>30.089320973866425</v>
          </cell>
          <cell r="E398">
            <v>28.561096839524595</v>
          </cell>
          <cell r="H398">
            <v>45818</v>
          </cell>
          <cell r="J398">
            <v>0.16747004278219646</v>
          </cell>
          <cell r="L398">
            <v>0.31192558470747667</v>
          </cell>
        </row>
        <row r="399">
          <cell r="C399">
            <v>590.74</v>
          </cell>
          <cell r="D399">
            <v>30.150567344203708</v>
          </cell>
          <cell r="E399">
            <v>28.61923253211107</v>
          </cell>
          <cell r="H399">
            <v>45819</v>
          </cell>
          <cell r="J399">
            <v>0.16414038755638005</v>
          </cell>
          <cell r="L399">
            <v>0.31459598994147098</v>
          </cell>
        </row>
        <row r="400">
          <cell r="C400">
            <v>589.28</v>
          </cell>
          <cell r="D400">
            <v>30.076050926960015</v>
          </cell>
          <cell r="E400">
            <v>28.548500772797524</v>
          </cell>
          <cell r="H400">
            <v>45820</v>
          </cell>
          <cell r="J400">
            <v>0.16876705964341565</v>
          </cell>
          <cell r="L400">
            <v>0.31134699690677792</v>
          </cell>
        </row>
        <row r="401">
          <cell r="C401">
            <v>562.03</v>
          </cell>
          <cell r="D401">
            <v>28.685247933884295</v>
          </cell>
          <cell r="E401">
            <v>27.228336086979692</v>
          </cell>
          <cell r="H401">
            <v>45821</v>
          </cell>
          <cell r="J401">
            <v>0.15570009872814761</v>
          </cell>
          <cell r="L401">
            <v>0.25070654471815845</v>
          </cell>
        </row>
        <row r="402">
          <cell r="C402">
            <v>568.66999999999996</v>
          </cell>
          <cell r="D402">
            <v>29.024144516417241</v>
          </cell>
          <cell r="E402">
            <v>27.550020252624844</v>
          </cell>
          <cell r="H402">
            <v>45824</v>
          </cell>
          <cell r="J402">
            <v>0.16669570435758785</v>
          </cell>
          <cell r="L402">
            <v>0.2654827870129266</v>
          </cell>
        </row>
        <row r="403">
          <cell r="C403">
            <v>569.45000000000005</v>
          </cell>
          <cell r="D403">
            <v>29.063954657136478</v>
          </cell>
          <cell r="E403">
            <v>27.587808452806055</v>
          </cell>
          <cell r="H403">
            <v>45825</v>
          </cell>
          <cell r="J403">
            <v>0.15672609714075381</v>
          </cell>
          <cell r="L403">
            <v>0.26721855041502307</v>
          </cell>
        </row>
        <row r="404">
          <cell r="C404">
            <v>538.73</v>
          </cell>
          <cell r="D404">
            <v>27.496047576502122</v>
          </cell>
          <cell r="E404">
            <v>26.099534722592335</v>
          </cell>
          <cell r="H404">
            <v>45826</v>
          </cell>
          <cell r="J404">
            <v>0.15655187099521717</v>
          </cell>
          <cell r="L404">
            <v>0.19885617642477005</v>
          </cell>
        </row>
        <row r="405">
          <cell r="C405">
            <v>532.97</v>
          </cell>
          <cell r="D405">
            <v>27.202064998883181</v>
          </cell>
          <cell r="E405">
            <v>25.820483398177263</v>
          </cell>
          <cell r="H405">
            <v>45828</v>
          </cell>
          <cell r="J405">
            <v>0.15043459744081011</v>
          </cell>
          <cell r="L405">
            <v>0.18603823130159758</v>
          </cell>
        </row>
        <row r="406">
          <cell r="C406">
            <v>542.35</v>
          </cell>
          <cell r="D406">
            <v>27.680807460352916</v>
          </cell>
          <cell r="E406">
            <v>26.27491072856153</v>
          </cell>
          <cell r="H406">
            <v>45831</v>
          </cell>
          <cell r="J406">
            <v>0.16179801382193948</v>
          </cell>
          <cell r="L406">
            <v>0.20691189888065264</v>
          </cell>
        </row>
        <row r="407">
          <cell r="C407">
            <v>557.53</v>
          </cell>
          <cell r="D407">
            <v>28.455574045119498</v>
          </cell>
          <cell r="E407">
            <v>27.010327239780416</v>
          </cell>
          <cell r="H407">
            <v>45832</v>
          </cell>
          <cell r="J407">
            <v>0.1746326732098249</v>
          </cell>
          <cell r="L407">
            <v>0.24069252509067973</v>
          </cell>
        </row>
        <row r="408">
          <cell r="C408">
            <v>549.70000000000005</v>
          </cell>
          <cell r="D408">
            <v>28.055941478668753</v>
          </cell>
          <cell r="E408">
            <v>26.630991845653682</v>
          </cell>
          <cell r="H408">
            <v>45833</v>
          </cell>
          <cell r="J408">
            <v>0.17529086087074219</v>
          </cell>
          <cell r="L408">
            <v>0.22326813093886733</v>
          </cell>
        </row>
        <row r="409">
          <cell r="C409">
            <v>545.80999999999995</v>
          </cell>
          <cell r="D409">
            <v>27.857401161492067</v>
          </cell>
          <cell r="E409">
            <v>26.442535308852523</v>
          </cell>
          <cell r="H409">
            <v>45834</v>
          </cell>
          <cell r="J409">
            <v>0.18448612966296785</v>
          </cell>
          <cell r="L409">
            <v>0.2146115673053357</v>
          </cell>
        </row>
        <row r="410">
          <cell r="C410">
            <v>550.32000000000005</v>
          </cell>
          <cell r="D410">
            <v>28.087585436676346</v>
          </cell>
          <cell r="E410">
            <v>26.661028620156692</v>
          </cell>
          <cell r="H410">
            <v>45835</v>
          </cell>
          <cell r="J410">
            <v>0.19037110168999227</v>
          </cell>
          <cell r="L410">
            <v>0.22464784030976426</v>
          </cell>
        </row>
        <row r="411">
          <cell r="C411">
            <v>561.94000000000005</v>
          </cell>
          <cell r="D411">
            <v>28.680654456109004</v>
          </cell>
          <cell r="E411">
            <v>27.223975910035708</v>
          </cell>
          <cell r="H411">
            <v>45838</v>
          </cell>
          <cell r="J411">
            <v>0.19606248911086466</v>
          </cell>
          <cell r="L411">
            <v>0.25050626432560863</v>
          </cell>
        </row>
        <row r="412">
          <cell r="C412">
            <v>564.61</v>
          </cell>
          <cell r="D412">
            <v>27.353327826040612</v>
          </cell>
          <cell r="E412">
            <v>25.535834582708649</v>
          </cell>
          <cell r="H412">
            <v>45839</v>
          </cell>
          <cell r="J412">
            <v>0.19567531989856035</v>
          </cell>
          <cell r="L412">
            <v>0.25644791597124583</v>
          </cell>
        </row>
        <row r="413">
          <cell r="C413">
            <v>561.52</v>
          </cell>
          <cell r="D413">
            <v>27.203628417630441</v>
          </cell>
          <cell r="E413">
            <v>25.396081959020488</v>
          </cell>
          <cell r="H413">
            <v>45840</v>
          </cell>
          <cell r="J413">
            <v>0.20109568887081974</v>
          </cell>
          <cell r="L413">
            <v>0.24957162249371057</v>
          </cell>
        </row>
        <row r="414">
          <cell r="C414">
            <v>569.24</v>
          </cell>
          <cell r="D414">
            <v>27.577634706603419</v>
          </cell>
          <cell r="E414">
            <v>25.745237381309348</v>
          </cell>
          <cell r="H414">
            <v>45841</v>
          </cell>
          <cell r="J414">
            <v>0.21056197611165839</v>
          </cell>
          <cell r="L414">
            <v>0.26675122949907348</v>
          </cell>
        </row>
        <row r="415">
          <cell r="C415">
            <v>565.12</v>
          </cell>
          <cell r="D415">
            <v>27.378035495389863</v>
          </cell>
          <cell r="E415">
            <v>25.558900549725138</v>
          </cell>
          <cell r="H415">
            <v>45845</v>
          </cell>
          <cell r="J415">
            <v>0.20154093346496937</v>
          </cell>
          <cell r="L415">
            <v>0.25758283819569305</v>
          </cell>
        </row>
        <row r="416">
          <cell r="C416">
            <v>562.44000000000005</v>
          </cell>
          <cell r="D416">
            <v>27.248199115280073</v>
          </cell>
          <cell r="E416">
            <v>25.43769115442279</v>
          </cell>
          <cell r="H416">
            <v>45846</v>
          </cell>
          <cell r="J416">
            <v>0.2008827458040523</v>
          </cell>
          <cell r="L416">
            <v>0.25161893317310602</v>
          </cell>
        </row>
        <row r="417">
          <cell r="C417">
            <v>565.11</v>
          </cell>
          <cell r="D417">
            <v>27.377551031284973</v>
          </cell>
          <cell r="E417">
            <v>25.558448275862069</v>
          </cell>
          <cell r="H417">
            <v>45847</v>
          </cell>
          <cell r="J417">
            <v>0.20808409315291088</v>
          </cell>
          <cell r="L417">
            <v>0.25756058481874322</v>
          </cell>
        </row>
        <row r="418">
          <cell r="C418">
            <v>563.52</v>
          </cell>
          <cell r="D418">
            <v>27.300521238607896</v>
          </cell>
          <cell r="E418">
            <v>25.486536731634182</v>
          </cell>
          <cell r="H418">
            <v>45848</v>
          </cell>
          <cell r="J418">
            <v>0.21149118222118846</v>
          </cell>
          <cell r="L418">
            <v>0.25402229788370079</v>
          </cell>
        </row>
        <row r="419">
          <cell r="C419">
            <v>550.17999999999995</v>
          </cell>
          <cell r="D419">
            <v>26.654246122688267</v>
          </cell>
          <cell r="E419">
            <v>24.883203398300846</v>
          </cell>
          <cell r="H419">
            <v>45849</v>
          </cell>
          <cell r="J419">
            <v>0.20723232088584176</v>
          </cell>
          <cell r="L419">
            <v>0.22433629303246461</v>
          </cell>
        </row>
        <row r="420">
          <cell r="C420">
            <v>553.02</v>
          </cell>
          <cell r="D420">
            <v>26.791833928476255</v>
          </cell>
          <cell r="E420">
            <v>25.011649175412295</v>
          </cell>
          <cell r="H420">
            <v>45852</v>
          </cell>
          <cell r="J420">
            <v>0.20953597769905175</v>
          </cell>
          <cell r="L420">
            <v>0.23065625208625096</v>
          </cell>
        </row>
        <row r="421">
          <cell r="C421">
            <v>550.36</v>
          </cell>
          <cell r="D421">
            <v>26.662966476576241</v>
          </cell>
          <cell r="E421">
            <v>24.891344327836084</v>
          </cell>
          <cell r="H421">
            <v>45853</v>
          </cell>
          <cell r="J421">
            <v>0.20436726871479016</v>
          </cell>
          <cell r="L421">
            <v>0.22473685381756381</v>
          </cell>
        </row>
        <row r="422">
          <cell r="C422">
            <v>555.52</v>
          </cell>
          <cell r="D422">
            <v>26.912949954698075</v>
          </cell>
          <cell r="E422">
            <v>25.124717641179409</v>
          </cell>
          <cell r="H422">
            <v>45854</v>
          </cell>
          <cell r="J422">
            <v>0.20839382852275445</v>
          </cell>
          <cell r="L422">
            <v>0.23621959632373879</v>
          </cell>
        </row>
        <row r="423">
          <cell r="C423">
            <v>555.61</v>
          </cell>
          <cell r="D423">
            <v>26.917310131642061</v>
          </cell>
          <cell r="E423">
            <v>25.128788105947027</v>
          </cell>
          <cell r="H423">
            <v>45855</v>
          </cell>
          <cell r="J423">
            <v>0.2157887604777653</v>
          </cell>
          <cell r="L423">
            <v>0.23641987671628839</v>
          </cell>
        </row>
        <row r="424">
          <cell r="C424">
            <v>552.66</v>
          </cell>
          <cell r="D424">
            <v>26.774393220700311</v>
          </cell>
          <cell r="E424">
            <v>24.995367316341827</v>
          </cell>
          <cell r="H424">
            <v>45856</v>
          </cell>
          <cell r="J424">
            <v>0.21489827128946559</v>
          </cell>
          <cell r="L424">
            <v>0.22985513051605233</v>
          </cell>
        </row>
        <row r="425">
          <cell r="C425">
            <v>554.65</v>
          </cell>
          <cell r="D425">
            <v>26.87080157757288</v>
          </cell>
          <cell r="E425">
            <v>25.085369815092452</v>
          </cell>
          <cell r="H425">
            <v>45859</v>
          </cell>
          <cell r="J425">
            <v>0.21720192810267558</v>
          </cell>
          <cell r="L425">
            <v>0.23428355252909272</v>
          </cell>
        </row>
        <row r="426">
          <cell r="C426">
            <v>558.76</v>
          </cell>
          <cell r="D426">
            <v>27.069916324681554</v>
          </cell>
          <cell r="E426">
            <v>25.271254372813594</v>
          </cell>
          <cell r="H426">
            <v>45860</v>
          </cell>
          <cell r="J426">
            <v>0.21737615424821244</v>
          </cell>
          <cell r="L426">
            <v>0.2434296904555231</v>
          </cell>
        </row>
        <row r="427">
          <cell r="C427">
            <v>562.09</v>
          </cell>
          <cell r="D427">
            <v>27.23124287160902</v>
          </cell>
          <cell r="E427">
            <v>25.421861569215395</v>
          </cell>
          <cell r="H427">
            <v>45861</v>
          </cell>
          <cell r="J427">
            <v>0.22773293067735101</v>
          </cell>
          <cell r="L427">
            <v>0.25084006497985722</v>
          </cell>
        </row>
        <row r="428">
          <cell r="C428">
            <v>563.5</v>
          </cell>
          <cell r="D428">
            <v>27.299552310398123</v>
          </cell>
          <cell r="E428">
            <v>25.485632183908045</v>
          </cell>
          <cell r="H428">
            <v>45862</v>
          </cell>
          <cell r="J428">
            <v>0.22813945835027027</v>
          </cell>
          <cell r="L428">
            <v>0.25397779112980046</v>
          </cell>
        </row>
        <row r="429">
          <cell r="C429">
            <v>568.22</v>
          </cell>
          <cell r="D429">
            <v>27.528219367904921</v>
          </cell>
          <cell r="E429">
            <v>25.699105447276363</v>
          </cell>
          <cell r="H429">
            <v>45863</v>
          </cell>
          <cell r="J429">
            <v>0.23332752579514704</v>
          </cell>
          <cell r="L429">
            <v>0.26448138505017793</v>
          </cell>
        </row>
        <row r="430">
          <cell r="C430">
            <v>568.28</v>
          </cell>
          <cell r="D430">
            <v>27.531126152534242</v>
          </cell>
          <cell r="E430">
            <v>25.701819090454773</v>
          </cell>
          <cell r="H430">
            <v>45866</v>
          </cell>
          <cell r="J430">
            <v>0.23301779042530368</v>
          </cell>
          <cell r="L430">
            <v>0.26461490531187737</v>
          </cell>
        </row>
        <row r="431">
          <cell r="C431">
            <v>563.32000000000005</v>
          </cell>
          <cell r="D431">
            <v>27.290831956510154</v>
          </cell>
          <cell r="E431">
            <v>25.477491254372815</v>
          </cell>
          <cell r="H431">
            <v>45867</v>
          </cell>
          <cell r="J431">
            <v>0.229765569041948</v>
          </cell>
          <cell r="L431">
            <v>0.25357723034470125</v>
          </cell>
        </row>
        <row r="432">
          <cell r="C432">
            <v>559.11</v>
          </cell>
          <cell r="D432">
            <v>27.086872568352607</v>
          </cell>
          <cell r="E432">
            <v>25.28708395802099</v>
          </cell>
          <cell r="H432">
            <v>45868</v>
          </cell>
          <cell r="J432">
            <v>0.228216892192731</v>
          </cell>
          <cell r="L432">
            <v>0.24420855864877145</v>
          </cell>
        </row>
        <row r="433">
          <cell r="C433">
            <v>566.47</v>
          </cell>
          <cell r="D433">
            <v>27.443438149549646</v>
          </cell>
          <cell r="E433">
            <v>25.619957521239382</v>
          </cell>
          <cell r="H433">
            <v>45869</v>
          </cell>
          <cell r="J433">
            <v>0.22360957856631059</v>
          </cell>
          <cell r="L433">
            <v>0.2605870440839364</v>
          </cell>
        </row>
        <row r="434">
          <cell r="C434">
            <v>559.89</v>
          </cell>
          <cell r="D434">
            <v>27.124660768533815</v>
          </cell>
          <cell r="E434">
            <v>25.322361319340331</v>
          </cell>
          <cell r="H434">
            <v>45870</v>
          </cell>
          <cell r="J434">
            <v>0.20355421336895119</v>
          </cell>
          <cell r="L434">
            <v>0.24594432205086791</v>
          </cell>
        </row>
        <row r="435">
          <cell r="C435">
            <v>569.80999999999995</v>
          </cell>
          <cell r="D435">
            <v>27.605249160581991</v>
          </cell>
          <cell r="E435">
            <v>25.771016991504247</v>
          </cell>
          <cell r="H435">
            <v>45873</v>
          </cell>
          <cell r="J435">
            <v>0.22184795865032614</v>
          </cell>
          <cell r="L435">
            <v>0.26801967198522014</v>
          </cell>
        </row>
        <row r="436">
          <cell r="C436">
            <v>566.04</v>
          </cell>
          <cell r="D436">
            <v>27.422606193039488</v>
          </cell>
          <cell r="E436">
            <v>25.600509745127436</v>
          </cell>
          <cell r="H436">
            <v>45874</v>
          </cell>
          <cell r="J436">
            <v>0.21565325125345836</v>
          </cell>
          <cell r="L436">
            <v>0.25963014887508828</v>
          </cell>
        </row>
        <row r="437">
          <cell r="C437">
            <v>569.13</v>
          </cell>
          <cell r="D437">
            <v>27.57230560144966</v>
          </cell>
          <cell r="E437">
            <v>25.740262368815593</v>
          </cell>
          <cell r="H437">
            <v>45875</v>
          </cell>
          <cell r="J437">
            <v>0.2249646708093751</v>
          </cell>
          <cell r="L437">
            <v>0.26650644235262355</v>
          </cell>
        </row>
        <row r="438">
          <cell r="C438">
            <v>561.22</v>
          </cell>
          <cell r="D438">
            <v>27.189094494483825</v>
          </cell>
          <cell r="E438">
            <v>25.382513743128438</v>
          </cell>
          <cell r="H438">
            <v>45876</v>
          </cell>
          <cell r="J438">
            <v>0.2239386723967689</v>
          </cell>
          <cell r="L438">
            <v>0.2489040211852116</v>
          </cell>
        </row>
        <row r="439">
          <cell r="C439">
            <v>574.32000000000005</v>
          </cell>
          <cell r="D439">
            <v>27.82374247188616</v>
          </cell>
          <cell r="E439">
            <v>25.97499250374813</v>
          </cell>
          <cell r="H439">
            <v>45877</v>
          </cell>
          <cell r="J439">
            <v>0.23348239348006827</v>
          </cell>
          <cell r="L439">
            <v>0.27805594498964892</v>
          </cell>
        </row>
        <row r="440">
          <cell r="C440">
            <v>573.59</v>
          </cell>
          <cell r="D440">
            <v>27.788376592229387</v>
          </cell>
          <cell r="E440">
            <v>25.94197651174413</v>
          </cell>
          <cell r="H440">
            <v>45880</v>
          </cell>
          <cell r="J440">
            <v>0.23104322744255157</v>
          </cell>
          <cell r="L440">
            <v>0.27643144847230228</v>
          </cell>
        </row>
        <row r="441">
          <cell r="C441">
            <v>574.17999999999995</v>
          </cell>
          <cell r="D441">
            <v>27.816959974417735</v>
          </cell>
          <cell r="E441">
            <v>25.968660669665166</v>
          </cell>
          <cell r="H441">
            <v>45881</v>
          </cell>
          <cell r="J441">
            <v>0.2441489052790502</v>
          </cell>
          <cell r="L441">
            <v>0.27774439771234927</v>
          </cell>
        </row>
        <row r="442">
          <cell r="C442">
            <v>577.9</v>
          </cell>
          <cell r="D442">
            <v>27.997180621435803</v>
          </cell>
          <cell r="E442">
            <v>26.136906546726635</v>
          </cell>
          <cell r="H442">
            <v>45882</v>
          </cell>
          <cell r="J442">
            <v>0.24840776661439667</v>
          </cell>
          <cell r="L442">
            <v>0.28602265393773152</v>
          </cell>
        </row>
        <row r="443">
          <cell r="C443">
            <v>583.76</v>
          </cell>
          <cell r="D443">
            <v>28.281076586899747</v>
          </cell>
          <cell r="E443">
            <v>26.401939030484758</v>
          </cell>
          <cell r="H443">
            <v>45883</v>
          </cell>
          <cell r="J443">
            <v>0.24852391737808799</v>
          </cell>
          <cell r="L443">
            <v>0.29906313283040364</v>
          </cell>
        </row>
        <row r="444">
          <cell r="C444">
            <v>581.70000000000005</v>
          </cell>
          <cell r="D444">
            <v>28.181276981292971</v>
          </cell>
          <cell r="E444">
            <v>26.308770614692655</v>
          </cell>
          <cell r="H444">
            <v>45884</v>
          </cell>
          <cell r="J444">
            <v>0.24560078982519107</v>
          </cell>
          <cell r="L444">
            <v>0.29447893717871354</v>
          </cell>
        </row>
        <row r="445">
          <cell r="C445">
            <v>584.14</v>
          </cell>
          <cell r="D445">
            <v>28.299486222885463</v>
          </cell>
          <cell r="E445">
            <v>26.419125437281359</v>
          </cell>
          <cell r="H445">
            <v>45887</v>
          </cell>
          <cell r="J445">
            <v>0.24532977137657785</v>
          </cell>
          <cell r="L445">
            <v>0.29990876115450193</v>
          </cell>
        </row>
        <row r="446">
          <cell r="C446">
            <v>585.51</v>
          </cell>
          <cell r="D446">
            <v>28.365857805255022</v>
          </cell>
          <cell r="E446">
            <v>26.481086956521739</v>
          </cell>
          <cell r="H446">
            <v>45888</v>
          </cell>
          <cell r="J446">
            <v>0.23857366862186891</v>
          </cell>
          <cell r="L446">
            <v>0.30295747379664517</v>
          </cell>
        </row>
        <row r="447">
          <cell r="C447">
            <v>592.67999999999995</v>
          </cell>
          <cell r="D447">
            <v>28.713218568459197</v>
          </cell>
          <cell r="E447">
            <v>26.805367316341826</v>
          </cell>
          <cell r="H447">
            <v>45889</v>
          </cell>
          <cell r="J447">
            <v>0.23528273031728286</v>
          </cell>
          <cell r="L447">
            <v>0.31891314506976087</v>
          </cell>
        </row>
        <row r="448">
          <cell r="C448">
            <v>591.91999999999996</v>
          </cell>
          <cell r="D448">
            <v>28.676399296487766</v>
          </cell>
          <cell r="E448">
            <v>26.770994502748625</v>
          </cell>
          <cell r="H448">
            <v>45890</v>
          </cell>
          <cell r="J448">
            <v>0.2303269643997885</v>
          </cell>
          <cell r="L448">
            <v>0.31722188842156451</v>
          </cell>
        </row>
        <row r="449">
          <cell r="C449">
            <v>598.96</v>
          </cell>
          <cell r="D449">
            <v>29.017462026328413</v>
          </cell>
          <cell r="E449">
            <v>27.089395302348827</v>
          </cell>
          <cell r="H449">
            <v>45891</v>
          </cell>
          <cell r="J449">
            <v>0.24922082196023543</v>
          </cell>
          <cell r="L449">
            <v>0.33288826579433084</v>
          </cell>
        </row>
        <row r="450">
          <cell r="C450">
            <v>593.21</v>
          </cell>
          <cell r="D450">
            <v>28.738895166018228</v>
          </cell>
          <cell r="E450">
            <v>26.829337831084459</v>
          </cell>
          <cell r="H450">
            <v>45894</v>
          </cell>
          <cell r="J450">
            <v>0.24372301914551553</v>
          </cell>
          <cell r="L450">
            <v>0.32009257404810842</v>
          </cell>
        </row>
        <row r="451">
          <cell r="C451">
            <v>591.61</v>
          </cell>
          <cell r="D451">
            <v>28.661380909236261</v>
          </cell>
          <cell r="E451">
            <v>26.756974012993506</v>
          </cell>
          <cell r="H451">
            <v>45895</v>
          </cell>
          <cell r="J451">
            <v>0.24893044505100748</v>
          </cell>
          <cell r="L451">
            <v>0.31653203373611616</v>
          </cell>
        </row>
        <row r="452">
          <cell r="C452">
            <v>590.66</v>
          </cell>
          <cell r="D452">
            <v>28.61535681927197</v>
          </cell>
          <cell r="E452">
            <v>26.714007996002</v>
          </cell>
          <cell r="H452">
            <v>45896</v>
          </cell>
          <cell r="J452">
            <v>0.25177613876144345</v>
          </cell>
          <cell r="L452">
            <v>0.31441796292587054</v>
          </cell>
        </row>
        <row r="453">
          <cell r="C453">
            <v>590.48</v>
          </cell>
          <cell r="D453">
            <v>28.606636465384</v>
          </cell>
          <cell r="E453">
            <v>26.705867066466769</v>
          </cell>
          <cell r="H453">
            <v>45897</v>
          </cell>
          <cell r="J453">
            <v>0.25620922624232678</v>
          </cell>
          <cell r="L453">
            <v>0.31401740214077156</v>
          </cell>
        </row>
        <row r="454">
          <cell r="C454">
            <v>595.29</v>
          </cell>
          <cell r="D454">
            <v>28.839663699834777</v>
          </cell>
          <cell r="E454">
            <v>26.923410794602699</v>
          </cell>
          <cell r="H454">
            <v>45898</v>
          </cell>
          <cell r="J454">
            <v>0.24871750198423981</v>
          </cell>
          <cell r="L454">
            <v>0.32472127645369864</v>
          </cell>
        </row>
        <row r="455">
          <cell r="C455">
            <v>591.87</v>
          </cell>
          <cell r="D455">
            <v>28.673976975963331</v>
          </cell>
          <cell r="E455">
            <v>26.768733133433283</v>
          </cell>
          <cell r="H455">
            <v>45902</v>
          </cell>
          <cell r="J455">
            <v>0.23946415781016861</v>
          </cell>
          <cell r="L455">
            <v>0.31711062153681513</v>
          </cell>
        </row>
        <row r="456">
          <cell r="C456">
            <v>593.28</v>
          </cell>
          <cell r="D456">
            <v>28.742286414752435</v>
          </cell>
          <cell r="E456">
            <v>26.832503748125937</v>
          </cell>
          <cell r="H456">
            <v>45903</v>
          </cell>
          <cell r="J456">
            <v>0.24618154364364719</v>
          </cell>
          <cell r="L456">
            <v>0.32024834768675836</v>
          </cell>
        </row>
        <row r="457">
          <cell r="C457">
            <v>595.64</v>
          </cell>
          <cell r="D457">
            <v>28.856619943505834</v>
          </cell>
          <cell r="E457">
            <v>26.939240379810094</v>
          </cell>
          <cell r="H457">
            <v>45904</v>
          </cell>
          <cell r="J457">
            <v>0.25659639545463131</v>
          </cell>
          <cell r="L457">
            <v>0.32550014464694699</v>
          </cell>
        </row>
        <row r="458">
          <cell r="C458">
            <v>584.22</v>
          </cell>
          <cell r="D458">
            <v>28.303361935724563</v>
          </cell>
          <cell r="E458">
            <v>26.422743628185909</v>
          </cell>
          <cell r="H458">
            <v>45905</v>
          </cell>
          <cell r="J458">
            <v>0.25295700485897155</v>
          </cell>
          <cell r="L458">
            <v>0.3000867881701017</v>
          </cell>
        </row>
        <row r="459">
          <cell r="C459">
            <v>586.6</v>
          </cell>
          <cell r="D459">
            <v>28.418664392687734</v>
          </cell>
          <cell r="E459">
            <v>26.530384807596203</v>
          </cell>
          <cell r="H459">
            <v>45908</v>
          </cell>
          <cell r="J459">
            <v>0.25603500009679037</v>
          </cell>
          <cell r="L459">
            <v>0.30538309188419044</v>
          </cell>
        </row>
        <row r="460">
          <cell r="C460">
            <v>584</v>
          </cell>
          <cell r="D460">
            <v>28.292703725417041</v>
          </cell>
          <cell r="E460">
            <v>26.412793603198402</v>
          </cell>
          <cell r="H460">
            <v>45909</v>
          </cell>
          <cell r="J460">
            <v>0.2589387691890721</v>
          </cell>
          <cell r="L460">
            <v>0.29959721387720273</v>
          </cell>
        </row>
        <row r="461">
          <cell r="C461">
            <v>579.38</v>
          </cell>
          <cell r="D461">
            <v>28.068881308959121</v>
          </cell>
          <cell r="E461">
            <v>26.203843078460771</v>
          </cell>
          <cell r="H461">
            <v>45910</v>
          </cell>
          <cell r="J461">
            <v>0.26257815978473187</v>
          </cell>
          <cell r="L461">
            <v>0.28931615372632469</v>
          </cell>
        </row>
        <row r="462">
          <cell r="C462">
            <v>588.73</v>
          </cell>
          <cell r="D462">
            <v>28.521855247028725</v>
          </cell>
          <cell r="E462">
            <v>26.626719140429788</v>
          </cell>
          <cell r="H462">
            <v>45911</v>
          </cell>
          <cell r="J462">
            <v>0.27307044543817649</v>
          </cell>
          <cell r="L462">
            <v>0.31012306117453003</v>
          </cell>
        </row>
        <row r="463">
          <cell r="C463">
            <v>580.41</v>
          </cell>
          <cell r="D463">
            <v>28.118781111762509</v>
          </cell>
          <cell r="E463">
            <v>26.250427286356821</v>
          </cell>
          <cell r="H463">
            <v>45912</v>
          </cell>
          <cell r="J463">
            <v>0.27264455930464182</v>
          </cell>
          <cell r="L463">
            <v>0.29160825155216985</v>
          </cell>
        </row>
        <row r="464">
          <cell r="C464">
            <v>582.96</v>
          </cell>
          <cell r="D464">
            <v>28.242319458508767</v>
          </cell>
          <cell r="E464">
            <v>26.365757121439284</v>
          </cell>
          <cell r="H464">
            <v>45915</v>
          </cell>
          <cell r="J464">
            <v>0.27942002051996595</v>
          </cell>
          <cell r="L464">
            <v>0.29728286267440795</v>
          </cell>
        </row>
        <row r="465">
          <cell r="C465">
            <v>586.41999999999996</v>
          </cell>
          <cell r="D465">
            <v>28.409944038799761</v>
          </cell>
          <cell r="E465">
            <v>26.522243878060969</v>
          </cell>
          <cell r="H465">
            <v>45916</v>
          </cell>
          <cell r="J465">
            <v>0.27765840060398173</v>
          </cell>
          <cell r="L465">
            <v>0.30498253109909124</v>
          </cell>
        </row>
        <row r="466">
          <cell r="C466">
            <v>598.63</v>
          </cell>
          <cell r="D466">
            <v>29.001474710867129</v>
          </cell>
          <cell r="E466">
            <v>27.074470264867568</v>
          </cell>
          <cell r="H466">
            <v>45917</v>
          </cell>
          <cell r="J466">
            <v>0.27607100683353436</v>
          </cell>
          <cell r="L466">
            <v>0.33215390435498282</v>
          </cell>
        </row>
        <row r="467">
          <cell r="C467">
            <v>586.04999999999995</v>
          </cell>
          <cell r="D467">
            <v>28.392018866918932</v>
          </cell>
          <cell r="E467">
            <v>26.505509745127434</v>
          </cell>
          <cell r="H467">
            <v>45918</v>
          </cell>
          <cell r="J467">
            <v>0.28203341270301974</v>
          </cell>
          <cell r="L467">
            <v>0.304159156151943</v>
          </cell>
        </row>
        <row r="468">
          <cell r="C468">
            <v>584.16</v>
          </cell>
          <cell r="D468">
            <v>28.300455151095239</v>
          </cell>
          <cell r="E468">
            <v>26.420029985007496</v>
          </cell>
          <cell r="H468">
            <v>45919</v>
          </cell>
          <cell r="J468">
            <v>0.28482103103161038</v>
          </cell>
          <cell r="L468">
            <v>0.29995326790840204</v>
          </cell>
        </row>
        <row r="469">
          <cell r="C469">
            <v>584.49</v>
          </cell>
          <cell r="D469">
            <v>28.31644246655652</v>
          </cell>
          <cell r="E469">
            <v>26.434955022488758</v>
          </cell>
          <cell r="H469">
            <v>45922</v>
          </cell>
          <cell r="J469">
            <v>0.29089958766478685</v>
          </cell>
          <cell r="L469">
            <v>0.30068762934775051</v>
          </cell>
        </row>
        <row r="470">
          <cell r="C470">
            <v>569.97</v>
          </cell>
          <cell r="D470">
            <v>27.613000586260192</v>
          </cell>
          <cell r="E470">
            <v>25.778253373313344</v>
          </cell>
          <cell r="H470">
            <v>45923</v>
          </cell>
          <cell r="J470">
            <v>0.28387246646146491</v>
          </cell>
          <cell r="L470">
            <v>0.26837572601642012</v>
          </cell>
        </row>
        <row r="471">
          <cell r="C471">
            <v>568.80999999999995</v>
          </cell>
          <cell r="D471">
            <v>27.556802750093265</v>
          </cell>
          <cell r="E471">
            <v>25.725789605197399</v>
          </cell>
          <cell r="H471">
            <v>45924</v>
          </cell>
          <cell r="J471">
            <v>0.27978783127165507</v>
          </cell>
          <cell r="L471">
            <v>0.26579433429022559</v>
          </cell>
        </row>
        <row r="472">
          <cell r="C472">
            <v>567.29999999999995</v>
          </cell>
          <cell r="D472">
            <v>27.483648670255285</v>
          </cell>
          <cell r="E472">
            <v>25.657496251874061</v>
          </cell>
          <cell r="H472">
            <v>45925</v>
          </cell>
          <cell r="J472">
            <v>0.27388350078401524</v>
          </cell>
          <cell r="L472">
            <v>0.26243407437078292</v>
          </cell>
        </row>
        <row r="473">
          <cell r="C473">
            <v>565.13</v>
          </cell>
          <cell r="D473">
            <v>27.378519959494749</v>
          </cell>
          <cell r="E473">
            <v>25.559352823588206</v>
          </cell>
          <cell r="H473">
            <v>45926</v>
          </cell>
          <cell r="J473">
            <v>0.2811816404359504</v>
          </cell>
          <cell r="L473">
            <v>0.25760509157264333</v>
          </cell>
        </row>
        <row r="474">
          <cell r="C474">
            <v>568.14</v>
          </cell>
          <cell r="D474">
            <v>27.52434365506582</v>
          </cell>
          <cell r="E474">
            <v>25.695487256371813</v>
          </cell>
          <cell r="H474">
            <v>45929</v>
          </cell>
          <cell r="J474">
            <v>0.28478231411037958</v>
          </cell>
          <cell r="L474">
            <v>0.26430335803457883</v>
          </cell>
        </row>
        <row r="475">
          <cell r="C475">
            <v>568.80999999999995</v>
          </cell>
          <cell r="D475">
            <v>27.556802750093265</v>
          </cell>
          <cell r="E475">
            <v>25.725789605197399</v>
          </cell>
          <cell r="H475">
            <v>45930</v>
          </cell>
          <cell r="J475">
            <v>0.2896219292641824</v>
          </cell>
          <cell r="L475">
            <v>0.26579433429022559</v>
          </cell>
        </row>
        <row r="476">
          <cell r="C476">
            <v>573.77</v>
          </cell>
          <cell r="D476">
            <v>25.95011744127936</v>
          </cell>
          <cell r="E476">
            <v>24.488852661596958</v>
          </cell>
          <cell r="H476">
            <v>45931</v>
          </cell>
          <cell r="J476">
            <v>0.29401629982383581</v>
          </cell>
          <cell r="L476">
            <v>0.2768320092574017</v>
          </cell>
        </row>
        <row r="477">
          <cell r="C477">
            <v>577.33000000000004</v>
          </cell>
          <cell r="D477">
            <v>26.111126936531736</v>
          </cell>
          <cell r="E477">
            <v>24.640795627376427</v>
          </cell>
          <cell r="H477">
            <v>45932</v>
          </cell>
          <cell r="J477">
            <v>0.29550690129120705</v>
          </cell>
          <cell r="L477">
            <v>0.28475421145158486</v>
          </cell>
        </row>
        <row r="478">
          <cell r="C478">
            <v>580.45000000000005</v>
          </cell>
          <cell r="D478">
            <v>26.252236381809098</v>
          </cell>
          <cell r="E478">
            <v>24.773959125475287</v>
          </cell>
          <cell r="H478">
            <v>45933</v>
          </cell>
          <cell r="J478">
            <v>0.29548754283059186</v>
          </cell>
          <cell r="L478">
            <v>0.29169726505997007</v>
          </cell>
        </row>
        <row r="479">
          <cell r="C479">
            <v>578.80999999999995</v>
          </cell>
          <cell r="D479">
            <v>26.178063468265865</v>
          </cell>
          <cell r="E479">
            <v>24.703962927756653</v>
          </cell>
          <cell r="H479">
            <v>45936</v>
          </cell>
          <cell r="J479">
            <v>0.30013357337824287</v>
          </cell>
          <cell r="L479">
            <v>0.28804771124017781</v>
          </cell>
        </row>
        <row r="480">
          <cell r="C480">
            <v>579.84</v>
          </cell>
          <cell r="D480">
            <v>26.224647676161922</v>
          </cell>
          <cell r="E480">
            <v>24.747923954372627</v>
          </cell>
          <cell r="H480">
            <v>45937</v>
          </cell>
          <cell r="J480">
            <v>0.29531331668505501</v>
          </cell>
          <cell r="L480">
            <v>0.29033980906602319</v>
          </cell>
        </row>
        <row r="481">
          <cell r="C481">
            <v>576.44000000000005</v>
          </cell>
          <cell r="D481">
            <v>26.070874562718643</v>
          </cell>
          <cell r="E481">
            <v>24.602809885931563</v>
          </cell>
          <cell r="H481">
            <v>45938</v>
          </cell>
          <cell r="J481">
            <v>0.30303734247052438</v>
          </cell>
          <cell r="L481">
            <v>0.28277366090303957</v>
          </cell>
        </row>
        <row r="482">
          <cell r="C482">
            <v>564.54999999999995</v>
          </cell>
          <cell r="D482">
            <v>25.533120939530235</v>
          </cell>
          <cell r="E482">
            <v>24.095337452471483</v>
          </cell>
          <cell r="H482">
            <v>45939</v>
          </cell>
          <cell r="J482">
            <v>0.29926244265055812</v>
          </cell>
          <cell r="L482">
            <v>0.25631439570954617</v>
          </cell>
        </row>
        <row r="483">
          <cell r="C483">
            <v>557.48</v>
          </cell>
          <cell r="D483">
            <v>25.213363318340832</v>
          </cell>
          <cell r="E483">
            <v>23.7935855513308</v>
          </cell>
          <cell r="H483">
            <v>45940</v>
          </cell>
          <cell r="J483">
            <v>0.26414619509456383</v>
          </cell>
          <cell r="L483">
            <v>0.24058125820593013</v>
          </cell>
        </row>
        <row r="484">
          <cell r="C484">
            <v>559.24</v>
          </cell>
          <cell r="D484">
            <v>25.292963518240882</v>
          </cell>
          <cell r="E484">
            <v>23.868703422053233</v>
          </cell>
          <cell r="H484">
            <v>45943</v>
          </cell>
          <cell r="J484">
            <v>0.28354337263100593</v>
          </cell>
          <cell r="L484">
            <v>0.24449785254912149</v>
          </cell>
        </row>
        <row r="485">
          <cell r="C485">
            <v>567.91999999999996</v>
          </cell>
          <cell r="D485">
            <v>25.685537231384306</v>
          </cell>
          <cell r="E485">
            <v>24.239171102661597</v>
          </cell>
          <cell r="H485">
            <v>45944</v>
          </cell>
          <cell r="J485">
            <v>0.28197533732117397</v>
          </cell>
          <cell r="L485">
            <v>0.26381378374167985</v>
          </cell>
        </row>
        <row r="486">
          <cell r="C486">
            <v>562.80999999999995</v>
          </cell>
          <cell r="D486">
            <v>25.454425287356319</v>
          </cell>
          <cell r="E486">
            <v>24.021073193916347</v>
          </cell>
          <cell r="H486">
            <v>45945</v>
          </cell>
          <cell r="J486">
            <v>0.28766672474204635</v>
          </cell>
          <cell r="L486">
            <v>0.25244230812025426</v>
          </cell>
        </row>
        <row r="487">
          <cell r="C487">
            <v>549.88</v>
          </cell>
          <cell r="D487">
            <v>24.869635182408796</v>
          </cell>
          <cell r="E487">
            <v>23.469212927756654</v>
          </cell>
          <cell r="H487">
            <v>45946</v>
          </cell>
          <cell r="J487">
            <v>0.27889734208335537</v>
          </cell>
          <cell r="L487">
            <v>0.22366869172396631</v>
          </cell>
        </row>
        <row r="488">
          <cell r="C488">
            <v>560.97</v>
          </cell>
          <cell r="D488">
            <v>25.371206896551726</v>
          </cell>
          <cell r="E488">
            <v>23.942540874524717</v>
          </cell>
          <cell r="H488">
            <v>45947</v>
          </cell>
          <cell r="J488">
            <v>0.28615676481405994</v>
          </cell>
          <cell r="L488">
            <v>0.24834768676146313</v>
          </cell>
        </row>
        <row r="489">
          <cell r="C489">
            <v>566.36</v>
          </cell>
          <cell r="D489">
            <v>25.61498250874563</v>
          </cell>
          <cell r="E489">
            <v>24.172589353612167</v>
          </cell>
          <cell r="H489">
            <v>45950</v>
          </cell>
          <cell r="J489">
            <v>0.29953346109917134</v>
          </cell>
          <cell r="L489">
            <v>0.26034225693748714</v>
          </cell>
        </row>
        <row r="490">
          <cell r="C490">
            <v>572.03</v>
          </cell>
          <cell r="D490">
            <v>25.871421789105447</v>
          </cell>
          <cell r="E490">
            <v>24.414588403041826</v>
          </cell>
          <cell r="H490">
            <v>45951</v>
          </cell>
          <cell r="J490">
            <v>0.29951410263855616</v>
          </cell>
          <cell r="L490">
            <v>0.27295992166811001</v>
          </cell>
        </row>
        <row r="491">
          <cell r="C491">
            <v>571.36</v>
          </cell>
          <cell r="D491">
            <v>25.841119440279861</v>
          </cell>
          <cell r="E491">
            <v>24.385992395437263</v>
          </cell>
          <cell r="H491">
            <v>45952</v>
          </cell>
          <cell r="J491">
            <v>0.29275799988384721</v>
          </cell>
          <cell r="L491">
            <v>0.27146894541246325</v>
          </cell>
        </row>
        <row r="492">
          <cell r="C492">
            <v>573.77</v>
          </cell>
          <cell r="D492">
            <v>25.95011744127936</v>
          </cell>
          <cell r="E492">
            <v>24.488852661596958</v>
          </cell>
          <cell r="H492">
            <v>45953</v>
          </cell>
          <cell r="J492">
            <v>0.30042395028747126</v>
          </cell>
          <cell r="L492">
            <v>0.2768320092574017</v>
          </cell>
        </row>
        <row r="493">
          <cell r="C493">
            <v>573.66999999999996</v>
          </cell>
          <cell r="D493">
            <v>25.945594702648673</v>
          </cell>
          <cell r="E493">
            <v>24.484584600760456</v>
          </cell>
          <cell r="H493">
            <v>45954</v>
          </cell>
          <cell r="J493">
            <v>0.3110517451652226</v>
          </cell>
          <cell r="L493">
            <v>0.27660947548790205</v>
          </cell>
        </row>
        <row r="494">
          <cell r="C494">
            <v>572.36</v>
          </cell>
          <cell r="D494">
            <v>25.88634682658671</v>
          </cell>
          <cell r="E494">
            <v>24.428673003802281</v>
          </cell>
          <cell r="H494">
            <v>45957</v>
          </cell>
          <cell r="J494">
            <v>0.32651915519677699</v>
          </cell>
          <cell r="L494">
            <v>0.27369428310745847</v>
          </cell>
        </row>
        <row r="495">
          <cell r="C495">
            <v>565.92999999999995</v>
          </cell>
          <cell r="D495">
            <v>25.595534732633681</v>
          </cell>
          <cell r="E495">
            <v>24.154236692015207</v>
          </cell>
          <cell r="H495">
            <v>45958</v>
          </cell>
          <cell r="J495">
            <v>0.33004239502874544</v>
          </cell>
          <cell r="L495">
            <v>0.25938536172863902</v>
          </cell>
        </row>
        <row r="496">
          <cell r="C496">
            <v>554.58000000000004</v>
          </cell>
          <cell r="D496">
            <v>25.082203898050977</v>
          </cell>
          <cell r="E496">
            <v>23.669811787072245</v>
          </cell>
          <cell r="H496">
            <v>45959</v>
          </cell>
          <cell r="J496">
            <v>0.33068122422904733</v>
          </cell>
          <cell r="L496">
            <v>0.23412777889044345</v>
          </cell>
        </row>
        <row r="497">
          <cell r="C497">
            <v>553.67999999999995</v>
          </cell>
          <cell r="D497">
            <v>25.041499250374812</v>
          </cell>
          <cell r="E497">
            <v>23.631399239543725</v>
          </cell>
          <cell r="H497">
            <v>45960</v>
          </cell>
          <cell r="J497">
            <v>0.31604622800394733</v>
          </cell>
          <cell r="L497">
            <v>0.23212497496494744</v>
          </cell>
        </row>
        <row r="498">
          <cell r="C498">
            <v>551.99</v>
          </cell>
          <cell r="D498">
            <v>24.965064967516245</v>
          </cell>
          <cell r="E498">
            <v>23.559269011406844</v>
          </cell>
          <cell r="H498">
            <v>45961</v>
          </cell>
          <cell r="J498">
            <v>0.32036316472113935</v>
          </cell>
          <cell r="L498">
            <v>0.22836415426040579</v>
          </cell>
        </row>
        <row r="499">
          <cell r="C499">
            <v>544.07000000000005</v>
          </cell>
          <cell r="D499">
            <v>24.606864067966018</v>
          </cell>
          <cell r="E499">
            <v>23.221238593155896</v>
          </cell>
          <cell r="H499">
            <v>45964</v>
          </cell>
          <cell r="J499">
            <v>0.32284104767988642</v>
          </cell>
          <cell r="L499">
            <v>0.21073947971604379</v>
          </cell>
        </row>
        <row r="500">
          <cell r="C500">
            <v>552.75</v>
          </cell>
          <cell r="D500">
            <v>24.999437781109446</v>
          </cell>
          <cell r="E500">
            <v>23.59170627376426</v>
          </cell>
          <cell r="H500">
            <v>45965</v>
          </cell>
          <cell r="J500">
            <v>0.30716069458156481</v>
          </cell>
          <cell r="L500">
            <v>0.23005541090860215</v>
          </cell>
        </row>
        <row r="501">
          <cell r="C501">
            <v>553.30999999999995</v>
          </cell>
          <cell r="D501">
            <v>25.024765117441277</v>
          </cell>
          <cell r="E501">
            <v>23.615607414448668</v>
          </cell>
          <cell r="H501">
            <v>45966</v>
          </cell>
          <cell r="J501">
            <v>0.31169057436552428</v>
          </cell>
          <cell r="L501">
            <v>0.2313016000177992</v>
          </cell>
        </row>
        <row r="502">
          <cell r="C502">
            <v>553.28</v>
          </cell>
          <cell r="D502">
            <v>25.023408295852075</v>
          </cell>
          <cell r="E502">
            <v>23.614326996197718</v>
          </cell>
          <cell r="H502">
            <v>45967</v>
          </cell>
          <cell r="J502">
            <v>0.29761697349826521</v>
          </cell>
          <cell r="L502">
            <v>0.23123483988694948</v>
          </cell>
        </row>
        <row r="503">
          <cell r="C503">
            <v>551.97</v>
          </cell>
          <cell r="D503">
            <v>24.964160419790108</v>
          </cell>
          <cell r="E503">
            <v>23.558415399239546</v>
          </cell>
          <cell r="H503">
            <v>45968</v>
          </cell>
          <cell r="J503">
            <v>0.29889463189886922</v>
          </cell>
          <cell r="L503">
            <v>0.22831964750650591</v>
          </cell>
        </row>
        <row r="504">
          <cell r="C504">
            <v>552.96</v>
          </cell>
          <cell r="D504">
            <v>25.008935532233885</v>
          </cell>
          <cell r="E504">
            <v>23.600669201520915</v>
          </cell>
          <cell r="H504">
            <v>45971</v>
          </cell>
          <cell r="J504">
            <v>0.31916294016299607</v>
          </cell>
          <cell r="L504">
            <v>0.23052273182455107</v>
          </cell>
        </row>
        <row r="505">
          <cell r="C505">
            <v>558.35</v>
          </cell>
          <cell r="D505">
            <v>25.252711144427789</v>
          </cell>
          <cell r="E505">
            <v>23.830717680608366</v>
          </cell>
          <cell r="H505">
            <v>45972</v>
          </cell>
          <cell r="J505">
            <v>0.3221828600189689</v>
          </cell>
          <cell r="L505">
            <v>0.24251730200057531</v>
          </cell>
        </row>
        <row r="506">
          <cell r="C506">
            <v>561.23</v>
          </cell>
          <cell r="D506">
            <v>25.382966016991507</v>
          </cell>
          <cell r="E506">
            <v>23.95363783269962</v>
          </cell>
          <cell r="H506">
            <v>45973</v>
          </cell>
          <cell r="J506">
            <v>0.32291848152234714</v>
          </cell>
          <cell r="L506">
            <v>0.24892627456216165</v>
          </cell>
        </row>
        <row r="507">
          <cell r="C507">
            <v>555.57000000000005</v>
          </cell>
          <cell r="D507">
            <v>25.126979010494757</v>
          </cell>
          <cell r="E507">
            <v>23.712065589353614</v>
          </cell>
          <cell r="H507">
            <v>45974</v>
          </cell>
          <cell r="J507">
            <v>0.3009659871846968</v>
          </cell>
          <cell r="L507">
            <v>0.23633086320848884</v>
          </cell>
        </row>
        <row r="508">
          <cell r="C508">
            <v>545.73</v>
          </cell>
          <cell r="D508">
            <v>24.681941529235385</v>
          </cell>
          <cell r="E508">
            <v>23.292088403041827</v>
          </cell>
          <cell r="H508">
            <v>45975</v>
          </cell>
          <cell r="J508">
            <v>0.30075304411792958</v>
          </cell>
          <cell r="L508">
            <v>0.21443354028973594</v>
          </cell>
        </row>
        <row r="509">
          <cell r="C509">
            <v>536.85</v>
          </cell>
          <cell r="D509">
            <v>24.280322338830587</v>
          </cell>
          <cell r="E509">
            <v>22.913084600760456</v>
          </cell>
          <cell r="H509">
            <v>45978</v>
          </cell>
          <cell r="J509">
            <v>0.28863464777280701</v>
          </cell>
          <cell r="L509">
            <v>0.19467254155817848</v>
          </cell>
        </row>
        <row r="510">
          <cell r="C510">
            <v>527.58000000000004</v>
          </cell>
          <cell r="D510">
            <v>23.86106446776612</v>
          </cell>
          <cell r="E510">
            <v>22.517435361216734</v>
          </cell>
          <cell r="H510">
            <v>45979</v>
          </cell>
          <cell r="J510">
            <v>0.27781326828890363</v>
          </cell>
          <cell r="L510">
            <v>0.1740436611255729</v>
          </cell>
        </row>
        <row r="511">
          <cell r="C511">
            <v>530.36</v>
          </cell>
          <cell r="D511">
            <v>23.986796601699151</v>
          </cell>
          <cell r="E511">
            <v>22.636087452471482</v>
          </cell>
          <cell r="H511">
            <v>45980</v>
          </cell>
          <cell r="J511">
            <v>0.28274967574578236</v>
          </cell>
          <cell r="L511">
            <v>0.18023009991765959</v>
          </cell>
        </row>
        <row r="512">
          <cell r="C512">
            <v>527.88</v>
          </cell>
          <cell r="D512">
            <v>23.87463268365817</v>
          </cell>
          <cell r="E512">
            <v>22.530239543726235</v>
          </cell>
          <cell r="H512">
            <v>45981</v>
          </cell>
          <cell r="J512">
            <v>0.26319763052441836</v>
          </cell>
          <cell r="L512">
            <v>0.17471126243407142</v>
          </cell>
        </row>
        <row r="513">
          <cell r="C513">
            <v>540.4</v>
          </cell>
          <cell r="D513">
            <v>24.440879560219891</v>
          </cell>
          <cell r="E513">
            <v>23.064600760456273</v>
          </cell>
          <cell r="H513">
            <v>45982</v>
          </cell>
          <cell r="J513">
            <v>0.27578062992430596</v>
          </cell>
          <cell r="L513">
            <v>0.20257249037541136</v>
          </cell>
        </row>
        <row r="514">
          <cell r="C514">
            <v>537.85</v>
          </cell>
          <cell r="D514">
            <v>24.325549725137432</v>
          </cell>
          <cell r="E514">
            <v>22.955765209125477</v>
          </cell>
          <cell r="H514">
            <v>45985</v>
          </cell>
          <cell r="J514">
            <v>0.29455833672106135</v>
          </cell>
          <cell r="L514">
            <v>0.1968978792531737</v>
          </cell>
        </row>
        <row r="515">
          <cell r="C515">
            <v>546.47</v>
          </cell>
          <cell r="D515">
            <v>24.715409795102453</v>
          </cell>
          <cell r="E515">
            <v>23.323672053231942</v>
          </cell>
          <cell r="H515">
            <v>45986</v>
          </cell>
          <cell r="J515">
            <v>0.30673480844802947</v>
          </cell>
          <cell r="L515">
            <v>0.21608029018403241</v>
          </cell>
        </row>
        <row r="516">
          <cell r="C516">
            <v>544.92999999999995</v>
          </cell>
          <cell r="D516">
            <v>24.645759620189903</v>
          </cell>
          <cell r="E516">
            <v>23.257943916349809</v>
          </cell>
          <cell r="H516">
            <v>45987</v>
          </cell>
          <cell r="J516">
            <v>0.31575585109471804</v>
          </cell>
          <cell r="L516">
            <v>0.21265327013373958</v>
          </cell>
        </row>
        <row r="517">
          <cell r="C517">
            <v>550.53</v>
          </cell>
          <cell r="D517">
            <v>24.899032983508246</v>
          </cell>
          <cell r="E517">
            <v>23.496955323193916</v>
          </cell>
          <cell r="H517">
            <v>45989</v>
          </cell>
          <cell r="J517">
            <v>0.32293783998296166</v>
          </cell>
          <cell r="L517">
            <v>0.22511516122571273</v>
          </cell>
        </row>
        <row r="518">
          <cell r="C518">
            <v>543.97</v>
          </cell>
          <cell r="D518">
            <v>24.602341329335335</v>
          </cell>
          <cell r="E518">
            <v>23.216970532319394</v>
          </cell>
          <cell r="H518">
            <v>45992</v>
          </cell>
          <cell r="J518">
            <v>0.31689800027101556</v>
          </cell>
          <cell r="L518">
            <v>0.21051694594654435</v>
          </cell>
        </row>
        <row r="519">
          <cell r="C519">
            <v>545.91</v>
          </cell>
          <cell r="D519">
            <v>24.690082458770615</v>
          </cell>
          <cell r="E519">
            <v>23.299770912547526</v>
          </cell>
          <cell r="H519">
            <v>45993</v>
          </cell>
          <cell r="J519">
            <v>0.31933716630853226</v>
          </cell>
          <cell r="L519">
            <v>0.21483410107483492</v>
          </cell>
        </row>
        <row r="520">
          <cell r="C520">
            <v>553.73</v>
          </cell>
          <cell r="D520">
            <v>25.043760619690158</v>
          </cell>
          <cell r="E520">
            <v>23.63353326996198</v>
          </cell>
          <cell r="H520">
            <v>45994</v>
          </cell>
          <cell r="J520">
            <v>0.32390576301372231</v>
          </cell>
          <cell r="L520">
            <v>0.23223624184969749</v>
          </cell>
        </row>
        <row r="521">
          <cell r="C521">
            <v>542.30999999999995</v>
          </cell>
          <cell r="D521">
            <v>24.527263868065965</v>
          </cell>
          <cell r="E521">
            <v>23.146120722433459</v>
          </cell>
          <cell r="H521">
            <v>45995</v>
          </cell>
          <cell r="J521">
            <v>0.32487368604448275</v>
          </cell>
          <cell r="L521">
            <v>0.20682288537285198</v>
          </cell>
        </row>
        <row r="522">
          <cell r="C522">
            <v>545.52</v>
          </cell>
          <cell r="D522">
            <v>24.672443778110946</v>
          </cell>
          <cell r="E522">
            <v>23.283125475285171</v>
          </cell>
          <cell r="H522">
            <v>45996</v>
          </cell>
          <cell r="J522">
            <v>0.3273902859244604</v>
          </cell>
          <cell r="L522">
            <v>0.21396621937378679</v>
          </cell>
        </row>
        <row r="523">
          <cell r="C523">
            <v>540.44000000000005</v>
          </cell>
          <cell r="D523">
            <v>24.442688655672168</v>
          </cell>
          <cell r="E523">
            <v>23.066307984790878</v>
          </cell>
          <cell r="H523">
            <v>45999</v>
          </cell>
          <cell r="J523">
            <v>0.32340244303772669</v>
          </cell>
          <cell r="L523">
            <v>0.20266150388321136</v>
          </cell>
        </row>
        <row r="524">
          <cell r="C524">
            <v>537.54999999999995</v>
          </cell>
          <cell r="D524">
            <v>24.311981509245378</v>
          </cell>
          <cell r="E524">
            <v>22.942961026615968</v>
          </cell>
          <cell r="H524">
            <v>46000</v>
          </cell>
          <cell r="J524">
            <v>0.32226029386142918</v>
          </cell>
          <cell r="L524">
            <v>0.19623027794467496</v>
          </cell>
        </row>
        <row r="525">
          <cell r="C525">
            <v>538.86</v>
          </cell>
          <cell r="D525">
            <v>24.371229385307348</v>
          </cell>
          <cell r="E525">
            <v>22.998872623574144</v>
          </cell>
          <cell r="H525">
            <v>46001</v>
          </cell>
          <cell r="J525">
            <v>0.33102967652012039</v>
          </cell>
          <cell r="L525">
            <v>0.19914547032511898</v>
          </cell>
        </row>
        <row r="526">
          <cell r="C526">
            <v>563.37</v>
          </cell>
          <cell r="D526">
            <v>25.479752623688157</v>
          </cell>
          <cell r="E526">
            <v>24.044974334600763</v>
          </cell>
          <cell r="H526">
            <v>46002</v>
          </cell>
          <cell r="J526">
            <v>0.33412703021855417</v>
          </cell>
          <cell r="L526">
            <v>0.25368849722945153</v>
          </cell>
        </row>
        <row r="527">
          <cell r="C527">
            <v>571.92999999999995</v>
          </cell>
          <cell r="D527">
            <v>25.86689905047476</v>
          </cell>
          <cell r="E527">
            <v>24.410320342205321</v>
          </cell>
          <cell r="H527">
            <v>46003</v>
          </cell>
          <cell r="J527">
            <v>0.31978241090268233</v>
          </cell>
          <cell r="L527">
            <v>0.27273738789861035</v>
          </cell>
        </row>
        <row r="528">
          <cell r="C528">
            <v>569.13</v>
          </cell>
          <cell r="D528">
            <v>25.740262368815593</v>
          </cell>
          <cell r="E528">
            <v>24.290814638783271</v>
          </cell>
          <cell r="H528">
            <v>46006</v>
          </cell>
          <cell r="J528">
            <v>0.31778848945931548</v>
          </cell>
          <cell r="L528">
            <v>0.26650644235262377</v>
          </cell>
        </row>
        <row r="529">
          <cell r="C529">
            <v>566.02</v>
          </cell>
          <cell r="D529">
            <v>25.599605197401299</v>
          </cell>
          <cell r="E529">
            <v>24.15807794676806</v>
          </cell>
          <cell r="H529">
            <v>46007</v>
          </cell>
          <cell r="J529">
            <v>0.31418781578488608</v>
          </cell>
          <cell r="L529">
            <v>0.25958564212118862</v>
          </cell>
        </row>
        <row r="530">
          <cell r="C530">
            <v>565.47</v>
          </cell>
          <cell r="D530">
            <v>25.574730134932537</v>
          </cell>
          <cell r="E530">
            <v>24.134603612167304</v>
          </cell>
          <cell r="H530">
            <v>46008</v>
          </cell>
          <cell r="J530">
            <v>0.29972704570532294</v>
          </cell>
          <cell r="L530">
            <v>0.2583617063889414</v>
          </cell>
        </row>
        <row r="531">
          <cell r="C531">
            <v>566.21</v>
          </cell>
          <cell r="D531">
            <v>25.608198400799601</v>
          </cell>
          <cell r="E531">
            <v>24.166187262357418</v>
          </cell>
          <cell r="H531">
            <v>46009</v>
          </cell>
          <cell r="J531">
            <v>0.3095417852372353</v>
          </cell>
          <cell r="L531">
            <v>0.26000845628323788</v>
          </cell>
        </row>
        <row r="532">
          <cell r="C532">
            <v>572.23</v>
          </cell>
          <cell r="D532">
            <v>25.880467266366818</v>
          </cell>
          <cell r="E532">
            <v>24.423124524714829</v>
          </cell>
          <cell r="H532">
            <v>46010</v>
          </cell>
          <cell r="J532">
            <v>0.31751747101070249</v>
          </cell>
          <cell r="L532">
            <v>0.27340498920710909</v>
          </cell>
        </row>
        <row r="533">
          <cell r="C533">
            <v>575.70000000000005</v>
          </cell>
          <cell r="D533">
            <v>26.037406296851579</v>
          </cell>
          <cell r="E533">
            <v>24.571226235741449</v>
          </cell>
          <cell r="H533">
            <v>46013</v>
          </cell>
          <cell r="J533">
            <v>0.32572545831155231</v>
          </cell>
          <cell r="L533">
            <v>0.28112691100874243</v>
          </cell>
        </row>
        <row r="534">
          <cell r="C534">
            <v>576.35</v>
          </cell>
          <cell r="D534">
            <v>26.066804097951028</v>
          </cell>
          <cell r="E534">
            <v>24.59896863117871</v>
          </cell>
          <cell r="H534">
            <v>46014</v>
          </cell>
          <cell r="J534">
            <v>0.33178465648411382</v>
          </cell>
          <cell r="L534">
            <v>0.2825733805104893</v>
          </cell>
        </row>
        <row r="535">
          <cell r="C535">
            <v>579.45000000000005</v>
          </cell>
          <cell r="D535">
            <v>26.207008995502253</v>
          </cell>
          <cell r="E535">
            <v>24.731278517110269</v>
          </cell>
          <cell r="H535">
            <v>46015</v>
          </cell>
          <cell r="J535">
            <v>0.33646940395299518</v>
          </cell>
          <cell r="L535">
            <v>0.28947192736497462</v>
          </cell>
        </row>
        <row r="536">
          <cell r="C536">
            <v>579.6</v>
          </cell>
          <cell r="D536">
            <v>26.213793103448278</v>
          </cell>
          <cell r="E536">
            <v>24.737680608365022</v>
          </cell>
          <cell r="H536">
            <v>46017</v>
          </cell>
          <cell r="J536">
            <v>0.33633389472868869</v>
          </cell>
          <cell r="L536">
            <v>0.28980572801922366</v>
          </cell>
        </row>
        <row r="537">
          <cell r="C537">
            <v>577.9</v>
          </cell>
          <cell r="D537">
            <v>26.136906546726635</v>
          </cell>
          <cell r="E537">
            <v>24.665123574144488</v>
          </cell>
          <cell r="H537">
            <v>46020</v>
          </cell>
          <cell r="J537">
            <v>0.33157171341734681</v>
          </cell>
          <cell r="L537">
            <v>0.28602265393773174</v>
          </cell>
        </row>
        <row r="538">
          <cell r="C538">
            <v>577.41999999999996</v>
          </cell>
          <cell r="D538">
            <v>26.115197401299348</v>
          </cell>
          <cell r="E538">
            <v>24.644636882129277</v>
          </cell>
          <cell r="H538">
            <v>46021</v>
          </cell>
          <cell r="J538">
            <v>0.32994560272566908</v>
          </cell>
          <cell r="L538">
            <v>0.28495449184413402</v>
          </cell>
        </row>
        <row r="539">
          <cell r="C539">
            <v>570.88</v>
          </cell>
          <cell r="D539">
            <v>25.819410294852574</v>
          </cell>
          <cell r="E539">
            <v>24.365505703422052</v>
          </cell>
          <cell r="H539">
            <v>46022</v>
          </cell>
          <cell r="J539">
            <v>0.32009214627252613</v>
          </cell>
          <cell r="L539">
            <v>0.2704007833188653</v>
          </cell>
        </row>
        <row r="540">
          <cell r="C540">
            <v>563.13</v>
          </cell>
          <cell r="D540">
            <v>24.034730988593157</v>
          </cell>
          <cell r="E540">
            <v>23.224268692559924</v>
          </cell>
          <cell r="H540">
            <v>46024</v>
          </cell>
          <cell r="J540">
            <v>0.32251195384942744</v>
          </cell>
          <cell r="L540">
            <v>0.25315441618265244</v>
          </cell>
        </row>
        <row r="541">
          <cell r="C541">
            <v>568.57000000000005</v>
          </cell>
          <cell r="D541">
            <v>24.266913498098862</v>
          </cell>
          <cell r="E541">
            <v>23.448621899967673</v>
          </cell>
          <cell r="H541">
            <v>46027</v>
          </cell>
          <cell r="J541">
            <v>0.33132005342934878</v>
          </cell>
          <cell r="L541">
            <v>0.2652602532434265</v>
          </cell>
        </row>
        <row r="542">
          <cell r="C542">
            <v>580.34</v>
          </cell>
          <cell r="D542">
            <v>24.769264258555136</v>
          </cell>
          <cell r="E542">
            <v>23.934033159377456</v>
          </cell>
          <cell r="H542">
            <v>46028</v>
          </cell>
          <cell r="J542">
            <v>0.3392376638209702</v>
          </cell>
          <cell r="L542">
            <v>0.29145247791351991</v>
          </cell>
        </row>
        <row r="543">
          <cell r="C543">
            <v>579.91999999999996</v>
          </cell>
          <cell r="D543">
            <v>24.751338403041824</v>
          </cell>
          <cell r="E543">
            <v>23.916711772040824</v>
          </cell>
          <cell r="H543">
            <v>46029</v>
          </cell>
          <cell r="J543">
            <v>0.33492072710377818</v>
          </cell>
          <cell r="L543">
            <v>0.29051783608162185</v>
          </cell>
        </row>
        <row r="544">
          <cell r="C544">
            <v>580.07000000000005</v>
          </cell>
          <cell r="D544">
            <v>24.757740494296581</v>
          </cell>
          <cell r="E544">
            <v>23.92289798180391</v>
          </cell>
          <cell r="H544">
            <v>46030</v>
          </cell>
          <cell r="J544">
            <v>0.33478521787947169</v>
          </cell>
          <cell r="L544">
            <v>0.29085163673587133</v>
          </cell>
        </row>
        <row r="545">
          <cell r="C545">
            <v>575.54</v>
          </cell>
          <cell r="D545">
            <v>24.56439733840304</v>
          </cell>
          <cell r="E545">
            <v>23.736074446958849</v>
          </cell>
          <cell r="H545">
            <v>46031</v>
          </cell>
          <cell r="J545">
            <v>0.34361267592000844</v>
          </cell>
          <cell r="L545">
            <v>0.28077085697754289</v>
          </cell>
        </row>
        <row r="546">
          <cell r="C546">
            <v>566.28</v>
          </cell>
          <cell r="D546">
            <v>24.169174904942967</v>
          </cell>
          <cell r="E546">
            <v>23.35417909758463</v>
          </cell>
          <cell r="H546">
            <v>46034</v>
          </cell>
          <cell r="J546">
            <v>0.34572274812706638</v>
          </cell>
          <cell r="L546">
            <v>0.26016422992188737</v>
          </cell>
        </row>
        <row r="547">
          <cell r="C547">
            <v>544.99</v>
          </cell>
          <cell r="D547">
            <v>23.260504752851713</v>
          </cell>
          <cell r="E547">
            <v>22.47614972521129</v>
          </cell>
          <cell r="H547">
            <v>46035</v>
          </cell>
          <cell r="J547">
            <v>0.34303192210155209</v>
          </cell>
          <cell r="L547">
            <v>0.21278679039543946</v>
          </cell>
        </row>
        <row r="548">
          <cell r="C548">
            <v>546.82000000000005</v>
          </cell>
          <cell r="D548">
            <v>23.338610266159698</v>
          </cell>
          <cell r="E548">
            <v>22.551621484320883</v>
          </cell>
          <cell r="H548">
            <v>46036</v>
          </cell>
          <cell r="J548">
            <v>0.33643068703176482</v>
          </cell>
          <cell r="L548">
            <v>0.21685915837728076</v>
          </cell>
        </row>
        <row r="549">
          <cell r="C549">
            <v>542.65</v>
          </cell>
          <cell r="D549">
            <v>23.160632129277566</v>
          </cell>
          <cell r="E549">
            <v>22.379644852907219</v>
          </cell>
          <cell r="H549">
            <v>46037</v>
          </cell>
          <cell r="J549">
            <v>0.3400700776274248</v>
          </cell>
          <cell r="L549">
            <v>0.2075795001891505</v>
          </cell>
        </row>
        <row r="550">
          <cell r="C550">
            <v>539.49</v>
          </cell>
          <cell r="D550">
            <v>23.025761406844108</v>
          </cell>
          <cell r="E550">
            <v>22.249322033898306</v>
          </cell>
          <cell r="H550">
            <v>46038</v>
          </cell>
          <cell r="J550">
            <v>0.33894728691174247</v>
          </cell>
          <cell r="L550">
            <v>0.20054743307296574</v>
          </cell>
        </row>
        <row r="551">
          <cell r="C551">
            <v>531.74</v>
          </cell>
          <cell r="D551">
            <v>22.69498669201521</v>
          </cell>
          <cell r="E551">
            <v>21.929701196139103</v>
          </cell>
          <cell r="H551">
            <v>46042</v>
          </cell>
          <cell r="J551">
            <v>0.31169057436552428</v>
          </cell>
          <cell r="L551">
            <v>0.18330106593675288</v>
          </cell>
        </row>
        <row r="552">
          <cell r="C552">
            <v>527.57000000000005</v>
          </cell>
          <cell r="D552">
            <v>22.517008555133081</v>
          </cell>
          <cell r="E552">
            <v>21.757724564725446</v>
          </cell>
          <cell r="H552">
            <v>46043</v>
          </cell>
          <cell r="J552">
            <v>0.3268288905666199</v>
          </cell>
          <cell r="L552">
            <v>0.17402140774862285</v>
          </cell>
        </row>
        <row r="553">
          <cell r="C553">
            <v>532.86</v>
          </cell>
          <cell r="D553">
            <v>22.74278897338403</v>
          </cell>
          <cell r="E553">
            <v>21.975891562370112</v>
          </cell>
          <cell r="H553">
            <v>46044</v>
          </cell>
          <cell r="J553">
            <v>0.33375921946686593</v>
          </cell>
          <cell r="L553">
            <v>0.18579344415514742</v>
          </cell>
        </row>
        <row r="554">
          <cell r="C554">
            <v>524.74</v>
          </cell>
          <cell r="D554">
            <v>22.396222433460078</v>
          </cell>
          <cell r="E554">
            <v>21.641011407195307</v>
          </cell>
          <cell r="H554">
            <v>46045</v>
          </cell>
          <cell r="J554">
            <v>0.33424318098224615</v>
          </cell>
          <cell r="L554">
            <v>0.16772370207178633</v>
          </cell>
        </row>
        <row r="555">
          <cell r="C555">
            <v>527.36</v>
          </cell>
          <cell r="D555">
            <v>22.508045627376426</v>
          </cell>
          <cell r="E555">
            <v>21.749063871057128</v>
          </cell>
          <cell r="H555">
            <v>46048</v>
          </cell>
          <cell r="J555">
            <v>0.34101864219757028</v>
          </cell>
          <cell r="L555">
            <v>0.1735540868326737</v>
          </cell>
        </row>
        <row r="556">
          <cell r="C556">
            <v>520.41</v>
          </cell>
          <cell r="D556">
            <v>22.211415399239542</v>
          </cell>
          <cell r="E556">
            <v>21.462436152034361</v>
          </cell>
          <cell r="H556">
            <v>46049</v>
          </cell>
          <cell r="J556">
            <v>0.34636157732736894</v>
          </cell>
          <cell r="L556">
            <v>0.15808798985245698</v>
          </cell>
        </row>
        <row r="557">
          <cell r="C557">
            <v>521.37</v>
          </cell>
          <cell r="D557">
            <v>22.252388783269964</v>
          </cell>
          <cell r="E557">
            <v>21.502027894518083</v>
          </cell>
          <cell r="H557">
            <v>46050</v>
          </cell>
          <cell r="J557">
            <v>0.34622606810306222</v>
          </cell>
          <cell r="L557">
            <v>0.16022431403965265</v>
          </cell>
        </row>
        <row r="558">
          <cell r="C558">
            <v>543.73</v>
          </cell>
          <cell r="D558">
            <v>23.206727186311788</v>
          </cell>
          <cell r="E558">
            <v>22.424185563201405</v>
          </cell>
          <cell r="H558">
            <v>46051</v>
          </cell>
          <cell r="J558">
            <v>0.34355460053816311</v>
          </cell>
          <cell r="L558">
            <v>0.20998286489974549</v>
          </cell>
        </row>
        <row r="559">
          <cell r="C559">
            <v>538.79</v>
          </cell>
          <cell r="D559">
            <v>22.995884980988592</v>
          </cell>
          <cell r="E559">
            <v>22.220453055003926</v>
          </cell>
          <cell r="H559">
            <v>46052</v>
          </cell>
          <cell r="J559">
            <v>0.33954739919081423</v>
          </cell>
          <cell r="L559">
            <v>0.19898969668646904</v>
          </cell>
        </row>
        <row r="560">
          <cell r="C560">
            <v>555.37</v>
          </cell>
          <cell r="D560">
            <v>23.70352946768061</v>
          </cell>
          <cell r="E560">
            <v>22.904235440816517</v>
          </cell>
          <cell r="H560">
            <v>46055</v>
          </cell>
          <cell r="J560">
            <v>0.34620670964244704</v>
          </cell>
          <cell r="L560">
            <v>0.23588579566948975</v>
          </cell>
        </row>
        <row r="561">
          <cell r="C561">
            <v>550.72</v>
          </cell>
          <cell r="D561">
            <v>23.505064638783271</v>
          </cell>
          <cell r="E561">
            <v>22.712462938160996</v>
          </cell>
          <cell r="H561">
            <v>46056</v>
          </cell>
          <cell r="J561">
            <v>0.33482393480070249</v>
          </cell>
          <cell r="L561">
            <v>0.22553797538776199</v>
          </cell>
        </row>
        <row r="562">
          <cell r="C562">
            <v>553.52</v>
          </cell>
          <cell r="D562">
            <v>23.624570342205324</v>
          </cell>
          <cell r="E562">
            <v>22.827938853738512</v>
          </cell>
          <cell r="H562">
            <v>46057</v>
          </cell>
          <cell r="J562">
            <v>0.32835820895522194</v>
          </cell>
          <cell r="L562">
            <v>0.23176892093374835</v>
          </cell>
        </row>
        <row r="563">
          <cell r="C563">
            <v>551.89</v>
          </cell>
          <cell r="D563">
            <v>23.555000950570342</v>
          </cell>
          <cell r="E563">
            <v>22.76071537431303</v>
          </cell>
          <cell r="H563">
            <v>46058</v>
          </cell>
          <cell r="J563">
            <v>0.31176800820798523</v>
          </cell>
          <cell r="L563">
            <v>0.22814162049090614</v>
          </cell>
        </row>
        <row r="564">
          <cell r="C564">
            <v>548.74</v>
          </cell>
          <cell r="D564">
            <v>23.420557034220533</v>
          </cell>
          <cell r="E564">
            <v>22.63080496928832</v>
          </cell>
          <cell r="H564">
            <v>46059</v>
          </cell>
          <cell r="J564">
            <v>0.33693400700776066</v>
          </cell>
          <cell r="L564">
            <v>0.22113180675167121</v>
          </cell>
        </row>
        <row r="565">
          <cell r="C565">
            <v>535.33000000000004</v>
          </cell>
          <cell r="D565">
            <v>22.848210076045628</v>
          </cell>
          <cell r="E565">
            <v>22.077757816468853</v>
          </cell>
          <cell r="H565">
            <v>46062</v>
          </cell>
          <cell r="J565">
            <v>0.34338037439262625</v>
          </cell>
          <cell r="L565">
            <v>0.19129002826178554</v>
          </cell>
        </row>
        <row r="566">
          <cell r="C566">
            <v>540.39</v>
          </cell>
          <cell r="D566">
            <v>23.064173954372624</v>
          </cell>
          <cell r="E566">
            <v>22.286439292476793</v>
          </cell>
          <cell r="H566">
            <v>46063</v>
          </cell>
          <cell r="J566">
            <v>0.3398377761000424</v>
          </cell>
          <cell r="L566">
            <v>0.20255023699846109</v>
          </cell>
        </row>
        <row r="567">
          <cell r="C567">
            <v>537.46</v>
          </cell>
          <cell r="D567">
            <v>22.939119771863119</v>
          </cell>
          <cell r="E567">
            <v>22.165601995104605</v>
          </cell>
          <cell r="H567">
            <v>46064</v>
          </cell>
          <cell r="J567">
            <v>0.33952804073019904</v>
          </cell>
          <cell r="L567">
            <v>0.19602999755212513</v>
          </cell>
        </row>
        <row r="568">
          <cell r="C568">
            <v>527.46</v>
          </cell>
          <cell r="D568">
            <v>22.512313688212931</v>
          </cell>
          <cell r="E568">
            <v>21.753188010899184</v>
          </cell>
          <cell r="H568">
            <v>46065</v>
          </cell>
          <cell r="J568">
            <v>0.31883384633253753</v>
          </cell>
          <cell r="L568">
            <v>0.17377662060217292</v>
          </cell>
        </row>
        <row r="569">
          <cell r="C569">
            <v>518.36</v>
          </cell>
          <cell r="D569">
            <v>22.123920152091255</v>
          </cell>
          <cell r="E569">
            <v>21.377891285272248</v>
          </cell>
          <cell r="H569">
            <v>46066</v>
          </cell>
          <cell r="J569">
            <v>0.31976305244206782</v>
          </cell>
          <cell r="L569">
            <v>0.15352604757771648</v>
          </cell>
        </row>
        <row r="570">
          <cell r="C570">
            <v>521.92999999999995</v>
          </cell>
          <cell r="D570">
            <v>22.276289923954369</v>
          </cell>
          <cell r="E570">
            <v>21.525123077633584</v>
          </cell>
          <cell r="H570">
            <v>46070</v>
          </cell>
          <cell r="J570">
            <v>0.32189248310974117</v>
          </cell>
          <cell r="L570">
            <v>0.16147050314884925</v>
          </cell>
        </row>
        <row r="571">
          <cell r="C571">
            <v>527.98</v>
          </cell>
          <cell r="D571">
            <v>22.534507604562737</v>
          </cell>
          <cell r="E571">
            <v>21.774633538077865</v>
          </cell>
          <cell r="H571">
            <v>46071</v>
          </cell>
          <cell r="J571">
            <v>0.32855179356137398</v>
          </cell>
          <cell r="L571">
            <v>0.17493379620357041</v>
          </cell>
        </row>
        <row r="572">
          <cell r="C572">
            <v>520.26</v>
          </cell>
          <cell r="D572">
            <v>22.205013307984792</v>
          </cell>
          <cell r="E572">
            <v>21.456249942271278</v>
          </cell>
          <cell r="H572">
            <v>46072</v>
          </cell>
          <cell r="J572">
            <v>0.32504791219002072</v>
          </cell>
          <cell r="L572">
            <v>0.15775418919820727</v>
          </cell>
        </row>
        <row r="573">
          <cell r="C573">
            <v>526.41</v>
          </cell>
          <cell r="D573">
            <v>22.467499049429659</v>
          </cell>
          <cell r="E573">
            <v>21.709884542557614</v>
          </cell>
          <cell r="H573">
            <v>46073</v>
          </cell>
          <cell r="J573">
            <v>0.33463035019455067</v>
          </cell>
          <cell r="L573">
            <v>0.17144001602242787</v>
          </cell>
        </row>
        <row r="574">
          <cell r="C574">
            <v>496.03</v>
          </cell>
          <cell r="D574">
            <v>21.170862167300381</v>
          </cell>
          <cell r="E574">
            <v>20.456970858541542</v>
          </cell>
          <cell r="H574">
            <v>46076</v>
          </cell>
          <cell r="J574">
            <v>0.32100199392144169</v>
          </cell>
          <cell r="L574">
            <v>0.10383425684847336</v>
          </cell>
        </row>
        <row r="575">
          <cell r="C575">
            <v>498</v>
          </cell>
          <cell r="D575">
            <v>21.254942965779467</v>
          </cell>
          <cell r="E575">
            <v>20.53821641343001</v>
          </cell>
          <cell r="H575">
            <v>46077</v>
          </cell>
          <cell r="J575">
            <v>0.33060379038658683</v>
          </cell>
          <cell r="L575">
            <v>0.10821817210761409</v>
          </cell>
        </row>
        <row r="576">
          <cell r="C576">
            <v>509.39</v>
          </cell>
          <cell r="D576">
            <v>21.741075095057035</v>
          </cell>
          <cell r="E576">
            <v>21.007955941439985</v>
          </cell>
          <cell r="H576">
            <v>46078</v>
          </cell>
          <cell r="J576">
            <v>0.3418316975434097</v>
          </cell>
          <cell r="L576">
            <v>0.13356476845360943</v>
          </cell>
        </row>
        <row r="577">
          <cell r="C577">
            <v>514.77</v>
          </cell>
          <cell r="D577">
            <v>21.970696768060836</v>
          </cell>
          <cell r="E577">
            <v>21.229834664942501</v>
          </cell>
          <cell r="H577">
            <v>46079</v>
          </cell>
          <cell r="J577">
            <v>0.33437869020655309</v>
          </cell>
          <cell r="L577">
            <v>0.14553708525268383</v>
          </cell>
        </row>
        <row r="578">
          <cell r="C578">
            <v>517.21</v>
          </cell>
          <cell r="D578">
            <v>22.074837452471485</v>
          </cell>
          <cell r="E578">
            <v>21.330463677088627</v>
          </cell>
          <cell r="H578">
            <v>46080</v>
          </cell>
          <cell r="J578">
            <v>0.32797103974291808</v>
          </cell>
          <cell r="L578">
            <v>0.15096690922847222</v>
          </cell>
        </row>
        <row r="579">
          <cell r="C579">
            <v>521</v>
          </cell>
          <cell r="D579">
            <v>22.236596958174907</v>
          </cell>
          <cell r="E579">
            <v>21.486768577102481</v>
          </cell>
          <cell r="H579">
            <v>46083</v>
          </cell>
          <cell r="J579">
            <v>0.32872601970691151</v>
          </cell>
          <cell r="L579">
            <v>0.15940093909250397</v>
          </cell>
        </row>
        <row r="580">
          <cell r="C580">
            <v>524.32000000000005</v>
          </cell>
          <cell r="D580">
            <v>22.37829657794677</v>
          </cell>
          <cell r="E580">
            <v>21.623690019858682</v>
          </cell>
          <cell r="H580">
            <v>46084</v>
          </cell>
          <cell r="J580">
            <v>0.31701415103470842</v>
          </cell>
          <cell r="L580">
            <v>0.16678906023988826</v>
          </cell>
        </row>
        <row r="581">
          <cell r="C581">
            <v>522.91999999999996</v>
          </cell>
          <cell r="D581">
            <v>22.318543726235742</v>
          </cell>
          <cell r="E581">
            <v>21.565952062069918</v>
          </cell>
          <cell r="H581">
            <v>46085</v>
          </cell>
          <cell r="J581">
            <v>0.32630621213000999</v>
          </cell>
          <cell r="L581">
            <v>0.16367358746689487</v>
          </cell>
        </row>
        <row r="582">
          <cell r="C582">
            <v>524.66</v>
          </cell>
          <cell r="D582">
            <v>22.392807984790874</v>
          </cell>
          <cell r="E582">
            <v>21.637712095321664</v>
          </cell>
          <cell r="H582">
            <v>46086</v>
          </cell>
          <cell r="J582">
            <v>0.31891128017499892</v>
          </cell>
          <cell r="L582">
            <v>0.16754567505618656</v>
          </cell>
        </row>
        <row r="583">
          <cell r="C583">
            <v>522.34</v>
          </cell>
          <cell r="D583">
            <v>22.293788973384032</v>
          </cell>
          <cell r="E583">
            <v>21.542032050986009</v>
          </cell>
          <cell r="H583">
            <v>46087</v>
          </cell>
          <cell r="J583">
            <v>0.30162417484561477</v>
          </cell>
          <cell r="L583">
            <v>0.16238289160379771</v>
          </cell>
        </row>
        <row r="584">
          <cell r="C584">
            <v>517.72</v>
          </cell>
          <cell r="D584">
            <v>22.096604562737646</v>
          </cell>
          <cell r="E584">
            <v>21.351496790283104</v>
          </cell>
          <cell r="H584">
            <v>46090</v>
          </cell>
          <cell r="J584">
            <v>0.31302630814797427</v>
          </cell>
          <cell r="L584">
            <v>0.15210183145291989</v>
          </cell>
        </row>
        <row r="585">
          <cell r="C585">
            <v>514.72</v>
          </cell>
          <cell r="D585">
            <v>21.968562737642586</v>
          </cell>
          <cell r="E585">
            <v>21.227772595021477</v>
          </cell>
          <cell r="H585">
            <v>46091</v>
          </cell>
          <cell r="J585">
            <v>0.31091623594091611</v>
          </cell>
          <cell r="L585">
            <v>0.14542581836793422</v>
          </cell>
        </row>
        <row r="586">
          <cell r="C586">
            <v>504</v>
          </cell>
          <cell r="D586">
            <v>21.511026615969584</v>
          </cell>
          <cell r="E586">
            <v>20.785664803953264</v>
          </cell>
          <cell r="H586">
            <v>46092</v>
          </cell>
          <cell r="J586">
            <v>0.3092707667886232</v>
          </cell>
          <cell r="L586">
            <v>0.12157019827758564</v>
          </cell>
        </row>
        <row r="587">
          <cell r="C587">
            <v>497.31</v>
          </cell>
          <cell r="D587">
            <v>21.225493346007607</v>
          </cell>
          <cell r="E587">
            <v>20.509759848519835</v>
          </cell>
          <cell r="H587">
            <v>46093</v>
          </cell>
          <cell r="J587">
            <v>0.28938962773680044</v>
          </cell>
          <cell r="L587">
            <v>0.10668268909806766</v>
          </cell>
        </row>
        <row r="588">
          <cell r="C588">
            <v>497.99</v>
          </cell>
          <cell r="D588">
            <v>21.254516159695818</v>
          </cell>
          <cell r="E588">
            <v>20.537803999445806</v>
          </cell>
          <cell r="H588">
            <v>46094</v>
          </cell>
          <cell r="J588">
            <v>0.28209148808486573</v>
          </cell>
          <cell r="L588">
            <v>0.10819591873066448</v>
          </cell>
        </row>
        <row r="589">
          <cell r="C589">
            <v>508.5</v>
          </cell>
          <cell r="D589">
            <v>21.703089353612167</v>
          </cell>
          <cell r="E589">
            <v>20.971251096845702</v>
          </cell>
          <cell r="H589">
            <v>46097</v>
          </cell>
          <cell r="J589">
            <v>0.29513909053951837</v>
          </cell>
          <cell r="L589">
            <v>0.13158421790506414</v>
          </cell>
        </row>
        <row r="590">
          <cell r="C590">
            <v>506.58</v>
          </cell>
          <cell r="D590">
            <v>21.621142585551329</v>
          </cell>
          <cell r="E590">
            <v>20.892067611878261</v>
          </cell>
          <cell r="H590">
            <v>46098</v>
          </cell>
          <cell r="J590">
            <v>0.29854617960779573</v>
          </cell>
          <cell r="L590">
            <v>0.12731156953067324</v>
          </cell>
        </row>
        <row r="591">
          <cell r="C591">
            <v>488.47</v>
          </cell>
          <cell r="D591">
            <v>20.848196768060838</v>
          </cell>
          <cell r="E591">
            <v>20.145185886482246</v>
          </cell>
          <cell r="H591">
            <v>46099</v>
          </cell>
          <cell r="J591">
            <v>0.28042666047195741</v>
          </cell>
          <cell r="L591">
            <v>8.701070387430998E-2</v>
          </cell>
        </row>
        <row r="592">
          <cell r="C592">
            <v>491.14</v>
          </cell>
          <cell r="D592">
            <v>20.962153992395436</v>
          </cell>
          <cell r="E592">
            <v>20.25530042026509</v>
          </cell>
          <cell r="H592">
            <v>46100</v>
          </cell>
          <cell r="J592">
            <v>0.27727123139167786</v>
          </cell>
          <cell r="L592">
            <v>9.2952355519946961E-2</v>
          </cell>
        </row>
        <row r="593">
          <cell r="C593">
            <v>496.32</v>
          </cell>
          <cell r="D593">
            <v>21.183239543726234</v>
          </cell>
          <cell r="E593">
            <v>20.4689308640835</v>
          </cell>
          <cell r="H593">
            <v>46101</v>
          </cell>
          <cell r="J593">
            <v>0.25553168012079519</v>
          </cell>
          <cell r="L593">
            <v>0.10447960478002227</v>
          </cell>
        </row>
        <row r="594">
          <cell r="C594">
            <v>500.38</v>
          </cell>
          <cell r="D594">
            <v>21.356522813688212</v>
          </cell>
          <cell r="E594">
            <v>20.636370941670901</v>
          </cell>
          <cell r="H594">
            <v>46104</v>
          </cell>
          <cell r="J594">
            <v>0.26871479179975433</v>
          </cell>
          <cell r="L594">
            <v>0.11351447582170282</v>
          </cell>
        </row>
        <row r="595">
          <cell r="C595">
            <v>498.93</v>
          </cell>
          <cell r="D595">
            <v>21.294635931558936</v>
          </cell>
          <cell r="E595">
            <v>20.576570913961113</v>
          </cell>
          <cell r="H595">
            <v>46105</v>
          </cell>
          <cell r="J595">
            <v>0.26445593046440763</v>
          </cell>
          <cell r="L595">
            <v>0.11028773616395982</v>
          </cell>
        </row>
        <row r="596">
          <cell r="C596">
            <v>502.76</v>
          </cell>
          <cell r="D596">
            <v>21.458102661596957</v>
          </cell>
          <cell r="E596">
            <v>20.734525469911791</v>
          </cell>
          <cell r="H596">
            <v>46106</v>
          </cell>
          <cell r="J596">
            <v>0.27150241012834497</v>
          </cell>
          <cell r="L596">
            <v>0.11881077953579156</v>
          </cell>
        </row>
        <row r="597">
          <cell r="C597">
            <v>500.75</v>
          </cell>
          <cell r="D597">
            <v>21.372314638783269</v>
          </cell>
          <cell r="E597">
            <v>20.651630259086502</v>
          </cell>
          <cell r="H597">
            <v>46107</v>
          </cell>
          <cell r="J597">
            <v>0.24879493582670142</v>
          </cell>
          <cell r="L597">
            <v>0.11433785076885106</v>
          </cell>
        </row>
        <row r="598">
          <cell r="C598">
            <v>484.24</v>
          </cell>
          <cell r="D598">
            <v>20.667657794676806</v>
          </cell>
          <cell r="E598">
            <v>19.97073477116335</v>
          </cell>
          <cell r="H598">
            <v>46108</v>
          </cell>
          <cell r="J598">
            <v>0.22750062914996838</v>
          </cell>
          <cell r="L598">
            <v>7.7597525424480285E-2</v>
          </cell>
        </row>
        <row r="599">
          <cell r="C599">
            <v>494</v>
          </cell>
          <cell r="D599">
            <v>21.084220532319392</v>
          </cell>
          <cell r="E599">
            <v>20.373250819747842</v>
          </cell>
          <cell r="H599">
            <v>46111</v>
          </cell>
          <cell r="J599">
            <v>0.22339663549954336</v>
          </cell>
          <cell r="L599">
            <v>9.9316821327633642E-2</v>
          </cell>
        </row>
        <row r="600">
          <cell r="C600">
            <v>499.66</v>
          </cell>
          <cell r="D600">
            <v>21.325792775665402</v>
          </cell>
          <cell r="E600">
            <v>20.606677134808113</v>
          </cell>
          <cell r="H600">
            <v>46112</v>
          </cell>
          <cell r="J600">
            <v>0.25895812764968751</v>
          </cell>
          <cell r="L600">
            <v>0.11191223268130668</v>
          </cell>
        </row>
        <row r="601">
          <cell r="C601">
            <v>491.65</v>
          </cell>
          <cell r="D601">
            <v>20.276333533459567</v>
          </cell>
          <cell r="E601">
            <v>19.669885837620505</v>
          </cell>
          <cell r="H601">
            <v>46113</v>
          </cell>
          <cell r="J601">
            <v>0.26844377335114111</v>
          </cell>
          <cell r="L601">
            <v>9.408727774439507E-2</v>
          </cell>
        </row>
        <row r="602">
          <cell r="C602">
            <v>493.44</v>
          </cell>
          <cell r="D602">
            <v>20.350155636632337</v>
          </cell>
          <cell r="E602">
            <v>19.741499985183488</v>
          </cell>
          <cell r="H602">
            <v>46114</v>
          </cell>
          <cell r="J602">
            <v>0.26958592252743863</v>
          </cell>
          <cell r="L602">
            <v>9.8070632218436593E-2</v>
          </cell>
        </row>
        <row r="603">
          <cell r="C603">
            <v>501.5</v>
          </cell>
          <cell r="D603">
            <v>20.682561307901906</v>
          </cell>
          <cell r="E603">
            <v>20.063963688735246</v>
          </cell>
          <cell r="H603">
            <v>46118</v>
          </cell>
          <cell r="J603">
            <v>0.27558704531815414</v>
          </cell>
          <cell r="L603">
            <v>0.11600685404009803</v>
          </cell>
        </row>
        <row r="604">
          <cell r="C604">
            <v>498.28</v>
          </cell>
          <cell r="D604">
            <v>20.549764004987761</v>
          </cell>
          <cell r="E604">
            <v>19.935138238929206</v>
          </cell>
          <cell r="H604">
            <v>46119</v>
          </cell>
          <cell r="J604">
            <v>0.27614844067599531</v>
          </cell>
          <cell r="L604">
            <v>0.10884126666221339</v>
          </cell>
        </row>
        <row r="605">
          <cell r="C605">
            <v>507.12</v>
          </cell>
          <cell r="D605">
            <v>20.914337967025354</v>
          </cell>
          <cell r="E605">
            <v>20.288808107340813</v>
          </cell>
          <cell r="H605">
            <v>46120</v>
          </cell>
          <cell r="J605">
            <v>0.30865129604893582</v>
          </cell>
          <cell r="L605">
            <v>0.12851325188597107</v>
          </cell>
        </row>
        <row r="606">
          <cell r="C606">
            <v>503.57</v>
          </cell>
          <cell r="D606">
            <v>20.76793100263243</v>
          </cell>
          <cell r="E606">
            <v>20.146780049324839</v>
          </cell>
          <cell r="H606">
            <v>46121</v>
          </cell>
          <cell r="J606">
            <v>0.31620109568886834</v>
          </cell>
          <cell r="L606">
            <v>0.12061330306873796</v>
          </cell>
        </row>
        <row r="607">
          <cell r="C607">
            <v>498.66</v>
          </cell>
          <cell r="D607">
            <v>20.56543573638757</v>
          </cell>
          <cell r="E607">
            <v>19.950341242322466</v>
          </cell>
          <cell r="H607">
            <v>46122</v>
          </cell>
          <cell r="J607">
            <v>0.31532996496118404</v>
          </cell>
          <cell r="L607">
            <v>0.10968689498631168</v>
          </cell>
        </row>
        <row r="608">
          <cell r="C608">
            <v>508.58</v>
          </cell>
          <cell r="D608">
            <v>20.974550408719345</v>
          </cell>
          <cell r="E608">
            <v>20.347219646693858</v>
          </cell>
          <cell r="H608">
            <v>46125</v>
          </cell>
          <cell r="J608">
            <v>0.32818398280968464</v>
          </cell>
          <cell r="L608">
            <v>0.13176224492066413</v>
          </cell>
        </row>
        <row r="609">
          <cell r="C609">
            <v>513.16</v>
          </cell>
          <cell r="D609">
            <v>21.163436013485427</v>
          </cell>
          <cell r="E609">
            <v>20.530455845486294</v>
          </cell>
          <cell r="H609">
            <v>46126</v>
          </cell>
          <cell r="J609">
            <v>0.34436765588400187</v>
          </cell>
          <cell r="L609">
            <v>0.14195429156374217</v>
          </cell>
        </row>
        <row r="610">
          <cell r="C610">
            <v>519.96</v>
          </cell>
          <cell r="D610">
            <v>21.443877522745119</v>
          </cell>
          <cell r="E610">
            <v>20.802509590418303</v>
          </cell>
          <cell r="H610">
            <v>46127</v>
          </cell>
          <cell r="J610">
            <v>0.35497609230113802</v>
          </cell>
          <cell r="L610">
            <v>0.15708658788970986</v>
          </cell>
        </row>
        <row r="611">
          <cell r="C611">
            <v>518.54</v>
          </cell>
          <cell r="D611">
            <v>21.385314736987944</v>
          </cell>
          <cell r="E611">
            <v>20.745698367211912</v>
          </cell>
          <cell r="H611">
            <v>46128</v>
          </cell>
          <cell r="J611">
            <v>0.35830574752695443</v>
          </cell>
          <cell r="L611">
            <v>0.15392660836281657</v>
          </cell>
        </row>
        <row r="612">
          <cell r="C612">
            <v>521.29999999999995</v>
          </cell>
          <cell r="D612">
            <v>21.49914099662864</v>
          </cell>
          <cell r="E612">
            <v>20.85612018133137</v>
          </cell>
          <cell r="H612">
            <v>46129</v>
          </cell>
          <cell r="J612">
            <v>0.37472172212865407</v>
          </cell>
          <cell r="L612">
            <v>0.16006854040100338</v>
          </cell>
        </row>
        <row r="613">
          <cell r="C613">
            <v>516.65</v>
          </cell>
          <cell r="D613">
            <v>21.307368493973122</v>
          </cell>
          <cell r="E613">
            <v>20.670083429282279</v>
          </cell>
          <cell r="H613">
            <v>46132</v>
          </cell>
          <cell r="J613">
            <v>0.37197282072129401</v>
          </cell>
          <cell r="L613">
            <v>0.14972072011927562</v>
          </cell>
        </row>
        <row r="614">
          <cell r="C614">
            <v>511.35</v>
          </cell>
          <cell r="D614">
            <v>21.088789082344249</v>
          </cell>
          <cell r="E614">
            <v>20.458041539849987</v>
          </cell>
          <cell r="H614">
            <v>46133</v>
          </cell>
          <cell r="J614">
            <v>0.3629904949958358</v>
          </cell>
          <cell r="L614">
            <v>0.13792643033580121</v>
          </cell>
        </row>
        <row r="615">
          <cell r="C615">
            <v>510.16</v>
          </cell>
          <cell r="D615">
            <v>21.039711818223804</v>
          </cell>
          <cell r="E615">
            <v>20.410432134486886</v>
          </cell>
          <cell r="H615">
            <v>46134</v>
          </cell>
          <cell r="J615">
            <v>0.37679307741448187</v>
          </cell>
          <cell r="L615">
            <v>0.13527827847875695</v>
          </cell>
        </row>
        <row r="616">
          <cell r="C616">
            <v>502.38</v>
          </cell>
          <cell r="D616">
            <v>20.718853738511985</v>
          </cell>
          <cell r="E616">
            <v>20.099170643961738</v>
          </cell>
          <cell r="H616">
            <v>46135</v>
          </cell>
          <cell r="J616">
            <v>0.37145014228468343</v>
          </cell>
          <cell r="L616">
            <v>0.11796515121169415</v>
          </cell>
        </row>
        <row r="617">
          <cell r="C617">
            <v>504.17</v>
          </cell>
          <cell r="D617">
            <v>20.792675841684755</v>
          </cell>
          <cell r="E617">
            <v>20.170784791524724</v>
          </cell>
          <cell r="H617">
            <v>46136</v>
          </cell>
          <cell r="J617">
            <v>0.38207793716243477</v>
          </cell>
          <cell r="L617">
            <v>0.12194850568573568</v>
          </cell>
        </row>
        <row r="618">
          <cell r="C618">
            <v>506.43</v>
          </cell>
          <cell r="D618">
            <v>20.885881402115182</v>
          </cell>
          <cell r="E618">
            <v>20.261202653810948</v>
          </cell>
          <cell r="H618">
            <v>46139</v>
          </cell>
          <cell r="J618">
            <v>0.3844590278181057</v>
          </cell>
          <cell r="L618">
            <v>0.12697776887642487</v>
          </cell>
        </row>
        <row r="619">
          <cell r="C619">
            <v>507.62</v>
          </cell>
          <cell r="D619">
            <v>20.934958666235627</v>
          </cell>
          <cell r="E619">
            <v>20.308812059174048</v>
          </cell>
          <cell r="H619">
            <v>46140</v>
          </cell>
          <cell r="J619">
            <v>0.37772228352401216</v>
          </cell>
          <cell r="L619">
            <v>0.12962592073346935</v>
          </cell>
        </row>
        <row r="620">
          <cell r="C620">
            <v>525.23</v>
          </cell>
          <cell r="D620">
            <v>21.661219692421376</v>
          </cell>
          <cell r="E620">
            <v>21.013351242740605</v>
          </cell>
          <cell r="H620">
            <v>46141</v>
          </cell>
          <cell r="J620">
            <v>0.37750934045724494</v>
          </cell>
          <cell r="L620">
            <v>0.16881411754233522</v>
          </cell>
        </row>
        <row r="621">
          <cell r="C621">
            <v>502.92</v>
          </cell>
          <cell r="D621">
            <v>20.741124093659078</v>
          </cell>
          <cell r="E621">
            <v>20.120774911941634</v>
          </cell>
          <cell r="H621">
            <v>46142</v>
          </cell>
          <cell r="J621">
            <v>0.39121513057281487</v>
          </cell>
          <cell r="L621">
            <v>0.11916683356699198</v>
          </cell>
        </row>
        <row r="622">
          <cell r="C622">
            <v>495.46</v>
          </cell>
          <cell r="D622">
            <v>20.433463261441833</v>
          </cell>
          <cell r="E622">
            <v>19.822315950589758</v>
          </cell>
          <cell r="H622">
            <v>46143</v>
          </cell>
          <cell r="J622">
            <v>0.39506746423524208</v>
          </cell>
          <cell r="L622">
            <v>0.10256581436232759</v>
          </cell>
        </row>
        <row r="623">
          <cell r="C623">
            <v>504.74</v>
          </cell>
          <cell r="D623">
            <v>20.816183438784464</v>
          </cell>
          <cell r="E623">
            <v>20.193589296614611</v>
          </cell>
          <cell r="H623">
            <v>46146</v>
          </cell>
          <cell r="J623">
            <v>0.38995683063282627</v>
          </cell>
          <cell r="L623">
            <v>0.12321694817188322</v>
          </cell>
        </row>
        <row r="624">
          <cell r="C624">
            <v>497.08</v>
          </cell>
          <cell r="D624">
            <v>20.500274326883112</v>
          </cell>
          <cell r="E624">
            <v>19.887128754529442</v>
          </cell>
          <cell r="H624">
            <v>46147</v>
          </cell>
          <cell r="J624">
            <v>0.40110730394718841</v>
          </cell>
          <cell r="L624">
            <v>0.10617086142821996</v>
          </cell>
        </row>
        <row r="625">
          <cell r="C625">
            <v>491.89</v>
          </cell>
          <cell r="D625">
            <v>20.286231469080498</v>
          </cell>
          <cell r="E625">
            <v>19.679487734500459</v>
          </cell>
          <cell r="H625">
            <v>46148</v>
          </cell>
          <cell r="J625">
            <v>0.42058191532609168</v>
          </cell>
          <cell r="L625">
            <v>9.4621358791194821E-2</v>
          </cell>
        </row>
        <row r="626">
          <cell r="D626" t="str">
            <v/>
          </cell>
          <cell r="E626" t="str">
            <v/>
          </cell>
          <cell r="J626" t="str">
            <v/>
          </cell>
          <cell r="L626" t="str">
            <v/>
          </cell>
        </row>
        <row r="627">
          <cell r="D627" t="str">
            <v/>
          </cell>
          <cell r="E627" t="str">
            <v/>
          </cell>
          <cell r="J627" t="str">
            <v/>
          </cell>
          <cell r="L627" t="str">
            <v/>
          </cell>
        </row>
        <row r="628">
          <cell r="D628" t="str">
            <v/>
          </cell>
          <cell r="E628" t="str">
            <v/>
          </cell>
          <cell r="J628" t="str">
            <v/>
          </cell>
          <cell r="L628" t="str">
            <v/>
          </cell>
        </row>
        <row r="629">
          <cell r="D629" t="str">
            <v/>
          </cell>
          <cell r="E629" t="str">
            <v/>
          </cell>
          <cell r="J629" t="str">
            <v/>
          </cell>
          <cell r="L629" t="str">
            <v/>
          </cell>
        </row>
        <row r="630">
          <cell r="D630" t="str">
            <v/>
          </cell>
          <cell r="E630" t="str">
            <v/>
          </cell>
          <cell r="J630" t="str">
            <v/>
          </cell>
          <cell r="L630" t="str">
            <v/>
          </cell>
        </row>
        <row r="631">
          <cell r="D631" t="str">
            <v/>
          </cell>
          <cell r="E631" t="str">
            <v/>
          </cell>
          <cell r="J631" t="str">
            <v/>
          </cell>
          <cell r="L631" t="str">
            <v/>
          </cell>
        </row>
        <row r="632">
          <cell r="D632" t="str">
            <v/>
          </cell>
          <cell r="E632" t="str">
            <v/>
          </cell>
          <cell r="J632" t="str">
            <v/>
          </cell>
          <cell r="L632" t="str">
            <v/>
          </cell>
        </row>
        <row r="633">
          <cell r="D633" t="str">
            <v/>
          </cell>
          <cell r="E633" t="str">
            <v/>
          </cell>
          <cell r="J633" t="str">
            <v/>
          </cell>
          <cell r="L633" t="str">
            <v/>
          </cell>
        </row>
        <row r="634">
          <cell r="D634" t="str">
            <v/>
          </cell>
          <cell r="E634" t="str">
            <v/>
          </cell>
          <cell r="J634" t="str">
            <v/>
          </cell>
          <cell r="L634" t="str">
            <v/>
          </cell>
        </row>
        <row r="635">
          <cell r="D635" t="str">
            <v/>
          </cell>
          <cell r="E635" t="str">
            <v/>
          </cell>
          <cell r="J635" t="str">
            <v/>
          </cell>
          <cell r="L635" t="str">
            <v/>
          </cell>
        </row>
        <row r="636">
          <cell r="D636" t="str">
            <v/>
          </cell>
          <cell r="E636" t="str">
            <v/>
          </cell>
          <cell r="J636" t="str">
            <v/>
          </cell>
          <cell r="L636" t="str">
            <v/>
          </cell>
        </row>
        <row r="637">
          <cell r="D637" t="str">
            <v/>
          </cell>
          <cell r="E637" t="str">
            <v/>
          </cell>
          <cell r="J637" t="str">
            <v/>
          </cell>
          <cell r="L637" t="str">
            <v/>
          </cell>
        </row>
        <row r="638">
          <cell r="D638" t="str">
            <v/>
          </cell>
          <cell r="E638" t="str">
            <v/>
          </cell>
          <cell r="J638" t="str">
            <v/>
          </cell>
          <cell r="L638" t="str">
            <v/>
          </cell>
        </row>
        <row r="639">
          <cell r="D639" t="str">
            <v/>
          </cell>
          <cell r="E639" t="str">
            <v/>
          </cell>
          <cell r="J639" t="str">
            <v/>
          </cell>
          <cell r="L639" t="str">
            <v/>
          </cell>
        </row>
        <row r="640">
          <cell r="D640" t="str">
            <v/>
          </cell>
          <cell r="E640" t="str">
            <v/>
          </cell>
          <cell r="J640" t="str">
            <v/>
          </cell>
          <cell r="L640" t="str">
            <v/>
          </cell>
        </row>
        <row r="641">
          <cell r="D641" t="str">
            <v/>
          </cell>
          <cell r="E641" t="str">
            <v/>
          </cell>
          <cell r="J641" t="str">
            <v/>
          </cell>
          <cell r="L641" t="str">
            <v/>
          </cell>
        </row>
        <row r="642">
          <cell r="D642" t="str">
            <v/>
          </cell>
          <cell r="E642" t="str">
            <v/>
          </cell>
          <cell r="J642" t="str">
            <v/>
          </cell>
          <cell r="L642" t="str">
            <v/>
          </cell>
        </row>
        <row r="643">
          <cell r="D643" t="str">
            <v/>
          </cell>
          <cell r="E643" t="str">
            <v/>
          </cell>
          <cell r="J643" t="str">
            <v/>
          </cell>
          <cell r="L643" t="str">
            <v/>
          </cell>
        </row>
        <row r="644">
          <cell r="D644" t="str">
            <v/>
          </cell>
          <cell r="E644" t="str">
            <v/>
          </cell>
          <cell r="J644" t="str">
            <v/>
          </cell>
          <cell r="L644" t="str">
            <v/>
          </cell>
        </row>
        <row r="645">
          <cell r="D645" t="str">
            <v/>
          </cell>
          <cell r="E645" t="str">
            <v/>
          </cell>
          <cell r="J645" t="str">
            <v/>
          </cell>
          <cell r="L645" t="str">
            <v/>
          </cell>
        </row>
        <row r="646">
          <cell r="D646" t="str">
            <v/>
          </cell>
          <cell r="E646" t="str">
            <v/>
          </cell>
          <cell r="J646" t="str">
            <v/>
          </cell>
          <cell r="L646" t="str">
            <v/>
          </cell>
        </row>
        <row r="647">
          <cell r="D647" t="str">
            <v/>
          </cell>
          <cell r="E647" t="str">
            <v/>
          </cell>
          <cell r="J647" t="str">
            <v/>
          </cell>
          <cell r="L647" t="str">
            <v/>
          </cell>
        </row>
        <row r="648">
          <cell r="D648" t="str">
            <v/>
          </cell>
          <cell r="E648" t="str">
            <v/>
          </cell>
          <cell r="J648" t="str">
            <v/>
          </cell>
          <cell r="L648" t="str">
            <v/>
          </cell>
        </row>
        <row r="649">
          <cell r="D649" t="str">
            <v/>
          </cell>
          <cell r="E649" t="str">
            <v/>
          </cell>
          <cell r="J649" t="str">
            <v/>
          </cell>
          <cell r="L649" t="str">
            <v/>
          </cell>
        </row>
        <row r="650">
          <cell r="D650" t="str">
            <v/>
          </cell>
          <cell r="E650" t="str">
            <v/>
          </cell>
          <cell r="J650" t="str">
            <v/>
          </cell>
          <cell r="L650" t="str">
            <v/>
          </cell>
        </row>
        <row r="651">
          <cell r="D651" t="str">
            <v/>
          </cell>
          <cell r="E651" t="str">
            <v/>
          </cell>
          <cell r="J651" t="str">
            <v/>
          </cell>
          <cell r="L651" t="str">
            <v/>
          </cell>
        </row>
        <row r="652">
          <cell r="D652" t="str">
            <v/>
          </cell>
          <cell r="E652" t="str">
            <v/>
          </cell>
          <cell r="J652" t="str">
            <v/>
          </cell>
          <cell r="L652" t="str">
            <v/>
          </cell>
        </row>
        <row r="653">
          <cell r="D653" t="str">
            <v/>
          </cell>
          <cell r="E653" t="str">
            <v/>
          </cell>
          <cell r="J653" t="str">
            <v/>
          </cell>
          <cell r="L653" t="str">
            <v/>
          </cell>
        </row>
        <row r="654">
          <cell r="D654" t="str">
            <v/>
          </cell>
          <cell r="E654" t="str">
            <v/>
          </cell>
          <cell r="J654" t="str">
            <v/>
          </cell>
          <cell r="L654" t="str">
            <v/>
          </cell>
        </row>
        <row r="655">
          <cell r="D655" t="str">
            <v/>
          </cell>
          <cell r="E655" t="str">
            <v/>
          </cell>
          <cell r="J655" t="str">
            <v/>
          </cell>
          <cell r="L655" t="str">
            <v/>
          </cell>
        </row>
        <row r="656">
          <cell r="D656" t="str">
            <v/>
          </cell>
          <cell r="E656" t="str">
            <v/>
          </cell>
          <cell r="J656" t="str">
            <v/>
          </cell>
          <cell r="L656" t="str">
            <v/>
          </cell>
        </row>
        <row r="657">
          <cell r="D657" t="str">
            <v/>
          </cell>
          <cell r="E657" t="str">
            <v/>
          </cell>
          <cell r="J657" t="str">
            <v/>
          </cell>
          <cell r="L657" t="str">
            <v/>
          </cell>
        </row>
        <row r="658">
          <cell r="D658" t="str">
            <v/>
          </cell>
          <cell r="E658" t="str">
            <v/>
          </cell>
          <cell r="J658" t="str">
            <v/>
          </cell>
          <cell r="L658" t="str">
            <v/>
          </cell>
        </row>
        <row r="659">
          <cell r="D659" t="str">
            <v/>
          </cell>
          <cell r="E659" t="str">
            <v/>
          </cell>
          <cell r="J659" t="str">
            <v/>
          </cell>
          <cell r="L659" t="str">
            <v/>
          </cell>
        </row>
        <row r="660">
          <cell r="D660" t="str">
            <v/>
          </cell>
          <cell r="E660" t="str">
            <v/>
          </cell>
          <cell r="J660" t="str">
            <v/>
          </cell>
          <cell r="L660" t="str">
            <v/>
          </cell>
        </row>
        <row r="661">
          <cell r="D661" t="str">
            <v/>
          </cell>
          <cell r="E661" t="str">
            <v/>
          </cell>
          <cell r="J661" t="str">
            <v/>
          </cell>
          <cell r="L661" t="str">
            <v/>
          </cell>
        </row>
        <row r="662">
          <cell r="D662" t="str">
            <v/>
          </cell>
          <cell r="E662" t="str">
            <v/>
          </cell>
          <cell r="J662" t="str">
            <v/>
          </cell>
          <cell r="L662" t="str">
            <v/>
          </cell>
        </row>
        <row r="663">
          <cell r="D663" t="str">
            <v/>
          </cell>
          <cell r="E663" t="str">
            <v/>
          </cell>
          <cell r="J663" t="str">
            <v/>
          </cell>
          <cell r="L663" t="str">
            <v/>
          </cell>
        </row>
        <row r="664">
          <cell r="D664" t="str">
            <v/>
          </cell>
          <cell r="E664" t="str">
            <v/>
          </cell>
          <cell r="J664" t="str">
            <v/>
          </cell>
          <cell r="L664" t="str">
            <v/>
          </cell>
        </row>
        <row r="665">
          <cell r="D665" t="str">
            <v/>
          </cell>
          <cell r="E665" t="str">
            <v/>
          </cell>
          <cell r="J665" t="str">
            <v/>
          </cell>
          <cell r="L665" t="str">
            <v/>
          </cell>
        </row>
        <row r="666">
          <cell r="D666" t="str">
            <v/>
          </cell>
          <cell r="E666" t="str">
            <v/>
          </cell>
          <cell r="J666" t="str">
            <v/>
          </cell>
          <cell r="L666" t="str">
            <v/>
          </cell>
        </row>
        <row r="667">
          <cell r="D667" t="str">
            <v/>
          </cell>
          <cell r="E667" t="str">
            <v/>
          </cell>
          <cell r="J667" t="str">
            <v/>
          </cell>
          <cell r="L667" t="str">
            <v/>
          </cell>
        </row>
        <row r="668">
          <cell r="D668" t="str">
            <v/>
          </cell>
          <cell r="E668" t="str">
            <v/>
          </cell>
          <cell r="J668" t="str">
            <v/>
          </cell>
          <cell r="L668" t="str">
            <v/>
          </cell>
        </row>
        <row r="669">
          <cell r="D669" t="str">
            <v/>
          </cell>
          <cell r="E669" t="str">
            <v/>
          </cell>
          <cell r="J669" t="str">
            <v/>
          </cell>
          <cell r="L669" t="str">
            <v/>
          </cell>
        </row>
        <row r="670">
          <cell r="D670" t="str">
            <v/>
          </cell>
          <cell r="E670" t="str">
            <v/>
          </cell>
          <cell r="J670" t="str">
            <v/>
          </cell>
          <cell r="L670" t="str">
            <v/>
          </cell>
        </row>
        <row r="671">
          <cell r="D671" t="str">
            <v/>
          </cell>
          <cell r="E671" t="str">
            <v/>
          </cell>
          <cell r="J671" t="str">
            <v/>
          </cell>
          <cell r="L671" t="str">
            <v/>
          </cell>
        </row>
        <row r="672">
          <cell r="D672" t="str">
            <v/>
          </cell>
          <cell r="E672" t="str">
            <v/>
          </cell>
          <cell r="J672" t="str">
            <v/>
          </cell>
          <cell r="L672" t="str">
            <v/>
          </cell>
        </row>
        <row r="673">
          <cell r="D673" t="str">
            <v/>
          </cell>
          <cell r="E673" t="str">
            <v/>
          </cell>
          <cell r="J673" t="str">
            <v/>
          </cell>
          <cell r="L673" t="str">
            <v/>
          </cell>
        </row>
        <row r="674">
          <cell r="D674" t="str">
            <v/>
          </cell>
          <cell r="E674" t="str">
            <v/>
          </cell>
          <cell r="J674" t="str">
            <v/>
          </cell>
          <cell r="L674" t="str">
            <v/>
          </cell>
        </row>
        <row r="675">
          <cell r="D675" t="str">
            <v/>
          </cell>
          <cell r="E675" t="str">
            <v/>
          </cell>
          <cell r="J675" t="str">
            <v/>
          </cell>
          <cell r="L675" t="str">
            <v/>
          </cell>
        </row>
        <row r="676">
          <cell r="D676" t="str">
            <v/>
          </cell>
          <cell r="E676" t="str">
            <v/>
          </cell>
          <cell r="J676" t="str">
            <v/>
          </cell>
          <cell r="L676" t="str">
            <v/>
          </cell>
        </row>
        <row r="677">
          <cell r="D677" t="str">
            <v/>
          </cell>
          <cell r="E677" t="str">
            <v/>
          </cell>
          <cell r="J677" t="str">
            <v/>
          </cell>
          <cell r="L677" t="str">
            <v/>
          </cell>
        </row>
        <row r="678">
          <cell r="D678" t="str">
            <v/>
          </cell>
          <cell r="E678" t="str">
            <v/>
          </cell>
          <cell r="J678" t="str">
            <v/>
          </cell>
          <cell r="L678" t="str">
            <v/>
          </cell>
        </row>
        <row r="679">
          <cell r="D679" t="str">
            <v/>
          </cell>
          <cell r="E679" t="str">
            <v/>
          </cell>
          <cell r="J679" t="str">
            <v/>
          </cell>
          <cell r="L679" t="str">
            <v/>
          </cell>
        </row>
        <row r="680">
          <cell r="D680" t="str">
            <v/>
          </cell>
          <cell r="E680" t="str">
            <v/>
          </cell>
          <cell r="J680" t="str">
            <v/>
          </cell>
          <cell r="L680" t="str">
            <v/>
          </cell>
        </row>
        <row r="681">
          <cell r="D681" t="str">
            <v/>
          </cell>
          <cell r="E681" t="str">
            <v/>
          </cell>
          <cell r="J681" t="str">
            <v/>
          </cell>
          <cell r="L681" t="str">
            <v/>
          </cell>
        </row>
        <row r="682">
          <cell r="D682" t="str">
            <v/>
          </cell>
          <cell r="E682" t="str">
            <v/>
          </cell>
          <cell r="J682" t="str">
            <v/>
          </cell>
          <cell r="L682" t="str">
            <v/>
          </cell>
        </row>
        <row r="683">
          <cell r="D683" t="str">
            <v/>
          </cell>
          <cell r="E683" t="str">
            <v/>
          </cell>
          <cell r="J683" t="str">
            <v/>
          </cell>
          <cell r="L683" t="str">
            <v/>
          </cell>
        </row>
        <row r="684">
          <cell r="D684" t="str">
            <v/>
          </cell>
          <cell r="E684" t="str">
            <v/>
          </cell>
          <cell r="J684" t="str">
            <v/>
          </cell>
          <cell r="L684" t="str">
            <v/>
          </cell>
        </row>
        <row r="685">
          <cell r="D685" t="str">
            <v/>
          </cell>
          <cell r="E685" t="str">
            <v/>
          </cell>
          <cell r="J685" t="str">
            <v/>
          </cell>
          <cell r="L685" t="str">
            <v/>
          </cell>
        </row>
        <row r="686">
          <cell r="D686" t="str">
            <v/>
          </cell>
          <cell r="E686" t="str">
            <v/>
          </cell>
          <cell r="J686" t="str">
            <v/>
          </cell>
          <cell r="L686" t="str">
            <v/>
          </cell>
        </row>
        <row r="687">
          <cell r="D687" t="str">
            <v/>
          </cell>
          <cell r="E687" t="str">
            <v/>
          </cell>
          <cell r="J687" t="str">
            <v/>
          </cell>
          <cell r="L687" t="str">
            <v/>
          </cell>
        </row>
        <row r="688">
          <cell r="D688" t="str">
            <v/>
          </cell>
          <cell r="E688" t="str">
            <v/>
          </cell>
          <cell r="J688" t="str">
            <v/>
          </cell>
          <cell r="L688" t="str">
            <v/>
          </cell>
        </row>
        <row r="689">
          <cell r="D689" t="str">
            <v/>
          </cell>
          <cell r="E689" t="str">
            <v/>
          </cell>
          <cell r="J689" t="str">
            <v/>
          </cell>
          <cell r="L689" t="str">
            <v/>
          </cell>
        </row>
        <row r="690">
          <cell r="D690" t="str">
            <v/>
          </cell>
          <cell r="E690" t="str">
            <v/>
          </cell>
          <cell r="J690" t="str">
            <v/>
          </cell>
          <cell r="L690" t="str">
            <v/>
          </cell>
        </row>
        <row r="691">
          <cell r="D691" t="str">
            <v/>
          </cell>
          <cell r="E691" t="str">
            <v/>
          </cell>
          <cell r="J691" t="str">
            <v/>
          </cell>
          <cell r="L691" t="str">
            <v/>
          </cell>
        </row>
        <row r="692">
          <cell r="D692" t="str">
            <v/>
          </cell>
          <cell r="E692" t="str">
            <v/>
          </cell>
          <cell r="J692" t="str">
            <v/>
          </cell>
          <cell r="L692" t="str">
            <v/>
          </cell>
        </row>
        <row r="693">
          <cell r="D693" t="str">
            <v/>
          </cell>
          <cell r="E693" t="str">
            <v/>
          </cell>
          <cell r="J693" t="str">
            <v/>
          </cell>
          <cell r="L693" t="str">
            <v/>
          </cell>
        </row>
        <row r="694">
          <cell r="D694" t="str">
            <v/>
          </cell>
          <cell r="E694" t="str">
            <v/>
          </cell>
          <cell r="J694" t="str">
            <v/>
          </cell>
          <cell r="L694" t="str">
            <v/>
          </cell>
        </row>
        <row r="695">
          <cell r="D695" t="str">
            <v/>
          </cell>
          <cell r="E695" t="str">
            <v/>
          </cell>
          <cell r="J695" t="str">
            <v/>
          </cell>
          <cell r="L695" t="str">
            <v/>
          </cell>
        </row>
        <row r="696">
          <cell r="D696" t="str">
            <v/>
          </cell>
          <cell r="E696" t="str">
            <v/>
          </cell>
          <cell r="J696" t="str">
            <v/>
          </cell>
          <cell r="L696" t="str">
            <v/>
          </cell>
        </row>
        <row r="697">
          <cell r="D697" t="str">
            <v/>
          </cell>
          <cell r="E697" t="str">
            <v/>
          </cell>
          <cell r="J697" t="str">
            <v/>
          </cell>
          <cell r="L697" t="str">
            <v/>
          </cell>
        </row>
        <row r="698">
          <cell r="D698" t="str">
            <v/>
          </cell>
          <cell r="E698" t="str">
            <v/>
          </cell>
          <cell r="J698" t="str">
            <v/>
          </cell>
          <cell r="L698" t="str">
            <v/>
          </cell>
        </row>
        <row r="699">
          <cell r="D699" t="str">
            <v/>
          </cell>
          <cell r="E699" t="str">
            <v/>
          </cell>
          <cell r="J699" t="str">
            <v/>
          </cell>
          <cell r="L699" t="str">
            <v/>
          </cell>
        </row>
        <row r="700">
          <cell r="D700" t="str">
            <v/>
          </cell>
          <cell r="E700" t="str">
            <v/>
          </cell>
          <cell r="J700" t="str">
            <v/>
          </cell>
          <cell r="L700" t="str">
            <v/>
          </cell>
        </row>
        <row r="701">
          <cell r="D701" t="str">
            <v/>
          </cell>
          <cell r="E701" t="str">
            <v/>
          </cell>
          <cell r="J701" t="str">
            <v/>
          </cell>
          <cell r="L701" t="str">
            <v/>
          </cell>
        </row>
        <row r="702">
          <cell r="D702" t="str">
            <v/>
          </cell>
          <cell r="E702" t="str">
            <v/>
          </cell>
          <cell r="J702" t="str">
            <v/>
          </cell>
          <cell r="L702" t="str">
            <v/>
          </cell>
        </row>
        <row r="703">
          <cell r="D703" t="str">
            <v/>
          </cell>
          <cell r="E703" t="str">
            <v/>
          </cell>
          <cell r="J703" t="str">
            <v/>
          </cell>
          <cell r="L703" t="str">
            <v/>
          </cell>
        </row>
        <row r="704">
          <cell r="D704" t="str">
            <v/>
          </cell>
          <cell r="E704" t="str">
            <v/>
          </cell>
          <cell r="J704" t="str">
            <v/>
          </cell>
          <cell r="L704" t="str">
            <v/>
          </cell>
        </row>
        <row r="705">
          <cell r="D705" t="str">
            <v/>
          </cell>
          <cell r="E705" t="str">
            <v/>
          </cell>
          <cell r="J705" t="str">
            <v/>
          </cell>
          <cell r="L705" t="str">
            <v/>
          </cell>
        </row>
        <row r="706">
          <cell r="D706" t="str">
            <v/>
          </cell>
          <cell r="E706" t="str">
            <v/>
          </cell>
          <cell r="J706" t="str">
            <v/>
          </cell>
          <cell r="L706" t="str">
            <v/>
          </cell>
        </row>
        <row r="707">
          <cell r="D707" t="str">
            <v/>
          </cell>
          <cell r="E707" t="str">
            <v/>
          </cell>
          <cell r="J707" t="str">
            <v/>
          </cell>
          <cell r="L707" t="str">
            <v/>
          </cell>
        </row>
        <row r="708">
          <cell r="D708" t="str">
            <v/>
          </cell>
          <cell r="E708" t="str">
            <v/>
          </cell>
          <cell r="J708" t="str">
            <v/>
          </cell>
          <cell r="L708" t="str">
            <v/>
          </cell>
        </row>
        <row r="709">
          <cell r="D709" t="str">
            <v/>
          </cell>
          <cell r="E709" t="str">
            <v/>
          </cell>
          <cell r="J709" t="str">
            <v/>
          </cell>
          <cell r="L709" t="str">
            <v/>
          </cell>
        </row>
        <row r="710">
          <cell r="D710" t="str">
            <v/>
          </cell>
          <cell r="E710" t="str">
            <v/>
          </cell>
          <cell r="J710" t="str">
            <v/>
          </cell>
          <cell r="L710" t="str">
            <v/>
          </cell>
        </row>
        <row r="711">
          <cell r="D711" t="str">
            <v/>
          </cell>
          <cell r="E711" t="str">
            <v/>
          </cell>
          <cell r="J711" t="str">
            <v/>
          </cell>
          <cell r="L711" t="str">
            <v/>
          </cell>
        </row>
        <row r="712">
          <cell r="D712" t="str">
            <v/>
          </cell>
          <cell r="E712" t="str">
            <v/>
          </cell>
          <cell r="J712" t="str">
            <v/>
          </cell>
          <cell r="L712" t="str">
            <v/>
          </cell>
        </row>
        <row r="713">
          <cell r="D713" t="str">
            <v/>
          </cell>
          <cell r="E713" t="str">
            <v/>
          </cell>
          <cell r="J713" t="str">
            <v/>
          </cell>
          <cell r="L713" t="str">
            <v/>
          </cell>
        </row>
        <row r="714">
          <cell r="D714" t="str">
            <v/>
          </cell>
          <cell r="E714" t="str">
            <v/>
          </cell>
          <cell r="J714" t="str">
            <v/>
          </cell>
          <cell r="L714" t="str">
            <v/>
          </cell>
        </row>
        <row r="715">
          <cell r="D715" t="str">
            <v/>
          </cell>
          <cell r="E715" t="str">
            <v/>
          </cell>
          <cell r="J715" t="str">
            <v/>
          </cell>
          <cell r="L715" t="str">
            <v/>
          </cell>
        </row>
        <row r="716">
          <cell r="D716" t="str">
            <v/>
          </cell>
          <cell r="E716" t="str">
            <v/>
          </cell>
          <cell r="J716" t="str">
            <v/>
          </cell>
          <cell r="L716" t="str">
            <v/>
          </cell>
        </row>
        <row r="717">
          <cell r="D717" t="str">
            <v/>
          </cell>
          <cell r="E717" t="str">
            <v/>
          </cell>
          <cell r="J717" t="str">
            <v/>
          </cell>
          <cell r="L717" t="str">
            <v/>
          </cell>
        </row>
        <row r="718">
          <cell r="D718" t="str">
            <v/>
          </cell>
          <cell r="E718" t="str">
            <v/>
          </cell>
          <cell r="J718" t="str">
            <v/>
          </cell>
          <cell r="L718" t="str">
            <v/>
          </cell>
        </row>
        <row r="719">
          <cell r="D719" t="str">
            <v/>
          </cell>
          <cell r="E719" t="str">
            <v/>
          </cell>
          <cell r="J719" t="str">
            <v/>
          </cell>
          <cell r="L719" t="str">
            <v/>
          </cell>
        </row>
        <row r="720">
          <cell r="D720" t="str">
            <v/>
          </cell>
          <cell r="E720" t="str">
            <v/>
          </cell>
          <cell r="J720" t="str">
            <v/>
          </cell>
          <cell r="L720" t="str">
            <v/>
          </cell>
        </row>
        <row r="721">
          <cell r="D721" t="str">
            <v/>
          </cell>
          <cell r="E721" t="str">
            <v/>
          </cell>
          <cell r="J721" t="str">
            <v/>
          </cell>
          <cell r="L721" t="str">
            <v/>
          </cell>
        </row>
        <row r="722">
          <cell r="D722" t="str">
            <v/>
          </cell>
          <cell r="E722" t="str">
            <v/>
          </cell>
          <cell r="J722" t="str">
            <v/>
          </cell>
          <cell r="L722" t="str">
            <v/>
          </cell>
        </row>
        <row r="723">
          <cell r="D723" t="str">
            <v/>
          </cell>
          <cell r="E723" t="str">
            <v/>
          </cell>
          <cell r="J723" t="str">
            <v/>
          </cell>
          <cell r="L723" t="str">
            <v/>
          </cell>
        </row>
        <row r="724">
          <cell r="D724" t="str">
            <v/>
          </cell>
          <cell r="E724" t="str">
            <v/>
          </cell>
          <cell r="J724" t="str">
            <v/>
          </cell>
          <cell r="L724" t="str">
            <v/>
          </cell>
        </row>
        <row r="725">
          <cell r="D725" t="str">
            <v/>
          </cell>
          <cell r="E725" t="str">
            <v/>
          </cell>
          <cell r="J725" t="str">
            <v/>
          </cell>
          <cell r="L725" t="str">
            <v/>
          </cell>
        </row>
        <row r="726">
          <cell r="D726" t="str">
            <v/>
          </cell>
          <cell r="E726" t="str">
            <v/>
          </cell>
          <cell r="J726" t="str">
            <v/>
          </cell>
          <cell r="L726" t="str">
            <v/>
          </cell>
        </row>
        <row r="727">
          <cell r="D727" t="str">
            <v/>
          </cell>
          <cell r="E727" t="str">
            <v/>
          </cell>
          <cell r="J727" t="str">
            <v/>
          </cell>
          <cell r="L727" t="str">
            <v/>
          </cell>
        </row>
        <row r="728">
          <cell r="D728" t="str">
            <v/>
          </cell>
          <cell r="E728" t="str">
            <v/>
          </cell>
          <cell r="J728" t="str">
            <v/>
          </cell>
          <cell r="L728" t="str">
            <v/>
          </cell>
        </row>
        <row r="729">
          <cell r="D729" t="str">
            <v/>
          </cell>
          <cell r="E729" t="str">
            <v/>
          </cell>
          <cell r="J729" t="str">
            <v/>
          </cell>
          <cell r="L729" t="str">
            <v/>
          </cell>
        </row>
        <row r="730">
          <cell r="D730" t="str">
            <v/>
          </cell>
          <cell r="E730" t="str">
            <v/>
          </cell>
          <cell r="J730" t="str">
            <v/>
          </cell>
          <cell r="L730" t="str">
            <v/>
          </cell>
        </row>
        <row r="731">
          <cell r="D731" t="str">
            <v/>
          </cell>
          <cell r="E731" t="str">
            <v/>
          </cell>
          <cell r="J731" t="str">
            <v/>
          </cell>
          <cell r="L731" t="str">
            <v/>
          </cell>
        </row>
        <row r="732">
          <cell r="D732" t="str">
            <v/>
          </cell>
          <cell r="E732" t="str">
            <v/>
          </cell>
          <cell r="J732" t="str">
            <v/>
          </cell>
          <cell r="L732" t="str">
            <v/>
          </cell>
        </row>
        <row r="733">
          <cell r="D733" t="str">
            <v/>
          </cell>
          <cell r="E733" t="str">
            <v/>
          </cell>
          <cell r="J733" t="str">
            <v/>
          </cell>
          <cell r="L733" t="str">
            <v/>
          </cell>
        </row>
        <row r="734">
          <cell r="D734" t="str">
            <v/>
          </cell>
          <cell r="E734" t="str">
            <v/>
          </cell>
          <cell r="J734" t="str">
            <v/>
          </cell>
          <cell r="L734" t="str">
            <v/>
          </cell>
        </row>
        <row r="735">
          <cell r="D735" t="str">
            <v/>
          </cell>
          <cell r="E735" t="str">
            <v/>
          </cell>
          <cell r="J735" t="str">
            <v/>
          </cell>
          <cell r="L735" t="str">
            <v/>
          </cell>
        </row>
        <row r="736">
          <cell r="D736" t="str">
            <v/>
          </cell>
          <cell r="E736" t="str">
            <v/>
          </cell>
          <cell r="J736" t="str">
            <v/>
          </cell>
          <cell r="L736" t="str">
            <v/>
          </cell>
        </row>
        <row r="737">
          <cell r="D737" t="str">
            <v/>
          </cell>
          <cell r="E737" t="str">
            <v/>
          </cell>
          <cell r="J737" t="str">
            <v/>
          </cell>
          <cell r="L737" t="str">
            <v/>
          </cell>
        </row>
        <row r="738">
          <cell r="D738" t="str">
            <v/>
          </cell>
          <cell r="E738" t="str">
            <v/>
          </cell>
          <cell r="J738" t="str">
            <v/>
          </cell>
          <cell r="L738" t="str">
            <v/>
          </cell>
        </row>
        <row r="739">
          <cell r="D739" t="str">
            <v/>
          </cell>
          <cell r="E739" t="str">
            <v/>
          </cell>
          <cell r="J739" t="str">
            <v/>
          </cell>
          <cell r="L739" t="str">
            <v/>
          </cell>
        </row>
        <row r="740">
          <cell r="D740" t="str">
            <v/>
          </cell>
          <cell r="E740" t="str">
            <v/>
          </cell>
          <cell r="J740" t="str">
            <v/>
          </cell>
          <cell r="L740" t="str">
            <v/>
          </cell>
        </row>
        <row r="741">
          <cell r="D741" t="str">
            <v/>
          </cell>
          <cell r="E741" t="str">
            <v/>
          </cell>
          <cell r="J741" t="str">
            <v/>
          </cell>
          <cell r="L741" t="str">
            <v/>
          </cell>
        </row>
        <row r="742">
          <cell r="D742" t="str">
            <v/>
          </cell>
          <cell r="E742" t="str">
            <v/>
          </cell>
          <cell r="J742" t="str">
            <v/>
          </cell>
          <cell r="L742" t="str">
            <v/>
          </cell>
        </row>
        <row r="743">
          <cell r="D743" t="str">
            <v/>
          </cell>
          <cell r="E743" t="str">
            <v/>
          </cell>
          <cell r="J743" t="str">
            <v/>
          </cell>
          <cell r="L743" t="str">
            <v/>
          </cell>
        </row>
        <row r="744">
          <cell r="D744" t="str">
            <v/>
          </cell>
          <cell r="E744" t="str">
            <v/>
          </cell>
          <cell r="J744" t="str">
            <v/>
          </cell>
          <cell r="L744" t="str">
            <v/>
          </cell>
        </row>
        <row r="745">
          <cell r="D745" t="str">
            <v/>
          </cell>
          <cell r="E745" t="str">
            <v/>
          </cell>
          <cell r="J745" t="str">
            <v/>
          </cell>
          <cell r="L745" t="str">
            <v/>
          </cell>
        </row>
        <row r="746">
          <cell r="D746" t="str">
            <v/>
          </cell>
          <cell r="E746" t="str">
            <v/>
          </cell>
          <cell r="J746" t="str">
            <v/>
          </cell>
          <cell r="L746" t="str">
            <v/>
          </cell>
        </row>
        <row r="747">
          <cell r="D747" t="str">
            <v/>
          </cell>
          <cell r="E747" t="str">
            <v/>
          </cell>
          <cell r="J747" t="str">
            <v/>
          </cell>
          <cell r="L747" t="str">
            <v/>
          </cell>
        </row>
        <row r="748">
          <cell r="D748" t="str">
            <v/>
          </cell>
          <cell r="E748" t="str">
            <v/>
          </cell>
          <cell r="J748" t="str">
            <v/>
          </cell>
          <cell r="L748" t="str">
            <v/>
          </cell>
        </row>
        <row r="749">
          <cell r="D749" t="str">
            <v/>
          </cell>
          <cell r="E749" t="str">
            <v/>
          </cell>
          <cell r="J749" t="str">
            <v/>
          </cell>
          <cell r="L749" t="str">
            <v/>
          </cell>
        </row>
        <row r="750">
          <cell r="D750" t="str">
            <v/>
          </cell>
          <cell r="E750" t="str">
            <v/>
          </cell>
          <cell r="J750" t="str">
            <v/>
          </cell>
          <cell r="L750" t="str">
            <v/>
          </cell>
        </row>
        <row r="751">
          <cell r="D751" t="str">
            <v/>
          </cell>
          <cell r="E751" t="str">
            <v/>
          </cell>
          <cell r="J751" t="str">
            <v/>
          </cell>
          <cell r="L751" t="str">
            <v/>
          </cell>
        </row>
        <row r="752">
          <cell r="D752" t="str">
            <v/>
          </cell>
          <cell r="E752" t="str">
            <v/>
          </cell>
          <cell r="J752" t="str">
            <v/>
          </cell>
          <cell r="L752" t="str">
            <v/>
          </cell>
        </row>
        <row r="753">
          <cell r="D753" t="str">
            <v/>
          </cell>
          <cell r="E753" t="str">
            <v/>
          </cell>
          <cell r="J753" t="str">
            <v/>
          </cell>
          <cell r="L753" t="str">
            <v/>
          </cell>
        </row>
        <row r="754">
          <cell r="D754" t="str">
            <v/>
          </cell>
          <cell r="E754" t="str">
            <v/>
          </cell>
          <cell r="J754" t="str">
            <v/>
          </cell>
          <cell r="L754" t="str">
            <v/>
          </cell>
        </row>
        <row r="755">
          <cell r="D755" t="str">
            <v/>
          </cell>
          <cell r="E755" t="str">
            <v/>
          </cell>
          <cell r="J755" t="str">
            <v/>
          </cell>
          <cell r="L755" t="str">
            <v/>
          </cell>
        </row>
        <row r="756">
          <cell r="D756" t="str">
            <v/>
          </cell>
          <cell r="E756" t="str">
            <v/>
          </cell>
          <cell r="J756" t="str">
            <v/>
          </cell>
          <cell r="L756" t="str">
            <v/>
          </cell>
        </row>
        <row r="757">
          <cell r="D757" t="str">
            <v/>
          </cell>
          <cell r="E757" t="str">
            <v/>
          </cell>
          <cell r="J757" t="str">
            <v/>
          </cell>
          <cell r="L757" t="str">
            <v/>
          </cell>
        </row>
        <row r="758">
          <cell r="D758" t="str">
            <v/>
          </cell>
          <cell r="E758" t="str">
            <v/>
          </cell>
          <cell r="J758" t="str">
            <v/>
          </cell>
          <cell r="L758" t="str">
            <v/>
          </cell>
        </row>
        <row r="759">
          <cell r="D759" t="str">
            <v/>
          </cell>
          <cell r="E759" t="str">
            <v/>
          </cell>
          <cell r="J759" t="str">
            <v/>
          </cell>
          <cell r="L759" t="str">
            <v/>
          </cell>
        </row>
        <row r="760">
          <cell r="D760" t="str">
            <v/>
          </cell>
          <cell r="E760" t="str">
            <v/>
          </cell>
          <cell r="J760" t="str">
            <v/>
          </cell>
          <cell r="L760" t="str">
            <v/>
          </cell>
        </row>
        <row r="761">
          <cell r="D761" t="str">
            <v/>
          </cell>
          <cell r="E761" t="str">
            <v/>
          </cell>
          <cell r="J761" t="str">
            <v/>
          </cell>
          <cell r="L761" t="str">
            <v/>
          </cell>
        </row>
        <row r="762">
          <cell r="D762" t="str">
            <v/>
          </cell>
          <cell r="E762" t="str">
            <v/>
          </cell>
          <cell r="J762" t="str">
            <v/>
          </cell>
          <cell r="L762" t="str">
            <v/>
          </cell>
        </row>
        <row r="763">
          <cell r="D763" t="str">
            <v/>
          </cell>
          <cell r="E763" t="str">
            <v/>
          </cell>
          <cell r="J763" t="str">
            <v/>
          </cell>
          <cell r="L763" t="str">
            <v/>
          </cell>
        </row>
        <row r="764">
          <cell r="D764" t="str">
            <v/>
          </cell>
          <cell r="E764" t="str">
            <v/>
          </cell>
          <cell r="J764" t="str">
            <v/>
          </cell>
          <cell r="L764" t="str">
            <v/>
          </cell>
        </row>
        <row r="765">
          <cell r="D765" t="str">
            <v/>
          </cell>
          <cell r="E765" t="str">
            <v/>
          </cell>
          <cell r="J765" t="str">
            <v/>
          </cell>
          <cell r="L765" t="str">
            <v/>
          </cell>
        </row>
        <row r="766">
          <cell r="D766" t="str">
            <v/>
          </cell>
          <cell r="E766" t="str">
            <v/>
          </cell>
          <cell r="J766" t="str">
            <v/>
          </cell>
          <cell r="L766" t="str">
            <v/>
          </cell>
        </row>
        <row r="767">
          <cell r="D767" t="str">
            <v/>
          </cell>
          <cell r="E767" t="str">
            <v/>
          </cell>
          <cell r="J767" t="str">
            <v/>
          </cell>
          <cell r="L767" t="str">
            <v/>
          </cell>
        </row>
        <row r="768">
          <cell r="D768" t="str">
            <v/>
          </cell>
          <cell r="E768" t="str">
            <v/>
          </cell>
          <cell r="J768" t="str">
            <v/>
          </cell>
          <cell r="L768" t="str">
            <v/>
          </cell>
        </row>
        <row r="769">
          <cell r="D769" t="str">
            <v/>
          </cell>
          <cell r="E769" t="str">
            <v/>
          </cell>
          <cell r="J769" t="str">
            <v/>
          </cell>
          <cell r="L769" t="str">
            <v/>
          </cell>
        </row>
        <row r="770">
          <cell r="D770" t="str">
            <v/>
          </cell>
          <cell r="E770" t="str">
            <v/>
          </cell>
          <cell r="J770" t="str">
            <v/>
          </cell>
          <cell r="L770" t="str">
            <v/>
          </cell>
        </row>
        <row r="771">
          <cell r="D771" t="str">
            <v/>
          </cell>
          <cell r="E771" t="str">
            <v/>
          </cell>
          <cell r="J771" t="str">
            <v/>
          </cell>
          <cell r="L771" t="str">
            <v/>
          </cell>
        </row>
        <row r="772">
          <cell r="D772" t="str">
            <v/>
          </cell>
          <cell r="E772" t="str">
            <v/>
          </cell>
          <cell r="J772" t="str">
            <v/>
          </cell>
          <cell r="L772" t="str">
            <v/>
          </cell>
        </row>
        <row r="773">
          <cell r="D773" t="str">
            <v/>
          </cell>
          <cell r="E773" t="str">
            <v/>
          </cell>
          <cell r="J773" t="str">
            <v/>
          </cell>
          <cell r="L773" t="str">
            <v/>
          </cell>
        </row>
        <row r="774">
          <cell r="D774" t="str">
            <v/>
          </cell>
          <cell r="E774" t="str">
            <v/>
          </cell>
          <cell r="J774" t="str">
            <v/>
          </cell>
          <cell r="L774" t="str">
            <v/>
          </cell>
        </row>
        <row r="775">
          <cell r="D775" t="str">
            <v/>
          </cell>
          <cell r="E775" t="str">
            <v/>
          </cell>
          <cell r="J775" t="str">
            <v/>
          </cell>
          <cell r="L775" t="str">
            <v/>
          </cell>
        </row>
        <row r="776">
          <cell r="D776" t="str">
            <v/>
          </cell>
          <cell r="E776" t="str">
            <v/>
          </cell>
          <cell r="J776" t="str">
            <v/>
          </cell>
          <cell r="L776" t="str">
            <v/>
          </cell>
        </row>
        <row r="777">
          <cell r="D777" t="str">
            <v/>
          </cell>
          <cell r="E777" t="str">
            <v/>
          </cell>
          <cell r="J777" t="str">
            <v/>
          </cell>
          <cell r="L777" t="str">
            <v/>
          </cell>
        </row>
        <row r="778">
          <cell r="D778" t="str">
            <v/>
          </cell>
          <cell r="E778" t="str">
            <v/>
          </cell>
          <cell r="J778" t="str">
            <v/>
          </cell>
          <cell r="L778" t="str">
            <v/>
          </cell>
        </row>
        <row r="779">
          <cell r="D779" t="str">
            <v/>
          </cell>
          <cell r="E779" t="str">
            <v/>
          </cell>
          <cell r="J779" t="str">
            <v/>
          </cell>
          <cell r="L779" t="str">
            <v/>
          </cell>
        </row>
        <row r="780">
          <cell r="D780" t="str">
            <v/>
          </cell>
          <cell r="E780" t="str">
            <v/>
          </cell>
          <cell r="J780" t="str">
            <v/>
          </cell>
          <cell r="L780" t="str">
            <v/>
          </cell>
        </row>
        <row r="781">
          <cell r="D781" t="str">
            <v/>
          </cell>
          <cell r="E781" t="str">
            <v/>
          </cell>
          <cell r="J781" t="str">
            <v/>
          </cell>
          <cell r="L781" t="str">
            <v/>
          </cell>
        </row>
        <row r="782">
          <cell r="D782" t="str">
            <v/>
          </cell>
          <cell r="E782" t="str">
            <v/>
          </cell>
          <cell r="J782" t="str">
            <v/>
          </cell>
          <cell r="L782" t="str">
            <v/>
          </cell>
        </row>
        <row r="783">
          <cell r="D783" t="str">
            <v/>
          </cell>
          <cell r="E783" t="str">
            <v/>
          </cell>
          <cell r="J783" t="str">
            <v/>
          </cell>
          <cell r="L783" t="str">
            <v/>
          </cell>
        </row>
        <row r="784">
          <cell r="D784" t="str">
            <v/>
          </cell>
          <cell r="E784" t="str">
            <v/>
          </cell>
          <cell r="J784" t="str">
            <v/>
          </cell>
          <cell r="L784" t="str">
            <v/>
          </cell>
        </row>
        <row r="785">
          <cell r="D785" t="str">
            <v/>
          </cell>
          <cell r="E785" t="str">
            <v/>
          </cell>
          <cell r="J785" t="str">
            <v/>
          </cell>
          <cell r="L785" t="str">
            <v/>
          </cell>
        </row>
        <row r="786">
          <cell r="D786" t="str">
            <v/>
          </cell>
          <cell r="E786" t="str">
            <v/>
          </cell>
          <cell r="J786" t="str">
            <v/>
          </cell>
          <cell r="L786" t="str">
            <v/>
          </cell>
        </row>
        <row r="787">
          <cell r="D787" t="str">
            <v/>
          </cell>
          <cell r="E787" t="str">
            <v/>
          </cell>
          <cell r="J787" t="str">
            <v/>
          </cell>
          <cell r="L787" t="str">
            <v/>
          </cell>
        </row>
        <row r="788">
          <cell r="D788" t="str">
            <v/>
          </cell>
          <cell r="E788" t="str">
            <v/>
          </cell>
          <cell r="J788" t="str">
            <v/>
          </cell>
          <cell r="L788" t="str">
            <v/>
          </cell>
        </row>
        <row r="789">
          <cell r="D789" t="str">
            <v/>
          </cell>
          <cell r="E789" t="str">
            <v/>
          </cell>
          <cell r="J789" t="str">
            <v/>
          </cell>
          <cell r="L789" t="str">
            <v/>
          </cell>
        </row>
        <row r="790">
          <cell r="D790" t="str">
            <v/>
          </cell>
          <cell r="E790" t="str">
            <v/>
          </cell>
          <cell r="J790" t="str">
            <v/>
          </cell>
          <cell r="L790" t="str">
            <v/>
          </cell>
        </row>
        <row r="791">
          <cell r="D791" t="str">
            <v/>
          </cell>
          <cell r="E791" t="str">
            <v/>
          </cell>
          <cell r="J791" t="str">
            <v/>
          </cell>
          <cell r="L791" t="str">
            <v/>
          </cell>
        </row>
        <row r="792">
          <cell r="D792" t="str">
            <v/>
          </cell>
          <cell r="E792" t="str">
            <v/>
          </cell>
          <cell r="J792" t="str">
            <v/>
          </cell>
          <cell r="L792" t="str">
            <v/>
          </cell>
        </row>
        <row r="793">
          <cell r="D793" t="str">
            <v/>
          </cell>
          <cell r="E793" t="str">
            <v/>
          </cell>
          <cell r="J793" t="str">
            <v/>
          </cell>
          <cell r="L793" t="str">
            <v/>
          </cell>
        </row>
        <row r="794">
          <cell r="D794" t="str">
            <v/>
          </cell>
          <cell r="E794" t="str">
            <v/>
          </cell>
          <cell r="J794" t="str">
            <v/>
          </cell>
          <cell r="L794" t="str">
            <v/>
          </cell>
        </row>
        <row r="795">
          <cell r="D795" t="str">
            <v/>
          </cell>
          <cell r="E795" t="str">
            <v/>
          </cell>
          <cell r="J795" t="str">
            <v/>
          </cell>
          <cell r="L795" t="str">
            <v/>
          </cell>
        </row>
        <row r="796">
          <cell r="D796" t="str">
            <v/>
          </cell>
          <cell r="E796" t="str">
            <v/>
          </cell>
          <cell r="J796" t="str">
            <v/>
          </cell>
          <cell r="L796" t="str">
            <v/>
          </cell>
        </row>
        <row r="797">
          <cell r="D797" t="str">
            <v/>
          </cell>
          <cell r="E797" t="str">
            <v/>
          </cell>
          <cell r="J797" t="str">
            <v/>
          </cell>
          <cell r="L797" t="str">
            <v/>
          </cell>
        </row>
        <row r="798">
          <cell r="D798" t="str">
            <v/>
          </cell>
          <cell r="E798" t="str">
            <v/>
          </cell>
          <cell r="J798" t="str">
            <v/>
          </cell>
          <cell r="L798" t="str">
            <v/>
          </cell>
        </row>
        <row r="799">
          <cell r="D799" t="str">
            <v/>
          </cell>
          <cell r="E799" t="str">
            <v/>
          </cell>
          <cell r="J799" t="str">
            <v/>
          </cell>
          <cell r="L799" t="str">
            <v/>
          </cell>
        </row>
        <row r="800">
          <cell r="D800" t="str">
            <v/>
          </cell>
          <cell r="E800" t="str">
            <v/>
          </cell>
          <cell r="J800" t="str">
            <v/>
          </cell>
          <cell r="L800" t="str">
            <v/>
          </cell>
        </row>
        <row r="801">
          <cell r="D801" t="str">
            <v/>
          </cell>
          <cell r="E801" t="str">
            <v/>
          </cell>
          <cell r="J801" t="str">
            <v/>
          </cell>
          <cell r="L801" t="str">
            <v/>
          </cell>
        </row>
        <row r="802">
          <cell r="D802" t="str">
            <v/>
          </cell>
          <cell r="E802" t="str">
            <v/>
          </cell>
          <cell r="J802" t="str">
            <v/>
          </cell>
          <cell r="L802" t="str">
            <v/>
          </cell>
        </row>
        <row r="803">
          <cell r="D803" t="str">
            <v/>
          </cell>
          <cell r="E803" t="str">
            <v/>
          </cell>
          <cell r="J803" t="str">
            <v/>
          </cell>
          <cell r="L803" t="str">
            <v/>
          </cell>
        </row>
        <row r="804">
          <cell r="D804" t="str">
            <v/>
          </cell>
          <cell r="E804" t="str">
            <v/>
          </cell>
          <cell r="J804" t="str">
            <v/>
          </cell>
          <cell r="L804" t="str">
            <v/>
          </cell>
        </row>
        <row r="805">
          <cell r="D805" t="str">
            <v/>
          </cell>
          <cell r="E805" t="str">
            <v/>
          </cell>
          <cell r="J805" t="str">
            <v/>
          </cell>
          <cell r="L805" t="str">
            <v/>
          </cell>
        </row>
        <row r="806">
          <cell r="D806" t="str">
            <v/>
          </cell>
          <cell r="E806" t="str">
            <v/>
          </cell>
          <cell r="J806" t="str">
            <v/>
          </cell>
          <cell r="L806" t="str">
            <v/>
          </cell>
        </row>
        <row r="807">
          <cell r="D807" t="str">
            <v/>
          </cell>
          <cell r="E807" t="str">
            <v/>
          </cell>
          <cell r="J807" t="str">
            <v/>
          </cell>
          <cell r="L807" t="str">
            <v/>
          </cell>
        </row>
        <row r="808">
          <cell r="D808" t="str">
            <v/>
          </cell>
          <cell r="E808" t="str">
            <v/>
          </cell>
          <cell r="J808" t="str">
            <v/>
          </cell>
          <cell r="L808" t="str">
            <v/>
          </cell>
        </row>
        <row r="809">
          <cell r="D809" t="str">
            <v/>
          </cell>
          <cell r="E809" t="str">
            <v/>
          </cell>
          <cell r="J809" t="str">
            <v/>
          </cell>
          <cell r="L809" t="str">
            <v/>
          </cell>
        </row>
        <row r="810">
          <cell r="D810" t="str">
            <v/>
          </cell>
          <cell r="E810" t="str">
            <v/>
          </cell>
          <cell r="J810" t="str">
            <v/>
          </cell>
          <cell r="L810" t="str">
            <v/>
          </cell>
        </row>
        <row r="811">
          <cell r="D811" t="str">
            <v/>
          </cell>
          <cell r="E811" t="str">
            <v/>
          </cell>
          <cell r="J811" t="str">
            <v/>
          </cell>
          <cell r="L811" t="str">
            <v/>
          </cell>
        </row>
        <row r="812">
          <cell r="D812" t="str">
            <v/>
          </cell>
          <cell r="E812" t="str">
            <v/>
          </cell>
          <cell r="J812" t="str">
            <v/>
          </cell>
          <cell r="L812" t="str">
            <v/>
          </cell>
        </row>
        <row r="813">
          <cell r="D813" t="str">
            <v/>
          </cell>
          <cell r="E813" t="str">
            <v/>
          </cell>
          <cell r="J813" t="str">
            <v/>
          </cell>
          <cell r="L813" t="str">
            <v/>
          </cell>
        </row>
        <row r="814">
          <cell r="D814" t="str">
            <v/>
          </cell>
          <cell r="E814" t="str">
            <v/>
          </cell>
          <cell r="J814" t="str">
            <v/>
          </cell>
          <cell r="L814" t="str">
            <v/>
          </cell>
        </row>
        <row r="815">
          <cell r="D815" t="str">
            <v/>
          </cell>
          <cell r="E815" t="str">
            <v/>
          </cell>
          <cell r="J815" t="str">
            <v/>
          </cell>
          <cell r="L815" t="str">
            <v/>
          </cell>
        </row>
        <row r="816">
          <cell r="D816" t="str">
            <v/>
          </cell>
          <cell r="E816" t="str">
            <v/>
          </cell>
          <cell r="J816" t="str">
            <v/>
          </cell>
          <cell r="L816" t="str">
            <v/>
          </cell>
        </row>
        <row r="817">
          <cell r="D817" t="str">
            <v/>
          </cell>
          <cell r="E817" t="str">
            <v/>
          </cell>
          <cell r="J817" t="str">
            <v/>
          </cell>
          <cell r="L817" t="str">
            <v/>
          </cell>
        </row>
        <row r="818">
          <cell r="D818" t="str">
            <v/>
          </cell>
          <cell r="E818" t="str">
            <v/>
          </cell>
          <cell r="J818" t="str">
            <v/>
          </cell>
          <cell r="L818" t="str">
            <v/>
          </cell>
        </row>
        <row r="819">
          <cell r="D819" t="str">
            <v/>
          </cell>
          <cell r="E819" t="str">
            <v/>
          </cell>
          <cell r="J819" t="str">
            <v/>
          </cell>
          <cell r="L819" t="str">
            <v/>
          </cell>
        </row>
        <row r="820">
          <cell r="D820" t="str">
            <v/>
          </cell>
          <cell r="E820" t="str">
            <v/>
          </cell>
          <cell r="J820" t="str">
            <v/>
          </cell>
          <cell r="L820" t="str">
            <v/>
          </cell>
        </row>
        <row r="821">
          <cell r="D821" t="str">
            <v/>
          </cell>
          <cell r="E821" t="str">
            <v/>
          </cell>
          <cell r="J821" t="str">
            <v/>
          </cell>
          <cell r="L821" t="str">
            <v/>
          </cell>
        </row>
        <row r="822">
          <cell r="D822" t="str">
            <v/>
          </cell>
          <cell r="E822" t="str">
            <v/>
          </cell>
          <cell r="J822" t="str">
            <v/>
          </cell>
          <cell r="L822" t="str">
            <v/>
          </cell>
        </row>
        <row r="823">
          <cell r="D823" t="str">
            <v/>
          </cell>
          <cell r="E823" t="str">
            <v/>
          </cell>
          <cell r="J823" t="str">
            <v/>
          </cell>
          <cell r="L823" t="str">
            <v/>
          </cell>
        </row>
        <row r="824">
          <cell r="D824" t="str">
            <v/>
          </cell>
          <cell r="E824" t="str">
            <v/>
          </cell>
          <cell r="J824" t="str">
            <v/>
          </cell>
          <cell r="L824" t="str">
            <v/>
          </cell>
        </row>
        <row r="825">
          <cell r="D825" t="str">
            <v/>
          </cell>
          <cell r="E825" t="str">
            <v/>
          </cell>
          <cell r="J825" t="str">
            <v/>
          </cell>
          <cell r="L825" t="str">
            <v/>
          </cell>
        </row>
        <row r="826">
          <cell r="D826" t="str">
            <v/>
          </cell>
          <cell r="E826" t="str">
            <v/>
          </cell>
          <cell r="J826" t="str">
            <v/>
          </cell>
          <cell r="L826" t="str">
            <v/>
          </cell>
        </row>
        <row r="827">
          <cell r="D827" t="str">
            <v/>
          </cell>
          <cell r="E827" t="str">
            <v/>
          </cell>
          <cell r="J827" t="str">
            <v/>
          </cell>
          <cell r="L827" t="str">
            <v/>
          </cell>
        </row>
        <row r="828">
          <cell r="D828" t="str">
            <v/>
          </cell>
          <cell r="E828" t="str">
            <v/>
          </cell>
          <cell r="J828" t="str">
            <v/>
          </cell>
          <cell r="L828" t="str">
            <v/>
          </cell>
        </row>
        <row r="829">
          <cell r="D829" t="str">
            <v/>
          </cell>
          <cell r="E829" t="str">
            <v/>
          </cell>
          <cell r="J829" t="str">
            <v/>
          </cell>
          <cell r="L829" t="str">
            <v/>
          </cell>
        </row>
        <row r="830">
          <cell r="D830" t="str">
            <v/>
          </cell>
          <cell r="E830" t="str">
            <v/>
          </cell>
          <cell r="J830" t="str">
            <v/>
          </cell>
          <cell r="L830" t="str">
            <v/>
          </cell>
        </row>
        <row r="831">
          <cell r="D831" t="str">
            <v/>
          </cell>
          <cell r="E831" t="str">
            <v/>
          </cell>
          <cell r="J831" t="str">
            <v/>
          </cell>
          <cell r="L831" t="str">
            <v/>
          </cell>
        </row>
        <row r="832">
          <cell r="D832" t="str">
            <v/>
          </cell>
          <cell r="E832" t="str">
            <v/>
          </cell>
          <cell r="J832" t="str">
            <v/>
          </cell>
          <cell r="L832" t="str">
            <v/>
          </cell>
        </row>
        <row r="833">
          <cell r="D833" t="str">
            <v/>
          </cell>
          <cell r="E833" t="str">
            <v/>
          </cell>
          <cell r="J833" t="str">
            <v/>
          </cell>
          <cell r="L833" t="str">
            <v/>
          </cell>
        </row>
        <row r="834">
          <cell r="D834" t="str">
            <v/>
          </cell>
          <cell r="E834" t="str">
            <v/>
          </cell>
          <cell r="J834" t="str">
            <v/>
          </cell>
          <cell r="L834" t="str">
            <v/>
          </cell>
        </row>
        <row r="835">
          <cell r="D835" t="str">
            <v/>
          </cell>
          <cell r="E835" t="str">
            <v/>
          </cell>
          <cell r="J835" t="str">
            <v/>
          </cell>
          <cell r="L835" t="str">
            <v/>
          </cell>
        </row>
        <row r="836">
          <cell r="D836" t="str">
            <v/>
          </cell>
          <cell r="E836" t="str">
            <v/>
          </cell>
          <cell r="J836" t="str">
            <v/>
          </cell>
          <cell r="L836" t="str">
            <v/>
          </cell>
        </row>
        <row r="837">
          <cell r="D837" t="str">
            <v/>
          </cell>
          <cell r="E837" t="str">
            <v/>
          </cell>
          <cell r="J837" t="str">
            <v/>
          </cell>
          <cell r="L837" t="str">
            <v/>
          </cell>
        </row>
        <row r="838">
          <cell r="D838" t="str">
            <v/>
          </cell>
          <cell r="E838" t="str">
            <v/>
          </cell>
          <cell r="J838" t="str">
            <v/>
          </cell>
          <cell r="L838" t="str">
            <v/>
          </cell>
        </row>
        <row r="839">
          <cell r="D839" t="str">
            <v/>
          </cell>
          <cell r="E839" t="str">
            <v/>
          </cell>
          <cell r="J839" t="str">
            <v/>
          </cell>
          <cell r="L839" t="str">
            <v/>
          </cell>
        </row>
        <row r="840">
          <cell r="D840" t="str">
            <v/>
          </cell>
          <cell r="E840" t="str">
            <v/>
          </cell>
          <cell r="J840" t="str">
            <v/>
          </cell>
          <cell r="L840" t="str">
            <v/>
          </cell>
        </row>
        <row r="841">
          <cell r="D841" t="str">
            <v/>
          </cell>
          <cell r="E841" t="str">
            <v/>
          </cell>
          <cell r="J841" t="str">
            <v/>
          </cell>
          <cell r="L841" t="str">
            <v/>
          </cell>
        </row>
        <row r="842">
          <cell r="D842" t="str">
            <v/>
          </cell>
          <cell r="E842" t="str">
            <v/>
          </cell>
          <cell r="J842" t="str">
            <v/>
          </cell>
          <cell r="L842" t="str">
            <v/>
          </cell>
        </row>
        <row r="843">
          <cell r="D843" t="str">
            <v/>
          </cell>
          <cell r="E843" t="str">
            <v/>
          </cell>
          <cell r="J843" t="str">
            <v/>
          </cell>
          <cell r="L843" t="str">
            <v/>
          </cell>
        </row>
        <row r="844">
          <cell r="D844" t="str">
            <v/>
          </cell>
          <cell r="E844" t="str">
            <v/>
          </cell>
          <cell r="J844" t="str">
            <v/>
          </cell>
          <cell r="L844" t="str">
            <v/>
          </cell>
        </row>
        <row r="845">
          <cell r="D845" t="str">
            <v/>
          </cell>
          <cell r="E845" t="str">
            <v/>
          </cell>
          <cell r="J845" t="str">
            <v/>
          </cell>
          <cell r="L845" t="str">
            <v/>
          </cell>
        </row>
        <row r="846">
          <cell r="D846" t="str">
            <v/>
          </cell>
          <cell r="E846" t="str">
            <v/>
          </cell>
          <cell r="J846" t="str">
            <v/>
          </cell>
          <cell r="L846" t="str">
            <v/>
          </cell>
        </row>
        <row r="847">
          <cell r="D847" t="str">
            <v/>
          </cell>
          <cell r="E847" t="str">
            <v/>
          </cell>
          <cell r="J847" t="str">
            <v/>
          </cell>
          <cell r="L847" t="str">
            <v/>
          </cell>
        </row>
        <row r="848">
          <cell r="D848" t="str">
            <v/>
          </cell>
          <cell r="E848" t="str">
            <v/>
          </cell>
          <cell r="J848" t="str">
            <v/>
          </cell>
          <cell r="L848" t="str">
            <v/>
          </cell>
        </row>
        <row r="849">
          <cell r="D849" t="str">
            <v/>
          </cell>
          <cell r="E849" t="str">
            <v/>
          </cell>
          <cell r="J849" t="str">
            <v/>
          </cell>
          <cell r="L849" t="str">
            <v/>
          </cell>
        </row>
        <row r="850">
          <cell r="D850" t="str">
            <v/>
          </cell>
          <cell r="E850" t="str">
            <v/>
          </cell>
          <cell r="J850" t="str">
            <v/>
          </cell>
          <cell r="L850" t="str">
            <v/>
          </cell>
        </row>
        <row r="851">
          <cell r="D851" t="str">
            <v/>
          </cell>
          <cell r="E851" t="str">
            <v/>
          </cell>
          <cell r="J851" t="str">
            <v/>
          </cell>
          <cell r="L851" t="str">
            <v/>
          </cell>
        </row>
        <row r="852">
          <cell r="D852" t="str">
            <v/>
          </cell>
          <cell r="E852" t="str">
            <v/>
          </cell>
          <cell r="J852" t="str">
            <v/>
          </cell>
          <cell r="L852" t="str">
            <v/>
          </cell>
        </row>
        <row r="853">
          <cell r="D853" t="str">
            <v/>
          </cell>
          <cell r="E853" t="str">
            <v/>
          </cell>
          <cell r="J853" t="str">
            <v/>
          </cell>
          <cell r="L853" t="str">
            <v/>
          </cell>
        </row>
        <row r="854">
          <cell r="D854" t="str">
            <v/>
          </cell>
          <cell r="E854" t="str">
            <v/>
          </cell>
          <cell r="J854" t="str">
            <v/>
          </cell>
          <cell r="L854" t="str">
            <v/>
          </cell>
        </row>
        <row r="855">
          <cell r="D855" t="str">
            <v/>
          </cell>
          <cell r="E855" t="str">
            <v/>
          </cell>
          <cell r="J855" t="str">
            <v/>
          </cell>
          <cell r="L855" t="str">
            <v/>
          </cell>
        </row>
        <row r="856">
          <cell r="D856" t="str">
            <v/>
          </cell>
          <cell r="E856" t="str">
            <v/>
          </cell>
          <cell r="J856" t="str">
            <v/>
          </cell>
          <cell r="L856" t="str">
            <v/>
          </cell>
        </row>
        <row r="857">
          <cell r="D857" t="str">
            <v/>
          </cell>
          <cell r="E857" t="str">
            <v/>
          </cell>
          <cell r="J857" t="str">
            <v/>
          </cell>
          <cell r="L857" t="str">
            <v/>
          </cell>
        </row>
        <row r="858">
          <cell r="D858" t="str">
            <v/>
          </cell>
          <cell r="E858" t="str">
            <v/>
          </cell>
          <cell r="J858" t="str">
            <v/>
          </cell>
          <cell r="L858" t="str">
            <v/>
          </cell>
        </row>
        <row r="859">
          <cell r="D859" t="str">
            <v/>
          </cell>
          <cell r="E859" t="str">
            <v/>
          </cell>
          <cell r="J859" t="str">
            <v/>
          </cell>
          <cell r="L859" t="str">
            <v/>
          </cell>
        </row>
        <row r="860">
          <cell r="D860" t="str">
            <v/>
          </cell>
          <cell r="E860" t="str">
            <v/>
          </cell>
          <cell r="J860" t="str">
            <v/>
          </cell>
          <cell r="L860" t="str">
            <v/>
          </cell>
        </row>
        <row r="861">
          <cell r="D861" t="str">
            <v/>
          </cell>
          <cell r="E861" t="str">
            <v/>
          </cell>
          <cell r="J861" t="str">
            <v/>
          </cell>
          <cell r="L861" t="str">
            <v/>
          </cell>
        </row>
        <row r="862">
          <cell r="D862" t="str">
            <v/>
          </cell>
          <cell r="E862" t="str">
            <v/>
          </cell>
          <cell r="J862" t="str">
            <v/>
          </cell>
          <cell r="L862" t="str">
            <v/>
          </cell>
        </row>
        <row r="863">
          <cell r="D863" t="str">
            <v/>
          </cell>
          <cell r="E863" t="str">
            <v/>
          </cell>
          <cell r="J863" t="str">
            <v/>
          </cell>
          <cell r="L863" t="str">
            <v/>
          </cell>
        </row>
        <row r="864">
          <cell r="D864" t="str">
            <v/>
          </cell>
          <cell r="E864" t="str">
            <v/>
          </cell>
          <cell r="J864" t="str">
            <v/>
          </cell>
          <cell r="L864" t="str">
            <v/>
          </cell>
        </row>
        <row r="865">
          <cell r="D865" t="str">
            <v/>
          </cell>
          <cell r="E865" t="str">
            <v/>
          </cell>
          <cell r="J865" t="str">
            <v/>
          </cell>
          <cell r="L865" t="str">
            <v/>
          </cell>
        </row>
        <row r="866">
          <cell r="D866" t="str">
            <v/>
          </cell>
          <cell r="E866" t="str">
            <v/>
          </cell>
          <cell r="J866" t="str">
            <v/>
          </cell>
          <cell r="L866" t="str">
            <v/>
          </cell>
        </row>
        <row r="867">
          <cell r="D867" t="str">
            <v/>
          </cell>
          <cell r="E867" t="str">
            <v/>
          </cell>
          <cell r="J867" t="str">
            <v/>
          </cell>
          <cell r="L867" t="str">
            <v/>
          </cell>
        </row>
        <row r="868">
          <cell r="D868" t="str">
            <v/>
          </cell>
          <cell r="E868" t="str">
            <v/>
          </cell>
          <cell r="J868" t="str">
            <v/>
          </cell>
          <cell r="L868" t="str">
            <v/>
          </cell>
        </row>
        <row r="869">
          <cell r="D869" t="str">
            <v/>
          </cell>
          <cell r="E869" t="str">
            <v/>
          </cell>
          <cell r="J869" t="str">
            <v/>
          </cell>
          <cell r="L869" t="str">
            <v/>
          </cell>
        </row>
        <row r="870">
          <cell r="D870" t="str">
            <v/>
          </cell>
          <cell r="E870" t="str">
            <v/>
          </cell>
          <cell r="J870" t="str">
            <v/>
          </cell>
          <cell r="L870" t="str">
            <v/>
          </cell>
        </row>
        <row r="871">
          <cell r="D871" t="str">
            <v/>
          </cell>
          <cell r="E871" t="str">
            <v/>
          </cell>
          <cell r="J871" t="str">
            <v/>
          </cell>
          <cell r="L871" t="str">
            <v/>
          </cell>
        </row>
        <row r="872">
          <cell r="D872" t="str">
            <v/>
          </cell>
          <cell r="E872" t="str">
            <v/>
          </cell>
          <cell r="J872" t="str">
            <v/>
          </cell>
          <cell r="L872" t="str">
            <v/>
          </cell>
        </row>
        <row r="873">
          <cell r="D873" t="str">
            <v/>
          </cell>
          <cell r="E873" t="str">
            <v/>
          </cell>
          <cell r="J873" t="str">
            <v/>
          </cell>
          <cell r="L873" t="str">
            <v/>
          </cell>
        </row>
        <row r="874">
          <cell r="D874" t="str">
            <v/>
          </cell>
          <cell r="E874" t="str">
            <v/>
          </cell>
          <cell r="J874" t="str">
            <v/>
          </cell>
          <cell r="L874" t="str">
            <v/>
          </cell>
        </row>
        <row r="875">
          <cell r="D875" t="str">
            <v/>
          </cell>
          <cell r="E875" t="str">
            <v/>
          </cell>
          <cell r="J875" t="str">
            <v/>
          </cell>
          <cell r="L875" t="str">
            <v/>
          </cell>
        </row>
        <row r="876">
          <cell r="D876" t="str">
            <v/>
          </cell>
          <cell r="E876" t="str">
            <v/>
          </cell>
          <cell r="J876" t="str">
            <v/>
          </cell>
          <cell r="L876" t="str">
            <v/>
          </cell>
        </row>
        <row r="877">
          <cell r="D877" t="str">
            <v/>
          </cell>
          <cell r="E877" t="str">
            <v/>
          </cell>
          <cell r="J877" t="str">
            <v/>
          </cell>
          <cell r="L877" t="str">
            <v/>
          </cell>
        </row>
        <row r="878">
          <cell r="D878" t="str">
            <v/>
          </cell>
          <cell r="E878" t="str">
            <v/>
          </cell>
          <cell r="J878" t="str">
            <v/>
          </cell>
          <cell r="L878" t="str">
            <v/>
          </cell>
        </row>
        <row r="879">
          <cell r="D879" t="str">
            <v/>
          </cell>
          <cell r="E879" t="str">
            <v/>
          </cell>
          <cell r="J879" t="str">
            <v/>
          </cell>
          <cell r="L879" t="str">
            <v/>
          </cell>
        </row>
        <row r="880">
          <cell r="D880" t="str">
            <v/>
          </cell>
          <cell r="E880" t="str">
            <v/>
          </cell>
          <cell r="J880" t="str">
            <v/>
          </cell>
          <cell r="L880" t="str">
            <v/>
          </cell>
        </row>
        <row r="881">
          <cell r="D881" t="str">
            <v/>
          </cell>
          <cell r="E881" t="str">
            <v/>
          </cell>
          <cell r="J881" t="str">
            <v/>
          </cell>
          <cell r="L881" t="str">
            <v/>
          </cell>
        </row>
        <row r="882">
          <cell r="D882" t="str">
            <v/>
          </cell>
          <cell r="E882" t="str">
            <v/>
          </cell>
          <cell r="J882" t="str">
            <v/>
          </cell>
          <cell r="L882" t="str">
            <v/>
          </cell>
        </row>
        <row r="883">
          <cell r="D883" t="str">
            <v/>
          </cell>
          <cell r="E883" t="str">
            <v/>
          </cell>
          <cell r="J883" t="str">
            <v/>
          </cell>
          <cell r="L883" t="str">
            <v/>
          </cell>
        </row>
        <row r="884">
          <cell r="D884" t="str">
            <v/>
          </cell>
          <cell r="E884" t="str">
            <v/>
          </cell>
          <cell r="J884" t="str">
            <v/>
          </cell>
          <cell r="L884" t="str">
            <v/>
          </cell>
        </row>
        <row r="885">
          <cell r="D885" t="str">
            <v/>
          </cell>
          <cell r="E885" t="str">
            <v/>
          </cell>
          <cell r="J885" t="str">
            <v/>
          </cell>
          <cell r="L885" t="str">
            <v/>
          </cell>
        </row>
        <row r="886">
          <cell r="D886" t="str">
            <v/>
          </cell>
          <cell r="E886" t="str">
            <v/>
          </cell>
          <cell r="J886" t="str">
            <v/>
          </cell>
          <cell r="L886" t="str">
            <v/>
          </cell>
        </row>
        <row r="887">
          <cell r="D887" t="str">
            <v/>
          </cell>
          <cell r="E887" t="str">
            <v/>
          </cell>
          <cell r="J887" t="str">
            <v/>
          </cell>
          <cell r="L887" t="str">
            <v/>
          </cell>
        </row>
        <row r="888">
          <cell r="D888" t="str">
            <v/>
          </cell>
          <cell r="E888" t="str">
            <v/>
          </cell>
          <cell r="J888" t="str">
            <v/>
          </cell>
          <cell r="L888" t="str">
            <v/>
          </cell>
        </row>
        <row r="889">
          <cell r="D889" t="str">
            <v/>
          </cell>
          <cell r="E889" t="str">
            <v/>
          </cell>
          <cell r="J889" t="str">
            <v/>
          </cell>
          <cell r="L889" t="str">
            <v/>
          </cell>
        </row>
        <row r="890">
          <cell r="D890" t="str">
            <v/>
          </cell>
          <cell r="E890" t="str">
            <v/>
          </cell>
          <cell r="J890" t="str">
            <v/>
          </cell>
          <cell r="L890" t="str">
            <v/>
          </cell>
        </row>
        <row r="891">
          <cell r="D891" t="str">
            <v/>
          </cell>
          <cell r="E891" t="str">
            <v/>
          </cell>
          <cell r="J891" t="str">
            <v/>
          </cell>
          <cell r="L891" t="str">
            <v/>
          </cell>
        </row>
        <row r="892">
          <cell r="D892" t="str">
            <v/>
          </cell>
          <cell r="E892" t="str">
            <v/>
          </cell>
          <cell r="J892" t="str">
            <v/>
          </cell>
          <cell r="L892" t="str">
            <v/>
          </cell>
        </row>
        <row r="893">
          <cell r="D893" t="str">
            <v/>
          </cell>
          <cell r="E893" t="str">
            <v/>
          </cell>
          <cell r="J893" t="str">
            <v/>
          </cell>
          <cell r="L893" t="str">
            <v/>
          </cell>
        </row>
        <row r="894">
          <cell r="D894" t="str">
            <v/>
          </cell>
          <cell r="E894" t="str">
            <v/>
          </cell>
          <cell r="J894" t="str">
            <v/>
          </cell>
          <cell r="L894" t="str">
            <v/>
          </cell>
        </row>
        <row r="895">
          <cell r="D895" t="str">
            <v/>
          </cell>
          <cell r="E895" t="str">
            <v/>
          </cell>
          <cell r="J895" t="str">
            <v/>
          </cell>
          <cell r="L895" t="str">
            <v/>
          </cell>
        </row>
        <row r="896">
          <cell r="D896" t="str">
            <v/>
          </cell>
          <cell r="E896" t="str">
            <v/>
          </cell>
          <cell r="J896" t="str">
            <v/>
          </cell>
          <cell r="L896" t="str">
            <v/>
          </cell>
        </row>
        <row r="897">
          <cell r="D897" t="str">
            <v/>
          </cell>
          <cell r="E897" t="str">
            <v/>
          </cell>
          <cell r="J897" t="str">
            <v/>
          </cell>
          <cell r="L897" t="str">
            <v/>
          </cell>
        </row>
        <row r="898">
          <cell r="D898" t="str">
            <v/>
          </cell>
          <cell r="E898" t="str">
            <v/>
          </cell>
          <cell r="J898" t="str">
            <v/>
          </cell>
          <cell r="L898" t="str">
            <v/>
          </cell>
        </row>
        <row r="899">
          <cell r="D899" t="str">
            <v/>
          </cell>
          <cell r="E899" t="str">
            <v/>
          </cell>
          <cell r="J899" t="str">
            <v/>
          </cell>
          <cell r="L899" t="str">
            <v/>
          </cell>
        </row>
        <row r="900">
          <cell r="D900" t="str">
            <v/>
          </cell>
          <cell r="E900" t="str">
            <v/>
          </cell>
          <cell r="J900" t="str">
            <v/>
          </cell>
          <cell r="L900" t="str">
            <v/>
          </cell>
        </row>
        <row r="901">
          <cell r="D901" t="str">
            <v/>
          </cell>
          <cell r="E901" t="str">
            <v/>
          </cell>
          <cell r="J901" t="str">
            <v/>
          </cell>
          <cell r="L901" t="str">
            <v/>
          </cell>
        </row>
        <row r="902">
          <cell r="D902" t="str">
            <v/>
          </cell>
          <cell r="E902" t="str">
            <v/>
          </cell>
          <cell r="J902" t="str">
            <v/>
          </cell>
          <cell r="L902" t="str">
            <v/>
          </cell>
        </row>
        <row r="903">
          <cell r="D903" t="str">
            <v/>
          </cell>
          <cell r="E903" t="str">
            <v/>
          </cell>
          <cell r="J903" t="str">
            <v/>
          </cell>
          <cell r="L903" t="str">
            <v/>
          </cell>
        </row>
        <row r="904">
          <cell r="D904" t="str">
            <v/>
          </cell>
          <cell r="E904" t="str">
            <v/>
          </cell>
          <cell r="J904" t="str">
            <v/>
          </cell>
          <cell r="L904" t="str">
            <v/>
          </cell>
        </row>
        <row r="905">
          <cell r="D905" t="str">
            <v/>
          </cell>
          <cell r="E905" t="str">
            <v/>
          </cell>
          <cell r="J905" t="str">
            <v/>
          </cell>
          <cell r="L905" t="str">
            <v/>
          </cell>
        </row>
        <row r="906">
          <cell r="D906" t="str">
            <v/>
          </cell>
          <cell r="E906" t="str">
            <v/>
          </cell>
          <cell r="J906" t="str">
            <v/>
          </cell>
          <cell r="L906" t="str">
            <v/>
          </cell>
        </row>
        <row r="907">
          <cell r="D907" t="str">
            <v/>
          </cell>
          <cell r="E907" t="str">
            <v/>
          </cell>
          <cell r="J907" t="str">
            <v/>
          </cell>
          <cell r="L907" t="str">
            <v/>
          </cell>
        </row>
        <row r="908">
          <cell r="D908" t="str">
            <v/>
          </cell>
          <cell r="E908" t="str">
            <v/>
          </cell>
          <cell r="J908" t="str">
            <v/>
          </cell>
          <cell r="L908" t="str">
            <v/>
          </cell>
        </row>
        <row r="909">
          <cell r="D909" t="str">
            <v/>
          </cell>
          <cell r="E909" t="str">
            <v/>
          </cell>
          <cell r="J909" t="str">
            <v/>
          </cell>
          <cell r="L909" t="str">
            <v/>
          </cell>
        </row>
        <row r="910">
          <cell r="D910" t="str">
            <v/>
          </cell>
          <cell r="E910" t="str">
            <v/>
          </cell>
          <cell r="J910" t="str">
            <v/>
          </cell>
          <cell r="L910" t="str">
            <v/>
          </cell>
        </row>
        <row r="911">
          <cell r="D911" t="str">
            <v/>
          </cell>
          <cell r="E911" t="str">
            <v/>
          </cell>
          <cell r="J911" t="str">
            <v/>
          </cell>
          <cell r="L911" t="str">
            <v/>
          </cell>
        </row>
        <row r="912">
          <cell r="D912" t="str">
            <v/>
          </cell>
          <cell r="E912" t="str">
            <v/>
          </cell>
          <cell r="J912" t="str">
            <v/>
          </cell>
          <cell r="L912" t="str">
            <v/>
          </cell>
        </row>
        <row r="913">
          <cell r="D913" t="str">
            <v/>
          </cell>
          <cell r="E913" t="str">
            <v/>
          </cell>
          <cell r="J913" t="str">
            <v/>
          </cell>
          <cell r="L913" t="str">
            <v/>
          </cell>
        </row>
        <row r="914">
          <cell r="D914" t="str">
            <v/>
          </cell>
          <cell r="E914" t="str">
            <v/>
          </cell>
          <cell r="J914" t="str">
            <v/>
          </cell>
          <cell r="L914" t="str">
            <v/>
          </cell>
        </row>
        <row r="915">
          <cell r="D915" t="str">
            <v/>
          </cell>
          <cell r="E915" t="str">
            <v/>
          </cell>
          <cell r="J915" t="str">
            <v/>
          </cell>
          <cell r="L915" t="str">
            <v/>
          </cell>
        </row>
        <row r="916">
          <cell r="D916" t="str">
            <v/>
          </cell>
          <cell r="E916" t="str">
            <v/>
          </cell>
          <cell r="J916" t="str">
            <v/>
          </cell>
          <cell r="L916" t="str">
            <v/>
          </cell>
        </row>
        <row r="917">
          <cell r="D917" t="str">
            <v/>
          </cell>
          <cell r="E917" t="str">
            <v/>
          </cell>
          <cell r="J917" t="str">
            <v/>
          </cell>
          <cell r="L917" t="str">
            <v/>
          </cell>
        </row>
        <row r="918">
          <cell r="D918" t="str">
            <v/>
          </cell>
          <cell r="E918" t="str">
            <v/>
          </cell>
          <cell r="J918" t="str">
            <v/>
          </cell>
          <cell r="L918" t="str">
            <v/>
          </cell>
        </row>
        <row r="919">
          <cell r="D919" t="str">
            <v/>
          </cell>
          <cell r="E919" t="str">
            <v/>
          </cell>
          <cell r="J919" t="str">
            <v/>
          </cell>
          <cell r="L919" t="str">
            <v/>
          </cell>
        </row>
        <row r="920">
          <cell r="D920" t="str">
            <v/>
          </cell>
          <cell r="E920" t="str">
            <v/>
          </cell>
          <cell r="J920" t="str">
            <v/>
          </cell>
          <cell r="L920" t="str">
            <v/>
          </cell>
        </row>
        <row r="921">
          <cell r="D921" t="str">
            <v/>
          </cell>
          <cell r="E921" t="str">
            <v/>
          </cell>
          <cell r="J921" t="str">
            <v/>
          </cell>
          <cell r="L921" t="str">
            <v/>
          </cell>
        </row>
        <row r="922">
          <cell r="D922" t="str">
            <v/>
          </cell>
          <cell r="E922" t="str">
            <v/>
          </cell>
          <cell r="J922" t="str">
            <v/>
          </cell>
          <cell r="L922" t="str">
            <v/>
          </cell>
        </row>
        <row r="923">
          <cell r="D923" t="str">
            <v/>
          </cell>
          <cell r="E923" t="str">
            <v/>
          </cell>
          <cell r="J923" t="str">
            <v/>
          </cell>
          <cell r="L923" t="str">
            <v/>
          </cell>
        </row>
        <row r="924">
          <cell r="D924" t="str">
            <v/>
          </cell>
          <cell r="E924" t="str">
            <v/>
          </cell>
          <cell r="J924" t="str">
            <v/>
          </cell>
          <cell r="L924" t="str">
            <v/>
          </cell>
        </row>
        <row r="925">
          <cell r="D925" t="str">
            <v/>
          </cell>
          <cell r="E925" t="str">
            <v/>
          </cell>
          <cell r="J925" t="str">
            <v/>
          </cell>
          <cell r="L925" t="str">
            <v/>
          </cell>
        </row>
        <row r="926">
          <cell r="D926" t="str">
            <v/>
          </cell>
          <cell r="E926" t="str">
            <v/>
          </cell>
          <cell r="J926" t="str">
            <v/>
          </cell>
          <cell r="L926" t="str">
            <v/>
          </cell>
        </row>
        <row r="927">
          <cell r="D927" t="str">
            <v/>
          </cell>
          <cell r="E927" t="str">
            <v/>
          </cell>
          <cell r="J927" t="str">
            <v/>
          </cell>
          <cell r="L927" t="str">
            <v/>
          </cell>
        </row>
        <row r="928">
          <cell r="D928" t="str">
            <v/>
          </cell>
          <cell r="E928" t="str">
            <v/>
          </cell>
          <cell r="J928" t="str">
            <v/>
          </cell>
          <cell r="L928" t="str">
            <v/>
          </cell>
        </row>
        <row r="929">
          <cell r="D929" t="str">
            <v/>
          </cell>
          <cell r="E929" t="str">
            <v/>
          </cell>
          <cell r="J929" t="str">
            <v/>
          </cell>
          <cell r="L929" t="str">
            <v/>
          </cell>
        </row>
        <row r="930">
          <cell r="D930" t="str">
            <v/>
          </cell>
          <cell r="E930" t="str">
            <v/>
          </cell>
          <cell r="J930" t="str">
            <v/>
          </cell>
          <cell r="L930" t="str">
            <v/>
          </cell>
        </row>
        <row r="931">
          <cell r="D931" t="str">
            <v/>
          </cell>
          <cell r="E931" t="str">
            <v/>
          </cell>
          <cell r="J931" t="str">
            <v/>
          </cell>
          <cell r="L931" t="str">
            <v/>
          </cell>
        </row>
        <row r="932">
          <cell r="D932" t="str">
            <v/>
          </cell>
          <cell r="E932" t="str">
            <v/>
          </cell>
          <cell r="J932" t="str">
            <v/>
          </cell>
          <cell r="L932" t="str">
            <v/>
          </cell>
        </row>
        <row r="933">
          <cell r="D933" t="str">
            <v/>
          </cell>
          <cell r="E933" t="str">
            <v/>
          </cell>
          <cell r="J933" t="str">
            <v/>
          </cell>
          <cell r="L933" t="str">
            <v/>
          </cell>
        </row>
        <row r="934">
          <cell r="D934" t="str">
            <v/>
          </cell>
          <cell r="E934" t="str">
            <v/>
          </cell>
          <cell r="J934" t="str">
            <v/>
          </cell>
          <cell r="L934" t="str">
            <v/>
          </cell>
        </row>
        <row r="935">
          <cell r="D935" t="str">
            <v/>
          </cell>
          <cell r="E935" t="str">
            <v/>
          </cell>
          <cell r="J935" t="str">
            <v/>
          </cell>
          <cell r="L935" t="str">
            <v/>
          </cell>
        </row>
        <row r="936">
          <cell r="D936" t="str">
            <v/>
          </cell>
          <cell r="E936" t="str">
            <v/>
          </cell>
          <cell r="J936" t="str">
            <v/>
          </cell>
          <cell r="L936" t="str">
            <v/>
          </cell>
        </row>
        <row r="937">
          <cell r="D937" t="str">
            <v/>
          </cell>
          <cell r="E937" t="str">
            <v/>
          </cell>
          <cell r="J937" t="str">
            <v/>
          </cell>
          <cell r="L937" t="str">
            <v/>
          </cell>
        </row>
        <row r="938">
          <cell r="D938" t="str">
            <v/>
          </cell>
          <cell r="E938" t="str">
            <v/>
          </cell>
          <cell r="J938" t="str">
            <v/>
          </cell>
          <cell r="L938" t="str">
            <v/>
          </cell>
        </row>
        <row r="939">
          <cell r="D939" t="str">
            <v/>
          </cell>
          <cell r="E939" t="str">
            <v/>
          </cell>
          <cell r="J939" t="str">
            <v/>
          </cell>
          <cell r="L939" t="str">
            <v/>
          </cell>
        </row>
        <row r="940">
          <cell r="D940" t="str">
            <v/>
          </cell>
          <cell r="E940" t="str">
            <v/>
          </cell>
          <cell r="J940" t="str">
            <v/>
          </cell>
          <cell r="L940" t="str">
            <v/>
          </cell>
        </row>
        <row r="941">
          <cell r="D941" t="str">
            <v/>
          </cell>
          <cell r="E941" t="str">
            <v/>
          </cell>
          <cell r="J941" t="str">
            <v/>
          </cell>
          <cell r="L941" t="str">
            <v/>
          </cell>
        </row>
        <row r="942">
          <cell r="D942" t="str">
            <v/>
          </cell>
          <cell r="E942" t="str">
            <v/>
          </cell>
          <cell r="J942" t="str">
            <v/>
          </cell>
          <cell r="L942" t="str">
            <v/>
          </cell>
        </row>
        <row r="943">
          <cell r="D943" t="str">
            <v/>
          </cell>
          <cell r="E943" t="str">
            <v/>
          </cell>
          <cell r="J943" t="str">
            <v/>
          </cell>
          <cell r="L943" t="str">
            <v/>
          </cell>
        </row>
        <row r="944">
          <cell r="D944" t="str">
            <v/>
          </cell>
          <cell r="E944" t="str">
            <v/>
          </cell>
          <cell r="J944" t="str">
            <v/>
          </cell>
          <cell r="L944" t="str">
            <v/>
          </cell>
        </row>
        <row r="945">
          <cell r="D945" t="str">
            <v/>
          </cell>
          <cell r="E945" t="str">
            <v/>
          </cell>
          <cell r="J945" t="str">
            <v/>
          </cell>
          <cell r="L945" t="str">
            <v/>
          </cell>
        </row>
        <row r="946">
          <cell r="D946" t="str">
            <v/>
          </cell>
          <cell r="E946" t="str">
            <v/>
          </cell>
          <cell r="J946" t="str">
            <v/>
          </cell>
          <cell r="L946" t="str">
            <v/>
          </cell>
        </row>
        <row r="947">
          <cell r="D947" t="str">
            <v/>
          </cell>
          <cell r="E947" t="str">
            <v/>
          </cell>
          <cell r="J947" t="str">
            <v/>
          </cell>
          <cell r="L947" t="str">
            <v/>
          </cell>
        </row>
        <row r="948">
          <cell r="D948" t="str">
            <v/>
          </cell>
          <cell r="E948" t="str">
            <v/>
          </cell>
          <cell r="J948" t="str">
            <v/>
          </cell>
          <cell r="L948" t="str">
            <v/>
          </cell>
        </row>
        <row r="949">
          <cell r="D949" t="str">
            <v/>
          </cell>
          <cell r="E949" t="str">
            <v/>
          </cell>
          <cell r="J949" t="str">
            <v/>
          </cell>
          <cell r="L949" t="str">
            <v/>
          </cell>
        </row>
        <row r="950">
          <cell r="D950" t="str">
            <v/>
          </cell>
          <cell r="E950" t="str">
            <v/>
          </cell>
          <cell r="J950" t="str">
            <v/>
          </cell>
          <cell r="L950" t="str">
            <v/>
          </cell>
        </row>
        <row r="951">
          <cell r="D951" t="str">
            <v/>
          </cell>
          <cell r="E951" t="str">
            <v/>
          </cell>
          <cell r="J951" t="str">
            <v/>
          </cell>
          <cell r="L951" t="str">
            <v/>
          </cell>
        </row>
        <row r="952">
          <cell r="D952" t="str">
            <v/>
          </cell>
          <cell r="E952" t="str">
            <v/>
          </cell>
          <cell r="J952" t="str">
            <v/>
          </cell>
          <cell r="L952" t="str">
            <v/>
          </cell>
        </row>
        <row r="953">
          <cell r="D953" t="str">
            <v/>
          </cell>
          <cell r="E953" t="str">
            <v/>
          </cell>
          <cell r="J953" t="str">
            <v/>
          </cell>
          <cell r="L953" t="str">
            <v/>
          </cell>
        </row>
        <row r="954">
          <cell r="D954" t="str">
            <v/>
          </cell>
          <cell r="E954" t="str">
            <v/>
          </cell>
          <cell r="J954" t="str">
            <v/>
          </cell>
          <cell r="L954" t="str">
            <v/>
          </cell>
        </row>
        <row r="955">
          <cell r="D955" t="str">
            <v/>
          </cell>
          <cell r="E955" t="str">
            <v/>
          </cell>
          <cell r="J955" t="str">
            <v/>
          </cell>
          <cell r="L955" t="str">
            <v/>
          </cell>
        </row>
        <row r="956">
          <cell r="D956" t="str">
            <v/>
          </cell>
          <cell r="E956" t="str">
            <v/>
          </cell>
          <cell r="J956" t="str">
            <v/>
          </cell>
          <cell r="L956" t="str">
            <v/>
          </cell>
        </row>
        <row r="957">
          <cell r="D957" t="str">
            <v/>
          </cell>
          <cell r="E957" t="str">
            <v/>
          </cell>
          <cell r="J957" t="str">
            <v/>
          </cell>
          <cell r="L957" t="str">
            <v/>
          </cell>
        </row>
        <row r="958">
          <cell r="D958" t="str">
            <v/>
          </cell>
          <cell r="E958" t="str">
            <v/>
          </cell>
          <cell r="J958" t="str">
            <v/>
          </cell>
          <cell r="L958" t="str">
            <v/>
          </cell>
        </row>
        <row r="959">
          <cell r="D959" t="str">
            <v/>
          </cell>
          <cell r="E959" t="str">
            <v/>
          </cell>
          <cell r="J959" t="str">
            <v/>
          </cell>
          <cell r="L959" t="str">
            <v/>
          </cell>
        </row>
        <row r="960">
          <cell r="D960" t="str">
            <v/>
          </cell>
          <cell r="E960" t="str">
            <v/>
          </cell>
          <cell r="J960" t="str">
            <v/>
          </cell>
          <cell r="L960" t="str">
            <v/>
          </cell>
        </row>
        <row r="961">
          <cell r="D961" t="str">
            <v/>
          </cell>
          <cell r="E961" t="str">
            <v/>
          </cell>
          <cell r="J961" t="str">
            <v/>
          </cell>
          <cell r="L961" t="str">
            <v/>
          </cell>
        </row>
        <row r="962">
          <cell r="D962" t="str">
            <v/>
          </cell>
          <cell r="E962" t="str">
            <v/>
          </cell>
          <cell r="J962" t="str">
            <v/>
          </cell>
          <cell r="L962" t="str">
            <v/>
          </cell>
        </row>
        <row r="963">
          <cell r="D963" t="str">
            <v/>
          </cell>
          <cell r="E963" t="str">
            <v/>
          </cell>
          <cell r="J963" t="str">
            <v/>
          </cell>
          <cell r="L963" t="str">
            <v/>
          </cell>
        </row>
        <row r="964">
          <cell r="D964" t="str">
            <v/>
          </cell>
          <cell r="E964" t="str">
            <v/>
          </cell>
          <cell r="J964" t="str">
            <v/>
          </cell>
          <cell r="L964" t="str">
            <v/>
          </cell>
        </row>
        <row r="965">
          <cell r="D965" t="str">
            <v/>
          </cell>
          <cell r="E965" t="str">
            <v/>
          </cell>
          <cell r="J965" t="str">
            <v/>
          </cell>
          <cell r="L965" t="str">
            <v/>
          </cell>
        </row>
        <row r="966">
          <cell r="D966" t="str">
            <v/>
          </cell>
          <cell r="E966" t="str">
            <v/>
          </cell>
          <cell r="J966" t="str">
            <v/>
          </cell>
          <cell r="L966" t="str">
            <v/>
          </cell>
        </row>
        <row r="967">
          <cell r="D967" t="str">
            <v/>
          </cell>
          <cell r="E967" t="str">
            <v/>
          </cell>
          <cell r="J967" t="str">
            <v/>
          </cell>
          <cell r="L967" t="str">
            <v/>
          </cell>
        </row>
        <row r="968">
          <cell r="D968" t="str">
            <v/>
          </cell>
          <cell r="E968" t="str">
            <v/>
          </cell>
          <cell r="J968" t="str">
            <v/>
          </cell>
          <cell r="L968" t="str">
            <v/>
          </cell>
        </row>
        <row r="969">
          <cell r="D969" t="str">
            <v/>
          </cell>
          <cell r="E969" t="str">
            <v/>
          </cell>
          <cell r="J969" t="str">
            <v/>
          </cell>
          <cell r="L969" t="str">
            <v/>
          </cell>
        </row>
        <row r="970">
          <cell r="D970" t="str">
            <v/>
          </cell>
          <cell r="E970" t="str">
            <v/>
          </cell>
          <cell r="J970" t="str">
            <v/>
          </cell>
          <cell r="L970" t="str">
            <v/>
          </cell>
        </row>
        <row r="971">
          <cell r="D971" t="str">
            <v/>
          </cell>
          <cell r="E971" t="str">
            <v/>
          </cell>
          <cell r="J971" t="str">
            <v/>
          </cell>
          <cell r="L971" t="str">
            <v/>
          </cell>
        </row>
        <row r="972">
          <cell r="D972" t="str">
            <v/>
          </cell>
          <cell r="E972" t="str">
            <v/>
          </cell>
          <cell r="J972" t="str">
            <v/>
          </cell>
          <cell r="L972" t="str">
            <v/>
          </cell>
        </row>
        <row r="973">
          <cell r="D973" t="str">
            <v/>
          </cell>
          <cell r="E973" t="str">
            <v/>
          </cell>
          <cell r="J973" t="str">
            <v/>
          </cell>
          <cell r="L973" t="str">
            <v/>
          </cell>
        </row>
        <row r="974">
          <cell r="D974" t="str">
            <v/>
          </cell>
          <cell r="E974" t="str">
            <v/>
          </cell>
          <cell r="J974" t="str">
            <v/>
          </cell>
          <cell r="L974" t="str">
            <v/>
          </cell>
        </row>
        <row r="975">
          <cell r="D975" t="str">
            <v/>
          </cell>
          <cell r="E975" t="str">
            <v/>
          </cell>
          <cell r="J975" t="str">
            <v/>
          </cell>
          <cell r="L975" t="str">
            <v/>
          </cell>
        </row>
        <row r="976">
          <cell r="D976" t="str">
            <v/>
          </cell>
          <cell r="E976" t="str">
            <v/>
          </cell>
          <cell r="J976" t="str">
            <v/>
          </cell>
          <cell r="L976" t="str">
            <v/>
          </cell>
        </row>
        <row r="977">
          <cell r="D977" t="str">
            <v/>
          </cell>
          <cell r="E977" t="str">
            <v/>
          </cell>
          <cell r="J977" t="str">
            <v/>
          </cell>
          <cell r="L977" t="str">
            <v/>
          </cell>
        </row>
        <row r="978">
          <cell r="D978" t="str">
            <v/>
          </cell>
          <cell r="E978" t="str">
            <v/>
          </cell>
          <cell r="J978" t="str">
            <v/>
          </cell>
          <cell r="L978" t="str">
            <v/>
          </cell>
        </row>
        <row r="979">
          <cell r="D979" t="str">
            <v/>
          </cell>
          <cell r="E979" t="str">
            <v/>
          </cell>
          <cell r="J979" t="str">
            <v/>
          </cell>
          <cell r="L979" t="str">
            <v/>
          </cell>
        </row>
        <row r="980">
          <cell r="D980" t="str">
            <v/>
          </cell>
          <cell r="E980" t="str">
            <v/>
          </cell>
          <cell r="J980" t="str">
            <v/>
          </cell>
          <cell r="L980" t="str">
            <v/>
          </cell>
        </row>
        <row r="981">
          <cell r="D981" t="str">
            <v/>
          </cell>
          <cell r="E981" t="str">
            <v/>
          </cell>
          <cell r="J981" t="str">
            <v/>
          </cell>
          <cell r="L981" t="str">
            <v/>
          </cell>
        </row>
        <row r="982">
          <cell r="D982" t="str">
            <v/>
          </cell>
          <cell r="E982" t="str">
            <v/>
          </cell>
          <cell r="J982" t="str">
            <v/>
          </cell>
          <cell r="L982" t="str">
            <v/>
          </cell>
        </row>
        <row r="983">
          <cell r="D983" t="str">
            <v/>
          </cell>
          <cell r="E983" t="str">
            <v/>
          </cell>
          <cell r="J983" t="str">
            <v/>
          </cell>
          <cell r="L983" t="str">
            <v/>
          </cell>
        </row>
        <row r="984">
          <cell r="D984" t="str">
            <v/>
          </cell>
          <cell r="E984" t="str">
            <v/>
          </cell>
          <cell r="J984" t="str">
            <v/>
          </cell>
          <cell r="L984" t="str">
            <v/>
          </cell>
        </row>
        <row r="985">
          <cell r="D985" t="str">
            <v/>
          </cell>
          <cell r="E985" t="str">
            <v/>
          </cell>
          <cell r="J985" t="str">
            <v/>
          </cell>
          <cell r="L985" t="str">
            <v/>
          </cell>
        </row>
        <row r="986">
          <cell r="D986" t="str">
            <v/>
          </cell>
          <cell r="E986" t="str">
            <v/>
          </cell>
          <cell r="J986" t="str">
            <v/>
          </cell>
          <cell r="L986" t="str">
            <v/>
          </cell>
        </row>
        <row r="987">
          <cell r="D987" t="str">
            <v/>
          </cell>
          <cell r="E987" t="str">
            <v/>
          </cell>
          <cell r="J987" t="str">
            <v/>
          </cell>
          <cell r="L987" t="str">
            <v/>
          </cell>
        </row>
        <row r="988">
          <cell r="D988" t="str">
            <v/>
          </cell>
          <cell r="E988" t="str">
            <v/>
          </cell>
          <cell r="J988" t="str">
            <v/>
          </cell>
          <cell r="L988" t="str">
            <v/>
          </cell>
        </row>
        <row r="989">
          <cell r="D989" t="str">
            <v/>
          </cell>
          <cell r="E989" t="str">
            <v/>
          </cell>
          <cell r="J989" t="str">
            <v/>
          </cell>
          <cell r="L989" t="str">
            <v/>
          </cell>
        </row>
        <row r="990">
          <cell r="D990" t="str">
            <v/>
          </cell>
          <cell r="E990" t="str">
            <v/>
          </cell>
          <cell r="J990" t="str">
            <v/>
          </cell>
          <cell r="L990" t="str">
            <v/>
          </cell>
        </row>
        <row r="991">
          <cell r="D991" t="str">
            <v/>
          </cell>
          <cell r="E991" t="str">
            <v/>
          </cell>
          <cell r="J991" t="str">
            <v/>
          </cell>
          <cell r="L991" t="str">
            <v/>
          </cell>
        </row>
        <row r="992">
          <cell r="D992" t="str">
            <v/>
          </cell>
          <cell r="E992" t="str">
            <v/>
          </cell>
          <cell r="J992" t="str">
            <v/>
          </cell>
          <cell r="L992" t="str">
            <v/>
          </cell>
        </row>
        <row r="993">
          <cell r="D993" t="str">
            <v/>
          </cell>
          <cell r="E993" t="str">
            <v/>
          </cell>
          <cell r="J993" t="str">
            <v/>
          </cell>
          <cell r="L993" t="str">
            <v/>
          </cell>
        </row>
        <row r="994">
          <cell r="D994" t="str">
            <v/>
          </cell>
          <cell r="E994" t="str">
            <v/>
          </cell>
          <cell r="J994" t="str">
            <v/>
          </cell>
          <cell r="L994" t="str">
            <v/>
          </cell>
        </row>
        <row r="995">
          <cell r="D995" t="str">
            <v/>
          </cell>
          <cell r="E995" t="str">
            <v/>
          </cell>
          <cell r="J995" t="str">
            <v/>
          </cell>
          <cell r="L995" t="str">
            <v/>
          </cell>
        </row>
        <row r="996">
          <cell r="D996" t="str">
            <v/>
          </cell>
          <cell r="E996" t="str">
            <v/>
          </cell>
          <cell r="J996" t="str">
            <v/>
          </cell>
          <cell r="L996" t="str">
            <v/>
          </cell>
        </row>
        <row r="997">
          <cell r="D997" t="str">
            <v/>
          </cell>
          <cell r="E997" t="str">
            <v/>
          </cell>
          <cell r="J997" t="str">
            <v/>
          </cell>
          <cell r="L997" t="str">
            <v/>
          </cell>
        </row>
        <row r="998">
          <cell r="D998" t="str">
            <v/>
          </cell>
          <cell r="E998" t="str">
            <v/>
          </cell>
          <cell r="J998" t="str">
            <v/>
          </cell>
          <cell r="L998" t="str">
            <v/>
          </cell>
        </row>
        <row r="999">
          <cell r="D999" t="str">
            <v/>
          </cell>
          <cell r="E999" t="str">
            <v/>
          </cell>
          <cell r="J999" t="str">
            <v/>
          </cell>
          <cell r="L999" t="str">
            <v/>
          </cell>
        </row>
        <row r="1000">
          <cell r="D1000" t="str">
            <v/>
          </cell>
          <cell r="E1000" t="str">
            <v/>
          </cell>
          <cell r="J1000" t="str">
            <v/>
          </cell>
          <cell r="L1000" t="str">
            <v/>
          </cell>
        </row>
        <row r="1001">
          <cell r="D1001" t="str">
            <v/>
          </cell>
          <cell r="E1001" t="str">
            <v/>
          </cell>
          <cell r="J1001" t="str">
            <v/>
          </cell>
          <cell r="L1001" t="str">
            <v/>
          </cell>
        </row>
        <row r="1002">
          <cell r="D1002" t="str">
            <v/>
          </cell>
          <cell r="E1002" t="str">
            <v/>
          </cell>
          <cell r="J1002" t="str">
            <v/>
          </cell>
          <cell r="L1002" t="str">
            <v/>
          </cell>
        </row>
        <row r="1003">
          <cell r="D1003" t="str">
            <v/>
          </cell>
          <cell r="E1003" t="str">
            <v/>
          </cell>
          <cell r="J1003" t="str">
            <v/>
          </cell>
          <cell r="L1003" t="str">
            <v/>
          </cell>
        </row>
        <row r="1004">
          <cell r="D1004" t="str">
            <v/>
          </cell>
          <cell r="E1004" t="str">
            <v/>
          </cell>
          <cell r="J1004" t="str">
            <v/>
          </cell>
          <cell r="L1004" t="str">
            <v/>
          </cell>
        </row>
        <row r="1005">
          <cell r="D1005" t="str">
            <v/>
          </cell>
          <cell r="E1005" t="str">
            <v/>
          </cell>
          <cell r="J1005" t="str">
            <v/>
          </cell>
          <cell r="L1005" t="str">
            <v/>
          </cell>
        </row>
        <row r="1006">
          <cell r="D1006" t="str">
            <v/>
          </cell>
          <cell r="E1006" t="str">
            <v/>
          </cell>
          <cell r="J1006" t="str">
            <v/>
          </cell>
          <cell r="L1006" t="str">
            <v/>
          </cell>
        </row>
        <row r="1007">
          <cell r="D1007" t="str">
            <v/>
          </cell>
          <cell r="E1007" t="str">
            <v/>
          </cell>
          <cell r="J1007" t="str">
            <v/>
          </cell>
          <cell r="L1007" t="str">
            <v/>
          </cell>
        </row>
        <row r="1008">
          <cell r="D1008" t="str">
            <v/>
          </cell>
          <cell r="E1008" t="str">
            <v/>
          </cell>
          <cell r="J1008" t="str">
            <v/>
          </cell>
          <cell r="L1008" t="str">
            <v/>
          </cell>
        </row>
        <row r="1009">
          <cell r="D1009" t="str">
            <v/>
          </cell>
          <cell r="E1009" t="str">
            <v/>
          </cell>
          <cell r="J1009" t="str">
            <v/>
          </cell>
          <cell r="L1009" t="str">
            <v/>
          </cell>
        </row>
        <row r="1010">
          <cell r="D1010" t="str">
            <v/>
          </cell>
          <cell r="E1010" t="str">
            <v/>
          </cell>
          <cell r="J1010" t="str">
            <v/>
          </cell>
          <cell r="L1010" t="str">
            <v/>
          </cell>
        </row>
        <row r="1011">
          <cell r="D1011" t="str">
            <v/>
          </cell>
          <cell r="E1011" t="str">
            <v/>
          </cell>
          <cell r="J1011" t="str">
            <v/>
          </cell>
          <cell r="L1011" t="str">
            <v/>
          </cell>
        </row>
        <row r="1012">
          <cell r="D1012" t="str">
            <v/>
          </cell>
          <cell r="E1012" t="str">
            <v/>
          </cell>
          <cell r="J1012" t="str">
            <v/>
          </cell>
          <cell r="L1012" t="str">
            <v/>
          </cell>
        </row>
        <row r="1013">
          <cell r="D1013" t="str">
            <v/>
          </cell>
          <cell r="E1013" t="str">
            <v/>
          </cell>
          <cell r="J1013" t="str">
            <v/>
          </cell>
          <cell r="L1013" t="str">
            <v/>
          </cell>
        </row>
        <row r="1014">
          <cell r="D1014" t="str">
            <v/>
          </cell>
          <cell r="E1014" t="str">
            <v/>
          </cell>
          <cell r="J1014" t="str">
            <v/>
          </cell>
          <cell r="L1014" t="str">
            <v/>
          </cell>
        </row>
        <row r="1015">
          <cell r="D1015" t="str">
            <v/>
          </cell>
          <cell r="E1015" t="str">
            <v/>
          </cell>
          <cell r="J1015" t="str">
            <v/>
          </cell>
          <cell r="L1015" t="str">
            <v/>
          </cell>
        </row>
        <row r="1016">
          <cell r="D1016" t="str">
            <v/>
          </cell>
          <cell r="E1016" t="str">
            <v/>
          </cell>
          <cell r="J1016" t="str">
            <v/>
          </cell>
          <cell r="L1016" t="str">
            <v/>
          </cell>
        </row>
        <row r="1017">
          <cell r="D1017" t="str">
            <v/>
          </cell>
          <cell r="E1017" t="str">
            <v/>
          </cell>
          <cell r="J1017" t="str">
            <v/>
          </cell>
          <cell r="L1017" t="str">
            <v/>
          </cell>
        </row>
        <row r="1018">
          <cell r="D1018" t="str">
            <v/>
          </cell>
          <cell r="E1018" t="str">
            <v/>
          </cell>
          <cell r="J1018" t="str">
            <v/>
          </cell>
          <cell r="L1018" t="str">
            <v/>
          </cell>
        </row>
        <row r="1019">
          <cell r="D1019" t="str">
            <v/>
          </cell>
          <cell r="E1019" t="str">
            <v/>
          </cell>
          <cell r="J1019" t="str">
            <v/>
          </cell>
          <cell r="L1019" t="str">
            <v/>
          </cell>
        </row>
        <row r="1020">
          <cell r="D1020" t="str">
            <v/>
          </cell>
          <cell r="E1020" t="str">
            <v/>
          </cell>
          <cell r="J1020" t="str">
            <v/>
          </cell>
          <cell r="L1020" t="str">
            <v/>
          </cell>
        </row>
        <row r="1021">
          <cell r="D1021" t="str">
            <v/>
          </cell>
          <cell r="E1021" t="str">
            <v/>
          </cell>
          <cell r="J1021" t="str">
            <v/>
          </cell>
          <cell r="L1021" t="str">
            <v/>
          </cell>
        </row>
        <row r="1022">
          <cell r="D1022" t="str">
            <v/>
          </cell>
          <cell r="E1022" t="str">
            <v/>
          </cell>
          <cell r="J1022" t="str">
            <v/>
          </cell>
          <cell r="L1022" t="str">
            <v/>
          </cell>
        </row>
        <row r="1023">
          <cell r="D1023" t="str">
            <v/>
          </cell>
          <cell r="E1023" t="str">
            <v/>
          </cell>
          <cell r="J1023" t="str">
            <v/>
          </cell>
          <cell r="L1023" t="str">
            <v/>
          </cell>
        </row>
        <row r="1024">
          <cell r="D1024" t="str">
            <v/>
          </cell>
          <cell r="E1024" t="str">
            <v/>
          </cell>
          <cell r="J1024" t="str">
            <v/>
          </cell>
          <cell r="L1024" t="str">
            <v/>
          </cell>
        </row>
        <row r="1025">
          <cell r="D1025" t="str">
            <v/>
          </cell>
          <cell r="E1025" t="str">
            <v/>
          </cell>
          <cell r="J1025" t="str">
            <v/>
          </cell>
          <cell r="L1025" t="str">
            <v/>
          </cell>
        </row>
        <row r="1026">
          <cell r="D1026" t="str">
            <v/>
          </cell>
          <cell r="E1026" t="str">
            <v/>
          </cell>
          <cell r="J1026" t="str">
            <v/>
          </cell>
          <cell r="L1026" t="str">
            <v/>
          </cell>
        </row>
        <row r="1027">
          <cell r="D1027" t="str">
            <v/>
          </cell>
          <cell r="E1027" t="str">
            <v/>
          </cell>
          <cell r="J1027" t="str">
            <v/>
          </cell>
          <cell r="L1027" t="str">
            <v/>
          </cell>
        </row>
        <row r="1028">
          <cell r="D1028" t="str">
            <v/>
          </cell>
          <cell r="E1028" t="str">
            <v/>
          </cell>
          <cell r="J1028" t="str">
            <v/>
          </cell>
          <cell r="L1028" t="str">
            <v/>
          </cell>
        </row>
        <row r="1029">
          <cell r="D1029" t="str">
            <v/>
          </cell>
          <cell r="E1029" t="str">
            <v/>
          </cell>
          <cell r="J1029" t="str">
            <v/>
          </cell>
          <cell r="L1029" t="str">
            <v/>
          </cell>
        </row>
        <row r="1030">
          <cell r="D1030" t="str">
            <v/>
          </cell>
          <cell r="E1030" t="str">
            <v/>
          </cell>
          <cell r="J1030" t="str">
            <v/>
          </cell>
          <cell r="L1030" t="str">
            <v/>
          </cell>
        </row>
        <row r="1031">
          <cell r="D1031" t="str">
            <v/>
          </cell>
          <cell r="E1031" t="str">
            <v/>
          </cell>
          <cell r="J1031" t="str">
            <v/>
          </cell>
          <cell r="L1031" t="str">
            <v/>
          </cell>
        </row>
        <row r="1032">
          <cell r="D1032" t="str">
            <v/>
          </cell>
          <cell r="E1032" t="str">
            <v/>
          </cell>
          <cell r="J1032" t="str">
            <v/>
          </cell>
          <cell r="L1032" t="str">
            <v/>
          </cell>
        </row>
        <row r="1033">
          <cell r="D1033" t="str">
            <v/>
          </cell>
          <cell r="E1033" t="str">
            <v/>
          </cell>
          <cell r="J1033" t="str">
            <v/>
          </cell>
          <cell r="L1033" t="str">
            <v/>
          </cell>
        </row>
        <row r="1034">
          <cell r="D1034" t="str">
            <v/>
          </cell>
          <cell r="E1034" t="str">
            <v/>
          </cell>
          <cell r="J1034" t="str">
            <v/>
          </cell>
          <cell r="L1034" t="str">
            <v/>
          </cell>
        </row>
        <row r="1035">
          <cell r="D1035" t="str">
            <v/>
          </cell>
          <cell r="E1035" t="str">
            <v/>
          </cell>
          <cell r="J1035" t="str">
            <v/>
          </cell>
          <cell r="L1035" t="str">
            <v/>
          </cell>
        </row>
        <row r="1036">
          <cell r="D1036" t="str">
            <v/>
          </cell>
          <cell r="E1036" t="str">
            <v/>
          </cell>
          <cell r="J1036" t="str">
            <v/>
          </cell>
          <cell r="L1036" t="str">
            <v/>
          </cell>
        </row>
        <row r="1037">
          <cell r="D1037" t="str">
            <v/>
          </cell>
          <cell r="E1037" t="str">
            <v/>
          </cell>
          <cell r="J1037" t="str">
            <v/>
          </cell>
          <cell r="L1037" t="str">
            <v/>
          </cell>
        </row>
        <row r="1038">
          <cell r="D1038" t="str">
            <v/>
          </cell>
          <cell r="E1038" t="str">
            <v/>
          </cell>
          <cell r="J1038" t="str">
            <v/>
          </cell>
          <cell r="L1038" t="str">
            <v/>
          </cell>
        </row>
        <row r="1039">
          <cell r="D1039" t="str">
            <v/>
          </cell>
          <cell r="E1039" t="str">
            <v/>
          </cell>
          <cell r="J1039" t="str">
            <v/>
          </cell>
          <cell r="L1039" t="str">
            <v/>
          </cell>
        </row>
        <row r="1040">
          <cell r="D1040" t="str">
            <v/>
          </cell>
          <cell r="E1040" t="str">
            <v/>
          </cell>
          <cell r="J1040" t="str">
            <v/>
          </cell>
          <cell r="L1040" t="str">
            <v/>
          </cell>
        </row>
        <row r="1041">
          <cell r="D1041" t="str">
            <v/>
          </cell>
          <cell r="E1041" t="str">
            <v/>
          </cell>
          <cell r="J1041" t="str">
            <v/>
          </cell>
          <cell r="L1041" t="str">
            <v/>
          </cell>
        </row>
        <row r="1042">
          <cell r="D1042" t="str">
            <v/>
          </cell>
          <cell r="E1042" t="str">
            <v/>
          </cell>
          <cell r="J1042" t="str">
            <v/>
          </cell>
          <cell r="L1042" t="str">
            <v/>
          </cell>
        </row>
        <row r="1043">
          <cell r="D1043" t="str">
            <v/>
          </cell>
          <cell r="E1043" t="str">
            <v/>
          </cell>
          <cell r="J1043" t="str">
            <v/>
          </cell>
          <cell r="L1043" t="str">
            <v/>
          </cell>
        </row>
        <row r="1044">
          <cell r="D1044" t="str">
            <v/>
          </cell>
          <cell r="E1044" t="str">
            <v/>
          </cell>
          <cell r="J1044" t="str">
            <v/>
          </cell>
          <cell r="L1044" t="str">
            <v/>
          </cell>
        </row>
        <row r="1045">
          <cell r="D1045" t="str">
            <v/>
          </cell>
          <cell r="E1045" t="str">
            <v/>
          </cell>
          <cell r="J1045" t="str">
            <v/>
          </cell>
          <cell r="L1045" t="str">
            <v/>
          </cell>
        </row>
        <row r="1046">
          <cell r="D1046" t="str">
            <v/>
          </cell>
          <cell r="E1046" t="str">
            <v/>
          </cell>
          <cell r="J1046" t="str">
            <v/>
          </cell>
          <cell r="L1046" t="str">
            <v/>
          </cell>
        </row>
        <row r="1047">
          <cell r="D1047" t="str">
            <v/>
          </cell>
          <cell r="E1047" t="str">
            <v/>
          </cell>
          <cell r="J1047" t="str">
            <v/>
          </cell>
          <cell r="L1047" t="str">
            <v/>
          </cell>
        </row>
        <row r="1048">
          <cell r="D1048" t="str">
            <v/>
          </cell>
          <cell r="E1048" t="str">
            <v/>
          </cell>
          <cell r="J1048" t="str">
            <v/>
          </cell>
          <cell r="L1048" t="str">
            <v/>
          </cell>
        </row>
        <row r="1049">
          <cell r="D1049" t="str">
            <v/>
          </cell>
          <cell r="E1049" t="str">
            <v/>
          </cell>
          <cell r="J1049" t="str">
            <v/>
          </cell>
          <cell r="L1049" t="str">
            <v/>
          </cell>
        </row>
        <row r="1050">
          <cell r="D1050" t="str">
            <v/>
          </cell>
          <cell r="E1050" t="str">
            <v/>
          </cell>
          <cell r="J1050" t="str">
            <v/>
          </cell>
          <cell r="L1050" t="str">
            <v/>
          </cell>
        </row>
        <row r="1051">
          <cell r="D1051" t="str">
            <v/>
          </cell>
          <cell r="E1051" t="str">
            <v/>
          </cell>
          <cell r="J1051" t="str">
            <v/>
          </cell>
          <cell r="L1051" t="str">
            <v/>
          </cell>
        </row>
        <row r="1052">
          <cell r="D1052" t="str">
            <v/>
          </cell>
          <cell r="E1052" t="str">
            <v/>
          </cell>
          <cell r="J1052" t="str">
            <v/>
          </cell>
          <cell r="L1052" t="str">
            <v/>
          </cell>
        </row>
        <row r="1053">
          <cell r="D1053" t="str">
            <v/>
          </cell>
          <cell r="E1053" t="str">
            <v/>
          </cell>
          <cell r="J1053" t="str">
            <v/>
          </cell>
          <cell r="L1053" t="str">
            <v/>
          </cell>
        </row>
        <row r="1054">
          <cell r="D1054" t="str">
            <v/>
          </cell>
          <cell r="E1054" t="str">
            <v/>
          </cell>
          <cell r="J1054" t="str">
            <v/>
          </cell>
          <cell r="L1054" t="str">
            <v/>
          </cell>
        </row>
        <row r="1055">
          <cell r="D1055" t="str">
            <v/>
          </cell>
          <cell r="E1055" t="str">
            <v/>
          </cell>
          <cell r="J1055" t="str">
            <v/>
          </cell>
          <cell r="L1055" t="str">
            <v/>
          </cell>
        </row>
        <row r="1056">
          <cell r="D1056" t="str">
            <v/>
          </cell>
          <cell r="E1056" t="str">
            <v/>
          </cell>
          <cell r="J1056" t="str">
            <v/>
          </cell>
          <cell r="L1056" t="str">
            <v/>
          </cell>
        </row>
        <row r="1057">
          <cell r="D1057" t="str">
            <v/>
          </cell>
          <cell r="E1057" t="str">
            <v/>
          </cell>
          <cell r="J1057" t="str">
            <v/>
          </cell>
          <cell r="L1057" t="str">
            <v/>
          </cell>
        </row>
        <row r="1058">
          <cell r="D1058" t="str">
            <v/>
          </cell>
          <cell r="E1058" t="str">
            <v/>
          </cell>
          <cell r="J1058" t="str">
            <v/>
          </cell>
          <cell r="L1058" t="str">
            <v/>
          </cell>
        </row>
        <row r="1059">
          <cell r="D1059" t="str">
            <v/>
          </cell>
          <cell r="E1059" t="str">
            <v/>
          </cell>
          <cell r="J1059" t="str">
            <v/>
          </cell>
          <cell r="L1059" t="str">
            <v/>
          </cell>
        </row>
        <row r="1060">
          <cell r="D1060" t="str">
            <v/>
          </cell>
          <cell r="E1060" t="str">
            <v/>
          </cell>
          <cell r="J1060" t="str">
            <v/>
          </cell>
          <cell r="L1060" t="str">
            <v/>
          </cell>
        </row>
        <row r="1061">
          <cell r="D1061" t="str">
            <v/>
          </cell>
          <cell r="E1061" t="str">
            <v/>
          </cell>
          <cell r="J1061" t="str">
            <v/>
          </cell>
          <cell r="L1061" t="str">
            <v/>
          </cell>
        </row>
        <row r="1062">
          <cell r="D1062" t="str">
            <v/>
          </cell>
          <cell r="E1062" t="str">
            <v/>
          </cell>
          <cell r="J1062" t="str">
            <v/>
          </cell>
          <cell r="L1062" t="str">
            <v/>
          </cell>
        </row>
        <row r="1063">
          <cell r="D1063" t="str">
            <v/>
          </cell>
          <cell r="E1063" t="str">
            <v/>
          </cell>
          <cell r="J1063" t="str">
            <v/>
          </cell>
          <cell r="L1063" t="str">
            <v/>
          </cell>
        </row>
        <row r="1064">
          <cell r="D1064" t="str">
            <v/>
          </cell>
          <cell r="E1064" t="str">
            <v/>
          </cell>
          <cell r="J1064" t="str">
            <v/>
          </cell>
          <cell r="L1064" t="str">
            <v/>
          </cell>
        </row>
        <row r="1065">
          <cell r="D1065" t="str">
            <v/>
          </cell>
          <cell r="E1065" t="str">
            <v/>
          </cell>
          <cell r="J1065" t="str">
            <v/>
          </cell>
          <cell r="L1065" t="str">
            <v/>
          </cell>
        </row>
        <row r="1066">
          <cell r="D1066" t="str">
            <v/>
          </cell>
          <cell r="E1066" t="str">
            <v/>
          </cell>
          <cell r="J1066" t="str">
            <v/>
          </cell>
          <cell r="L1066" t="str">
            <v/>
          </cell>
        </row>
        <row r="1067">
          <cell r="D1067" t="str">
            <v/>
          </cell>
          <cell r="E1067" t="str">
            <v/>
          </cell>
          <cell r="J1067" t="str">
            <v/>
          </cell>
          <cell r="L1067" t="str">
            <v/>
          </cell>
        </row>
        <row r="1068">
          <cell r="D1068" t="str">
            <v/>
          </cell>
          <cell r="E1068" t="str">
            <v/>
          </cell>
          <cell r="J1068" t="str">
            <v/>
          </cell>
          <cell r="L1068" t="str">
            <v/>
          </cell>
        </row>
        <row r="1069">
          <cell r="D1069" t="str">
            <v/>
          </cell>
          <cell r="E1069" t="str">
            <v/>
          </cell>
          <cell r="J1069" t="str">
            <v/>
          </cell>
          <cell r="L1069" t="str">
            <v/>
          </cell>
        </row>
        <row r="1070">
          <cell r="D1070" t="str">
            <v/>
          </cell>
          <cell r="E1070" t="str">
            <v/>
          </cell>
          <cell r="J1070" t="str">
            <v/>
          </cell>
          <cell r="L1070" t="str">
            <v/>
          </cell>
        </row>
        <row r="1071">
          <cell r="D1071" t="str">
            <v/>
          </cell>
          <cell r="E1071" t="str">
            <v/>
          </cell>
          <cell r="J1071" t="str">
            <v/>
          </cell>
          <cell r="L1071" t="str">
            <v/>
          </cell>
        </row>
        <row r="1072">
          <cell r="D1072" t="str">
            <v/>
          </cell>
          <cell r="E1072" t="str">
            <v/>
          </cell>
          <cell r="J1072" t="str">
            <v/>
          </cell>
          <cell r="L1072" t="str">
            <v/>
          </cell>
        </row>
        <row r="1073">
          <cell r="D1073" t="str">
            <v/>
          </cell>
          <cell r="E1073" t="str">
            <v/>
          </cell>
          <cell r="J1073" t="str">
            <v/>
          </cell>
          <cell r="L1073" t="str">
            <v/>
          </cell>
        </row>
        <row r="1074">
          <cell r="D1074" t="str">
            <v/>
          </cell>
          <cell r="E1074" t="str">
            <v/>
          </cell>
          <cell r="J1074" t="str">
            <v/>
          </cell>
          <cell r="L1074" t="str">
            <v/>
          </cell>
        </row>
        <row r="1075">
          <cell r="D1075" t="str">
            <v/>
          </cell>
          <cell r="E1075" t="str">
            <v/>
          </cell>
          <cell r="J1075" t="str">
            <v/>
          </cell>
          <cell r="L1075" t="str">
            <v/>
          </cell>
        </row>
        <row r="1076">
          <cell r="D1076" t="str">
            <v/>
          </cell>
          <cell r="E1076" t="str">
            <v/>
          </cell>
          <cell r="J1076" t="str">
            <v/>
          </cell>
          <cell r="L1076" t="str">
            <v/>
          </cell>
        </row>
        <row r="1077">
          <cell r="D1077" t="str">
            <v/>
          </cell>
          <cell r="E1077" t="str">
            <v/>
          </cell>
          <cell r="J1077" t="str">
            <v/>
          </cell>
          <cell r="L1077" t="str">
            <v/>
          </cell>
        </row>
        <row r="1078">
          <cell r="D1078" t="str">
            <v/>
          </cell>
          <cell r="E1078" t="str">
            <v/>
          </cell>
          <cell r="J1078" t="str">
            <v/>
          </cell>
          <cell r="L1078" t="str">
            <v/>
          </cell>
        </row>
        <row r="1079">
          <cell r="D1079" t="str">
            <v/>
          </cell>
          <cell r="E1079" t="str">
            <v/>
          </cell>
          <cell r="J1079" t="str">
            <v/>
          </cell>
          <cell r="L1079" t="str">
            <v/>
          </cell>
        </row>
        <row r="1080">
          <cell r="D1080" t="str">
            <v/>
          </cell>
          <cell r="E1080" t="str">
            <v/>
          </cell>
          <cell r="J1080" t="str">
            <v/>
          </cell>
          <cell r="L1080" t="str">
            <v/>
          </cell>
        </row>
        <row r="1081">
          <cell r="D1081" t="str">
            <v/>
          </cell>
          <cell r="E1081" t="str">
            <v/>
          </cell>
          <cell r="J1081" t="str">
            <v/>
          </cell>
          <cell r="L1081" t="str">
            <v/>
          </cell>
        </row>
        <row r="1082">
          <cell r="D1082" t="str">
            <v/>
          </cell>
          <cell r="E1082" t="str">
            <v/>
          </cell>
          <cell r="J1082" t="str">
            <v/>
          </cell>
          <cell r="L1082" t="str">
            <v/>
          </cell>
        </row>
        <row r="1083">
          <cell r="D1083" t="str">
            <v/>
          </cell>
          <cell r="E1083" t="str">
            <v/>
          </cell>
          <cell r="J1083" t="str">
            <v/>
          </cell>
          <cell r="L1083" t="str">
            <v/>
          </cell>
        </row>
        <row r="1084">
          <cell r="D1084" t="str">
            <v/>
          </cell>
          <cell r="E1084" t="str">
            <v/>
          </cell>
          <cell r="J1084" t="str">
            <v/>
          </cell>
          <cell r="L1084" t="str">
            <v/>
          </cell>
        </row>
        <row r="1085">
          <cell r="D1085" t="str">
            <v/>
          </cell>
          <cell r="E1085" t="str">
            <v/>
          </cell>
          <cell r="J1085" t="str">
            <v/>
          </cell>
          <cell r="L1085" t="str">
            <v/>
          </cell>
        </row>
        <row r="1086">
          <cell r="D1086" t="str">
            <v/>
          </cell>
          <cell r="E1086" t="str">
            <v/>
          </cell>
          <cell r="J1086" t="str">
            <v/>
          </cell>
          <cell r="L1086" t="str">
            <v/>
          </cell>
        </row>
        <row r="1087">
          <cell r="D1087" t="str">
            <v/>
          </cell>
          <cell r="E1087" t="str">
            <v/>
          </cell>
          <cell r="J1087" t="str">
            <v/>
          </cell>
          <cell r="L1087" t="str">
            <v/>
          </cell>
        </row>
        <row r="1088">
          <cell r="D1088" t="str">
            <v/>
          </cell>
          <cell r="E1088" t="str">
            <v/>
          </cell>
          <cell r="J1088" t="str">
            <v/>
          </cell>
          <cell r="L1088" t="str">
            <v/>
          </cell>
        </row>
        <row r="1089">
          <cell r="D1089" t="str">
            <v/>
          </cell>
          <cell r="E1089" t="str">
            <v/>
          </cell>
          <cell r="J1089" t="str">
            <v/>
          </cell>
          <cell r="L1089" t="str">
            <v/>
          </cell>
        </row>
        <row r="1090">
          <cell r="D1090" t="str">
            <v/>
          </cell>
          <cell r="E1090" t="str">
            <v/>
          </cell>
          <cell r="J1090" t="str">
            <v/>
          </cell>
          <cell r="L1090" t="str">
            <v/>
          </cell>
        </row>
        <row r="1091">
          <cell r="D1091" t="str">
            <v/>
          </cell>
          <cell r="E1091" t="str">
            <v/>
          </cell>
          <cell r="J1091" t="str">
            <v/>
          </cell>
          <cell r="L1091" t="str">
            <v/>
          </cell>
        </row>
        <row r="1092">
          <cell r="D1092" t="str">
            <v/>
          </cell>
          <cell r="E1092" t="str">
            <v/>
          </cell>
          <cell r="J1092" t="str">
            <v/>
          </cell>
          <cell r="L1092" t="str">
            <v/>
          </cell>
        </row>
        <row r="1093">
          <cell r="D1093" t="str">
            <v/>
          </cell>
          <cell r="E1093" t="str">
            <v/>
          </cell>
          <cell r="J1093" t="str">
            <v/>
          </cell>
          <cell r="L1093" t="str">
            <v/>
          </cell>
        </row>
        <row r="1094">
          <cell r="D1094" t="str">
            <v/>
          </cell>
          <cell r="E1094" t="str">
            <v/>
          </cell>
          <cell r="J1094" t="str">
            <v/>
          </cell>
          <cell r="L1094" t="str">
            <v/>
          </cell>
        </row>
        <row r="1095">
          <cell r="D1095" t="str">
            <v/>
          </cell>
          <cell r="E1095" t="str">
            <v/>
          </cell>
          <cell r="J1095" t="str">
            <v/>
          </cell>
          <cell r="L1095" t="str">
            <v/>
          </cell>
        </row>
        <row r="1096">
          <cell r="D1096" t="str">
            <v/>
          </cell>
          <cell r="E1096" t="str">
            <v/>
          </cell>
          <cell r="J1096" t="str">
            <v/>
          </cell>
          <cell r="L1096" t="str">
            <v/>
          </cell>
        </row>
        <row r="1097">
          <cell r="D1097" t="str">
            <v/>
          </cell>
          <cell r="E1097" t="str">
            <v/>
          </cell>
          <cell r="J1097" t="str">
            <v/>
          </cell>
          <cell r="L1097" t="str">
            <v/>
          </cell>
        </row>
        <row r="1098">
          <cell r="D1098" t="str">
            <v/>
          </cell>
          <cell r="E1098" t="str">
            <v/>
          </cell>
          <cell r="J1098" t="str">
            <v/>
          </cell>
          <cell r="L1098" t="str">
            <v/>
          </cell>
        </row>
        <row r="1099">
          <cell r="D1099" t="str">
            <v/>
          </cell>
          <cell r="E1099" t="str">
            <v/>
          </cell>
          <cell r="J1099" t="str">
            <v/>
          </cell>
          <cell r="L1099" t="str">
            <v/>
          </cell>
        </row>
        <row r="1100">
          <cell r="D1100" t="str">
            <v/>
          </cell>
          <cell r="E1100" t="str">
            <v/>
          </cell>
          <cell r="J1100" t="str">
            <v/>
          </cell>
          <cell r="L1100" t="str">
            <v/>
          </cell>
        </row>
        <row r="1101">
          <cell r="D1101" t="str">
            <v/>
          </cell>
          <cell r="E1101" t="str">
            <v/>
          </cell>
          <cell r="J1101" t="str">
            <v/>
          </cell>
          <cell r="L1101" t="str">
            <v/>
          </cell>
        </row>
        <row r="1102">
          <cell r="D1102" t="str">
            <v/>
          </cell>
          <cell r="E1102" t="str">
            <v/>
          </cell>
          <cell r="J1102" t="str">
            <v/>
          </cell>
          <cell r="L1102" t="str">
            <v/>
          </cell>
        </row>
        <row r="1103">
          <cell r="D1103" t="str">
            <v/>
          </cell>
          <cell r="E1103" t="str">
            <v/>
          </cell>
          <cell r="J1103" t="str">
            <v/>
          </cell>
          <cell r="L1103" t="str">
            <v/>
          </cell>
        </row>
        <row r="1104">
          <cell r="D1104" t="str">
            <v/>
          </cell>
          <cell r="E1104" t="str">
            <v/>
          </cell>
          <cell r="J1104" t="str">
            <v/>
          </cell>
          <cell r="L1104" t="str">
            <v/>
          </cell>
        </row>
        <row r="1105">
          <cell r="D1105" t="str">
            <v/>
          </cell>
          <cell r="E1105" t="str">
            <v/>
          </cell>
          <cell r="J1105" t="str">
            <v/>
          </cell>
          <cell r="L1105" t="str">
            <v/>
          </cell>
        </row>
        <row r="1106">
          <cell r="D1106" t="str">
            <v/>
          </cell>
          <cell r="E1106" t="str">
            <v/>
          </cell>
          <cell r="J1106" t="str">
            <v/>
          </cell>
          <cell r="L1106" t="str">
            <v/>
          </cell>
        </row>
        <row r="1107">
          <cell r="D1107" t="str">
            <v/>
          </cell>
          <cell r="E1107" t="str">
            <v/>
          </cell>
          <cell r="J1107" t="str">
            <v/>
          </cell>
          <cell r="L1107" t="str">
            <v/>
          </cell>
        </row>
        <row r="1108">
          <cell r="D1108" t="str">
            <v/>
          </cell>
          <cell r="E1108" t="str">
            <v/>
          </cell>
          <cell r="J1108" t="str">
            <v/>
          </cell>
          <cell r="L1108" t="str">
            <v/>
          </cell>
        </row>
        <row r="1109">
          <cell r="D1109" t="str">
            <v/>
          </cell>
          <cell r="E1109" t="str">
            <v/>
          </cell>
          <cell r="J1109" t="str">
            <v/>
          </cell>
          <cell r="L1109" t="str">
            <v/>
          </cell>
        </row>
        <row r="1110">
          <cell r="D1110" t="str">
            <v/>
          </cell>
          <cell r="E1110" t="str">
            <v/>
          </cell>
          <cell r="J1110" t="str">
            <v/>
          </cell>
          <cell r="L1110" t="str">
            <v/>
          </cell>
        </row>
        <row r="1111">
          <cell r="D1111" t="str">
            <v/>
          </cell>
          <cell r="E1111" t="str">
            <v/>
          </cell>
          <cell r="J1111" t="str">
            <v/>
          </cell>
          <cell r="L1111" t="str">
            <v/>
          </cell>
        </row>
        <row r="1112">
          <cell r="D1112" t="str">
            <v/>
          </cell>
          <cell r="E1112" t="str">
            <v/>
          </cell>
          <cell r="J1112" t="str">
            <v/>
          </cell>
          <cell r="L1112" t="str">
            <v/>
          </cell>
        </row>
        <row r="1113">
          <cell r="D1113" t="str">
            <v/>
          </cell>
          <cell r="E1113" t="str">
            <v/>
          </cell>
          <cell r="J1113" t="str">
            <v/>
          </cell>
          <cell r="L1113" t="str">
            <v/>
          </cell>
        </row>
        <row r="1114">
          <cell r="D1114" t="str">
            <v/>
          </cell>
          <cell r="E1114" t="str">
            <v/>
          </cell>
          <cell r="J1114" t="str">
            <v/>
          </cell>
          <cell r="L1114" t="str">
            <v/>
          </cell>
        </row>
        <row r="1115">
          <cell r="D1115" t="str">
            <v/>
          </cell>
          <cell r="E1115" t="str">
            <v/>
          </cell>
          <cell r="J1115" t="str">
            <v/>
          </cell>
          <cell r="L1115" t="str">
            <v/>
          </cell>
        </row>
        <row r="1116">
          <cell r="D1116" t="str">
            <v/>
          </cell>
          <cell r="E1116" t="str">
            <v/>
          </cell>
          <cell r="J1116" t="str">
            <v/>
          </cell>
          <cell r="L1116" t="str">
            <v/>
          </cell>
        </row>
        <row r="1117">
          <cell r="D1117" t="str">
            <v/>
          </cell>
          <cell r="E1117" t="str">
            <v/>
          </cell>
          <cell r="J1117" t="str">
            <v/>
          </cell>
          <cell r="L1117" t="str">
            <v/>
          </cell>
        </row>
        <row r="1118">
          <cell r="D1118" t="str">
            <v/>
          </cell>
          <cell r="E1118" t="str">
            <v/>
          </cell>
          <cell r="J1118" t="str">
            <v/>
          </cell>
          <cell r="L1118" t="str">
            <v/>
          </cell>
        </row>
        <row r="1119">
          <cell r="D1119" t="str">
            <v/>
          </cell>
          <cell r="E1119" t="str">
            <v/>
          </cell>
          <cell r="J1119" t="str">
            <v/>
          </cell>
          <cell r="L1119" t="str">
            <v/>
          </cell>
        </row>
        <row r="1120">
          <cell r="D1120" t="str">
            <v/>
          </cell>
          <cell r="E1120" t="str">
            <v/>
          </cell>
          <cell r="J1120" t="str">
            <v/>
          </cell>
          <cell r="L1120" t="str">
            <v/>
          </cell>
        </row>
        <row r="1121">
          <cell r="D1121" t="str">
            <v/>
          </cell>
          <cell r="E1121" t="str">
            <v/>
          </cell>
          <cell r="J1121" t="str">
            <v/>
          </cell>
          <cell r="L1121" t="str">
            <v/>
          </cell>
        </row>
        <row r="1122">
          <cell r="D1122" t="str">
            <v/>
          </cell>
          <cell r="E1122" t="str">
            <v/>
          </cell>
          <cell r="J1122" t="str">
            <v/>
          </cell>
          <cell r="L1122" t="str">
            <v/>
          </cell>
        </row>
        <row r="1123">
          <cell r="D1123" t="str">
            <v/>
          </cell>
          <cell r="E1123" t="str">
            <v/>
          </cell>
          <cell r="J1123" t="str">
            <v/>
          </cell>
          <cell r="L1123" t="str">
            <v/>
          </cell>
        </row>
        <row r="1124">
          <cell r="D1124" t="str">
            <v/>
          </cell>
          <cell r="E1124" t="str">
            <v/>
          </cell>
          <cell r="J1124" t="str">
            <v/>
          </cell>
          <cell r="L1124" t="str">
            <v/>
          </cell>
        </row>
        <row r="1125">
          <cell r="D1125" t="str">
            <v/>
          </cell>
          <cell r="E1125" t="str">
            <v/>
          </cell>
          <cell r="J1125" t="str">
            <v/>
          </cell>
          <cell r="L1125" t="str">
            <v/>
          </cell>
        </row>
        <row r="1126">
          <cell r="D1126" t="str">
            <v/>
          </cell>
          <cell r="E1126" t="str">
            <v/>
          </cell>
          <cell r="J1126" t="str">
            <v/>
          </cell>
          <cell r="L1126" t="str">
            <v/>
          </cell>
        </row>
        <row r="1127">
          <cell r="D1127" t="str">
            <v/>
          </cell>
          <cell r="E1127" t="str">
            <v/>
          </cell>
          <cell r="J1127" t="str">
            <v/>
          </cell>
          <cell r="L1127" t="str">
            <v/>
          </cell>
        </row>
        <row r="1128">
          <cell r="D1128" t="str">
            <v/>
          </cell>
          <cell r="E1128" t="str">
            <v/>
          </cell>
          <cell r="J1128" t="str">
            <v/>
          </cell>
          <cell r="L1128" t="str">
            <v/>
          </cell>
        </row>
        <row r="1129">
          <cell r="D1129" t="str">
            <v/>
          </cell>
          <cell r="E1129" t="str">
            <v/>
          </cell>
          <cell r="J1129" t="str">
            <v/>
          </cell>
          <cell r="L1129" t="str">
            <v/>
          </cell>
        </row>
        <row r="1130">
          <cell r="D1130" t="str">
            <v/>
          </cell>
          <cell r="E1130" t="str">
            <v/>
          </cell>
          <cell r="J1130" t="str">
            <v/>
          </cell>
          <cell r="L1130" t="str">
            <v/>
          </cell>
        </row>
        <row r="1131">
          <cell r="D1131" t="str">
            <v/>
          </cell>
          <cell r="E1131" t="str">
            <v/>
          </cell>
          <cell r="J1131" t="str">
            <v/>
          </cell>
          <cell r="L1131" t="str">
            <v/>
          </cell>
        </row>
        <row r="1132">
          <cell r="D1132" t="str">
            <v/>
          </cell>
          <cell r="E1132" t="str">
            <v/>
          </cell>
          <cell r="J1132" t="str">
            <v/>
          </cell>
          <cell r="L1132" t="str">
            <v/>
          </cell>
        </row>
        <row r="1133">
          <cell r="D1133" t="str">
            <v/>
          </cell>
          <cell r="E1133" t="str">
            <v/>
          </cell>
          <cell r="J1133" t="str">
            <v/>
          </cell>
          <cell r="L1133" t="str">
            <v/>
          </cell>
        </row>
        <row r="1134">
          <cell r="D1134" t="str">
            <v/>
          </cell>
          <cell r="E1134" t="str">
            <v/>
          </cell>
          <cell r="J1134" t="str">
            <v/>
          </cell>
          <cell r="L1134" t="str">
            <v/>
          </cell>
        </row>
        <row r="1135">
          <cell r="D1135" t="str">
            <v/>
          </cell>
          <cell r="E1135" t="str">
            <v/>
          </cell>
          <cell r="J1135" t="str">
            <v/>
          </cell>
          <cell r="L1135" t="str">
            <v/>
          </cell>
        </row>
        <row r="1136">
          <cell r="D1136" t="str">
            <v/>
          </cell>
          <cell r="E1136" t="str">
            <v/>
          </cell>
          <cell r="J1136" t="str">
            <v/>
          </cell>
          <cell r="L1136" t="str">
            <v/>
          </cell>
        </row>
        <row r="1137">
          <cell r="D1137" t="str">
            <v/>
          </cell>
          <cell r="E1137" t="str">
            <v/>
          </cell>
          <cell r="J1137" t="str">
            <v/>
          </cell>
          <cell r="L1137" t="str">
            <v/>
          </cell>
        </row>
        <row r="1138">
          <cell r="D1138" t="str">
            <v/>
          </cell>
          <cell r="E1138" t="str">
            <v/>
          </cell>
          <cell r="J1138" t="str">
            <v/>
          </cell>
          <cell r="L1138" t="str">
            <v/>
          </cell>
        </row>
        <row r="1139">
          <cell r="D1139" t="str">
            <v/>
          </cell>
          <cell r="E1139" t="str">
            <v/>
          </cell>
          <cell r="J1139" t="str">
            <v/>
          </cell>
          <cell r="L1139" t="str">
            <v/>
          </cell>
        </row>
        <row r="1140">
          <cell r="D1140" t="str">
            <v/>
          </cell>
          <cell r="E1140" t="str">
            <v/>
          </cell>
          <cell r="J1140" t="str">
            <v/>
          </cell>
          <cell r="L1140" t="str">
            <v/>
          </cell>
        </row>
        <row r="1141">
          <cell r="D1141" t="str">
            <v/>
          </cell>
          <cell r="E1141" t="str">
            <v/>
          </cell>
          <cell r="J1141" t="str">
            <v/>
          </cell>
          <cell r="L1141" t="str">
            <v/>
          </cell>
        </row>
        <row r="1142">
          <cell r="D1142" t="str">
            <v/>
          </cell>
          <cell r="E1142" t="str">
            <v/>
          </cell>
          <cell r="J1142" t="str">
            <v/>
          </cell>
          <cell r="L1142" t="str">
            <v/>
          </cell>
        </row>
        <row r="1143">
          <cell r="D1143" t="str">
            <v/>
          </cell>
          <cell r="E1143" t="str">
            <v/>
          </cell>
          <cell r="J1143" t="str">
            <v/>
          </cell>
          <cell r="L1143" t="str">
            <v/>
          </cell>
        </row>
        <row r="1144">
          <cell r="D1144" t="str">
            <v/>
          </cell>
          <cell r="E1144" t="str">
            <v/>
          </cell>
          <cell r="J1144" t="str">
            <v/>
          </cell>
          <cell r="L1144" t="str">
            <v/>
          </cell>
        </row>
        <row r="1145">
          <cell r="D1145" t="str">
            <v/>
          </cell>
          <cell r="E1145" t="str">
            <v/>
          </cell>
          <cell r="J1145" t="str">
            <v/>
          </cell>
          <cell r="L1145" t="str">
            <v/>
          </cell>
        </row>
        <row r="1146">
          <cell r="D1146" t="str">
            <v/>
          </cell>
          <cell r="E1146" t="str">
            <v/>
          </cell>
          <cell r="J1146" t="str">
            <v/>
          </cell>
          <cell r="L1146" t="str">
            <v/>
          </cell>
        </row>
        <row r="1147">
          <cell r="D1147" t="str">
            <v/>
          </cell>
          <cell r="E1147" t="str">
            <v/>
          </cell>
          <cell r="J1147" t="str">
            <v/>
          </cell>
          <cell r="L1147" t="str">
            <v/>
          </cell>
        </row>
        <row r="1148">
          <cell r="D1148" t="str">
            <v/>
          </cell>
          <cell r="E1148" t="str">
            <v/>
          </cell>
          <cell r="J1148" t="str">
            <v/>
          </cell>
          <cell r="L1148" t="str">
            <v/>
          </cell>
        </row>
        <row r="1149">
          <cell r="D1149" t="str">
            <v/>
          </cell>
          <cell r="E1149" t="str">
            <v/>
          </cell>
          <cell r="J1149" t="str">
            <v/>
          </cell>
          <cell r="L1149" t="str">
            <v/>
          </cell>
        </row>
        <row r="1150">
          <cell r="D1150" t="str">
            <v/>
          </cell>
          <cell r="E1150" t="str">
            <v/>
          </cell>
          <cell r="J1150" t="str">
            <v/>
          </cell>
          <cell r="L1150" t="str">
            <v/>
          </cell>
        </row>
        <row r="1151">
          <cell r="D1151" t="str">
            <v/>
          </cell>
          <cell r="E1151" t="str">
            <v/>
          </cell>
          <cell r="J1151" t="str">
            <v/>
          </cell>
          <cell r="L1151" t="str">
            <v/>
          </cell>
        </row>
        <row r="1152">
          <cell r="D1152" t="str">
            <v/>
          </cell>
          <cell r="E1152" t="str">
            <v/>
          </cell>
          <cell r="J1152" t="str">
            <v/>
          </cell>
          <cell r="L1152" t="str">
            <v/>
          </cell>
        </row>
        <row r="1153">
          <cell r="D1153" t="str">
            <v/>
          </cell>
          <cell r="E1153" t="str">
            <v/>
          </cell>
          <cell r="J1153" t="str">
            <v/>
          </cell>
          <cell r="L1153" t="str">
            <v/>
          </cell>
        </row>
        <row r="1154">
          <cell r="D1154" t="str">
            <v/>
          </cell>
          <cell r="E1154" t="str">
            <v/>
          </cell>
          <cell r="J1154" t="str">
            <v/>
          </cell>
          <cell r="L1154" t="str">
            <v/>
          </cell>
        </row>
        <row r="1155">
          <cell r="D1155" t="str">
            <v/>
          </cell>
          <cell r="E1155" t="str">
            <v/>
          </cell>
          <cell r="J1155" t="str">
            <v/>
          </cell>
          <cell r="L1155" t="str">
            <v/>
          </cell>
        </row>
        <row r="1156">
          <cell r="D1156" t="str">
            <v/>
          </cell>
          <cell r="E1156" t="str">
            <v/>
          </cell>
          <cell r="J1156" t="str">
            <v/>
          </cell>
          <cell r="L1156" t="str">
            <v/>
          </cell>
        </row>
        <row r="1157">
          <cell r="D1157" t="str">
            <v/>
          </cell>
          <cell r="E1157" t="str">
            <v/>
          </cell>
          <cell r="J1157" t="str">
            <v/>
          </cell>
          <cell r="L1157" t="str">
            <v/>
          </cell>
        </row>
        <row r="1158">
          <cell r="D1158" t="str">
            <v/>
          </cell>
          <cell r="E1158" t="str">
            <v/>
          </cell>
          <cell r="J1158" t="str">
            <v/>
          </cell>
          <cell r="L1158" t="str">
            <v/>
          </cell>
        </row>
        <row r="1159">
          <cell r="D1159" t="str">
            <v/>
          </cell>
          <cell r="E1159" t="str">
            <v/>
          </cell>
          <cell r="J1159" t="str">
            <v/>
          </cell>
          <cell r="L1159" t="str">
            <v/>
          </cell>
        </row>
        <row r="1160">
          <cell r="D1160" t="str">
            <v/>
          </cell>
          <cell r="E1160" t="str">
            <v/>
          </cell>
          <cell r="J1160" t="str">
            <v/>
          </cell>
          <cell r="L1160" t="str">
            <v/>
          </cell>
        </row>
        <row r="1161">
          <cell r="D1161" t="str">
            <v/>
          </cell>
          <cell r="E1161" t="str">
            <v/>
          </cell>
          <cell r="J1161" t="str">
            <v/>
          </cell>
          <cell r="L1161" t="str">
            <v/>
          </cell>
        </row>
        <row r="1162">
          <cell r="D1162" t="str">
            <v/>
          </cell>
          <cell r="E1162" t="str">
            <v/>
          </cell>
          <cell r="J1162" t="str">
            <v/>
          </cell>
          <cell r="L1162" t="str">
            <v/>
          </cell>
        </row>
        <row r="1163">
          <cell r="D1163" t="str">
            <v/>
          </cell>
          <cell r="E1163" t="str">
            <v/>
          </cell>
          <cell r="J1163" t="str">
            <v/>
          </cell>
          <cell r="L1163" t="str">
            <v/>
          </cell>
        </row>
        <row r="1164">
          <cell r="D1164" t="str">
            <v/>
          </cell>
          <cell r="E1164" t="str">
            <v/>
          </cell>
          <cell r="J1164" t="str">
            <v/>
          </cell>
          <cell r="L1164" t="str">
            <v/>
          </cell>
        </row>
        <row r="1165">
          <cell r="D1165" t="str">
            <v/>
          </cell>
          <cell r="E1165" t="str">
            <v/>
          </cell>
          <cell r="J1165" t="str">
            <v/>
          </cell>
          <cell r="L1165" t="str">
            <v/>
          </cell>
        </row>
        <row r="1166">
          <cell r="D1166" t="str">
            <v/>
          </cell>
          <cell r="E1166" t="str">
            <v/>
          </cell>
          <cell r="J1166" t="str">
            <v/>
          </cell>
          <cell r="L1166" t="str">
            <v/>
          </cell>
        </row>
        <row r="1167">
          <cell r="D1167" t="str">
            <v/>
          </cell>
          <cell r="E1167" t="str">
            <v/>
          </cell>
          <cell r="J1167" t="str">
            <v/>
          </cell>
          <cell r="L1167" t="str">
            <v/>
          </cell>
        </row>
        <row r="1168">
          <cell r="D1168" t="str">
            <v/>
          </cell>
          <cell r="E1168" t="str">
            <v/>
          </cell>
          <cell r="J1168" t="str">
            <v/>
          </cell>
          <cell r="L1168" t="str">
            <v/>
          </cell>
        </row>
        <row r="1169">
          <cell r="D1169" t="str">
            <v/>
          </cell>
          <cell r="E1169" t="str">
            <v/>
          </cell>
          <cell r="J1169" t="str">
            <v/>
          </cell>
          <cell r="L1169" t="str">
            <v/>
          </cell>
        </row>
        <row r="1170">
          <cell r="D1170" t="str">
            <v/>
          </cell>
          <cell r="E1170" t="str">
            <v/>
          </cell>
          <cell r="J1170" t="str">
            <v/>
          </cell>
          <cell r="L1170" t="str">
            <v/>
          </cell>
        </row>
        <row r="1171">
          <cell r="D1171" t="str">
            <v/>
          </cell>
          <cell r="E1171" t="str">
            <v/>
          </cell>
          <cell r="J1171" t="str">
            <v/>
          </cell>
          <cell r="L1171" t="str">
            <v/>
          </cell>
        </row>
        <row r="1172">
          <cell r="D1172" t="str">
            <v/>
          </cell>
          <cell r="E1172" t="str">
            <v/>
          </cell>
          <cell r="J1172" t="str">
            <v/>
          </cell>
          <cell r="L1172" t="str">
            <v/>
          </cell>
        </row>
        <row r="1173">
          <cell r="D1173" t="str">
            <v/>
          </cell>
          <cell r="E1173" t="str">
            <v/>
          </cell>
          <cell r="J1173" t="str">
            <v/>
          </cell>
          <cell r="L1173" t="str">
            <v/>
          </cell>
        </row>
        <row r="1174">
          <cell r="D1174" t="str">
            <v/>
          </cell>
          <cell r="E1174" t="str">
            <v/>
          </cell>
          <cell r="J1174" t="str">
            <v/>
          </cell>
          <cell r="L1174" t="str">
            <v/>
          </cell>
        </row>
        <row r="1175">
          <cell r="D1175" t="str">
            <v/>
          </cell>
          <cell r="E1175" t="str">
            <v/>
          </cell>
          <cell r="J1175" t="str">
            <v/>
          </cell>
          <cell r="L1175" t="str">
            <v/>
          </cell>
        </row>
        <row r="1176">
          <cell r="D1176" t="str">
            <v/>
          </cell>
          <cell r="E1176" t="str">
            <v/>
          </cell>
          <cell r="J1176" t="str">
            <v/>
          </cell>
          <cell r="L1176" t="str">
            <v/>
          </cell>
        </row>
        <row r="1177">
          <cell r="D1177" t="str">
            <v/>
          </cell>
          <cell r="E1177" t="str">
            <v/>
          </cell>
          <cell r="J1177" t="str">
            <v/>
          </cell>
          <cell r="L1177" t="str">
            <v/>
          </cell>
        </row>
        <row r="1178">
          <cell r="D1178" t="str">
            <v/>
          </cell>
          <cell r="E1178" t="str">
            <v/>
          </cell>
          <cell r="J1178" t="str">
            <v/>
          </cell>
          <cell r="L1178" t="str">
            <v/>
          </cell>
        </row>
        <row r="1179">
          <cell r="D1179" t="str">
            <v/>
          </cell>
          <cell r="E1179" t="str">
            <v/>
          </cell>
          <cell r="J1179" t="str">
            <v/>
          </cell>
          <cell r="L1179" t="str">
            <v/>
          </cell>
        </row>
        <row r="1180">
          <cell r="D1180" t="str">
            <v/>
          </cell>
          <cell r="E1180" t="str">
            <v/>
          </cell>
          <cell r="J1180" t="str">
            <v/>
          </cell>
          <cell r="L1180" t="str">
            <v/>
          </cell>
        </row>
        <row r="1181">
          <cell r="D1181" t="str">
            <v/>
          </cell>
          <cell r="E1181" t="str">
            <v/>
          </cell>
          <cell r="J1181" t="str">
            <v/>
          </cell>
          <cell r="L1181" t="str">
            <v/>
          </cell>
        </row>
        <row r="1182">
          <cell r="D1182" t="str">
            <v/>
          </cell>
          <cell r="E1182" t="str">
            <v/>
          </cell>
          <cell r="J1182" t="str">
            <v/>
          </cell>
          <cell r="L1182" t="str">
            <v/>
          </cell>
        </row>
        <row r="1183">
          <cell r="D1183" t="str">
            <v/>
          </cell>
          <cell r="E1183" t="str">
            <v/>
          </cell>
          <cell r="J1183" t="str">
            <v/>
          </cell>
          <cell r="L1183" t="str">
            <v/>
          </cell>
        </row>
        <row r="1184">
          <cell r="D1184" t="str">
            <v/>
          </cell>
          <cell r="E1184" t="str">
            <v/>
          </cell>
          <cell r="J1184" t="str">
            <v/>
          </cell>
          <cell r="L1184" t="str">
            <v/>
          </cell>
        </row>
        <row r="1185">
          <cell r="D1185" t="str">
            <v/>
          </cell>
          <cell r="E1185" t="str">
            <v/>
          </cell>
          <cell r="J1185" t="str">
            <v/>
          </cell>
          <cell r="L1185" t="str">
            <v/>
          </cell>
        </row>
        <row r="1186">
          <cell r="D1186" t="str">
            <v/>
          </cell>
          <cell r="E1186" t="str">
            <v/>
          </cell>
          <cell r="J1186" t="str">
            <v/>
          </cell>
          <cell r="L1186" t="str">
            <v/>
          </cell>
        </row>
        <row r="1187">
          <cell r="D1187" t="str">
            <v/>
          </cell>
          <cell r="E1187" t="str">
            <v/>
          </cell>
          <cell r="J1187" t="str">
            <v/>
          </cell>
          <cell r="L1187" t="str">
            <v/>
          </cell>
        </row>
        <row r="1188">
          <cell r="D1188" t="str">
            <v/>
          </cell>
          <cell r="E1188" t="str">
            <v/>
          </cell>
          <cell r="J1188" t="str">
            <v/>
          </cell>
          <cell r="L1188" t="str">
            <v/>
          </cell>
        </row>
        <row r="1189">
          <cell r="D1189" t="str">
            <v/>
          </cell>
          <cell r="E1189" t="str">
            <v/>
          </cell>
          <cell r="J1189" t="str">
            <v/>
          </cell>
          <cell r="L1189" t="str">
            <v/>
          </cell>
        </row>
        <row r="1190">
          <cell r="D1190" t="str">
            <v/>
          </cell>
          <cell r="E1190" t="str">
            <v/>
          </cell>
          <cell r="J1190" t="str">
            <v/>
          </cell>
          <cell r="L1190" t="str">
            <v/>
          </cell>
        </row>
        <row r="1191">
          <cell r="D1191" t="str">
            <v/>
          </cell>
          <cell r="E1191" t="str">
            <v/>
          </cell>
          <cell r="J1191" t="str">
            <v/>
          </cell>
          <cell r="L1191" t="str">
            <v/>
          </cell>
        </row>
        <row r="1192">
          <cell r="D1192" t="str">
            <v/>
          </cell>
          <cell r="E1192" t="str">
            <v/>
          </cell>
          <cell r="J1192" t="str">
            <v/>
          </cell>
          <cell r="L1192" t="str">
            <v/>
          </cell>
        </row>
        <row r="1193">
          <cell r="D1193" t="str">
            <v/>
          </cell>
          <cell r="E1193" t="str">
            <v/>
          </cell>
          <cell r="J1193" t="str">
            <v/>
          </cell>
          <cell r="L1193" t="str">
            <v/>
          </cell>
        </row>
        <row r="1194">
          <cell r="D1194" t="str">
            <v/>
          </cell>
          <cell r="E1194" t="str">
            <v/>
          </cell>
          <cell r="J1194" t="str">
            <v/>
          </cell>
          <cell r="L1194" t="str">
            <v/>
          </cell>
        </row>
        <row r="1195">
          <cell r="D1195" t="str">
            <v/>
          </cell>
          <cell r="E1195" t="str">
            <v/>
          </cell>
          <cell r="J1195" t="str">
            <v/>
          </cell>
          <cell r="L1195" t="str">
            <v/>
          </cell>
        </row>
        <row r="1196">
          <cell r="D1196" t="str">
            <v/>
          </cell>
          <cell r="E1196" t="str">
            <v/>
          </cell>
          <cell r="J1196" t="str">
            <v/>
          </cell>
          <cell r="L1196" t="str">
            <v/>
          </cell>
        </row>
        <row r="1197">
          <cell r="D1197" t="str">
            <v/>
          </cell>
          <cell r="E1197" t="str">
            <v/>
          </cell>
          <cell r="J1197" t="str">
            <v/>
          </cell>
          <cell r="L1197" t="str">
            <v/>
          </cell>
        </row>
        <row r="1198">
          <cell r="D1198" t="str">
            <v/>
          </cell>
          <cell r="E1198" t="str">
            <v/>
          </cell>
          <cell r="J1198" t="str">
            <v/>
          </cell>
          <cell r="L1198" t="str">
            <v/>
          </cell>
        </row>
        <row r="1199">
          <cell r="D1199" t="str">
            <v/>
          </cell>
          <cell r="E1199" t="str">
            <v/>
          </cell>
          <cell r="J1199" t="str">
            <v/>
          </cell>
          <cell r="L1199" t="str">
            <v/>
          </cell>
        </row>
        <row r="1200">
          <cell r="D1200" t="str">
            <v/>
          </cell>
          <cell r="E1200" t="str">
            <v/>
          </cell>
          <cell r="J1200" t="str">
            <v/>
          </cell>
          <cell r="L1200" t="str">
            <v/>
          </cell>
        </row>
        <row r="1201">
          <cell r="D1201" t="str">
            <v/>
          </cell>
          <cell r="E1201" t="str">
            <v/>
          </cell>
          <cell r="J1201" t="str">
            <v/>
          </cell>
          <cell r="L1201" t="str">
            <v/>
          </cell>
        </row>
        <row r="1202">
          <cell r="D1202" t="str">
            <v/>
          </cell>
          <cell r="E1202" t="str">
            <v/>
          </cell>
          <cell r="J1202" t="str">
            <v/>
          </cell>
          <cell r="L1202" t="str">
            <v/>
          </cell>
        </row>
        <row r="1203">
          <cell r="D1203" t="str">
            <v/>
          </cell>
          <cell r="E1203" t="str">
            <v/>
          </cell>
          <cell r="J1203" t="str">
            <v/>
          </cell>
          <cell r="L1203" t="str">
            <v/>
          </cell>
        </row>
        <row r="1204">
          <cell r="D1204" t="str">
            <v/>
          </cell>
          <cell r="E1204" t="str">
            <v/>
          </cell>
          <cell r="J1204" t="str">
            <v/>
          </cell>
          <cell r="L1204" t="str">
            <v/>
          </cell>
        </row>
        <row r="1205">
          <cell r="D1205" t="str">
            <v/>
          </cell>
          <cell r="E1205" t="str">
            <v/>
          </cell>
          <cell r="J1205" t="str">
            <v/>
          </cell>
          <cell r="L1205" t="str">
            <v/>
          </cell>
        </row>
        <row r="1206">
          <cell r="D1206" t="str">
            <v/>
          </cell>
          <cell r="E1206" t="str">
            <v/>
          </cell>
          <cell r="J1206" t="str">
            <v/>
          </cell>
          <cell r="L1206" t="str">
            <v/>
          </cell>
        </row>
        <row r="1207">
          <cell r="D1207" t="str">
            <v/>
          </cell>
          <cell r="E1207" t="str">
            <v/>
          </cell>
          <cell r="J1207" t="str">
            <v/>
          </cell>
          <cell r="L1207" t="str">
            <v/>
          </cell>
        </row>
        <row r="1208">
          <cell r="D1208" t="str">
            <v/>
          </cell>
          <cell r="E1208" t="str">
            <v/>
          </cell>
          <cell r="J1208" t="str">
            <v/>
          </cell>
          <cell r="L1208" t="str">
            <v/>
          </cell>
        </row>
        <row r="1209">
          <cell r="D1209" t="str">
            <v/>
          </cell>
          <cell r="E1209" t="str">
            <v/>
          </cell>
          <cell r="J1209" t="str">
            <v/>
          </cell>
          <cell r="L1209" t="str">
            <v/>
          </cell>
        </row>
        <row r="1210">
          <cell r="D1210" t="str">
            <v/>
          </cell>
          <cell r="E1210" t="str">
            <v/>
          </cell>
          <cell r="J1210" t="str">
            <v/>
          </cell>
          <cell r="L1210" t="str">
            <v/>
          </cell>
        </row>
        <row r="1211">
          <cell r="D1211" t="str">
            <v/>
          </cell>
          <cell r="E1211" t="str">
            <v/>
          </cell>
          <cell r="J1211" t="str">
            <v/>
          </cell>
          <cell r="L1211" t="str">
            <v/>
          </cell>
        </row>
        <row r="1212">
          <cell r="D1212" t="str">
            <v/>
          </cell>
          <cell r="E1212" t="str">
            <v/>
          </cell>
          <cell r="J1212" t="str">
            <v/>
          </cell>
          <cell r="L1212" t="str">
            <v/>
          </cell>
        </row>
        <row r="1213">
          <cell r="D1213" t="str">
            <v/>
          </cell>
          <cell r="E1213" t="str">
            <v/>
          </cell>
          <cell r="J1213" t="str">
            <v/>
          </cell>
          <cell r="L1213" t="str">
            <v/>
          </cell>
        </row>
        <row r="1214">
          <cell r="D1214" t="str">
            <v/>
          </cell>
          <cell r="E1214" t="str">
            <v/>
          </cell>
          <cell r="J1214" t="str">
            <v/>
          </cell>
          <cell r="L1214" t="str">
            <v/>
          </cell>
        </row>
        <row r="1215">
          <cell r="D1215" t="str">
            <v/>
          </cell>
          <cell r="E1215" t="str">
            <v/>
          </cell>
          <cell r="J1215" t="str">
            <v/>
          </cell>
          <cell r="L1215" t="str">
            <v/>
          </cell>
        </row>
        <row r="1216">
          <cell r="D1216" t="str">
            <v/>
          </cell>
          <cell r="E1216" t="str">
            <v/>
          </cell>
          <cell r="J1216" t="str">
            <v/>
          </cell>
          <cell r="L1216" t="str">
            <v/>
          </cell>
        </row>
        <row r="1217">
          <cell r="D1217" t="str">
            <v/>
          </cell>
          <cell r="E1217" t="str">
            <v/>
          </cell>
          <cell r="J1217" t="str">
            <v/>
          </cell>
          <cell r="L1217" t="str">
            <v/>
          </cell>
        </row>
        <row r="1218">
          <cell r="D1218" t="str">
            <v/>
          </cell>
          <cell r="E1218" t="str">
            <v/>
          </cell>
          <cell r="J1218" t="str">
            <v/>
          </cell>
          <cell r="L1218" t="str">
            <v/>
          </cell>
        </row>
        <row r="1219">
          <cell r="D1219" t="str">
            <v/>
          </cell>
          <cell r="E1219" t="str">
            <v/>
          </cell>
          <cell r="J1219" t="str">
            <v/>
          </cell>
          <cell r="L1219" t="str">
            <v/>
          </cell>
        </row>
        <row r="1220">
          <cell r="D1220" t="str">
            <v/>
          </cell>
          <cell r="E1220" t="str">
            <v/>
          </cell>
          <cell r="J1220" t="str">
            <v/>
          </cell>
          <cell r="L1220" t="str">
            <v/>
          </cell>
        </row>
        <row r="1221">
          <cell r="D1221" t="str">
            <v/>
          </cell>
          <cell r="E1221" t="str">
            <v/>
          </cell>
          <cell r="J1221" t="str">
            <v/>
          </cell>
          <cell r="L1221" t="str">
            <v/>
          </cell>
        </row>
        <row r="1222">
          <cell r="D1222" t="str">
            <v/>
          </cell>
          <cell r="E1222" t="str">
            <v/>
          </cell>
          <cell r="J1222" t="str">
            <v/>
          </cell>
          <cell r="L1222" t="str">
            <v/>
          </cell>
        </row>
        <row r="1223">
          <cell r="D1223" t="str">
            <v/>
          </cell>
          <cell r="E1223" t="str">
            <v/>
          </cell>
          <cell r="J1223" t="str">
            <v/>
          </cell>
          <cell r="L1223" t="str">
            <v/>
          </cell>
        </row>
        <row r="1224">
          <cell r="D1224" t="str">
            <v/>
          </cell>
          <cell r="E1224" t="str">
            <v/>
          </cell>
          <cell r="J1224" t="str">
            <v/>
          </cell>
          <cell r="L1224" t="str">
            <v/>
          </cell>
        </row>
        <row r="1225">
          <cell r="D1225" t="str">
            <v/>
          </cell>
          <cell r="E1225" t="str">
            <v/>
          </cell>
          <cell r="J1225" t="str">
            <v/>
          </cell>
          <cell r="L1225" t="str">
            <v/>
          </cell>
        </row>
        <row r="1226">
          <cell r="D1226" t="str">
            <v/>
          </cell>
          <cell r="E1226" t="str">
            <v/>
          </cell>
          <cell r="J1226" t="str">
            <v/>
          </cell>
          <cell r="L1226" t="str">
            <v/>
          </cell>
        </row>
        <row r="1227">
          <cell r="D1227" t="str">
            <v/>
          </cell>
          <cell r="E1227" t="str">
            <v/>
          </cell>
          <cell r="J1227" t="str">
            <v/>
          </cell>
          <cell r="L1227" t="str">
            <v/>
          </cell>
        </row>
        <row r="1228">
          <cell r="D1228" t="str">
            <v/>
          </cell>
          <cell r="E1228" t="str">
            <v/>
          </cell>
          <cell r="J1228" t="str">
            <v/>
          </cell>
          <cell r="L1228" t="str">
            <v/>
          </cell>
        </row>
        <row r="1229">
          <cell r="D1229" t="str">
            <v/>
          </cell>
          <cell r="E1229" t="str">
            <v/>
          </cell>
          <cell r="J1229" t="str">
            <v/>
          </cell>
          <cell r="L1229" t="str">
            <v/>
          </cell>
        </row>
        <row r="1230">
          <cell r="D1230" t="str">
            <v/>
          </cell>
          <cell r="E1230" t="str">
            <v/>
          </cell>
          <cell r="J1230" t="str">
            <v/>
          </cell>
          <cell r="L1230" t="str">
            <v/>
          </cell>
        </row>
        <row r="1231">
          <cell r="D1231" t="str">
            <v/>
          </cell>
          <cell r="E1231" t="str">
            <v/>
          </cell>
          <cell r="J1231" t="str">
            <v/>
          </cell>
          <cell r="L1231" t="str">
            <v/>
          </cell>
        </row>
        <row r="1232">
          <cell r="D1232" t="str">
            <v/>
          </cell>
          <cell r="E1232" t="str">
            <v/>
          </cell>
          <cell r="J1232" t="str">
            <v/>
          </cell>
          <cell r="L1232" t="str">
            <v/>
          </cell>
        </row>
        <row r="1233">
          <cell r="D1233" t="str">
            <v/>
          </cell>
          <cell r="E1233" t="str">
            <v/>
          </cell>
          <cell r="J1233" t="str">
            <v/>
          </cell>
          <cell r="L1233" t="str">
            <v/>
          </cell>
        </row>
        <row r="1234">
          <cell r="D1234" t="str">
            <v/>
          </cell>
          <cell r="E1234" t="str">
            <v/>
          </cell>
          <cell r="J1234" t="str">
            <v/>
          </cell>
          <cell r="L1234" t="str">
            <v/>
          </cell>
        </row>
        <row r="1235">
          <cell r="D1235" t="str">
            <v/>
          </cell>
          <cell r="E1235" t="str">
            <v/>
          </cell>
          <cell r="J1235" t="str">
            <v/>
          </cell>
          <cell r="L1235" t="str">
            <v/>
          </cell>
        </row>
        <row r="1236">
          <cell r="D1236" t="str">
            <v/>
          </cell>
          <cell r="E1236" t="str">
            <v/>
          </cell>
          <cell r="J1236" t="str">
            <v/>
          </cell>
          <cell r="L1236" t="str">
            <v/>
          </cell>
        </row>
        <row r="1237">
          <cell r="D1237" t="str">
            <v/>
          </cell>
          <cell r="E1237" t="str">
            <v/>
          </cell>
          <cell r="J1237" t="str">
            <v/>
          </cell>
          <cell r="L1237" t="str">
            <v/>
          </cell>
        </row>
        <row r="1238">
          <cell r="D1238" t="str">
            <v/>
          </cell>
          <cell r="E1238" t="str">
            <v/>
          </cell>
          <cell r="J1238" t="str">
            <v/>
          </cell>
          <cell r="L1238" t="str">
            <v/>
          </cell>
        </row>
        <row r="1239">
          <cell r="D1239" t="str">
            <v/>
          </cell>
          <cell r="E1239" t="str">
            <v/>
          </cell>
          <cell r="J1239" t="str">
            <v/>
          </cell>
          <cell r="L1239" t="str">
            <v/>
          </cell>
        </row>
        <row r="1240">
          <cell r="D1240" t="str">
            <v/>
          </cell>
          <cell r="E1240" t="str">
            <v/>
          </cell>
          <cell r="J1240" t="str">
            <v/>
          </cell>
          <cell r="L1240" t="str">
            <v/>
          </cell>
        </row>
        <row r="1241">
          <cell r="D1241" t="str">
            <v/>
          </cell>
          <cell r="E1241" t="str">
            <v/>
          </cell>
          <cell r="J1241" t="str">
            <v/>
          </cell>
          <cell r="L1241" t="str">
            <v/>
          </cell>
        </row>
        <row r="1242">
          <cell r="D1242" t="str">
            <v/>
          </cell>
          <cell r="E1242" t="str">
            <v/>
          </cell>
          <cell r="J1242" t="str">
            <v/>
          </cell>
          <cell r="L1242" t="str">
            <v/>
          </cell>
        </row>
        <row r="1243">
          <cell r="D1243" t="str">
            <v/>
          </cell>
          <cell r="E1243" t="str">
            <v/>
          </cell>
          <cell r="J1243" t="str">
            <v/>
          </cell>
          <cell r="L1243" t="str">
            <v/>
          </cell>
        </row>
        <row r="1244">
          <cell r="D1244" t="str">
            <v/>
          </cell>
          <cell r="E1244" t="str">
            <v/>
          </cell>
          <cell r="J1244" t="str">
            <v/>
          </cell>
          <cell r="L1244" t="str">
            <v/>
          </cell>
        </row>
        <row r="1245">
          <cell r="D1245" t="str">
            <v/>
          </cell>
          <cell r="E1245" t="str">
            <v/>
          </cell>
          <cell r="J1245" t="str">
            <v/>
          </cell>
          <cell r="L1245" t="str">
            <v/>
          </cell>
        </row>
        <row r="1246">
          <cell r="D1246" t="str">
            <v/>
          </cell>
          <cell r="E1246" t="str">
            <v/>
          </cell>
          <cell r="J1246" t="str">
            <v/>
          </cell>
          <cell r="L1246" t="str">
            <v/>
          </cell>
        </row>
        <row r="1247">
          <cell r="D1247" t="str">
            <v/>
          </cell>
          <cell r="E1247" t="str">
            <v/>
          </cell>
          <cell r="J1247" t="str">
            <v/>
          </cell>
          <cell r="L1247" t="str">
            <v/>
          </cell>
        </row>
        <row r="1248">
          <cell r="D1248" t="str">
            <v/>
          </cell>
          <cell r="E1248" t="str">
            <v/>
          </cell>
          <cell r="J1248" t="str">
            <v/>
          </cell>
          <cell r="L1248" t="str">
            <v/>
          </cell>
        </row>
        <row r="1249">
          <cell r="D1249" t="str">
            <v/>
          </cell>
          <cell r="E1249" t="str">
            <v/>
          </cell>
          <cell r="J1249" t="str">
            <v/>
          </cell>
          <cell r="L1249" t="str">
            <v/>
          </cell>
        </row>
        <row r="1250">
          <cell r="D1250" t="str">
            <v/>
          </cell>
          <cell r="E1250" t="str">
            <v/>
          </cell>
          <cell r="J1250" t="str">
            <v/>
          </cell>
          <cell r="L1250" t="str">
            <v/>
          </cell>
        </row>
        <row r="1251">
          <cell r="D1251" t="str">
            <v/>
          </cell>
          <cell r="E1251" t="str">
            <v/>
          </cell>
          <cell r="J1251" t="str">
            <v/>
          </cell>
          <cell r="L1251" t="str">
            <v/>
          </cell>
        </row>
        <row r="1252">
          <cell r="D1252" t="str">
            <v/>
          </cell>
          <cell r="E1252" t="str">
            <v/>
          </cell>
          <cell r="J1252" t="str">
            <v/>
          </cell>
          <cell r="L1252" t="str">
            <v/>
          </cell>
        </row>
        <row r="1253">
          <cell r="D1253" t="str">
            <v/>
          </cell>
          <cell r="E1253" t="str">
            <v/>
          </cell>
          <cell r="J1253" t="str">
            <v/>
          </cell>
          <cell r="L1253" t="str">
            <v/>
          </cell>
        </row>
        <row r="1254">
          <cell r="D1254" t="str">
            <v/>
          </cell>
          <cell r="E1254" t="str">
            <v/>
          </cell>
          <cell r="J1254" t="str">
            <v/>
          </cell>
          <cell r="L1254" t="str">
            <v/>
          </cell>
        </row>
        <row r="1255">
          <cell r="D1255" t="str">
            <v/>
          </cell>
          <cell r="E1255" t="str">
            <v/>
          </cell>
          <cell r="J1255" t="str">
            <v/>
          </cell>
          <cell r="L1255" t="str">
            <v/>
          </cell>
        </row>
        <row r="1256">
          <cell r="D1256" t="str">
            <v/>
          </cell>
          <cell r="E1256" t="str">
            <v/>
          </cell>
          <cell r="J1256" t="str">
            <v/>
          </cell>
          <cell r="L1256" t="str">
            <v/>
          </cell>
        </row>
        <row r="1257">
          <cell r="D1257" t="str">
            <v/>
          </cell>
          <cell r="E1257" t="str">
            <v/>
          </cell>
          <cell r="J1257" t="str">
            <v/>
          </cell>
          <cell r="L1257" t="str">
            <v/>
          </cell>
        </row>
        <row r="1258">
          <cell r="D1258" t="str">
            <v/>
          </cell>
          <cell r="E1258" t="str">
            <v/>
          </cell>
          <cell r="J1258" t="str">
            <v/>
          </cell>
          <cell r="L1258" t="str">
            <v/>
          </cell>
        </row>
        <row r="1259">
          <cell r="D1259" t="str">
            <v/>
          </cell>
          <cell r="E1259" t="str">
            <v/>
          </cell>
          <cell r="J1259" t="str">
            <v/>
          </cell>
          <cell r="L1259" t="str">
            <v/>
          </cell>
        </row>
        <row r="1260">
          <cell r="D1260" t="str">
            <v/>
          </cell>
          <cell r="E1260" t="str">
            <v/>
          </cell>
          <cell r="J1260" t="str">
            <v/>
          </cell>
          <cell r="L1260" t="str">
            <v/>
          </cell>
        </row>
        <row r="1261">
          <cell r="D1261" t="str">
            <v/>
          </cell>
          <cell r="E1261" t="str">
            <v/>
          </cell>
          <cell r="J1261" t="str">
            <v/>
          </cell>
          <cell r="L1261" t="str">
            <v/>
          </cell>
        </row>
        <row r="1262">
          <cell r="D1262" t="str">
            <v/>
          </cell>
          <cell r="E1262" t="str">
            <v/>
          </cell>
          <cell r="J1262" t="str">
            <v/>
          </cell>
          <cell r="L1262" t="str">
            <v/>
          </cell>
        </row>
        <row r="1263">
          <cell r="D1263" t="str">
            <v/>
          </cell>
          <cell r="E1263" t="str">
            <v/>
          </cell>
          <cell r="J1263" t="str">
            <v/>
          </cell>
          <cell r="L1263" t="str">
            <v/>
          </cell>
        </row>
        <row r="1264">
          <cell r="D1264" t="str">
            <v/>
          </cell>
          <cell r="E1264" t="str">
            <v/>
          </cell>
          <cell r="J1264" t="str">
            <v/>
          </cell>
          <cell r="L1264" t="str">
            <v/>
          </cell>
        </row>
        <row r="1265">
          <cell r="D1265" t="str">
            <v/>
          </cell>
          <cell r="E1265" t="str">
            <v/>
          </cell>
          <cell r="J1265" t="str">
            <v/>
          </cell>
          <cell r="L1265" t="str">
            <v/>
          </cell>
        </row>
        <row r="1266">
          <cell r="D1266" t="str">
            <v/>
          </cell>
          <cell r="E1266" t="str">
            <v/>
          </cell>
          <cell r="J1266" t="str">
            <v/>
          </cell>
          <cell r="L1266" t="str">
            <v/>
          </cell>
        </row>
        <row r="1267">
          <cell r="D1267" t="str">
            <v/>
          </cell>
          <cell r="E1267" t="str">
            <v/>
          </cell>
          <cell r="J1267" t="str">
            <v/>
          </cell>
          <cell r="L1267" t="str">
            <v/>
          </cell>
        </row>
        <row r="1268">
          <cell r="D1268" t="str">
            <v/>
          </cell>
          <cell r="E1268" t="str">
            <v/>
          </cell>
          <cell r="J1268" t="str">
            <v/>
          </cell>
          <cell r="L1268" t="str">
            <v/>
          </cell>
        </row>
        <row r="1269">
          <cell r="D1269" t="str">
            <v/>
          </cell>
          <cell r="E1269" t="str">
            <v/>
          </cell>
          <cell r="J1269" t="str">
            <v/>
          </cell>
          <cell r="L1269" t="str">
            <v/>
          </cell>
        </row>
        <row r="1270">
          <cell r="D1270" t="str">
            <v/>
          </cell>
          <cell r="E1270" t="str">
            <v/>
          </cell>
          <cell r="J1270" t="str">
            <v/>
          </cell>
          <cell r="L1270" t="str">
            <v/>
          </cell>
        </row>
        <row r="1271">
          <cell r="D1271" t="str">
            <v/>
          </cell>
          <cell r="E1271" t="str">
            <v/>
          </cell>
          <cell r="J1271" t="str">
            <v/>
          </cell>
          <cell r="L1271" t="str">
            <v/>
          </cell>
        </row>
        <row r="1272">
          <cell r="D1272" t="str">
            <v/>
          </cell>
          <cell r="E1272" t="str">
            <v/>
          </cell>
          <cell r="J1272" t="str">
            <v/>
          </cell>
          <cell r="L1272" t="str">
            <v/>
          </cell>
        </row>
        <row r="1273">
          <cell r="D1273" t="str">
            <v/>
          </cell>
          <cell r="E1273" t="str">
            <v/>
          </cell>
          <cell r="J1273" t="str">
            <v/>
          </cell>
          <cell r="L1273" t="str">
            <v/>
          </cell>
        </row>
        <row r="1274">
          <cell r="D1274" t="str">
            <v/>
          </cell>
          <cell r="E1274" t="str">
            <v/>
          </cell>
          <cell r="J1274" t="str">
            <v/>
          </cell>
          <cell r="L1274" t="str">
            <v/>
          </cell>
        </row>
        <row r="1275">
          <cell r="D1275" t="str">
            <v/>
          </cell>
          <cell r="E1275" t="str">
            <v/>
          </cell>
          <cell r="J1275" t="str">
            <v/>
          </cell>
          <cell r="L1275" t="str">
            <v/>
          </cell>
        </row>
        <row r="1276">
          <cell r="D1276" t="str">
            <v/>
          </cell>
          <cell r="E1276" t="str">
            <v/>
          </cell>
          <cell r="J1276" t="str">
            <v/>
          </cell>
          <cell r="L1276" t="str">
            <v/>
          </cell>
        </row>
        <row r="1277">
          <cell r="D1277" t="str">
            <v/>
          </cell>
          <cell r="E1277" t="str">
            <v/>
          </cell>
          <cell r="J1277" t="str">
            <v/>
          </cell>
          <cell r="L1277" t="str">
            <v/>
          </cell>
        </row>
        <row r="1278">
          <cell r="D1278" t="str">
            <v/>
          </cell>
          <cell r="E1278" t="str">
            <v/>
          </cell>
          <cell r="J1278" t="str">
            <v/>
          </cell>
          <cell r="L1278" t="str">
            <v/>
          </cell>
        </row>
        <row r="1279">
          <cell r="D1279" t="str">
            <v/>
          </cell>
          <cell r="E1279" t="str">
            <v/>
          </cell>
          <cell r="J1279" t="str">
            <v/>
          </cell>
          <cell r="L1279" t="str">
            <v/>
          </cell>
        </row>
        <row r="1280">
          <cell r="D1280" t="str">
            <v/>
          </cell>
          <cell r="E1280" t="str">
            <v/>
          </cell>
          <cell r="J1280" t="str">
            <v/>
          </cell>
          <cell r="L1280" t="str">
            <v/>
          </cell>
        </row>
        <row r="1281">
          <cell r="D1281" t="str">
            <v/>
          </cell>
          <cell r="E1281" t="str">
            <v/>
          </cell>
          <cell r="J1281" t="str">
            <v/>
          </cell>
          <cell r="L1281" t="str">
            <v/>
          </cell>
        </row>
        <row r="1282">
          <cell r="D1282" t="str">
            <v/>
          </cell>
          <cell r="E1282" t="str">
            <v/>
          </cell>
          <cell r="J1282" t="str">
            <v/>
          </cell>
          <cell r="L1282" t="str">
            <v/>
          </cell>
        </row>
        <row r="1283">
          <cell r="D1283" t="str">
            <v/>
          </cell>
          <cell r="E1283" t="str">
            <v/>
          </cell>
          <cell r="J1283" t="str">
            <v/>
          </cell>
          <cell r="L1283" t="str">
            <v/>
          </cell>
        </row>
        <row r="1284">
          <cell r="D1284" t="str">
            <v/>
          </cell>
          <cell r="E1284" t="str">
            <v/>
          </cell>
          <cell r="J1284" t="str">
            <v/>
          </cell>
          <cell r="L1284" t="str">
            <v/>
          </cell>
        </row>
        <row r="1285">
          <cell r="D1285" t="str">
            <v/>
          </cell>
          <cell r="E1285" t="str">
            <v/>
          </cell>
          <cell r="J1285" t="str">
            <v/>
          </cell>
          <cell r="L1285" t="str">
            <v/>
          </cell>
        </row>
        <row r="1286">
          <cell r="D1286" t="str">
            <v/>
          </cell>
          <cell r="E1286" t="str">
            <v/>
          </cell>
          <cell r="J1286" t="str">
            <v/>
          </cell>
          <cell r="L1286" t="str">
            <v/>
          </cell>
        </row>
        <row r="1287">
          <cell r="D1287" t="str">
            <v/>
          </cell>
          <cell r="E1287" t="str">
            <v/>
          </cell>
          <cell r="J1287" t="str">
            <v/>
          </cell>
          <cell r="L1287" t="str">
            <v/>
          </cell>
        </row>
        <row r="1288">
          <cell r="D1288" t="str">
            <v/>
          </cell>
          <cell r="E1288" t="str">
            <v/>
          </cell>
          <cell r="J1288" t="str">
            <v/>
          </cell>
          <cell r="L1288" t="str">
            <v/>
          </cell>
        </row>
        <row r="1289">
          <cell r="D1289" t="str">
            <v/>
          </cell>
          <cell r="E1289" t="str">
            <v/>
          </cell>
          <cell r="J1289" t="str">
            <v/>
          </cell>
          <cell r="L1289" t="str">
            <v/>
          </cell>
        </row>
        <row r="1290">
          <cell r="D1290" t="str">
            <v/>
          </cell>
          <cell r="E1290" t="str">
            <v/>
          </cell>
          <cell r="J1290" t="str">
            <v/>
          </cell>
          <cell r="L1290" t="str">
            <v/>
          </cell>
        </row>
        <row r="1291">
          <cell r="D1291" t="str">
            <v/>
          </cell>
          <cell r="E1291" t="str">
            <v/>
          </cell>
          <cell r="J1291" t="str">
            <v/>
          </cell>
          <cell r="L1291" t="str">
            <v/>
          </cell>
        </row>
        <row r="1292">
          <cell r="D1292" t="str">
            <v/>
          </cell>
          <cell r="E1292" t="str">
            <v/>
          </cell>
          <cell r="J1292" t="str">
            <v/>
          </cell>
          <cell r="L1292" t="str">
            <v/>
          </cell>
        </row>
        <row r="1293">
          <cell r="D1293" t="str">
            <v/>
          </cell>
          <cell r="E1293" t="str">
            <v/>
          </cell>
          <cell r="J1293" t="str">
            <v/>
          </cell>
          <cell r="L1293" t="str">
            <v/>
          </cell>
        </row>
        <row r="1294">
          <cell r="D1294" t="str">
            <v/>
          </cell>
          <cell r="E1294" t="str">
            <v/>
          </cell>
          <cell r="J1294" t="str">
            <v/>
          </cell>
          <cell r="L1294" t="str">
            <v/>
          </cell>
        </row>
        <row r="1295">
          <cell r="D1295" t="str">
            <v/>
          </cell>
          <cell r="E1295" t="str">
            <v/>
          </cell>
          <cell r="J1295" t="str">
            <v/>
          </cell>
          <cell r="L1295" t="str">
            <v/>
          </cell>
        </row>
        <row r="1296">
          <cell r="D1296" t="str">
            <v/>
          </cell>
          <cell r="E1296" t="str">
            <v/>
          </cell>
          <cell r="J1296" t="str">
            <v/>
          </cell>
          <cell r="L1296" t="str">
            <v/>
          </cell>
        </row>
        <row r="1297">
          <cell r="D1297" t="str">
            <v/>
          </cell>
          <cell r="E1297" t="str">
            <v/>
          </cell>
          <cell r="J1297" t="str">
            <v/>
          </cell>
          <cell r="L1297" t="str">
            <v/>
          </cell>
        </row>
        <row r="1298">
          <cell r="D1298" t="str">
            <v/>
          </cell>
          <cell r="E1298" t="str">
            <v/>
          </cell>
          <cell r="J1298" t="str">
            <v/>
          </cell>
          <cell r="L1298" t="str">
            <v/>
          </cell>
        </row>
        <row r="1299">
          <cell r="D1299" t="str">
            <v/>
          </cell>
          <cell r="E1299" t="str">
            <v/>
          </cell>
          <cell r="J1299" t="str">
            <v/>
          </cell>
          <cell r="L1299" t="str">
            <v/>
          </cell>
        </row>
        <row r="1300">
          <cell r="D1300" t="str">
            <v/>
          </cell>
          <cell r="E1300" t="str">
            <v/>
          </cell>
          <cell r="J1300" t="str">
            <v/>
          </cell>
          <cell r="L1300" t="str">
            <v/>
          </cell>
        </row>
        <row r="1301">
          <cell r="D1301" t="str">
            <v/>
          </cell>
          <cell r="E1301" t="str">
            <v/>
          </cell>
          <cell r="J1301" t="str">
            <v/>
          </cell>
          <cell r="L1301" t="str">
            <v/>
          </cell>
        </row>
        <row r="1302">
          <cell r="D1302" t="str">
            <v/>
          </cell>
          <cell r="E1302" t="str">
            <v/>
          </cell>
          <cell r="J1302" t="str">
            <v/>
          </cell>
          <cell r="L1302" t="str">
            <v/>
          </cell>
        </row>
        <row r="1303">
          <cell r="D1303" t="str">
            <v/>
          </cell>
          <cell r="E1303" t="str">
            <v/>
          </cell>
          <cell r="J1303" t="str">
            <v/>
          </cell>
          <cell r="L1303" t="str">
            <v/>
          </cell>
        </row>
        <row r="1304">
          <cell r="D1304" t="str">
            <v/>
          </cell>
          <cell r="E1304" t="str">
            <v/>
          </cell>
          <cell r="J1304" t="str">
            <v/>
          </cell>
          <cell r="L1304" t="str">
            <v/>
          </cell>
        </row>
        <row r="1305">
          <cell r="D1305" t="str">
            <v/>
          </cell>
          <cell r="E1305" t="str">
            <v/>
          </cell>
          <cell r="J1305" t="str">
            <v/>
          </cell>
          <cell r="L1305" t="str">
            <v/>
          </cell>
        </row>
        <row r="1306">
          <cell r="D1306" t="str">
            <v/>
          </cell>
          <cell r="E1306" t="str">
            <v/>
          </cell>
          <cell r="J1306" t="str">
            <v/>
          </cell>
          <cell r="L1306" t="str">
            <v/>
          </cell>
        </row>
        <row r="1307">
          <cell r="D1307" t="str">
            <v/>
          </cell>
          <cell r="E1307" t="str">
            <v/>
          </cell>
          <cell r="J1307" t="str">
            <v/>
          </cell>
          <cell r="L1307" t="str">
            <v/>
          </cell>
        </row>
        <row r="1308">
          <cell r="D1308" t="str">
            <v/>
          </cell>
          <cell r="E1308" t="str">
            <v/>
          </cell>
          <cell r="J1308" t="str">
            <v/>
          </cell>
          <cell r="L1308" t="str">
            <v/>
          </cell>
        </row>
        <row r="1309">
          <cell r="D1309" t="str">
            <v/>
          </cell>
          <cell r="E1309" t="str">
            <v/>
          </cell>
          <cell r="J1309" t="str">
            <v/>
          </cell>
          <cell r="L1309" t="str">
            <v/>
          </cell>
        </row>
        <row r="1310">
          <cell r="D1310" t="str">
            <v/>
          </cell>
          <cell r="E1310" t="str">
            <v/>
          </cell>
          <cell r="J1310" t="str">
            <v/>
          </cell>
          <cell r="L1310" t="str">
            <v/>
          </cell>
        </row>
        <row r="1311">
          <cell r="D1311" t="str">
            <v/>
          </cell>
          <cell r="E1311" t="str">
            <v/>
          </cell>
          <cell r="J1311" t="str">
            <v/>
          </cell>
          <cell r="L1311" t="str">
            <v/>
          </cell>
        </row>
        <row r="1312">
          <cell r="D1312" t="str">
            <v/>
          </cell>
          <cell r="E1312" t="str">
            <v/>
          </cell>
          <cell r="J1312" t="str">
            <v/>
          </cell>
          <cell r="L1312" t="str">
            <v/>
          </cell>
        </row>
        <row r="1313">
          <cell r="D1313" t="str">
            <v/>
          </cell>
          <cell r="E1313" t="str">
            <v/>
          </cell>
          <cell r="J1313" t="str">
            <v/>
          </cell>
          <cell r="L1313" t="str">
            <v/>
          </cell>
        </row>
        <row r="1314">
          <cell r="D1314" t="str">
            <v/>
          </cell>
          <cell r="E1314" t="str">
            <v/>
          </cell>
          <cell r="J1314" t="str">
            <v/>
          </cell>
          <cell r="L1314" t="str">
            <v/>
          </cell>
        </row>
        <row r="1315">
          <cell r="D1315" t="str">
            <v/>
          </cell>
          <cell r="E1315" t="str">
            <v/>
          </cell>
          <cell r="J1315" t="str">
            <v/>
          </cell>
          <cell r="L1315" t="str">
            <v/>
          </cell>
        </row>
        <row r="1316">
          <cell r="D1316" t="str">
            <v/>
          </cell>
          <cell r="E1316" t="str">
            <v/>
          </cell>
          <cell r="J1316" t="str">
            <v/>
          </cell>
          <cell r="L1316" t="str">
            <v/>
          </cell>
        </row>
        <row r="1317">
          <cell r="D1317" t="str">
            <v/>
          </cell>
          <cell r="E1317" t="str">
            <v/>
          </cell>
          <cell r="J1317" t="str">
            <v/>
          </cell>
          <cell r="L1317" t="str">
            <v/>
          </cell>
        </row>
        <row r="1318">
          <cell r="D1318" t="str">
            <v/>
          </cell>
          <cell r="E1318" t="str">
            <v/>
          </cell>
          <cell r="J1318" t="str">
            <v/>
          </cell>
          <cell r="L1318" t="str">
            <v/>
          </cell>
        </row>
        <row r="1319">
          <cell r="D1319" t="str">
            <v/>
          </cell>
          <cell r="E1319" t="str">
            <v/>
          </cell>
          <cell r="J1319" t="str">
            <v/>
          </cell>
          <cell r="L1319" t="str">
            <v/>
          </cell>
        </row>
        <row r="1320">
          <cell r="D1320" t="str">
            <v/>
          </cell>
          <cell r="E1320" t="str">
            <v/>
          </cell>
          <cell r="J1320" t="str">
            <v/>
          </cell>
          <cell r="L1320" t="str">
            <v/>
          </cell>
        </row>
        <row r="1321">
          <cell r="D1321" t="str">
            <v/>
          </cell>
          <cell r="E1321" t="str">
            <v/>
          </cell>
          <cell r="J1321" t="str">
            <v/>
          </cell>
          <cell r="L1321" t="str">
            <v/>
          </cell>
        </row>
        <row r="1322">
          <cell r="D1322" t="str">
            <v/>
          </cell>
          <cell r="E1322" t="str">
            <v/>
          </cell>
          <cell r="J1322" t="str">
            <v/>
          </cell>
          <cell r="L1322" t="str">
            <v/>
          </cell>
        </row>
        <row r="1323">
          <cell r="D1323" t="str">
            <v/>
          </cell>
          <cell r="E1323" t="str">
            <v/>
          </cell>
          <cell r="J1323" t="str">
            <v/>
          </cell>
          <cell r="L1323" t="str">
            <v/>
          </cell>
        </row>
        <row r="1324">
          <cell r="D1324" t="str">
            <v/>
          </cell>
          <cell r="E1324" t="str">
            <v/>
          </cell>
          <cell r="J1324" t="str">
            <v/>
          </cell>
          <cell r="L1324" t="str">
            <v/>
          </cell>
        </row>
        <row r="1325">
          <cell r="D1325" t="str">
            <v/>
          </cell>
          <cell r="E1325" t="str">
            <v/>
          </cell>
          <cell r="J1325" t="str">
            <v/>
          </cell>
          <cell r="L1325" t="str">
            <v/>
          </cell>
        </row>
        <row r="1326">
          <cell r="D1326" t="str">
            <v/>
          </cell>
          <cell r="E1326" t="str">
            <v/>
          </cell>
          <cell r="J1326" t="str">
            <v/>
          </cell>
          <cell r="L1326" t="str">
            <v/>
          </cell>
        </row>
        <row r="1327">
          <cell r="D1327" t="str">
            <v/>
          </cell>
          <cell r="E1327" t="str">
            <v/>
          </cell>
          <cell r="J1327" t="str">
            <v/>
          </cell>
          <cell r="L1327" t="str">
            <v/>
          </cell>
        </row>
        <row r="1328">
          <cell r="D1328" t="str">
            <v/>
          </cell>
          <cell r="E1328" t="str">
            <v/>
          </cell>
          <cell r="J1328" t="str">
            <v/>
          </cell>
          <cell r="L1328" t="str">
            <v/>
          </cell>
        </row>
        <row r="1329">
          <cell r="D1329" t="str">
            <v/>
          </cell>
          <cell r="E1329" t="str">
            <v/>
          </cell>
          <cell r="J1329" t="str">
            <v/>
          </cell>
          <cell r="L1329" t="str">
            <v/>
          </cell>
        </row>
        <row r="1330">
          <cell r="D1330" t="str">
            <v/>
          </cell>
          <cell r="E1330" t="str">
            <v/>
          </cell>
          <cell r="J1330" t="str">
            <v/>
          </cell>
          <cell r="L1330" t="str">
            <v/>
          </cell>
        </row>
        <row r="1331">
          <cell r="D1331" t="str">
            <v/>
          </cell>
          <cell r="E1331" t="str">
            <v/>
          </cell>
          <cell r="J1331" t="str">
            <v/>
          </cell>
          <cell r="L1331" t="str">
            <v/>
          </cell>
        </row>
        <row r="1332">
          <cell r="D1332" t="str">
            <v/>
          </cell>
          <cell r="E1332" t="str">
            <v/>
          </cell>
          <cell r="J1332" t="str">
            <v/>
          </cell>
          <cell r="L1332" t="str">
            <v/>
          </cell>
        </row>
        <row r="1333">
          <cell r="D1333" t="str">
            <v/>
          </cell>
          <cell r="E1333" t="str">
            <v/>
          </cell>
          <cell r="J1333" t="str">
            <v/>
          </cell>
          <cell r="L1333" t="str">
            <v/>
          </cell>
        </row>
        <row r="1334">
          <cell r="D1334" t="str">
            <v/>
          </cell>
          <cell r="E1334" t="str">
            <v/>
          </cell>
          <cell r="J1334" t="str">
            <v/>
          </cell>
          <cell r="L1334" t="str">
            <v/>
          </cell>
        </row>
        <row r="1335">
          <cell r="D1335" t="str">
            <v/>
          </cell>
          <cell r="E1335" t="str">
            <v/>
          </cell>
          <cell r="J1335" t="str">
            <v/>
          </cell>
          <cell r="L1335" t="str">
            <v/>
          </cell>
        </row>
        <row r="1336">
          <cell r="D1336" t="str">
            <v/>
          </cell>
          <cell r="E1336" t="str">
            <v/>
          </cell>
          <cell r="J1336" t="str">
            <v/>
          </cell>
          <cell r="L1336" t="str">
            <v/>
          </cell>
        </row>
        <row r="1337">
          <cell r="D1337" t="str">
            <v/>
          </cell>
          <cell r="E1337" t="str">
            <v/>
          </cell>
          <cell r="J1337" t="str">
            <v/>
          </cell>
          <cell r="L1337" t="str">
            <v/>
          </cell>
        </row>
        <row r="1338">
          <cell r="D1338" t="str">
            <v/>
          </cell>
          <cell r="E1338" t="str">
            <v/>
          </cell>
          <cell r="J1338" t="str">
            <v/>
          </cell>
          <cell r="L1338" t="str">
            <v/>
          </cell>
        </row>
        <row r="1339">
          <cell r="D1339" t="str">
            <v/>
          </cell>
          <cell r="E1339" t="str">
            <v/>
          </cell>
          <cell r="J1339" t="str">
            <v/>
          </cell>
          <cell r="L1339" t="str">
            <v/>
          </cell>
        </row>
        <row r="1340">
          <cell r="D1340" t="str">
            <v/>
          </cell>
          <cell r="E1340" t="str">
            <v/>
          </cell>
          <cell r="J1340" t="str">
            <v/>
          </cell>
          <cell r="L1340" t="str">
            <v/>
          </cell>
        </row>
        <row r="1341">
          <cell r="D1341" t="str">
            <v/>
          </cell>
          <cell r="E1341" t="str">
            <v/>
          </cell>
          <cell r="J1341" t="str">
            <v/>
          </cell>
          <cell r="L1341" t="str">
            <v/>
          </cell>
        </row>
        <row r="1342">
          <cell r="D1342" t="str">
            <v/>
          </cell>
          <cell r="E1342" t="str">
            <v/>
          </cell>
          <cell r="J1342" t="str">
            <v/>
          </cell>
          <cell r="L1342" t="str">
            <v/>
          </cell>
        </row>
        <row r="1343">
          <cell r="D1343" t="str">
            <v/>
          </cell>
          <cell r="E1343" t="str">
            <v/>
          </cell>
          <cell r="J1343" t="str">
            <v/>
          </cell>
          <cell r="L1343" t="str">
            <v/>
          </cell>
        </row>
        <row r="1344">
          <cell r="D1344" t="str">
            <v/>
          </cell>
          <cell r="E1344" t="str">
            <v/>
          </cell>
          <cell r="J1344" t="str">
            <v/>
          </cell>
          <cell r="L1344" t="str">
            <v/>
          </cell>
        </row>
        <row r="1345">
          <cell r="D1345" t="str">
            <v/>
          </cell>
          <cell r="E1345" t="str">
            <v/>
          </cell>
          <cell r="J1345" t="str">
            <v/>
          </cell>
          <cell r="L1345" t="str">
            <v/>
          </cell>
        </row>
        <row r="1346">
          <cell r="D1346" t="str">
            <v/>
          </cell>
          <cell r="E1346" t="str">
            <v/>
          </cell>
          <cell r="J1346" t="str">
            <v/>
          </cell>
          <cell r="L1346" t="str">
            <v/>
          </cell>
        </row>
        <row r="1347">
          <cell r="D1347" t="str">
            <v/>
          </cell>
          <cell r="E1347" t="str">
            <v/>
          </cell>
          <cell r="J1347" t="str">
            <v/>
          </cell>
          <cell r="L1347" t="str">
            <v/>
          </cell>
        </row>
        <row r="1348">
          <cell r="D1348" t="str">
            <v/>
          </cell>
          <cell r="E1348" t="str">
            <v/>
          </cell>
          <cell r="J1348" t="str">
            <v/>
          </cell>
          <cell r="L1348" t="str">
            <v/>
          </cell>
        </row>
        <row r="1349">
          <cell r="D1349" t="str">
            <v/>
          </cell>
          <cell r="E1349" t="str">
            <v/>
          </cell>
          <cell r="J1349" t="str">
            <v/>
          </cell>
          <cell r="L1349" t="str">
            <v/>
          </cell>
        </row>
        <row r="1350">
          <cell r="D1350" t="str">
            <v/>
          </cell>
          <cell r="E1350" t="str">
            <v/>
          </cell>
          <cell r="J1350" t="str">
            <v/>
          </cell>
          <cell r="L1350" t="str">
            <v/>
          </cell>
        </row>
        <row r="1351">
          <cell r="D1351" t="str">
            <v/>
          </cell>
          <cell r="E1351" t="str">
            <v/>
          </cell>
          <cell r="J1351" t="str">
            <v/>
          </cell>
          <cell r="L1351" t="str">
            <v/>
          </cell>
        </row>
        <row r="1352">
          <cell r="D1352" t="str">
            <v/>
          </cell>
          <cell r="E1352" t="str">
            <v/>
          </cell>
          <cell r="J1352" t="str">
            <v/>
          </cell>
          <cell r="L1352" t="str">
            <v/>
          </cell>
        </row>
        <row r="1353">
          <cell r="D1353" t="str">
            <v/>
          </cell>
          <cell r="E1353" t="str">
            <v/>
          </cell>
          <cell r="J1353" t="str">
            <v/>
          </cell>
          <cell r="L1353" t="str">
            <v/>
          </cell>
        </row>
        <row r="1354">
          <cell r="D1354" t="str">
            <v/>
          </cell>
          <cell r="E1354" t="str">
            <v/>
          </cell>
          <cell r="J1354" t="str">
            <v/>
          </cell>
          <cell r="L1354" t="str">
            <v/>
          </cell>
        </row>
        <row r="1355">
          <cell r="D1355" t="str">
            <v/>
          </cell>
          <cell r="E1355" t="str">
            <v/>
          </cell>
          <cell r="J1355" t="str">
            <v/>
          </cell>
          <cell r="L1355" t="str">
            <v/>
          </cell>
        </row>
        <row r="1356">
          <cell r="D1356" t="str">
            <v/>
          </cell>
          <cell r="E1356" t="str">
            <v/>
          </cell>
          <cell r="J1356" t="str">
            <v/>
          </cell>
          <cell r="L1356" t="str">
            <v/>
          </cell>
        </row>
        <row r="1357">
          <cell r="D1357" t="str">
            <v/>
          </cell>
          <cell r="E1357" t="str">
            <v/>
          </cell>
          <cell r="J1357" t="str">
            <v/>
          </cell>
          <cell r="L1357" t="str">
            <v/>
          </cell>
        </row>
        <row r="1358">
          <cell r="D1358" t="str">
            <v/>
          </cell>
          <cell r="E1358" t="str">
            <v/>
          </cell>
          <cell r="J1358" t="str">
            <v/>
          </cell>
          <cell r="L1358" t="str">
            <v/>
          </cell>
        </row>
        <row r="1359">
          <cell r="D1359" t="str">
            <v/>
          </cell>
          <cell r="E1359" t="str">
            <v/>
          </cell>
          <cell r="J1359" t="str">
            <v/>
          </cell>
          <cell r="L1359" t="str">
            <v/>
          </cell>
        </row>
        <row r="1360">
          <cell r="D1360" t="str">
            <v/>
          </cell>
          <cell r="E1360" t="str">
            <v/>
          </cell>
          <cell r="J1360" t="str">
            <v/>
          </cell>
          <cell r="L1360" t="str">
            <v/>
          </cell>
        </row>
        <row r="1361">
          <cell r="D1361" t="str">
            <v/>
          </cell>
          <cell r="E1361" t="str">
            <v/>
          </cell>
          <cell r="J1361" t="str">
            <v/>
          </cell>
          <cell r="L1361" t="str">
            <v/>
          </cell>
        </row>
        <row r="1362">
          <cell r="D1362" t="str">
            <v/>
          </cell>
          <cell r="E1362" t="str">
            <v/>
          </cell>
          <cell r="J1362" t="str">
            <v/>
          </cell>
          <cell r="L1362" t="str">
            <v/>
          </cell>
        </row>
        <row r="1363">
          <cell r="D1363" t="str">
            <v/>
          </cell>
          <cell r="E1363" t="str">
            <v/>
          </cell>
          <cell r="J1363" t="str">
            <v/>
          </cell>
          <cell r="L1363" t="str">
            <v/>
          </cell>
        </row>
        <row r="1364">
          <cell r="D1364" t="str">
            <v/>
          </cell>
          <cell r="E1364" t="str">
            <v/>
          </cell>
          <cell r="J1364" t="str">
            <v/>
          </cell>
          <cell r="L1364" t="str">
            <v/>
          </cell>
        </row>
        <row r="1365">
          <cell r="D1365" t="str">
            <v/>
          </cell>
          <cell r="E1365" t="str">
            <v/>
          </cell>
          <cell r="J1365" t="str">
            <v/>
          </cell>
          <cell r="L1365" t="str">
            <v/>
          </cell>
        </row>
        <row r="1366">
          <cell r="D1366" t="str">
            <v/>
          </cell>
          <cell r="E1366" t="str">
            <v/>
          </cell>
          <cell r="J1366" t="str">
            <v/>
          </cell>
          <cell r="L1366" t="str">
            <v/>
          </cell>
        </row>
        <row r="1367">
          <cell r="D1367" t="str">
            <v/>
          </cell>
          <cell r="E1367" t="str">
            <v/>
          </cell>
          <cell r="J1367" t="str">
            <v/>
          </cell>
          <cell r="L1367" t="str">
            <v/>
          </cell>
        </row>
        <row r="1368">
          <cell r="D1368" t="str">
            <v/>
          </cell>
          <cell r="E1368" t="str">
            <v/>
          </cell>
          <cell r="J1368" t="str">
            <v/>
          </cell>
          <cell r="L1368" t="str">
            <v/>
          </cell>
        </row>
        <row r="1369">
          <cell r="D1369" t="str">
            <v/>
          </cell>
          <cell r="E1369" t="str">
            <v/>
          </cell>
          <cell r="J1369" t="str">
            <v/>
          </cell>
          <cell r="L1369" t="str">
            <v/>
          </cell>
        </row>
        <row r="1370">
          <cell r="D1370" t="str">
            <v/>
          </cell>
          <cell r="E1370" t="str">
            <v/>
          </cell>
          <cell r="J1370" t="str">
            <v/>
          </cell>
          <cell r="L1370" t="str">
            <v/>
          </cell>
        </row>
        <row r="1371">
          <cell r="D1371" t="str">
            <v/>
          </cell>
          <cell r="E1371" t="str">
            <v/>
          </cell>
          <cell r="J1371" t="str">
            <v/>
          </cell>
          <cell r="L1371" t="str">
            <v/>
          </cell>
        </row>
        <row r="1372">
          <cell r="D1372" t="str">
            <v/>
          </cell>
          <cell r="E1372" t="str">
            <v/>
          </cell>
          <cell r="J1372" t="str">
            <v/>
          </cell>
          <cell r="L1372" t="str">
            <v/>
          </cell>
        </row>
        <row r="1373">
          <cell r="D1373" t="str">
            <v/>
          </cell>
          <cell r="E1373" t="str">
            <v/>
          </cell>
          <cell r="J1373" t="str">
            <v/>
          </cell>
          <cell r="L1373" t="str">
            <v/>
          </cell>
        </row>
        <row r="1374">
          <cell r="D1374" t="str">
            <v/>
          </cell>
          <cell r="E1374" t="str">
            <v/>
          </cell>
          <cell r="J1374" t="str">
            <v/>
          </cell>
          <cell r="L1374" t="str">
            <v/>
          </cell>
        </row>
        <row r="1375">
          <cell r="D1375" t="str">
            <v/>
          </cell>
          <cell r="E1375" t="str">
            <v/>
          </cell>
          <cell r="J1375" t="str">
            <v/>
          </cell>
          <cell r="L1375" t="str">
            <v/>
          </cell>
        </row>
        <row r="1376">
          <cell r="D1376" t="str">
            <v/>
          </cell>
          <cell r="E1376" t="str">
            <v/>
          </cell>
          <cell r="J1376" t="str">
            <v/>
          </cell>
          <cell r="L1376" t="str">
            <v/>
          </cell>
        </row>
        <row r="1377">
          <cell r="D1377" t="str">
            <v/>
          </cell>
          <cell r="E1377" t="str">
            <v/>
          </cell>
          <cell r="J1377" t="str">
            <v/>
          </cell>
          <cell r="L1377" t="str">
            <v/>
          </cell>
        </row>
        <row r="1378">
          <cell r="D1378" t="str">
            <v/>
          </cell>
          <cell r="E1378" t="str">
            <v/>
          </cell>
          <cell r="J1378" t="str">
            <v/>
          </cell>
          <cell r="L1378" t="str">
            <v/>
          </cell>
        </row>
        <row r="1379">
          <cell r="D1379" t="str">
            <v/>
          </cell>
          <cell r="E1379" t="str">
            <v/>
          </cell>
          <cell r="J1379" t="str">
            <v/>
          </cell>
          <cell r="L1379" t="str">
            <v/>
          </cell>
        </row>
        <row r="1380">
          <cell r="D1380" t="str">
            <v/>
          </cell>
          <cell r="E1380" t="str">
            <v/>
          </cell>
          <cell r="J1380" t="str">
            <v/>
          </cell>
          <cell r="L1380" t="str">
            <v/>
          </cell>
        </row>
        <row r="1381">
          <cell r="D1381" t="str">
            <v/>
          </cell>
          <cell r="E1381" t="str">
            <v/>
          </cell>
          <cell r="J1381" t="str">
            <v/>
          </cell>
          <cell r="L1381" t="str">
            <v/>
          </cell>
        </row>
        <row r="1382">
          <cell r="D1382" t="str">
            <v/>
          </cell>
          <cell r="E1382" t="str">
            <v/>
          </cell>
          <cell r="J1382" t="str">
            <v/>
          </cell>
          <cell r="L1382" t="str">
            <v/>
          </cell>
        </row>
        <row r="1383">
          <cell r="D1383" t="str">
            <v/>
          </cell>
          <cell r="E1383" t="str">
            <v/>
          </cell>
          <cell r="J1383" t="str">
            <v/>
          </cell>
          <cell r="L1383" t="str">
            <v/>
          </cell>
        </row>
        <row r="1384">
          <cell r="D1384" t="str">
            <v/>
          </cell>
          <cell r="E1384" t="str">
            <v/>
          </cell>
          <cell r="J1384" t="str">
            <v/>
          </cell>
          <cell r="L1384" t="str">
            <v/>
          </cell>
        </row>
        <row r="1385">
          <cell r="D1385" t="str">
            <v/>
          </cell>
          <cell r="E1385" t="str">
            <v/>
          </cell>
          <cell r="J1385" t="str">
            <v/>
          </cell>
          <cell r="L1385" t="str">
            <v/>
          </cell>
        </row>
        <row r="1386">
          <cell r="D1386" t="str">
            <v/>
          </cell>
          <cell r="E1386" t="str">
            <v/>
          </cell>
          <cell r="J1386" t="str">
            <v/>
          </cell>
          <cell r="L1386" t="str">
            <v/>
          </cell>
        </row>
        <row r="1387">
          <cell r="D1387" t="str">
            <v/>
          </cell>
          <cell r="E1387" t="str">
            <v/>
          </cell>
          <cell r="J1387" t="str">
            <v/>
          </cell>
          <cell r="L1387" t="str">
            <v/>
          </cell>
        </row>
        <row r="1388">
          <cell r="D1388" t="str">
            <v/>
          </cell>
          <cell r="E1388" t="str">
            <v/>
          </cell>
          <cell r="J1388" t="str">
            <v/>
          </cell>
          <cell r="L1388" t="str">
            <v/>
          </cell>
        </row>
        <row r="1389">
          <cell r="D1389" t="str">
            <v/>
          </cell>
          <cell r="E1389" t="str">
            <v/>
          </cell>
          <cell r="J1389" t="str">
            <v/>
          </cell>
          <cell r="L1389" t="str">
            <v/>
          </cell>
        </row>
        <row r="1390">
          <cell r="D1390" t="str">
            <v/>
          </cell>
          <cell r="E1390" t="str">
            <v/>
          </cell>
          <cell r="J1390" t="str">
            <v/>
          </cell>
          <cell r="L1390" t="str">
            <v/>
          </cell>
        </row>
        <row r="1391">
          <cell r="D1391" t="str">
            <v/>
          </cell>
          <cell r="E1391" t="str">
            <v/>
          </cell>
          <cell r="J1391" t="str">
            <v/>
          </cell>
          <cell r="L1391" t="str">
            <v/>
          </cell>
        </row>
        <row r="1392">
          <cell r="D1392" t="str">
            <v/>
          </cell>
          <cell r="E1392" t="str">
            <v/>
          </cell>
          <cell r="J1392" t="str">
            <v/>
          </cell>
          <cell r="L1392" t="str">
            <v/>
          </cell>
        </row>
        <row r="1393">
          <cell r="D1393" t="str">
            <v/>
          </cell>
          <cell r="E1393" t="str">
            <v/>
          </cell>
          <cell r="J1393" t="str">
            <v/>
          </cell>
          <cell r="L1393" t="str">
            <v/>
          </cell>
        </row>
        <row r="1394">
          <cell r="D1394" t="str">
            <v/>
          </cell>
          <cell r="E1394" t="str">
            <v/>
          </cell>
          <cell r="J1394" t="str">
            <v/>
          </cell>
          <cell r="L1394" t="str">
            <v/>
          </cell>
        </row>
        <row r="1395">
          <cell r="D1395" t="str">
            <v/>
          </cell>
          <cell r="E1395" t="str">
            <v/>
          </cell>
          <cell r="J1395" t="str">
            <v/>
          </cell>
          <cell r="L1395" t="str">
            <v/>
          </cell>
        </row>
        <row r="1396">
          <cell r="D1396" t="str">
            <v/>
          </cell>
          <cell r="E1396" t="str">
            <v/>
          </cell>
          <cell r="J1396" t="str">
            <v/>
          </cell>
          <cell r="L1396" t="str">
            <v/>
          </cell>
        </row>
        <row r="1397">
          <cell r="D1397" t="str">
            <v/>
          </cell>
          <cell r="E1397" t="str">
            <v/>
          </cell>
          <cell r="J1397" t="str">
            <v/>
          </cell>
          <cell r="L1397" t="str">
            <v/>
          </cell>
        </row>
        <row r="1398">
          <cell r="D1398" t="str">
            <v/>
          </cell>
          <cell r="E1398" t="str">
            <v/>
          </cell>
          <cell r="J1398" t="str">
            <v/>
          </cell>
          <cell r="L1398" t="str">
            <v/>
          </cell>
        </row>
        <row r="1399">
          <cell r="D1399" t="str">
            <v/>
          </cell>
          <cell r="E1399" t="str">
            <v/>
          </cell>
          <cell r="J1399" t="str">
            <v/>
          </cell>
          <cell r="L1399" t="str">
            <v/>
          </cell>
        </row>
        <row r="1400">
          <cell r="D1400" t="str">
            <v/>
          </cell>
          <cell r="E1400" t="str">
            <v/>
          </cell>
          <cell r="J1400" t="str">
            <v/>
          </cell>
          <cell r="L1400" t="str">
            <v/>
          </cell>
        </row>
        <row r="1401">
          <cell r="D1401" t="str">
            <v/>
          </cell>
          <cell r="E1401" t="str">
            <v/>
          </cell>
          <cell r="J1401" t="str">
            <v/>
          </cell>
          <cell r="L1401" t="str">
            <v/>
          </cell>
        </row>
        <row r="1402">
          <cell r="D1402" t="str">
            <v/>
          </cell>
          <cell r="E1402" t="str">
            <v/>
          </cell>
          <cell r="J1402" t="str">
            <v/>
          </cell>
          <cell r="L1402" t="str">
            <v/>
          </cell>
        </row>
        <row r="1403">
          <cell r="D1403" t="str">
            <v/>
          </cell>
          <cell r="E1403" t="str">
            <v/>
          </cell>
          <cell r="J1403" t="str">
            <v/>
          </cell>
          <cell r="L1403" t="str">
            <v/>
          </cell>
        </row>
        <row r="1404">
          <cell r="D1404" t="str">
            <v/>
          </cell>
          <cell r="E1404" t="str">
            <v/>
          </cell>
          <cell r="J1404" t="str">
            <v/>
          </cell>
          <cell r="L1404" t="str">
            <v/>
          </cell>
        </row>
        <row r="1405">
          <cell r="D1405" t="str">
            <v/>
          </cell>
          <cell r="E1405" t="str">
            <v/>
          </cell>
          <cell r="J1405" t="str">
            <v/>
          </cell>
          <cell r="L1405" t="str">
            <v/>
          </cell>
        </row>
        <row r="1406">
          <cell r="D1406" t="str">
            <v/>
          </cell>
          <cell r="E1406" t="str">
            <v/>
          </cell>
          <cell r="J1406" t="str">
            <v/>
          </cell>
          <cell r="L1406" t="str">
            <v/>
          </cell>
        </row>
        <row r="1407">
          <cell r="D1407" t="str">
            <v/>
          </cell>
          <cell r="E1407" t="str">
            <v/>
          </cell>
          <cell r="J1407" t="str">
            <v/>
          </cell>
          <cell r="L1407" t="str">
            <v/>
          </cell>
        </row>
        <row r="1408">
          <cell r="D1408" t="str">
            <v/>
          </cell>
          <cell r="E1408" t="str">
            <v/>
          </cell>
          <cell r="J1408" t="str">
            <v/>
          </cell>
          <cell r="L1408" t="str">
            <v/>
          </cell>
        </row>
        <row r="1409">
          <cell r="D1409" t="str">
            <v/>
          </cell>
          <cell r="E1409" t="str">
            <v/>
          </cell>
          <cell r="J1409" t="str">
            <v/>
          </cell>
          <cell r="L1409" t="str">
            <v/>
          </cell>
        </row>
        <row r="1410">
          <cell r="D1410" t="str">
            <v/>
          </cell>
          <cell r="E1410" t="str">
            <v/>
          </cell>
          <cell r="J1410" t="str">
            <v/>
          </cell>
          <cell r="L1410" t="str">
            <v/>
          </cell>
        </row>
        <row r="1411">
          <cell r="D1411" t="str">
            <v/>
          </cell>
          <cell r="E1411" t="str">
            <v/>
          </cell>
          <cell r="J1411" t="str">
            <v/>
          </cell>
          <cell r="L1411" t="str">
            <v/>
          </cell>
        </row>
        <row r="1412">
          <cell r="D1412" t="str">
            <v/>
          </cell>
          <cell r="E1412" t="str">
            <v/>
          </cell>
          <cell r="J1412" t="str">
            <v/>
          </cell>
          <cell r="L1412" t="str">
            <v/>
          </cell>
        </row>
        <row r="1413">
          <cell r="D1413" t="str">
            <v/>
          </cell>
          <cell r="E1413" t="str">
            <v/>
          </cell>
          <cell r="J1413" t="str">
            <v/>
          </cell>
          <cell r="L1413" t="str">
            <v/>
          </cell>
        </row>
        <row r="1414">
          <cell r="D1414" t="str">
            <v/>
          </cell>
          <cell r="E1414" t="str">
            <v/>
          </cell>
          <cell r="J1414" t="str">
            <v/>
          </cell>
          <cell r="L1414" t="str">
            <v/>
          </cell>
        </row>
        <row r="1415">
          <cell r="D1415" t="str">
            <v/>
          </cell>
          <cell r="E1415" t="str">
            <v/>
          </cell>
          <cell r="J1415" t="str">
            <v/>
          </cell>
          <cell r="L1415" t="str">
            <v/>
          </cell>
        </row>
        <row r="1416">
          <cell r="D1416" t="str">
            <v/>
          </cell>
          <cell r="E1416" t="str">
            <v/>
          </cell>
          <cell r="J1416" t="str">
            <v/>
          </cell>
          <cell r="L1416" t="str">
            <v/>
          </cell>
        </row>
        <row r="1417">
          <cell r="D1417" t="str">
            <v/>
          </cell>
          <cell r="E1417" t="str">
            <v/>
          </cell>
          <cell r="J1417" t="str">
            <v/>
          </cell>
          <cell r="L1417" t="str">
            <v/>
          </cell>
        </row>
        <row r="1418">
          <cell r="D1418" t="str">
            <v/>
          </cell>
          <cell r="E1418" t="str">
            <v/>
          </cell>
          <cell r="J1418" t="str">
            <v/>
          </cell>
          <cell r="L1418" t="str">
            <v/>
          </cell>
        </row>
        <row r="1419">
          <cell r="D1419" t="str">
            <v/>
          </cell>
          <cell r="E1419" t="str">
            <v/>
          </cell>
          <cell r="J1419" t="str">
            <v/>
          </cell>
          <cell r="L1419" t="str">
            <v/>
          </cell>
        </row>
        <row r="1420">
          <cell r="D1420" t="str">
            <v/>
          </cell>
          <cell r="E1420" t="str">
            <v/>
          </cell>
          <cell r="J1420" t="str">
            <v/>
          </cell>
          <cell r="L1420" t="str">
            <v/>
          </cell>
        </row>
        <row r="1421">
          <cell r="D1421" t="str">
            <v/>
          </cell>
          <cell r="E1421" t="str">
            <v/>
          </cell>
          <cell r="J1421" t="str">
            <v/>
          </cell>
          <cell r="L1421" t="str">
            <v/>
          </cell>
        </row>
        <row r="1422">
          <cell r="D1422" t="str">
            <v/>
          </cell>
          <cell r="E1422" t="str">
            <v/>
          </cell>
          <cell r="J1422" t="str">
            <v/>
          </cell>
          <cell r="L1422" t="str">
            <v/>
          </cell>
        </row>
        <row r="1423">
          <cell r="D1423" t="str">
            <v/>
          </cell>
          <cell r="E1423" t="str">
            <v/>
          </cell>
          <cell r="J1423" t="str">
            <v/>
          </cell>
          <cell r="L1423" t="str">
            <v/>
          </cell>
        </row>
        <row r="1424">
          <cell r="D1424" t="str">
            <v/>
          </cell>
          <cell r="E1424" t="str">
            <v/>
          </cell>
          <cell r="J1424" t="str">
            <v/>
          </cell>
          <cell r="L1424" t="str">
            <v/>
          </cell>
        </row>
        <row r="1425">
          <cell r="D1425" t="str">
            <v/>
          </cell>
          <cell r="E1425" t="str">
            <v/>
          </cell>
          <cell r="J1425" t="str">
            <v/>
          </cell>
          <cell r="L1425" t="str">
            <v/>
          </cell>
        </row>
        <row r="1426">
          <cell r="D1426" t="str">
            <v/>
          </cell>
          <cell r="E1426" t="str">
            <v/>
          </cell>
          <cell r="J1426" t="str">
            <v/>
          </cell>
          <cell r="L1426" t="str">
            <v/>
          </cell>
        </row>
        <row r="1427">
          <cell r="D1427" t="str">
            <v/>
          </cell>
          <cell r="E1427" t="str">
            <v/>
          </cell>
          <cell r="J1427" t="str">
            <v/>
          </cell>
          <cell r="L1427" t="str">
            <v/>
          </cell>
        </row>
        <row r="1428">
          <cell r="D1428" t="str">
            <v/>
          </cell>
          <cell r="E1428" t="str">
            <v/>
          </cell>
          <cell r="J1428" t="str">
            <v/>
          </cell>
          <cell r="L1428" t="str">
            <v/>
          </cell>
        </row>
        <row r="1429">
          <cell r="D1429" t="str">
            <v/>
          </cell>
          <cell r="E1429" t="str">
            <v/>
          </cell>
          <cell r="J1429" t="str">
            <v/>
          </cell>
          <cell r="L1429" t="str">
            <v/>
          </cell>
        </row>
        <row r="1430">
          <cell r="D1430" t="str">
            <v/>
          </cell>
          <cell r="E1430" t="str">
            <v/>
          </cell>
          <cell r="J1430" t="str">
            <v/>
          </cell>
          <cell r="L1430" t="str">
            <v/>
          </cell>
        </row>
        <row r="1431">
          <cell r="D1431" t="str">
            <v/>
          </cell>
          <cell r="E1431" t="str">
            <v/>
          </cell>
          <cell r="J1431" t="str">
            <v/>
          </cell>
          <cell r="L1431" t="str">
            <v/>
          </cell>
        </row>
        <row r="1432">
          <cell r="D1432" t="str">
            <v/>
          </cell>
          <cell r="E1432" t="str">
            <v/>
          </cell>
          <cell r="J1432" t="str">
            <v/>
          </cell>
          <cell r="L1432" t="str">
            <v/>
          </cell>
        </row>
        <row r="1433">
          <cell r="D1433" t="str">
            <v/>
          </cell>
          <cell r="E1433" t="str">
            <v/>
          </cell>
          <cell r="J1433" t="str">
            <v/>
          </cell>
          <cell r="L1433" t="str">
            <v/>
          </cell>
        </row>
        <row r="1434">
          <cell r="D1434" t="str">
            <v/>
          </cell>
          <cell r="E1434" t="str">
            <v/>
          </cell>
          <cell r="J1434" t="str">
            <v/>
          </cell>
          <cell r="L1434" t="str">
            <v/>
          </cell>
        </row>
        <row r="1435">
          <cell r="D1435" t="str">
            <v/>
          </cell>
          <cell r="E1435" t="str">
            <v/>
          </cell>
          <cell r="J1435" t="str">
            <v/>
          </cell>
          <cell r="L1435" t="str">
            <v/>
          </cell>
        </row>
        <row r="1436">
          <cell r="D1436" t="str">
            <v/>
          </cell>
          <cell r="E1436" t="str">
            <v/>
          </cell>
          <cell r="J1436" t="str">
            <v/>
          </cell>
          <cell r="L1436" t="str">
            <v/>
          </cell>
        </row>
        <row r="1437">
          <cell r="D1437" t="str">
            <v/>
          </cell>
          <cell r="E1437" t="str">
            <v/>
          </cell>
          <cell r="J1437" t="str">
            <v/>
          </cell>
          <cell r="L1437" t="str">
            <v/>
          </cell>
        </row>
        <row r="1438">
          <cell r="D1438" t="str">
            <v/>
          </cell>
          <cell r="E1438" t="str">
            <v/>
          </cell>
          <cell r="J1438" t="str">
            <v/>
          </cell>
          <cell r="L1438" t="str">
            <v/>
          </cell>
        </row>
        <row r="1439">
          <cell r="D1439" t="str">
            <v/>
          </cell>
          <cell r="E1439" t="str">
            <v/>
          </cell>
          <cell r="J1439" t="str">
            <v/>
          </cell>
          <cell r="L1439" t="str">
            <v/>
          </cell>
        </row>
        <row r="1440">
          <cell r="D1440" t="str">
            <v/>
          </cell>
          <cell r="E1440" t="str">
            <v/>
          </cell>
          <cell r="J1440" t="str">
            <v/>
          </cell>
          <cell r="L1440" t="str">
            <v/>
          </cell>
        </row>
        <row r="1441">
          <cell r="D1441" t="str">
            <v/>
          </cell>
          <cell r="E1441" t="str">
            <v/>
          </cell>
          <cell r="J1441" t="str">
            <v/>
          </cell>
          <cell r="L1441" t="str">
            <v/>
          </cell>
        </row>
        <row r="1442">
          <cell r="D1442" t="str">
            <v/>
          </cell>
          <cell r="E1442" t="str">
            <v/>
          </cell>
          <cell r="J1442" t="str">
            <v/>
          </cell>
          <cell r="L1442" t="str">
            <v/>
          </cell>
        </row>
        <row r="1443">
          <cell r="D1443" t="str">
            <v/>
          </cell>
          <cell r="E1443" t="str">
            <v/>
          </cell>
          <cell r="J1443" t="str">
            <v/>
          </cell>
          <cell r="L1443" t="str">
            <v/>
          </cell>
        </row>
        <row r="1444">
          <cell r="D1444" t="str">
            <v/>
          </cell>
          <cell r="E1444" t="str">
            <v/>
          </cell>
          <cell r="J1444" t="str">
            <v/>
          </cell>
          <cell r="L1444" t="str">
            <v/>
          </cell>
        </row>
        <row r="1445">
          <cell r="D1445" t="str">
            <v/>
          </cell>
          <cell r="E1445" t="str">
            <v/>
          </cell>
          <cell r="J1445" t="str">
            <v/>
          </cell>
          <cell r="L1445" t="str">
            <v/>
          </cell>
        </row>
        <row r="1446">
          <cell r="D1446" t="str">
            <v/>
          </cell>
          <cell r="E1446" t="str">
            <v/>
          </cell>
          <cell r="J1446" t="str">
            <v/>
          </cell>
          <cell r="L1446" t="str">
            <v/>
          </cell>
        </row>
        <row r="1447">
          <cell r="D1447" t="str">
            <v/>
          </cell>
          <cell r="E1447" t="str">
            <v/>
          </cell>
          <cell r="J1447" t="str">
            <v/>
          </cell>
          <cell r="L1447" t="str">
            <v/>
          </cell>
        </row>
        <row r="1448">
          <cell r="D1448" t="str">
            <v/>
          </cell>
          <cell r="E1448" t="str">
            <v/>
          </cell>
          <cell r="J1448" t="str">
            <v/>
          </cell>
          <cell r="L1448" t="str">
            <v/>
          </cell>
        </row>
        <row r="1449">
          <cell r="D1449" t="str">
            <v/>
          </cell>
          <cell r="E1449" t="str">
            <v/>
          </cell>
          <cell r="J1449" t="str">
            <v/>
          </cell>
          <cell r="L1449" t="str">
            <v/>
          </cell>
        </row>
        <row r="1450">
          <cell r="D1450" t="str">
            <v/>
          </cell>
          <cell r="E1450" t="str">
            <v/>
          </cell>
          <cell r="J1450" t="str">
            <v/>
          </cell>
          <cell r="L1450" t="str">
            <v/>
          </cell>
        </row>
        <row r="1451">
          <cell r="D1451" t="str">
            <v/>
          </cell>
          <cell r="E1451" t="str">
            <v/>
          </cell>
          <cell r="J1451" t="str">
            <v/>
          </cell>
          <cell r="L1451" t="str">
            <v/>
          </cell>
        </row>
        <row r="1452">
          <cell r="D1452" t="str">
            <v/>
          </cell>
          <cell r="E1452" t="str">
            <v/>
          </cell>
          <cell r="J1452" t="str">
            <v/>
          </cell>
          <cell r="L1452" t="str">
            <v/>
          </cell>
        </row>
        <row r="1453">
          <cell r="D1453" t="str">
            <v/>
          </cell>
          <cell r="E1453" t="str">
            <v/>
          </cell>
          <cell r="J1453" t="str">
            <v/>
          </cell>
          <cell r="L1453" t="str">
            <v/>
          </cell>
        </row>
        <row r="1454">
          <cell r="D1454" t="str">
            <v/>
          </cell>
          <cell r="E1454" t="str">
            <v/>
          </cell>
          <cell r="J1454" t="str">
            <v/>
          </cell>
          <cell r="L1454" t="str">
            <v/>
          </cell>
        </row>
        <row r="1455">
          <cell r="D1455" t="str">
            <v/>
          </cell>
          <cell r="E1455" t="str">
            <v/>
          </cell>
          <cell r="J1455" t="str">
            <v/>
          </cell>
          <cell r="L1455" t="str">
            <v/>
          </cell>
        </row>
        <row r="1456">
          <cell r="D1456" t="str">
            <v/>
          </cell>
          <cell r="E1456" t="str">
            <v/>
          </cell>
          <cell r="J1456" t="str">
            <v/>
          </cell>
          <cell r="L1456" t="str">
            <v/>
          </cell>
        </row>
        <row r="1457">
          <cell r="D1457" t="str">
            <v/>
          </cell>
          <cell r="E1457" t="str">
            <v/>
          </cell>
          <cell r="J1457" t="str">
            <v/>
          </cell>
          <cell r="L1457" t="str">
            <v/>
          </cell>
        </row>
        <row r="1458">
          <cell r="D1458" t="str">
            <v/>
          </cell>
          <cell r="E1458" t="str">
            <v/>
          </cell>
          <cell r="J1458" t="str">
            <v/>
          </cell>
          <cell r="L1458" t="str">
            <v/>
          </cell>
        </row>
        <row r="1459">
          <cell r="D1459" t="str">
            <v/>
          </cell>
          <cell r="E1459" t="str">
            <v/>
          </cell>
          <cell r="J1459" t="str">
            <v/>
          </cell>
          <cell r="L1459" t="str">
            <v/>
          </cell>
        </row>
        <row r="1460">
          <cell r="D1460" t="str">
            <v/>
          </cell>
          <cell r="E1460" t="str">
            <v/>
          </cell>
          <cell r="J1460" t="str">
            <v/>
          </cell>
          <cell r="L1460" t="str">
            <v/>
          </cell>
        </row>
        <row r="1461">
          <cell r="D1461" t="str">
            <v/>
          </cell>
          <cell r="E1461" t="str">
            <v/>
          </cell>
          <cell r="J1461" t="str">
            <v/>
          </cell>
          <cell r="L1461" t="str">
            <v/>
          </cell>
        </row>
        <row r="1462">
          <cell r="D1462" t="str">
            <v/>
          </cell>
          <cell r="E1462" t="str">
            <v/>
          </cell>
          <cell r="J1462" t="str">
            <v/>
          </cell>
          <cell r="L1462" t="str">
            <v/>
          </cell>
        </row>
        <row r="1463">
          <cell r="D1463" t="str">
            <v/>
          </cell>
          <cell r="E1463" t="str">
            <v/>
          </cell>
          <cell r="J1463" t="str">
            <v/>
          </cell>
          <cell r="L1463" t="str">
            <v/>
          </cell>
        </row>
        <row r="1464">
          <cell r="D1464" t="str">
            <v/>
          </cell>
          <cell r="E1464" t="str">
            <v/>
          </cell>
          <cell r="J1464" t="str">
            <v/>
          </cell>
          <cell r="L1464" t="str">
            <v/>
          </cell>
        </row>
        <row r="1465">
          <cell r="D1465" t="str">
            <v/>
          </cell>
          <cell r="E1465" t="str">
            <v/>
          </cell>
          <cell r="J1465" t="str">
            <v/>
          </cell>
          <cell r="L1465" t="str">
            <v/>
          </cell>
        </row>
        <row r="1466">
          <cell r="D1466" t="str">
            <v/>
          </cell>
          <cell r="E1466" t="str">
            <v/>
          </cell>
          <cell r="J1466" t="str">
            <v/>
          </cell>
          <cell r="L1466" t="str">
            <v/>
          </cell>
        </row>
        <row r="1467">
          <cell r="D1467" t="str">
            <v/>
          </cell>
          <cell r="E1467" t="str">
            <v/>
          </cell>
          <cell r="J1467" t="str">
            <v/>
          </cell>
          <cell r="L1467" t="str">
            <v/>
          </cell>
        </row>
        <row r="1468">
          <cell r="D1468" t="str">
            <v/>
          </cell>
          <cell r="E1468" t="str">
            <v/>
          </cell>
          <cell r="J1468" t="str">
            <v/>
          </cell>
          <cell r="L1468" t="str">
            <v/>
          </cell>
        </row>
        <row r="1469">
          <cell r="D1469" t="str">
            <v/>
          </cell>
          <cell r="E1469" t="str">
            <v/>
          </cell>
          <cell r="J1469" t="str">
            <v/>
          </cell>
          <cell r="L1469" t="str">
            <v/>
          </cell>
        </row>
        <row r="1470">
          <cell r="D1470" t="str">
            <v/>
          </cell>
          <cell r="E1470" t="str">
            <v/>
          </cell>
          <cell r="J1470" t="str">
            <v/>
          </cell>
          <cell r="L1470" t="str">
            <v/>
          </cell>
        </row>
        <row r="1471">
          <cell r="D1471" t="str">
            <v/>
          </cell>
          <cell r="E1471" t="str">
            <v/>
          </cell>
          <cell r="J1471" t="str">
            <v/>
          </cell>
          <cell r="L1471" t="str">
            <v/>
          </cell>
        </row>
        <row r="1472">
          <cell r="D1472" t="str">
            <v/>
          </cell>
          <cell r="E1472" t="str">
            <v/>
          </cell>
          <cell r="J1472" t="str">
            <v/>
          </cell>
          <cell r="L1472" t="str">
            <v/>
          </cell>
        </row>
        <row r="1473">
          <cell r="D1473" t="str">
            <v/>
          </cell>
          <cell r="E1473" t="str">
            <v/>
          </cell>
          <cell r="J1473" t="str">
            <v/>
          </cell>
          <cell r="L1473" t="str">
            <v/>
          </cell>
        </row>
        <row r="1474">
          <cell r="D1474" t="str">
            <v/>
          </cell>
          <cell r="E1474" t="str">
            <v/>
          </cell>
          <cell r="J1474" t="str">
            <v/>
          </cell>
          <cell r="L1474" t="str">
            <v/>
          </cell>
        </row>
        <row r="1475">
          <cell r="D1475" t="str">
            <v/>
          </cell>
          <cell r="E1475" t="str">
            <v/>
          </cell>
          <cell r="J1475" t="str">
            <v/>
          </cell>
          <cell r="L1475" t="str">
            <v/>
          </cell>
        </row>
        <row r="1476">
          <cell r="D1476" t="str">
            <v/>
          </cell>
          <cell r="E1476" t="str">
            <v/>
          </cell>
          <cell r="J1476" t="str">
            <v/>
          </cell>
          <cell r="L1476" t="str">
            <v/>
          </cell>
        </row>
        <row r="1477">
          <cell r="D1477" t="str">
            <v/>
          </cell>
          <cell r="E1477" t="str">
            <v/>
          </cell>
          <cell r="J1477" t="str">
            <v/>
          </cell>
          <cell r="L1477" t="str">
            <v/>
          </cell>
        </row>
        <row r="1478">
          <cell r="D1478" t="str">
            <v/>
          </cell>
          <cell r="E1478" t="str">
            <v/>
          </cell>
          <cell r="J1478" t="str">
            <v/>
          </cell>
          <cell r="L1478" t="str">
            <v/>
          </cell>
        </row>
        <row r="1479">
          <cell r="D1479" t="str">
            <v/>
          </cell>
          <cell r="E1479" t="str">
            <v/>
          </cell>
          <cell r="J1479" t="str">
            <v/>
          </cell>
          <cell r="L1479" t="str">
            <v/>
          </cell>
        </row>
        <row r="1480">
          <cell r="D1480" t="str">
            <v/>
          </cell>
          <cell r="E1480" t="str">
            <v/>
          </cell>
          <cell r="J1480" t="str">
            <v/>
          </cell>
          <cell r="L1480" t="str">
            <v/>
          </cell>
        </row>
        <row r="1481">
          <cell r="D1481" t="str">
            <v/>
          </cell>
          <cell r="E1481" t="str">
            <v/>
          </cell>
          <cell r="J1481" t="str">
            <v/>
          </cell>
          <cell r="L1481" t="str">
            <v/>
          </cell>
        </row>
        <row r="1482">
          <cell r="D1482" t="str">
            <v/>
          </cell>
          <cell r="E1482" t="str">
            <v/>
          </cell>
          <cell r="J1482" t="str">
            <v/>
          </cell>
          <cell r="L1482" t="str">
            <v/>
          </cell>
        </row>
        <row r="1483">
          <cell r="D1483" t="str">
            <v/>
          </cell>
          <cell r="E1483" t="str">
            <v/>
          </cell>
          <cell r="J1483" t="str">
            <v/>
          </cell>
          <cell r="L1483" t="str">
            <v/>
          </cell>
        </row>
        <row r="1484">
          <cell r="D1484" t="str">
            <v/>
          </cell>
          <cell r="E1484" t="str">
            <v/>
          </cell>
          <cell r="J1484" t="str">
            <v/>
          </cell>
          <cell r="L1484" t="str">
            <v/>
          </cell>
        </row>
        <row r="1485">
          <cell r="D1485" t="str">
            <v/>
          </cell>
          <cell r="E1485" t="str">
            <v/>
          </cell>
          <cell r="J1485" t="str">
            <v/>
          </cell>
          <cell r="L1485" t="str">
            <v/>
          </cell>
        </row>
        <row r="1486">
          <cell r="D1486" t="str">
            <v/>
          </cell>
          <cell r="E1486" t="str">
            <v/>
          </cell>
          <cell r="J1486" t="str">
            <v/>
          </cell>
          <cell r="L1486" t="str">
            <v/>
          </cell>
        </row>
        <row r="1487">
          <cell r="D1487" t="str">
            <v/>
          </cell>
          <cell r="E1487" t="str">
            <v/>
          </cell>
          <cell r="J1487" t="str">
            <v/>
          </cell>
          <cell r="L1487" t="str">
            <v/>
          </cell>
        </row>
        <row r="1488">
          <cell r="D1488" t="str">
            <v/>
          </cell>
          <cell r="E1488" t="str">
            <v/>
          </cell>
          <cell r="J1488" t="str">
            <v/>
          </cell>
          <cell r="L1488" t="str">
            <v/>
          </cell>
        </row>
        <row r="1489">
          <cell r="D1489" t="str">
            <v/>
          </cell>
          <cell r="E1489" t="str">
            <v/>
          </cell>
          <cell r="J1489" t="str">
            <v/>
          </cell>
          <cell r="L1489" t="str">
            <v/>
          </cell>
        </row>
        <row r="1490">
          <cell r="D1490" t="str">
            <v/>
          </cell>
          <cell r="E1490" t="str">
            <v/>
          </cell>
          <cell r="J1490" t="str">
            <v/>
          </cell>
          <cell r="L1490" t="str">
            <v/>
          </cell>
        </row>
        <row r="1491">
          <cell r="D1491" t="str">
            <v/>
          </cell>
          <cell r="E1491" t="str">
            <v/>
          </cell>
          <cell r="J1491" t="str">
            <v/>
          </cell>
          <cell r="L1491" t="str">
            <v/>
          </cell>
        </row>
        <row r="1492">
          <cell r="D1492" t="str">
            <v/>
          </cell>
          <cell r="E1492" t="str">
            <v/>
          </cell>
          <cell r="J1492" t="str">
            <v/>
          </cell>
          <cell r="L1492" t="str">
            <v/>
          </cell>
        </row>
        <row r="1493">
          <cell r="D1493" t="str">
            <v/>
          </cell>
          <cell r="E1493" t="str">
            <v/>
          </cell>
          <cell r="J1493" t="str">
            <v/>
          </cell>
          <cell r="L1493" t="str">
            <v/>
          </cell>
        </row>
        <row r="1494">
          <cell r="D1494" t="str">
            <v/>
          </cell>
          <cell r="E1494" t="str">
            <v/>
          </cell>
          <cell r="J1494" t="str">
            <v/>
          </cell>
          <cell r="L1494" t="str">
            <v/>
          </cell>
        </row>
        <row r="1495">
          <cell r="D1495" t="str">
            <v/>
          </cell>
          <cell r="E1495" t="str">
            <v/>
          </cell>
          <cell r="J1495" t="str">
            <v/>
          </cell>
          <cell r="L1495" t="str">
            <v/>
          </cell>
        </row>
        <row r="1496">
          <cell r="D1496" t="str">
            <v/>
          </cell>
          <cell r="E1496" t="str">
            <v/>
          </cell>
          <cell r="J1496" t="str">
            <v/>
          </cell>
          <cell r="L1496" t="str">
            <v/>
          </cell>
        </row>
        <row r="1497">
          <cell r="D1497" t="str">
            <v/>
          </cell>
          <cell r="E1497" t="str">
            <v/>
          </cell>
          <cell r="J1497" t="str">
            <v/>
          </cell>
          <cell r="L1497" t="str">
            <v/>
          </cell>
        </row>
        <row r="1498">
          <cell r="D1498" t="str">
            <v/>
          </cell>
          <cell r="E1498" t="str">
            <v/>
          </cell>
          <cell r="J1498" t="str">
            <v/>
          </cell>
          <cell r="L1498" t="str">
            <v/>
          </cell>
        </row>
        <row r="1499">
          <cell r="D1499" t="str">
            <v/>
          </cell>
          <cell r="E1499" t="str">
            <v/>
          </cell>
          <cell r="J1499" t="str">
            <v/>
          </cell>
          <cell r="L1499" t="str">
            <v/>
          </cell>
        </row>
        <row r="1500">
          <cell r="D1500" t="str">
            <v/>
          </cell>
          <cell r="E1500" t="str">
            <v/>
          </cell>
          <cell r="J1500" t="str">
            <v/>
          </cell>
          <cell r="L1500" t="str">
            <v/>
          </cell>
        </row>
        <row r="1501">
          <cell r="D1501" t="str">
            <v/>
          </cell>
          <cell r="E1501" t="str">
            <v/>
          </cell>
          <cell r="J1501" t="str">
            <v/>
          </cell>
          <cell r="L1501" t="str">
            <v/>
          </cell>
        </row>
        <row r="1502">
          <cell r="D1502" t="str">
            <v/>
          </cell>
          <cell r="E1502" t="str">
            <v/>
          </cell>
          <cell r="J1502" t="str">
            <v/>
          </cell>
          <cell r="L1502" t="str">
            <v/>
          </cell>
        </row>
      </sheetData>
      <sheetData sheetId="1">
        <row r="185">
          <cell r="A185" t="str">
            <v>🔗</v>
          </cell>
          <cell r="B185" t="str">
            <v>Segments</v>
          </cell>
          <cell r="C185" t="str">
            <v>Operating Income</v>
          </cell>
          <cell r="E185"/>
          <cell r="F185">
            <v>31892.436349148422</v>
          </cell>
          <cell r="G185">
            <v>27023.962391597841</v>
          </cell>
          <cell r="H185">
            <v>23095.387298961694</v>
          </cell>
          <cell r="I185">
            <v>21225.405432997883</v>
          </cell>
          <cell r="J185">
            <v>18554</v>
          </cell>
          <cell r="K185">
            <v>15278</v>
          </cell>
          <cell r="L185">
            <v>13824</v>
          </cell>
          <cell r="M185">
            <v>12127</v>
          </cell>
          <cell r="O185"/>
          <cell r="P185"/>
          <cell r="Q185"/>
          <cell r="R185"/>
          <cell r="S185"/>
          <cell r="T185"/>
          <cell r="U185"/>
          <cell r="V185"/>
          <cell r="W185" t="str">
            <v>ARD_OPERATING_INCOME</v>
          </cell>
          <cell r="X185">
            <v>18554</v>
          </cell>
          <cell r="Y185">
            <v>15278</v>
          </cell>
          <cell r="Z185">
            <v>13824</v>
          </cell>
          <cell r="AA185">
            <v>12127</v>
          </cell>
          <cell r="AB185">
            <v>10079</v>
          </cell>
          <cell r="AC185">
            <v>7982</v>
          </cell>
          <cell r="AD185">
            <v>9932</v>
          </cell>
          <cell r="AE185">
            <v>7589</v>
          </cell>
          <cell r="AF185">
            <v>6622</v>
          </cell>
          <cell r="AG185">
            <v>5761</v>
          </cell>
          <cell r="AH185">
            <v>5078</v>
          </cell>
          <cell r="AI185">
            <v>5106</v>
          </cell>
          <cell r="AJ185">
            <v>4503</v>
          </cell>
          <cell r="AK185">
            <v>3937</v>
          </cell>
          <cell r="AL185"/>
          <cell r="AM185"/>
          <cell r="AN185"/>
          <cell r="AO185"/>
          <cell r="AP185"/>
          <cell r="AQ185"/>
          <cell r="AR185"/>
          <cell r="AS185"/>
        </row>
        <row r="195">
          <cell r="A195" t="str">
            <v>🔗</v>
          </cell>
          <cell r="B195" t="str">
            <v>Segments</v>
          </cell>
          <cell r="C195" t="str">
            <v>Interest Expense</v>
          </cell>
          <cell r="D195"/>
          <cell r="E195"/>
          <cell r="F195">
            <v>910.08</v>
          </cell>
          <cell r="G195">
            <v>910.08</v>
          </cell>
          <cell r="H195">
            <v>910.08</v>
          </cell>
          <cell r="I195">
            <v>755</v>
          </cell>
          <cell r="J195">
            <v>722</v>
          </cell>
          <cell r="K195">
            <v>646</v>
          </cell>
          <cell r="L195">
            <v>575</v>
          </cell>
          <cell r="M195">
            <v>471</v>
          </cell>
          <cell r="N195"/>
          <cell r="O195"/>
          <cell r="P195"/>
          <cell r="Q195"/>
          <cell r="R195"/>
          <cell r="S195"/>
          <cell r="T195"/>
          <cell r="U195"/>
          <cell r="V195" t="str">
            <v>IS_INTRST_EXPNSE_COMPNY_BASIS</v>
          </cell>
          <cell r="W195" t="str">
            <v>IS_INT_EXPENSE</v>
          </cell>
          <cell r="X195">
            <v>722</v>
          </cell>
          <cell r="Y195">
            <v>646</v>
          </cell>
          <cell r="Z195">
            <v>575</v>
          </cell>
          <cell r="AA195">
            <v>471</v>
          </cell>
          <cell r="AB195">
            <v>431</v>
          </cell>
          <cell r="AC195">
            <v>380</v>
          </cell>
          <cell r="AD195">
            <v>224</v>
          </cell>
          <cell r="AE195">
            <v>186</v>
          </cell>
          <cell r="AF195">
            <v>154</v>
          </cell>
          <cell r="AG195">
            <v>95</v>
          </cell>
          <cell r="AH195">
            <v>61</v>
          </cell>
          <cell r="AI195">
            <v>48</v>
          </cell>
          <cell r="AJ195">
            <v>14</v>
          </cell>
          <cell r="AK195">
            <v>20</v>
          </cell>
          <cell r="AL195"/>
          <cell r="AM195"/>
          <cell r="AN195"/>
          <cell r="AO195"/>
          <cell r="AP195"/>
          <cell r="AQ195"/>
          <cell r="AR195"/>
          <cell r="AS195"/>
        </row>
        <row r="202">
          <cell r="A202"/>
          <cell r="B202"/>
          <cell r="C202" t="str">
            <v>Non Operating Income</v>
          </cell>
          <cell r="E202"/>
          <cell r="F202">
            <v>-708.31000000000006</v>
          </cell>
          <cell r="G202">
            <v>-708.31000000000006</v>
          </cell>
          <cell r="H202">
            <v>-708.31000000000006</v>
          </cell>
          <cell r="I202">
            <v>-580</v>
          </cell>
          <cell r="J202">
            <v>-319</v>
          </cell>
          <cell r="K202">
            <v>-328</v>
          </cell>
          <cell r="L202">
            <v>-369</v>
          </cell>
          <cell r="M202">
            <v>-532</v>
          </cell>
          <cell r="O202"/>
          <cell r="P202"/>
          <cell r="Q202"/>
          <cell r="R202"/>
          <cell r="S202"/>
          <cell r="T202"/>
          <cell r="U202"/>
          <cell r="V202"/>
          <cell r="W202" t="str">
            <v>NONOP_INCOME_LOSS</v>
          </cell>
          <cell r="X202">
            <v>-319</v>
          </cell>
          <cell r="Y202">
            <v>-328</v>
          </cell>
          <cell r="Z202">
            <v>-369</v>
          </cell>
          <cell r="AA202">
            <v>-532</v>
          </cell>
          <cell r="AB202">
            <v>225</v>
          </cell>
          <cell r="AC202">
            <v>-321</v>
          </cell>
          <cell r="AD202">
            <v>67</v>
          </cell>
          <cell r="AE202">
            <v>-78</v>
          </cell>
          <cell r="AF202">
            <v>-100</v>
          </cell>
          <cell r="AG202">
            <v>-115</v>
          </cell>
          <cell r="AH202">
            <v>-120</v>
          </cell>
          <cell r="AI202">
            <v>-27</v>
          </cell>
          <cell r="AJ202">
            <v>-3</v>
          </cell>
          <cell r="AK202">
            <v>-4</v>
          </cell>
          <cell r="AL202"/>
          <cell r="AM202"/>
          <cell r="AN202"/>
          <cell r="AO202"/>
          <cell r="AP202"/>
          <cell r="AQ202"/>
          <cell r="AR202"/>
          <cell r="AS202"/>
        </row>
        <row r="217">
          <cell r="A217" t="str">
            <v>🔗</v>
          </cell>
          <cell r="B217" t="str">
            <v>Segments</v>
          </cell>
          <cell r="C217" t="str">
            <v>Depreciation &amp; Amort</v>
          </cell>
          <cell r="D217"/>
          <cell r="E217"/>
          <cell r="F217">
            <v>1749.1644979200003</v>
          </cell>
          <cell r="G217">
            <v>1575.8238720000002</v>
          </cell>
          <cell r="H217">
            <v>1406.9856</v>
          </cell>
          <cell r="I217">
            <v>1245.1200000000001</v>
          </cell>
          <cell r="J217">
            <v>1143</v>
          </cell>
          <cell r="K217">
            <v>897</v>
          </cell>
          <cell r="L217">
            <v>799</v>
          </cell>
          <cell r="M217">
            <v>750</v>
          </cell>
          <cell r="N217"/>
          <cell r="O217"/>
          <cell r="P217"/>
          <cell r="Q217"/>
          <cell r="R217"/>
          <cell r="S217"/>
          <cell r="T217"/>
          <cell r="U217"/>
          <cell r="V217"/>
          <cell r="W217" t="str">
            <v>ARD_DEPRECIATION_AND_AMORT_CF</v>
          </cell>
          <cell r="X217">
            <v>1143</v>
          </cell>
          <cell r="Y217">
            <v>897</v>
          </cell>
          <cell r="Z217">
            <v>799</v>
          </cell>
          <cell r="AA217">
            <v>750</v>
          </cell>
          <cell r="AB217">
            <v>726</v>
          </cell>
          <cell r="AC217">
            <v>580</v>
          </cell>
          <cell r="AD217">
            <v>522</v>
          </cell>
          <cell r="AE217">
            <v>459</v>
          </cell>
          <cell r="AF217">
            <v>437</v>
          </cell>
          <cell r="AG217">
            <v>373</v>
          </cell>
          <cell r="AH217">
            <v>366</v>
          </cell>
          <cell r="AI217">
            <v>321</v>
          </cell>
          <cell r="AJ217">
            <v>258</v>
          </cell>
          <cell r="AK217">
            <v>230</v>
          </cell>
          <cell r="AL217"/>
          <cell r="AM217"/>
          <cell r="AN217"/>
          <cell r="AO217"/>
          <cell r="AP217"/>
          <cell r="AQ217"/>
          <cell r="AR217"/>
          <cell r="AS217"/>
        </row>
      </sheetData>
      <sheetData sheetId="2">
        <row r="251">
          <cell r="W251">
            <v>893</v>
          </cell>
        </row>
        <row r="356">
          <cell r="W356">
            <v>46022</v>
          </cell>
          <cell r="X356">
            <v>46112</v>
          </cell>
        </row>
        <row r="556">
          <cell r="X556">
            <v>2025</v>
          </cell>
        </row>
        <row r="559">
          <cell r="AE559">
            <v>1</v>
          </cell>
          <cell r="AF559">
            <v>4</v>
          </cell>
        </row>
        <row r="560">
          <cell r="AE560">
            <v>2</v>
          </cell>
          <cell r="AF560">
            <v>1</v>
          </cell>
        </row>
        <row r="561">
          <cell r="AE561">
            <v>3</v>
          </cell>
          <cell r="AF561">
            <v>2</v>
          </cell>
        </row>
        <row r="562">
          <cell r="AE562">
            <v>4</v>
          </cell>
          <cell r="AF562">
            <v>3</v>
          </cell>
        </row>
      </sheetData>
      <sheetData sheetId="3">
        <row r="360">
          <cell r="B360"/>
          <cell r="C360" t="str">
            <v>Common Size NOPAT</v>
          </cell>
          <cell r="E360"/>
          <cell r="F360">
            <v>0</v>
          </cell>
          <cell r="G360">
            <v>0</v>
          </cell>
          <cell r="H360">
            <v>0</v>
          </cell>
          <cell r="I360">
            <v>-4.843692720132703E-5</v>
          </cell>
          <cell r="J360">
            <v>1.0641404338858228E-5</v>
          </cell>
          <cell r="K360">
            <v>1.5633636886449541E-5</v>
          </cell>
          <cell r="L360">
            <v>5.2114893756154331E-6</v>
          </cell>
          <cell r="M360">
            <v>1.5785134786777882E-5</v>
          </cell>
          <cell r="N360">
            <v>3.0079492616055513E-5</v>
          </cell>
          <cell r="O360">
            <v>-1.5297504642011036E-5</v>
          </cell>
          <cell r="P360">
            <v>3.1499212913417336E-5</v>
          </cell>
          <cell r="Q360">
            <v>0</v>
          </cell>
          <cell r="R360"/>
          <cell r="S360"/>
          <cell r="T360"/>
          <cell r="U360"/>
          <cell r="V360"/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/>
          <cell r="AC360">
            <v>4.2577398260869037E-2</v>
          </cell>
          <cell r="AD360">
            <v>0</v>
          </cell>
          <cell r="AE360">
            <v>0</v>
          </cell>
          <cell r="AF360"/>
          <cell r="AG360">
            <v>0.97821896037701761</v>
          </cell>
          <cell r="AH360">
            <v>0.95307890440597842</v>
          </cell>
          <cell r="AI360">
            <v>0.94560911120105595</v>
          </cell>
          <cell r="AJ360"/>
          <cell r="AK360"/>
          <cell r="AL360">
            <v>0.14526234467677976</v>
          </cell>
          <cell r="AM360">
            <v>0.96780915821222924</v>
          </cell>
          <cell r="AN360">
            <v>0.98862876254180598</v>
          </cell>
          <cell r="AO360">
            <v>0.89037532515793383</v>
          </cell>
          <cell r="AP360">
            <v>0.96550237171194475</v>
          </cell>
          <cell r="AQ360">
            <v>0.91838121118012417</v>
          </cell>
          <cell r="AR360">
            <v>0.9429578384022973</v>
          </cell>
          <cell r="AS360">
            <v>0.81838183818381838</v>
          </cell>
          <cell r="AT360">
            <v>0.8285181733457595</v>
          </cell>
          <cell r="AU360"/>
          <cell r="AV360"/>
          <cell r="AW360"/>
          <cell r="AX360"/>
          <cell r="AY360"/>
          <cell r="AZ360"/>
          <cell r="BA360"/>
          <cell r="BB360"/>
          <cell r="BC360"/>
          <cell r="BD360"/>
          <cell r="BE360"/>
          <cell r="BF360"/>
          <cell r="BG360"/>
          <cell r="BH360"/>
          <cell r="BI360"/>
          <cell r="BJ360"/>
          <cell r="BK360"/>
          <cell r="BL360"/>
          <cell r="BM360"/>
          <cell r="BN360"/>
          <cell r="BO360"/>
          <cell r="BP360"/>
          <cell r="BQ360"/>
          <cell r="BR360"/>
          <cell r="BS360"/>
          <cell r="BT360"/>
          <cell r="BU360"/>
          <cell r="BV360"/>
          <cell r="BW360"/>
          <cell r="BX360"/>
          <cell r="BY360"/>
          <cell r="BZ360"/>
          <cell r="CA360"/>
          <cell r="CB360"/>
          <cell r="CC360"/>
          <cell r="CD360">
            <v>3.9106906707303546E-2</v>
          </cell>
          <cell r="CE360">
            <v>-3.3617173212829754E-2</v>
          </cell>
          <cell r="CF360">
            <v>7.3461593653711965E-3</v>
          </cell>
          <cell r="CG360">
            <v>-1.1065687184530382E-2</v>
          </cell>
          <cell r="CH360"/>
          <cell r="CI360"/>
          <cell r="CJ360">
            <v>0.84710225541062845</v>
          </cell>
          <cell r="CK360">
            <v>1.1439807800096449</v>
          </cell>
          <cell r="CL360">
            <v>1.1290266836979153</v>
          </cell>
          <cell r="CM360">
            <v>0.5958796859092752</v>
          </cell>
          <cell r="CN360"/>
          <cell r="CO360">
            <v>0.84710225541062845</v>
          </cell>
          <cell r="CP360">
            <v>1.1439807800096449</v>
          </cell>
          <cell r="CQ360">
            <v>1.1290266836979153</v>
          </cell>
          <cell r="CR360">
            <v>0.5958796859092752</v>
          </cell>
          <cell r="CS360"/>
          <cell r="CT360"/>
          <cell r="CU360">
            <v>0.65054229934924079</v>
          </cell>
          <cell r="CV360">
            <v>1.0258408531583265</v>
          </cell>
          <cell r="CW360">
            <v>1.1328265653130627</v>
          </cell>
          <cell r="CX360">
            <v>0.98523116438356162</v>
          </cell>
          <cell r="CY360">
            <v>0.59042421235425457</v>
          </cell>
          <cell r="CZ360">
            <v>1.2423541506039579</v>
          </cell>
          <cell r="DA360">
            <v>1.3285049146404553</v>
          </cell>
          <cell r="DB360">
            <v>0.7966488956587966</v>
          </cell>
          <cell r="DC360">
            <v>0.46992692523889823</v>
          </cell>
          <cell r="DD360">
            <v>1.2443507080445917</v>
          </cell>
          <cell r="DE360">
            <v>0.8593833067517278</v>
          </cell>
          <cell r="DF360">
            <v>0.72840172786177104</v>
          </cell>
          <cell r="DG360">
            <v>0.67262530669470733</v>
          </cell>
          <cell r="DH360">
            <v>1.0035610229847847</v>
          </cell>
          <cell r="DI360">
            <v>1.2552083333333333</v>
          </cell>
          <cell r="DJ360">
            <v>0.87812723373838453</v>
          </cell>
          <cell r="DK360">
            <v>0.6426253155427335</v>
          </cell>
          <cell r="DL360">
            <v>1.1296493092454836</v>
          </cell>
          <cell r="DM360">
            <v>0.90305397727272729</v>
          </cell>
          <cell r="DN360">
            <v>0.9152542372881356</v>
          </cell>
          <cell r="DO360">
            <v>0.66803652968036531</v>
          </cell>
          <cell r="DP360">
            <v>1.0392066420664208</v>
          </cell>
          <cell r="DQ360">
            <v>0.86370757180156654</v>
          </cell>
          <cell r="DR360">
            <v>0.86272189349112427</v>
          </cell>
          <cell r="DS360">
            <v>0.9355812783090085</v>
          </cell>
          <cell r="DT360">
            <v>1.204040404040404</v>
          </cell>
          <cell r="DU360">
            <v>0.92936069455406467</v>
          </cell>
          <cell r="DV360">
            <v>0.60976578007145688</v>
          </cell>
          <cell r="DW360">
            <v>0.59555152065365413</v>
          </cell>
          <cell r="DX360">
            <v>1.0962962962962963</v>
          </cell>
          <cell r="DY360">
            <v>1.0454946996466432</v>
          </cell>
          <cell r="DZ360">
            <v>0.77471383975026009</v>
          </cell>
          <cell r="EA360">
            <v>0.57404326123128124</v>
          </cell>
          <cell r="EB360"/>
          <cell r="EC360"/>
          <cell r="ED360"/>
          <cell r="EE360"/>
          <cell r="EF360"/>
          <cell r="EG360"/>
          <cell r="EH360"/>
          <cell r="EI360"/>
          <cell r="EJ360"/>
          <cell r="EK360"/>
          <cell r="EL360"/>
          <cell r="EM360"/>
          <cell r="EN360"/>
          <cell r="EO360"/>
          <cell r="EP360"/>
          <cell r="EQ360"/>
          <cell r="ER360"/>
          <cell r="ES360"/>
          <cell r="ET360"/>
          <cell r="EU360"/>
          <cell r="EV360"/>
          <cell r="EW360"/>
          <cell r="EX360"/>
          <cell r="EY360"/>
          <cell r="EZ360"/>
          <cell r="FA360"/>
          <cell r="FB360"/>
          <cell r="FC360"/>
          <cell r="FD360"/>
          <cell r="FE360"/>
          <cell r="FF360"/>
          <cell r="FG360"/>
          <cell r="FH360"/>
          <cell r="FI360"/>
          <cell r="FJ360"/>
          <cell r="FK360"/>
        </row>
        <row r="365">
          <cell r="B365"/>
          <cell r="C365" t="str">
            <v>YoY Growth %</v>
          </cell>
          <cell r="E365"/>
          <cell r="F365">
            <v>0</v>
          </cell>
          <cell r="G365">
            <v>0</v>
          </cell>
          <cell r="H365">
            <v>0</v>
          </cell>
          <cell r="I365">
            <v>-1</v>
          </cell>
          <cell r="J365">
            <v>3.1645569620253111E-2</v>
          </cell>
          <cell r="K365">
            <v>0.27762803234501354</v>
          </cell>
          <cell r="L365">
            <v>-0.16063348416289591</v>
          </cell>
          <cell r="M365">
            <v>8.5995085995085985E-2</v>
          </cell>
          <cell r="N365">
            <v>0.20058997050147487</v>
          </cell>
          <cell r="O365">
            <v>-0.19668246445497628</v>
          </cell>
          <cell r="P365">
            <v>0.27878787878787881</v>
          </cell>
          <cell r="Q365">
            <v>0</v>
          </cell>
          <cell r="R365"/>
          <cell r="S365"/>
          <cell r="T365"/>
          <cell r="U365"/>
          <cell r="V365"/>
          <cell r="W365">
            <v>-1</v>
          </cell>
          <cell r="X365">
            <v>-1</v>
          </cell>
          <cell r="Y365">
            <v>-1</v>
          </cell>
          <cell r="Z365">
            <v>-1</v>
          </cell>
          <cell r="AA365">
            <v>-1</v>
          </cell>
          <cell r="AB365"/>
          <cell r="AC365">
            <v>0.14806763702813908</v>
          </cell>
          <cell r="AD365">
            <v>4.6956439549485696E-2</v>
          </cell>
          <cell r="AE365">
            <v>2.4863598642250739E-2</v>
          </cell>
          <cell r="AF365"/>
          <cell r="AG365"/>
          <cell r="AH365"/>
          <cell r="AI365"/>
          <cell r="AJ365"/>
          <cell r="AK365"/>
          <cell r="AL365">
            <v>-0.68507157464212676</v>
          </cell>
          <cell r="AM365">
            <v>3.1645569620253111E-2</v>
          </cell>
          <cell r="AN365">
            <v>0.27762803234501354</v>
          </cell>
          <cell r="AO365">
            <v>-0.16063348416289591</v>
          </cell>
          <cell r="AP365">
            <v>8.5995085995085985E-2</v>
          </cell>
          <cell r="AQ365">
            <v>0.20058997050147487</v>
          </cell>
          <cell r="AR365">
            <v>-0.19668246445497628</v>
          </cell>
          <cell r="AS365">
            <v>0.27878787878787881</v>
          </cell>
          <cell r="AT365">
            <v>0</v>
          </cell>
          <cell r="AU365"/>
          <cell r="AV365"/>
          <cell r="AW365"/>
          <cell r="AX365"/>
          <cell r="AY365"/>
          <cell r="AZ365"/>
          <cell r="BA365"/>
          <cell r="BB365"/>
          <cell r="BC365"/>
          <cell r="BD365"/>
          <cell r="BE365"/>
          <cell r="BF365"/>
          <cell r="BG365"/>
          <cell r="BH365"/>
          <cell r="BI365"/>
          <cell r="BJ365"/>
          <cell r="BK365"/>
          <cell r="BL365"/>
          <cell r="BM365"/>
          <cell r="BN365"/>
          <cell r="BO365"/>
          <cell r="BP365"/>
          <cell r="BQ365"/>
          <cell r="BR365"/>
          <cell r="BS365"/>
          <cell r="BT365"/>
          <cell r="BU365"/>
          <cell r="BV365"/>
          <cell r="BW365"/>
          <cell r="BX365"/>
          <cell r="BY365"/>
          <cell r="BZ365"/>
          <cell r="CA365"/>
          <cell r="CB365"/>
          <cell r="CC365"/>
          <cell r="CD365">
            <v>-0.10071137395478169</v>
          </cell>
          <cell r="CE365">
            <v>0.17048452029185523</v>
          </cell>
          <cell r="CF365">
            <v>-4.8464731181432463E-2</v>
          </cell>
          <cell r="CG365">
            <v>0.1186889420813968</v>
          </cell>
          <cell r="CH365"/>
          <cell r="CI365"/>
          <cell r="CJ365" t="str">
            <v/>
          </cell>
          <cell r="CK365" t="str">
            <v/>
          </cell>
          <cell r="CL365" t="str">
            <v/>
          </cell>
          <cell r="CM365" t="str">
            <v/>
          </cell>
          <cell r="CN365"/>
          <cell r="CO365" t="str">
            <v/>
          </cell>
          <cell r="CP365" t="str">
            <v/>
          </cell>
          <cell r="CQ365" t="str">
            <v/>
          </cell>
          <cell r="CR365" t="str">
            <v/>
          </cell>
          <cell r="CS365"/>
          <cell r="CT365"/>
          <cell r="CU365">
            <v>-3.1446540880503138E-2</v>
          </cell>
          <cell r="CV365">
            <v>0.17894736842105252</v>
          </cell>
          <cell r="CW365">
            <v>0.66355140186915884</v>
          </cell>
          <cell r="CX365">
            <v>-0.65217391304347827</v>
          </cell>
          <cell r="CY365">
            <v>1.2738853503184711E-2</v>
          </cell>
          <cell r="CZ365">
            <v>0.23376623376623384</v>
          </cell>
          <cell r="DA365">
            <v>2.8846153846153744E-2</v>
          </cell>
          <cell r="DB365">
            <v>0.4375</v>
          </cell>
          <cell r="DC365">
            <v>0.42727272727272725</v>
          </cell>
          <cell r="DD365">
            <v>-0.40769230769230769</v>
          </cell>
          <cell r="DE365">
            <v>-6.3063063063063085E-2</v>
          </cell>
          <cell r="DF365">
            <v>0.45454545454545459</v>
          </cell>
          <cell r="DG365">
            <v>-0.24657534246575341</v>
          </cell>
          <cell r="DH365">
            <v>6.5573770491803351E-2</v>
          </cell>
          <cell r="DI365">
            <v>-0.20143884892086328</v>
          </cell>
          <cell r="DJ365">
            <v>-0.32098765432098764</v>
          </cell>
          <cell r="DK365">
            <v>1.2461538461538462</v>
          </cell>
          <cell r="DL365">
            <v>1.0677966101694913</v>
          </cell>
          <cell r="DM365">
            <v>0.759493670886076</v>
          </cell>
          <cell r="DN365">
            <v>0.15714285714285725</v>
          </cell>
          <cell r="DO365">
            <v>-0.50381679389312972</v>
          </cell>
          <cell r="DP365">
            <v>-0.49137931034482762</v>
          </cell>
          <cell r="DQ365">
            <v>-0.40151515151515149</v>
          </cell>
          <cell r="DR365">
            <v>-0.23076923076923073</v>
          </cell>
          <cell r="DS365">
            <v>0.57831325301204828</v>
          </cell>
          <cell r="DT365">
            <v>0.54666666666666663</v>
          </cell>
          <cell r="DU365">
            <v>0.59036144578313254</v>
          </cell>
          <cell r="DV365">
            <v>1.1111111111111072E-2</v>
          </cell>
          <cell r="DW365">
            <v>1.2195121951219523E-2</v>
          </cell>
          <cell r="DX365">
            <v>0</v>
          </cell>
          <cell r="DY365">
            <v>0</v>
          </cell>
          <cell r="DZ365">
            <v>0</v>
          </cell>
          <cell r="EA365">
            <v>0</v>
          </cell>
          <cell r="EB365"/>
          <cell r="EC365"/>
          <cell r="ED365"/>
          <cell r="EE365"/>
          <cell r="EF365"/>
          <cell r="EG365"/>
          <cell r="EH365"/>
          <cell r="EI365"/>
          <cell r="EJ365"/>
          <cell r="EK365"/>
          <cell r="EL365"/>
          <cell r="EM365"/>
          <cell r="EN365"/>
          <cell r="EO365"/>
          <cell r="EP365"/>
          <cell r="EQ365"/>
          <cell r="ER365"/>
          <cell r="ES365"/>
          <cell r="ET365"/>
          <cell r="EU365"/>
          <cell r="EV365"/>
          <cell r="EW365"/>
          <cell r="EX365"/>
          <cell r="EY365"/>
          <cell r="EZ365"/>
          <cell r="FA365"/>
          <cell r="FB365"/>
          <cell r="FC365"/>
          <cell r="FD365"/>
          <cell r="FE365"/>
          <cell r="FF365"/>
          <cell r="FG365"/>
          <cell r="FH365"/>
          <cell r="FI365"/>
          <cell r="FJ365"/>
          <cell r="FK365"/>
        </row>
        <row r="369">
          <cell r="A369" t="str">
            <v>Guidance Tracker</v>
          </cell>
          <cell r="B369"/>
          <cell r="C369"/>
          <cell r="EB369"/>
          <cell r="ED369"/>
          <cell r="EE369"/>
          <cell r="EF369"/>
          <cell r="EG369"/>
          <cell r="EH369"/>
          <cell r="EI369"/>
          <cell r="EJ369"/>
          <cell r="EK369"/>
          <cell r="EL369"/>
          <cell r="EM369"/>
          <cell r="EN369"/>
          <cell r="EO369"/>
          <cell r="EP369"/>
          <cell r="EQ369"/>
          <cell r="ER369"/>
          <cell r="ES369"/>
          <cell r="ET369"/>
          <cell r="EU369"/>
          <cell r="EV369"/>
          <cell r="EW369"/>
          <cell r="EX369"/>
          <cell r="EY369"/>
          <cell r="EZ369"/>
          <cell r="FA369"/>
          <cell r="FB369"/>
          <cell r="FC369"/>
          <cell r="FD369"/>
          <cell r="FE369"/>
          <cell r="FF369"/>
          <cell r="FG369"/>
          <cell r="FH369"/>
          <cell r="FI369"/>
          <cell r="FJ369"/>
          <cell r="FK369"/>
        </row>
        <row r="373">
          <cell r="A373"/>
          <cell r="B373"/>
          <cell r="C373" t="str">
            <v>Low End</v>
          </cell>
          <cell r="E373"/>
          <cell r="F373"/>
          <cell r="G373"/>
          <cell r="H373"/>
          <cell r="I373"/>
          <cell r="J373"/>
          <cell r="K373"/>
          <cell r="L373"/>
          <cell r="M373"/>
          <cell r="N373"/>
          <cell r="O373"/>
          <cell r="P373"/>
          <cell r="Q373"/>
          <cell r="T373"/>
          <cell r="U373"/>
          <cell r="V373"/>
          <cell r="W373"/>
          <cell r="X373"/>
          <cell r="Y373"/>
          <cell r="Z373"/>
          <cell r="AA373"/>
          <cell r="AK373"/>
          <cell r="AL373"/>
          <cell r="AM373"/>
          <cell r="AN373"/>
          <cell r="AO373"/>
          <cell r="AP373"/>
          <cell r="AQ373"/>
          <cell r="AR373"/>
          <cell r="AS373"/>
          <cell r="AT373"/>
          <cell r="AV373"/>
          <cell r="BZ373"/>
          <cell r="CR373"/>
          <cell r="CS373"/>
          <cell r="CU373"/>
          <cell r="CV373"/>
          <cell r="CW373"/>
          <cell r="CX373"/>
          <cell r="CY373"/>
          <cell r="CZ373"/>
          <cell r="DA373"/>
          <cell r="DB373"/>
          <cell r="DC373"/>
          <cell r="DD373"/>
          <cell r="DE373"/>
          <cell r="DF373"/>
          <cell r="DG373"/>
          <cell r="DH373"/>
          <cell r="DI373"/>
          <cell r="DJ373"/>
          <cell r="DK373"/>
          <cell r="DL373"/>
          <cell r="DM373"/>
          <cell r="DN373"/>
          <cell r="DO373"/>
          <cell r="DP373"/>
          <cell r="DQ373"/>
          <cell r="DR373"/>
          <cell r="DS373"/>
          <cell r="DT373"/>
          <cell r="DU373"/>
          <cell r="DV373"/>
          <cell r="DW373"/>
          <cell r="DX373"/>
          <cell r="DY373"/>
          <cell r="DZ373"/>
          <cell r="EA373"/>
          <cell r="EB373"/>
          <cell r="FU373"/>
          <cell r="FV373"/>
          <cell r="FW373"/>
          <cell r="FX373"/>
          <cell r="FY373"/>
        </row>
        <row r="435">
          <cell r="EB435"/>
          <cell r="EC435" t="str">
            <v>EBITDA</v>
          </cell>
          <cell r="ED435"/>
          <cell r="EE435"/>
          <cell r="EF435"/>
          <cell r="EG435" t="str">
            <v>Operating Income Projected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>
            <v>0</v>
          </cell>
          <cell r="EM435">
            <v>0</v>
          </cell>
          <cell r="EN435">
            <v>0</v>
          </cell>
          <cell r="EO435">
            <v>0</v>
          </cell>
          <cell r="EP435">
            <v>0</v>
          </cell>
          <cell r="EQ435" t="str">
            <v>#N/A</v>
          </cell>
          <cell r="ER435" t="str">
            <v>#N/A</v>
          </cell>
          <cell r="ES435"/>
          <cell r="ET435" t="str">
            <v>Operating Income Projected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>
            <v>0</v>
          </cell>
          <cell r="FL435">
            <v>0</v>
          </cell>
          <cell r="FM435">
            <v>0</v>
          </cell>
          <cell r="FN435">
            <v>0</v>
          </cell>
          <cell r="FO435">
            <v>0</v>
          </cell>
          <cell r="FP435">
            <v>0</v>
          </cell>
          <cell r="FQ435">
            <v>0</v>
          </cell>
          <cell r="FR435">
            <v>0</v>
          </cell>
          <cell r="FS435">
            <v>0</v>
          </cell>
          <cell r="FT435">
            <v>0</v>
          </cell>
          <cell r="FU435">
            <v>0</v>
          </cell>
          <cell r="FV435">
            <v>0</v>
          </cell>
          <cell r="FW435">
            <v>0</v>
          </cell>
          <cell r="FX435">
            <v>0</v>
          </cell>
          <cell r="FY435">
            <v>0</v>
          </cell>
          <cell r="FZ435">
            <v>0</v>
          </cell>
          <cell r="GA435">
            <v>4655.9373865914804</v>
          </cell>
          <cell r="GB435" t="str">
            <v>#N/A</v>
          </cell>
          <cell r="GC435" t="str">
            <v>#N/A</v>
          </cell>
          <cell r="GD435" t="str">
            <v>#N/A</v>
          </cell>
          <cell r="GE435" t="str">
            <v>#N/A</v>
          </cell>
          <cell r="GF435" t="str">
            <v>#N/A</v>
          </cell>
          <cell r="GG435" t="str">
            <v>#N/A</v>
          </cell>
          <cell r="GH435" t="str">
            <v>#N/A</v>
          </cell>
          <cell r="GI435" t="str">
            <v>#N/A</v>
          </cell>
          <cell r="GJ435" t="str">
            <v>#N/A</v>
          </cell>
          <cell r="GK435" t="str">
            <v>#N/A</v>
          </cell>
          <cell r="GL435" t="str">
            <v>#N/A</v>
          </cell>
        </row>
        <row r="438">
          <cell r="EB438"/>
          <cell r="EC438" t="str">
            <v>Free Cash Flow</v>
          </cell>
          <cell r="ED438"/>
          <cell r="EE438"/>
          <cell r="EF438"/>
          <cell r="EG438" t="str">
            <v>Operating Margin</v>
          </cell>
          <cell r="EH438">
            <v>0.50762541806020067</v>
          </cell>
          <cell r="EI438">
            <v>0.58828407273588812</v>
          </cell>
          <cell r="EJ438">
            <v>0.52166525063721325</v>
          </cell>
          <cell r="EK438">
            <v>0.53373226011438257</v>
          </cell>
          <cell r="EL438">
            <v>0.54535234069343885</v>
          </cell>
          <cell r="EM438">
            <v>0.55082280750687329</v>
          </cell>
          <cell r="EN438">
            <v>0.54240778215642416</v>
          </cell>
          <cell r="EO438">
            <v>0.56582598883840074</v>
          </cell>
          <cell r="EP438">
            <v>0.56902390033797812</v>
          </cell>
          <cell r="EQ438" t="e">
            <v>#N/A</v>
          </cell>
          <cell r="ER438" t="e">
            <v>#N/A</v>
          </cell>
          <cell r="ES438"/>
          <cell r="ET438" t="str">
            <v>Operating Margin</v>
          </cell>
          <cell r="EU438">
            <v>0.50977653631284914</v>
          </cell>
          <cell r="EV438">
            <v>0.52824010914051844</v>
          </cell>
          <cell r="EW438">
            <v>0.5867111339148281</v>
          </cell>
          <cell r="EX438">
            <v>0.32413974257945888</v>
          </cell>
          <cell r="EY438">
            <v>0.56904088454615587</v>
          </cell>
          <cell r="EZ438">
            <v>0.58278628738147342</v>
          </cell>
          <cell r="FA438">
            <v>0.5943586299529886</v>
          </cell>
          <cell r="FB438">
            <v>0.54349796103307657</v>
          </cell>
          <cell r="FC438">
            <v>0.55150910451484159</v>
          </cell>
          <cell r="FD438">
            <v>0.51184407796101949</v>
          </cell>
          <cell r="FE438">
            <v>0.54860568152202238</v>
          </cell>
          <cell r="FF438">
            <v>0.49951456310679609</v>
          </cell>
          <cell r="FG438">
            <v>0.52876052948255114</v>
          </cell>
          <cell r="FH438">
            <v>0.5170053003533569</v>
          </cell>
          <cell r="FI438">
            <v>0.5450351053159479</v>
          </cell>
          <cell r="FJ438">
            <v>0.54198619631901845</v>
          </cell>
          <cell r="FK438">
            <v>0.57093090768337529</v>
          </cell>
          <cell r="FL438">
            <v>0.54902674185919598</v>
          </cell>
          <cell r="FM438">
            <v>0.54065323141070187</v>
          </cell>
          <cell r="FN438">
            <v>0.54736118274024415</v>
          </cell>
          <cell r="FO438">
            <v>0.54558107167710512</v>
          </cell>
          <cell r="FP438">
            <v>0.58318711118200672</v>
          </cell>
          <cell r="FQ438">
            <v>0.5884603611876339</v>
          </cell>
          <cell r="FR438">
            <v>0.51481820959364499</v>
          </cell>
          <cell r="FS438">
            <v>0.56773787019533717</v>
          </cell>
          <cell r="FT438">
            <v>0.57980175262174971</v>
          </cell>
          <cell r="FU438">
            <v>0.54335730764011403</v>
          </cell>
          <cell r="FV438">
            <v>0.52583789558018423</v>
          </cell>
          <cell r="FW438">
            <v>0.57227586206896552</v>
          </cell>
          <cell r="FX438">
            <v>0.58736013771056195</v>
          </cell>
          <cell r="FY438">
            <v>0.58835154615205765</v>
          </cell>
          <cell r="FZ438">
            <v>0.55757438110379287</v>
          </cell>
          <cell r="GA438">
            <v>0.56025244105739458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</row>
        <row r="478">
          <cell r="EH478">
            <v>0</v>
          </cell>
          <cell r="EI478">
            <v>0</v>
          </cell>
          <cell r="EJ478">
            <v>0</v>
          </cell>
          <cell r="EK478">
            <v>0</v>
          </cell>
          <cell r="EL478">
            <v>0</v>
          </cell>
          <cell r="EM478">
            <v>0</v>
          </cell>
          <cell r="EN478">
            <v>0</v>
          </cell>
          <cell r="EO478">
            <v>0</v>
          </cell>
          <cell r="EP478">
            <v>0</v>
          </cell>
          <cell r="EQ478" t="e">
            <v>#N/A</v>
          </cell>
          <cell r="ER478" t="e">
            <v>#N/A</v>
          </cell>
          <cell r="EU478">
            <v>0</v>
          </cell>
          <cell r="EV478">
            <v>0</v>
          </cell>
          <cell r="EW478">
            <v>0</v>
          </cell>
          <cell r="EX478">
            <v>0</v>
          </cell>
          <cell r="EY478">
            <v>0</v>
          </cell>
          <cell r="EZ478">
            <v>0</v>
          </cell>
          <cell r="FA478">
            <v>0</v>
          </cell>
          <cell r="FB478">
            <v>0</v>
          </cell>
          <cell r="FC478">
            <v>0</v>
          </cell>
          <cell r="FD478">
            <v>0</v>
          </cell>
          <cell r="FE478">
            <v>0</v>
          </cell>
          <cell r="FF478">
            <v>0</v>
          </cell>
          <cell r="FG478">
            <v>0</v>
          </cell>
          <cell r="FH478">
            <v>0</v>
          </cell>
          <cell r="FI478">
            <v>0</v>
          </cell>
          <cell r="FJ478">
            <v>0</v>
          </cell>
          <cell r="FK478">
            <v>0</v>
          </cell>
          <cell r="FL478">
            <v>0</v>
          </cell>
          <cell r="FM478">
            <v>0</v>
          </cell>
          <cell r="FN478">
            <v>0</v>
          </cell>
          <cell r="FO478">
            <v>0</v>
          </cell>
          <cell r="FP478">
            <v>0</v>
          </cell>
          <cell r="FQ478">
            <v>0</v>
          </cell>
          <cell r="FR478">
            <v>0</v>
          </cell>
          <cell r="FS478">
            <v>0</v>
          </cell>
          <cell r="FT478">
            <v>0</v>
          </cell>
          <cell r="FU478">
            <v>0</v>
          </cell>
          <cell r="FV478">
            <v>0</v>
          </cell>
          <cell r="FW478">
            <v>0</v>
          </cell>
          <cell r="FX478">
            <v>0</v>
          </cell>
          <cell r="FY478">
            <v>0</v>
          </cell>
          <cell r="FZ478">
            <v>0</v>
          </cell>
          <cell r="GA478">
            <v>0</v>
          </cell>
          <cell r="GB478" t="e">
            <v>#N/A</v>
          </cell>
          <cell r="GC478" t="e">
            <v>#N/A</v>
          </cell>
          <cell r="GD478" t="e">
            <v>#N/A</v>
          </cell>
          <cell r="GE478" t="e">
            <v>#N/A</v>
          </cell>
          <cell r="GF478" t="e">
            <v>#N/A</v>
          </cell>
          <cell r="GG478" t="e">
            <v>#N/A</v>
          </cell>
          <cell r="GH478" t="e">
            <v>#N/A</v>
          </cell>
          <cell r="GI478" t="e">
            <v>#N/A</v>
          </cell>
          <cell r="GJ478" t="e">
            <v>#N/A</v>
          </cell>
          <cell r="GK478" t="e">
            <v>#N/A</v>
          </cell>
          <cell r="GL478" t="e">
            <v>#N/A</v>
          </cell>
        </row>
        <row r="479">
          <cell r="EH479" t="e">
            <v>#N/A</v>
          </cell>
          <cell r="EI479" t="e">
            <v>#N/A</v>
          </cell>
          <cell r="EJ479" t="e">
            <v>#N/A</v>
          </cell>
          <cell r="EK479" t="e">
            <v>#N/A</v>
          </cell>
          <cell r="EL479">
            <v>0</v>
          </cell>
          <cell r="EM479">
            <v>0</v>
          </cell>
          <cell r="EN479">
            <v>0</v>
          </cell>
          <cell r="EO479">
            <v>0</v>
          </cell>
          <cell r="EP479">
            <v>0</v>
          </cell>
          <cell r="EQ479" t="str">
            <v>#N/A</v>
          </cell>
          <cell r="ER479" t="str">
            <v>#N/A</v>
          </cell>
          <cell r="EU479" t="e">
            <v>#N/A</v>
          </cell>
          <cell r="EV479" t="e">
            <v>#N/A</v>
          </cell>
          <cell r="EW479" t="e">
            <v>#N/A</v>
          </cell>
          <cell r="EX479" t="e">
            <v>#N/A</v>
          </cell>
          <cell r="EY479" t="e">
            <v>#N/A</v>
          </cell>
          <cell r="EZ479" t="e">
            <v>#N/A</v>
          </cell>
          <cell r="FA479" t="e">
            <v>#N/A</v>
          </cell>
          <cell r="FB479" t="e">
            <v>#N/A</v>
          </cell>
          <cell r="FC479" t="e">
            <v>#N/A</v>
          </cell>
          <cell r="FD479" t="e">
            <v>#N/A</v>
          </cell>
          <cell r="FE479" t="e">
            <v>#N/A</v>
          </cell>
          <cell r="FF479" t="e">
            <v>#N/A</v>
          </cell>
          <cell r="FG479" t="e">
            <v>#N/A</v>
          </cell>
          <cell r="FH479" t="e">
            <v>#N/A</v>
          </cell>
          <cell r="FI479" t="e">
            <v>#N/A</v>
          </cell>
          <cell r="FJ479" t="e">
            <v>#N/A</v>
          </cell>
          <cell r="FK479">
            <v>0</v>
          </cell>
          <cell r="FL479">
            <v>0</v>
          </cell>
          <cell r="FM479">
            <v>0</v>
          </cell>
          <cell r="FN479">
            <v>0</v>
          </cell>
          <cell r="FO479">
            <v>0</v>
          </cell>
          <cell r="FP479">
            <v>0</v>
          </cell>
          <cell r="FQ479">
            <v>0</v>
          </cell>
          <cell r="FR479">
            <v>0</v>
          </cell>
          <cell r="FS479">
            <v>0</v>
          </cell>
          <cell r="FT479">
            <v>0</v>
          </cell>
          <cell r="FU479">
            <v>0</v>
          </cell>
          <cell r="FV479">
            <v>0</v>
          </cell>
          <cell r="FW479">
            <v>0</v>
          </cell>
          <cell r="FX479">
            <v>0</v>
          </cell>
          <cell r="FY479">
            <v>0</v>
          </cell>
          <cell r="FZ479">
            <v>0</v>
          </cell>
          <cell r="GA479">
            <v>0</v>
          </cell>
          <cell r="GB479" t="str">
            <v>#N/A</v>
          </cell>
          <cell r="GC479" t="str">
            <v>#N/A</v>
          </cell>
          <cell r="GD479" t="str">
            <v>#N/A</v>
          </cell>
          <cell r="GE479" t="str">
            <v>#N/A</v>
          </cell>
          <cell r="GF479" t="str">
            <v>#N/A</v>
          </cell>
          <cell r="GG479" t="str">
            <v>#N/A</v>
          </cell>
          <cell r="GH479" t="str">
            <v>#N/A</v>
          </cell>
          <cell r="GI479" t="str">
            <v>#N/A</v>
          </cell>
          <cell r="GJ479" t="str">
            <v>#N/A</v>
          </cell>
          <cell r="GK479" t="str">
            <v>#N/A</v>
          </cell>
          <cell r="GL479" t="str">
            <v>#N/A</v>
          </cell>
        </row>
        <row r="483">
          <cell r="EH483" t="e">
            <v>#N/A</v>
          </cell>
          <cell r="EI483" t="e">
            <v>#N/A</v>
          </cell>
          <cell r="EJ483" t="e">
            <v>#N/A</v>
          </cell>
          <cell r="EK483" t="e">
            <v>#N/A</v>
          </cell>
          <cell r="EL483">
            <v>0</v>
          </cell>
          <cell r="EM483">
            <v>0</v>
          </cell>
          <cell r="EN483">
            <v>0</v>
          </cell>
          <cell r="EO483">
            <v>0</v>
          </cell>
          <cell r="EP483">
            <v>0</v>
          </cell>
          <cell r="EQ483" t="str">
            <v>#N/A</v>
          </cell>
          <cell r="ER483" t="str">
            <v>#N/A</v>
          </cell>
          <cell r="EU483" t="e">
            <v>#N/A</v>
          </cell>
          <cell r="EV483" t="e">
            <v>#N/A</v>
          </cell>
          <cell r="EW483" t="e">
            <v>#N/A</v>
          </cell>
          <cell r="EX483" t="e">
            <v>#N/A</v>
          </cell>
          <cell r="EY483" t="e">
            <v>#N/A</v>
          </cell>
          <cell r="EZ483" t="e">
            <v>#N/A</v>
          </cell>
          <cell r="FA483" t="e">
            <v>#N/A</v>
          </cell>
          <cell r="FB483" t="e">
            <v>#N/A</v>
          </cell>
          <cell r="FC483" t="e">
            <v>#N/A</v>
          </cell>
          <cell r="FD483" t="e">
            <v>#N/A</v>
          </cell>
          <cell r="FE483" t="e">
            <v>#N/A</v>
          </cell>
          <cell r="FF483" t="e">
            <v>#N/A</v>
          </cell>
          <cell r="FG483" t="e">
            <v>#N/A</v>
          </cell>
          <cell r="FH483" t="e">
            <v>#N/A</v>
          </cell>
          <cell r="FI483" t="e">
            <v>#N/A</v>
          </cell>
          <cell r="FJ483" t="e">
            <v>#N/A</v>
          </cell>
          <cell r="FK483">
            <v>0</v>
          </cell>
          <cell r="FL483">
            <v>0</v>
          </cell>
          <cell r="FM483">
            <v>0</v>
          </cell>
          <cell r="FN483">
            <v>0</v>
          </cell>
          <cell r="FO483">
            <v>0</v>
          </cell>
          <cell r="FP483">
            <v>0</v>
          </cell>
          <cell r="FQ483">
            <v>0</v>
          </cell>
          <cell r="FR483">
            <v>0</v>
          </cell>
          <cell r="FS483">
            <v>0</v>
          </cell>
          <cell r="FT483">
            <v>0</v>
          </cell>
          <cell r="FU483">
            <v>0</v>
          </cell>
          <cell r="FV483">
            <v>0</v>
          </cell>
          <cell r="FW483">
            <v>0</v>
          </cell>
          <cell r="FX483">
            <v>0</v>
          </cell>
          <cell r="FY483">
            <v>0</v>
          </cell>
          <cell r="FZ483">
            <v>0</v>
          </cell>
          <cell r="GA483">
            <v>0</v>
          </cell>
          <cell r="GB483" t="str">
            <v>#N/A</v>
          </cell>
          <cell r="GC483" t="str">
            <v>#N/A</v>
          </cell>
          <cell r="GD483" t="str">
            <v>#N/A</v>
          </cell>
          <cell r="GE483" t="str">
            <v>#N/A</v>
          </cell>
          <cell r="GF483" t="str">
            <v>#N/A</v>
          </cell>
          <cell r="GG483" t="str">
            <v>#N/A</v>
          </cell>
          <cell r="GH483" t="str">
            <v>#N/A</v>
          </cell>
          <cell r="GI483" t="str">
            <v>#N/A</v>
          </cell>
          <cell r="GJ483" t="str">
            <v>#N/A</v>
          </cell>
          <cell r="GK483" t="str">
            <v>#N/A</v>
          </cell>
          <cell r="GL483" t="str">
            <v>#N/A</v>
          </cell>
        </row>
        <row r="498">
          <cell r="EE498" t="str">
            <v>Revenue</v>
          </cell>
          <cell r="EF498" t="str">
            <v>Difference w/ High Guidance</v>
          </cell>
          <cell r="EG498" t="str">
            <v>Difference w/ High Guidance</v>
          </cell>
          <cell r="EH498" t="str">
            <v>#N/A</v>
          </cell>
          <cell r="EI498" t="str">
            <v>#N/A</v>
          </cell>
          <cell r="EJ498" t="str">
            <v>#N/A</v>
          </cell>
          <cell r="EK498" t="str">
            <v>#N/A</v>
          </cell>
          <cell r="EL498" t="str">
            <v>#N/A</v>
          </cell>
          <cell r="EM498" t="str">
            <v>#N/A</v>
          </cell>
          <cell r="EN498" t="str">
            <v>#N/A</v>
          </cell>
          <cell r="EO498" t="str">
            <v>#N/A</v>
          </cell>
          <cell r="EP498" t="str">
            <v>#N/A</v>
          </cell>
          <cell r="EQ498" t="str">
            <v>#N/A</v>
          </cell>
          <cell r="ER498" t="str">
            <v>#N/A</v>
          </cell>
          <cell r="ES498" t="str">
            <v>Difference w/ High Guidance</v>
          </cell>
          <cell r="ET498" t="str">
            <v>Difference w/ High Guidance</v>
          </cell>
          <cell r="EU498" t="str">
            <v>#N/A</v>
          </cell>
          <cell r="EV498" t="str">
            <v>#N/A</v>
          </cell>
          <cell r="EW498" t="str">
            <v>#N/A</v>
          </cell>
          <cell r="EX498" t="str">
            <v>#N/A</v>
          </cell>
          <cell r="EY498" t="str">
            <v>#N/A</v>
          </cell>
          <cell r="EZ498" t="str">
            <v>#N/A</v>
          </cell>
          <cell r="FA498" t="str">
            <v>#N/A</v>
          </cell>
          <cell r="FB498" t="str">
            <v>#N/A</v>
          </cell>
          <cell r="FC498" t="str">
            <v>#N/A</v>
          </cell>
          <cell r="FD498" t="str">
            <v>#N/A</v>
          </cell>
          <cell r="FE498" t="str">
            <v>#N/A</v>
          </cell>
          <cell r="FF498" t="str">
            <v>#N/A</v>
          </cell>
          <cell r="FG498" t="str">
            <v>#N/A</v>
          </cell>
          <cell r="FH498" t="str">
            <v>#N/A</v>
          </cell>
          <cell r="FI498" t="str">
            <v>#N/A</v>
          </cell>
          <cell r="FJ498" t="str">
            <v>#N/A</v>
          </cell>
          <cell r="FK498" t="str">
            <v>#N/A</v>
          </cell>
          <cell r="FL498" t="str">
            <v>#N/A</v>
          </cell>
          <cell r="FM498" t="str">
            <v>#N/A</v>
          </cell>
          <cell r="FN498" t="str">
            <v>#N/A</v>
          </cell>
          <cell r="FO498" t="str">
            <v>#N/A</v>
          </cell>
          <cell r="FP498" t="str">
            <v>#N/A</v>
          </cell>
          <cell r="FQ498" t="str">
            <v>#N/A</v>
          </cell>
          <cell r="FR498" t="str">
            <v>#N/A</v>
          </cell>
          <cell r="FS498" t="str">
            <v>#N/A</v>
          </cell>
          <cell r="FT498" t="str">
            <v>#N/A</v>
          </cell>
          <cell r="FU498" t="str">
            <v>#N/A</v>
          </cell>
          <cell r="FV498" t="str">
            <v>#N/A</v>
          </cell>
          <cell r="FW498" t="str">
            <v>#N/A</v>
          </cell>
          <cell r="FX498" t="str">
            <v>#N/A</v>
          </cell>
          <cell r="FY498" t="str">
            <v>#N/A</v>
          </cell>
          <cell r="FZ498" t="str">
            <v>#N/A</v>
          </cell>
          <cell r="GA498" t="str">
            <v>#N/A</v>
          </cell>
          <cell r="GB498" t="str">
            <v>#N/A</v>
          </cell>
          <cell r="GC498" t="str">
            <v>#N/A</v>
          </cell>
          <cell r="GD498" t="str">
            <v>#N/A</v>
          </cell>
          <cell r="GE498" t="str">
            <v>#N/A</v>
          </cell>
          <cell r="GF498" t="str">
            <v>#N/A</v>
          </cell>
          <cell r="GG498" t="str">
            <v>#N/A</v>
          </cell>
          <cell r="GH498" t="str">
            <v>#N/A</v>
          </cell>
          <cell r="GI498" t="str">
            <v>#N/A</v>
          </cell>
          <cell r="GJ498" t="str">
            <v>#N/A</v>
          </cell>
          <cell r="GK498" t="str">
            <v>#N/A</v>
          </cell>
          <cell r="GL498" t="str">
            <v>#N/A</v>
          </cell>
        </row>
      </sheetData>
      <sheetData sheetId="4"/>
      <sheetData sheetId="5"/>
      <sheetData sheetId="6"/>
      <sheetData sheetId="7">
        <row r="19">
          <cell r="D19" t="str">
            <v>AVG</v>
          </cell>
        </row>
        <row r="22">
          <cell r="M22">
            <v>17755.692823056466</v>
          </cell>
        </row>
        <row r="84">
          <cell r="Z84">
            <v>0.11880229117300149</v>
          </cell>
        </row>
        <row r="87">
          <cell r="I87">
            <v>374646.12977918837</v>
          </cell>
          <cell r="Q87">
            <v>371159.77953473339</v>
          </cell>
        </row>
        <row r="94">
          <cell r="I94">
            <v>380.56424474599896</v>
          </cell>
          <cell r="Q94">
            <v>385.14238439443528</v>
          </cell>
        </row>
        <row r="96">
          <cell r="Z96">
            <v>3.6374216079711912E-2</v>
          </cell>
        </row>
        <row r="100">
          <cell r="Z100">
            <v>0.12394331313431595</v>
          </cell>
        </row>
        <row r="104">
          <cell r="Z104">
            <v>3.9850799999999999E-2</v>
          </cell>
        </row>
        <row r="110">
          <cell r="Z110">
            <v>33939</v>
          </cell>
        </row>
        <row r="111">
          <cell r="Z111">
            <v>10663</v>
          </cell>
        </row>
        <row r="112">
          <cell r="Z112">
            <v>0</v>
          </cell>
        </row>
        <row r="113">
          <cell r="Z113">
            <v>21653</v>
          </cell>
        </row>
        <row r="114">
          <cell r="Z114">
            <v>22645.525432997882</v>
          </cell>
        </row>
        <row r="116">
          <cell r="Z116">
            <v>17755.692823056466</v>
          </cell>
        </row>
        <row r="117">
          <cell r="Z117">
            <v>17651</v>
          </cell>
        </row>
        <row r="118">
          <cell r="Z118">
            <v>893</v>
          </cell>
        </row>
      </sheetData>
      <sheetData sheetId="8"/>
      <sheetData sheetId="9"/>
      <sheetData sheetId="10">
        <row r="1">
          <cell r="G1">
            <v>-40</v>
          </cell>
        </row>
        <row r="2">
          <cell r="H2" t="str">
            <v>Q1 - 2026</v>
          </cell>
          <cell r="I2" t="str">
            <v>Q4 - 2025</v>
          </cell>
          <cell r="J2" t="str">
            <v>Q3 - 2025</v>
          </cell>
          <cell r="K2" t="str">
            <v>Q2 - 2025</v>
          </cell>
          <cell r="L2" t="str">
            <v>Q1 - 2025</v>
          </cell>
          <cell r="M2" t="str">
            <v>Q4 - 2024</v>
          </cell>
          <cell r="N2" t="str">
            <v>Q3 - 2024</v>
          </cell>
          <cell r="O2" t="str">
            <v>Q2 - 2024</v>
          </cell>
          <cell r="P2" t="str">
            <v>Q1 - 2024</v>
          </cell>
          <cell r="Q2" t="str">
            <v>Q4 - 2023</v>
          </cell>
          <cell r="R2" t="str">
            <v>Q3 - 2023</v>
          </cell>
          <cell r="S2" t="str">
            <v>Q2 - 2023</v>
          </cell>
          <cell r="T2" t="str">
            <v>Q1 - 2023</v>
          </cell>
          <cell r="U2" t="str">
            <v>Q4 - 2022</v>
          </cell>
          <cell r="V2" t="str">
            <v>Q3 - 2022</v>
          </cell>
          <cell r="W2" t="str">
            <v>Q2 - 2022</v>
          </cell>
          <cell r="X2" t="str">
            <v>Q1 - 2022</v>
          </cell>
          <cell r="Y2" t="str">
            <v>Q4 - 2021</v>
          </cell>
          <cell r="Z2" t="str">
            <v>Q3 - 2021</v>
          </cell>
          <cell r="AA2" t="str">
            <v>Q2 - 2021</v>
          </cell>
          <cell r="AB2" t="str">
            <v>Q1 - 2021</v>
          </cell>
          <cell r="AC2" t="str">
            <v>Q4 - 2020</v>
          </cell>
          <cell r="AD2" t="str">
            <v>Q3 - 2020</v>
          </cell>
          <cell r="AE2" t="str">
            <v>Q2 - 2020</v>
          </cell>
          <cell r="AF2" t="str">
            <v>Q1 - 2020</v>
          </cell>
          <cell r="AG2" t="str">
            <v>Q4 - 2019</v>
          </cell>
          <cell r="AH2" t="str">
            <v>Q3 - 2019</v>
          </cell>
          <cell r="AI2" t="str">
            <v>Q2 - 2019</v>
          </cell>
          <cell r="AJ2" t="str">
            <v>Q1 - 2019</v>
          </cell>
          <cell r="AK2" t="str">
            <v>Q4 - 2018</v>
          </cell>
          <cell r="AL2" t="str">
            <v>Q3 - 2018</v>
          </cell>
          <cell r="AM2" t="str">
            <v>Q2 - 2018</v>
          </cell>
          <cell r="AN2" t="str">
            <v>Q1 - 2018</v>
          </cell>
          <cell r="AO2" t="str">
            <v>Q4 - 2017</v>
          </cell>
        </row>
        <row r="4">
          <cell r="D4" t="str">
            <v>SEG_REV</v>
          </cell>
          <cell r="H4">
            <v>8398</v>
          </cell>
          <cell r="I4">
            <v>8806</v>
          </cell>
          <cell r="J4">
            <v>8602</v>
          </cell>
          <cell r="K4">
            <v>8133</v>
          </cell>
          <cell r="L4">
            <v>7250</v>
          </cell>
          <cell r="M4">
            <v>7489</v>
          </cell>
          <cell r="N4">
            <v>7369</v>
          </cell>
          <cell r="O4">
            <v>6961</v>
          </cell>
          <cell r="P4">
            <v>6348</v>
          </cell>
          <cell r="Q4">
            <v>6548</v>
          </cell>
          <cell r="R4">
            <v>6533</v>
          </cell>
          <cell r="S4">
            <v>6269</v>
          </cell>
          <cell r="T4">
            <v>5748</v>
          </cell>
          <cell r="U4">
            <v>5817</v>
          </cell>
          <cell r="V4">
            <v>5756</v>
          </cell>
          <cell r="W4">
            <v>5497</v>
          </cell>
          <cell r="X4">
            <v>5167</v>
          </cell>
          <cell r="Y4">
            <v>5216</v>
          </cell>
          <cell r="Z4">
            <v>4985</v>
          </cell>
          <cell r="AA4">
            <v>4528</v>
          </cell>
          <cell r="AB4">
            <v>4155</v>
          </cell>
          <cell r="AC4">
            <v>4120</v>
          </cell>
          <cell r="AD4">
            <v>3837</v>
          </cell>
          <cell r="AE4">
            <v>3335</v>
          </cell>
          <cell r="AF4">
            <v>4009</v>
          </cell>
          <cell r="AG4">
            <v>4414</v>
          </cell>
          <cell r="AH4">
            <v>4467</v>
          </cell>
          <cell r="AI4">
            <v>4113</v>
          </cell>
          <cell r="AJ4">
            <v>3889</v>
          </cell>
          <cell r="AK4">
            <v>3807</v>
          </cell>
          <cell r="AL4">
            <v>3898</v>
          </cell>
          <cell r="AM4">
            <v>3665</v>
          </cell>
          <cell r="AN4">
            <v>3580</v>
          </cell>
          <cell r="AO4">
            <v>3312</v>
          </cell>
        </row>
        <row r="5">
          <cell r="D5" t="str">
            <v>SEG1_REV</v>
          </cell>
          <cell r="H5">
            <v>4948</v>
          </cell>
          <cell r="I5">
            <v>4920</v>
          </cell>
          <cell r="J5">
            <v>5179</v>
          </cell>
          <cell r="K5">
            <v>4945</v>
          </cell>
          <cell r="L5">
            <v>4432</v>
          </cell>
          <cell r="M5">
            <v>4411</v>
          </cell>
          <cell r="N5">
            <v>4629</v>
          </cell>
          <cell r="O5">
            <v>4375</v>
          </cell>
          <cell r="P5">
            <v>3920</v>
          </cell>
          <cell r="Q5">
            <v>3891</v>
          </cell>
          <cell r="R5">
            <v>4210</v>
          </cell>
          <cell r="S5">
            <v>4073</v>
          </cell>
          <cell r="T5">
            <v>3650</v>
          </cell>
          <cell r="U5" t="e">
            <v>#N/A</v>
          </cell>
          <cell r="V5" t="e">
            <v>#N/A</v>
          </cell>
          <cell r="W5" t="e">
            <v>#N/A</v>
          </cell>
          <cell r="X5" t="e">
            <v>#N/A</v>
          </cell>
          <cell r="Y5" t="e">
            <v>#N/A</v>
          </cell>
          <cell r="Z5" t="e">
            <v>#N/A</v>
          </cell>
          <cell r="AA5" t="e">
            <v>#N/A</v>
          </cell>
          <cell r="AB5" t="e">
            <v>#N/A</v>
          </cell>
          <cell r="AC5" t="e">
            <v>#N/A</v>
          </cell>
          <cell r="AD5" t="e">
            <v>#N/A</v>
          </cell>
          <cell r="AE5" t="e">
            <v>#N/A</v>
          </cell>
          <cell r="AF5" t="e">
            <v>#N/A</v>
          </cell>
          <cell r="AG5" t="e">
            <v>#N/A</v>
          </cell>
          <cell r="AH5" t="e">
            <v>#N/A</v>
          </cell>
          <cell r="AI5" t="e">
            <v>#N/A</v>
          </cell>
          <cell r="AJ5" t="e">
            <v>#N/A</v>
          </cell>
          <cell r="AK5" t="e">
            <v>#N/A</v>
          </cell>
          <cell r="AL5" t="e">
            <v>#N/A</v>
          </cell>
          <cell r="AM5" t="e">
            <v>#N/A</v>
          </cell>
          <cell r="AN5" t="e">
            <v>#N/A</v>
          </cell>
          <cell r="AO5" t="e">
            <v>#N/A</v>
          </cell>
        </row>
        <row r="6">
          <cell r="D6" t="str">
            <v>SEG2_REV</v>
          </cell>
          <cell r="H6">
            <v>3450</v>
          </cell>
          <cell r="I6">
            <v>3886</v>
          </cell>
          <cell r="J6">
            <v>3423</v>
          </cell>
          <cell r="K6">
            <v>3188</v>
          </cell>
          <cell r="L6">
            <v>2818</v>
          </cell>
          <cell r="M6">
            <v>3078</v>
          </cell>
          <cell r="N6">
            <v>2740</v>
          </cell>
          <cell r="O6">
            <v>2586</v>
          </cell>
          <cell r="P6">
            <v>2428</v>
          </cell>
          <cell r="Q6">
            <v>2657</v>
          </cell>
          <cell r="R6">
            <v>2323</v>
          </cell>
          <cell r="S6">
            <v>2196</v>
          </cell>
          <cell r="T6">
            <v>2098</v>
          </cell>
          <cell r="U6" t="e">
            <v>#N/A</v>
          </cell>
          <cell r="V6" t="e">
            <v>#N/A</v>
          </cell>
          <cell r="W6" t="e">
            <v>#N/A</v>
          </cell>
          <cell r="X6" t="e">
            <v>#N/A</v>
          </cell>
          <cell r="Y6" t="e">
            <v>#N/A</v>
          </cell>
          <cell r="Z6" t="e">
            <v>#N/A</v>
          </cell>
          <cell r="AA6" t="e">
            <v>#N/A</v>
          </cell>
          <cell r="AB6" t="e">
            <v>#N/A</v>
          </cell>
          <cell r="AC6" t="e">
            <v>#N/A</v>
          </cell>
          <cell r="AD6" t="e">
            <v>#N/A</v>
          </cell>
          <cell r="AE6" t="e">
            <v>#N/A</v>
          </cell>
          <cell r="AF6" t="e">
            <v>#N/A</v>
          </cell>
          <cell r="AG6" t="e">
            <v>#N/A</v>
          </cell>
          <cell r="AH6" t="e">
            <v>#N/A</v>
          </cell>
          <cell r="AI6" t="e">
            <v>#N/A</v>
          </cell>
          <cell r="AJ6" t="e">
            <v>#N/A</v>
          </cell>
          <cell r="AK6" t="e">
            <v>#N/A</v>
          </cell>
          <cell r="AL6" t="e">
            <v>#N/A</v>
          </cell>
          <cell r="AM6" t="e">
            <v>#N/A</v>
          </cell>
          <cell r="AN6" t="e">
            <v>#N/A</v>
          </cell>
          <cell r="AO6" t="e">
            <v>#N/A</v>
          </cell>
        </row>
        <row r="7">
          <cell r="D7" t="str">
            <v>SEG3_REV</v>
          </cell>
          <cell r="H7">
            <v>10587</v>
          </cell>
          <cell r="I7">
            <v>10551</v>
          </cell>
          <cell r="J7">
            <v>10568</v>
          </cell>
          <cell r="K7">
            <v>9868</v>
          </cell>
          <cell r="L7">
            <v>9011</v>
          </cell>
          <cell r="M7">
            <v>9088</v>
          </cell>
          <cell r="N7">
            <v>9259</v>
          </cell>
          <cell r="O7">
            <v>8597</v>
          </cell>
          <cell r="P7">
            <v>8020</v>
          </cell>
          <cell r="Q7">
            <v>7987</v>
          </cell>
          <cell r="R7">
            <v>8174</v>
          </cell>
          <cell r="S7">
            <v>7767</v>
          </cell>
          <cell r="T7">
            <v>7067</v>
          </cell>
          <cell r="U7">
            <v>9425</v>
          </cell>
          <cell r="V7">
            <v>9167</v>
          </cell>
          <cell r="W7">
            <v>8704</v>
          </cell>
          <cell r="X7">
            <v>8025</v>
          </cell>
          <cell r="Y7">
            <v>8372</v>
          </cell>
          <cell r="Z7">
            <v>7826</v>
          </cell>
          <cell r="AA7">
            <v>7219</v>
          </cell>
          <cell r="AB7">
            <v>6428</v>
          </cell>
          <cell r="AC7">
            <v>6426</v>
          </cell>
          <cell r="AD7">
            <v>5935</v>
          </cell>
          <cell r="AE7">
            <v>5093</v>
          </cell>
          <cell r="AF7">
            <v>6162</v>
          </cell>
          <cell r="AG7">
            <v>6722</v>
          </cell>
          <cell r="AH7">
            <v>6557</v>
          </cell>
          <cell r="AI7">
            <v>6069</v>
          </cell>
          <cell r="AJ7">
            <v>5632</v>
          </cell>
          <cell r="AK7">
            <v>5778</v>
          </cell>
          <cell r="AL7">
            <v>5633</v>
          </cell>
          <cell r="AM7">
            <v>5350</v>
          </cell>
          <cell r="AN7">
            <v>5070</v>
          </cell>
          <cell r="AO7">
            <v>5030</v>
          </cell>
        </row>
        <row r="8">
          <cell r="D8" t="str">
            <v>SEG4_REV</v>
          </cell>
          <cell r="H8">
            <v>2896</v>
          </cell>
          <cell r="I8">
            <v>2773</v>
          </cell>
          <cell r="J8">
            <v>2809</v>
          </cell>
          <cell r="K8">
            <v>2789</v>
          </cell>
          <cell r="L8">
            <v>2658</v>
          </cell>
          <cell r="M8">
            <v>2538</v>
          </cell>
          <cell r="N8">
            <v>2641</v>
          </cell>
          <cell r="O8">
            <v>2596</v>
          </cell>
          <cell r="P8">
            <v>2470</v>
          </cell>
          <cell r="Q8">
            <v>2384</v>
          </cell>
          <cell r="R8">
            <v>2460</v>
          </cell>
          <cell r="S8">
            <v>2468</v>
          </cell>
          <cell r="T8">
            <v>2254</v>
          </cell>
          <cell r="U8">
            <v>2251</v>
          </cell>
          <cell r="V8">
            <v>2252</v>
          </cell>
          <cell r="W8">
            <v>2283</v>
          </cell>
          <cell r="X8">
            <v>2134</v>
          </cell>
          <cell r="Y8">
            <v>2165</v>
          </cell>
          <cell r="Z8">
            <v>2139</v>
          </cell>
          <cell r="AA8">
            <v>2056</v>
          </cell>
          <cell r="AB8">
            <v>1798</v>
          </cell>
          <cell r="AC8">
            <v>1749</v>
          </cell>
          <cell r="AD8">
            <v>1750</v>
          </cell>
          <cell r="AE8">
            <v>1474</v>
          </cell>
          <cell r="AF8">
            <v>1683</v>
          </cell>
          <cell r="AG8">
            <v>1774</v>
          </cell>
          <cell r="AH8">
            <v>1722</v>
          </cell>
          <cell r="AI8">
            <v>1680</v>
          </cell>
          <cell r="AJ8">
            <v>1605</v>
          </cell>
          <cell r="AK8">
            <v>1579</v>
          </cell>
          <cell r="AL8">
            <v>1564</v>
          </cell>
          <cell r="AM8">
            <v>1537</v>
          </cell>
          <cell r="AN8">
            <v>1458</v>
          </cell>
          <cell r="AO8">
            <v>1379</v>
          </cell>
        </row>
        <row r="9">
          <cell r="D9" t="str">
            <v>SEG5_REV</v>
          </cell>
          <cell r="H9">
            <v>3190</v>
          </cell>
          <cell r="I9">
            <v>3265</v>
          </cell>
          <cell r="J9">
            <v>3313</v>
          </cell>
          <cell r="K9">
            <v>2848</v>
          </cell>
          <cell r="L9">
            <v>2595</v>
          </cell>
          <cell r="M9">
            <v>2706</v>
          </cell>
          <cell r="N9">
            <v>2804</v>
          </cell>
          <cell r="O9">
            <v>2433</v>
          </cell>
          <cell r="P9">
            <v>2238</v>
          </cell>
          <cell r="Q9">
            <v>2197</v>
          </cell>
          <cell r="R9">
            <v>2313</v>
          </cell>
          <cell r="S9">
            <v>2050</v>
          </cell>
          <cell r="T9">
            <v>1849</v>
          </cell>
          <cell r="U9">
            <v>1795</v>
          </cell>
          <cell r="V9">
            <v>1803</v>
          </cell>
          <cell r="W9">
            <v>1615</v>
          </cell>
          <cell r="X9">
            <v>1395</v>
          </cell>
          <cell r="Y9">
            <v>1380</v>
          </cell>
          <cell r="Z9">
            <v>1276</v>
          </cell>
          <cell r="AA9">
            <v>1076</v>
          </cell>
          <cell r="AB9">
            <v>932</v>
          </cell>
          <cell r="AC9">
            <v>867</v>
          </cell>
          <cell r="AD9">
            <v>791</v>
          </cell>
          <cell r="AE9">
            <v>637</v>
          </cell>
          <cell r="AF9">
            <v>1217</v>
          </cell>
          <cell r="AG9">
            <v>1452</v>
          </cell>
          <cell r="AH9">
            <v>1517</v>
          </cell>
          <cell r="AI9">
            <v>1374</v>
          </cell>
          <cell r="AJ9">
            <v>1263</v>
          </cell>
          <cell r="AK9">
            <v>1261</v>
          </cell>
          <cell r="AL9">
            <v>1338</v>
          </cell>
          <cell r="AM9">
            <v>1198</v>
          </cell>
          <cell r="AN9">
            <v>1157</v>
          </cell>
          <cell r="AO9">
            <v>1117</v>
          </cell>
        </row>
        <row r="10">
          <cell r="D10" t="str">
            <v>SEG6_REV</v>
          </cell>
          <cell r="H10">
            <v>4224</v>
          </cell>
          <cell r="I10">
            <v>4241</v>
          </cell>
          <cell r="J10">
            <v>4191</v>
          </cell>
          <cell r="K10">
            <v>3971</v>
          </cell>
          <cell r="L10">
            <v>3527</v>
          </cell>
          <cell r="M10">
            <v>3605</v>
          </cell>
          <cell r="N10">
            <v>3587</v>
          </cell>
          <cell r="O10">
            <v>3324</v>
          </cell>
          <cell r="P10">
            <v>3086</v>
          </cell>
          <cell r="Q10">
            <v>3164</v>
          </cell>
          <cell r="R10">
            <v>3172</v>
          </cell>
          <cell r="S10">
            <v>2979</v>
          </cell>
          <cell r="T10">
            <v>2752</v>
          </cell>
          <cell r="U10">
            <v>3334</v>
          </cell>
          <cell r="V10">
            <v>3288</v>
          </cell>
          <cell r="W10">
            <v>3061</v>
          </cell>
          <cell r="X10">
            <v>2912</v>
          </cell>
          <cell r="Y10">
            <v>2987</v>
          </cell>
          <cell r="Z10">
            <v>2849</v>
          </cell>
          <cell r="AA10">
            <v>2612</v>
          </cell>
          <cell r="AB10">
            <v>2351</v>
          </cell>
          <cell r="AC10">
            <v>2379</v>
          </cell>
          <cell r="AD10">
            <v>2251</v>
          </cell>
          <cell r="AE10">
            <v>1901</v>
          </cell>
          <cell r="AF10">
            <v>2200</v>
          </cell>
          <cell r="AG10">
            <v>2263</v>
          </cell>
          <cell r="AH10">
            <v>2231</v>
          </cell>
          <cell r="AI10">
            <v>2053</v>
          </cell>
          <cell r="AJ10">
            <v>1922</v>
          </cell>
          <cell r="AK10">
            <v>1942</v>
          </cell>
          <cell r="AL10">
            <v>1912</v>
          </cell>
          <cell r="AM10">
            <v>1830</v>
          </cell>
          <cell r="AN10">
            <v>1707</v>
          </cell>
          <cell r="AO10">
            <v>1683</v>
          </cell>
        </row>
        <row r="11">
          <cell r="D11" t="str">
            <v>SEG7_REV</v>
          </cell>
          <cell r="H11">
            <v>277</v>
          </cell>
          <cell r="I11">
            <v>272</v>
          </cell>
          <cell r="J11">
            <v>255</v>
          </cell>
          <cell r="K11">
            <v>260</v>
          </cell>
          <cell r="L11">
            <v>231</v>
          </cell>
          <cell r="M11">
            <v>239</v>
          </cell>
          <cell r="N11">
            <v>227</v>
          </cell>
          <cell r="O11">
            <v>244</v>
          </cell>
          <cell r="P11">
            <v>226</v>
          </cell>
          <cell r="Q11">
            <v>252</v>
          </cell>
          <cell r="R11">
            <v>229</v>
          </cell>
          <cell r="S11">
            <v>270</v>
          </cell>
          <cell r="T11">
            <v>212</v>
          </cell>
          <cell r="U11">
            <v>2045</v>
          </cell>
          <cell r="V11">
            <v>1824</v>
          </cell>
          <cell r="W11">
            <v>1745</v>
          </cell>
          <cell r="X11">
            <v>1584</v>
          </cell>
          <cell r="Y11">
            <v>1840</v>
          </cell>
          <cell r="Z11">
            <v>1562</v>
          </cell>
          <cell r="AA11">
            <v>1475</v>
          </cell>
          <cell r="AB11">
            <v>1347</v>
          </cell>
          <cell r="AC11">
            <v>1431</v>
          </cell>
          <cell r="AD11">
            <v>1143</v>
          </cell>
          <cell r="AE11">
            <v>1081</v>
          </cell>
          <cell r="AF11">
            <v>1062</v>
          </cell>
          <cell r="AG11">
            <v>1233</v>
          </cell>
          <cell r="AH11">
            <v>1087</v>
          </cell>
          <cell r="AI11">
            <v>962</v>
          </cell>
          <cell r="AJ11">
            <v>842</v>
          </cell>
          <cell r="AK11">
            <v>996</v>
          </cell>
          <cell r="AL11">
            <v>819</v>
          </cell>
          <cell r="AM11">
            <v>785</v>
          </cell>
          <cell r="AN11">
            <v>748</v>
          </cell>
          <cell r="AO11">
            <v>851</v>
          </cell>
        </row>
        <row r="12">
          <cell r="D12" t="str">
            <v>SEG8_REV</v>
          </cell>
          <cell r="H12" t="e">
            <v>#N/A</v>
          </cell>
          <cell r="I12">
            <v>-5631</v>
          </cell>
          <cell r="J12">
            <v>-5389</v>
          </cell>
          <cell r="K12">
            <v>-4923</v>
          </cell>
          <cell r="L12">
            <v>-4579</v>
          </cell>
          <cell r="M12">
            <v>-4677</v>
          </cell>
          <cell r="N12">
            <v>-4630</v>
          </cell>
          <cell r="O12">
            <v>-4222</v>
          </cell>
          <cell r="P12">
            <v>-4100</v>
          </cell>
          <cell r="Q12">
            <v>-4108</v>
          </cell>
          <cell r="R12">
            <v>-3963</v>
          </cell>
          <cell r="S12">
            <v>-3694</v>
          </cell>
          <cell r="T12">
            <v>-3417</v>
          </cell>
          <cell r="U12">
            <v>-3608</v>
          </cell>
          <cell r="V12">
            <v>-3411</v>
          </cell>
          <cell r="W12">
            <v>-3207</v>
          </cell>
          <cell r="X12">
            <v>-2858</v>
          </cell>
          <cell r="Y12">
            <v>-3156</v>
          </cell>
          <cell r="Z12">
            <v>-2841</v>
          </cell>
          <cell r="AA12">
            <v>-2691</v>
          </cell>
          <cell r="AB12">
            <v>-2273</v>
          </cell>
          <cell r="AC12">
            <v>-2306</v>
          </cell>
          <cell r="AD12">
            <v>-2098</v>
          </cell>
          <cell r="AE12">
            <v>1758</v>
          </cell>
          <cell r="AF12">
            <v>-2153</v>
          </cell>
          <cell r="AG12">
            <v>-292</v>
          </cell>
          <cell r="AH12">
            <v>-2090</v>
          </cell>
          <cell r="AI12">
            <v>-1956</v>
          </cell>
          <cell r="AJ12">
            <v>-1743</v>
          </cell>
          <cell r="AK12">
            <v>-1971</v>
          </cell>
          <cell r="AL12">
            <v>-1735</v>
          </cell>
          <cell r="AM12">
            <v>-1685</v>
          </cell>
          <cell r="AN12">
            <v>-1490</v>
          </cell>
          <cell r="AO12">
            <v>-1718</v>
          </cell>
        </row>
        <row r="13"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>
            <v>2105</v>
          </cell>
          <cell r="AD13">
            <v>1707</v>
          </cell>
          <cell r="AE13">
            <v>2211</v>
          </cell>
          <cell r="AF13">
            <v>2399</v>
          </cell>
          <cell r="AG13">
            <v>2655</v>
          </cell>
          <cell r="AH13">
            <v>2397</v>
          </cell>
          <cell r="AI13">
            <v>2213</v>
          </cell>
          <cell r="AJ13">
            <v>1234</v>
          </cell>
          <cell r="AK13">
            <v>2287</v>
          </cell>
          <cell r="AL13">
            <v>1936</v>
          </cell>
          <cell r="AM13">
            <v>1825</v>
          </cell>
          <cell r="AN13">
            <v>1522</v>
          </cell>
          <cell r="AO13">
            <v>1941</v>
          </cell>
        </row>
        <row r="14">
          <cell r="D14" t="str">
            <v>KPI1</v>
          </cell>
          <cell r="H14">
            <v>2703000</v>
          </cell>
          <cell r="I14">
            <v>2819000</v>
          </cell>
          <cell r="J14">
            <v>2747000</v>
          </cell>
          <cell r="K14">
            <v>2631000</v>
          </cell>
          <cell r="L14">
            <v>2417000</v>
          </cell>
          <cell r="M14">
            <v>2561000</v>
          </cell>
          <cell r="N14">
            <v>2501000</v>
          </cell>
          <cell r="O14">
            <v>2404000</v>
          </cell>
          <cell r="P14">
            <v>2291000</v>
          </cell>
          <cell r="Q14">
            <v>2352000</v>
          </cell>
          <cell r="R14">
            <v>2303000</v>
          </cell>
          <cell r="S14">
            <v>2265000</v>
          </cell>
          <cell r="T14">
            <v>2107000</v>
          </cell>
          <cell r="U14">
            <v>2135000</v>
          </cell>
          <cell r="V14">
            <v>2069000</v>
          </cell>
          <cell r="W14">
            <v>2054000</v>
          </cell>
          <cell r="X14">
            <v>1919000</v>
          </cell>
          <cell r="Y14">
            <v>2115000</v>
          </cell>
          <cell r="Z14">
            <v>1993000</v>
          </cell>
          <cell r="AA14">
            <v>1908000</v>
          </cell>
          <cell r="AB14">
            <v>1709000</v>
          </cell>
          <cell r="AC14">
            <v>1747000</v>
          </cell>
          <cell r="AD14">
            <v>1647000</v>
          </cell>
          <cell r="AE14">
            <v>1377000</v>
          </cell>
          <cell r="AF14">
            <v>1565000</v>
          </cell>
          <cell r="AG14">
            <v>1731000</v>
          </cell>
          <cell r="AH14">
            <v>1652000</v>
          </cell>
          <cell r="AI14">
            <v>1602000</v>
          </cell>
          <cell r="AJ14">
            <v>1484000</v>
          </cell>
          <cell r="AK14">
            <v>1550000</v>
          </cell>
          <cell r="AL14">
            <v>1470000</v>
          </cell>
          <cell r="AM14">
            <v>1475000</v>
          </cell>
          <cell r="AN14">
            <v>1415000</v>
          </cell>
          <cell r="AO14">
            <v>1420000</v>
          </cell>
        </row>
        <row r="15">
          <cell r="D15" t="str">
            <v>KPI2</v>
          </cell>
          <cell r="H15">
            <v>55184</v>
          </cell>
          <cell r="I15">
            <v>58373</v>
          </cell>
          <cell r="J15">
            <v>57316</v>
          </cell>
          <cell r="K15">
            <v>55299</v>
          </cell>
          <cell r="L15">
            <v>51129</v>
          </cell>
          <cell r="M15">
            <v>53846</v>
          </cell>
          <cell r="N15">
            <v>52589</v>
          </cell>
          <cell r="O15">
            <v>50595</v>
          </cell>
          <cell r="P15">
            <v>47090</v>
          </cell>
          <cell r="Q15">
            <v>48552</v>
          </cell>
          <cell r="R15">
            <v>47317</v>
          </cell>
          <cell r="S15">
            <v>45608</v>
          </cell>
          <cell r="T15">
            <v>41904</v>
          </cell>
          <cell r="U15">
            <v>43506</v>
          </cell>
          <cell r="V15">
            <v>42173</v>
          </cell>
          <cell r="W15">
            <v>39736</v>
          </cell>
          <cell r="X15">
            <v>36859</v>
          </cell>
          <cell r="Y15">
            <v>42329</v>
          </cell>
          <cell r="Z15">
            <v>40124</v>
          </cell>
          <cell r="AA15">
            <v>37426</v>
          </cell>
          <cell r="AB15">
            <v>33192</v>
          </cell>
          <cell r="AC15">
            <v>34190</v>
          </cell>
          <cell r="AD15">
            <v>32993</v>
          </cell>
          <cell r="AE15">
            <v>27451</v>
          </cell>
          <cell r="AF15">
            <v>30825</v>
          </cell>
          <cell r="AG15">
            <v>33078</v>
          </cell>
          <cell r="AH15">
            <v>31770</v>
          </cell>
          <cell r="AI15">
            <v>30334</v>
          </cell>
          <cell r="AJ15">
            <v>27137</v>
          </cell>
          <cell r="AK15">
            <v>28121</v>
          </cell>
          <cell r="AL15">
            <v>26381</v>
          </cell>
          <cell r="AM15">
            <v>25434</v>
          </cell>
          <cell r="AN15">
            <v>23314</v>
          </cell>
          <cell r="AO15">
            <v>23615</v>
          </cell>
        </row>
        <row r="16">
          <cell r="H16"/>
          <cell r="I16"/>
          <cell r="J16"/>
          <cell r="K16"/>
          <cell r="L16"/>
          <cell r="M16"/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</row>
        <row r="17">
          <cell r="D17" t="str">
            <v>KPI3</v>
          </cell>
          <cell r="H17">
            <v>2251000</v>
          </cell>
          <cell r="I17">
            <v>2344000</v>
          </cell>
          <cell r="J17">
            <v>2280000</v>
          </cell>
          <cell r="K17">
            <v>2182000</v>
          </cell>
          <cell r="L17">
            <v>1993000</v>
          </cell>
          <cell r="M17">
            <v>2114000</v>
          </cell>
          <cell r="N17">
            <v>2058000</v>
          </cell>
          <cell r="O17">
            <v>1975000</v>
          </cell>
          <cell r="P17">
            <v>1871000</v>
          </cell>
          <cell r="Q17">
            <v>1921000</v>
          </cell>
          <cell r="R17">
            <v>1879000</v>
          </cell>
          <cell r="S17">
            <v>1839000</v>
          </cell>
          <cell r="T17">
            <v>1707000</v>
          </cell>
          <cell r="U17">
            <v>1728000</v>
          </cell>
          <cell r="V17">
            <v>1669000</v>
          </cell>
          <cell r="W17">
            <v>1650000</v>
          </cell>
          <cell r="X17">
            <v>1517000</v>
          </cell>
          <cell r="Y17">
            <v>1660000</v>
          </cell>
          <cell r="Z17">
            <v>1547000</v>
          </cell>
          <cell r="AA17">
            <v>1471000</v>
          </cell>
          <cell r="AB17">
            <v>1295000</v>
          </cell>
          <cell r="AC17">
            <v>1321000</v>
          </cell>
          <cell r="AD17">
            <v>1235000</v>
          </cell>
          <cell r="AE17">
            <v>1034000</v>
          </cell>
          <cell r="AF17">
            <v>1150000</v>
          </cell>
          <cell r="AG17">
            <v>1276000</v>
          </cell>
          <cell r="AH17">
            <v>1219000</v>
          </cell>
          <cell r="AI17">
            <v>1181000</v>
          </cell>
          <cell r="AJ17">
            <v>1090000</v>
          </cell>
          <cell r="AK17">
            <v>1145000</v>
          </cell>
          <cell r="AL17">
            <v>1082000</v>
          </cell>
          <cell r="AM17">
            <v>1083000</v>
          </cell>
          <cell r="AN17">
            <v>1035000</v>
          </cell>
          <cell r="AO17">
            <v>1038000</v>
          </cell>
        </row>
        <row r="18">
          <cell r="D18" t="str">
            <v>KPI4</v>
          </cell>
          <cell r="H18">
            <v>52332</v>
          </cell>
          <cell r="I18">
            <v>55306</v>
          </cell>
          <cell r="J18">
            <v>54236</v>
          </cell>
          <cell r="K18">
            <v>52203</v>
          </cell>
          <cell r="L18">
            <v>48094</v>
          </cell>
          <cell r="M18">
            <v>50606</v>
          </cell>
          <cell r="N18">
            <v>49467</v>
          </cell>
          <cell r="O18">
            <v>47543</v>
          </cell>
          <cell r="P18">
            <v>44106</v>
          </cell>
          <cell r="Q18">
            <v>45447</v>
          </cell>
          <cell r="R18">
            <v>44418</v>
          </cell>
          <cell r="S18">
            <v>42537</v>
          </cell>
          <cell r="T18">
            <v>38960</v>
          </cell>
          <cell r="U18">
            <v>40346</v>
          </cell>
          <cell r="V18">
            <v>38929</v>
          </cell>
          <cell r="W18">
            <v>36554</v>
          </cell>
          <cell r="X18">
            <v>33756</v>
          </cell>
          <cell r="Y18">
            <v>38975</v>
          </cell>
          <cell r="Z18">
            <v>36831</v>
          </cell>
          <cell r="AA18">
            <v>34255</v>
          </cell>
          <cell r="AB18">
            <v>30103</v>
          </cell>
          <cell r="AC18">
            <v>30963</v>
          </cell>
          <cell r="AD18">
            <v>29812</v>
          </cell>
          <cell r="AE18">
            <v>24789</v>
          </cell>
          <cell r="AF18">
            <v>27455</v>
          </cell>
          <cell r="AG18">
            <v>29492</v>
          </cell>
          <cell r="AH18">
            <v>28191</v>
          </cell>
          <cell r="AI18">
            <v>26830</v>
          </cell>
          <cell r="AJ18">
            <v>23821</v>
          </cell>
          <cell r="AK18">
            <v>24717</v>
          </cell>
          <cell r="AL18">
            <v>23140</v>
          </cell>
          <cell r="AM18">
            <v>22230</v>
          </cell>
          <cell r="AN18">
            <v>20303</v>
          </cell>
          <cell r="AO18">
            <v>20542</v>
          </cell>
        </row>
        <row r="19">
          <cell r="D19" t="str">
            <v>SWITCH_TRANS</v>
          </cell>
          <cell r="H19">
            <v>43797</v>
          </cell>
          <cell r="I19">
            <v>46457</v>
          </cell>
          <cell r="J19">
            <v>45373</v>
          </cell>
          <cell r="K19">
            <v>43538</v>
          </cell>
          <cell r="L19">
            <v>40096</v>
          </cell>
          <cell r="M19">
            <v>42226</v>
          </cell>
          <cell r="N19">
            <v>41102</v>
          </cell>
          <cell r="O19">
            <v>39445</v>
          </cell>
          <cell r="P19">
            <v>36700</v>
          </cell>
          <cell r="Q19">
            <v>38100</v>
          </cell>
          <cell r="R19">
            <v>37155</v>
          </cell>
          <cell r="S19">
            <v>35519</v>
          </cell>
          <cell r="T19">
            <v>32500</v>
          </cell>
          <cell r="U19">
            <v>34000</v>
          </cell>
          <cell r="V19">
            <v>32352</v>
          </cell>
          <cell r="W19">
            <v>30400</v>
          </cell>
          <cell r="X19">
            <v>29000</v>
          </cell>
          <cell r="Y19">
            <v>31400</v>
          </cell>
          <cell r="Z19">
            <v>29000</v>
          </cell>
          <cell r="AA19">
            <v>27200</v>
          </cell>
          <cell r="AB19">
            <v>23800</v>
          </cell>
          <cell r="AC19">
            <v>24800</v>
          </cell>
          <cell r="AD19">
            <v>23800</v>
          </cell>
          <cell r="AE19">
            <v>19400</v>
          </cell>
          <cell r="AF19">
            <v>22100</v>
          </cell>
          <cell r="AG19">
            <v>23800</v>
          </cell>
          <cell r="AH19">
            <v>22900</v>
          </cell>
          <cell r="AI19">
            <v>21419</v>
          </cell>
          <cell r="AJ19">
            <v>19205</v>
          </cell>
          <cell r="AK19">
            <v>20124</v>
          </cell>
          <cell r="AL19">
            <v>18825</v>
          </cell>
          <cell r="AM19">
            <v>18161</v>
          </cell>
          <cell r="AN19">
            <v>16681</v>
          </cell>
          <cell r="AO19">
            <v>17739</v>
          </cell>
        </row>
        <row r="20">
          <cell r="H20"/>
          <cell r="I20"/>
          <cell r="J20"/>
          <cell r="K20"/>
          <cell r="L20"/>
          <cell r="M20"/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 t="e">
            <v>#N/A</v>
          </cell>
          <cell r="AD20" t="e">
            <v>#N/A</v>
          </cell>
          <cell r="AE20" t="e">
            <v>#N/A</v>
          </cell>
          <cell r="AF20">
            <v>18.600000000000001</v>
          </cell>
          <cell r="AG20" t="e">
            <v>#N/A</v>
          </cell>
          <cell r="AH20" t="e">
            <v>#N/A</v>
          </cell>
          <cell r="AI20" t="e">
            <v>#N/A</v>
          </cell>
          <cell r="AJ20">
            <v>14.8</v>
          </cell>
          <cell r="AK20" t="e">
            <v>#N/A</v>
          </cell>
          <cell r="AL20" t="e">
            <v>#N/A</v>
          </cell>
          <cell r="AM20" t="e">
            <v>#N/A</v>
          </cell>
          <cell r="AN20">
            <v>13.4</v>
          </cell>
          <cell r="AO20" t="e">
            <v>#N/A</v>
          </cell>
        </row>
        <row r="21">
          <cell r="D21" t="str">
            <v>CC_CB_VOL_GROWTH</v>
          </cell>
          <cell r="H21">
            <v>13</v>
          </cell>
          <cell r="I21">
            <v>14</v>
          </cell>
          <cell r="J21">
            <v>15</v>
          </cell>
          <cell r="K21">
            <v>15</v>
          </cell>
          <cell r="L21">
            <v>15</v>
          </cell>
          <cell r="M21">
            <v>20</v>
          </cell>
          <cell r="N21">
            <v>17</v>
          </cell>
          <cell r="O21">
            <v>17</v>
          </cell>
          <cell r="P21">
            <v>18</v>
          </cell>
          <cell r="Q21">
            <v>18</v>
          </cell>
          <cell r="R21">
            <v>21</v>
          </cell>
          <cell r="S21">
            <v>24</v>
          </cell>
          <cell r="T21">
            <v>35</v>
          </cell>
          <cell r="U21">
            <v>31</v>
          </cell>
          <cell r="V21">
            <v>58</v>
          </cell>
          <cell r="W21">
            <v>58</v>
          </cell>
          <cell r="X21">
            <v>53</v>
          </cell>
          <cell r="Y21">
            <v>53</v>
          </cell>
          <cell r="Z21">
            <v>52</v>
          </cell>
          <cell r="AA21">
            <v>58</v>
          </cell>
          <cell r="AB21">
            <v>-17</v>
          </cell>
          <cell r="AC21">
            <v>-29</v>
          </cell>
          <cell r="AD21">
            <v>-36</v>
          </cell>
          <cell r="AE21">
            <v>-45</v>
          </cell>
          <cell r="AF21">
            <v>-1</v>
          </cell>
          <cell r="AG21">
            <v>16</v>
          </cell>
          <cell r="AH21">
            <v>17</v>
          </cell>
          <cell r="AI21">
            <v>16</v>
          </cell>
          <cell r="AJ21">
            <v>13</v>
          </cell>
          <cell r="AK21">
            <v>18</v>
          </cell>
          <cell r="AL21">
            <v>19</v>
          </cell>
          <cell r="AM21">
            <v>19</v>
          </cell>
          <cell r="AN21">
            <v>21</v>
          </cell>
          <cell r="AO21">
            <v>17</v>
          </cell>
        </row>
        <row r="22">
          <cell r="D22" t="str">
            <v>CC_VOL_GROWTH</v>
          </cell>
          <cell r="H22">
            <v>8.9</v>
          </cell>
          <cell r="I22">
            <v>8.8000000000000007</v>
          </cell>
          <cell r="J22">
            <v>10.1</v>
          </cell>
          <cell r="K22">
            <v>10</v>
          </cell>
          <cell r="L22">
            <v>10.199999999999999</v>
          </cell>
          <cell r="M22">
            <v>12.6</v>
          </cell>
          <cell r="N22">
            <v>11.1</v>
          </cell>
          <cell r="O22">
            <v>10.5</v>
          </cell>
          <cell r="P22">
            <v>11.4</v>
          </cell>
          <cell r="Q22">
            <v>10.8</v>
          </cell>
          <cell r="R22">
            <v>11.9</v>
          </cell>
          <cell r="S22">
            <v>13.4</v>
          </cell>
          <cell r="T22">
            <v>17.2</v>
          </cell>
          <cell r="U22">
            <v>10.9</v>
          </cell>
          <cell r="V22">
            <v>15.3</v>
          </cell>
          <cell r="W22">
            <v>17.8</v>
          </cell>
          <cell r="X22">
            <v>21.5</v>
          </cell>
          <cell r="Y22">
            <v>27.1</v>
          </cell>
          <cell r="Z22">
            <v>23.3</v>
          </cell>
          <cell r="AA22">
            <v>35.9</v>
          </cell>
          <cell r="AB22">
            <v>10</v>
          </cell>
          <cell r="AC22">
            <v>3.2</v>
          </cell>
          <cell r="AD22">
            <v>2.2999999999999998</v>
          </cell>
          <cell r="AE22">
            <v>-9</v>
          </cell>
          <cell r="AF22">
            <v>8.1</v>
          </cell>
          <cell r="AG22">
            <v>12.8</v>
          </cell>
          <cell r="AH22">
            <v>14.9</v>
          </cell>
          <cell r="AI22">
            <v>13.4</v>
          </cell>
          <cell r="AJ22">
            <v>11.8</v>
          </cell>
          <cell r="AK22">
            <v>15.4</v>
          </cell>
          <cell r="AL22">
            <v>14.9</v>
          </cell>
          <cell r="AM22">
            <v>15.5</v>
          </cell>
          <cell r="AN22">
            <v>14.5</v>
          </cell>
          <cell r="AO22">
            <v>12.6</v>
          </cell>
        </row>
        <row r="23">
          <cell r="D23" t="str">
            <v>KPI8</v>
          </cell>
          <cell r="H23">
            <v>55184</v>
          </cell>
          <cell r="I23">
            <v>58373</v>
          </cell>
          <cell r="J23">
            <v>57316</v>
          </cell>
          <cell r="K23">
            <v>55299</v>
          </cell>
          <cell r="L23">
            <v>51129</v>
          </cell>
          <cell r="M23">
            <v>53846</v>
          </cell>
          <cell r="N23">
            <v>52589</v>
          </cell>
          <cell r="O23">
            <v>50595</v>
          </cell>
          <cell r="P23">
            <v>47090</v>
          </cell>
          <cell r="Q23">
            <v>48552</v>
          </cell>
          <cell r="R23">
            <v>47317</v>
          </cell>
          <cell r="S23">
            <v>45608</v>
          </cell>
          <cell r="T23">
            <v>41904</v>
          </cell>
          <cell r="U23">
            <v>43506</v>
          </cell>
          <cell r="V23">
            <v>42173</v>
          </cell>
          <cell r="W23">
            <v>39736</v>
          </cell>
          <cell r="X23">
            <v>36859</v>
          </cell>
          <cell r="Y23">
            <v>42329</v>
          </cell>
          <cell r="Z23">
            <v>40124</v>
          </cell>
          <cell r="AA23">
            <v>37426</v>
          </cell>
          <cell r="AB23">
            <v>33192</v>
          </cell>
          <cell r="AC23">
            <v>34190</v>
          </cell>
          <cell r="AD23">
            <v>32993</v>
          </cell>
          <cell r="AE23">
            <v>27451</v>
          </cell>
          <cell r="AF23">
            <v>30825</v>
          </cell>
          <cell r="AG23">
            <v>33078</v>
          </cell>
          <cell r="AH23">
            <v>31770</v>
          </cell>
          <cell r="AI23">
            <v>30334</v>
          </cell>
          <cell r="AJ23">
            <v>27137</v>
          </cell>
          <cell r="AK23">
            <v>28121</v>
          </cell>
          <cell r="AL23">
            <v>26381</v>
          </cell>
          <cell r="AM23">
            <v>25434</v>
          </cell>
          <cell r="AN23">
            <v>23314</v>
          </cell>
          <cell r="AO23">
            <v>23615</v>
          </cell>
        </row>
        <row r="24">
          <cell r="D24" t="str">
            <v>NUM_TRANS_PAYM</v>
          </cell>
          <cell r="H24">
            <v>52332</v>
          </cell>
          <cell r="I24">
            <v>55306</v>
          </cell>
          <cell r="J24">
            <v>54236</v>
          </cell>
          <cell r="K24">
            <v>52203</v>
          </cell>
          <cell r="L24">
            <v>48094</v>
          </cell>
          <cell r="M24">
            <v>50606</v>
          </cell>
          <cell r="N24">
            <v>49467</v>
          </cell>
          <cell r="O24">
            <v>47543</v>
          </cell>
          <cell r="P24">
            <v>44106</v>
          </cell>
          <cell r="Q24">
            <v>45447</v>
          </cell>
          <cell r="R24">
            <v>44418</v>
          </cell>
          <cell r="S24">
            <v>42537</v>
          </cell>
          <cell r="T24">
            <v>38960</v>
          </cell>
          <cell r="U24">
            <v>40346</v>
          </cell>
          <cell r="V24">
            <v>38929</v>
          </cell>
          <cell r="W24">
            <v>36554</v>
          </cell>
          <cell r="X24">
            <v>33756</v>
          </cell>
          <cell r="Y24">
            <v>38975</v>
          </cell>
          <cell r="Z24">
            <v>36831</v>
          </cell>
          <cell r="AA24">
            <v>34255</v>
          </cell>
          <cell r="AB24">
            <v>30103</v>
          </cell>
          <cell r="AC24">
            <v>30963</v>
          </cell>
          <cell r="AD24">
            <v>29812</v>
          </cell>
          <cell r="AE24">
            <v>24789</v>
          </cell>
          <cell r="AF24">
            <v>27455</v>
          </cell>
          <cell r="AG24">
            <v>29492</v>
          </cell>
          <cell r="AH24">
            <v>28191</v>
          </cell>
          <cell r="AI24">
            <v>26830</v>
          </cell>
          <cell r="AJ24">
            <v>23821</v>
          </cell>
          <cell r="AK24">
            <v>24717</v>
          </cell>
          <cell r="AL24">
            <v>23140</v>
          </cell>
          <cell r="AM24">
            <v>22230</v>
          </cell>
          <cell r="AN24">
            <v>20303</v>
          </cell>
          <cell r="AO24">
            <v>20542</v>
          </cell>
        </row>
        <row r="25">
          <cell r="D25" t="str">
            <v>NUM_TRANS_CASH</v>
          </cell>
          <cell r="H25">
            <v>2852</v>
          </cell>
          <cell r="I25">
            <v>3067</v>
          </cell>
          <cell r="J25">
            <v>3080</v>
          </cell>
          <cell r="K25">
            <v>3096</v>
          </cell>
          <cell r="L25">
            <v>3035</v>
          </cell>
          <cell r="M25">
            <v>3240</v>
          </cell>
          <cell r="N25">
            <v>3247</v>
          </cell>
          <cell r="O25">
            <v>3213</v>
          </cell>
          <cell r="P25">
            <v>3113</v>
          </cell>
          <cell r="Q25">
            <v>3245</v>
          </cell>
          <cell r="R25">
            <v>3244</v>
          </cell>
          <cell r="S25">
            <v>3237</v>
          </cell>
          <cell r="T25">
            <v>3090</v>
          </cell>
          <cell r="U25">
            <v>3258</v>
          </cell>
          <cell r="V25">
            <v>3244</v>
          </cell>
          <cell r="W25">
            <v>3182</v>
          </cell>
          <cell r="X25">
            <v>3103</v>
          </cell>
          <cell r="Y25">
            <v>3431</v>
          </cell>
          <cell r="Z25">
            <v>3293</v>
          </cell>
          <cell r="AA25">
            <v>3171</v>
          </cell>
          <cell r="AB25">
            <v>3089</v>
          </cell>
          <cell r="AC25">
            <v>3227</v>
          </cell>
          <cell r="AD25">
            <v>3181</v>
          </cell>
          <cell r="AE25">
            <v>2662</v>
          </cell>
          <cell r="AF25">
            <v>3370</v>
          </cell>
          <cell r="AG25">
            <v>3586</v>
          </cell>
          <cell r="AH25">
            <v>3579</v>
          </cell>
          <cell r="AI25">
            <v>3504</v>
          </cell>
          <cell r="AJ25">
            <v>3316</v>
          </cell>
          <cell r="AK25">
            <v>3404</v>
          </cell>
          <cell r="AL25">
            <v>3241</v>
          </cell>
          <cell r="AM25">
            <v>3204</v>
          </cell>
          <cell r="AN25">
            <v>3011</v>
          </cell>
          <cell r="AO25">
            <v>3073</v>
          </cell>
        </row>
        <row r="26">
          <cell r="D26" t="str">
            <v>KPI11</v>
          </cell>
          <cell r="H26">
            <v>43797</v>
          </cell>
          <cell r="I26">
            <v>46457</v>
          </cell>
          <cell r="J26">
            <v>45373</v>
          </cell>
          <cell r="K26">
            <v>43538</v>
          </cell>
          <cell r="L26">
            <v>40096</v>
          </cell>
          <cell r="M26">
            <v>42226</v>
          </cell>
          <cell r="N26">
            <v>41102</v>
          </cell>
          <cell r="O26">
            <v>39445</v>
          </cell>
          <cell r="P26">
            <v>36700</v>
          </cell>
          <cell r="Q26">
            <v>38100</v>
          </cell>
          <cell r="R26">
            <v>37155</v>
          </cell>
          <cell r="S26">
            <v>35519</v>
          </cell>
          <cell r="T26">
            <v>32500</v>
          </cell>
          <cell r="U26">
            <v>34000</v>
          </cell>
          <cell r="V26">
            <v>32352</v>
          </cell>
          <cell r="W26">
            <v>30400</v>
          </cell>
          <cell r="X26">
            <v>29000</v>
          </cell>
          <cell r="Y26">
            <v>31400</v>
          </cell>
          <cell r="Z26">
            <v>29000</v>
          </cell>
          <cell r="AA26">
            <v>27200</v>
          </cell>
          <cell r="AB26">
            <v>23800</v>
          </cell>
          <cell r="AC26">
            <v>24800</v>
          </cell>
          <cell r="AD26">
            <v>23800</v>
          </cell>
          <cell r="AE26">
            <v>19400</v>
          </cell>
          <cell r="AF26">
            <v>22100</v>
          </cell>
          <cell r="AG26">
            <v>23800</v>
          </cell>
          <cell r="AH26">
            <v>22900</v>
          </cell>
          <cell r="AI26">
            <v>21419</v>
          </cell>
          <cell r="AJ26">
            <v>19205</v>
          </cell>
          <cell r="AK26">
            <v>20124</v>
          </cell>
          <cell r="AL26">
            <v>18825</v>
          </cell>
          <cell r="AM26">
            <v>18161</v>
          </cell>
          <cell r="AN26">
            <v>16681</v>
          </cell>
          <cell r="AO26">
            <v>17739</v>
          </cell>
        </row>
        <row r="27"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</row>
        <row r="28">
          <cell r="H28">
            <v>2251000</v>
          </cell>
          <cell r="I28">
            <v>2344000</v>
          </cell>
          <cell r="J28">
            <v>2280000</v>
          </cell>
          <cell r="K28">
            <v>2182000</v>
          </cell>
          <cell r="L28">
            <v>1993000</v>
          </cell>
          <cell r="M28">
            <v>2114000</v>
          </cell>
          <cell r="N28">
            <v>2058000</v>
          </cell>
          <cell r="O28">
            <v>1975000</v>
          </cell>
          <cell r="P28">
            <v>1871000</v>
          </cell>
          <cell r="Q28">
            <v>1921000</v>
          </cell>
          <cell r="R28">
            <v>1879000</v>
          </cell>
          <cell r="S28">
            <v>1839000</v>
          </cell>
          <cell r="T28">
            <v>1707000</v>
          </cell>
          <cell r="U28">
            <v>1728000</v>
          </cell>
          <cell r="V28">
            <v>1669000</v>
          </cell>
          <cell r="W28">
            <v>1650000</v>
          </cell>
          <cell r="X28">
            <v>1517000</v>
          </cell>
          <cell r="Y28">
            <v>1660000</v>
          </cell>
          <cell r="Z28">
            <v>1547000</v>
          </cell>
          <cell r="AA28">
            <v>1471000</v>
          </cell>
          <cell r="AB28">
            <v>1295000</v>
          </cell>
          <cell r="AC28">
            <v>1321000</v>
          </cell>
          <cell r="AD28">
            <v>1235000</v>
          </cell>
          <cell r="AE28">
            <v>1034000</v>
          </cell>
          <cell r="AF28">
            <v>1150000</v>
          </cell>
          <cell r="AG28">
            <v>1276000</v>
          </cell>
          <cell r="AH28">
            <v>1219000</v>
          </cell>
          <cell r="AI28">
            <v>1181000</v>
          </cell>
          <cell r="AJ28">
            <v>1090000</v>
          </cell>
          <cell r="AK28">
            <v>1145000</v>
          </cell>
          <cell r="AL28">
            <v>1082000</v>
          </cell>
          <cell r="AM28">
            <v>1083000</v>
          </cell>
          <cell r="AN28">
            <v>1035000</v>
          </cell>
          <cell r="AO28">
            <v>1038000</v>
          </cell>
        </row>
        <row r="29">
          <cell r="H29">
            <v>8.8999999999999999E-3</v>
          </cell>
          <cell r="I29">
            <v>8.8000000000000005E-3</v>
          </cell>
          <cell r="J29">
            <v>1.01E-2</v>
          </cell>
          <cell r="K29">
            <v>0.01</v>
          </cell>
          <cell r="L29">
            <v>1.0199999999999999E-2</v>
          </cell>
          <cell r="M29">
            <v>1.26E-2</v>
          </cell>
          <cell r="N29">
            <v>1.11E-2</v>
          </cell>
          <cell r="O29">
            <v>1.0500000000000001E-2</v>
          </cell>
          <cell r="P29">
            <v>1.14E-2</v>
          </cell>
          <cell r="Q29">
            <v>1.0800000000000001E-2</v>
          </cell>
          <cell r="R29">
            <v>1.1900000000000001E-2</v>
          </cell>
          <cell r="S29">
            <v>1.34E-2</v>
          </cell>
          <cell r="T29">
            <v>1.72E-2</v>
          </cell>
          <cell r="U29">
            <v>1.09E-2</v>
          </cell>
          <cell r="V29">
            <v>1.5300000000000001E-2</v>
          </cell>
          <cell r="W29">
            <v>1.78E-2</v>
          </cell>
          <cell r="X29">
            <v>2.1499999999999998E-2</v>
          </cell>
          <cell r="Y29">
            <v>2.7100000000000003E-2</v>
          </cell>
          <cell r="Z29">
            <v>2.3300000000000001E-2</v>
          </cell>
          <cell r="AA29">
            <v>3.5900000000000001E-2</v>
          </cell>
          <cell r="AB29">
            <v>0.01</v>
          </cell>
          <cell r="AC29">
            <v>3.2000000000000002E-3</v>
          </cell>
          <cell r="AD29">
            <v>2.3E-3</v>
          </cell>
          <cell r="AE29">
            <v>-8.9999999999999993E-3</v>
          </cell>
          <cell r="AF29">
            <v>8.0999999999999996E-3</v>
          </cell>
          <cell r="AG29">
            <v>1.2800000000000001E-2</v>
          </cell>
          <cell r="AH29">
            <v>1.49E-2</v>
          </cell>
          <cell r="AI29">
            <v>1.34E-2</v>
          </cell>
          <cell r="AJ29">
            <v>1.1800000000000001E-2</v>
          </cell>
          <cell r="AK29">
            <v>1.54E-2</v>
          </cell>
          <cell r="AL29">
            <v>1.49E-2</v>
          </cell>
          <cell r="AM29">
            <v>1.55E-2</v>
          </cell>
          <cell r="AN29">
            <v>1.4500000000000001E-2</v>
          </cell>
          <cell r="AO29">
            <v>1.26E-2</v>
          </cell>
        </row>
        <row r="30">
          <cell r="H30">
            <v>452000</v>
          </cell>
          <cell r="I30">
            <v>475000</v>
          </cell>
          <cell r="J30">
            <v>466000</v>
          </cell>
          <cell r="K30">
            <v>449000</v>
          </cell>
          <cell r="L30">
            <v>424000</v>
          </cell>
          <cell r="M30">
            <v>447000</v>
          </cell>
          <cell r="N30">
            <v>443000</v>
          </cell>
          <cell r="O30">
            <v>430000</v>
          </cell>
          <cell r="P30">
            <v>421000</v>
          </cell>
          <cell r="Q30">
            <v>432000</v>
          </cell>
          <cell r="R30">
            <v>426000</v>
          </cell>
          <cell r="S30">
            <v>428000</v>
          </cell>
          <cell r="T30">
            <v>401000</v>
          </cell>
          <cell r="U30">
            <v>406000</v>
          </cell>
          <cell r="V30">
            <v>400000</v>
          </cell>
          <cell r="W30">
            <v>404000</v>
          </cell>
          <cell r="X30">
            <v>402000</v>
          </cell>
          <cell r="Y30">
            <v>458000</v>
          </cell>
          <cell r="Z30">
            <v>446000</v>
          </cell>
          <cell r="AA30">
            <v>437000</v>
          </cell>
          <cell r="AB30">
            <v>314000</v>
          </cell>
          <cell r="AC30">
            <v>426000</v>
          </cell>
          <cell r="AD30">
            <v>411000</v>
          </cell>
          <cell r="AE30">
            <v>342000</v>
          </cell>
          <cell r="AF30">
            <v>414000</v>
          </cell>
          <cell r="AG30">
            <v>452000</v>
          </cell>
          <cell r="AH30">
            <v>433000</v>
          </cell>
          <cell r="AI30">
            <v>420013.6</v>
          </cell>
          <cell r="AJ30">
            <v>395000</v>
          </cell>
          <cell r="AK30">
            <v>405000</v>
          </cell>
          <cell r="AL30">
            <v>386000</v>
          </cell>
          <cell r="AM30">
            <v>391000</v>
          </cell>
          <cell r="AN30">
            <v>380000</v>
          </cell>
          <cell r="AO30">
            <v>383000</v>
          </cell>
        </row>
        <row r="31">
          <cell r="H31">
            <v>732000</v>
          </cell>
          <cell r="I31">
            <v>763000</v>
          </cell>
          <cell r="J31">
            <v>752000</v>
          </cell>
          <cell r="K31">
            <v>746000</v>
          </cell>
          <cell r="L31">
            <v>699000</v>
          </cell>
          <cell r="M31">
            <v>729000</v>
          </cell>
          <cell r="N31">
            <v>703000</v>
          </cell>
          <cell r="O31">
            <v>700000</v>
          </cell>
          <cell r="P31">
            <v>653000</v>
          </cell>
          <cell r="Q31">
            <v>668000</v>
          </cell>
          <cell r="R31">
            <v>657000</v>
          </cell>
          <cell r="S31">
            <v>655000</v>
          </cell>
          <cell r="T31">
            <v>612000</v>
          </cell>
          <cell r="U31">
            <v>638000</v>
          </cell>
          <cell r="V31">
            <v>621000</v>
          </cell>
          <cell r="W31">
            <v>619000</v>
          </cell>
          <cell r="X31">
            <v>562000</v>
          </cell>
          <cell r="Y31">
            <v>593000</v>
          </cell>
          <cell r="Z31">
            <v>555000</v>
          </cell>
          <cell r="AA31">
            <v>551000</v>
          </cell>
          <cell r="AB31">
            <v>479000</v>
          </cell>
          <cell r="AC31">
            <v>472000</v>
          </cell>
          <cell r="AD31">
            <v>451000</v>
          </cell>
          <cell r="AE31">
            <v>404000</v>
          </cell>
          <cell r="AF31">
            <v>419000</v>
          </cell>
          <cell r="AG31">
            <v>449000</v>
          </cell>
          <cell r="AH31">
            <v>434000</v>
          </cell>
          <cell r="AI31">
            <v>427000</v>
          </cell>
          <cell r="AJ31">
            <v>392000</v>
          </cell>
          <cell r="AK31">
            <v>408000</v>
          </cell>
          <cell r="AL31">
            <v>385000</v>
          </cell>
          <cell r="AM31">
            <v>384000</v>
          </cell>
          <cell r="AN31">
            <v>359000</v>
          </cell>
          <cell r="AO31">
            <v>366000</v>
          </cell>
        </row>
        <row r="32">
          <cell r="H32">
            <v>1518000</v>
          </cell>
          <cell r="I32">
            <v>1581000</v>
          </cell>
          <cell r="J32">
            <v>1528000</v>
          </cell>
          <cell r="K32">
            <v>1436000</v>
          </cell>
          <cell r="L32">
            <v>1294000</v>
          </cell>
          <cell r="M32">
            <v>1385000</v>
          </cell>
          <cell r="N32">
            <v>1356000</v>
          </cell>
          <cell r="O32">
            <v>1275000</v>
          </cell>
          <cell r="P32">
            <v>1218000</v>
          </cell>
          <cell r="Q32">
            <v>1253000</v>
          </cell>
          <cell r="R32">
            <v>1222000</v>
          </cell>
          <cell r="S32">
            <v>1184000</v>
          </cell>
          <cell r="T32">
            <v>1095000</v>
          </cell>
          <cell r="U32">
            <v>1090000</v>
          </cell>
          <cell r="V32">
            <v>1048000</v>
          </cell>
          <cell r="W32">
            <v>1032000</v>
          </cell>
          <cell r="X32">
            <v>954000</v>
          </cell>
          <cell r="Y32">
            <v>1063000</v>
          </cell>
          <cell r="Z32">
            <v>993000</v>
          </cell>
          <cell r="AA32">
            <v>919000</v>
          </cell>
          <cell r="AB32">
            <v>818000</v>
          </cell>
          <cell r="AC32">
            <v>848000</v>
          </cell>
          <cell r="AD32">
            <v>784000</v>
          </cell>
          <cell r="AE32">
            <v>630000</v>
          </cell>
          <cell r="AF32">
            <v>732000</v>
          </cell>
          <cell r="AG32">
            <v>826000</v>
          </cell>
          <cell r="AH32">
            <v>785000</v>
          </cell>
          <cell r="AI32">
            <v>755000</v>
          </cell>
          <cell r="AJ32">
            <v>698000</v>
          </cell>
          <cell r="AK32">
            <v>738000</v>
          </cell>
          <cell r="AL32">
            <v>698000</v>
          </cell>
          <cell r="AM32">
            <v>700000</v>
          </cell>
          <cell r="AN32">
            <v>676000</v>
          </cell>
          <cell r="AO32">
            <v>666000</v>
          </cell>
        </row>
        <row r="33">
          <cell r="H33">
            <v>1248000</v>
          </cell>
          <cell r="I33">
            <v>1301000</v>
          </cell>
          <cell r="J33">
            <v>1271000</v>
          </cell>
          <cell r="K33">
            <v>1214000</v>
          </cell>
          <cell r="L33">
            <v>1117000</v>
          </cell>
          <cell r="M33">
            <v>1193000</v>
          </cell>
          <cell r="N33">
            <v>2107000</v>
          </cell>
          <cell r="O33">
            <v>1130000</v>
          </cell>
          <cell r="P33">
            <v>1076000</v>
          </cell>
          <cell r="Q33">
            <v>1114000</v>
          </cell>
          <cell r="R33">
            <v>1097000</v>
          </cell>
          <cell r="S33">
            <v>1079000</v>
          </cell>
          <cell r="T33">
            <v>1003000</v>
          </cell>
          <cell r="U33">
            <v>1013000</v>
          </cell>
          <cell r="V33">
            <v>993000</v>
          </cell>
          <cell r="W33">
            <v>983000</v>
          </cell>
          <cell r="X33">
            <v>902000</v>
          </cell>
          <cell r="Y33">
            <v>978000</v>
          </cell>
          <cell r="Z33">
            <v>914000</v>
          </cell>
          <cell r="AA33">
            <v>858000</v>
          </cell>
          <cell r="AB33">
            <v>758000</v>
          </cell>
          <cell r="AC33">
            <v>798000</v>
          </cell>
          <cell r="AD33">
            <v>737000</v>
          </cell>
          <cell r="AE33">
            <v>618000</v>
          </cell>
          <cell r="AF33">
            <v>754000</v>
          </cell>
          <cell r="AG33">
            <v>858000</v>
          </cell>
          <cell r="AH33">
            <v>821000</v>
          </cell>
          <cell r="AI33">
            <v>797000</v>
          </cell>
          <cell r="AJ33">
            <v>742000</v>
          </cell>
          <cell r="AK33">
            <v>787000</v>
          </cell>
          <cell r="AL33">
            <v>748000</v>
          </cell>
          <cell r="AM33">
            <v>756000</v>
          </cell>
          <cell r="AN33">
            <v>724000</v>
          </cell>
          <cell r="AO33">
            <v>737000</v>
          </cell>
        </row>
        <row r="34">
          <cell r="H34">
            <v>1455000</v>
          </cell>
          <cell r="I34">
            <v>1518000</v>
          </cell>
          <cell r="J34">
            <v>1476000</v>
          </cell>
          <cell r="K34">
            <v>1416000</v>
          </cell>
          <cell r="L34">
            <v>1300000</v>
          </cell>
          <cell r="M34">
            <v>1368000</v>
          </cell>
          <cell r="N34">
            <v>1336000</v>
          </cell>
          <cell r="O34">
            <v>1273000</v>
          </cell>
          <cell r="P34">
            <v>1214000</v>
          </cell>
          <cell r="Q34">
            <v>1237000</v>
          </cell>
          <cell r="R34">
            <v>1209000</v>
          </cell>
          <cell r="S34">
            <v>1188000</v>
          </cell>
          <cell r="T34">
            <v>1105000</v>
          </cell>
          <cell r="U34">
            <v>1120000</v>
          </cell>
          <cell r="V34">
            <v>1076000</v>
          </cell>
          <cell r="W34">
            <v>1071000</v>
          </cell>
          <cell r="X34">
            <v>1017000</v>
          </cell>
          <cell r="Y34">
            <v>1135000</v>
          </cell>
          <cell r="Z34">
            <v>1079000</v>
          </cell>
          <cell r="AA34">
            <v>1049000</v>
          </cell>
          <cell r="AB34">
            <v>951000</v>
          </cell>
          <cell r="AC34">
            <v>949000</v>
          </cell>
          <cell r="AD34">
            <v>909000</v>
          </cell>
          <cell r="AE34">
            <v>758000</v>
          </cell>
          <cell r="AF34">
            <v>810000</v>
          </cell>
          <cell r="AG34">
            <v>870000</v>
          </cell>
          <cell r="AH34">
            <v>831000</v>
          </cell>
          <cell r="AI34">
            <v>805000</v>
          </cell>
          <cell r="AJ34">
            <v>741000</v>
          </cell>
          <cell r="AK34">
            <v>762000</v>
          </cell>
          <cell r="AL34">
            <v>721000</v>
          </cell>
          <cell r="AM34">
            <v>719000</v>
          </cell>
          <cell r="AN34">
            <v>691000</v>
          </cell>
          <cell r="AO34">
            <v>682000</v>
          </cell>
        </row>
        <row r="35"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</row>
        <row r="36">
          <cell r="H36">
            <v>13</v>
          </cell>
          <cell r="I36">
            <v>14</v>
          </cell>
          <cell r="J36">
            <v>15</v>
          </cell>
          <cell r="K36">
            <v>15</v>
          </cell>
          <cell r="L36">
            <v>15</v>
          </cell>
          <cell r="M36">
            <v>20</v>
          </cell>
          <cell r="N36">
            <v>17</v>
          </cell>
          <cell r="O36">
            <v>17</v>
          </cell>
          <cell r="P36">
            <v>18</v>
          </cell>
          <cell r="Q36">
            <v>18</v>
          </cell>
          <cell r="R36">
            <v>21</v>
          </cell>
          <cell r="S36">
            <v>24</v>
          </cell>
          <cell r="T36">
            <v>35</v>
          </cell>
          <cell r="U36">
            <v>31</v>
          </cell>
          <cell r="V36">
            <v>58</v>
          </cell>
          <cell r="W36">
            <v>58</v>
          </cell>
          <cell r="X36">
            <v>53</v>
          </cell>
          <cell r="Y36">
            <v>53</v>
          </cell>
          <cell r="Z36">
            <v>52</v>
          </cell>
          <cell r="AA36">
            <v>58</v>
          </cell>
          <cell r="AB36">
            <v>-17</v>
          </cell>
          <cell r="AC36">
            <v>-29</v>
          </cell>
          <cell r="AD36">
            <v>-36</v>
          </cell>
          <cell r="AE36">
            <v>-45</v>
          </cell>
          <cell r="AF36">
            <v>-1</v>
          </cell>
          <cell r="AG36">
            <v>16</v>
          </cell>
          <cell r="AH36">
            <v>17</v>
          </cell>
          <cell r="AI36">
            <v>16</v>
          </cell>
          <cell r="AJ36">
            <v>13</v>
          </cell>
          <cell r="AK36">
            <v>18</v>
          </cell>
          <cell r="AL36">
            <v>19</v>
          </cell>
          <cell r="AM36">
            <v>19</v>
          </cell>
          <cell r="AN36">
            <v>21</v>
          </cell>
          <cell r="AO36">
            <v>17</v>
          </cell>
        </row>
        <row r="37"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</row>
        <row r="38"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</row>
        <row r="39">
          <cell r="D39" t="str">
            <v>US_GDV</v>
          </cell>
          <cell r="H39">
            <v>795000</v>
          </cell>
          <cell r="I39">
            <v>825000</v>
          </cell>
          <cell r="J39">
            <v>819000</v>
          </cell>
          <cell r="K39">
            <v>814000</v>
          </cell>
          <cell r="L39">
            <v>764000</v>
          </cell>
          <cell r="M39">
            <v>793000</v>
          </cell>
          <cell r="N39">
            <v>768000</v>
          </cell>
          <cell r="O39">
            <v>764000</v>
          </cell>
          <cell r="P39">
            <v>712000</v>
          </cell>
          <cell r="Q39">
            <v>727000</v>
          </cell>
          <cell r="R39">
            <v>720000</v>
          </cell>
          <cell r="S39">
            <v>717000</v>
          </cell>
          <cell r="T39">
            <v>674000</v>
          </cell>
          <cell r="U39">
            <v>699000</v>
          </cell>
          <cell r="V39">
            <v>683000</v>
          </cell>
          <cell r="W39">
            <v>679000</v>
          </cell>
          <cell r="X39">
            <v>620000</v>
          </cell>
          <cell r="Y39">
            <v>652000</v>
          </cell>
          <cell r="Z39">
            <v>618000</v>
          </cell>
          <cell r="AA39">
            <v>619000</v>
          </cell>
          <cell r="AB39">
            <v>544000</v>
          </cell>
          <cell r="AC39">
            <v>528000</v>
          </cell>
          <cell r="AD39">
            <v>513000</v>
          </cell>
          <cell r="AE39">
            <v>463000</v>
          </cell>
          <cell r="AF39">
            <v>478000</v>
          </cell>
          <cell r="AG39">
            <v>507000</v>
          </cell>
          <cell r="AH39">
            <v>493000</v>
          </cell>
          <cell r="AI39">
            <v>486000</v>
          </cell>
          <cell r="AJ39">
            <v>451000</v>
          </cell>
          <cell r="AK39">
            <v>465000</v>
          </cell>
          <cell r="AL39">
            <v>442000</v>
          </cell>
          <cell r="AM39">
            <v>442000</v>
          </cell>
          <cell r="AN39">
            <v>419000</v>
          </cell>
          <cell r="AO39">
            <v>422000</v>
          </cell>
        </row>
        <row r="40">
          <cell r="H40">
            <v>4.2</v>
          </cell>
          <cell r="I40">
            <v>4.0999999999999996</v>
          </cell>
          <cell r="J40">
            <v>6.7</v>
          </cell>
          <cell r="K40">
            <v>6.3</v>
          </cell>
          <cell r="L40">
            <v>7.1</v>
          </cell>
          <cell r="M40">
            <v>9</v>
          </cell>
          <cell r="N40">
            <v>6.7</v>
          </cell>
          <cell r="O40">
            <v>4</v>
          </cell>
          <cell r="P40">
            <v>0.2</v>
          </cell>
          <cell r="Q40">
            <v>4.2</v>
          </cell>
          <cell r="R40">
            <v>5.3</v>
          </cell>
          <cell r="S40">
            <v>2.8</v>
          </cell>
          <cell r="T40">
            <v>4.4000000000000004</v>
          </cell>
          <cell r="U40">
            <v>7.3</v>
          </cell>
          <cell r="V40">
            <v>10.5</v>
          </cell>
          <cell r="W40">
            <v>-11.9</v>
          </cell>
          <cell r="X40">
            <v>-12.3</v>
          </cell>
          <cell r="Y40">
            <v>23.5</v>
          </cell>
          <cell r="Z40">
            <v>20.399999999999999</v>
          </cell>
          <cell r="AA40">
            <v>33.9</v>
          </cell>
          <cell r="AB40">
            <v>10.6</v>
          </cell>
          <cell r="AC40">
            <v>4.0999999999999996</v>
          </cell>
          <cell r="AD40">
            <v>4.0999999999999996</v>
          </cell>
          <cell r="AE40">
            <v>-4.9000000000000004</v>
          </cell>
          <cell r="AF40">
            <v>6.1</v>
          </cell>
          <cell r="AG40">
            <v>9</v>
          </cell>
          <cell r="AH40">
            <v>11.6</v>
          </cell>
          <cell r="AI40">
            <v>9.9</v>
          </cell>
          <cell r="AJ40">
            <v>7.6</v>
          </cell>
          <cell r="AK40">
            <v>10.199999999999999</v>
          </cell>
          <cell r="AL40">
            <v>8.6999999999999993</v>
          </cell>
          <cell r="AM40">
            <v>9.4</v>
          </cell>
          <cell r="AN40">
            <v>10.5</v>
          </cell>
          <cell r="AO40">
            <v>9.1</v>
          </cell>
        </row>
        <row r="41">
          <cell r="H41">
            <v>417000</v>
          </cell>
          <cell r="I41">
            <v>438000</v>
          </cell>
          <cell r="J41">
            <v>424000</v>
          </cell>
          <cell r="K41">
            <v>418000</v>
          </cell>
          <cell r="L41">
            <v>386000</v>
          </cell>
          <cell r="M41">
            <v>412000</v>
          </cell>
          <cell r="N41">
            <v>397000</v>
          </cell>
          <cell r="O41">
            <v>394000</v>
          </cell>
          <cell r="P41">
            <v>364000</v>
          </cell>
          <cell r="Q41">
            <v>382000</v>
          </cell>
          <cell r="R41">
            <v>376000</v>
          </cell>
          <cell r="S41">
            <v>373000</v>
          </cell>
          <cell r="T41">
            <v>343000</v>
          </cell>
          <cell r="U41">
            <v>363000</v>
          </cell>
          <cell r="V41">
            <v>351000</v>
          </cell>
          <cell r="W41">
            <v>344000</v>
          </cell>
          <cell r="X41">
            <v>299000</v>
          </cell>
          <cell r="Y41">
            <v>319000</v>
          </cell>
          <cell r="Z41">
            <v>292000</v>
          </cell>
          <cell r="AA41">
            <v>276000</v>
          </cell>
          <cell r="AB41">
            <v>226000</v>
          </cell>
          <cell r="AC41">
            <v>238000</v>
          </cell>
          <cell r="AD41">
            <v>214000</v>
          </cell>
          <cell r="AE41">
            <v>183000</v>
          </cell>
          <cell r="AF41">
            <v>227000</v>
          </cell>
          <cell r="AG41">
            <v>254000</v>
          </cell>
          <cell r="AH41">
            <v>244000</v>
          </cell>
          <cell r="AI41">
            <v>237000</v>
          </cell>
          <cell r="AJ41">
            <v>212000</v>
          </cell>
          <cell r="AK41">
            <v>228000</v>
          </cell>
          <cell r="AL41">
            <v>213000</v>
          </cell>
          <cell r="AM41">
            <v>211000</v>
          </cell>
          <cell r="AN41">
            <v>194000</v>
          </cell>
          <cell r="AO41">
            <v>207000</v>
          </cell>
        </row>
        <row r="42">
          <cell r="H42">
            <v>7.9</v>
          </cell>
          <cell r="I42">
            <v>6.3</v>
          </cell>
          <cell r="J42">
            <v>6.7</v>
          </cell>
          <cell r="K42">
            <v>6.1</v>
          </cell>
          <cell r="L42">
            <v>6</v>
          </cell>
          <cell r="M42">
            <v>7.6</v>
          </cell>
          <cell r="N42">
            <v>5.6</v>
          </cell>
          <cell r="O42">
            <v>1.2</v>
          </cell>
          <cell r="P42">
            <v>2.9</v>
          </cell>
          <cell r="Q42">
            <v>5.5</v>
          </cell>
          <cell r="R42">
            <v>6.8</v>
          </cell>
          <cell r="S42">
            <v>18.399999999999999</v>
          </cell>
          <cell r="T42">
            <v>27.1</v>
          </cell>
          <cell r="U42">
            <v>14.1</v>
          </cell>
          <cell r="V42">
            <v>20.399999999999999</v>
          </cell>
          <cell r="W42">
            <v>25.3</v>
          </cell>
          <cell r="X42">
            <v>29.8</v>
          </cell>
          <cell r="Y42">
            <v>33.9</v>
          </cell>
          <cell r="Z42">
            <v>35.700000000000003</v>
          </cell>
          <cell r="AA42">
            <v>49.7</v>
          </cell>
          <cell r="AB42">
            <v>-41</v>
          </cell>
          <cell r="AC42">
            <v>-6.2</v>
          </cell>
          <cell r="AD42">
            <v>-12.2</v>
          </cell>
          <cell r="AE42">
            <v>-22.8</v>
          </cell>
          <cell r="AF42">
            <v>7</v>
          </cell>
          <cell r="AG42">
            <v>11.6</v>
          </cell>
          <cell r="AH42">
            <v>14.6</v>
          </cell>
          <cell r="AI42">
            <v>12.3</v>
          </cell>
          <cell r="AJ42">
            <v>9.3000000000000007</v>
          </cell>
          <cell r="AK42">
            <v>9.8000000000000007</v>
          </cell>
          <cell r="AL42">
            <v>7.7</v>
          </cell>
          <cell r="AM42">
            <v>7.6</v>
          </cell>
          <cell r="AN42">
            <v>8.9</v>
          </cell>
          <cell r="AO42">
            <v>10</v>
          </cell>
        </row>
        <row r="43">
          <cell r="H43">
            <v>378000</v>
          </cell>
          <cell r="I43">
            <v>388000</v>
          </cell>
          <cell r="J43">
            <v>395000</v>
          </cell>
          <cell r="K43">
            <v>395000</v>
          </cell>
          <cell r="L43">
            <v>378000</v>
          </cell>
          <cell r="M43">
            <v>382000</v>
          </cell>
          <cell r="N43">
            <v>371000</v>
          </cell>
          <cell r="O43">
            <v>370000</v>
          </cell>
          <cell r="P43">
            <v>348000</v>
          </cell>
          <cell r="Q43">
            <v>345000</v>
          </cell>
          <cell r="R43">
            <v>344000</v>
          </cell>
          <cell r="S43">
            <v>345000</v>
          </cell>
          <cell r="T43">
            <v>331000</v>
          </cell>
          <cell r="U43">
            <v>336000</v>
          </cell>
          <cell r="V43">
            <v>331000</v>
          </cell>
          <cell r="W43">
            <v>336000</v>
          </cell>
          <cell r="X43">
            <v>321000</v>
          </cell>
          <cell r="Y43">
            <v>334000</v>
          </cell>
          <cell r="Z43">
            <v>326000</v>
          </cell>
          <cell r="AA43">
            <v>344000</v>
          </cell>
          <cell r="AB43">
            <v>318000</v>
          </cell>
          <cell r="AC43">
            <v>290000</v>
          </cell>
          <cell r="AD43">
            <v>299000</v>
          </cell>
          <cell r="AE43">
            <v>280000</v>
          </cell>
          <cell r="AF43">
            <v>251000</v>
          </cell>
          <cell r="AG43">
            <v>253000</v>
          </cell>
          <cell r="AH43">
            <v>249000</v>
          </cell>
          <cell r="AI43">
            <v>249000</v>
          </cell>
          <cell r="AJ43">
            <v>239000</v>
          </cell>
          <cell r="AK43">
            <v>238000</v>
          </cell>
          <cell r="AL43">
            <v>229000</v>
          </cell>
          <cell r="AM43">
            <v>231000</v>
          </cell>
          <cell r="AN43">
            <v>225000</v>
          </cell>
          <cell r="AO43">
            <v>215000</v>
          </cell>
        </row>
        <row r="44">
          <cell r="H44">
            <v>0.5</v>
          </cell>
          <cell r="I44">
            <v>1.6</v>
          </cell>
          <cell r="J44">
            <v>6.6</v>
          </cell>
          <cell r="K44">
            <v>6.6</v>
          </cell>
          <cell r="L44">
            <v>8.4</v>
          </cell>
          <cell r="M44">
            <v>10.6</v>
          </cell>
          <cell r="N44">
            <v>7.9</v>
          </cell>
          <cell r="O44">
            <v>4.5999999999999996</v>
          </cell>
          <cell r="P44">
            <v>-0.3</v>
          </cell>
          <cell r="Q44">
            <v>2.8</v>
          </cell>
          <cell r="R44">
            <v>3.8</v>
          </cell>
          <cell r="S44">
            <v>0.1</v>
          </cell>
          <cell r="T44">
            <v>0.8</v>
          </cell>
          <cell r="U44">
            <v>0.9</v>
          </cell>
          <cell r="V44">
            <v>1.5</v>
          </cell>
          <cell r="W44">
            <v>-16.100000000000001</v>
          </cell>
          <cell r="X44">
            <v>-16.600000000000001</v>
          </cell>
          <cell r="Y44">
            <v>14.9</v>
          </cell>
          <cell r="Z44">
            <v>9.4</v>
          </cell>
          <cell r="AA44">
            <v>23.5</v>
          </cell>
          <cell r="AB44">
            <v>21.6</v>
          </cell>
          <cell r="AC44">
            <v>14.4</v>
          </cell>
          <cell r="AD44">
            <v>20.100000000000001</v>
          </cell>
          <cell r="AE44">
            <v>12.1</v>
          </cell>
          <cell r="AF44">
            <v>5.4</v>
          </cell>
          <cell r="AG44">
            <v>6.5</v>
          </cell>
          <cell r="AH44">
            <v>8.8000000000000007</v>
          </cell>
          <cell r="AI44">
            <v>7.7</v>
          </cell>
          <cell r="AJ44">
            <v>6.2</v>
          </cell>
          <cell r="AK44">
            <v>10.6</v>
          </cell>
          <cell r="AL44">
            <v>9.5</v>
          </cell>
          <cell r="AM44">
            <v>11.1</v>
          </cell>
          <cell r="AN44">
            <v>11.8</v>
          </cell>
          <cell r="AO44">
            <v>8.3000000000000007</v>
          </cell>
        </row>
        <row r="45">
          <cell r="D45" t="str">
            <v>US_PURCH_VOL</v>
          </cell>
          <cell r="H45">
            <v>732</v>
          </cell>
          <cell r="I45">
            <v>763</v>
          </cell>
          <cell r="J45">
            <v>752</v>
          </cell>
          <cell r="K45">
            <v>746</v>
          </cell>
          <cell r="L45">
            <v>699</v>
          </cell>
          <cell r="M45">
            <v>729</v>
          </cell>
          <cell r="N45">
            <v>703</v>
          </cell>
          <cell r="O45">
            <v>700</v>
          </cell>
          <cell r="P45">
            <v>653</v>
          </cell>
          <cell r="Q45">
            <v>668</v>
          </cell>
          <cell r="R45">
            <v>657</v>
          </cell>
          <cell r="S45">
            <v>655</v>
          </cell>
          <cell r="T45">
            <v>612</v>
          </cell>
          <cell r="U45">
            <v>638</v>
          </cell>
          <cell r="V45">
            <v>621</v>
          </cell>
          <cell r="W45">
            <v>619</v>
          </cell>
          <cell r="X45">
            <v>562</v>
          </cell>
          <cell r="Y45">
            <v>593</v>
          </cell>
          <cell r="Z45">
            <v>555</v>
          </cell>
          <cell r="AA45">
            <v>551</v>
          </cell>
          <cell r="AB45">
            <v>479</v>
          </cell>
          <cell r="AC45">
            <v>472</v>
          </cell>
          <cell r="AD45">
            <v>451</v>
          </cell>
          <cell r="AE45">
            <v>404</v>
          </cell>
          <cell r="AF45">
            <v>419</v>
          </cell>
          <cell r="AG45">
            <v>449</v>
          </cell>
          <cell r="AH45">
            <v>434</v>
          </cell>
          <cell r="AI45">
            <v>427</v>
          </cell>
          <cell r="AJ45">
            <v>392</v>
          </cell>
          <cell r="AK45">
            <v>408</v>
          </cell>
          <cell r="AL45">
            <v>385</v>
          </cell>
          <cell r="AM45">
            <v>384</v>
          </cell>
          <cell r="AN45">
            <v>359</v>
          </cell>
          <cell r="AO45">
            <v>366</v>
          </cell>
        </row>
        <row r="46">
          <cell r="H46">
            <v>5</v>
          </cell>
          <cell r="I46">
            <v>4.7</v>
          </cell>
          <cell r="J46">
            <v>7</v>
          </cell>
          <cell r="K46">
            <v>6.6</v>
          </cell>
          <cell r="L46">
            <v>7.1</v>
          </cell>
          <cell r="M46">
            <v>9.1</v>
          </cell>
          <cell r="N46">
            <v>7</v>
          </cell>
          <cell r="O46">
            <v>6.7</v>
          </cell>
          <cell r="P46">
            <v>6.6</v>
          </cell>
          <cell r="Q46">
            <v>4.5</v>
          </cell>
          <cell r="R46">
            <v>5.6</v>
          </cell>
          <cell r="S46">
            <v>5.8</v>
          </cell>
          <cell r="T46">
            <v>9.1999999999999993</v>
          </cell>
          <cell r="U46">
            <v>8.1</v>
          </cell>
          <cell r="V46">
            <v>12</v>
          </cell>
          <cell r="W46">
            <v>12.3</v>
          </cell>
          <cell r="X46">
            <v>17.600000000000001</v>
          </cell>
          <cell r="Y46">
            <v>25.7</v>
          </cell>
          <cell r="Z46">
            <v>23</v>
          </cell>
          <cell r="AA46">
            <v>36.5</v>
          </cell>
          <cell r="AB46">
            <v>14</v>
          </cell>
          <cell r="AC46">
            <v>5.0999999999999996</v>
          </cell>
          <cell r="AD46">
            <v>4.0999999999999996</v>
          </cell>
          <cell r="AE46">
            <v>-5.5</v>
          </cell>
          <cell r="AF46">
            <v>7</v>
          </cell>
          <cell r="AG46">
            <v>10</v>
          </cell>
          <cell r="AH46">
            <v>12.6</v>
          </cell>
          <cell r="AI46">
            <v>11.2</v>
          </cell>
          <cell r="AJ46">
            <v>9.1</v>
          </cell>
          <cell r="AK46">
            <v>11.4</v>
          </cell>
          <cell r="AL46">
            <v>10.7</v>
          </cell>
          <cell r="AM46">
            <v>10.5</v>
          </cell>
          <cell r="AN46">
            <v>11</v>
          </cell>
          <cell r="AO46">
            <v>10</v>
          </cell>
        </row>
        <row r="47">
          <cell r="D47" t="str">
            <v>US_CRED_PURCH_VOL</v>
          </cell>
          <cell r="H47">
            <v>405000</v>
          </cell>
          <cell r="I47">
            <v>428000</v>
          </cell>
          <cell r="J47">
            <v>413000</v>
          </cell>
          <cell r="K47">
            <v>407000</v>
          </cell>
          <cell r="L47">
            <v>375000</v>
          </cell>
          <cell r="M47">
            <v>401000</v>
          </cell>
          <cell r="N47">
            <v>387000</v>
          </cell>
          <cell r="O47">
            <v>383000</v>
          </cell>
          <cell r="P47">
            <v>354000</v>
          </cell>
          <cell r="Q47">
            <v>372000</v>
          </cell>
          <cell r="R47">
            <v>365000</v>
          </cell>
          <cell r="S47">
            <v>362000</v>
          </cell>
          <cell r="T47">
            <v>332000</v>
          </cell>
          <cell r="U47">
            <v>353000</v>
          </cell>
          <cell r="V47">
            <v>342000</v>
          </cell>
          <cell r="W47">
            <v>335000</v>
          </cell>
          <cell r="X47">
            <v>291000</v>
          </cell>
          <cell r="Y47">
            <v>311000</v>
          </cell>
          <cell r="Z47">
            <v>284000</v>
          </cell>
          <cell r="AA47">
            <v>269000</v>
          </cell>
          <cell r="AB47">
            <v>220000</v>
          </cell>
          <cell r="AC47">
            <v>233000</v>
          </cell>
          <cell r="AD47">
            <v>211000</v>
          </cell>
          <cell r="AE47">
            <v>178000</v>
          </cell>
          <cell r="AF47">
            <v>217000</v>
          </cell>
          <cell r="AG47">
            <v>244000</v>
          </cell>
          <cell r="AH47">
            <v>234000</v>
          </cell>
          <cell r="AI47">
            <v>228000</v>
          </cell>
          <cell r="AJ47">
            <v>203000</v>
          </cell>
          <cell r="AK47">
            <v>219000</v>
          </cell>
          <cell r="AL47">
            <v>205000</v>
          </cell>
          <cell r="AM47">
            <v>202000</v>
          </cell>
          <cell r="AN47">
            <v>185000</v>
          </cell>
          <cell r="AO47">
            <v>198000</v>
          </cell>
        </row>
        <row r="48">
          <cell r="H48">
            <v>8.1</v>
          </cell>
          <cell r="I48">
            <v>6.6</v>
          </cell>
          <cell r="J48">
            <v>6.7</v>
          </cell>
          <cell r="K48">
            <v>6</v>
          </cell>
          <cell r="L48">
            <v>5.9</v>
          </cell>
          <cell r="M48">
            <v>7.7</v>
          </cell>
          <cell r="N48">
            <v>6</v>
          </cell>
          <cell r="O48">
            <v>5.9</v>
          </cell>
          <cell r="P48">
            <v>6.4</v>
          </cell>
          <cell r="Q48">
            <v>5.5</v>
          </cell>
          <cell r="R48">
            <v>6.7</v>
          </cell>
          <cell r="S48">
            <v>8.1999999999999993</v>
          </cell>
          <cell r="T48">
            <v>14.3</v>
          </cell>
          <cell r="U48">
            <v>13.9</v>
          </cell>
          <cell r="V48">
            <v>20.399999999999999</v>
          </cell>
          <cell r="W48">
            <v>24.7</v>
          </cell>
          <cell r="X48">
            <v>31.5</v>
          </cell>
          <cell r="Y48">
            <v>33.5</v>
          </cell>
          <cell r="Z48">
            <v>34.1</v>
          </cell>
          <cell r="AA48">
            <v>49.7</v>
          </cell>
          <cell r="AB48">
            <v>1.4</v>
          </cell>
          <cell r="AC48">
            <v>-4.4000000000000004</v>
          </cell>
          <cell r="AD48">
            <v>-10</v>
          </cell>
          <cell r="AE48">
            <v>-21.7</v>
          </cell>
          <cell r="AF48">
            <v>6.6</v>
          </cell>
          <cell r="AG48">
            <v>11.5</v>
          </cell>
          <cell r="AH48">
            <v>14.4</v>
          </cell>
          <cell r="AI48">
            <v>12.5</v>
          </cell>
          <cell r="AJ48">
            <v>10</v>
          </cell>
          <cell r="AK48">
            <v>10.4</v>
          </cell>
          <cell r="AL48">
            <v>9</v>
          </cell>
          <cell r="AM48">
            <v>8.1999999999999993</v>
          </cell>
          <cell r="AN48">
            <v>8.8000000000000007</v>
          </cell>
          <cell r="AO48">
            <v>10</v>
          </cell>
        </row>
        <row r="49">
          <cell r="D49" t="str">
            <v>US_DEB_PURCH_VOL</v>
          </cell>
          <cell r="H49">
            <v>327000</v>
          </cell>
          <cell r="I49">
            <v>335000</v>
          </cell>
          <cell r="J49">
            <v>339000</v>
          </cell>
          <cell r="K49">
            <v>339000</v>
          </cell>
          <cell r="L49">
            <v>324000</v>
          </cell>
          <cell r="M49">
            <v>328000</v>
          </cell>
          <cell r="N49">
            <v>316000</v>
          </cell>
          <cell r="O49">
            <v>316000</v>
          </cell>
          <cell r="P49">
            <v>298000</v>
          </cell>
          <cell r="Q49">
            <v>296000</v>
          </cell>
          <cell r="R49">
            <v>292000</v>
          </cell>
          <cell r="S49">
            <v>293000</v>
          </cell>
          <cell r="T49">
            <v>279000</v>
          </cell>
          <cell r="U49">
            <v>286000</v>
          </cell>
          <cell r="V49">
            <v>280000</v>
          </cell>
          <cell r="W49">
            <v>284000</v>
          </cell>
          <cell r="X49">
            <v>272000</v>
          </cell>
          <cell r="Y49">
            <v>282000</v>
          </cell>
          <cell r="Z49">
            <v>271000</v>
          </cell>
          <cell r="AA49">
            <v>282000</v>
          </cell>
          <cell r="AB49">
            <v>259000</v>
          </cell>
          <cell r="AC49">
            <v>239000</v>
          </cell>
          <cell r="AD49">
            <v>240000</v>
          </cell>
          <cell r="AE49">
            <v>226000</v>
          </cell>
          <cell r="AF49">
            <v>202000</v>
          </cell>
          <cell r="AG49">
            <v>205000</v>
          </cell>
          <cell r="AH49">
            <v>199000</v>
          </cell>
          <cell r="AI49">
            <v>199000</v>
          </cell>
          <cell r="AJ49">
            <v>189000</v>
          </cell>
          <cell r="AK49">
            <v>189000</v>
          </cell>
          <cell r="AL49">
            <v>180000</v>
          </cell>
          <cell r="AM49">
            <v>182000</v>
          </cell>
          <cell r="AN49">
            <v>174000</v>
          </cell>
          <cell r="AO49">
            <v>168000</v>
          </cell>
        </row>
        <row r="50">
          <cell r="H50">
            <v>1.4</v>
          </cell>
          <cell r="I50">
            <v>2.2999999999999998</v>
          </cell>
          <cell r="J50">
            <v>7.3</v>
          </cell>
          <cell r="K50">
            <v>7.3</v>
          </cell>
          <cell r="L50">
            <v>8.6</v>
          </cell>
          <cell r="M50">
            <v>10.9</v>
          </cell>
          <cell r="N50">
            <v>8.3000000000000007</v>
          </cell>
          <cell r="O50">
            <v>7.6</v>
          </cell>
          <cell r="P50">
            <v>6.8</v>
          </cell>
          <cell r="Q50">
            <v>3.3</v>
          </cell>
          <cell r="R50">
            <v>4.4000000000000004</v>
          </cell>
          <cell r="S50">
            <v>3</v>
          </cell>
          <cell r="T50">
            <v>3.7</v>
          </cell>
          <cell r="U50">
            <v>1.8</v>
          </cell>
          <cell r="V50">
            <v>3.3</v>
          </cell>
          <cell r="W50">
            <v>0.6</v>
          </cell>
          <cell r="X50">
            <v>5.6</v>
          </cell>
          <cell r="Y50">
            <v>18</v>
          </cell>
          <cell r="Z50">
            <v>13.1</v>
          </cell>
          <cell r="AA50">
            <v>25.9</v>
          </cell>
          <cell r="AB50">
            <v>27.4</v>
          </cell>
          <cell r="AC50">
            <v>16.3</v>
          </cell>
          <cell r="AD50">
            <v>20.7</v>
          </cell>
          <cell r="AE50">
            <v>13.1</v>
          </cell>
          <cell r="AF50">
            <v>7.4</v>
          </cell>
          <cell r="AG50">
            <v>8.1999999999999993</v>
          </cell>
          <cell r="AH50">
            <v>10.6</v>
          </cell>
          <cell r="AI50">
            <v>9.6</v>
          </cell>
          <cell r="AJ50">
            <v>8.1</v>
          </cell>
          <cell r="AK50">
            <v>12.6</v>
          </cell>
          <cell r="AL50">
            <v>12.6</v>
          </cell>
          <cell r="AM50">
            <v>13.2</v>
          </cell>
          <cell r="AN50">
            <v>13.4</v>
          </cell>
          <cell r="AO50">
            <v>9.9</v>
          </cell>
        </row>
        <row r="51">
          <cell r="D51" t="str">
            <v>US_TRANS_PURCH</v>
          </cell>
          <cell r="H51">
            <v>10836</v>
          </cell>
          <cell r="I51">
            <v>11522</v>
          </cell>
          <cell r="J51">
            <v>11599</v>
          </cell>
          <cell r="K51">
            <v>11390</v>
          </cell>
          <cell r="L51">
            <v>10534</v>
          </cell>
          <cell r="M51">
            <v>11119</v>
          </cell>
          <cell r="N51">
            <v>10867</v>
          </cell>
          <cell r="O51">
            <v>10689</v>
          </cell>
          <cell r="P51">
            <v>9889</v>
          </cell>
          <cell r="Q51">
            <v>10217</v>
          </cell>
          <cell r="R51">
            <v>10133</v>
          </cell>
          <cell r="S51">
            <v>9990</v>
          </cell>
          <cell r="T51">
            <v>9239</v>
          </cell>
          <cell r="U51">
            <v>9695</v>
          </cell>
          <cell r="V51">
            <v>9538</v>
          </cell>
          <cell r="W51">
            <v>9380</v>
          </cell>
          <cell r="X51">
            <v>8651</v>
          </cell>
          <cell r="Y51">
            <v>9353</v>
          </cell>
          <cell r="Z51">
            <v>9033</v>
          </cell>
          <cell r="AA51">
            <v>8820</v>
          </cell>
          <cell r="AB51">
            <v>7872</v>
          </cell>
          <cell r="AC51">
            <v>7988</v>
          </cell>
          <cell r="AD51">
            <v>7837</v>
          </cell>
          <cell r="AE51">
            <v>6940</v>
          </cell>
          <cell r="AF51">
            <v>7342</v>
          </cell>
          <cell r="AG51">
            <v>7897</v>
          </cell>
          <cell r="AH51">
            <v>7745</v>
          </cell>
          <cell r="AI51">
            <v>7569</v>
          </cell>
          <cell r="AJ51">
            <v>6894</v>
          </cell>
          <cell r="AK51">
            <v>7242</v>
          </cell>
          <cell r="AL51">
            <v>6928</v>
          </cell>
          <cell r="AM51">
            <v>6861</v>
          </cell>
          <cell r="AN51">
            <v>6354</v>
          </cell>
          <cell r="AO51">
            <v>6510</v>
          </cell>
        </row>
        <row r="52">
          <cell r="H52">
            <v>4235</v>
          </cell>
          <cell r="I52">
            <v>4583</v>
          </cell>
          <cell r="J52">
            <v>4474</v>
          </cell>
          <cell r="K52">
            <v>4342</v>
          </cell>
          <cell r="L52">
            <v>3937</v>
          </cell>
          <cell r="M52">
            <v>4305</v>
          </cell>
          <cell r="N52">
            <v>4183</v>
          </cell>
          <cell r="O52">
            <v>4087</v>
          </cell>
          <cell r="P52">
            <v>3731</v>
          </cell>
          <cell r="Q52">
            <v>4022</v>
          </cell>
          <cell r="R52">
            <v>3970</v>
          </cell>
          <cell r="S52">
            <v>3877</v>
          </cell>
          <cell r="T52">
            <v>3499</v>
          </cell>
          <cell r="U52">
            <v>3776</v>
          </cell>
          <cell r="V52">
            <v>3663</v>
          </cell>
          <cell r="W52">
            <v>3505</v>
          </cell>
          <cell r="X52">
            <v>3070</v>
          </cell>
          <cell r="Y52">
            <v>3384</v>
          </cell>
          <cell r="Z52">
            <v>3137</v>
          </cell>
          <cell r="AA52">
            <v>2908</v>
          </cell>
          <cell r="AB52">
            <v>2414</v>
          </cell>
          <cell r="AC52">
            <v>2636</v>
          </cell>
          <cell r="AD52">
            <v>2424</v>
          </cell>
          <cell r="AE52">
            <v>2031</v>
          </cell>
          <cell r="AF52">
            <v>2464</v>
          </cell>
          <cell r="AG52">
            <v>2795</v>
          </cell>
          <cell r="AH52">
            <v>2687</v>
          </cell>
          <cell r="AI52">
            <v>2557</v>
          </cell>
          <cell r="AJ52">
            <v>2250</v>
          </cell>
          <cell r="AK52">
            <v>2484</v>
          </cell>
          <cell r="AL52">
            <v>2321</v>
          </cell>
          <cell r="AM52">
            <v>2248</v>
          </cell>
          <cell r="AN52">
            <v>2020</v>
          </cell>
          <cell r="AO52">
            <v>2220</v>
          </cell>
        </row>
        <row r="53">
          <cell r="H53">
            <v>6601</v>
          </cell>
          <cell r="I53">
            <v>6939</v>
          </cell>
          <cell r="J53">
            <v>7124</v>
          </cell>
          <cell r="K53">
            <v>7048</v>
          </cell>
          <cell r="L53">
            <v>6597</v>
          </cell>
          <cell r="M53">
            <v>6814</v>
          </cell>
          <cell r="N53">
            <v>6684</v>
          </cell>
          <cell r="O53">
            <v>6602</v>
          </cell>
          <cell r="P53">
            <v>6159</v>
          </cell>
          <cell r="Q53">
            <v>6195</v>
          </cell>
          <cell r="R53">
            <v>6163</v>
          </cell>
          <cell r="S53">
            <v>6113</v>
          </cell>
          <cell r="T53">
            <v>5739</v>
          </cell>
          <cell r="U53">
            <v>5919</v>
          </cell>
          <cell r="V53">
            <v>5875</v>
          </cell>
          <cell r="W53">
            <v>5875</v>
          </cell>
          <cell r="X53">
            <v>5581</v>
          </cell>
          <cell r="Y53">
            <v>5969</v>
          </cell>
          <cell r="Z53">
            <v>5896</v>
          </cell>
          <cell r="AA53">
            <v>5913</v>
          </cell>
          <cell r="AB53">
            <v>5458</v>
          </cell>
          <cell r="AC53">
            <v>5352</v>
          </cell>
          <cell r="AD53">
            <v>5413</v>
          </cell>
          <cell r="AE53">
            <v>4909</v>
          </cell>
          <cell r="AF53">
            <v>4878</v>
          </cell>
          <cell r="AG53">
            <v>5101</v>
          </cell>
          <cell r="AH53">
            <v>5058</v>
          </cell>
          <cell r="AI53">
            <v>5012</v>
          </cell>
          <cell r="AJ53">
            <v>4644</v>
          </cell>
          <cell r="AK53">
            <v>4758</v>
          </cell>
          <cell r="AL53">
            <v>4607</v>
          </cell>
          <cell r="AM53">
            <v>4613</v>
          </cell>
          <cell r="AN53">
            <v>4334</v>
          </cell>
          <cell r="AO53">
            <v>4290</v>
          </cell>
        </row>
        <row r="54">
          <cell r="H54">
            <v>62000</v>
          </cell>
          <cell r="I54">
            <v>63000</v>
          </cell>
          <cell r="J54">
            <v>68000</v>
          </cell>
          <cell r="K54">
            <v>68000</v>
          </cell>
          <cell r="L54">
            <v>65000</v>
          </cell>
          <cell r="M54">
            <v>65000</v>
          </cell>
          <cell r="N54">
            <v>65000</v>
          </cell>
          <cell r="O54">
            <v>65000</v>
          </cell>
          <cell r="P54">
            <v>61000</v>
          </cell>
          <cell r="Q54">
            <v>60000</v>
          </cell>
          <cell r="R54">
            <v>63000</v>
          </cell>
          <cell r="S54">
            <v>63000</v>
          </cell>
          <cell r="T54">
            <v>60000</v>
          </cell>
          <cell r="U54">
            <v>59000</v>
          </cell>
          <cell r="V54">
            <v>61000</v>
          </cell>
          <cell r="W54">
            <v>60000</v>
          </cell>
          <cell r="X54">
            <v>58000</v>
          </cell>
          <cell r="Y54">
            <v>60000</v>
          </cell>
          <cell r="Z54">
            <v>64000</v>
          </cell>
          <cell r="AA54">
            <v>68000</v>
          </cell>
          <cell r="AB54">
            <v>65000</v>
          </cell>
          <cell r="AC54">
            <v>57000</v>
          </cell>
          <cell r="AD54">
            <v>62000</v>
          </cell>
          <cell r="AE54">
            <v>59000</v>
          </cell>
          <cell r="AF54">
            <v>59000</v>
          </cell>
          <cell r="AG54">
            <v>59000</v>
          </cell>
          <cell r="AH54">
            <v>60000</v>
          </cell>
          <cell r="AI54">
            <v>59000</v>
          </cell>
          <cell r="AJ54">
            <v>59000</v>
          </cell>
          <cell r="AK54">
            <v>57000</v>
          </cell>
          <cell r="AL54">
            <v>57000</v>
          </cell>
          <cell r="AM54">
            <v>58000</v>
          </cell>
          <cell r="AN54">
            <v>60000</v>
          </cell>
          <cell r="AO54">
            <v>56000</v>
          </cell>
        </row>
        <row r="55">
          <cell r="H55">
            <v>11000</v>
          </cell>
          <cell r="I55">
            <v>10000</v>
          </cell>
          <cell r="J55">
            <v>11000</v>
          </cell>
          <cell r="K55">
            <v>11000</v>
          </cell>
          <cell r="L55">
            <v>11000</v>
          </cell>
          <cell r="M55">
            <v>10000</v>
          </cell>
          <cell r="N55">
            <v>10000</v>
          </cell>
          <cell r="O55">
            <v>10000</v>
          </cell>
          <cell r="P55">
            <v>11000</v>
          </cell>
          <cell r="Q55">
            <v>10000</v>
          </cell>
          <cell r="R55">
            <v>11000</v>
          </cell>
          <cell r="S55">
            <v>10000</v>
          </cell>
          <cell r="T55">
            <v>10000</v>
          </cell>
          <cell r="U55">
            <v>9000</v>
          </cell>
          <cell r="V55">
            <v>10000</v>
          </cell>
          <cell r="W55">
            <v>9000</v>
          </cell>
          <cell r="X55">
            <v>8000</v>
          </cell>
          <cell r="Y55">
            <v>8000</v>
          </cell>
          <cell r="Z55">
            <v>8000</v>
          </cell>
          <cell r="AA55">
            <v>7000</v>
          </cell>
          <cell r="AB55">
            <v>6000</v>
          </cell>
          <cell r="AC55">
            <v>5000</v>
          </cell>
          <cell r="AD55">
            <v>4000</v>
          </cell>
          <cell r="AE55">
            <v>5000</v>
          </cell>
          <cell r="AF55">
            <v>10000</v>
          </cell>
          <cell r="AG55">
            <v>10000</v>
          </cell>
          <cell r="AH55">
            <v>10000</v>
          </cell>
          <cell r="AI55">
            <v>9000</v>
          </cell>
          <cell r="AJ55">
            <v>9000</v>
          </cell>
          <cell r="AK55">
            <v>9000</v>
          </cell>
          <cell r="AL55">
            <v>8000</v>
          </cell>
          <cell r="AM55">
            <v>9000</v>
          </cell>
          <cell r="AN55">
            <v>9000</v>
          </cell>
          <cell r="AO55">
            <v>9000</v>
          </cell>
        </row>
        <row r="56">
          <cell r="H56">
            <v>51000</v>
          </cell>
          <cell r="I56">
            <v>53000</v>
          </cell>
          <cell r="J56">
            <v>56000</v>
          </cell>
          <cell r="K56">
            <v>56000</v>
          </cell>
          <cell r="L56">
            <v>54000</v>
          </cell>
          <cell r="M56">
            <v>54000</v>
          </cell>
          <cell r="N56">
            <v>55000</v>
          </cell>
          <cell r="O56">
            <v>54000</v>
          </cell>
          <cell r="P56">
            <v>50000</v>
          </cell>
          <cell r="Q56">
            <v>50000</v>
          </cell>
          <cell r="R56">
            <v>52000</v>
          </cell>
          <cell r="S56">
            <v>52000</v>
          </cell>
          <cell r="T56">
            <v>50000</v>
          </cell>
          <cell r="U56">
            <v>50000</v>
          </cell>
          <cell r="V56">
            <v>52000</v>
          </cell>
          <cell r="W56">
            <v>52000</v>
          </cell>
          <cell r="X56">
            <v>50000</v>
          </cell>
          <cell r="Y56">
            <v>52000</v>
          </cell>
          <cell r="Z56">
            <v>56000</v>
          </cell>
          <cell r="AA56">
            <v>61000</v>
          </cell>
          <cell r="AB56">
            <v>59000</v>
          </cell>
          <cell r="AC56">
            <v>52000</v>
          </cell>
          <cell r="AD56">
            <v>59000</v>
          </cell>
          <cell r="AE56">
            <v>54000</v>
          </cell>
          <cell r="AF56">
            <v>49000</v>
          </cell>
          <cell r="AG56">
            <v>49000</v>
          </cell>
          <cell r="AH56">
            <v>50000</v>
          </cell>
          <cell r="AI56">
            <v>50000</v>
          </cell>
          <cell r="AJ56">
            <v>50000</v>
          </cell>
          <cell r="AK56">
            <v>49000</v>
          </cell>
          <cell r="AL56">
            <v>49000</v>
          </cell>
          <cell r="AM56">
            <v>50000</v>
          </cell>
          <cell r="AN56">
            <v>50000</v>
          </cell>
          <cell r="AO56">
            <v>47000</v>
          </cell>
        </row>
        <row r="57">
          <cell r="H57">
            <v>260</v>
          </cell>
          <cell r="I57">
            <v>276</v>
          </cell>
          <cell r="J57">
            <v>298</v>
          </cell>
          <cell r="K57">
            <v>297</v>
          </cell>
          <cell r="L57">
            <v>279</v>
          </cell>
          <cell r="M57">
            <v>292</v>
          </cell>
          <cell r="N57">
            <v>301</v>
          </cell>
          <cell r="O57">
            <v>297</v>
          </cell>
          <cell r="P57">
            <v>273</v>
          </cell>
          <cell r="Q57">
            <v>279</v>
          </cell>
          <cell r="R57">
            <v>296</v>
          </cell>
          <cell r="S57">
            <v>289</v>
          </cell>
          <cell r="T57">
            <v>278</v>
          </cell>
          <cell r="U57">
            <v>284</v>
          </cell>
          <cell r="V57">
            <v>298</v>
          </cell>
          <cell r="W57">
            <v>295</v>
          </cell>
          <cell r="X57">
            <v>279</v>
          </cell>
          <cell r="Y57">
            <v>299</v>
          </cell>
          <cell r="Z57">
            <v>319</v>
          </cell>
          <cell r="AA57">
            <v>332</v>
          </cell>
          <cell r="AB57">
            <v>311</v>
          </cell>
          <cell r="AC57">
            <v>295</v>
          </cell>
          <cell r="AD57">
            <v>321</v>
          </cell>
          <cell r="AE57">
            <v>284</v>
          </cell>
          <cell r="AF57">
            <v>307</v>
          </cell>
          <cell r="AG57">
            <v>323</v>
          </cell>
          <cell r="AH57">
            <v>338</v>
          </cell>
          <cell r="AI57">
            <v>336</v>
          </cell>
          <cell r="AJ57">
            <v>323</v>
          </cell>
          <cell r="AK57">
            <v>328</v>
          </cell>
          <cell r="AL57">
            <v>337</v>
          </cell>
          <cell r="AM57">
            <v>339</v>
          </cell>
          <cell r="AN57">
            <v>327</v>
          </cell>
          <cell r="AO57">
            <v>326</v>
          </cell>
        </row>
        <row r="58">
          <cell r="H58">
            <v>9</v>
          </cell>
          <cell r="I58">
            <v>9</v>
          </cell>
          <cell r="J58">
            <v>10</v>
          </cell>
          <cell r="K58">
            <v>9</v>
          </cell>
          <cell r="L58">
            <v>8</v>
          </cell>
          <cell r="M58">
            <v>9</v>
          </cell>
          <cell r="N58">
            <v>9</v>
          </cell>
          <cell r="O58">
            <v>9</v>
          </cell>
          <cell r="P58">
            <v>9</v>
          </cell>
          <cell r="Q58">
            <v>9</v>
          </cell>
          <cell r="R58">
            <v>10</v>
          </cell>
          <cell r="S58">
            <v>9</v>
          </cell>
          <cell r="T58">
            <v>9</v>
          </cell>
          <cell r="U58">
            <v>9</v>
          </cell>
          <cell r="V58">
            <v>9</v>
          </cell>
          <cell r="W58">
            <v>8</v>
          </cell>
          <cell r="X58">
            <v>8</v>
          </cell>
          <cell r="Y58">
            <v>6</v>
          </cell>
          <cell r="Z58">
            <v>8</v>
          </cell>
          <cell r="AA58">
            <v>7</v>
          </cell>
          <cell r="AB58">
            <v>6</v>
          </cell>
          <cell r="AC58">
            <v>6</v>
          </cell>
          <cell r="AD58">
            <v>6</v>
          </cell>
          <cell r="AE58">
            <v>4</v>
          </cell>
          <cell r="AF58">
            <v>9</v>
          </cell>
          <cell r="AG58">
            <v>9</v>
          </cell>
          <cell r="AH58">
            <v>9</v>
          </cell>
          <cell r="AI58">
            <v>9</v>
          </cell>
          <cell r="AJ58">
            <v>8</v>
          </cell>
          <cell r="AK58">
            <v>9</v>
          </cell>
          <cell r="AL58">
            <v>9</v>
          </cell>
          <cell r="AM58">
            <v>8</v>
          </cell>
          <cell r="AN58">
            <v>8</v>
          </cell>
          <cell r="AO58">
            <v>9</v>
          </cell>
        </row>
        <row r="59">
          <cell r="H59">
            <v>251</v>
          </cell>
          <cell r="I59">
            <v>266</v>
          </cell>
          <cell r="J59">
            <v>288</v>
          </cell>
          <cell r="K59">
            <v>288</v>
          </cell>
          <cell r="L59">
            <v>270</v>
          </cell>
          <cell r="M59">
            <v>283</v>
          </cell>
          <cell r="N59">
            <v>292</v>
          </cell>
          <cell r="O59">
            <v>288</v>
          </cell>
          <cell r="P59">
            <v>265</v>
          </cell>
          <cell r="Q59">
            <v>270</v>
          </cell>
          <cell r="R59">
            <v>285</v>
          </cell>
          <cell r="S59">
            <v>279</v>
          </cell>
          <cell r="T59">
            <v>270</v>
          </cell>
          <cell r="U59">
            <v>275</v>
          </cell>
          <cell r="V59">
            <v>288</v>
          </cell>
          <cell r="W59">
            <v>287</v>
          </cell>
          <cell r="X59">
            <v>272</v>
          </cell>
          <cell r="Y59">
            <v>289</v>
          </cell>
          <cell r="Z59">
            <v>311</v>
          </cell>
          <cell r="AA59">
            <v>325</v>
          </cell>
          <cell r="AB59">
            <v>305</v>
          </cell>
          <cell r="AC59">
            <v>289</v>
          </cell>
          <cell r="AD59">
            <v>315</v>
          </cell>
          <cell r="AE59">
            <v>279</v>
          </cell>
          <cell r="AF59">
            <v>297</v>
          </cell>
          <cell r="AG59">
            <v>313</v>
          </cell>
          <cell r="AH59">
            <v>329</v>
          </cell>
          <cell r="AI59">
            <v>327</v>
          </cell>
          <cell r="AJ59">
            <v>315</v>
          </cell>
          <cell r="AK59">
            <v>320</v>
          </cell>
          <cell r="AL59">
            <v>328</v>
          </cell>
          <cell r="AM59">
            <v>331</v>
          </cell>
          <cell r="AN59">
            <v>319</v>
          </cell>
          <cell r="AO59">
            <v>317</v>
          </cell>
        </row>
        <row r="60">
          <cell r="D60" t="str">
            <v>US_CARDS</v>
          </cell>
          <cell r="H60">
            <v>730</v>
          </cell>
          <cell r="I60">
            <v>730</v>
          </cell>
          <cell r="J60">
            <v>723</v>
          </cell>
          <cell r="K60">
            <v>711</v>
          </cell>
          <cell r="L60">
            <v>709</v>
          </cell>
          <cell r="M60">
            <v>704</v>
          </cell>
          <cell r="N60">
            <v>693</v>
          </cell>
          <cell r="O60">
            <v>689</v>
          </cell>
          <cell r="P60">
            <v>684</v>
          </cell>
          <cell r="Q60">
            <v>664</v>
          </cell>
          <cell r="R60">
            <v>654</v>
          </cell>
          <cell r="S60">
            <v>668</v>
          </cell>
          <cell r="T60">
            <v>644</v>
          </cell>
          <cell r="U60">
            <v>639</v>
          </cell>
          <cell r="V60">
            <v>617</v>
          </cell>
          <cell r="W60">
            <v>604</v>
          </cell>
          <cell r="X60">
            <v>580</v>
          </cell>
          <cell r="Y60">
            <v>573</v>
          </cell>
          <cell r="Z60">
            <v>550</v>
          </cell>
          <cell r="AA60">
            <v>537</v>
          </cell>
          <cell r="AB60">
            <v>516</v>
          </cell>
          <cell r="AC60">
            <v>503</v>
          </cell>
          <cell r="AD60">
            <v>484</v>
          </cell>
          <cell r="AE60">
            <v>476</v>
          </cell>
          <cell r="AF60">
            <v>478</v>
          </cell>
          <cell r="AG60">
            <v>473</v>
          </cell>
          <cell r="AH60">
            <v>467</v>
          </cell>
          <cell r="AI60">
            <v>457</v>
          </cell>
          <cell r="AJ60">
            <v>454</v>
          </cell>
          <cell r="AK60">
            <v>446</v>
          </cell>
          <cell r="AL60">
            <v>434</v>
          </cell>
          <cell r="AM60">
            <v>429</v>
          </cell>
          <cell r="AN60">
            <v>416</v>
          </cell>
          <cell r="AO60">
            <v>410</v>
          </cell>
        </row>
        <row r="61">
          <cell r="D61" t="str">
            <v>US_CREDIT_CARDS</v>
          </cell>
          <cell r="H61">
            <v>359</v>
          </cell>
          <cell r="I61">
            <v>353</v>
          </cell>
          <cell r="J61">
            <v>353</v>
          </cell>
          <cell r="K61">
            <v>343</v>
          </cell>
          <cell r="L61">
            <v>340</v>
          </cell>
          <cell r="M61">
            <v>346</v>
          </cell>
          <cell r="N61">
            <v>339</v>
          </cell>
          <cell r="O61">
            <v>336</v>
          </cell>
          <cell r="P61">
            <v>333</v>
          </cell>
          <cell r="Q61">
            <v>325</v>
          </cell>
          <cell r="R61">
            <v>323</v>
          </cell>
          <cell r="S61">
            <v>330</v>
          </cell>
          <cell r="T61">
            <v>319</v>
          </cell>
          <cell r="U61">
            <v>306</v>
          </cell>
          <cell r="V61">
            <v>300</v>
          </cell>
          <cell r="W61">
            <v>293</v>
          </cell>
          <cell r="X61">
            <v>276</v>
          </cell>
          <cell r="Y61">
            <v>274</v>
          </cell>
          <cell r="Z61">
            <v>264</v>
          </cell>
          <cell r="AA61">
            <v>257</v>
          </cell>
          <cell r="AB61">
            <v>249</v>
          </cell>
          <cell r="AC61">
            <v>246</v>
          </cell>
          <cell r="AD61">
            <v>234</v>
          </cell>
          <cell r="AE61">
            <v>236</v>
          </cell>
          <cell r="AF61">
            <v>243</v>
          </cell>
          <cell r="AG61">
            <v>243</v>
          </cell>
          <cell r="AH61">
            <v>238</v>
          </cell>
          <cell r="AI61">
            <v>234</v>
          </cell>
          <cell r="AJ61">
            <v>238</v>
          </cell>
          <cell r="AK61">
            <v>231</v>
          </cell>
          <cell r="AL61">
            <v>222</v>
          </cell>
          <cell r="AM61">
            <v>218</v>
          </cell>
          <cell r="AN61">
            <v>210</v>
          </cell>
          <cell r="AO61">
            <v>224</v>
          </cell>
        </row>
        <row r="62">
          <cell r="D62" t="str">
            <v>US_DEBIT_CARDS</v>
          </cell>
          <cell r="H62">
            <v>372</v>
          </cell>
          <cell r="I62">
            <v>378</v>
          </cell>
          <cell r="J62">
            <v>370</v>
          </cell>
          <cell r="K62">
            <v>369</v>
          </cell>
          <cell r="L62">
            <v>369</v>
          </cell>
          <cell r="M62">
            <v>358</v>
          </cell>
          <cell r="N62">
            <v>354</v>
          </cell>
          <cell r="O62">
            <v>353</v>
          </cell>
          <cell r="P62">
            <v>351</v>
          </cell>
          <cell r="Q62">
            <v>338</v>
          </cell>
          <cell r="R62">
            <v>331</v>
          </cell>
          <cell r="S62">
            <v>338</v>
          </cell>
          <cell r="T62">
            <v>325</v>
          </cell>
          <cell r="U62">
            <v>333</v>
          </cell>
          <cell r="V62">
            <v>317</v>
          </cell>
          <cell r="W62">
            <v>311</v>
          </cell>
          <cell r="X62">
            <v>304</v>
          </cell>
          <cell r="Y62">
            <v>299</v>
          </cell>
          <cell r="Z62">
            <v>286</v>
          </cell>
          <cell r="AA62">
            <v>279</v>
          </cell>
          <cell r="AB62">
            <v>267</v>
          </cell>
          <cell r="AC62">
            <v>257</v>
          </cell>
          <cell r="AD62">
            <v>250</v>
          </cell>
          <cell r="AE62">
            <v>240</v>
          </cell>
          <cell r="AF62">
            <v>235</v>
          </cell>
          <cell r="AG62">
            <v>230</v>
          </cell>
          <cell r="AH62">
            <v>228</v>
          </cell>
          <cell r="AI62">
            <v>223</v>
          </cell>
          <cell r="AJ62">
            <v>216</v>
          </cell>
          <cell r="AK62">
            <v>216</v>
          </cell>
          <cell r="AL62">
            <v>212</v>
          </cell>
          <cell r="AM62">
            <v>210</v>
          </cell>
          <cell r="AN62">
            <v>205</v>
          </cell>
          <cell r="AO62">
            <v>199</v>
          </cell>
        </row>
        <row r="63"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</row>
        <row r="64"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</row>
        <row r="65">
          <cell r="D65" t="str">
            <v>INTL_GDV</v>
          </cell>
          <cell r="H65">
            <v>1908000</v>
          </cell>
          <cell r="I65">
            <v>1994000</v>
          </cell>
          <cell r="J65">
            <v>1927000</v>
          </cell>
          <cell r="K65">
            <v>1817000</v>
          </cell>
          <cell r="L65">
            <v>1653000</v>
          </cell>
          <cell r="M65">
            <v>1767000</v>
          </cell>
          <cell r="N65">
            <v>1734000</v>
          </cell>
          <cell r="O65">
            <v>1639000</v>
          </cell>
          <cell r="P65">
            <v>1578000</v>
          </cell>
          <cell r="Q65">
            <v>1624000</v>
          </cell>
          <cell r="R65">
            <v>1585000</v>
          </cell>
          <cell r="S65">
            <v>1550000</v>
          </cell>
          <cell r="T65">
            <v>1434000</v>
          </cell>
          <cell r="U65">
            <v>1434000</v>
          </cell>
          <cell r="V65">
            <v>1386000</v>
          </cell>
          <cell r="W65">
            <v>1375000</v>
          </cell>
          <cell r="X65">
            <v>1299000</v>
          </cell>
          <cell r="Y65">
            <v>1461000</v>
          </cell>
          <cell r="Z65">
            <v>1375000</v>
          </cell>
          <cell r="AA65">
            <v>1288000</v>
          </cell>
          <cell r="AB65">
            <v>1167000</v>
          </cell>
          <cell r="AC65">
            <v>1218000</v>
          </cell>
          <cell r="AD65">
            <v>1133000</v>
          </cell>
          <cell r="AE65">
            <v>914000</v>
          </cell>
          <cell r="AF65">
            <v>1086000</v>
          </cell>
          <cell r="AG65">
            <v>1219000</v>
          </cell>
          <cell r="AH65">
            <v>1159000</v>
          </cell>
          <cell r="AI65">
            <v>1116000</v>
          </cell>
          <cell r="AJ65">
            <v>1033000</v>
          </cell>
          <cell r="AK65">
            <v>1083000</v>
          </cell>
          <cell r="AL65">
            <v>1027000</v>
          </cell>
          <cell r="AM65">
            <v>1032000</v>
          </cell>
          <cell r="AN65">
            <v>996000</v>
          </cell>
          <cell r="AO65">
            <v>993000</v>
          </cell>
        </row>
        <row r="66">
          <cell r="H66">
            <v>831000</v>
          </cell>
          <cell r="I66">
            <v>864000</v>
          </cell>
          <cell r="J66">
            <v>846000</v>
          </cell>
          <cell r="K66">
            <v>797000</v>
          </cell>
          <cell r="L66">
            <v>731000</v>
          </cell>
          <cell r="M66">
            <v>781000</v>
          </cell>
          <cell r="N66">
            <v>769000</v>
          </cell>
          <cell r="O66">
            <v>736000</v>
          </cell>
          <cell r="P66">
            <v>712000</v>
          </cell>
          <cell r="Q66">
            <v>733000</v>
          </cell>
          <cell r="R66">
            <v>720000</v>
          </cell>
          <cell r="S66">
            <v>706000</v>
          </cell>
          <cell r="T66">
            <v>660000</v>
          </cell>
          <cell r="U66">
            <v>650000</v>
          </cell>
          <cell r="V66">
            <v>641000</v>
          </cell>
          <cell r="W66">
            <v>640000</v>
          </cell>
          <cell r="X66">
            <v>603000</v>
          </cell>
          <cell r="Y66">
            <v>659000</v>
          </cell>
          <cell r="Z66">
            <v>622000</v>
          </cell>
          <cell r="AA66">
            <v>583000</v>
          </cell>
          <cell r="AB66">
            <v>532000</v>
          </cell>
          <cell r="AC66">
            <v>560000</v>
          </cell>
          <cell r="AD66">
            <v>523000</v>
          </cell>
          <cell r="AE66">
            <v>435000</v>
          </cell>
          <cell r="AF66">
            <v>528000</v>
          </cell>
          <cell r="AG66">
            <v>602000</v>
          </cell>
          <cell r="AH66">
            <v>577000</v>
          </cell>
          <cell r="AI66">
            <v>560000</v>
          </cell>
          <cell r="AJ66">
            <v>530000</v>
          </cell>
          <cell r="AK66">
            <v>560000</v>
          </cell>
          <cell r="AL66">
            <v>535000</v>
          </cell>
          <cell r="AM66">
            <v>546000</v>
          </cell>
          <cell r="AN66">
            <v>530000</v>
          </cell>
          <cell r="AO66">
            <v>530000</v>
          </cell>
        </row>
        <row r="67">
          <cell r="H67">
            <v>1077000</v>
          </cell>
          <cell r="I67">
            <v>1129000</v>
          </cell>
          <cell r="J67">
            <v>1081000</v>
          </cell>
          <cell r="K67">
            <v>1020000</v>
          </cell>
          <cell r="L67">
            <v>922000</v>
          </cell>
          <cell r="M67">
            <v>986000</v>
          </cell>
          <cell r="N67">
            <v>965000</v>
          </cell>
          <cell r="O67">
            <v>903000</v>
          </cell>
          <cell r="P67">
            <v>866000</v>
          </cell>
          <cell r="Q67">
            <v>892000</v>
          </cell>
          <cell r="R67">
            <v>865000</v>
          </cell>
          <cell r="S67">
            <v>844000</v>
          </cell>
          <cell r="T67">
            <v>774000</v>
          </cell>
          <cell r="U67">
            <v>784000</v>
          </cell>
          <cell r="V67">
            <v>745000</v>
          </cell>
          <cell r="W67">
            <v>735000</v>
          </cell>
          <cell r="X67">
            <v>696000</v>
          </cell>
          <cell r="Y67">
            <v>802000</v>
          </cell>
          <cell r="Z67">
            <v>753000</v>
          </cell>
          <cell r="AA67">
            <v>705000</v>
          </cell>
          <cell r="AB67">
            <v>636000</v>
          </cell>
          <cell r="AC67">
            <v>659000</v>
          </cell>
          <cell r="AD67">
            <v>610000</v>
          </cell>
          <cell r="AE67">
            <v>479000</v>
          </cell>
          <cell r="AF67">
            <v>558000</v>
          </cell>
          <cell r="AG67">
            <v>617000</v>
          </cell>
          <cell r="AH67">
            <v>582000</v>
          </cell>
          <cell r="AI67">
            <v>556000</v>
          </cell>
          <cell r="AJ67">
            <v>503000</v>
          </cell>
          <cell r="AK67">
            <v>523000</v>
          </cell>
          <cell r="AL67">
            <v>491000</v>
          </cell>
          <cell r="AM67">
            <v>486000</v>
          </cell>
          <cell r="AN67">
            <v>466000</v>
          </cell>
          <cell r="AO67">
            <v>464000</v>
          </cell>
        </row>
        <row r="68">
          <cell r="D68" t="str">
            <v>INTL_PURCH_VOL</v>
          </cell>
          <cell r="H68">
            <v>1518</v>
          </cell>
          <cell r="I68">
            <v>1581</v>
          </cell>
          <cell r="J68">
            <v>1528</v>
          </cell>
          <cell r="K68">
            <v>1436</v>
          </cell>
          <cell r="L68">
            <v>1294</v>
          </cell>
          <cell r="M68">
            <v>1385</v>
          </cell>
          <cell r="N68">
            <v>1356</v>
          </cell>
          <cell r="O68">
            <v>1275</v>
          </cell>
          <cell r="P68">
            <v>1218</v>
          </cell>
          <cell r="Q68">
            <v>1253</v>
          </cell>
          <cell r="R68">
            <v>1222</v>
          </cell>
          <cell r="S68">
            <v>1184</v>
          </cell>
          <cell r="T68">
            <v>1095</v>
          </cell>
          <cell r="U68">
            <v>1090</v>
          </cell>
          <cell r="V68">
            <v>1048</v>
          </cell>
          <cell r="W68">
            <v>1032</v>
          </cell>
          <cell r="X68">
            <v>954</v>
          </cell>
          <cell r="Y68">
            <v>1063</v>
          </cell>
          <cell r="Z68">
            <v>993</v>
          </cell>
          <cell r="AA68">
            <v>919</v>
          </cell>
          <cell r="AB68">
            <v>818</v>
          </cell>
          <cell r="AC68">
            <v>848</v>
          </cell>
          <cell r="AD68">
            <v>784</v>
          </cell>
          <cell r="AE68">
            <v>630</v>
          </cell>
          <cell r="AF68">
            <v>732</v>
          </cell>
          <cell r="AG68">
            <v>826</v>
          </cell>
          <cell r="AH68">
            <v>785</v>
          </cell>
          <cell r="AI68">
            <v>755</v>
          </cell>
          <cell r="AJ68">
            <v>698</v>
          </cell>
          <cell r="AK68">
            <v>738</v>
          </cell>
          <cell r="AL68">
            <v>698</v>
          </cell>
          <cell r="AM68">
            <v>700</v>
          </cell>
          <cell r="AN68">
            <v>676</v>
          </cell>
          <cell r="AO68">
            <v>666</v>
          </cell>
        </row>
        <row r="69">
          <cell r="D69" t="str">
            <v>INTL_CRED_PURCH_VOL</v>
          </cell>
          <cell r="H69">
            <v>792000</v>
          </cell>
          <cell r="I69">
            <v>824000</v>
          </cell>
          <cell r="J69">
            <v>807000</v>
          </cell>
          <cell r="K69">
            <v>759000</v>
          </cell>
          <cell r="L69">
            <v>695000</v>
          </cell>
          <cell r="M69">
            <v>743000</v>
          </cell>
          <cell r="N69">
            <v>731000</v>
          </cell>
          <cell r="O69">
            <v>699000</v>
          </cell>
          <cell r="P69">
            <v>675000</v>
          </cell>
          <cell r="Q69">
            <v>693000</v>
          </cell>
          <cell r="R69">
            <v>682000</v>
          </cell>
          <cell r="S69">
            <v>668000</v>
          </cell>
          <cell r="T69">
            <v>624000</v>
          </cell>
          <cell r="U69">
            <v>619000</v>
          </cell>
          <cell r="V69">
            <v>608000</v>
          </cell>
          <cell r="W69">
            <v>607000</v>
          </cell>
          <cell r="X69">
            <v>570000</v>
          </cell>
          <cell r="Y69">
            <v>620000</v>
          </cell>
          <cell r="Z69">
            <v>584000</v>
          </cell>
          <cell r="AA69">
            <v>547000</v>
          </cell>
          <cell r="AB69">
            <v>497000</v>
          </cell>
          <cell r="AC69">
            <v>524000</v>
          </cell>
          <cell r="AD69">
            <v>489000</v>
          </cell>
          <cell r="AE69">
            <v>405000</v>
          </cell>
          <cell r="AF69">
            <v>488000</v>
          </cell>
          <cell r="AG69">
            <v>557000</v>
          </cell>
          <cell r="AH69">
            <v>536000</v>
          </cell>
          <cell r="AI69">
            <v>520000</v>
          </cell>
          <cell r="AJ69">
            <v>492000</v>
          </cell>
          <cell r="AK69">
            <v>520000</v>
          </cell>
          <cell r="AL69">
            <v>496000</v>
          </cell>
          <cell r="AM69">
            <v>506000</v>
          </cell>
          <cell r="AN69">
            <v>490000</v>
          </cell>
          <cell r="AO69">
            <v>489000</v>
          </cell>
        </row>
        <row r="70">
          <cell r="D70" t="str">
            <v>INTL_DEB_PURCH_VOL</v>
          </cell>
          <cell r="H70">
            <v>726000</v>
          </cell>
          <cell r="I70">
            <v>757000</v>
          </cell>
          <cell r="J70">
            <v>721000</v>
          </cell>
          <cell r="K70">
            <v>678000</v>
          </cell>
          <cell r="L70">
            <v>600000</v>
          </cell>
          <cell r="M70">
            <v>642000</v>
          </cell>
          <cell r="N70">
            <v>625000</v>
          </cell>
          <cell r="O70">
            <v>577000</v>
          </cell>
          <cell r="P70">
            <v>545000</v>
          </cell>
          <cell r="Q70">
            <v>560000</v>
          </cell>
          <cell r="R70">
            <v>540000</v>
          </cell>
          <cell r="S70">
            <v>516000</v>
          </cell>
          <cell r="T70">
            <v>472000</v>
          </cell>
          <cell r="U70">
            <v>470000</v>
          </cell>
          <cell r="V70">
            <v>440000</v>
          </cell>
          <cell r="W70">
            <v>424000</v>
          </cell>
          <cell r="X70">
            <v>384000</v>
          </cell>
          <cell r="Y70">
            <v>443000</v>
          </cell>
          <cell r="Z70">
            <v>408000</v>
          </cell>
          <cell r="AA70">
            <v>373000</v>
          </cell>
          <cell r="AB70">
            <v>321000</v>
          </cell>
          <cell r="AC70">
            <v>325000</v>
          </cell>
          <cell r="AD70">
            <v>295000</v>
          </cell>
          <cell r="AE70">
            <v>226000</v>
          </cell>
          <cell r="AF70">
            <v>244000</v>
          </cell>
          <cell r="AG70">
            <v>269000</v>
          </cell>
          <cell r="AH70">
            <v>250000</v>
          </cell>
          <cell r="AI70">
            <v>234000</v>
          </cell>
          <cell r="AJ70">
            <v>206000</v>
          </cell>
          <cell r="AK70">
            <v>218000</v>
          </cell>
          <cell r="AL70">
            <v>202000</v>
          </cell>
          <cell r="AM70">
            <v>194000</v>
          </cell>
          <cell r="AN70">
            <v>186000</v>
          </cell>
          <cell r="AO70">
            <v>177000</v>
          </cell>
        </row>
        <row r="71">
          <cell r="D71" t="str">
            <v>INTL_TRANS_PURCH</v>
          </cell>
          <cell r="H71">
            <v>41496</v>
          </cell>
          <cell r="I71">
            <v>43784</v>
          </cell>
          <cell r="J71">
            <v>42637</v>
          </cell>
          <cell r="K71">
            <v>40813</v>
          </cell>
          <cell r="L71">
            <v>37560</v>
          </cell>
          <cell r="M71">
            <v>39486</v>
          </cell>
          <cell r="N71">
            <v>38475</v>
          </cell>
          <cell r="O71">
            <v>36693</v>
          </cell>
          <cell r="P71">
            <v>34088</v>
          </cell>
          <cell r="Q71">
            <v>35089</v>
          </cell>
          <cell r="R71">
            <v>33940</v>
          </cell>
          <cell r="S71">
            <v>32547</v>
          </cell>
          <cell r="T71">
            <v>29721</v>
          </cell>
          <cell r="U71">
            <v>30651</v>
          </cell>
          <cell r="V71">
            <v>29392</v>
          </cell>
          <cell r="W71">
            <v>27174</v>
          </cell>
          <cell r="X71">
            <v>25106</v>
          </cell>
          <cell r="Y71">
            <v>29545</v>
          </cell>
          <cell r="Z71">
            <v>27799</v>
          </cell>
          <cell r="AA71">
            <v>25435</v>
          </cell>
          <cell r="AB71">
            <v>22213</v>
          </cell>
          <cell r="AC71">
            <v>22975</v>
          </cell>
          <cell r="AD71">
            <v>21975</v>
          </cell>
          <cell r="AE71">
            <v>17848</v>
          </cell>
          <cell r="AF71">
            <v>20105</v>
          </cell>
          <cell r="AG71">
            <v>21480</v>
          </cell>
          <cell r="AH71">
            <v>20446</v>
          </cell>
          <cell r="AI71">
            <v>19261</v>
          </cell>
          <cell r="AJ71">
            <v>16928</v>
          </cell>
          <cell r="AK71">
            <v>17493</v>
          </cell>
          <cell r="AL71">
            <v>16188</v>
          </cell>
          <cell r="AM71">
            <v>15397</v>
          </cell>
          <cell r="AN71">
            <v>13949</v>
          </cell>
          <cell r="AO71">
            <v>13945</v>
          </cell>
        </row>
        <row r="72">
          <cell r="H72">
            <v>17241</v>
          </cell>
          <cell r="I72">
            <v>18253</v>
          </cell>
          <cell r="J72">
            <v>17879</v>
          </cell>
          <cell r="K72">
            <v>17173</v>
          </cell>
          <cell r="L72">
            <v>16055</v>
          </cell>
          <cell r="M72">
            <v>16908</v>
          </cell>
          <cell r="N72">
            <v>16327</v>
          </cell>
          <cell r="O72">
            <v>15729</v>
          </cell>
          <cell r="P72">
            <v>14788</v>
          </cell>
          <cell r="Q72">
            <v>15341</v>
          </cell>
          <cell r="R72">
            <v>14762</v>
          </cell>
          <cell r="S72">
            <v>14310</v>
          </cell>
          <cell r="T72">
            <v>13208</v>
          </cell>
          <cell r="U72">
            <v>13713</v>
          </cell>
          <cell r="V72">
            <v>13334</v>
          </cell>
          <cell r="W72">
            <v>12565</v>
          </cell>
          <cell r="X72">
            <v>11659</v>
          </cell>
          <cell r="Y72">
            <v>12990</v>
          </cell>
          <cell r="Z72">
            <v>12180</v>
          </cell>
          <cell r="AA72">
            <v>11276</v>
          </cell>
          <cell r="AB72">
            <v>10116</v>
          </cell>
          <cell r="AC72">
            <v>10605</v>
          </cell>
          <cell r="AD72">
            <v>10044</v>
          </cell>
          <cell r="AE72">
            <v>8434</v>
          </cell>
          <cell r="AF72">
            <v>9687</v>
          </cell>
          <cell r="AG72">
            <v>10534</v>
          </cell>
          <cell r="AH72">
            <v>10140</v>
          </cell>
          <cell r="AI72">
            <v>9563</v>
          </cell>
          <cell r="AJ72">
            <v>8610</v>
          </cell>
          <cell r="AK72">
            <v>9012</v>
          </cell>
          <cell r="AL72">
            <v>8431</v>
          </cell>
          <cell r="AM72">
            <v>8097</v>
          </cell>
          <cell r="AN72">
            <v>7449</v>
          </cell>
          <cell r="AO72">
            <v>7640</v>
          </cell>
        </row>
        <row r="73">
          <cell r="H73">
            <v>24255</v>
          </cell>
          <cell r="I73">
            <v>25531</v>
          </cell>
          <cell r="J73">
            <v>24759</v>
          </cell>
          <cell r="K73">
            <v>23640</v>
          </cell>
          <cell r="L73">
            <v>21505</v>
          </cell>
          <cell r="M73">
            <v>22578</v>
          </cell>
          <cell r="N73">
            <v>22148</v>
          </cell>
          <cell r="O73">
            <v>20963</v>
          </cell>
          <cell r="P73">
            <v>19299</v>
          </cell>
          <cell r="Q73">
            <v>19748</v>
          </cell>
          <cell r="R73">
            <v>19178</v>
          </cell>
          <cell r="S73">
            <v>18237</v>
          </cell>
          <cell r="T73">
            <v>16514</v>
          </cell>
          <cell r="U73">
            <v>16938</v>
          </cell>
          <cell r="V73">
            <v>16057</v>
          </cell>
          <cell r="W73">
            <v>14609</v>
          </cell>
          <cell r="X73">
            <v>13446</v>
          </cell>
          <cell r="Y73">
            <v>16555</v>
          </cell>
          <cell r="Z73">
            <v>15618</v>
          </cell>
          <cell r="AA73">
            <v>14159</v>
          </cell>
          <cell r="AB73">
            <v>12097</v>
          </cell>
          <cell r="AC73">
            <v>12370</v>
          </cell>
          <cell r="AD73">
            <v>11931</v>
          </cell>
          <cell r="AE73">
            <v>9414</v>
          </cell>
          <cell r="AF73">
            <v>10418</v>
          </cell>
          <cell r="AG73">
            <v>10946</v>
          </cell>
          <cell r="AH73">
            <v>10306</v>
          </cell>
          <cell r="AI73">
            <v>9698</v>
          </cell>
          <cell r="AJ73">
            <v>8317</v>
          </cell>
          <cell r="AK73">
            <v>8481</v>
          </cell>
          <cell r="AL73">
            <v>7756</v>
          </cell>
          <cell r="AM73">
            <v>7300</v>
          </cell>
          <cell r="AN73">
            <v>6500</v>
          </cell>
          <cell r="AO73">
            <v>6304</v>
          </cell>
        </row>
        <row r="74">
          <cell r="H74">
            <v>390000</v>
          </cell>
          <cell r="I74">
            <v>412000</v>
          </cell>
          <cell r="J74">
            <v>399000</v>
          </cell>
          <cell r="K74">
            <v>381000</v>
          </cell>
          <cell r="L74">
            <v>359000</v>
          </cell>
          <cell r="M74">
            <v>382000</v>
          </cell>
          <cell r="N74">
            <v>379000</v>
          </cell>
          <cell r="O74">
            <v>365000</v>
          </cell>
          <cell r="P74">
            <v>360000</v>
          </cell>
          <cell r="Q74">
            <v>372000</v>
          </cell>
          <cell r="R74">
            <v>363000</v>
          </cell>
          <cell r="S74">
            <v>365000</v>
          </cell>
          <cell r="T74">
            <v>341000</v>
          </cell>
          <cell r="U74">
            <v>347000</v>
          </cell>
          <cell r="V74">
            <v>339000</v>
          </cell>
          <cell r="W74">
            <v>344000</v>
          </cell>
          <cell r="X74">
            <v>345000</v>
          </cell>
          <cell r="Y74">
            <v>398000</v>
          </cell>
          <cell r="Z74">
            <v>383000</v>
          </cell>
          <cell r="AA74">
            <v>368000</v>
          </cell>
          <cell r="AB74">
            <v>350000</v>
          </cell>
          <cell r="AC74">
            <v>370000</v>
          </cell>
          <cell r="AD74">
            <v>348000</v>
          </cell>
          <cell r="AE74">
            <v>288000</v>
          </cell>
          <cell r="AF74">
            <v>355000</v>
          </cell>
          <cell r="AG74">
            <v>393000</v>
          </cell>
          <cell r="AH74">
            <v>373000</v>
          </cell>
          <cell r="AI74">
            <v>361000</v>
          </cell>
          <cell r="AJ74">
            <v>336000</v>
          </cell>
          <cell r="AK74">
            <v>345000</v>
          </cell>
          <cell r="AL74">
            <v>329000</v>
          </cell>
          <cell r="AM74">
            <v>333000</v>
          </cell>
          <cell r="AN74">
            <v>321000</v>
          </cell>
          <cell r="AO74">
            <v>328000</v>
          </cell>
        </row>
        <row r="75">
          <cell r="H75">
            <v>39000</v>
          </cell>
          <cell r="I75">
            <v>40000</v>
          </cell>
          <cell r="J75">
            <v>39000</v>
          </cell>
          <cell r="K75">
            <v>38000</v>
          </cell>
          <cell r="L75">
            <v>36000</v>
          </cell>
          <cell r="M75">
            <v>38000</v>
          </cell>
          <cell r="N75">
            <v>38000</v>
          </cell>
          <cell r="O75">
            <v>37000</v>
          </cell>
          <cell r="P75">
            <v>38000</v>
          </cell>
          <cell r="Q75">
            <v>39000</v>
          </cell>
          <cell r="R75">
            <v>38000</v>
          </cell>
          <cell r="S75">
            <v>39000</v>
          </cell>
          <cell r="T75">
            <v>37000</v>
          </cell>
          <cell r="U75">
            <v>35000</v>
          </cell>
          <cell r="V75">
            <v>33000</v>
          </cell>
          <cell r="W75">
            <v>33000</v>
          </cell>
          <cell r="X75">
            <v>33000</v>
          </cell>
          <cell r="Y75">
            <v>39000</v>
          </cell>
          <cell r="Z75">
            <v>38000</v>
          </cell>
          <cell r="AA75">
            <v>36000</v>
          </cell>
          <cell r="AB75">
            <v>35000</v>
          </cell>
          <cell r="AC75">
            <v>36000</v>
          </cell>
          <cell r="AD75">
            <v>34000</v>
          </cell>
          <cell r="AE75">
            <v>31000</v>
          </cell>
          <cell r="AF75">
            <v>40000</v>
          </cell>
          <cell r="AG75">
            <v>44000</v>
          </cell>
          <cell r="AH75">
            <v>41000</v>
          </cell>
          <cell r="AI75">
            <v>39000</v>
          </cell>
          <cell r="AJ75">
            <v>38000</v>
          </cell>
          <cell r="AK75">
            <v>40000</v>
          </cell>
          <cell r="AL75">
            <v>39000</v>
          </cell>
          <cell r="AM75">
            <v>40000</v>
          </cell>
          <cell r="AN75">
            <v>40000</v>
          </cell>
          <cell r="AO75">
            <v>41000</v>
          </cell>
        </row>
        <row r="76">
          <cell r="H76">
            <v>351000</v>
          </cell>
          <cell r="I76">
            <v>372000</v>
          </cell>
          <cell r="J76">
            <v>360000</v>
          </cell>
          <cell r="K76">
            <v>343000</v>
          </cell>
          <cell r="L76">
            <v>323000</v>
          </cell>
          <cell r="M76">
            <v>344000</v>
          </cell>
          <cell r="N76">
            <v>340000</v>
          </cell>
          <cell r="O76">
            <v>328000</v>
          </cell>
          <cell r="P76">
            <v>322000</v>
          </cell>
          <cell r="Q76">
            <v>333000</v>
          </cell>
          <cell r="R76">
            <v>325000</v>
          </cell>
          <cell r="S76">
            <v>327000</v>
          </cell>
          <cell r="T76">
            <v>304000</v>
          </cell>
          <cell r="U76">
            <v>312000</v>
          </cell>
          <cell r="V76">
            <v>306000</v>
          </cell>
          <cell r="W76">
            <v>311000</v>
          </cell>
          <cell r="X76">
            <v>312000</v>
          </cell>
          <cell r="Y76">
            <v>359000</v>
          </cell>
          <cell r="Z76">
            <v>344000</v>
          </cell>
          <cell r="AA76">
            <v>332000</v>
          </cell>
          <cell r="AB76">
            <v>315000</v>
          </cell>
          <cell r="AC76">
            <v>334000</v>
          </cell>
          <cell r="AD76">
            <v>315000</v>
          </cell>
          <cell r="AE76">
            <v>257000</v>
          </cell>
          <cell r="AF76">
            <v>315000</v>
          </cell>
          <cell r="AG76">
            <v>348000</v>
          </cell>
          <cell r="AH76">
            <v>332000</v>
          </cell>
          <cell r="AI76">
            <v>322000</v>
          </cell>
          <cell r="AJ76">
            <v>297000</v>
          </cell>
          <cell r="AK76">
            <v>304000</v>
          </cell>
          <cell r="AL76">
            <v>290000</v>
          </cell>
          <cell r="AM76">
            <v>293000</v>
          </cell>
          <cell r="AN76">
            <v>280000</v>
          </cell>
          <cell r="AO76">
            <v>287000</v>
          </cell>
        </row>
        <row r="77">
          <cell r="H77">
            <v>2593</v>
          </cell>
          <cell r="I77">
            <v>2791</v>
          </cell>
          <cell r="J77">
            <v>2782</v>
          </cell>
          <cell r="K77">
            <v>2799</v>
          </cell>
          <cell r="L77">
            <v>2756</v>
          </cell>
          <cell r="M77">
            <v>2948</v>
          </cell>
          <cell r="N77">
            <v>2946</v>
          </cell>
          <cell r="O77">
            <v>2916</v>
          </cell>
          <cell r="P77">
            <v>2840</v>
          </cell>
          <cell r="Q77">
            <v>2966</v>
          </cell>
          <cell r="R77">
            <v>2948</v>
          </cell>
          <cell r="S77">
            <v>2948</v>
          </cell>
          <cell r="T77">
            <v>2813</v>
          </cell>
          <cell r="U77">
            <v>2974</v>
          </cell>
          <cell r="V77">
            <v>2947</v>
          </cell>
          <cell r="W77">
            <v>2887</v>
          </cell>
          <cell r="X77">
            <v>2823</v>
          </cell>
          <cell r="Y77">
            <v>3131</v>
          </cell>
          <cell r="Z77">
            <v>2975</v>
          </cell>
          <cell r="AA77">
            <v>2838</v>
          </cell>
          <cell r="AB77">
            <v>2804</v>
          </cell>
          <cell r="AC77">
            <v>2932</v>
          </cell>
          <cell r="AD77">
            <v>2860</v>
          </cell>
          <cell r="AE77">
            <v>2379</v>
          </cell>
          <cell r="AF77">
            <v>3083</v>
          </cell>
          <cell r="AG77">
            <v>3334</v>
          </cell>
          <cell r="AH77">
            <v>3241</v>
          </cell>
          <cell r="AI77">
            <v>3169</v>
          </cell>
          <cell r="AJ77">
            <v>2993</v>
          </cell>
          <cell r="AK77">
            <v>3027</v>
          </cell>
          <cell r="AL77">
            <v>2888</v>
          </cell>
          <cell r="AM77">
            <v>2843</v>
          </cell>
          <cell r="AN77">
            <v>2684</v>
          </cell>
          <cell r="AO77">
            <v>2753</v>
          </cell>
        </row>
        <row r="78">
          <cell r="H78">
            <v>138</v>
          </cell>
          <cell r="I78">
            <v>153</v>
          </cell>
          <cell r="J78">
            <v>152</v>
          </cell>
          <cell r="K78">
            <v>154</v>
          </cell>
          <cell r="L78">
            <v>147</v>
          </cell>
          <cell r="M78">
            <v>160</v>
          </cell>
          <cell r="N78">
            <v>159</v>
          </cell>
          <cell r="O78">
            <v>158</v>
          </cell>
          <cell r="P78">
            <v>163</v>
          </cell>
          <cell r="Q78">
            <v>174</v>
          </cell>
          <cell r="R78">
            <v>167</v>
          </cell>
          <cell r="S78">
            <v>167</v>
          </cell>
          <cell r="T78">
            <v>165</v>
          </cell>
          <cell r="U78">
            <v>166</v>
          </cell>
          <cell r="V78">
            <v>159</v>
          </cell>
          <cell r="W78">
            <v>160</v>
          </cell>
          <cell r="X78">
            <v>144</v>
          </cell>
          <cell r="Y78">
            <v>156</v>
          </cell>
          <cell r="Z78">
            <v>162</v>
          </cell>
          <cell r="AA78">
            <v>155</v>
          </cell>
          <cell r="AB78">
            <v>146</v>
          </cell>
          <cell r="AC78">
            <v>156</v>
          </cell>
          <cell r="AD78">
            <v>157</v>
          </cell>
          <cell r="AE78">
            <v>130</v>
          </cell>
          <cell r="AF78">
            <v>179</v>
          </cell>
          <cell r="AG78">
            <v>199</v>
          </cell>
          <cell r="AH78">
            <v>189</v>
          </cell>
          <cell r="AI78">
            <v>185</v>
          </cell>
          <cell r="AJ78">
            <v>173</v>
          </cell>
          <cell r="AK78">
            <v>187</v>
          </cell>
          <cell r="AL78">
            <v>183</v>
          </cell>
          <cell r="AM78">
            <v>180</v>
          </cell>
          <cell r="AN78">
            <v>171</v>
          </cell>
          <cell r="AO78">
            <v>183</v>
          </cell>
        </row>
        <row r="79">
          <cell r="H79">
            <v>2455</v>
          </cell>
          <cell r="I79">
            <v>2639</v>
          </cell>
          <cell r="J79">
            <v>2630</v>
          </cell>
          <cell r="K79">
            <v>2645</v>
          </cell>
          <cell r="L79">
            <v>2608</v>
          </cell>
          <cell r="M79">
            <v>2788</v>
          </cell>
          <cell r="N79">
            <v>2786</v>
          </cell>
          <cell r="O79">
            <v>2758</v>
          </cell>
          <cell r="P79">
            <v>2677</v>
          </cell>
          <cell r="Q79">
            <v>2791</v>
          </cell>
          <cell r="R79">
            <v>2782</v>
          </cell>
          <cell r="S79">
            <v>2782</v>
          </cell>
          <cell r="T79">
            <v>2647</v>
          </cell>
          <cell r="U79">
            <v>2808</v>
          </cell>
          <cell r="V79">
            <v>2787</v>
          </cell>
          <cell r="W79">
            <v>2727</v>
          </cell>
          <cell r="X79">
            <v>2679</v>
          </cell>
          <cell r="Y79">
            <v>2789</v>
          </cell>
          <cell r="Z79">
            <v>2812</v>
          </cell>
          <cell r="AA79">
            <v>2684</v>
          </cell>
          <cell r="AB79">
            <v>2658</v>
          </cell>
          <cell r="AC79">
            <v>2789</v>
          </cell>
          <cell r="AD79">
            <v>2703</v>
          </cell>
          <cell r="AE79">
            <v>2248</v>
          </cell>
          <cell r="AF79">
            <v>2905</v>
          </cell>
          <cell r="AG79">
            <v>3135</v>
          </cell>
          <cell r="AH79">
            <v>3052</v>
          </cell>
          <cell r="AI79">
            <v>2983</v>
          </cell>
          <cell r="AJ79">
            <v>2820</v>
          </cell>
          <cell r="AK79">
            <v>2839</v>
          </cell>
          <cell r="AL79">
            <v>2705</v>
          </cell>
          <cell r="AM79">
            <v>2664</v>
          </cell>
          <cell r="AN79">
            <v>2514</v>
          </cell>
          <cell r="AO79">
            <v>2570</v>
          </cell>
        </row>
        <row r="80">
          <cell r="D80" t="str">
            <v>INTL_CARDS</v>
          </cell>
          <cell r="H80">
            <v>2678</v>
          </cell>
          <cell r="I80">
            <v>2661</v>
          </cell>
          <cell r="J80">
            <v>2593</v>
          </cell>
          <cell r="K80">
            <v>2538</v>
          </cell>
          <cell r="L80">
            <v>2489</v>
          </cell>
          <cell r="M80">
            <v>2454</v>
          </cell>
          <cell r="N80">
            <v>2399</v>
          </cell>
          <cell r="O80">
            <v>2365</v>
          </cell>
          <cell r="P80">
            <v>2322</v>
          </cell>
          <cell r="Q80">
            <v>2280</v>
          </cell>
          <cell r="R80">
            <v>2228</v>
          </cell>
          <cell r="S80">
            <v>2166</v>
          </cell>
          <cell r="T80">
            <v>2125</v>
          </cell>
          <cell r="U80">
            <v>2093</v>
          </cell>
          <cell r="V80">
            <v>2044</v>
          </cell>
          <cell r="W80">
            <v>1985</v>
          </cell>
          <cell r="X80">
            <v>1936</v>
          </cell>
          <cell r="Y80">
            <v>2015</v>
          </cell>
          <cell r="Z80">
            <v>1946</v>
          </cell>
          <cell r="AA80">
            <v>1898</v>
          </cell>
          <cell r="AB80">
            <v>1874</v>
          </cell>
          <cell r="AC80">
            <v>1820</v>
          </cell>
          <cell r="AD80">
            <v>1778</v>
          </cell>
          <cell r="AE80">
            <v>1752</v>
          </cell>
          <cell r="AF80">
            <v>1733</v>
          </cell>
          <cell r="AG80">
            <v>1701</v>
          </cell>
          <cell r="AH80">
            <v>1672</v>
          </cell>
          <cell r="AI80">
            <v>1636</v>
          </cell>
          <cell r="AJ80">
            <v>1613</v>
          </cell>
          <cell r="AK80">
            <v>1576</v>
          </cell>
          <cell r="AL80">
            <v>1518</v>
          </cell>
          <cell r="AM80">
            <v>1484</v>
          </cell>
          <cell r="AN80">
            <v>1436</v>
          </cell>
          <cell r="AO80">
            <v>1415</v>
          </cell>
        </row>
        <row r="81">
          <cell r="D81" t="str">
            <v>INTL_CREDIT_CARDS</v>
          </cell>
          <cell r="H81">
            <v>839</v>
          </cell>
          <cell r="I81">
            <v>839</v>
          </cell>
          <cell r="J81">
            <v>832</v>
          </cell>
          <cell r="K81">
            <v>826</v>
          </cell>
          <cell r="L81">
            <v>819</v>
          </cell>
          <cell r="M81">
            <v>823</v>
          </cell>
          <cell r="N81">
            <v>812</v>
          </cell>
          <cell r="O81">
            <v>810</v>
          </cell>
          <cell r="P81">
            <v>802</v>
          </cell>
          <cell r="Q81">
            <v>792</v>
          </cell>
          <cell r="R81">
            <v>785</v>
          </cell>
          <cell r="S81">
            <v>777</v>
          </cell>
          <cell r="T81">
            <v>767</v>
          </cell>
          <cell r="U81">
            <v>768</v>
          </cell>
          <cell r="V81">
            <v>761</v>
          </cell>
          <cell r="W81">
            <v>751</v>
          </cell>
          <cell r="X81">
            <v>746</v>
          </cell>
          <cell r="Y81">
            <v>770</v>
          </cell>
          <cell r="Z81">
            <v>746</v>
          </cell>
          <cell r="AA81">
            <v>728</v>
          </cell>
          <cell r="AB81">
            <v>725</v>
          </cell>
          <cell r="AC81">
            <v>713</v>
          </cell>
          <cell r="AD81">
            <v>704</v>
          </cell>
          <cell r="AE81">
            <v>701</v>
          </cell>
          <cell r="AF81">
            <v>705</v>
          </cell>
          <cell r="AG81">
            <v>700</v>
          </cell>
          <cell r="AH81">
            <v>682</v>
          </cell>
          <cell r="AI81">
            <v>664</v>
          </cell>
          <cell r="AJ81">
            <v>654</v>
          </cell>
          <cell r="AK81">
            <v>642</v>
          </cell>
          <cell r="AL81">
            <v>631</v>
          </cell>
          <cell r="AM81">
            <v>618</v>
          </cell>
          <cell r="AN81">
            <v>607</v>
          </cell>
          <cell r="AO81">
            <v>601</v>
          </cell>
        </row>
        <row r="82">
          <cell r="D82" t="str">
            <v>INTL_DEBIT_CARDS</v>
          </cell>
          <cell r="H82">
            <v>1838</v>
          </cell>
          <cell r="I82">
            <v>1821</v>
          </cell>
          <cell r="J82">
            <v>1761</v>
          </cell>
          <cell r="K82">
            <v>1712</v>
          </cell>
          <cell r="L82">
            <v>1670</v>
          </cell>
          <cell r="M82">
            <v>1631</v>
          </cell>
          <cell r="N82">
            <v>1588</v>
          </cell>
          <cell r="O82">
            <v>1555</v>
          </cell>
          <cell r="P82">
            <v>1520</v>
          </cell>
          <cell r="Q82">
            <v>1489</v>
          </cell>
          <cell r="R82">
            <v>1443</v>
          </cell>
          <cell r="S82">
            <v>1389</v>
          </cell>
          <cell r="T82">
            <v>1358</v>
          </cell>
          <cell r="U82">
            <v>1325</v>
          </cell>
          <cell r="V82">
            <v>1284</v>
          </cell>
          <cell r="W82">
            <v>1233</v>
          </cell>
          <cell r="X82">
            <v>1190</v>
          </cell>
          <cell r="Y82">
            <v>1246</v>
          </cell>
          <cell r="Z82">
            <v>1201</v>
          </cell>
          <cell r="AA82">
            <v>1170</v>
          </cell>
          <cell r="AB82">
            <v>1149</v>
          </cell>
          <cell r="AC82">
            <v>1108</v>
          </cell>
          <cell r="AD82">
            <v>1074</v>
          </cell>
          <cell r="AE82">
            <v>1051</v>
          </cell>
          <cell r="AF82">
            <v>1028</v>
          </cell>
          <cell r="AG82">
            <v>1001</v>
          </cell>
          <cell r="AH82">
            <v>991</v>
          </cell>
          <cell r="AI82">
            <v>972</v>
          </cell>
          <cell r="AJ82">
            <v>959</v>
          </cell>
          <cell r="AK82">
            <v>933</v>
          </cell>
          <cell r="AL82">
            <v>887</v>
          </cell>
          <cell r="AM82">
            <v>867</v>
          </cell>
          <cell r="AN82">
            <v>830</v>
          </cell>
          <cell r="AO82">
            <v>801</v>
          </cell>
        </row>
        <row r="83"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/>
          <cell r="S83"/>
          <cell r="T83"/>
          <cell r="U83"/>
          <cell r="V83"/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</row>
        <row r="84">
          <cell r="H84">
            <v>943000</v>
          </cell>
          <cell r="I84">
            <v>1006000</v>
          </cell>
          <cell r="J84">
            <v>996000</v>
          </cell>
          <cell r="K84">
            <v>933000</v>
          </cell>
          <cell r="L84">
            <v>805000</v>
          </cell>
          <cell r="M84">
            <v>870000</v>
          </cell>
          <cell r="N84">
            <v>867000</v>
          </cell>
          <cell r="O84">
            <v>799000</v>
          </cell>
          <cell r="P84">
            <v>740000</v>
          </cell>
          <cell r="Q84">
            <v>761000</v>
          </cell>
          <cell r="R84">
            <v>758000</v>
          </cell>
          <cell r="S84">
            <v>731000</v>
          </cell>
          <cell r="T84">
            <v>652000</v>
          </cell>
          <cell r="U84">
            <v>648000</v>
          </cell>
          <cell r="V84">
            <v>620000</v>
          </cell>
          <cell r="W84">
            <v>606000</v>
          </cell>
          <cell r="X84">
            <v>559000</v>
          </cell>
          <cell r="Y84">
            <v>683000</v>
          </cell>
          <cell r="Z84">
            <v>661000</v>
          </cell>
          <cell r="AA84">
            <v>594000</v>
          </cell>
          <cell r="AB84">
            <v>503000</v>
          </cell>
          <cell r="AC84">
            <v>533000</v>
          </cell>
          <cell r="AD84">
            <v>519000</v>
          </cell>
          <cell r="AE84">
            <v>397000</v>
          </cell>
          <cell r="AF84">
            <v>467000</v>
          </cell>
          <cell r="AG84">
            <v>530000</v>
          </cell>
          <cell r="AH84">
            <v>508000</v>
          </cell>
          <cell r="AI84">
            <v>479000</v>
          </cell>
          <cell r="AJ84">
            <v>429000</v>
          </cell>
          <cell r="AK84">
            <v>458000</v>
          </cell>
          <cell r="AL84">
            <v>437000</v>
          </cell>
          <cell r="AM84">
            <v>433000</v>
          </cell>
          <cell r="AN84">
            <v>407000</v>
          </cell>
          <cell r="AO84">
            <v>413000</v>
          </cell>
        </row>
        <row r="85">
          <cell r="H85">
            <v>9.1999999999999993</v>
          </cell>
          <cell r="I85">
            <v>10</v>
          </cell>
          <cell r="J85">
            <v>11.4</v>
          </cell>
          <cell r="K85">
            <v>13.3</v>
          </cell>
          <cell r="L85">
            <v>13</v>
          </cell>
          <cell r="M85">
            <v>16.3</v>
          </cell>
          <cell r="N85">
            <v>15.1</v>
          </cell>
          <cell r="O85">
            <v>9.1</v>
          </cell>
          <cell r="P85">
            <v>10.3</v>
          </cell>
          <cell r="Q85">
            <v>15.8</v>
          </cell>
          <cell r="R85">
            <v>18.399999999999999</v>
          </cell>
          <cell r="S85">
            <v>14.3</v>
          </cell>
          <cell r="T85">
            <v>9.6</v>
          </cell>
          <cell r="U85">
            <v>5.6</v>
          </cell>
          <cell r="V85">
            <v>7.5</v>
          </cell>
          <cell r="W85">
            <v>-9.1999999999999993</v>
          </cell>
          <cell r="X85">
            <v>4.9000000000000004</v>
          </cell>
          <cell r="Y85">
            <v>32.1</v>
          </cell>
          <cell r="Z85">
            <v>26.9</v>
          </cell>
          <cell r="AA85">
            <v>42.2</v>
          </cell>
          <cell r="AB85">
            <v>-0.7</v>
          </cell>
          <cell r="AC85">
            <v>1.3</v>
          </cell>
          <cell r="AD85">
            <v>2.8</v>
          </cell>
          <cell r="AE85">
            <v>-12.7</v>
          </cell>
          <cell r="AF85">
            <v>12.3</v>
          </cell>
          <cell r="AG85">
            <v>16.899999999999999</v>
          </cell>
          <cell r="AH85">
            <v>19.8</v>
          </cell>
          <cell r="AI85">
            <v>18.600000000000001</v>
          </cell>
          <cell r="AJ85">
            <v>17.5</v>
          </cell>
          <cell r="AK85">
            <v>19.7</v>
          </cell>
          <cell r="AL85">
            <v>18.2</v>
          </cell>
          <cell r="AM85">
            <v>19.2</v>
          </cell>
          <cell r="AN85">
            <v>18.600000000000001</v>
          </cell>
          <cell r="AO85">
            <v>16</v>
          </cell>
        </row>
        <row r="86">
          <cell r="H86">
            <v>68000</v>
          </cell>
          <cell r="I86">
            <v>74000</v>
          </cell>
          <cell r="J86">
            <v>71000</v>
          </cell>
          <cell r="K86">
            <v>70000</v>
          </cell>
          <cell r="L86">
            <v>60000</v>
          </cell>
          <cell r="M86">
            <v>70000</v>
          </cell>
          <cell r="N86">
            <v>68000</v>
          </cell>
          <cell r="O86">
            <v>68000</v>
          </cell>
          <cell r="P86">
            <v>63000</v>
          </cell>
          <cell r="Q86">
            <v>68000</v>
          </cell>
          <cell r="R86">
            <v>66000</v>
          </cell>
          <cell r="S86">
            <v>66000</v>
          </cell>
          <cell r="T86">
            <v>57000</v>
          </cell>
          <cell r="U86">
            <v>63000</v>
          </cell>
          <cell r="V86">
            <v>63000</v>
          </cell>
          <cell r="W86">
            <v>64000</v>
          </cell>
          <cell r="X86">
            <v>53000</v>
          </cell>
          <cell r="Y86">
            <v>61000</v>
          </cell>
          <cell r="Z86">
            <v>56000</v>
          </cell>
          <cell r="AA86">
            <v>54000</v>
          </cell>
          <cell r="AB86">
            <v>44000</v>
          </cell>
          <cell r="AC86">
            <v>49000</v>
          </cell>
          <cell r="AD86">
            <v>45000</v>
          </cell>
          <cell r="AE86">
            <v>39000</v>
          </cell>
          <cell r="AF86">
            <v>40000</v>
          </cell>
          <cell r="AG86">
            <v>49000</v>
          </cell>
          <cell r="AH86">
            <v>47000</v>
          </cell>
          <cell r="AI86">
            <v>46000</v>
          </cell>
          <cell r="AJ86">
            <v>39000</v>
          </cell>
          <cell r="AK86">
            <v>46000</v>
          </cell>
          <cell r="AL86">
            <v>44000</v>
          </cell>
          <cell r="AM86">
            <v>44000</v>
          </cell>
          <cell r="AN86">
            <v>39000</v>
          </cell>
          <cell r="AO86">
            <v>43000</v>
          </cell>
        </row>
        <row r="87">
          <cell r="H87">
            <v>7.5</v>
          </cell>
          <cell r="I87">
            <v>5.8</v>
          </cell>
          <cell r="J87">
            <v>6.3</v>
          </cell>
          <cell r="K87">
            <v>5</v>
          </cell>
          <cell r="L87">
            <v>4.3</v>
          </cell>
          <cell r="M87">
            <v>12.8</v>
          </cell>
          <cell r="N87">
            <v>5.2</v>
          </cell>
          <cell r="O87">
            <v>16.399999999999999</v>
          </cell>
          <cell r="P87">
            <v>19.899999999999999</v>
          </cell>
          <cell r="Q87">
            <v>8.1999999999999993</v>
          </cell>
          <cell r="R87">
            <v>7.4</v>
          </cell>
          <cell r="S87">
            <v>14.9</v>
          </cell>
          <cell r="T87">
            <v>34.299999999999997</v>
          </cell>
          <cell r="U87">
            <v>12.7</v>
          </cell>
          <cell r="V87">
            <v>17.8</v>
          </cell>
          <cell r="W87">
            <v>11.2</v>
          </cell>
          <cell r="X87">
            <v>-9.5</v>
          </cell>
          <cell r="Y87">
            <v>19.100000000000001</v>
          </cell>
          <cell r="Z87">
            <v>16.600000000000001</v>
          </cell>
          <cell r="AA87">
            <v>23.5</v>
          </cell>
          <cell r="AB87">
            <v>-13.6</v>
          </cell>
          <cell r="AC87">
            <v>-0.6</v>
          </cell>
          <cell r="AD87">
            <v>-2.9</v>
          </cell>
          <cell r="AE87">
            <v>-12.5</v>
          </cell>
          <cell r="AF87">
            <v>4.0999999999999996</v>
          </cell>
          <cell r="AG87">
            <v>5.2</v>
          </cell>
          <cell r="AH87">
            <v>8.8000000000000007</v>
          </cell>
          <cell r="AI87">
            <v>7.7</v>
          </cell>
          <cell r="AJ87">
            <v>5.8</v>
          </cell>
          <cell r="AK87">
            <v>11.6</v>
          </cell>
          <cell r="AL87">
            <v>10.3</v>
          </cell>
          <cell r="AM87">
            <v>9.1</v>
          </cell>
          <cell r="AN87">
            <v>9.4</v>
          </cell>
          <cell r="AO87">
            <v>9.6</v>
          </cell>
        </row>
        <row r="88">
          <cell r="H88">
            <v>252000</v>
          </cell>
          <cell r="I88">
            <v>257000</v>
          </cell>
          <cell r="J88">
            <v>229000</v>
          </cell>
          <cell r="K88">
            <v>215000</v>
          </cell>
          <cell r="L88">
            <v>202000</v>
          </cell>
          <cell r="M88">
            <v>212000</v>
          </cell>
          <cell r="N88">
            <v>202000</v>
          </cell>
          <cell r="O88">
            <v>201000</v>
          </cell>
          <cell r="P88">
            <v>205000</v>
          </cell>
          <cell r="Q88">
            <v>208000</v>
          </cell>
          <cell r="R88">
            <v>192000</v>
          </cell>
          <cell r="S88">
            <v>181000</v>
          </cell>
          <cell r="T88">
            <v>166000</v>
          </cell>
          <cell r="U88">
            <v>169000</v>
          </cell>
          <cell r="V88">
            <v>153000</v>
          </cell>
          <cell r="W88">
            <v>151000</v>
          </cell>
          <cell r="X88">
            <v>137000</v>
          </cell>
          <cell r="Y88">
            <v>138000</v>
          </cell>
          <cell r="Z88">
            <v>123000</v>
          </cell>
          <cell r="AA88">
            <v>112000</v>
          </cell>
          <cell r="AB88">
            <v>103000</v>
          </cell>
          <cell r="AC88">
            <v>108000</v>
          </cell>
          <cell r="AD88">
            <v>88000</v>
          </cell>
          <cell r="AE88">
            <v>73000</v>
          </cell>
          <cell r="AF88">
            <v>107000</v>
          </cell>
          <cell r="AG88">
            <v>123000</v>
          </cell>
          <cell r="AH88">
            <v>114000</v>
          </cell>
          <cell r="AI88">
            <v>110000</v>
          </cell>
          <cell r="AJ88">
            <v>105000</v>
          </cell>
          <cell r="AK88">
            <v>111000</v>
          </cell>
          <cell r="AL88">
            <v>99000</v>
          </cell>
          <cell r="AM88">
            <v>100000</v>
          </cell>
          <cell r="AN88">
            <v>102000</v>
          </cell>
          <cell r="AO88">
            <v>106000</v>
          </cell>
        </row>
        <row r="89">
          <cell r="H89">
            <v>645000</v>
          </cell>
          <cell r="I89">
            <v>657000</v>
          </cell>
          <cell r="J89">
            <v>632000</v>
          </cell>
          <cell r="K89">
            <v>599000</v>
          </cell>
          <cell r="L89">
            <v>587000</v>
          </cell>
          <cell r="M89">
            <v>615000</v>
          </cell>
          <cell r="N89">
            <v>597000</v>
          </cell>
          <cell r="O89">
            <v>571000</v>
          </cell>
          <cell r="P89">
            <v>570000</v>
          </cell>
          <cell r="Q89">
            <v>587000</v>
          </cell>
          <cell r="R89">
            <v>569000</v>
          </cell>
          <cell r="S89">
            <v>572000</v>
          </cell>
          <cell r="T89">
            <v>559000</v>
          </cell>
          <cell r="U89">
            <v>554000</v>
          </cell>
          <cell r="V89">
            <v>550000</v>
          </cell>
          <cell r="W89">
            <v>554000</v>
          </cell>
          <cell r="X89">
            <v>550000</v>
          </cell>
          <cell r="Y89">
            <v>579000</v>
          </cell>
          <cell r="Z89">
            <v>535000</v>
          </cell>
          <cell r="AA89">
            <v>528000</v>
          </cell>
          <cell r="AB89">
            <v>518000</v>
          </cell>
          <cell r="AC89">
            <v>528000</v>
          </cell>
          <cell r="AD89">
            <v>481000</v>
          </cell>
          <cell r="AE89">
            <v>405000</v>
          </cell>
          <cell r="AF89">
            <v>472000</v>
          </cell>
          <cell r="AG89">
            <v>518000</v>
          </cell>
          <cell r="AH89">
            <v>490000</v>
          </cell>
          <cell r="AI89">
            <v>481000</v>
          </cell>
          <cell r="AJ89">
            <v>460000</v>
          </cell>
          <cell r="AK89">
            <v>468000</v>
          </cell>
          <cell r="AL89">
            <v>447000</v>
          </cell>
          <cell r="AM89">
            <v>455000</v>
          </cell>
          <cell r="AN89">
            <v>448000</v>
          </cell>
          <cell r="AO89">
            <v>431000</v>
          </cell>
        </row>
        <row r="91">
          <cell r="D91" t="str">
            <v>OPEX</v>
          </cell>
          <cell r="H91">
            <v>3491</v>
          </cell>
          <cell r="I91">
            <v>3896</v>
          </cell>
          <cell r="J91">
            <v>3541</v>
          </cell>
          <cell r="K91">
            <v>3356</v>
          </cell>
          <cell r="L91">
            <v>3101</v>
          </cell>
          <cell r="M91">
            <v>3551</v>
          </cell>
          <cell r="N91">
            <v>3365</v>
          </cell>
          <cell r="O91">
            <v>2925</v>
          </cell>
          <cell r="P91">
            <v>2744</v>
          </cell>
          <cell r="Q91">
            <v>3176</v>
          </cell>
          <cell r="R91">
            <v>2689</v>
          </cell>
          <cell r="S91">
            <v>2613</v>
          </cell>
          <cell r="T91">
            <v>2612</v>
          </cell>
          <cell r="U91">
            <v>2633</v>
          </cell>
          <cell r="V91">
            <v>2644</v>
          </cell>
          <cell r="W91">
            <v>2479</v>
          </cell>
          <cell r="X91">
            <v>2217</v>
          </cell>
          <cell r="Y91">
            <v>2389</v>
          </cell>
          <cell r="Z91">
            <v>2268</v>
          </cell>
          <cell r="AA91">
            <v>2187</v>
          </cell>
          <cell r="AB91">
            <v>1958</v>
          </cell>
          <cell r="AC91">
            <v>2062</v>
          </cell>
          <cell r="AD91">
            <v>1732</v>
          </cell>
          <cell r="AE91">
            <v>1628</v>
          </cell>
          <cell r="AF91">
            <v>1798</v>
          </cell>
          <cell r="AG91">
            <v>2015</v>
          </cell>
          <cell r="AH91">
            <v>1812</v>
          </cell>
          <cell r="AI91">
            <v>1716</v>
          </cell>
          <cell r="AJ91">
            <v>1676</v>
          </cell>
          <cell r="AK91">
            <v>2573</v>
          </cell>
          <cell r="AL91">
            <v>1611</v>
          </cell>
          <cell r="AM91">
            <v>1729</v>
          </cell>
          <cell r="AN91">
            <v>1755</v>
          </cell>
          <cell r="AO91">
            <v>1790</v>
          </cell>
        </row>
        <row r="92">
          <cell r="D92" t="str">
            <v>G&amp;A</v>
          </cell>
          <cell r="H92">
            <v>3039</v>
          </cell>
          <cell r="I92">
            <v>3106</v>
          </cell>
          <cell r="J92">
            <v>2923</v>
          </cell>
          <cell r="K92">
            <v>2766</v>
          </cell>
          <cell r="L92">
            <v>2523</v>
          </cell>
          <cell r="M92">
            <v>2745</v>
          </cell>
          <cell r="N92">
            <v>2744</v>
          </cell>
          <cell r="O92">
            <v>2418</v>
          </cell>
          <cell r="P92">
            <v>2286</v>
          </cell>
          <cell r="Q92">
            <v>2399</v>
          </cell>
          <cell r="R92">
            <v>2285</v>
          </cell>
          <cell r="S92">
            <v>2200</v>
          </cell>
          <cell r="T92">
            <v>2043</v>
          </cell>
          <cell r="U92">
            <v>2218</v>
          </cell>
          <cell r="V92">
            <v>2069</v>
          </cell>
          <cell r="W92">
            <v>1947</v>
          </cell>
          <cell r="X92">
            <v>1844</v>
          </cell>
          <cell r="Y92">
            <v>1862</v>
          </cell>
          <cell r="Z92">
            <v>1831</v>
          </cell>
          <cell r="AA92">
            <v>1718</v>
          </cell>
          <cell r="AB92">
            <v>1676</v>
          </cell>
          <cell r="AC92">
            <v>1625</v>
          </cell>
          <cell r="AD92">
            <v>1423</v>
          </cell>
          <cell r="AE92">
            <v>1368</v>
          </cell>
          <cell r="AF92">
            <v>1494</v>
          </cell>
          <cell r="AG92">
            <v>1579</v>
          </cell>
          <cell r="AH92">
            <v>1448</v>
          </cell>
          <cell r="AI92">
            <v>1369</v>
          </cell>
          <cell r="AJ92">
            <v>1367</v>
          </cell>
          <cell r="AK92">
            <v>1401</v>
          </cell>
          <cell r="AL92">
            <v>1268</v>
          </cell>
          <cell r="AM92">
            <v>1184</v>
          </cell>
          <cell r="AN92">
            <v>1321</v>
          </cell>
          <cell r="AO92">
            <v>1421</v>
          </cell>
        </row>
        <row r="93">
          <cell r="D93" t="str">
            <v>MARKETING</v>
          </cell>
          <cell r="H93">
            <v>153</v>
          </cell>
          <cell r="I93">
            <v>319</v>
          </cell>
          <cell r="J93">
            <v>245</v>
          </cell>
          <cell r="K93">
            <v>213</v>
          </cell>
          <cell r="L93">
            <v>152</v>
          </cell>
          <cell r="M93">
            <v>295</v>
          </cell>
          <cell r="N93">
            <v>220</v>
          </cell>
          <cell r="O93">
            <v>184</v>
          </cell>
          <cell r="P93">
            <v>116</v>
          </cell>
          <cell r="Q93">
            <v>264</v>
          </cell>
          <cell r="R93">
            <v>193</v>
          </cell>
          <cell r="S93">
            <v>201</v>
          </cell>
          <cell r="T93">
            <v>167</v>
          </cell>
          <cell r="U93">
            <v>216</v>
          </cell>
          <cell r="V93">
            <v>182</v>
          </cell>
          <cell r="W93">
            <v>210</v>
          </cell>
          <cell r="X93">
            <v>181</v>
          </cell>
          <cell r="Y93">
            <v>338</v>
          </cell>
          <cell r="Z93">
            <v>222</v>
          </cell>
          <cell r="AA93">
            <v>216</v>
          </cell>
          <cell r="AB93">
            <v>119</v>
          </cell>
          <cell r="AC93">
            <v>242</v>
          </cell>
          <cell r="AD93">
            <v>168</v>
          </cell>
          <cell r="AE93">
            <v>93</v>
          </cell>
          <cell r="AF93">
            <v>154</v>
          </cell>
          <cell r="AG93">
            <v>290</v>
          </cell>
          <cell r="AH93">
            <v>227</v>
          </cell>
          <cell r="AI93">
            <v>225</v>
          </cell>
          <cell r="AJ93">
            <v>192</v>
          </cell>
          <cell r="AK93">
            <v>302</v>
          </cell>
          <cell r="AL93">
            <v>203</v>
          </cell>
          <cell r="AM93">
            <v>205</v>
          </cell>
          <cell r="AN93">
            <v>197</v>
          </cell>
          <cell r="AO93">
            <v>254</v>
          </cell>
        </row>
        <row r="94">
          <cell r="D94" t="str">
            <v>D&amp;A</v>
          </cell>
          <cell r="H94">
            <v>299</v>
          </cell>
          <cell r="I94">
            <v>297</v>
          </cell>
          <cell r="J94">
            <v>290</v>
          </cell>
          <cell r="K94">
            <v>281</v>
          </cell>
          <cell r="L94">
            <v>275</v>
          </cell>
          <cell r="M94">
            <v>231</v>
          </cell>
          <cell r="N94">
            <v>225</v>
          </cell>
          <cell r="O94">
            <v>225</v>
          </cell>
          <cell r="P94">
            <v>216</v>
          </cell>
          <cell r="Q94">
            <v>205</v>
          </cell>
          <cell r="R94">
            <v>211</v>
          </cell>
          <cell r="S94">
            <v>192</v>
          </cell>
          <cell r="T94">
            <v>191</v>
          </cell>
          <cell r="U94">
            <v>184</v>
          </cell>
          <cell r="V94">
            <v>185</v>
          </cell>
          <cell r="W94">
            <v>189</v>
          </cell>
          <cell r="X94">
            <v>192</v>
          </cell>
          <cell r="Y94">
            <v>189</v>
          </cell>
          <cell r="Z94">
            <v>188</v>
          </cell>
          <cell r="AA94">
            <v>186</v>
          </cell>
          <cell r="AB94">
            <v>163</v>
          </cell>
          <cell r="AC94">
            <v>150</v>
          </cell>
          <cell r="AD94">
            <v>141</v>
          </cell>
          <cell r="AE94">
            <v>145</v>
          </cell>
          <cell r="AF94">
            <v>144</v>
          </cell>
          <cell r="AG94">
            <v>146</v>
          </cell>
          <cell r="AH94">
            <v>137</v>
          </cell>
          <cell r="AI94">
            <v>122</v>
          </cell>
          <cell r="AJ94">
            <v>117</v>
          </cell>
          <cell r="AK94">
            <v>113</v>
          </cell>
          <cell r="AL94">
            <v>111</v>
          </cell>
          <cell r="AM94">
            <v>115</v>
          </cell>
          <cell r="AN94">
            <v>120</v>
          </cell>
          <cell r="AO94">
            <v>116</v>
          </cell>
        </row>
        <row r="95">
          <cell r="D95" t="str">
            <v>PROV_LIT</v>
          </cell>
          <cell r="H95">
            <v>202</v>
          </cell>
          <cell r="I95">
            <v>174</v>
          </cell>
          <cell r="J95">
            <v>83</v>
          </cell>
          <cell r="K95">
            <v>96</v>
          </cell>
          <cell r="L95">
            <v>151</v>
          </cell>
          <cell r="M95">
            <v>280</v>
          </cell>
          <cell r="N95">
            <v>176</v>
          </cell>
          <cell r="O95">
            <v>98</v>
          </cell>
          <cell r="P95">
            <v>126</v>
          </cell>
          <cell r="Q95">
            <v>308</v>
          </cell>
          <cell r="R95" t="e">
            <v>#N/A</v>
          </cell>
          <cell r="S95">
            <v>20</v>
          </cell>
          <cell r="T95">
            <v>211</v>
          </cell>
          <cell r="U95">
            <v>15</v>
          </cell>
          <cell r="V95">
            <v>208</v>
          </cell>
          <cell r="W95">
            <v>133</v>
          </cell>
          <cell r="X95" t="e">
            <v>#N/A</v>
          </cell>
          <cell r="Y95" t="e">
            <v>#N/A</v>
          </cell>
          <cell r="Z95">
            <v>27</v>
          </cell>
          <cell r="AA95">
            <v>67</v>
          </cell>
          <cell r="AB95" t="e">
            <v>#N/A</v>
          </cell>
          <cell r="AC95">
            <v>45</v>
          </cell>
          <cell r="AD95" t="e">
            <v>#N/A</v>
          </cell>
          <cell r="AE95">
            <v>22</v>
          </cell>
          <cell r="AF95">
            <v>6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>
            <v>757</v>
          </cell>
          <cell r="AL95">
            <v>29</v>
          </cell>
          <cell r="AM95">
            <v>225</v>
          </cell>
          <cell r="AN95">
            <v>117</v>
          </cell>
          <cell r="AO95" t="e">
            <v>#N/A</v>
          </cell>
        </row>
        <row r="96">
          <cell r="H96">
            <v>4907</v>
          </cell>
          <cell r="I96">
            <v>4910</v>
          </cell>
          <cell r="J96">
            <v>5061</v>
          </cell>
          <cell r="K96">
            <v>4777</v>
          </cell>
          <cell r="L96">
            <v>4149</v>
          </cell>
          <cell r="M96">
            <v>3938</v>
          </cell>
          <cell r="N96">
            <v>4004</v>
          </cell>
          <cell r="O96">
            <v>4036</v>
          </cell>
          <cell r="P96">
            <v>3604</v>
          </cell>
          <cell r="Q96">
            <v>3372</v>
          </cell>
          <cell r="R96">
            <v>3844</v>
          </cell>
          <cell r="S96">
            <v>3656</v>
          </cell>
          <cell r="T96">
            <v>3136</v>
          </cell>
          <cell r="U96">
            <v>3184</v>
          </cell>
          <cell r="V96">
            <v>3112</v>
          </cell>
          <cell r="W96">
            <v>3018</v>
          </cell>
          <cell r="X96">
            <v>2950</v>
          </cell>
          <cell r="Y96">
            <v>2827</v>
          </cell>
          <cell r="Z96">
            <v>2717</v>
          </cell>
          <cell r="AA96">
            <v>2341</v>
          </cell>
          <cell r="AB96">
            <v>2197</v>
          </cell>
          <cell r="AC96">
            <v>2058</v>
          </cell>
          <cell r="AD96">
            <v>2105</v>
          </cell>
          <cell r="AE96">
            <v>1707</v>
          </cell>
          <cell r="AF96">
            <v>2211</v>
          </cell>
          <cell r="AG96">
            <v>2399</v>
          </cell>
          <cell r="AH96">
            <v>2655</v>
          </cell>
          <cell r="AI96">
            <v>2397</v>
          </cell>
          <cell r="AJ96">
            <v>2213</v>
          </cell>
          <cell r="AK96">
            <v>1200</v>
          </cell>
          <cell r="AL96">
            <v>2287</v>
          </cell>
          <cell r="AM96">
            <v>1936</v>
          </cell>
          <cell r="AN96">
            <v>1825</v>
          </cell>
          <cell r="AO96">
            <v>1500</v>
          </cell>
        </row>
        <row r="97">
          <cell r="H97">
            <v>104</v>
          </cell>
          <cell r="I97">
            <v>73</v>
          </cell>
          <cell r="J97">
            <v>105</v>
          </cell>
          <cell r="K97">
            <v>125</v>
          </cell>
          <cell r="L97">
            <v>94</v>
          </cell>
          <cell r="M97">
            <v>88</v>
          </cell>
          <cell r="N97">
            <v>83</v>
          </cell>
          <cell r="O97">
            <v>93</v>
          </cell>
          <cell r="P97">
            <v>55</v>
          </cell>
          <cell r="Q97">
            <v>59</v>
          </cell>
          <cell r="R97">
            <v>80</v>
          </cell>
          <cell r="S97">
            <v>85</v>
          </cell>
          <cell r="T97">
            <v>77</v>
          </cell>
          <cell r="U97">
            <v>94</v>
          </cell>
          <cell r="V97">
            <v>104</v>
          </cell>
          <cell r="W97">
            <v>107</v>
          </cell>
          <cell r="X97">
            <v>105</v>
          </cell>
          <cell r="Y97">
            <v>106</v>
          </cell>
          <cell r="Z97">
            <v>105</v>
          </cell>
          <cell r="AA97">
            <v>103</v>
          </cell>
          <cell r="AB97">
            <v>106</v>
          </cell>
          <cell r="AC97" t="e">
            <v>#N/A</v>
          </cell>
          <cell r="AD97">
            <v>102</v>
          </cell>
          <cell r="AE97">
            <v>93</v>
          </cell>
          <cell r="AF97">
            <v>53</v>
          </cell>
          <cell r="AG97">
            <v>44</v>
          </cell>
          <cell r="AH97">
            <v>37</v>
          </cell>
          <cell r="AI97">
            <v>27</v>
          </cell>
          <cell r="AJ97">
            <v>19</v>
          </cell>
          <cell r="AK97">
            <v>47</v>
          </cell>
          <cell r="AL97">
            <v>17</v>
          </cell>
          <cell r="AM97">
            <v>17</v>
          </cell>
          <cell r="AN97">
            <v>26</v>
          </cell>
          <cell r="AO97">
            <v>29</v>
          </cell>
        </row>
        <row r="98">
          <cell r="H98">
            <v>185</v>
          </cell>
          <cell r="I98">
            <v>159</v>
          </cell>
          <cell r="J98">
            <v>186</v>
          </cell>
          <cell r="K98">
            <v>195</v>
          </cell>
          <cell r="L98">
            <v>182</v>
          </cell>
          <cell r="M98">
            <v>184</v>
          </cell>
          <cell r="N98">
            <v>159</v>
          </cell>
          <cell r="O98">
            <v>153</v>
          </cell>
          <cell r="P98">
            <v>150</v>
          </cell>
          <cell r="Q98">
            <v>148</v>
          </cell>
          <cell r="R98">
            <v>151</v>
          </cell>
          <cell r="S98">
            <v>144</v>
          </cell>
          <cell r="T98">
            <v>132</v>
          </cell>
          <cell r="U98">
            <v>127</v>
          </cell>
          <cell r="V98">
            <v>120</v>
          </cell>
          <cell r="W98">
            <v>114</v>
          </cell>
          <cell r="X98">
            <v>110</v>
          </cell>
          <cell r="Y98">
            <v>108</v>
          </cell>
          <cell r="Z98">
            <v>110</v>
          </cell>
          <cell r="AA98">
            <v>106</v>
          </cell>
          <cell r="AB98">
            <v>107</v>
          </cell>
          <cell r="AC98">
            <v>105</v>
          </cell>
          <cell r="AD98">
            <v>105</v>
          </cell>
          <cell r="AE98">
            <v>101</v>
          </cell>
          <cell r="AF98">
            <v>69</v>
          </cell>
          <cell r="AG98">
            <v>64</v>
          </cell>
          <cell r="AH98">
            <v>63</v>
          </cell>
          <cell r="AI98">
            <v>51</v>
          </cell>
          <cell r="AJ98">
            <v>46</v>
          </cell>
          <cell r="AK98">
            <v>47</v>
          </cell>
          <cell r="AL98">
            <v>48</v>
          </cell>
          <cell r="AM98">
            <v>48</v>
          </cell>
          <cell r="AN98">
            <v>43</v>
          </cell>
          <cell r="AO98">
            <v>41</v>
          </cell>
        </row>
        <row r="99">
          <cell r="H99">
            <v>-81</v>
          </cell>
          <cell r="I99">
            <v>-86</v>
          </cell>
          <cell r="J99">
            <v>-81</v>
          </cell>
          <cell r="K99">
            <v>-70</v>
          </cell>
          <cell r="L99">
            <v>-88</v>
          </cell>
          <cell r="M99">
            <v>-96</v>
          </cell>
          <cell r="N99">
            <v>-76</v>
          </cell>
          <cell r="O99">
            <v>-60</v>
          </cell>
          <cell r="P99">
            <v>-95</v>
          </cell>
          <cell r="Q99">
            <v>-89</v>
          </cell>
          <cell r="R99">
            <v>-71</v>
          </cell>
          <cell r="S99">
            <v>-59</v>
          </cell>
          <cell r="T99">
            <v>-55</v>
          </cell>
          <cell r="U99">
            <v>-33</v>
          </cell>
          <cell r="V99">
            <v>-16</v>
          </cell>
          <cell r="W99">
            <v>-7</v>
          </cell>
          <cell r="X99">
            <v>-5</v>
          </cell>
          <cell r="Y99">
            <v>-2</v>
          </cell>
          <cell r="Z99">
            <v>-5</v>
          </cell>
          <cell r="AA99">
            <v>-3</v>
          </cell>
          <cell r="AB99">
            <v>-1</v>
          </cell>
          <cell r="AC99">
            <v>3</v>
          </cell>
          <cell r="AD99">
            <v>-3</v>
          </cell>
          <cell r="AE99">
            <v>-8</v>
          </cell>
          <cell r="AF99">
            <v>-16</v>
          </cell>
          <cell r="AG99">
            <v>-20</v>
          </cell>
          <cell r="AH99">
            <v>-26</v>
          </cell>
          <cell r="AI99">
            <v>-24</v>
          </cell>
          <cell r="AJ99">
            <v>-27</v>
          </cell>
          <cell r="AK99">
            <v>-43</v>
          </cell>
          <cell r="AL99">
            <v>-31</v>
          </cell>
          <cell r="AM99">
            <v>-31</v>
          </cell>
          <cell r="AN99">
            <v>-17</v>
          </cell>
          <cell r="AO99">
            <v>-12</v>
          </cell>
        </row>
        <row r="100"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/>
          <cell r="S100"/>
          <cell r="T100"/>
          <cell r="U100"/>
          <cell r="V100"/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</row>
        <row r="101">
          <cell r="H101">
            <v>158</v>
          </cell>
          <cell r="I101">
            <v>117</v>
          </cell>
          <cell r="J101">
            <v>65</v>
          </cell>
          <cell r="K101">
            <v>73</v>
          </cell>
          <cell r="L101">
            <v>102</v>
          </cell>
          <cell r="M101">
            <v>214</v>
          </cell>
          <cell r="N101">
            <v>120</v>
          </cell>
          <cell r="O101">
            <v>73</v>
          </cell>
          <cell r="P101">
            <v>87</v>
          </cell>
          <cell r="Q101">
            <v>221</v>
          </cell>
          <cell r="R101" t="e">
            <v>#N/A</v>
          </cell>
          <cell r="S101">
            <v>15</v>
          </cell>
          <cell r="T101">
            <v>140</v>
          </cell>
          <cell r="U101">
            <v>12</v>
          </cell>
          <cell r="V101">
            <v>162</v>
          </cell>
          <cell r="W101">
            <v>89</v>
          </cell>
          <cell r="X101" t="e">
            <v>#N/A</v>
          </cell>
          <cell r="Y101" t="e">
            <v>#N/A</v>
          </cell>
          <cell r="Z101">
            <v>22</v>
          </cell>
          <cell r="AA101">
            <v>52</v>
          </cell>
          <cell r="AB101" t="e">
            <v>#N/A</v>
          </cell>
          <cell r="AC101">
            <v>45</v>
          </cell>
          <cell r="AD101" t="e">
            <v>#N/A</v>
          </cell>
          <cell r="AE101">
            <v>17</v>
          </cell>
          <cell r="AF101">
            <v>5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>
            <v>598.03</v>
          </cell>
          <cell r="AL101">
            <v>22.91</v>
          </cell>
          <cell r="AM101">
            <v>175</v>
          </cell>
          <cell r="AN101">
            <v>89</v>
          </cell>
          <cell r="AO101" t="e">
            <v>#N/A</v>
          </cell>
        </row>
        <row r="102">
          <cell r="H102">
            <v>221</v>
          </cell>
          <cell r="I102">
            <v>218</v>
          </cell>
          <cell r="J102">
            <v>34</v>
          </cell>
          <cell r="K102">
            <v>68</v>
          </cell>
          <cell r="L102">
            <v>127</v>
          </cell>
          <cell r="M102">
            <v>172</v>
          </cell>
          <cell r="N102">
            <v>330</v>
          </cell>
          <cell r="O102">
            <v>83</v>
          </cell>
          <cell r="P102">
            <v>82</v>
          </cell>
          <cell r="Q102">
            <v>194</v>
          </cell>
          <cell r="R102">
            <v>120</v>
          </cell>
          <cell r="S102">
            <v>109</v>
          </cell>
          <cell r="T102">
            <v>316</v>
          </cell>
          <cell r="U102">
            <v>24</v>
          </cell>
          <cell r="V102">
            <v>96</v>
          </cell>
          <cell r="W102">
            <v>222</v>
          </cell>
          <cell r="X102">
            <v>70</v>
          </cell>
          <cell r="Y102">
            <v>-65</v>
          </cell>
          <cell r="Z102">
            <v>-72</v>
          </cell>
          <cell r="AA102">
            <v>-130</v>
          </cell>
          <cell r="AB102">
            <v>-87</v>
          </cell>
          <cell r="AC102">
            <v>-141</v>
          </cell>
          <cell r="AD102">
            <v>92</v>
          </cell>
          <cell r="AE102">
            <v>-50</v>
          </cell>
          <cell r="AF102">
            <v>151</v>
          </cell>
          <cell r="AG102">
            <v>-119</v>
          </cell>
          <cell r="AH102">
            <v>84</v>
          </cell>
          <cell r="AI102">
            <v>-111</v>
          </cell>
          <cell r="AJ102">
            <v>-5</v>
          </cell>
          <cell r="AK102">
            <v>1311.03</v>
          </cell>
          <cell r="AL102">
            <v>22.91</v>
          </cell>
          <cell r="AM102">
            <v>175</v>
          </cell>
          <cell r="AN102">
            <v>89</v>
          </cell>
          <cell r="AO102">
            <v>981</v>
          </cell>
        </row>
        <row r="103">
          <cell r="D103" t="str">
            <v>CFO</v>
          </cell>
          <cell r="H103">
            <v>2999</v>
          </cell>
          <cell r="I103">
            <v>5002</v>
          </cell>
          <cell r="J103">
            <v>5663</v>
          </cell>
          <cell r="K103">
            <v>4603</v>
          </cell>
          <cell r="L103">
            <v>2380</v>
          </cell>
          <cell r="M103">
            <v>4834</v>
          </cell>
          <cell r="N103">
            <v>5136</v>
          </cell>
          <cell r="O103">
            <v>3138</v>
          </cell>
          <cell r="P103">
            <v>1672</v>
          </cell>
          <cell r="Q103">
            <v>4130</v>
          </cell>
          <cell r="R103">
            <v>3233</v>
          </cell>
          <cell r="S103">
            <v>2698</v>
          </cell>
          <cell r="T103">
            <v>1919</v>
          </cell>
          <cell r="U103">
            <v>3100</v>
          </cell>
          <cell r="V103">
            <v>3856</v>
          </cell>
          <cell r="W103">
            <v>2457</v>
          </cell>
          <cell r="X103">
            <v>1782</v>
          </cell>
          <cell r="Y103">
            <v>3189</v>
          </cell>
          <cell r="Z103">
            <v>2543</v>
          </cell>
          <cell r="AA103">
            <v>2268</v>
          </cell>
          <cell r="AB103">
            <v>1463</v>
          </cell>
          <cell r="AC103">
            <v>2253</v>
          </cell>
          <cell r="AD103">
            <v>1654</v>
          </cell>
          <cell r="AE103">
            <v>1458</v>
          </cell>
          <cell r="AF103">
            <v>1859</v>
          </cell>
          <cell r="AG103">
            <v>2980</v>
          </cell>
          <cell r="AH103">
            <v>2355</v>
          </cell>
          <cell r="AI103">
            <v>1536</v>
          </cell>
          <cell r="AJ103">
            <v>1312</v>
          </cell>
          <cell r="AK103">
            <v>1332</v>
          </cell>
          <cell r="AL103">
            <v>2367</v>
          </cell>
          <cell r="AM103">
            <v>1489</v>
          </cell>
          <cell r="AN103">
            <v>1035</v>
          </cell>
          <cell r="AO103">
            <v>1870</v>
          </cell>
        </row>
        <row r="104">
          <cell r="H104">
            <v>136</v>
          </cell>
          <cell r="I104">
            <v>112</v>
          </cell>
          <cell r="J104">
            <v>177</v>
          </cell>
          <cell r="K104">
            <v>179</v>
          </cell>
          <cell r="L104">
            <v>129</v>
          </cell>
          <cell r="M104">
            <v>108</v>
          </cell>
          <cell r="N104">
            <v>155</v>
          </cell>
          <cell r="O104">
            <v>155</v>
          </cell>
          <cell r="P104">
            <v>108</v>
          </cell>
          <cell r="Q104">
            <v>86</v>
          </cell>
          <cell r="R104">
            <v>131</v>
          </cell>
          <cell r="S104">
            <v>135</v>
          </cell>
          <cell r="T104">
            <v>108</v>
          </cell>
          <cell r="U104">
            <v>22</v>
          </cell>
          <cell r="V104">
            <v>98</v>
          </cell>
          <cell r="W104">
            <v>101</v>
          </cell>
          <cell r="X104">
            <v>74</v>
          </cell>
          <cell r="Y104">
            <v>32</v>
          </cell>
          <cell r="Z104">
            <v>89</v>
          </cell>
          <cell r="AA104">
            <v>87</v>
          </cell>
          <cell r="AB104">
            <v>65</v>
          </cell>
          <cell r="AC104">
            <v>52</v>
          </cell>
          <cell r="AD104">
            <v>75</v>
          </cell>
          <cell r="AE104">
            <v>75</v>
          </cell>
          <cell r="AF104">
            <v>52</v>
          </cell>
          <cell r="AG104">
            <v>43</v>
          </cell>
          <cell r="AH104">
            <v>77</v>
          </cell>
          <cell r="AI104">
            <v>73</v>
          </cell>
          <cell r="AJ104">
            <v>57</v>
          </cell>
          <cell r="AK104">
            <v>43</v>
          </cell>
          <cell r="AL104">
            <v>55</v>
          </cell>
          <cell r="AM104">
            <v>55</v>
          </cell>
          <cell r="AN104">
            <v>43</v>
          </cell>
          <cell r="AO104">
            <v>39</v>
          </cell>
        </row>
        <row r="105">
          <cell r="D105" t="str">
            <v>CAPEX</v>
          </cell>
          <cell r="H105">
            <v>-154</v>
          </cell>
          <cell r="I105">
            <v>-112</v>
          </cell>
          <cell r="J105">
            <v>-178</v>
          </cell>
          <cell r="K105">
            <v>-40</v>
          </cell>
          <cell r="L105">
            <v>-159</v>
          </cell>
          <cell r="M105">
            <v>-95</v>
          </cell>
          <cell r="N105">
            <v>-107</v>
          </cell>
          <cell r="O105">
            <v>-115</v>
          </cell>
          <cell r="P105">
            <v>-157</v>
          </cell>
          <cell r="Q105">
            <v>-77</v>
          </cell>
          <cell r="R105">
            <v>-104</v>
          </cell>
          <cell r="S105">
            <v>-80</v>
          </cell>
          <cell r="T105">
            <v>-110</v>
          </cell>
          <cell r="U105">
            <v>-130</v>
          </cell>
          <cell r="V105">
            <v>-111</v>
          </cell>
          <cell r="W105">
            <v>-55</v>
          </cell>
          <cell r="X105">
            <v>-146</v>
          </cell>
          <cell r="Y105">
            <v>-122</v>
          </cell>
          <cell r="Z105">
            <v>-139</v>
          </cell>
          <cell r="AA105">
            <v>-81</v>
          </cell>
          <cell r="AB105">
            <v>-65</v>
          </cell>
          <cell r="AC105">
            <v>-59</v>
          </cell>
          <cell r="AD105">
            <v>-79</v>
          </cell>
          <cell r="AE105">
            <v>-70</v>
          </cell>
          <cell r="AF105">
            <v>-131</v>
          </cell>
          <cell r="AG105">
            <v>-116</v>
          </cell>
          <cell r="AH105">
            <v>-132</v>
          </cell>
          <cell r="AI105">
            <v>-91</v>
          </cell>
          <cell r="AJ105">
            <v>-83</v>
          </cell>
          <cell r="AK105">
            <v>-75</v>
          </cell>
          <cell r="AL105">
            <v>-83</v>
          </cell>
          <cell r="AM105">
            <v>-90</v>
          </cell>
          <cell r="AN105">
            <v>-82</v>
          </cell>
          <cell r="AO105">
            <v>-86</v>
          </cell>
        </row>
        <row r="106">
          <cell r="D106" t="str">
            <v>EQUITY</v>
          </cell>
          <cell r="H106">
            <v>66</v>
          </cell>
          <cell r="I106">
            <v>104</v>
          </cell>
          <cell r="J106">
            <v>-41</v>
          </cell>
          <cell r="K106">
            <v>-4</v>
          </cell>
          <cell r="L106">
            <v>29</v>
          </cell>
          <cell r="M106">
            <v>-40</v>
          </cell>
          <cell r="N106">
            <v>62</v>
          </cell>
          <cell r="O106">
            <v>13</v>
          </cell>
          <cell r="P106">
            <v>-6</v>
          </cell>
          <cell r="Q106">
            <v>-34</v>
          </cell>
          <cell r="R106">
            <v>6</v>
          </cell>
          <cell r="S106">
            <v>-123</v>
          </cell>
          <cell r="T106">
            <v>212</v>
          </cell>
          <cell r="U106">
            <v>12</v>
          </cell>
          <cell r="V106">
            <v>-60</v>
          </cell>
          <cell r="W106">
            <v>117</v>
          </cell>
          <cell r="X106">
            <v>76</v>
          </cell>
          <cell r="Y106">
            <v>-111</v>
          </cell>
          <cell r="Z106">
            <v>-197</v>
          </cell>
          <cell r="AA106">
            <v>-243</v>
          </cell>
          <cell r="AB106">
            <v>-94</v>
          </cell>
          <cell r="AC106">
            <v>-220</v>
          </cell>
          <cell r="AD106">
            <v>91</v>
          </cell>
          <cell r="AE106">
            <v>-75</v>
          </cell>
          <cell r="AF106">
            <v>174</v>
          </cell>
          <cell r="AG106">
            <v>-119</v>
          </cell>
          <cell r="AH106">
            <v>100</v>
          </cell>
          <cell r="AI106">
            <v>-153</v>
          </cell>
          <cell r="AJ106">
            <v>5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</row>
        <row r="107">
          <cell r="H107">
            <v>193</v>
          </cell>
          <cell r="I107">
            <v>-20</v>
          </cell>
          <cell r="J107">
            <v>-4</v>
          </cell>
          <cell r="K107">
            <v>44</v>
          </cell>
          <cell r="L107">
            <v>37</v>
          </cell>
          <cell r="M107">
            <v>-266</v>
          </cell>
          <cell r="N107">
            <v>-168</v>
          </cell>
          <cell r="O107">
            <v>-96</v>
          </cell>
          <cell r="P107">
            <v>3</v>
          </cell>
          <cell r="Q107">
            <v>3</v>
          </cell>
          <cell r="R107">
            <v>-263</v>
          </cell>
          <cell r="S107">
            <v>153</v>
          </cell>
          <cell r="T107">
            <v>-129</v>
          </cell>
          <cell r="U107">
            <v>-62</v>
          </cell>
          <cell r="V107">
            <v>-123</v>
          </cell>
          <cell r="W107">
            <v>-146</v>
          </cell>
          <cell r="X107">
            <v>-320</v>
          </cell>
          <cell r="Y107">
            <v>-20</v>
          </cell>
          <cell r="Z107">
            <v>-34</v>
          </cell>
          <cell r="AA107">
            <v>-48</v>
          </cell>
          <cell r="AB107">
            <v>33</v>
          </cell>
          <cell r="AC107">
            <v>66</v>
          </cell>
          <cell r="AD107">
            <v>-22</v>
          </cell>
          <cell r="AE107">
            <v>3</v>
          </cell>
          <cell r="AF107">
            <v>26</v>
          </cell>
          <cell r="AG107">
            <v>-21</v>
          </cell>
          <cell r="AH107">
            <v>-51</v>
          </cell>
          <cell r="AI107">
            <v>27</v>
          </cell>
          <cell r="AJ107">
            <v>38</v>
          </cell>
          <cell r="AK107">
            <v>-35</v>
          </cell>
          <cell r="AL107">
            <v>-102</v>
          </cell>
          <cell r="AM107">
            <v>-61</v>
          </cell>
          <cell r="AN107">
            <v>-46</v>
          </cell>
          <cell r="AO107">
            <v>142</v>
          </cell>
        </row>
        <row r="108">
          <cell r="D108" t="str">
            <v>AMORT_FIXRD_INCEN</v>
          </cell>
          <cell r="H108">
            <v>620</v>
          </cell>
          <cell r="I108">
            <v>572</v>
          </cell>
          <cell r="J108">
            <v>533</v>
          </cell>
          <cell r="K108">
            <v>517</v>
          </cell>
          <cell r="L108">
            <v>476</v>
          </cell>
          <cell r="M108">
            <v>502</v>
          </cell>
          <cell r="N108">
            <v>502</v>
          </cell>
          <cell r="O108">
            <v>415</v>
          </cell>
          <cell r="P108">
            <v>411</v>
          </cell>
          <cell r="Q108">
            <v>426</v>
          </cell>
          <cell r="R108">
            <v>414</v>
          </cell>
          <cell r="S108">
            <v>404</v>
          </cell>
          <cell r="T108">
            <v>378</v>
          </cell>
          <cell r="U108">
            <v>389</v>
          </cell>
          <cell r="V108">
            <v>385</v>
          </cell>
          <cell r="W108">
            <v>382</v>
          </cell>
          <cell r="X108">
            <v>430</v>
          </cell>
          <cell r="Y108">
            <v>376</v>
          </cell>
          <cell r="Z108">
            <v>344</v>
          </cell>
          <cell r="AA108">
            <v>313</v>
          </cell>
          <cell r="AB108">
            <v>338</v>
          </cell>
          <cell r="AC108">
            <v>323</v>
          </cell>
          <cell r="AD108">
            <v>281</v>
          </cell>
          <cell r="AE108">
            <v>231</v>
          </cell>
          <cell r="AF108">
            <v>237</v>
          </cell>
          <cell r="AG108">
            <v>263</v>
          </cell>
          <cell r="AH108">
            <v>255</v>
          </cell>
          <cell r="AI108">
            <v>278</v>
          </cell>
          <cell r="AJ108">
            <v>345</v>
          </cell>
          <cell r="AK108">
            <v>350</v>
          </cell>
          <cell r="AL108">
            <v>307</v>
          </cell>
          <cell r="AM108">
            <v>291</v>
          </cell>
          <cell r="AN108">
            <v>287</v>
          </cell>
          <cell r="AO108">
            <v>240</v>
          </cell>
        </row>
        <row r="109">
          <cell r="H109">
            <v>-181</v>
          </cell>
          <cell r="I109">
            <v>-178</v>
          </cell>
          <cell r="J109">
            <v>-181</v>
          </cell>
          <cell r="K109">
            <v>-169</v>
          </cell>
          <cell r="L109">
            <v>-198</v>
          </cell>
          <cell r="M109">
            <v>-155</v>
          </cell>
          <cell r="N109">
            <v>-163</v>
          </cell>
          <cell r="O109">
            <v>-181</v>
          </cell>
          <cell r="P109">
            <v>-221</v>
          </cell>
          <cell r="Q109">
            <v>-192</v>
          </cell>
          <cell r="R109">
            <v>-130</v>
          </cell>
          <cell r="S109">
            <v>-153</v>
          </cell>
          <cell r="T109">
            <v>-242</v>
          </cell>
          <cell r="U109">
            <v>-209</v>
          </cell>
          <cell r="V109">
            <v>-166</v>
          </cell>
          <cell r="W109">
            <v>-132</v>
          </cell>
          <cell r="X109">
            <v>-148</v>
          </cell>
          <cell r="Y109">
            <v>-106</v>
          </cell>
          <cell r="Z109">
            <v>-110</v>
          </cell>
          <cell r="AA109">
            <v>-112</v>
          </cell>
          <cell r="AB109">
            <v>-79</v>
          </cell>
          <cell r="AC109">
            <v>-92</v>
          </cell>
          <cell r="AD109">
            <v>-86</v>
          </cell>
          <cell r="AE109">
            <v>-113</v>
          </cell>
          <cell r="AF109">
            <v>-78</v>
          </cell>
          <cell r="AG109">
            <v>-69</v>
          </cell>
          <cell r="AH109">
            <v>-87</v>
          </cell>
          <cell r="AI109">
            <v>-91</v>
          </cell>
          <cell r="AJ109">
            <v>-59</v>
          </cell>
          <cell r="AK109">
            <v>-48</v>
          </cell>
          <cell r="AL109">
            <v>-47</v>
          </cell>
          <cell r="AM109">
            <v>-35</v>
          </cell>
          <cell r="AN109">
            <v>-44</v>
          </cell>
          <cell r="AO109">
            <v>-36</v>
          </cell>
        </row>
        <row r="110"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-2511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-313</v>
          </cell>
          <cell r="X110">
            <v>0</v>
          </cell>
          <cell r="Y110">
            <v>-239</v>
          </cell>
          <cell r="Z110">
            <v>3</v>
          </cell>
          <cell r="AA110">
            <v>-836</v>
          </cell>
          <cell r="AB110">
            <v>-3364</v>
          </cell>
          <cell r="AC110">
            <v>-806</v>
          </cell>
          <cell r="AD110">
            <v>0</v>
          </cell>
          <cell r="AE110">
            <v>-183</v>
          </cell>
          <cell r="AF110">
            <v>0</v>
          </cell>
          <cell r="AG110">
            <v>-270</v>
          </cell>
          <cell r="AH110">
            <v>-248</v>
          </cell>
          <cell r="AI110">
            <v>-922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</row>
        <row r="111">
          <cell r="H111">
            <v>-116</v>
          </cell>
          <cell r="I111">
            <v>8</v>
          </cell>
          <cell r="J111">
            <v>-16</v>
          </cell>
          <cell r="K111">
            <v>220</v>
          </cell>
          <cell r="L111">
            <v>121</v>
          </cell>
          <cell r="M111">
            <v>-274</v>
          </cell>
          <cell r="N111">
            <v>142</v>
          </cell>
          <cell r="O111">
            <v>28</v>
          </cell>
          <cell r="P111">
            <v>-95</v>
          </cell>
          <cell r="Q111">
            <v>157</v>
          </cell>
          <cell r="R111">
            <v>-86</v>
          </cell>
          <cell r="S111">
            <v>20</v>
          </cell>
          <cell r="T111">
            <v>37</v>
          </cell>
          <cell r="U111">
            <v>284</v>
          </cell>
          <cell r="V111">
            <v>-185</v>
          </cell>
          <cell r="W111">
            <v>-174</v>
          </cell>
          <cell r="X111">
            <v>-28</v>
          </cell>
          <cell r="Y111">
            <v>-73</v>
          </cell>
          <cell r="Z111">
            <v>-56</v>
          </cell>
          <cell r="AA111">
            <v>77</v>
          </cell>
          <cell r="AB111">
            <v>-101</v>
          </cell>
          <cell r="AC111">
            <v>191</v>
          </cell>
          <cell r="AD111">
            <v>115</v>
          </cell>
          <cell r="AE111">
            <v>39</v>
          </cell>
          <cell r="AF111">
            <v>-88</v>
          </cell>
          <cell r="AG111">
            <v>59</v>
          </cell>
          <cell r="AH111">
            <v>-77</v>
          </cell>
          <cell r="AI111">
            <v>28</v>
          </cell>
          <cell r="AJ111">
            <v>-54</v>
          </cell>
          <cell r="AK111">
            <v>-71</v>
          </cell>
          <cell r="AL111">
            <v>-9</v>
          </cell>
          <cell r="AM111">
            <v>-21</v>
          </cell>
          <cell r="AN111">
            <v>95</v>
          </cell>
          <cell r="AO111">
            <v>6</v>
          </cell>
        </row>
        <row r="112">
          <cell r="H112">
            <v>4103</v>
          </cell>
          <cell r="I112">
            <v>4278</v>
          </cell>
          <cell r="J112">
            <v>3961</v>
          </cell>
          <cell r="K112">
            <v>3800</v>
          </cell>
          <cell r="L112">
            <v>3406</v>
          </cell>
          <cell r="M112">
            <v>3513</v>
          </cell>
          <cell r="N112">
            <v>3593</v>
          </cell>
          <cell r="O112">
            <v>3341</v>
          </cell>
          <cell r="P112">
            <v>3093</v>
          </cell>
          <cell r="Q112">
            <v>2985</v>
          </cell>
          <cell r="R112">
            <v>3202</v>
          </cell>
          <cell r="S112">
            <v>2742</v>
          </cell>
          <cell r="T112">
            <v>2678</v>
          </cell>
          <cell r="U112">
            <v>2548</v>
          </cell>
          <cell r="V112">
            <v>2595</v>
          </cell>
          <cell r="W112">
            <v>2497</v>
          </cell>
          <cell r="X112">
            <v>2702</v>
          </cell>
          <cell r="Y112">
            <v>2314</v>
          </cell>
          <cell r="Z112">
            <v>2341</v>
          </cell>
          <cell r="AA112">
            <v>1937</v>
          </cell>
          <cell r="AB112">
            <v>1741</v>
          </cell>
          <cell r="AC112">
            <v>1644</v>
          </cell>
          <cell r="AD112">
            <v>1605</v>
          </cell>
          <cell r="AE112">
            <v>1370</v>
          </cell>
          <cell r="AF112">
            <v>1844</v>
          </cell>
          <cell r="AG112">
            <v>1981</v>
          </cell>
          <cell r="AH112">
            <v>2191</v>
          </cell>
          <cell r="AI112">
            <v>1937</v>
          </cell>
          <cell r="AJ112">
            <v>1828</v>
          </cell>
          <cell r="AK112">
            <v>1611</v>
          </cell>
          <cell r="AL112">
            <v>1856</v>
          </cell>
          <cell r="AM112">
            <v>1744</v>
          </cell>
          <cell r="AN112">
            <v>1581</v>
          </cell>
          <cell r="AO112">
            <v>1208</v>
          </cell>
        </row>
        <row r="113">
          <cell r="H113">
            <v>4.6E-6</v>
          </cell>
          <cell r="I113">
            <v>4.7600000000000002E-6</v>
          </cell>
          <cell r="J113">
            <v>4.3799999999999996E-6</v>
          </cell>
          <cell r="K113">
            <v>4.1500000000000001E-6</v>
          </cell>
          <cell r="L113">
            <v>3.7299999999999999E-6</v>
          </cell>
          <cell r="M113">
            <v>3.8199999999999998E-6</v>
          </cell>
          <cell r="N113">
            <v>3.89E-6</v>
          </cell>
          <cell r="O113">
            <v>3.5899999999999999E-6</v>
          </cell>
          <cell r="P113">
            <v>3.3100000000000001E-6</v>
          </cell>
          <cell r="Q113">
            <v>3.18E-6</v>
          </cell>
          <cell r="R113">
            <v>3.3900000000000002E-6</v>
          </cell>
          <cell r="S113">
            <v>2.8900000000000003E-6</v>
          </cell>
          <cell r="T113">
            <v>2.7999999999999999E-6</v>
          </cell>
          <cell r="U113">
            <v>2.65E-6</v>
          </cell>
          <cell r="V113">
            <v>2.6800000000000002E-6</v>
          </cell>
          <cell r="W113">
            <v>2.5600000000000001E-6</v>
          </cell>
          <cell r="X113">
            <v>2.7599999999999998E-6</v>
          </cell>
          <cell r="Y113">
            <v>2.3499999999999999E-6</v>
          </cell>
          <cell r="Z113">
            <v>2.3700000000000002E-6</v>
          </cell>
          <cell r="AA113">
            <v>1.95E-6</v>
          </cell>
          <cell r="AB113">
            <v>1.7400000000000001E-6</v>
          </cell>
          <cell r="AC113">
            <v>1.64E-6</v>
          </cell>
          <cell r="AD113">
            <v>1.6000000000000001E-6</v>
          </cell>
          <cell r="AE113">
            <v>1.3600000000000001E-6</v>
          </cell>
          <cell r="AF113">
            <v>1.8300000000000001E-6</v>
          </cell>
          <cell r="AG113">
            <v>1.9599999999999999E-6</v>
          </cell>
          <cell r="AH113">
            <v>2.1499999999999997E-6</v>
          </cell>
          <cell r="AI113">
            <v>1.8899999999999999E-6</v>
          </cell>
          <cell r="AJ113">
            <v>1.7800000000000001E-6</v>
          </cell>
          <cell r="AK113">
            <v>1.55E-6</v>
          </cell>
          <cell r="AL113">
            <v>1.7800000000000001E-6</v>
          </cell>
          <cell r="AM113">
            <v>1.66E-6</v>
          </cell>
          <cell r="AN113">
            <v>1.5E-6</v>
          </cell>
          <cell r="AO113">
            <v>1.1399999999999999E-6</v>
          </cell>
        </row>
        <row r="114">
          <cell r="H114">
            <v>5408</v>
          </cell>
          <cell r="I114">
            <v>5207</v>
          </cell>
          <cell r="J114">
            <v>5434</v>
          </cell>
          <cell r="K114">
            <v>5058</v>
          </cell>
          <cell r="L114">
            <v>4424</v>
          </cell>
          <cell r="M114">
            <v>4431</v>
          </cell>
          <cell r="N114">
            <v>4595</v>
          </cell>
          <cell r="O114">
            <v>4358</v>
          </cell>
          <cell r="P114">
            <v>3947</v>
          </cell>
          <cell r="Q114">
            <v>3885</v>
          </cell>
          <cell r="R114">
            <v>4055</v>
          </cell>
          <cell r="S114">
            <v>3869</v>
          </cell>
          <cell r="T114">
            <v>3538</v>
          </cell>
          <cell r="U114">
            <v>3384</v>
          </cell>
          <cell r="V114">
            <v>3505</v>
          </cell>
          <cell r="W114">
            <v>3367</v>
          </cell>
          <cell r="X114">
            <v>3146</v>
          </cell>
          <cell r="Y114">
            <v>2951</v>
          </cell>
          <cell r="Z114">
            <v>2764</v>
          </cell>
          <cell r="AA114">
            <v>2527</v>
          </cell>
          <cell r="AB114">
            <v>2360</v>
          </cell>
          <cell r="AC114">
            <v>2250</v>
          </cell>
          <cell r="AD114">
            <v>2241</v>
          </cell>
          <cell r="AE114">
            <v>1874</v>
          </cell>
          <cell r="AF114">
            <v>2355</v>
          </cell>
          <cell r="AG114">
            <v>2546</v>
          </cell>
          <cell r="AH114">
            <v>2792</v>
          </cell>
          <cell r="AI114">
            <v>2519</v>
          </cell>
          <cell r="AJ114">
            <v>2330</v>
          </cell>
          <cell r="AK114">
            <v>2104</v>
          </cell>
          <cell r="AL114">
            <v>2427</v>
          </cell>
          <cell r="AM114">
            <v>2276</v>
          </cell>
          <cell r="AN114">
            <v>2062</v>
          </cell>
          <cell r="AO114">
            <v>1637</v>
          </cell>
        </row>
        <row r="115">
          <cell r="D115" t="str">
            <v>ADJ_OPINC</v>
          </cell>
          <cell r="H115">
            <v>5109</v>
          </cell>
          <cell r="I115">
            <v>5100</v>
          </cell>
          <cell r="J115">
            <v>5144</v>
          </cell>
          <cell r="K115">
            <v>4873</v>
          </cell>
          <cell r="L115">
            <v>4300</v>
          </cell>
          <cell r="M115">
            <v>4200</v>
          </cell>
          <cell r="N115">
            <v>4370</v>
          </cell>
          <cell r="O115">
            <v>4133</v>
          </cell>
          <cell r="P115">
            <v>3731</v>
          </cell>
          <cell r="Q115">
            <v>3680</v>
          </cell>
          <cell r="R115">
            <v>3844</v>
          </cell>
          <cell r="S115">
            <v>3677</v>
          </cell>
          <cell r="T115">
            <v>3347</v>
          </cell>
          <cell r="U115">
            <v>3200</v>
          </cell>
          <cell r="V115">
            <v>3319</v>
          </cell>
          <cell r="W115">
            <v>3184</v>
          </cell>
          <cell r="X115">
            <v>2954</v>
          </cell>
          <cell r="Y115">
            <v>2827</v>
          </cell>
          <cell r="Z115">
            <v>2576</v>
          </cell>
          <cell r="AA115">
            <v>2341</v>
          </cell>
          <cell r="AB115">
            <v>2197</v>
          </cell>
          <cell r="AC115">
            <v>2100</v>
          </cell>
          <cell r="AD115">
            <v>2105</v>
          </cell>
          <cell r="AE115">
            <v>1729</v>
          </cell>
          <cell r="AF115">
            <v>2211</v>
          </cell>
          <cell r="AG115">
            <v>2400</v>
          </cell>
          <cell r="AH115">
            <v>2655</v>
          </cell>
          <cell r="AI115">
            <v>2397</v>
          </cell>
          <cell r="AJ115">
            <v>2213</v>
          </cell>
          <cell r="AK115">
            <v>1991</v>
          </cell>
          <cell r="AL115">
            <v>2316</v>
          </cell>
          <cell r="AM115">
            <v>2161</v>
          </cell>
          <cell r="AN115">
            <v>1942</v>
          </cell>
          <cell r="AO115">
            <v>1522</v>
          </cell>
        </row>
        <row r="116">
          <cell r="D116" t="str">
            <v>OTHER_CURR_ASSETS</v>
          </cell>
          <cell r="H116">
            <v>4639</v>
          </cell>
          <cell r="I116">
            <v>3743</v>
          </cell>
          <cell r="J116">
            <v>3954</v>
          </cell>
          <cell r="K116">
            <v>3630</v>
          </cell>
          <cell r="L116">
            <v>3419</v>
          </cell>
          <cell r="M116">
            <v>2992</v>
          </cell>
          <cell r="N116">
            <v>3039</v>
          </cell>
          <cell r="O116">
            <v>2941</v>
          </cell>
          <cell r="P116">
            <v>3028</v>
          </cell>
          <cell r="Q116">
            <v>2643</v>
          </cell>
          <cell r="R116">
            <v>2624</v>
          </cell>
          <cell r="S116">
            <v>2554</v>
          </cell>
          <cell r="T116">
            <v>2501</v>
          </cell>
          <cell r="U116">
            <v>2346</v>
          </cell>
          <cell r="V116">
            <v>2475</v>
          </cell>
          <cell r="W116">
            <v>2409</v>
          </cell>
          <cell r="X116">
            <v>2320</v>
          </cell>
          <cell r="Y116">
            <v>2271</v>
          </cell>
          <cell r="Z116">
            <v>2367</v>
          </cell>
          <cell r="AA116">
            <v>2217</v>
          </cell>
          <cell r="AB116">
            <v>1999</v>
          </cell>
          <cell r="AC116">
            <v>1883</v>
          </cell>
          <cell r="AD116">
            <v>1958</v>
          </cell>
          <cell r="AE116">
            <v>1790</v>
          </cell>
          <cell r="AF116">
            <v>1729</v>
          </cell>
          <cell r="AG116">
            <v>1763</v>
          </cell>
          <cell r="AH116">
            <v>1933</v>
          </cell>
          <cell r="AI116">
            <v>1786</v>
          </cell>
          <cell r="AJ116">
            <v>1513</v>
          </cell>
          <cell r="AK116">
            <v>1432</v>
          </cell>
          <cell r="AL116">
            <v>1375</v>
          </cell>
          <cell r="AM116">
            <v>1323</v>
          </cell>
          <cell r="AN116">
            <v>1273</v>
          </cell>
          <cell r="AO116">
            <v>1040</v>
          </cell>
        </row>
        <row r="117">
          <cell r="D117" t="str">
            <v>OTHER_NON_CURR</v>
          </cell>
          <cell r="H117">
            <v>11186</v>
          </cell>
          <cell r="I117">
            <v>11615</v>
          </cell>
          <cell r="J117">
            <v>11056</v>
          </cell>
          <cell r="K117">
            <v>10269</v>
          </cell>
          <cell r="L117">
            <v>10035</v>
          </cell>
          <cell r="M117">
            <v>9959</v>
          </cell>
          <cell r="N117">
            <v>9193</v>
          </cell>
          <cell r="O117">
            <v>9270</v>
          </cell>
          <cell r="P117">
            <v>9104</v>
          </cell>
          <cell r="Q117">
            <v>8325</v>
          </cell>
          <cell r="R117">
            <v>7839</v>
          </cell>
          <cell r="S117">
            <v>7739</v>
          </cell>
          <cell r="T117">
            <v>7641</v>
          </cell>
          <cell r="U117">
            <v>7580</v>
          </cell>
          <cell r="V117">
            <v>7011</v>
          </cell>
          <cell r="W117">
            <v>6955</v>
          </cell>
          <cell r="X117">
            <v>7158</v>
          </cell>
          <cell r="Y117">
            <v>6994</v>
          </cell>
          <cell r="Z117">
            <v>6567</v>
          </cell>
          <cell r="AA117">
            <v>6265</v>
          </cell>
          <cell r="AB117">
            <v>5714</v>
          </cell>
          <cell r="AC117">
            <v>5365</v>
          </cell>
          <cell r="AD117">
            <v>4965</v>
          </cell>
          <cell r="AE117">
            <v>4740</v>
          </cell>
          <cell r="AF117">
            <v>4557</v>
          </cell>
          <cell r="AG117">
            <v>4525</v>
          </cell>
          <cell r="AH117">
            <v>4090</v>
          </cell>
          <cell r="AI117">
            <v>3984</v>
          </cell>
          <cell r="AJ117">
            <v>3346</v>
          </cell>
          <cell r="AK117">
            <v>3303</v>
          </cell>
          <cell r="AL117">
            <v>2925</v>
          </cell>
          <cell r="AM117">
            <v>2894</v>
          </cell>
          <cell r="AN117">
            <v>2826</v>
          </cell>
          <cell r="AO117">
            <v>2298</v>
          </cell>
        </row>
        <row r="118">
          <cell r="H118">
            <v>12327</v>
          </cell>
          <cell r="I118">
            <v>13272</v>
          </cell>
          <cell r="J118">
            <v>11979</v>
          </cell>
          <cell r="K118">
            <v>10116</v>
          </cell>
          <cell r="L118">
            <v>9263</v>
          </cell>
          <cell r="M118">
            <v>10393</v>
          </cell>
          <cell r="N118">
            <v>9105</v>
          </cell>
          <cell r="O118">
            <v>8007</v>
          </cell>
          <cell r="P118">
            <v>8062</v>
          </cell>
          <cell r="Q118">
            <v>8517</v>
          </cell>
          <cell r="R118">
            <v>7775</v>
          </cell>
          <cell r="S118">
            <v>7117</v>
          </cell>
          <cell r="T118">
            <v>7310</v>
          </cell>
          <cell r="U118">
            <v>7801</v>
          </cell>
          <cell r="V118">
            <v>6888</v>
          </cell>
          <cell r="W118">
            <v>6111</v>
          </cell>
          <cell r="X118">
            <v>5954</v>
          </cell>
          <cell r="Y118">
            <v>6642</v>
          </cell>
          <cell r="Z118">
            <v>5964</v>
          </cell>
          <cell r="AA118">
            <v>5564</v>
          </cell>
          <cell r="AB118">
            <v>5200</v>
          </cell>
          <cell r="AC118">
            <v>5430</v>
          </cell>
          <cell r="AD118">
            <v>5011</v>
          </cell>
          <cell r="AE118">
            <v>4530</v>
          </cell>
          <cell r="AF118">
            <v>4676</v>
          </cell>
          <cell r="AG118">
            <v>5489</v>
          </cell>
          <cell r="AH118">
            <v>4985</v>
          </cell>
          <cell r="AI118">
            <v>4752</v>
          </cell>
          <cell r="AJ118">
            <v>4329</v>
          </cell>
          <cell r="AK118">
            <v>4747</v>
          </cell>
          <cell r="AL118">
            <v>4745</v>
          </cell>
          <cell r="AM118">
            <v>4418</v>
          </cell>
          <cell r="AN118">
            <v>4501</v>
          </cell>
          <cell r="AO118">
            <v>3931</v>
          </cell>
        </row>
        <row r="119">
          <cell r="D119" t="str">
            <v>EMPLOYEES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>
            <v>35300</v>
          </cell>
          <cell r="N119" t="e">
            <v>#N/A</v>
          </cell>
          <cell r="O119" t="e">
            <v>#N/A</v>
          </cell>
          <cell r="P119" t="e">
            <v>#N/A</v>
          </cell>
          <cell r="Q119">
            <v>33400</v>
          </cell>
          <cell r="R119" t="e">
            <v>#N/A</v>
          </cell>
          <cell r="S119" t="e">
            <v>#N/A</v>
          </cell>
          <cell r="T119" t="e">
            <v>#N/A</v>
          </cell>
          <cell r="U119">
            <v>29900</v>
          </cell>
          <cell r="V119" t="e">
            <v>#N/A</v>
          </cell>
          <cell r="W119" t="e">
            <v>#N/A</v>
          </cell>
          <cell r="X119" t="e">
            <v>#N/A</v>
          </cell>
          <cell r="Y119">
            <v>24000</v>
          </cell>
          <cell r="Z119" t="e">
            <v>#N/A</v>
          </cell>
          <cell r="AA119" t="e">
            <v>#N/A</v>
          </cell>
          <cell r="AB119" t="e">
            <v>#N/A</v>
          </cell>
          <cell r="AC119">
            <v>21000</v>
          </cell>
          <cell r="AD119" t="e">
            <v>#N/A</v>
          </cell>
          <cell r="AE119" t="e">
            <v>#N/A</v>
          </cell>
          <cell r="AF119" t="e">
            <v>#N/A</v>
          </cell>
          <cell r="AG119">
            <v>18600</v>
          </cell>
          <cell r="AH119" t="e">
            <v>#N/A</v>
          </cell>
          <cell r="AI119" t="e">
            <v>#N/A</v>
          </cell>
          <cell r="AJ119" t="e">
            <v>#N/A</v>
          </cell>
          <cell r="AK119">
            <v>14800</v>
          </cell>
          <cell r="AL119" t="e">
            <v>#N/A</v>
          </cell>
          <cell r="AM119" t="e">
            <v>#N/A</v>
          </cell>
          <cell r="AN119" t="e">
            <v>#N/A</v>
          </cell>
          <cell r="AO119">
            <v>13400</v>
          </cell>
        </row>
        <row r="120">
          <cell r="D120" t="str">
            <v>STOCK_ISSUE</v>
          </cell>
          <cell r="H120">
            <v>11</v>
          </cell>
          <cell r="I120">
            <v>64</v>
          </cell>
          <cell r="J120">
            <v>22</v>
          </cell>
          <cell r="K120">
            <v>76</v>
          </cell>
          <cell r="L120">
            <v>41</v>
          </cell>
          <cell r="M120">
            <v>61</v>
          </cell>
          <cell r="N120">
            <v>48</v>
          </cell>
          <cell r="O120">
            <v>18</v>
          </cell>
          <cell r="P120">
            <v>97</v>
          </cell>
          <cell r="Q120">
            <v>24</v>
          </cell>
          <cell r="R120">
            <v>41</v>
          </cell>
          <cell r="S120">
            <v>119</v>
          </cell>
          <cell r="T120">
            <v>53</v>
          </cell>
          <cell r="U120">
            <v>13</v>
          </cell>
          <cell r="V120">
            <v>9</v>
          </cell>
          <cell r="W120">
            <v>40</v>
          </cell>
          <cell r="X120">
            <v>28</v>
          </cell>
          <cell r="Y120">
            <v>6</v>
          </cell>
          <cell r="Z120">
            <v>11</v>
          </cell>
          <cell r="AA120">
            <v>21</v>
          </cell>
          <cell r="AB120">
            <v>23</v>
          </cell>
          <cell r="AC120">
            <v>9</v>
          </cell>
          <cell r="AD120">
            <v>23</v>
          </cell>
          <cell r="AE120">
            <v>34</v>
          </cell>
          <cell r="AF120">
            <v>31</v>
          </cell>
          <cell r="AG120">
            <v>19</v>
          </cell>
          <cell r="AH120">
            <v>16</v>
          </cell>
          <cell r="AI120">
            <v>37</v>
          </cell>
          <cell r="AJ120">
            <v>54</v>
          </cell>
          <cell r="AK120">
            <v>12</v>
          </cell>
          <cell r="AL120">
            <v>25</v>
          </cell>
          <cell r="AM120">
            <v>27</v>
          </cell>
          <cell r="AN120">
            <v>40</v>
          </cell>
          <cell r="AO120">
            <v>9</v>
          </cell>
        </row>
        <row r="121">
          <cell r="D121" t="str">
            <v>STOCK_BUYBACK</v>
          </cell>
          <cell r="H121">
            <v>-4239</v>
          </cell>
          <cell r="I121">
            <v>-3566</v>
          </cell>
          <cell r="J121">
            <v>-3335</v>
          </cell>
          <cell r="K121">
            <v>-2291</v>
          </cell>
          <cell r="L121">
            <v>-2826</v>
          </cell>
          <cell r="M121">
            <v>-3473</v>
          </cell>
          <cell r="N121">
            <v>-2935</v>
          </cell>
          <cell r="O121">
            <v>-2643</v>
          </cell>
          <cell r="P121">
            <v>-2162</v>
          </cell>
          <cell r="Q121">
            <v>-1840</v>
          </cell>
          <cell r="R121">
            <v>-1908</v>
          </cell>
          <cell r="S121">
            <v>-2419</v>
          </cell>
          <cell r="T121">
            <v>-2954</v>
          </cell>
          <cell r="U121">
            <v>-2418</v>
          </cell>
          <cell r="V121">
            <v>-1552</v>
          </cell>
          <cell r="W121">
            <v>-2384</v>
          </cell>
          <cell r="X121">
            <v>-2540</v>
          </cell>
          <cell r="Y121">
            <v>-1279</v>
          </cell>
          <cell r="Z121">
            <v>-1566</v>
          </cell>
          <cell r="AA121">
            <v>-1715</v>
          </cell>
          <cell r="AB121">
            <v>-1477</v>
          </cell>
          <cell r="AC121">
            <v>-1035</v>
          </cell>
          <cell r="AD121">
            <v>-2064</v>
          </cell>
          <cell r="AE121">
            <v>-10</v>
          </cell>
          <cell r="AF121">
            <v>-1514</v>
          </cell>
          <cell r="AG121">
            <v>-994</v>
          </cell>
          <cell r="AH121">
            <v>-1803</v>
          </cell>
          <cell r="AI121">
            <v>-1921</v>
          </cell>
          <cell r="AJ121">
            <v>-1940</v>
          </cell>
          <cell r="AK121">
            <v>-889</v>
          </cell>
          <cell r="AL121">
            <v>-1170</v>
          </cell>
          <cell r="AM121">
            <v>-1525</v>
          </cell>
          <cell r="AN121">
            <v>-1429</v>
          </cell>
          <cell r="AO121">
            <v>-1032</v>
          </cell>
        </row>
      </sheetData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2217-2887-4A92-9F1F-D37804CAFF54}">
  <sheetPr codeName="Sheet17">
    <pageSetUpPr fitToPage="1"/>
  </sheetPr>
  <dimension ref="A1:XFD162"/>
  <sheetViews>
    <sheetView showGridLines="0" topLeftCell="B1" zoomScale="85" zoomScaleNormal="85" workbookViewId="0">
      <pane xSplit="3" ySplit="11" topLeftCell="E12" activePane="bottomRight" state="frozen"/>
      <selection activeCell="B1" sqref="B1"/>
      <selection pane="topRight" activeCell="E1" sqref="E1"/>
      <selection pane="bottomLeft" activeCell="B12" sqref="B12"/>
      <selection pane="bottomRight" activeCell="Z16" sqref="Z16"/>
    </sheetView>
  </sheetViews>
  <sheetFormatPr defaultColWidth="8.85546875" defaultRowHeight="16.5" outlineLevelRow="1" outlineLevelCol="1" x14ac:dyDescent="0.3"/>
  <cols>
    <col min="1" max="1" width="8.85546875" style="5" hidden="1" customWidth="1"/>
    <col min="2" max="2" width="6.7109375" style="5" customWidth="1"/>
    <col min="3" max="3" width="3.28515625" style="5" customWidth="1"/>
    <col min="4" max="4" width="43.85546875" style="5" customWidth="1"/>
    <col min="5" max="5" width="3.28515625" style="6" customWidth="1"/>
    <col min="6" max="6" width="19.140625" style="7" customWidth="1" outlineLevel="1"/>
    <col min="7" max="7" width="19.7109375" style="7" customWidth="1" outlineLevel="1"/>
    <col min="8" max="8" width="25.140625" style="7" customWidth="1" outlineLevel="1"/>
    <col min="9" max="9" width="16.42578125" style="7" customWidth="1" outlineLevel="1"/>
    <col min="10" max="10" width="6.28515625" style="7" customWidth="1" outlineLevel="1"/>
    <col min="11" max="11" width="12.42578125" style="7" customWidth="1" outlineLevel="1"/>
    <col min="12" max="13" width="13.140625" style="7" customWidth="1" outlineLevel="1"/>
    <col min="14" max="21" width="13" style="7" customWidth="1" outlineLevel="1"/>
    <col min="22" max="22" width="5.42578125" style="7" customWidth="1"/>
    <col min="23" max="23" width="8.85546875" style="5"/>
    <col min="24" max="24" width="3.42578125" style="5" customWidth="1"/>
    <col min="25" max="25" width="23.7109375" style="5" customWidth="1"/>
    <col min="26" max="57" width="12.85546875" style="5" customWidth="1"/>
    <col min="58" max="16384" width="8.85546875" style="5"/>
  </cols>
  <sheetData>
    <row r="1" spans="2:16384" ht="20.100000000000001" customHeight="1" x14ac:dyDescent="0.3">
      <c r="U1" s="8"/>
    </row>
    <row r="2" spans="2:16384" s="9" customFormat="1" ht="20.100000000000001" customHeight="1" x14ac:dyDescent="0.4">
      <c r="E2" s="10"/>
      <c r="F2" s="11"/>
      <c r="G2" s="11"/>
      <c r="H2" s="11"/>
      <c r="I2" s="11"/>
      <c r="J2" s="7"/>
      <c r="K2" s="12" t="s">
        <v>20</v>
      </c>
      <c r="N2" s="11"/>
      <c r="O2" s="11"/>
      <c r="P2" s="11"/>
      <c r="Q2" s="11"/>
      <c r="R2" s="11"/>
      <c r="S2" s="11"/>
      <c r="T2" s="11"/>
      <c r="U2" s="11"/>
      <c r="V2" s="11"/>
    </row>
    <row r="3" spans="2:16384" s="13" customFormat="1" ht="20.100000000000001" customHeight="1" x14ac:dyDescent="0.3">
      <c r="E3" s="6"/>
      <c r="F3" s="14"/>
      <c r="G3" s="14"/>
      <c r="H3" s="14"/>
      <c r="I3" s="14"/>
      <c r="J3" s="7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</row>
    <row r="4" spans="2:16384" ht="20.100000000000001" customHeight="1" thickBot="1" x14ac:dyDescent="0.35">
      <c r="F4" s="14"/>
      <c r="G4" s="14"/>
      <c r="H4" s="14"/>
      <c r="I4" s="14"/>
      <c r="K4" s="54">
        <v>2027</v>
      </c>
      <c r="L4" s="54">
        <v>2026</v>
      </c>
      <c r="M4" s="54"/>
      <c r="N4" s="53">
        <f t="shared" ref="N4:S4" si="0">O4+1</f>
        <v>2025</v>
      </c>
      <c r="O4" s="53">
        <f t="shared" si="0"/>
        <v>2024</v>
      </c>
      <c r="P4" s="53">
        <f t="shared" si="0"/>
        <v>2023</v>
      </c>
      <c r="Q4" s="53">
        <f t="shared" si="0"/>
        <v>2022</v>
      </c>
      <c r="R4" s="53">
        <f t="shared" si="0"/>
        <v>2021</v>
      </c>
      <c r="S4" s="53">
        <f t="shared" si="0"/>
        <v>2020</v>
      </c>
      <c r="T4" s="53">
        <f>U4+1</f>
        <v>2019</v>
      </c>
      <c r="U4" s="53">
        <v>2018</v>
      </c>
      <c r="V4" s="46"/>
      <c r="W4" s="16"/>
      <c r="X4" s="16"/>
      <c r="Y4" s="16"/>
      <c r="Z4" s="52" t="e">
        <f>#REF!</f>
        <v>#REF!</v>
      </c>
      <c r="AA4" s="52" t="e">
        <f>#REF!</f>
        <v>#REF!</v>
      </c>
      <c r="AB4" s="52" t="e">
        <f>#REF!</f>
        <v>#REF!</v>
      </c>
      <c r="AC4" s="52" t="e">
        <f>#REF!</f>
        <v>#REF!</v>
      </c>
      <c r="AD4" s="52" t="e">
        <f>#REF!</f>
        <v>#REF!</v>
      </c>
      <c r="AE4" s="52" t="e">
        <f>#REF!</f>
        <v>#REF!</v>
      </c>
      <c r="AF4" s="52" t="e">
        <f>#REF!</f>
        <v>#REF!</v>
      </c>
      <c r="AG4" s="52" t="e">
        <f>#REF!</f>
        <v>#REF!</v>
      </c>
      <c r="AH4" s="52" t="e">
        <f>#REF!</f>
        <v>#REF!</v>
      </c>
      <c r="AI4" s="52" t="e">
        <f>#REF!</f>
        <v>#REF!</v>
      </c>
      <c r="AJ4" s="52" t="e">
        <f>#REF!</f>
        <v>#REF!</v>
      </c>
      <c r="AK4" s="52" t="e">
        <f>#REF!</f>
        <v>#REF!</v>
      </c>
      <c r="AL4" s="52" t="e">
        <f>#REF!</f>
        <v>#REF!</v>
      </c>
      <c r="AM4" s="52" t="e">
        <f>#REF!</f>
        <v>#REF!</v>
      </c>
      <c r="AN4" s="52" t="e">
        <f>#REF!</f>
        <v>#REF!</v>
      </c>
      <c r="AO4" s="52" t="e">
        <f>#REF!</f>
        <v>#REF!</v>
      </c>
      <c r="AP4" s="52" t="e">
        <f>#REF!</f>
        <v>#REF!</v>
      </c>
      <c r="AQ4" s="52" t="e">
        <f>#REF!</f>
        <v>#REF!</v>
      </c>
      <c r="AR4" s="52" t="e">
        <f>#REF!</f>
        <v>#REF!</v>
      </c>
      <c r="AS4" s="52" t="e">
        <f>#REF!</f>
        <v>#REF!</v>
      </c>
      <c r="AT4" s="52" t="e">
        <f>#REF!</f>
        <v>#REF!</v>
      </c>
      <c r="AU4" s="52" t="e">
        <f>#REF!</f>
        <v>#REF!</v>
      </c>
      <c r="AV4" s="52" t="e">
        <f>#REF!</f>
        <v>#REF!</v>
      </c>
      <c r="AW4" s="52" t="e">
        <f>#REF!</f>
        <v>#REF!</v>
      </c>
      <c r="AX4" s="52" t="e">
        <f>#REF!</f>
        <v>#REF!</v>
      </c>
      <c r="AY4" s="52" t="e">
        <f>#REF!</f>
        <v>#REF!</v>
      </c>
      <c r="AZ4" s="52" t="e">
        <f>#REF!</f>
        <v>#REF!</v>
      </c>
      <c r="BA4" s="52" t="e">
        <f>#REF!</f>
        <v>#REF!</v>
      </c>
      <c r="BB4" s="52" t="e">
        <f>#REF!</f>
        <v>#REF!</v>
      </c>
      <c r="BC4" s="52" t="e">
        <f>#REF!</f>
        <v>#REF!</v>
      </c>
      <c r="BD4" s="52" t="e">
        <f>#REF!</f>
        <v>#REF!</v>
      </c>
      <c r="BE4" s="52" t="e">
        <f>#REF!</f>
        <v>#REF!</v>
      </c>
    </row>
    <row r="5" spans="2:16384" s="17" customFormat="1" ht="42.95" hidden="1" customHeight="1" outlineLevel="1" thickTop="1" x14ac:dyDescent="0.3">
      <c r="E5" s="6"/>
      <c r="F5" s="14"/>
      <c r="G5" s="14"/>
      <c r="H5" s="14"/>
      <c r="I5" s="14"/>
      <c r="J5" s="7"/>
      <c r="K5" s="14"/>
      <c r="L5" s="14"/>
      <c r="M5" s="14"/>
      <c r="N5" s="51"/>
      <c r="O5" s="51"/>
      <c r="P5" s="51"/>
      <c r="Q5" s="51"/>
      <c r="R5" s="51"/>
      <c r="S5" s="51"/>
      <c r="T5" s="51"/>
      <c r="U5" s="51"/>
      <c r="V5" s="7"/>
      <c r="W5" s="18"/>
      <c r="X5" s="18"/>
      <c r="Y5" s="18"/>
    </row>
    <row r="6" spans="2:16384" ht="15" hidden="1" customHeight="1" outlineLevel="1" x14ac:dyDescent="0.3">
      <c r="F6" s="14"/>
      <c r="G6" s="14"/>
      <c r="H6" s="14"/>
      <c r="I6" s="14"/>
      <c r="K6" s="14"/>
      <c r="L6" s="14"/>
      <c r="M6" s="14"/>
      <c r="N6" s="51"/>
      <c r="O6" s="51"/>
      <c r="P6" s="51"/>
      <c r="Q6" s="51"/>
      <c r="R6" s="51"/>
      <c r="W6" s="16"/>
      <c r="X6" s="16"/>
      <c r="Y6" s="16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</row>
    <row r="7" spans="2:16384" ht="15" hidden="1" customHeight="1" outlineLevel="1" x14ac:dyDescent="0.3">
      <c r="F7" s="14"/>
      <c r="G7" s="14"/>
      <c r="H7" s="14"/>
      <c r="I7" s="14"/>
      <c r="K7" s="14"/>
      <c r="L7" s="14"/>
      <c r="M7" s="14"/>
      <c r="N7" s="51"/>
      <c r="O7" s="51"/>
      <c r="P7" s="51"/>
      <c r="Q7" s="51"/>
      <c r="R7" s="51"/>
      <c r="W7" s="16"/>
      <c r="X7" s="16"/>
      <c r="Y7" s="16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</row>
    <row r="8" spans="2:16384" ht="18.75" hidden="1" outlineLevel="1" thickTop="1" x14ac:dyDescent="0.35">
      <c r="B8" s="20"/>
      <c r="C8" s="21"/>
      <c r="F8" s="14"/>
      <c r="G8" s="14"/>
      <c r="H8" s="14"/>
      <c r="I8" s="14"/>
      <c r="K8" s="14"/>
      <c r="L8" s="14"/>
      <c r="M8" s="14"/>
      <c r="N8" s="56"/>
      <c r="O8" s="56"/>
      <c r="P8" s="56"/>
      <c r="Q8" s="56"/>
      <c r="R8" s="56"/>
      <c r="S8" s="22"/>
      <c r="T8" s="22"/>
      <c r="U8" s="22"/>
      <c r="V8" s="22"/>
      <c r="W8" s="16"/>
      <c r="X8" s="16"/>
      <c r="Y8" s="16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</row>
    <row r="9" spans="2:16384" ht="17.25" collapsed="1" thickTop="1" x14ac:dyDescent="0.3">
      <c r="F9" s="19"/>
      <c r="G9" s="19"/>
      <c r="H9" s="19"/>
      <c r="I9" s="19"/>
      <c r="K9" s="19"/>
      <c r="L9" s="19"/>
      <c r="M9" s="19"/>
      <c r="N9" s="57"/>
      <c r="O9" s="57"/>
      <c r="P9" s="57"/>
      <c r="Q9" s="57"/>
      <c r="R9" s="57"/>
      <c r="S9" s="19"/>
      <c r="T9" s="19"/>
      <c r="U9" s="19"/>
      <c r="V9" s="19"/>
      <c r="W9" s="16"/>
      <c r="X9" s="16"/>
      <c r="Y9" s="16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</row>
    <row r="10" spans="2:16384" ht="18.75" thickBot="1" x14ac:dyDescent="0.4">
      <c r="B10" s="149" t="s">
        <v>246</v>
      </c>
      <c r="C10" s="149"/>
      <c r="D10" s="149"/>
      <c r="E10" s="149"/>
      <c r="F10" s="149"/>
      <c r="G10" s="149"/>
      <c r="H10" s="149"/>
      <c r="I10" s="88"/>
      <c r="K10" s="88"/>
      <c r="L10" s="88"/>
      <c r="M10" s="88"/>
      <c r="N10" s="24"/>
      <c r="O10" s="24"/>
      <c r="P10" s="24"/>
      <c r="Q10" s="24"/>
      <c r="R10" s="24"/>
      <c r="S10" s="24"/>
      <c r="T10" s="24"/>
      <c r="U10" s="24"/>
      <c r="V10" s="19"/>
      <c r="W10" s="16"/>
      <c r="X10" s="16"/>
      <c r="Y10" s="16"/>
      <c r="Z10" s="16"/>
      <c r="AA10" s="16"/>
      <c r="AB10" s="16"/>
    </row>
    <row r="11" spans="2:16384" ht="25.5" customHeight="1" thickTop="1" thickBot="1" x14ac:dyDescent="0.4">
      <c r="B11" s="20"/>
      <c r="C11" s="13"/>
      <c r="F11" s="113"/>
      <c r="G11" s="15"/>
      <c r="H11" s="15"/>
      <c r="I11" s="15"/>
      <c r="K11" s="15"/>
      <c r="L11" s="15"/>
      <c r="M11" s="15"/>
      <c r="N11" s="39"/>
      <c r="O11" s="39"/>
      <c r="P11" s="39"/>
      <c r="Q11" s="39"/>
      <c r="R11" s="39"/>
      <c r="S11" s="39"/>
      <c r="T11" s="39"/>
      <c r="U11" s="40"/>
      <c r="V11" s="38"/>
    </row>
    <row r="12" spans="2:16384" ht="25.5" customHeight="1" thickTop="1" x14ac:dyDescent="0.35">
      <c r="B12" s="20"/>
      <c r="C12" s="114" t="s">
        <v>275</v>
      </c>
      <c r="F12" s="113" t="s">
        <v>273</v>
      </c>
      <c r="G12" s="15"/>
      <c r="H12" s="114"/>
      <c r="I12" s="15"/>
      <c r="K12" s="15"/>
      <c r="L12" s="15"/>
      <c r="M12" s="15"/>
      <c r="N12" s="38"/>
      <c r="O12" s="38"/>
      <c r="P12" s="38"/>
      <c r="Q12" s="38"/>
      <c r="R12" s="38"/>
      <c r="S12" s="38"/>
      <c r="T12" s="38"/>
      <c r="U12" s="65"/>
      <c r="V12" s="38"/>
      <c r="W12" s="114" t="s">
        <v>286</v>
      </c>
    </row>
    <row r="13" spans="2:16384" s="32" customFormat="1" ht="19.5" customHeight="1" x14ac:dyDescent="0.3">
      <c r="D13" s="6" t="s">
        <v>268</v>
      </c>
      <c r="E13" s="6"/>
      <c r="F13" s="125">
        <v>4500000000</v>
      </c>
      <c r="G13" s="90"/>
      <c r="H13" s="112"/>
      <c r="I13" s="90"/>
      <c r="J13" s="7"/>
      <c r="K13" s="90"/>
      <c r="L13" s="90"/>
      <c r="M13" s="15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139" t="s">
        <v>5</v>
      </c>
      <c r="Y13" s="139"/>
      <c r="Z13" s="41" t="e">
        <f>-#REF!</f>
        <v>#REF!</v>
      </c>
      <c r="AA13" s="41" t="e">
        <f>-#REF!</f>
        <v>#REF!</v>
      </c>
      <c r="AB13" s="41" t="e">
        <f>-#REF!</f>
        <v>#REF!</v>
      </c>
      <c r="AC13" s="41" t="e">
        <f>-#REF!</f>
        <v>#REF!</v>
      </c>
      <c r="AD13" s="41" t="e">
        <f>-#REF!</f>
        <v>#REF!</v>
      </c>
      <c r="AE13" s="41" t="e">
        <f>-#REF!</f>
        <v>#REF!</v>
      </c>
      <c r="AF13" s="41" t="e">
        <f>-#REF!</f>
        <v>#REF!</v>
      </c>
      <c r="AG13" s="41" t="e">
        <f>-#REF!</f>
        <v>#REF!</v>
      </c>
      <c r="AH13" s="41" t="e">
        <f>-#REF!</f>
        <v>#REF!</v>
      </c>
      <c r="AI13" s="41" t="e">
        <f>-#REF!</f>
        <v>#REF!</v>
      </c>
      <c r="AJ13" s="41" t="e">
        <f>-#REF!</f>
        <v>#REF!</v>
      </c>
      <c r="AK13" s="41" t="e">
        <f>-#REF!</f>
        <v>#REF!</v>
      </c>
      <c r="AL13" s="41" t="e">
        <f>-#REF!</f>
        <v>#REF!</v>
      </c>
      <c r="AM13" s="41" t="e">
        <f>-#REF!</f>
        <v>#REF!</v>
      </c>
      <c r="AN13" s="41" t="e">
        <f>-#REF!</f>
        <v>#REF!</v>
      </c>
      <c r="AO13" s="41" t="e">
        <f>-#REF!</f>
        <v>#REF!</v>
      </c>
      <c r="AP13" s="41" t="e">
        <f>-#REF!</f>
        <v>#REF!</v>
      </c>
      <c r="AQ13" s="41" t="e">
        <f>-#REF!</f>
        <v>#REF!</v>
      </c>
      <c r="AR13" s="41" t="e">
        <f>-#REF!</f>
        <v>#REF!</v>
      </c>
      <c r="AS13" s="41" t="e">
        <f>-#REF!</f>
        <v>#REF!</v>
      </c>
      <c r="AT13" s="41" t="e">
        <f>-#REF!</f>
        <v>#REF!</v>
      </c>
      <c r="AU13" s="41" t="e">
        <f>-#REF!</f>
        <v>#REF!</v>
      </c>
      <c r="AV13" s="41" t="e">
        <f>-#REF!</f>
        <v>#REF!</v>
      </c>
      <c r="AW13" s="41" t="e">
        <f>-#REF!</f>
        <v>#REF!</v>
      </c>
      <c r="AX13" s="41" t="e">
        <f>-#REF!</f>
        <v>#REF!</v>
      </c>
      <c r="AY13" s="41" t="e">
        <f>-#REF!</f>
        <v>#REF!</v>
      </c>
      <c r="AZ13" s="41" t="e">
        <f>-#REF!</f>
        <v>#REF!</v>
      </c>
      <c r="BA13" s="41" t="e">
        <f>-#REF!</f>
        <v>#REF!</v>
      </c>
      <c r="BB13" s="41" t="e">
        <f>-#REF!</f>
        <v>#REF!</v>
      </c>
      <c r="BC13" s="41" t="e">
        <f>-#REF!</f>
        <v>#REF!</v>
      </c>
      <c r="BD13" s="41" t="e">
        <f>-#REF!</f>
        <v>#REF!</v>
      </c>
      <c r="BE13" s="41" t="e">
        <f>-#REF!</f>
        <v>#REF!</v>
      </c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  <c r="AFJ13" s="41"/>
      <c r="AFK13" s="41"/>
      <c r="AFL13" s="41"/>
      <c r="AFM13" s="41"/>
      <c r="AFN13" s="41"/>
      <c r="AFO13" s="41"/>
      <c r="AFP13" s="41"/>
      <c r="AFQ13" s="41"/>
      <c r="AFR13" s="41"/>
      <c r="AFS13" s="41"/>
      <c r="AFT13" s="41"/>
      <c r="AFU13" s="41"/>
      <c r="AFV13" s="41"/>
      <c r="AFW13" s="41"/>
      <c r="AFX13" s="41"/>
      <c r="AFY13" s="41"/>
      <c r="AFZ13" s="41"/>
      <c r="AGA13" s="41"/>
      <c r="AGB13" s="41"/>
      <c r="AGC13" s="41"/>
      <c r="AGD13" s="41"/>
      <c r="AGE13" s="41"/>
      <c r="AGF13" s="41"/>
      <c r="AGG13" s="41"/>
      <c r="AGH13" s="41"/>
      <c r="AGI13" s="41"/>
      <c r="AGJ13" s="41"/>
      <c r="AGK13" s="41"/>
      <c r="AGL13" s="41"/>
      <c r="AGM13" s="41"/>
      <c r="AGN13" s="41"/>
      <c r="AGO13" s="41"/>
      <c r="AGP13" s="41"/>
      <c r="AGQ13" s="41"/>
      <c r="AGR13" s="41"/>
      <c r="AGS13" s="41"/>
      <c r="AGT13" s="41"/>
      <c r="AGU13" s="41"/>
      <c r="AGV13" s="41"/>
      <c r="AGW13" s="41"/>
      <c r="AGX13" s="41"/>
      <c r="AGY13" s="41"/>
      <c r="AGZ13" s="41"/>
      <c r="AHA13" s="41"/>
      <c r="AHB13" s="41"/>
      <c r="AHC13" s="41"/>
      <c r="AHD13" s="41"/>
      <c r="AHE13" s="41"/>
      <c r="AHF13" s="41"/>
      <c r="AHG13" s="41"/>
      <c r="AHH13" s="41"/>
      <c r="AHI13" s="41"/>
      <c r="AHJ13" s="41"/>
      <c r="AHK13" s="41"/>
      <c r="AHL13" s="41"/>
      <c r="AHM13" s="41"/>
      <c r="AHN13" s="41"/>
      <c r="AHO13" s="41"/>
      <c r="AHP13" s="41"/>
      <c r="AHQ13" s="41"/>
      <c r="AHR13" s="41"/>
      <c r="AHS13" s="41"/>
      <c r="AHT13" s="41"/>
      <c r="AHU13" s="41"/>
      <c r="AHV13" s="41"/>
      <c r="AHW13" s="41"/>
      <c r="AHX13" s="41"/>
      <c r="AHY13" s="41"/>
      <c r="AHZ13" s="41"/>
      <c r="AIA13" s="41"/>
      <c r="AIB13" s="41"/>
      <c r="AIC13" s="41"/>
      <c r="AID13" s="41"/>
      <c r="AIE13" s="41"/>
      <c r="AIF13" s="41"/>
      <c r="AIG13" s="41"/>
      <c r="AIH13" s="41"/>
      <c r="AII13" s="41"/>
      <c r="AIJ13" s="41"/>
      <c r="AIK13" s="41"/>
      <c r="AIL13" s="41"/>
      <c r="AIM13" s="41"/>
      <c r="AIN13" s="41"/>
      <c r="AIO13" s="41"/>
      <c r="AIP13" s="41"/>
      <c r="AIQ13" s="41"/>
      <c r="AIR13" s="41"/>
      <c r="AIS13" s="41"/>
      <c r="AIT13" s="41"/>
      <c r="AIU13" s="41"/>
      <c r="AIV13" s="41"/>
      <c r="AIW13" s="41"/>
      <c r="AIX13" s="41"/>
      <c r="AIY13" s="41"/>
      <c r="AIZ13" s="41"/>
      <c r="AJA13" s="41"/>
      <c r="AJB13" s="41"/>
      <c r="AJC13" s="41"/>
      <c r="AJD13" s="41"/>
      <c r="AJE13" s="41"/>
      <c r="AJF13" s="41"/>
      <c r="AJG13" s="41"/>
      <c r="AJH13" s="41"/>
      <c r="AJI13" s="41"/>
      <c r="AJJ13" s="41"/>
      <c r="AJK13" s="41"/>
      <c r="AJL13" s="41"/>
      <c r="AJM13" s="41"/>
      <c r="AJN13" s="41"/>
      <c r="AJO13" s="41"/>
      <c r="AJP13" s="41"/>
      <c r="AJQ13" s="41"/>
      <c r="AJR13" s="41"/>
      <c r="AJS13" s="41"/>
      <c r="AJT13" s="41"/>
      <c r="AJU13" s="41"/>
      <c r="AJV13" s="41"/>
      <c r="AJW13" s="41"/>
      <c r="AJX13" s="41"/>
      <c r="AJY13" s="41"/>
      <c r="AJZ13" s="41"/>
      <c r="AKA13" s="41"/>
      <c r="AKB13" s="41"/>
      <c r="AKC13" s="41"/>
      <c r="AKD13" s="41"/>
      <c r="AKE13" s="41"/>
      <c r="AKF13" s="41"/>
      <c r="AKG13" s="41"/>
      <c r="AKH13" s="41"/>
      <c r="AKI13" s="41"/>
      <c r="AKJ13" s="41"/>
      <c r="AKK13" s="41"/>
      <c r="AKL13" s="41"/>
      <c r="AKM13" s="41"/>
      <c r="AKN13" s="41"/>
      <c r="AKO13" s="41"/>
      <c r="AKP13" s="41"/>
      <c r="AKQ13" s="41"/>
      <c r="AKR13" s="41"/>
      <c r="AKS13" s="41"/>
      <c r="AKT13" s="41"/>
      <c r="AKU13" s="41"/>
      <c r="AKV13" s="41"/>
      <c r="AKW13" s="41"/>
      <c r="AKX13" s="41"/>
      <c r="AKY13" s="41"/>
      <c r="AKZ13" s="41"/>
      <c r="ALA13" s="41"/>
      <c r="ALB13" s="41"/>
      <c r="ALC13" s="41"/>
      <c r="ALD13" s="41"/>
      <c r="ALE13" s="41"/>
      <c r="ALF13" s="41"/>
      <c r="ALG13" s="41"/>
      <c r="ALH13" s="41"/>
      <c r="ALI13" s="41"/>
      <c r="ALJ13" s="41"/>
      <c r="ALK13" s="41"/>
      <c r="ALL13" s="41"/>
      <c r="ALM13" s="41"/>
      <c r="ALN13" s="41"/>
      <c r="ALO13" s="41"/>
      <c r="ALP13" s="41"/>
      <c r="ALQ13" s="41"/>
      <c r="ALR13" s="41"/>
      <c r="ALS13" s="41"/>
      <c r="ALT13" s="41"/>
      <c r="ALU13" s="41"/>
      <c r="ALV13" s="41"/>
      <c r="ALW13" s="41"/>
      <c r="ALX13" s="41"/>
      <c r="ALY13" s="41"/>
      <c r="ALZ13" s="41"/>
      <c r="AMA13" s="41"/>
      <c r="AMB13" s="41"/>
      <c r="AMC13" s="41"/>
      <c r="AMD13" s="41"/>
      <c r="AME13" s="41"/>
      <c r="AMF13" s="41"/>
      <c r="AMG13" s="41"/>
      <c r="AMH13" s="41"/>
      <c r="AMI13" s="41"/>
      <c r="AMJ13" s="41"/>
      <c r="AMK13" s="41"/>
      <c r="AML13" s="41"/>
      <c r="AMM13" s="41"/>
      <c r="AMN13" s="41"/>
      <c r="AMO13" s="41"/>
      <c r="AMP13" s="41"/>
      <c r="AMQ13" s="41"/>
      <c r="AMR13" s="41"/>
      <c r="AMS13" s="41"/>
      <c r="AMT13" s="41"/>
      <c r="AMU13" s="41"/>
      <c r="AMV13" s="41"/>
      <c r="AMW13" s="41"/>
      <c r="AMX13" s="41"/>
      <c r="AMY13" s="41"/>
      <c r="AMZ13" s="41"/>
      <c r="ANA13" s="41"/>
      <c r="ANB13" s="41"/>
      <c r="ANC13" s="41"/>
      <c r="AND13" s="41"/>
      <c r="ANE13" s="41"/>
      <c r="ANF13" s="41"/>
      <c r="ANG13" s="41"/>
      <c r="ANH13" s="41"/>
      <c r="ANI13" s="41"/>
      <c r="ANJ13" s="41"/>
      <c r="ANK13" s="41"/>
      <c r="ANL13" s="41"/>
      <c r="ANM13" s="41"/>
      <c r="ANN13" s="41"/>
      <c r="ANO13" s="41"/>
      <c r="ANP13" s="41"/>
      <c r="ANQ13" s="41"/>
      <c r="ANR13" s="41"/>
      <c r="ANS13" s="41"/>
      <c r="ANT13" s="41"/>
      <c r="ANU13" s="41"/>
      <c r="ANV13" s="41"/>
      <c r="ANW13" s="41"/>
      <c r="ANX13" s="41"/>
      <c r="ANY13" s="41"/>
      <c r="ANZ13" s="41"/>
      <c r="AOA13" s="41"/>
      <c r="AOB13" s="41"/>
      <c r="AOC13" s="41"/>
      <c r="AOD13" s="41"/>
      <c r="AOE13" s="41"/>
      <c r="AOF13" s="41"/>
      <c r="AOG13" s="41"/>
      <c r="AOH13" s="41"/>
      <c r="AOI13" s="41"/>
      <c r="AOJ13" s="41"/>
      <c r="AOK13" s="41"/>
      <c r="AOL13" s="41"/>
      <c r="AOM13" s="41"/>
      <c r="AON13" s="41"/>
      <c r="AOO13" s="41"/>
      <c r="AOP13" s="41"/>
      <c r="AOQ13" s="41"/>
      <c r="AOR13" s="41"/>
      <c r="AOS13" s="41"/>
      <c r="AOT13" s="41"/>
      <c r="AOU13" s="41"/>
      <c r="AOV13" s="41"/>
      <c r="AOW13" s="41"/>
      <c r="AOX13" s="41"/>
      <c r="AOY13" s="41"/>
      <c r="AOZ13" s="41"/>
      <c r="APA13" s="41"/>
      <c r="APB13" s="41"/>
      <c r="APC13" s="41"/>
      <c r="APD13" s="41"/>
      <c r="APE13" s="41"/>
      <c r="APF13" s="41"/>
      <c r="APG13" s="41"/>
      <c r="APH13" s="41"/>
      <c r="API13" s="41"/>
      <c r="APJ13" s="41"/>
      <c r="APK13" s="41"/>
      <c r="APL13" s="41"/>
      <c r="APM13" s="41"/>
      <c r="APN13" s="41"/>
      <c r="APO13" s="41"/>
      <c r="APP13" s="41"/>
      <c r="APQ13" s="41"/>
      <c r="APR13" s="41"/>
      <c r="APS13" s="41"/>
      <c r="APT13" s="41"/>
      <c r="APU13" s="41"/>
      <c r="APV13" s="41"/>
      <c r="APW13" s="41"/>
      <c r="APX13" s="41"/>
      <c r="APY13" s="41"/>
      <c r="APZ13" s="41"/>
      <c r="AQA13" s="41"/>
      <c r="AQB13" s="41"/>
      <c r="AQC13" s="41"/>
      <c r="AQD13" s="41"/>
      <c r="AQE13" s="41"/>
      <c r="AQF13" s="41"/>
      <c r="AQG13" s="41"/>
      <c r="AQH13" s="41"/>
      <c r="AQI13" s="41"/>
      <c r="AQJ13" s="41"/>
      <c r="AQK13" s="41"/>
      <c r="AQL13" s="41"/>
      <c r="AQM13" s="41"/>
      <c r="AQN13" s="41"/>
      <c r="AQO13" s="41"/>
      <c r="AQP13" s="41"/>
      <c r="AQQ13" s="41"/>
      <c r="AQR13" s="41"/>
      <c r="AQS13" s="41"/>
      <c r="AQT13" s="41"/>
      <c r="AQU13" s="41"/>
      <c r="AQV13" s="41"/>
      <c r="AQW13" s="41"/>
      <c r="AQX13" s="41"/>
      <c r="AQY13" s="41"/>
      <c r="AQZ13" s="41"/>
      <c r="ARA13" s="41"/>
      <c r="ARB13" s="41"/>
      <c r="ARC13" s="41"/>
      <c r="ARD13" s="41"/>
      <c r="ARE13" s="41"/>
      <c r="ARF13" s="41"/>
      <c r="ARG13" s="41"/>
      <c r="ARH13" s="41"/>
      <c r="ARI13" s="41"/>
      <c r="ARJ13" s="41"/>
      <c r="ARK13" s="41"/>
      <c r="ARL13" s="41"/>
      <c r="ARM13" s="41"/>
      <c r="ARN13" s="41"/>
      <c r="ARO13" s="41"/>
      <c r="ARP13" s="41"/>
      <c r="ARQ13" s="41"/>
      <c r="ARR13" s="41"/>
      <c r="ARS13" s="41"/>
      <c r="ART13" s="41"/>
      <c r="ARU13" s="41"/>
      <c r="ARV13" s="41"/>
      <c r="ARW13" s="41"/>
      <c r="ARX13" s="41"/>
      <c r="ARY13" s="41"/>
      <c r="ARZ13" s="41"/>
      <c r="ASA13" s="41"/>
      <c r="ASB13" s="41"/>
      <c r="ASC13" s="41"/>
      <c r="ASD13" s="41"/>
      <c r="ASE13" s="41"/>
      <c r="ASF13" s="41"/>
      <c r="ASG13" s="41"/>
      <c r="ASH13" s="41"/>
      <c r="ASI13" s="41"/>
      <c r="ASJ13" s="41"/>
      <c r="ASK13" s="41"/>
      <c r="ASL13" s="41"/>
      <c r="ASM13" s="41"/>
      <c r="ASN13" s="41"/>
      <c r="ASO13" s="41"/>
      <c r="ASP13" s="41"/>
      <c r="ASQ13" s="41"/>
      <c r="ASR13" s="41"/>
      <c r="ASS13" s="41"/>
      <c r="AST13" s="41"/>
      <c r="ASU13" s="41"/>
      <c r="ASV13" s="41"/>
      <c r="ASW13" s="41"/>
      <c r="ASX13" s="41"/>
      <c r="ASY13" s="41"/>
      <c r="ASZ13" s="41"/>
      <c r="ATA13" s="41"/>
      <c r="ATB13" s="41"/>
      <c r="ATC13" s="41"/>
      <c r="ATD13" s="41"/>
      <c r="ATE13" s="41"/>
      <c r="ATF13" s="41"/>
      <c r="ATG13" s="41"/>
      <c r="ATH13" s="41"/>
      <c r="ATI13" s="41"/>
      <c r="ATJ13" s="41"/>
      <c r="ATK13" s="41"/>
      <c r="ATL13" s="41"/>
      <c r="ATM13" s="41"/>
      <c r="ATN13" s="41"/>
      <c r="ATO13" s="41"/>
      <c r="ATP13" s="41"/>
      <c r="ATQ13" s="41"/>
      <c r="ATR13" s="41"/>
      <c r="ATS13" s="41"/>
      <c r="ATT13" s="41"/>
      <c r="ATU13" s="41"/>
      <c r="ATV13" s="41"/>
      <c r="ATW13" s="41"/>
      <c r="ATX13" s="41"/>
      <c r="ATY13" s="41"/>
      <c r="ATZ13" s="41"/>
      <c r="AUA13" s="41"/>
      <c r="AUB13" s="41"/>
      <c r="AUC13" s="41"/>
      <c r="AUD13" s="41"/>
      <c r="AUE13" s="41"/>
      <c r="AUF13" s="41"/>
      <c r="AUG13" s="41"/>
      <c r="AUH13" s="41"/>
      <c r="AUI13" s="41"/>
      <c r="AUJ13" s="41"/>
      <c r="AUK13" s="41"/>
      <c r="AUL13" s="41"/>
      <c r="AUM13" s="41"/>
      <c r="AUN13" s="41"/>
      <c r="AUO13" s="41"/>
      <c r="AUP13" s="41"/>
      <c r="AUQ13" s="41"/>
      <c r="AUR13" s="41"/>
      <c r="AUS13" s="41"/>
      <c r="AUT13" s="41"/>
      <c r="AUU13" s="41"/>
      <c r="AUV13" s="41"/>
      <c r="AUW13" s="41"/>
      <c r="AUX13" s="41"/>
      <c r="AUY13" s="41"/>
      <c r="AUZ13" s="41"/>
      <c r="AVA13" s="41"/>
      <c r="AVB13" s="41"/>
      <c r="AVC13" s="41"/>
      <c r="AVD13" s="41"/>
      <c r="AVE13" s="41"/>
      <c r="AVF13" s="41"/>
      <c r="AVG13" s="41"/>
      <c r="AVH13" s="41"/>
      <c r="AVI13" s="41"/>
      <c r="AVJ13" s="41"/>
      <c r="AVK13" s="41"/>
      <c r="AVL13" s="41"/>
      <c r="AVM13" s="41"/>
      <c r="AVN13" s="41"/>
      <c r="AVO13" s="41"/>
      <c r="AVP13" s="41"/>
      <c r="AVQ13" s="41"/>
      <c r="AVR13" s="41"/>
      <c r="AVS13" s="41"/>
      <c r="AVT13" s="41"/>
      <c r="AVU13" s="41"/>
      <c r="AVV13" s="41"/>
      <c r="AVW13" s="41"/>
      <c r="AVX13" s="41"/>
      <c r="AVY13" s="41"/>
      <c r="AVZ13" s="41"/>
      <c r="AWA13" s="41"/>
      <c r="AWB13" s="41"/>
      <c r="AWC13" s="41"/>
      <c r="AWD13" s="41"/>
      <c r="AWE13" s="41"/>
      <c r="AWF13" s="41"/>
      <c r="AWG13" s="41"/>
      <c r="AWH13" s="41"/>
      <c r="AWI13" s="41"/>
      <c r="AWJ13" s="41"/>
      <c r="AWK13" s="41"/>
      <c r="AWL13" s="41"/>
      <c r="AWM13" s="41"/>
      <c r="AWN13" s="41"/>
      <c r="AWO13" s="41"/>
      <c r="AWP13" s="41"/>
      <c r="AWQ13" s="41"/>
      <c r="AWR13" s="41"/>
      <c r="AWS13" s="41"/>
      <c r="AWT13" s="41"/>
      <c r="AWU13" s="41"/>
      <c r="AWV13" s="41"/>
      <c r="AWW13" s="41"/>
      <c r="AWX13" s="41"/>
      <c r="AWY13" s="41"/>
      <c r="AWZ13" s="41"/>
      <c r="AXA13" s="41"/>
      <c r="AXB13" s="41"/>
      <c r="AXC13" s="41"/>
      <c r="AXD13" s="41"/>
      <c r="AXE13" s="41"/>
      <c r="AXF13" s="41"/>
      <c r="AXG13" s="41"/>
      <c r="AXH13" s="41"/>
      <c r="AXI13" s="41"/>
      <c r="AXJ13" s="41"/>
      <c r="AXK13" s="41"/>
      <c r="AXL13" s="41"/>
      <c r="AXM13" s="41"/>
      <c r="AXN13" s="41"/>
      <c r="AXO13" s="41"/>
      <c r="AXP13" s="41"/>
      <c r="AXQ13" s="41"/>
      <c r="AXR13" s="41"/>
      <c r="AXS13" s="41"/>
      <c r="AXT13" s="41"/>
      <c r="AXU13" s="41"/>
      <c r="AXV13" s="41"/>
      <c r="AXW13" s="41"/>
      <c r="AXX13" s="41"/>
      <c r="AXY13" s="41"/>
      <c r="AXZ13" s="41"/>
      <c r="AYA13" s="41"/>
      <c r="AYB13" s="41"/>
      <c r="AYC13" s="41"/>
      <c r="AYD13" s="41"/>
      <c r="AYE13" s="41"/>
      <c r="AYF13" s="41"/>
      <c r="AYG13" s="41"/>
      <c r="AYH13" s="41"/>
      <c r="AYI13" s="41"/>
      <c r="AYJ13" s="41"/>
      <c r="AYK13" s="41"/>
      <c r="AYL13" s="41"/>
      <c r="AYM13" s="41"/>
      <c r="AYN13" s="41"/>
      <c r="AYO13" s="41"/>
      <c r="AYP13" s="41"/>
      <c r="AYQ13" s="41"/>
      <c r="AYR13" s="41"/>
      <c r="AYS13" s="41"/>
      <c r="AYT13" s="41"/>
      <c r="AYU13" s="41"/>
      <c r="AYV13" s="41"/>
      <c r="AYW13" s="41"/>
      <c r="AYX13" s="41"/>
      <c r="AYY13" s="41"/>
      <c r="AYZ13" s="41"/>
      <c r="AZA13" s="41"/>
      <c r="AZB13" s="41"/>
      <c r="AZC13" s="41"/>
      <c r="AZD13" s="41"/>
      <c r="AZE13" s="41"/>
      <c r="AZF13" s="41"/>
      <c r="AZG13" s="41"/>
      <c r="AZH13" s="41"/>
      <c r="AZI13" s="41"/>
      <c r="AZJ13" s="41"/>
      <c r="AZK13" s="41"/>
      <c r="AZL13" s="41"/>
      <c r="AZM13" s="41"/>
      <c r="AZN13" s="41"/>
      <c r="AZO13" s="41"/>
      <c r="AZP13" s="41"/>
      <c r="AZQ13" s="41"/>
      <c r="AZR13" s="41"/>
      <c r="AZS13" s="41"/>
      <c r="AZT13" s="41"/>
      <c r="AZU13" s="41"/>
      <c r="AZV13" s="41"/>
      <c r="AZW13" s="41"/>
      <c r="AZX13" s="41"/>
      <c r="AZY13" s="41"/>
      <c r="AZZ13" s="41"/>
      <c r="BAA13" s="41"/>
      <c r="BAB13" s="41"/>
      <c r="BAC13" s="41"/>
      <c r="BAD13" s="41"/>
      <c r="BAE13" s="41"/>
      <c r="BAF13" s="41"/>
      <c r="BAG13" s="41"/>
      <c r="BAH13" s="41"/>
      <c r="BAI13" s="41"/>
      <c r="BAJ13" s="41"/>
      <c r="BAK13" s="41"/>
      <c r="BAL13" s="41"/>
      <c r="BAM13" s="41"/>
      <c r="BAN13" s="41"/>
      <c r="BAO13" s="41"/>
      <c r="BAP13" s="41"/>
      <c r="BAQ13" s="41"/>
      <c r="BAR13" s="41"/>
      <c r="BAS13" s="41"/>
      <c r="BAT13" s="41"/>
      <c r="BAU13" s="41"/>
      <c r="BAV13" s="41"/>
      <c r="BAW13" s="41"/>
      <c r="BAX13" s="41"/>
      <c r="BAY13" s="41"/>
      <c r="BAZ13" s="41"/>
      <c r="BBA13" s="41"/>
      <c r="BBB13" s="41"/>
      <c r="BBC13" s="41"/>
      <c r="BBD13" s="41"/>
      <c r="BBE13" s="41"/>
      <c r="BBF13" s="41"/>
      <c r="BBG13" s="41"/>
      <c r="BBH13" s="41"/>
      <c r="BBI13" s="41"/>
      <c r="BBJ13" s="41"/>
      <c r="BBK13" s="41"/>
      <c r="BBL13" s="41"/>
      <c r="BBM13" s="41"/>
      <c r="BBN13" s="41"/>
      <c r="BBO13" s="41"/>
      <c r="BBP13" s="41"/>
      <c r="BBQ13" s="41"/>
      <c r="BBR13" s="41"/>
      <c r="BBS13" s="41"/>
      <c r="BBT13" s="41"/>
      <c r="BBU13" s="41"/>
      <c r="BBV13" s="41"/>
      <c r="BBW13" s="41"/>
      <c r="BBX13" s="41"/>
      <c r="BBY13" s="41"/>
      <c r="BBZ13" s="41"/>
      <c r="BCA13" s="41"/>
      <c r="BCB13" s="41"/>
      <c r="BCC13" s="41"/>
      <c r="BCD13" s="41"/>
      <c r="BCE13" s="41"/>
      <c r="BCF13" s="41"/>
      <c r="BCG13" s="41"/>
      <c r="BCH13" s="41"/>
      <c r="BCI13" s="41"/>
      <c r="BCJ13" s="41"/>
      <c r="BCK13" s="41"/>
      <c r="BCL13" s="41"/>
      <c r="BCM13" s="41"/>
      <c r="BCN13" s="41"/>
      <c r="BCO13" s="41"/>
      <c r="BCP13" s="41"/>
      <c r="BCQ13" s="41"/>
      <c r="BCR13" s="41"/>
      <c r="BCS13" s="41"/>
      <c r="BCT13" s="41"/>
      <c r="BCU13" s="41"/>
      <c r="BCV13" s="41"/>
      <c r="BCW13" s="41"/>
      <c r="BCX13" s="41"/>
      <c r="BCY13" s="41"/>
      <c r="BCZ13" s="41"/>
      <c r="BDA13" s="41"/>
      <c r="BDB13" s="41"/>
      <c r="BDC13" s="41"/>
      <c r="BDD13" s="41"/>
      <c r="BDE13" s="41"/>
      <c r="BDF13" s="41"/>
      <c r="BDG13" s="41"/>
      <c r="BDH13" s="41"/>
      <c r="BDI13" s="41"/>
      <c r="BDJ13" s="41"/>
      <c r="BDK13" s="41"/>
      <c r="BDL13" s="41"/>
      <c r="BDM13" s="41"/>
      <c r="BDN13" s="41"/>
      <c r="BDO13" s="41"/>
      <c r="BDP13" s="41"/>
      <c r="BDQ13" s="41"/>
      <c r="BDR13" s="41"/>
      <c r="BDS13" s="41"/>
      <c r="BDT13" s="41"/>
      <c r="BDU13" s="41"/>
      <c r="BDV13" s="41"/>
      <c r="BDW13" s="41"/>
      <c r="BDX13" s="41"/>
      <c r="BDY13" s="41"/>
      <c r="BDZ13" s="41"/>
      <c r="BEA13" s="41"/>
      <c r="BEB13" s="41"/>
      <c r="BEC13" s="41"/>
      <c r="BED13" s="41"/>
      <c r="BEE13" s="41"/>
      <c r="BEF13" s="41"/>
      <c r="BEG13" s="41"/>
      <c r="BEH13" s="41"/>
      <c r="BEI13" s="41"/>
      <c r="BEJ13" s="41"/>
      <c r="BEK13" s="41"/>
      <c r="BEL13" s="41"/>
      <c r="BEM13" s="41"/>
      <c r="BEN13" s="41"/>
      <c r="BEO13" s="41"/>
      <c r="BEP13" s="41"/>
      <c r="BEQ13" s="41"/>
      <c r="BER13" s="41"/>
      <c r="BES13" s="41"/>
      <c r="BET13" s="41"/>
      <c r="BEU13" s="41"/>
      <c r="BEV13" s="41"/>
      <c r="BEW13" s="41"/>
      <c r="BEX13" s="41"/>
      <c r="BEY13" s="41"/>
      <c r="BEZ13" s="41"/>
      <c r="BFA13" s="41"/>
      <c r="BFB13" s="41"/>
      <c r="BFC13" s="41"/>
      <c r="BFD13" s="41"/>
      <c r="BFE13" s="41"/>
      <c r="BFF13" s="41"/>
      <c r="BFG13" s="41"/>
      <c r="BFH13" s="41"/>
      <c r="BFI13" s="41"/>
      <c r="BFJ13" s="41"/>
      <c r="BFK13" s="41"/>
      <c r="BFL13" s="41"/>
      <c r="BFM13" s="41"/>
      <c r="BFN13" s="41"/>
      <c r="BFO13" s="41"/>
      <c r="BFP13" s="41"/>
      <c r="BFQ13" s="41"/>
      <c r="BFR13" s="41"/>
      <c r="BFS13" s="41"/>
      <c r="BFT13" s="41"/>
      <c r="BFU13" s="41"/>
      <c r="BFV13" s="41"/>
      <c r="BFW13" s="41"/>
      <c r="BFX13" s="41"/>
      <c r="BFY13" s="41"/>
      <c r="BFZ13" s="41"/>
      <c r="BGA13" s="41"/>
      <c r="BGB13" s="41"/>
      <c r="BGC13" s="41"/>
      <c r="BGD13" s="41"/>
      <c r="BGE13" s="41"/>
      <c r="BGF13" s="41"/>
      <c r="BGG13" s="41"/>
      <c r="BGH13" s="41"/>
      <c r="BGI13" s="41"/>
      <c r="BGJ13" s="41"/>
      <c r="BGK13" s="41"/>
      <c r="BGL13" s="41"/>
      <c r="BGM13" s="41"/>
      <c r="BGN13" s="41"/>
      <c r="BGO13" s="41"/>
      <c r="BGP13" s="41"/>
      <c r="BGQ13" s="41"/>
      <c r="BGR13" s="41"/>
      <c r="BGS13" s="41"/>
      <c r="BGT13" s="41"/>
      <c r="BGU13" s="41"/>
      <c r="BGV13" s="41"/>
      <c r="BGW13" s="41"/>
      <c r="BGX13" s="41"/>
      <c r="BGY13" s="41"/>
      <c r="BGZ13" s="41"/>
      <c r="BHA13" s="41"/>
      <c r="BHB13" s="41"/>
      <c r="BHC13" s="41"/>
      <c r="BHD13" s="41"/>
      <c r="BHE13" s="41"/>
      <c r="BHF13" s="41"/>
      <c r="BHG13" s="41"/>
      <c r="BHH13" s="41"/>
      <c r="BHI13" s="41"/>
      <c r="BHJ13" s="41"/>
      <c r="BHK13" s="41"/>
      <c r="BHL13" s="41"/>
      <c r="BHM13" s="41"/>
      <c r="BHN13" s="41"/>
      <c r="BHO13" s="41"/>
      <c r="BHP13" s="41"/>
      <c r="BHQ13" s="41"/>
      <c r="BHR13" s="41"/>
      <c r="BHS13" s="41"/>
      <c r="BHT13" s="41"/>
      <c r="BHU13" s="41"/>
      <c r="BHV13" s="41"/>
      <c r="BHW13" s="41"/>
      <c r="BHX13" s="41"/>
      <c r="BHY13" s="41"/>
      <c r="BHZ13" s="41"/>
      <c r="BIA13" s="41"/>
      <c r="BIB13" s="41"/>
      <c r="BIC13" s="41"/>
      <c r="BID13" s="41"/>
      <c r="BIE13" s="41"/>
      <c r="BIF13" s="41"/>
      <c r="BIG13" s="41"/>
      <c r="BIH13" s="41"/>
      <c r="BII13" s="41"/>
      <c r="BIJ13" s="41"/>
      <c r="BIK13" s="41"/>
      <c r="BIL13" s="41"/>
      <c r="BIM13" s="41"/>
      <c r="BIN13" s="41"/>
      <c r="BIO13" s="41"/>
      <c r="BIP13" s="41"/>
      <c r="BIQ13" s="41"/>
      <c r="BIR13" s="41"/>
      <c r="BIS13" s="41"/>
      <c r="BIT13" s="41"/>
      <c r="BIU13" s="41"/>
      <c r="BIV13" s="41"/>
      <c r="BIW13" s="41"/>
      <c r="BIX13" s="41"/>
      <c r="BIY13" s="41"/>
      <c r="BIZ13" s="41"/>
      <c r="BJA13" s="41"/>
      <c r="BJB13" s="41"/>
      <c r="BJC13" s="41"/>
      <c r="BJD13" s="41"/>
      <c r="BJE13" s="41"/>
      <c r="BJF13" s="41"/>
      <c r="BJG13" s="41"/>
      <c r="BJH13" s="41"/>
      <c r="BJI13" s="41"/>
      <c r="BJJ13" s="41"/>
      <c r="BJK13" s="41"/>
      <c r="BJL13" s="41"/>
      <c r="BJM13" s="41"/>
      <c r="BJN13" s="41"/>
      <c r="BJO13" s="41"/>
      <c r="BJP13" s="41"/>
      <c r="BJQ13" s="41"/>
      <c r="BJR13" s="41"/>
      <c r="BJS13" s="41"/>
      <c r="BJT13" s="41"/>
      <c r="BJU13" s="41"/>
      <c r="BJV13" s="41"/>
      <c r="BJW13" s="41"/>
      <c r="BJX13" s="41"/>
      <c r="BJY13" s="41"/>
      <c r="BJZ13" s="41"/>
      <c r="BKA13" s="41"/>
      <c r="BKB13" s="41"/>
      <c r="BKC13" s="41"/>
      <c r="BKD13" s="41"/>
      <c r="BKE13" s="41"/>
      <c r="BKF13" s="41"/>
      <c r="BKG13" s="41"/>
      <c r="BKH13" s="41"/>
      <c r="BKI13" s="41"/>
      <c r="BKJ13" s="41"/>
      <c r="BKK13" s="41"/>
      <c r="BKL13" s="41"/>
      <c r="BKM13" s="41"/>
      <c r="BKN13" s="41"/>
      <c r="BKO13" s="41"/>
      <c r="BKP13" s="41"/>
      <c r="BKQ13" s="41"/>
      <c r="BKR13" s="41"/>
      <c r="BKS13" s="41"/>
      <c r="BKT13" s="41"/>
      <c r="BKU13" s="41"/>
      <c r="BKV13" s="41"/>
      <c r="BKW13" s="41"/>
      <c r="BKX13" s="41"/>
      <c r="BKY13" s="41"/>
      <c r="BKZ13" s="41"/>
      <c r="BLA13" s="41"/>
      <c r="BLB13" s="41"/>
      <c r="BLC13" s="41"/>
      <c r="BLD13" s="41"/>
      <c r="BLE13" s="41"/>
      <c r="BLF13" s="41"/>
      <c r="BLG13" s="41"/>
      <c r="BLH13" s="41"/>
      <c r="BLI13" s="41"/>
      <c r="BLJ13" s="41"/>
      <c r="BLK13" s="41"/>
      <c r="BLL13" s="41"/>
      <c r="BLM13" s="41"/>
      <c r="BLN13" s="41"/>
      <c r="BLO13" s="41"/>
      <c r="BLP13" s="41"/>
      <c r="BLQ13" s="41"/>
      <c r="BLR13" s="41"/>
      <c r="BLS13" s="41"/>
      <c r="BLT13" s="41"/>
      <c r="BLU13" s="41"/>
      <c r="BLV13" s="41"/>
      <c r="BLW13" s="41"/>
      <c r="BLX13" s="41"/>
      <c r="BLY13" s="41"/>
      <c r="BLZ13" s="41"/>
      <c r="BMA13" s="41"/>
      <c r="BMB13" s="41"/>
      <c r="BMC13" s="41"/>
      <c r="BMD13" s="41"/>
      <c r="BME13" s="41"/>
      <c r="BMF13" s="41"/>
      <c r="BMG13" s="41"/>
      <c r="BMH13" s="41"/>
      <c r="BMI13" s="41"/>
      <c r="BMJ13" s="41"/>
      <c r="BMK13" s="41"/>
      <c r="BML13" s="41"/>
      <c r="BMM13" s="41"/>
      <c r="BMN13" s="41"/>
      <c r="BMO13" s="41"/>
      <c r="BMP13" s="41"/>
      <c r="BMQ13" s="41"/>
      <c r="BMR13" s="41"/>
      <c r="BMS13" s="41"/>
      <c r="BMT13" s="41"/>
      <c r="BMU13" s="41"/>
      <c r="BMV13" s="41"/>
      <c r="BMW13" s="41"/>
      <c r="BMX13" s="41"/>
      <c r="BMY13" s="41"/>
      <c r="BMZ13" s="41"/>
      <c r="BNA13" s="41"/>
      <c r="BNB13" s="41"/>
      <c r="BNC13" s="41"/>
      <c r="BND13" s="41"/>
      <c r="BNE13" s="41"/>
      <c r="BNF13" s="41"/>
      <c r="BNG13" s="41"/>
      <c r="BNH13" s="41"/>
      <c r="BNI13" s="41"/>
      <c r="BNJ13" s="41"/>
      <c r="BNK13" s="41"/>
      <c r="BNL13" s="41"/>
      <c r="BNM13" s="41"/>
      <c r="BNN13" s="41"/>
      <c r="BNO13" s="41"/>
      <c r="BNP13" s="41"/>
      <c r="BNQ13" s="41"/>
      <c r="BNR13" s="41"/>
      <c r="BNS13" s="41"/>
      <c r="BNT13" s="41"/>
      <c r="BNU13" s="41"/>
      <c r="BNV13" s="41"/>
      <c r="BNW13" s="41"/>
      <c r="BNX13" s="41"/>
      <c r="BNY13" s="41"/>
      <c r="BNZ13" s="41"/>
      <c r="BOA13" s="41"/>
      <c r="BOB13" s="41"/>
      <c r="BOC13" s="41"/>
      <c r="BOD13" s="41"/>
      <c r="BOE13" s="41"/>
      <c r="BOF13" s="41"/>
      <c r="BOG13" s="41"/>
      <c r="BOH13" s="41"/>
      <c r="BOI13" s="41"/>
      <c r="BOJ13" s="41"/>
      <c r="BOK13" s="41"/>
      <c r="BOL13" s="41"/>
      <c r="BOM13" s="41"/>
      <c r="BON13" s="41"/>
      <c r="BOO13" s="41"/>
      <c r="BOP13" s="41"/>
      <c r="BOQ13" s="41"/>
      <c r="BOR13" s="41"/>
      <c r="BOS13" s="41"/>
      <c r="BOT13" s="41"/>
      <c r="BOU13" s="41"/>
      <c r="BOV13" s="41"/>
      <c r="BOW13" s="41"/>
      <c r="BOX13" s="41"/>
      <c r="BOY13" s="41"/>
      <c r="BOZ13" s="41"/>
      <c r="BPA13" s="41"/>
      <c r="BPB13" s="41"/>
      <c r="BPC13" s="41"/>
      <c r="BPD13" s="41"/>
      <c r="BPE13" s="41"/>
      <c r="BPF13" s="41"/>
      <c r="BPG13" s="41"/>
      <c r="BPH13" s="41"/>
      <c r="BPI13" s="41"/>
      <c r="BPJ13" s="41"/>
      <c r="BPK13" s="41"/>
      <c r="BPL13" s="41"/>
      <c r="BPM13" s="41"/>
      <c r="BPN13" s="41"/>
      <c r="BPO13" s="41"/>
      <c r="BPP13" s="41"/>
      <c r="BPQ13" s="41"/>
      <c r="BPR13" s="41"/>
      <c r="BPS13" s="41"/>
      <c r="BPT13" s="41"/>
      <c r="BPU13" s="41"/>
      <c r="BPV13" s="41"/>
      <c r="BPW13" s="41"/>
      <c r="BPX13" s="41"/>
      <c r="BPY13" s="41"/>
      <c r="BPZ13" s="41"/>
      <c r="BQA13" s="41"/>
      <c r="BQB13" s="41"/>
      <c r="BQC13" s="41"/>
      <c r="BQD13" s="41"/>
      <c r="BQE13" s="41"/>
      <c r="BQF13" s="41"/>
      <c r="BQG13" s="41"/>
      <c r="BQH13" s="41"/>
      <c r="BQI13" s="41"/>
      <c r="BQJ13" s="41"/>
      <c r="BQK13" s="41"/>
      <c r="BQL13" s="41"/>
      <c r="BQM13" s="41"/>
      <c r="BQN13" s="41"/>
      <c r="BQO13" s="41"/>
      <c r="BQP13" s="41"/>
      <c r="BQQ13" s="41"/>
      <c r="BQR13" s="41"/>
      <c r="BQS13" s="41"/>
      <c r="BQT13" s="41"/>
      <c r="BQU13" s="41"/>
      <c r="BQV13" s="41"/>
      <c r="BQW13" s="41"/>
      <c r="BQX13" s="41"/>
      <c r="BQY13" s="41"/>
      <c r="BQZ13" s="41"/>
      <c r="BRA13" s="41"/>
      <c r="BRB13" s="41"/>
      <c r="BRC13" s="41"/>
      <c r="BRD13" s="41"/>
      <c r="BRE13" s="41"/>
      <c r="BRF13" s="41"/>
      <c r="BRG13" s="41"/>
      <c r="BRH13" s="41"/>
      <c r="BRI13" s="41"/>
      <c r="BRJ13" s="41"/>
      <c r="BRK13" s="41"/>
      <c r="BRL13" s="41"/>
      <c r="BRM13" s="41"/>
      <c r="BRN13" s="41"/>
      <c r="BRO13" s="41"/>
      <c r="BRP13" s="41"/>
      <c r="BRQ13" s="41"/>
      <c r="BRR13" s="41"/>
      <c r="BRS13" s="41"/>
      <c r="BRT13" s="41"/>
      <c r="BRU13" s="41"/>
      <c r="BRV13" s="41"/>
      <c r="BRW13" s="41"/>
      <c r="BRX13" s="41"/>
      <c r="BRY13" s="41"/>
      <c r="BRZ13" s="41"/>
      <c r="BSA13" s="41"/>
      <c r="BSB13" s="41"/>
      <c r="BSC13" s="41"/>
      <c r="BSD13" s="41"/>
      <c r="BSE13" s="41"/>
      <c r="BSF13" s="41"/>
      <c r="BSG13" s="41"/>
      <c r="BSH13" s="41"/>
      <c r="BSI13" s="41"/>
      <c r="BSJ13" s="41"/>
      <c r="BSK13" s="41"/>
      <c r="BSL13" s="41"/>
      <c r="BSM13" s="41"/>
      <c r="BSN13" s="41"/>
      <c r="BSO13" s="41"/>
      <c r="BSP13" s="41"/>
      <c r="BSQ13" s="41"/>
      <c r="BSR13" s="41"/>
      <c r="BSS13" s="41"/>
      <c r="BST13" s="41"/>
      <c r="BSU13" s="41"/>
      <c r="BSV13" s="41"/>
      <c r="BSW13" s="41"/>
      <c r="BSX13" s="41"/>
      <c r="BSY13" s="41"/>
      <c r="BSZ13" s="41"/>
      <c r="BTA13" s="41"/>
      <c r="BTB13" s="41"/>
      <c r="BTC13" s="41"/>
      <c r="BTD13" s="41"/>
      <c r="BTE13" s="41"/>
      <c r="BTF13" s="41"/>
      <c r="BTG13" s="41"/>
      <c r="BTH13" s="41"/>
      <c r="BTI13" s="41"/>
      <c r="BTJ13" s="41"/>
      <c r="BTK13" s="41"/>
      <c r="BTL13" s="41"/>
      <c r="BTM13" s="41"/>
      <c r="BTN13" s="41"/>
      <c r="BTO13" s="41"/>
      <c r="BTP13" s="41"/>
      <c r="BTQ13" s="41"/>
      <c r="BTR13" s="41"/>
      <c r="BTS13" s="41"/>
      <c r="BTT13" s="41"/>
      <c r="BTU13" s="41"/>
      <c r="BTV13" s="41"/>
      <c r="BTW13" s="41"/>
      <c r="BTX13" s="41"/>
      <c r="BTY13" s="41"/>
      <c r="BTZ13" s="41"/>
      <c r="BUA13" s="41"/>
      <c r="BUB13" s="41"/>
      <c r="BUC13" s="41"/>
      <c r="BUD13" s="41"/>
      <c r="BUE13" s="41"/>
      <c r="BUF13" s="41"/>
      <c r="BUG13" s="41"/>
      <c r="BUH13" s="41"/>
      <c r="BUI13" s="41"/>
      <c r="BUJ13" s="41"/>
      <c r="BUK13" s="41"/>
      <c r="BUL13" s="41"/>
      <c r="BUM13" s="41"/>
      <c r="BUN13" s="41"/>
      <c r="BUO13" s="41"/>
      <c r="BUP13" s="41"/>
      <c r="BUQ13" s="41"/>
      <c r="BUR13" s="41"/>
      <c r="BUS13" s="41"/>
      <c r="BUT13" s="41"/>
      <c r="BUU13" s="41"/>
      <c r="BUV13" s="41"/>
      <c r="BUW13" s="41"/>
      <c r="BUX13" s="41"/>
      <c r="BUY13" s="41"/>
      <c r="BUZ13" s="41"/>
      <c r="BVA13" s="41"/>
      <c r="BVB13" s="41"/>
      <c r="BVC13" s="41"/>
      <c r="BVD13" s="41"/>
      <c r="BVE13" s="41"/>
      <c r="BVF13" s="41"/>
      <c r="BVG13" s="41"/>
      <c r="BVH13" s="41"/>
      <c r="BVI13" s="41"/>
      <c r="BVJ13" s="41"/>
      <c r="BVK13" s="41"/>
      <c r="BVL13" s="41"/>
      <c r="BVM13" s="41"/>
      <c r="BVN13" s="41"/>
      <c r="BVO13" s="41"/>
      <c r="BVP13" s="41"/>
      <c r="BVQ13" s="41"/>
      <c r="BVR13" s="41"/>
      <c r="BVS13" s="41"/>
      <c r="BVT13" s="41"/>
      <c r="BVU13" s="41"/>
      <c r="BVV13" s="41"/>
      <c r="BVW13" s="41"/>
      <c r="BVX13" s="41"/>
      <c r="BVY13" s="41"/>
      <c r="BVZ13" s="41"/>
      <c r="BWA13" s="41"/>
      <c r="BWB13" s="41"/>
      <c r="BWC13" s="41"/>
      <c r="BWD13" s="41"/>
      <c r="BWE13" s="41"/>
      <c r="BWF13" s="41"/>
      <c r="BWG13" s="41"/>
      <c r="BWH13" s="41"/>
      <c r="BWI13" s="41"/>
      <c r="BWJ13" s="41"/>
      <c r="BWK13" s="41"/>
      <c r="BWL13" s="41"/>
      <c r="BWM13" s="41"/>
      <c r="BWN13" s="41"/>
      <c r="BWO13" s="41"/>
      <c r="BWP13" s="41"/>
      <c r="BWQ13" s="41"/>
      <c r="BWR13" s="41"/>
      <c r="BWS13" s="41"/>
      <c r="BWT13" s="41"/>
      <c r="BWU13" s="41"/>
      <c r="BWV13" s="41"/>
      <c r="BWW13" s="41"/>
      <c r="BWX13" s="41"/>
      <c r="BWY13" s="41"/>
      <c r="BWZ13" s="41"/>
      <c r="BXA13" s="41"/>
      <c r="BXB13" s="41"/>
      <c r="BXC13" s="41"/>
      <c r="BXD13" s="41"/>
      <c r="BXE13" s="41"/>
      <c r="BXF13" s="41"/>
      <c r="BXG13" s="41"/>
      <c r="BXH13" s="41"/>
      <c r="BXI13" s="41"/>
      <c r="BXJ13" s="41"/>
      <c r="BXK13" s="41"/>
      <c r="BXL13" s="41"/>
      <c r="BXM13" s="41"/>
      <c r="BXN13" s="41"/>
      <c r="BXO13" s="41"/>
      <c r="BXP13" s="41"/>
      <c r="BXQ13" s="41"/>
      <c r="BXR13" s="41"/>
      <c r="BXS13" s="41"/>
      <c r="BXT13" s="41"/>
      <c r="BXU13" s="41"/>
      <c r="BXV13" s="41"/>
      <c r="BXW13" s="41"/>
      <c r="BXX13" s="41"/>
      <c r="BXY13" s="41"/>
      <c r="BXZ13" s="41"/>
      <c r="BYA13" s="41"/>
      <c r="BYB13" s="41"/>
      <c r="BYC13" s="41"/>
      <c r="BYD13" s="41"/>
      <c r="BYE13" s="41"/>
      <c r="BYF13" s="41"/>
      <c r="BYG13" s="41"/>
      <c r="BYH13" s="41"/>
      <c r="BYI13" s="41"/>
      <c r="BYJ13" s="41"/>
      <c r="BYK13" s="41"/>
      <c r="BYL13" s="41"/>
      <c r="BYM13" s="41"/>
      <c r="BYN13" s="41"/>
      <c r="BYO13" s="41"/>
      <c r="BYP13" s="41"/>
      <c r="BYQ13" s="41"/>
      <c r="BYR13" s="41"/>
      <c r="BYS13" s="41"/>
      <c r="BYT13" s="41"/>
      <c r="BYU13" s="41"/>
      <c r="BYV13" s="41"/>
      <c r="BYW13" s="41"/>
      <c r="BYX13" s="41"/>
      <c r="BYY13" s="41"/>
      <c r="BYZ13" s="41"/>
      <c r="BZA13" s="41"/>
      <c r="BZB13" s="41"/>
      <c r="BZC13" s="41"/>
      <c r="BZD13" s="41"/>
      <c r="BZE13" s="41"/>
      <c r="BZF13" s="41"/>
      <c r="BZG13" s="41"/>
      <c r="BZH13" s="41"/>
      <c r="BZI13" s="41"/>
      <c r="BZJ13" s="41"/>
      <c r="BZK13" s="41"/>
      <c r="BZL13" s="41"/>
      <c r="BZM13" s="41"/>
      <c r="BZN13" s="41"/>
      <c r="BZO13" s="41"/>
      <c r="BZP13" s="41"/>
      <c r="BZQ13" s="41"/>
      <c r="BZR13" s="41"/>
      <c r="BZS13" s="41"/>
      <c r="BZT13" s="41"/>
      <c r="BZU13" s="41"/>
      <c r="BZV13" s="41"/>
      <c r="BZW13" s="41"/>
      <c r="BZX13" s="41"/>
      <c r="BZY13" s="41"/>
      <c r="BZZ13" s="41"/>
      <c r="CAA13" s="41"/>
      <c r="CAB13" s="41"/>
      <c r="CAC13" s="41"/>
      <c r="CAD13" s="41"/>
      <c r="CAE13" s="41"/>
      <c r="CAF13" s="41"/>
      <c r="CAG13" s="41"/>
      <c r="CAH13" s="41"/>
      <c r="CAI13" s="41"/>
      <c r="CAJ13" s="41"/>
      <c r="CAK13" s="41"/>
      <c r="CAL13" s="41"/>
      <c r="CAM13" s="41"/>
      <c r="CAN13" s="41"/>
      <c r="CAO13" s="41"/>
      <c r="CAP13" s="41"/>
      <c r="CAQ13" s="41"/>
      <c r="CAR13" s="41"/>
      <c r="CAS13" s="41"/>
      <c r="CAT13" s="41"/>
      <c r="CAU13" s="41"/>
      <c r="CAV13" s="41"/>
      <c r="CAW13" s="41"/>
      <c r="CAX13" s="41"/>
      <c r="CAY13" s="41"/>
      <c r="CAZ13" s="41"/>
      <c r="CBA13" s="41"/>
      <c r="CBB13" s="41"/>
      <c r="CBC13" s="41"/>
      <c r="CBD13" s="41"/>
      <c r="CBE13" s="41"/>
      <c r="CBF13" s="41"/>
      <c r="CBG13" s="41"/>
      <c r="CBH13" s="41"/>
      <c r="CBI13" s="41"/>
      <c r="CBJ13" s="41"/>
      <c r="CBK13" s="41"/>
      <c r="CBL13" s="41"/>
      <c r="CBM13" s="41"/>
      <c r="CBN13" s="41"/>
      <c r="CBO13" s="41"/>
      <c r="CBP13" s="41"/>
      <c r="CBQ13" s="41"/>
      <c r="CBR13" s="41"/>
      <c r="CBS13" s="41"/>
      <c r="CBT13" s="41"/>
      <c r="CBU13" s="41"/>
      <c r="CBV13" s="41"/>
      <c r="CBW13" s="41"/>
      <c r="CBX13" s="41"/>
      <c r="CBY13" s="41"/>
      <c r="CBZ13" s="41"/>
      <c r="CCA13" s="41"/>
      <c r="CCB13" s="41"/>
      <c r="CCC13" s="41"/>
      <c r="CCD13" s="41"/>
      <c r="CCE13" s="41"/>
      <c r="CCF13" s="41"/>
      <c r="CCG13" s="41"/>
      <c r="CCH13" s="41"/>
      <c r="CCI13" s="41"/>
      <c r="CCJ13" s="41"/>
      <c r="CCK13" s="41"/>
      <c r="CCL13" s="41"/>
      <c r="CCM13" s="41"/>
      <c r="CCN13" s="41"/>
      <c r="CCO13" s="41"/>
      <c r="CCP13" s="41"/>
      <c r="CCQ13" s="41"/>
      <c r="CCR13" s="41"/>
      <c r="CCS13" s="41"/>
      <c r="CCT13" s="41"/>
      <c r="CCU13" s="41"/>
      <c r="CCV13" s="41"/>
      <c r="CCW13" s="41"/>
      <c r="CCX13" s="41"/>
      <c r="CCY13" s="41"/>
      <c r="CCZ13" s="41"/>
      <c r="CDA13" s="41"/>
      <c r="CDB13" s="41"/>
      <c r="CDC13" s="41"/>
      <c r="CDD13" s="41"/>
      <c r="CDE13" s="41"/>
      <c r="CDF13" s="41"/>
      <c r="CDG13" s="41"/>
      <c r="CDH13" s="41"/>
      <c r="CDI13" s="41"/>
      <c r="CDJ13" s="41"/>
      <c r="CDK13" s="41"/>
      <c r="CDL13" s="41"/>
      <c r="CDM13" s="41"/>
      <c r="CDN13" s="41"/>
      <c r="CDO13" s="41"/>
      <c r="CDP13" s="41"/>
      <c r="CDQ13" s="41"/>
      <c r="CDR13" s="41"/>
      <c r="CDS13" s="41"/>
      <c r="CDT13" s="41"/>
      <c r="CDU13" s="41"/>
      <c r="CDV13" s="41"/>
      <c r="CDW13" s="41"/>
      <c r="CDX13" s="41"/>
      <c r="CDY13" s="41"/>
      <c r="CDZ13" s="41"/>
      <c r="CEA13" s="41"/>
      <c r="CEB13" s="41"/>
      <c r="CEC13" s="41"/>
      <c r="CED13" s="41"/>
      <c r="CEE13" s="41"/>
      <c r="CEF13" s="41"/>
      <c r="CEG13" s="41"/>
      <c r="CEH13" s="41"/>
      <c r="CEI13" s="41"/>
      <c r="CEJ13" s="41"/>
      <c r="CEK13" s="41"/>
      <c r="CEL13" s="41"/>
      <c r="CEM13" s="41"/>
      <c r="CEN13" s="41"/>
      <c r="CEO13" s="41"/>
      <c r="CEP13" s="41"/>
      <c r="CEQ13" s="41"/>
      <c r="CER13" s="41"/>
      <c r="CES13" s="41"/>
      <c r="CET13" s="41"/>
      <c r="CEU13" s="41"/>
      <c r="CEV13" s="41"/>
      <c r="CEW13" s="41"/>
      <c r="CEX13" s="41"/>
      <c r="CEY13" s="41"/>
      <c r="CEZ13" s="41"/>
      <c r="CFA13" s="41"/>
      <c r="CFB13" s="41"/>
      <c r="CFC13" s="41"/>
      <c r="CFD13" s="41"/>
      <c r="CFE13" s="41"/>
      <c r="CFF13" s="41"/>
      <c r="CFG13" s="41"/>
      <c r="CFH13" s="41"/>
      <c r="CFI13" s="41"/>
      <c r="CFJ13" s="41"/>
      <c r="CFK13" s="41"/>
      <c r="CFL13" s="41"/>
      <c r="CFM13" s="41"/>
      <c r="CFN13" s="41"/>
      <c r="CFO13" s="41"/>
      <c r="CFP13" s="41"/>
      <c r="CFQ13" s="41"/>
      <c r="CFR13" s="41"/>
      <c r="CFS13" s="41"/>
      <c r="CFT13" s="41"/>
      <c r="CFU13" s="41"/>
      <c r="CFV13" s="41"/>
      <c r="CFW13" s="41"/>
      <c r="CFX13" s="41"/>
      <c r="CFY13" s="41"/>
      <c r="CFZ13" s="41"/>
      <c r="CGA13" s="41"/>
      <c r="CGB13" s="41"/>
      <c r="CGC13" s="41"/>
      <c r="CGD13" s="41"/>
      <c r="CGE13" s="41"/>
      <c r="CGF13" s="41"/>
      <c r="CGG13" s="41"/>
      <c r="CGH13" s="41"/>
      <c r="CGI13" s="41"/>
      <c r="CGJ13" s="41"/>
      <c r="CGK13" s="41"/>
      <c r="CGL13" s="41"/>
      <c r="CGM13" s="41"/>
      <c r="CGN13" s="41"/>
      <c r="CGO13" s="41"/>
      <c r="CGP13" s="41"/>
      <c r="CGQ13" s="41"/>
      <c r="CGR13" s="41"/>
      <c r="CGS13" s="41"/>
      <c r="CGT13" s="41"/>
      <c r="CGU13" s="41"/>
      <c r="CGV13" s="41"/>
      <c r="CGW13" s="41"/>
      <c r="CGX13" s="41"/>
      <c r="CGY13" s="41"/>
      <c r="CGZ13" s="41"/>
      <c r="CHA13" s="41"/>
      <c r="CHB13" s="41"/>
      <c r="CHC13" s="41"/>
      <c r="CHD13" s="41"/>
      <c r="CHE13" s="41"/>
      <c r="CHF13" s="41"/>
      <c r="CHG13" s="41"/>
      <c r="CHH13" s="41"/>
      <c r="CHI13" s="41"/>
      <c r="CHJ13" s="41"/>
      <c r="CHK13" s="41"/>
      <c r="CHL13" s="41"/>
      <c r="CHM13" s="41"/>
      <c r="CHN13" s="41"/>
      <c r="CHO13" s="41"/>
      <c r="CHP13" s="41"/>
      <c r="CHQ13" s="41"/>
      <c r="CHR13" s="41"/>
      <c r="CHS13" s="41"/>
      <c r="CHT13" s="41"/>
      <c r="CHU13" s="41"/>
      <c r="CHV13" s="41"/>
      <c r="CHW13" s="41"/>
      <c r="CHX13" s="41"/>
      <c r="CHY13" s="41"/>
      <c r="CHZ13" s="41"/>
      <c r="CIA13" s="41"/>
      <c r="CIB13" s="41"/>
      <c r="CIC13" s="41"/>
      <c r="CID13" s="41"/>
      <c r="CIE13" s="41"/>
      <c r="CIF13" s="41"/>
      <c r="CIG13" s="41"/>
      <c r="CIH13" s="41"/>
      <c r="CII13" s="41"/>
      <c r="CIJ13" s="41"/>
      <c r="CIK13" s="41"/>
      <c r="CIL13" s="41"/>
      <c r="CIM13" s="41"/>
      <c r="CIN13" s="41"/>
      <c r="CIO13" s="41"/>
      <c r="CIP13" s="41"/>
      <c r="CIQ13" s="41"/>
      <c r="CIR13" s="41"/>
      <c r="CIS13" s="41"/>
      <c r="CIT13" s="41"/>
      <c r="CIU13" s="41"/>
      <c r="CIV13" s="41"/>
      <c r="CIW13" s="41"/>
      <c r="CIX13" s="41"/>
      <c r="CIY13" s="41"/>
      <c r="CIZ13" s="41"/>
      <c r="CJA13" s="41"/>
      <c r="CJB13" s="41"/>
      <c r="CJC13" s="41"/>
      <c r="CJD13" s="41"/>
      <c r="CJE13" s="41"/>
      <c r="CJF13" s="41"/>
      <c r="CJG13" s="41"/>
      <c r="CJH13" s="41"/>
      <c r="CJI13" s="41"/>
      <c r="CJJ13" s="41"/>
      <c r="CJK13" s="41"/>
      <c r="CJL13" s="41"/>
      <c r="CJM13" s="41"/>
      <c r="CJN13" s="41"/>
      <c r="CJO13" s="41"/>
      <c r="CJP13" s="41"/>
      <c r="CJQ13" s="41"/>
      <c r="CJR13" s="41"/>
      <c r="CJS13" s="41"/>
      <c r="CJT13" s="41"/>
      <c r="CJU13" s="41"/>
      <c r="CJV13" s="41"/>
      <c r="CJW13" s="41"/>
      <c r="CJX13" s="41"/>
      <c r="CJY13" s="41"/>
      <c r="CJZ13" s="41"/>
      <c r="CKA13" s="41"/>
      <c r="CKB13" s="41"/>
      <c r="CKC13" s="41"/>
      <c r="CKD13" s="41"/>
      <c r="CKE13" s="41"/>
      <c r="CKF13" s="41"/>
      <c r="CKG13" s="41"/>
      <c r="CKH13" s="41"/>
      <c r="CKI13" s="41"/>
      <c r="CKJ13" s="41"/>
      <c r="CKK13" s="41"/>
      <c r="CKL13" s="41"/>
      <c r="CKM13" s="41"/>
      <c r="CKN13" s="41"/>
      <c r="CKO13" s="41"/>
      <c r="CKP13" s="41"/>
      <c r="CKQ13" s="41"/>
      <c r="CKR13" s="41"/>
      <c r="CKS13" s="41"/>
      <c r="CKT13" s="41"/>
      <c r="CKU13" s="41"/>
      <c r="CKV13" s="41"/>
      <c r="CKW13" s="41"/>
      <c r="CKX13" s="41"/>
      <c r="CKY13" s="41"/>
      <c r="CKZ13" s="41"/>
      <c r="CLA13" s="41"/>
      <c r="CLB13" s="41"/>
      <c r="CLC13" s="41"/>
      <c r="CLD13" s="41"/>
      <c r="CLE13" s="41"/>
      <c r="CLF13" s="41"/>
      <c r="CLG13" s="41"/>
      <c r="CLH13" s="41"/>
      <c r="CLI13" s="41"/>
      <c r="CLJ13" s="41"/>
      <c r="CLK13" s="41"/>
      <c r="CLL13" s="41"/>
      <c r="CLM13" s="41"/>
      <c r="CLN13" s="41"/>
      <c r="CLO13" s="41"/>
      <c r="CLP13" s="41"/>
      <c r="CLQ13" s="41"/>
      <c r="CLR13" s="41"/>
      <c r="CLS13" s="41"/>
      <c r="CLT13" s="41"/>
      <c r="CLU13" s="41"/>
      <c r="CLV13" s="41"/>
      <c r="CLW13" s="41"/>
      <c r="CLX13" s="41"/>
      <c r="CLY13" s="41"/>
      <c r="CLZ13" s="41"/>
      <c r="CMA13" s="41"/>
      <c r="CMB13" s="41"/>
      <c r="CMC13" s="41"/>
      <c r="CMD13" s="41"/>
      <c r="CME13" s="41"/>
      <c r="CMF13" s="41"/>
      <c r="CMG13" s="41"/>
      <c r="CMH13" s="41"/>
      <c r="CMI13" s="41"/>
      <c r="CMJ13" s="41"/>
      <c r="CMK13" s="41"/>
      <c r="CML13" s="41"/>
      <c r="CMM13" s="41"/>
      <c r="CMN13" s="41"/>
      <c r="CMO13" s="41"/>
      <c r="CMP13" s="41"/>
      <c r="CMQ13" s="41"/>
      <c r="CMR13" s="41"/>
      <c r="CMS13" s="41"/>
      <c r="CMT13" s="41"/>
      <c r="CMU13" s="41"/>
      <c r="CMV13" s="41"/>
      <c r="CMW13" s="41"/>
      <c r="CMX13" s="41"/>
      <c r="CMY13" s="41"/>
      <c r="CMZ13" s="41"/>
      <c r="CNA13" s="41"/>
      <c r="CNB13" s="41"/>
      <c r="CNC13" s="41"/>
      <c r="CND13" s="41"/>
      <c r="CNE13" s="41"/>
      <c r="CNF13" s="41"/>
      <c r="CNG13" s="41"/>
      <c r="CNH13" s="41"/>
      <c r="CNI13" s="41"/>
      <c r="CNJ13" s="41"/>
      <c r="CNK13" s="41"/>
      <c r="CNL13" s="41"/>
      <c r="CNM13" s="41"/>
      <c r="CNN13" s="41"/>
      <c r="CNO13" s="41"/>
      <c r="CNP13" s="41"/>
      <c r="CNQ13" s="41"/>
      <c r="CNR13" s="41"/>
      <c r="CNS13" s="41"/>
      <c r="CNT13" s="41"/>
      <c r="CNU13" s="41"/>
      <c r="CNV13" s="41"/>
      <c r="CNW13" s="41"/>
      <c r="CNX13" s="41"/>
      <c r="CNY13" s="41"/>
      <c r="CNZ13" s="41"/>
      <c r="COA13" s="41"/>
      <c r="COB13" s="41"/>
      <c r="COC13" s="41"/>
      <c r="COD13" s="41"/>
      <c r="COE13" s="41"/>
      <c r="COF13" s="41"/>
      <c r="COG13" s="41"/>
      <c r="COH13" s="41"/>
      <c r="COI13" s="41"/>
      <c r="COJ13" s="41"/>
      <c r="COK13" s="41"/>
      <c r="COL13" s="41"/>
      <c r="COM13" s="41"/>
      <c r="CON13" s="41"/>
      <c r="COO13" s="41"/>
      <c r="COP13" s="41"/>
      <c r="COQ13" s="41"/>
      <c r="COR13" s="41"/>
      <c r="COS13" s="41"/>
      <c r="COT13" s="41"/>
      <c r="COU13" s="41"/>
      <c r="COV13" s="41"/>
      <c r="COW13" s="41"/>
      <c r="COX13" s="41"/>
      <c r="COY13" s="41"/>
      <c r="COZ13" s="41"/>
      <c r="CPA13" s="41"/>
      <c r="CPB13" s="41"/>
      <c r="CPC13" s="41"/>
      <c r="CPD13" s="41"/>
      <c r="CPE13" s="41"/>
      <c r="CPF13" s="41"/>
      <c r="CPG13" s="41"/>
      <c r="CPH13" s="41"/>
      <c r="CPI13" s="41"/>
      <c r="CPJ13" s="41"/>
      <c r="CPK13" s="41"/>
      <c r="CPL13" s="41"/>
      <c r="CPM13" s="41"/>
      <c r="CPN13" s="41"/>
      <c r="CPO13" s="41"/>
      <c r="CPP13" s="41"/>
      <c r="CPQ13" s="41"/>
      <c r="CPR13" s="41"/>
      <c r="CPS13" s="41"/>
      <c r="CPT13" s="41"/>
      <c r="CPU13" s="41"/>
      <c r="CPV13" s="41"/>
      <c r="CPW13" s="41"/>
      <c r="CPX13" s="41"/>
      <c r="CPY13" s="41"/>
      <c r="CPZ13" s="41"/>
      <c r="CQA13" s="41"/>
      <c r="CQB13" s="41"/>
      <c r="CQC13" s="41"/>
      <c r="CQD13" s="41"/>
      <c r="CQE13" s="41"/>
      <c r="CQF13" s="41"/>
      <c r="CQG13" s="41"/>
      <c r="CQH13" s="41"/>
      <c r="CQI13" s="41"/>
      <c r="CQJ13" s="41"/>
      <c r="CQK13" s="41"/>
      <c r="CQL13" s="41"/>
      <c r="CQM13" s="41"/>
      <c r="CQN13" s="41"/>
      <c r="CQO13" s="41"/>
      <c r="CQP13" s="41"/>
      <c r="CQQ13" s="41"/>
      <c r="CQR13" s="41"/>
      <c r="CQS13" s="41"/>
      <c r="CQT13" s="41"/>
      <c r="CQU13" s="41"/>
      <c r="CQV13" s="41"/>
      <c r="CQW13" s="41"/>
      <c r="CQX13" s="41"/>
      <c r="CQY13" s="41"/>
      <c r="CQZ13" s="41"/>
      <c r="CRA13" s="41"/>
      <c r="CRB13" s="41"/>
      <c r="CRC13" s="41"/>
      <c r="CRD13" s="41"/>
      <c r="CRE13" s="41"/>
      <c r="CRF13" s="41"/>
      <c r="CRG13" s="41"/>
      <c r="CRH13" s="41"/>
      <c r="CRI13" s="41"/>
      <c r="CRJ13" s="41"/>
      <c r="CRK13" s="41"/>
      <c r="CRL13" s="41"/>
      <c r="CRM13" s="41"/>
      <c r="CRN13" s="41"/>
      <c r="CRO13" s="41"/>
      <c r="CRP13" s="41"/>
      <c r="CRQ13" s="41"/>
      <c r="CRR13" s="41"/>
      <c r="CRS13" s="41"/>
      <c r="CRT13" s="41"/>
      <c r="CRU13" s="41"/>
      <c r="CRV13" s="41"/>
      <c r="CRW13" s="41"/>
      <c r="CRX13" s="41"/>
      <c r="CRY13" s="41"/>
      <c r="CRZ13" s="41"/>
      <c r="CSA13" s="41"/>
      <c r="CSB13" s="41"/>
      <c r="CSC13" s="41"/>
      <c r="CSD13" s="41"/>
      <c r="CSE13" s="41"/>
      <c r="CSF13" s="41"/>
      <c r="CSG13" s="41"/>
      <c r="CSH13" s="41"/>
      <c r="CSI13" s="41"/>
      <c r="CSJ13" s="41"/>
      <c r="CSK13" s="41"/>
      <c r="CSL13" s="41"/>
      <c r="CSM13" s="41"/>
      <c r="CSN13" s="41"/>
      <c r="CSO13" s="41"/>
      <c r="CSP13" s="41"/>
      <c r="CSQ13" s="41"/>
      <c r="CSR13" s="41"/>
      <c r="CSS13" s="41"/>
      <c r="CST13" s="41"/>
      <c r="CSU13" s="41"/>
      <c r="CSV13" s="41"/>
      <c r="CSW13" s="41"/>
      <c r="CSX13" s="41"/>
      <c r="CSY13" s="41"/>
      <c r="CSZ13" s="41"/>
      <c r="CTA13" s="41"/>
      <c r="CTB13" s="41"/>
      <c r="CTC13" s="41"/>
      <c r="CTD13" s="41"/>
      <c r="CTE13" s="41"/>
      <c r="CTF13" s="41"/>
      <c r="CTG13" s="41"/>
      <c r="CTH13" s="41"/>
      <c r="CTI13" s="41"/>
      <c r="CTJ13" s="41"/>
      <c r="CTK13" s="41"/>
      <c r="CTL13" s="41"/>
      <c r="CTM13" s="41"/>
      <c r="CTN13" s="41"/>
      <c r="CTO13" s="41"/>
      <c r="CTP13" s="41"/>
      <c r="CTQ13" s="41"/>
      <c r="CTR13" s="41"/>
      <c r="CTS13" s="41"/>
      <c r="CTT13" s="41"/>
      <c r="CTU13" s="41"/>
      <c r="CTV13" s="41"/>
      <c r="CTW13" s="41"/>
      <c r="CTX13" s="41"/>
      <c r="CTY13" s="41"/>
      <c r="CTZ13" s="41"/>
      <c r="CUA13" s="41"/>
      <c r="CUB13" s="41"/>
      <c r="CUC13" s="41"/>
      <c r="CUD13" s="41"/>
      <c r="CUE13" s="41"/>
      <c r="CUF13" s="41"/>
      <c r="CUG13" s="41"/>
      <c r="CUH13" s="41"/>
      <c r="CUI13" s="41"/>
      <c r="CUJ13" s="41"/>
      <c r="CUK13" s="41"/>
      <c r="CUL13" s="41"/>
      <c r="CUM13" s="41"/>
      <c r="CUN13" s="41"/>
      <c r="CUO13" s="41"/>
      <c r="CUP13" s="41"/>
      <c r="CUQ13" s="41"/>
      <c r="CUR13" s="41"/>
      <c r="CUS13" s="41"/>
      <c r="CUT13" s="41"/>
      <c r="CUU13" s="41"/>
      <c r="CUV13" s="41"/>
      <c r="CUW13" s="41"/>
      <c r="CUX13" s="41"/>
      <c r="CUY13" s="41"/>
      <c r="CUZ13" s="41"/>
      <c r="CVA13" s="41"/>
      <c r="CVB13" s="41"/>
      <c r="CVC13" s="41"/>
      <c r="CVD13" s="41"/>
      <c r="CVE13" s="41"/>
      <c r="CVF13" s="41"/>
      <c r="CVG13" s="41"/>
      <c r="CVH13" s="41"/>
      <c r="CVI13" s="41"/>
      <c r="CVJ13" s="41"/>
      <c r="CVK13" s="41"/>
      <c r="CVL13" s="41"/>
      <c r="CVM13" s="41"/>
      <c r="CVN13" s="41"/>
      <c r="CVO13" s="41"/>
      <c r="CVP13" s="41"/>
      <c r="CVQ13" s="41"/>
      <c r="CVR13" s="41"/>
      <c r="CVS13" s="41"/>
      <c r="CVT13" s="41"/>
      <c r="CVU13" s="41"/>
      <c r="CVV13" s="41"/>
      <c r="CVW13" s="41"/>
      <c r="CVX13" s="41"/>
      <c r="CVY13" s="41"/>
      <c r="CVZ13" s="41"/>
      <c r="CWA13" s="41"/>
      <c r="CWB13" s="41"/>
      <c r="CWC13" s="41"/>
      <c r="CWD13" s="41"/>
      <c r="CWE13" s="41"/>
      <c r="CWF13" s="41"/>
      <c r="CWG13" s="41"/>
      <c r="CWH13" s="41"/>
      <c r="CWI13" s="41"/>
      <c r="CWJ13" s="41"/>
      <c r="CWK13" s="41"/>
      <c r="CWL13" s="41"/>
      <c r="CWM13" s="41"/>
      <c r="CWN13" s="41"/>
      <c r="CWO13" s="41"/>
      <c r="CWP13" s="41"/>
      <c r="CWQ13" s="41"/>
      <c r="CWR13" s="41"/>
      <c r="CWS13" s="41"/>
      <c r="CWT13" s="41"/>
      <c r="CWU13" s="41"/>
      <c r="CWV13" s="41"/>
      <c r="CWW13" s="41"/>
      <c r="CWX13" s="41"/>
      <c r="CWY13" s="41"/>
      <c r="CWZ13" s="41"/>
      <c r="CXA13" s="41"/>
      <c r="CXB13" s="41"/>
      <c r="CXC13" s="41"/>
      <c r="CXD13" s="41"/>
      <c r="CXE13" s="41"/>
      <c r="CXF13" s="41"/>
      <c r="CXG13" s="41"/>
      <c r="CXH13" s="41"/>
      <c r="CXI13" s="41"/>
      <c r="CXJ13" s="41"/>
      <c r="CXK13" s="41"/>
      <c r="CXL13" s="41"/>
      <c r="CXM13" s="41"/>
      <c r="CXN13" s="41"/>
      <c r="CXO13" s="41"/>
      <c r="CXP13" s="41"/>
      <c r="CXQ13" s="41"/>
      <c r="CXR13" s="41"/>
      <c r="CXS13" s="41"/>
      <c r="CXT13" s="41"/>
      <c r="CXU13" s="41"/>
      <c r="CXV13" s="41"/>
      <c r="CXW13" s="41"/>
      <c r="CXX13" s="41"/>
      <c r="CXY13" s="41"/>
      <c r="CXZ13" s="41"/>
      <c r="CYA13" s="41"/>
      <c r="CYB13" s="41"/>
      <c r="CYC13" s="41"/>
      <c r="CYD13" s="41"/>
      <c r="CYE13" s="41"/>
      <c r="CYF13" s="41"/>
      <c r="CYG13" s="41"/>
      <c r="CYH13" s="41"/>
      <c r="CYI13" s="41"/>
      <c r="CYJ13" s="41"/>
      <c r="CYK13" s="41"/>
      <c r="CYL13" s="41"/>
      <c r="CYM13" s="41"/>
      <c r="CYN13" s="41"/>
      <c r="CYO13" s="41"/>
      <c r="CYP13" s="41"/>
      <c r="CYQ13" s="41"/>
      <c r="CYR13" s="41"/>
      <c r="CYS13" s="41"/>
      <c r="CYT13" s="41"/>
      <c r="CYU13" s="41"/>
      <c r="CYV13" s="41"/>
      <c r="CYW13" s="41"/>
      <c r="CYX13" s="41"/>
      <c r="CYY13" s="41"/>
      <c r="CYZ13" s="41"/>
      <c r="CZA13" s="41"/>
      <c r="CZB13" s="41"/>
      <c r="CZC13" s="41"/>
      <c r="CZD13" s="41"/>
      <c r="CZE13" s="41"/>
      <c r="CZF13" s="41"/>
      <c r="CZG13" s="41"/>
      <c r="CZH13" s="41"/>
      <c r="CZI13" s="41"/>
      <c r="CZJ13" s="41"/>
      <c r="CZK13" s="41"/>
      <c r="CZL13" s="41"/>
      <c r="CZM13" s="41"/>
      <c r="CZN13" s="41"/>
      <c r="CZO13" s="41"/>
      <c r="CZP13" s="41"/>
      <c r="CZQ13" s="41"/>
      <c r="CZR13" s="41"/>
      <c r="CZS13" s="41"/>
      <c r="CZT13" s="41"/>
      <c r="CZU13" s="41"/>
      <c r="CZV13" s="41"/>
      <c r="CZW13" s="41"/>
      <c r="CZX13" s="41"/>
      <c r="CZY13" s="41"/>
      <c r="CZZ13" s="41"/>
      <c r="DAA13" s="41"/>
      <c r="DAB13" s="41"/>
      <c r="DAC13" s="41"/>
      <c r="DAD13" s="41"/>
      <c r="DAE13" s="41"/>
      <c r="DAF13" s="41"/>
      <c r="DAG13" s="41"/>
      <c r="DAH13" s="41"/>
      <c r="DAI13" s="41"/>
      <c r="DAJ13" s="41"/>
      <c r="DAK13" s="41"/>
      <c r="DAL13" s="41"/>
      <c r="DAM13" s="41"/>
      <c r="DAN13" s="41"/>
      <c r="DAO13" s="41"/>
      <c r="DAP13" s="41"/>
      <c r="DAQ13" s="41"/>
      <c r="DAR13" s="41"/>
      <c r="DAS13" s="41"/>
      <c r="DAT13" s="41"/>
      <c r="DAU13" s="41"/>
      <c r="DAV13" s="41"/>
      <c r="DAW13" s="41"/>
      <c r="DAX13" s="41"/>
      <c r="DAY13" s="41"/>
      <c r="DAZ13" s="41"/>
      <c r="DBA13" s="41"/>
      <c r="DBB13" s="41"/>
      <c r="DBC13" s="41"/>
      <c r="DBD13" s="41"/>
      <c r="DBE13" s="41"/>
      <c r="DBF13" s="41"/>
      <c r="DBG13" s="41"/>
      <c r="DBH13" s="41"/>
      <c r="DBI13" s="41"/>
      <c r="DBJ13" s="41"/>
      <c r="DBK13" s="41"/>
      <c r="DBL13" s="41"/>
      <c r="DBM13" s="41"/>
      <c r="DBN13" s="41"/>
      <c r="DBO13" s="41"/>
      <c r="DBP13" s="41"/>
      <c r="DBQ13" s="41"/>
      <c r="DBR13" s="41"/>
      <c r="DBS13" s="41"/>
      <c r="DBT13" s="41"/>
      <c r="DBU13" s="41"/>
      <c r="DBV13" s="41"/>
      <c r="DBW13" s="41"/>
      <c r="DBX13" s="41"/>
      <c r="DBY13" s="41"/>
      <c r="DBZ13" s="41"/>
      <c r="DCA13" s="41"/>
      <c r="DCB13" s="41"/>
      <c r="DCC13" s="41"/>
      <c r="DCD13" s="41"/>
      <c r="DCE13" s="41"/>
      <c r="DCF13" s="41"/>
      <c r="DCG13" s="41"/>
      <c r="DCH13" s="41"/>
      <c r="DCI13" s="41"/>
      <c r="DCJ13" s="41"/>
      <c r="DCK13" s="41"/>
      <c r="DCL13" s="41"/>
      <c r="DCM13" s="41"/>
      <c r="DCN13" s="41"/>
      <c r="DCO13" s="41"/>
      <c r="DCP13" s="41"/>
      <c r="DCQ13" s="41"/>
      <c r="DCR13" s="41"/>
      <c r="DCS13" s="41"/>
      <c r="DCT13" s="41"/>
      <c r="DCU13" s="41"/>
      <c r="DCV13" s="41"/>
      <c r="DCW13" s="41"/>
      <c r="DCX13" s="41"/>
      <c r="DCY13" s="41"/>
      <c r="DCZ13" s="41"/>
      <c r="DDA13" s="41"/>
      <c r="DDB13" s="41"/>
      <c r="DDC13" s="41"/>
      <c r="DDD13" s="41"/>
      <c r="DDE13" s="41"/>
      <c r="DDF13" s="41"/>
      <c r="DDG13" s="41"/>
      <c r="DDH13" s="41"/>
      <c r="DDI13" s="41"/>
      <c r="DDJ13" s="41"/>
      <c r="DDK13" s="41"/>
      <c r="DDL13" s="41"/>
      <c r="DDM13" s="41"/>
      <c r="DDN13" s="41"/>
      <c r="DDO13" s="41"/>
      <c r="DDP13" s="41"/>
      <c r="DDQ13" s="41"/>
      <c r="DDR13" s="41"/>
      <c r="DDS13" s="41"/>
      <c r="DDT13" s="41"/>
      <c r="DDU13" s="41"/>
      <c r="DDV13" s="41"/>
      <c r="DDW13" s="41"/>
      <c r="DDX13" s="41"/>
      <c r="DDY13" s="41"/>
      <c r="DDZ13" s="41"/>
      <c r="DEA13" s="41"/>
      <c r="DEB13" s="41"/>
      <c r="DEC13" s="41"/>
      <c r="DED13" s="41"/>
      <c r="DEE13" s="41"/>
      <c r="DEF13" s="41"/>
      <c r="DEG13" s="41"/>
      <c r="DEH13" s="41"/>
      <c r="DEI13" s="41"/>
      <c r="DEJ13" s="41"/>
      <c r="DEK13" s="41"/>
      <c r="DEL13" s="41"/>
      <c r="DEM13" s="41"/>
      <c r="DEN13" s="41"/>
      <c r="DEO13" s="41"/>
      <c r="DEP13" s="41"/>
      <c r="DEQ13" s="41"/>
      <c r="DER13" s="41"/>
      <c r="DES13" s="41"/>
      <c r="DET13" s="41"/>
      <c r="DEU13" s="41"/>
      <c r="DEV13" s="41"/>
      <c r="DEW13" s="41"/>
      <c r="DEX13" s="41"/>
      <c r="DEY13" s="41"/>
      <c r="DEZ13" s="41"/>
      <c r="DFA13" s="41"/>
      <c r="DFB13" s="41"/>
      <c r="DFC13" s="41"/>
      <c r="DFD13" s="41"/>
      <c r="DFE13" s="41"/>
      <c r="DFF13" s="41"/>
      <c r="DFG13" s="41"/>
      <c r="DFH13" s="41"/>
      <c r="DFI13" s="41"/>
      <c r="DFJ13" s="41"/>
      <c r="DFK13" s="41"/>
      <c r="DFL13" s="41"/>
      <c r="DFM13" s="41"/>
      <c r="DFN13" s="41"/>
      <c r="DFO13" s="41"/>
      <c r="DFP13" s="41"/>
      <c r="DFQ13" s="41"/>
      <c r="DFR13" s="41"/>
      <c r="DFS13" s="41"/>
      <c r="DFT13" s="41"/>
      <c r="DFU13" s="41"/>
      <c r="DFV13" s="41"/>
      <c r="DFW13" s="41"/>
      <c r="DFX13" s="41"/>
      <c r="DFY13" s="41"/>
      <c r="DFZ13" s="41"/>
      <c r="DGA13" s="41"/>
      <c r="DGB13" s="41"/>
      <c r="DGC13" s="41"/>
      <c r="DGD13" s="41"/>
      <c r="DGE13" s="41"/>
      <c r="DGF13" s="41"/>
      <c r="DGG13" s="41"/>
      <c r="DGH13" s="41"/>
      <c r="DGI13" s="41"/>
      <c r="DGJ13" s="41"/>
      <c r="DGK13" s="41"/>
      <c r="DGL13" s="41"/>
      <c r="DGM13" s="41"/>
      <c r="DGN13" s="41"/>
      <c r="DGO13" s="41"/>
      <c r="DGP13" s="41"/>
      <c r="DGQ13" s="41"/>
      <c r="DGR13" s="41"/>
      <c r="DGS13" s="41"/>
      <c r="DGT13" s="41"/>
      <c r="DGU13" s="41"/>
      <c r="DGV13" s="41"/>
      <c r="DGW13" s="41"/>
      <c r="DGX13" s="41"/>
      <c r="DGY13" s="41"/>
      <c r="DGZ13" s="41"/>
      <c r="DHA13" s="41"/>
      <c r="DHB13" s="41"/>
      <c r="DHC13" s="41"/>
      <c r="DHD13" s="41"/>
      <c r="DHE13" s="41"/>
      <c r="DHF13" s="41"/>
      <c r="DHG13" s="41"/>
      <c r="DHH13" s="41"/>
      <c r="DHI13" s="41"/>
      <c r="DHJ13" s="41"/>
      <c r="DHK13" s="41"/>
      <c r="DHL13" s="41"/>
      <c r="DHM13" s="41"/>
      <c r="DHN13" s="41"/>
      <c r="DHO13" s="41"/>
      <c r="DHP13" s="41"/>
      <c r="DHQ13" s="41"/>
      <c r="DHR13" s="41"/>
      <c r="DHS13" s="41"/>
      <c r="DHT13" s="41"/>
      <c r="DHU13" s="41"/>
      <c r="DHV13" s="41"/>
      <c r="DHW13" s="41"/>
      <c r="DHX13" s="41"/>
      <c r="DHY13" s="41"/>
      <c r="DHZ13" s="41"/>
      <c r="DIA13" s="41"/>
      <c r="DIB13" s="41"/>
      <c r="DIC13" s="41"/>
      <c r="DID13" s="41"/>
      <c r="DIE13" s="41"/>
      <c r="DIF13" s="41"/>
      <c r="DIG13" s="41"/>
      <c r="DIH13" s="41"/>
      <c r="DII13" s="41"/>
      <c r="DIJ13" s="41"/>
      <c r="DIK13" s="41"/>
      <c r="DIL13" s="41"/>
      <c r="DIM13" s="41"/>
      <c r="DIN13" s="41"/>
      <c r="DIO13" s="41"/>
      <c r="DIP13" s="41"/>
      <c r="DIQ13" s="41"/>
      <c r="DIR13" s="41"/>
      <c r="DIS13" s="41"/>
      <c r="DIT13" s="41"/>
      <c r="DIU13" s="41"/>
      <c r="DIV13" s="41"/>
      <c r="DIW13" s="41"/>
      <c r="DIX13" s="41"/>
      <c r="DIY13" s="41"/>
      <c r="DIZ13" s="41"/>
      <c r="DJA13" s="41"/>
      <c r="DJB13" s="41"/>
      <c r="DJC13" s="41"/>
      <c r="DJD13" s="41"/>
      <c r="DJE13" s="41"/>
      <c r="DJF13" s="41"/>
      <c r="DJG13" s="41"/>
      <c r="DJH13" s="41"/>
      <c r="DJI13" s="41"/>
      <c r="DJJ13" s="41"/>
      <c r="DJK13" s="41"/>
      <c r="DJL13" s="41"/>
      <c r="DJM13" s="41"/>
      <c r="DJN13" s="41"/>
      <c r="DJO13" s="41"/>
      <c r="DJP13" s="41"/>
      <c r="DJQ13" s="41"/>
      <c r="DJR13" s="41"/>
      <c r="DJS13" s="41"/>
      <c r="DJT13" s="41"/>
      <c r="DJU13" s="41"/>
      <c r="DJV13" s="41"/>
      <c r="DJW13" s="41"/>
      <c r="DJX13" s="41"/>
      <c r="DJY13" s="41"/>
      <c r="DJZ13" s="41"/>
      <c r="DKA13" s="41"/>
      <c r="DKB13" s="41"/>
      <c r="DKC13" s="41"/>
      <c r="DKD13" s="41"/>
      <c r="DKE13" s="41"/>
      <c r="DKF13" s="41"/>
      <c r="DKG13" s="41"/>
      <c r="DKH13" s="41"/>
      <c r="DKI13" s="41"/>
      <c r="DKJ13" s="41"/>
      <c r="DKK13" s="41"/>
      <c r="DKL13" s="41"/>
      <c r="DKM13" s="41"/>
      <c r="DKN13" s="41"/>
      <c r="DKO13" s="41"/>
      <c r="DKP13" s="41"/>
      <c r="DKQ13" s="41"/>
      <c r="DKR13" s="41"/>
      <c r="DKS13" s="41"/>
      <c r="DKT13" s="41"/>
      <c r="DKU13" s="41"/>
      <c r="DKV13" s="41"/>
      <c r="DKW13" s="41"/>
      <c r="DKX13" s="41"/>
      <c r="DKY13" s="41"/>
      <c r="DKZ13" s="41"/>
      <c r="DLA13" s="41"/>
      <c r="DLB13" s="41"/>
      <c r="DLC13" s="41"/>
      <c r="DLD13" s="41"/>
      <c r="DLE13" s="41"/>
      <c r="DLF13" s="41"/>
      <c r="DLG13" s="41"/>
      <c r="DLH13" s="41"/>
      <c r="DLI13" s="41"/>
      <c r="DLJ13" s="41"/>
      <c r="DLK13" s="41"/>
      <c r="DLL13" s="41"/>
      <c r="DLM13" s="41"/>
      <c r="DLN13" s="41"/>
      <c r="DLO13" s="41"/>
      <c r="DLP13" s="41"/>
      <c r="DLQ13" s="41"/>
      <c r="DLR13" s="41"/>
      <c r="DLS13" s="41"/>
      <c r="DLT13" s="41"/>
      <c r="DLU13" s="41"/>
      <c r="DLV13" s="41"/>
      <c r="DLW13" s="41"/>
      <c r="DLX13" s="41"/>
      <c r="DLY13" s="41"/>
      <c r="DLZ13" s="41"/>
      <c r="DMA13" s="41"/>
      <c r="DMB13" s="41"/>
      <c r="DMC13" s="41"/>
      <c r="DMD13" s="41"/>
      <c r="DME13" s="41"/>
      <c r="DMF13" s="41"/>
      <c r="DMG13" s="41"/>
      <c r="DMH13" s="41"/>
      <c r="DMI13" s="41"/>
      <c r="DMJ13" s="41"/>
      <c r="DMK13" s="41"/>
      <c r="DML13" s="41"/>
      <c r="DMM13" s="41"/>
      <c r="DMN13" s="41"/>
      <c r="DMO13" s="41"/>
      <c r="DMP13" s="41"/>
      <c r="DMQ13" s="41"/>
      <c r="DMR13" s="41"/>
      <c r="DMS13" s="41"/>
      <c r="DMT13" s="41"/>
      <c r="DMU13" s="41"/>
      <c r="DMV13" s="41"/>
      <c r="DMW13" s="41"/>
      <c r="DMX13" s="41"/>
      <c r="DMY13" s="41"/>
      <c r="DMZ13" s="41"/>
      <c r="DNA13" s="41"/>
      <c r="DNB13" s="41"/>
      <c r="DNC13" s="41"/>
      <c r="DND13" s="41"/>
      <c r="DNE13" s="41"/>
      <c r="DNF13" s="41"/>
      <c r="DNG13" s="41"/>
      <c r="DNH13" s="41"/>
      <c r="DNI13" s="41"/>
      <c r="DNJ13" s="41"/>
      <c r="DNK13" s="41"/>
      <c r="DNL13" s="41"/>
      <c r="DNM13" s="41"/>
      <c r="DNN13" s="41"/>
      <c r="DNO13" s="41"/>
      <c r="DNP13" s="41"/>
      <c r="DNQ13" s="41"/>
      <c r="DNR13" s="41"/>
      <c r="DNS13" s="41"/>
      <c r="DNT13" s="41"/>
      <c r="DNU13" s="41"/>
      <c r="DNV13" s="41"/>
      <c r="DNW13" s="41"/>
      <c r="DNX13" s="41"/>
      <c r="DNY13" s="41"/>
      <c r="DNZ13" s="41"/>
      <c r="DOA13" s="41"/>
      <c r="DOB13" s="41"/>
      <c r="DOC13" s="41"/>
      <c r="DOD13" s="41"/>
      <c r="DOE13" s="41"/>
      <c r="DOF13" s="41"/>
      <c r="DOG13" s="41"/>
      <c r="DOH13" s="41"/>
      <c r="DOI13" s="41"/>
      <c r="DOJ13" s="41"/>
      <c r="DOK13" s="41"/>
      <c r="DOL13" s="41"/>
      <c r="DOM13" s="41"/>
      <c r="DON13" s="41"/>
      <c r="DOO13" s="41"/>
      <c r="DOP13" s="41"/>
      <c r="DOQ13" s="41"/>
      <c r="DOR13" s="41"/>
      <c r="DOS13" s="41"/>
      <c r="DOT13" s="41"/>
      <c r="DOU13" s="41"/>
      <c r="DOV13" s="41"/>
      <c r="DOW13" s="41"/>
      <c r="DOX13" s="41"/>
      <c r="DOY13" s="41"/>
      <c r="DOZ13" s="41"/>
      <c r="DPA13" s="41"/>
      <c r="DPB13" s="41"/>
      <c r="DPC13" s="41"/>
      <c r="DPD13" s="41"/>
      <c r="DPE13" s="41"/>
      <c r="DPF13" s="41"/>
      <c r="DPG13" s="41"/>
      <c r="DPH13" s="41"/>
      <c r="DPI13" s="41"/>
      <c r="DPJ13" s="41"/>
      <c r="DPK13" s="41"/>
      <c r="DPL13" s="41"/>
      <c r="DPM13" s="41"/>
      <c r="DPN13" s="41"/>
      <c r="DPO13" s="41"/>
      <c r="DPP13" s="41"/>
      <c r="DPQ13" s="41"/>
      <c r="DPR13" s="41"/>
      <c r="DPS13" s="41"/>
      <c r="DPT13" s="41"/>
      <c r="DPU13" s="41"/>
      <c r="DPV13" s="41"/>
      <c r="DPW13" s="41"/>
      <c r="DPX13" s="41"/>
      <c r="DPY13" s="41"/>
      <c r="DPZ13" s="41"/>
      <c r="DQA13" s="41"/>
      <c r="DQB13" s="41"/>
      <c r="DQC13" s="41"/>
      <c r="DQD13" s="41"/>
      <c r="DQE13" s="41"/>
      <c r="DQF13" s="41"/>
      <c r="DQG13" s="41"/>
      <c r="DQH13" s="41"/>
      <c r="DQI13" s="41"/>
      <c r="DQJ13" s="41"/>
      <c r="DQK13" s="41"/>
      <c r="DQL13" s="41"/>
      <c r="DQM13" s="41"/>
      <c r="DQN13" s="41"/>
      <c r="DQO13" s="41"/>
      <c r="DQP13" s="41"/>
      <c r="DQQ13" s="41"/>
      <c r="DQR13" s="41"/>
      <c r="DQS13" s="41"/>
      <c r="DQT13" s="41"/>
      <c r="DQU13" s="41"/>
      <c r="DQV13" s="41"/>
      <c r="DQW13" s="41"/>
      <c r="DQX13" s="41"/>
      <c r="DQY13" s="41"/>
      <c r="DQZ13" s="41"/>
      <c r="DRA13" s="41"/>
      <c r="DRB13" s="41"/>
      <c r="DRC13" s="41"/>
      <c r="DRD13" s="41"/>
      <c r="DRE13" s="41"/>
      <c r="DRF13" s="41"/>
      <c r="DRG13" s="41"/>
      <c r="DRH13" s="41"/>
      <c r="DRI13" s="41"/>
      <c r="DRJ13" s="41"/>
      <c r="DRK13" s="41"/>
      <c r="DRL13" s="41"/>
      <c r="DRM13" s="41"/>
      <c r="DRN13" s="41"/>
      <c r="DRO13" s="41"/>
      <c r="DRP13" s="41"/>
      <c r="DRQ13" s="41"/>
      <c r="DRR13" s="41"/>
      <c r="DRS13" s="41"/>
      <c r="DRT13" s="41"/>
      <c r="DRU13" s="41"/>
      <c r="DRV13" s="41"/>
      <c r="DRW13" s="41"/>
      <c r="DRX13" s="41"/>
      <c r="DRY13" s="41"/>
      <c r="DRZ13" s="41"/>
      <c r="DSA13" s="41"/>
      <c r="DSB13" s="41"/>
      <c r="DSC13" s="41"/>
      <c r="DSD13" s="41"/>
      <c r="DSE13" s="41"/>
      <c r="DSF13" s="41"/>
      <c r="DSG13" s="41"/>
      <c r="DSH13" s="41"/>
      <c r="DSI13" s="41"/>
      <c r="DSJ13" s="41"/>
      <c r="DSK13" s="41"/>
      <c r="DSL13" s="41"/>
      <c r="DSM13" s="41"/>
      <c r="DSN13" s="41"/>
      <c r="DSO13" s="41"/>
      <c r="DSP13" s="41"/>
      <c r="DSQ13" s="41"/>
      <c r="DSR13" s="41"/>
      <c r="DSS13" s="41"/>
      <c r="DST13" s="41"/>
      <c r="DSU13" s="41"/>
      <c r="DSV13" s="41"/>
      <c r="DSW13" s="41"/>
      <c r="DSX13" s="41"/>
      <c r="DSY13" s="41"/>
      <c r="DSZ13" s="41"/>
      <c r="DTA13" s="41"/>
      <c r="DTB13" s="41"/>
      <c r="DTC13" s="41"/>
      <c r="DTD13" s="41"/>
      <c r="DTE13" s="41"/>
      <c r="DTF13" s="41"/>
      <c r="DTG13" s="41"/>
      <c r="DTH13" s="41"/>
      <c r="DTI13" s="41"/>
      <c r="DTJ13" s="41"/>
      <c r="DTK13" s="41"/>
      <c r="DTL13" s="41"/>
      <c r="DTM13" s="41"/>
      <c r="DTN13" s="41"/>
      <c r="DTO13" s="41"/>
      <c r="DTP13" s="41"/>
      <c r="DTQ13" s="41"/>
      <c r="DTR13" s="41"/>
      <c r="DTS13" s="41"/>
      <c r="DTT13" s="41"/>
      <c r="DTU13" s="41"/>
      <c r="DTV13" s="41"/>
      <c r="DTW13" s="41"/>
      <c r="DTX13" s="41"/>
      <c r="DTY13" s="41"/>
      <c r="DTZ13" s="41"/>
      <c r="DUA13" s="41"/>
      <c r="DUB13" s="41"/>
      <c r="DUC13" s="41"/>
      <c r="DUD13" s="41"/>
      <c r="DUE13" s="41"/>
      <c r="DUF13" s="41"/>
      <c r="DUG13" s="41"/>
      <c r="DUH13" s="41"/>
      <c r="DUI13" s="41"/>
      <c r="DUJ13" s="41"/>
      <c r="DUK13" s="41"/>
      <c r="DUL13" s="41"/>
      <c r="DUM13" s="41"/>
      <c r="DUN13" s="41"/>
      <c r="DUO13" s="41"/>
      <c r="DUP13" s="41"/>
      <c r="DUQ13" s="41"/>
      <c r="DUR13" s="41"/>
      <c r="DUS13" s="41"/>
      <c r="DUT13" s="41"/>
      <c r="DUU13" s="41"/>
      <c r="DUV13" s="41"/>
      <c r="DUW13" s="41"/>
      <c r="DUX13" s="41"/>
      <c r="DUY13" s="41"/>
      <c r="DUZ13" s="41"/>
      <c r="DVA13" s="41"/>
      <c r="DVB13" s="41"/>
      <c r="DVC13" s="41"/>
      <c r="DVD13" s="41"/>
      <c r="DVE13" s="41"/>
      <c r="DVF13" s="41"/>
      <c r="DVG13" s="41"/>
      <c r="DVH13" s="41"/>
      <c r="DVI13" s="41"/>
      <c r="DVJ13" s="41"/>
      <c r="DVK13" s="41"/>
      <c r="DVL13" s="41"/>
      <c r="DVM13" s="41"/>
      <c r="DVN13" s="41"/>
      <c r="DVO13" s="41"/>
      <c r="DVP13" s="41"/>
      <c r="DVQ13" s="41"/>
      <c r="DVR13" s="41"/>
      <c r="DVS13" s="41"/>
      <c r="DVT13" s="41"/>
      <c r="DVU13" s="41"/>
      <c r="DVV13" s="41"/>
      <c r="DVW13" s="41"/>
      <c r="DVX13" s="41"/>
      <c r="DVY13" s="41"/>
      <c r="DVZ13" s="41"/>
      <c r="DWA13" s="41"/>
      <c r="DWB13" s="41"/>
      <c r="DWC13" s="41"/>
      <c r="DWD13" s="41"/>
      <c r="DWE13" s="41"/>
      <c r="DWF13" s="41"/>
      <c r="DWG13" s="41"/>
      <c r="DWH13" s="41"/>
      <c r="DWI13" s="41"/>
      <c r="DWJ13" s="41"/>
      <c r="DWK13" s="41"/>
      <c r="DWL13" s="41"/>
      <c r="DWM13" s="41"/>
      <c r="DWN13" s="41"/>
      <c r="DWO13" s="41"/>
      <c r="DWP13" s="41"/>
      <c r="DWQ13" s="41"/>
      <c r="DWR13" s="41"/>
      <c r="DWS13" s="41"/>
      <c r="DWT13" s="41"/>
      <c r="DWU13" s="41"/>
      <c r="DWV13" s="41"/>
      <c r="DWW13" s="41"/>
      <c r="DWX13" s="41"/>
      <c r="DWY13" s="41"/>
      <c r="DWZ13" s="41"/>
      <c r="DXA13" s="41"/>
      <c r="DXB13" s="41"/>
      <c r="DXC13" s="41"/>
      <c r="DXD13" s="41"/>
      <c r="DXE13" s="41"/>
      <c r="DXF13" s="41"/>
      <c r="DXG13" s="41"/>
      <c r="DXH13" s="41"/>
      <c r="DXI13" s="41"/>
      <c r="DXJ13" s="41"/>
      <c r="DXK13" s="41"/>
      <c r="DXL13" s="41"/>
      <c r="DXM13" s="41"/>
      <c r="DXN13" s="41"/>
      <c r="DXO13" s="41"/>
      <c r="DXP13" s="41"/>
      <c r="DXQ13" s="41"/>
      <c r="DXR13" s="41"/>
      <c r="DXS13" s="41"/>
      <c r="DXT13" s="41"/>
      <c r="DXU13" s="41"/>
      <c r="DXV13" s="41"/>
      <c r="DXW13" s="41"/>
      <c r="DXX13" s="41"/>
      <c r="DXY13" s="41"/>
      <c r="DXZ13" s="41"/>
      <c r="DYA13" s="41"/>
      <c r="DYB13" s="41"/>
      <c r="DYC13" s="41"/>
      <c r="DYD13" s="41"/>
      <c r="DYE13" s="41"/>
      <c r="DYF13" s="41"/>
      <c r="DYG13" s="41"/>
      <c r="DYH13" s="41"/>
      <c r="DYI13" s="41"/>
      <c r="DYJ13" s="41"/>
      <c r="DYK13" s="41"/>
      <c r="DYL13" s="41"/>
      <c r="DYM13" s="41"/>
      <c r="DYN13" s="41"/>
      <c r="DYO13" s="41"/>
      <c r="DYP13" s="41"/>
      <c r="DYQ13" s="41"/>
      <c r="DYR13" s="41"/>
      <c r="DYS13" s="41"/>
      <c r="DYT13" s="41"/>
      <c r="DYU13" s="41"/>
      <c r="DYV13" s="41"/>
      <c r="DYW13" s="41"/>
      <c r="DYX13" s="41"/>
      <c r="DYY13" s="41"/>
      <c r="DYZ13" s="41"/>
      <c r="DZA13" s="41"/>
      <c r="DZB13" s="41"/>
      <c r="DZC13" s="41"/>
      <c r="DZD13" s="41"/>
      <c r="DZE13" s="41"/>
      <c r="DZF13" s="41"/>
      <c r="DZG13" s="41"/>
      <c r="DZH13" s="41"/>
      <c r="DZI13" s="41"/>
      <c r="DZJ13" s="41"/>
      <c r="DZK13" s="41"/>
      <c r="DZL13" s="41"/>
      <c r="DZM13" s="41"/>
      <c r="DZN13" s="41"/>
      <c r="DZO13" s="41"/>
      <c r="DZP13" s="41"/>
      <c r="DZQ13" s="41"/>
      <c r="DZR13" s="41"/>
      <c r="DZS13" s="41"/>
      <c r="DZT13" s="41"/>
      <c r="DZU13" s="41"/>
      <c r="DZV13" s="41"/>
      <c r="DZW13" s="41"/>
      <c r="DZX13" s="41"/>
      <c r="DZY13" s="41"/>
      <c r="DZZ13" s="41"/>
      <c r="EAA13" s="41"/>
      <c r="EAB13" s="41"/>
      <c r="EAC13" s="41"/>
      <c r="EAD13" s="41"/>
      <c r="EAE13" s="41"/>
      <c r="EAF13" s="41"/>
      <c r="EAG13" s="41"/>
      <c r="EAH13" s="41"/>
      <c r="EAI13" s="41"/>
      <c r="EAJ13" s="41"/>
      <c r="EAK13" s="41"/>
      <c r="EAL13" s="41"/>
      <c r="EAM13" s="41"/>
      <c r="EAN13" s="41"/>
      <c r="EAO13" s="41"/>
      <c r="EAP13" s="41"/>
      <c r="EAQ13" s="41"/>
      <c r="EAR13" s="41"/>
      <c r="EAS13" s="41"/>
      <c r="EAT13" s="41"/>
      <c r="EAU13" s="41"/>
      <c r="EAV13" s="41"/>
      <c r="EAW13" s="41"/>
      <c r="EAX13" s="41"/>
      <c r="EAY13" s="41"/>
      <c r="EAZ13" s="41"/>
      <c r="EBA13" s="41"/>
      <c r="EBB13" s="41"/>
      <c r="EBC13" s="41"/>
      <c r="EBD13" s="41"/>
      <c r="EBE13" s="41"/>
      <c r="EBF13" s="41"/>
      <c r="EBG13" s="41"/>
      <c r="EBH13" s="41"/>
      <c r="EBI13" s="41"/>
      <c r="EBJ13" s="41"/>
      <c r="EBK13" s="41"/>
      <c r="EBL13" s="41"/>
      <c r="EBM13" s="41"/>
      <c r="EBN13" s="41"/>
      <c r="EBO13" s="41"/>
      <c r="EBP13" s="41"/>
      <c r="EBQ13" s="41"/>
      <c r="EBR13" s="41"/>
      <c r="EBS13" s="41"/>
      <c r="EBT13" s="41"/>
      <c r="EBU13" s="41"/>
      <c r="EBV13" s="41"/>
      <c r="EBW13" s="41"/>
      <c r="EBX13" s="41"/>
      <c r="EBY13" s="41"/>
      <c r="EBZ13" s="41"/>
      <c r="ECA13" s="41"/>
      <c r="ECB13" s="41"/>
      <c r="ECC13" s="41"/>
      <c r="ECD13" s="41"/>
      <c r="ECE13" s="41"/>
      <c r="ECF13" s="41"/>
      <c r="ECG13" s="41"/>
      <c r="ECH13" s="41"/>
      <c r="ECI13" s="41"/>
      <c r="ECJ13" s="41"/>
      <c r="ECK13" s="41"/>
      <c r="ECL13" s="41"/>
      <c r="ECM13" s="41"/>
      <c r="ECN13" s="41"/>
      <c r="ECO13" s="41"/>
      <c r="ECP13" s="41"/>
      <c r="ECQ13" s="41"/>
      <c r="ECR13" s="41"/>
      <c r="ECS13" s="41"/>
      <c r="ECT13" s="41"/>
      <c r="ECU13" s="41"/>
      <c r="ECV13" s="41"/>
      <c r="ECW13" s="41"/>
      <c r="ECX13" s="41"/>
      <c r="ECY13" s="41"/>
      <c r="ECZ13" s="41"/>
      <c r="EDA13" s="41"/>
      <c r="EDB13" s="41"/>
      <c r="EDC13" s="41"/>
      <c r="EDD13" s="41"/>
      <c r="EDE13" s="41"/>
      <c r="EDF13" s="41"/>
      <c r="EDG13" s="41"/>
      <c r="EDH13" s="41"/>
      <c r="EDI13" s="41"/>
      <c r="EDJ13" s="41"/>
      <c r="EDK13" s="41"/>
      <c r="EDL13" s="41"/>
      <c r="EDM13" s="41"/>
      <c r="EDN13" s="41"/>
      <c r="EDO13" s="41"/>
      <c r="EDP13" s="41"/>
      <c r="EDQ13" s="41"/>
      <c r="EDR13" s="41"/>
      <c r="EDS13" s="41"/>
      <c r="EDT13" s="41"/>
      <c r="EDU13" s="41"/>
      <c r="EDV13" s="41"/>
      <c r="EDW13" s="41"/>
      <c r="EDX13" s="41"/>
      <c r="EDY13" s="41"/>
      <c r="EDZ13" s="41"/>
      <c r="EEA13" s="41"/>
      <c r="EEB13" s="41"/>
      <c r="EEC13" s="41"/>
      <c r="EED13" s="41"/>
      <c r="EEE13" s="41"/>
      <c r="EEF13" s="41"/>
      <c r="EEG13" s="41"/>
      <c r="EEH13" s="41"/>
      <c r="EEI13" s="41"/>
      <c r="EEJ13" s="41"/>
      <c r="EEK13" s="41"/>
      <c r="EEL13" s="41"/>
      <c r="EEM13" s="41"/>
      <c r="EEN13" s="41"/>
      <c r="EEO13" s="41"/>
      <c r="EEP13" s="41"/>
      <c r="EEQ13" s="41"/>
      <c r="EER13" s="41"/>
      <c r="EES13" s="41"/>
      <c r="EET13" s="41"/>
      <c r="EEU13" s="41"/>
      <c r="EEV13" s="41"/>
      <c r="EEW13" s="41"/>
      <c r="EEX13" s="41"/>
      <c r="EEY13" s="41"/>
      <c r="EEZ13" s="41"/>
      <c r="EFA13" s="41"/>
      <c r="EFB13" s="41"/>
      <c r="EFC13" s="41"/>
      <c r="EFD13" s="41"/>
      <c r="EFE13" s="41"/>
      <c r="EFF13" s="41"/>
      <c r="EFG13" s="41"/>
      <c r="EFH13" s="41"/>
      <c r="EFI13" s="41"/>
      <c r="EFJ13" s="41"/>
      <c r="EFK13" s="41"/>
      <c r="EFL13" s="41"/>
      <c r="EFM13" s="41"/>
      <c r="EFN13" s="41"/>
      <c r="EFO13" s="41"/>
      <c r="EFP13" s="41"/>
      <c r="EFQ13" s="41"/>
      <c r="EFR13" s="41"/>
      <c r="EFS13" s="41"/>
      <c r="EFT13" s="41"/>
      <c r="EFU13" s="41"/>
      <c r="EFV13" s="41"/>
      <c r="EFW13" s="41"/>
      <c r="EFX13" s="41"/>
      <c r="EFY13" s="41"/>
      <c r="EFZ13" s="41"/>
      <c r="EGA13" s="41"/>
      <c r="EGB13" s="41"/>
      <c r="EGC13" s="41"/>
      <c r="EGD13" s="41"/>
      <c r="EGE13" s="41"/>
      <c r="EGF13" s="41"/>
      <c r="EGG13" s="41"/>
      <c r="EGH13" s="41"/>
      <c r="EGI13" s="41"/>
      <c r="EGJ13" s="41"/>
      <c r="EGK13" s="41"/>
      <c r="EGL13" s="41"/>
      <c r="EGM13" s="41"/>
      <c r="EGN13" s="41"/>
      <c r="EGO13" s="41"/>
      <c r="EGP13" s="41"/>
      <c r="EGQ13" s="41"/>
      <c r="EGR13" s="41"/>
      <c r="EGS13" s="41"/>
      <c r="EGT13" s="41"/>
      <c r="EGU13" s="41"/>
      <c r="EGV13" s="41"/>
      <c r="EGW13" s="41"/>
      <c r="EGX13" s="41"/>
      <c r="EGY13" s="41"/>
      <c r="EGZ13" s="41"/>
      <c r="EHA13" s="41"/>
      <c r="EHB13" s="41"/>
      <c r="EHC13" s="41"/>
      <c r="EHD13" s="41"/>
      <c r="EHE13" s="41"/>
      <c r="EHF13" s="41"/>
      <c r="EHG13" s="41"/>
      <c r="EHH13" s="41"/>
      <c r="EHI13" s="41"/>
      <c r="EHJ13" s="41"/>
      <c r="EHK13" s="41"/>
      <c r="EHL13" s="41"/>
      <c r="EHM13" s="41"/>
      <c r="EHN13" s="41"/>
      <c r="EHO13" s="41"/>
      <c r="EHP13" s="41"/>
      <c r="EHQ13" s="41"/>
      <c r="EHR13" s="41"/>
      <c r="EHS13" s="41"/>
      <c r="EHT13" s="41"/>
      <c r="EHU13" s="41"/>
      <c r="EHV13" s="41"/>
      <c r="EHW13" s="41"/>
      <c r="EHX13" s="41"/>
      <c r="EHY13" s="41"/>
      <c r="EHZ13" s="41"/>
      <c r="EIA13" s="41"/>
      <c r="EIB13" s="41"/>
      <c r="EIC13" s="41"/>
      <c r="EID13" s="41"/>
      <c r="EIE13" s="41"/>
      <c r="EIF13" s="41"/>
      <c r="EIG13" s="41"/>
      <c r="EIH13" s="41"/>
      <c r="EII13" s="41"/>
      <c r="EIJ13" s="41"/>
      <c r="EIK13" s="41"/>
      <c r="EIL13" s="41"/>
      <c r="EIM13" s="41"/>
      <c r="EIN13" s="41"/>
      <c r="EIO13" s="41"/>
      <c r="EIP13" s="41"/>
      <c r="EIQ13" s="41"/>
      <c r="EIR13" s="41"/>
      <c r="EIS13" s="41"/>
      <c r="EIT13" s="41"/>
      <c r="EIU13" s="41"/>
      <c r="EIV13" s="41"/>
      <c r="EIW13" s="41"/>
      <c r="EIX13" s="41"/>
      <c r="EIY13" s="41"/>
      <c r="EIZ13" s="41"/>
      <c r="EJA13" s="41"/>
      <c r="EJB13" s="41"/>
      <c r="EJC13" s="41"/>
      <c r="EJD13" s="41"/>
      <c r="EJE13" s="41"/>
      <c r="EJF13" s="41"/>
      <c r="EJG13" s="41"/>
      <c r="EJH13" s="41"/>
      <c r="EJI13" s="41"/>
      <c r="EJJ13" s="41"/>
      <c r="EJK13" s="41"/>
      <c r="EJL13" s="41"/>
      <c r="EJM13" s="41"/>
      <c r="EJN13" s="41"/>
      <c r="EJO13" s="41"/>
      <c r="EJP13" s="41"/>
      <c r="EJQ13" s="41"/>
      <c r="EJR13" s="41"/>
      <c r="EJS13" s="41"/>
      <c r="EJT13" s="41"/>
      <c r="EJU13" s="41"/>
      <c r="EJV13" s="41"/>
      <c r="EJW13" s="41"/>
      <c r="EJX13" s="41"/>
      <c r="EJY13" s="41"/>
      <c r="EJZ13" s="41"/>
      <c r="EKA13" s="41"/>
      <c r="EKB13" s="41"/>
      <c r="EKC13" s="41"/>
      <c r="EKD13" s="41"/>
      <c r="EKE13" s="41"/>
      <c r="EKF13" s="41"/>
      <c r="EKG13" s="41"/>
      <c r="EKH13" s="41"/>
      <c r="EKI13" s="41"/>
      <c r="EKJ13" s="41"/>
      <c r="EKK13" s="41"/>
      <c r="EKL13" s="41"/>
      <c r="EKM13" s="41"/>
      <c r="EKN13" s="41"/>
      <c r="EKO13" s="41"/>
      <c r="EKP13" s="41"/>
      <c r="EKQ13" s="41"/>
      <c r="EKR13" s="41"/>
      <c r="EKS13" s="41"/>
      <c r="EKT13" s="41"/>
      <c r="EKU13" s="41"/>
      <c r="EKV13" s="41"/>
      <c r="EKW13" s="41"/>
      <c r="EKX13" s="41"/>
      <c r="EKY13" s="41"/>
      <c r="EKZ13" s="41"/>
      <c r="ELA13" s="41"/>
      <c r="ELB13" s="41"/>
      <c r="ELC13" s="41"/>
      <c r="ELD13" s="41"/>
      <c r="ELE13" s="41"/>
      <c r="ELF13" s="41"/>
      <c r="ELG13" s="41"/>
      <c r="ELH13" s="41"/>
      <c r="ELI13" s="41"/>
      <c r="ELJ13" s="41"/>
      <c r="ELK13" s="41"/>
      <c r="ELL13" s="41"/>
      <c r="ELM13" s="41"/>
      <c r="ELN13" s="41"/>
      <c r="ELO13" s="41"/>
      <c r="ELP13" s="41"/>
      <c r="ELQ13" s="41"/>
      <c r="ELR13" s="41"/>
      <c r="ELS13" s="41"/>
      <c r="ELT13" s="41"/>
      <c r="ELU13" s="41"/>
      <c r="ELV13" s="41"/>
      <c r="ELW13" s="41"/>
      <c r="ELX13" s="41"/>
      <c r="ELY13" s="41"/>
      <c r="ELZ13" s="41"/>
      <c r="EMA13" s="41"/>
      <c r="EMB13" s="41"/>
      <c r="EMC13" s="41"/>
      <c r="EMD13" s="41"/>
      <c r="EME13" s="41"/>
      <c r="EMF13" s="41"/>
      <c r="EMG13" s="41"/>
      <c r="EMH13" s="41"/>
      <c r="EMI13" s="41"/>
      <c r="EMJ13" s="41"/>
      <c r="EMK13" s="41"/>
      <c r="EML13" s="41"/>
      <c r="EMM13" s="41"/>
      <c r="EMN13" s="41"/>
      <c r="EMO13" s="41"/>
      <c r="EMP13" s="41"/>
      <c r="EMQ13" s="41"/>
      <c r="EMR13" s="41"/>
      <c r="EMS13" s="41"/>
      <c r="EMT13" s="41"/>
      <c r="EMU13" s="41"/>
      <c r="EMV13" s="41"/>
      <c r="EMW13" s="41"/>
      <c r="EMX13" s="41"/>
      <c r="EMY13" s="41"/>
      <c r="EMZ13" s="41"/>
      <c r="ENA13" s="41"/>
      <c r="ENB13" s="41"/>
      <c r="ENC13" s="41"/>
      <c r="END13" s="41"/>
      <c r="ENE13" s="41"/>
      <c r="ENF13" s="41"/>
      <c r="ENG13" s="41"/>
      <c r="ENH13" s="41"/>
      <c r="ENI13" s="41"/>
      <c r="ENJ13" s="41"/>
      <c r="ENK13" s="41"/>
      <c r="ENL13" s="41"/>
      <c r="ENM13" s="41"/>
      <c r="ENN13" s="41"/>
      <c r="ENO13" s="41"/>
      <c r="ENP13" s="41"/>
      <c r="ENQ13" s="41"/>
      <c r="ENR13" s="41"/>
      <c r="ENS13" s="41"/>
      <c r="ENT13" s="41"/>
      <c r="ENU13" s="41"/>
      <c r="ENV13" s="41"/>
      <c r="ENW13" s="41"/>
      <c r="ENX13" s="41"/>
      <c r="ENY13" s="41"/>
      <c r="ENZ13" s="41"/>
      <c r="EOA13" s="41"/>
      <c r="EOB13" s="41"/>
      <c r="EOC13" s="41"/>
      <c r="EOD13" s="41"/>
      <c r="EOE13" s="41"/>
      <c r="EOF13" s="41"/>
      <c r="EOG13" s="41"/>
      <c r="EOH13" s="41"/>
      <c r="EOI13" s="41"/>
      <c r="EOJ13" s="41"/>
      <c r="EOK13" s="41"/>
      <c r="EOL13" s="41"/>
      <c r="EOM13" s="41"/>
      <c r="EON13" s="41"/>
      <c r="EOO13" s="41"/>
      <c r="EOP13" s="41"/>
      <c r="EOQ13" s="41"/>
      <c r="EOR13" s="41"/>
      <c r="EOS13" s="41"/>
      <c r="EOT13" s="41"/>
      <c r="EOU13" s="41"/>
      <c r="EOV13" s="41"/>
      <c r="EOW13" s="41"/>
      <c r="EOX13" s="41"/>
      <c r="EOY13" s="41"/>
      <c r="EOZ13" s="41"/>
      <c r="EPA13" s="41"/>
      <c r="EPB13" s="41"/>
      <c r="EPC13" s="41"/>
      <c r="EPD13" s="41"/>
      <c r="EPE13" s="41"/>
      <c r="EPF13" s="41"/>
      <c r="EPG13" s="41"/>
      <c r="EPH13" s="41"/>
      <c r="EPI13" s="41"/>
      <c r="EPJ13" s="41"/>
      <c r="EPK13" s="41"/>
      <c r="EPL13" s="41"/>
      <c r="EPM13" s="41"/>
      <c r="EPN13" s="41"/>
      <c r="EPO13" s="41"/>
      <c r="EPP13" s="41"/>
      <c r="EPQ13" s="41"/>
      <c r="EPR13" s="41"/>
      <c r="EPS13" s="41"/>
      <c r="EPT13" s="41"/>
      <c r="EPU13" s="41"/>
      <c r="EPV13" s="41"/>
      <c r="EPW13" s="41"/>
      <c r="EPX13" s="41"/>
      <c r="EPY13" s="41"/>
      <c r="EPZ13" s="41"/>
      <c r="EQA13" s="41"/>
      <c r="EQB13" s="41"/>
      <c r="EQC13" s="41"/>
      <c r="EQD13" s="41"/>
      <c r="EQE13" s="41"/>
      <c r="EQF13" s="41"/>
      <c r="EQG13" s="41"/>
      <c r="EQH13" s="41"/>
      <c r="EQI13" s="41"/>
      <c r="EQJ13" s="41"/>
      <c r="EQK13" s="41"/>
      <c r="EQL13" s="41"/>
      <c r="EQM13" s="41"/>
      <c r="EQN13" s="41"/>
      <c r="EQO13" s="41"/>
      <c r="EQP13" s="41"/>
      <c r="EQQ13" s="41"/>
      <c r="EQR13" s="41"/>
      <c r="EQS13" s="41"/>
      <c r="EQT13" s="41"/>
      <c r="EQU13" s="41"/>
      <c r="EQV13" s="41"/>
      <c r="EQW13" s="41"/>
      <c r="EQX13" s="41"/>
      <c r="EQY13" s="41"/>
      <c r="EQZ13" s="41"/>
      <c r="ERA13" s="41"/>
      <c r="ERB13" s="41"/>
      <c r="ERC13" s="41"/>
      <c r="ERD13" s="41"/>
      <c r="ERE13" s="41"/>
      <c r="ERF13" s="41"/>
      <c r="ERG13" s="41"/>
      <c r="ERH13" s="41"/>
      <c r="ERI13" s="41"/>
      <c r="ERJ13" s="41"/>
      <c r="ERK13" s="41"/>
      <c r="ERL13" s="41"/>
      <c r="ERM13" s="41"/>
      <c r="ERN13" s="41"/>
      <c r="ERO13" s="41"/>
      <c r="ERP13" s="41"/>
      <c r="ERQ13" s="41"/>
      <c r="ERR13" s="41"/>
      <c r="ERS13" s="41"/>
      <c r="ERT13" s="41"/>
      <c r="ERU13" s="41"/>
      <c r="ERV13" s="41"/>
      <c r="ERW13" s="41"/>
      <c r="ERX13" s="41"/>
      <c r="ERY13" s="41"/>
      <c r="ERZ13" s="41"/>
      <c r="ESA13" s="41"/>
      <c r="ESB13" s="41"/>
      <c r="ESC13" s="41"/>
      <c r="ESD13" s="41"/>
      <c r="ESE13" s="41"/>
      <c r="ESF13" s="41"/>
      <c r="ESG13" s="41"/>
      <c r="ESH13" s="41"/>
      <c r="ESI13" s="41"/>
      <c r="ESJ13" s="41"/>
      <c r="ESK13" s="41"/>
      <c r="ESL13" s="41"/>
      <c r="ESM13" s="41"/>
      <c r="ESN13" s="41"/>
      <c r="ESO13" s="41"/>
      <c r="ESP13" s="41"/>
      <c r="ESQ13" s="41"/>
      <c r="ESR13" s="41"/>
      <c r="ESS13" s="41"/>
      <c r="EST13" s="41"/>
      <c r="ESU13" s="41"/>
      <c r="ESV13" s="41"/>
      <c r="ESW13" s="41"/>
      <c r="ESX13" s="41"/>
      <c r="ESY13" s="41"/>
      <c r="ESZ13" s="41"/>
      <c r="ETA13" s="41"/>
      <c r="ETB13" s="41"/>
      <c r="ETC13" s="41"/>
      <c r="ETD13" s="41"/>
      <c r="ETE13" s="41"/>
      <c r="ETF13" s="41"/>
      <c r="ETG13" s="41"/>
      <c r="ETH13" s="41"/>
      <c r="ETI13" s="41"/>
      <c r="ETJ13" s="41"/>
      <c r="ETK13" s="41"/>
      <c r="ETL13" s="41"/>
      <c r="ETM13" s="41"/>
      <c r="ETN13" s="41"/>
      <c r="ETO13" s="41"/>
      <c r="ETP13" s="41"/>
      <c r="ETQ13" s="41"/>
      <c r="ETR13" s="41"/>
      <c r="ETS13" s="41"/>
      <c r="ETT13" s="41"/>
      <c r="ETU13" s="41"/>
      <c r="ETV13" s="41"/>
      <c r="ETW13" s="41"/>
      <c r="ETX13" s="41"/>
      <c r="ETY13" s="41"/>
      <c r="ETZ13" s="41"/>
      <c r="EUA13" s="41"/>
      <c r="EUB13" s="41"/>
      <c r="EUC13" s="41"/>
      <c r="EUD13" s="41"/>
      <c r="EUE13" s="41"/>
      <c r="EUF13" s="41"/>
      <c r="EUG13" s="41"/>
      <c r="EUH13" s="41"/>
      <c r="EUI13" s="41"/>
      <c r="EUJ13" s="41"/>
      <c r="EUK13" s="41"/>
      <c r="EUL13" s="41"/>
      <c r="EUM13" s="41"/>
      <c r="EUN13" s="41"/>
      <c r="EUO13" s="41"/>
      <c r="EUP13" s="41"/>
      <c r="EUQ13" s="41"/>
      <c r="EUR13" s="41"/>
      <c r="EUS13" s="41"/>
      <c r="EUT13" s="41"/>
      <c r="EUU13" s="41"/>
      <c r="EUV13" s="41"/>
      <c r="EUW13" s="41"/>
      <c r="EUX13" s="41"/>
      <c r="EUY13" s="41"/>
      <c r="EUZ13" s="41"/>
      <c r="EVA13" s="41"/>
      <c r="EVB13" s="41"/>
      <c r="EVC13" s="41"/>
      <c r="EVD13" s="41"/>
      <c r="EVE13" s="41"/>
      <c r="EVF13" s="41"/>
      <c r="EVG13" s="41"/>
      <c r="EVH13" s="41"/>
      <c r="EVI13" s="41"/>
      <c r="EVJ13" s="41"/>
      <c r="EVK13" s="41"/>
      <c r="EVL13" s="41"/>
      <c r="EVM13" s="41"/>
      <c r="EVN13" s="41"/>
      <c r="EVO13" s="41"/>
      <c r="EVP13" s="41"/>
      <c r="EVQ13" s="41"/>
      <c r="EVR13" s="41"/>
      <c r="EVS13" s="41"/>
      <c r="EVT13" s="41"/>
      <c r="EVU13" s="41"/>
      <c r="EVV13" s="41"/>
      <c r="EVW13" s="41"/>
      <c r="EVX13" s="41"/>
      <c r="EVY13" s="41"/>
      <c r="EVZ13" s="41"/>
      <c r="EWA13" s="41"/>
      <c r="EWB13" s="41"/>
      <c r="EWC13" s="41"/>
      <c r="EWD13" s="41"/>
      <c r="EWE13" s="41"/>
      <c r="EWF13" s="41"/>
      <c r="EWG13" s="41"/>
      <c r="EWH13" s="41"/>
      <c r="EWI13" s="41"/>
      <c r="EWJ13" s="41"/>
      <c r="EWK13" s="41"/>
      <c r="EWL13" s="41"/>
      <c r="EWM13" s="41"/>
      <c r="EWN13" s="41"/>
      <c r="EWO13" s="41"/>
      <c r="EWP13" s="41"/>
      <c r="EWQ13" s="41"/>
      <c r="EWR13" s="41"/>
      <c r="EWS13" s="41"/>
      <c r="EWT13" s="41"/>
      <c r="EWU13" s="41"/>
      <c r="EWV13" s="41"/>
      <c r="EWW13" s="41"/>
      <c r="EWX13" s="41"/>
      <c r="EWY13" s="41"/>
      <c r="EWZ13" s="41"/>
      <c r="EXA13" s="41"/>
      <c r="EXB13" s="41"/>
      <c r="EXC13" s="41"/>
      <c r="EXD13" s="41"/>
      <c r="EXE13" s="41"/>
      <c r="EXF13" s="41"/>
      <c r="EXG13" s="41"/>
      <c r="EXH13" s="41"/>
      <c r="EXI13" s="41"/>
      <c r="EXJ13" s="41"/>
      <c r="EXK13" s="41"/>
      <c r="EXL13" s="41"/>
      <c r="EXM13" s="41"/>
      <c r="EXN13" s="41"/>
      <c r="EXO13" s="41"/>
      <c r="EXP13" s="41"/>
      <c r="EXQ13" s="41"/>
      <c r="EXR13" s="41"/>
      <c r="EXS13" s="41"/>
      <c r="EXT13" s="41"/>
      <c r="EXU13" s="41"/>
      <c r="EXV13" s="41"/>
      <c r="EXW13" s="41"/>
      <c r="EXX13" s="41"/>
      <c r="EXY13" s="41"/>
      <c r="EXZ13" s="41"/>
      <c r="EYA13" s="41"/>
      <c r="EYB13" s="41"/>
      <c r="EYC13" s="41"/>
      <c r="EYD13" s="41"/>
      <c r="EYE13" s="41"/>
      <c r="EYF13" s="41"/>
      <c r="EYG13" s="41"/>
      <c r="EYH13" s="41"/>
      <c r="EYI13" s="41"/>
      <c r="EYJ13" s="41"/>
      <c r="EYK13" s="41"/>
      <c r="EYL13" s="41"/>
      <c r="EYM13" s="41"/>
      <c r="EYN13" s="41"/>
      <c r="EYO13" s="41"/>
      <c r="EYP13" s="41"/>
      <c r="EYQ13" s="41"/>
      <c r="EYR13" s="41"/>
      <c r="EYS13" s="41"/>
      <c r="EYT13" s="41"/>
      <c r="EYU13" s="41"/>
      <c r="EYV13" s="41"/>
      <c r="EYW13" s="41"/>
      <c r="EYX13" s="41"/>
      <c r="EYY13" s="41"/>
      <c r="EYZ13" s="41"/>
      <c r="EZA13" s="41"/>
      <c r="EZB13" s="41"/>
      <c r="EZC13" s="41"/>
      <c r="EZD13" s="41"/>
      <c r="EZE13" s="41"/>
      <c r="EZF13" s="41"/>
      <c r="EZG13" s="41"/>
      <c r="EZH13" s="41"/>
      <c r="EZI13" s="41"/>
      <c r="EZJ13" s="41"/>
      <c r="EZK13" s="41"/>
      <c r="EZL13" s="41"/>
      <c r="EZM13" s="41"/>
      <c r="EZN13" s="41"/>
      <c r="EZO13" s="41"/>
      <c r="EZP13" s="41"/>
      <c r="EZQ13" s="41"/>
      <c r="EZR13" s="41"/>
      <c r="EZS13" s="41"/>
      <c r="EZT13" s="41"/>
      <c r="EZU13" s="41"/>
      <c r="EZV13" s="41"/>
      <c r="EZW13" s="41"/>
      <c r="EZX13" s="41"/>
      <c r="EZY13" s="41"/>
      <c r="EZZ13" s="41"/>
      <c r="FAA13" s="41"/>
      <c r="FAB13" s="41"/>
      <c r="FAC13" s="41"/>
      <c r="FAD13" s="41"/>
      <c r="FAE13" s="41"/>
      <c r="FAF13" s="41"/>
      <c r="FAG13" s="41"/>
      <c r="FAH13" s="41"/>
      <c r="FAI13" s="41"/>
      <c r="FAJ13" s="41"/>
      <c r="FAK13" s="41"/>
      <c r="FAL13" s="41"/>
      <c r="FAM13" s="41"/>
      <c r="FAN13" s="41"/>
      <c r="FAO13" s="41"/>
      <c r="FAP13" s="41"/>
      <c r="FAQ13" s="41"/>
      <c r="FAR13" s="41"/>
      <c r="FAS13" s="41"/>
      <c r="FAT13" s="41"/>
      <c r="FAU13" s="41"/>
      <c r="FAV13" s="41"/>
      <c r="FAW13" s="41"/>
      <c r="FAX13" s="41"/>
      <c r="FAY13" s="41"/>
      <c r="FAZ13" s="41"/>
      <c r="FBA13" s="41"/>
      <c r="FBB13" s="41"/>
      <c r="FBC13" s="41"/>
      <c r="FBD13" s="41"/>
      <c r="FBE13" s="41"/>
      <c r="FBF13" s="41"/>
      <c r="FBG13" s="41"/>
      <c r="FBH13" s="41"/>
      <c r="FBI13" s="41"/>
      <c r="FBJ13" s="41"/>
      <c r="FBK13" s="41"/>
      <c r="FBL13" s="41"/>
      <c r="FBM13" s="41"/>
      <c r="FBN13" s="41"/>
      <c r="FBO13" s="41"/>
      <c r="FBP13" s="41"/>
      <c r="FBQ13" s="41"/>
      <c r="FBR13" s="41"/>
      <c r="FBS13" s="41"/>
      <c r="FBT13" s="41"/>
      <c r="FBU13" s="41"/>
      <c r="FBV13" s="41"/>
      <c r="FBW13" s="41"/>
      <c r="FBX13" s="41"/>
      <c r="FBY13" s="41"/>
      <c r="FBZ13" s="41"/>
      <c r="FCA13" s="41"/>
      <c r="FCB13" s="41"/>
      <c r="FCC13" s="41"/>
      <c r="FCD13" s="41"/>
      <c r="FCE13" s="41"/>
      <c r="FCF13" s="41"/>
      <c r="FCG13" s="41"/>
      <c r="FCH13" s="41"/>
      <c r="FCI13" s="41"/>
      <c r="FCJ13" s="41"/>
      <c r="FCK13" s="41"/>
      <c r="FCL13" s="41"/>
      <c r="FCM13" s="41"/>
      <c r="FCN13" s="41"/>
      <c r="FCO13" s="41"/>
      <c r="FCP13" s="41"/>
      <c r="FCQ13" s="41"/>
      <c r="FCR13" s="41"/>
      <c r="FCS13" s="41"/>
      <c r="FCT13" s="41"/>
      <c r="FCU13" s="41"/>
      <c r="FCV13" s="41"/>
      <c r="FCW13" s="41"/>
      <c r="FCX13" s="41"/>
      <c r="FCY13" s="41"/>
      <c r="FCZ13" s="41"/>
      <c r="FDA13" s="41"/>
      <c r="FDB13" s="41"/>
      <c r="FDC13" s="41"/>
      <c r="FDD13" s="41"/>
      <c r="FDE13" s="41"/>
      <c r="FDF13" s="41"/>
      <c r="FDG13" s="41"/>
      <c r="FDH13" s="41"/>
      <c r="FDI13" s="41"/>
      <c r="FDJ13" s="41"/>
      <c r="FDK13" s="41"/>
      <c r="FDL13" s="41"/>
      <c r="FDM13" s="41"/>
      <c r="FDN13" s="41"/>
      <c r="FDO13" s="41"/>
      <c r="FDP13" s="41"/>
      <c r="FDQ13" s="41"/>
      <c r="FDR13" s="41"/>
      <c r="FDS13" s="41"/>
      <c r="FDT13" s="41"/>
      <c r="FDU13" s="41"/>
      <c r="FDV13" s="41"/>
      <c r="FDW13" s="41"/>
      <c r="FDX13" s="41"/>
      <c r="FDY13" s="41"/>
      <c r="FDZ13" s="41"/>
      <c r="FEA13" s="41"/>
      <c r="FEB13" s="41"/>
      <c r="FEC13" s="41"/>
      <c r="FED13" s="41"/>
      <c r="FEE13" s="41"/>
      <c r="FEF13" s="41"/>
      <c r="FEG13" s="41"/>
      <c r="FEH13" s="41"/>
      <c r="FEI13" s="41"/>
      <c r="FEJ13" s="41"/>
      <c r="FEK13" s="41"/>
      <c r="FEL13" s="41"/>
      <c r="FEM13" s="41"/>
      <c r="FEN13" s="41"/>
      <c r="FEO13" s="41"/>
      <c r="FEP13" s="41"/>
      <c r="FEQ13" s="41"/>
      <c r="FER13" s="41"/>
      <c r="FES13" s="41"/>
      <c r="FET13" s="41"/>
      <c r="FEU13" s="41"/>
      <c r="FEV13" s="41"/>
      <c r="FEW13" s="41"/>
      <c r="FEX13" s="41"/>
      <c r="FEY13" s="41"/>
      <c r="FEZ13" s="41"/>
      <c r="FFA13" s="41"/>
      <c r="FFB13" s="41"/>
      <c r="FFC13" s="41"/>
      <c r="FFD13" s="41"/>
      <c r="FFE13" s="41"/>
      <c r="FFF13" s="41"/>
      <c r="FFG13" s="41"/>
      <c r="FFH13" s="41"/>
      <c r="FFI13" s="41"/>
      <c r="FFJ13" s="41"/>
      <c r="FFK13" s="41"/>
      <c r="FFL13" s="41"/>
      <c r="FFM13" s="41"/>
      <c r="FFN13" s="41"/>
      <c r="FFO13" s="41"/>
      <c r="FFP13" s="41"/>
      <c r="FFQ13" s="41"/>
      <c r="FFR13" s="41"/>
      <c r="FFS13" s="41"/>
      <c r="FFT13" s="41"/>
      <c r="FFU13" s="41"/>
      <c r="FFV13" s="41"/>
      <c r="FFW13" s="41"/>
      <c r="FFX13" s="41"/>
      <c r="FFY13" s="41"/>
      <c r="FFZ13" s="41"/>
      <c r="FGA13" s="41"/>
      <c r="FGB13" s="41"/>
      <c r="FGC13" s="41"/>
      <c r="FGD13" s="41"/>
      <c r="FGE13" s="41"/>
      <c r="FGF13" s="41"/>
      <c r="FGG13" s="41"/>
      <c r="FGH13" s="41"/>
      <c r="FGI13" s="41"/>
      <c r="FGJ13" s="41"/>
      <c r="FGK13" s="41"/>
      <c r="FGL13" s="41"/>
      <c r="FGM13" s="41"/>
      <c r="FGN13" s="41"/>
      <c r="FGO13" s="41"/>
      <c r="FGP13" s="41"/>
      <c r="FGQ13" s="41"/>
      <c r="FGR13" s="41"/>
      <c r="FGS13" s="41"/>
      <c r="FGT13" s="41"/>
      <c r="FGU13" s="41"/>
      <c r="FGV13" s="41"/>
      <c r="FGW13" s="41"/>
      <c r="FGX13" s="41"/>
      <c r="FGY13" s="41"/>
      <c r="FGZ13" s="41"/>
      <c r="FHA13" s="41"/>
      <c r="FHB13" s="41"/>
      <c r="FHC13" s="41"/>
      <c r="FHD13" s="41"/>
      <c r="FHE13" s="41"/>
      <c r="FHF13" s="41"/>
      <c r="FHG13" s="41"/>
      <c r="FHH13" s="41"/>
      <c r="FHI13" s="41"/>
      <c r="FHJ13" s="41"/>
      <c r="FHK13" s="41"/>
      <c r="FHL13" s="41"/>
      <c r="FHM13" s="41"/>
      <c r="FHN13" s="41"/>
      <c r="FHO13" s="41"/>
      <c r="FHP13" s="41"/>
      <c r="FHQ13" s="41"/>
      <c r="FHR13" s="41"/>
      <c r="FHS13" s="41"/>
      <c r="FHT13" s="41"/>
      <c r="FHU13" s="41"/>
      <c r="FHV13" s="41"/>
      <c r="FHW13" s="41"/>
      <c r="FHX13" s="41"/>
      <c r="FHY13" s="41"/>
      <c r="FHZ13" s="41"/>
      <c r="FIA13" s="41"/>
      <c r="FIB13" s="41"/>
      <c r="FIC13" s="41"/>
      <c r="FID13" s="41"/>
      <c r="FIE13" s="41"/>
      <c r="FIF13" s="41"/>
      <c r="FIG13" s="41"/>
      <c r="FIH13" s="41"/>
      <c r="FII13" s="41"/>
      <c r="FIJ13" s="41"/>
      <c r="FIK13" s="41"/>
      <c r="FIL13" s="41"/>
      <c r="FIM13" s="41"/>
      <c r="FIN13" s="41"/>
      <c r="FIO13" s="41"/>
      <c r="FIP13" s="41"/>
      <c r="FIQ13" s="41"/>
      <c r="FIR13" s="41"/>
      <c r="FIS13" s="41"/>
      <c r="FIT13" s="41"/>
      <c r="FIU13" s="41"/>
      <c r="FIV13" s="41"/>
      <c r="FIW13" s="41"/>
      <c r="FIX13" s="41"/>
      <c r="FIY13" s="41"/>
      <c r="FIZ13" s="41"/>
      <c r="FJA13" s="41"/>
      <c r="FJB13" s="41"/>
      <c r="FJC13" s="41"/>
      <c r="FJD13" s="41"/>
      <c r="FJE13" s="41"/>
      <c r="FJF13" s="41"/>
      <c r="FJG13" s="41"/>
      <c r="FJH13" s="41"/>
      <c r="FJI13" s="41"/>
      <c r="FJJ13" s="41"/>
      <c r="FJK13" s="41"/>
      <c r="FJL13" s="41"/>
      <c r="FJM13" s="41"/>
      <c r="FJN13" s="41"/>
      <c r="FJO13" s="41"/>
      <c r="FJP13" s="41"/>
      <c r="FJQ13" s="41"/>
      <c r="FJR13" s="41"/>
      <c r="FJS13" s="41"/>
      <c r="FJT13" s="41"/>
      <c r="FJU13" s="41"/>
      <c r="FJV13" s="41"/>
      <c r="FJW13" s="41"/>
      <c r="FJX13" s="41"/>
      <c r="FJY13" s="41"/>
      <c r="FJZ13" s="41"/>
      <c r="FKA13" s="41"/>
      <c r="FKB13" s="41"/>
      <c r="FKC13" s="41"/>
      <c r="FKD13" s="41"/>
      <c r="FKE13" s="41"/>
      <c r="FKF13" s="41"/>
      <c r="FKG13" s="41"/>
      <c r="FKH13" s="41"/>
      <c r="FKI13" s="41"/>
      <c r="FKJ13" s="41"/>
      <c r="FKK13" s="41"/>
      <c r="FKL13" s="41"/>
      <c r="FKM13" s="41"/>
      <c r="FKN13" s="41"/>
      <c r="FKO13" s="41"/>
      <c r="FKP13" s="41"/>
      <c r="FKQ13" s="41"/>
      <c r="FKR13" s="41"/>
      <c r="FKS13" s="41"/>
      <c r="FKT13" s="41"/>
      <c r="FKU13" s="41"/>
      <c r="FKV13" s="41"/>
      <c r="FKW13" s="41"/>
      <c r="FKX13" s="41"/>
      <c r="FKY13" s="41"/>
      <c r="FKZ13" s="41"/>
      <c r="FLA13" s="41"/>
      <c r="FLB13" s="41"/>
      <c r="FLC13" s="41"/>
      <c r="FLD13" s="41"/>
      <c r="FLE13" s="41"/>
      <c r="FLF13" s="41"/>
      <c r="FLG13" s="41"/>
      <c r="FLH13" s="41"/>
      <c r="FLI13" s="41"/>
      <c r="FLJ13" s="41"/>
      <c r="FLK13" s="41"/>
      <c r="FLL13" s="41"/>
      <c r="FLM13" s="41"/>
      <c r="FLN13" s="41"/>
      <c r="FLO13" s="41"/>
      <c r="FLP13" s="41"/>
      <c r="FLQ13" s="41"/>
      <c r="FLR13" s="41"/>
      <c r="FLS13" s="41"/>
      <c r="FLT13" s="41"/>
      <c r="FLU13" s="41"/>
      <c r="FLV13" s="41"/>
      <c r="FLW13" s="41"/>
      <c r="FLX13" s="41"/>
      <c r="FLY13" s="41"/>
      <c r="FLZ13" s="41"/>
      <c r="FMA13" s="41"/>
      <c r="FMB13" s="41"/>
      <c r="FMC13" s="41"/>
      <c r="FMD13" s="41"/>
      <c r="FME13" s="41"/>
      <c r="FMF13" s="41"/>
      <c r="FMG13" s="41"/>
      <c r="FMH13" s="41"/>
      <c r="FMI13" s="41"/>
      <c r="FMJ13" s="41"/>
      <c r="FMK13" s="41"/>
      <c r="FML13" s="41"/>
      <c r="FMM13" s="41"/>
      <c r="FMN13" s="41"/>
      <c r="FMO13" s="41"/>
      <c r="FMP13" s="41"/>
      <c r="FMQ13" s="41"/>
      <c r="FMR13" s="41"/>
      <c r="FMS13" s="41"/>
      <c r="FMT13" s="41"/>
      <c r="FMU13" s="41"/>
      <c r="FMV13" s="41"/>
      <c r="FMW13" s="41"/>
      <c r="FMX13" s="41"/>
      <c r="FMY13" s="41"/>
      <c r="FMZ13" s="41"/>
      <c r="FNA13" s="41"/>
      <c r="FNB13" s="41"/>
      <c r="FNC13" s="41"/>
      <c r="FND13" s="41"/>
      <c r="FNE13" s="41"/>
      <c r="FNF13" s="41"/>
      <c r="FNG13" s="41"/>
      <c r="FNH13" s="41"/>
      <c r="FNI13" s="41"/>
      <c r="FNJ13" s="41"/>
      <c r="FNK13" s="41"/>
      <c r="FNL13" s="41"/>
      <c r="FNM13" s="41"/>
      <c r="FNN13" s="41"/>
      <c r="FNO13" s="41"/>
      <c r="FNP13" s="41"/>
      <c r="FNQ13" s="41"/>
      <c r="FNR13" s="41"/>
      <c r="FNS13" s="41"/>
      <c r="FNT13" s="41"/>
      <c r="FNU13" s="41"/>
      <c r="FNV13" s="41"/>
      <c r="FNW13" s="41"/>
      <c r="FNX13" s="41"/>
      <c r="FNY13" s="41"/>
      <c r="FNZ13" s="41"/>
      <c r="FOA13" s="41"/>
      <c r="FOB13" s="41"/>
      <c r="FOC13" s="41"/>
      <c r="FOD13" s="41"/>
      <c r="FOE13" s="41"/>
      <c r="FOF13" s="41"/>
      <c r="FOG13" s="41"/>
      <c r="FOH13" s="41"/>
      <c r="FOI13" s="41"/>
      <c r="FOJ13" s="41"/>
      <c r="FOK13" s="41"/>
      <c r="FOL13" s="41"/>
      <c r="FOM13" s="41"/>
      <c r="FON13" s="41"/>
      <c r="FOO13" s="41"/>
      <c r="FOP13" s="41"/>
      <c r="FOQ13" s="41"/>
      <c r="FOR13" s="41"/>
      <c r="FOS13" s="41"/>
      <c r="FOT13" s="41"/>
      <c r="FOU13" s="41"/>
      <c r="FOV13" s="41"/>
      <c r="FOW13" s="41"/>
      <c r="FOX13" s="41"/>
      <c r="FOY13" s="41"/>
      <c r="FOZ13" s="41"/>
      <c r="FPA13" s="41"/>
      <c r="FPB13" s="41"/>
      <c r="FPC13" s="41"/>
      <c r="FPD13" s="41"/>
      <c r="FPE13" s="41"/>
      <c r="FPF13" s="41"/>
      <c r="FPG13" s="41"/>
      <c r="FPH13" s="41"/>
      <c r="FPI13" s="41"/>
      <c r="FPJ13" s="41"/>
      <c r="FPK13" s="41"/>
      <c r="FPL13" s="41"/>
      <c r="FPM13" s="41"/>
      <c r="FPN13" s="41"/>
      <c r="FPO13" s="41"/>
      <c r="FPP13" s="41"/>
      <c r="FPQ13" s="41"/>
      <c r="FPR13" s="41"/>
      <c r="FPS13" s="41"/>
      <c r="FPT13" s="41"/>
      <c r="FPU13" s="41"/>
      <c r="FPV13" s="41"/>
      <c r="FPW13" s="41"/>
      <c r="FPX13" s="41"/>
      <c r="FPY13" s="41"/>
      <c r="FPZ13" s="41"/>
      <c r="FQA13" s="41"/>
      <c r="FQB13" s="41"/>
      <c r="FQC13" s="41"/>
      <c r="FQD13" s="41"/>
      <c r="FQE13" s="41"/>
      <c r="FQF13" s="41"/>
      <c r="FQG13" s="41"/>
      <c r="FQH13" s="41"/>
      <c r="FQI13" s="41"/>
      <c r="FQJ13" s="41"/>
      <c r="FQK13" s="41"/>
      <c r="FQL13" s="41"/>
      <c r="FQM13" s="41"/>
      <c r="FQN13" s="41"/>
      <c r="FQO13" s="41"/>
      <c r="FQP13" s="41"/>
      <c r="FQQ13" s="41"/>
      <c r="FQR13" s="41"/>
      <c r="FQS13" s="41"/>
      <c r="FQT13" s="41"/>
      <c r="FQU13" s="41"/>
      <c r="FQV13" s="41"/>
      <c r="FQW13" s="41"/>
      <c r="FQX13" s="41"/>
      <c r="FQY13" s="41"/>
      <c r="FQZ13" s="41"/>
      <c r="FRA13" s="41"/>
      <c r="FRB13" s="41"/>
      <c r="FRC13" s="41"/>
      <c r="FRD13" s="41"/>
      <c r="FRE13" s="41"/>
      <c r="FRF13" s="41"/>
      <c r="FRG13" s="41"/>
      <c r="FRH13" s="41"/>
      <c r="FRI13" s="41"/>
      <c r="FRJ13" s="41"/>
      <c r="FRK13" s="41"/>
      <c r="FRL13" s="41"/>
      <c r="FRM13" s="41"/>
      <c r="FRN13" s="41"/>
      <c r="FRO13" s="41"/>
      <c r="FRP13" s="41"/>
      <c r="FRQ13" s="41"/>
      <c r="FRR13" s="41"/>
      <c r="FRS13" s="41"/>
      <c r="FRT13" s="41"/>
      <c r="FRU13" s="41"/>
      <c r="FRV13" s="41"/>
      <c r="FRW13" s="41"/>
      <c r="FRX13" s="41"/>
      <c r="FRY13" s="41"/>
      <c r="FRZ13" s="41"/>
      <c r="FSA13" s="41"/>
      <c r="FSB13" s="41"/>
      <c r="FSC13" s="41"/>
      <c r="FSD13" s="41"/>
      <c r="FSE13" s="41"/>
      <c r="FSF13" s="41"/>
      <c r="FSG13" s="41"/>
      <c r="FSH13" s="41"/>
      <c r="FSI13" s="41"/>
      <c r="FSJ13" s="41"/>
      <c r="FSK13" s="41"/>
      <c r="FSL13" s="41"/>
      <c r="FSM13" s="41"/>
      <c r="FSN13" s="41"/>
      <c r="FSO13" s="41"/>
      <c r="FSP13" s="41"/>
      <c r="FSQ13" s="41"/>
      <c r="FSR13" s="41"/>
      <c r="FSS13" s="41"/>
      <c r="FST13" s="41"/>
      <c r="FSU13" s="41"/>
      <c r="FSV13" s="41"/>
      <c r="FSW13" s="41"/>
      <c r="FSX13" s="41"/>
      <c r="FSY13" s="41"/>
      <c r="FSZ13" s="41"/>
      <c r="FTA13" s="41"/>
      <c r="FTB13" s="41"/>
      <c r="FTC13" s="41"/>
      <c r="FTD13" s="41"/>
      <c r="FTE13" s="41"/>
      <c r="FTF13" s="41"/>
      <c r="FTG13" s="41"/>
      <c r="FTH13" s="41"/>
      <c r="FTI13" s="41"/>
      <c r="FTJ13" s="41"/>
      <c r="FTK13" s="41"/>
      <c r="FTL13" s="41"/>
      <c r="FTM13" s="41"/>
      <c r="FTN13" s="41"/>
      <c r="FTO13" s="41"/>
      <c r="FTP13" s="41"/>
      <c r="FTQ13" s="41"/>
      <c r="FTR13" s="41"/>
      <c r="FTS13" s="41"/>
      <c r="FTT13" s="41"/>
      <c r="FTU13" s="41"/>
      <c r="FTV13" s="41"/>
      <c r="FTW13" s="41"/>
      <c r="FTX13" s="41"/>
      <c r="FTY13" s="41"/>
      <c r="FTZ13" s="41"/>
      <c r="FUA13" s="41"/>
      <c r="FUB13" s="41"/>
      <c r="FUC13" s="41"/>
      <c r="FUD13" s="41"/>
      <c r="FUE13" s="41"/>
      <c r="FUF13" s="41"/>
      <c r="FUG13" s="41"/>
      <c r="FUH13" s="41"/>
      <c r="FUI13" s="41"/>
      <c r="FUJ13" s="41"/>
      <c r="FUK13" s="41"/>
      <c r="FUL13" s="41"/>
      <c r="FUM13" s="41"/>
      <c r="FUN13" s="41"/>
      <c r="FUO13" s="41"/>
      <c r="FUP13" s="41"/>
      <c r="FUQ13" s="41"/>
      <c r="FUR13" s="41"/>
      <c r="FUS13" s="41"/>
      <c r="FUT13" s="41"/>
      <c r="FUU13" s="41"/>
      <c r="FUV13" s="41"/>
      <c r="FUW13" s="41"/>
      <c r="FUX13" s="41"/>
      <c r="FUY13" s="41"/>
      <c r="FUZ13" s="41"/>
      <c r="FVA13" s="41"/>
      <c r="FVB13" s="41"/>
      <c r="FVC13" s="41"/>
      <c r="FVD13" s="41"/>
      <c r="FVE13" s="41"/>
      <c r="FVF13" s="41"/>
      <c r="FVG13" s="41"/>
      <c r="FVH13" s="41"/>
      <c r="FVI13" s="41"/>
      <c r="FVJ13" s="41"/>
      <c r="FVK13" s="41"/>
      <c r="FVL13" s="41"/>
      <c r="FVM13" s="41"/>
      <c r="FVN13" s="41"/>
      <c r="FVO13" s="41"/>
      <c r="FVP13" s="41"/>
      <c r="FVQ13" s="41"/>
      <c r="FVR13" s="41"/>
      <c r="FVS13" s="41"/>
      <c r="FVT13" s="41"/>
      <c r="FVU13" s="41"/>
      <c r="FVV13" s="41"/>
      <c r="FVW13" s="41"/>
      <c r="FVX13" s="41"/>
      <c r="FVY13" s="41"/>
      <c r="FVZ13" s="41"/>
      <c r="FWA13" s="41"/>
      <c r="FWB13" s="41"/>
      <c r="FWC13" s="41"/>
      <c r="FWD13" s="41"/>
      <c r="FWE13" s="41"/>
      <c r="FWF13" s="41"/>
      <c r="FWG13" s="41"/>
      <c r="FWH13" s="41"/>
      <c r="FWI13" s="41"/>
      <c r="FWJ13" s="41"/>
      <c r="FWK13" s="41"/>
      <c r="FWL13" s="41"/>
      <c r="FWM13" s="41"/>
      <c r="FWN13" s="41"/>
      <c r="FWO13" s="41"/>
      <c r="FWP13" s="41"/>
      <c r="FWQ13" s="41"/>
      <c r="FWR13" s="41"/>
      <c r="FWS13" s="41"/>
      <c r="FWT13" s="41"/>
      <c r="FWU13" s="41"/>
      <c r="FWV13" s="41"/>
      <c r="FWW13" s="41"/>
      <c r="FWX13" s="41"/>
      <c r="FWY13" s="41"/>
      <c r="FWZ13" s="41"/>
      <c r="FXA13" s="41"/>
      <c r="FXB13" s="41"/>
      <c r="FXC13" s="41"/>
      <c r="FXD13" s="41"/>
      <c r="FXE13" s="41"/>
      <c r="FXF13" s="41"/>
      <c r="FXG13" s="41"/>
      <c r="FXH13" s="41"/>
      <c r="FXI13" s="41"/>
      <c r="FXJ13" s="41"/>
      <c r="FXK13" s="41"/>
      <c r="FXL13" s="41"/>
      <c r="FXM13" s="41"/>
      <c r="FXN13" s="41"/>
      <c r="FXO13" s="41"/>
      <c r="FXP13" s="41"/>
      <c r="FXQ13" s="41"/>
      <c r="FXR13" s="41"/>
      <c r="FXS13" s="41"/>
      <c r="FXT13" s="41"/>
      <c r="FXU13" s="41"/>
      <c r="FXV13" s="41"/>
      <c r="FXW13" s="41"/>
      <c r="FXX13" s="41"/>
      <c r="FXY13" s="41"/>
      <c r="FXZ13" s="41"/>
      <c r="FYA13" s="41"/>
      <c r="FYB13" s="41"/>
      <c r="FYC13" s="41"/>
      <c r="FYD13" s="41"/>
      <c r="FYE13" s="41"/>
      <c r="FYF13" s="41"/>
      <c r="FYG13" s="41"/>
      <c r="FYH13" s="41"/>
      <c r="FYI13" s="41"/>
      <c r="FYJ13" s="41"/>
      <c r="FYK13" s="41"/>
      <c r="FYL13" s="41"/>
      <c r="FYM13" s="41"/>
      <c r="FYN13" s="41"/>
      <c r="FYO13" s="41"/>
      <c r="FYP13" s="41"/>
      <c r="FYQ13" s="41"/>
      <c r="FYR13" s="41"/>
      <c r="FYS13" s="41"/>
      <c r="FYT13" s="41"/>
      <c r="FYU13" s="41"/>
      <c r="FYV13" s="41"/>
      <c r="FYW13" s="41"/>
      <c r="FYX13" s="41"/>
      <c r="FYY13" s="41"/>
      <c r="FYZ13" s="41"/>
      <c r="FZA13" s="41"/>
      <c r="FZB13" s="41"/>
      <c r="FZC13" s="41"/>
      <c r="FZD13" s="41"/>
      <c r="FZE13" s="41"/>
      <c r="FZF13" s="41"/>
      <c r="FZG13" s="41"/>
      <c r="FZH13" s="41"/>
      <c r="FZI13" s="41"/>
      <c r="FZJ13" s="41"/>
      <c r="FZK13" s="41"/>
      <c r="FZL13" s="41"/>
      <c r="FZM13" s="41"/>
      <c r="FZN13" s="41"/>
      <c r="FZO13" s="41"/>
      <c r="FZP13" s="41"/>
      <c r="FZQ13" s="41"/>
      <c r="FZR13" s="41"/>
      <c r="FZS13" s="41"/>
      <c r="FZT13" s="41"/>
      <c r="FZU13" s="41"/>
      <c r="FZV13" s="41"/>
      <c r="FZW13" s="41"/>
      <c r="FZX13" s="41"/>
      <c r="FZY13" s="41"/>
      <c r="FZZ13" s="41"/>
      <c r="GAA13" s="41"/>
      <c r="GAB13" s="41"/>
      <c r="GAC13" s="41"/>
      <c r="GAD13" s="41"/>
      <c r="GAE13" s="41"/>
      <c r="GAF13" s="41"/>
      <c r="GAG13" s="41"/>
      <c r="GAH13" s="41"/>
      <c r="GAI13" s="41"/>
      <c r="GAJ13" s="41"/>
      <c r="GAK13" s="41"/>
      <c r="GAL13" s="41"/>
      <c r="GAM13" s="41"/>
      <c r="GAN13" s="41"/>
      <c r="GAO13" s="41"/>
      <c r="GAP13" s="41"/>
      <c r="GAQ13" s="41"/>
      <c r="GAR13" s="41"/>
      <c r="GAS13" s="41"/>
      <c r="GAT13" s="41"/>
      <c r="GAU13" s="41"/>
      <c r="GAV13" s="41"/>
      <c r="GAW13" s="41"/>
      <c r="GAX13" s="41"/>
      <c r="GAY13" s="41"/>
      <c r="GAZ13" s="41"/>
      <c r="GBA13" s="41"/>
      <c r="GBB13" s="41"/>
      <c r="GBC13" s="41"/>
      <c r="GBD13" s="41"/>
      <c r="GBE13" s="41"/>
      <c r="GBF13" s="41"/>
      <c r="GBG13" s="41"/>
      <c r="GBH13" s="41"/>
      <c r="GBI13" s="41"/>
      <c r="GBJ13" s="41"/>
      <c r="GBK13" s="41"/>
      <c r="GBL13" s="41"/>
      <c r="GBM13" s="41"/>
      <c r="GBN13" s="41"/>
      <c r="GBO13" s="41"/>
      <c r="GBP13" s="41"/>
      <c r="GBQ13" s="41"/>
      <c r="GBR13" s="41"/>
      <c r="GBS13" s="41"/>
      <c r="GBT13" s="41"/>
      <c r="GBU13" s="41"/>
      <c r="GBV13" s="41"/>
      <c r="GBW13" s="41"/>
      <c r="GBX13" s="41"/>
      <c r="GBY13" s="41"/>
      <c r="GBZ13" s="41"/>
      <c r="GCA13" s="41"/>
      <c r="GCB13" s="41"/>
      <c r="GCC13" s="41"/>
      <c r="GCD13" s="41"/>
      <c r="GCE13" s="41"/>
      <c r="GCF13" s="41"/>
      <c r="GCG13" s="41"/>
      <c r="GCH13" s="41"/>
      <c r="GCI13" s="41"/>
      <c r="GCJ13" s="41"/>
      <c r="GCK13" s="41"/>
      <c r="GCL13" s="41"/>
      <c r="GCM13" s="41"/>
      <c r="GCN13" s="41"/>
      <c r="GCO13" s="41"/>
      <c r="GCP13" s="41"/>
      <c r="GCQ13" s="41"/>
      <c r="GCR13" s="41"/>
      <c r="GCS13" s="41"/>
      <c r="GCT13" s="41"/>
      <c r="GCU13" s="41"/>
      <c r="GCV13" s="41"/>
      <c r="GCW13" s="41"/>
      <c r="GCX13" s="41"/>
      <c r="GCY13" s="41"/>
      <c r="GCZ13" s="41"/>
      <c r="GDA13" s="41"/>
      <c r="GDB13" s="41"/>
      <c r="GDC13" s="41"/>
      <c r="GDD13" s="41"/>
      <c r="GDE13" s="41"/>
      <c r="GDF13" s="41"/>
      <c r="GDG13" s="41"/>
      <c r="GDH13" s="41"/>
      <c r="GDI13" s="41"/>
      <c r="GDJ13" s="41"/>
      <c r="GDK13" s="41"/>
      <c r="GDL13" s="41"/>
      <c r="GDM13" s="41"/>
      <c r="GDN13" s="41"/>
      <c r="GDO13" s="41"/>
      <c r="GDP13" s="41"/>
      <c r="GDQ13" s="41"/>
      <c r="GDR13" s="41"/>
      <c r="GDS13" s="41"/>
      <c r="GDT13" s="41"/>
      <c r="GDU13" s="41"/>
      <c r="GDV13" s="41"/>
      <c r="GDW13" s="41"/>
      <c r="GDX13" s="41"/>
      <c r="GDY13" s="41"/>
      <c r="GDZ13" s="41"/>
      <c r="GEA13" s="41"/>
      <c r="GEB13" s="41"/>
      <c r="GEC13" s="41"/>
      <c r="GED13" s="41"/>
      <c r="GEE13" s="41"/>
      <c r="GEF13" s="41"/>
      <c r="GEG13" s="41"/>
      <c r="GEH13" s="41"/>
      <c r="GEI13" s="41"/>
      <c r="GEJ13" s="41"/>
      <c r="GEK13" s="41"/>
      <c r="GEL13" s="41"/>
      <c r="GEM13" s="41"/>
      <c r="GEN13" s="41"/>
      <c r="GEO13" s="41"/>
      <c r="GEP13" s="41"/>
      <c r="GEQ13" s="41"/>
      <c r="GER13" s="41"/>
      <c r="GES13" s="41"/>
      <c r="GET13" s="41"/>
      <c r="GEU13" s="41"/>
      <c r="GEV13" s="41"/>
      <c r="GEW13" s="41"/>
      <c r="GEX13" s="41"/>
      <c r="GEY13" s="41"/>
      <c r="GEZ13" s="41"/>
      <c r="GFA13" s="41"/>
      <c r="GFB13" s="41"/>
      <c r="GFC13" s="41"/>
      <c r="GFD13" s="41"/>
      <c r="GFE13" s="41"/>
      <c r="GFF13" s="41"/>
      <c r="GFG13" s="41"/>
      <c r="GFH13" s="41"/>
      <c r="GFI13" s="41"/>
      <c r="GFJ13" s="41"/>
      <c r="GFK13" s="41"/>
      <c r="GFL13" s="41"/>
      <c r="GFM13" s="41"/>
      <c r="GFN13" s="41"/>
      <c r="GFO13" s="41"/>
      <c r="GFP13" s="41"/>
      <c r="GFQ13" s="41"/>
      <c r="GFR13" s="41"/>
      <c r="GFS13" s="41"/>
      <c r="GFT13" s="41"/>
      <c r="GFU13" s="41"/>
      <c r="GFV13" s="41"/>
      <c r="GFW13" s="41"/>
      <c r="GFX13" s="41"/>
      <c r="GFY13" s="41"/>
      <c r="GFZ13" s="41"/>
      <c r="GGA13" s="41"/>
      <c r="GGB13" s="41"/>
      <c r="GGC13" s="41"/>
      <c r="GGD13" s="41"/>
      <c r="GGE13" s="41"/>
      <c r="GGF13" s="41"/>
      <c r="GGG13" s="41"/>
      <c r="GGH13" s="41"/>
      <c r="GGI13" s="41"/>
      <c r="GGJ13" s="41"/>
      <c r="GGK13" s="41"/>
      <c r="GGL13" s="41"/>
      <c r="GGM13" s="41"/>
      <c r="GGN13" s="41"/>
      <c r="GGO13" s="41"/>
      <c r="GGP13" s="41"/>
      <c r="GGQ13" s="41"/>
      <c r="GGR13" s="41"/>
      <c r="GGS13" s="41"/>
      <c r="GGT13" s="41"/>
      <c r="GGU13" s="41"/>
      <c r="GGV13" s="41"/>
      <c r="GGW13" s="41"/>
      <c r="GGX13" s="41"/>
      <c r="GGY13" s="41"/>
      <c r="GGZ13" s="41"/>
      <c r="GHA13" s="41"/>
      <c r="GHB13" s="41"/>
      <c r="GHC13" s="41"/>
      <c r="GHD13" s="41"/>
      <c r="GHE13" s="41"/>
      <c r="GHF13" s="41"/>
      <c r="GHG13" s="41"/>
      <c r="GHH13" s="41"/>
      <c r="GHI13" s="41"/>
      <c r="GHJ13" s="41"/>
      <c r="GHK13" s="41"/>
      <c r="GHL13" s="41"/>
      <c r="GHM13" s="41"/>
      <c r="GHN13" s="41"/>
      <c r="GHO13" s="41"/>
      <c r="GHP13" s="41"/>
      <c r="GHQ13" s="41"/>
      <c r="GHR13" s="41"/>
      <c r="GHS13" s="41"/>
      <c r="GHT13" s="41"/>
      <c r="GHU13" s="41"/>
      <c r="GHV13" s="41"/>
      <c r="GHW13" s="41"/>
      <c r="GHX13" s="41"/>
      <c r="GHY13" s="41"/>
      <c r="GHZ13" s="41"/>
      <c r="GIA13" s="41"/>
      <c r="GIB13" s="41"/>
      <c r="GIC13" s="41"/>
      <c r="GID13" s="41"/>
      <c r="GIE13" s="41"/>
      <c r="GIF13" s="41"/>
      <c r="GIG13" s="41"/>
      <c r="GIH13" s="41"/>
      <c r="GII13" s="41"/>
      <c r="GIJ13" s="41"/>
      <c r="GIK13" s="41"/>
      <c r="GIL13" s="41"/>
      <c r="GIM13" s="41"/>
      <c r="GIN13" s="41"/>
      <c r="GIO13" s="41"/>
      <c r="GIP13" s="41"/>
      <c r="GIQ13" s="41"/>
      <c r="GIR13" s="41"/>
      <c r="GIS13" s="41"/>
      <c r="GIT13" s="41"/>
      <c r="GIU13" s="41"/>
      <c r="GIV13" s="41"/>
      <c r="GIW13" s="41"/>
      <c r="GIX13" s="41"/>
      <c r="GIY13" s="41"/>
      <c r="GIZ13" s="41"/>
      <c r="GJA13" s="41"/>
      <c r="GJB13" s="41"/>
      <c r="GJC13" s="41"/>
      <c r="GJD13" s="41"/>
      <c r="GJE13" s="41"/>
      <c r="GJF13" s="41"/>
      <c r="GJG13" s="41"/>
      <c r="GJH13" s="41"/>
      <c r="GJI13" s="41"/>
      <c r="GJJ13" s="41"/>
      <c r="GJK13" s="41"/>
      <c r="GJL13" s="41"/>
      <c r="GJM13" s="41"/>
      <c r="GJN13" s="41"/>
      <c r="GJO13" s="41"/>
      <c r="GJP13" s="41"/>
      <c r="GJQ13" s="41"/>
      <c r="GJR13" s="41"/>
      <c r="GJS13" s="41"/>
      <c r="GJT13" s="41"/>
      <c r="GJU13" s="41"/>
      <c r="GJV13" s="41"/>
      <c r="GJW13" s="41"/>
      <c r="GJX13" s="41"/>
      <c r="GJY13" s="41"/>
      <c r="GJZ13" s="41"/>
      <c r="GKA13" s="41"/>
      <c r="GKB13" s="41"/>
      <c r="GKC13" s="41"/>
      <c r="GKD13" s="41"/>
      <c r="GKE13" s="41"/>
      <c r="GKF13" s="41"/>
      <c r="GKG13" s="41"/>
      <c r="GKH13" s="41"/>
      <c r="GKI13" s="41"/>
      <c r="GKJ13" s="41"/>
      <c r="GKK13" s="41"/>
      <c r="GKL13" s="41"/>
      <c r="GKM13" s="41"/>
      <c r="GKN13" s="41"/>
      <c r="GKO13" s="41"/>
      <c r="GKP13" s="41"/>
      <c r="GKQ13" s="41"/>
      <c r="GKR13" s="41"/>
      <c r="GKS13" s="41"/>
      <c r="GKT13" s="41"/>
      <c r="GKU13" s="41"/>
      <c r="GKV13" s="41"/>
      <c r="GKW13" s="41"/>
      <c r="GKX13" s="41"/>
      <c r="GKY13" s="41"/>
      <c r="GKZ13" s="41"/>
      <c r="GLA13" s="41"/>
      <c r="GLB13" s="41"/>
      <c r="GLC13" s="41"/>
      <c r="GLD13" s="41"/>
      <c r="GLE13" s="41"/>
      <c r="GLF13" s="41"/>
      <c r="GLG13" s="41"/>
      <c r="GLH13" s="41"/>
      <c r="GLI13" s="41"/>
      <c r="GLJ13" s="41"/>
      <c r="GLK13" s="41"/>
      <c r="GLL13" s="41"/>
      <c r="GLM13" s="41"/>
      <c r="GLN13" s="41"/>
      <c r="GLO13" s="41"/>
      <c r="GLP13" s="41"/>
      <c r="GLQ13" s="41"/>
      <c r="GLR13" s="41"/>
      <c r="GLS13" s="41"/>
      <c r="GLT13" s="41"/>
      <c r="GLU13" s="41"/>
      <c r="GLV13" s="41"/>
      <c r="GLW13" s="41"/>
      <c r="GLX13" s="41"/>
      <c r="GLY13" s="41"/>
      <c r="GLZ13" s="41"/>
      <c r="GMA13" s="41"/>
      <c r="GMB13" s="41"/>
      <c r="GMC13" s="41"/>
      <c r="GMD13" s="41"/>
      <c r="GME13" s="41"/>
      <c r="GMF13" s="41"/>
      <c r="GMG13" s="41"/>
      <c r="GMH13" s="41"/>
      <c r="GMI13" s="41"/>
      <c r="GMJ13" s="41"/>
      <c r="GMK13" s="41"/>
      <c r="GML13" s="41"/>
      <c r="GMM13" s="41"/>
      <c r="GMN13" s="41"/>
      <c r="GMO13" s="41"/>
      <c r="GMP13" s="41"/>
      <c r="GMQ13" s="41"/>
      <c r="GMR13" s="41"/>
      <c r="GMS13" s="41"/>
      <c r="GMT13" s="41"/>
      <c r="GMU13" s="41"/>
      <c r="GMV13" s="41"/>
      <c r="GMW13" s="41"/>
      <c r="GMX13" s="41"/>
      <c r="GMY13" s="41"/>
      <c r="GMZ13" s="41"/>
      <c r="GNA13" s="41"/>
      <c r="GNB13" s="41"/>
      <c r="GNC13" s="41"/>
      <c r="GND13" s="41"/>
      <c r="GNE13" s="41"/>
      <c r="GNF13" s="41"/>
      <c r="GNG13" s="41"/>
      <c r="GNH13" s="41"/>
      <c r="GNI13" s="41"/>
      <c r="GNJ13" s="41"/>
      <c r="GNK13" s="41"/>
      <c r="GNL13" s="41"/>
      <c r="GNM13" s="41"/>
      <c r="GNN13" s="41"/>
      <c r="GNO13" s="41"/>
      <c r="GNP13" s="41"/>
      <c r="GNQ13" s="41"/>
      <c r="GNR13" s="41"/>
      <c r="GNS13" s="41"/>
      <c r="GNT13" s="41"/>
      <c r="GNU13" s="41"/>
      <c r="GNV13" s="41"/>
      <c r="GNW13" s="41"/>
      <c r="GNX13" s="41"/>
      <c r="GNY13" s="41"/>
      <c r="GNZ13" s="41"/>
      <c r="GOA13" s="41"/>
      <c r="GOB13" s="41"/>
      <c r="GOC13" s="41"/>
      <c r="GOD13" s="41"/>
      <c r="GOE13" s="41"/>
      <c r="GOF13" s="41"/>
      <c r="GOG13" s="41"/>
      <c r="GOH13" s="41"/>
      <c r="GOI13" s="41"/>
      <c r="GOJ13" s="41"/>
      <c r="GOK13" s="41"/>
      <c r="GOL13" s="41"/>
      <c r="GOM13" s="41"/>
      <c r="GON13" s="41"/>
      <c r="GOO13" s="41"/>
      <c r="GOP13" s="41"/>
      <c r="GOQ13" s="41"/>
      <c r="GOR13" s="41"/>
      <c r="GOS13" s="41"/>
      <c r="GOT13" s="41"/>
      <c r="GOU13" s="41"/>
      <c r="GOV13" s="41"/>
      <c r="GOW13" s="41"/>
      <c r="GOX13" s="41"/>
      <c r="GOY13" s="41"/>
      <c r="GOZ13" s="41"/>
      <c r="GPA13" s="41"/>
      <c r="GPB13" s="41"/>
      <c r="GPC13" s="41"/>
      <c r="GPD13" s="41"/>
      <c r="GPE13" s="41"/>
      <c r="GPF13" s="41"/>
      <c r="GPG13" s="41"/>
      <c r="GPH13" s="41"/>
      <c r="GPI13" s="41"/>
      <c r="GPJ13" s="41"/>
      <c r="GPK13" s="41"/>
      <c r="GPL13" s="41"/>
      <c r="GPM13" s="41"/>
      <c r="GPN13" s="41"/>
      <c r="GPO13" s="41"/>
      <c r="GPP13" s="41"/>
      <c r="GPQ13" s="41"/>
      <c r="GPR13" s="41"/>
      <c r="GPS13" s="41"/>
      <c r="GPT13" s="41"/>
      <c r="GPU13" s="41"/>
      <c r="GPV13" s="41"/>
      <c r="GPW13" s="41"/>
      <c r="GPX13" s="41"/>
      <c r="GPY13" s="41"/>
      <c r="GPZ13" s="41"/>
      <c r="GQA13" s="41"/>
      <c r="GQB13" s="41"/>
      <c r="GQC13" s="41"/>
      <c r="GQD13" s="41"/>
      <c r="GQE13" s="41"/>
      <c r="GQF13" s="41"/>
      <c r="GQG13" s="41"/>
      <c r="GQH13" s="41"/>
      <c r="GQI13" s="41"/>
      <c r="GQJ13" s="41"/>
      <c r="GQK13" s="41"/>
      <c r="GQL13" s="41"/>
      <c r="GQM13" s="41"/>
      <c r="GQN13" s="41"/>
      <c r="GQO13" s="41"/>
      <c r="GQP13" s="41"/>
      <c r="GQQ13" s="41"/>
      <c r="GQR13" s="41"/>
      <c r="GQS13" s="41"/>
      <c r="GQT13" s="41"/>
      <c r="GQU13" s="41"/>
      <c r="GQV13" s="41"/>
      <c r="GQW13" s="41"/>
      <c r="GQX13" s="41"/>
      <c r="GQY13" s="41"/>
      <c r="GQZ13" s="41"/>
      <c r="GRA13" s="41"/>
      <c r="GRB13" s="41"/>
      <c r="GRC13" s="41"/>
      <c r="GRD13" s="41"/>
      <c r="GRE13" s="41"/>
      <c r="GRF13" s="41"/>
      <c r="GRG13" s="41"/>
      <c r="GRH13" s="41"/>
      <c r="GRI13" s="41"/>
      <c r="GRJ13" s="41"/>
      <c r="GRK13" s="41"/>
      <c r="GRL13" s="41"/>
      <c r="GRM13" s="41"/>
      <c r="GRN13" s="41"/>
      <c r="GRO13" s="41"/>
      <c r="GRP13" s="41"/>
      <c r="GRQ13" s="41"/>
      <c r="GRR13" s="41"/>
      <c r="GRS13" s="41"/>
      <c r="GRT13" s="41"/>
      <c r="GRU13" s="41"/>
      <c r="GRV13" s="41"/>
      <c r="GRW13" s="41"/>
      <c r="GRX13" s="41"/>
      <c r="GRY13" s="41"/>
      <c r="GRZ13" s="41"/>
      <c r="GSA13" s="41"/>
      <c r="GSB13" s="41"/>
      <c r="GSC13" s="41"/>
      <c r="GSD13" s="41"/>
      <c r="GSE13" s="41"/>
      <c r="GSF13" s="41"/>
      <c r="GSG13" s="41"/>
      <c r="GSH13" s="41"/>
      <c r="GSI13" s="41"/>
      <c r="GSJ13" s="41"/>
      <c r="GSK13" s="41"/>
      <c r="GSL13" s="41"/>
      <c r="GSM13" s="41"/>
      <c r="GSN13" s="41"/>
      <c r="GSO13" s="41"/>
      <c r="GSP13" s="41"/>
      <c r="GSQ13" s="41"/>
      <c r="GSR13" s="41"/>
      <c r="GSS13" s="41"/>
      <c r="GST13" s="41"/>
      <c r="GSU13" s="41"/>
      <c r="GSV13" s="41"/>
      <c r="GSW13" s="41"/>
      <c r="GSX13" s="41"/>
      <c r="GSY13" s="41"/>
      <c r="GSZ13" s="41"/>
      <c r="GTA13" s="41"/>
      <c r="GTB13" s="41"/>
      <c r="GTC13" s="41"/>
      <c r="GTD13" s="41"/>
      <c r="GTE13" s="41"/>
      <c r="GTF13" s="41"/>
      <c r="GTG13" s="41"/>
      <c r="GTH13" s="41"/>
      <c r="GTI13" s="41"/>
      <c r="GTJ13" s="41"/>
      <c r="GTK13" s="41"/>
      <c r="GTL13" s="41"/>
      <c r="GTM13" s="41"/>
      <c r="GTN13" s="41"/>
      <c r="GTO13" s="41"/>
      <c r="GTP13" s="41"/>
      <c r="GTQ13" s="41"/>
      <c r="GTR13" s="41"/>
      <c r="GTS13" s="41"/>
      <c r="GTT13" s="41"/>
      <c r="GTU13" s="41"/>
      <c r="GTV13" s="41"/>
      <c r="GTW13" s="41"/>
      <c r="GTX13" s="41"/>
      <c r="GTY13" s="41"/>
      <c r="GTZ13" s="41"/>
      <c r="GUA13" s="41"/>
      <c r="GUB13" s="41"/>
      <c r="GUC13" s="41"/>
      <c r="GUD13" s="41"/>
      <c r="GUE13" s="41"/>
      <c r="GUF13" s="41"/>
      <c r="GUG13" s="41"/>
      <c r="GUH13" s="41"/>
      <c r="GUI13" s="41"/>
      <c r="GUJ13" s="41"/>
      <c r="GUK13" s="41"/>
      <c r="GUL13" s="41"/>
      <c r="GUM13" s="41"/>
      <c r="GUN13" s="41"/>
      <c r="GUO13" s="41"/>
      <c r="GUP13" s="41"/>
      <c r="GUQ13" s="41"/>
      <c r="GUR13" s="41"/>
      <c r="GUS13" s="41"/>
      <c r="GUT13" s="41"/>
      <c r="GUU13" s="41"/>
      <c r="GUV13" s="41"/>
      <c r="GUW13" s="41"/>
      <c r="GUX13" s="41"/>
      <c r="GUY13" s="41"/>
      <c r="GUZ13" s="41"/>
      <c r="GVA13" s="41"/>
      <c r="GVB13" s="41"/>
      <c r="GVC13" s="41"/>
      <c r="GVD13" s="41"/>
      <c r="GVE13" s="41"/>
      <c r="GVF13" s="41"/>
      <c r="GVG13" s="41"/>
      <c r="GVH13" s="41"/>
      <c r="GVI13" s="41"/>
      <c r="GVJ13" s="41"/>
      <c r="GVK13" s="41"/>
      <c r="GVL13" s="41"/>
      <c r="GVM13" s="41"/>
      <c r="GVN13" s="41"/>
      <c r="GVO13" s="41"/>
      <c r="GVP13" s="41"/>
      <c r="GVQ13" s="41"/>
      <c r="GVR13" s="41"/>
      <c r="GVS13" s="41"/>
      <c r="GVT13" s="41"/>
      <c r="GVU13" s="41"/>
      <c r="GVV13" s="41"/>
      <c r="GVW13" s="41"/>
      <c r="GVX13" s="41"/>
      <c r="GVY13" s="41"/>
      <c r="GVZ13" s="41"/>
      <c r="GWA13" s="41"/>
      <c r="GWB13" s="41"/>
      <c r="GWC13" s="41"/>
      <c r="GWD13" s="41"/>
      <c r="GWE13" s="41"/>
      <c r="GWF13" s="41"/>
      <c r="GWG13" s="41"/>
      <c r="GWH13" s="41"/>
      <c r="GWI13" s="41"/>
      <c r="GWJ13" s="41"/>
      <c r="GWK13" s="41"/>
      <c r="GWL13" s="41"/>
      <c r="GWM13" s="41"/>
      <c r="GWN13" s="41"/>
      <c r="GWO13" s="41"/>
      <c r="GWP13" s="41"/>
      <c r="GWQ13" s="41"/>
      <c r="GWR13" s="41"/>
      <c r="GWS13" s="41"/>
      <c r="GWT13" s="41"/>
      <c r="GWU13" s="41"/>
      <c r="GWV13" s="41"/>
      <c r="GWW13" s="41"/>
      <c r="GWX13" s="41"/>
      <c r="GWY13" s="41"/>
      <c r="GWZ13" s="41"/>
      <c r="GXA13" s="41"/>
      <c r="GXB13" s="41"/>
      <c r="GXC13" s="41"/>
      <c r="GXD13" s="41"/>
      <c r="GXE13" s="41"/>
      <c r="GXF13" s="41"/>
      <c r="GXG13" s="41"/>
      <c r="GXH13" s="41"/>
      <c r="GXI13" s="41"/>
      <c r="GXJ13" s="41"/>
      <c r="GXK13" s="41"/>
      <c r="GXL13" s="41"/>
      <c r="GXM13" s="41"/>
      <c r="GXN13" s="41"/>
      <c r="GXO13" s="41"/>
      <c r="GXP13" s="41"/>
      <c r="GXQ13" s="41"/>
      <c r="GXR13" s="41"/>
      <c r="GXS13" s="41"/>
      <c r="GXT13" s="41"/>
      <c r="GXU13" s="41"/>
      <c r="GXV13" s="41"/>
      <c r="GXW13" s="41"/>
      <c r="GXX13" s="41"/>
      <c r="GXY13" s="41"/>
      <c r="GXZ13" s="41"/>
      <c r="GYA13" s="41"/>
      <c r="GYB13" s="41"/>
      <c r="GYC13" s="41"/>
      <c r="GYD13" s="41"/>
      <c r="GYE13" s="41"/>
      <c r="GYF13" s="41"/>
      <c r="GYG13" s="41"/>
      <c r="GYH13" s="41"/>
      <c r="GYI13" s="41"/>
      <c r="GYJ13" s="41"/>
      <c r="GYK13" s="41"/>
      <c r="GYL13" s="41"/>
      <c r="GYM13" s="41"/>
      <c r="GYN13" s="41"/>
      <c r="GYO13" s="41"/>
      <c r="GYP13" s="41"/>
      <c r="GYQ13" s="41"/>
      <c r="GYR13" s="41"/>
      <c r="GYS13" s="41"/>
      <c r="GYT13" s="41"/>
      <c r="GYU13" s="41"/>
      <c r="GYV13" s="41"/>
      <c r="GYW13" s="41"/>
      <c r="GYX13" s="41"/>
      <c r="GYY13" s="41"/>
      <c r="GYZ13" s="41"/>
      <c r="GZA13" s="41"/>
      <c r="GZB13" s="41"/>
      <c r="GZC13" s="41"/>
      <c r="GZD13" s="41"/>
      <c r="GZE13" s="41"/>
      <c r="GZF13" s="41"/>
      <c r="GZG13" s="41"/>
      <c r="GZH13" s="41"/>
      <c r="GZI13" s="41"/>
      <c r="GZJ13" s="41"/>
      <c r="GZK13" s="41"/>
      <c r="GZL13" s="41"/>
      <c r="GZM13" s="41"/>
      <c r="GZN13" s="41"/>
      <c r="GZO13" s="41"/>
      <c r="GZP13" s="41"/>
      <c r="GZQ13" s="41"/>
      <c r="GZR13" s="41"/>
      <c r="GZS13" s="41"/>
      <c r="GZT13" s="41"/>
      <c r="GZU13" s="41"/>
      <c r="GZV13" s="41"/>
      <c r="GZW13" s="41"/>
      <c r="GZX13" s="41"/>
      <c r="GZY13" s="41"/>
      <c r="GZZ13" s="41"/>
      <c r="HAA13" s="41"/>
      <c r="HAB13" s="41"/>
      <c r="HAC13" s="41"/>
      <c r="HAD13" s="41"/>
      <c r="HAE13" s="41"/>
      <c r="HAF13" s="41"/>
      <c r="HAG13" s="41"/>
      <c r="HAH13" s="41"/>
      <c r="HAI13" s="41"/>
      <c r="HAJ13" s="41"/>
      <c r="HAK13" s="41"/>
      <c r="HAL13" s="41"/>
      <c r="HAM13" s="41"/>
      <c r="HAN13" s="41"/>
      <c r="HAO13" s="41"/>
      <c r="HAP13" s="41"/>
      <c r="HAQ13" s="41"/>
      <c r="HAR13" s="41"/>
      <c r="HAS13" s="41"/>
      <c r="HAT13" s="41"/>
      <c r="HAU13" s="41"/>
      <c r="HAV13" s="41"/>
      <c r="HAW13" s="41"/>
      <c r="HAX13" s="41"/>
      <c r="HAY13" s="41"/>
      <c r="HAZ13" s="41"/>
      <c r="HBA13" s="41"/>
      <c r="HBB13" s="41"/>
      <c r="HBC13" s="41"/>
      <c r="HBD13" s="41"/>
      <c r="HBE13" s="41"/>
      <c r="HBF13" s="41"/>
      <c r="HBG13" s="41"/>
      <c r="HBH13" s="41"/>
      <c r="HBI13" s="41"/>
      <c r="HBJ13" s="41"/>
      <c r="HBK13" s="41"/>
      <c r="HBL13" s="41"/>
      <c r="HBM13" s="41"/>
      <c r="HBN13" s="41"/>
      <c r="HBO13" s="41"/>
      <c r="HBP13" s="41"/>
      <c r="HBQ13" s="41"/>
      <c r="HBR13" s="41"/>
      <c r="HBS13" s="41"/>
      <c r="HBT13" s="41"/>
      <c r="HBU13" s="41"/>
      <c r="HBV13" s="41"/>
      <c r="HBW13" s="41"/>
      <c r="HBX13" s="41"/>
      <c r="HBY13" s="41"/>
      <c r="HBZ13" s="41"/>
      <c r="HCA13" s="41"/>
      <c r="HCB13" s="41"/>
      <c r="HCC13" s="41"/>
      <c r="HCD13" s="41"/>
      <c r="HCE13" s="41"/>
      <c r="HCF13" s="41"/>
      <c r="HCG13" s="41"/>
      <c r="HCH13" s="41"/>
      <c r="HCI13" s="41"/>
      <c r="HCJ13" s="41"/>
      <c r="HCK13" s="41"/>
      <c r="HCL13" s="41"/>
      <c r="HCM13" s="41"/>
      <c r="HCN13" s="41"/>
      <c r="HCO13" s="41"/>
      <c r="HCP13" s="41"/>
      <c r="HCQ13" s="41"/>
      <c r="HCR13" s="41"/>
      <c r="HCS13" s="41"/>
      <c r="HCT13" s="41"/>
      <c r="HCU13" s="41"/>
      <c r="HCV13" s="41"/>
      <c r="HCW13" s="41"/>
      <c r="HCX13" s="41"/>
      <c r="HCY13" s="41"/>
      <c r="HCZ13" s="41"/>
      <c r="HDA13" s="41"/>
      <c r="HDB13" s="41"/>
      <c r="HDC13" s="41"/>
      <c r="HDD13" s="41"/>
      <c r="HDE13" s="41"/>
      <c r="HDF13" s="41"/>
      <c r="HDG13" s="41"/>
      <c r="HDH13" s="41"/>
      <c r="HDI13" s="41"/>
      <c r="HDJ13" s="41"/>
      <c r="HDK13" s="41"/>
      <c r="HDL13" s="41"/>
      <c r="HDM13" s="41"/>
      <c r="HDN13" s="41"/>
      <c r="HDO13" s="41"/>
      <c r="HDP13" s="41"/>
      <c r="HDQ13" s="41"/>
      <c r="HDR13" s="41"/>
      <c r="HDS13" s="41"/>
      <c r="HDT13" s="41"/>
      <c r="HDU13" s="41"/>
      <c r="HDV13" s="41"/>
      <c r="HDW13" s="41"/>
      <c r="HDX13" s="41"/>
      <c r="HDY13" s="41"/>
      <c r="HDZ13" s="41"/>
      <c r="HEA13" s="41"/>
      <c r="HEB13" s="41"/>
      <c r="HEC13" s="41"/>
      <c r="HED13" s="41"/>
      <c r="HEE13" s="41"/>
      <c r="HEF13" s="41"/>
      <c r="HEG13" s="41"/>
      <c r="HEH13" s="41"/>
      <c r="HEI13" s="41"/>
      <c r="HEJ13" s="41"/>
      <c r="HEK13" s="41"/>
      <c r="HEL13" s="41"/>
      <c r="HEM13" s="41"/>
      <c r="HEN13" s="41"/>
      <c r="HEO13" s="41"/>
      <c r="HEP13" s="41"/>
      <c r="HEQ13" s="41"/>
      <c r="HER13" s="41"/>
      <c r="HES13" s="41"/>
      <c r="HET13" s="41"/>
      <c r="HEU13" s="41"/>
      <c r="HEV13" s="41"/>
      <c r="HEW13" s="41"/>
      <c r="HEX13" s="41"/>
      <c r="HEY13" s="41"/>
      <c r="HEZ13" s="41"/>
      <c r="HFA13" s="41"/>
      <c r="HFB13" s="41"/>
      <c r="HFC13" s="41"/>
      <c r="HFD13" s="41"/>
      <c r="HFE13" s="41"/>
      <c r="HFF13" s="41"/>
      <c r="HFG13" s="41"/>
      <c r="HFH13" s="41"/>
      <c r="HFI13" s="41"/>
      <c r="HFJ13" s="41"/>
      <c r="HFK13" s="41"/>
      <c r="HFL13" s="41"/>
      <c r="HFM13" s="41"/>
      <c r="HFN13" s="41"/>
      <c r="HFO13" s="41"/>
      <c r="HFP13" s="41"/>
      <c r="HFQ13" s="41"/>
      <c r="HFR13" s="41"/>
      <c r="HFS13" s="41"/>
      <c r="HFT13" s="41"/>
      <c r="HFU13" s="41"/>
      <c r="HFV13" s="41"/>
      <c r="HFW13" s="41"/>
      <c r="HFX13" s="41"/>
      <c r="HFY13" s="41"/>
      <c r="HFZ13" s="41"/>
      <c r="HGA13" s="41"/>
      <c r="HGB13" s="41"/>
      <c r="HGC13" s="41"/>
      <c r="HGD13" s="41"/>
      <c r="HGE13" s="41"/>
      <c r="HGF13" s="41"/>
      <c r="HGG13" s="41"/>
      <c r="HGH13" s="41"/>
      <c r="HGI13" s="41"/>
      <c r="HGJ13" s="41"/>
      <c r="HGK13" s="41"/>
      <c r="HGL13" s="41"/>
      <c r="HGM13" s="41"/>
      <c r="HGN13" s="41"/>
      <c r="HGO13" s="41"/>
      <c r="HGP13" s="41"/>
      <c r="HGQ13" s="41"/>
      <c r="HGR13" s="41"/>
      <c r="HGS13" s="41"/>
      <c r="HGT13" s="41"/>
      <c r="HGU13" s="41"/>
      <c r="HGV13" s="41"/>
      <c r="HGW13" s="41"/>
      <c r="HGX13" s="41"/>
      <c r="HGY13" s="41"/>
      <c r="HGZ13" s="41"/>
      <c r="HHA13" s="41"/>
      <c r="HHB13" s="41"/>
      <c r="HHC13" s="41"/>
      <c r="HHD13" s="41"/>
      <c r="HHE13" s="41"/>
      <c r="HHF13" s="41"/>
      <c r="HHG13" s="41"/>
      <c r="HHH13" s="41"/>
      <c r="HHI13" s="41"/>
      <c r="HHJ13" s="41"/>
      <c r="HHK13" s="41"/>
      <c r="HHL13" s="41"/>
      <c r="HHM13" s="41"/>
      <c r="HHN13" s="41"/>
      <c r="HHO13" s="41"/>
      <c r="HHP13" s="41"/>
      <c r="HHQ13" s="41"/>
      <c r="HHR13" s="41"/>
      <c r="HHS13" s="41"/>
      <c r="HHT13" s="41"/>
      <c r="HHU13" s="41"/>
      <c r="HHV13" s="41"/>
      <c r="HHW13" s="41"/>
      <c r="HHX13" s="41"/>
      <c r="HHY13" s="41"/>
      <c r="HHZ13" s="41"/>
      <c r="HIA13" s="41"/>
      <c r="HIB13" s="41"/>
      <c r="HIC13" s="41"/>
      <c r="HID13" s="41"/>
      <c r="HIE13" s="41"/>
      <c r="HIF13" s="41"/>
      <c r="HIG13" s="41"/>
      <c r="HIH13" s="41"/>
      <c r="HII13" s="41"/>
      <c r="HIJ13" s="41"/>
      <c r="HIK13" s="41"/>
      <c r="HIL13" s="41"/>
      <c r="HIM13" s="41"/>
      <c r="HIN13" s="41"/>
      <c r="HIO13" s="41"/>
      <c r="HIP13" s="41"/>
      <c r="HIQ13" s="41"/>
      <c r="HIR13" s="41"/>
      <c r="HIS13" s="41"/>
      <c r="HIT13" s="41"/>
      <c r="HIU13" s="41"/>
      <c r="HIV13" s="41"/>
      <c r="HIW13" s="41"/>
      <c r="HIX13" s="41"/>
      <c r="HIY13" s="41"/>
      <c r="HIZ13" s="41"/>
      <c r="HJA13" s="41"/>
      <c r="HJB13" s="41"/>
      <c r="HJC13" s="41"/>
      <c r="HJD13" s="41"/>
      <c r="HJE13" s="41"/>
      <c r="HJF13" s="41"/>
      <c r="HJG13" s="41"/>
      <c r="HJH13" s="41"/>
      <c r="HJI13" s="41"/>
      <c r="HJJ13" s="41"/>
      <c r="HJK13" s="41"/>
      <c r="HJL13" s="41"/>
      <c r="HJM13" s="41"/>
      <c r="HJN13" s="41"/>
      <c r="HJO13" s="41"/>
      <c r="HJP13" s="41"/>
      <c r="HJQ13" s="41"/>
      <c r="HJR13" s="41"/>
      <c r="HJS13" s="41"/>
      <c r="HJT13" s="41"/>
      <c r="HJU13" s="41"/>
      <c r="HJV13" s="41"/>
      <c r="HJW13" s="41"/>
      <c r="HJX13" s="41"/>
      <c r="HJY13" s="41"/>
      <c r="HJZ13" s="41"/>
      <c r="HKA13" s="41"/>
      <c r="HKB13" s="41"/>
      <c r="HKC13" s="41"/>
      <c r="HKD13" s="41"/>
      <c r="HKE13" s="41"/>
      <c r="HKF13" s="41"/>
      <c r="HKG13" s="41"/>
      <c r="HKH13" s="41"/>
      <c r="HKI13" s="41"/>
      <c r="HKJ13" s="41"/>
      <c r="HKK13" s="41"/>
      <c r="HKL13" s="41"/>
      <c r="HKM13" s="41"/>
      <c r="HKN13" s="41"/>
      <c r="HKO13" s="41"/>
      <c r="HKP13" s="41"/>
      <c r="HKQ13" s="41"/>
      <c r="HKR13" s="41"/>
      <c r="HKS13" s="41"/>
      <c r="HKT13" s="41"/>
      <c r="HKU13" s="41"/>
      <c r="HKV13" s="41"/>
      <c r="HKW13" s="41"/>
      <c r="HKX13" s="41"/>
      <c r="HKY13" s="41"/>
      <c r="HKZ13" s="41"/>
      <c r="HLA13" s="41"/>
      <c r="HLB13" s="41"/>
      <c r="HLC13" s="41"/>
      <c r="HLD13" s="41"/>
      <c r="HLE13" s="41"/>
      <c r="HLF13" s="41"/>
      <c r="HLG13" s="41"/>
      <c r="HLH13" s="41"/>
      <c r="HLI13" s="41"/>
      <c r="HLJ13" s="41"/>
      <c r="HLK13" s="41"/>
      <c r="HLL13" s="41"/>
      <c r="HLM13" s="41"/>
      <c r="HLN13" s="41"/>
      <c r="HLO13" s="41"/>
      <c r="HLP13" s="41"/>
      <c r="HLQ13" s="41"/>
      <c r="HLR13" s="41"/>
      <c r="HLS13" s="41"/>
      <c r="HLT13" s="41"/>
      <c r="HLU13" s="41"/>
      <c r="HLV13" s="41"/>
      <c r="HLW13" s="41"/>
      <c r="HLX13" s="41"/>
      <c r="HLY13" s="41"/>
      <c r="HLZ13" s="41"/>
      <c r="HMA13" s="41"/>
      <c r="HMB13" s="41"/>
      <c r="HMC13" s="41"/>
      <c r="HMD13" s="41"/>
      <c r="HME13" s="41"/>
      <c r="HMF13" s="41"/>
      <c r="HMG13" s="41"/>
      <c r="HMH13" s="41"/>
      <c r="HMI13" s="41"/>
      <c r="HMJ13" s="41"/>
      <c r="HMK13" s="41"/>
      <c r="HML13" s="41"/>
      <c r="HMM13" s="41"/>
      <c r="HMN13" s="41"/>
      <c r="HMO13" s="41"/>
      <c r="HMP13" s="41"/>
      <c r="HMQ13" s="41"/>
      <c r="HMR13" s="41"/>
      <c r="HMS13" s="41"/>
      <c r="HMT13" s="41"/>
      <c r="HMU13" s="41"/>
      <c r="HMV13" s="41"/>
      <c r="HMW13" s="41"/>
      <c r="HMX13" s="41"/>
      <c r="HMY13" s="41"/>
      <c r="HMZ13" s="41"/>
      <c r="HNA13" s="41"/>
      <c r="HNB13" s="41"/>
      <c r="HNC13" s="41"/>
      <c r="HND13" s="41"/>
      <c r="HNE13" s="41"/>
      <c r="HNF13" s="41"/>
      <c r="HNG13" s="41"/>
      <c r="HNH13" s="41"/>
      <c r="HNI13" s="41"/>
      <c r="HNJ13" s="41"/>
      <c r="HNK13" s="41"/>
      <c r="HNL13" s="41"/>
      <c r="HNM13" s="41"/>
      <c r="HNN13" s="41"/>
      <c r="HNO13" s="41"/>
      <c r="HNP13" s="41"/>
      <c r="HNQ13" s="41"/>
      <c r="HNR13" s="41"/>
      <c r="HNS13" s="41"/>
      <c r="HNT13" s="41"/>
      <c r="HNU13" s="41"/>
      <c r="HNV13" s="41"/>
      <c r="HNW13" s="41"/>
      <c r="HNX13" s="41"/>
      <c r="HNY13" s="41"/>
      <c r="HNZ13" s="41"/>
      <c r="HOA13" s="41"/>
      <c r="HOB13" s="41"/>
      <c r="HOC13" s="41"/>
      <c r="HOD13" s="41"/>
      <c r="HOE13" s="41"/>
      <c r="HOF13" s="41"/>
      <c r="HOG13" s="41"/>
      <c r="HOH13" s="41"/>
      <c r="HOI13" s="41"/>
      <c r="HOJ13" s="41"/>
      <c r="HOK13" s="41"/>
      <c r="HOL13" s="41"/>
      <c r="HOM13" s="41"/>
      <c r="HON13" s="41"/>
      <c r="HOO13" s="41"/>
      <c r="HOP13" s="41"/>
      <c r="HOQ13" s="41"/>
      <c r="HOR13" s="41"/>
      <c r="HOS13" s="41"/>
      <c r="HOT13" s="41"/>
      <c r="HOU13" s="41"/>
      <c r="HOV13" s="41"/>
      <c r="HOW13" s="41"/>
      <c r="HOX13" s="41"/>
      <c r="HOY13" s="41"/>
      <c r="HOZ13" s="41"/>
      <c r="HPA13" s="41"/>
      <c r="HPB13" s="41"/>
      <c r="HPC13" s="41"/>
      <c r="HPD13" s="41"/>
      <c r="HPE13" s="41"/>
      <c r="HPF13" s="41"/>
      <c r="HPG13" s="41"/>
      <c r="HPH13" s="41"/>
      <c r="HPI13" s="41"/>
      <c r="HPJ13" s="41"/>
      <c r="HPK13" s="41"/>
      <c r="HPL13" s="41"/>
      <c r="HPM13" s="41"/>
      <c r="HPN13" s="41"/>
      <c r="HPO13" s="41"/>
      <c r="HPP13" s="41"/>
      <c r="HPQ13" s="41"/>
      <c r="HPR13" s="41"/>
      <c r="HPS13" s="41"/>
      <c r="HPT13" s="41"/>
      <c r="HPU13" s="41"/>
      <c r="HPV13" s="41"/>
      <c r="HPW13" s="41"/>
      <c r="HPX13" s="41"/>
      <c r="HPY13" s="41"/>
      <c r="HPZ13" s="41"/>
      <c r="HQA13" s="41"/>
      <c r="HQB13" s="41"/>
      <c r="HQC13" s="41"/>
      <c r="HQD13" s="41"/>
      <c r="HQE13" s="41"/>
      <c r="HQF13" s="41"/>
      <c r="HQG13" s="41"/>
      <c r="HQH13" s="41"/>
      <c r="HQI13" s="41"/>
      <c r="HQJ13" s="41"/>
      <c r="HQK13" s="41"/>
      <c r="HQL13" s="41"/>
      <c r="HQM13" s="41"/>
      <c r="HQN13" s="41"/>
      <c r="HQO13" s="41"/>
      <c r="HQP13" s="41"/>
      <c r="HQQ13" s="41"/>
      <c r="HQR13" s="41"/>
      <c r="HQS13" s="41"/>
      <c r="HQT13" s="41"/>
      <c r="HQU13" s="41"/>
      <c r="HQV13" s="41"/>
      <c r="HQW13" s="41"/>
      <c r="HQX13" s="41"/>
      <c r="HQY13" s="41"/>
      <c r="HQZ13" s="41"/>
      <c r="HRA13" s="41"/>
      <c r="HRB13" s="41"/>
      <c r="HRC13" s="41"/>
      <c r="HRD13" s="41"/>
      <c r="HRE13" s="41"/>
      <c r="HRF13" s="41"/>
      <c r="HRG13" s="41"/>
      <c r="HRH13" s="41"/>
      <c r="HRI13" s="41"/>
      <c r="HRJ13" s="41"/>
      <c r="HRK13" s="41"/>
      <c r="HRL13" s="41"/>
      <c r="HRM13" s="41"/>
      <c r="HRN13" s="41"/>
      <c r="HRO13" s="41"/>
      <c r="HRP13" s="41"/>
      <c r="HRQ13" s="41"/>
      <c r="HRR13" s="41"/>
      <c r="HRS13" s="41"/>
      <c r="HRT13" s="41"/>
      <c r="HRU13" s="41"/>
      <c r="HRV13" s="41"/>
      <c r="HRW13" s="41"/>
      <c r="HRX13" s="41"/>
      <c r="HRY13" s="41"/>
      <c r="HRZ13" s="41"/>
      <c r="HSA13" s="41"/>
      <c r="HSB13" s="41"/>
      <c r="HSC13" s="41"/>
      <c r="HSD13" s="41"/>
      <c r="HSE13" s="41"/>
      <c r="HSF13" s="41"/>
      <c r="HSG13" s="41"/>
      <c r="HSH13" s="41"/>
      <c r="HSI13" s="41"/>
      <c r="HSJ13" s="41"/>
      <c r="HSK13" s="41"/>
      <c r="HSL13" s="41"/>
      <c r="HSM13" s="41"/>
      <c r="HSN13" s="41"/>
      <c r="HSO13" s="41"/>
      <c r="HSP13" s="41"/>
      <c r="HSQ13" s="41"/>
      <c r="HSR13" s="41"/>
      <c r="HSS13" s="41"/>
      <c r="HST13" s="41"/>
      <c r="HSU13" s="41"/>
      <c r="HSV13" s="41"/>
      <c r="HSW13" s="41"/>
      <c r="HSX13" s="41"/>
      <c r="HSY13" s="41"/>
      <c r="HSZ13" s="41"/>
      <c r="HTA13" s="41"/>
      <c r="HTB13" s="41"/>
      <c r="HTC13" s="41"/>
      <c r="HTD13" s="41"/>
      <c r="HTE13" s="41"/>
      <c r="HTF13" s="41"/>
      <c r="HTG13" s="41"/>
      <c r="HTH13" s="41"/>
      <c r="HTI13" s="41"/>
      <c r="HTJ13" s="41"/>
      <c r="HTK13" s="41"/>
      <c r="HTL13" s="41"/>
      <c r="HTM13" s="41"/>
      <c r="HTN13" s="41"/>
      <c r="HTO13" s="41"/>
      <c r="HTP13" s="41"/>
      <c r="HTQ13" s="41"/>
      <c r="HTR13" s="41"/>
      <c r="HTS13" s="41"/>
      <c r="HTT13" s="41"/>
      <c r="HTU13" s="41"/>
      <c r="HTV13" s="41"/>
      <c r="HTW13" s="41"/>
      <c r="HTX13" s="41"/>
      <c r="HTY13" s="41"/>
      <c r="HTZ13" s="41"/>
      <c r="HUA13" s="41"/>
      <c r="HUB13" s="41"/>
      <c r="HUC13" s="41"/>
      <c r="HUD13" s="41"/>
      <c r="HUE13" s="41"/>
      <c r="HUF13" s="41"/>
      <c r="HUG13" s="41"/>
      <c r="HUH13" s="41"/>
      <c r="HUI13" s="41"/>
      <c r="HUJ13" s="41"/>
      <c r="HUK13" s="41"/>
      <c r="HUL13" s="41"/>
      <c r="HUM13" s="41"/>
      <c r="HUN13" s="41"/>
      <c r="HUO13" s="41"/>
      <c r="HUP13" s="41"/>
      <c r="HUQ13" s="41"/>
      <c r="HUR13" s="41"/>
      <c r="HUS13" s="41"/>
      <c r="HUT13" s="41"/>
      <c r="HUU13" s="41"/>
      <c r="HUV13" s="41"/>
      <c r="HUW13" s="41"/>
      <c r="HUX13" s="41"/>
      <c r="HUY13" s="41"/>
      <c r="HUZ13" s="41"/>
      <c r="HVA13" s="41"/>
      <c r="HVB13" s="41"/>
      <c r="HVC13" s="41"/>
      <c r="HVD13" s="41"/>
      <c r="HVE13" s="41"/>
      <c r="HVF13" s="41"/>
      <c r="HVG13" s="41"/>
      <c r="HVH13" s="41"/>
      <c r="HVI13" s="41"/>
      <c r="HVJ13" s="41"/>
      <c r="HVK13" s="41"/>
      <c r="HVL13" s="41"/>
      <c r="HVM13" s="41"/>
      <c r="HVN13" s="41"/>
      <c r="HVO13" s="41"/>
      <c r="HVP13" s="41"/>
      <c r="HVQ13" s="41"/>
      <c r="HVR13" s="41"/>
      <c r="HVS13" s="41"/>
      <c r="HVT13" s="41"/>
      <c r="HVU13" s="41"/>
      <c r="HVV13" s="41"/>
      <c r="HVW13" s="41"/>
      <c r="HVX13" s="41"/>
      <c r="HVY13" s="41"/>
      <c r="HVZ13" s="41"/>
      <c r="HWA13" s="41"/>
      <c r="HWB13" s="41"/>
      <c r="HWC13" s="41"/>
      <c r="HWD13" s="41"/>
      <c r="HWE13" s="41"/>
      <c r="HWF13" s="41"/>
      <c r="HWG13" s="41"/>
      <c r="HWH13" s="41"/>
      <c r="HWI13" s="41"/>
      <c r="HWJ13" s="41"/>
      <c r="HWK13" s="41"/>
      <c r="HWL13" s="41"/>
      <c r="HWM13" s="41"/>
      <c r="HWN13" s="41"/>
      <c r="HWO13" s="41"/>
      <c r="HWP13" s="41"/>
      <c r="HWQ13" s="41"/>
      <c r="HWR13" s="41"/>
      <c r="HWS13" s="41"/>
      <c r="HWT13" s="41"/>
      <c r="HWU13" s="41"/>
      <c r="HWV13" s="41"/>
      <c r="HWW13" s="41"/>
      <c r="HWX13" s="41"/>
      <c r="HWY13" s="41"/>
      <c r="HWZ13" s="41"/>
      <c r="HXA13" s="41"/>
      <c r="HXB13" s="41"/>
      <c r="HXC13" s="41"/>
      <c r="HXD13" s="41"/>
      <c r="HXE13" s="41"/>
      <c r="HXF13" s="41"/>
      <c r="HXG13" s="41"/>
      <c r="HXH13" s="41"/>
      <c r="HXI13" s="41"/>
      <c r="HXJ13" s="41"/>
      <c r="HXK13" s="41"/>
      <c r="HXL13" s="41"/>
      <c r="HXM13" s="41"/>
      <c r="HXN13" s="41"/>
      <c r="HXO13" s="41"/>
      <c r="HXP13" s="41"/>
      <c r="HXQ13" s="41"/>
      <c r="HXR13" s="41"/>
      <c r="HXS13" s="41"/>
      <c r="HXT13" s="41"/>
      <c r="HXU13" s="41"/>
      <c r="HXV13" s="41"/>
      <c r="HXW13" s="41"/>
      <c r="HXX13" s="41"/>
      <c r="HXY13" s="41"/>
      <c r="HXZ13" s="41"/>
      <c r="HYA13" s="41"/>
      <c r="HYB13" s="41"/>
      <c r="HYC13" s="41"/>
      <c r="HYD13" s="41"/>
      <c r="HYE13" s="41"/>
      <c r="HYF13" s="41"/>
      <c r="HYG13" s="41"/>
      <c r="HYH13" s="41"/>
      <c r="HYI13" s="41"/>
      <c r="HYJ13" s="41"/>
      <c r="HYK13" s="41"/>
      <c r="HYL13" s="41"/>
      <c r="HYM13" s="41"/>
      <c r="HYN13" s="41"/>
      <c r="HYO13" s="41"/>
      <c r="HYP13" s="41"/>
      <c r="HYQ13" s="41"/>
      <c r="HYR13" s="41"/>
      <c r="HYS13" s="41"/>
      <c r="HYT13" s="41"/>
      <c r="HYU13" s="41"/>
      <c r="HYV13" s="41"/>
      <c r="HYW13" s="41"/>
      <c r="HYX13" s="41"/>
      <c r="HYY13" s="41"/>
      <c r="HYZ13" s="41"/>
      <c r="HZA13" s="41"/>
      <c r="HZB13" s="41"/>
      <c r="HZC13" s="41"/>
      <c r="HZD13" s="41"/>
      <c r="HZE13" s="41"/>
      <c r="HZF13" s="41"/>
      <c r="HZG13" s="41"/>
      <c r="HZH13" s="41"/>
      <c r="HZI13" s="41"/>
      <c r="HZJ13" s="41"/>
      <c r="HZK13" s="41"/>
      <c r="HZL13" s="41"/>
      <c r="HZM13" s="41"/>
      <c r="HZN13" s="41"/>
      <c r="HZO13" s="41"/>
      <c r="HZP13" s="41"/>
      <c r="HZQ13" s="41"/>
      <c r="HZR13" s="41"/>
      <c r="HZS13" s="41"/>
      <c r="HZT13" s="41"/>
      <c r="HZU13" s="41"/>
      <c r="HZV13" s="41"/>
      <c r="HZW13" s="41"/>
      <c r="HZX13" s="41"/>
      <c r="HZY13" s="41"/>
      <c r="HZZ13" s="41"/>
      <c r="IAA13" s="41"/>
      <c r="IAB13" s="41"/>
      <c r="IAC13" s="41"/>
      <c r="IAD13" s="41"/>
      <c r="IAE13" s="41"/>
      <c r="IAF13" s="41"/>
      <c r="IAG13" s="41"/>
      <c r="IAH13" s="41"/>
      <c r="IAI13" s="41"/>
      <c r="IAJ13" s="41"/>
      <c r="IAK13" s="41"/>
      <c r="IAL13" s="41"/>
      <c r="IAM13" s="41"/>
      <c r="IAN13" s="41"/>
      <c r="IAO13" s="41"/>
      <c r="IAP13" s="41"/>
      <c r="IAQ13" s="41"/>
      <c r="IAR13" s="41"/>
      <c r="IAS13" s="41"/>
      <c r="IAT13" s="41"/>
      <c r="IAU13" s="41"/>
      <c r="IAV13" s="41"/>
      <c r="IAW13" s="41"/>
      <c r="IAX13" s="41"/>
      <c r="IAY13" s="41"/>
      <c r="IAZ13" s="41"/>
      <c r="IBA13" s="41"/>
      <c r="IBB13" s="41"/>
      <c r="IBC13" s="41"/>
      <c r="IBD13" s="41"/>
      <c r="IBE13" s="41"/>
      <c r="IBF13" s="41"/>
      <c r="IBG13" s="41"/>
      <c r="IBH13" s="41"/>
      <c r="IBI13" s="41"/>
      <c r="IBJ13" s="41"/>
      <c r="IBK13" s="41"/>
      <c r="IBL13" s="41"/>
      <c r="IBM13" s="41"/>
      <c r="IBN13" s="41"/>
      <c r="IBO13" s="41"/>
      <c r="IBP13" s="41"/>
      <c r="IBQ13" s="41"/>
      <c r="IBR13" s="41"/>
      <c r="IBS13" s="41"/>
      <c r="IBT13" s="41"/>
      <c r="IBU13" s="41"/>
      <c r="IBV13" s="41"/>
      <c r="IBW13" s="41"/>
      <c r="IBX13" s="41"/>
      <c r="IBY13" s="41"/>
      <c r="IBZ13" s="41"/>
      <c r="ICA13" s="41"/>
      <c r="ICB13" s="41"/>
      <c r="ICC13" s="41"/>
      <c r="ICD13" s="41"/>
      <c r="ICE13" s="41"/>
      <c r="ICF13" s="41"/>
      <c r="ICG13" s="41"/>
      <c r="ICH13" s="41"/>
      <c r="ICI13" s="41"/>
      <c r="ICJ13" s="41"/>
      <c r="ICK13" s="41"/>
      <c r="ICL13" s="41"/>
      <c r="ICM13" s="41"/>
      <c r="ICN13" s="41"/>
      <c r="ICO13" s="41"/>
      <c r="ICP13" s="41"/>
      <c r="ICQ13" s="41"/>
      <c r="ICR13" s="41"/>
      <c r="ICS13" s="41"/>
      <c r="ICT13" s="41"/>
      <c r="ICU13" s="41"/>
      <c r="ICV13" s="41"/>
      <c r="ICW13" s="41"/>
      <c r="ICX13" s="41"/>
      <c r="ICY13" s="41"/>
      <c r="ICZ13" s="41"/>
      <c r="IDA13" s="41"/>
      <c r="IDB13" s="41"/>
      <c r="IDC13" s="41"/>
      <c r="IDD13" s="41"/>
      <c r="IDE13" s="41"/>
      <c r="IDF13" s="41"/>
      <c r="IDG13" s="41"/>
      <c r="IDH13" s="41"/>
      <c r="IDI13" s="41"/>
      <c r="IDJ13" s="41"/>
      <c r="IDK13" s="41"/>
      <c r="IDL13" s="41"/>
      <c r="IDM13" s="41"/>
      <c r="IDN13" s="41"/>
      <c r="IDO13" s="41"/>
      <c r="IDP13" s="41"/>
      <c r="IDQ13" s="41"/>
      <c r="IDR13" s="41"/>
      <c r="IDS13" s="41"/>
      <c r="IDT13" s="41"/>
      <c r="IDU13" s="41"/>
      <c r="IDV13" s="41"/>
      <c r="IDW13" s="41"/>
      <c r="IDX13" s="41"/>
      <c r="IDY13" s="41"/>
      <c r="IDZ13" s="41"/>
      <c r="IEA13" s="41"/>
      <c r="IEB13" s="41"/>
      <c r="IEC13" s="41"/>
      <c r="IED13" s="41"/>
      <c r="IEE13" s="41"/>
      <c r="IEF13" s="41"/>
      <c r="IEG13" s="41"/>
      <c r="IEH13" s="41"/>
      <c r="IEI13" s="41"/>
      <c r="IEJ13" s="41"/>
      <c r="IEK13" s="41"/>
      <c r="IEL13" s="41"/>
      <c r="IEM13" s="41"/>
      <c r="IEN13" s="41"/>
      <c r="IEO13" s="41"/>
      <c r="IEP13" s="41"/>
      <c r="IEQ13" s="41"/>
      <c r="IER13" s="41"/>
      <c r="IES13" s="41"/>
      <c r="IET13" s="41"/>
      <c r="IEU13" s="41"/>
      <c r="IEV13" s="41"/>
      <c r="IEW13" s="41"/>
      <c r="IEX13" s="41"/>
      <c r="IEY13" s="41"/>
      <c r="IEZ13" s="41"/>
      <c r="IFA13" s="41"/>
      <c r="IFB13" s="41"/>
      <c r="IFC13" s="41"/>
      <c r="IFD13" s="41"/>
      <c r="IFE13" s="41"/>
      <c r="IFF13" s="41"/>
      <c r="IFG13" s="41"/>
      <c r="IFH13" s="41"/>
      <c r="IFI13" s="41"/>
      <c r="IFJ13" s="41"/>
      <c r="IFK13" s="41"/>
      <c r="IFL13" s="41"/>
      <c r="IFM13" s="41"/>
      <c r="IFN13" s="41"/>
      <c r="IFO13" s="41"/>
      <c r="IFP13" s="41"/>
      <c r="IFQ13" s="41"/>
      <c r="IFR13" s="41"/>
      <c r="IFS13" s="41"/>
      <c r="IFT13" s="41"/>
      <c r="IFU13" s="41"/>
      <c r="IFV13" s="41"/>
      <c r="IFW13" s="41"/>
      <c r="IFX13" s="41"/>
      <c r="IFY13" s="41"/>
      <c r="IFZ13" s="41"/>
      <c r="IGA13" s="41"/>
      <c r="IGB13" s="41"/>
      <c r="IGC13" s="41"/>
      <c r="IGD13" s="41"/>
      <c r="IGE13" s="41"/>
      <c r="IGF13" s="41"/>
      <c r="IGG13" s="41"/>
      <c r="IGH13" s="41"/>
      <c r="IGI13" s="41"/>
      <c r="IGJ13" s="41"/>
      <c r="IGK13" s="41"/>
      <c r="IGL13" s="41"/>
      <c r="IGM13" s="41"/>
      <c r="IGN13" s="41"/>
      <c r="IGO13" s="41"/>
      <c r="IGP13" s="41"/>
      <c r="IGQ13" s="41"/>
      <c r="IGR13" s="41"/>
      <c r="IGS13" s="41"/>
      <c r="IGT13" s="41"/>
      <c r="IGU13" s="41"/>
      <c r="IGV13" s="41"/>
      <c r="IGW13" s="41"/>
      <c r="IGX13" s="41"/>
      <c r="IGY13" s="41"/>
      <c r="IGZ13" s="41"/>
      <c r="IHA13" s="41"/>
      <c r="IHB13" s="41"/>
      <c r="IHC13" s="41"/>
      <c r="IHD13" s="41"/>
      <c r="IHE13" s="41"/>
      <c r="IHF13" s="41"/>
      <c r="IHG13" s="41"/>
      <c r="IHH13" s="41"/>
      <c r="IHI13" s="41"/>
      <c r="IHJ13" s="41"/>
      <c r="IHK13" s="41"/>
      <c r="IHL13" s="41"/>
      <c r="IHM13" s="41"/>
      <c r="IHN13" s="41"/>
      <c r="IHO13" s="41"/>
      <c r="IHP13" s="41"/>
      <c r="IHQ13" s="41"/>
      <c r="IHR13" s="41"/>
      <c r="IHS13" s="41"/>
      <c r="IHT13" s="41"/>
      <c r="IHU13" s="41"/>
      <c r="IHV13" s="41"/>
      <c r="IHW13" s="41"/>
      <c r="IHX13" s="41"/>
      <c r="IHY13" s="41"/>
      <c r="IHZ13" s="41"/>
      <c r="IIA13" s="41"/>
      <c r="IIB13" s="41"/>
      <c r="IIC13" s="41"/>
      <c r="IID13" s="41"/>
      <c r="IIE13" s="41"/>
      <c r="IIF13" s="41"/>
      <c r="IIG13" s="41"/>
      <c r="IIH13" s="41"/>
      <c r="III13" s="41"/>
      <c r="IIJ13" s="41"/>
      <c r="IIK13" s="41"/>
      <c r="IIL13" s="41"/>
      <c r="IIM13" s="41"/>
      <c r="IIN13" s="41"/>
      <c r="IIO13" s="41"/>
      <c r="IIP13" s="41"/>
      <c r="IIQ13" s="41"/>
      <c r="IIR13" s="41"/>
      <c r="IIS13" s="41"/>
      <c r="IIT13" s="41"/>
      <c r="IIU13" s="41"/>
      <c r="IIV13" s="41"/>
      <c r="IIW13" s="41"/>
      <c r="IIX13" s="41"/>
      <c r="IIY13" s="41"/>
      <c r="IIZ13" s="41"/>
      <c r="IJA13" s="41"/>
      <c r="IJB13" s="41"/>
      <c r="IJC13" s="41"/>
      <c r="IJD13" s="41"/>
      <c r="IJE13" s="41"/>
      <c r="IJF13" s="41"/>
      <c r="IJG13" s="41"/>
      <c r="IJH13" s="41"/>
      <c r="IJI13" s="41"/>
      <c r="IJJ13" s="41"/>
      <c r="IJK13" s="41"/>
      <c r="IJL13" s="41"/>
      <c r="IJM13" s="41"/>
      <c r="IJN13" s="41"/>
      <c r="IJO13" s="41"/>
      <c r="IJP13" s="41"/>
      <c r="IJQ13" s="41"/>
      <c r="IJR13" s="41"/>
      <c r="IJS13" s="41"/>
      <c r="IJT13" s="41"/>
      <c r="IJU13" s="41"/>
      <c r="IJV13" s="41"/>
      <c r="IJW13" s="41"/>
      <c r="IJX13" s="41"/>
      <c r="IJY13" s="41"/>
      <c r="IJZ13" s="41"/>
      <c r="IKA13" s="41"/>
      <c r="IKB13" s="41"/>
      <c r="IKC13" s="41"/>
      <c r="IKD13" s="41"/>
      <c r="IKE13" s="41"/>
      <c r="IKF13" s="41"/>
      <c r="IKG13" s="41"/>
      <c r="IKH13" s="41"/>
      <c r="IKI13" s="41"/>
      <c r="IKJ13" s="41"/>
      <c r="IKK13" s="41"/>
      <c r="IKL13" s="41"/>
      <c r="IKM13" s="41"/>
      <c r="IKN13" s="41"/>
      <c r="IKO13" s="41"/>
      <c r="IKP13" s="41"/>
      <c r="IKQ13" s="41"/>
      <c r="IKR13" s="41"/>
      <c r="IKS13" s="41"/>
      <c r="IKT13" s="41"/>
      <c r="IKU13" s="41"/>
      <c r="IKV13" s="41"/>
      <c r="IKW13" s="41"/>
      <c r="IKX13" s="41"/>
      <c r="IKY13" s="41"/>
      <c r="IKZ13" s="41"/>
      <c r="ILA13" s="41"/>
      <c r="ILB13" s="41"/>
      <c r="ILC13" s="41"/>
      <c r="ILD13" s="41"/>
      <c r="ILE13" s="41"/>
      <c r="ILF13" s="41"/>
      <c r="ILG13" s="41"/>
      <c r="ILH13" s="41"/>
      <c r="ILI13" s="41"/>
      <c r="ILJ13" s="41"/>
      <c r="ILK13" s="41"/>
      <c r="ILL13" s="41"/>
      <c r="ILM13" s="41"/>
      <c r="ILN13" s="41"/>
      <c r="ILO13" s="41"/>
      <c r="ILP13" s="41"/>
      <c r="ILQ13" s="41"/>
      <c r="ILR13" s="41"/>
      <c r="ILS13" s="41"/>
      <c r="ILT13" s="41"/>
      <c r="ILU13" s="41"/>
      <c r="ILV13" s="41"/>
      <c r="ILW13" s="41"/>
      <c r="ILX13" s="41"/>
      <c r="ILY13" s="41"/>
      <c r="ILZ13" s="41"/>
      <c r="IMA13" s="41"/>
      <c r="IMB13" s="41"/>
      <c r="IMC13" s="41"/>
      <c r="IMD13" s="41"/>
      <c r="IME13" s="41"/>
      <c r="IMF13" s="41"/>
      <c r="IMG13" s="41"/>
      <c r="IMH13" s="41"/>
      <c r="IMI13" s="41"/>
      <c r="IMJ13" s="41"/>
      <c r="IMK13" s="41"/>
      <c r="IML13" s="41"/>
      <c r="IMM13" s="41"/>
      <c r="IMN13" s="41"/>
      <c r="IMO13" s="41"/>
      <c r="IMP13" s="41"/>
      <c r="IMQ13" s="41"/>
      <c r="IMR13" s="41"/>
      <c r="IMS13" s="41"/>
      <c r="IMT13" s="41"/>
      <c r="IMU13" s="41"/>
      <c r="IMV13" s="41"/>
      <c r="IMW13" s="41"/>
      <c r="IMX13" s="41"/>
      <c r="IMY13" s="41"/>
      <c r="IMZ13" s="41"/>
      <c r="INA13" s="41"/>
      <c r="INB13" s="41"/>
      <c r="INC13" s="41"/>
      <c r="IND13" s="41"/>
      <c r="INE13" s="41"/>
      <c r="INF13" s="41"/>
      <c r="ING13" s="41"/>
      <c r="INH13" s="41"/>
      <c r="INI13" s="41"/>
      <c r="INJ13" s="41"/>
      <c r="INK13" s="41"/>
      <c r="INL13" s="41"/>
      <c r="INM13" s="41"/>
      <c r="INN13" s="41"/>
      <c r="INO13" s="41"/>
      <c r="INP13" s="41"/>
      <c r="INQ13" s="41"/>
      <c r="INR13" s="41"/>
      <c r="INS13" s="41"/>
      <c r="INT13" s="41"/>
      <c r="INU13" s="41"/>
      <c r="INV13" s="41"/>
      <c r="INW13" s="41"/>
      <c r="INX13" s="41"/>
      <c r="INY13" s="41"/>
      <c r="INZ13" s="41"/>
      <c r="IOA13" s="41"/>
      <c r="IOB13" s="41"/>
      <c r="IOC13" s="41"/>
      <c r="IOD13" s="41"/>
      <c r="IOE13" s="41"/>
      <c r="IOF13" s="41"/>
      <c r="IOG13" s="41"/>
      <c r="IOH13" s="41"/>
      <c r="IOI13" s="41"/>
      <c r="IOJ13" s="41"/>
      <c r="IOK13" s="41"/>
      <c r="IOL13" s="41"/>
      <c r="IOM13" s="41"/>
      <c r="ION13" s="41"/>
      <c r="IOO13" s="41"/>
      <c r="IOP13" s="41"/>
      <c r="IOQ13" s="41"/>
      <c r="IOR13" s="41"/>
      <c r="IOS13" s="41"/>
      <c r="IOT13" s="41"/>
      <c r="IOU13" s="41"/>
      <c r="IOV13" s="41"/>
      <c r="IOW13" s="41"/>
      <c r="IOX13" s="41"/>
      <c r="IOY13" s="41"/>
      <c r="IOZ13" s="41"/>
      <c r="IPA13" s="41"/>
      <c r="IPB13" s="41"/>
      <c r="IPC13" s="41"/>
      <c r="IPD13" s="41"/>
      <c r="IPE13" s="41"/>
      <c r="IPF13" s="41"/>
      <c r="IPG13" s="41"/>
      <c r="IPH13" s="41"/>
      <c r="IPI13" s="41"/>
      <c r="IPJ13" s="41"/>
      <c r="IPK13" s="41"/>
      <c r="IPL13" s="41"/>
      <c r="IPM13" s="41"/>
      <c r="IPN13" s="41"/>
      <c r="IPO13" s="41"/>
      <c r="IPP13" s="41"/>
      <c r="IPQ13" s="41"/>
      <c r="IPR13" s="41"/>
      <c r="IPS13" s="41"/>
      <c r="IPT13" s="41"/>
      <c r="IPU13" s="41"/>
      <c r="IPV13" s="41"/>
      <c r="IPW13" s="41"/>
      <c r="IPX13" s="41"/>
      <c r="IPY13" s="41"/>
      <c r="IPZ13" s="41"/>
      <c r="IQA13" s="41"/>
      <c r="IQB13" s="41"/>
      <c r="IQC13" s="41"/>
      <c r="IQD13" s="41"/>
      <c r="IQE13" s="41"/>
      <c r="IQF13" s="41"/>
      <c r="IQG13" s="41"/>
      <c r="IQH13" s="41"/>
      <c r="IQI13" s="41"/>
      <c r="IQJ13" s="41"/>
      <c r="IQK13" s="41"/>
      <c r="IQL13" s="41"/>
      <c r="IQM13" s="41"/>
      <c r="IQN13" s="41"/>
      <c r="IQO13" s="41"/>
      <c r="IQP13" s="41"/>
      <c r="IQQ13" s="41"/>
      <c r="IQR13" s="41"/>
      <c r="IQS13" s="41"/>
      <c r="IQT13" s="41"/>
      <c r="IQU13" s="41"/>
      <c r="IQV13" s="41"/>
      <c r="IQW13" s="41"/>
      <c r="IQX13" s="41"/>
      <c r="IQY13" s="41"/>
      <c r="IQZ13" s="41"/>
      <c r="IRA13" s="41"/>
      <c r="IRB13" s="41"/>
      <c r="IRC13" s="41"/>
      <c r="IRD13" s="41"/>
      <c r="IRE13" s="41"/>
      <c r="IRF13" s="41"/>
      <c r="IRG13" s="41"/>
      <c r="IRH13" s="41"/>
      <c r="IRI13" s="41"/>
      <c r="IRJ13" s="41"/>
      <c r="IRK13" s="41"/>
      <c r="IRL13" s="41"/>
      <c r="IRM13" s="41"/>
      <c r="IRN13" s="41"/>
      <c r="IRO13" s="41"/>
      <c r="IRP13" s="41"/>
      <c r="IRQ13" s="41"/>
      <c r="IRR13" s="41"/>
      <c r="IRS13" s="41"/>
      <c r="IRT13" s="41"/>
      <c r="IRU13" s="41"/>
      <c r="IRV13" s="41"/>
      <c r="IRW13" s="41"/>
      <c r="IRX13" s="41"/>
      <c r="IRY13" s="41"/>
      <c r="IRZ13" s="41"/>
      <c r="ISA13" s="41"/>
      <c r="ISB13" s="41"/>
      <c r="ISC13" s="41"/>
      <c r="ISD13" s="41"/>
      <c r="ISE13" s="41"/>
      <c r="ISF13" s="41"/>
      <c r="ISG13" s="41"/>
      <c r="ISH13" s="41"/>
      <c r="ISI13" s="41"/>
      <c r="ISJ13" s="41"/>
      <c r="ISK13" s="41"/>
      <c r="ISL13" s="41"/>
      <c r="ISM13" s="41"/>
      <c r="ISN13" s="41"/>
      <c r="ISO13" s="41"/>
      <c r="ISP13" s="41"/>
      <c r="ISQ13" s="41"/>
      <c r="ISR13" s="41"/>
      <c r="ISS13" s="41"/>
      <c r="IST13" s="41"/>
      <c r="ISU13" s="41"/>
      <c r="ISV13" s="41"/>
      <c r="ISW13" s="41"/>
      <c r="ISX13" s="41"/>
      <c r="ISY13" s="41"/>
      <c r="ISZ13" s="41"/>
      <c r="ITA13" s="41"/>
      <c r="ITB13" s="41"/>
      <c r="ITC13" s="41"/>
      <c r="ITD13" s="41"/>
      <c r="ITE13" s="41"/>
      <c r="ITF13" s="41"/>
      <c r="ITG13" s="41"/>
      <c r="ITH13" s="41"/>
      <c r="ITI13" s="41"/>
      <c r="ITJ13" s="41"/>
      <c r="ITK13" s="41"/>
      <c r="ITL13" s="41"/>
      <c r="ITM13" s="41"/>
      <c r="ITN13" s="41"/>
      <c r="ITO13" s="41"/>
      <c r="ITP13" s="41"/>
      <c r="ITQ13" s="41"/>
      <c r="ITR13" s="41"/>
      <c r="ITS13" s="41"/>
      <c r="ITT13" s="41"/>
      <c r="ITU13" s="41"/>
      <c r="ITV13" s="41"/>
      <c r="ITW13" s="41"/>
      <c r="ITX13" s="41"/>
      <c r="ITY13" s="41"/>
      <c r="ITZ13" s="41"/>
      <c r="IUA13" s="41"/>
      <c r="IUB13" s="41"/>
      <c r="IUC13" s="41"/>
      <c r="IUD13" s="41"/>
      <c r="IUE13" s="41"/>
      <c r="IUF13" s="41"/>
      <c r="IUG13" s="41"/>
      <c r="IUH13" s="41"/>
      <c r="IUI13" s="41"/>
      <c r="IUJ13" s="41"/>
      <c r="IUK13" s="41"/>
      <c r="IUL13" s="41"/>
      <c r="IUM13" s="41"/>
      <c r="IUN13" s="41"/>
      <c r="IUO13" s="41"/>
      <c r="IUP13" s="41"/>
      <c r="IUQ13" s="41"/>
      <c r="IUR13" s="41"/>
      <c r="IUS13" s="41"/>
      <c r="IUT13" s="41"/>
      <c r="IUU13" s="41"/>
      <c r="IUV13" s="41"/>
      <c r="IUW13" s="41"/>
      <c r="IUX13" s="41"/>
      <c r="IUY13" s="41"/>
      <c r="IUZ13" s="41"/>
      <c r="IVA13" s="41"/>
      <c r="IVB13" s="41"/>
      <c r="IVC13" s="41"/>
      <c r="IVD13" s="41"/>
      <c r="IVE13" s="41"/>
      <c r="IVF13" s="41"/>
      <c r="IVG13" s="41"/>
      <c r="IVH13" s="41"/>
      <c r="IVI13" s="41"/>
      <c r="IVJ13" s="41"/>
      <c r="IVK13" s="41"/>
      <c r="IVL13" s="41"/>
      <c r="IVM13" s="41"/>
      <c r="IVN13" s="41"/>
      <c r="IVO13" s="41"/>
      <c r="IVP13" s="41"/>
      <c r="IVQ13" s="41"/>
      <c r="IVR13" s="41"/>
      <c r="IVS13" s="41"/>
      <c r="IVT13" s="41"/>
      <c r="IVU13" s="41"/>
      <c r="IVV13" s="41"/>
      <c r="IVW13" s="41"/>
      <c r="IVX13" s="41"/>
      <c r="IVY13" s="41"/>
      <c r="IVZ13" s="41"/>
      <c r="IWA13" s="41"/>
      <c r="IWB13" s="41"/>
      <c r="IWC13" s="41"/>
      <c r="IWD13" s="41"/>
      <c r="IWE13" s="41"/>
      <c r="IWF13" s="41"/>
      <c r="IWG13" s="41"/>
      <c r="IWH13" s="41"/>
      <c r="IWI13" s="41"/>
      <c r="IWJ13" s="41"/>
      <c r="IWK13" s="41"/>
      <c r="IWL13" s="41"/>
      <c r="IWM13" s="41"/>
      <c r="IWN13" s="41"/>
      <c r="IWO13" s="41"/>
      <c r="IWP13" s="41"/>
      <c r="IWQ13" s="41"/>
      <c r="IWR13" s="41"/>
      <c r="IWS13" s="41"/>
      <c r="IWT13" s="41"/>
      <c r="IWU13" s="41"/>
      <c r="IWV13" s="41"/>
      <c r="IWW13" s="41"/>
      <c r="IWX13" s="41"/>
      <c r="IWY13" s="41"/>
      <c r="IWZ13" s="41"/>
      <c r="IXA13" s="41"/>
      <c r="IXB13" s="41"/>
      <c r="IXC13" s="41"/>
      <c r="IXD13" s="41"/>
      <c r="IXE13" s="41"/>
      <c r="IXF13" s="41"/>
      <c r="IXG13" s="41"/>
      <c r="IXH13" s="41"/>
      <c r="IXI13" s="41"/>
      <c r="IXJ13" s="41"/>
      <c r="IXK13" s="41"/>
      <c r="IXL13" s="41"/>
      <c r="IXM13" s="41"/>
      <c r="IXN13" s="41"/>
      <c r="IXO13" s="41"/>
      <c r="IXP13" s="41"/>
      <c r="IXQ13" s="41"/>
      <c r="IXR13" s="41"/>
      <c r="IXS13" s="41"/>
      <c r="IXT13" s="41"/>
      <c r="IXU13" s="41"/>
      <c r="IXV13" s="41"/>
      <c r="IXW13" s="41"/>
      <c r="IXX13" s="41"/>
      <c r="IXY13" s="41"/>
      <c r="IXZ13" s="41"/>
      <c r="IYA13" s="41"/>
      <c r="IYB13" s="41"/>
      <c r="IYC13" s="41"/>
      <c r="IYD13" s="41"/>
      <c r="IYE13" s="41"/>
      <c r="IYF13" s="41"/>
      <c r="IYG13" s="41"/>
      <c r="IYH13" s="41"/>
      <c r="IYI13" s="41"/>
      <c r="IYJ13" s="41"/>
      <c r="IYK13" s="41"/>
      <c r="IYL13" s="41"/>
      <c r="IYM13" s="41"/>
      <c r="IYN13" s="41"/>
      <c r="IYO13" s="41"/>
      <c r="IYP13" s="41"/>
      <c r="IYQ13" s="41"/>
      <c r="IYR13" s="41"/>
      <c r="IYS13" s="41"/>
      <c r="IYT13" s="41"/>
      <c r="IYU13" s="41"/>
      <c r="IYV13" s="41"/>
      <c r="IYW13" s="41"/>
      <c r="IYX13" s="41"/>
      <c r="IYY13" s="41"/>
      <c r="IYZ13" s="41"/>
      <c r="IZA13" s="41"/>
      <c r="IZB13" s="41"/>
      <c r="IZC13" s="41"/>
      <c r="IZD13" s="41"/>
      <c r="IZE13" s="41"/>
      <c r="IZF13" s="41"/>
      <c r="IZG13" s="41"/>
      <c r="IZH13" s="41"/>
      <c r="IZI13" s="41"/>
      <c r="IZJ13" s="41"/>
      <c r="IZK13" s="41"/>
      <c r="IZL13" s="41"/>
      <c r="IZM13" s="41"/>
      <c r="IZN13" s="41"/>
      <c r="IZO13" s="41"/>
      <c r="IZP13" s="41"/>
      <c r="IZQ13" s="41"/>
      <c r="IZR13" s="41"/>
      <c r="IZS13" s="41"/>
      <c r="IZT13" s="41"/>
      <c r="IZU13" s="41"/>
      <c r="IZV13" s="41"/>
      <c r="IZW13" s="41"/>
      <c r="IZX13" s="41"/>
      <c r="IZY13" s="41"/>
      <c r="IZZ13" s="41"/>
      <c r="JAA13" s="41"/>
      <c r="JAB13" s="41"/>
      <c r="JAC13" s="41"/>
      <c r="JAD13" s="41"/>
      <c r="JAE13" s="41"/>
      <c r="JAF13" s="41"/>
      <c r="JAG13" s="41"/>
      <c r="JAH13" s="41"/>
      <c r="JAI13" s="41"/>
      <c r="JAJ13" s="41"/>
      <c r="JAK13" s="41"/>
      <c r="JAL13" s="41"/>
      <c r="JAM13" s="41"/>
      <c r="JAN13" s="41"/>
      <c r="JAO13" s="41"/>
      <c r="JAP13" s="41"/>
      <c r="JAQ13" s="41"/>
      <c r="JAR13" s="41"/>
      <c r="JAS13" s="41"/>
      <c r="JAT13" s="41"/>
      <c r="JAU13" s="41"/>
      <c r="JAV13" s="41"/>
      <c r="JAW13" s="41"/>
      <c r="JAX13" s="41"/>
      <c r="JAY13" s="41"/>
      <c r="JAZ13" s="41"/>
      <c r="JBA13" s="41"/>
      <c r="JBB13" s="41"/>
      <c r="JBC13" s="41"/>
      <c r="JBD13" s="41"/>
      <c r="JBE13" s="41"/>
      <c r="JBF13" s="41"/>
      <c r="JBG13" s="41"/>
      <c r="JBH13" s="41"/>
      <c r="JBI13" s="41"/>
      <c r="JBJ13" s="41"/>
      <c r="JBK13" s="41"/>
      <c r="JBL13" s="41"/>
      <c r="JBM13" s="41"/>
      <c r="JBN13" s="41"/>
      <c r="JBO13" s="41"/>
      <c r="JBP13" s="41"/>
      <c r="JBQ13" s="41"/>
      <c r="JBR13" s="41"/>
      <c r="JBS13" s="41"/>
      <c r="JBT13" s="41"/>
      <c r="JBU13" s="41"/>
      <c r="JBV13" s="41"/>
      <c r="JBW13" s="41"/>
      <c r="JBX13" s="41"/>
      <c r="JBY13" s="41"/>
      <c r="JBZ13" s="41"/>
      <c r="JCA13" s="41"/>
      <c r="JCB13" s="41"/>
      <c r="JCC13" s="41"/>
      <c r="JCD13" s="41"/>
      <c r="JCE13" s="41"/>
      <c r="JCF13" s="41"/>
      <c r="JCG13" s="41"/>
      <c r="JCH13" s="41"/>
      <c r="JCI13" s="41"/>
      <c r="JCJ13" s="41"/>
      <c r="JCK13" s="41"/>
      <c r="JCL13" s="41"/>
      <c r="JCM13" s="41"/>
      <c r="JCN13" s="41"/>
      <c r="JCO13" s="41"/>
      <c r="JCP13" s="41"/>
      <c r="JCQ13" s="41"/>
      <c r="JCR13" s="41"/>
      <c r="JCS13" s="41"/>
      <c r="JCT13" s="41"/>
      <c r="JCU13" s="41"/>
      <c r="JCV13" s="41"/>
      <c r="JCW13" s="41"/>
      <c r="JCX13" s="41"/>
      <c r="JCY13" s="41"/>
      <c r="JCZ13" s="41"/>
      <c r="JDA13" s="41"/>
      <c r="JDB13" s="41"/>
      <c r="JDC13" s="41"/>
      <c r="JDD13" s="41"/>
      <c r="JDE13" s="41"/>
      <c r="JDF13" s="41"/>
      <c r="JDG13" s="41"/>
      <c r="JDH13" s="41"/>
      <c r="JDI13" s="41"/>
      <c r="JDJ13" s="41"/>
      <c r="JDK13" s="41"/>
      <c r="JDL13" s="41"/>
      <c r="JDM13" s="41"/>
      <c r="JDN13" s="41"/>
      <c r="JDO13" s="41"/>
      <c r="JDP13" s="41"/>
      <c r="JDQ13" s="41"/>
      <c r="JDR13" s="41"/>
      <c r="JDS13" s="41"/>
      <c r="JDT13" s="41"/>
      <c r="JDU13" s="41"/>
      <c r="JDV13" s="41"/>
      <c r="JDW13" s="41"/>
      <c r="JDX13" s="41"/>
      <c r="JDY13" s="41"/>
      <c r="JDZ13" s="41"/>
      <c r="JEA13" s="41"/>
      <c r="JEB13" s="41"/>
      <c r="JEC13" s="41"/>
      <c r="JED13" s="41"/>
      <c r="JEE13" s="41"/>
      <c r="JEF13" s="41"/>
      <c r="JEG13" s="41"/>
      <c r="JEH13" s="41"/>
      <c r="JEI13" s="41"/>
      <c r="JEJ13" s="41"/>
      <c r="JEK13" s="41"/>
      <c r="JEL13" s="41"/>
      <c r="JEM13" s="41"/>
      <c r="JEN13" s="41"/>
      <c r="JEO13" s="41"/>
      <c r="JEP13" s="41"/>
      <c r="JEQ13" s="41"/>
      <c r="JER13" s="41"/>
      <c r="JES13" s="41"/>
      <c r="JET13" s="41"/>
      <c r="JEU13" s="41"/>
      <c r="JEV13" s="41"/>
      <c r="JEW13" s="41"/>
      <c r="JEX13" s="41"/>
      <c r="JEY13" s="41"/>
      <c r="JEZ13" s="41"/>
      <c r="JFA13" s="41"/>
      <c r="JFB13" s="41"/>
      <c r="JFC13" s="41"/>
      <c r="JFD13" s="41"/>
      <c r="JFE13" s="41"/>
      <c r="JFF13" s="41"/>
      <c r="JFG13" s="41"/>
      <c r="JFH13" s="41"/>
      <c r="JFI13" s="41"/>
      <c r="JFJ13" s="41"/>
      <c r="JFK13" s="41"/>
      <c r="JFL13" s="41"/>
      <c r="JFM13" s="41"/>
      <c r="JFN13" s="41"/>
      <c r="JFO13" s="41"/>
      <c r="JFP13" s="41"/>
      <c r="JFQ13" s="41"/>
      <c r="JFR13" s="41"/>
      <c r="JFS13" s="41"/>
      <c r="JFT13" s="41"/>
      <c r="JFU13" s="41"/>
      <c r="JFV13" s="41"/>
      <c r="JFW13" s="41"/>
      <c r="JFX13" s="41"/>
      <c r="JFY13" s="41"/>
      <c r="JFZ13" s="41"/>
      <c r="JGA13" s="41"/>
      <c r="JGB13" s="41"/>
      <c r="JGC13" s="41"/>
      <c r="JGD13" s="41"/>
      <c r="JGE13" s="41"/>
      <c r="JGF13" s="41"/>
      <c r="JGG13" s="41"/>
      <c r="JGH13" s="41"/>
      <c r="JGI13" s="41"/>
      <c r="JGJ13" s="41"/>
      <c r="JGK13" s="41"/>
      <c r="JGL13" s="41"/>
      <c r="JGM13" s="41"/>
      <c r="JGN13" s="41"/>
      <c r="JGO13" s="41"/>
      <c r="JGP13" s="41"/>
      <c r="JGQ13" s="41"/>
      <c r="JGR13" s="41"/>
      <c r="JGS13" s="41"/>
      <c r="JGT13" s="41"/>
      <c r="JGU13" s="41"/>
      <c r="JGV13" s="41"/>
      <c r="JGW13" s="41"/>
      <c r="JGX13" s="41"/>
      <c r="JGY13" s="41"/>
      <c r="JGZ13" s="41"/>
      <c r="JHA13" s="41"/>
      <c r="JHB13" s="41"/>
      <c r="JHC13" s="41"/>
      <c r="JHD13" s="41"/>
      <c r="JHE13" s="41"/>
      <c r="JHF13" s="41"/>
      <c r="JHG13" s="41"/>
      <c r="JHH13" s="41"/>
      <c r="JHI13" s="41"/>
      <c r="JHJ13" s="41"/>
      <c r="JHK13" s="41"/>
      <c r="JHL13" s="41"/>
      <c r="JHM13" s="41"/>
      <c r="JHN13" s="41"/>
      <c r="JHO13" s="41"/>
      <c r="JHP13" s="41"/>
      <c r="JHQ13" s="41"/>
      <c r="JHR13" s="41"/>
      <c r="JHS13" s="41"/>
      <c r="JHT13" s="41"/>
      <c r="JHU13" s="41"/>
      <c r="JHV13" s="41"/>
      <c r="JHW13" s="41"/>
      <c r="JHX13" s="41"/>
      <c r="JHY13" s="41"/>
      <c r="JHZ13" s="41"/>
      <c r="JIA13" s="41"/>
      <c r="JIB13" s="41"/>
      <c r="JIC13" s="41"/>
      <c r="JID13" s="41"/>
      <c r="JIE13" s="41"/>
      <c r="JIF13" s="41"/>
      <c r="JIG13" s="41"/>
      <c r="JIH13" s="41"/>
      <c r="JII13" s="41"/>
      <c r="JIJ13" s="41"/>
      <c r="JIK13" s="41"/>
      <c r="JIL13" s="41"/>
      <c r="JIM13" s="41"/>
      <c r="JIN13" s="41"/>
      <c r="JIO13" s="41"/>
      <c r="JIP13" s="41"/>
      <c r="JIQ13" s="41"/>
      <c r="JIR13" s="41"/>
      <c r="JIS13" s="41"/>
      <c r="JIT13" s="41"/>
      <c r="JIU13" s="41"/>
      <c r="JIV13" s="41"/>
      <c r="JIW13" s="41"/>
      <c r="JIX13" s="41"/>
      <c r="JIY13" s="41"/>
      <c r="JIZ13" s="41"/>
      <c r="JJA13" s="41"/>
      <c r="JJB13" s="41"/>
      <c r="JJC13" s="41"/>
      <c r="JJD13" s="41"/>
      <c r="JJE13" s="41"/>
      <c r="JJF13" s="41"/>
      <c r="JJG13" s="41"/>
      <c r="JJH13" s="41"/>
      <c r="JJI13" s="41"/>
      <c r="JJJ13" s="41"/>
      <c r="JJK13" s="41"/>
      <c r="JJL13" s="41"/>
      <c r="JJM13" s="41"/>
      <c r="JJN13" s="41"/>
      <c r="JJO13" s="41"/>
      <c r="JJP13" s="41"/>
      <c r="JJQ13" s="41"/>
      <c r="JJR13" s="41"/>
      <c r="JJS13" s="41"/>
      <c r="JJT13" s="41"/>
      <c r="JJU13" s="41"/>
      <c r="JJV13" s="41"/>
      <c r="JJW13" s="41"/>
      <c r="JJX13" s="41"/>
      <c r="JJY13" s="41"/>
      <c r="JJZ13" s="41"/>
      <c r="JKA13" s="41"/>
      <c r="JKB13" s="41"/>
      <c r="JKC13" s="41"/>
      <c r="JKD13" s="41"/>
      <c r="JKE13" s="41"/>
      <c r="JKF13" s="41"/>
      <c r="JKG13" s="41"/>
      <c r="JKH13" s="41"/>
      <c r="JKI13" s="41"/>
      <c r="JKJ13" s="41"/>
      <c r="JKK13" s="41"/>
      <c r="JKL13" s="41"/>
      <c r="JKM13" s="41"/>
      <c r="JKN13" s="41"/>
      <c r="JKO13" s="41"/>
      <c r="JKP13" s="41"/>
      <c r="JKQ13" s="41"/>
      <c r="JKR13" s="41"/>
      <c r="JKS13" s="41"/>
      <c r="JKT13" s="41"/>
      <c r="JKU13" s="41"/>
      <c r="JKV13" s="41"/>
      <c r="JKW13" s="41"/>
      <c r="JKX13" s="41"/>
      <c r="JKY13" s="41"/>
      <c r="JKZ13" s="41"/>
      <c r="JLA13" s="41"/>
      <c r="JLB13" s="41"/>
      <c r="JLC13" s="41"/>
      <c r="JLD13" s="41"/>
      <c r="JLE13" s="41"/>
      <c r="JLF13" s="41"/>
      <c r="JLG13" s="41"/>
      <c r="JLH13" s="41"/>
      <c r="JLI13" s="41"/>
      <c r="JLJ13" s="41"/>
      <c r="JLK13" s="41"/>
      <c r="JLL13" s="41"/>
      <c r="JLM13" s="41"/>
      <c r="JLN13" s="41"/>
      <c r="JLO13" s="41"/>
      <c r="JLP13" s="41"/>
      <c r="JLQ13" s="41"/>
      <c r="JLR13" s="41"/>
      <c r="JLS13" s="41"/>
      <c r="JLT13" s="41"/>
      <c r="JLU13" s="41"/>
      <c r="JLV13" s="41"/>
      <c r="JLW13" s="41"/>
      <c r="JLX13" s="41"/>
      <c r="JLY13" s="41"/>
      <c r="JLZ13" s="41"/>
      <c r="JMA13" s="41"/>
      <c r="JMB13" s="41"/>
      <c r="JMC13" s="41"/>
      <c r="JMD13" s="41"/>
      <c r="JME13" s="41"/>
      <c r="JMF13" s="41"/>
      <c r="JMG13" s="41"/>
      <c r="JMH13" s="41"/>
      <c r="JMI13" s="41"/>
      <c r="JMJ13" s="41"/>
      <c r="JMK13" s="41"/>
      <c r="JML13" s="41"/>
      <c r="JMM13" s="41"/>
      <c r="JMN13" s="41"/>
      <c r="JMO13" s="41"/>
      <c r="JMP13" s="41"/>
      <c r="JMQ13" s="41"/>
      <c r="JMR13" s="41"/>
      <c r="JMS13" s="41"/>
      <c r="JMT13" s="41"/>
      <c r="JMU13" s="41"/>
      <c r="JMV13" s="41"/>
      <c r="JMW13" s="41"/>
      <c r="JMX13" s="41"/>
      <c r="JMY13" s="41"/>
      <c r="JMZ13" s="41"/>
      <c r="JNA13" s="41"/>
      <c r="JNB13" s="41"/>
      <c r="JNC13" s="41"/>
      <c r="JND13" s="41"/>
      <c r="JNE13" s="41"/>
      <c r="JNF13" s="41"/>
      <c r="JNG13" s="41"/>
      <c r="JNH13" s="41"/>
      <c r="JNI13" s="41"/>
      <c r="JNJ13" s="41"/>
      <c r="JNK13" s="41"/>
      <c r="JNL13" s="41"/>
      <c r="JNM13" s="41"/>
      <c r="JNN13" s="41"/>
      <c r="JNO13" s="41"/>
      <c r="JNP13" s="41"/>
      <c r="JNQ13" s="41"/>
      <c r="JNR13" s="41"/>
      <c r="JNS13" s="41"/>
      <c r="JNT13" s="41"/>
      <c r="JNU13" s="41"/>
      <c r="JNV13" s="41"/>
      <c r="JNW13" s="41"/>
      <c r="JNX13" s="41"/>
      <c r="JNY13" s="41"/>
      <c r="JNZ13" s="41"/>
      <c r="JOA13" s="41"/>
      <c r="JOB13" s="41"/>
      <c r="JOC13" s="41"/>
      <c r="JOD13" s="41"/>
      <c r="JOE13" s="41"/>
      <c r="JOF13" s="41"/>
      <c r="JOG13" s="41"/>
      <c r="JOH13" s="41"/>
      <c r="JOI13" s="41"/>
      <c r="JOJ13" s="41"/>
      <c r="JOK13" s="41"/>
      <c r="JOL13" s="41"/>
      <c r="JOM13" s="41"/>
      <c r="JON13" s="41"/>
      <c r="JOO13" s="41"/>
      <c r="JOP13" s="41"/>
      <c r="JOQ13" s="41"/>
      <c r="JOR13" s="41"/>
      <c r="JOS13" s="41"/>
      <c r="JOT13" s="41"/>
      <c r="JOU13" s="41"/>
      <c r="JOV13" s="41"/>
      <c r="JOW13" s="41"/>
      <c r="JOX13" s="41"/>
      <c r="JOY13" s="41"/>
      <c r="JOZ13" s="41"/>
      <c r="JPA13" s="41"/>
      <c r="JPB13" s="41"/>
      <c r="JPC13" s="41"/>
      <c r="JPD13" s="41"/>
      <c r="JPE13" s="41"/>
      <c r="JPF13" s="41"/>
      <c r="JPG13" s="41"/>
      <c r="JPH13" s="41"/>
      <c r="JPI13" s="41"/>
      <c r="JPJ13" s="41"/>
      <c r="JPK13" s="41"/>
      <c r="JPL13" s="41"/>
      <c r="JPM13" s="41"/>
      <c r="JPN13" s="41"/>
      <c r="JPO13" s="41"/>
      <c r="JPP13" s="41"/>
      <c r="JPQ13" s="41"/>
      <c r="JPR13" s="41"/>
      <c r="JPS13" s="41"/>
      <c r="JPT13" s="41"/>
      <c r="JPU13" s="41"/>
      <c r="JPV13" s="41"/>
      <c r="JPW13" s="41"/>
      <c r="JPX13" s="41"/>
      <c r="JPY13" s="41"/>
      <c r="JPZ13" s="41"/>
      <c r="JQA13" s="41"/>
      <c r="JQB13" s="41"/>
      <c r="JQC13" s="41"/>
      <c r="JQD13" s="41"/>
      <c r="JQE13" s="41"/>
      <c r="JQF13" s="41"/>
      <c r="JQG13" s="41"/>
      <c r="JQH13" s="41"/>
      <c r="JQI13" s="41"/>
      <c r="JQJ13" s="41"/>
      <c r="JQK13" s="41"/>
      <c r="JQL13" s="41"/>
      <c r="JQM13" s="41"/>
      <c r="JQN13" s="41"/>
      <c r="JQO13" s="41"/>
      <c r="JQP13" s="41"/>
      <c r="JQQ13" s="41"/>
      <c r="JQR13" s="41"/>
      <c r="JQS13" s="41"/>
      <c r="JQT13" s="41"/>
      <c r="JQU13" s="41"/>
      <c r="JQV13" s="41"/>
      <c r="JQW13" s="41"/>
      <c r="JQX13" s="41"/>
      <c r="JQY13" s="41"/>
      <c r="JQZ13" s="41"/>
      <c r="JRA13" s="41"/>
      <c r="JRB13" s="41"/>
      <c r="JRC13" s="41"/>
      <c r="JRD13" s="41"/>
      <c r="JRE13" s="41"/>
      <c r="JRF13" s="41"/>
      <c r="JRG13" s="41"/>
      <c r="JRH13" s="41"/>
      <c r="JRI13" s="41"/>
      <c r="JRJ13" s="41"/>
      <c r="JRK13" s="41"/>
      <c r="JRL13" s="41"/>
      <c r="JRM13" s="41"/>
      <c r="JRN13" s="41"/>
      <c r="JRO13" s="41"/>
      <c r="JRP13" s="41"/>
      <c r="JRQ13" s="41"/>
      <c r="JRR13" s="41"/>
      <c r="JRS13" s="41"/>
      <c r="JRT13" s="41"/>
      <c r="JRU13" s="41"/>
      <c r="JRV13" s="41"/>
      <c r="JRW13" s="41"/>
      <c r="JRX13" s="41"/>
      <c r="JRY13" s="41"/>
      <c r="JRZ13" s="41"/>
      <c r="JSA13" s="41"/>
      <c r="JSB13" s="41"/>
      <c r="JSC13" s="41"/>
      <c r="JSD13" s="41"/>
      <c r="JSE13" s="41"/>
      <c r="JSF13" s="41"/>
      <c r="JSG13" s="41"/>
      <c r="JSH13" s="41"/>
      <c r="JSI13" s="41"/>
      <c r="JSJ13" s="41"/>
      <c r="JSK13" s="41"/>
      <c r="JSL13" s="41"/>
      <c r="JSM13" s="41"/>
      <c r="JSN13" s="41"/>
      <c r="JSO13" s="41"/>
      <c r="JSP13" s="41"/>
      <c r="JSQ13" s="41"/>
      <c r="JSR13" s="41"/>
      <c r="JSS13" s="41"/>
      <c r="JST13" s="41"/>
      <c r="JSU13" s="41"/>
      <c r="JSV13" s="41"/>
      <c r="JSW13" s="41"/>
      <c r="JSX13" s="41"/>
      <c r="JSY13" s="41"/>
      <c r="JSZ13" s="41"/>
      <c r="JTA13" s="41"/>
      <c r="JTB13" s="41"/>
      <c r="JTC13" s="41"/>
      <c r="JTD13" s="41"/>
      <c r="JTE13" s="41"/>
      <c r="JTF13" s="41"/>
      <c r="JTG13" s="41"/>
      <c r="JTH13" s="41"/>
      <c r="JTI13" s="41"/>
      <c r="JTJ13" s="41"/>
      <c r="JTK13" s="41"/>
      <c r="JTL13" s="41"/>
      <c r="JTM13" s="41"/>
      <c r="JTN13" s="41"/>
      <c r="JTO13" s="41"/>
      <c r="JTP13" s="41"/>
      <c r="JTQ13" s="41"/>
      <c r="JTR13" s="41"/>
      <c r="JTS13" s="41"/>
      <c r="JTT13" s="41"/>
      <c r="JTU13" s="41"/>
      <c r="JTV13" s="41"/>
      <c r="JTW13" s="41"/>
      <c r="JTX13" s="41"/>
      <c r="JTY13" s="41"/>
      <c r="JTZ13" s="41"/>
      <c r="JUA13" s="41"/>
      <c r="JUB13" s="41"/>
      <c r="JUC13" s="41"/>
      <c r="JUD13" s="41"/>
      <c r="JUE13" s="41"/>
      <c r="JUF13" s="41"/>
      <c r="JUG13" s="41"/>
      <c r="JUH13" s="41"/>
      <c r="JUI13" s="41"/>
      <c r="JUJ13" s="41"/>
      <c r="JUK13" s="41"/>
      <c r="JUL13" s="41"/>
      <c r="JUM13" s="41"/>
      <c r="JUN13" s="41"/>
      <c r="JUO13" s="41"/>
      <c r="JUP13" s="41"/>
      <c r="JUQ13" s="41"/>
      <c r="JUR13" s="41"/>
      <c r="JUS13" s="41"/>
      <c r="JUT13" s="41"/>
      <c r="JUU13" s="41"/>
      <c r="JUV13" s="41"/>
      <c r="JUW13" s="41"/>
      <c r="JUX13" s="41"/>
      <c r="JUY13" s="41"/>
      <c r="JUZ13" s="41"/>
      <c r="JVA13" s="41"/>
      <c r="JVB13" s="41"/>
      <c r="JVC13" s="41"/>
      <c r="JVD13" s="41"/>
      <c r="JVE13" s="41"/>
      <c r="JVF13" s="41"/>
      <c r="JVG13" s="41"/>
      <c r="JVH13" s="41"/>
      <c r="JVI13" s="41"/>
      <c r="JVJ13" s="41"/>
      <c r="JVK13" s="41"/>
      <c r="JVL13" s="41"/>
      <c r="JVM13" s="41"/>
      <c r="JVN13" s="41"/>
      <c r="JVO13" s="41"/>
      <c r="JVP13" s="41"/>
      <c r="JVQ13" s="41"/>
      <c r="JVR13" s="41"/>
      <c r="JVS13" s="41"/>
      <c r="JVT13" s="41"/>
      <c r="JVU13" s="41"/>
      <c r="JVV13" s="41"/>
      <c r="JVW13" s="41"/>
      <c r="JVX13" s="41"/>
      <c r="JVY13" s="41"/>
      <c r="JVZ13" s="41"/>
      <c r="JWA13" s="41"/>
      <c r="JWB13" s="41"/>
      <c r="JWC13" s="41"/>
      <c r="JWD13" s="41"/>
      <c r="JWE13" s="41"/>
      <c r="JWF13" s="41"/>
      <c r="JWG13" s="41"/>
      <c r="JWH13" s="41"/>
      <c r="JWI13" s="41"/>
      <c r="JWJ13" s="41"/>
      <c r="JWK13" s="41"/>
      <c r="JWL13" s="41"/>
      <c r="JWM13" s="41"/>
      <c r="JWN13" s="41"/>
      <c r="JWO13" s="41"/>
      <c r="JWP13" s="41"/>
      <c r="JWQ13" s="41"/>
      <c r="JWR13" s="41"/>
      <c r="JWS13" s="41"/>
      <c r="JWT13" s="41"/>
      <c r="JWU13" s="41"/>
      <c r="JWV13" s="41"/>
      <c r="JWW13" s="41"/>
      <c r="JWX13" s="41"/>
      <c r="JWY13" s="41"/>
      <c r="JWZ13" s="41"/>
      <c r="JXA13" s="41"/>
      <c r="JXB13" s="41"/>
      <c r="JXC13" s="41"/>
      <c r="JXD13" s="41"/>
      <c r="JXE13" s="41"/>
      <c r="JXF13" s="41"/>
      <c r="JXG13" s="41"/>
      <c r="JXH13" s="41"/>
      <c r="JXI13" s="41"/>
      <c r="JXJ13" s="41"/>
      <c r="JXK13" s="41"/>
      <c r="JXL13" s="41"/>
      <c r="JXM13" s="41"/>
      <c r="JXN13" s="41"/>
      <c r="JXO13" s="41"/>
      <c r="JXP13" s="41"/>
      <c r="JXQ13" s="41"/>
      <c r="JXR13" s="41"/>
      <c r="JXS13" s="41"/>
      <c r="JXT13" s="41"/>
      <c r="JXU13" s="41"/>
      <c r="JXV13" s="41"/>
      <c r="JXW13" s="41"/>
      <c r="JXX13" s="41"/>
      <c r="JXY13" s="41"/>
      <c r="JXZ13" s="41"/>
      <c r="JYA13" s="41"/>
      <c r="JYB13" s="41"/>
      <c r="JYC13" s="41"/>
      <c r="JYD13" s="41"/>
      <c r="JYE13" s="41"/>
      <c r="JYF13" s="41"/>
      <c r="JYG13" s="41"/>
      <c r="JYH13" s="41"/>
      <c r="JYI13" s="41"/>
      <c r="JYJ13" s="41"/>
      <c r="JYK13" s="41"/>
      <c r="JYL13" s="41"/>
      <c r="JYM13" s="41"/>
      <c r="JYN13" s="41"/>
      <c r="JYO13" s="41"/>
      <c r="JYP13" s="41"/>
      <c r="JYQ13" s="41"/>
      <c r="JYR13" s="41"/>
      <c r="JYS13" s="41"/>
      <c r="JYT13" s="41"/>
      <c r="JYU13" s="41"/>
      <c r="JYV13" s="41"/>
      <c r="JYW13" s="41"/>
      <c r="JYX13" s="41"/>
      <c r="JYY13" s="41"/>
      <c r="JYZ13" s="41"/>
      <c r="JZA13" s="41"/>
      <c r="JZB13" s="41"/>
      <c r="JZC13" s="41"/>
      <c r="JZD13" s="41"/>
      <c r="JZE13" s="41"/>
      <c r="JZF13" s="41"/>
      <c r="JZG13" s="41"/>
      <c r="JZH13" s="41"/>
      <c r="JZI13" s="41"/>
      <c r="JZJ13" s="41"/>
      <c r="JZK13" s="41"/>
      <c r="JZL13" s="41"/>
      <c r="JZM13" s="41"/>
      <c r="JZN13" s="41"/>
      <c r="JZO13" s="41"/>
      <c r="JZP13" s="41"/>
      <c r="JZQ13" s="41"/>
      <c r="JZR13" s="41"/>
      <c r="JZS13" s="41"/>
      <c r="JZT13" s="41"/>
      <c r="JZU13" s="41"/>
      <c r="JZV13" s="41"/>
      <c r="JZW13" s="41"/>
      <c r="JZX13" s="41"/>
      <c r="JZY13" s="41"/>
      <c r="JZZ13" s="41"/>
      <c r="KAA13" s="41"/>
      <c r="KAB13" s="41"/>
      <c r="KAC13" s="41"/>
      <c r="KAD13" s="41"/>
      <c r="KAE13" s="41"/>
      <c r="KAF13" s="41"/>
      <c r="KAG13" s="41"/>
      <c r="KAH13" s="41"/>
      <c r="KAI13" s="41"/>
      <c r="KAJ13" s="41"/>
      <c r="KAK13" s="41"/>
      <c r="KAL13" s="41"/>
      <c r="KAM13" s="41"/>
      <c r="KAN13" s="41"/>
      <c r="KAO13" s="41"/>
      <c r="KAP13" s="41"/>
      <c r="KAQ13" s="41"/>
      <c r="KAR13" s="41"/>
      <c r="KAS13" s="41"/>
      <c r="KAT13" s="41"/>
      <c r="KAU13" s="41"/>
      <c r="KAV13" s="41"/>
      <c r="KAW13" s="41"/>
      <c r="KAX13" s="41"/>
      <c r="KAY13" s="41"/>
      <c r="KAZ13" s="41"/>
      <c r="KBA13" s="41"/>
      <c r="KBB13" s="41"/>
      <c r="KBC13" s="41"/>
      <c r="KBD13" s="41"/>
      <c r="KBE13" s="41"/>
      <c r="KBF13" s="41"/>
      <c r="KBG13" s="41"/>
      <c r="KBH13" s="41"/>
      <c r="KBI13" s="41"/>
      <c r="KBJ13" s="41"/>
      <c r="KBK13" s="41"/>
      <c r="KBL13" s="41"/>
      <c r="KBM13" s="41"/>
      <c r="KBN13" s="41"/>
      <c r="KBO13" s="41"/>
      <c r="KBP13" s="41"/>
      <c r="KBQ13" s="41"/>
      <c r="KBR13" s="41"/>
      <c r="KBS13" s="41"/>
      <c r="KBT13" s="41"/>
      <c r="KBU13" s="41"/>
      <c r="KBV13" s="41"/>
      <c r="KBW13" s="41"/>
      <c r="KBX13" s="41"/>
      <c r="KBY13" s="41"/>
      <c r="KBZ13" s="41"/>
      <c r="KCA13" s="41"/>
      <c r="KCB13" s="41"/>
      <c r="KCC13" s="41"/>
      <c r="KCD13" s="41"/>
      <c r="KCE13" s="41"/>
      <c r="KCF13" s="41"/>
      <c r="KCG13" s="41"/>
      <c r="KCH13" s="41"/>
      <c r="KCI13" s="41"/>
      <c r="KCJ13" s="41"/>
      <c r="KCK13" s="41"/>
      <c r="KCL13" s="41"/>
      <c r="KCM13" s="41"/>
      <c r="KCN13" s="41"/>
      <c r="KCO13" s="41"/>
      <c r="KCP13" s="41"/>
      <c r="KCQ13" s="41"/>
      <c r="KCR13" s="41"/>
      <c r="KCS13" s="41"/>
      <c r="KCT13" s="41"/>
      <c r="KCU13" s="41"/>
      <c r="KCV13" s="41"/>
      <c r="KCW13" s="41"/>
      <c r="KCX13" s="41"/>
      <c r="KCY13" s="41"/>
      <c r="KCZ13" s="41"/>
      <c r="KDA13" s="41"/>
      <c r="KDB13" s="41"/>
      <c r="KDC13" s="41"/>
      <c r="KDD13" s="41"/>
      <c r="KDE13" s="41"/>
      <c r="KDF13" s="41"/>
      <c r="KDG13" s="41"/>
      <c r="KDH13" s="41"/>
      <c r="KDI13" s="41"/>
      <c r="KDJ13" s="41"/>
      <c r="KDK13" s="41"/>
      <c r="KDL13" s="41"/>
      <c r="KDM13" s="41"/>
      <c r="KDN13" s="41"/>
      <c r="KDO13" s="41"/>
      <c r="KDP13" s="41"/>
      <c r="KDQ13" s="41"/>
      <c r="KDR13" s="41"/>
      <c r="KDS13" s="41"/>
      <c r="KDT13" s="41"/>
      <c r="KDU13" s="41"/>
      <c r="KDV13" s="41"/>
      <c r="KDW13" s="41"/>
      <c r="KDX13" s="41"/>
      <c r="KDY13" s="41"/>
      <c r="KDZ13" s="41"/>
      <c r="KEA13" s="41"/>
      <c r="KEB13" s="41"/>
      <c r="KEC13" s="41"/>
      <c r="KED13" s="41"/>
      <c r="KEE13" s="41"/>
      <c r="KEF13" s="41"/>
      <c r="KEG13" s="41"/>
      <c r="KEH13" s="41"/>
      <c r="KEI13" s="41"/>
      <c r="KEJ13" s="41"/>
      <c r="KEK13" s="41"/>
      <c r="KEL13" s="41"/>
      <c r="KEM13" s="41"/>
      <c r="KEN13" s="41"/>
      <c r="KEO13" s="41"/>
      <c r="KEP13" s="41"/>
      <c r="KEQ13" s="41"/>
      <c r="KER13" s="41"/>
      <c r="KES13" s="41"/>
      <c r="KET13" s="41"/>
      <c r="KEU13" s="41"/>
      <c r="KEV13" s="41"/>
      <c r="KEW13" s="41"/>
      <c r="KEX13" s="41"/>
      <c r="KEY13" s="41"/>
      <c r="KEZ13" s="41"/>
      <c r="KFA13" s="41"/>
      <c r="KFB13" s="41"/>
      <c r="KFC13" s="41"/>
      <c r="KFD13" s="41"/>
      <c r="KFE13" s="41"/>
      <c r="KFF13" s="41"/>
      <c r="KFG13" s="41"/>
      <c r="KFH13" s="41"/>
      <c r="KFI13" s="41"/>
      <c r="KFJ13" s="41"/>
      <c r="KFK13" s="41"/>
      <c r="KFL13" s="41"/>
      <c r="KFM13" s="41"/>
      <c r="KFN13" s="41"/>
      <c r="KFO13" s="41"/>
      <c r="KFP13" s="41"/>
      <c r="KFQ13" s="41"/>
      <c r="KFR13" s="41"/>
      <c r="KFS13" s="41"/>
      <c r="KFT13" s="41"/>
      <c r="KFU13" s="41"/>
      <c r="KFV13" s="41"/>
      <c r="KFW13" s="41"/>
      <c r="KFX13" s="41"/>
      <c r="KFY13" s="41"/>
      <c r="KFZ13" s="41"/>
      <c r="KGA13" s="41"/>
      <c r="KGB13" s="41"/>
      <c r="KGC13" s="41"/>
      <c r="KGD13" s="41"/>
      <c r="KGE13" s="41"/>
      <c r="KGF13" s="41"/>
      <c r="KGG13" s="41"/>
      <c r="KGH13" s="41"/>
      <c r="KGI13" s="41"/>
      <c r="KGJ13" s="41"/>
      <c r="KGK13" s="41"/>
      <c r="KGL13" s="41"/>
      <c r="KGM13" s="41"/>
      <c r="KGN13" s="41"/>
      <c r="KGO13" s="41"/>
      <c r="KGP13" s="41"/>
      <c r="KGQ13" s="41"/>
      <c r="KGR13" s="41"/>
      <c r="KGS13" s="41"/>
      <c r="KGT13" s="41"/>
      <c r="KGU13" s="41"/>
      <c r="KGV13" s="41"/>
      <c r="KGW13" s="41"/>
      <c r="KGX13" s="41"/>
      <c r="KGY13" s="41"/>
      <c r="KGZ13" s="41"/>
      <c r="KHA13" s="41"/>
      <c r="KHB13" s="41"/>
      <c r="KHC13" s="41"/>
      <c r="KHD13" s="41"/>
      <c r="KHE13" s="41"/>
      <c r="KHF13" s="41"/>
      <c r="KHG13" s="41"/>
      <c r="KHH13" s="41"/>
      <c r="KHI13" s="41"/>
      <c r="KHJ13" s="41"/>
      <c r="KHK13" s="41"/>
      <c r="KHL13" s="41"/>
      <c r="KHM13" s="41"/>
      <c r="KHN13" s="41"/>
      <c r="KHO13" s="41"/>
      <c r="KHP13" s="41"/>
      <c r="KHQ13" s="41"/>
      <c r="KHR13" s="41"/>
      <c r="KHS13" s="41"/>
      <c r="KHT13" s="41"/>
      <c r="KHU13" s="41"/>
      <c r="KHV13" s="41"/>
      <c r="KHW13" s="41"/>
      <c r="KHX13" s="41"/>
      <c r="KHY13" s="41"/>
      <c r="KHZ13" s="41"/>
      <c r="KIA13" s="41"/>
      <c r="KIB13" s="41"/>
      <c r="KIC13" s="41"/>
      <c r="KID13" s="41"/>
      <c r="KIE13" s="41"/>
      <c r="KIF13" s="41"/>
      <c r="KIG13" s="41"/>
      <c r="KIH13" s="41"/>
      <c r="KII13" s="41"/>
      <c r="KIJ13" s="41"/>
      <c r="KIK13" s="41"/>
      <c r="KIL13" s="41"/>
      <c r="KIM13" s="41"/>
      <c r="KIN13" s="41"/>
      <c r="KIO13" s="41"/>
      <c r="KIP13" s="41"/>
      <c r="KIQ13" s="41"/>
      <c r="KIR13" s="41"/>
      <c r="KIS13" s="41"/>
      <c r="KIT13" s="41"/>
      <c r="KIU13" s="41"/>
      <c r="KIV13" s="41"/>
      <c r="KIW13" s="41"/>
      <c r="KIX13" s="41"/>
      <c r="KIY13" s="41"/>
      <c r="KIZ13" s="41"/>
      <c r="KJA13" s="41"/>
      <c r="KJB13" s="41"/>
      <c r="KJC13" s="41"/>
      <c r="KJD13" s="41"/>
      <c r="KJE13" s="41"/>
      <c r="KJF13" s="41"/>
      <c r="KJG13" s="41"/>
      <c r="KJH13" s="41"/>
      <c r="KJI13" s="41"/>
      <c r="KJJ13" s="41"/>
      <c r="KJK13" s="41"/>
      <c r="KJL13" s="41"/>
      <c r="KJM13" s="41"/>
      <c r="KJN13" s="41"/>
      <c r="KJO13" s="41"/>
      <c r="KJP13" s="41"/>
      <c r="KJQ13" s="41"/>
      <c r="KJR13" s="41"/>
      <c r="KJS13" s="41"/>
      <c r="KJT13" s="41"/>
      <c r="KJU13" s="41"/>
      <c r="KJV13" s="41"/>
      <c r="KJW13" s="41"/>
      <c r="KJX13" s="41"/>
      <c r="KJY13" s="41"/>
      <c r="KJZ13" s="41"/>
      <c r="KKA13" s="41"/>
      <c r="KKB13" s="41"/>
      <c r="KKC13" s="41"/>
      <c r="KKD13" s="41"/>
      <c r="KKE13" s="41"/>
      <c r="KKF13" s="41"/>
      <c r="KKG13" s="41"/>
      <c r="KKH13" s="41"/>
      <c r="KKI13" s="41"/>
      <c r="KKJ13" s="41"/>
      <c r="KKK13" s="41"/>
      <c r="KKL13" s="41"/>
      <c r="KKM13" s="41"/>
      <c r="KKN13" s="41"/>
      <c r="KKO13" s="41"/>
      <c r="KKP13" s="41"/>
      <c r="KKQ13" s="41"/>
      <c r="KKR13" s="41"/>
      <c r="KKS13" s="41"/>
      <c r="KKT13" s="41"/>
      <c r="KKU13" s="41"/>
      <c r="KKV13" s="41"/>
      <c r="KKW13" s="41"/>
      <c r="KKX13" s="41"/>
      <c r="KKY13" s="41"/>
      <c r="KKZ13" s="41"/>
      <c r="KLA13" s="41"/>
      <c r="KLB13" s="41"/>
      <c r="KLC13" s="41"/>
      <c r="KLD13" s="41"/>
      <c r="KLE13" s="41"/>
      <c r="KLF13" s="41"/>
      <c r="KLG13" s="41"/>
      <c r="KLH13" s="41"/>
      <c r="KLI13" s="41"/>
      <c r="KLJ13" s="41"/>
      <c r="KLK13" s="41"/>
      <c r="KLL13" s="41"/>
      <c r="KLM13" s="41"/>
      <c r="KLN13" s="41"/>
      <c r="KLO13" s="41"/>
      <c r="KLP13" s="41"/>
      <c r="KLQ13" s="41"/>
      <c r="KLR13" s="41"/>
      <c r="KLS13" s="41"/>
      <c r="KLT13" s="41"/>
      <c r="KLU13" s="41"/>
      <c r="KLV13" s="41"/>
      <c r="KLW13" s="41"/>
      <c r="KLX13" s="41"/>
      <c r="KLY13" s="41"/>
      <c r="KLZ13" s="41"/>
      <c r="KMA13" s="41"/>
      <c r="KMB13" s="41"/>
      <c r="KMC13" s="41"/>
      <c r="KMD13" s="41"/>
      <c r="KME13" s="41"/>
      <c r="KMF13" s="41"/>
      <c r="KMG13" s="41"/>
      <c r="KMH13" s="41"/>
      <c r="KMI13" s="41"/>
      <c r="KMJ13" s="41"/>
      <c r="KMK13" s="41"/>
      <c r="KML13" s="41"/>
      <c r="KMM13" s="41"/>
      <c r="KMN13" s="41"/>
      <c r="KMO13" s="41"/>
      <c r="KMP13" s="41"/>
      <c r="KMQ13" s="41"/>
      <c r="KMR13" s="41"/>
      <c r="KMS13" s="41"/>
      <c r="KMT13" s="41"/>
      <c r="KMU13" s="41"/>
      <c r="KMV13" s="41"/>
      <c r="KMW13" s="41"/>
      <c r="KMX13" s="41"/>
      <c r="KMY13" s="41"/>
      <c r="KMZ13" s="41"/>
      <c r="KNA13" s="41"/>
      <c r="KNB13" s="41"/>
      <c r="KNC13" s="41"/>
      <c r="KND13" s="41"/>
      <c r="KNE13" s="41"/>
      <c r="KNF13" s="41"/>
      <c r="KNG13" s="41"/>
      <c r="KNH13" s="41"/>
      <c r="KNI13" s="41"/>
      <c r="KNJ13" s="41"/>
      <c r="KNK13" s="41"/>
      <c r="KNL13" s="41"/>
      <c r="KNM13" s="41"/>
      <c r="KNN13" s="41"/>
      <c r="KNO13" s="41"/>
      <c r="KNP13" s="41"/>
      <c r="KNQ13" s="41"/>
      <c r="KNR13" s="41"/>
      <c r="KNS13" s="41"/>
      <c r="KNT13" s="41"/>
      <c r="KNU13" s="41"/>
      <c r="KNV13" s="41"/>
      <c r="KNW13" s="41"/>
      <c r="KNX13" s="41"/>
      <c r="KNY13" s="41"/>
      <c r="KNZ13" s="41"/>
      <c r="KOA13" s="41"/>
      <c r="KOB13" s="41"/>
      <c r="KOC13" s="41"/>
      <c r="KOD13" s="41"/>
      <c r="KOE13" s="41"/>
      <c r="KOF13" s="41"/>
      <c r="KOG13" s="41"/>
      <c r="KOH13" s="41"/>
      <c r="KOI13" s="41"/>
      <c r="KOJ13" s="41"/>
      <c r="KOK13" s="41"/>
      <c r="KOL13" s="41"/>
      <c r="KOM13" s="41"/>
      <c r="KON13" s="41"/>
      <c r="KOO13" s="41"/>
      <c r="KOP13" s="41"/>
      <c r="KOQ13" s="41"/>
      <c r="KOR13" s="41"/>
      <c r="KOS13" s="41"/>
      <c r="KOT13" s="41"/>
      <c r="KOU13" s="41"/>
      <c r="KOV13" s="41"/>
      <c r="KOW13" s="41"/>
      <c r="KOX13" s="41"/>
      <c r="KOY13" s="41"/>
      <c r="KOZ13" s="41"/>
      <c r="KPA13" s="41"/>
      <c r="KPB13" s="41"/>
      <c r="KPC13" s="41"/>
      <c r="KPD13" s="41"/>
      <c r="KPE13" s="41"/>
      <c r="KPF13" s="41"/>
      <c r="KPG13" s="41"/>
      <c r="KPH13" s="41"/>
      <c r="KPI13" s="41"/>
      <c r="KPJ13" s="41"/>
      <c r="KPK13" s="41"/>
      <c r="KPL13" s="41"/>
      <c r="KPM13" s="41"/>
      <c r="KPN13" s="41"/>
      <c r="KPO13" s="41"/>
      <c r="KPP13" s="41"/>
      <c r="KPQ13" s="41"/>
      <c r="KPR13" s="41"/>
      <c r="KPS13" s="41"/>
      <c r="KPT13" s="41"/>
      <c r="KPU13" s="41"/>
      <c r="KPV13" s="41"/>
      <c r="KPW13" s="41"/>
      <c r="KPX13" s="41"/>
      <c r="KPY13" s="41"/>
      <c r="KPZ13" s="41"/>
      <c r="KQA13" s="41"/>
      <c r="KQB13" s="41"/>
      <c r="KQC13" s="41"/>
      <c r="KQD13" s="41"/>
      <c r="KQE13" s="41"/>
      <c r="KQF13" s="41"/>
      <c r="KQG13" s="41"/>
      <c r="KQH13" s="41"/>
      <c r="KQI13" s="41"/>
      <c r="KQJ13" s="41"/>
      <c r="KQK13" s="41"/>
      <c r="KQL13" s="41"/>
      <c r="KQM13" s="41"/>
      <c r="KQN13" s="41"/>
      <c r="KQO13" s="41"/>
      <c r="KQP13" s="41"/>
      <c r="KQQ13" s="41"/>
      <c r="KQR13" s="41"/>
      <c r="KQS13" s="41"/>
      <c r="KQT13" s="41"/>
      <c r="KQU13" s="41"/>
      <c r="KQV13" s="41"/>
      <c r="KQW13" s="41"/>
      <c r="KQX13" s="41"/>
      <c r="KQY13" s="41"/>
      <c r="KQZ13" s="41"/>
      <c r="KRA13" s="41"/>
      <c r="KRB13" s="41"/>
      <c r="KRC13" s="41"/>
      <c r="KRD13" s="41"/>
      <c r="KRE13" s="41"/>
      <c r="KRF13" s="41"/>
      <c r="KRG13" s="41"/>
      <c r="KRH13" s="41"/>
      <c r="KRI13" s="41"/>
      <c r="KRJ13" s="41"/>
      <c r="KRK13" s="41"/>
      <c r="KRL13" s="41"/>
      <c r="KRM13" s="41"/>
      <c r="KRN13" s="41"/>
      <c r="KRO13" s="41"/>
      <c r="KRP13" s="41"/>
      <c r="KRQ13" s="41"/>
      <c r="KRR13" s="41"/>
      <c r="KRS13" s="41"/>
      <c r="KRT13" s="41"/>
      <c r="KRU13" s="41"/>
      <c r="KRV13" s="41"/>
      <c r="KRW13" s="41"/>
      <c r="KRX13" s="41"/>
      <c r="KRY13" s="41"/>
      <c r="KRZ13" s="41"/>
      <c r="KSA13" s="41"/>
      <c r="KSB13" s="41"/>
      <c r="KSC13" s="41"/>
      <c r="KSD13" s="41"/>
      <c r="KSE13" s="41"/>
      <c r="KSF13" s="41"/>
      <c r="KSG13" s="41"/>
      <c r="KSH13" s="41"/>
      <c r="KSI13" s="41"/>
      <c r="KSJ13" s="41"/>
      <c r="KSK13" s="41"/>
      <c r="KSL13" s="41"/>
      <c r="KSM13" s="41"/>
      <c r="KSN13" s="41"/>
      <c r="KSO13" s="41"/>
      <c r="KSP13" s="41"/>
      <c r="KSQ13" s="41"/>
      <c r="KSR13" s="41"/>
      <c r="KSS13" s="41"/>
      <c r="KST13" s="41"/>
      <c r="KSU13" s="41"/>
      <c r="KSV13" s="41"/>
      <c r="KSW13" s="41"/>
      <c r="KSX13" s="41"/>
      <c r="KSY13" s="41"/>
      <c r="KSZ13" s="41"/>
      <c r="KTA13" s="41"/>
      <c r="KTB13" s="41"/>
      <c r="KTC13" s="41"/>
      <c r="KTD13" s="41"/>
      <c r="KTE13" s="41"/>
      <c r="KTF13" s="41"/>
      <c r="KTG13" s="41"/>
      <c r="KTH13" s="41"/>
      <c r="KTI13" s="41"/>
      <c r="KTJ13" s="41"/>
      <c r="KTK13" s="41"/>
      <c r="KTL13" s="41"/>
      <c r="KTM13" s="41"/>
      <c r="KTN13" s="41"/>
      <c r="KTO13" s="41"/>
      <c r="KTP13" s="41"/>
      <c r="KTQ13" s="41"/>
      <c r="KTR13" s="41"/>
      <c r="KTS13" s="41"/>
      <c r="KTT13" s="41"/>
      <c r="KTU13" s="41"/>
      <c r="KTV13" s="41"/>
      <c r="KTW13" s="41"/>
      <c r="KTX13" s="41"/>
      <c r="KTY13" s="41"/>
      <c r="KTZ13" s="41"/>
      <c r="KUA13" s="41"/>
      <c r="KUB13" s="41"/>
      <c r="KUC13" s="41"/>
      <c r="KUD13" s="41"/>
      <c r="KUE13" s="41"/>
      <c r="KUF13" s="41"/>
      <c r="KUG13" s="41"/>
      <c r="KUH13" s="41"/>
      <c r="KUI13" s="41"/>
      <c r="KUJ13" s="41"/>
      <c r="KUK13" s="41"/>
      <c r="KUL13" s="41"/>
      <c r="KUM13" s="41"/>
      <c r="KUN13" s="41"/>
      <c r="KUO13" s="41"/>
      <c r="KUP13" s="41"/>
      <c r="KUQ13" s="41"/>
      <c r="KUR13" s="41"/>
      <c r="KUS13" s="41"/>
      <c r="KUT13" s="41"/>
      <c r="KUU13" s="41"/>
      <c r="KUV13" s="41"/>
      <c r="KUW13" s="41"/>
      <c r="KUX13" s="41"/>
      <c r="KUY13" s="41"/>
      <c r="KUZ13" s="41"/>
      <c r="KVA13" s="41"/>
      <c r="KVB13" s="41"/>
      <c r="KVC13" s="41"/>
      <c r="KVD13" s="41"/>
      <c r="KVE13" s="41"/>
      <c r="KVF13" s="41"/>
      <c r="KVG13" s="41"/>
      <c r="KVH13" s="41"/>
      <c r="KVI13" s="41"/>
      <c r="KVJ13" s="41"/>
      <c r="KVK13" s="41"/>
      <c r="KVL13" s="41"/>
      <c r="KVM13" s="41"/>
      <c r="KVN13" s="41"/>
      <c r="KVO13" s="41"/>
      <c r="KVP13" s="41"/>
      <c r="KVQ13" s="41"/>
      <c r="KVR13" s="41"/>
      <c r="KVS13" s="41"/>
      <c r="KVT13" s="41"/>
      <c r="KVU13" s="41"/>
      <c r="KVV13" s="41"/>
      <c r="KVW13" s="41"/>
      <c r="KVX13" s="41"/>
      <c r="KVY13" s="41"/>
      <c r="KVZ13" s="41"/>
      <c r="KWA13" s="41"/>
      <c r="KWB13" s="41"/>
      <c r="KWC13" s="41"/>
      <c r="KWD13" s="41"/>
      <c r="KWE13" s="41"/>
      <c r="KWF13" s="41"/>
      <c r="KWG13" s="41"/>
      <c r="KWH13" s="41"/>
      <c r="KWI13" s="41"/>
      <c r="KWJ13" s="41"/>
      <c r="KWK13" s="41"/>
      <c r="KWL13" s="41"/>
      <c r="KWM13" s="41"/>
      <c r="KWN13" s="41"/>
      <c r="KWO13" s="41"/>
      <c r="KWP13" s="41"/>
      <c r="KWQ13" s="41"/>
      <c r="KWR13" s="41"/>
      <c r="KWS13" s="41"/>
      <c r="KWT13" s="41"/>
      <c r="KWU13" s="41"/>
      <c r="KWV13" s="41"/>
      <c r="KWW13" s="41"/>
      <c r="KWX13" s="41"/>
      <c r="KWY13" s="41"/>
      <c r="KWZ13" s="41"/>
      <c r="KXA13" s="41"/>
      <c r="KXB13" s="41"/>
      <c r="KXC13" s="41"/>
      <c r="KXD13" s="41"/>
      <c r="KXE13" s="41"/>
      <c r="KXF13" s="41"/>
      <c r="KXG13" s="41"/>
      <c r="KXH13" s="41"/>
      <c r="KXI13" s="41"/>
      <c r="KXJ13" s="41"/>
      <c r="KXK13" s="41"/>
      <c r="KXL13" s="41"/>
      <c r="KXM13" s="41"/>
      <c r="KXN13" s="41"/>
      <c r="KXO13" s="41"/>
      <c r="KXP13" s="41"/>
      <c r="KXQ13" s="41"/>
      <c r="KXR13" s="41"/>
      <c r="KXS13" s="41"/>
      <c r="KXT13" s="41"/>
      <c r="KXU13" s="41"/>
      <c r="KXV13" s="41"/>
      <c r="KXW13" s="41"/>
      <c r="KXX13" s="41"/>
      <c r="KXY13" s="41"/>
      <c r="KXZ13" s="41"/>
      <c r="KYA13" s="41"/>
      <c r="KYB13" s="41"/>
      <c r="KYC13" s="41"/>
      <c r="KYD13" s="41"/>
      <c r="KYE13" s="41"/>
      <c r="KYF13" s="41"/>
      <c r="KYG13" s="41"/>
      <c r="KYH13" s="41"/>
      <c r="KYI13" s="41"/>
      <c r="KYJ13" s="41"/>
      <c r="KYK13" s="41"/>
      <c r="KYL13" s="41"/>
      <c r="KYM13" s="41"/>
      <c r="KYN13" s="41"/>
      <c r="KYO13" s="41"/>
      <c r="KYP13" s="41"/>
      <c r="KYQ13" s="41"/>
      <c r="KYR13" s="41"/>
      <c r="KYS13" s="41"/>
      <c r="KYT13" s="41"/>
      <c r="KYU13" s="41"/>
      <c r="KYV13" s="41"/>
      <c r="KYW13" s="41"/>
      <c r="KYX13" s="41"/>
      <c r="KYY13" s="41"/>
      <c r="KYZ13" s="41"/>
      <c r="KZA13" s="41"/>
      <c r="KZB13" s="41"/>
      <c r="KZC13" s="41"/>
      <c r="KZD13" s="41"/>
      <c r="KZE13" s="41"/>
      <c r="KZF13" s="41"/>
      <c r="KZG13" s="41"/>
      <c r="KZH13" s="41"/>
      <c r="KZI13" s="41"/>
      <c r="KZJ13" s="41"/>
      <c r="KZK13" s="41"/>
      <c r="KZL13" s="41"/>
      <c r="KZM13" s="41"/>
      <c r="KZN13" s="41"/>
      <c r="KZO13" s="41"/>
      <c r="KZP13" s="41"/>
      <c r="KZQ13" s="41"/>
      <c r="KZR13" s="41"/>
      <c r="KZS13" s="41"/>
      <c r="KZT13" s="41"/>
      <c r="KZU13" s="41"/>
      <c r="KZV13" s="41"/>
      <c r="KZW13" s="41"/>
      <c r="KZX13" s="41"/>
      <c r="KZY13" s="41"/>
      <c r="KZZ13" s="41"/>
      <c r="LAA13" s="41"/>
      <c r="LAB13" s="41"/>
      <c r="LAC13" s="41"/>
      <c r="LAD13" s="41"/>
      <c r="LAE13" s="41"/>
      <c r="LAF13" s="41"/>
      <c r="LAG13" s="41"/>
      <c r="LAH13" s="41"/>
      <c r="LAI13" s="41"/>
      <c r="LAJ13" s="41"/>
      <c r="LAK13" s="41"/>
      <c r="LAL13" s="41"/>
      <c r="LAM13" s="41"/>
      <c r="LAN13" s="41"/>
      <c r="LAO13" s="41"/>
      <c r="LAP13" s="41"/>
      <c r="LAQ13" s="41"/>
      <c r="LAR13" s="41"/>
      <c r="LAS13" s="41"/>
      <c r="LAT13" s="41"/>
      <c r="LAU13" s="41"/>
      <c r="LAV13" s="41"/>
      <c r="LAW13" s="41"/>
      <c r="LAX13" s="41"/>
      <c r="LAY13" s="41"/>
      <c r="LAZ13" s="41"/>
      <c r="LBA13" s="41"/>
      <c r="LBB13" s="41"/>
      <c r="LBC13" s="41"/>
      <c r="LBD13" s="41"/>
      <c r="LBE13" s="41"/>
      <c r="LBF13" s="41"/>
      <c r="LBG13" s="41"/>
      <c r="LBH13" s="41"/>
      <c r="LBI13" s="41"/>
      <c r="LBJ13" s="41"/>
      <c r="LBK13" s="41"/>
      <c r="LBL13" s="41"/>
      <c r="LBM13" s="41"/>
      <c r="LBN13" s="41"/>
      <c r="LBO13" s="41"/>
      <c r="LBP13" s="41"/>
      <c r="LBQ13" s="41"/>
      <c r="LBR13" s="41"/>
      <c r="LBS13" s="41"/>
      <c r="LBT13" s="41"/>
      <c r="LBU13" s="41"/>
      <c r="LBV13" s="41"/>
      <c r="LBW13" s="41"/>
      <c r="LBX13" s="41"/>
      <c r="LBY13" s="41"/>
      <c r="LBZ13" s="41"/>
      <c r="LCA13" s="41"/>
      <c r="LCB13" s="41"/>
      <c r="LCC13" s="41"/>
      <c r="LCD13" s="41"/>
      <c r="LCE13" s="41"/>
      <c r="LCF13" s="41"/>
      <c r="LCG13" s="41"/>
      <c r="LCH13" s="41"/>
      <c r="LCI13" s="41"/>
      <c r="LCJ13" s="41"/>
      <c r="LCK13" s="41"/>
      <c r="LCL13" s="41"/>
      <c r="LCM13" s="41"/>
      <c r="LCN13" s="41"/>
      <c r="LCO13" s="41"/>
      <c r="LCP13" s="41"/>
      <c r="LCQ13" s="41"/>
      <c r="LCR13" s="41"/>
      <c r="LCS13" s="41"/>
      <c r="LCT13" s="41"/>
      <c r="LCU13" s="41"/>
      <c r="LCV13" s="41"/>
      <c r="LCW13" s="41"/>
      <c r="LCX13" s="41"/>
      <c r="LCY13" s="41"/>
      <c r="LCZ13" s="41"/>
      <c r="LDA13" s="41"/>
      <c r="LDB13" s="41"/>
      <c r="LDC13" s="41"/>
      <c r="LDD13" s="41"/>
      <c r="LDE13" s="41"/>
      <c r="LDF13" s="41"/>
      <c r="LDG13" s="41"/>
      <c r="LDH13" s="41"/>
      <c r="LDI13" s="41"/>
      <c r="LDJ13" s="41"/>
      <c r="LDK13" s="41"/>
      <c r="LDL13" s="41"/>
      <c r="LDM13" s="41"/>
      <c r="LDN13" s="41"/>
      <c r="LDO13" s="41"/>
      <c r="LDP13" s="41"/>
      <c r="LDQ13" s="41"/>
      <c r="LDR13" s="41"/>
      <c r="LDS13" s="41"/>
      <c r="LDT13" s="41"/>
      <c r="LDU13" s="41"/>
      <c r="LDV13" s="41"/>
      <c r="LDW13" s="41"/>
      <c r="LDX13" s="41"/>
      <c r="LDY13" s="41"/>
      <c r="LDZ13" s="41"/>
      <c r="LEA13" s="41"/>
      <c r="LEB13" s="41"/>
      <c r="LEC13" s="41"/>
      <c r="LED13" s="41"/>
      <c r="LEE13" s="41"/>
      <c r="LEF13" s="41"/>
      <c r="LEG13" s="41"/>
      <c r="LEH13" s="41"/>
      <c r="LEI13" s="41"/>
      <c r="LEJ13" s="41"/>
      <c r="LEK13" s="41"/>
      <c r="LEL13" s="41"/>
      <c r="LEM13" s="41"/>
      <c r="LEN13" s="41"/>
      <c r="LEO13" s="41"/>
      <c r="LEP13" s="41"/>
      <c r="LEQ13" s="41"/>
      <c r="LER13" s="41"/>
      <c r="LES13" s="41"/>
      <c r="LET13" s="41"/>
      <c r="LEU13" s="41"/>
      <c r="LEV13" s="41"/>
      <c r="LEW13" s="41"/>
      <c r="LEX13" s="41"/>
      <c r="LEY13" s="41"/>
      <c r="LEZ13" s="41"/>
      <c r="LFA13" s="41"/>
      <c r="LFB13" s="41"/>
      <c r="LFC13" s="41"/>
      <c r="LFD13" s="41"/>
      <c r="LFE13" s="41"/>
      <c r="LFF13" s="41"/>
      <c r="LFG13" s="41"/>
      <c r="LFH13" s="41"/>
      <c r="LFI13" s="41"/>
      <c r="LFJ13" s="41"/>
      <c r="LFK13" s="41"/>
      <c r="LFL13" s="41"/>
      <c r="LFM13" s="41"/>
      <c r="LFN13" s="41"/>
      <c r="LFO13" s="41"/>
      <c r="LFP13" s="41"/>
      <c r="LFQ13" s="41"/>
      <c r="LFR13" s="41"/>
      <c r="LFS13" s="41"/>
      <c r="LFT13" s="41"/>
      <c r="LFU13" s="41"/>
      <c r="LFV13" s="41"/>
      <c r="LFW13" s="41"/>
      <c r="LFX13" s="41"/>
      <c r="LFY13" s="41"/>
      <c r="LFZ13" s="41"/>
      <c r="LGA13" s="41"/>
      <c r="LGB13" s="41"/>
      <c r="LGC13" s="41"/>
      <c r="LGD13" s="41"/>
      <c r="LGE13" s="41"/>
      <c r="LGF13" s="41"/>
      <c r="LGG13" s="41"/>
      <c r="LGH13" s="41"/>
      <c r="LGI13" s="41"/>
      <c r="LGJ13" s="41"/>
      <c r="LGK13" s="41"/>
      <c r="LGL13" s="41"/>
      <c r="LGM13" s="41"/>
      <c r="LGN13" s="41"/>
      <c r="LGO13" s="41"/>
      <c r="LGP13" s="41"/>
      <c r="LGQ13" s="41"/>
      <c r="LGR13" s="41"/>
      <c r="LGS13" s="41"/>
      <c r="LGT13" s="41"/>
      <c r="LGU13" s="41"/>
      <c r="LGV13" s="41"/>
      <c r="LGW13" s="41"/>
      <c r="LGX13" s="41"/>
      <c r="LGY13" s="41"/>
      <c r="LGZ13" s="41"/>
      <c r="LHA13" s="41"/>
      <c r="LHB13" s="41"/>
      <c r="LHC13" s="41"/>
      <c r="LHD13" s="41"/>
      <c r="LHE13" s="41"/>
      <c r="LHF13" s="41"/>
      <c r="LHG13" s="41"/>
      <c r="LHH13" s="41"/>
      <c r="LHI13" s="41"/>
      <c r="LHJ13" s="41"/>
      <c r="LHK13" s="41"/>
      <c r="LHL13" s="41"/>
      <c r="LHM13" s="41"/>
      <c r="LHN13" s="41"/>
      <c r="LHO13" s="41"/>
      <c r="LHP13" s="41"/>
      <c r="LHQ13" s="41"/>
      <c r="LHR13" s="41"/>
      <c r="LHS13" s="41"/>
      <c r="LHT13" s="41"/>
      <c r="LHU13" s="41"/>
      <c r="LHV13" s="41"/>
      <c r="LHW13" s="41"/>
      <c r="LHX13" s="41"/>
      <c r="LHY13" s="41"/>
      <c r="LHZ13" s="41"/>
      <c r="LIA13" s="41"/>
      <c r="LIB13" s="41"/>
      <c r="LIC13" s="41"/>
      <c r="LID13" s="41"/>
      <c r="LIE13" s="41"/>
      <c r="LIF13" s="41"/>
      <c r="LIG13" s="41"/>
      <c r="LIH13" s="41"/>
      <c r="LII13" s="41"/>
      <c r="LIJ13" s="41"/>
      <c r="LIK13" s="41"/>
      <c r="LIL13" s="41"/>
      <c r="LIM13" s="41"/>
      <c r="LIN13" s="41"/>
      <c r="LIO13" s="41"/>
      <c r="LIP13" s="41"/>
      <c r="LIQ13" s="41"/>
      <c r="LIR13" s="41"/>
      <c r="LIS13" s="41"/>
      <c r="LIT13" s="41"/>
      <c r="LIU13" s="41"/>
      <c r="LIV13" s="41"/>
      <c r="LIW13" s="41"/>
      <c r="LIX13" s="41"/>
      <c r="LIY13" s="41"/>
      <c r="LIZ13" s="41"/>
      <c r="LJA13" s="41"/>
      <c r="LJB13" s="41"/>
      <c r="LJC13" s="41"/>
      <c r="LJD13" s="41"/>
      <c r="LJE13" s="41"/>
      <c r="LJF13" s="41"/>
      <c r="LJG13" s="41"/>
      <c r="LJH13" s="41"/>
      <c r="LJI13" s="41"/>
      <c r="LJJ13" s="41"/>
      <c r="LJK13" s="41"/>
      <c r="LJL13" s="41"/>
      <c r="LJM13" s="41"/>
      <c r="LJN13" s="41"/>
      <c r="LJO13" s="41"/>
      <c r="LJP13" s="41"/>
      <c r="LJQ13" s="41"/>
      <c r="LJR13" s="41"/>
      <c r="LJS13" s="41"/>
      <c r="LJT13" s="41"/>
      <c r="LJU13" s="41"/>
      <c r="LJV13" s="41"/>
      <c r="LJW13" s="41"/>
      <c r="LJX13" s="41"/>
      <c r="LJY13" s="41"/>
      <c r="LJZ13" s="41"/>
      <c r="LKA13" s="41"/>
      <c r="LKB13" s="41"/>
      <c r="LKC13" s="41"/>
      <c r="LKD13" s="41"/>
      <c r="LKE13" s="41"/>
      <c r="LKF13" s="41"/>
      <c r="LKG13" s="41"/>
      <c r="LKH13" s="41"/>
      <c r="LKI13" s="41"/>
      <c r="LKJ13" s="41"/>
      <c r="LKK13" s="41"/>
      <c r="LKL13" s="41"/>
      <c r="LKM13" s="41"/>
      <c r="LKN13" s="41"/>
      <c r="LKO13" s="41"/>
      <c r="LKP13" s="41"/>
      <c r="LKQ13" s="41"/>
      <c r="LKR13" s="41"/>
      <c r="LKS13" s="41"/>
      <c r="LKT13" s="41"/>
      <c r="LKU13" s="41"/>
      <c r="LKV13" s="41"/>
      <c r="LKW13" s="41"/>
      <c r="LKX13" s="41"/>
      <c r="LKY13" s="41"/>
      <c r="LKZ13" s="41"/>
      <c r="LLA13" s="41"/>
      <c r="LLB13" s="41"/>
      <c r="LLC13" s="41"/>
      <c r="LLD13" s="41"/>
      <c r="LLE13" s="41"/>
      <c r="LLF13" s="41"/>
      <c r="LLG13" s="41"/>
      <c r="LLH13" s="41"/>
      <c r="LLI13" s="41"/>
      <c r="LLJ13" s="41"/>
      <c r="LLK13" s="41"/>
      <c r="LLL13" s="41"/>
      <c r="LLM13" s="41"/>
      <c r="LLN13" s="41"/>
      <c r="LLO13" s="41"/>
      <c r="LLP13" s="41"/>
      <c r="LLQ13" s="41"/>
      <c r="LLR13" s="41"/>
      <c r="LLS13" s="41"/>
      <c r="LLT13" s="41"/>
      <c r="LLU13" s="41"/>
      <c r="LLV13" s="41"/>
      <c r="LLW13" s="41"/>
      <c r="LLX13" s="41"/>
      <c r="LLY13" s="41"/>
      <c r="LLZ13" s="41"/>
      <c r="LMA13" s="41"/>
      <c r="LMB13" s="41"/>
      <c r="LMC13" s="41"/>
      <c r="LMD13" s="41"/>
      <c r="LME13" s="41"/>
      <c r="LMF13" s="41"/>
      <c r="LMG13" s="41"/>
      <c r="LMH13" s="41"/>
      <c r="LMI13" s="41"/>
      <c r="LMJ13" s="41"/>
      <c r="LMK13" s="41"/>
      <c r="LML13" s="41"/>
      <c r="LMM13" s="41"/>
      <c r="LMN13" s="41"/>
      <c r="LMO13" s="41"/>
      <c r="LMP13" s="41"/>
      <c r="LMQ13" s="41"/>
      <c r="LMR13" s="41"/>
      <c r="LMS13" s="41"/>
      <c r="LMT13" s="41"/>
      <c r="LMU13" s="41"/>
      <c r="LMV13" s="41"/>
      <c r="LMW13" s="41"/>
      <c r="LMX13" s="41"/>
      <c r="LMY13" s="41"/>
      <c r="LMZ13" s="41"/>
      <c r="LNA13" s="41"/>
      <c r="LNB13" s="41"/>
      <c r="LNC13" s="41"/>
      <c r="LND13" s="41"/>
      <c r="LNE13" s="41"/>
      <c r="LNF13" s="41"/>
      <c r="LNG13" s="41"/>
      <c r="LNH13" s="41"/>
      <c r="LNI13" s="41"/>
      <c r="LNJ13" s="41"/>
      <c r="LNK13" s="41"/>
      <c r="LNL13" s="41"/>
      <c r="LNM13" s="41"/>
      <c r="LNN13" s="41"/>
      <c r="LNO13" s="41"/>
      <c r="LNP13" s="41"/>
      <c r="LNQ13" s="41"/>
      <c r="LNR13" s="41"/>
      <c r="LNS13" s="41"/>
      <c r="LNT13" s="41"/>
      <c r="LNU13" s="41"/>
      <c r="LNV13" s="41"/>
      <c r="LNW13" s="41"/>
      <c r="LNX13" s="41"/>
      <c r="LNY13" s="41"/>
      <c r="LNZ13" s="41"/>
      <c r="LOA13" s="41"/>
      <c r="LOB13" s="41"/>
      <c r="LOC13" s="41"/>
      <c r="LOD13" s="41"/>
      <c r="LOE13" s="41"/>
      <c r="LOF13" s="41"/>
      <c r="LOG13" s="41"/>
      <c r="LOH13" s="41"/>
      <c r="LOI13" s="41"/>
      <c r="LOJ13" s="41"/>
      <c r="LOK13" s="41"/>
      <c r="LOL13" s="41"/>
      <c r="LOM13" s="41"/>
      <c r="LON13" s="41"/>
      <c r="LOO13" s="41"/>
      <c r="LOP13" s="41"/>
      <c r="LOQ13" s="41"/>
      <c r="LOR13" s="41"/>
      <c r="LOS13" s="41"/>
      <c r="LOT13" s="41"/>
      <c r="LOU13" s="41"/>
      <c r="LOV13" s="41"/>
      <c r="LOW13" s="41"/>
      <c r="LOX13" s="41"/>
      <c r="LOY13" s="41"/>
      <c r="LOZ13" s="41"/>
      <c r="LPA13" s="41"/>
      <c r="LPB13" s="41"/>
      <c r="LPC13" s="41"/>
      <c r="LPD13" s="41"/>
      <c r="LPE13" s="41"/>
      <c r="LPF13" s="41"/>
      <c r="LPG13" s="41"/>
      <c r="LPH13" s="41"/>
      <c r="LPI13" s="41"/>
      <c r="LPJ13" s="41"/>
      <c r="LPK13" s="41"/>
      <c r="LPL13" s="41"/>
      <c r="LPM13" s="41"/>
      <c r="LPN13" s="41"/>
      <c r="LPO13" s="41"/>
      <c r="LPP13" s="41"/>
      <c r="LPQ13" s="41"/>
      <c r="LPR13" s="41"/>
      <c r="LPS13" s="41"/>
      <c r="LPT13" s="41"/>
      <c r="LPU13" s="41"/>
      <c r="LPV13" s="41"/>
      <c r="LPW13" s="41"/>
      <c r="LPX13" s="41"/>
      <c r="LPY13" s="41"/>
      <c r="LPZ13" s="41"/>
      <c r="LQA13" s="41"/>
      <c r="LQB13" s="41"/>
      <c r="LQC13" s="41"/>
      <c r="LQD13" s="41"/>
      <c r="LQE13" s="41"/>
      <c r="LQF13" s="41"/>
      <c r="LQG13" s="41"/>
      <c r="LQH13" s="41"/>
      <c r="LQI13" s="41"/>
      <c r="LQJ13" s="41"/>
      <c r="LQK13" s="41"/>
      <c r="LQL13" s="41"/>
      <c r="LQM13" s="41"/>
      <c r="LQN13" s="41"/>
      <c r="LQO13" s="41"/>
      <c r="LQP13" s="41"/>
      <c r="LQQ13" s="41"/>
      <c r="LQR13" s="41"/>
      <c r="LQS13" s="41"/>
      <c r="LQT13" s="41"/>
      <c r="LQU13" s="41"/>
      <c r="LQV13" s="41"/>
      <c r="LQW13" s="41"/>
      <c r="LQX13" s="41"/>
      <c r="LQY13" s="41"/>
      <c r="LQZ13" s="41"/>
      <c r="LRA13" s="41"/>
      <c r="LRB13" s="41"/>
      <c r="LRC13" s="41"/>
      <c r="LRD13" s="41"/>
      <c r="LRE13" s="41"/>
      <c r="LRF13" s="41"/>
      <c r="LRG13" s="41"/>
      <c r="LRH13" s="41"/>
      <c r="LRI13" s="41"/>
      <c r="LRJ13" s="41"/>
      <c r="LRK13" s="41"/>
      <c r="LRL13" s="41"/>
      <c r="LRM13" s="41"/>
      <c r="LRN13" s="41"/>
      <c r="LRO13" s="41"/>
      <c r="LRP13" s="41"/>
      <c r="LRQ13" s="41"/>
      <c r="LRR13" s="41"/>
      <c r="LRS13" s="41"/>
      <c r="LRT13" s="41"/>
      <c r="LRU13" s="41"/>
      <c r="LRV13" s="41"/>
      <c r="LRW13" s="41"/>
      <c r="LRX13" s="41"/>
      <c r="LRY13" s="41"/>
      <c r="LRZ13" s="41"/>
      <c r="LSA13" s="41"/>
      <c r="LSB13" s="41"/>
      <c r="LSC13" s="41"/>
      <c r="LSD13" s="41"/>
      <c r="LSE13" s="41"/>
      <c r="LSF13" s="41"/>
      <c r="LSG13" s="41"/>
      <c r="LSH13" s="41"/>
      <c r="LSI13" s="41"/>
      <c r="LSJ13" s="41"/>
      <c r="LSK13" s="41"/>
      <c r="LSL13" s="41"/>
      <c r="LSM13" s="41"/>
      <c r="LSN13" s="41"/>
      <c r="LSO13" s="41"/>
      <c r="LSP13" s="41"/>
      <c r="LSQ13" s="41"/>
      <c r="LSR13" s="41"/>
      <c r="LSS13" s="41"/>
      <c r="LST13" s="41"/>
      <c r="LSU13" s="41"/>
      <c r="LSV13" s="41"/>
      <c r="LSW13" s="41"/>
      <c r="LSX13" s="41"/>
      <c r="LSY13" s="41"/>
      <c r="LSZ13" s="41"/>
      <c r="LTA13" s="41"/>
      <c r="LTB13" s="41"/>
      <c r="LTC13" s="41"/>
      <c r="LTD13" s="41"/>
      <c r="LTE13" s="41"/>
      <c r="LTF13" s="41"/>
      <c r="LTG13" s="41"/>
      <c r="LTH13" s="41"/>
      <c r="LTI13" s="41"/>
      <c r="LTJ13" s="41"/>
      <c r="LTK13" s="41"/>
      <c r="LTL13" s="41"/>
      <c r="LTM13" s="41"/>
      <c r="LTN13" s="41"/>
      <c r="LTO13" s="41"/>
      <c r="LTP13" s="41"/>
      <c r="LTQ13" s="41"/>
      <c r="LTR13" s="41"/>
      <c r="LTS13" s="41"/>
      <c r="LTT13" s="41"/>
      <c r="LTU13" s="41"/>
      <c r="LTV13" s="41"/>
      <c r="LTW13" s="41"/>
      <c r="LTX13" s="41"/>
      <c r="LTY13" s="41"/>
      <c r="LTZ13" s="41"/>
      <c r="LUA13" s="41"/>
      <c r="LUB13" s="41"/>
      <c r="LUC13" s="41"/>
      <c r="LUD13" s="41"/>
      <c r="LUE13" s="41"/>
      <c r="LUF13" s="41"/>
      <c r="LUG13" s="41"/>
      <c r="LUH13" s="41"/>
      <c r="LUI13" s="41"/>
      <c r="LUJ13" s="41"/>
      <c r="LUK13" s="41"/>
      <c r="LUL13" s="41"/>
      <c r="LUM13" s="41"/>
      <c r="LUN13" s="41"/>
      <c r="LUO13" s="41"/>
      <c r="LUP13" s="41"/>
      <c r="LUQ13" s="41"/>
      <c r="LUR13" s="41"/>
      <c r="LUS13" s="41"/>
      <c r="LUT13" s="41"/>
      <c r="LUU13" s="41"/>
      <c r="LUV13" s="41"/>
      <c r="LUW13" s="41"/>
      <c r="LUX13" s="41"/>
      <c r="LUY13" s="41"/>
      <c r="LUZ13" s="41"/>
      <c r="LVA13" s="41"/>
      <c r="LVB13" s="41"/>
      <c r="LVC13" s="41"/>
      <c r="LVD13" s="41"/>
      <c r="LVE13" s="41"/>
      <c r="LVF13" s="41"/>
      <c r="LVG13" s="41"/>
      <c r="LVH13" s="41"/>
      <c r="LVI13" s="41"/>
      <c r="LVJ13" s="41"/>
      <c r="LVK13" s="41"/>
      <c r="LVL13" s="41"/>
      <c r="LVM13" s="41"/>
      <c r="LVN13" s="41"/>
      <c r="LVO13" s="41"/>
      <c r="LVP13" s="41"/>
      <c r="LVQ13" s="41"/>
      <c r="LVR13" s="41"/>
      <c r="LVS13" s="41"/>
      <c r="LVT13" s="41"/>
      <c r="LVU13" s="41"/>
      <c r="LVV13" s="41"/>
      <c r="LVW13" s="41"/>
      <c r="LVX13" s="41"/>
      <c r="LVY13" s="41"/>
      <c r="LVZ13" s="41"/>
      <c r="LWA13" s="41"/>
      <c r="LWB13" s="41"/>
      <c r="LWC13" s="41"/>
      <c r="LWD13" s="41"/>
      <c r="LWE13" s="41"/>
      <c r="LWF13" s="41"/>
      <c r="LWG13" s="41"/>
      <c r="LWH13" s="41"/>
      <c r="LWI13" s="41"/>
      <c r="LWJ13" s="41"/>
      <c r="LWK13" s="41"/>
      <c r="LWL13" s="41"/>
      <c r="LWM13" s="41"/>
      <c r="LWN13" s="41"/>
      <c r="LWO13" s="41"/>
      <c r="LWP13" s="41"/>
      <c r="LWQ13" s="41"/>
      <c r="LWR13" s="41"/>
      <c r="LWS13" s="41"/>
      <c r="LWT13" s="41"/>
      <c r="LWU13" s="41"/>
      <c r="LWV13" s="41"/>
      <c r="LWW13" s="41"/>
      <c r="LWX13" s="41"/>
      <c r="LWY13" s="41"/>
      <c r="LWZ13" s="41"/>
      <c r="LXA13" s="41"/>
      <c r="LXB13" s="41"/>
      <c r="LXC13" s="41"/>
      <c r="LXD13" s="41"/>
      <c r="LXE13" s="41"/>
      <c r="LXF13" s="41"/>
      <c r="LXG13" s="41"/>
      <c r="LXH13" s="41"/>
      <c r="LXI13" s="41"/>
      <c r="LXJ13" s="41"/>
      <c r="LXK13" s="41"/>
      <c r="LXL13" s="41"/>
      <c r="LXM13" s="41"/>
      <c r="LXN13" s="41"/>
      <c r="LXO13" s="41"/>
      <c r="LXP13" s="41"/>
      <c r="LXQ13" s="41"/>
      <c r="LXR13" s="41"/>
      <c r="LXS13" s="41"/>
      <c r="LXT13" s="41"/>
      <c r="LXU13" s="41"/>
      <c r="LXV13" s="41"/>
      <c r="LXW13" s="41"/>
      <c r="LXX13" s="41"/>
      <c r="LXY13" s="41"/>
      <c r="LXZ13" s="41"/>
      <c r="LYA13" s="41"/>
      <c r="LYB13" s="41"/>
      <c r="LYC13" s="41"/>
      <c r="LYD13" s="41"/>
      <c r="LYE13" s="41"/>
      <c r="LYF13" s="41"/>
      <c r="LYG13" s="41"/>
      <c r="LYH13" s="41"/>
      <c r="LYI13" s="41"/>
      <c r="LYJ13" s="41"/>
      <c r="LYK13" s="41"/>
      <c r="LYL13" s="41"/>
      <c r="LYM13" s="41"/>
      <c r="LYN13" s="41"/>
      <c r="LYO13" s="41"/>
      <c r="LYP13" s="41"/>
      <c r="LYQ13" s="41"/>
      <c r="LYR13" s="41"/>
      <c r="LYS13" s="41"/>
      <c r="LYT13" s="41"/>
      <c r="LYU13" s="41"/>
      <c r="LYV13" s="41"/>
      <c r="LYW13" s="41"/>
      <c r="LYX13" s="41"/>
      <c r="LYY13" s="41"/>
      <c r="LYZ13" s="41"/>
      <c r="LZA13" s="41"/>
      <c r="LZB13" s="41"/>
      <c r="LZC13" s="41"/>
      <c r="LZD13" s="41"/>
      <c r="LZE13" s="41"/>
      <c r="LZF13" s="41"/>
      <c r="LZG13" s="41"/>
      <c r="LZH13" s="41"/>
      <c r="LZI13" s="41"/>
      <c r="LZJ13" s="41"/>
      <c r="LZK13" s="41"/>
      <c r="LZL13" s="41"/>
      <c r="LZM13" s="41"/>
      <c r="LZN13" s="41"/>
      <c r="LZO13" s="41"/>
      <c r="LZP13" s="41"/>
      <c r="LZQ13" s="41"/>
      <c r="LZR13" s="41"/>
      <c r="LZS13" s="41"/>
      <c r="LZT13" s="41"/>
      <c r="LZU13" s="41"/>
      <c r="LZV13" s="41"/>
      <c r="LZW13" s="41"/>
      <c r="LZX13" s="41"/>
      <c r="LZY13" s="41"/>
      <c r="LZZ13" s="41"/>
      <c r="MAA13" s="41"/>
      <c r="MAB13" s="41"/>
      <c r="MAC13" s="41"/>
      <c r="MAD13" s="41"/>
      <c r="MAE13" s="41"/>
      <c r="MAF13" s="41"/>
      <c r="MAG13" s="41"/>
      <c r="MAH13" s="41"/>
      <c r="MAI13" s="41"/>
      <c r="MAJ13" s="41"/>
      <c r="MAK13" s="41"/>
      <c r="MAL13" s="41"/>
      <c r="MAM13" s="41"/>
      <c r="MAN13" s="41"/>
      <c r="MAO13" s="41"/>
      <c r="MAP13" s="41"/>
      <c r="MAQ13" s="41"/>
      <c r="MAR13" s="41"/>
      <c r="MAS13" s="41"/>
      <c r="MAT13" s="41"/>
      <c r="MAU13" s="41"/>
      <c r="MAV13" s="41"/>
      <c r="MAW13" s="41"/>
      <c r="MAX13" s="41"/>
      <c r="MAY13" s="41"/>
      <c r="MAZ13" s="41"/>
      <c r="MBA13" s="41"/>
      <c r="MBB13" s="41"/>
      <c r="MBC13" s="41"/>
      <c r="MBD13" s="41"/>
      <c r="MBE13" s="41"/>
      <c r="MBF13" s="41"/>
      <c r="MBG13" s="41"/>
      <c r="MBH13" s="41"/>
      <c r="MBI13" s="41"/>
      <c r="MBJ13" s="41"/>
      <c r="MBK13" s="41"/>
      <c r="MBL13" s="41"/>
      <c r="MBM13" s="41"/>
      <c r="MBN13" s="41"/>
      <c r="MBO13" s="41"/>
      <c r="MBP13" s="41"/>
      <c r="MBQ13" s="41"/>
      <c r="MBR13" s="41"/>
      <c r="MBS13" s="41"/>
      <c r="MBT13" s="41"/>
      <c r="MBU13" s="41"/>
      <c r="MBV13" s="41"/>
      <c r="MBW13" s="41"/>
      <c r="MBX13" s="41"/>
      <c r="MBY13" s="41"/>
      <c r="MBZ13" s="41"/>
      <c r="MCA13" s="41"/>
      <c r="MCB13" s="41"/>
      <c r="MCC13" s="41"/>
      <c r="MCD13" s="41"/>
      <c r="MCE13" s="41"/>
      <c r="MCF13" s="41"/>
      <c r="MCG13" s="41"/>
      <c r="MCH13" s="41"/>
      <c r="MCI13" s="41"/>
      <c r="MCJ13" s="41"/>
      <c r="MCK13" s="41"/>
      <c r="MCL13" s="41"/>
      <c r="MCM13" s="41"/>
      <c r="MCN13" s="41"/>
      <c r="MCO13" s="41"/>
      <c r="MCP13" s="41"/>
      <c r="MCQ13" s="41"/>
      <c r="MCR13" s="41"/>
      <c r="MCS13" s="41"/>
      <c r="MCT13" s="41"/>
      <c r="MCU13" s="41"/>
      <c r="MCV13" s="41"/>
      <c r="MCW13" s="41"/>
      <c r="MCX13" s="41"/>
      <c r="MCY13" s="41"/>
      <c r="MCZ13" s="41"/>
      <c r="MDA13" s="41"/>
      <c r="MDB13" s="41"/>
      <c r="MDC13" s="41"/>
      <c r="MDD13" s="41"/>
      <c r="MDE13" s="41"/>
      <c r="MDF13" s="41"/>
      <c r="MDG13" s="41"/>
      <c r="MDH13" s="41"/>
      <c r="MDI13" s="41"/>
      <c r="MDJ13" s="41"/>
      <c r="MDK13" s="41"/>
      <c r="MDL13" s="41"/>
      <c r="MDM13" s="41"/>
      <c r="MDN13" s="41"/>
      <c r="MDO13" s="41"/>
      <c r="MDP13" s="41"/>
      <c r="MDQ13" s="41"/>
      <c r="MDR13" s="41"/>
      <c r="MDS13" s="41"/>
      <c r="MDT13" s="41"/>
      <c r="MDU13" s="41"/>
      <c r="MDV13" s="41"/>
      <c r="MDW13" s="41"/>
      <c r="MDX13" s="41"/>
      <c r="MDY13" s="41"/>
      <c r="MDZ13" s="41"/>
      <c r="MEA13" s="41"/>
      <c r="MEB13" s="41"/>
      <c r="MEC13" s="41"/>
      <c r="MED13" s="41"/>
      <c r="MEE13" s="41"/>
      <c r="MEF13" s="41"/>
      <c r="MEG13" s="41"/>
      <c r="MEH13" s="41"/>
      <c r="MEI13" s="41"/>
      <c r="MEJ13" s="41"/>
      <c r="MEK13" s="41"/>
      <c r="MEL13" s="41"/>
      <c r="MEM13" s="41"/>
      <c r="MEN13" s="41"/>
      <c r="MEO13" s="41"/>
      <c r="MEP13" s="41"/>
      <c r="MEQ13" s="41"/>
      <c r="MER13" s="41"/>
      <c r="MES13" s="41"/>
      <c r="MET13" s="41"/>
      <c r="MEU13" s="41"/>
      <c r="MEV13" s="41"/>
      <c r="MEW13" s="41"/>
      <c r="MEX13" s="41"/>
      <c r="MEY13" s="41"/>
      <c r="MEZ13" s="41"/>
      <c r="MFA13" s="41"/>
      <c r="MFB13" s="41"/>
      <c r="MFC13" s="41"/>
      <c r="MFD13" s="41"/>
      <c r="MFE13" s="41"/>
      <c r="MFF13" s="41"/>
      <c r="MFG13" s="41"/>
      <c r="MFH13" s="41"/>
      <c r="MFI13" s="41"/>
      <c r="MFJ13" s="41"/>
      <c r="MFK13" s="41"/>
      <c r="MFL13" s="41"/>
      <c r="MFM13" s="41"/>
      <c r="MFN13" s="41"/>
      <c r="MFO13" s="41"/>
      <c r="MFP13" s="41"/>
      <c r="MFQ13" s="41"/>
      <c r="MFR13" s="41"/>
      <c r="MFS13" s="41"/>
      <c r="MFT13" s="41"/>
      <c r="MFU13" s="41"/>
      <c r="MFV13" s="41"/>
      <c r="MFW13" s="41"/>
      <c r="MFX13" s="41"/>
      <c r="MFY13" s="41"/>
      <c r="MFZ13" s="41"/>
      <c r="MGA13" s="41"/>
      <c r="MGB13" s="41"/>
      <c r="MGC13" s="41"/>
      <c r="MGD13" s="41"/>
      <c r="MGE13" s="41"/>
      <c r="MGF13" s="41"/>
      <c r="MGG13" s="41"/>
      <c r="MGH13" s="41"/>
      <c r="MGI13" s="41"/>
      <c r="MGJ13" s="41"/>
      <c r="MGK13" s="41"/>
      <c r="MGL13" s="41"/>
      <c r="MGM13" s="41"/>
      <c r="MGN13" s="41"/>
      <c r="MGO13" s="41"/>
      <c r="MGP13" s="41"/>
      <c r="MGQ13" s="41"/>
      <c r="MGR13" s="41"/>
      <c r="MGS13" s="41"/>
      <c r="MGT13" s="41"/>
      <c r="MGU13" s="41"/>
      <c r="MGV13" s="41"/>
      <c r="MGW13" s="41"/>
      <c r="MGX13" s="41"/>
      <c r="MGY13" s="41"/>
      <c r="MGZ13" s="41"/>
      <c r="MHA13" s="41"/>
      <c r="MHB13" s="41"/>
      <c r="MHC13" s="41"/>
      <c r="MHD13" s="41"/>
      <c r="MHE13" s="41"/>
      <c r="MHF13" s="41"/>
      <c r="MHG13" s="41"/>
      <c r="MHH13" s="41"/>
      <c r="MHI13" s="41"/>
      <c r="MHJ13" s="41"/>
      <c r="MHK13" s="41"/>
      <c r="MHL13" s="41"/>
      <c r="MHM13" s="41"/>
      <c r="MHN13" s="41"/>
      <c r="MHO13" s="41"/>
      <c r="MHP13" s="41"/>
      <c r="MHQ13" s="41"/>
      <c r="MHR13" s="41"/>
      <c r="MHS13" s="41"/>
      <c r="MHT13" s="41"/>
      <c r="MHU13" s="41"/>
      <c r="MHV13" s="41"/>
      <c r="MHW13" s="41"/>
      <c r="MHX13" s="41"/>
      <c r="MHY13" s="41"/>
      <c r="MHZ13" s="41"/>
      <c r="MIA13" s="41"/>
      <c r="MIB13" s="41"/>
      <c r="MIC13" s="41"/>
      <c r="MID13" s="41"/>
      <c r="MIE13" s="41"/>
      <c r="MIF13" s="41"/>
      <c r="MIG13" s="41"/>
      <c r="MIH13" s="41"/>
      <c r="MII13" s="41"/>
      <c r="MIJ13" s="41"/>
      <c r="MIK13" s="41"/>
      <c r="MIL13" s="41"/>
      <c r="MIM13" s="41"/>
      <c r="MIN13" s="41"/>
      <c r="MIO13" s="41"/>
      <c r="MIP13" s="41"/>
      <c r="MIQ13" s="41"/>
      <c r="MIR13" s="41"/>
      <c r="MIS13" s="41"/>
      <c r="MIT13" s="41"/>
      <c r="MIU13" s="41"/>
      <c r="MIV13" s="41"/>
      <c r="MIW13" s="41"/>
      <c r="MIX13" s="41"/>
      <c r="MIY13" s="41"/>
      <c r="MIZ13" s="41"/>
      <c r="MJA13" s="41"/>
      <c r="MJB13" s="41"/>
      <c r="MJC13" s="41"/>
      <c r="MJD13" s="41"/>
      <c r="MJE13" s="41"/>
      <c r="MJF13" s="41"/>
      <c r="MJG13" s="41"/>
      <c r="MJH13" s="41"/>
      <c r="MJI13" s="41"/>
      <c r="MJJ13" s="41"/>
      <c r="MJK13" s="41"/>
      <c r="MJL13" s="41"/>
      <c r="MJM13" s="41"/>
      <c r="MJN13" s="41"/>
      <c r="MJO13" s="41"/>
      <c r="MJP13" s="41"/>
      <c r="MJQ13" s="41"/>
      <c r="MJR13" s="41"/>
      <c r="MJS13" s="41"/>
      <c r="MJT13" s="41"/>
      <c r="MJU13" s="41"/>
      <c r="MJV13" s="41"/>
      <c r="MJW13" s="41"/>
      <c r="MJX13" s="41"/>
      <c r="MJY13" s="41"/>
      <c r="MJZ13" s="41"/>
      <c r="MKA13" s="41"/>
      <c r="MKB13" s="41"/>
      <c r="MKC13" s="41"/>
      <c r="MKD13" s="41"/>
      <c r="MKE13" s="41"/>
      <c r="MKF13" s="41"/>
      <c r="MKG13" s="41"/>
      <c r="MKH13" s="41"/>
      <c r="MKI13" s="41"/>
      <c r="MKJ13" s="41"/>
      <c r="MKK13" s="41"/>
      <c r="MKL13" s="41"/>
      <c r="MKM13" s="41"/>
      <c r="MKN13" s="41"/>
      <c r="MKO13" s="41"/>
      <c r="MKP13" s="41"/>
      <c r="MKQ13" s="41"/>
      <c r="MKR13" s="41"/>
      <c r="MKS13" s="41"/>
      <c r="MKT13" s="41"/>
      <c r="MKU13" s="41"/>
      <c r="MKV13" s="41"/>
      <c r="MKW13" s="41"/>
      <c r="MKX13" s="41"/>
      <c r="MKY13" s="41"/>
      <c r="MKZ13" s="41"/>
      <c r="MLA13" s="41"/>
      <c r="MLB13" s="41"/>
      <c r="MLC13" s="41"/>
      <c r="MLD13" s="41"/>
      <c r="MLE13" s="41"/>
      <c r="MLF13" s="41"/>
      <c r="MLG13" s="41"/>
      <c r="MLH13" s="41"/>
      <c r="MLI13" s="41"/>
      <c r="MLJ13" s="41"/>
      <c r="MLK13" s="41"/>
      <c r="MLL13" s="41"/>
      <c r="MLM13" s="41"/>
      <c r="MLN13" s="41"/>
      <c r="MLO13" s="41"/>
      <c r="MLP13" s="41"/>
      <c r="MLQ13" s="41"/>
      <c r="MLR13" s="41"/>
      <c r="MLS13" s="41"/>
      <c r="MLT13" s="41"/>
      <c r="MLU13" s="41"/>
      <c r="MLV13" s="41"/>
      <c r="MLW13" s="41"/>
      <c r="MLX13" s="41"/>
      <c r="MLY13" s="41"/>
      <c r="MLZ13" s="41"/>
      <c r="MMA13" s="41"/>
      <c r="MMB13" s="41"/>
      <c r="MMC13" s="41"/>
      <c r="MMD13" s="41"/>
      <c r="MME13" s="41"/>
      <c r="MMF13" s="41"/>
      <c r="MMG13" s="41"/>
      <c r="MMH13" s="41"/>
      <c r="MMI13" s="41"/>
      <c r="MMJ13" s="41"/>
      <c r="MMK13" s="41"/>
      <c r="MML13" s="41"/>
      <c r="MMM13" s="41"/>
      <c r="MMN13" s="41"/>
      <c r="MMO13" s="41"/>
      <c r="MMP13" s="41"/>
      <c r="MMQ13" s="41"/>
      <c r="MMR13" s="41"/>
      <c r="MMS13" s="41"/>
      <c r="MMT13" s="41"/>
      <c r="MMU13" s="41"/>
      <c r="MMV13" s="41"/>
      <c r="MMW13" s="41"/>
      <c r="MMX13" s="41"/>
      <c r="MMY13" s="41"/>
      <c r="MMZ13" s="41"/>
      <c r="MNA13" s="41"/>
      <c r="MNB13" s="41"/>
      <c r="MNC13" s="41"/>
      <c r="MND13" s="41"/>
      <c r="MNE13" s="41"/>
      <c r="MNF13" s="41"/>
      <c r="MNG13" s="41"/>
      <c r="MNH13" s="41"/>
      <c r="MNI13" s="41"/>
      <c r="MNJ13" s="41"/>
      <c r="MNK13" s="41"/>
      <c r="MNL13" s="41"/>
      <c r="MNM13" s="41"/>
      <c r="MNN13" s="41"/>
      <c r="MNO13" s="41"/>
      <c r="MNP13" s="41"/>
      <c r="MNQ13" s="41"/>
      <c r="MNR13" s="41"/>
      <c r="MNS13" s="41"/>
      <c r="MNT13" s="41"/>
      <c r="MNU13" s="41"/>
      <c r="MNV13" s="41"/>
      <c r="MNW13" s="41"/>
      <c r="MNX13" s="41"/>
      <c r="MNY13" s="41"/>
      <c r="MNZ13" s="41"/>
      <c r="MOA13" s="41"/>
      <c r="MOB13" s="41"/>
      <c r="MOC13" s="41"/>
      <c r="MOD13" s="41"/>
      <c r="MOE13" s="41"/>
      <c r="MOF13" s="41"/>
      <c r="MOG13" s="41"/>
      <c r="MOH13" s="41"/>
      <c r="MOI13" s="41"/>
      <c r="MOJ13" s="41"/>
      <c r="MOK13" s="41"/>
      <c r="MOL13" s="41"/>
      <c r="MOM13" s="41"/>
      <c r="MON13" s="41"/>
      <c r="MOO13" s="41"/>
      <c r="MOP13" s="41"/>
      <c r="MOQ13" s="41"/>
      <c r="MOR13" s="41"/>
      <c r="MOS13" s="41"/>
      <c r="MOT13" s="41"/>
      <c r="MOU13" s="41"/>
      <c r="MOV13" s="41"/>
      <c r="MOW13" s="41"/>
      <c r="MOX13" s="41"/>
      <c r="MOY13" s="41"/>
      <c r="MOZ13" s="41"/>
      <c r="MPA13" s="41"/>
      <c r="MPB13" s="41"/>
      <c r="MPC13" s="41"/>
      <c r="MPD13" s="41"/>
      <c r="MPE13" s="41"/>
      <c r="MPF13" s="41"/>
      <c r="MPG13" s="41"/>
      <c r="MPH13" s="41"/>
      <c r="MPI13" s="41"/>
      <c r="MPJ13" s="41"/>
      <c r="MPK13" s="41"/>
      <c r="MPL13" s="41"/>
      <c r="MPM13" s="41"/>
      <c r="MPN13" s="41"/>
      <c r="MPO13" s="41"/>
      <c r="MPP13" s="41"/>
      <c r="MPQ13" s="41"/>
      <c r="MPR13" s="41"/>
      <c r="MPS13" s="41"/>
      <c r="MPT13" s="41"/>
      <c r="MPU13" s="41"/>
      <c r="MPV13" s="41"/>
      <c r="MPW13" s="41"/>
      <c r="MPX13" s="41"/>
      <c r="MPY13" s="41"/>
      <c r="MPZ13" s="41"/>
      <c r="MQA13" s="41"/>
      <c r="MQB13" s="41"/>
      <c r="MQC13" s="41"/>
      <c r="MQD13" s="41"/>
      <c r="MQE13" s="41"/>
      <c r="MQF13" s="41"/>
      <c r="MQG13" s="41"/>
      <c r="MQH13" s="41"/>
      <c r="MQI13" s="41"/>
      <c r="MQJ13" s="41"/>
      <c r="MQK13" s="41"/>
      <c r="MQL13" s="41"/>
      <c r="MQM13" s="41"/>
      <c r="MQN13" s="41"/>
      <c r="MQO13" s="41"/>
      <c r="MQP13" s="41"/>
      <c r="MQQ13" s="41"/>
      <c r="MQR13" s="41"/>
      <c r="MQS13" s="41"/>
      <c r="MQT13" s="41"/>
      <c r="MQU13" s="41"/>
      <c r="MQV13" s="41"/>
      <c r="MQW13" s="41"/>
      <c r="MQX13" s="41"/>
      <c r="MQY13" s="41"/>
      <c r="MQZ13" s="41"/>
      <c r="MRA13" s="41"/>
      <c r="MRB13" s="41"/>
      <c r="MRC13" s="41"/>
      <c r="MRD13" s="41"/>
      <c r="MRE13" s="41"/>
      <c r="MRF13" s="41"/>
      <c r="MRG13" s="41"/>
      <c r="MRH13" s="41"/>
      <c r="MRI13" s="41"/>
      <c r="MRJ13" s="41"/>
      <c r="MRK13" s="41"/>
      <c r="MRL13" s="41"/>
      <c r="MRM13" s="41"/>
      <c r="MRN13" s="41"/>
      <c r="MRO13" s="41"/>
      <c r="MRP13" s="41"/>
      <c r="MRQ13" s="41"/>
      <c r="MRR13" s="41"/>
      <c r="MRS13" s="41"/>
      <c r="MRT13" s="41"/>
      <c r="MRU13" s="41"/>
      <c r="MRV13" s="41"/>
      <c r="MRW13" s="41"/>
      <c r="MRX13" s="41"/>
      <c r="MRY13" s="41"/>
      <c r="MRZ13" s="41"/>
      <c r="MSA13" s="41"/>
      <c r="MSB13" s="41"/>
      <c r="MSC13" s="41"/>
      <c r="MSD13" s="41"/>
      <c r="MSE13" s="41"/>
      <c r="MSF13" s="41"/>
      <c r="MSG13" s="41"/>
      <c r="MSH13" s="41"/>
      <c r="MSI13" s="41"/>
      <c r="MSJ13" s="41"/>
      <c r="MSK13" s="41"/>
      <c r="MSL13" s="41"/>
      <c r="MSM13" s="41"/>
      <c r="MSN13" s="41"/>
      <c r="MSO13" s="41"/>
      <c r="MSP13" s="41"/>
      <c r="MSQ13" s="41"/>
      <c r="MSR13" s="41"/>
      <c r="MSS13" s="41"/>
      <c r="MST13" s="41"/>
      <c r="MSU13" s="41"/>
      <c r="MSV13" s="41"/>
      <c r="MSW13" s="41"/>
      <c r="MSX13" s="41"/>
      <c r="MSY13" s="41"/>
      <c r="MSZ13" s="41"/>
      <c r="MTA13" s="41"/>
      <c r="MTB13" s="41"/>
      <c r="MTC13" s="41"/>
      <c r="MTD13" s="41"/>
      <c r="MTE13" s="41"/>
      <c r="MTF13" s="41"/>
      <c r="MTG13" s="41"/>
      <c r="MTH13" s="41"/>
      <c r="MTI13" s="41"/>
      <c r="MTJ13" s="41"/>
      <c r="MTK13" s="41"/>
      <c r="MTL13" s="41"/>
      <c r="MTM13" s="41"/>
      <c r="MTN13" s="41"/>
      <c r="MTO13" s="41"/>
      <c r="MTP13" s="41"/>
      <c r="MTQ13" s="41"/>
      <c r="MTR13" s="41"/>
      <c r="MTS13" s="41"/>
      <c r="MTT13" s="41"/>
      <c r="MTU13" s="41"/>
      <c r="MTV13" s="41"/>
      <c r="MTW13" s="41"/>
      <c r="MTX13" s="41"/>
      <c r="MTY13" s="41"/>
      <c r="MTZ13" s="41"/>
      <c r="MUA13" s="41"/>
      <c r="MUB13" s="41"/>
      <c r="MUC13" s="41"/>
      <c r="MUD13" s="41"/>
      <c r="MUE13" s="41"/>
      <c r="MUF13" s="41"/>
      <c r="MUG13" s="41"/>
      <c r="MUH13" s="41"/>
      <c r="MUI13" s="41"/>
      <c r="MUJ13" s="41"/>
      <c r="MUK13" s="41"/>
      <c r="MUL13" s="41"/>
      <c r="MUM13" s="41"/>
      <c r="MUN13" s="41"/>
      <c r="MUO13" s="41"/>
      <c r="MUP13" s="41"/>
      <c r="MUQ13" s="41"/>
      <c r="MUR13" s="41"/>
      <c r="MUS13" s="41"/>
      <c r="MUT13" s="41"/>
      <c r="MUU13" s="41"/>
      <c r="MUV13" s="41"/>
      <c r="MUW13" s="41"/>
      <c r="MUX13" s="41"/>
      <c r="MUY13" s="41"/>
      <c r="MUZ13" s="41"/>
      <c r="MVA13" s="41"/>
      <c r="MVB13" s="41"/>
      <c r="MVC13" s="41"/>
      <c r="MVD13" s="41"/>
      <c r="MVE13" s="41"/>
      <c r="MVF13" s="41"/>
      <c r="MVG13" s="41"/>
      <c r="MVH13" s="41"/>
      <c r="MVI13" s="41"/>
      <c r="MVJ13" s="41"/>
      <c r="MVK13" s="41"/>
      <c r="MVL13" s="41"/>
      <c r="MVM13" s="41"/>
      <c r="MVN13" s="41"/>
      <c r="MVO13" s="41"/>
      <c r="MVP13" s="41"/>
      <c r="MVQ13" s="41"/>
      <c r="MVR13" s="41"/>
      <c r="MVS13" s="41"/>
      <c r="MVT13" s="41"/>
      <c r="MVU13" s="41"/>
      <c r="MVV13" s="41"/>
      <c r="MVW13" s="41"/>
      <c r="MVX13" s="41"/>
      <c r="MVY13" s="41"/>
      <c r="MVZ13" s="41"/>
      <c r="MWA13" s="41"/>
      <c r="MWB13" s="41"/>
      <c r="MWC13" s="41"/>
      <c r="MWD13" s="41"/>
      <c r="MWE13" s="41"/>
      <c r="MWF13" s="41"/>
      <c r="MWG13" s="41"/>
      <c r="MWH13" s="41"/>
      <c r="MWI13" s="41"/>
      <c r="MWJ13" s="41"/>
      <c r="MWK13" s="41"/>
      <c r="MWL13" s="41"/>
      <c r="MWM13" s="41"/>
      <c r="MWN13" s="41"/>
      <c r="MWO13" s="41"/>
      <c r="MWP13" s="41"/>
      <c r="MWQ13" s="41"/>
      <c r="MWR13" s="41"/>
      <c r="MWS13" s="41"/>
      <c r="MWT13" s="41"/>
      <c r="MWU13" s="41"/>
      <c r="MWV13" s="41"/>
      <c r="MWW13" s="41"/>
      <c r="MWX13" s="41"/>
      <c r="MWY13" s="41"/>
      <c r="MWZ13" s="41"/>
      <c r="MXA13" s="41"/>
      <c r="MXB13" s="41"/>
      <c r="MXC13" s="41"/>
      <c r="MXD13" s="41"/>
      <c r="MXE13" s="41"/>
      <c r="MXF13" s="41"/>
      <c r="MXG13" s="41"/>
      <c r="MXH13" s="41"/>
      <c r="MXI13" s="41"/>
      <c r="MXJ13" s="41"/>
      <c r="MXK13" s="41"/>
      <c r="MXL13" s="41"/>
      <c r="MXM13" s="41"/>
      <c r="MXN13" s="41"/>
      <c r="MXO13" s="41"/>
      <c r="MXP13" s="41"/>
      <c r="MXQ13" s="41"/>
      <c r="MXR13" s="41"/>
      <c r="MXS13" s="41"/>
      <c r="MXT13" s="41"/>
      <c r="MXU13" s="41"/>
      <c r="MXV13" s="41"/>
      <c r="MXW13" s="41"/>
      <c r="MXX13" s="41"/>
      <c r="MXY13" s="41"/>
      <c r="MXZ13" s="41"/>
      <c r="MYA13" s="41"/>
      <c r="MYB13" s="41"/>
      <c r="MYC13" s="41"/>
      <c r="MYD13" s="41"/>
      <c r="MYE13" s="41"/>
      <c r="MYF13" s="41"/>
      <c r="MYG13" s="41"/>
      <c r="MYH13" s="41"/>
      <c r="MYI13" s="41"/>
      <c r="MYJ13" s="41"/>
      <c r="MYK13" s="41"/>
      <c r="MYL13" s="41"/>
      <c r="MYM13" s="41"/>
      <c r="MYN13" s="41"/>
      <c r="MYO13" s="41"/>
      <c r="MYP13" s="41"/>
      <c r="MYQ13" s="41"/>
      <c r="MYR13" s="41"/>
      <c r="MYS13" s="41"/>
      <c r="MYT13" s="41"/>
      <c r="MYU13" s="41"/>
      <c r="MYV13" s="41"/>
      <c r="MYW13" s="41"/>
      <c r="MYX13" s="41"/>
      <c r="MYY13" s="41"/>
      <c r="MYZ13" s="41"/>
      <c r="MZA13" s="41"/>
      <c r="MZB13" s="41"/>
      <c r="MZC13" s="41"/>
      <c r="MZD13" s="41"/>
      <c r="MZE13" s="41"/>
      <c r="MZF13" s="41"/>
      <c r="MZG13" s="41"/>
      <c r="MZH13" s="41"/>
      <c r="MZI13" s="41"/>
      <c r="MZJ13" s="41"/>
      <c r="MZK13" s="41"/>
      <c r="MZL13" s="41"/>
      <c r="MZM13" s="41"/>
      <c r="MZN13" s="41"/>
      <c r="MZO13" s="41"/>
      <c r="MZP13" s="41"/>
      <c r="MZQ13" s="41"/>
      <c r="MZR13" s="41"/>
      <c r="MZS13" s="41"/>
      <c r="MZT13" s="41"/>
      <c r="MZU13" s="41"/>
      <c r="MZV13" s="41"/>
      <c r="MZW13" s="41"/>
      <c r="MZX13" s="41"/>
      <c r="MZY13" s="41"/>
      <c r="MZZ13" s="41"/>
      <c r="NAA13" s="41"/>
      <c r="NAB13" s="41"/>
      <c r="NAC13" s="41"/>
      <c r="NAD13" s="41"/>
      <c r="NAE13" s="41"/>
      <c r="NAF13" s="41"/>
      <c r="NAG13" s="41"/>
      <c r="NAH13" s="41"/>
      <c r="NAI13" s="41"/>
      <c r="NAJ13" s="41"/>
      <c r="NAK13" s="41"/>
      <c r="NAL13" s="41"/>
      <c r="NAM13" s="41"/>
      <c r="NAN13" s="41"/>
      <c r="NAO13" s="41"/>
      <c r="NAP13" s="41"/>
      <c r="NAQ13" s="41"/>
      <c r="NAR13" s="41"/>
      <c r="NAS13" s="41"/>
      <c r="NAT13" s="41"/>
      <c r="NAU13" s="41"/>
      <c r="NAV13" s="41"/>
      <c r="NAW13" s="41"/>
      <c r="NAX13" s="41"/>
      <c r="NAY13" s="41"/>
      <c r="NAZ13" s="41"/>
      <c r="NBA13" s="41"/>
      <c r="NBB13" s="41"/>
      <c r="NBC13" s="41"/>
      <c r="NBD13" s="41"/>
      <c r="NBE13" s="41"/>
      <c r="NBF13" s="41"/>
      <c r="NBG13" s="41"/>
      <c r="NBH13" s="41"/>
      <c r="NBI13" s="41"/>
      <c r="NBJ13" s="41"/>
      <c r="NBK13" s="41"/>
      <c r="NBL13" s="41"/>
      <c r="NBM13" s="41"/>
      <c r="NBN13" s="41"/>
      <c r="NBO13" s="41"/>
      <c r="NBP13" s="41"/>
      <c r="NBQ13" s="41"/>
      <c r="NBR13" s="41"/>
      <c r="NBS13" s="41"/>
      <c r="NBT13" s="41"/>
      <c r="NBU13" s="41"/>
      <c r="NBV13" s="41"/>
      <c r="NBW13" s="41"/>
      <c r="NBX13" s="41"/>
      <c r="NBY13" s="41"/>
      <c r="NBZ13" s="41"/>
      <c r="NCA13" s="41"/>
      <c r="NCB13" s="41"/>
      <c r="NCC13" s="41"/>
      <c r="NCD13" s="41"/>
      <c r="NCE13" s="41"/>
      <c r="NCF13" s="41"/>
      <c r="NCG13" s="41"/>
      <c r="NCH13" s="41"/>
      <c r="NCI13" s="41"/>
      <c r="NCJ13" s="41"/>
      <c r="NCK13" s="41"/>
      <c r="NCL13" s="41"/>
      <c r="NCM13" s="41"/>
      <c r="NCN13" s="41"/>
      <c r="NCO13" s="41"/>
      <c r="NCP13" s="41"/>
      <c r="NCQ13" s="41"/>
      <c r="NCR13" s="41"/>
      <c r="NCS13" s="41"/>
      <c r="NCT13" s="41"/>
      <c r="NCU13" s="41"/>
      <c r="NCV13" s="41"/>
      <c r="NCW13" s="41"/>
      <c r="NCX13" s="41"/>
      <c r="NCY13" s="41"/>
      <c r="NCZ13" s="41"/>
      <c r="NDA13" s="41"/>
      <c r="NDB13" s="41"/>
      <c r="NDC13" s="41"/>
      <c r="NDD13" s="41"/>
      <c r="NDE13" s="41"/>
      <c r="NDF13" s="41"/>
      <c r="NDG13" s="41"/>
      <c r="NDH13" s="41"/>
      <c r="NDI13" s="41"/>
      <c r="NDJ13" s="41"/>
      <c r="NDK13" s="41"/>
      <c r="NDL13" s="41"/>
      <c r="NDM13" s="41"/>
      <c r="NDN13" s="41"/>
      <c r="NDO13" s="41"/>
      <c r="NDP13" s="41"/>
      <c r="NDQ13" s="41"/>
      <c r="NDR13" s="41"/>
      <c r="NDS13" s="41"/>
      <c r="NDT13" s="41"/>
      <c r="NDU13" s="41"/>
      <c r="NDV13" s="41"/>
      <c r="NDW13" s="41"/>
      <c r="NDX13" s="41"/>
      <c r="NDY13" s="41"/>
      <c r="NDZ13" s="41"/>
      <c r="NEA13" s="41"/>
      <c r="NEB13" s="41"/>
      <c r="NEC13" s="41"/>
      <c r="NED13" s="41"/>
      <c r="NEE13" s="41"/>
      <c r="NEF13" s="41"/>
      <c r="NEG13" s="41"/>
      <c r="NEH13" s="41"/>
      <c r="NEI13" s="41"/>
      <c r="NEJ13" s="41"/>
      <c r="NEK13" s="41"/>
      <c r="NEL13" s="41"/>
      <c r="NEM13" s="41"/>
      <c r="NEN13" s="41"/>
      <c r="NEO13" s="41"/>
      <c r="NEP13" s="41"/>
      <c r="NEQ13" s="41"/>
      <c r="NER13" s="41"/>
      <c r="NES13" s="41"/>
      <c r="NET13" s="41"/>
      <c r="NEU13" s="41"/>
      <c r="NEV13" s="41"/>
      <c r="NEW13" s="41"/>
      <c r="NEX13" s="41"/>
      <c r="NEY13" s="41"/>
      <c r="NEZ13" s="41"/>
      <c r="NFA13" s="41"/>
      <c r="NFB13" s="41"/>
      <c r="NFC13" s="41"/>
      <c r="NFD13" s="41"/>
      <c r="NFE13" s="41"/>
      <c r="NFF13" s="41"/>
      <c r="NFG13" s="41"/>
      <c r="NFH13" s="41"/>
      <c r="NFI13" s="41"/>
      <c r="NFJ13" s="41"/>
      <c r="NFK13" s="41"/>
      <c r="NFL13" s="41"/>
      <c r="NFM13" s="41"/>
      <c r="NFN13" s="41"/>
      <c r="NFO13" s="41"/>
      <c r="NFP13" s="41"/>
      <c r="NFQ13" s="41"/>
      <c r="NFR13" s="41"/>
      <c r="NFS13" s="41"/>
      <c r="NFT13" s="41"/>
      <c r="NFU13" s="41"/>
      <c r="NFV13" s="41"/>
      <c r="NFW13" s="41"/>
      <c r="NFX13" s="41"/>
      <c r="NFY13" s="41"/>
      <c r="NFZ13" s="41"/>
      <c r="NGA13" s="41"/>
      <c r="NGB13" s="41"/>
      <c r="NGC13" s="41"/>
      <c r="NGD13" s="41"/>
      <c r="NGE13" s="41"/>
      <c r="NGF13" s="41"/>
      <c r="NGG13" s="41"/>
      <c r="NGH13" s="41"/>
      <c r="NGI13" s="41"/>
      <c r="NGJ13" s="41"/>
      <c r="NGK13" s="41"/>
      <c r="NGL13" s="41"/>
      <c r="NGM13" s="41"/>
      <c r="NGN13" s="41"/>
      <c r="NGO13" s="41"/>
      <c r="NGP13" s="41"/>
      <c r="NGQ13" s="41"/>
      <c r="NGR13" s="41"/>
      <c r="NGS13" s="41"/>
      <c r="NGT13" s="41"/>
      <c r="NGU13" s="41"/>
      <c r="NGV13" s="41"/>
      <c r="NGW13" s="41"/>
      <c r="NGX13" s="41"/>
      <c r="NGY13" s="41"/>
      <c r="NGZ13" s="41"/>
      <c r="NHA13" s="41"/>
      <c r="NHB13" s="41"/>
      <c r="NHC13" s="41"/>
      <c r="NHD13" s="41"/>
      <c r="NHE13" s="41"/>
      <c r="NHF13" s="41"/>
      <c r="NHG13" s="41"/>
      <c r="NHH13" s="41"/>
      <c r="NHI13" s="41"/>
      <c r="NHJ13" s="41"/>
      <c r="NHK13" s="41"/>
      <c r="NHL13" s="41"/>
      <c r="NHM13" s="41"/>
      <c r="NHN13" s="41"/>
      <c r="NHO13" s="41"/>
      <c r="NHP13" s="41"/>
      <c r="NHQ13" s="41"/>
      <c r="NHR13" s="41"/>
      <c r="NHS13" s="41"/>
      <c r="NHT13" s="41"/>
      <c r="NHU13" s="41"/>
      <c r="NHV13" s="41"/>
      <c r="NHW13" s="41"/>
      <c r="NHX13" s="41"/>
      <c r="NHY13" s="41"/>
      <c r="NHZ13" s="41"/>
      <c r="NIA13" s="41"/>
      <c r="NIB13" s="41"/>
      <c r="NIC13" s="41"/>
      <c r="NID13" s="41"/>
      <c r="NIE13" s="41"/>
      <c r="NIF13" s="41"/>
      <c r="NIG13" s="41"/>
      <c r="NIH13" s="41"/>
      <c r="NII13" s="41"/>
      <c r="NIJ13" s="41"/>
      <c r="NIK13" s="41"/>
      <c r="NIL13" s="41"/>
      <c r="NIM13" s="41"/>
      <c r="NIN13" s="41"/>
      <c r="NIO13" s="41"/>
      <c r="NIP13" s="41"/>
      <c r="NIQ13" s="41"/>
      <c r="NIR13" s="41"/>
      <c r="NIS13" s="41"/>
      <c r="NIT13" s="41"/>
      <c r="NIU13" s="41"/>
      <c r="NIV13" s="41"/>
      <c r="NIW13" s="41"/>
      <c r="NIX13" s="41"/>
      <c r="NIY13" s="41"/>
      <c r="NIZ13" s="41"/>
      <c r="NJA13" s="41"/>
      <c r="NJB13" s="41"/>
      <c r="NJC13" s="41"/>
      <c r="NJD13" s="41"/>
      <c r="NJE13" s="41"/>
      <c r="NJF13" s="41"/>
      <c r="NJG13" s="41"/>
      <c r="NJH13" s="41"/>
      <c r="NJI13" s="41"/>
      <c r="NJJ13" s="41"/>
      <c r="NJK13" s="41"/>
      <c r="NJL13" s="41"/>
      <c r="NJM13" s="41"/>
      <c r="NJN13" s="41"/>
      <c r="NJO13" s="41"/>
      <c r="NJP13" s="41"/>
      <c r="NJQ13" s="41"/>
      <c r="NJR13" s="41"/>
      <c r="NJS13" s="41"/>
      <c r="NJT13" s="41"/>
      <c r="NJU13" s="41"/>
      <c r="NJV13" s="41"/>
      <c r="NJW13" s="41"/>
      <c r="NJX13" s="41"/>
      <c r="NJY13" s="41"/>
      <c r="NJZ13" s="41"/>
      <c r="NKA13" s="41"/>
      <c r="NKB13" s="41"/>
      <c r="NKC13" s="41"/>
      <c r="NKD13" s="41"/>
      <c r="NKE13" s="41"/>
      <c r="NKF13" s="41"/>
      <c r="NKG13" s="41"/>
      <c r="NKH13" s="41"/>
      <c r="NKI13" s="41"/>
      <c r="NKJ13" s="41"/>
      <c r="NKK13" s="41"/>
      <c r="NKL13" s="41"/>
      <c r="NKM13" s="41"/>
      <c r="NKN13" s="41"/>
      <c r="NKO13" s="41"/>
      <c r="NKP13" s="41"/>
      <c r="NKQ13" s="41"/>
      <c r="NKR13" s="41"/>
      <c r="NKS13" s="41"/>
      <c r="NKT13" s="41"/>
      <c r="NKU13" s="41"/>
      <c r="NKV13" s="41"/>
      <c r="NKW13" s="41"/>
      <c r="NKX13" s="41"/>
      <c r="NKY13" s="41"/>
      <c r="NKZ13" s="41"/>
      <c r="NLA13" s="41"/>
      <c r="NLB13" s="41"/>
      <c r="NLC13" s="41"/>
      <c r="NLD13" s="41"/>
      <c r="NLE13" s="41"/>
      <c r="NLF13" s="41"/>
      <c r="NLG13" s="41"/>
      <c r="NLH13" s="41"/>
      <c r="NLI13" s="41"/>
      <c r="NLJ13" s="41"/>
      <c r="NLK13" s="41"/>
      <c r="NLL13" s="41"/>
      <c r="NLM13" s="41"/>
      <c r="NLN13" s="41"/>
      <c r="NLO13" s="41"/>
      <c r="NLP13" s="41"/>
      <c r="NLQ13" s="41"/>
      <c r="NLR13" s="41"/>
      <c r="NLS13" s="41"/>
      <c r="NLT13" s="41"/>
      <c r="NLU13" s="41"/>
      <c r="NLV13" s="41"/>
      <c r="NLW13" s="41"/>
      <c r="NLX13" s="41"/>
      <c r="NLY13" s="41"/>
      <c r="NLZ13" s="41"/>
      <c r="NMA13" s="41"/>
      <c r="NMB13" s="41"/>
      <c r="NMC13" s="41"/>
      <c r="NMD13" s="41"/>
      <c r="NME13" s="41"/>
      <c r="NMF13" s="41"/>
      <c r="NMG13" s="41"/>
      <c r="NMH13" s="41"/>
      <c r="NMI13" s="41"/>
      <c r="NMJ13" s="41"/>
      <c r="NMK13" s="41"/>
      <c r="NML13" s="41"/>
      <c r="NMM13" s="41"/>
      <c r="NMN13" s="41"/>
      <c r="NMO13" s="41"/>
      <c r="NMP13" s="41"/>
      <c r="NMQ13" s="41"/>
      <c r="NMR13" s="41"/>
      <c r="NMS13" s="41"/>
      <c r="NMT13" s="41"/>
      <c r="NMU13" s="41"/>
      <c r="NMV13" s="41"/>
      <c r="NMW13" s="41"/>
      <c r="NMX13" s="41"/>
      <c r="NMY13" s="41"/>
      <c r="NMZ13" s="41"/>
      <c r="NNA13" s="41"/>
      <c r="NNB13" s="41"/>
      <c r="NNC13" s="41"/>
      <c r="NND13" s="41"/>
      <c r="NNE13" s="41"/>
      <c r="NNF13" s="41"/>
      <c r="NNG13" s="41"/>
      <c r="NNH13" s="41"/>
      <c r="NNI13" s="41"/>
      <c r="NNJ13" s="41"/>
      <c r="NNK13" s="41"/>
      <c r="NNL13" s="41"/>
      <c r="NNM13" s="41"/>
      <c r="NNN13" s="41"/>
      <c r="NNO13" s="41"/>
      <c r="NNP13" s="41"/>
      <c r="NNQ13" s="41"/>
      <c r="NNR13" s="41"/>
      <c r="NNS13" s="41"/>
      <c r="NNT13" s="41"/>
      <c r="NNU13" s="41"/>
      <c r="NNV13" s="41"/>
      <c r="NNW13" s="41"/>
      <c r="NNX13" s="41"/>
      <c r="NNY13" s="41"/>
      <c r="NNZ13" s="41"/>
      <c r="NOA13" s="41"/>
      <c r="NOB13" s="41"/>
      <c r="NOC13" s="41"/>
      <c r="NOD13" s="41"/>
      <c r="NOE13" s="41"/>
      <c r="NOF13" s="41"/>
      <c r="NOG13" s="41"/>
      <c r="NOH13" s="41"/>
      <c r="NOI13" s="41"/>
      <c r="NOJ13" s="41"/>
      <c r="NOK13" s="41"/>
      <c r="NOL13" s="41"/>
      <c r="NOM13" s="41"/>
      <c r="NON13" s="41"/>
      <c r="NOO13" s="41"/>
      <c r="NOP13" s="41"/>
      <c r="NOQ13" s="41"/>
      <c r="NOR13" s="41"/>
      <c r="NOS13" s="41"/>
      <c r="NOT13" s="41"/>
      <c r="NOU13" s="41"/>
      <c r="NOV13" s="41"/>
      <c r="NOW13" s="41"/>
      <c r="NOX13" s="41"/>
      <c r="NOY13" s="41"/>
      <c r="NOZ13" s="41"/>
      <c r="NPA13" s="41"/>
      <c r="NPB13" s="41"/>
      <c r="NPC13" s="41"/>
      <c r="NPD13" s="41"/>
      <c r="NPE13" s="41"/>
      <c r="NPF13" s="41"/>
      <c r="NPG13" s="41"/>
      <c r="NPH13" s="41"/>
      <c r="NPI13" s="41"/>
      <c r="NPJ13" s="41"/>
      <c r="NPK13" s="41"/>
      <c r="NPL13" s="41"/>
      <c r="NPM13" s="41"/>
      <c r="NPN13" s="41"/>
      <c r="NPO13" s="41"/>
      <c r="NPP13" s="41"/>
      <c r="NPQ13" s="41"/>
      <c r="NPR13" s="41"/>
      <c r="NPS13" s="41"/>
      <c r="NPT13" s="41"/>
      <c r="NPU13" s="41"/>
      <c r="NPV13" s="41"/>
      <c r="NPW13" s="41"/>
      <c r="NPX13" s="41"/>
      <c r="NPY13" s="41"/>
      <c r="NPZ13" s="41"/>
      <c r="NQA13" s="41"/>
      <c r="NQB13" s="41"/>
      <c r="NQC13" s="41"/>
      <c r="NQD13" s="41"/>
      <c r="NQE13" s="41"/>
      <c r="NQF13" s="41"/>
      <c r="NQG13" s="41"/>
      <c r="NQH13" s="41"/>
      <c r="NQI13" s="41"/>
      <c r="NQJ13" s="41"/>
      <c r="NQK13" s="41"/>
      <c r="NQL13" s="41"/>
      <c r="NQM13" s="41"/>
      <c r="NQN13" s="41"/>
      <c r="NQO13" s="41"/>
      <c r="NQP13" s="41"/>
      <c r="NQQ13" s="41"/>
      <c r="NQR13" s="41"/>
      <c r="NQS13" s="41"/>
      <c r="NQT13" s="41"/>
      <c r="NQU13" s="41"/>
      <c r="NQV13" s="41"/>
      <c r="NQW13" s="41"/>
      <c r="NQX13" s="41"/>
      <c r="NQY13" s="41"/>
      <c r="NQZ13" s="41"/>
      <c r="NRA13" s="41"/>
      <c r="NRB13" s="41"/>
      <c r="NRC13" s="41"/>
      <c r="NRD13" s="41"/>
      <c r="NRE13" s="41"/>
      <c r="NRF13" s="41"/>
      <c r="NRG13" s="41"/>
      <c r="NRH13" s="41"/>
      <c r="NRI13" s="41"/>
      <c r="NRJ13" s="41"/>
      <c r="NRK13" s="41"/>
      <c r="NRL13" s="41"/>
      <c r="NRM13" s="41"/>
      <c r="NRN13" s="41"/>
      <c r="NRO13" s="41"/>
      <c r="NRP13" s="41"/>
      <c r="NRQ13" s="41"/>
      <c r="NRR13" s="41"/>
      <c r="NRS13" s="41"/>
      <c r="NRT13" s="41"/>
      <c r="NRU13" s="41"/>
      <c r="NRV13" s="41"/>
      <c r="NRW13" s="41"/>
      <c r="NRX13" s="41"/>
      <c r="NRY13" s="41"/>
      <c r="NRZ13" s="41"/>
      <c r="NSA13" s="41"/>
      <c r="NSB13" s="41"/>
      <c r="NSC13" s="41"/>
      <c r="NSD13" s="41"/>
      <c r="NSE13" s="41"/>
      <c r="NSF13" s="41"/>
      <c r="NSG13" s="41"/>
      <c r="NSH13" s="41"/>
      <c r="NSI13" s="41"/>
      <c r="NSJ13" s="41"/>
      <c r="NSK13" s="41"/>
      <c r="NSL13" s="41"/>
      <c r="NSM13" s="41"/>
      <c r="NSN13" s="41"/>
      <c r="NSO13" s="41"/>
      <c r="NSP13" s="41"/>
      <c r="NSQ13" s="41"/>
      <c r="NSR13" s="41"/>
      <c r="NSS13" s="41"/>
      <c r="NST13" s="41"/>
      <c r="NSU13" s="41"/>
      <c r="NSV13" s="41"/>
      <c r="NSW13" s="41"/>
      <c r="NSX13" s="41"/>
      <c r="NSY13" s="41"/>
      <c r="NSZ13" s="41"/>
      <c r="NTA13" s="41"/>
      <c r="NTB13" s="41"/>
      <c r="NTC13" s="41"/>
      <c r="NTD13" s="41"/>
      <c r="NTE13" s="41"/>
      <c r="NTF13" s="41"/>
      <c r="NTG13" s="41"/>
      <c r="NTH13" s="41"/>
      <c r="NTI13" s="41"/>
      <c r="NTJ13" s="41"/>
      <c r="NTK13" s="41"/>
      <c r="NTL13" s="41"/>
      <c r="NTM13" s="41"/>
      <c r="NTN13" s="41"/>
      <c r="NTO13" s="41"/>
      <c r="NTP13" s="41"/>
      <c r="NTQ13" s="41"/>
      <c r="NTR13" s="41"/>
      <c r="NTS13" s="41"/>
      <c r="NTT13" s="41"/>
      <c r="NTU13" s="41"/>
      <c r="NTV13" s="41"/>
      <c r="NTW13" s="41"/>
      <c r="NTX13" s="41"/>
      <c r="NTY13" s="41"/>
      <c r="NTZ13" s="41"/>
      <c r="NUA13" s="41"/>
      <c r="NUB13" s="41"/>
      <c r="NUC13" s="41"/>
      <c r="NUD13" s="41"/>
      <c r="NUE13" s="41"/>
      <c r="NUF13" s="41"/>
      <c r="NUG13" s="41"/>
      <c r="NUH13" s="41"/>
      <c r="NUI13" s="41"/>
      <c r="NUJ13" s="41"/>
      <c r="NUK13" s="41"/>
      <c r="NUL13" s="41"/>
      <c r="NUM13" s="41"/>
      <c r="NUN13" s="41"/>
      <c r="NUO13" s="41"/>
      <c r="NUP13" s="41"/>
      <c r="NUQ13" s="41"/>
      <c r="NUR13" s="41"/>
      <c r="NUS13" s="41"/>
      <c r="NUT13" s="41"/>
      <c r="NUU13" s="41"/>
      <c r="NUV13" s="41"/>
      <c r="NUW13" s="41"/>
      <c r="NUX13" s="41"/>
      <c r="NUY13" s="41"/>
      <c r="NUZ13" s="41"/>
      <c r="NVA13" s="41"/>
      <c r="NVB13" s="41"/>
      <c r="NVC13" s="41"/>
      <c r="NVD13" s="41"/>
      <c r="NVE13" s="41"/>
      <c r="NVF13" s="41"/>
      <c r="NVG13" s="41"/>
      <c r="NVH13" s="41"/>
      <c r="NVI13" s="41"/>
      <c r="NVJ13" s="41"/>
      <c r="NVK13" s="41"/>
      <c r="NVL13" s="41"/>
      <c r="NVM13" s="41"/>
      <c r="NVN13" s="41"/>
      <c r="NVO13" s="41"/>
      <c r="NVP13" s="41"/>
      <c r="NVQ13" s="41"/>
      <c r="NVR13" s="41"/>
      <c r="NVS13" s="41"/>
      <c r="NVT13" s="41"/>
      <c r="NVU13" s="41"/>
      <c r="NVV13" s="41"/>
      <c r="NVW13" s="41"/>
      <c r="NVX13" s="41"/>
      <c r="NVY13" s="41"/>
      <c r="NVZ13" s="41"/>
      <c r="NWA13" s="41"/>
      <c r="NWB13" s="41"/>
      <c r="NWC13" s="41"/>
      <c r="NWD13" s="41"/>
      <c r="NWE13" s="41"/>
      <c r="NWF13" s="41"/>
      <c r="NWG13" s="41"/>
      <c r="NWH13" s="41"/>
      <c r="NWI13" s="41"/>
      <c r="NWJ13" s="41"/>
      <c r="NWK13" s="41"/>
      <c r="NWL13" s="41"/>
      <c r="NWM13" s="41"/>
      <c r="NWN13" s="41"/>
      <c r="NWO13" s="41"/>
      <c r="NWP13" s="41"/>
      <c r="NWQ13" s="41"/>
      <c r="NWR13" s="41"/>
      <c r="NWS13" s="41"/>
      <c r="NWT13" s="41"/>
      <c r="NWU13" s="41"/>
      <c r="NWV13" s="41"/>
      <c r="NWW13" s="41"/>
      <c r="NWX13" s="41"/>
      <c r="NWY13" s="41"/>
      <c r="NWZ13" s="41"/>
      <c r="NXA13" s="41"/>
      <c r="NXB13" s="41"/>
      <c r="NXC13" s="41"/>
      <c r="NXD13" s="41"/>
      <c r="NXE13" s="41"/>
      <c r="NXF13" s="41"/>
      <c r="NXG13" s="41"/>
      <c r="NXH13" s="41"/>
      <c r="NXI13" s="41"/>
      <c r="NXJ13" s="41"/>
      <c r="NXK13" s="41"/>
      <c r="NXL13" s="41"/>
      <c r="NXM13" s="41"/>
      <c r="NXN13" s="41"/>
      <c r="NXO13" s="41"/>
      <c r="NXP13" s="41"/>
      <c r="NXQ13" s="41"/>
      <c r="NXR13" s="41"/>
      <c r="NXS13" s="41"/>
      <c r="NXT13" s="41"/>
      <c r="NXU13" s="41"/>
      <c r="NXV13" s="41"/>
      <c r="NXW13" s="41"/>
      <c r="NXX13" s="41"/>
      <c r="NXY13" s="41"/>
      <c r="NXZ13" s="41"/>
      <c r="NYA13" s="41"/>
      <c r="NYB13" s="41"/>
      <c r="NYC13" s="41"/>
      <c r="NYD13" s="41"/>
      <c r="NYE13" s="41"/>
      <c r="NYF13" s="41"/>
      <c r="NYG13" s="41"/>
      <c r="NYH13" s="41"/>
      <c r="NYI13" s="41"/>
      <c r="NYJ13" s="41"/>
      <c r="NYK13" s="41"/>
      <c r="NYL13" s="41"/>
      <c r="NYM13" s="41"/>
      <c r="NYN13" s="41"/>
      <c r="NYO13" s="41"/>
      <c r="NYP13" s="41"/>
      <c r="NYQ13" s="41"/>
      <c r="NYR13" s="41"/>
      <c r="NYS13" s="41"/>
      <c r="NYT13" s="41"/>
      <c r="NYU13" s="41"/>
      <c r="NYV13" s="41"/>
      <c r="NYW13" s="41"/>
      <c r="NYX13" s="41"/>
      <c r="NYY13" s="41"/>
      <c r="NYZ13" s="41"/>
      <c r="NZA13" s="41"/>
      <c r="NZB13" s="41"/>
      <c r="NZC13" s="41"/>
      <c r="NZD13" s="41"/>
      <c r="NZE13" s="41"/>
      <c r="NZF13" s="41"/>
      <c r="NZG13" s="41"/>
      <c r="NZH13" s="41"/>
      <c r="NZI13" s="41"/>
      <c r="NZJ13" s="41"/>
      <c r="NZK13" s="41"/>
      <c r="NZL13" s="41"/>
      <c r="NZM13" s="41"/>
      <c r="NZN13" s="41"/>
      <c r="NZO13" s="41"/>
      <c r="NZP13" s="41"/>
      <c r="NZQ13" s="41"/>
      <c r="NZR13" s="41"/>
      <c r="NZS13" s="41"/>
      <c r="NZT13" s="41"/>
      <c r="NZU13" s="41"/>
      <c r="NZV13" s="41"/>
      <c r="NZW13" s="41"/>
      <c r="NZX13" s="41"/>
      <c r="NZY13" s="41"/>
      <c r="NZZ13" s="41"/>
      <c r="OAA13" s="41"/>
      <c r="OAB13" s="41"/>
      <c r="OAC13" s="41"/>
      <c r="OAD13" s="41"/>
      <c r="OAE13" s="41"/>
      <c r="OAF13" s="41"/>
      <c r="OAG13" s="41"/>
      <c r="OAH13" s="41"/>
      <c r="OAI13" s="41"/>
      <c r="OAJ13" s="41"/>
      <c r="OAK13" s="41"/>
      <c r="OAL13" s="41"/>
      <c r="OAM13" s="41"/>
      <c r="OAN13" s="41"/>
      <c r="OAO13" s="41"/>
      <c r="OAP13" s="41"/>
      <c r="OAQ13" s="41"/>
      <c r="OAR13" s="41"/>
      <c r="OAS13" s="41"/>
      <c r="OAT13" s="41"/>
      <c r="OAU13" s="41"/>
      <c r="OAV13" s="41"/>
      <c r="OAW13" s="41"/>
      <c r="OAX13" s="41"/>
      <c r="OAY13" s="41"/>
      <c r="OAZ13" s="41"/>
      <c r="OBA13" s="41"/>
      <c r="OBB13" s="41"/>
      <c r="OBC13" s="41"/>
      <c r="OBD13" s="41"/>
      <c r="OBE13" s="41"/>
      <c r="OBF13" s="41"/>
      <c r="OBG13" s="41"/>
      <c r="OBH13" s="41"/>
      <c r="OBI13" s="41"/>
      <c r="OBJ13" s="41"/>
      <c r="OBK13" s="41"/>
      <c r="OBL13" s="41"/>
      <c r="OBM13" s="41"/>
      <c r="OBN13" s="41"/>
      <c r="OBO13" s="41"/>
      <c r="OBP13" s="41"/>
      <c r="OBQ13" s="41"/>
      <c r="OBR13" s="41"/>
      <c r="OBS13" s="41"/>
      <c r="OBT13" s="41"/>
      <c r="OBU13" s="41"/>
      <c r="OBV13" s="41"/>
      <c r="OBW13" s="41"/>
      <c r="OBX13" s="41"/>
      <c r="OBY13" s="41"/>
      <c r="OBZ13" s="41"/>
      <c r="OCA13" s="41"/>
      <c r="OCB13" s="41"/>
      <c r="OCC13" s="41"/>
      <c r="OCD13" s="41"/>
      <c r="OCE13" s="41"/>
      <c r="OCF13" s="41"/>
      <c r="OCG13" s="41"/>
      <c r="OCH13" s="41"/>
      <c r="OCI13" s="41"/>
      <c r="OCJ13" s="41"/>
      <c r="OCK13" s="41"/>
      <c r="OCL13" s="41"/>
      <c r="OCM13" s="41"/>
      <c r="OCN13" s="41"/>
      <c r="OCO13" s="41"/>
      <c r="OCP13" s="41"/>
      <c r="OCQ13" s="41"/>
      <c r="OCR13" s="41"/>
      <c r="OCS13" s="41"/>
      <c r="OCT13" s="41"/>
      <c r="OCU13" s="41"/>
      <c r="OCV13" s="41"/>
      <c r="OCW13" s="41"/>
      <c r="OCX13" s="41"/>
      <c r="OCY13" s="41"/>
      <c r="OCZ13" s="41"/>
      <c r="ODA13" s="41"/>
      <c r="ODB13" s="41"/>
      <c r="ODC13" s="41"/>
      <c r="ODD13" s="41"/>
      <c r="ODE13" s="41"/>
      <c r="ODF13" s="41"/>
      <c r="ODG13" s="41"/>
      <c r="ODH13" s="41"/>
      <c r="ODI13" s="41"/>
      <c r="ODJ13" s="41"/>
      <c r="ODK13" s="41"/>
      <c r="ODL13" s="41"/>
      <c r="ODM13" s="41"/>
      <c r="ODN13" s="41"/>
      <c r="ODO13" s="41"/>
      <c r="ODP13" s="41"/>
      <c r="ODQ13" s="41"/>
      <c r="ODR13" s="41"/>
      <c r="ODS13" s="41"/>
      <c r="ODT13" s="41"/>
      <c r="ODU13" s="41"/>
      <c r="ODV13" s="41"/>
      <c r="ODW13" s="41"/>
      <c r="ODX13" s="41"/>
      <c r="ODY13" s="41"/>
      <c r="ODZ13" s="41"/>
      <c r="OEA13" s="41"/>
      <c r="OEB13" s="41"/>
      <c r="OEC13" s="41"/>
      <c r="OED13" s="41"/>
      <c r="OEE13" s="41"/>
      <c r="OEF13" s="41"/>
      <c r="OEG13" s="41"/>
      <c r="OEH13" s="41"/>
      <c r="OEI13" s="41"/>
      <c r="OEJ13" s="41"/>
      <c r="OEK13" s="41"/>
      <c r="OEL13" s="41"/>
      <c r="OEM13" s="41"/>
      <c r="OEN13" s="41"/>
      <c r="OEO13" s="41"/>
      <c r="OEP13" s="41"/>
      <c r="OEQ13" s="41"/>
      <c r="OER13" s="41"/>
      <c r="OES13" s="41"/>
      <c r="OET13" s="41"/>
      <c r="OEU13" s="41"/>
      <c r="OEV13" s="41"/>
      <c r="OEW13" s="41"/>
      <c r="OEX13" s="41"/>
      <c r="OEY13" s="41"/>
      <c r="OEZ13" s="41"/>
      <c r="OFA13" s="41"/>
      <c r="OFB13" s="41"/>
      <c r="OFC13" s="41"/>
      <c r="OFD13" s="41"/>
      <c r="OFE13" s="41"/>
      <c r="OFF13" s="41"/>
      <c r="OFG13" s="41"/>
      <c r="OFH13" s="41"/>
      <c r="OFI13" s="41"/>
      <c r="OFJ13" s="41"/>
      <c r="OFK13" s="41"/>
      <c r="OFL13" s="41"/>
      <c r="OFM13" s="41"/>
      <c r="OFN13" s="41"/>
      <c r="OFO13" s="41"/>
      <c r="OFP13" s="41"/>
      <c r="OFQ13" s="41"/>
      <c r="OFR13" s="41"/>
      <c r="OFS13" s="41"/>
      <c r="OFT13" s="41"/>
      <c r="OFU13" s="41"/>
      <c r="OFV13" s="41"/>
      <c r="OFW13" s="41"/>
      <c r="OFX13" s="41"/>
      <c r="OFY13" s="41"/>
      <c r="OFZ13" s="41"/>
      <c r="OGA13" s="41"/>
      <c r="OGB13" s="41"/>
      <c r="OGC13" s="41"/>
      <c r="OGD13" s="41"/>
      <c r="OGE13" s="41"/>
      <c r="OGF13" s="41"/>
      <c r="OGG13" s="41"/>
      <c r="OGH13" s="41"/>
      <c r="OGI13" s="41"/>
      <c r="OGJ13" s="41"/>
      <c r="OGK13" s="41"/>
      <c r="OGL13" s="41"/>
      <c r="OGM13" s="41"/>
      <c r="OGN13" s="41"/>
      <c r="OGO13" s="41"/>
      <c r="OGP13" s="41"/>
      <c r="OGQ13" s="41"/>
      <c r="OGR13" s="41"/>
      <c r="OGS13" s="41"/>
      <c r="OGT13" s="41"/>
      <c r="OGU13" s="41"/>
      <c r="OGV13" s="41"/>
      <c r="OGW13" s="41"/>
      <c r="OGX13" s="41"/>
      <c r="OGY13" s="41"/>
      <c r="OGZ13" s="41"/>
      <c r="OHA13" s="41"/>
      <c r="OHB13" s="41"/>
      <c r="OHC13" s="41"/>
      <c r="OHD13" s="41"/>
      <c r="OHE13" s="41"/>
      <c r="OHF13" s="41"/>
      <c r="OHG13" s="41"/>
      <c r="OHH13" s="41"/>
      <c r="OHI13" s="41"/>
      <c r="OHJ13" s="41"/>
      <c r="OHK13" s="41"/>
      <c r="OHL13" s="41"/>
      <c r="OHM13" s="41"/>
      <c r="OHN13" s="41"/>
      <c r="OHO13" s="41"/>
      <c r="OHP13" s="41"/>
      <c r="OHQ13" s="41"/>
      <c r="OHR13" s="41"/>
      <c r="OHS13" s="41"/>
      <c r="OHT13" s="41"/>
      <c r="OHU13" s="41"/>
      <c r="OHV13" s="41"/>
      <c r="OHW13" s="41"/>
      <c r="OHX13" s="41"/>
      <c r="OHY13" s="41"/>
      <c r="OHZ13" s="41"/>
      <c r="OIA13" s="41"/>
      <c r="OIB13" s="41"/>
      <c r="OIC13" s="41"/>
      <c r="OID13" s="41"/>
      <c r="OIE13" s="41"/>
      <c r="OIF13" s="41"/>
      <c r="OIG13" s="41"/>
      <c r="OIH13" s="41"/>
      <c r="OII13" s="41"/>
      <c r="OIJ13" s="41"/>
      <c r="OIK13" s="41"/>
      <c r="OIL13" s="41"/>
      <c r="OIM13" s="41"/>
      <c r="OIN13" s="41"/>
      <c r="OIO13" s="41"/>
      <c r="OIP13" s="41"/>
      <c r="OIQ13" s="41"/>
      <c r="OIR13" s="41"/>
      <c r="OIS13" s="41"/>
      <c r="OIT13" s="41"/>
      <c r="OIU13" s="41"/>
      <c r="OIV13" s="41"/>
      <c r="OIW13" s="41"/>
      <c r="OIX13" s="41"/>
      <c r="OIY13" s="41"/>
      <c r="OIZ13" s="41"/>
      <c r="OJA13" s="41"/>
      <c r="OJB13" s="41"/>
      <c r="OJC13" s="41"/>
      <c r="OJD13" s="41"/>
      <c r="OJE13" s="41"/>
      <c r="OJF13" s="41"/>
      <c r="OJG13" s="41"/>
      <c r="OJH13" s="41"/>
      <c r="OJI13" s="41"/>
      <c r="OJJ13" s="41"/>
      <c r="OJK13" s="41"/>
      <c r="OJL13" s="41"/>
      <c r="OJM13" s="41"/>
      <c r="OJN13" s="41"/>
      <c r="OJO13" s="41"/>
      <c r="OJP13" s="41"/>
      <c r="OJQ13" s="41"/>
      <c r="OJR13" s="41"/>
      <c r="OJS13" s="41"/>
      <c r="OJT13" s="41"/>
      <c r="OJU13" s="41"/>
      <c r="OJV13" s="41"/>
      <c r="OJW13" s="41"/>
      <c r="OJX13" s="41"/>
      <c r="OJY13" s="41"/>
      <c r="OJZ13" s="41"/>
      <c r="OKA13" s="41"/>
      <c r="OKB13" s="41"/>
      <c r="OKC13" s="41"/>
      <c r="OKD13" s="41"/>
      <c r="OKE13" s="41"/>
      <c r="OKF13" s="41"/>
      <c r="OKG13" s="41"/>
      <c r="OKH13" s="41"/>
      <c r="OKI13" s="41"/>
      <c r="OKJ13" s="41"/>
      <c r="OKK13" s="41"/>
      <c r="OKL13" s="41"/>
      <c r="OKM13" s="41"/>
      <c r="OKN13" s="41"/>
      <c r="OKO13" s="41"/>
      <c r="OKP13" s="41"/>
      <c r="OKQ13" s="41"/>
      <c r="OKR13" s="41"/>
      <c r="OKS13" s="41"/>
      <c r="OKT13" s="41"/>
      <c r="OKU13" s="41"/>
      <c r="OKV13" s="41"/>
      <c r="OKW13" s="41"/>
      <c r="OKX13" s="41"/>
      <c r="OKY13" s="41"/>
      <c r="OKZ13" s="41"/>
      <c r="OLA13" s="41"/>
      <c r="OLB13" s="41"/>
      <c r="OLC13" s="41"/>
      <c r="OLD13" s="41"/>
      <c r="OLE13" s="41"/>
      <c r="OLF13" s="41"/>
      <c r="OLG13" s="41"/>
      <c r="OLH13" s="41"/>
      <c r="OLI13" s="41"/>
      <c r="OLJ13" s="41"/>
      <c r="OLK13" s="41"/>
      <c r="OLL13" s="41"/>
      <c r="OLM13" s="41"/>
      <c r="OLN13" s="41"/>
      <c r="OLO13" s="41"/>
      <c r="OLP13" s="41"/>
      <c r="OLQ13" s="41"/>
      <c r="OLR13" s="41"/>
      <c r="OLS13" s="41"/>
      <c r="OLT13" s="41"/>
      <c r="OLU13" s="41"/>
      <c r="OLV13" s="41"/>
      <c r="OLW13" s="41"/>
      <c r="OLX13" s="41"/>
      <c r="OLY13" s="41"/>
      <c r="OLZ13" s="41"/>
      <c r="OMA13" s="41"/>
      <c r="OMB13" s="41"/>
      <c r="OMC13" s="41"/>
      <c r="OMD13" s="41"/>
      <c r="OME13" s="41"/>
      <c r="OMF13" s="41"/>
      <c r="OMG13" s="41"/>
      <c r="OMH13" s="41"/>
      <c r="OMI13" s="41"/>
      <c r="OMJ13" s="41"/>
      <c r="OMK13" s="41"/>
      <c r="OML13" s="41"/>
      <c r="OMM13" s="41"/>
      <c r="OMN13" s="41"/>
      <c r="OMO13" s="41"/>
      <c r="OMP13" s="41"/>
      <c r="OMQ13" s="41"/>
      <c r="OMR13" s="41"/>
      <c r="OMS13" s="41"/>
      <c r="OMT13" s="41"/>
      <c r="OMU13" s="41"/>
      <c r="OMV13" s="41"/>
      <c r="OMW13" s="41"/>
      <c r="OMX13" s="41"/>
      <c r="OMY13" s="41"/>
      <c r="OMZ13" s="41"/>
      <c r="ONA13" s="41"/>
      <c r="ONB13" s="41"/>
      <c r="ONC13" s="41"/>
      <c r="OND13" s="41"/>
      <c r="ONE13" s="41"/>
      <c r="ONF13" s="41"/>
      <c r="ONG13" s="41"/>
      <c r="ONH13" s="41"/>
      <c r="ONI13" s="41"/>
      <c r="ONJ13" s="41"/>
      <c r="ONK13" s="41"/>
      <c r="ONL13" s="41"/>
      <c r="ONM13" s="41"/>
      <c r="ONN13" s="41"/>
      <c r="ONO13" s="41"/>
      <c r="ONP13" s="41"/>
      <c r="ONQ13" s="41"/>
      <c r="ONR13" s="41"/>
      <c r="ONS13" s="41"/>
      <c r="ONT13" s="41"/>
      <c r="ONU13" s="41"/>
      <c r="ONV13" s="41"/>
      <c r="ONW13" s="41"/>
      <c r="ONX13" s="41"/>
      <c r="ONY13" s="41"/>
      <c r="ONZ13" s="41"/>
      <c r="OOA13" s="41"/>
      <c r="OOB13" s="41"/>
      <c r="OOC13" s="41"/>
      <c r="OOD13" s="41"/>
      <c r="OOE13" s="41"/>
      <c r="OOF13" s="41"/>
      <c r="OOG13" s="41"/>
      <c r="OOH13" s="41"/>
      <c r="OOI13" s="41"/>
      <c r="OOJ13" s="41"/>
      <c r="OOK13" s="41"/>
      <c r="OOL13" s="41"/>
      <c r="OOM13" s="41"/>
      <c r="OON13" s="41"/>
      <c r="OOO13" s="41"/>
      <c r="OOP13" s="41"/>
      <c r="OOQ13" s="41"/>
      <c r="OOR13" s="41"/>
      <c r="OOS13" s="41"/>
      <c r="OOT13" s="41"/>
      <c r="OOU13" s="41"/>
      <c r="OOV13" s="41"/>
      <c r="OOW13" s="41"/>
      <c r="OOX13" s="41"/>
      <c r="OOY13" s="41"/>
      <c r="OOZ13" s="41"/>
      <c r="OPA13" s="41"/>
      <c r="OPB13" s="41"/>
      <c r="OPC13" s="41"/>
      <c r="OPD13" s="41"/>
      <c r="OPE13" s="41"/>
      <c r="OPF13" s="41"/>
      <c r="OPG13" s="41"/>
      <c r="OPH13" s="41"/>
      <c r="OPI13" s="41"/>
      <c r="OPJ13" s="41"/>
      <c r="OPK13" s="41"/>
      <c r="OPL13" s="41"/>
      <c r="OPM13" s="41"/>
      <c r="OPN13" s="41"/>
      <c r="OPO13" s="41"/>
      <c r="OPP13" s="41"/>
      <c r="OPQ13" s="41"/>
      <c r="OPR13" s="41"/>
      <c r="OPS13" s="41"/>
      <c r="OPT13" s="41"/>
      <c r="OPU13" s="41"/>
      <c r="OPV13" s="41"/>
      <c r="OPW13" s="41"/>
      <c r="OPX13" s="41"/>
      <c r="OPY13" s="41"/>
      <c r="OPZ13" s="41"/>
      <c r="OQA13" s="41"/>
      <c r="OQB13" s="41"/>
      <c r="OQC13" s="41"/>
      <c r="OQD13" s="41"/>
      <c r="OQE13" s="41"/>
      <c r="OQF13" s="41"/>
      <c r="OQG13" s="41"/>
      <c r="OQH13" s="41"/>
      <c r="OQI13" s="41"/>
      <c r="OQJ13" s="41"/>
      <c r="OQK13" s="41"/>
      <c r="OQL13" s="41"/>
      <c r="OQM13" s="41"/>
      <c r="OQN13" s="41"/>
      <c r="OQO13" s="41"/>
      <c r="OQP13" s="41"/>
      <c r="OQQ13" s="41"/>
      <c r="OQR13" s="41"/>
      <c r="OQS13" s="41"/>
      <c r="OQT13" s="41"/>
      <c r="OQU13" s="41"/>
      <c r="OQV13" s="41"/>
      <c r="OQW13" s="41"/>
      <c r="OQX13" s="41"/>
      <c r="OQY13" s="41"/>
      <c r="OQZ13" s="41"/>
      <c r="ORA13" s="41"/>
      <c r="ORB13" s="41"/>
      <c r="ORC13" s="41"/>
      <c r="ORD13" s="41"/>
      <c r="ORE13" s="41"/>
      <c r="ORF13" s="41"/>
      <c r="ORG13" s="41"/>
      <c r="ORH13" s="41"/>
      <c r="ORI13" s="41"/>
      <c r="ORJ13" s="41"/>
      <c r="ORK13" s="41"/>
      <c r="ORL13" s="41"/>
      <c r="ORM13" s="41"/>
      <c r="ORN13" s="41"/>
      <c r="ORO13" s="41"/>
      <c r="ORP13" s="41"/>
      <c r="ORQ13" s="41"/>
      <c r="ORR13" s="41"/>
      <c r="ORS13" s="41"/>
      <c r="ORT13" s="41"/>
      <c r="ORU13" s="41"/>
      <c r="ORV13" s="41"/>
      <c r="ORW13" s="41"/>
      <c r="ORX13" s="41"/>
      <c r="ORY13" s="41"/>
      <c r="ORZ13" s="41"/>
      <c r="OSA13" s="41"/>
      <c r="OSB13" s="41"/>
      <c r="OSC13" s="41"/>
      <c r="OSD13" s="41"/>
      <c r="OSE13" s="41"/>
      <c r="OSF13" s="41"/>
      <c r="OSG13" s="41"/>
      <c r="OSH13" s="41"/>
      <c r="OSI13" s="41"/>
      <c r="OSJ13" s="41"/>
      <c r="OSK13" s="41"/>
      <c r="OSL13" s="41"/>
      <c r="OSM13" s="41"/>
      <c r="OSN13" s="41"/>
      <c r="OSO13" s="41"/>
      <c r="OSP13" s="41"/>
      <c r="OSQ13" s="41"/>
      <c r="OSR13" s="41"/>
      <c r="OSS13" s="41"/>
      <c r="OST13" s="41"/>
      <c r="OSU13" s="41"/>
      <c r="OSV13" s="41"/>
      <c r="OSW13" s="41"/>
      <c r="OSX13" s="41"/>
      <c r="OSY13" s="41"/>
      <c r="OSZ13" s="41"/>
      <c r="OTA13" s="41"/>
      <c r="OTB13" s="41"/>
      <c r="OTC13" s="41"/>
      <c r="OTD13" s="41"/>
      <c r="OTE13" s="41"/>
      <c r="OTF13" s="41"/>
      <c r="OTG13" s="41"/>
      <c r="OTH13" s="41"/>
      <c r="OTI13" s="41"/>
      <c r="OTJ13" s="41"/>
      <c r="OTK13" s="41"/>
      <c r="OTL13" s="41"/>
      <c r="OTM13" s="41"/>
      <c r="OTN13" s="41"/>
      <c r="OTO13" s="41"/>
      <c r="OTP13" s="41"/>
      <c r="OTQ13" s="41"/>
      <c r="OTR13" s="41"/>
      <c r="OTS13" s="41"/>
      <c r="OTT13" s="41"/>
      <c r="OTU13" s="41"/>
      <c r="OTV13" s="41"/>
      <c r="OTW13" s="41"/>
      <c r="OTX13" s="41"/>
      <c r="OTY13" s="41"/>
      <c r="OTZ13" s="41"/>
      <c r="OUA13" s="41"/>
      <c r="OUB13" s="41"/>
      <c r="OUC13" s="41"/>
      <c r="OUD13" s="41"/>
      <c r="OUE13" s="41"/>
      <c r="OUF13" s="41"/>
      <c r="OUG13" s="41"/>
      <c r="OUH13" s="41"/>
      <c r="OUI13" s="41"/>
      <c r="OUJ13" s="41"/>
      <c r="OUK13" s="41"/>
      <c r="OUL13" s="41"/>
      <c r="OUM13" s="41"/>
      <c r="OUN13" s="41"/>
      <c r="OUO13" s="41"/>
      <c r="OUP13" s="41"/>
      <c r="OUQ13" s="41"/>
      <c r="OUR13" s="41"/>
      <c r="OUS13" s="41"/>
      <c r="OUT13" s="41"/>
      <c r="OUU13" s="41"/>
      <c r="OUV13" s="41"/>
      <c r="OUW13" s="41"/>
      <c r="OUX13" s="41"/>
      <c r="OUY13" s="41"/>
      <c r="OUZ13" s="41"/>
      <c r="OVA13" s="41"/>
      <c r="OVB13" s="41"/>
      <c r="OVC13" s="41"/>
      <c r="OVD13" s="41"/>
      <c r="OVE13" s="41"/>
      <c r="OVF13" s="41"/>
      <c r="OVG13" s="41"/>
      <c r="OVH13" s="41"/>
      <c r="OVI13" s="41"/>
      <c r="OVJ13" s="41"/>
      <c r="OVK13" s="41"/>
      <c r="OVL13" s="41"/>
      <c r="OVM13" s="41"/>
      <c r="OVN13" s="41"/>
      <c r="OVO13" s="41"/>
      <c r="OVP13" s="41"/>
      <c r="OVQ13" s="41"/>
      <c r="OVR13" s="41"/>
      <c r="OVS13" s="41"/>
      <c r="OVT13" s="41"/>
      <c r="OVU13" s="41"/>
      <c r="OVV13" s="41"/>
      <c r="OVW13" s="41"/>
      <c r="OVX13" s="41"/>
      <c r="OVY13" s="41"/>
      <c r="OVZ13" s="41"/>
      <c r="OWA13" s="41"/>
      <c r="OWB13" s="41"/>
      <c r="OWC13" s="41"/>
      <c r="OWD13" s="41"/>
      <c r="OWE13" s="41"/>
      <c r="OWF13" s="41"/>
      <c r="OWG13" s="41"/>
      <c r="OWH13" s="41"/>
      <c r="OWI13" s="41"/>
      <c r="OWJ13" s="41"/>
      <c r="OWK13" s="41"/>
      <c r="OWL13" s="41"/>
      <c r="OWM13" s="41"/>
      <c r="OWN13" s="41"/>
      <c r="OWO13" s="41"/>
      <c r="OWP13" s="41"/>
      <c r="OWQ13" s="41"/>
      <c r="OWR13" s="41"/>
      <c r="OWS13" s="41"/>
      <c r="OWT13" s="41"/>
      <c r="OWU13" s="41"/>
      <c r="OWV13" s="41"/>
      <c r="OWW13" s="41"/>
      <c r="OWX13" s="41"/>
      <c r="OWY13" s="41"/>
      <c r="OWZ13" s="41"/>
      <c r="OXA13" s="41"/>
      <c r="OXB13" s="41"/>
      <c r="OXC13" s="41"/>
      <c r="OXD13" s="41"/>
      <c r="OXE13" s="41"/>
      <c r="OXF13" s="41"/>
      <c r="OXG13" s="41"/>
      <c r="OXH13" s="41"/>
      <c r="OXI13" s="41"/>
      <c r="OXJ13" s="41"/>
      <c r="OXK13" s="41"/>
      <c r="OXL13" s="41"/>
      <c r="OXM13" s="41"/>
      <c r="OXN13" s="41"/>
      <c r="OXO13" s="41"/>
      <c r="OXP13" s="41"/>
      <c r="OXQ13" s="41"/>
      <c r="OXR13" s="41"/>
      <c r="OXS13" s="41"/>
      <c r="OXT13" s="41"/>
      <c r="OXU13" s="41"/>
      <c r="OXV13" s="41"/>
      <c r="OXW13" s="41"/>
      <c r="OXX13" s="41"/>
      <c r="OXY13" s="41"/>
      <c r="OXZ13" s="41"/>
      <c r="OYA13" s="41"/>
      <c r="OYB13" s="41"/>
      <c r="OYC13" s="41"/>
      <c r="OYD13" s="41"/>
      <c r="OYE13" s="41"/>
      <c r="OYF13" s="41"/>
      <c r="OYG13" s="41"/>
      <c r="OYH13" s="41"/>
      <c r="OYI13" s="41"/>
      <c r="OYJ13" s="41"/>
      <c r="OYK13" s="41"/>
      <c r="OYL13" s="41"/>
      <c r="OYM13" s="41"/>
      <c r="OYN13" s="41"/>
      <c r="OYO13" s="41"/>
      <c r="OYP13" s="41"/>
      <c r="OYQ13" s="41"/>
      <c r="OYR13" s="41"/>
      <c r="OYS13" s="41"/>
      <c r="OYT13" s="41"/>
      <c r="OYU13" s="41"/>
      <c r="OYV13" s="41"/>
      <c r="OYW13" s="41"/>
      <c r="OYX13" s="41"/>
      <c r="OYY13" s="41"/>
      <c r="OYZ13" s="41"/>
      <c r="OZA13" s="41"/>
      <c r="OZB13" s="41"/>
      <c r="OZC13" s="41"/>
      <c r="OZD13" s="41"/>
      <c r="OZE13" s="41"/>
      <c r="OZF13" s="41"/>
      <c r="OZG13" s="41"/>
      <c r="OZH13" s="41"/>
      <c r="OZI13" s="41"/>
      <c r="OZJ13" s="41"/>
      <c r="OZK13" s="41"/>
      <c r="OZL13" s="41"/>
      <c r="OZM13" s="41"/>
      <c r="OZN13" s="41"/>
      <c r="OZO13" s="41"/>
      <c r="OZP13" s="41"/>
      <c r="OZQ13" s="41"/>
      <c r="OZR13" s="41"/>
      <c r="OZS13" s="41"/>
      <c r="OZT13" s="41"/>
      <c r="OZU13" s="41"/>
      <c r="OZV13" s="41"/>
      <c r="OZW13" s="41"/>
      <c r="OZX13" s="41"/>
      <c r="OZY13" s="41"/>
      <c r="OZZ13" s="41"/>
      <c r="PAA13" s="41"/>
      <c r="PAB13" s="41"/>
      <c r="PAC13" s="41"/>
      <c r="PAD13" s="41"/>
      <c r="PAE13" s="41"/>
      <c r="PAF13" s="41"/>
      <c r="PAG13" s="41"/>
      <c r="PAH13" s="41"/>
      <c r="PAI13" s="41"/>
      <c r="PAJ13" s="41"/>
      <c r="PAK13" s="41"/>
      <c r="PAL13" s="41"/>
      <c r="PAM13" s="41"/>
      <c r="PAN13" s="41"/>
      <c r="PAO13" s="41"/>
      <c r="PAP13" s="41"/>
      <c r="PAQ13" s="41"/>
      <c r="PAR13" s="41"/>
      <c r="PAS13" s="41"/>
      <c r="PAT13" s="41"/>
      <c r="PAU13" s="41"/>
      <c r="PAV13" s="41"/>
      <c r="PAW13" s="41"/>
      <c r="PAX13" s="41"/>
      <c r="PAY13" s="41"/>
      <c r="PAZ13" s="41"/>
      <c r="PBA13" s="41"/>
      <c r="PBB13" s="41"/>
      <c r="PBC13" s="41"/>
      <c r="PBD13" s="41"/>
      <c r="PBE13" s="41"/>
      <c r="PBF13" s="41"/>
      <c r="PBG13" s="41"/>
      <c r="PBH13" s="41"/>
      <c r="PBI13" s="41"/>
      <c r="PBJ13" s="41"/>
      <c r="PBK13" s="41"/>
      <c r="PBL13" s="41"/>
      <c r="PBM13" s="41"/>
      <c r="PBN13" s="41"/>
      <c r="PBO13" s="41"/>
      <c r="PBP13" s="41"/>
      <c r="PBQ13" s="41"/>
      <c r="PBR13" s="41"/>
      <c r="PBS13" s="41"/>
      <c r="PBT13" s="41"/>
      <c r="PBU13" s="41"/>
      <c r="PBV13" s="41"/>
      <c r="PBW13" s="41"/>
      <c r="PBX13" s="41"/>
      <c r="PBY13" s="41"/>
      <c r="PBZ13" s="41"/>
      <c r="PCA13" s="41"/>
      <c r="PCB13" s="41"/>
      <c r="PCC13" s="41"/>
      <c r="PCD13" s="41"/>
      <c r="PCE13" s="41"/>
      <c r="PCF13" s="41"/>
      <c r="PCG13" s="41"/>
      <c r="PCH13" s="41"/>
      <c r="PCI13" s="41"/>
      <c r="PCJ13" s="41"/>
      <c r="PCK13" s="41"/>
      <c r="PCL13" s="41"/>
      <c r="PCM13" s="41"/>
      <c r="PCN13" s="41"/>
      <c r="PCO13" s="41"/>
      <c r="PCP13" s="41"/>
      <c r="PCQ13" s="41"/>
      <c r="PCR13" s="41"/>
      <c r="PCS13" s="41"/>
      <c r="PCT13" s="41"/>
      <c r="PCU13" s="41"/>
      <c r="PCV13" s="41"/>
      <c r="PCW13" s="41"/>
      <c r="PCX13" s="41"/>
      <c r="PCY13" s="41"/>
      <c r="PCZ13" s="41"/>
      <c r="PDA13" s="41"/>
      <c r="PDB13" s="41"/>
      <c r="PDC13" s="41"/>
      <c r="PDD13" s="41"/>
      <c r="PDE13" s="41"/>
      <c r="PDF13" s="41"/>
      <c r="PDG13" s="41"/>
      <c r="PDH13" s="41"/>
      <c r="PDI13" s="41"/>
      <c r="PDJ13" s="41"/>
      <c r="PDK13" s="41"/>
      <c r="PDL13" s="41"/>
      <c r="PDM13" s="41"/>
      <c r="PDN13" s="41"/>
      <c r="PDO13" s="41"/>
      <c r="PDP13" s="41"/>
      <c r="PDQ13" s="41"/>
      <c r="PDR13" s="41"/>
      <c r="PDS13" s="41"/>
      <c r="PDT13" s="41"/>
      <c r="PDU13" s="41"/>
      <c r="PDV13" s="41"/>
      <c r="PDW13" s="41"/>
      <c r="PDX13" s="41"/>
      <c r="PDY13" s="41"/>
      <c r="PDZ13" s="41"/>
      <c r="PEA13" s="41"/>
      <c r="PEB13" s="41"/>
      <c r="PEC13" s="41"/>
      <c r="PED13" s="41"/>
      <c r="PEE13" s="41"/>
      <c r="PEF13" s="41"/>
      <c r="PEG13" s="41"/>
      <c r="PEH13" s="41"/>
      <c r="PEI13" s="41"/>
      <c r="PEJ13" s="41"/>
      <c r="PEK13" s="41"/>
      <c r="PEL13" s="41"/>
      <c r="PEM13" s="41"/>
      <c r="PEN13" s="41"/>
      <c r="PEO13" s="41"/>
      <c r="PEP13" s="41"/>
      <c r="PEQ13" s="41"/>
      <c r="PER13" s="41"/>
      <c r="PES13" s="41"/>
      <c r="PET13" s="41"/>
      <c r="PEU13" s="41"/>
      <c r="PEV13" s="41"/>
      <c r="PEW13" s="41"/>
      <c r="PEX13" s="41"/>
      <c r="PEY13" s="41"/>
      <c r="PEZ13" s="41"/>
      <c r="PFA13" s="41"/>
      <c r="PFB13" s="41"/>
      <c r="PFC13" s="41"/>
      <c r="PFD13" s="41"/>
      <c r="PFE13" s="41"/>
      <c r="PFF13" s="41"/>
      <c r="PFG13" s="41"/>
      <c r="PFH13" s="41"/>
      <c r="PFI13" s="41"/>
      <c r="PFJ13" s="41"/>
      <c r="PFK13" s="41"/>
      <c r="PFL13" s="41"/>
      <c r="PFM13" s="41"/>
      <c r="PFN13" s="41"/>
      <c r="PFO13" s="41"/>
      <c r="PFP13" s="41"/>
      <c r="PFQ13" s="41"/>
      <c r="PFR13" s="41"/>
      <c r="PFS13" s="41"/>
      <c r="PFT13" s="41"/>
      <c r="PFU13" s="41"/>
      <c r="PFV13" s="41"/>
      <c r="PFW13" s="41"/>
      <c r="PFX13" s="41"/>
      <c r="PFY13" s="41"/>
      <c r="PFZ13" s="41"/>
      <c r="PGA13" s="41"/>
      <c r="PGB13" s="41"/>
      <c r="PGC13" s="41"/>
      <c r="PGD13" s="41"/>
      <c r="PGE13" s="41"/>
      <c r="PGF13" s="41"/>
      <c r="PGG13" s="41"/>
      <c r="PGH13" s="41"/>
      <c r="PGI13" s="41"/>
      <c r="PGJ13" s="41"/>
      <c r="PGK13" s="41"/>
      <c r="PGL13" s="41"/>
      <c r="PGM13" s="41"/>
      <c r="PGN13" s="41"/>
      <c r="PGO13" s="41"/>
      <c r="PGP13" s="41"/>
      <c r="PGQ13" s="41"/>
      <c r="PGR13" s="41"/>
      <c r="PGS13" s="41"/>
      <c r="PGT13" s="41"/>
      <c r="PGU13" s="41"/>
      <c r="PGV13" s="41"/>
      <c r="PGW13" s="41"/>
      <c r="PGX13" s="41"/>
      <c r="PGY13" s="41"/>
      <c r="PGZ13" s="41"/>
      <c r="PHA13" s="41"/>
      <c r="PHB13" s="41"/>
      <c r="PHC13" s="41"/>
      <c r="PHD13" s="41"/>
      <c r="PHE13" s="41"/>
      <c r="PHF13" s="41"/>
      <c r="PHG13" s="41"/>
      <c r="PHH13" s="41"/>
      <c r="PHI13" s="41"/>
      <c r="PHJ13" s="41"/>
      <c r="PHK13" s="41"/>
      <c r="PHL13" s="41"/>
      <c r="PHM13" s="41"/>
      <c r="PHN13" s="41"/>
      <c r="PHO13" s="41"/>
      <c r="PHP13" s="41"/>
      <c r="PHQ13" s="41"/>
      <c r="PHR13" s="41"/>
      <c r="PHS13" s="41"/>
      <c r="PHT13" s="41"/>
      <c r="PHU13" s="41"/>
      <c r="PHV13" s="41"/>
      <c r="PHW13" s="41"/>
      <c r="PHX13" s="41"/>
      <c r="PHY13" s="41"/>
      <c r="PHZ13" s="41"/>
      <c r="PIA13" s="41"/>
      <c r="PIB13" s="41"/>
      <c r="PIC13" s="41"/>
      <c r="PID13" s="41"/>
      <c r="PIE13" s="41"/>
      <c r="PIF13" s="41"/>
      <c r="PIG13" s="41"/>
      <c r="PIH13" s="41"/>
      <c r="PII13" s="41"/>
      <c r="PIJ13" s="41"/>
      <c r="PIK13" s="41"/>
      <c r="PIL13" s="41"/>
      <c r="PIM13" s="41"/>
      <c r="PIN13" s="41"/>
      <c r="PIO13" s="41"/>
      <c r="PIP13" s="41"/>
      <c r="PIQ13" s="41"/>
      <c r="PIR13" s="41"/>
      <c r="PIS13" s="41"/>
      <c r="PIT13" s="41"/>
      <c r="PIU13" s="41"/>
      <c r="PIV13" s="41"/>
      <c r="PIW13" s="41"/>
      <c r="PIX13" s="41"/>
      <c r="PIY13" s="41"/>
      <c r="PIZ13" s="41"/>
      <c r="PJA13" s="41"/>
      <c r="PJB13" s="41"/>
      <c r="PJC13" s="41"/>
      <c r="PJD13" s="41"/>
      <c r="PJE13" s="41"/>
      <c r="PJF13" s="41"/>
      <c r="PJG13" s="41"/>
      <c r="PJH13" s="41"/>
      <c r="PJI13" s="41"/>
      <c r="PJJ13" s="41"/>
      <c r="PJK13" s="41"/>
      <c r="PJL13" s="41"/>
      <c r="PJM13" s="41"/>
      <c r="PJN13" s="41"/>
      <c r="PJO13" s="41"/>
      <c r="PJP13" s="41"/>
      <c r="PJQ13" s="41"/>
      <c r="PJR13" s="41"/>
      <c r="PJS13" s="41"/>
      <c r="PJT13" s="41"/>
      <c r="PJU13" s="41"/>
      <c r="PJV13" s="41"/>
      <c r="PJW13" s="41"/>
      <c r="PJX13" s="41"/>
      <c r="PJY13" s="41"/>
      <c r="PJZ13" s="41"/>
      <c r="PKA13" s="41"/>
      <c r="PKB13" s="41"/>
      <c r="PKC13" s="41"/>
      <c r="PKD13" s="41"/>
      <c r="PKE13" s="41"/>
      <c r="PKF13" s="41"/>
      <c r="PKG13" s="41"/>
      <c r="PKH13" s="41"/>
      <c r="PKI13" s="41"/>
      <c r="PKJ13" s="41"/>
      <c r="PKK13" s="41"/>
      <c r="PKL13" s="41"/>
      <c r="PKM13" s="41"/>
      <c r="PKN13" s="41"/>
      <c r="PKO13" s="41"/>
      <c r="PKP13" s="41"/>
      <c r="PKQ13" s="41"/>
      <c r="PKR13" s="41"/>
      <c r="PKS13" s="41"/>
      <c r="PKT13" s="41"/>
      <c r="PKU13" s="41"/>
      <c r="PKV13" s="41"/>
      <c r="PKW13" s="41"/>
      <c r="PKX13" s="41"/>
      <c r="PKY13" s="41"/>
      <c r="PKZ13" s="41"/>
      <c r="PLA13" s="41"/>
      <c r="PLB13" s="41"/>
      <c r="PLC13" s="41"/>
      <c r="PLD13" s="41"/>
      <c r="PLE13" s="41"/>
      <c r="PLF13" s="41"/>
      <c r="PLG13" s="41"/>
      <c r="PLH13" s="41"/>
      <c r="PLI13" s="41"/>
      <c r="PLJ13" s="41"/>
      <c r="PLK13" s="41"/>
      <c r="PLL13" s="41"/>
      <c r="PLM13" s="41"/>
      <c r="PLN13" s="41"/>
      <c r="PLO13" s="41"/>
      <c r="PLP13" s="41"/>
      <c r="PLQ13" s="41"/>
      <c r="PLR13" s="41"/>
      <c r="PLS13" s="41"/>
      <c r="PLT13" s="41"/>
      <c r="PLU13" s="41"/>
      <c r="PLV13" s="41"/>
      <c r="PLW13" s="41"/>
      <c r="PLX13" s="41"/>
      <c r="PLY13" s="41"/>
      <c r="PLZ13" s="41"/>
      <c r="PMA13" s="41"/>
      <c r="PMB13" s="41"/>
      <c r="PMC13" s="41"/>
      <c r="PMD13" s="41"/>
      <c r="PME13" s="41"/>
      <c r="PMF13" s="41"/>
      <c r="PMG13" s="41"/>
      <c r="PMH13" s="41"/>
      <c r="PMI13" s="41"/>
      <c r="PMJ13" s="41"/>
      <c r="PMK13" s="41"/>
      <c r="PML13" s="41"/>
      <c r="PMM13" s="41"/>
      <c r="PMN13" s="41"/>
      <c r="PMO13" s="41"/>
      <c r="PMP13" s="41"/>
      <c r="PMQ13" s="41"/>
      <c r="PMR13" s="41"/>
      <c r="PMS13" s="41"/>
      <c r="PMT13" s="41"/>
      <c r="PMU13" s="41"/>
      <c r="PMV13" s="41"/>
      <c r="PMW13" s="41"/>
      <c r="PMX13" s="41"/>
      <c r="PMY13" s="41"/>
      <c r="PMZ13" s="41"/>
      <c r="PNA13" s="41"/>
      <c r="PNB13" s="41"/>
      <c r="PNC13" s="41"/>
      <c r="PND13" s="41"/>
      <c r="PNE13" s="41"/>
      <c r="PNF13" s="41"/>
      <c r="PNG13" s="41"/>
      <c r="PNH13" s="41"/>
      <c r="PNI13" s="41"/>
      <c r="PNJ13" s="41"/>
      <c r="PNK13" s="41"/>
      <c r="PNL13" s="41"/>
      <c r="PNM13" s="41"/>
      <c r="PNN13" s="41"/>
      <c r="PNO13" s="41"/>
      <c r="PNP13" s="41"/>
      <c r="PNQ13" s="41"/>
      <c r="PNR13" s="41"/>
      <c r="PNS13" s="41"/>
      <c r="PNT13" s="41"/>
      <c r="PNU13" s="41"/>
      <c r="PNV13" s="41"/>
      <c r="PNW13" s="41"/>
      <c r="PNX13" s="41"/>
      <c r="PNY13" s="41"/>
      <c r="PNZ13" s="41"/>
      <c r="POA13" s="41"/>
      <c r="POB13" s="41"/>
      <c r="POC13" s="41"/>
      <c r="POD13" s="41"/>
      <c r="POE13" s="41"/>
      <c r="POF13" s="41"/>
      <c r="POG13" s="41"/>
      <c r="POH13" s="41"/>
      <c r="POI13" s="41"/>
      <c r="POJ13" s="41"/>
      <c r="POK13" s="41"/>
      <c r="POL13" s="41"/>
      <c r="POM13" s="41"/>
      <c r="PON13" s="41"/>
      <c r="POO13" s="41"/>
      <c r="POP13" s="41"/>
      <c r="POQ13" s="41"/>
      <c r="POR13" s="41"/>
      <c r="POS13" s="41"/>
      <c r="POT13" s="41"/>
      <c r="POU13" s="41"/>
      <c r="POV13" s="41"/>
      <c r="POW13" s="41"/>
      <c r="POX13" s="41"/>
      <c r="POY13" s="41"/>
      <c r="POZ13" s="41"/>
      <c r="PPA13" s="41"/>
      <c r="PPB13" s="41"/>
      <c r="PPC13" s="41"/>
      <c r="PPD13" s="41"/>
      <c r="PPE13" s="41"/>
      <c r="PPF13" s="41"/>
      <c r="PPG13" s="41"/>
      <c r="PPH13" s="41"/>
      <c r="PPI13" s="41"/>
      <c r="PPJ13" s="41"/>
      <c r="PPK13" s="41"/>
      <c r="PPL13" s="41"/>
      <c r="PPM13" s="41"/>
      <c r="PPN13" s="41"/>
      <c r="PPO13" s="41"/>
      <c r="PPP13" s="41"/>
      <c r="PPQ13" s="41"/>
      <c r="PPR13" s="41"/>
      <c r="PPS13" s="41"/>
      <c r="PPT13" s="41"/>
      <c r="PPU13" s="41"/>
      <c r="PPV13" s="41"/>
      <c r="PPW13" s="41"/>
      <c r="PPX13" s="41"/>
      <c r="PPY13" s="41"/>
      <c r="PPZ13" s="41"/>
      <c r="PQA13" s="41"/>
      <c r="PQB13" s="41"/>
      <c r="PQC13" s="41"/>
      <c r="PQD13" s="41"/>
      <c r="PQE13" s="41"/>
      <c r="PQF13" s="41"/>
      <c r="PQG13" s="41"/>
      <c r="PQH13" s="41"/>
      <c r="PQI13" s="41"/>
      <c r="PQJ13" s="41"/>
      <c r="PQK13" s="41"/>
      <c r="PQL13" s="41"/>
      <c r="PQM13" s="41"/>
      <c r="PQN13" s="41"/>
      <c r="PQO13" s="41"/>
      <c r="PQP13" s="41"/>
      <c r="PQQ13" s="41"/>
      <c r="PQR13" s="41"/>
      <c r="PQS13" s="41"/>
      <c r="PQT13" s="41"/>
      <c r="PQU13" s="41"/>
      <c r="PQV13" s="41"/>
      <c r="PQW13" s="41"/>
      <c r="PQX13" s="41"/>
      <c r="PQY13" s="41"/>
      <c r="PQZ13" s="41"/>
      <c r="PRA13" s="41"/>
      <c r="PRB13" s="41"/>
      <c r="PRC13" s="41"/>
      <c r="PRD13" s="41"/>
      <c r="PRE13" s="41"/>
      <c r="PRF13" s="41"/>
      <c r="PRG13" s="41"/>
      <c r="PRH13" s="41"/>
      <c r="PRI13" s="41"/>
      <c r="PRJ13" s="41"/>
      <c r="PRK13" s="41"/>
      <c r="PRL13" s="41"/>
      <c r="PRM13" s="41"/>
      <c r="PRN13" s="41"/>
      <c r="PRO13" s="41"/>
      <c r="PRP13" s="41"/>
      <c r="PRQ13" s="41"/>
      <c r="PRR13" s="41"/>
      <c r="PRS13" s="41"/>
      <c r="PRT13" s="41"/>
      <c r="PRU13" s="41"/>
      <c r="PRV13" s="41"/>
      <c r="PRW13" s="41"/>
      <c r="PRX13" s="41"/>
      <c r="PRY13" s="41"/>
      <c r="PRZ13" s="41"/>
      <c r="PSA13" s="41"/>
      <c r="PSB13" s="41"/>
      <c r="PSC13" s="41"/>
      <c r="PSD13" s="41"/>
      <c r="PSE13" s="41"/>
      <c r="PSF13" s="41"/>
      <c r="PSG13" s="41"/>
      <c r="PSH13" s="41"/>
      <c r="PSI13" s="41"/>
      <c r="PSJ13" s="41"/>
      <c r="PSK13" s="41"/>
      <c r="PSL13" s="41"/>
      <c r="PSM13" s="41"/>
      <c r="PSN13" s="41"/>
      <c r="PSO13" s="41"/>
      <c r="PSP13" s="41"/>
      <c r="PSQ13" s="41"/>
      <c r="PSR13" s="41"/>
      <c r="PSS13" s="41"/>
      <c r="PST13" s="41"/>
      <c r="PSU13" s="41"/>
      <c r="PSV13" s="41"/>
      <c r="PSW13" s="41"/>
      <c r="PSX13" s="41"/>
      <c r="PSY13" s="41"/>
      <c r="PSZ13" s="41"/>
      <c r="PTA13" s="41"/>
      <c r="PTB13" s="41"/>
      <c r="PTC13" s="41"/>
      <c r="PTD13" s="41"/>
      <c r="PTE13" s="41"/>
      <c r="PTF13" s="41"/>
      <c r="PTG13" s="41"/>
      <c r="PTH13" s="41"/>
      <c r="PTI13" s="41"/>
      <c r="PTJ13" s="41"/>
      <c r="PTK13" s="41"/>
      <c r="PTL13" s="41"/>
      <c r="PTM13" s="41"/>
      <c r="PTN13" s="41"/>
      <c r="PTO13" s="41"/>
      <c r="PTP13" s="41"/>
      <c r="PTQ13" s="41"/>
      <c r="PTR13" s="41"/>
      <c r="PTS13" s="41"/>
      <c r="PTT13" s="41"/>
      <c r="PTU13" s="41"/>
      <c r="PTV13" s="41"/>
      <c r="PTW13" s="41"/>
      <c r="PTX13" s="41"/>
      <c r="PTY13" s="41"/>
      <c r="PTZ13" s="41"/>
      <c r="PUA13" s="41"/>
      <c r="PUB13" s="41"/>
      <c r="PUC13" s="41"/>
      <c r="PUD13" s="41"/>
      <c r="PUE13" s="41"/>
      <c r="PUF13" s="41"/>
      <c r="PUG13" s="41"/>
      <c r="PUH13" s="41"/>
      <c r="PUI13" s="41"/>
      <c r="PUJ13" s="41"/>
      <c r="PUK13" s="41"/>
      <c r="PUL13" s="41"/>
      <c r="PUM13" s="41"/>
      <c r="PUN13" s="41"/>
      <c r="PUO13" s="41"/>
      <c r="PUP13" s="41"/>
      <c r="PUQ13" s="41"/>
      <c r="PUR13" s="41"/>
      <c r="PUS13" s="41"/>
      <c r="PUT13" s="41"/>
      <c r="PUU13" s="41"/>
      <c r="PUV13" s="41"/>
      <c r="PUW13" s="41"/>
      <c r="PUX13" s="41"/>
      <c r="PUY13" s="41"/>
      <c r="PUZ13" s="41"/>
      <c r="PVA13" s="41"/>
      <c r="PVB13" s="41"/>
      <c r="PVC13" s="41"/>
      <c r="PVD13" s="41"/>
      <c r="PVE13" s="41"/>
      <c r="PVF13" s="41"/>
      <c r="PVG13" s="41"/>
      <c r="PVH13" s="41"/>
      <c r="PVI13" s="41"/>
      <c r="PVJ13" s="41"/>
      <c r="PVK13" s="41"/>
      <c r="PVL13" s="41"/>
      <c r="PVM13" s="41"/>
      <c r="PVN13" s="41"/>
      <c r="PVO13" s="41"/>
      <c r="PVP13" s="41"/>
      <c r="PVQ13" s="41"/>
      <c r="PVR13" s="41"/>
      <c r="PVS13" s="41"/>
      <c r="PVT13" s="41"/>
      <c r="PVU13" s="41"/>
      <c r="PVV13" s="41"/>
      <c r="PVW13" s="41"/>
      <c r="PVX13" s="41"/>
      <c r="PVY13" s="41"/>
      <c r="PVZ13" s="41"/>
      <c r="PWA13" s="41"/>
      <c r="PWB13" s="41"/>
      <c r="PWC13" s="41"/>
      <c r="PWD13" s="41"/>
      <c r="PWE13" s="41"/>
      <c r="PWF13" s="41"/>
      <c r="PWG13" s="41"/>
      <c r="PWH13" s="41"/>
      <c r="PWI13" s="41"/>
      <c r="PWJ13" s="41"/>
      <c r="PWK13" s="41"/>
      <c r="PWL13" s="41"/>
      <c r="PWM13" s="41"/>
      <c r="PWN13" s="41"/>
      <c r="PWO13" s="41"/>
      <c r="PWP13" s="41"/>
      <c r="PWQ13" s="41"/>
      <c r="PWR13" s="41"/>
      <c r="PWS13" s="41"/>
      <c r="PWT13" s="41"/>
      <c r="PWU13" s="41"/>
      <c r="PWV13" s="41"/>
      <c r="PWW13" s="41"/>
      <c r="PWX13" s="41"/>
      <c r="PWY13" s="41"/>
      <c r="PWZ13" s="41"/>
      <c r="PXA13" s="41"/>
      <c r="PXB13" s="41"/>
      <c r="PXC13" s="41"/>
      <c r="PXD13" s="41"/>
      <c r="PXE13" s="41"/>
      <c r="PXF13" s="41"/>
      <c r="PXG13" s="41"/>
      <c r="PXH13" s="41"/>
      <c r="PXI13" s="41"/>
      <c r="PXJ13" s="41"/>
      <c r="PXK13" s="41"/>
      <c r="PXL13" s="41"/>
      <c r="PXM13" s="41"/>
      <c r="PXN13" s="41"/>
      <c r="PXO13" s="41"/>
      <c r="PXP13" s="41"/>
      <c r="PXQ13" s="41"/>
      <c r="PXR13" s="41"/>
      <c r="PXS13" s="41"/>
      <c r="PXT13" s="41"/>
      <c r="PXU13" s="41"/>
      <c r="PXV13" s="41"/>
      <c r="PXW13" s="41"/>
      <c r="PXX13" s="41"/>
      <c r="PXY13" s="41"/>
      <c r="PXZ13" s="41"/>
      <c r="PYA13" s="41"/>
      <c r="PYB13" s="41"/>
      <c r="PYC13" s="41"/>
      <c r="PYD13" s="41"/>
      <c r="PYE13" s="41"/>
      <c r="PYF13" s="41"/>
      <c r="PYG13" s="41"/>
      <c r="PYH13" s="41"/>
      <c r="PYI13" s="41"/>
      <c r="PYJ13" s="41"/>
      <c r="PYK13" s="41"/>
      <c r="PYL13" s="41"/>
      <c r="PYM13" s="41"/>
      <c r="PYN13" s="41"/>
      <c r="PYO13" s="41"/>
      <c r="PYP13" s="41"/>
      <c r="PYQ13" s="41"/>
      <c r="PYR13" s="41"/>
      <c r="PYS13" s="41"/>
      <c r="PYT13" s="41"/>
      <c r="PYU13" s="41"/>
      <c r="PYV13" s="41"/>
      <c r="PYW13" s="41"/>
      <c r="PYX13" s="41"/>
      <c r="PYY13" s="41"/>
      <c r="PYZ13" s="41"/>
      <c r="PZA13" s="41"/>
      <c r="PZB13" s="41"/>
      <c r="PZC13" s="41"/>
      <c r="PZD13" s="41"/>
      <c r="PZE13" s="41"/>
      <c r="PZF13" s="41"/>
      <c r="PZG13" s="41"/>
      <c r="PZH13" s="41"/>
      <c r="PZI13" s="41"/>
      <c r="PZJ13" s="41"/>
      <c r="PZK13" s="41"/>
      <c r="PZL13" s="41"/>
      <c r="PZM13" s="41"/>
      <c r="PZN13" s="41"/>
      <c r="PZO13" s="41"/>
      <c r="PZP13" s="41"/>
      <c r="PZQ13" s="41"/>
      <c r="PZR13" s="41"/>
      <c r="PZS13" s="41"/>
      <c r="PZT13" s="41"/>
      <c r="PZU13" s="41"/>
      <c r="PZV13" s="41"/>
      <c r="PZW13" s="41"/>
      <c r="PZX13" s="41"/>
      <c r="PZY13" s="41"/>
      <c r="PZZ13" s="41"/>
      <c r="QAA13" s="41"/>
      <c r="QAB13" s="41"/>
      <c r="QAC13" s="41"/>
      <c r="QAD13" s="41"/>
      <c r="QAE13" s="41"/>
      <c r="QAF13" s="41"/>
      <c r="QAG13" s="41"/>
      <c r="QAH13" s="41"/>
      <c r="QAI13" s="41"/>
      <c r="QAJ13" s="41"/>
      <c r="QAK13" s="41"/>
      <c r="QAL13" s="41"/>
      <c r="QAM13" s="41"/>
      <c r="QAN13" s="41"/>
      <c r="QAO13" s="41"/>
      <c r="QAP13" s="41"/>
      <c r="QAQ13" s="41"/>
      <c r="QAR13" s="41"/>
      <c r="QAS13" s="41"/>
      <c r="QAT13" s="41"/>
      <c r="QAU13" s="41"/>
      <c r="QAV13" s="41"/>
      <c r="QAW13" s="41"/>
      <c r="QAX13" s="41"/>
      <c r="QAY13" s="41"/>
      <c r="QAZ13" s="41"/>
      <c r="QBA13" s="41"/>
      <c r="QBB13" s="41"/>
      <c r="QBC13" s="41"/>
      <c r="QBD13" s="41"/>
      <c r="QBE13" s="41"/>
      <c r="QBF13" s="41"/>
      <c r="QBG13" s="41"/>
      <c r="QBH13" s="41"/>
      <c r="QBI13" s="41"/>
      <c r="QBJ13" s="41"/>
      <c r="QBK13" s="41"/>
      <c r="QBL13" s="41"/>
      <c r="QBM13" s="41"/>
      <c r="QBN13" s="41"/>
      <c r="QBO13" s="41"/>
      <c r="QBP13" s="41"/>
      <c r="QBQ13" s="41"/>
      <c r="QBR13" s="41"/>
      <c r="QBS13" s="41"/>
      <c r="QBT13" s="41"/>
      <c r="QBU13" s="41"/>
      <c r="QBV13" s="41"/>
      <c r="QBW13" s="41"/>
      <c r="QBX13" s="41"/>
      <c r="QBY13" s="41"/>
      <c r="QBZ13" s="41"/>
      <c r="QCA13" s="41"/>
      <c r="QCB13" s="41"/>
      <c r="QCC13" s="41"/>
      <c r="QCD13" s="41"/>
      <c r="QCE13" s="41"/>
      <c r="QCF13" s="41"/>
      <c r="QCG13" s="41"/>
      <c r="QCH13" s="41"/>
      <c r="QCI13" s="41"/>
      <c r="QCJ13" s="41"/>
      <c r="QCK13" s="41"/>
      <c r="QCL13" s="41"/>
      <c r="QCM13" s="41"/>
      <c r="QCN13" s="41"/>
      <c r="QCO13" s="41"/>
      <c r="QCP13" s="41"/>
      <c r="QCQ13" s="41"/>
      <c r="QCR13" s="41"/>
      <c r="QCS13" s="41"/>
      <c r="QCT13" s="41"/>
      <c r="QCU13" s="41"/>
      <c r="QCV13" s="41"/>
      <c r="QCW13" s="41"/>
      <c r="QCX13" s="41"/>
      <c r="QCY13" s="41"/>
      <c r="QCZ13" s="41"/>
      <c r="QDA13" s="41"/>
      <c r="QDB13" s="41"/>
      <c r="QDC13" s="41"/>
      <c r="QDD13" s="41"/>
      <c r="QDE13" s="41"/>
      <c r="QDF13" s="41"/>
      <c r="QDG13" s="41"/>
      <c r="QDH13" s="41"/>
      <c r="QDI13" s="41"/>
      <c r="QDJ13" s="41"/>
      <c r="QDK13" s="41"/>
      <c r="QDL13" s="41"/>
      <c r="QDM13" s="41"/>
      <c r="QDN13" s="41"/>
      <c r="QDO13" s="41"/>
      <c r="QDP13" s="41"/>
      <c r="QDQ13" s="41"/>
      <c r="QDR13" s="41"/>
      <c r="QDS13" s="41"/>
      <c r="QDT13" s="41"/>
      <c r="QDU13" s="41"/>
      <c r="QDV13" s="41"/>
      <c r="QDW13" s="41"/>
      <c r="QDX13" s="41"/>
      <c r="QDY13" s="41"/>
      <c r="QDZ13" s="41"/>
      <c r="QEA13" s="41"/>
      <c r="QEB13" s="41"/>
      <c r="QEC13" s="41"/>
      <c r="QED13" s="41"/>
      <c r="QEE13" s="41"/>
      <c r="QEF13" s="41"/>
      <c r="QEG13" s="41"/>
      <c r="QEH13" s="41"/>
      <c r="QEI13" s="41"/>
      <c r="QEJ13" s="41"/>
      <c r="QEK13" s="41"/>
      <c r="QEL13" s="41"/>
      <c r="QEM13" s="41"/>
      <c r="QEN13" s="41"/>
      <c r="QEO13" s="41"/>
      <c r="QEP13" s="41"/>
      <c r="QEQ13" s="41"/>
      <c r="QER13" s="41"/>
      <c r="QES13" s="41"/>
      <c r="QET13" s="41"/>
      <c r="QEU13" s="41"/>
      <c r="QEV13" s="41"/>
      <c r="QEW13" s="41"/>
      <c r="QEX13" s="41"/>
      <c r="QEY13" s="41"/>
      <c r="QEZ13" s="41"/>
      <c r="QFA13" s="41"/>
      <c r="QFB13" s="41"/>
      <c r="QFC13" s="41"/>
      <c r="QFD13" s="41"/>
      <c r="QFE13" s="41"/>
      <c r="QFF13" s="41"/>
      <c r="QFG13" s="41"/>
      <c r="QFH13" s="41"/>
      <c r="QFI13" s="41"/>
      <c r="QFJ13" s="41"/>
      <c r="QFK13" s="41"/>
      <c r="QFL13" s="41"/>
      <c r="QFM13" s="41"/>
      <c r="QFN13" s="41"/>
      <c r="QFO13" s="41"/>
      <c r="QFP13" s="41"/>
      <c r="QFQ13" s="41"/>
      <c r="QFR13" s="41"/>
      <c r="QFS13" s="41"/>
      <c r="QFT13" s="41"/>
      <c r="QFU13" s="41"/>
      <c r="QFV13" s="41"/>
      <c r="QFW13" s="41"/>
      <c r="QFX13" s="41"/>
      <c r="QFY13" s="41"/>
      <c r="QFZ13" s="41"/>
      <c r="QGA13" s="41"/>
      <c r="QGB13" s="41"/>
      <c r="QGC13" s="41"/>
      <c r="QGD13" s="41"/>
      <c r="QGE13" s="41"/>
      <c r="QGF13" s="41"/>
      <c r="QGG13" s="41"/>
      <c r="QGH13" s="41"/>
      <c r="QGI13" s="41"/>
      <c r="QGJ13" s="41"/>
      <c r="QGK13" s="41"/>
      <c r="QGL13" s="41"/>
      <c r="QGM13" s="41"/>
      <c r="QGN13" s="41"/>
      <c r="QGO13" s="41"/>
      <c r="QGP13" s="41"/>
      <c r="QGQ13" s="41"/>
      <c r="QGR13" s="41"/>
      <c r="QGS13" s="41"/>
      <c r="QGT13" s="41"/>
      <c r="QGU13" s="41"/>
      <c r="QGV13" s="41"/>
      <c r="QGW13" s="41"/>
      <c r="QGX13" s="41"/>
      <c r="QGY13" s="41"/>
      <c r="QGZ13" s="41"/>
      <c r="QHA13" s="41"/>
      <c r="QHB13" s="41"/>
      <c r="QHC13" s="41"/>
      <c r="QHD13" s="41"/>
      <c r="QHE13" s="41"/>
      <c r="QHF13" s="41"/>
      <c r="QHG13" s="41"/>
      <c r="QHH13" s="41"/>
      <c r="QHI13" s="41"/>
      <c r="QHJ13" s="41"/>
      <c r="QHK13" s="41"/>
      <c r="QHL13" s="41"/>
      <c r="QHM13" s="41"/>
      <c r="QHN13" s="41"/>
      <c r="QHO13" s="41"/>
      <c r="QHP13" s="41"/>
      <c r="QHQ13" s="41"/>
      <c r="QHR13" s="41"/>
      <c r="QHS13" s="41"/>
      <c r="QHT13" s="41"/>
      <c r="QHU13" s="41"/>
      <c r="QHV13" s="41"/>
      <c r="QHW13" s="41"/>
      <c r="QHX13" s="41"/>
      <c r="QHY13" s="41"/>
      <c r="QHZ13" s="41"/>
      <c r="QIA13" s="41"/>
      <c r="QIB13" s="41"/>
      <c r="QIC13" s="41"/>
      <c r="QID13" s="41"/>
      <c r="QIE13" s="41"/>
      <c r="QIF13" s="41"/>
      <c r="QIG13" s="41"/>
      <c r="QIH13" s="41"/>
      <c r="QII13" s="41"/>
      <c r="QIJ13" s="41"/>
      <c r="QIK13" s="41"/>
      <c r="QIL13" s="41"/>
      <c r="QIM13" s="41"/>
      <c r="QIN13" s="41"/>
      <c r="QIO13" s="41"/>
      <c r="QIP13" s="41"/>
      <c r="QIQ13" s="41"/>
      <c r="QIR13" s="41"/>
      <c r="QIS13" s="41"/>
      <c r="QIT13" s="41"/>
      <c r="QIU13" s="41"/>
      <c r="QIV13" s="41"/>
      <c r="QIW13" s="41"/>
      <c r="QIX13" s="41"/>
      <c r="QIY13" s="41"/>
      <c r="QIZ13" s="41"/>
      <c r="QJA13" s="41"/>
      <c r="QJB13" s="41"/>
      <c r="QJC13" s="41"/>
      <c r="QJD13" s="41"/>
      <c r="QJE13" s="41"/>
      <c r="QJF13" s="41"/>
      <c r="QJG13" s="41"/>
      <c r="QJH13" s="41"/>
      <c r="QJI13" s="41"/>
      <c r="QJJ13" s="41"/>
      <c r="QJK13" s="41"/>
      <c r="QJL13" s="41"/>
      <c r="QJM13" s="41"/>
      <c r="QJN13" s="41"/>
      <c r="QJO13" s="41"/>
      <c r="QJP13" s="41"/>
      <c r="QJQ13" s="41"/>
      <c r="QJR13" s="41"/>
      <c r="QJS13" s="41"/>
      <c r="QJT13" s="41"/>
      <c r="QJU13" s="41"/>
      <c r="QJV13" s="41"/>
      <c r="QJW13" s="41"/>
      <c r="QJX13" s="41"/>
      <c r="QJY13" s="41"/>
      <c r="QJZ13" s="41"/>
      <c r="QKA13" s="41"/>
      <c r="QKB13" s="41"/>
      <c r="QKC13" s="41"/>
      <c r="QKD13" s="41"/>
      <c r="QKE13" s="41"/>
      <c r="QKF13" s="41"/>
      <c r="QKG13" s="41"/>
      <c r="QKH13" s="41"/>
      <c r="QKI13" s="41"/>
      <c r="QKJ13" s="41"/>
      <c r="QKK13" s="41"/>
      <c r="QKL13" s="41"/>
      <c r="QKM13" s="41"/>
      <c r="QKN13" s="41"/>
      <c r="QKO13" s="41"/>
      <c r="QKP13" s="41"/>
      <c r="QKQ13" s="41"/>
      <c r="QKR13" s="41"/>
      <c r="QKS13" s="41"/>
      <c r="QKT13" s="41"/>
      <c r="QKU13" s="41"/>
      <c r="QKV13" s="41"/>
      <c r="QKW13" s="41"/>
      <c r="QKX13" s="41"/>
      <c r="QKY13" s="41"/>
      <c r="QKZ13" s="41"/>
      <c r="QLA13" s="41"/>
      <c r="QLB13" s="41"/>
      <c r="QLC13" s="41"/>
      <c r="QLD13" s="41"/>
      <c r="QLE13" s="41"/>
      <c r="QLF13" s="41"/>
      <c r="QLG13" s="41"/>
      <c r="QLH13" s="41"/>
      <c r="QLI13" s="41"/>
      <c r="QLJ13" s="41"/>
      <c r="QLK13" s="41"/>
      <c r="QLL13" s="41"/>
      <c r="QLM13" s="41"/>
      <c r="QLN13" s="41"/>
      <c r="QLO13" s="41"/>
      <c r="QLP13" s="41"/>
      <c r="QLQ13" s="41"/>
      <c r="QLR13" s="41"/>
      <c r="QLS13" s="41"/>
      <c r="QLT13" s="41"/>
      <c r="QLU13" s="41"/>
      <c r="QLV13" s="41"/>
      <c r="QLW13" s="41"/>
      <c r="QLX13" s="41"/>
      <c r="QLY13" s="41"/>
      <c r="QLZ13" s="41"/>
      <c r="QMA13" s="41"/>
      <c r="QMB13" s="41"/>
      <c r="QMC13" s="41"/>
      <c r="QMD13" s="41"/>
      <c r="QME13" s="41"/>
      <c r="QMF13" s="41"/>
      <c r="QMG13" s="41"/>
      <c r="QMH13" s="41"/>
      <c r="QMI13" s="41"/>
      <c r="QMJ13" s="41"/>
      <c r="QMK13" s="41"/>
      <c r="QML13" s="41"/>
      <c r="QMM13" s="41"/>
      <c r="QMN13" s="41"/>
      <c r="QMO13" s="41"/>
      <c r="QMP13" s="41"/>
      <c r="QMQ13" s="41"/>
      <c r="QMR13" s="41"/>
      <c r="QMS13" s="41"/>
      <c r="QMT13" s="41"/>
      <c r="QMU13" s="41"/>
      <c r="QMV13" s="41"/>
      <c r="QMW13" s="41"/>
      <c r="QMX13" s="41"/>
      <c r="QMY13" s="41"/>
      <c r="QMZ13" s="41"/>
      <c r="QNA13" s="41"/>
      <c r="QNB13" s="41"/>
      <c r="QNC13" s="41"/>
      <c r="QND13" s="41"/>
      <c r="QNE13" s="41"/>
      <c r="QNF13" s="41"/>
      <c r="QNG13" s="41"/>
      <c r="QNH13" s="41"/>
      <c r="QNI13" s="41"/>
      <c r="QNJ13" s="41"/>
      <c r="QNK13" s="41"/>
      <c r="QNL13" s="41"/>
      <c r="QNM13" s="41"/>
      <c r="QNN13" s="41"/>
      <c r="QNO13" s="41"/>
      <c r="QNP13" s="41"/>
      <c r="QNQ13" s="41"/>
      <c r="QNR13" s="41"/>
      <c r="QNS13" s="41"/>
      <c r="QNT13" s="41"/>
      <c r="QNU13" s="41"/>
      <c r="QNV13" s="41"/>
      <c r="QNW13" s="41"/>
      <c r="QNX13" s="41"/>
      <c r="QNY13" s="41"/>
      <c r="QNZ13" s="41"/>
      <c r="QOA13" s="41"/>
      <c r="QOB13" s="41"/>
      <c r="QOC13" s="41"/>
      <c r="QOD13" s="41"/>
      <c r="QOE13" s="41"/>
      <c r="QOF13" s="41"/>
      <c r="QOG13" s="41"/>
      <c r="QOH13" s="41"/>
      <c r="QOI13" s="41"/>
      <c r="QOJ13" s="41"/>
      <c r="QOK13" s="41"/>
      <c r="QOL13" s="41"/>
      <c r="QOM13" s="41"/>
      <c r="QON13" s="41"/>
      <c r="QOO13" s="41"/>
      <c r="QOP13" s="41"/>
      <c r="QOQ13" s="41"/>
      <c r="QOR13" s="41"/>
      <c r="QOS13" s="41"/>
      <c r="QOT13" s="41"/>
      <c r="QOU13" s="41"/>
      <c r="QOV13" s="41"/>
      <c r="QOW13" s="41"/>
      <c r="QOX13" s="41"/>
      <c r="QOY13" s="41"/>
      <c r="QOZ13" s="41"/>
      <c r="QPA13" s="41"/>
      <c r="QPB13" s="41"/>
      <c r="QPC13" s="41"/>
      <c r="QPD13" s="41"/>
      <c r="QPE13" s="41"/>
      <c r="QPF13" s="41"/>
      <c r="QPG13" s="41"/>
      <c r="QPH13" s="41"/>
      <c r="QPI13" s="41"/>
      <c r="QPJ13" s="41"/>
      <c r="QPK13" s="41"/>
      <c r="QPL13" s="41"/>
      <c r="QPM13" s="41"/>
      <c r="QPN13" s="41"/>
      <c r="QPO13" s="41"/>
      <c r="QPP13" s="41"/>
      <c r="QPQ13" s="41"/>
      <c r="QPR13" s="41"/>
      <c r="QPS13" s="41"/>
      <c r="QPT13" s="41"/>
      <c r="QPU13" s="41"/>
      <c r="QPV13" s="41"/>
      <c r="QPW13" s="41"/>
      <c r="QPX13" s="41"/>
      <c r="QPY13" s="41"/>
      <c r="QPZ13" s="41"/>
      <c r="QQA13" s="41"/>
      <c r="QQB13" s="41"/>
      <c r="QQC13" s="41"/>
      <c r="QQD13" s="41"/>
      <c r="QQE13" s="41"/>
      <c r="QQF13" s="41"/>
      <c r="QQG13" s="41"/>
      <c r="QQH13" s="41"/>
      <c r="QQI13" s="41"/>
      <c r="QQJ13" s="41"/>
      <c r="QQK13" s="41"/>
      <c r="QQL13" s="41"/>
      <c r="QQM13" s="41"/>
      <c r="QQN13" s="41"/>
      <c r="QQO13" s="41"/>
      <c r="QQP13" s="41"/>
      <c r="QQQ13" s="41"/>
      <c r="QQR13" s="41"/>
      <c r="QQS13" s="41"/>
      <c r="QQT13" s="41"/>
      <c r="QQU13" s="41"/>
      <c r="QQV13" s="41"/>
      <c r="QQW13" s="41"/>
      <c r="QQX13" s="41"/>
      <c r="QQY13" s="41"/>
      <c r="QQZ13" s="41"/>
      <c r="QRA13" s="41"/>
      <c r="QRB13" s="41"/>
      <c r="QRC13" s="41"/>
      <c r="QRD13" s="41"/>
      <c r="QRE13" s="41"/>
      <c r="QRF13" s="41"/>
      <c r="QRG13" s="41"/>
      <c r="QRH13" s="41"/>
      <c r="QRI13" s="41"/>
      <c r="QRJ13" s="41"/>
      <c r="QRK13" s="41"/>
      <c r="QRL13" s="41"/>
      <c r="QRM13" s="41"/>
      <c r="QRN13" s="41"/>
      <c r="QRO13" s="41"/>
      <c r="QRP13" s="41"/>
      <c r="QRQ13" s="41"/>
      <c r="QRR13" s="41"/>
      <c r="QRS13" s="41"/>
      <c r="QRT13" s="41"/>
      <c r="QRU13" s="41"/>
      <c r="QRV13" s="41"/>
      <c r="QRW13" s="41"/>
      <c r="QRX13" s="41"/>
      <c r="QRY13" s="41"/>
      <c r="QRZ13" s="41"/>
      <c r="QSA13" s="41"/>
      <c r="QSB13" s="41"/>
      <c r="QSC13" s="41"/>
      <c r="QSD13" s="41"/>
      <c r="QSE13" s="41"/>
      <c r="QSF13" s="41"/>
      <c r="QSG13" s="41"/>
      <c r="QSH13" s="41"/>
      <c r="QSI13" s="41"/>
      <c r="QSJ13" s="41"/>
      <c r="QSK13" s="41"/>
      <c r="QSL13" s="41"/>
      <c r="QSM13" s="41"/>
      <c r="QSN13" s="41"/>
      <c r="QSO13" s="41"/>
      <c r="QSP13" s="41"/>
      <c r="QSQ13" s="41"/>
      <c r="QSR13" s="41"/>
      <c r="QSS13" s="41"/>
      <c r="QST13" s="41"/>
      <c r="QSU13" s="41"/>
      <c r="QSV13" s="41"/>
      <c r="QSW13" s="41"/>
      <c r="QSX13" s="41"/>
      <c r="QSY13" s="41"/>
      <c r="QSZ13" s="41"/>
      <c r="QTA13" s="41"/>
      <c r="QTB13" s="41"/>
      <c r="QTC13" s="41"/>
      <c r="QTD13" s="41"/>
      <c r="QTE13" s="41"/>
      <c r="QTF13" s="41"/>
      <c r="QTG13" s="41"/>
      <c r="QTH13" s="41"/>
      <c r="QTI13" s="41"/>
      <c r="QTJ13" s="41"/>
      <c r="QTK13" s="41"/>
      <c r="QTL13" s="41"/>
      <c r="QTM13" s="41"/>
      <c r="QTN13" s="41"/>
      <c r="QTO13" s="41"/>
      <c r="QTP13" s="41"/>
      <c r="QTQ13" s="41"/>
      <c r="QTR13" s="41"/>
      <c r="QTS13" s="41"/>
      <c r="QTT13" s="41"/>
      <c r="QTU13" s="41"/>
      <c r="QTV13" s="41"/>
      <c r="QTW13" s="41"/>
      <c r="QTX13" s="41"/>
      <c r="QTY13" s="41"/>
      <c r="QTZ13" s="41"/>
      <c r="QUA13" s="41"/>
      <c r="QUB13" s="41"/>
      <c r="QUC13" s="41"/>
      <c r="QUD13" s="41"/>
      <c r="QUE13" s="41"/>
      <c r="QUF13" s="41"/>
      <c r="QUG13" s="41"/>
      <c r="QUH13" s="41"/>
      <c r="QUI13" s="41"/>
      <c r="QUJ13" s="41"/>
      <c r="QUK13" s="41"/>
      <c r="QUL13" s="41"/>
      <c r="QUM13" s="41"/>
      <c r="QUN13" s="41"/>
      <c r="QUO13" s="41"/>
      <c r="QUP13" s="41"/>
      <c r="QUQ13" s="41"/>
      <c r="QUR13" s="41"/>
      <c r="QUS13" s="41"/>
      <c r="QUT13" s="41"/>
      <c r="QUU13" s="41"/>
      <c r="QUV13" s="41"/>
      <c r="QUW13" s="41"/>
      <c r="QUX13" s="41"/>
      <c r="QUY13" s="41"/>
      <c r="QUZ13" s="41"/>
      <c r="QVA13" s="41"/>
      <c r="QVB13" s="41"/>
      <c r="QVC13" s="41"/>
      <c r="QVD13" s="41"/>
      <c r="QVE13" s="41"/>
      <c r="QVF13" s="41"/>
      <c r="QVG13" s="41"/>
      <c r="QVH13" s="41"/>
      <c r="QVI13" s="41"/>
      <c r="QVJ13" s="41"/>
      <c r="QVK13" s="41"/>
      <c r="QVL13" s="41"/>
      <c r="QVM13" s="41"/>
      <c r="QVN13" s="41"/>
      <c r="QVO13" s="41"/>
      <c r="QVP13" s="41"/>
      <c r="QVQ13" s="41"/>
      <c r="QVR13" s="41"/>
      <c r="QVS13" s="41"/>
      <c r="QVT13" s="41"/>
      <c r="QVU13" s="41"/>
      <c r="QVV13" s="41"/>
      <c r="QVW13" s="41"/>
      <c r="QVX13" s="41"/>
      <c r="QVY13" s="41"/>
      <c r="QVZ13" s="41"/>
      <c r="QWA13" s="41"/>
      <c r="QWB13" s="41"/>
      <c r="QWC13" s="41"/>
      <c r="QWD13" s="41"/>
      <c r="QWE13" s="41"/>
      <c r="QWF13" s="41"/>
      <c r="QWG13" s="41"/>
      <c r="QWH13" s="41"/>
      <c r="QWI13" s="41"/>
      <c r="QWJ13" s="41"/>
      <c r="QWK13" s="41"/>
      <c r="QWL13" s="41"/>
      <c r="QWM13" s="41"/>
      <c r="QWN13" s="41"/>
      <c r="QWO13" s="41"/>
      <c r="QWP13" s="41"/>
      <c r="QWQ13" s="41"/>
      <c r="QWR13" s="41"/>
      <c r="QWS13" s="41"/>
      <c r="QWT13" s="41"/>
      <c r="QWU13" s="41"/>
      <c r="QWV13" s="41"/>
      <c r="QWW13" s="41"/>
      <c r="QWX13" s="41"/>
      <c r="QWY13" s="41"/>
      <c r="QWZ13" s="41"/>
      <c r="QXA13" s="41"/>
      <c r="QXB13" s="41"/>
      <c r="QXC13" s="41"/>
      <c r="QXD13" s="41"/>
      <c r="QXE13" s="41"/>
      <c r="QXF13" s="41"/>
      <c r="QXG13" s="41"/>
      <c r="QXH13" s="41"/>
      <c r="QXI13" s="41"/>
      <c r="QXJ13" s="41"/>
      <c r="QXK13" s="41"/>
      <c r="QXL13" s="41"/>
      <c r="QXM13" s="41"/>
      <c r="QXN13" s="41"/>
      <c r="QXO13" s="41"/>
      <c r="QXP13" s="41"/>
      <c r="QXQ13" s="41"/>
      <c r="QXR13" s="41"/>
      <c r="QXS13" s="41"/>
      <c r="QXT13" s="41"/>
      <c r="QXU13" s="41"/>
      <c r="QXV13" s="41"/>
      <c r="QXW13" s="41"/>
      <c r="QXX13" s="41"/>
      <c r="QXY13" s="41"/>
      <c r="QXZ13" s="41"/>
      <c r="QYA13" s="41"/>
      <c r="QYB13" s="41"/>
      <c r="QYC13" s="41"/>
      <c r="QYD13" s="41"/>
      <c r="QYE13" s="41"/>
      <c r="QYF13" s="41"/>
      <c r="QYG13" s="41"/>
      <c r="QYH13" s="41"/>
      <c r="QYI13" s="41"/>
      <c r="QYJ13" s="41"/>
      <c r="QYK13" s="41"/>
      <c r="QYL13" s="41"/>
      <c r="QYM13" s="41"/>
      <c r="QYN13" s="41"/>
      <c r="QYO13" s="41"/>
      <c r="QYP13" s="41"/>
      <c r="QYQ13" s="41"/>
      <c r="QYR13" s="41"/>
      <c r="QYS13" s="41"/>
      <c r="QYT13" s="41"/>
      <c r="QYU13" s="41"/>
      <c r="QYV13" s="41"/>
      <c r="QYW13" s="41"/>
      <c r="QYX13" s="41"/>
      <c r="QYY13" s="41"/>
      <c r="QYZ13" s="41"/>
      <c r="QZA13" s="41"/>
      <c r="QZB13" s="41"/>
      <c r="QZC13" s="41"/>
      <c r="QZD13" s="41"/>
      <c r="QZE13" s="41"/>
      <c r="QZF13" s="41"/>
      <c r="QZG13" s="41"/>
      <c r="QZH13" s="41"/>
      <c r="QZI13" s="41"/>
      <c r="QZJ13" s="41"/>
      <c r="QZK13" s="41"/>
      <c r="QZL13" s="41"/>
      <c r="QZM13" s="41"/>
      <c r="QZN13" s="41"/>
      <c r="QZO13" s="41"/>
      <c r="QZP13" s="41"/>
      <c r="QZQ13" s="41"/>
      <c r="QZR13" s="41"/>
      <c r="QZS13" s="41"/>
      <c r="QZT13" s="41"/>
      <c r="QZU13" s="41"/>
      <c r="QZV13" s="41"/>
      <c r="QZW13" s="41"/>
      <c r="QZX13" s="41"/>
      <c r="QZY13" s="41"/>
      <c r="QZZ13" s="41"/>
      <c r="RAA13" s="41"/>
      <c r="RAB13" s="41"/>
      <c r="RAC13" s="41"/>
      <c r="RAD13" s="41"/>
      <c r="RAE13" s="41"/>
      <c r="RAF13" s="41"/>
      <c r="RAG13" s="41"/>
      <c r="RAH13" s="41"/>
      <c r="RAI13" s="41"/>
      <c r="RAJ13" s="41"/>
      <c r="RAK13" s="41"/>
      <c r="RAL13" s="41"/>
      <c r="RAM13" s="41"/>
      <c r="RAN13" s="41"/>
      <c r="RAO13" s="41"/>
      <c r="RAP13" s="41"/>
      <c r="RAQ13" s="41"/>
      <c r="RAR13" s="41"/>
      <c r="RAS13" s="41"/>
      <c r="RAT13" s="41"/>
      <c r="RAU13" s="41"/>
      <c r="RAV13" s="41"/>
      <c r="RAW13" s="41"/>
      <c r="RAX13" s="41"/>
      <c r="RAY13" s="41"/>
      <c r="RAZ13" s="41"/>
      <c r="RBA13" s="41"/>
      <c r="RBB13" s="41"/>
      <c r="RBC13" s="41"/>
      <c r="RBD13" s="41"/>
      <c r="RBE13" s="41"/>
      <c r="RBF13" s="41"/>
      <c r="RBG13" s="41"/>
      <c r="RBH13" s="41"/>
      <c r="RBI13" s="41"/>
      <c r="RBJ13" s="41"/>
      <c r="RBK13" s="41"/>
      <c r="RBL13" s="41"/>
      <c r="RBM13" s="41"/>
      <c r="RBN13" s="41"/>
      <c r="RBO13" s="41"/>
      <c r="RBP13" s="41"/>
      <c r="RBQ13" s="41"/>
      <c r="RBR13" s="41"/>
      <c r="RBS13" s="41"/>
      <c r="RBT13" s="41"/>
      <c r="RBU13" s="41"/>
      <c r="RBV13" s="41"/>
      <c r="RBW13" s="41"/>
      <c r="RBX13" s="41"/>
      <c r="RBY13" s="41"/>
      <c r="RBZ13" s="41"/>
      <c r="RCA13" s="41"/>
      <c r="RCB13" s="41"/>
      <c r="RCC13" s="41"/>
      <c r="RCD13" s="41"/>
      <c r="RCE13" s="41"/>
      <c r="RCF13" s="41"/>
      <c r="RCG13" s="41"/>
      <c r="RCH13" s="41"/>
      <c r="RCI13" s="41"/>
      <c r="RCJ13" s="41"/>
      <c r="RCK13" s="41"/>
      <c r="RCL13" s="41"/>
      <c r="RCM13" s="41"/>
      <c r="RCN13" s="41"/>
      <c r="RCO13" s="41"/>
      <c r="RCP13" s="41"/>
      <c r="RCQ13" s="41"/>
      <c r="RCR13" s="41"/>
      <c r="RCS13" s="41"/>
      <c r="RCT13" s="41"/>
      <c r="RCU13" s="41"/>
      <c r="RCV13" s="41"/>
      <c r="RCW13" s="41"/>
      <c r="RCX13" s="41"/>
      <c r="RCY13" s="41"/>
      <c r="RCZ13" s="41"/>
      <c r="RDA13" s="41"/>
      <c r="RDB13" s="41"/>
      <c r="RDC13" s="41"/>
      <c r="RDD13" s="41"/>
      <c r="RDE13" s="41"/>
      <c r="RDF13" s="41"/>
      <c r="RDG13" s="41"/>
      <c r="RDH13" s="41"/>
      <c r="RDI13" s="41"/>
      <c r="RDJ13" s="41"/>
      <c r="RDK13" s="41"/>
      <c r="RDL13" s="41"/>
      <c r="RDM13" s="41"/>
      <c r="RDN13" s="41"/>
      <c r="RDO13" s="41"/>
      <c r="RDP13" s="41"/>
      <c r="RDQ13" s="41"/>
      <c r="RDR13" s="41"/>
      <c r="RDS13" s="41"/>
      <c r="RDT13" s="41"/>
      <c r="RDU13" s="41"/>
      <c r="RDV13" s="41"/>
      <c r="RDW13" s="41"/>
      <c r="RDX13" s="41"/>
      <c r="RDY13" s="41"/>
      <c r="RDZ13" s="41"/>
      <c r="REA13" s="41"/>
      <c r="REB13" s="41"/>
      <c r="REC13" s="41"/>
      <c r="RED13" s="41"/>
      <c r="REE13" s="41"/>
      <c r="REF13" s="41"/>
      <c r="REG13" s="41"/>
      <c r="REH13" s="41"/>
      <c r="REI13" s="41"/>
      <c r="REJ13" s="41"/>
      <c r="REK13" s="41"/>
      <c r="REL13" s="41"/>
      <c r="REM13" s="41"/>
      <c r="REN13" s="41"/>
      <c r="REO13" s="41"/>
      <c r="REP13" s="41"/>
      <c r="REQ13" s="41"/>
      <c r="RER13" s="41"/>
      <c r="RES13" s="41"/>
      <c r="RET13" s="41"/>
      <c r="REU13" s="41"/>
      <c r="REV13" s="41"/>
      <c r="REW13" s="41"/>
      <c r="REX13" s="41"/>
      <c r="REY13" s="41"/>
      <c r="REZ13" s="41"/>
      <c r="RFA13" s="41"/>
      <c r="RFB13" s="41"/>
      <c r="RFC13" s="41"/>
      <c r="RFD13" s="41"/>
      <c r="RFE13" s="41"/>
      <c r="RFF13" s="41"/>
      <c r="RFG13" s="41"/>
      <c r="RFH13" s="41"/>
      <c r="RFI13" s="41"/>
      <c r="RFJ13" s="41"/>
      <c r="RFK13" s="41"/>
      <c r="RFL13" s="41"/>
      <c r="RFM13" s="41"/>
      <c r="RFN13" s="41"/>
      <c r="RFO13" s="41"/>
      <c r="RFP13" s="41"/>
      <c r="RFQ13" s="41"/>
      <c r="RFR13" s="41"/>
      <c r="RFS13" s="41"/>
      <c r="RFT13" s="41"/>
      <c r="RFU13" s="41"/>
      <c r="RFV13" s="41"/>
      <c r="RFW13" s="41"/>
      <c r="RFX13" s="41"/>
      <c r="RFY13" s="41"/>
      <c r="RFZ13" s="41"/>
      <c r="RGA13" s="41"/>
      <c r="RGB13" s="41"/>
      <c r="RGC13" s="41"/>
      <c r="RGD13" s="41"/>
      <c r="RGE13" s="41"/>
      <c r="RGF13" s="41"/>
      <c r="RGG13" s="41"/>
      <c r="RGH13" s="41"/>
      <c r="RGI13" s="41"/>
      <c r="RGJ13" s="41"/>
      <c r="RGK13" s="41"/>
      <c r="RGL13" s="41"/>
      <c r="RGM13" s="41"/>
      <c r="RGN13" s="41"/>
      <c r="RGO13" s="41"/>
      <c r="RGP13" s="41"/>
      <c r="RGQ13" s="41"/>
      <c r="RGR13" s="41"/>
      <c r="RGS13" s="41"/>
      <c r="RGT13" s="41"/>
      <c r="RGU13" s="41"/>
      <c r="RGV13" s="41"/>
      <c r="RGW13" s="41"/>
      <c r="RGX13" s="41"/>
      <c r="RGY13" s="41"/>
      <c r="RGZ13" s="41"/>
      <c r="RHA13" s="41"/>
      <c r="RHB13" s="41"/>
      <c r="RHC13" s="41"/>
      <c r="RHD13" s="41"/>
      <c r="RHE13" s="41"/>
      <c r="RHF13" s="41"/>
      <c r="RHG13" s="41"/>
      <c r="RHH13" s="41"/>
      <c r="RHI13" s="41"/>
      <c r="RHJ13" s="41"/>
      <c r="RHK13" s="41"/>
      <c r="RHL13" s="41"/>
      <c r="RHM13" s="41"/>
      <c r="RHN13" s="41"/>
      <c r="RHO13" s="41"/>
      <c r="RHP13" s="41"/>
      <c r="RHQ13" s="41"/>
      <c r="RHR13" s="41"/>
      <c r="RHS13" s="41"/>
      <c r="RHT13" s="41"/>
      <c r="RHU13" s="41"/>
      <c r="RHV13" s="41"/>
      <c r="RHW13" s="41"/>
      <c r="RHX13" s="41"/>
      <c r="RHY13" s="41"/>
      <c r="RHZ13" s="41"/>
      <c r="RIA13" s="41"/>
      <c r="RIB13" s="41"/>
      <c r="RIC13" s="41"/>
      <c r="RID13" s="41"/>
      <c r="RIE13" s="41"/>
      <c r="RIF13" s="41"/>
      <c r="RIG13" s="41"/>
      <c r="RIH13" s="41"/>
      <c r="RII13" s="41"/>
      <c r="RIJ13" s="41"/>
      <c r="RIK13" s="41"/>
      <c r="RIL13" s="41"/>
      <c r="RIM13" s="41"/>
      <c r="RIN13" s="41"/>
      <c r="RIO13" s="41"/>
      <c r="RIP13" s="41"/>
      <c r="RIQ13" s="41"/>
      <c r="RIR13" s="41"/>
      <c r="RIS13" s="41"/>
      <c r="RIT13" s="41"/>
      <c r="RIU13" s="41"/>
      <c r="RIV13" s="41"/>
      <c r="RIW13" s="41"/>
      <c r="RIX13" s="41"/>
      <c r="RIY13" s="41"/>
      <c r="RIZ13" s="41"/>
      <c r="RJA13" s="41"/>
      <c r="RJB13" s="41"/>
      <c r="RJC13" s="41"/>
      <c r="RJD13" s="41"/>
      <c r="RJE13" s="41"/>
      <c r="RJF13" s="41"/>
      <c r="RJG13" s="41"/>
      <c r="RJH13" s="41"/>
      <c r="RJI13" s="41"/>
      <c r="RJJ13" s="41"/>
      <c r="RJK13" s="41"/>
      <c r="RJL13" s="41"/>
      <c r="RJM13" s="41"/>
      <c r="RJN13" s="41"/>
      <c r="RJO13" s="41"/>
      <c r="RJP13" s="41"/>
      <c r="RJQ13" s="41"/>
      <c r="RJR13" s="41"/>
      <c r="RJS13" s="41"/>
      <c r="RJT13" s="41"/>
      <c r="RJU13" s="41"/>
      <c r="RJV13" s="41"/>
      <c r="RJW13" s="41"/>
      <c r="RJX13" s="41"/>
      <c r="RJY13" s="41"/>
      <c r="RJZ13" s="41"/>
      <c r="RKA13" s="41"/>
      <c r="RKB13" s="41"/>
      <c r="RKC13" s="41"/>
      <c r="RKD13" s="41"/>
      <c r="RKE13" s="41"/>
      <c r="RKF13" s="41"/>
      <c r="RKG13" s="41"/>
      <c r="RKH13" s="41"/>
      <c r="RKI13" s="41"/>
      <c r="RKJ13" s="41"/>
      <c r="RKK13" s="41"/>
      <c r="RKL13" s="41"/>
      <c r="RKM13" s="41"/>
      <c r="RKN13" s="41"/>
      <c r="RKO13" s="41"/>
      <c r="RKP13" s="41"/>
      <c r="RKQ13" s="41"/>
      <c r="RKR13" s="41"/>
      <c r="RKS13" s="41"/>
      <c r="RKT13" s="41"/>
      <c r="RKU13" s="41"/>
      <c r="RKV13" s="41"/>
      <c r="RKW13" s="41"/>
      <c r="RKX13" s="41"/>
      <c r="RKY13" s="41"/>
      <c r="RKZ13" s="41"/>
      <c r="RLA13" s="41"/>
      <c r="RLB13" s="41"/>
      <c r="RLC13" s="41"/>
      <c r="RLD13" s="41"/>
      <c r="RLE13" s="41"/>
      <c r="RLF13" s="41"/>
      <c r="RLG13" s="41"/>
      <c r="RLH13" s="41"/>
      <c r="RLI13" s="41"/>
      <c r="RLJ13" s="41"/>
      <c r="RLK13" s="41"/>
      <c r="RLL13" s="41"/>
      <c r="RLM13" s="41"/>
      <c r="RLN13" s="41"/>
      <c r="RLO13" s="41"/>
      <c r="RLP13" s="41"/>
      <c r="RLQ13" s="41"/>
      <c r="RLR13" s="41"/>
      <c r="RLS13" s="41"/>
      <c r="RLT13" s="41"/>
      <c r="RLU13" s="41"/>
      <c r="RLV13" s="41"/>
      <c r="RLW13" s="41"/>
      <c r="RLX13" s="41"/>
      <c r="RLY13" s="41"/>
      <c r="RLZ13" s="41"/>
      <c r="RMA13" s="41"/>
      <c r="RMB13" s="41"/>
      <c r="RMC13" s="41"/>
      <c r="RMD13" s="41"/>
      <c r="RME13" s="41"/>
      <c r="RMF13" s="41"/>
      <c r="RMG13" s="41"/>
      <c r="RMH13" s="41"/>
      <c r="RMI13" s="41"/>
      <c r="RMJ13" s="41"/>
      <c r="RMK13" s="41"/>
      <c r="RML13" s="41"/>
      <c r="RMM13" s="41"/>
      <c r="RMN13" s="41"/>
      <c r="RMO13" s="41"/>
      <c r="RMP13" s="41"/>
      <c r="RMQ13" s="41"/>
      <c r="RMR13" s="41"/>
      <c r="RMS13" s="41"/>
      <c r="RMT13" s="41"/>
      <c r="RMU13" s="41"/>
      <c r="RMV13" s="41"/>
      <c r="RMW13" s="41"/>
      <c r="RMX13" s="41"/>
      <c r="RMY13" s="41"/>
      <c r="RMZ13" s="41"/>
      <c r="RNA13" s="41"/>
      <c r="RNB13" s="41"/>
      <c r="RNC13" s="41"/>
      <c r="RND13" s="41"/>
      <c r="RNE13" s="41"/>
      <c r="RNF13" s="41"/>
      <c r="RNG13" s="41"/>
      <c r="RNH13" s="41"/>
      <c r="RNI13" s="41"/>
      <c r="RNJ13" s="41"/>
      <c r="RNK13" s="41"/>
      <c r="RNL13" s="41"/>
      <c r="RNM13" s="41"/>
      <c r="RNN13" s="41"/>
      <c r="RNO13" s="41"/>
      <c r="RNP13" s="41"/>
      <c r="RNQ13" s="41"/>
      <c r="RNR13" s="41"/>
      <c r="RNS13" s="41"/>
      <c r="RNT13" s="41"/>
      <c r="RNU13" s="41"/>
      <c r="RNV13" s="41"/>
      <c r="RNW13" s="41"/>
      <c r="RNX13" s="41"/>
      <c r="RNY13" s="41"/>
      <c r="RNZ13" s="41"/>
      <c r="ROA13" s="41"/>
      <c r="ROB13" s="41"/>
      <c r="ROC13" s="41"/>
      <c r="ROD13" s="41"/>
      <c r="ROE13" s="41"/>
      <c r="ROF13" s="41"/>
      <c r="ROG13" s="41"/>
      <c r="ROH13" s="41"/>
      <c r="ROI13" s="41"/>
      <c r="ROJ13" s="41"/>
      <c r="ROK13" s="41"/>
      <c r="ROL13" s="41"/>
      <c r="ROM13" s="41"/>
      <c r="RON13" s="41"/>
      <c r="ROO13" s="41"/>
      <c r="ROP13" s="41"/>
      <c r="ROQ13" s="41"/>
      <c r="ROR13" s="41"/>
      <c r="ROS13" s="41"/>
      <c r="ROT13" s="41"/>
      <c r="ROU13" s="41"/>
      <c r="ROV13" s="41"/>
      <c r="ROW13" s="41"/>
      <c r="ROX13" s="41"/>
      <c r="ROY13" s="41"/>
      <c r="ROZ13" s="41"/>
      <c r="RPA13" s="41"/>
      <c r="RPB13" s="41"/>
      <c r="RPC13" s="41"/>
      <c r="RPD13" s="41"/>
      <c r="RPE13" s="41"/>
      <c r="RPF13" s="41"/>
      <c r="RPG13" s="41"/>
      <c r="RPH13" s="41"/>
      <c r="RPI13" s="41"/>
      <c r="RPJ13" s="41"/>
      <c r="RPK13" s="41"/>
      <c r="RPL13" s="41"/>
      <c r="RPM13" s="41"/>
      <c r="RPN13" s="41"/>
      <c r="RPO13" s="41"/>
      <c r="RPP13" s="41"/>
      <c r="RPQ13" s="41"/>
      <c r="RPR13" s="41"/>
      <c r="RPS13" s="41"/>
      <c r="RPT13" s="41"/>
      <c r="RPU13" s="41"/>
      <c r="RPV13" s="41"/>
      <c r="RPW13" s="41"/>
      <c r="RPX13" s="41"/>
      <c r="RPY13" s="41"/>
      <c r="RPZ13" s="41"/>
      <c r="RQA13" s="41"/>
      <c r="RQB13" s="41"/>
      <c r="RQC13" s="41"/>
      <c r="RQD13" s="41"/>
      <c r="RQE13" s="41"/>
      <c r="RQF13" s="41"/>
      <c r="RQG13" s="41"/>
      <c r="RQH13" s="41"/>
      <c r="RQI13" s="41"/>
      <c r="RQJ13" s="41"/>
      <c r="RQK13" s="41"/>
      <c r="RQL13" s="41"/>
      <c r="RQM13" s="41"/>
      <c r="RQN13" s="41"/>
      <c r="RQO13" s="41"/>
      <c r="RQP13" s="41"/>
      <c r="RQQ13" s="41"/>
      <c r="RQR13" s="41"/>
      <c r="RQS13" s="41"/>
      <c r="RQT13" s="41"/>
      <c r="RQU13" s="41"/>
      <c r="RQV13" s="41"/>
      <c r="RQW13" s="41"/>
      <c r="RQX13" s="41"/>
      <c r="RQY13" s="41"/>
      <c r="RQZ13" s="41"/>
      <c r="RRA13" s="41"/>
      <c r="RRB13" s="41"/>
      <c r="RRC13" s="41"/>
      <c r="RRD13" s="41"/>
      <c r="RRE13" s="41"/>
      <c r="RRF13" s="41"/>
      <c r="RRG13" s="41"/>
      <c r="RRH13" s="41"/>
      <c r="RRI13" s="41"/>
      <c r="RRJ13" s="41"/>
      <c r="RRK13" s="41"/>
      <c r="RRL13" s="41"/>
      <c r="RRM13" s="41"/>
      <c r="RRN13" s="41"/>
      <c r="RRO13" s="41"/>
      <c r="RRP13" s="41"/>
      <c r="RRQ13" s="41"/>
      <c r="RRR13" s="41"/>
      <c r="RRS13" s="41"/>
      <c r="RRT13" s="41"/>
      <c r="RRU13" s="41"/>
      <c r="RRV13" s="41"/>
      <c r="RRW13" s="41"/>
      <c r="RRX13" s="41"/>
      <c r="RRY13" s="41"/>
      <c r="RRZ13" s="41"/>
      <c r="RSA13" s="41"/>
      <c r="RSB13" s="41"/>
      <c r="RSC13" s="41"/>
      <c r="RSD13" s="41"/>
      <c r="RSE13" s="41"/>
      <c r="RSF13" s="41"/>
      <c r="RSG13" s="41"/>
      <c r="RSH13" s="41"/>
      <c r="RSI13" s="41"/>
      <c r="RSJ13" s="41"/>
      <c r="RSK13" s="41"/>
      <c r="RSL13" s="41"/>
      <c r="RSM13" s="41"/>
      <c r="RSN13" s="41"/>
      <c r="RSO13" s="41"/>
      <c r="RSP13" s="41"/>
      <c r="RSQ13" s="41"/>
      <c r="RSR13" s="41"/>
      <c r="RSS13" s="41"/>
      <c r="RST13" s="41"/>
      <c r="RSU13" s="41"/>
      <c r="RSV13" s="41"/>
      <c r="RSW13" s="41"/>
      <c r="RSX13" s="41"/>
      <c r="RSY13" s="41"/>
      <c r="RSZ13" s="41"/>
      <c r="RTA13" s="41"/>
      <c r="RTB13" s="41"/>
      <c r="RTC13" s="41"/>
      <c r="RTD13" s="41"/>
      <c r="RTE13" s="41"/>
      <c r="RTF13" s="41"/>
      <c r="RTG13" s="41"/>
      <c r="RTH13" s="41"/>
      <c r="RTI13" s="41"/>
      <c r="RTJ13" s="41"/>
      <c r="RTK13" s="41"/>
      <c r="RTL13" s="41"/>
      <c r="RTM13" s="41"/>
      <c r="RTN13" s="41"/>
      <c r="RTO13" s="41"/>
      <c r="RTP13" s="41"/>
      <c r="RTQ13" s="41"/>
      <c r="RTR13" s="41"/>
      <c r="RTS13" s="41"/>
      <c r="RTT13" s="41"/>
      <c r="RTU13" s="41"/>
      <c r="RTV13" s="41"/>
      <c r="RTW13" s="41"/>
      <c r="RTX13" s="41"/>
      <c r="RTY13" s="41"/>
      <c r="RTZ13" s="41"/>
      <c r="RUA13" s="41"/>
      <c r="RUB13" s="41"/>
      <c r="RUC13" s="41"/>
      <c r="RUD13" s="41"/>
      <c r="RUE13" s="41"/>
      <c r="RUF13" s="41"/>
      <c r="RUG13" s="41"/>
      <c r="RUH13" s="41"/>
      <c r="RUI13" s="41"/>
      <c r="RUJ13" s="41"/>
      <c r="RUK13" s="41"/>
      <c r="RUL13" s="41"/>
      <c r="RUM13" s="41"/>
      <c r="RUN13" s="41"/>
      <c r="RUO13" s="41"/>
      <c r="RUP13" s="41"/>
      <c r="RUQ13" s="41"/>
      <c r="RUR13" s="41"/>
      <c r="RUS13" s="41"/>
      <c r="RUT13" s="41"/>
      <c r="RUU13" s="41"/>
      <c r="RUV13" s="41"/>
      <c r="RUW13" s="41"/>
      <c r="RUX13" s="41"/>
      <c r="RUY13" s="41"/>
      <c r="RUZ13" s="41"/>
      <c r="RVA13" s="41"/>
      <c r="RVB13" s="41"/>
      <c r="RVC13" s="41"/>
      <c r="RVD13" s="41"/>
      <c r="RVE13" s="41"/>
      <c r="RVF13" s="41"/>
      <c r="RVG13" s="41"/>
      <c r="RVH13" s="41"/>
      <c r="RVI13" s="41"/>
      <c r="RVJ13" s="41"/>
      <c r="RVK13" s="41"/>
      <c r="RVL13" s="41"/>
      <c r="RVM13" s="41"/>
      <c r="RVN13" s="41"/>
      <c r="RVO13" s="41"/>
      <c r="RVP13" s="41"/>
      <c r="RVQ13" s="41"/>
      <c r="RVR13" s="41"/>
      <c r="RVS13" s="41"/>
      <c r="RVT13" s="41"/>
      <c r="RVU13" s="41"/>
      <c r="RVV13" s="41"/>
      <c r="RVW13" s="41"/>
      <c r="RVX13" s="41"/>
      <c r="RVY13" s="41"/>
      <c r="RVZ13" s="41"/>
      <c r="RWA13" s="41"/>
      <c r="RWB13" s="41"/>
      <c r="RWC13" s="41"/>
      <c r="RWD13" s="41"/>
      <c r="RWE13" s="41"/>
      <c r="RWF13" s="41"/>
      <c r="RWG13" s="41"/>
      <c r="RWH13" s="41"/>
      <c r="RWI13" s="41"/>
      <c r="RWJ13" s="41"/>
      <c r="RWK13" s="41"/>
      <c r="RWL13" s="41"/>
      <c r="RWM13" s="41"/>
      <c r="RWN13" s="41"/>
      <c r="RWO13" s="41"/>
      <c r="RWP13" s="41"/>
      <c r="RWQ13" s="41"/>
      <c r="RWR13" s="41"/>
      <c r="RWS13" s="41"/>
      <c r="RWT13" s="41"/>
      <c r="RWU13" s="41"/>
      <c r="RWV13" s="41"/>
      <c r="RWW13" s="41"/>
      <c r="RWX13" s="41"/>
      <c r="RWY13" s="41"/>
      <c r="RWZ13" s="41"/>
      <c r="RXA13" s="41"/>
      <c r="RXB13" s="41"/>
      <c r="RXC13" s="41"/>
      <c r="RXD13" s="41"/>
      <c r="RXE13" s="41"/>
      <c r="RXF13" s="41"/>
      <c r="RXG13" s="41"/>
      <c r="RXH13" s="41"/>
      <c r="RXI13" s="41"/>
      <c r="RXJ13" s="41"/>
      <c r="RXK13" s="41"/>
      <c r="RXL13" s="41"/>
      <c r="RXM13" s="41"/>
      <c r="RXN13" s="41"/>
      <c r="RXO13" s="41"/>
      <c r="RXP13" s="41"/>
      <c r="RXQ13" s="41"/>
      <c r="RXR13" s="41"/>
      <c r="RXS13" s="41"/>
      <c r="RXT13" s="41"/>
      <c r="RXU13" s="41"/>
      <c r="RXV13" s="41"/>
      <c r="RXW13" s="41"/>
      <c r="RXX13" s="41"/>
      <c r="RXY13" s="41"/>
      <c r="RXZ13" s="41"/>
      <c r="RYA13" s="41"/>
      <c r="RYB13" s="41"/>
      <c r="RYC13" s="41"/>
      <c r="RYD13" s="41"/>
      <c r="RYE13" s="41"/>
      <c r="RYF13" s="41"/>
      <c r="RYG13" s="41"/>
      <c r="RYH13" s="41"/>
      <c r="RYI13" s="41"/>
      <c r="RYJ13" s="41"/>
      <c r="RYK13" s="41"/>
      <c r="RYL13" s="41"/>
      <c r="RYM13" s="41"/>
      <c r="RYN13" s="41"/>
      <c r="RYO13" s="41"/>
      <c r="RYP13" s="41"/>
      <c r="RYQ13" s="41"/>
      <c r="RYR13" s="41"/>
      <c r="RYS13" s="41"/>
      <c r="RYT13" s="41"/>
      <c r="RYU13" s="41"/>
      <c r="RYV13" s="41"/>
      <c r="RYW13" s="41"/>
      <c r="RYX13" s="41"/>
      <c r="RYY13" s="41"/>
      <c r="RYZ13" s="41"/>
      <c r="RZA13" s="41"/>
      <c r="RZB13" s="41"/>
      <c r="RZC13" s="41"/>
      <c r="RZD13" s="41"/>
      <c r="RZE13" s="41"/>
      <c r="RZF13" s="41"/>
      <c r="RZG13" s="41"/>
      <c r="RZH13" s="41"/>
      <c r="RZI13" s="41"/>
      <c r="RZJ13" s="41"/>
      <c r="RZK13" s="41"/>
      <c r="RZL13" s="41"/>
      <c r="RZM13" s="41"/>
      <c r="RZN13" s="41"/>
      <c r="RZO13" s="41"/>
      <c r="RZP13" s="41"/>
      <c r="RZQ13" s="41"/>
      <c r="RZR13" s="41"/>
      <c r="RZS13" s="41"/>
      <c r="RZT13" s="41"/>
      <c r="RZU13" s="41"/>
      <c r="RZV13" s="41"/>
      <c r="RZW13" s="41"/>
      <c r="RZX13" s="41"/>
      <c r="RZY13" s="41"/>
      <c r="RZZ13" s="41"/>
      <c r="SAA13" s="41"/>
      <c r="SAB13" s="41"/>
      <c r="SAC13" s="41"/>
      <c r="SAD13" s="41"/>
      <c r="SAE13" s="41"/>
      <c r="SAF13" s="41"/>
      <c r="SAG13" s="41"/>
      <c r="SAH13" s="41"/>
      <c r="SAI13" s="41"/>
      <c r="SAJ13" s="41"/>
      <c r="SAK13" s="41"/>
      <c r="SAL13" s="41"/>
      <c r="SAM13" s="41"/>
      <c r="SAN13" s="41"/>
      <c r="SAO13" s="41"/>
      <c r="SAP13" s="41"/>
      <c r="SAQ13" s="41"/>
      <c r="SAR13" s="41"/>
      <c r="SAS13" s="41"/>
      <c r="SAT13" s="41"/>
      <c r="SAU13" s="41"/>
      <c r="SAV13" s="41"/>
      <c r="SAW13" s="41"/>
      <c r="SAX13" s="41"/>
      <c r="SAY13" s="41"/>
      <c r="SAZ13" s="41"/>
      <c r="SBA13" s="41"/>
      <c r="SBB13" s="41"/>
      <c r="SBC13" s="41"/>
      <c r="SBD13" s="41"/>
      <c r="SBE13" s="41"/>
      <c r="SBF13" s="41"/>
      <c r="SBG13" s="41"/>
      <c r="SBH13" s="41"/>
      <c r="SBI13" s="41"/>
      <c r="SBJ13" s="41"/>
      <c r="SBK13" s="41"/>
      <c r="SBL13" s="41"/>
      <c r="SBM13" s="41"/>
      <c r="SBN13" s="41"/>
      <c r="SBO13" s="41"/>
      <c r="SBP13" s="41"/>
      <c r="SBQ13" s="41"/>
      <c r="SBR13" s="41"/>
      <c r="SBS13" s="41"/>
      <c r="SBT13" s="41"/>
      <c r="SBU13" s="41"/>
      <c r="SBV13" s="41"/>
      <c r="SBW13" s="41"/>
      <c r="SBX13" s="41"/>
      <c r="SBY13" s="41"/>
      <c r="SBZ13" s="41"/>
      <c r="SCA13" s="41"/>
      <c r="SCB13" s="41"/>
      <c r="SCC13" s="41"/>
      <c r="SCD13" s="41"/>
      <c r="SCE13" s="41"/>
      <c r="SCF13" s="41"/>
      <c r="SCG13" s="41"/>
      <c r="SCH13" s="41"/>
      <c r="SCI13" s="41"/>
      <c r="SCJ13" s="41"/>
      <c r="SCK13" s="41"/>
      <c r="SCL13" s="41"/>
      <c r="SCM13" s="41"/>
      <c r="SCN13" s="41"/>
      <c r="SCO13" s="41"/>
      <c r="SCP13" s="41"/>
      <c r="SCQ13" s="41"/>
      <c r="SCR13" s="41"/>
      <c r="SCS13" s="41"/>
      <c r="SCT13" s="41"/>
      <c r="SCU13" s="41"/>
      <c r="SCV13" s="41"/>
      <c r="SCW13" s="41"/>
      <c r="SCX13" s="41"/>
      <c r="SCY13" s="41"/>
      <c r="SCZ13" s="41"/>
      <c r="SDA13" s="41"/>
      <c r="SDB13" s="41"/>
      <c r="SDC13" s="41"/>
      <c r="SDD13" s="41"/>
      <c r="SDE13" s="41"/>
      <c r="SDF13" s="41"/>
      <c r="SDG13" s="41"/>
      <c r="SDH13" s="41"/>
      <c r="SDI13" s="41"/>
      <c r="SDJ13" s="41"/>
      <c r="SDK13" s="41"/>
      <c r="SDL13" s="41"/>
      <c r="SDM13" s="41"/>
      <c r="SDN13" s="41"/>
      <c r="SDO13" s="41"/>
      <c r="SDP13" s="41"/>
      <c r="SDQ13" s="41"/>
      <c r="SDR13" s="41"/>
      <c r="SDS13" s="41"/>
      <c r="SDT13" s="41"/>
      <c r="SDU13" s="41"/>
      <c r="SDV13" s="41"/>
      <c r="SDW13" s="41"/>
      <c r="SDX13" s="41"/>
      <c r="SDY13" s="41"/>
      <c r="SDZ13" s="41"/>
      <c r="SEA13" s="41"/>
      <c r="SEB13" s="41"/>
      <c r="SEC13" s="41"/>
      <c r="SED13" s="41"/>
      <c r="SEE13" s="41"/>
      <c r="SEF13" s="41"/>
      <c r="SEG13" s="41"/>
      <c r="SEH13" s="41"/>
      <c r="SEI13" s="41"/>
      <c r="SEJ13" s="41"/>
      <c r="SEK13" s="41"/>
      <c r="SEL13" s="41"/>
      <c r="SEM13" s="41"/>
      <c r="SEN13" s="41"/>
      <c r="SEO13" s="41"/>
      <c r="SEP13" s="41"/>
      <c r="SEQ13" s="41"/>
      <c r="SER13" s="41"/>
      <c r="SES13" s="41"/>
      <c r="SET13" s="41"/>
      <c r="SEU13" s="41"/>
      <c r="SEV13" s="41"/>
      <c r="SEW13" s="41"/>
      <c r="SEX13" s="41"/>
      <c r="SEY13" s="41"/>
      <c r="SEZ13" s="41"/>
      <c r="SFA13" s="41"/>
      <c r="SFB13" s="41"/>
      <c r="SFC13" s="41"/>
      <c r="SFD13" s="41"/>
      <c r="SFE13" s="41"/>
      <c r="SFF13" s="41"/>
      <c r="SFG13" s="41"/>
      <c r="SFH13" s="41"/>
      <c r="SFI13" s="41"/>
      <c r="SFJ13" s="41"/>
      <c r="SFK13" s="41"/>
      <c r="SFL13" s="41"/>
      <c r="SFM13" s="41"/>
      <c r="SFN13" s="41"/>
      <c r="SFO13" s="41"/>
      <c r="SFP13" s="41"/>
      <c r="SFQ13" s="41"/>
      <c r="SFR13" s="41"/>
      <c r="SFS13" s="41"/>
      <c r="SFT13" s="41"/>
      <c r="SFU13" s="41"/>
      <c r="SFV13" s="41"/>
      <c r="SFW13" s="41"/>
      <c r="SFX13" s="41"/>
      <c r="SFY13" s="41"/>
      <c r="SFZ13" s="41"/>
      <c r="SGA13" s="41"/>
      <c r="SGB13" s="41"/>
      <c r="SGC13" s="41"/>
      <c r="SGD13" s="41"/>
      <c r="SGE13" s="41"/>
      <c r="SGF13" s="41"/>
      <c r="SGG13" s="41"/>
      <c r="SGH13" s="41"/>
      <c r="SGI13" s="41"/>
      <c r="SGJ13" s="41"/>
      <c r="SGK13" s="41"/>
      <c r="SGL13" s="41"/>
      <c r="SGM13" s="41"/>
      <c r="SGN13" s="41"/>
      <c r="SGO13" s="41"/>
      <c r="SGP13" s="41"/>
      <c r="SGQ13" s="41"/>
      <c r="SGR13" s="41"/>
      <c r="SGS13" s="41"/>
      <c r="SGT13" s="41"/>
      <c r="SGU13" s="41"/>
      <c r="SGV13" s="41"/>
      <c r="SGW13" s="41"/>
      <c r="SGX13" s="41"/>
      <c r="SGY13" s="41"/>
      <c r="SGZ13" s="41"/>
      <c r="SHA13" s="41"/>
      <c r="SHB13" s="41"/>
      <c r="SHC13" s="41"/>
      <c r="SHD13" s="41"/>
      <c r="SHE13" s="41"/>
      <c r="SHF13" s="41"/>
      <c r="SHG13" s="41"/>
      <c r="SHH13" s="41"/>
      <c r="SHI13" s="41"/>
      <c r="SHJ13" s="41"/>
      <c r="SHK13" s="41"/>
      <c r="SHL13" s="41"/>
      <c r="SHM13" s="41"/>
      <c r="SHN13" s="41"/>
      <c r="SHO13" s="41"/>
      <c r="SHP13" s="41"/>
      <c r="SHQ13" s="41"/>
      <c r="SHR13" s="41"/>
      <c r="SHS13" s="41"/>
      <c r="SHT13" s="41"/>
      <c r="SHU13" s="41"/>
      <c r="SHV13" s="41"/>
      <c r="SHW13" s="41"/>
      <c r="SHX13" s="41"/>
      <c r="SHY13" s="41"/>
      <c r="SHZ13" s="41"/>
      <c r="SIA13" s="41"/>
      <c r="SIB13" s="41"/>
      <c r="SIC13" s="41"/>
      <c r="SID13" s="41"/>
      <c r="SIE13" s="41"/>
      <c r="SIF13" s="41"/>
      <c r="SIG13" s="41"/>
      <c r="SIH13" s="41"/>
      <c r="SII13" s="41"/>
      <c r="SIJ13" s="41"/>
      <c r="SIK13" s="41"/>
      <c r="SIL13" s="41"/>
      <c r="SIM13" s="41"/>
      <c r="SIN13" s="41"/>
      <c r="SIO13" s="41"/>
      <c r="SIP13" s="41"/>
      <c r="SIQ13" s="41"/>
      <c r="SIR13" s="41"/>
      <c r="SIS13" s="41"/>
      <c r="SIT13" s="41"/>
      <c r="SIU13" s="41"/>
      <c r="SIV13" s="41"/>
      <c r="SIW13" s="41"/>
      <c r="SIX13" s="41"/>
      <c r="SIY13" s="41"/>
      <c r="SIZ13" s="41"/>
      <c r="SJA13" s="41"/>
      <c r="SJB13" s="41"/>
      <c r="SJC13" s="41"/>
      <c r="SJD13" s="41"/>
      <c r="SJE13" s="41"/>
      <c r="SJF13" s="41"/>
      <c r="SJG13" s="41"/>
      <c r="SJH13" s="41"/>
      <c r="SJI13" s="41"/>
      <c r="SJJ13" s="41"/>
      <c r="SJK13" s="41"/>
      <c r="SJL13" s="41"/>
      <c r="SJM13" s="41"/>
      <c r="SJN13" s="41"/>
      <c r="SJO13" s="41"/>
      <c r="SJP13" s="41"/>
      <c r="SJQ13" s="41"/>
      <c r="SJR13" s="41"/>
      <c r="SJS13" s="41"/>
      <c r="SJT13" s="41"/>
      <c r="SJU13" s="41"/>
      <c r="SJV13" s="41"/>
      <c r="SJW13" s="41"/>
      <c r="SJX13" s="41"/>
      <c r="SJY13" s="41"/>
      <c r="SJZ13" s="41"/>
      <c r="SKA13" s="41"/>
      <c r="SKB13" s="41"/>
      <c r="SKC13" s="41"/>
      <c r="SKD13" s="41"/>
      <c r="SKE13" s="41"/>
      <c r="SKF13" s="41"/>
      <c r="SKG13" s="41"/>
      <c r="SKH13" s="41"/>
      <c r="SKI13" s="41"/>
      <c r="SKJ13" s="41"/>
      <c r="SKK13" s="41"/>
      <c r="SKL13" s="41"/>
      <c r="SKM13" s="41"/>
      <c r="SKN13" s="41"/>
      <c r="SKO13" s="41"/>
      <c r="SKP13" s="41"/>
      <c r="SKQ13" s="41"/>
      <c r="SKR13" s="41"/>
      <c r="SKS13" s="41"/>
      <c r="SKT13" s="41"/>
      <c r="SKU13" s="41"/>
      <c r="SKV13" s="41"/>
      <c r="SKW13" s="41"/>
      <c r="SKX13" s="41"/>
      <c r="SKY13" s="41"/>
      <c r="SKZ13" s="41"/>
      <c r="SLA13" s="41"/>
      <c r="SLB13" s="41"/>
      <c r="SLC13" s="41"/>
      <c r="SLD13" s="41"/>
      <c r="SLE13" s="41"/>
      <c r="SLF13" s="41"/>
      <c r="SLG13" s="41"/>
      <c r="SLH13" s="41"/>
      <c r="SLI13" s="41"/>
      <c r="SLJ13" s="41"/>
      <c r="SLK13" s="41"/>
      <c r="SLL13" s="41"/>
      <c r="SLM13" s="41"/>
      <c r="SLN13" s="41"/>
      <c r="SLO13" s="41"/>
      <c r="SLP13" s="41"/>
      <c r="SLQ13" s="41"/>
      <c r="SLR13" s="41"/>
      <c r="SLS13" s="41"/>
      <c r="SLT13" s="41"/>
      <c r="SLU13" s="41"/>
      <c r="SLV13" s="41"/>
      <c r="SLW13" s="41"/>
      <c r="SLX13" s="41"/>
      <c r="SLY13" s="41"/>
      <c r="SLZ13" s="41"/>
      <c r="SMA13" s="41"/>
      <c r="SMB13" s="41"/>
      <c r="SMC13" s="41"/>
      <c r="SMD13" s="41"/>
      <c r="SME13" s="41"/>
      <c r="SMF13" s="41"/>
      <c r="SMG13" s="41"/>
      <c r="SMH13" s="41"/>
      <c r="SMI13" s="41"/>
      <c r="SMJ13" s="41"/>
      <c r="SMK13" s="41"/>
      <c r="SML13" s="41"/>
      <c r="SMM13" s="41"/>
      <c r="SMN13" s="41"/>
      <c r="SMO13" s="41"/>
      <c r="SMP13" s="41"/>
      <c r="SMQ13" s="41"/>
      <c r="SMR13" s="41"/>
      <c r="SMS13" s="41"/>
      <c r="SMT13" s="41"/>
      <c r="SMU13" s="41"/>
      <c r="SMV13" s="41"/>
      <c r="SMW13" s="41"/>
      <c r="SMX13" s="41"/>
      <c r="SMY13" s="41"/>
      <c r="SMZ13" s="41"/>
      <c r="SNA13" s="41"/>
      <c r="SNB13" s="41"/>
      <c r="SNC13" s="41"/>
      <c r="SND13" s="41"/>
      <c r="SNE13" s="41"/>
      <c r="SNF13" s="41"/>
      <c r="SNG13" s="41"/>
      <c r="SNH13" s="41"/>
      <c r="SNI13" s="41"/>
      <c r="SNJ13" s="41"/>
      <c r="SNK13" s="41"/>
      <c r="SNL13" s="41"/>
      <c r="SNM13" s="41"/>
      <c r="SNN13" s="41"/>
      <c r="SNO13" s="41"/>
      <c r="SNP13" s="41"/>
      <c r="SNQ13" s="41"/>
      <c r="SNR13" s="41"/>
      <c r="SNS13" s="41"/>
      <c r="SNT13" s="41"/>
      <c r="SNU13" s="41"/>
      <c r="SNV13" s="41"/>
      <c r="SNW13" s="41"/>
      <c r="SNX13" s="41"/>
      <c r="SNY13" s="41"/>
      <c r="SNZ13" s="41"/>
      <c r="SOA13" s="41"/>
      <c r="SOB13" s="41"/>
      <c r="SOC13" s="41"/>
      <c r="SOD13" s="41"/>
      <c r="SOE13" s="41"/>
      <c r="SOF13" s="41"/>
      <c r="SOG13" s="41"/>
      <c r="SOH13" s="41"/>
      <c r="SOI13" s="41"/>
      <c r="SOJ13" s="41"/>
      <c r="SOK13" s="41"/>
      <c r="SOL13" s="41"/>
      <c r="SOM13" s="41"/>
      <c r="SON13" s="41"/>
      <c r="SOO13" s="41"/>
      <c r="SOP13" s="41"/>
      <c r="SOQ13" s="41"/>
      <c r="SOR13" s="41"/>
      <c r="SOS13" s="41"/>
      <c r="SOT13" s="41"/>
      <c r="SOU13" s="41"/>
      <c r="SOV13" s="41"/>
      <c r="SOW13" s="41"/>
      <c r="SOX13" s="41"/>
      <c r="SOY13" s="41"/>
      <c r="SOZ13" s="41"/>
      <c r="SPA13" s="41"/>
      <c r="SPB13" s="41"/>
      <c r="SPC13" s="41"/>
      <c r="SPD13" s="41"/>
      <c r="SPE13" s="41"/>
      <c r="SPF13" s="41"/>
      <c r="SPG13" s="41"/>
      <c r="SPH13" s="41"/>
      <c r="SPI13" s="41"/>
      <c r="SPJ13" s="41"/>
      <c r="SPK13" s="41"/>
      <c r="SPL13" s="41"/>
      <c r="SPM13" s="41"/>
      <c r="SPN13" s="41"/>
      <c r="SPO13" s="41"/>
      <c r="SPP13" s="41"/>
      <c r="SPQ13" s="41"/>
      <c r="SPR13" s="41"/>
      <c r="SPS13" s="41"/>
      <c r="SPT13" s="41"/>
      <c r="SPU13" s="41"/>
      <c r="SPV13" s="41"/>
      <c r="SPW13" s="41"/>
      <c r="SPX13" s="41"/>
      <c r="SPY13" s="41"/>
      <c r="SPZ13" s="41"/>
      <c r="SQA13" s="41"/>
      <c r="SQB13" s="41"/>
      <c r="SQC13" s="41"/>
      <c r="SQD13" s="41"/>
      <c r="SQE13" s="41"/>
      <c r="SQF13" s="41"/>
      <c r="SQG13" s="41"/>
      <c r="SQH13" s="41"/>
      <c r="SQI13" s="41"/>
      <c r="SQJ13" s="41"/>
      <c r="SQK13" s="41"/>
      <c r="SQL13" s="41"/>
      <c r="SQM13" s="41"/>
      <c r="SQN13" s="41"/>
      <c r="SQO13" s="41"/>
      <c r="SQP13" s="41"/>
      <c r="SQQ13" s="41"/>
      <c r="SQR13" s="41"/>
      <c r="SQS13" s="41"/>
      <c r="SQT13" s="41"/>
      <c r="SQU13" s="41"/>
      <c r="SQV13" s="41"/>
      <c r="SQW13" s="41"/>
      <c r="SQX13" s="41"/>
      <c r="SQY13" s="41"/>
      <c r="SQZ13" s="41"/>
      <c r="SRA13" s="41"/>
      <c r="SRB13" s="41"/>
      <c r="SRC13" s="41"/>
      <c r="SRD13" s="41"/>
      <c r="SRE13" s="41"/>
      <c r="SRF13" s="41"/>
      <c r="SRG13" s="41"/>
      <c r="SRH13" s="41"/>
      <c r="SRI13" s="41"/>
      <c r="SRJ13" s="41"/>
      <c r="SRK13" s="41"/>
      <c r="SRL13" s="41"/>
      <c r="SRM13" s="41"/>
      <c r="SRN13" s="41"/>
      <c r="SRO13" s="41"/>
      <c r="SRP13" s="41"/>
      <c r="SRQ13" s="41"/>
      <c r="SRR13" s="41"/>
      <c r="SRS13" s="41"/>
      <c r="SRT13" s="41"/>
      <c r="SRU13" s="41"/>
      <c r="SRV13" s="41"/>
      <c r="SRW13" s="41"/>
      <c r="SRX13" s="41"/>
      <c r="SRY13" s="41"/>
      <c r="SRZ13" s="41"/>
      <c r="SSA13" s="41"/>
      <c r="SSB13" s="41"/>
      <c r="SSC13" s="41"/>
      <c r="SSD13" s="41"/>
      <c r="SSE13" s="41"/>
      <c r="SSF13" s="41"/>
      <c r="SSG13" s="41"/>
      <c r="SSH13" s="41"/>
      <c r="SSI13" s="41"/>
      <c r="SSJ13" s="41"/>
      <c r="SSK13" s="41"/>
      <c r="SSL13" s="41"/>
      <c r="SSM13" s="41"/>
      <c r="SSN13" s="41"/>
      <c r="SSO13" s="41"/>
      <c r="SSP13" s="41"/>
      <c r="SSQ13" s="41"/>
      <c r="SSR13" s="41"/>
      <c r="SSS13" s="41"/>
      <c r="SST13" s="41"/>
      <c r="SSU13" s="41"/>
      <c r="SSV13" s="41"/>
      <c r="SSW13" s="41"/>
      <c r="SSX13" s="41"/>
      <c r="SSY13" s="41"/>
      <c r="SSZ13" s="41"/>
      <c r="STA13" s="41"/>
      <c r="STB13" s="41"/>
      <c r="STC13" s="41"/>
      <c r="STD13" s="41"/>
      <c r="STE13" s="41"/>
      <c r="STF13" s="41"/>
      <c r="STG13" s="41"/>
      <c r="STH13" s="41"/>
      <c r="STI13" s="41"/>
      <c r="STJ13" s="41"/>
      <c r="STK13" s="41"/>
      <c r="STL13" s="41"/>
      <c r="STM13" s="41"/>
      <c r="STN13" s="41"/>
      <c r="STO13" s="41"/>
      <c r="STP13" s="41"/>
      <c r="STQ13" s="41"/>
      <c r="STR13" s="41"/>
      <c r="STS13" s="41"/>
      <c r="STT13" s="41"/>
      <c r="STU13" s="41"/>
      <c r="STV13" s="41"/>
      <c r="STW13" s="41"/>
      <c r="STX13" s="41"/>
      <c r="STY13" s="41"/>
      <c r="STZ13" s="41"/>
      <c r="SUA13" s="41"/>
      <c r="SUB13" s="41"/>
      <c r="SUC13" s="41"/>
      <c r="SUD13" s="41"/>
      <c r="SUE13" s="41"/>
      <c r="SUF13" s="41"/>
      <c r="SUG13" s="41"/>
      <c r="SUH13" s="41"/>
      <c r="SUI13" s="41"/>
      <c r="SUJ13" s="41"/>
      <c r="SUK13" s="41"/>
      <c r="SUL13" s="41"/>
      <c r="SUM13" s="41"/>
      <c r="SUN13" s="41"/>
      <c r="SUO13" s="41"/>
      <c r="SUP13" s="41"/>
      <c r="SUQ13" s="41"/>
      <c r="SUR13" s="41"/>
      <c r="SUS13" s="41"/>
      <c r="SUT13" s="41"/>
      <c r="SUU13" s="41"/>
      <c r="SUV13" s="41"/>
      <c r="SUW13" s="41"/>
      <c r="SUX13" s="41"/>
      <c r="SUY13" s="41"/>
      <c r="SUZ13" s="41"/>
      <c r="SVA13" s="41"/>
      <c r="SVB13" s="41"/>
      <c r="SVC13" s="41"/>
      <c r="SVD13" s="41"/>
      <c r="SVE13" s="41"/>
      <c r="SVF13" s="41"/>
      <c r="SVG13" s="41"/>
      <c r="SVH13" s="41"/>
      <c r="SVI13" s="41"/>
      <c r="SVJ13" s="41"/>
      <c r="SVK13" s="41"/>
      <c r="SVL13" s="41"/>
      <c r="SVM13" s="41"/>
      <c r="SVN13" s="41"/>
      <c r="SVO13" s="41"/>
      <c r="SVP13" s="41"/>
      <c r="SVQ13" s="41"/>
      <c r="SVR13" s="41"/>
      <c r="SVS13" s="41"/>
      <c r="SVT13" s="41"/>
      <c r="SVU13" s="41"/>
      <c r="SVV13" s="41"/>
      <c r="SVW13" s="41"/>
      <c r="SVX13" s="41"/>
      <c r="SVY13" s="41"/>
      <c r="SVZ13" s="41"/>
      <c r="SWA13" s="41"/>
      <c r="SWB13" s="41"/>
      <c r="SWC13" s="41"/>
      <c r="SWD13" s="41"/>
      <c r="SWE13" s="41"/>
      <c r="SWF13" s="41"/>
      <c r="SWG13" s="41"/>
      <c r="SWH13" s="41"/>
      <c r="SWI13" s="41"/>
      <c r="SWJ13" s="41"/>
      <c r="SWK13" s="41"/>
      <c r="SWL13" s="41"/>
      <c r="SWM13" s="41"/>
      <c r="SWN13" s="41"/>
      <c r="SWO13" s="41"/>
      <c r="SWP13" s="41"/>
      <c r="SWQ13" s="41"/>
      <c r="SWR13" s="41"/>
      <c r="SWS13" s="41"/>
      <c r="SWT13" s="41"/>
      <c r="SWU13" s="41"/>
      <c r="SWV13" s="41"/>
      <c r="SWW13" s="41"/>
      <c r="SWX13" s="41"/>
      <c r="SWY13" s="41"/>
      <c r="SWZ13" s="41"/>
      <c r="SXA13" s="41"/>
      <c r="SXB13" s="41"/>
      <c r="SXC13" s="41"/>
      <c r="SXD13" s="41"/>
      <c r="SXE13" s="41"/>
      <c r="SXF13" s="41"/>
      <c r="SXG13" s="41"/>
      <c r="SXH13" s="41"/>
      <c r="SXI13" s="41"/>
      <c r="SXJ13" s="41"/>
      <c r="SXK13" s="41"/>
      <c r="SXL13" s="41"/>
      <c r="SXM13" s="41"/>
      <c r="SXN13" s="41"/>
      <c r="SXO13" s="41"/>
      <c r="SXP13" s="41"/>
      <c r="SXQ13" s="41"/>
      <c r="SXR13" s="41"/>
      <c r="SXS13" s="41"/>
      <c r="SXT13" s="41"/>
      <c r="SXU13" s="41"/>
      <c r="SXV13" s="41"/>
      <c r="SXW13" s="41"/>
      <c r="SXX13" s="41"/>
      <c r="SXY13" s="41"/>
      <c r="SXZ13" s="41"/>
      <c r="SYA13" s="41"/>
      <c r="SYB13" s="41"/>
      <c r="SYC13" s="41"/>
      <c r="SYD13" s="41"/>
      <c r="SYE13" s="41"/>
      <c r="SYF13" s="41"/>
      <c r="SYG13" s="41"/>
      <c r="SYH13" s="41"/>
      <c r="SYI13" s="41"/>
      <c r="SYJ13" s="41"/>
      <c r="SYK13" s="41"/>
      <c r="SYL13" s="41"/>
      <c r="SYM13" s="41"/>
      <c r="SYN13" s="41"/>
      <c r="SYO13" s="41"/>
      <c r="SYP13" s="41"/>
      <c r="SYQ13" s="41"/>
      <c r="SYR13" s="41"/>
      <c r="SYS13" s="41"/>
      <c r="SYT13" s="41"/>
      <c r="SYU13" s="41"/>
      <c r="SYV13" s="41"/>
      <c r="SYW13" s="41"/>
      <c r="SYX13" s="41"/>
      <c r="SYY13" s="41"/>
      <c r="SYZ13" s="41"/>
      <c r="SZA13" s="41"/>
      <c r="SZB13" s="41"/>
      <c r="SZC13" s="41"/>
      <c r="SZD13" s="41"/>
      <c r="SZE13" s="41"/>
      <c r="SZF13" s="41"/>
      <c r="SZG13" s="41"/>
      <c r="SZH13" s="41"/>
      <c r="SZI13" s="41"/>
      <c r="SZJ13" s="41"/>
      <c r="SZK13" s="41"/>
      <c r="SZL13" s="41"/>
      <c r="SZM13" s="41"/>
      <c r="SZN13" s="41"/>
      <c r="SZO13" s="41"/>
      <c r="SZP13" s="41"/>
      <c r="SZQ13" s="41"/>
      <c r="SZR13" s="41"/>
      <c r="SZS13" s="41"/>
      <c r="SZT13" s="41"/>
      <c r="SZU13" s="41"/>
      <c r="SZV13" s="41"/>
      <c r="SZW13" s="41"/>
      <c r="SZX13" s="41"/>
      <c r="SZY13" s="41"/>
      <c r="SZZ13" s="41"/>
      <c r="TAA13" s="41"/>
      <c r="TAB13" s="41"/>
      <c r="TAC13" s="41"/>
      <c r="TAD13" s="41"/>
      <c r="TAE13" s="41"/>
      <c r="TAF13" s="41"/>
      <c r="TAG13" s="41"/>
      <c r="TAH13" s="41"/>
      <c r="TAI13" s="41"/>
      <c r="TAJ13" s="41"/>
      <c r="TAK13" s="41"/>
      <c r="TAL13" s="41"/>
      <c r="TAM13" s="41"/>
      <c r="TAN13" s="41"/>
      <c r="TAO13" s="41"/>
      <c r="TAP13" s="41"/>
      <c r="TAQ13" s="41"/>
      <c r="TAR13" s="41"/>
      <c r="TAS13" s="41"/>
      <c r="TAT13" s="41"/>
      <c r="TAU13" s="41"/>
      <c r="TAV13" s="41"/>
      <c r="TAW13" s="41"/>
      <c r="TAX13" s="41"/>
      <c r="TAY13" s="41"/>
      <c r="TAZ13" s="41"/>
      <c r="TBA13" s="41"/>
      <c r="TBB13" s="41"/>
      <c r="TBC13" s="41"/>
      <c r="TBD13" s="41"/>
      <c r="TBE13" s="41"/>
      <c r="TBF13" s="41"/>
      <c r="TBG13" s="41"/>
      <c r="TBH13" s="41"/>
      <c r="TBI13" s="41"/>
      <c r="TBJ13" s="41"/>
      <c r="TBK13" s="41"/>
      <c r="TBL13" s="41"/>
      <c r="TBM13" s="41"/>
      <c r="TBN13" s="41"/>
      <c r="TBO13" s="41"/>
      <c r="TBP13" s="41"/>
      <c r="TBQ13" s="41"/>
      <c r="TBR13" s="41"/>
      <c r="TBS13" s="41"/>
      <c r="TBT13" s="41"/>
      <c r="TBU13" s="41"/>
      <c r="TBV13" s="41"/>
      <c r="TBW13" s="41"/>
      <c r="TBX13" s="41"/>
      <c r="TBY13" s="41"/>
      <c r="TBZ13" s="41"/>
      <c r="TCA13" s="41"/>
      <c r="TCB13" s="41"/>
      <c r="TCC13" s="41"/>
      <c r="TCD13" s="41"/>
      <c r="TCE13" s="41"/>
      <c r="TCF13" s="41"/>
      <c r="TCG13" s="41"/>
      <c r="TCH13" s="41"/>
      <c r="TCI13" s="41"/>
      <c r="TCJ13" s="41"/>
      <c r="TCK13" s="41"/>
      <c r="TCL13" s="41"/>
      <c r="TCM13" s="41"/>
      <c r="TCN13" s="41"/>
      <c r="TCO13" s="41"/>
      <c r="TCP13" s="41"/>
      <c r="TCQ13" s="41"/>
      <c r="TCR13" s="41"/>
      <c r="TCS13" s="41"/>
      <c r="TCT13" s="41"/>
      <c r="TCU13" s="41"/>
      <c r="TCV13" s="41"/>
      <c r="TCW13" s="41"/>
      <c r="TCX13" s="41"/>
      <c r="TCY13" s="41"/>
      <c r="TCZ13" s="41"/>
      <c r="TDA13" s="41"/>
      <c r="TDB13" s="41"/>
      <c r="TDC13" s="41"/>
      <c r="TDD13" s="41"/>
      <c r="TDE13" s="41"/>
      <c r="TDF13" s="41"/>
      <c r="TDG13" s="41"/>
      <c r="TDH13" s="41"/>
      <c r="TDI13" s="41"/>
      <c r="TDJ13" s="41"/>
      <c r="TDK13" s="41"/>
      <c r="TDL13" s="41"/>
      <c r="TDM13" s="41"/>
      <c r="TDN13" s="41"/>
      <c r="TDO13" s="41"/>
      <c r="TDP13" s="41"/>
      <c r="TDQ13" s="41"/>
      <c r="TDR13" s="41"/>
      <c r="TDS13" s="41"/>
      <c r="TDT13" s="41"/>
      <c r="TDU13" s="41"/>
      <c r="TDV13" s="41"/>
      <c r="TDW13" s="41"/>
      <c r="TDX13" s="41"/>
      <c r="TDY13" s="41"/>
      <c r="TDZ13" s="41"/>
      <c r="TEA13" s="41"/>
      <c r="TEB13" s="41"/>
      <c r="TEC13" s="41"/>
      <c r="TED13" s="41"/>
      <c r="TEE13" s="41"/>
      <c r="TEF13" s="41"/>
      <c r="TEG13" s="41"/>
      <c r="TEH13" s="41"/>
      <c r="TEI13" s="41"/>
      <c r="TEJ13" s="41"/>
      <c r="TEK13" s="41"/>
      <c r="TEL13" s="41"/>
      <c r="TEM13" s="41"/>
      <c r="TEN13" s="41"/>
      <c r="TEO13" s="41"/>
      <c r="TEP13" s="41"/>
      <c r="TEQ13" s="41"/>
      <c r="TER13" s="41"/>
      <c r="TES13" s="41"/>
      <c r="TET13" s="41"/>
      <c r="TEU13" s="41"/>
      <c r="TEV13" s="41"/>
      <c r="TEW13" s="41"/>
      <c r="TEX13" s="41"/>
      <c r="TEY13" s="41"/>
      <c r="TEZ13" s="41"/>
      <c r="TFA13" s="41"/>
      <c r="TFB13" s="41"/>
      <c r="TFC13" s="41"/>
      <c r="TFD13" s="41"/>
      <c r="TFE13" s="41"/>
      <c r="TFF13" s="41"/>
      <c r="TFG13" s="41"/>
      <c r="TFH13" s="41"/>
      <c r="TFI13" s="41"/>
      <c r="TFJ13" s="41"/>
      <c r="TFK13" s="41"/>
      <c r="TFL13" s="41"/>
      <c r="TFM13" s="41"/>
      <c r="TFN13" s="41"/>
      <c r="TFO13" s="41"/>
      <c r="TFP13" s="41"/>
      <c r="TFQ13" s="41"/>
      <c r="TFR13" s="41"/>
      <c r="TFS13" s="41"/>
      <c r="TFT13" s="41"/>
      <c r="TFU13" s="41"/>
      <c r="TFV13" s="41"/>
      <c r="TFW13" s="41"/>
      <c r="TFX13" s="41"/>
      <c r="TFY13" s="41"/>
      <c r="TFZ13" s="41"/>
      <c r="TGA13" s="41"/>
      <c r="TGB13" s="41"/>
      <c r="TGC13" s="41"/>
      <c r="TGD13" s="41"/>
      <c r="TGE13" s="41"/>
      <c r="TGF13" s="41"/>
      <c r="TGG13" s="41"/>
      <c r="TGH13" s="41"/>
      <c r="TGI13" s="41"/>
      <c r="TGJ13" s="41"/>
      <c r="TGK13" s="41"/>
      <c r="TGL13" s="41"/>
      <c r="TGM13" s="41"/>
      <c r="TGN13" s="41"/>
      <c r="TGO13" s="41"/>
      <c r="TGP13" s="41"/>
      <c r="TGQ13" s="41"/>
      <c r="TGR13" s="41"/>
      <c r="TGS13" s="41"/>
      <c r="TGT13" s="41"/>
      <c r="TGU13" s="41"/>
      <c r="TGV13" s="41"/>
      <c r="TGW13" s="41"/>
      <c r="TGX13" s="41"/>
      <c r="TGY13" s="41"/>
      <c r="TGZ13" s="41"/>
      <c r="THA13" s="41"/>
      <c r="THB13" s="41"/>
      <c r="THC13" s="41"/>
      <c r="THD13" s="41"/>
      <c r="THE13" s="41"/>
      <c r="THF13" s="41"/>
      <c r="THG13" s="41"/>
      <c r="THH13" s="41"/>
      <c r="THI13" s="41"/>
      <c r="THJ13" s="41"/>
      <c r="THK13" s="41"/>
      <c r="THL13" s="41"/>
      <c r="THM13" s="41"/>
      <c r="THN13" s="41"/>
      <c r="THO13" s="41"/>
      <c r="THP13" s="41"/>
      <c r="THQ13" s="41"/>
      <c r="THR13" s="41"/>
      <c r="THS13" s="41"/>
      <c r="THT13" s="41"/>
      <c r="THU13" s="41"/>
      <c r="THV13" s="41"/>
      <c r="THW13" s="41"/>
      <c r="THX13" s="41"/>
      <c r="THY13" s="41"/>
      <c r="THZ13" s="41"/>
      <c r="TIA13" s="41"/>
      <c r="TIB13" s="41"/>
      <c r="TIC13" s="41"/>
      <c r="TID13" s="41"/>
      <c r="TIE13" s="41"/>
      <c r="TIF13" s="41"/>
      <c r="TIG13" s="41"/>
      <c r="TIH13" s="41"/>
      <c r="TII13" s="41"/>
      <c r="TIJ13" s="41"/>
      <c r="TIK13" s="41"/>
      <c r="TIL13" s="41"/>
      <c r="TIM13" s="41"/>
      <c r="TIN13" s="41"/>
      <c r="TIO13" s="41"/>
      <c r="TIP13" s="41"/>
      <c r="TIQ13" s="41"/>
      <c r="TIR13" s="41"/>
      <c r="TIS13" s="41"/>
      <c r="TIT13" s="41"/>
      <c r="TIU13" s="41"/>
      <c r="TIV13" s="41"/>
      <c r="TIW13" s="41"/>
      <c r="TIX13" s="41"/>
      <c r="TIY13" s="41"/>
      <c r="TIZ13" s="41"/>
      <c r="TJA13" s="41"/>
      <c r="TJB13" s="41"/>
      <c r="TJC13" s="41"/>
      <c r="TJD13" s="41"/>
      <c r="TJE13" s="41"/>
      <c r="TJF13" s="41"/>
      <c r="TJG13" s="41"/>
      <c r="TJH13" s="41"/>
      <c r="TJI13" s="41"/>
      <c r="TJJ13" s="41"/>
      <c r="TJK13" s="41"/>
      <c r="TJL13" s="41"/>
      <c r="TJM13" s="41"/>
      <c r="TJN13" s="41"/>
      <c r="TJO13" s="41"/>
      <c r="TJP13" s="41"/>
      <c r="TJQ13" s="41"/>
      <c r="TJR13" s="41"/>
      <c r="TJS13" s="41"/>
      <c r="TJT13" s="41"/>
      <c r="TJU13" s="41"/>
      <c r="TJV13" s="41"/>
      <c r="TJW13" s="41"/>
      <c r="TJX13" s="41"/>
      <c r="TJY13" s="41"/>
      <c r="TJZ13" s="41"/>
      <c r="TKA13" s="41"/>
      <c r="TKB13" s="41"/>
      <c r="TKC13" s="41"/>
      <c r="TKD13" s="41"/>
      <c r="TKE13" s="41"/>
      <c r="TKF13" s="41"/>
      <c r="TKG13" s="41"/>
      <c r="TKH13" s="41"/>
      <c r="TKI13" s="41"/>
      <c r="TKJ13" s="41"/>
      <c r="TKK13" s="41"/>
      <c r="TKL13" s="41"/>
      <c r="TKM13" s="41"/>
      <c r="TKN13" s="41"/>
      <c r="TKO13" s="41"/>
      <c r="TKP13" s="41"/>
      <c r="TKQ13" s="41"/>
      <c r="TKR13" s="41"/>
      <c r="TKS13" s="41"/>
      <c r="TKT13" s="41"/>
      <c r="TKU13" s="41"/>
      <c r="TKV13" s="41"/>
      <c r="TKW13" s="41"/>
      <c r="TKX13" s="41"/>
      <c r="TKY13" s="41"/>
      <c r="TKZ13" s="41"/>
      <c r="TLA13" s="41"/>
      <c r="TLB13" s="41"/>
      <c r="TLC13" s="41"/>
      <c r="TLD13" s="41"/>
      <c r="TLE13" s="41"/>
      <c r="TLF13" s="41"/>
      <c r="TLG13" s="41"/>
      <c r="TLH13" s="41"/>
      <c r="TLI13" s="41"/>
      <c r="TLJ13" s="41"/>
      <c r="TLK13" s="41"/>
      <c r="TLL13" s="41"/>
      <c r="TLM13" s="41"/>
      <c r="TLN13" s="41"/>
      <c r="TLO13" s="41"/>
      <c r="TLP13" s="41"/>
      <c r="TLQ13" s="41"/>
      <c r="TLR13" s="41"/>
      <c r="TLS13" s="41"/>
      <c r="TLT13" s="41"/>
      <c r="TLU13" s="41"/>
      <c r="TLV13" s="41"/>
      <c r="TLW13" s="41"/>
      <c r="TLX13" s="41"/>
      <c r="TLY13" s="41"/>
      <c r="TLZ13" s="41"/>
      <c r="TMA13" s="41"/>
      <c r="TMB13" s="41"/>
      <c r="TMC13" s="41"/>
      <c r="TMD13" s="41"/>
      <c r="TME13" s="41"/>
      <c r="TMF13" s="41"/>
      <c r="TMG13" s="41"/>
      <c r="TMH13" s="41"/>
      <c r="TMI13" s="41"/>
      <c r="TMJ13" s="41"/>
      <c r="TMK13" s="41"/>
      <c r="TML13" s="41"/>
      <c r="TMM13" s="41"/>
      <c r="TMN13" s="41"/>
      <c r="TMO13" s="41"/>
      <c r="TMP13" s="41"/>
      <c r="TMQ13" s="41"/>
      <c r="TMR13" s="41"/>
      <c r="TMS13" s="41"/>
      <c r="TMT13" s="41"/>
      <c r="TMU13" s="41"/>
      <c r="TMV13" s="41"/>
      <c r="TMW13" s="41"/>
      <c r="TMX13" s="41"/>
      <c r="TMY13" s="41"/>
      <c r="TMZ13" s="41"/>
      <c r="TNA13" s="41"/>
      <c r="TNB13" s="41"/>
      <c r="TNC13" s="41"/>
      <c r="TND13" s="41"/>
      <c r="TNE13" s="41"/>
      <c r="TNF13" s="41"/>
      <c r="TNG13" s="41"/>
      <c r="TNH13" s="41"/>
      <c r="TNI13" s="41"/>
      <c r="TNJ13" s="41"/>
      <c r="TNK13" s="41"/>
      <c r="TNL13" s="41"/>
      <c r="TNM13" s="41"/>
      <c r="TNN13" s="41"/>
      <c r="TNO13" s="41"/>
      <c r="TNP13" s="41"/>
      <c r="TNQ13" s="41"/>
      <c r="TNR13" s="41"/>
      <c r="TNS13" s="41"/>
      <c r="TNT13" s="41"/>
      <c r="TNU13" s="41"/>
      <c r="TNV13" s="41"/>
      <c r="TNW13" s="41"/>
      <c r="TNX13" s="41"/>
      <c r="TNY13" s="41"/>
      <c r="TNZ13" s="41"/>
      <c r="TOA13" s="41"/>
      <c r="TOB13" s="41"/>
      <c r="TOC13" s="41"/>
      <c r="TOD13" s="41"/>
      <c r="TOE13" s="41"/>
      <c r="TOF13" s="41"/>
      <c r="TOG13" s="41"/>
      <c r="TOH13" s="41"/>
      <c r="TOI13" s="41"/>
      <c r="TOJ13" s="41"/>
      <c r="TOK13" s="41"/>
      <c r="TOL13" s="41"/>
      <c r="TOM13" s="41"/>
      <c r="TON13" s="41"/>
      <c r="TOO13" s="41"/>
      <c r="TOP13" s="41"/>
      <c r="TOQ13" s="41"/>
      <c r="TOR13" s="41"/>
      <c r="TOS13" s="41"/>
      <c r="TOT13" s="41"/>
      <c r="TOU13" s="41"/>
      <c r="TOV13" s="41"/>
      <c r="TOW13" s="41"/>
      <c r="TOX13" s="41"/>
      <c r="TOY13" s="41"/>
      <c r="TOZ13" s="41"/>
      <c r="TPA13" s="41"/>
      <c r="TPB13" s="41"/>
      <c r="TPC13" s="41"/>
      <c r="TPD13" s="41"/>
      <c r="TPE13" s="41"/>
      <c r="TPF13" s="41"/>
      <c r="TPG13" s="41"/>
      <c r="TPH13" s="41"/>
      <c r="TPI13" s="41"/>
      <c r="TPJ13" s="41"/>
      <c r="TPK13" s="41"/>
      <c r="TPL13" s="41"/>
      <c r="TPM13" s="41"/>
      <c r="TPN13" s="41"/>
      <c r="TPO13" s="41"/>
      <c r="TPP13" s="41"/>
      <c r="TPQ13" s="41"/>
      <c r="TPR13" s="41"/>
      <c r="TPS13" s="41"/>
      <c r="TPT13" s="41"/>
      <c r="TPU13" s="41"/>
      <c r="TPV13" s="41"/>
      <c r="TPW13" s="41"/>
      <c r="TPX13" s="41"/>
      <c r="TPY13" s="41"/>
      <c r="TPZ13" s="41"/>
      <c r="TQA13" s="41"/>
      <c r="TQB13" s="41"/>
      <c r="TQC13" s="41"/>
      <c r="TQD13" s="41"/>
      <c r="TQE13" s="41"/>
      <c r="TQF13" s="41"/>
      <c r="TQG13" s="41"/>
      <c r="TQH13" s="41"/>
      <c r="TQI13" s="41"/>
      <c r="TQJ13" s="41"/>
      <c r="TQK13" s="41"/>
      <c r="TQL13" s="41"/>
      <c r="TQM13" s="41"/>
      <c r="TQN13" s="41"/>
      <c r="TQO13" s="41"/>
      <c r="TQP13" s="41"/>
      <c r="TQQ13" s="41"/>
      <c r="TQR13" s="41"/>
      <c r="TQS13" s="41"/>
      <c r="TQT13" s="41"/>
      <c r="TQU13" s="41"/>
      <c r="TQV13" s="41"/>
      <c r="TQW13" s="41"/>
      <c r="TQX13" s="41"/>
      <c r="TQY13" s="41"/>
      <c r="TQZ13" s="41"/>
      <c r="TRA13" s="41"/>
      <c r="TRB13" s="41"/>
      <c r="TRC13" s="41"/>
      <c r="TRD13" s="41"/>
      <c r="TRE13" s="41"/>
      <c r="TRF13" s="41"/>
      <c r="TRG13" s="41"/>
      <c r="TRH13" s="41"/>
      <c r="TRI13" s="41"/>
      <c r="TRJ13" s="41"/>
      <c r="TRK13" s="41"/>
      <c r="TRL13" s="41"/>
      <c r="TRM13" s="41"/>
      <c r="TRN13" s="41"/>
      <c r="TRO13" s="41"/>
      <c r="TRP13" s="41"/>
      <c r="TRQ13" s="41"/>
      <c r="TRR13" s="41"/>
      <c r="TRS13" s="41"/>
      <c r="TRT13" s="41"/>
      <c r="TRU13" s="41"/>
      <c r="TRV13" s="41"/>
      <c r="TRW13" s="41"/>
      <c r="TRX13" s="41"/>
      <c r="TRY13" s="41"/>
      <c r="TRZ13" s="41"/>
      <c r="TSA13" s="41"/>
      <c r="TSB13" s="41"/>
      <c r="TSC13" s="41"/>
      <c r="TSD13" s="41"/>
      <c r="TSE13" s="41"/>
      <c r="TSF13" s="41"/>
      <c r="TSG13" s="41"/>
      <c r="TSH13" s="41"/>
      <c r="TSI13" s="41"/>
      <c r="TSJ13" s="41"/>
      <c r="TSK13" s="41"/>
      <c r="TSL13" s="41"/>
      <c r="TSM13" s="41"/>
      <c r="TSN13" s="41"/>
      <c r="TSO13" s="41"/>
      <c r="TSP13" s="41"/>
      <c r="TSQ13" s="41"/>
      <c r="TSR13" s="41"/>
      <c r="TSS13" s="41"/>
      <c r="TST13" s="41"/>
      <c r="TSU13" s="41"/>
      <c r="TSV13" s="41"/>
      <c r="TSW13" s="41"/>
      <c r="TSX13" s="41"/>
      <c r="TSY13" s="41"/>
      <c r="TSZ13" s="41"/>
      <c r="TTA13" s="41"/>
      <c r="TTB13" s="41"/>
      <c r="TTC13" s="41"/>
      <c r="TTD13" s="41"/>
      <c r="TTE13" s="41"/>
      <c r="TTF13" s="41"/>
      <c r="TTG13" s="41"/>
      <c r="TTH13" s="41"/>
      <c r="TTI13" s="41"/>
      <c r="TTJ13" s="41"/>
      <c r="TTK13" s="41"/>
      <c r="TTL13" s="41"/>
      <c r="TTM13" s="41"/>
      <c r="TTN13" s="41"/>
      <c r="TTO13" s="41"/>
      <c r="TTP13" s="41"/>
      <c r="TTQ13" s="41"/>
      <c r="TTR13" s="41"/>
      <c r="TTS13" s="41"/>
      <c r="TTT13" s="41"/>
      <c r="TTU13" s="41"/>
      <c r="TTV13" s="41"/>
      <c r="TTW13" s="41"/>
      <c r="TTX13" s="41"/>
      <c r="TTY13" s="41"/>
      <c r="TTZ13" s="41"/>
      <c r="TUA13" s="41"/>
      <c r="TUB13" s="41"/>
      <c r="TUC13" s="41"/>
      <c r="TUD13" s="41"/>
      <c r="TUE13" s="41"/>
      <c r="TUF13" s="41"/>
      <c r="TUG13" s="41"/>
      <c r="TUH13" s="41"/>
      <c r="TUI13" s="41"/>
      <c r="TUJ13" s="41"/>
      <c r="TUK13" s="41"/>
      <c r="TUL13" s="41"/>
      <c r="TUM13" s="41"/>
      <c r="TUN13" s="41"/>
      <c r="TUO13" s="41"/>
      <c r="TUP13" s="41"/>
      <c r="TUQ13" s="41"/>
      <c r="TUR13" s="41"/>
      <c r="TUS13" s="41"/>
      <c r="TUT13" s="41"/>
      <c r="TUU13" s="41"/>
      <c r="TUV13" s="41"/>
      <c r="TUW13" s="41"/>
      <c r="TUX13" s="41"/>
      <c r="TUY13" s="41"/>
      <c r="TUZ13" s="41"/>
      <c r="TVA13" s="41"/>
      <c r="TVB13" s="41"/>
      <c r="TVC13" s="41"/>
      <c r="TVD13" s="41"/>
      <c r="TVE13" s="41"/>
      <c r="TVF13" s="41"/>
      <c r="TVG13" s="41"/>
      <c r="TVH13" s="41"/>
      <c r="TVI13" s="41"/>
      <c r="TVJ13" s="41"/>
      <c r="TVK13" s="41"/>
      <c r="TVL13" s="41"/>
      <c r="TVM13" s="41"/>
      <c r="TVN13" s="41"/>
      <c r="TVO13" s="41"/>
      <c r="TVP13" s="41"/>
      <c r="TVQ13" s="41"/>
      <c r="TVR13" s="41"/>
      <c r="TVS13" s="41"/>
      <c r="TVT13" s="41"/>
      <c r="TVU13" s="41"/>
      <c r="TVV13" s="41"/>
      <c r="TVW13" s="41"/>
      <c r="TVX13" s="41"/>
      <c r="TVY13" s="41"/>
      <c r="TVZ13" s="41"/>
      <c r="TWA13" s="41"/>
      <c r="TWB13" s="41"/>
      <c r="TWC13" s="41"/>
      <c r="TWD13" s="41"/>
      <c r="TWE13" s="41"/>
      <c r="TWF13" s="41"/>
      <c r="TWG13" s="41"/>
      <c r="TWH13" s="41"/>
      <c r="TWI13" s="41"/>
      <c r="TWJ13" s="41"/>
      <c r="TWK13" s="41"/>
      <c r="TWL13" s="41"/>
      <c r="TWM13" s="41"/>
      <c r="TWN13" s="41"/>
      <c r="TWO13" s="41"/>
      <c r="TWP13" s="41"/>
      <c r="TWQ13" s="41"/>
      <c r="TWR13" s="41"/>
      <c r="TWS13" s="41"/>
      <c r="TWT13" s="41"/>
      <c r="TWU13" s="41"/>
      <c r="TWV13" s="41"/>
      <c r="TWW13" s="41"/>
      <c r="TWX13" s="41"/>
      <c r="TWY13" s="41"/>
      <c r="TWZ13" s="41"/>
      <c r="TXA13" s="41"/>
      <c r="TXB13" s="41"/>
      <c r="TXC13" s="41"/>
      <c r="TXD13" s="41"/>
      <c r="TXE13" s="41"/>
      <c r="TXF13" s="41"/>
      <c r="TXG13" s="41"/>
      <c r="TXH13" s="41"/>
      <c r="TXI13" s="41"/>
      <c r="TXJ13" s="41"/>
      <c r="TXK13" s="41"/>
      <c r="TXL13" s="41"/>
      <c r="TXM13" s="41"/>
      <c r="TXN13" s="41"/>
      <c r="TXO13" s="41"/>
      <c r="TXP13" s="41"/>
      <c r="TXQ13" s="41"/>
      <c r="TXR13" s="41"/>
      <c r="TXS13" s="41"/>
      <c r="TXT13" s="41"/>
      <c r="TXU13" s="41"/>
      <c r="TXV13" s="41"/>
      <c r="TXW13" s="41"/>
      <c r="TXX13" s="41"/>
      <c r="TXY13" s="41"/>
      <c r="TXZ13" s="41"/>
      <c r="TYA13" s="41"/>
      <c r="TYB13" s="41"/>
      <c r="TYC13" s="41"/>
      <c r="TYD13" s="41"/>
      <c r="TYE13" s="41"/>
      <c r="TYF13" s="41"/>
      <c r="TYG13" s="41"/>
      <c r="TYH13" s="41"/>
      <c r="TYI13" s="41"/>
      <c r="TYJ13" s="41"/>
      <c r="TYK13" s="41"/>
      <c r="TYL13" s="41"/>
      <c r="TYM13" s="41"/>
      <c r="TYN13" s="41"/>
      <c r="TYO13" s="41"/>
      <c r="TYP13" s="41"/>
      <c r="TYQ13" s="41"/>
      <c r="TYR13" s="41"/>
      <c r="TYS13" s="41"/>
      <c r="TYT13" s="41"/>
      <c r="TYU13" s="41"/>
      <c r="TYV13" s="41"/>
      <c r="TYW13" s="41"/>
      <c r="TYX13" s="41"/>
      <c r="TYY13" s="41"/>
      <c r="TYZ13" s="41"/>
      <c r="TZA13" s="41"/>
      <c r="TZB13" s="41"/>
      <c r="TZC13" s="41"/>
      <c r="TZD13" s="41"/>
      <c r="TZE13" s="41"/>
      <c r="TZF13" s="41"/>
      <c r="TZG13" s="41"/>
      <c r="TZH13" s="41"/>
      <c r="TZI13" s="41"/>
      <c r="TZJ13" s="41"/>
      <c r="TZK13" s="41"/>
      <c r="TZL13" s="41"/>
      <c r="TZM13" s="41"/>
      <c r="TZN13" s="41"/>
      <c r="TZO13" s="41"/>
      <c r="TZP13" s="41"/>
      <c r="TZQ13" s="41"/>
      <c r="TZR13" s="41"/>
      <c r="TZS13" s="41"/>
      <c r="TZT13" s="41"/>
      <c r="TZU13" s="41"/>
      <c r="TZV13" s="41"/>
      <c r="TZW13" s="41"/>
      <c r="TZX13" s="41"/>
      <c r="TZY13" s="41"/>
      <c r="TZZ13" s="41"/>
      <c r="UAA13" s="41"/>
      <c r="UAB13" s="41"/>
      <c r="UAC13" s="41"/>
      <c r="UAD13" s="41"/>
      <c r="UAE13" s="41"/>
      <c r="UAF13" s="41"/>
      <c r="UAG13" s="41"/>
      <c r="UAH13" s="41"/>
      <c r="UAI13" s="41"/>
      <c r="UAJ13" s="41"/>
      <c r="UAK13" s="41"/>
      <c r="UAL13" s="41"/>
      <c r="UAM13" s="41"/>
      <c r="UAN13" s="41"/>
      <c r="UAO13" s="41"/>
      <c r="UAP13" s="41"/>
      <c r="UAQ13" s="41"/>
      <c r="UAR13" s="41"/>
      <c r="UAS13" s="41"/>
      <c r="UAT13" s="41"/>
      <c r="UAU13" s="41"/>
      <c r="UAV13" s="41"/>
      <c r="UAW13" s="41"/>
      <c r="UAX13" s="41"/>
      <c r="UAY13" s="41"/>
      <c r="UAZ13" s="41"/>
      <c r="UBA13" s="41"/>
      <c r="UBB13" s="41"/>
      <c r="UBC13" s="41"/>
      <c r="UBD13" s="41"/>
      <c r="UBE13" s="41"/>
      <c r="UBF13" s="41"/>
      <c r="UBG13" s="41"/>
      <c r="UBH13" s="41"/>
      <c r="UBI13" s="41"/>
      <c r="UBJ13" s="41"/>
      <c r="UBK13" s="41"/>
      <c r="UBL13" s="41"/>
      <c r="UBM13" s="41"/>
      <c r="UBN13" s="41"/>
      <c r="UBO13" s="41"/>
      <c r="UBP13" s="41"/>
      <c r="UBQ13" s="41"/>
      <c r="UBR13" s="41"/>
      <c r="UBS13" s="41"/>
      <c r="UBT13" s="41"/>
      <c r="UBU13" s="41"/>
      <c r="UBV13" s="41"/>
      <c r="UBW13" s="41"/>
      <c r="UBX13" s="41"/>
      <c r="UBY13" s="41"/>
      <c r="UBZ13" s="41"/>
      <c r="UCA13" s="41"/>
      <c r="UCB13" s="41"/>
      <c r="UCC13" s="41"/>
      <c r="UCD13" s="41"/>
      <c r="UCE13" s="41"/>
      <c r="UCF13" s="41"/>
      <c r="UCG13" s="41"/>
      <c r="UCH13" s="41"/>
      <c r="UCI13" s="41"/>
      <c r="UCJ13" s="41"/>
      <c r="UCK13" s="41"/>
      <c r="UCL13" s="41"/>
      <c r="UCM13" s="41"/>
      <c r="UCN13" s="41"/>
      <c r="UCO13" s="41"/>
      <c r="UCP13" s="41"/>
      <c r="UCQ13" s="41"/>
      <c r="UCR13" s="41"/>
      <c r="UCS13" s="41"/>
      <c r="UCT13" s="41"/>
      <c r="UCU13" s="41"/>
      <c r="UCV13" s="41"/>
      <c r="UCW13" s="41"/>
      <c r="UCX13" s="41"/>
      <c r="UCY13" s="41"/>
      <c r="UCZ13" s="41"/>
      <c r="UDA13" s="41"/>
      <c r="UDB13" s="41"/>
      <c r="UDC13" s="41"/>
      <c r="UDD13" s="41"/>
      <c r="UDE13" s="41"/>
      <c r="UDF13" s="41"/>
      <c r="UDG13" s="41"/>
      <c r="UDH13" s="41"/>
      <c r="UDI13" s="41"/>
      <c r="UDJ13" s="41"/>
      <c r="UDK13" s="41"/>
      <c r="UDL13" s="41"/>
      <c r="UDM13" s="41"/>
      <c r="UDN13" s="41"/>
      <c r="UDO13" s="41"/>
      <c r="UDP13" s="41"/>
      <c r="UDQ13" s="41"/>
      <c r="UDR13" s="41"/>
      <c r="UDS13" s="41"/>
      <c r="UDT13" s="41"/>
      <c r="UDU13" s="41"/>
      <c r="UDV13" s="41"/>
      <c r="UDW13" s="41"/>
      <c r="UDX13" s="41"/>
      <c r="UDY13" s="41"/>
      <c r="UDZ13" s="41"/>
      <c r="UEA13" s="41"/>
      <c r="UEB13" s="41"/>
      <c r="UEC13" s="41"/>
      <c r="UED13" s="41"/>
      <c r="UEE13" s="41"/>
      <c r="UEF13" s="41"/>
      <c r="UEG13" s="41"/>
      <c r="UEH13" s="41"/>
      <c r="UEI13" s="41"/>
      <c r="UEJ13" s="41"/>
      <c r="UEK13" s="41"/>
      <c r="UEL13" s="41"/>
      <c r="UEM13" s="41"/>
      <c r="UEN13" s="41"/>
      <c r="UEO13" s="41"/>
      <c r="UEP13" s="41"/>
      <c r="UEQ13" s="41"/>
      <c r="UER13" s="41"/>
      <c r="UES13" s="41"/>
      <c r="UET13" s="41"/>
      <c r="UEU13" s="41"/>
      <c r="UEV13" s="41"/>
      <c r="UEW13" s="41"/>
      <c r="UEX13" s="41"/>
      <c r="UEY13" s="41"/>
      <c r="UEZ13" s="41"/>
      <c r="UFA13" s="41"/>
      <c r="UFB13" s="41"/>
      <c r="UFC13" s="41"/>
      <c r="UFD13" s="41"/>
      <c r="UFE13" s="41"/>
      <c r="UFF13" s="41"/>
      <c r="UFG13" s="41"/>
      <c r="UFH13" s="41"/>
      <c r="UFI13" s="41"/>
      <c r="UFJ13" s="41"/>
      <c r="UFK13" s="41"/>
      <c r="UFL13" s="41"/>
      <c r="UFM13" s="41"/>
      <c r="UFN13" s="41"/>
      <c r="UFO13" s="41"/>
      <c r="UFP13" s="41"/>
      <c r="UFQ13" s="41"/>
      <c r="UFR13" s="41"/>
      <c r="UFS13" s="41"/>
      <c r="UFT13" s="41"/>
      <c r="UFU13" s="41"/>
      <c r="UFV13" s="41"/>
      <c r="UFW13" s="41"/>
      <c r="UFX13" s="41"/>
      <c r="UFY13" s="41"/>
      <c r="UFZ13" s="41"/>
      <c r="UGA13" s="41"/>
      <c r="UGB13" s="41"/>
      <c r="UGC13" s="41"/>
      <c r="UGD13" s="41"/>
      <c r="UGE13" s="41"/>
      <c r="UGF13" s="41"/>
      <c r="UGG13" s="41"/>
      <c r="UGH13" s="41"/>
      <c r="UGI13" s="41"/>
      <c r="UGJ13" s="41"/>
      <c r="UGK13" s="41"/>
      <c r="UGL13" s="41"/>
      <c r="UGM13" s="41"/>
      <c r="UGN13" s="41"/>
      <c r="UGO13" s="41"/>
      <c r="UGP13" s="41"/>
      <c r="UGQ13" s="41"/>
      <c r="UGR13" s="41"/>
      <c r="UGS13" s="41"/>
      <c r="UGT13" s="41"/>
      <c r="UGU13" s="41"/>
      <c r="UGV13" s="41"/>
      <c r="UGW13" s="41"/>
      <c r="UGX13" s="41"/>
      <c r="UGY13" s="41"/>
      <c r="UGZ13" s="41"/>
      <c r="UHA13" s="41"/>
      <c r="UHB13" s="41"/>
      <c r="UHC13" s="41"/>
      <c r="UHD13" s="41"/>
      <c r="UHE13" s="41"/>
      <c r="UHF13" s="41"/>
      <c r="UHG13" s="41"/>
      <c r="UHH13" s="41"/>
      <c r="UHI13" s="41"/>
      <c r="UHJ13" s="41"/>
      <c r="UHK13" s="41"/>
      <c r="UHL13" s="41"/>
      <c r="UHM13" s="41"/>
      <c r="UHN13" s="41"/>
      <c r="UHO13" s="41"/>
      <c r="UHP13" s="41"/>
      <c r="UHQ13" s="41"/>
      <c r="UHR13" s="41"/>
      <c r="UHS13" s="41"/>
      <c r="UHT13" s="41"/>
      <c r="UHU13" s="41"/>
      <c r="UHV13" s="41"/>
      <c r="UHW13" s="41"/>
      <c r="UHX13" s="41"/>
      <c r="UHY13" s="41"/>
      <c r="UHZ13" s="41"/>
      <c r="UIA13" s="41"/>
      <c r="UIB13" s="41"/>
      <c r="UIC13" s="41"/>
      <c r="UID13" s="41"/>
      <c r="UIE13" s="41"/>
      <c r="UIF13" s="41"/>
      <c r="UIG13" s="41"/>
      <c r="UIH13" s="41"/>
      <c r="UII13" s="41"/>
      <c r="UIJ13" s="41"/>
      <c r="UIK13" s="41"/>
      <c r="UIL13" s="41"/>
      <c r="UIM13" s="41"/>
      <c r="UIN13" s="41"/>
      <c r="UIO13" s="41"/>
      <c r="UIP13" s="41"/>
      <c r="UIQ13" s="41"/>
      <c r="UIR13" s="41"/>
      <c r="UIS13" s="41"/>
      <c r="UIT13" s="41"/>
      <c r="UIU13" s="41"/>
      <c r="UIV13" s="41"/>
      <c r="UIW13" s="41"/>
      <c r="UIX13" s="41"/>
      <c r="UIY13" s="41"/>
      <c r="UIZ13" s="41"/>
      <c r="UJA13" s="41"/>
      <c r="UJB13" s="41"/>
      <c r="UJC13" s="41"/>
      <c r="UJD13" s="41"/>
      <c r="UJE13" s="41"/>
      <c r="UJF13" s="41"/>
      <c r="UJG13" s="41"/>
      <c r="UJH13" s="41"/>
      <c r="UJI13" s="41"/>
      <c r="UJJ13" s="41"/>
      <c r="UJK13" s="41"/>
      <c r="UJL13" s="41"/>
      <c r="UJM13" s="41"/>
      <c r="UJN13" s="41"/>
      <c r="UJO13" s="41"/>
      <c r="UJP13" s="41"/>
      <c r="UJQ13" s="41"/>
      <c r="UJR13" s="41"/>
      <c r="UJS13" s="41"/>
      <c r="UJT13" s="41"/>
      <c r="UJU13" s="41"/>
      <c r="UJV13" s="41"/>
      <c r="UJW13" s="41"/>
      <c r="UJX13" s="41"/>
      <c r="UJY13" s="41"/>
      <c r="UJZ13" s="41"/>
      <c r="UKA13" s="41"/>
      <c r="UKB13" s="41"/>
      <c r="UKC13" s="41"/>
      <c r="UKD13" s="41"/>
      <c r="UKE13" s="41"/>
      <c r="UKF13" s="41"/>
      <c r="UKG13" s="41"/>
      <c r="UKH13" s="41"/>
      <c r="UKI13" s="41"/>
      <c r="UKJ13" s="41"/>
      <c r="UKK13" s="41"/>
      <c r="UKL13" s="41"/>
      <c r="UKM13" s="41"/>
      <c r="UKN13" s="41"/>
      <c r="UKO13" s="41"/>
      <c r="UKP13" s="41"/>
      <c r="UKQ13" s="41"/>
      <c r="UKR13" s="41"/>
      <c r="UKS13" s="41"/>
      <c r="UKT13" s="41"/>
      <c r="UKU13" s="41"/>
      <c r="UKV13" s="41"/>
      <c r="UKW13" s="41"/>
      <c r="UKX13" s="41"/>
      <c r="UKY13" s="41"/>
      <c r="UKZ13" s="41"/>
      <c r="ULA13" s="41"/>
      <c r="ULB13" s="41"/>
      <c r="ULC13" s="41"/>
      <c r="ULD13" s="41"/>
      <c r="ULE13" s="41"/>
      <c r="ULF13" s="41"/>
      <c r="ULG13" s="41"/>
      <c r="ULH13" s="41"/>
      <c r="ULI13" s="41"/>
      <c r="ULJ13" s="41"/>
      <c r="ULK13" s="41"/>
      <c r="ULL13" s="41"/>
      <c r="ULM13" s="41"/>
      <c r="ULN13" s="41"/>
      <c r="ULO13" s="41"/>
      <c r="ULP13" s="41"/>
      <c r="ULQ13" s="41"/>
      <c r="ULR13" s="41"/>
      <c r="ULS13" s="41"/>
      <c r="ULT13" s="41"/>
      <c r="ULU13" s="41"/>
      <c r="ULV13" s="41"/>
      <c r="ULW13" s="41"/>
      <c r="ULX13" s="41"/>
      <c r="ULY13" s="41"/>
      <c r="ULZ13" s="41"/>
      <c r="UMA13" s="41"/>
      <c r="UMB13" s="41"/>
      <c r="UMC13" s="41"/>
      <c r="UMD13" s="41"/>
      <c r="UME13" s="41"/>
      <c r="UMF13" s="41"/>
      <c r="UMG13" s="41"/>
      <c r="UMH13" s="41"/>
      <c r="UMI13" s="41"/>
      <c r="UMJ13" s="41"/>
      <c r="UMK13" s="41"/>
      <c r="UML13" s="41"/>
      <c r="UMM13" s="41"/>
      <c r="UMN13" s="41"/>
      <c r="UMO13" s="41"/>
      <c r="UMP13" s="41"/>
      <c r="UMQ13" s="41"/>
      <c r="UMR13" s="41"/>
      <c r="UMS13" s="41"/>
      <c r="UMT13" s="41"/>
      <c r="UMU13" s="41"/>
      <c r="UMV13" s="41"/>
      <c r="UMW13" s="41"/>
      <c r="UMX13" s="41"/>
      <c r="UMY13" s="41"/>
      <c r="UMZ13" s="41"/>
      <c r="UNA13" s="41"/>
      <c r="UNB13" s="41"/>
      <c r="UNC13" s="41"/>
      <c r="UND13" s="41"/>
      <c r="UNE13" s="41"/>
      <c r="UNF13" s="41"/>
      <c r="UNG13" s="41"/>
      <c r="UNH13" s="41"/>
      <c r="UNI13" s="41"/>
      <c r="UNJ13" s="41"/>
      <c r="UNK13" s="41"/>
      <c r="UNL13" s="41"/>
      <c r="UNM13" s="41"/>
      <c r="UNN13" s="41"/>
      <c r="UNO13" s="41"/>
      <c r="UNP13" s="41"/>
      <c r="UNQ13" s="41"/>
      <c r="UNR13" s="41"/>
      <c r="UNS13" s="41"/>
      <c r="UNT13" s="41"/>
      <c r="UNU13" s="41"/>
      <c r="UNV13" s="41"/>
      <c r="UNW13" s="41"/>
      <c r="UNX13" s="41"/>
      <c r="UNY13" s="41"/>
      <c r="UNZ13" s="41"/>
      <c r="UOA13" s="41"/>
      <c r="UOB13" s="41"/>
      <c r="UOC13" s="41"/>
      <c r="UOD13" s="41"/>
      <c r="UOE13" s="41"/>
      <c r="UOF13" s="41"/>
      <c r="UOG13" s="41"/>
      <c r="UOH13" s="41"/>
      <c r="UOI13" s="41"/>
      <c r="UOJ13" s="41"/>
      <c r="UOK13" s="41"/>
      <c r="UOL13" s="41"/>
      <c r="UOM13" s="41"/>
      <c r="UON13" s="41"/>
      <c r="UOO13" s="41"/>
      <c r="UOP13" s="41"/>
      <c r="UOQ13" s="41"/>
      <c r="UOR13" s="41"/>
      <c r="UOS13" s="41"/>
      <c r="UOT13" s="41"/>
      <c r="UOU13" s="41"/>
      <c r="UOV13" s="41"/>
      <c r="UOW13" s="41"/>
      <c r="UOX13" s="41"/>
      <c r="UOY13" s="41"/>
      <c r="UOZ13" s="41"/>
      <c r="UPA13" s="41"/>
      <c r="UPB13" s="41"/>
      <c r="UPC13" s="41"/>
      <c r="UPD13" s="41"/>
      <c r="UPE13" s="41"/>
      <c r="UPF13" s="41"/>
      <c r="UPG13" s="41"/>
      <c r="UPH13" s="41"/>
      <c r="UPI13" s="41"/>
      <c r="UPJ13" s="41"/>
      <c r="UPK13" s="41"/>
      <c r="UPL13" s="41"/>
      <c r="UPM13" s="41"/>
      <c r="UPN13" s="41"/>
      <c r="UPO13" s="41"/>
      <c r="UPP13" s="41"/>
      <c r="UPQ13" s="41"/>
      <c r="UPR13" s="41"/>
      <c r="UPS13" s="41"/>
      <c r="UPT13" s="41"/>
      <c r="UPU13" s="41"/>
      <c r="UPV13" s="41"/>
      <c r="UPW13" s="41"/>
      <c r="UPX13" s="41"/>
      <c r="UPY13" s="41"/>
      <c r="UPZ13" s="41"/>
      <c r="UQA13" s="41"/>
      <c r="UQB13" s="41"/>
      <c r="UQC13" s="41"/>
      <c r="UQD13" s="41"/>
      <c r="UQE13" s="41"/>
      <c r="UQF13" s="41"/>
      <c r="UQG13" s="41"/>
      <c r="UQH13" s="41"/>
      <c r="UQI13" s="41"/>
      <c r="UQJ13" s="41"/>
      <c r="UQK13" s="41"/>
      <c r="UQL13" s="41"/>
      <c r="UQM13" s="41"/>
      <c r="UQN13" s="41"/>
      <c r="UQO13" s="41"/>
      <c r="UQP13" s="41"/>
      <c r="UQQ13" s="41"/>
      <c r="UQR13" s="41"/>
      <c r="UQS13" s="41"/>
      <c r="UQT13" s="41"/>
      <c r="UQU13" s="41"/>
      <c r="UQV13" s="41"/>
      <c r="UQW13" s="41"/>
      <c r="UQX13" s="41"/>
      <c r="UQY13" s="41"/>
      <c r="UQZ13" s="41"/>
      <c r="URA13" s="41"/>
      <c r="URB13" s="41"/>
      <c r="URC13" s="41"/>
      <c r="URD13" s="41"/>
      <c r="URE13" s="41"/>
      <c r="URF13" s="41"/>
      <c r="URG13" s="41"/>
      <c r="URH13" s="41"/>
      <c r="URI13" s="41"/>
      <c r="URJ13" s="41"/>
      <c r="URK13" s="41"/>
      <c r="URL13" s="41"/>
      <c r="URM13" s="41"/>
      <c r="URN13" s="41"/>
      <c r="URO13" s="41"/>
      <c r="URP13" s="41"/>
      <c r="URQ13" s="41"/>
      <c r="URR13" s="41"/>
      <c r="URS13" s="41"/>
      <c r="URT13" s="41"/>
      <c r="URU13" s="41"/>
      <c r="URV13" s="41"/>
      <c r="URW13" s="41"/>
      <c r="URX13" s="41"/>
      <c r="URY13" s="41"/>
      <c r="URZ13" s="41"/>
      <c r="USA13" s="41"/>
      <c r="USB13" s="41"/>
      <c r="USC13" s="41"/>
      <c r="USD13" s="41"/>
      <c r="USE13" s="41"/>
      <c r="USF13" s="41"/>
      <c r="USG13" s="41"/>
      <c r="USH13" s="41"/>
      <c r="USI13" s="41"/>
      <c r="USJ13" s="41"/>
      <c r="USK13" s="41"/>
      <c r="USL13" s="41"/>
      <c r="USM13" s="41"/>
      <c r="USN13" s="41"/>
      <c r="USO13" s="41"/>
      <c r="USP13" s="41"/>
      <c r="USQ13" s="41"/>
      <c r="USR13" s="41"/>
      <c r="USS13" s="41"/>
      <c r="UST13" s="41"/>
      <c r="USU13" s="41"/>
      <c r="USV13" s="41"/>
      <c r="USW13" s="41"/>
      <c r="USX13" s="41"/>
      <c r="USY13" s="41"/>
      <c r="USZ13" s="41"/>
      <c r="UTA13" s="41"/>
      <c r="UTB13" s="41"/>
      <c r="UTC13" s="41"/>
      <c r="UTD13" s="41"/>
      <c r="UTE13" s="41"/>
      <c r="UTF13" s="41"/>
      <c r="UTG13" s="41"/>
      <c r="UTH13" s="41"/>
      <c r="UTI13" s="41"/>
      <c r="UTJ13" s="41"/>
      <c r="UTK13" s="41"/>
      <c r="UTL13" s="41"/>
      <c r="UTM13" s="41"/>
      <c r="UTN13" s="41"/>
      <c r="UTO13" s="41"/>
      <c r="UTP13" s="41"/>
      <c r="UTQ13" s="41"/>
      <c r="UTR13" s="41"/>
      <c r="UTS13" s="41"/>
      <c r="UTT13" s="41"/>
      <c r="UTU13" s="41"/>
      <c r="UTV13" s="41"/>
      <c r="UTW13" s="41"/>
      <c r="UTX13" s="41"/>
      <c r="UTY13" s="41"/>
      <c r="UTZ13" s="41"/>
      <c r="UUA13" s="41"/>
      <c r="UUB13" s="41"/>
      <c r="UUC13" s="41"/>
      <c r="UUD13" s="41"/>
      <c r="UUE13" s="41"/>
      <c r="UUF13" s="41"/>
      <c r="UUG13" s="41"/>
      <c r="UUH13" s="41"/>
      <c r="UUI13" s="41"/>
      <c r="UUJ13" s="41"/>
      <c r="UUK13" s="41"/>
      <c r="UUL13" s="41"/>
      <c r="UUM13" s="41"/>
      <c r="UUN13" s="41"/>
      <c r="UUO13" s="41"/>
      <c r="UUP13" s="41"/>
      <c r="UUQ13" s="41"/>
      <c r="UUR13" s="41"/>
      <c r="UUS13" s="41"/>
      <c r="UUT13" s="41"/>
      <c r="UUU13" s="41"/>
      <c r="UUV13" s="41"/>
      <c r="UUW13" s="41"/>
      <c r="UUX13" s="41"/>
      <c r="UUY13" s="41"/>
      <c r="UUZ13" s="41"/>
      <c r="UVA13" s="41"/>
      <c r="UVB13" s="41"/>
      <c r="UVC13" s="41"/>
      <c r="UVD13" s="41"/>
      <c r="UVE13" s="41"/>
      <c r="UVF13" s="41"/>
      <c r="UVG13" s="41"/>
      <c r="UVH13" s="41"/>
      <c r="UVI13" s="41"/>
      <c r="UVJ13" s="41"/>
      <c r="UVK13" s="41"/>
      <c r="UVL13" s="41"/>
      <c r="UVM13" s="41"/>
      <c r="UVN13" s="41"/>
      <c r="UVO13" s="41"/>
      <c r="UVP13" s="41"/>
      <c r="UVQ13" s="41"/>
      <c r="UVR13" s="41"/>
      <c r="UVS13" s="41"/>
      <c r="UVT13" s="41"/>
      <c r="UVU13" s="41"/>
      <c r="UVV13" s="41"/>
      <c r="UVW13" s="41"/>
      <c r="UVX13" s="41"/>
      <c r="UVY13" s="41"/>
      <c r="UVZ13" s="41"/>
      <c r="UWA13" s="41"/>
      <c r="UWB13" s="41"/>
      <c r="UWC13" s="41"/>
      <c r="UWD13" s="41"/>
      <c r="UWE13" s="41"/>
      <c r="UWF13" s="41"/>
      <c r="UWG13" s="41"/>
      <c r="UWH13" s="41"/>
      <c r="UWI13" s="41"/>
      <c r="UWJ13" s="41"/>
      <c r="UWK13" s="41"/>
      <c r="UWL13" s="41"/>
      <c r="UWM13" s="41"/>
      <c r="UWN13" s="41"/>
      <c r="UWO13" s="41"/>
      <c r="UWP13" s="41"/>
      <c r="UWQ13" s="41"/>
      <c r="UWR13" s="41"/>
      <c r="UWS13" s="41"/>
      <c r="UWT13" s="41"/>
      <c r="UWU13" s="41"/>
      <c r="UWV13" s="41"/>
      <c r="UWW13" s="41"/>
      <c r="UWX13" s="41"/>
      <c r="UWY13" s="41"/>
      <c r="UWZ13" s="41"/>
      <c r="UXA13" s="41"/>
      <c r="UXB13" s="41"/>
      <c r="UXC13" s="41"/>
      <c r="UXD13" s="41"/>
      <c r="UXE13" s="41"/>
      <c r="UXF13" s="41"/>
      <c r="UXG13" s="41"/>
      <c r="UXH13" s="41"/>
      <c r="UXI13" s="41"/>
      <c r="UXJ13" s="41"/>
      <c r="UXK13" s="41"/>
      <c r="UXL13" s="41"/>
      <c r="UXM13" s="41"/>
      <c r="UXN13" s="41"/>
      <c r="UXO13" s="41"/>
      <c r="UXP13" s="41"/>
      <c r="UXQ13" s="41"/>
      <c r="UXR13" s="41"/>
      <c r="UXS13" s="41"/>
      <c r="UXT13" s="41"/>
      <c r="UXU13" s="41"/>
      <c r="UXV13" s="41"/>
      <c r="UXW13" s="41"/>
      <c r="UXX13" s="41"/>
      <c r="UXY13" s="41"/>
      <c r="UXZ13" s="41"/>
      <c r="UYA13" s="41"/>
      <c r="UYB13" s="41"/>
      <c r="UYC13" s="41"/>
      <c r="UYD13" s="41"/>
      <c r="UYE13" s="41"/>
      <c r="UYF13" s="41"/>
      <c r="UYG13" s="41"/>
      <c r="UYH13" s="41"/>
      <c r="UYI13" s="41"/>
      <c r="UYJ13" s="41"/>
      <c r="UYK13" s="41"/>
      <c r="UYL13" s="41"/>
      <c r="UYM13" s="41"/>
      <c r="UYN13" s="41"/>
      <c r="UYO13" s="41"/>
      <c r="UYP13" s="41"/>
      <c r="UYQ13" s="41"/>
      <c r="UYR13" s="41"/>
      <c r="UYS13" s="41"/>
      <c r="UYT13" s="41"/>
      <c r="UYU13" s="41"/>
      <c r="UYV13" s="41"/>
      <c r="UYW13" s="41"/>
      <c r="UYX13" s="41"/>
      <c r="UYY13" s="41"/>
      <c r="UYZ13" s="41"/>
      <c r="UZA13" s="41"/>
      <c r="UZB13" s="41"/>
      <c r="UZC13" s="41"/>
      <c r="UZD13" s="41"/>
      <c r="UZE13" s="41"/>
      <c r="UZF13" s="41"/>
      <c r="UZG13" s="41"/>
      <c r="UZH13" s="41"/>
      <c r="UZI13" s="41"/>
      <c r="UZJ13" s="41"/>
      <c r="UZK13" s="41"/>
      <c r="UZL13" s="41"/>
      <c r="UZM13" s="41"/>
      <c r="UZN13" s="41"/>
      <c r="UZO13" s="41"/>
      <c r="UZP13" s="41"/>
      <c r="UZQ13" s="41"/>
      <c r="UZR13" s="41"/>
      <c r="UZS13" s="41"/>
      <c r="UZT13" s="41"/>
      <c r="UZU13" s="41"/>
      <c r="UZV13" s="41"/>
      <c r="UZW13" s="41"/>
      <c r="UZX13" s="41"/>
      <c r="UZY13" s="41"/>
      <c r="UZZ13" s="41"/>
      <c r="VAA13" s="41"/>
      <c r="VAB13" s="41"/>
      <c r="VAC13" s="41"/>
      <c r="VAD13" s="41"/>
      <c r="VAE13" s="41"/>
      <c r="VAF13" s="41"/>
      <c r="VAG13" s="41"/>
      <c r="VAH13" s="41"/>
      <c r="VAI13" s="41"/>
      <c r="VAJ13" s="41"/>
      <c r="VAK13" s="41"/>
      <c r="VAL13" s="41"/>
      <c r="VAM13" s="41"/>
      <c r="VAN13" s="41"/>
      <c r="VAO13" s="41"/>
      <c r="VAP13" s="41"/>
      <c r="VAQ13" s="41"/>
      <c r="VAR13" s="41"/>
      <c r="VAS13" s="41"/>
      <c r="VAT13" s="41"/>
      <c r="VAU13" s="41"/>
      <c r="VAV13" s="41"/>
      <c r="VAW13" s="41"/>
      <c r="VAX13" s="41"/>
      <c r="VAY13" s="41"/>
      <c r="VAZ13" s="41"/>
      <c r="VBA13" s="41"/>
      <c r="VBB13" s="41"/>
      <c r="VBC13" s="41"/>
      <c r="VBD13" s="41"/>
      <c r="VBE13" s="41"/>
      <c r="VBF13" s="41"/>
      <c r="VBG13" s="41"/>
      <c r="VBH13" s="41"/>
      <c r="VBI13" s="41"/>
      <c r="VBJ13" s="41"/>
      <c r="VBK13" s="41"/>
      <c r="VBL13" s="41"/>
      <c r="VBM13" s="41"/>
      <c r="VBN13" s="41"/>
      <c r="VBO13" s="41"/>
      <c r="VBP13" s="41"/>
      <c r="VBQ13" s="41"/>
      <c r="VBR13" s="41"/>
      <c r="VBS13" s="41"/>
      <c r="VBT13" s="41"/>
      <c r="VBU13" s="41"/>
      <c r="VBV13" s="41"/>
      <c r="VBW13" s="41"/>
      <c r="VBX13" s="41"/>
      <c r="VBY13" s="41"/>
      <c r="VBZ13" s="41"/>
      <c r="VCA13" s="41"/>
      <c r="VCB13" s="41"/>
      <c r="VCC13" s="41"/>
      <c r="VCD13" s="41"/>
      <c r="VCE13" s="41"/>
      <c r="VCF13" s="41"/>
      <c r="VCG13" s="41"/>
      <c r="VCH13" s="41"/>
      <c r="VCI13" s="41"/>
      <c r="VCJ13" s="41"/>
      <c r="VCK13" s="41"/>
      <c r="VCL13" s="41"/>
      <c r="VCM13" s="41"/>
      <c r="VCN13" s="41"/>
      <c r="VCO13" s="41"/>
      <c r="VCP13" s="41"/>
      <c r="VCQ13" s="41"/>
      <c r="VCR13" s="41"/>
      <c r="VCS13" s="41"/>
      <c r="VCT13" s="41"/>
      <c r="VCU13" s="41"/>
      <c r="VCV13" s="41"/>
      <c r="VCW13" s="41"/>
      <c r="VCX13" s="41"/>
      <c r="VCY13" s="41"/>
      <c r="VCZ13" s="41"/>
      <c r="VDA13" s="41"/>
      <c r="VDB13" s="41"/>
      <c r="VDC13" s="41"/>
      <c r="VDD13" s="41"/>
      <c r="VDE13" s="41"/>
      <c r="VDF13" s="41"/>
      <c r="VDG13" s="41"/>
      <c r="VDH13" s="41"/>
      <c r="VDI13" s="41"/>
      <c r="VDJ13" s="41"/>
      <c r="VDK13" s="41"/>
      <c r="VDL13" s="41"/>
      <c r="VDM13" s="41"/>
      <c r="VDN13" s="41"/>
      <c r="VDO13" s="41"/>
      <c r="VDP13" s="41"/>
      <c r="VDQ13" s="41"/>
      <c r="VDR13" s="41"/>
      <c r="VDS13" s="41"/>
      <c r="VDT13" s="41"/>
      <c r="VDU13" s="41"/>
      <c r="VDV13" s="41"/>
      <c r="VDW13" s="41"/>
      <c r="VDX13" s="41"/>
      <c r="VDY13" s="41"/>
      <c r="VDZ13" s="41"/>
      <c r="VEA13" s="41"/>
      <c r="VEB13" s="41"/>
      <c r="VEC13" s="41"/>
      <c r="VED13" s="41"/>
      <c r="VEE13" s="41"/>
      <c r="VEF13" s="41"/>
      <c r="VEG13" s="41"/>
      <c r="VEH13" s="41"/>
      <c r="VEI13" s="41"/>
      <c r="VEJ13" s="41"/>
      <c r="VEK13" s="41"/>
      <c r="VEL13" s="41"/>
      <c r="VEM13" s="41"/>
      <c r="VEN13" s="41"/>
      <c r="VEO13" s="41"/>
      <c r="VEP13" s="41"/>
      <c r="VEQ13" s="41"/>
      <c r="VER13" s="41"/>
      <c r="VES13" s="41"/>
      <c r="VET13" s="41"/>
      <c r="VEU13" s="41"/>
      <c r="VEV13" s="41"/>
      <c r="VEW13" s="41"/>
      <c r="VEX13" s="41"/>
      <c r="VEY13" s="41"/>
      <c r="VEZ13" s="41"/>
      <c r="VFA13" s="41"/>
      <c r="VFB13" s="41"/>
      <c r="VFC13" s="41"/>
      <c r="VFD13" s="41"/>
      <c r="VFE13" s="41"/>
      <c r="VFF13" s="41"/>
      <c r="VFG13" s="41"/>
      <c r="VFH13" s="41"/>
      <c r="VFI13" s="41"/>
      <c r="VFJ13" s="41"/>
      <c r="VFK13" s="41"/>
      <c r="VFL13" s="41"/>
      <c r="VFM13" s="41"/>
      <c r="VFN13" s="41"/>
      <c r="VFO13" s="41"/>
      <c r="VFP13" s="41"/>
      <c r="VFQ13" s="41"/>
      <c r="VFR13" s="41"/>
      <c r="VFS13" s="41"/>
      <c r="VFT13" s="41"/>
      <c r="VFU13" s="41"/>
      <c r="VFV13" s="41"/>
      <c r="VFW13" s="41"/>
      <c r="VFX13" s="41"/>
      <c r="VFY13" s="41"/>
      <c r="VFZ13" s="41"/>
      <c r="VGA13" s="41"/>
      <c r="VGB13" s="41"/>
      <c r="VGC13" s="41"/>
      <c r="VGD13" s="41"/>
      <c r="VGE13" s="41"/>
      <c r="VGF13" s="41"/>
      <c r="VGG13" s="41"/>
      <c r="VGH13" s="41"/>
      <c r="VGI13" s="41"/>
      <c r="VGJ13" s="41"/>
      <c r="VGK13" s="41"/>
      <c r="VGL13" s="41"/>
      <c r="VGM13" s="41"/>
      <c r="VGN13" s="41"/>
      <c r="VGO13" s="41"/>
      <c r="VGP13" s="41"/>
      <c r="VGQ13" s="41"/>
      <c r="VGR13" s="41"/>
      <c r="VGS13" s="41"/>
      <c r="VGT13" s="41"/>
      <c r="VGU13" s="41"/>
      <c r="VGV13" s="41"/>
      <c r="VGW13" s="41"/>
      <c r="VGX13" s="41"/>
      <c r="VGY13" s="41"/>
      <c r="VGZ13" s="41"/>
      <c r="VHA13" s="41"/>
      <c r="VHB13" s="41"/>
      <c r="VHC13" s="41"/>
      <c r="VHD13" s="41"/>
      <c r="VHE13" s="41"/>
      <c r="VHF13" s="41"/>
      <c r="VHG13" s="41"/>
      <c r="VHH13" s="41"/>
      <c r="VHI13" s="41"/>
      <c r="VHJ13" s="41"/>
      <c r="VHK13" s="41"/>
      <c r="VHL13" s="41"/>
      <c r="VHM13" s="41"/>
      <c r="VHN13" s="41"/>
      <c r="VHO13" s="41"/>
      <c r="VHP13" s="41"/>
      <c r="VHQ13" s="41"/>
      <c r="VHR13" s="41"/>
      <c r="VHS13" s="41"/>
      <c r="VHT13" s="41"/>
      <c r="VHU13" s="41"/>
      <c r="VHV13" s="41"/>
      <c r="VHW13" s="41"/>
      <c r="VHX13" s="41"/>
      <c r="VHY13" s="41"/>
      <c r="VHZ13" s="41"/>
      <c r="VIA13" s="41"/>
      <c r="VIB13" s="41"/>
      <c r="VIC13" s="41"/>
      <c r="VID13" s="41"/>
      <c r="VIE13" s="41"/>
      <c r="VIF13" s="41"/>
      <c r="VIG13" s="41"/>
      <c r="VIH13" s="41"/>
      <c r="VII13" s="41"/>
      <c r="VIJ13" s="41"/>
      <c r="VIK13" s="41"/>
      <c r="VIL13" s="41"/>
      <c r="VIM13" s="41"/>
      <c r="VIN13" s="41"/>
      <c r="VIO13" s="41"/>
      <c r="VIP13" s="41"/>
      <c r="VIQ13" s="41"/>
      <c r="VIR13" s="41"/>
      <c r="VIS13" s="41"/>
      <c r="VIT13" s="41"/>
      <c r="VIU13" s="41"/>
      <c r="VIV13" s="41"/>
      <c r="VIW13" s="41"/>
      <c r="VIX13" s="41"/>
      <c r="VIY13" s="41"/>
      <c r="VIZ13" s="41"/>
      <c r="VJA13" s="41"/>
      <c r="VJB13" s="41"/>
      <c r="VJC13" s="41"/>
      <c r="VJD13" s="41"/>
      <c r="VJE13" s="41"/>
      <c r="VJF13" s="41"/>
      <c r="VJG13" s="41"/>
      <c r="VJH13" s="41"/>
      <c r="VJI13" s="41"/>
      <c r="VJJ13" s="41"/>
      <c r="VJK13" s="41"/>
      <c r="VJL13" s="41"/>
      <c r="VJM13" s="41"/>
      <c r="VJN13" s="41"/>
      <c r="VJO13" s="41"/>
      <c r="VJP13" s="41"/>
      <c r="VJQ13" s="41"/>
      <c r="VJR13" s="41"/>
      <c r="VJS13" s="41"/>
      <c r="VJT13" s="41"/>
      <c r="VJU13" s="41"/>
      <c r="VJV13" s="41"/>
      <c r="VJW13" s="41"/>
      <c r="VJX13" s="41"/>
      <c r="VJY13" s="41"/>
      <c r="VJZ13" s="41"/>
      <c r="VKA13" s="41"/>
      <c r="VKB13" s="41"/>
      <c r="VKC13" s="41"/>
      <c r="VKD13" s="41"/>
      <c r="VKE13" s="41"/>
      <c r="VKF13" s="41"/>
      <c r="VKG13" s="41"/>
      <c r="VKH13" s="41"/>
      <c r="VKI13" s="41"/>
      <c r="VKJ13" s="41"/>
      <c r="VKK13" s="41"/>
      <c r="VKL13" s="41"/>
      <c r="VKM13" s="41"/>
      <c r="VKN13" s="41"/>
      <c r="VKO13" s="41"/>
      <c r="VKP13" s="41"/>
      <c r="VKQ13" s="41"/>
      <c r="VKR13" s="41"/>
      <c r="VKS13" s="41"/>
      <c r="VKT13" s="41"/>
      <c r="VKU13" s="41"/>
      <c r="VKV13" s="41"/>
      <c r="VKW13" s="41"/>
      <c r="VKX13" s="41"/>
      <c r="VKY13" s="41"/>
      <c r="VKZ13" s="41"/>
      <c r="VLA13" s="41"/>
      <c r="VLB13" s="41"/>
      <c r="VLC13" s="41"/>
      <c r="VLD13" s="41"/>
      <c r="VLE13" s="41"/>
      <c r="VLF13" s="41"/>
      <c r="VLG13" s="41"/>
      <c r="VLH13" s="41"/>
      <c r="VLI13" s="41"/>
      <c r="VLJ13" s="41"/>
      <c r="VLK13" s="41"/>
      <c r="VLL13" s="41"/>
      <c r="VLM13" s="41"/>
      <c r="VLN13" s="41"/>
      <c r="VLO13" s="41"/>
      <c r="VLP13" s="41"/>
      <c r="VLQ13" s="41"/>
      <c r="VLR13" s="41"/>
      <c r="VLS13" s="41"/>
      <c r="VLT13" s="41"/>
      <c r="VLU13" s="41"/>
      <c r="VLV13" s="41"/>
      <c r="VLW13" s="41"/>
      <c r="VLX13" s="41"/>
      <c r="VLY13" s="41"/>
      <c r="VLZ13" s="41"/>
      <c r="VMA13" s="41"/>
      <c r="VMB13" s="41"/>
      <c r="VMC13" s="41"/>
      <c r="VMD13" s="41"/>
      <c r="VME13" s="41"/>
      <c r="VMF13" s="41"/>
      <c r="VMG13" s="41"/>
      <c r="VMH13" s="41"/>
      <c r="VMI13" s="41"/>
      <c r="VMJ13" s="41"/>
      <c r="VMK13" s="41"/>
      <c r="VML13" s="41"/>
      <c r="VMM13" s="41"/>
      <c r="VMN13" s="41"/>
      <c r="VMO13" s="41"/>
      <c r="VMP13" s="41"/>
      <c r="VMQ13" s="41"/>
      <c r="VMR13" s="41"/>
      <c r="VMS13" s="41"/>
      <c r="VMT13" s="41"/>
      <c r="VMU13" s="41"/>
      <c r="VMV13" s="41"/>
      <c r="VMW13" s="41"/>
      <c r="VMX13" s="41"/>
      <c r="VMY13" s="41"/>
      <c r="VMZ13" s="41"/>
      <c r="VNA13" s="41"/>
      <c r="VNB13" s="41"/>
      <c r="VNC13" s="41"/>
      <c r="VND13" s="41"/>
      <c r="VNE13" s="41"/>
      <c r="VNF13" s="41"/>
      <c r="VNG13" s="41"/>
      <c r="VNH13" s="41"/>
      <c r="VNI13" s="41"/>
      <c r="VNJ13" s="41"/>
      <c r="VNK13" s="41"/>
      <c r="VNL13" s="41"/>
      <c r="VNM13" s="41"/>
      <c r="VNN13" s="41"/>
      <c r="VNO13" s="41"/>
      <c r="VNP13" s="41"/>
      <c r="VNQ13" s="41"/>
      <c r="VNR13" s="41"/>
      <c r="VNS13" s="41"/>
      <c r="VNT13" s="41"/>
      <c r="VNU13" s="41"/>
      <c r="VNV13" s="41"/>
      <c r="VNW13" s="41"/>
      <c r="VNX13" s="41"/>
      <c r="VNY13" s="41"/>
      <c r="VNZ13" s="41"/>
      <c r="VOA13" s="41"/>
      <c r="VOB13" s="41"/>
      <c r="VOC13" s="41"/>
      <c r="VOD13" s="41"/>
      <c r="VOE13" s="41"/>
      <c r="VOF13" s="41"/>
      <c r="VOG13" s="41"/>
      <c r="VOH13" s="41"/>
      <c r="VOI13" s="41"/>
      <c r="VOJ13" s="41"/>
      <c r="VOK13" s="41"/>
      <c r="VOL13" s="41"/>
      <c r="VOM13" s="41"/>
      <c r="VON13" s="41"/>
      <c r="VOO13" s="41"/>
      <c r="VOP13" s="41"/>
      <c r="VOQ13" s="41"/>
      <c r="VOR13" s="41"/>
      <c r="VOS13" s="41"/>
      <c r="VOT13" s="41"/>
      <c r="VOU13" s="41"/>
      <c r="VOV13" s="41"/>
      <c r="VOW13" s="41"/>
      <c r="VOX13" s="41"/>
      <c r="VOY13" s="41"/>
      <c r="VOZ13" s="41"/>
      <c r="VPA13" s="41"/>
      <c r="VPB13" s="41"/>
      <c r="VPC13" s="41"/>
      <c r="VPD13" s="41"/>
      <c r="VPE13" s="41"/>
      <c r="VPF13" s="41"/>
      <c r="VPG13" s="41"/>
      <c r="VPH13" s="41"/>
      <c r="VPI13" s="41"/>
      <c r="VPJ13" s="41"/>
      <c r="VPK13" s="41"/>
      <c r="VPL13" s="41"/>
      <c r="VPM13" s="41"/>
      <c r="VPN13" s="41"/>
      <c r="VPO13" s="41"/>
      <c r="VPP13" s="41"/>
      <c r="VPQ13" s="41"/>
      <c r="VPR13" s="41"/>
      <c r="VPS13" s="41"/>
      <c r="VPT13" s="41"/>
      <c r="VPU13" s="41"/>
      <c r="VPV13" s="41"/>
      <c r="VPW13" s="41"/>
      <c r="VPX13" s="41"/>
      <c r="VPY13" s="41"/>
      <c r="VPZ13" s="41"/>
      <c r="VQA13" s="41"/>
      <c r="VQB13" s="41"/>
      <c r="VQC13" s="41"/>
      <c r="VQD13" s="41"/>
      <c r="VQE13" s="41"/>
      <c r="VQF13" s="41"/>
      <c r="VQG13" s="41"/>
      <c r="VQH13" s="41"/>
      <c r="VQI13" s="41"/>
      <c r="VQJ13" s="41"/>
      <c r="VQK13" s="41"/>
      <c r="VQL13" s="41"/>
      <c r="VQM13" s="41"/>
      <c r="VQN13" s="41"/>
      <c r="VQO13" s="41"/>
      <c r="VQP13" s="41"/>
      <c r="VQQ13" s="41"/>
      <c r="VQR13" s="41"/>
      <c r="VQS13" s="41"/>
      <c r="VQT13" s="41"/>
      <c r="VQU13" s="41"/>
      <c r="VQV13" s="41"/>
      <c r="VQW13" s="41"/>
      <c r="VQX13" s="41"/>
      <c r="VQY13" s="41"/>
      <c r="VQZ13" s="41"/>
      <c r="VRA13" s="41"/>
      <c r="VRB13" s="41"/>
      <c r="VRC13" s="41"/>
      <c r="VRD13" s="41"/>
      <c r="VRE13" s="41"/>
      <c r="VRF13" s="41"/>
      <c r="VRG13" s="41"/>
      <c r="VRH13" s="41"/>
      <c r="VRI13" s="41"/>
      <c r="VRJ13" s="41"/>
      <c r="VRK13" s="41"/>
      <c r="VRL13" s="41"/>
      <c r="VRM13" s="41"/>
      <c r="VRN13" s="41"/>
      <c r="VRO13" s="41"/>
      <c r="VRP13" s="41"/>
      <c r="VRQ13" s="41"/>
      <c r="VRR13" s="41"/>
      <c r="VRS13" s="41"/>
      <c r="VRT13" s="41"/>
      <c r="VRU13" s="41"/>
      <c r="VRV13" s="41"/>
      <c r="VRW13" s="41"/>
      <c r="VRX13" s="41"/>
      <c r="VRY13" s="41"/>
      <c r="VRZ13" s="41"/>
      <c r="VSA13" s="41"/>
      <c r="VSB13" s="41"/>
      <c r="VSC13" s="41"/>
      <c r="VSD13" s="41"/>
      <c r="VSE13" s="41"/>
      <c r="VSF13" s="41"/>
      <c r="VSG13" s="41"/>
      <c r="VSH13" s="41"/>
      <c r="VSI13" s="41"/>
      <c r="VSJ13" s="41"/>
      <c r="VSK13" s="41"/>
      <c r="VSL13" s="41"/>
      <c r="VSM13" s="41"/>
      <c r="VSN13" s="41"/>
      <c r="VSO13" s="41"/>
      <c r="VSP13" s="41"/>
      <c r="VSQ13" s="41"/>
      <c r="VSR13" s="41"/>
      <c r="VSS13" s="41"/>
      <c r="VST13" s="41"/>
      <c r="VSU13" s="41"/>
      <c r="VSV13" s="41"/>
      <c r="VSW13" s="41"/>
      <c r="VSX13" s="41"/>
      <c r="VSY13" s="41"/>
      <c r="VSZ13" s="41"/>
      <c r="VTA13" s="41"/>
      <c r="VTB13" s="41"/>
      <c r="VTC13" s="41"/>
      <c r="VTD13" s="41"/>
      <c r="VTE13" s="41"/>
      <c r="VTF13" s="41"/>
      <c r="VTG13" s="41"/>
      <c r="VTH13" s="41"/>
      <c r="VTI13" s="41"/>
      <c r="VTJ13" s="41"/>
      <c r="VTK13" s="41"/>
      <c r="VTL13" s="41"/>
      <c r="VTM13" s="41"/>
      <c r="VTN13" s="41"/>
      <c r="VTO13" s="41"/>
      <c r="VTP13" s="41"/>
      <c r="VTQ13" s="41"/>
      <c r="VTR13" s="41"/>
      <c r="VTS13" s="41"/>
      <c r="VTT13" s="41"/>
      <c r="VTU13" s="41"/>
      <c r="VTV13" s="41"/>
      <c r="VTW13" s="41"/>
      <c r="VTX13" s="41"/>
      <c r="VTY13" s="41"/>
      <c r="VTZ13" s="41"/>
      <c r="VUA13" s="41"/>
      <c r="VUB13" s="41"/>
      <c r="VUC13" s="41"/>
      <c r="VUD13" s="41"/>
      <c r="VUE13" s="41"/>
      <c r="VUF13" s="41"/>
      <c r="VUG13" s="41"/>
      <c r="VUH13" s="41"/>
      <c r="VUI13" s="41"/>
      <c r="VUJ13" s="41"/>
      <c r="VUK13" s="41"/>
      <c r="VUL13" s="41"/>
      <c r="VUM13" s="41"/>
      <c r="VUN13" s="41"/>
      <c r="VUO13" s="41"/>
      <c r="VUP13" s="41"/>
      <c r="VUQ13" s="41"/>
      <c r="VUR13" s="41"/>
      <c r="VUS13" s="41"/>
      <c r="VUT13" s="41"/>
      <c r="VUU13" s="41"/>
      <c r="VUV13" s="41"/>
      <c r="VUW13" s="41"/>
      <c r="VUX13" s="41"/>
      <c r="VUY13" s="41"/>
      <c r="VUZ13" s="41"/>
      <c r="VVA13" s="41"/>
      <c r="VVB13" s="41"/>
      <c r="VVC13" s="41"/>
      <c r="VVD13" s="41"/>
      <c r="VVE13" s="41"/>
      <c r="VVF13" s="41"/>
      <c r="VVG13" s="41"/>
      <c r="VVH13" s="41"/>
      <c r="VVI13" s="41"/>
      <c r="VVJ13" s="41"/>
      <c r="VVK13" s="41"/>
      <c r="VVL13" s="41"/>
      <c r="VVM13" s="41"/>
      <c r="VVN13" s="41"/>
      <c r="VVO13" s="41"/>
      <c r="VVP13" s="41"/>
      <c r="VVQ13" s="41"/>
      <c r="VVR13" s="41"/>
      <c r="VVS13" s="41"/>
      <c r="VVT13" s="41"/>
      <c r="VVU13" s="41"/>
      <c r="VVV13" s="41"/>
      <c r="VVW13" s="41"/>
      <c r="VVX13" s="41"/>
      <c r="VVY13" s="41"/>
      <c r="VVZ13" s="41"/>
      <c r="VWA13" s="41"/>
      <c r="VWB13" s="41"/>
      <c r="VWC13" s="41"/>
      <c r="VWD13" s="41"/>
      <c r="VWE13" s="41"/>
      <c r="VWF13" s="41"/>
      <c r="VWG13" s="41"/>
      <c r="VWH13" s="41"/>
      <c r="VWI13" s="41"/>
      <c r="VWJ13" s="41"/>
      <c r="VWK13" s="41"/>
      <c r="VWL13" s="41"/>
      <c r="VWM13" s="41"/>
      <c r="VWN13" s="41"/>
      <c r="VWO13" s="41"/>
      <c r="VWP13" s="41"/>
      <c r="VWQ13" s="41"/>
      <c r="VWR13" s="41"/>
      <c r="VWS13" s="41"/>
      <c r="VWT13" s="41"/>
      <c r="VWU13" s="41"/>
      <c r="VWV13" s="41"/>
      <c r="VWW13" s="41"/>
      <c r="VWX13" s="41"/>
      <c r="VWY13" s="41"/>
      <c r="VWZ13" s="41"/>
      <c r="VXA13" s="41"/>
      <c r="VXB13" s="41"/>
      <c r="VXC13" s="41"/>
      <c r="VXD13" s="41"/>
      <c r="VXE13" s="41"/>
      <c r="VXF13" s="41"/>
      <c r="VXG13" s="41"/>
      <c r="VXH13" s="41"/>
      <c r="VXI13" s="41"/>
      <c r="VXJ13" s="41"/>
      <c r="VXK13" s="41"/>
      <c r="VXL13" s="41"/>
      <c r="VXM13" s="41"/>
      <c r="VXN13" s="41"/>
      <c r="VXO13" s="41"/>
      <c r="VXP13" s="41"/>
      <c r="VXQ13" s="41"/>
      <c r="VXR13" s="41"/>
      <c r="VXS13" s="41"/>
      <c r="VXT13" s="41"/>
      <c r="VXU13" s="41"/>
      <c r="VXV13" s="41"/>
      <c r="VXW13" s="41"/>
      <c r="VXX13" s="41"/>
      <c r="VXY13" s="41"/>
      <c r="VXZ13" s="41"/>
      <c r="VYA13" s="41"/>
      <c r="VYB13" s="41"/>
      <c r="VYC13" s="41"/>
      <c r="VYD13" s="41"/>
      <c r="VYE13" s="41"/>
      <c r="VYF13" s="41"/>
      <c r="VYG13" s="41"/>
      <c r="VYH13" s="41"/>
      <c r="VYI13" s="41"/>
      <c r="VYJ13" s="41"/>
      <c r="VYK13" s="41"/>
      <c r="VYL13" s="41"/>
      <c r="VYM13" s="41"/>
      <c r="VYN13" s="41"/>
      <c r="VYO13" s="41"/>
      <c r="VYP13" s="41"/>
      <c r="VYQ13" s="41"/>
      <c r="VYR13" s="41"/>
      <c r="VYS13" s="41"/>
      <c r="VYT13" s="41"/>
      <c r="VYU13" s="41"/>
      <c r="VYV13" s="41"/>
      <c r="VYW13" s="41"/>
      <c r="VYX13" s="41"/>
      <c r="VYY13" s="41"/>
      <c r="VYZ13" s="41"/>
      <c r="VZA13" s="41"/>
      <c r="VZB13" s="41"/>
      <c r="VZC13" s="41"/>
      <c r="VZD13" s="41"/>
      <c r="VZE13" s="41"/>
      <c r="VZF13" s="41"/>
      <c r="VZG13" s="41"/>
      <c r="VZH13" s="41"/>
      <c r="VZI13" s="41"/>
      <c r="VZJ13" s="41"/>
      <c r="VZK13" s="41"/>
      <c r="VZL13" s="41"/>
      <c r="VZM13" s="41"/>
      <c r="VZN13" s="41"/>
      <c r="VZO13" s="41"/>
      <c r="VZP13" s="41"/>
      <c r="VZQ13" s="41"/>
      <c r="VZR13" s="41"/>
      <c r="VZS13" s="41"/>
      <c r="VZT13" s="41"/>
      <c r="VZU13" s="41"/>
      <c r="VZV13" s="41"/>
      <c r="VZW13" s="41"/>
      <c r="VZX13" s="41"/>
      <c r="VZY13" s="41"/>
      <c r="VZZ13" s="41"/>
      <c r="WAA13" s="41"/>
      <c r="WAB13" s="41"/>
      <c r="WAC13" s="41"/>
      <c r="WAD13" s="41"/>
      <c r="WAE13" s="41"/>
      <c r="WAF13" s="41"/>
      <c r="WAG13" s="41"/>
      <c r="WAH13" s="41"/>
      <c r="WAI13" s="41"/>
      <c r="WAJ13" s="41"/>
      <c r="WAK13" s="41"/>
      <c r="WAL13" s="41"/>
      <c r="WAM13" s="41"/>
      <c r="WAN13" s="41"/>
      <c r="WAO13" s="41"/>
      <c r="WAP13" s="41"/>
      <c r="WAQ13" s="41"/>
      <c r="WAR13" s="41"/>
      <c r="WAS13" s="41"/>
      <c r="WAT13" s="41"/>
      <c r="WAU13" s="41"/>
      <c r="WAV13" s="41"/>
      <c r="WAW13" s="41"/>
      <c r="WAX13" s="41"/>
      <c r="WAY13" s="41"/>
      <c r="WAZ13" s="41"/>
      <c r="WBA13" s="41"/>
      <c r="WBB13" s="41"/>
      <c r="WBC13" s="41"/>
      <c r="WBD13" s="41"/>
      <c r="WBE13" s="41"/>
      <c r="WBF13" s="41"/>
      <c r="WBG13" s="41"/>
      <c r="WBH13" s="41"/>
      <c r="WBI13" s="41"/>
      <c r="WBJ13" s="41"/>
      <c r="WBK13" s="41"/>
      <c r="WBL13" s="41"/>
      <c r="WBM13" s="41"/>
      <c r="WBN13" s="41"/>
      <c r="WBO13" s="41"/>
      <c r="WBP13" s="41"/>
      <c r="WBQ13" s="41"/>
      <c r="WBR13" s="41"/>
      <c r="WBS13" s="41"/>
      <c r="WBT13" s="41"/>
      <c r="WBU13" s="41"/>
      <c r="WBV13" s="41"/>
      <c r="WBW13" s="41"/>
      <c r="WBX13" s="41"/>
      <c r="WBY13" s="41"/>
      <c r="WBZ13" s="41"/>
      <c r="WCA13" s="41"/>
      <c r="WCB13" s="41"/>
      <c r="WCC13" s="41"/>
      <c r="WCD13" s="41"/>
      <c r="WCE13" s="41"/>
      <c r="WCF13" s="41"/>
      <c r="WCG13" s="41"/>
      <c r="WCH13" s="41"/>
      <c r="WCI13" s="41"/>
      <c r="WCJ13" s="41"/>
      <c r="WCK13" s="41"/>
      <c r="WCL13" s="41"/>
      <c r="WCM13" s="41"/>
      <c r="WCN13" s="41"/>
      <c r="WCO13" s="41"/>
      <c r="WCP13" s="41"/>
      <c r="WCQ13" s="41"/>
      <c r="WCR13" s="41"/>
      <c r="WCS13" s="41"/>
      <c r="WCT13" s="41"/>
      <c r="WCU13" s="41"/>
      <c r="WCV13" s="41"/>
      <c r="WCW13" s="41"/>
      <c r="WCX13" s="41"/>
      <c r="WCY13" s="41"/>
      <c r="WCZ13" s="41"/>
      <c r="WDA13" s="41"/>
      <c r="WDB13" s="41"/>
      <c r="WDC13" s="41"/>
      <c r="WDD13" s="41"/>
      <c r="WDE13" s="41"/>
      <c r="WDF13" s="41"/>
      <c r="WDG13" s="41"/>
      <c r="WDH13" s="41"/>
      <c r="WDI13" s="41"/>
      <c r="WDJ13" s="41"/>
      <c r="WDK13" s="41"/>
      <c r="WDL13" s="41"/>
      <c r="WDM13" s="41"/>
      <c r="WDN13" s="41"/>
      <c r="WDO13" s="41"/>
      <c r="WDP13" s="41"/>
      <c r="WDQ13" s="41"/>
      <c r="WDR13" s="41"/>
      <c r="WDS13" s="41"/>
      <c r="WDT13" s="41"/>
      <c r="WDU13" s="41"/>
      <c r="WDV13" s="41"/>
      <c r="WDW13" s="41"/>
      <c r="WDX13" s="41"/>
      <c r="WDY13" s="41"/>
      <c r="WDZ13" s="41"/>
      <c r="WEA13" s="41"/>
      <c r="WEB13" s="41"/>
      <c r="WEC13" s="41"/>
      <c r="WED13" s="41"/>
      <c r="WEE13" s="41"/>
      <c r="WEF13" s="41"/>
      <c r="WEG13" s="41"/>
      <c r="WEH13" s="41"/>
      <c r="WEI13" s="41"/>
      <c r="WEJ13" s="41"/>
      <c r="WEK13" s="41"/>
      <c r="WEL13" s="41"/>
      <c r="WEM13" s="41"/>
      <c r="WEN13" s="41"/>
      <c r="WEO13" s="41"/>
      <c r="WEP13" s="41"/>
      <c r="WEQ13" s="41"/>
      <c r="WER13" s="41"/>
      <c r="WES13" s="41"/>
      <c r="WET13" s="41"/>
      <c r="WEU13" s="41"/>
      <c r="WEV13" s="41"/>
      <c r="WEW13" s="41"/>
      <c r="WEX13" s="41"/>
      <c r="WEY13" s="41"/>
      <c r="WEZ13" s="41"/>
      <c r="WFA13" s="41"/>
      <c r="WFB13" s="41"/>
      <c r="WFC13" s="41"/>
      <c r="WFD13" s="41"/>
      <c r="WFE13" s="41"/>
      <c r="WFF13" s="41"/>
      <c r="WFG13" s="41"/>
      <c r="WFH13" s="41"/>
      <c r="WFI13" s="41"/>
      <c r="WFJ13" s="41"/>
      <c r="WFK13" s="41"/>
      <c r="WFL13" s="41"/>
      <c r="WFM13" s="41"/>
      <c r="WFN13" s="41"/>
      <c r="WFO13" s="41"/>
      <c r="WFP13" s="41"/>
      <c r="WFQ13" s="41"/>
      <c r="WFR13" s="41"/>
      <c r="WFS13" s="41"/>
      <c r="WFT13" s="41"/>
      <c r="WFU13" s="41"/>
      <c r="WFV13" s="41"/>
      <c r="WFW13" s="41"/>
      <c r="WFX13" s="41"/>
      <c r="WFY13" s="41"/>
      <c r="WFZ13" s="41"/>
      <c r="WGA13" s="41"/>
      <c r="WGB13" s="41"/>
      <c r="WGC13" s="41"/>
      <c r="WGD13" s="41"/>
      <c r="WGE13" s="41"/>
      <c r="WGF13" s="41"/>
      <c r="WGG13" s="41"/>
      <c r="WGH13" s="41"/>
      <c r="WGI13" s="41"/>
      <c r="WGJ13" s="41"/>
      <c r="WGK13" s="41"/>
      <c r="WGL13" s="41"/>
      <c r="WGM13" s="41"/>
      <c r="WGN13" s="41"/>
      <c r="WGO13" s="41"/>
      <c r="WGP13" s="41"/>
      <c r="WGQ13" s="41"/>
      <c r="WGR13" s="41"/>
      <c r="WGS13" s="41"/>
      <c r="WGT13" s="41"/>
      <c r="WGU13" s="41"/>
      <c r="WGV13" s="41"/>
      <c r="WGW13" s="41"/>
      <c r="WGX13" s="41"/>
      <c r="WGY13" s="41"/>
      <c r="WGZ13" s="41"/>
      <c r="WHA13" s="41"/>
      <c r="WHB13" s="41"/>
      <c r="WHC13" s="41"/>
      <c r="WHD13" s="41"/>
      <c r="WHE13" s="41"/>
      <c r="WHF13" s="41"/>
      <c r="WHG13" s="41"/>
      <c r="WHH13" s="41"/>
      <c r="WHI13" s="41"/>
      <c r="WHJ13" s="41"/>
      <c r="WHK13" s="41"/>
      <c r="WHL13" s="41"/>
      <c r="WHM13" s="41"/>
      <c r="WHN13" s="41"/>
      <c r="WHO13" s="41"/>
      <c r="WHP13" s="41"/>
      <c r="WHQ13" s="41"/>
      <c r="WHR13" s="41"/>
      <c r="WHS13" s="41"/>
      <c r="WHT13" s="41"/>
      <c r="WHU13" s="41"/>
      <c r="WHV13" s="41"/>
      <c r="WHW13" s="41"/>
      <c r="WHX13" s="41"/>
      <c r="WHY13" s="41"/>
      <c r="WHZ13" s="41"/>
      <c r="WIA13" s="41"/>
      <c r="WIB13" s="41"/>
      <c r="WIC13" s="41"/>
      <c r="WID13" s="41"/>
      <c r="WIE13" s="41"/>
      <c r="WIF13" s="41"/>
      <c r="WIG13" s="41"/>
      <c r="WIH13" s="41"/>
      <c r="WII13" s="41"/>
      <c r="WIJ13" s="41"/>
      <c r="WIK13" s="41"/>
      <c r="WIL13" s="41"/>
      <c r="WIM13" s="41"/>
      <c r="WIN13" s="41"/>
      <c r="WIO13" s="41"/>
      <c r="WIP13" s="41"/>
      <c r="WIQ13" s="41"/>
      <c r="WIR13" s="41"/>
      <c r="WIS13" s="41"/>
      <c r="WIT13" s="41"/>
      <c r="WIU13" s="41"/>
      <c r="WIV13" s="41"/>
      <c r="WIW13" s="41"/>
      <c r="WIX13" s="41"/>
      <c r="WIY13" s="41"/>
      <c r="WIZ13" s="41"/>
      <c r="WJA13" s="41"/>
      <c r="WJB13" s="41"/>
      <c r="WJC13" s="41"/>
      <c r="WJD13" s="41"/>
      <c r="WJE13" s="41"/>
      <c r="WJF13" s="41"/>
      <c r="WJG13" s="41"/>
      <c r="WJH13" s="41"/>
      <c r="WJI13" s="41"/>
      <c r="WJJ13" s="41"/>
      <c r="WJK13" s="41"/>
      <c r="WJL13" s="41"/>
      <c r="WJM13" s="41"/>
      <c r="WJN13" s="41"/>
      <c r="WJO13" s="41"/>
      <c r="WJP13" s="41"/>
      <c r="WJQ13" s="41"/>
      <c r="WJR13" s="41"/>
      <c r="WJS13" s="41"/>
      <c r="WJT13" s="41"/>
      <c r="WJU13" s="41"/>
      <c r="WJV13" s="41"/>
      <c r="WJW13" s="41"/>
      <c r="WJX13" s="41"/>
      <c r="WJY13" s="41"/>
      <c r="WJZ13" s="41"/>
      <c r="WKA13" s="41"/>
      <c r="WKB13" s="41"/>
      <c r="WKC13" s="41"/>
      <c r="WKD13" s="41"/>
      <c r="WKE13" s="41"/>
      <c r="WKF13" s="41"/>
      <c r="WKG13" s="41"/>
      <c r="WKH13" s="41"/>
      <c r="WKI13" s="41"/>
      <c r="WKJ13" s="41"/>
      <c r="WKK13" s="41"/>
      <c r="WKL13" s="41"/>
      <c r="WKM13" s="41"/>
      <c r="WKN13" s="41"/>
      <c r="WKO13" s="41"/>
      <c r="WKP13" s="41"/>
      <c r="WKQ13" s="41"/>
      <c r="WKR13" s="41"/>
      <c r="WKS13" s="41"/>
      <c r="WKT13" s="41"/>
      <c r="WKU13" s="41"/>
      <c r="WKV13" s="41"/>
      <c r="WKW13" s="41"/>
      <c r="WKX13" s="41"/>
      <c r="WKY13" s="41"/>
      <c r="WKZ13" s="41"/>
      <c r="WLA13" s="41"/>
      <c r="WLB13" s="41"/>
      <c r="WLC13" s="41"/>
      <c r="WLD13" s="41"/>
      <c r="WLE13" s="41"/>
      <c r="WLF13" s="41"/>
      <c r="WLG13" s="41"/>
      <c r="WLH13" s="41"/>
      <c r="WLI13" s="41"/>
      <c r="WLJ13" s="41"/>
      <c r="WLK13" s="41"/>
      <c r="WLL13" s="41"/>
      <c r="WLM13" s="41"/>
      <c r="WLN13" s="41"/>
      <c r="WLO13" s="41"/>
      <c r="WLP13" s="41"/>
      <c r="WLQ13" s="41"/>
      <c r="WLR13" s="41"/>
      <c r="WLS13" s="41"/>
      <c r="WLT13" s="41"/>
      <c r="WLU13" s="41"/>
      <c r="WLV13" s="41"/>
      <c r="WLW13" s="41"/>
      <c r="WLX13" s="41"/>
      <c r="WLY13" s="41"/>
      <c r="WLZ13" s="41"/>
      <c r="WMA13" s="41"/>
      <c r="WMB13" s="41"/>
      <c r="WMC13" s="41"/>
      <c r="WMD13" s="41"/>
      <c r="WME13" s="41"/>
      <c r="WMF13" s="41"/>
      <c r="WMG13" s="41"/>
      <c r="WMH13" s="41"/>
      <c r="WMI13" s="41"/>
      <c r="WMJ13" s="41"/>
      <c r="WMK13" s="41"/>
      <c r="WML13" s="41"/>
      <c r="WMM13" s="41"/>
      <c r="WMN13" s="41"/>
      <c r="WMO13" s="41"/>
      <c r="WMP13" s="41"/>
      <c r="WMQ13" s="41"/>
      <c r="WMR13" s="41"/>
      <c r="WMS13" s="41"/>
      <c r="WMT13" s="41"/>
      <c r="WMU13" s="41"/>
      <c r="WMV13" s="41"/>
      <c r="WMW13" s="41"/>
      <c r="WMX13" s="41"/>
      <c r="WMY13" s="41"/>
      <c r="WMZ13" s="41"/>
      <c r="WNA13" s="41"/>
      <c r="WNB13" s="41"/>
      <c r="WNC13" s="41"/>
      <c r="WND13" s="41"/>
      <c r="WNE13" s="41"/>
      <c r="WNF13" s="41"/>
      <c r="WNG13" s="41"/>
      <c r="WNH13" s="41"/>
      <c r="WNI13" s="41"/>
      <c r="WNJ13" s="41"/>
      <c r="WNK13" s="41"/>
      <c r="WNL13" s="41"/>
      <c r="WNM13" s="41"/>
      <c r="WNN13" s="41"/>
      <c r="WNO13" s="41"/>
      <c r="WNP13" s="41"/>
      <c r="WNQ13" s="41"/>
      <c r="WNR13" s="41"/>
      <c r="WNS13" s="41"/>
      <c r="WNT13" s="41"/>
      <c r="WNU13" s="41"/>
      <c r="WNV13" s="41"/>
      <c r="WNW13" s="41"/>
      <c r="WNX13" s="41"/>
      <c r="WNY13" s="41"/>
      <c r="WNZ13" s="41"/>
      <c r="WOA13" s="41"/>
      <c r="WOB13" s="41"/>
      <c r="WOC13" s="41"/>
      <c r="WOD13" s="41"/>
      <c r="WOE13" s="41"/>
      <c r="WOF13" s="41"/>
      <c r="WOG13" s="41"/>
      <c r="WOH13" s="41"/>
      <c r="WOI13" s="41"/>
      <c r="WOJ13" s="41"/>
      <c r="WOK13" s="41"/>
      <c r="WOL13" s="41"/>
      <c r="WOM13" s="41"/>
      <c r="WON13" s="41"/>
      <c r="WOO13" s="41"/>
      <c r="WOP13" s="41"/>
      <c r="WOQ13" s="41"/>
      <c r="WOR13" s="41"/>
      <c r="WOS13" s="41"/>
      <c r="WOT13" s="41"/>
      <c r="WOU13" s="41"/>
      <c r="WOV13" s="41"/>
      <c r="WOW13" s="41"/>
      <c r="WOX13" s="41"/>
      <c r="WOY13" s="41"/>
      <c r="WOZ13" s="41"/>
      <c r="WPA13" s="41"/>
      <c r="WPB13" s="41"/>
      <c r="WPC13" s="41"/>
      <c r="WPD13" s="41"/>
      <c r="WPE13" s="41"/>
      <c r="WPF13" s="41"/>
      <c r="WPG13" s="41"/>
      <c r="WPH13" s="41"/>
      <c r="WPI13" s="41"/>
      <c r="WPJ13" s="41"/>
      <c r="WPK13" s="41"/>
      <c r="WPL13" s="41"/>
      <c r="WPM13" s="41"/>
      <c r="WPN13" s="41"/>
      <c r="WPO13" s="41"/>
      <c r="WPP13" s="41"/>
      <c r="WPQ13" s="41"/>
      <c r="WPR13" s="41"/>
      <c r="WPS13" s="41"/>
      <c r="WPT13" s="41"/>
      <c r="WPU13" s="41"/>
      <c r="WPV13" s="41"/>
      <c r="WPW13" s="41"/>
      <c r="WPX13" s="41"/>
      <c r="WPY13" s="41"/>
      <c r="WPZ13" s="41"/>
      <c r="WQA13" s="41"/>
      <c r="WQB13" s="41"/>
      <c r="WQC13" s="41"/>
      <c r="WQD13" s="41"/>
      <c r="WQE13" s="41"/>
      <c r="WQF13" s="41"/>
      <c r="WQG13" s="41"/>
      <c r="WQH13" s="41"/>
      <c r="WQI13" s="41"/>
      <c r="WQJ13" s="41"/>
      <c r="WQK13" s="41"/>
      <c r="WQL13" s="41"/>
      <c r="WQM13" s="41"/>
      <c r="WQN13" s="41"/>
      <c r="WQO13" s="41"/>
      <c r="WQP13" s="41"/>
      <c r="WQQ13" s="41"/>
      <c r="WQR13" s="41"/>
      <c r="WQS13" s="41"/>
      <c r="WQT13" s="41"/>
      <c r="WQU13" s="41"/>
      <c r="WQV13" s="41"/>
      <c r="WQW13" s="41"/>
      <c r="WQX13" s="41"/>
      <c r="WQY13" s="41"/>
      <c r="WQZ13" s="41"/>
      <c r="WRA13" s="41"/>
      <c r="WRB13" s="41"/>
      <c r="WRC13" s="41"/>
      <c r="WRD13" s="41"/>
      <c r="WRE13" s="41"/>
      <c r="WRF13" s="41"/>
      <c r="WRG13" s="41"/>
      <c r="WRH13" s="41"/>
      <c r="WRI13" s="41"/>
      <c r="WRJ13" s="41"/>
      <c r="WRK13" s="41"/>
      <c r="WRL13" s="41"/>
      <c r="WRM13" s="41"/>
      <c r="WRN13" s="41"/>
      <c r="WRO13" s="41"/>
      <c r="WRP13" s="41"/>
      <c r="WRQ13" s="41"/>
      <c r="WRR13" s="41"/>
      <c r="WRS13" s="41"/>
      <c r="WRT13" s="41"/>
      <c r="WRU13" s="41"/>
      <c r="WRV13" s="41"/>
      <c r="WRW13" s="41"/>
      <c r="WRX13" s="41"/>
      <c r="WRY13" s="41"/>
      <c r="WRZ13" s="41"/>
      <c r="WSA13" s="41"/>
      <c r="WSB13" s="41"/>
      <c r="WSC13" s="41"/>
      <c r="WSD13" s="41"/>
      <c r="WSE13" s="41"/>
      <c r="WSF13" s="41"/>
      <c r="WSG13" s="41"/>
      <c r="WSH13" s="41"/>
      <c r="WSI13" s="41"/>
      <c r="WSJ13" s="41"/>
      <c r="WSK13" s="41"/>
      <c r="WSL13" s="41"/>
      <c r="WSM13" s="41"/>
      <c r="WSN13" s="41"/>
      <c r="WSO13" s="41"/>
      <c r="WSP13" s="41"/>
      <c r="WSQ13" s="41"/>
      <c r="WSR13" s="41"/>
      <c r="WSS13" s="41"/>
      <c r="WST13" s="41"/>
      <c r="WSU13" s="41"/>
      <c r="WSV13" s="41"/>
      <c r="WSW13" s="41"/>
      <c r="WSX13" s="41"/>
      <c r="WSY13" s="41"/>
      <c r="WSZ13" s="41"/>
      <c r="WTA13" s="41"/>
      <c r="WTB13" s="41"/>
      <c r="WTC13" s="41"/>
      <c r="WTD13" s="41"/>
      <c r="WTE13" s="41"/>
      <c r="WTF13" s="41"/>
      <c r="WTG13" s="41"/>
      <c r="WTH13" s="41"/>
      <c r="WTI13" s="41"/>
      <c r="WTJ13" s="41"/>
      <c r="WTK13" s="41"/>
      <c r="WTL13" s="41"/>
      <c r="WTM13" s="41"/>
      <c r="WTN13" s="41"/>
      <c r="WTO13" s="41"/>
      <c r="WTP13" s="41"/>
      <c r="WTQ13" s="41"/>
      <c r="WTR13" s="41"/>
      <c r="WTS13" s="41"/>
      <c r="WTT13" s="41"/>
      <c r="WTU13" s="41"/>
      <c r="WTV13" s="41"/>
      <c r="WTW13" s="41"/>
      <c r="WTX13" s="41"/>
      <c r="WTY13" s="41"/>
      <c r="WTZ13" s="41"/>
      <c r="WUA13" s="41"/>
      <c r="WUB13" s="41"/>
      <c r="WUC13" s="41"/>
      <c r="WUD13" s="41"/>
      <c r="WUE13" s="41"/>
      <c r="WUF13" s="41"/>
      <c r="WUG13" s="41"/>
      <c r="WUH13" s="41"/>
      <c r="WUI13" s="41"/>
      <c r="WUJ13" s="41"/>
      <c r="WUK13" s="41"/>
      <c r="WUL13" s="41"/>
      <c r="WUM13" s="41"/>
      <c r="WUN13" s="41"/>
      <c r="WUO13" s="41"/>
      <c r="WUP13" s="41"/>
      <c r="WUQ13" s="41"/>
      <c r="WUR13" s="41"/>
      <c r="WUS13" s="41"/>
      <c r="WUT13" s="41"/>
      <c r="WUU13" s="41"/>
      <c r="WUV13" s="41"/>
      <c r="WUW13" s="41"/>
      <c r="WUX13" s="41"/>
      <c r="WUY13" s="41"/>
      <c r="WUZ13" s="41"/>
      <c r="WVA13" s="41"/>
      <c r="WVB13" s="41"/>
      <c r="WVC13" s="41"/>
      <c r="WVD13" s="41"/>
      <c r="WVE13" s="41"/>
      <c r="WVF13" s="41"/>
      <c r="WVG13" s="41"/>
      <c r="WVH13" s="41"/>
      <c r="WVI13" s="41"/>
      <c r="WVJ13" s="41"/>
      <c r="WVK13" s="41"/>
      <c r="WVL13" s="41"/>
      <c r="WVM13" s="41"/>
      <c r="WVN13" s="41"/>
      <c r="WVO13" s="41"/>
      <c r="WVP13" s="41"/>
      <c r="WVQ13" s="41"/>
      <c r="WVR13" s="41"/>
      <c r="WVS13" s="41"/>
      <c r="WVT13" s="41"/>
      <c r="WVU13" s="41"/>
      <c r="WVV13" s="41"/>
      <c r="WVW13" s="41"/>
      <c r="WVX13" s="41"/>
      <c r="WVY13" s="41"/>
      <c r="WVZ13" s="41"/>
      <c r="WWA13" s="41"/>
      <c r="WWB13" s="41"/>
      <c r="WWC13" s="41"/>
      <c r="WWD13" s="41"/>
      <c r="WWE13" s="41"/>
      <c r="WWF13" s="41"/>
      <c r="WWG13" s="41"/>
      <c r="WWH13" s="41"/>
      <c r="WWI13" s="41"/>
      <c r="WWJ13" s="41"/>
      <c r="WWK13" s="41"/>
      <c r="WWL13" s="41"/>
      <c r="WWM13" s="41"/>
      <c r="WWN13" s="41"/>
      <c r="WWO13" s="41"/>
      <c r="WWP13" s="41"/>
      <c r="WWQ13" s="41"/>
      <c r="WWR13" s="41"/>
      <c r="WWS13" s="41"/>
      <c r="WWT13" s="41"/>
      <c r="WWU13" s="41"/>
      <c r="WWV13" s="41"/>
      <c r="WWW13" s="41"/>
      <c r="WWX13" s="41"/>
      <c r="WWY13" s="41"/>
      <c r="WWZ13" s="41"/>
      <c r="WXA13" s="41"/>
      <c r="WXB13" s="41"/>
      <c r="WXC13" s="41"/>
      <c r="WXD13" s="41"/>
      <c r="WXE13" s="41"/>
      <c r="WXF13" s="41"/>
      <c r="WXG13" s="41"/>
      <c r="WXH13" s="41"/>
      <c r="WXI13" s="41"/>
      <c r="WXJ13" s="41"/>
      <c r="WXK13" s="41"/>
      <c r="WXL13" s="41"/>
      <c r="WXM13" s="41"/>
      <c r="WXN13" s="41"/>
      <c r="WXO13" s="41"/>
      <c r="WXP13" s="41"/>
      <c r="WXQ13" s="41"/>
      <c r="WXR13" s="41"/>
      <c r="WXS13" s="41"/>
      <c r="WXT13" s="41"/>
      <c r="WXU13" s="41"/>
      <c r="WXV13" s="41"/>
      <c r="WXW13" s="41"/>
      <c r="WXX13" s="41"/>
      <c r="WXY13" s="41"/>
      <c r="WXZ13" s="41"/>
      <c r="WYA13" s="41"/>
      <c r="WYB13" s="41"/>
      <c r="WYC13" s="41"/>
      <c r="WYD13" s="41"/>
      <c r="WYE13" s="41"/>
      <c r="WYF13" s="41"/>
      <c r="WYG13" s="41"/>
      <c r="WYH13" s="41"/>
      <c r="WYI13" s="41"/>
      <c r="WYJ13" s="41"/>
      <c r="WYK13" s="41"/>
      <c r="WYL13" s="41"/>
      <c r="WYM13" s="41"/>
      <c r="WYN13" s="41"/>
      <c r="WYO13" s="41"/>
      <c r="WYP13" s="41"/>
      <c r="WYQ13" s="41"/>
      <c r="WYR13" s="41"/>
      <c r="WYS13" s="41"/>
      <c r="WYT13" s="41"/>
      <c r="WYU13" s="41"/>
      <c r="WYV13" s="41"/>
      <c r="WYW13" s="41"/>
      <c r="WYX13" s="41"/>
      <c r="WYY13" s="41"/>
      <c r="WYZ13" s="41"/>
      <c r="WZA13" s="41"/>
      <c r="WZB13" s="41"/>
      <c r="WZC13" s="41"/>
      <c r="WZD13" s="41"/>
      <c r="WZE13" s="41"/>
      <c r="WZF13" s="41"/>
      <c r="WZG13" s="41"/>
      <c r="WZH13" s="41"/>
      <c r="WZI13" s="41"/>
      <c r="WZJ13" s="41"/>
      <c r="WZK13" s="41"/>
      <c r="WZL13" s="41"/>
      <c r="WZM13" s="41"/>
      <c r="WZN13" s="41"/>
      <c r="WZO13" s="41"/>
      <c r="WZP13" s="41"/>
      <c r="WZQ13" s="41"/>
      <c r="WZR13" s="41"/>
      <c r="WZS13" s="41"/>
      <c r="WZT13" s="41"/>
      <c r="WZU13" s="41"/>
      <c r="WZV13" s="41"/>
      <c r="WZW13" s="41"/>
      <c r="WZX13" s="41"/>
      <c r="WZY13" s="41"/>
      <c r="WZZ13" s="41"/>
      <c r="XAA13" s="41"/>
      <c r="XAB13" s="41"/>
      <c r="XAC13" s="41"/>
      <c r="XAD13" s="41"/>
      <c r="XAE13" s="41"/>
      <c r="XAF13" s="41"/>
      <c r="XAG13" s="41"/>
      <c r="XAH13" s="41"/>
      <c r="XAI13" s="41"/>
      <c r="XAJ13" s="41"/>
      <c r="XAK13" s="41"/>
      <c r="XAL13" s="41"/>
      <c r="XAM13" s="41"/>
      <c r="XAN13" s="41"/>
      <c r="XAO13" s="41"/>
      <c r="XAP13" s="41"/>
      <c r="XAQ13" s="41"/>
      <c r="XAR13" s="41"/>
      <c r="XAS13" s="41"/>
      <c r="XAT13" s="41"/>
      <c r="XAU13" s="41"/>
      <c r="XAV13" s="41"/>
      <c r="XAW13" s="41"/>
      <c r="XAX13" s="41"/>
      <c r="XAY13" s="41"/>
      <c r="XAZ13" s="41"/>
      <c r="XBA13" s="41"/>
      <c r="XBB13" s="41"/>
      <c r="XBC13" s="41"/>
      <c r="XBD13" s="41"/>
      <c r="XBE13" s="41"/>
      <c r="XBF13" s="41"/>
      <c r="XBG13" s="41"/>
      <c r="XBH13" s="41"/>
      <c r="XBI13" s="41"/>
      <c r="XBJ13" s="41"/>
      <c r="XBK13" s="41"/>
      <c r="XBL13" s="41"/>
      <c r="XBM13" s="41"/>
      <c r="XBN13" s="41"/>
      <c r="XBO13" s="41"/>
      <c r="XBP13" s="41"/>
      <c r="XBQ13" s="41"/>
      <c r="XBR13" s="41"/>
      <c r="XBS13" s="41"/>
      <c r="XBT13" s="41"/>
      <c r="XBU13" s="41"/>
      <c r="XBV13" s="41"/>
      <c r="XBW13" s="41"/>
      <c r="XBX13" s="41"/>
      <c r="XBY13" s="41"/>
      <c r="XBZ13" s="41"/>
      <c r="XCA13" s="41"/>
      <c r="XCB13" s="41"/>
      <c r="XCC13" s="41"/>
      <c r="XCD13" s="41"/>
      <c r="XCE13" s="41"/>
      <c r="XCF13" s="41"/>
      <c r="XCG13" s="41"/>
      <c r="XCH13" s="41"/>
      <c r="XCI13" s="41"/>
      <c r="XCJ13" s="41"/>
      <c r="XCK13" s="41"/>
      <c r="XCL13" s="41"/>
      <c r="XCM13" s="41"/>
      <c r="XCN13" s="41"/>
      <c r="XCO13" s="41"/>
      <c r="XCP13" s="41"/>
      <c r="XCQ13" s="41"/>
      <c r="XCR13" s="41"/>
      <c r="XCS13" s="41"/>
      <c r="XCT13" s="41"/>
      <c r="XCU13" s="41"/>
      <c r="XCV13" s="41"/>
      <c r="XCW13" s="41"/>
      <c r="XCX13" s="41"/>
      <c r="XCY13" s="41"/>
      <c r="XCZ13" s="41"/>
      <c r="XDA13" s="41"/>
      <c r="XDB13" s="41"/>
      <c r="XDC13" s="41"/>
      <c r="XDD13" s="41"/>
      <c r="XDE13" s="41"/>
      <c r="XDF13" s="41"/>
      <c r="XDG13" s="41"/>
      <c r="XDH13" s="41"/>
      <c r="XDI13" s="41"/>
      <c r="XDJ13" s="41"/>
      <c r="XDK13" s="41"/>
      <c r="XDL13" s="41"/>
      <c r="XDM13" s="41"/>
      <c r="XDN13" s="41"/>
      <c r="XDO13" s="41"/>
      <c r="XDP13" s="41"/>
      <c r="XDQ13" s="41"/>
      <c r="XDR13" s="41"/>
      <c r="XDS13" s="41"/>
      <c r="XDT13" s="41"/>
      <c r="XDU13" s="41"/>
      <c r="XDV13" s="41"/>
      <c r="XDW13" s="41"/>
      <c r="XDX13" s="41"/>
      <c r="XDY13" s="41"/>
      <c r="XDZ13" s="41"/>
      <c r="XEA13" s="41"/>
      <c r="XEB13" s="41"/>
      <c r="XEC13" s="41"/>
      <c r="XED13" s="41"/>
      <c r="XEE13" s="41"/>
      <c r="XEF13" s="41"/>
      <c r="XEG13" s="41"/>
      <c r="XEH13" s="41"/>
      <c r="XEI13" s="41"/>
      <c r="XEJ13" s="41"/>
      <c r="XEK13" s="41"/>
      <c r="XEL13" s="41"/>
      <c r="XEM13" s="41"/>
      <c r="XEN13" s="41"/>
      <c r="XEO13" s="41"/>
      <c r="XEP13" s="41"/>
      <c r="XEQ13" s="41"/>
      <c r="XER13" s="41"/>
      <c r="XES13" s="41"/>
      <c r="XET13" s="41"/>
      <c r="XEU13" s="41"/>
      <c r="XEV13" s="41"/>
      <c r="XEW13" s="41"/>
      <c r="XEX13" s="41"/>
      <c r="XEY13" s="41"/>
      <c r="XEZ13" s="41"/>
      <c r="XFA13" s="41"/>
      <c r="XFB13" s="41"/>
      <c r="XFC13" s="41"/>
      <c r="XFD13" s="41"/>
    </row>
    <row r="14" spans="2:16384" s="32" customFormat="1" ht="19.5" customHeight="1" x14ac:dyDescent="0.3">
      <c r="D14" s="6" t="s">
        <v>269</v>
      </c>
      <c r="E14" s="6"/>
      <c r="F14" s="125">
        <v>2750000000</v>
      </c>
      <c r="G14" s="90"/>
      <c r="H14" s="112"/>
      <c r="I14" s="90"/>
      <c r="J14" s="7"/>
      <c r="K14" s="26"/>
      <c r="L14" s="26"/>
      <c r="M14" s="15"/>
      <c r="N14" s="41"/>
      <c r="O14" s="41"/>
      <c r="P14" s="41"/>
      <c r="Q14" s="41"/>
      <c r="R14" s="41"/>
      <c r="S14" s="41"/>
      <c r="T14" s="41"/>
      <c r="U14" s="41"/>
      <c r="V14" s="58"/>
      <c r="W14" s="58"/>
      <c r="X14" s="139" t="s">
        <v>287</v>
      </c>
      <c r="Y14" s="139"/>
      <c r="Z14" s="58" t="e">
        <f>(Z13/SUM($Z$13:$AC$13))</f>
        <v>#REF!</v>
      </c>
      <c r="AA14" s="58" t="e">
        <f t="shared" ref="AA14:AC14" si="1">(AA13/SUM($Z$13:$AC$13))</f>
        <v>#REF!</v>
      </c>
      <c r="AB14" s="58" t="e">
        <f t="shared" si="1"/>
        <v>#REF!</v>
      </c>
      <c r="AC14" s="58" t="e">
        <f t="shared" si="1"/>
        <v>#REF!</v>
      </c>
      <c r="AD14" s="58" t="e">
        <f>(AD13/SUM($AD$13:$AG$13))</f>
        <v>#REF!</v>
      </c>
      <c r="AE14" s="58" t="e">
        <f t="shared" ref="AE14:AG14" si="2">(AE13/SUM($AD$13:$AG$13))</f>
        <v>#REF!</v>
      </c>
      <c r="AF14" s="58" t="e">
        <f t="shared" si="2"/>
        <v>#REF!</v>
      </c>
      <c r="AG14" s="58" t="e">
        <f t="shared" si="2"/>
        <v>#REF!</v>
      </c>
      <c r="AH14" s="58" t="e">
        <f>(AH13/SUM($AH$13:$AK$13))</f>
        <v>#REF!</v>
      </c>
      <c r="AI14" s="58" t="e">
        <f t="shared" ref="AI14:AK14" si="3">(AI13/SUM($AH$13:$AK$13))</f>
        <v>#REF!</v>
      </c>
      <c r="AJ14" s="58" t="e">
        <f t="shared" si="3"/>
        <v>#REF!</v>
      </c>
      <c r="AK14" s="58" t="e">
        <f t="shared" si="3"/>
        <v>#REF!</v>
      </c>
      <c r="AL14" s="58" t="e">
        <f>(AL13/SUM($AL$13:$AO$13))</f>
        <v>#REF!</v>
      </c>
      <c r="AM14" s="58" t="e">
        <f t="shared" ref="AM14:AO14" si="4">(AM13/SUM($AL$13:$AO$13))</f>
        <v>#REF!</v>
      </c>
      <c r="AN14" s="58" t="e">
        <f t="shared" si="4"/>
        <v>#REF!</v>
      </c>
      <c r="AO14" s="58" t="e">
        <f t="shared" si="4"/>
        <v>#REF!</v>
      </c>
      <c r="AP14" s="58" t="e">
        <f>(AP13/SUM($AP$13:$AS$13))</f>
        <v>#REF!</v>
      </c>
      <c r="AQ14" s="58" t="e">
        <f t="shared" ref="AQ14:AS14" si="5">(AQ13/SUM($AP$13:$AS$13))</f>
        <v>#REF!</v>
      </c>
      <c r="AR14" s="58" t="e">
        <f t="shared" si="5"/>
        <v>#REF!</v>
      </c>
      <c r="AS14" s="58" t="e">
        <f t="shared" si="5"/>
        <v>#REF!</v>
      </c>
      <c r="AT14" s="58" t="e">
        <f>(AT13/SUM($AT$13:$AW$13))</f>
        <v>#REF!</v>
      </c>
      <c r="AU14" s="58" t="e">
        <f t="shared" ref="AU14:AW14" si="6">(AU13/SUM($AT$13:$AW$13))</f>
        <v>#REF!</v>
      </c>
      <c r="AV14" s="58" t="e">
        <f t="shared" si="6"/>
        <v>#REF!</v>
      </c>
      <c r="AW14" s="58" t="e">
        <f t="shared" si="6"/>
        <v>#REF!</v>
      </c>
      <c r="AX14" s="58" t="e">
        <f>(AX13/SUM($AX$13:$BA$13))</f>
        <v>#REF!</v>
      </c>
      <c r="AY14" s="58" t="e">
        <f t="shared" ref="AY14:BA14" si="7">(AY13/SUM($AX$13:$BA$13))</f>
        <v>#REF!</v>
      </c>
      <c r="AZ14" s="58" t="e">
        <f t="shared" si="7"/>
        <v>#REF!</v>
      </c>
      <c r="BA14" s="58" t="e">
        <f t="shared" si="7"/>
        <v>#REF!</v>
      </c>
      <c r="BB14" s="58" t="e">
        <f>(BB13/SUM($BB$13:$BE$13))</f>
        <v>#REF!</v>
      </c>
      <c r="BC14" s="58" t="e">
        <f t="shared" ref="BC14:BE14" si="8">(BC13/SUM($BB$13:$BE$13))</f>
        <v>#REF!</v>
      </c>
      <c r="BD14" s="58" t="e">
        <f t="shared" si="8"/>
        <v>#REF!</v>
      </c>
      <c r="BE14" s="58" t="e">
        <f t="shared" si="8"/>
        <v>#REF!</v>
      </c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58"/>
      <c r="EE14" s="58"/>
      <c r="EF14" s="58"/>
      <c r="EG14" s="58"/>
      <c r="EH14" s="58"/>
      <c r="EI14" s="58"/>
      <c r="EJ14" s="58"/>
      <c r="EK14" s="58"/>
      <c r="EL14" s="58"/>
      <c r="EM14" s="58"/>
      <c r="EN14" s="58"/>
      <c r="EO14" s="58"/>
      <c r="EP14" s="58"/>
      <c r="EQ14" s="58"/>
      <c r="ER14" s="58"/>
      <c r="ES14" s="58"/>
      <c r="ET14" s="58"/>
      <c r="EU14" s="58"/>
      <c r="EV14" s="58"/>
      <c r="EW14" s="58"/>
      <c r="EX14" s="58"/>
      <c r="EY14" s="58"/>
      <c r="EZ14" s="58"/>
      <c r="FA14" s="58"/>
      <c r="FB14" s="58"/>
      <c r="FC14" s="58"/>
      <c r="FD14" s="58"/>
      <c r="FE14" s="58"/>
      <c r="FF14" s="58"/>
      <c r="FG14" s="58"/>
      <c r="FH14" s="58"/>
      <c r="FI14" s="58"/>
      <c r="FJ14" s="58"/>
      <c r="FK14" s="58"/>
      <c r="FL14" s="58"/>
      <c r="FM14" s="58"/>
      <c r="FN14" s="58"/>
      <c r="FO14" s="58"/>
      <c r="FP14" s="58"/>
      <c r="FQ14" s="58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58"/>
      <c r="IT14" s="58"/>
      <c r="IU14" s="58"/>
      <c r="IV14" s="58"/>
      <c r="IW14" s="58"/>
      <c r="IX14" s="58"/>
      <c r="IY14" s="58"/>
      <c r="IZ14" s="58"/>
      <c r="JA14" s="58"/>
      <c r="JB14" s="58"/>
      <c r="JC14" s="58"/>
      <c r="JD14" s="58"/>
      <c r="JE14" s="58"/>
      <c r="JF14" s="58"/>
      <c r="JG14" s="58"/>
      <c r="JH14" s="58"/>
      <c r="JI14" s="58"/>
      <c r="JJ14" s="58"/>
      <c r="JK14" s="58"/>
      <c r="JL14" s="58"/>
      <c r="JM14" s="58"/>
      <c r="JN14" s="58"/>
      <c r="JO14" s="58"/>
      <c r="JP14" s="58"/>
      <c r="JQ14" s="58"/>
      <c r="JR14" s="58"/>
      <c r="JS14" s="58"/>
      <c r="JT14" s="58"/>
      <c r="JU14" s="58"/>
      <c r="JV14" s="58"/>
      <c r="JW14" s="58"/>
      <c r="JX14" s="58"/>
      <c r="JY14" s="58"/>
      <c r="JZ14" s="58"/>
      <c r="KA14" s="58"/>
      <c r="KB14" s="58"/>
      <c r="KC14" s="58"/>
      <c r="KD14" s="58"/>
      <c r="KE14" s="58"/>
      <c r="KF14" s="58"/>
      <c r="KG14" s="58"/>
      <c r="KH14" s="58"/>
      <c r="KI14" s="58"/>
      <c r="KJ14" s="58"/>
      <c r="KK14" s="58"/>
      <c r="KL14" s="58"/>
      <c r="KM14" s="58"/>
      <c r="KN14" s="58"/>
      <c r="KO14" s="58"/>
      <c r="KP14" s="58"/>
      <c r="KQ14" s="58"/>
      <c r="KR14" s="58"/>
      <c r="KS14" s="58"/>
      <c r="KT14" s="58"/>
      <c r="KU14" s="58"/>
      <c r="KV14" s="58"/>
      <c r="KW14" s="58"/>
      <c r="KX14" s="58"/>
      <c r="KY14" s="58"/>
      <c r="KZ14" s="58"/>
      <c r="LA14" s="58"/>
      <c r="LB14" s="58"/>
      <c r="LC14" s="58"/>
      <c r="LD14" s="58"/>
      <c r="LE14" s="58"/>
      <c r="LF14" s="58"/>
      <c r="LG14" s="58"/>
      <c r="LH14" s="58"/>
      <c r="LI14" s="58"/>
      <c r="LJ14" s="58"/>
      <c r="LK14" s="58"/>
      <c r="LL14" s="58"/>
      <c r="LM14" s="58"/>
      <c r="LN14" s="58"/>
      <c r="LO14" s="58"/>
      <c r="LP14" s="58"/>
      <c r="LQ14" s="58"/>
      <c r="LR14" s="58"/>
      <c r="LS14" s="58"/>
      <c r="LT14" s="58"/>
      <c r="LU14" s="58"/>
      <c r="LV14" s="58"/>
      <c r="LW14" s="58"/>
      <c r="LX14" s="58"/>
      <c r="LY14" s="58"/>
      <c r="LZ14" s="58"/>
      <c r="MA14" s="58"/>
      <c r="MB14" s="58"/>
      <c r="MC14" s="58"/>
      <c r="MD14" s="58"/>
      <c r="ME14" s="58"/>
      <c r="MF14" s="58"/>
      <c r="MG14" s="58"/>
      <c r="MH14" s="58"/>
      <c r="MI14" s="58"/>
      <c r="MJ14" s="58"/>
      <c r="MK14" s="58"/>
      <c r="ML14" s="58"/>
      <c r="MM14" s="58"/>
      <c r="MN14" s="58"/>
      <c r="MO14" s="58"/>
      <c r="MP14" s="58"/>
      <c r="MQ14" s="58"/>
      <c r="MR14" s="58"/>
      <c r="MS14" s="58"/>
      <c r="MT14" s="58"/>
      <c r="MU14" s="58"/>
      <c r="MV14" s="58"/>
      <c r="MW14" s="58"/>
      <c r="MX14" s="58"/>
      <c r="MY14" s="58"/>
      <c r="MZ14" s="58"/>
      <c r="NA14" s="58"/>
      <c r="NB14" s="58"/>
      <c r="NC14" s="58"/>
      <c r="ND14" s="58"/>
      <c r="NE14" s="58"/>
      <c r="NF14" s="58"/>
      <c r="NG14" s="58"/>
      <c r="NH14" s="58"/>
      <c r="NI14" s="58"/>
      <c r="NJ14" s="58"/>
      <c r="NK14" s="58"/>
      <c r="NL14" s="58"/>
      <c r="NM14" s="58"/>
      <c r="NN14" s="58"/>
      <c r="NO14" s="58"/>
      <c r="NP14" s="58"/>
      <c r="NQ14" s="58"/>
      <c r="NR14" s="58"/>
      <c r="NS14" s="58"/>
      <c r="NT14" s="58"/>
      <c r="NU14" s="58"/>
      <c r="NV14" s="58"/>
      <c r="NW14" s="58"/>
      <c r="NX14" s="58"/>
      <c r="NY14" s="58"/>
      <c r="NZ14" s="58"/>
      <c r="OA14" s="58"/>
      <c r="OB14" s="58"/>
      <c r="OC14" s="58"/>
      <c r="OD14" s="58"/>
      <c r="OE14" s="58"/>
      <c r="OF14" s="58"/>
      <c r="OG14" s="58"/>
      <c r="OH14" s="58"/>
      <c r="OI14" s="58"/>
      <c r="OJ14" s="58"/>
      <c r="OK14" s="58"/>
      <c r="OL14" s="58"/>
      <c r="OM14" s="58"/>
      <c r="ON14" s="58"/>
      <c r="OO14" s="58"/>
      <c r="OP14" s="58"/>
      <c r="OQ14" s="58"/>
      <c r="OR14" s="58"/>
      <c r="OS14" s="58"/>
      <c r="OT14" s="58"/>
      <c r="OU14" s="58"/>
      <c r="OV14" s="58"/>
      <c r="OW14" s="58"/>
      <c r="OX14" s="58"/>
      <c r="OY14" s="58"/>
      <c r="OZ14" s="58"/>
      <c r="PA14" s="58"/>
      <c r="PB14" s="58"/>
      <c r="PC14" s="58"/>
      <c r="PD14" s="58"/>
      <c r="PE14" s="58"/>
      <c r="PF14" s="58"/>
      <c r="PG14" s="58"/>
      <c r="PH14" s="58"/>
      <c r="PI14" s="58"/>
      <c r="PJ14" s="58"/>
      <c r="PK14" s="58"/>
      <c r="PL14" s="58"/>
      <c r="PM14" s="58"/>
      <c r="PN14" s="58"/>
      <c r="PO14" s="58"/>
      <c r="PP14" s="58"/>
      <c r="PQ14" s="58"/>
      <c r="PR14" s="58"/>
      <c r="PS14" s="58"/>
      <c r="PT14" s="58"/>
      <c r="PU14" s="58"/>
      <c r="PV14" s="58"/>
      <c r="PW14" s="58"/>
      <c r="PX14" s="58"/>
      <c r="PY14" s="58"/>
      <c r="PZ14" s="58"/>
      <c r="QA14" s="58"/>
      <c r="QB14" s="58"/>
      <c r="QC14" s="58"/>
      <c r="QD14" s="58"/>
      <c r="QE14" s="58"/>
      <c r="QF14" s="58"/>
      <c r="QG14" s="58"/>
      <c r="QH14" s="58"/>
      <c r="QI14" s="58"/>
      <c r="QJ14" s="58"/>
      <c r="QK14" s="58"/>
      <c r="QL14" s="58"/>
      <c r="QM14" s="58"/>
      <c r="QN14" s="58"/>
      <c r="QO14" s="58"/>
      <c r="QP14" s="58"/>
      <c r="QQ14" s="58"/>
      <c r="QR14" s="58"/>
      <c r="QS14" s="58"/>
      <c r="QT14" s="58"/>
      <c r="QU14" s="58"/>
      <c r="QV14" s="58"/>
      <c r="QW14" s="58"/>
      <c r="QX14" s="58"/>
      <c r="QY14" s="58"/>
      <c r="QZ14" s="58"/>
      <c r="RA14" s="58"/>
      <c r="RB14" s="58"/>
      <c r="RC14" s="58"/>
      <c r="RD14" s="58"/>
      <c r="RE14" s="58"/>
      <c r="RF14" s="58"/>
      <c r="RG14" s="58"/>
      <c r="RH14" s="58"/>
      <c r="RI14" s="58"/>
      <c r="RJ14" s="58"/>
      <c r="RK14" s="58"/>
      <c r="RL14" s="58"/>
      <c r="RM14" s="58"/>
      <c r="RN14" s="58"/>
      <c r="RO14" s="58"/>
      <c r="RP14" s="58"/>
      <c r="RQ14" s="58"/>
      <c r="RR14" s="58"/>
      <c r="RS14" s="58"/>
      <c r="RT14" s="58"/>
      <c r="RU14" s="58"/>
      <c r="RV14" s="58"/>
      <c r="RW14" s="58"/>
      <c r="RX14" s="58"/>
      <c r="RY14" s="58"/>
      <c r="RZ14" s="58"/>
      <c r="SA14" s="58"/>
      <c r="SB14" s="58"/>
      <c r="SC14" s="58"/>
      <c r="SD14" s="58"/>
      <c r="SE14" s="58"/>
      <c r="SF14" s="58"/>
      <c r="SG14" s="58"/>
      <c r="SH14" s="58"/>
      <c r="SI14" s="58"/>
      <c r="SJ14" s="58"/>
      <c r="SK14" s="58"/>
      <c r="SL14" s="58"/>
      <c r="SM14" s="58"/>
      <c r="SN14" s="58"/>
      <c r="SO14" s="58"/>
      <c r="SP14" s="58"/>
      <c r="SQ14" s="58"/>
      <c r="SR14" s="58"/>
      <c r="SS14" s="58"/>
      <c r="ST14" s="58"/>
      <c r="SU14" s="58"/>
      <c r="SV14" s="58"/>
      <c r="SW14" s="58"/>
      <c r="SX14" s="58"/>
      <c r="SY14" s="58"/>
      <c r="SZ14" s="58"/>
      <c r="TA14" s="58"/>
      <c r="TB14" s="58"/>
      <c r="TC14" s="58"/>
      <c r="TD14" s="58"/>
      <c r="TE14" s="58"/>
      <c r="TF14" s="58"/>
      <c r="TG14" s="58"/>
      <c r="TH14" s="58"/>
      <c r="TI14" s="58"/>
      <c r="TJ14" s="58"/>
      <c r="TK14" s="58"/>
      <c r="TL14" s="58"/>
      <c r="TM14" s="58"/>
      <c r="TN14" s="58"/>
      <c r="TO14" s="58"/>
      <c r="TP14" s="58"/>
      <c r="TQ14" s="58"/>
      <c r="TR14" s="58"/>
      <c r="TS14" s="58"/>
      <c r="TT14" s="58"/>
      <c r="TU14" s="58"/>
      <c r="TV14" s="58"/>
      <c r="TW14" s="58"/>
      <c r="TX14" s="58"/>
      <c r="TY14" s="58"/>
      <c r="TZ14" s="58"/>
      <c r="UA14" s="58"/>
      <c r="UB14" s="58"/>
      <c r="UC14" s="58"/>
      <c r="UD14" s="58"/>
      <c r="UE14" s="58"/>
      <c r="UF14" s="58"/>
      <c r="UG14" s="58"/>
      <c r="UH14" s="58"/>
      <c r="UI14" s="58"/>
      <c r="UJ14" s="58"/>
      <c r="UK14" s="58"/>
      <c r="UL14" s="58"/>
      <c r="UM14" s="58"/>
      <c r="UN14" s="58"/>
      <c r="UO14" s="58"/>
      <c r="UP14" s="58"/>
      <c r="UQ14" s="58"/>
      <c r="UR14" s="58"/>
      <c r="US14" s="58"/>
      <c r="UT14" s="58"/>
      <c r="UU14" s="58"/>
      <c r="UV14" s="58"/>
      <c r="UW14" s="58"/>
      <c r="UX14" s="58"/>
      <c r="UY14" s="58"/>
      <c r="UZ14" s="58"/>
      <c r="VA14" s="58"/>
      <c r="VB14" s="58"/>
      <c r="VC14" s="58"/>
      <c r="VD14" s="58"/>
      <c r="VE14" s="58"/>
      <c r="VF14" s="58"/>
      <c r="VG14" s="58"/>
      <c r="VH14" s="58"/>
      <c r="VI14" s="58"/>
      <c r="VJ14" s="58"/>
      <c r="VK14" s="58"/>
      <c r="VL14" s="58"/>
      <c r="VM14" s="58"/>
      <c r="VN14" s="58"/>
      <c r="VO14" s="58"/>
      <c r="VP14" s="58"/>
      <c r="VQ14" s="58"/>
      <c r="VR14" s="58"/>
      <c r="VS14" s="58"/>
      <c r="VT14" s="58"/>
      <c r="VU14" s="58"/>
      <c r="VV14" s="58"/>
      <c r="VW14" s="58"/>
      <c r="VX14" s="58"/>
      <c r="VY14" s="58"/>
      <c r="VZ14" s="58"/>
      <c r="WA14" s="58"/>
      <c r="WB14" s="58"/>
      <c r="WC14" s="58"/>
      <c r="WD14" s="58"/>
      <c r="WE14" s="58"/>
      <c r="WF14" s="58"/>
      <c r="WG14" s="58"/>
      <c r="WH14" s="58"/>
      <c r="WI14" s="58"/>
      <c r="WJ14" s="58"/>
      <c r="WK14" s="58"/>
      <c r="WL14" s="58"/>
      <c r="WM14" s="58"/>
      <c r="WN14" s="58"/>
      <c r="WO14" s="58"/>
      <c r="WP14" s="58"/>
      <c r="WQ14" s="58"/>
      <c r="WR14" s="58"/>
      <c r="WS14" s="58"/>
      <c r="WT14" s="58"/>
      <c r="WU14" s="58"/>
      <c r="WV14" s="58"/>
      <c r="WW14" s="58"/>
      <c r="WX14" s="58"/>
      <c r="WY14" s="58"/>
      <c r="WZ14" s="58"/>
      <c r="XA14" s="58"/>
      <c r="XB14" s="58"/>
      <c r="XC14" s="58"/>
      <c r="XD14" s="58"/>
      <c r="XE14" s="58"/>
      <c r="XF14" s="58"/>
      <c r="XG14" s="58"/>
      <c r="XH14" s="58"/>
      <c r="XI14" s="58"/>
      <c r="XJ14" s="58"/>
      <c r="XK14" s="58"/>
      <c r="XL14" s="58"/>
      <c r="XM14" s="58"/>
      <c r="XN14" s="58"/>
      <c r="XO14" s="58"/>
      <c r="XP14" s="58"/>
      <c r="XQ14" s="58"/>
      <c r="XR14" s="58"/>
      <c r="XS14" s="58"/>
      <c r="XT14" s="58"/>
      <c r="XU14" s="58"/>
      <c r="XV14" s="58"/>
      <c r="XW14" s="58"/>
      <c r="XX14" s="58"/>
      <c r="XY14" s="58"/>
      <c r="XZ14" s="58"/>
      <c r="YA14" s="58"/>
      <c r="YB14" s="58"/>
      <c r="YC14" s="58"/>
      <c r="YD14" s="58"/>
      <c r="YE14" s="58"/>
      <c r="YF14" s="58"/>
      <c r="YG14" s="58"/>
      <c r="YH14" s="58"/>
      <c r="YI14" s="58"/>
      <c r="YJ14" s="58"/>
      <c r="YK14" s="58"/>
      <c r="YL14" s="58"/>
      <c r="YM14" s="58"/>
      <c r="YN14" s="58"/>
      <c r="YO14" s="58"/>
      <c r="YP14" s="58"/>
      <c r="YQ14" s="58"/>
      <c r="YR14" s="58"/>
      <c r="YS14" s="58"/>
      <c r="YT14" s="58"/>
      <c r="YU14" s="58"/>
      <c r="YV14" s="58"/>
      <c r="YW14" s="58"/>
      <c r="YX14" s="58"/>
      <c r="YY14" s="58"/>
      <c r="YZ14" s="58"/>
      <c r="ZA14" s="58"/>
      <c r="ZB14" s="58"/>
      <c r="ZC14" s="58"/>
      <c r="ZD14" s="58"/>
      <c r="ZE14" s="58"/>
      <c r="ZF14" s="58"/>
      <c r="ZG14" s="58"/>
      <c r="ZH14" s="58"/>
      <c r="ZI14" s="58"/>
      <c r="ZJ14" s="58"/>
      <c r="ZK14" s="58"/>
      <c r="ZL14" s="58"/>
      <c r="ZM14" s="58"/>
      <c r="ZN14" s="58"/>
      <c r="ZO14" s="58"/>
      <c r="ZP14" s="58"/>
      <c r="ZQ14" s="58"/>
      <c r="ZR14" s="58"/>
      <c r="ZS14" s="58"/>
      <c r="ZT14" s="58"/>
      <c r="ZU14" s="58"/>
      <c r="ZV14" s="58"/>
      <c r="ZW14" s="58"/>
      <c r="ZX14" s="58"/>
      <c r="ZY14" s="58"/>
      <c r="ZZ14" s="58"/>
      <c r="AAA14" s="58"/>
      <c r="AAB14" s="58"/>
      <c r="AAC14" s="58"/>
      <c r="AAD14" s="58"/>
      <c r="AAE14" s="58"/>
      <c r="AAF14" s="58"/>
      <c r="AAG14" s="58"/>
      <c r="AAH14" s="58"/>
      <c r="AAI14" s="58"/>
      <c r="AAJ14" s="58"/>
      <c r="AAK14" s="58"/>
      <c r="AAL14" s="58"/>
      <c r="AAM14" s="58"/>
      <c r="AAN14" s="58"/>
      <c r="AAO14" s="58"/>
      <c r="AAP14" s="58"/>
      <c r="AAQ14" s="58"/>
      <c r="AAR14" s="58"/>
      <c r="AAS14" s="58"/>
      <c r="AAT14" s="58"/>
      <c r="AAU14" s="58"/>
      <c r="AAV14" s="58"/>
      <c r="AAW14" s="58"/>
      <c r="AAX14" s="58"/>
      <c r="AAY14" s="58"/>
      <c r="AAZ14" s="58"/>
      <c r="ABA14" s="58"/>
      <c r="ABB14" s="58"/>
      <c r="ABC14" s="58"/>
      <c r="ABD14" s="58"/>
      <c r="ABE14" s="58"/>
      <c r="ABF14" s="58"/>
      <c r="ABG14" s="58"/>
      <c r="ABH14" s="58"/>
      <c r="ABI14" s="58"/>
      <c r="ABJ14" s="58"/>
      <c r="ABK14" s="58"/>
      <c r="ABL14" s="58"/>
      <c r="ABM14" s="58"/>
      <c r="ABN14" s="58"/>
      <c r="ABO14" s="58"/>
      <c r="ABP14" s="58"/>
      <c r="ABQ14" s="58"/>
      <c r="ABR14" s="58"/>
      <c r="ABS14" s="58"/>
      <c r="ABT14" s="58"/>
      <c r="ABU14" s="58"/>
      <c r="ABV14" s="58"/>
      <c r="ABW14" s="58"/>
      <c r="ABX14" s="58"/>
      <c r="ABY14" s="58"/>
      <c r="ABZ14" s="58"/>
      <c r="ACA14" s="58"/>
      <c r="ACB14" s="58"/>
      <c r="ACC14" s="58"/>
      <c r="ACD14" s="58"/>
      <c r="ACE14" s="58"/>
      <c r="ACF14" s="58"/>
      <c r="ACG14" s="58"/>
      <c r="ACH14" s="58"/>
      <c r="ACI14" s="58"/>
      <c r="ACJ14" s="58"/>
      <c r="ACK14" s="58"/>
      <c r="ACL14" s="58"/>
      <c r="ACM14" s="58"/>
      <c r="ACN14" s="58"/>
      <c r="ACO14" s="58"/>
      <c r="ACP14" s="58"/>
      <c r="ACQ14" s="58"/>
      <c r="ACR14" s="58"/>
      <c r="ACS14" s="58"/>
      <c r="ACT14" s="58"/>
      <c r="ACU14" s="58"/>
      <c r="ACV14" s="58"/>
      <c r="ACW14" s="58"/>
      <c r="ACX14" s="58"/>
      <c r="ACY14" s="58"/>
      <c r="ACZ14" s="58"/>
      <c r="ADA14" s="58"/>
      <c r="ADB14" s="58"/>
      <c r="ADC14" s="58"/>
      <c r="ADD14" s="58"/>
      <c r="ADE14" s="58"/>
      <c r="ADF14" s="58"/>
      <c r="ADG14" s="58"/>
      <c r="ADH14" s="58"/>
      <c r="ADI14" s="58"/>
      <c r="ADJ14" s="58"/>
      <c r="ADK14" s="58"/>
      <c r="ADL14" s="58"/>
      <c r="ADM14" s="58"/>
      <c r="ADN14" s="58"/>
      <c r="ADO14" s="58"/>
      <c r="ADP14" s="58"/>
      <c r="ADQ14" s="58"/>
      <c r="ADR14" s="58"/>
      <c r="ADS14" s="58"/>
      <c r="ADT14" s="58"/>
      <c r="ADU14" s="58"/>
      <c r="ADV14" s="58"/>
      <c r="ADW14" s="58"/>
      <c r="ADX14" s="58"/>
      <c r="ADY14" s="58"/>
      <c r="ADZ14" s="58"/>
      <c r="AEA14" s="58"/>
      <c r="AEB14" s="58"/>
      <c r="AEC14" s="58"/>
      <c r="AED14" s="58"/>
      <c r="AEE14" s="58"/>
      <c r="AEF14" s="58"/>
      <c r="AEG14" s="58"/>
      <c r="AEH14" s="58"/>
      <c r="AEI14" s="58"/>
      <c r="AEJ14" s="58"/>
      <c r="AEK14" s="58"/>
      <c r="AEL14" s="58"/>
      <c r="AEM14" s="58"/>
      <c r="AEN14" s="58"/>
      <c r="AEO14" s="58"/>
      <c r="AEP14" s="58"/>
      <c r="AEQ14" s="58"/>
      <c r="AER14" s="58"/>
      <c r="AES14" s="58"/>
      <c r="AET14" s="58"/>
      <c r="AEU14" s="58"/>
      <c r="AEV14" s="58"/>
      <c r="AEW14" s="58"/>
      <c r="AEX14" s="58"/>
      <c r="AEY14" s="58"/>
      <c r="AEZ14" s="58"/>
      <c r="AFA14" s="58"/>
      <c r="AFB14" s="58"/>
      <c r="AFC14" s="58"/>
      <c r="AFD14" s="58"/>
      <c r="AFE14" s="58"/>
      <c r="AFF14" s="58"/>
      <c r="AFG14" s="58"/>
      <c r="AFH14" s="58"/>
      <c r="AFI14" s="58"/>
      <c r="AFJ14" s="58"/>
      <c r="AFK14" s="58"/>
      <c r="AFL14" s="58"/>
      <c r="AFM14" s="58"/>
      <c r="AFN14" s="58"/>
      <c r="AFO14" s="58"/>
      <c r="AFP14" s="58"/>
      <c r="AFQ14" s="58"/>
      <c r="AFR14" s="58"/>
      <c r="AFS14" s="58"/>
      <c r="AFT14" s="58"/>
      <c r="AFU14" s="58"/>
      <c r="AFV14" s="58"/>
      <c r="AFW14" s="58"/>
      <c r="AFX14" s="58"/>
      <c r="AFY14" s="58"/>
      <c r="AFZ14" s="58"/>
      <c r="AGA14" s="58"/>
      <c r="AGB14" s="58"/>
      <c r="AGC14" s="58"/>
      <c r="AGD14" s="58"/>
      <c r="AGE14" s="58"/>
      <c r="AGF14" s="58"/>
      <c r="AGG14" s="58"/>
      <c r="AGH14" s="58"/>
      <c r="AGI14" s="58"/>
      <c r="AGJ14" s="58"/>
      <c r="AGK14" s="58"/>
      <c r="AGL14" s="58"/>
      <c r="AGM14" s="58"/>
      <c r="AGN14" s="58"/>
      <c r="AGO14" s="58"/>
      <c r="AGP14" s="58"/>
      <c r="AGQ14" s="58"/>
      <c r="AGR14" s="58"/>
      <c r="AGS14" s="58"/>
      <c r="AGT14" s="58"/>
      <c r="AGU14" s="58"/>
      <c r="AGV14" s="58"/>
      <c r="AGW14" s="58"/>
      <c r="AGX14" s="58"/>
      <c r="AGY14" s="58"/>
      <c r="AGZ14" s="58"/>
      <c r="AHA14" s="58"/>
      <c r="AHB14" s="58"/>
      <c r="AHC14" s="58"/>
      <c r="AHD14" s="58"/>
      <c r="AHE14" s="58"/>
      <c r="AHF14" s="58"/>
      <c r="AHG14" s="58"/>
      <c r="AHH14" s="58"/>
      <c r="AHI14" s="58"/>
      <c r="AHJ14" s="58"/>
      <c r="AHK14" s="58"/>
      <c r="AHL14" s="58"/>
      <c r="AHM14" s="58"/>
      <c r="AHN14" s="58"/>
      <c r="AHO14" s="58"/>
      <c r="AHP14" s="58"/>
      <c r="AHQ14" s="58"/>
      <c r="AHR14" s="58"/>
      <c r="AHS14" s="58"/>
      <c r="AHT14" s="58"/>
      <c r="AHU14" s="58"/>
      <c r="AHV14" s="58"/>
      <c r="AHW14" s="58"/>
      <c r="AHX14" s="58"/>
      <c r="AHY14" s="58"/>
      <c r="AHZ14" s="58"/>
      <c r="AIA14" s="58"/>
      <c r="AIB14" s="58"/>
      <c r="AIC14" s="58"/>
      <c r="AID14" s="58"/>
      <c r="AIE14" s="58"/>
      <c r="AIF14" s="58"/>
      <c r="AIG14" s="58"/>
      <c r="AIH14" s="58"/>
      <c r="AII14" s="58"/>
      <c r="AIJ14" s="58"/>
      <c r="AIK14" s="58"/>
      <c r="AIL14" s="58"/>
      <c r="AIM14" s="58"/>
      <c r="AIN14" s="58"/>
      <c r="AIO14" s="58"/>
      <c r="AIP14" s="58"/>
      <c r="AIQ14" s="58"/>
      <c r="AIR14" s="58"/>
      <c r="AIS14" s="58"/>
      <c r="AIT14" s="58"/>
      <c r="AIU14" s="58"/>
      <c r="AIV14" s="58"/>
      <c r="AIW14" s="58"/>
      <c r="AIX14" s="58"/>
      <c r="AIY14" s="58"/>
      <c r="AIZ14" s="58"/>
      <c r="AJA14" s="58"/>
      <c r="AJB14" s="58"/>
      <c r="AJC14" s="58"/>
      <c r="AJD14" s="58"/>
      <c r="AJE14" s="58"/>
      <c r="AJF14" s="58"/>
      <c r="AJG14" s="58"/>
      <c r="AJH14" s="58"/>
      <c r="AJI14" s="58"/>
      <c r="AJJ14" s="58"/>
      <c r="AJK14" s="58"/>
      <c r="AJL14" s="58"/>
      <c r="AJM14" s="58"/>
      <c r="AJN14" s="58"/>
      <c r="AJO14" s="58"/>
      <c r="AJP14" s="58"/>
      <c r="AJQ14" s="58"/>
      <c r="AJR14" s="58"/>
      <c r="AJS14" s="58"/>
      <c r="AJT14" s="58"/>
      <c r="AJU14" s="58"/>
      <c r="AJV14" s="58"/>
      <c r="AJW14" s="58"/>
      <c r="AJX14" s="58"/>
      <c r="AJY14" s="58"/>
      <c r="AJZ14" s="58"/>
      <c r="AKA14" s="58"/>
      <c r="AKB14" s="58"/>
      <c r="AKC14" s="58"/>
      <c r="AKD14" s="58"/>
      <c r="AKE14" s="58"/>
      <c r="AKF14" s="58"/>
      <c r="AKG14" s="58"/>
      <c r="AKH14" s="58"/>
      <c r="AKI14" s="58"/>
      <c r="AKJ14" s="58"/>
      <c r="AKK14" s="58"/>
      <c r="AKL14" s="58"/>
      <c r="AKM14" s="58"/>
      <c r="AKN14" s="58"/>
      <c r="AKO14" s="58"/>
      <c r="AKP14" s="58"/>
      <c r="AKQ14" s="58"/>
      <c r="AKR14" s="58"/>
      <c r="AKS14" s="58"/>
      <c r="AKT14" s="58"/>
      <c r="AKU14" s="58"/>
      <c r="AKV14" s="58"/>
      <c r="AKW14" s="58"/>
      <c r="AKX14" s="58"/>
      <c r="AKY14" s="58"/>
      <c r="AKZ14" s="58"/>
      <c r="ALA14" s="58"/>
      <c r="ALB14" s="58"/>
      <c r="ALC14" s="58"/>
      <c r="ALD14" s="58"/>
      <c r="ALE14" s="58"/>
      <c r="ALF14" s="58"/>
      <c r="ALG14" s="58"/>
      <c r="ALH14" s="58"/>
      <c r="ALI14" s="58"/>
      <c r="ALJ14" s="58"/>
      <c r="ALK14" s="58"/>
      <c r="ALL14" s="58"/>
      <c r="ALM14" s="58"/>
      <c r="ALN14" s="58"/>
      <c r="ALO14" s="58"/>
      <c r="ALP14" s="58"/>
      <c r="ALQ14" s="58"/>
      <c r="ALR14" s="58"/>
      <c r="ALS14" s="58"/>
      <c r="ALT14" s="58"/>
      <c r="ALU14" s="58"/>
      <c r="ALV14" s="58"/>
      <c r="ALW14" s="58"/>
      <c r="ALX14" s="58"/>
      <c r="ALY14" s="58"/>
      <c r="ALZ14" s="58"/>
      <c r="AMA14" s="58"/>
      <c r="AMB14" s="58"/>
      <c r="AMC14" s="58"/>
      <c r="AMD14" s="58"/>
      <c r="AME14" s="58"/>
      <c r="AMF14" s="58"/>
      <c r="AMG14" s="58"/>
      <c r="AMH14" s="58"/>
      <c r="AMI14" s="58"/>
      <c r="AMJ14" s="58"/>
      <c r="AMK14" s="58"/>
      <c r="AML14" s="58"/>
      <c r="AMM14" s="58"/>
      <c r="AMN14" s="58"/>
      <c r="AMO14" s="58"/>
      <c r="AMP14" s="58"/>
      <c r="AMQ14" s="58"/>
      <c r="AMR14" s="58"/>
      <c r="AMS14" s="58"/>
      <c r="AMT14" s="58"/>
      <c r="AMU14" s="58"/>
      <c r="AMV14" s="58"/>
      <c r="AMW14" s="58"/>
      <c r="AMX14" s="58"/>
      <c r="AMY14" s="58"/>
      <c r="AMZ14" s="58"/>
      <c r="ANA14" s="58"/>
      <c r="ANB14" s="58"/>
      <c r="ANC14" s="58"/>
      <c r="AND14" s="58"/>
      <c r="ANE14" s="58"/>
      <c r="ANF14" s="58"/>
      <c r="ANG14" s="58"/>
      <c r="ANH14" s="58"/>
      <c r="ANI14" s="58"/>
      <c r="ANJ14" s="58"/>
      <c r="ANK14" s="58"/>
      <c r="ANL14" s="58"/>
      <c r="ANM14" s="58"/>
      <c r="ANN14" s="58"/>
      <c r="ANO14" s="58"/>
      <c r="ANP14" s="58"/>
      <c r="ANQ14" s="58"/>
      <c r="ANR14" s="58"/>
      <c r="ANS14" s="58"/>
      <c r="ANT14" s="58"/>
      <c r="ANU14" s="58"/>
      <c r="ANV14" s="58"/>
      <c r="ANW14" s="58"/>
      <c r="ANX14" s="58"/>
      <c r="ANY14" s="58"/>
      <c r="ANZ14" s="58"/>
      <c r="AOA14" s="58"/>
      <c r="AOB14" s="58"/>
      <c r="AOC14" s="58"/>
      <c r="AOD14" s="58"/>
      <c r="AOE14" s="58"/>
      <c r="AOF14" s="58"/>
      <c r="AOG14" s="58"/>
      <c r="AOH14" s="58"/>
      <c r="AOI14" s="58"/>
      <c r="AOJ14" s="58"/>
      <c r="AOK14" s="58"/>
      <c r="AOL14" s="58"/>
      <c r="AOM14" s="58"/>
      <c r="AON14" s="58"/>
      <c r="AOO14" s="58"/>
      <c r="AOP14" s="58"/>
      <c r="AOQ14" s="58"/>
      <c r="AOR14" s="58"/>
      <c r="AOS14" s="58"/>
      <c r="AOT14" s="58"/>
      <c r="AOU14" s="58"/>
      <c r="AOV14" s="58"/>
      <c r="AOW14" s="58"/>
      <c r="AOX14" s="58"/>
      <c r="AOY14" s="58"/>
      <c r="AOZ14" s="58"/>
      <c r="APA14" s="58"/>
      <c r="APB14" s="58"/>
      <c r="APC14" s="58"/>
      <c r="APD14" s="58"/>
      <c r="APE14" s="58"/>
      <c r="APF14" s="58"/>
      <c r="APG14" s="58"/>
      <c r="APH14" s="58"/>
      <c r="API14" s="58"/>
      <c r="APJ14" s="58"/>
      <c r="APK14" s="58"/>
      <c r="APL14" s="58"/>
      <c r="APM14" s="58"/>
      <c r="APN14" s="58"/>
      <c r="APO14" s="58"/>
      <c r="APP14" s="58"/>
      <c r="APQ14" s="58"/>
      <c r="APR14" s="58"/>
      <c r="APS14" s="58"/>
      <c r="APT14" s="58"/>
      <c r="APU14" s="58"/>
      <c r="APV14" s="58"/>
      <c r="APW14" s="58"/>
      <c r="APX14" s="58"/>
      <c r="APY14" s="58"/>
      <c r="APZ14" s="58"/>
      <c r="AQA14" s="58"/>
      <c r="AQB14" s="58"/>
      <c r="AQC14" s="58"/>
      <c r="AQD14" s="58"/>
      <c r="AQE14" s="58"/>
      <c r="AQF14" s="58"/>
      <c r="AQG14" s="58"/>
      <c r="AQH14" s="58"/>
      <c r="AQI14" s="58"/>
      <c r="AQJ14" s="58"/>
      <c r="AQK14" s="58"/>
      <c r="AQL14" s="58"/>
      <c r="AQM14" s="58"/>
      <c r="AQN14" s="58"/>
      <c r="AQO14" s="58"/>
      <c r="AQP14" s="58"/>
      <c r="AQQ14" s="58"/>
      <c r="AQR14" s="58"/>
      <c r="AQS14" s="58"/>
      <c r="AQT14" s="58"/>
      <c r="AQU14" s="58"/>
      <c r="AQV14" s="58"/>
      <c r="AQW14" s="58"/>
      <c r="AQX14" s="58"/>
      <c r="AQY14" s="58"/>
      <c r="AQZ14" s="58"/>
      <c r="ARA14" s="58"/>
      <c r="ARB14" s="58"/>
      <c r="ARC14" s="58"/>
      <c r="ARD14" s="58"/>
      <c r="ARE14" s="58"/>
      <c r="ARF14" s="58"/>
      <c r="ARG14" s="58"/>
      <c r="ARH14" s="58"/>
      <c r="ARI14" s="58"/>
      <c r="ARJ14" s="58"/>
      <c r="ARK14" s="58"/>
      <c r="ARL14" s="58"/>
      <c r="ARM14" s="58"/>
      <c r="ARN14" s="58"/>
      <c r="ARO14" s="58"/>
      <c r="ARP14" s="58"/>
      <c r="ARQ14" s="58"/>
      <c r="ARR14" s="58"/>
      <c r="ARS14" s="58"/>
      <c r="ART14" s="58"/>
      <c r="ARU14" s="58"/>
      <c r="ARV14" s="58"/>
      <c r="ARW14" s="58"/>
      <c r="ARX14" s="58"/>
      <c r="ARY14" s="58"/>
      <c r="ARZ14" s="58"/>
      <c r="ASA14" s="58"/>
      <c r="ASB14" s="58"/>
      <c r="ASC14" s="58"/>
      <c r="ASD14" s="58"/>
      <c r="ASE14" s="58"/>
      <c r="ASF14" s="58"/>
      <c r="ASG14" s="58"/>
      <c r="ASH14" s="58"/>
      <c r="ASI14" s="58"/>
      <c r="ASJ14" s="58"/>
      <c r="ASK14" s="58"/>
      <c r="ASL14" s="58"/>
      <c r="ASM14" s="58"/>
      <c r="ASN14" s="58"/>
      <c r="ASO14" s="58"/>
      <c r="ASP14" s="58"/>
      <c r="ASQ14" s="58"/>
      <c r="ASR14" s="58"/>
      <c r="ASS14" s="58"/>
      <c r="AST14" s="58"/>
      <c r="ASU14" s="58"/>
      <c r="ASV14" s="58"/>
      <c r="ASW14" s="58"/>
      <c r="ASX14" s="58"/>
      <c r="ASY14" s="58"/>
      <c r="ASZ14" s="58"/>
      <c r="ATA14" s="58"/>
      <c r="ATB14" s="58"/>
      <c r="ATC14" s="58"/>
      <c r="ATD14" s="58"/>
      <c r="ATE14" s="58"/>
      <c r="ATF14" s="58"/>
      <c r="ATG14" s="58"/>
      <c r="ATH14" s="58"/>
      <c r="ATI14" s="58"/>
      <c r="ATJ14" s="58"/>
      <c r="ATK14" s="58"/>
      <c r="ATL14" s="58"/>
      <c r="ATM14" s="58"/>
      <c r="ATN14" s="58"/>
      <c r="ATO14" s="58"/>
      <c r="ATP14" s="58"/>
      <c r="ATQ14" s="58"/>
      <c r="ATR14" s="58"/>
      <c r="ATS14" s="58"/>
      <c r="ATT14" s="58"/>
      <c r="ATU14" s="58"/>
      <c r="ATV14" s="58"/>
      <c r="ATW14" s="58"/>
      <c r="ATX14" s="58"/>
      <c r="ATY14" s="58"/>
      <c r="ATZ14" s="58"/>
      <c r="AUA14" s="58"/>
      <c r="AUB14" s="58"/>
      <c r="AUC14" s="58"/>
      <c r="AUD14" s="58"/>
      <c r="AUE14" s="58"/>
      <c r="AUF14" s="58"/>
      <c r="AUG14" s="58"/>
      <c r="AUH14" s="58"/>
      <c r="AUI14" s="58"/>
      <c r="AUJ14" s="58"/>
      <c r="AUK14" s="58"/>
      <c r="AUL14" s="58"/>
      <c r="AUM14" s="58"/>
      <c r="AUN14" s="58"/>
      <c r="AUO14" s="58"/>
      <c r="AUP14" s="58"/>
      <c r="AUQ14" s="58"/>
      <c r="AUR14" s="58"/>
      <c r="AUS14" s="58"/>
      <c r="AUT14" s="58"/>
      <c r="AUU14" s="58"/>
      <c r="AUV14" s="58"/>
      <c r="AUW14" s="58"/>
      <c r="AUX14" s="58"/>
      <c r="AUY14" s="58"/>
      <c r="AUZ14" s="58"/>
      <c r="AVA14" s="58"/>
      <c r="AVB14" s="58"/>
      <c r="AVC14" s="58"/>
      <c r="AVD14" s="58"/>
      <c r="AVE14" s="58"/>
      <c r="AVF14" s="58"/>
      <c r="AVG14" s="58"/>
      <c r="AVH14" s="58"/>
      <c r="AVI14" s="58"/>
      <c r="AVJ14" s="58"/>
      <c r="AVK14" s="58"/>
      <c r="AVL14" s="58"/>
      <c r="AVM14" s="58"/>
      <c r="AVN14" s="58"/>
      <c r="AVO14" s="58"/>
      <c r="AVP14" s="58"/>
      <c r="AVQ14" s="58"/>
      <c r="AVR14" s="58"/>
      <c r="AVS14" s="58"/>
      <c r="AVT14" s="58"/>
      <c r="AVU14" s="58"/>
      <c r="AVV14" s="58"/>
      <c r="AVW14" s="58"/>
      <c r="AVX14" s="58"/>
      <c r="AVY14" s="58"/>
      <c r="AVZ14" s="58"/>
      <c r="AWA14" s="58"/>
      <c r="AWB14" s="58"/>
      <c r="AWC14" s="58"/>
      <c r="AWD14" s="58"/>
      <c r="AWE14" s="58"/>
      <c r="AWF14" s="58"/>
      <c r="AWG14" s="58"/>
      <c r="AWH14" s="58"/>
      <c r="AWI14" s="58"/>
      <c r="AWJ14" s="58"/>
      <c r="AWK14" s="58"/>
      <c r="AWL14" s="58"/>
      <c r="AWM14" s="58"/>
      <c r="AWN14" s="58"/>
      <c r="AWO14" s="58"/>
      <c r="AWP14" s="58"/>
      <c r="AWQ14" s="58"/>
      <c r="AWR14" s="58"/>
      <c r="AWS14" s="58"/>
      <c r="AWT14" s="58"/>
      <c r="AWU14" s="58"/>
      <c r="AWV14" s="58"/>
      <c r="AWW14" s="58"/>
      <c r="AWX14" s="58"/>
      <c r="AWY14" s="58"/>
      <c r="AWZ14" s="58"/>
      <c r="AXA14" s="58"/>
      <c r="AXB14" s="58"/>
      <c r="AXC14" s="58"/>
      <c r="AXD14" s="58"/>
      <c r="AXE14" s="58"/>
      <c r="AXF14" s="58"/>
      <c r="AXG14" s="58"/>
      <c r="AXH14" s="58"/>
      <c r="AXI14" s="58"/>
      <c r="AXJ14" s="58"/>
      <c r="AXK14" s="58"/>
      <c r="AXL14" s="58"/>
      <c r="AXM14" s="58"/>
      <c r="AXN14" s="58"/>
      <c r="AXO14" s="58"/>
      <c r="AXP14" s="58"/>
      <c r="AXQ14" s="58"/>
      <c r="AXR14" s="58"/>
      <c r="AXS14" s="58"/>
      <c r="AXT14" s="58"/>
      <c r="AXU14" s="58"/>
      <c r="AXV14" s="58"/>
      <c r="AXW14" s="58"/>
      <c r="AXX14" s="58"/>
      <c r="AXY14" s="58"/>
      <c r="AXZ14" s="58"/>
      <c r="AYA14" s="58"/>
      <c r="AYB14" s="58"/>
      <c r="AYC14" s="58"/>
      <c r="AYD14" s="58"/>
      <c r="AYE14" s="58"/>
      <c r="AYF14" s="58"/>
      <c r="AYG14" s="58"/>
      <c r="AYH14" s="58"/>
      <c r="AYI14" s="58"/>
      <c r="AYJ14" s="58"/>
      <c r="AYK14" s="58"/>
      <c r="AYL14" s="58"/>
      <c r="AYM14" s="58"/>
      <c r="AYN14" s="58"/>
      <c r="AYO14" s="58"/>
      <c r="AYP14" s="58"/>
      <c r="AYQ14" s="58"/>
      <c r="AYR14" s="58"/>
      <c r="AYS14" s="58"/>
      <c r="AYT14" s="58"/>
      <c r="AYU14" s="58"/>
      <c r="AYV14" s="58"/>
      <c r="AYW14" s="58"/>
      <c r="AYX14" s="58"/>
      <c r="AYY14" s="58"/>
      <c r="AYZ14" s="58"/>
      <c r="AZA14" s="58"/>
      <c r="AZB14" s="58"/>
      <c r="AZC14" s="58"/>
      <c r="AZD14" s="58"/>
      <c r="AZE14" s="58"/>
      <c r="AZF14" s="58"/>
      <c r="AZG14" s="58"/>
      <c r="AZH14" s="58"/>
      <c r="AZI14" s="58"/>
      <c r="AZJ14" s="58"/>
      <c r="AZK14" s="58"/>
      <c r="AZL14" s="58"/>
      <c r="AZM14" s="58"/>
      <c r="AZN14" s="58"/>
      <c r="AZO14" s="58"/>
      <c r="AZP14" s="58"/>
      <c r="AZQ14" s="58"/>
      <c r="AZR14" s="58"/>
      <c r="AZS14" s="58"/>
      <c r="AZT14" s="58"/>
      <c r="AZU14" s="58"/>
      <c r="AZV14" s="58"/>
      <c r="AZW14" s="58"/>
      <c r="AZX14" s="58"/>
      <c r="AZY14" s="58"/>
      <c r="AZZ14" s="58"/>
      <c r="BAA14" s="58"/>
      <c r="BAB14" s="58"/>
      <c r="BAC14" s="58"/>
      <c r="BAD14" s="58"/>
      <c r="BAE14" s="58"/>
      <c r="BAF14" s="58"/>
      <c r="BAG14" s="58"/>
      <c r="BAH14" s="58"/>
      <c r="BAI14" s="58"/>
      <c r="BAJ14" s="58"/>
      <c r="BAK14" s="58"/>
      <c r="BAL14" s="58"/>
      <c r="BAM14" s="58"/>
      <c r="BAN14" s="58"/>
      <c r="BAO14" s="58"/>
      <c r="BAP14" s="58"/>
      <c r="BAQ14" s="58"/>
      <c r="BAR14" s="58"/>
      <c r="BAS14" s="58"/>
      <c r="BAT14" s="58"/>
      <c r="BAU14" s="58"/>
      <c r="BAV14" s="58"/>
      <c r="BAW14" s="58"/>
      <c r="BAX14" s="58"/>
      <c r="BAY14" s="58"/>
      <c r="BAZ14" s="58"/>
      <c r="BBA14" s="58"/>
      <c r="BBB14" s="58"/>
      <c r="BBC14" s="58"/>
      <c r="BBD14" s="58"/>
      <c r="BBE14" s="58"/>
      <c r="BBF14" s="58"/>
      <c r="BBG14" s="58"/>
      <c r="BBH14" s="58"/>
      <c r="BBI14" s="58"/>
      <c r="BBJ14" s="58"/>
      <c r="BBK14" s="58"/>
      <c r="BBL14" s="58"/>
      <c r="BBM14" s="58"/>
      <c r="BBN14" s="58"/>
      <c r="BBO14" s="58"/>
      <c r="BBP14" s="58"/>
      <c r="BBQ14" s="58"/>
      <c r="BBR14" s="58"/>
      <c r="BBS14" s="58"/>
      <c r="BBT14" s="58"/>
      <c r="BBU14" s="58"/>
      <c r="BBV14" s="58"/>
      <c r="BBW14" s="58"/>
      <c r="BBX14" s="58"/>
      <c r="BBY14" s="58"/>
      <c r="BBZ14" s="58"/>
      <c r="BCA14" s="58"/>
      <c r="BCB14" s="58"/>
      <c r="BCC14" s="58"/>
      <c r="BCD14" s="58"/>
      <c r="BCE14" s="58"/>
      <c r="BCF14" s="58"/>
      <c r="BCG14" s="58"/>
      <c r="BCH14" s="58"/>
      <c r="BCI14" s="58"/>
      <c r="BCJ14" s="58"/>
      <c r="BCK14" s="58"/>
      <c r="BCL14" s="58"/>
      <c r="BCM14" s="58"/>
      <c r="BCN14" s="58"/>
      <c r="BCO14" s="58"/>
      <c r="BCP14" s="58"/>
      <c r="BCQ14" s="58"/>
      <c r="BCR14" s="58"/>
      <c r="BCS14" s="58"/>
      <c r="BCT14" s="58"/>
      <c r="BCU14" s="58"/>
      <c r="BCV14" s="58"/>
      <c r="BCW14" s="58"/>
      <c r="BCX14" s="58"/>
      <c r="BCY14" s="58"/>
      <c r="BCZ14" s="58"/>
      <c r="BDA14" s="58"/>
      <c r="BDB14" s="58"/>
      <c r="BDC14" s="58"/>
      <c r="BDD14" s="58"/>
      <c r="BDE14" s="58"/>
      <c r="BDF14" s="58"/>
      <c r="BDG14" s="58"/>
      <c r="BDH14" s="58"/>
      <c r="BDI14" s="58"/>
      <c r="BDJ14" s="58"/>
      <c r="BDK14" s="58"/>
      <c r="BDL14" s="58"/>
      <c r="BDM14" s="58"/>
      <c r="BDN14" s="58"/>
      <c r="BDO14" s="58"/>
      <c r="BDP14" s="58"/>
      <c r="BDQ14" s="58"/>
      <c r="BDR14" s="58"/>
      <c r="BDS14" s="58"/>
      <c r="BDT14" s="58"/>
      <c r="BDU14" s="58"/>
      <c r="BDV14" s="58"/>
      <c r="BDW14" s="58"/>
      <c r="BDX14" s="58"/>
      <c r="BDY14" s="58"/>
      <c r="BDZ14" s="58"/>
      <c r="BEA14" s="58"/>
      <c r="BEB14" s="58"/>
      <c r="BEC14" s="58"/>
      <c r="BED14" s="58"/>
      <c r="BEE14" s="58"/>
      <c r="BEF14" s="58"/>
      <c r="BEG14" s="58"/>
      <c r="BEH14" s="58"/>
      <c r="BEI14" s="58"/>
      <c r="BEJ14" s="58"/>
      <c r="BEK14" s="58"/>
      <c r="BEL14" s="58"/>
      <c r="BEM14" s="58"/>
      <c r="BEN14" s="58"/>
      <c r="BEO14" s="58"/>
      <c r="BEP14" s="58"/>
      <c r="BEQ14" s="58"/>
      <c r="BER14" s="58"/>
      <c r="BES14" s="58"/>
      <c r="BET14" s="58"/>
      <c r="BEU14" s="58"/>
      <c r="BEV14" s="58"/>
      <c r="BEW14" s="58"/>
      <c r="BEX14" s="58"/>
      <c r="BEY14" s="58"/>
      <c r="BEZ14" s="58"/>
      <c r="BFA14" s="58"/>
      <c r="BFB14" s="58"/>
      <c r="BFC14" s="58"/>
      <c r="BFD14" s="58"/>
      <c r="BFE14" s="58"/>
      <c r="BFF14" s="58"/>
      <c r="BFG14" s="58"/>
      <c r="BFH14" s="58"/>
      <c r="BFI14" s="58"/>
      <c r="BFJ14" s="58"/>
      <c r="BFK14" s="58"/>
      <c r="BFL14" s="58"/>
      <c r="BFM14" s="58"/>
      <c r="BFN14" s="58"/>
      <c r="BFO14" s="58"/>
      <c r="BFP14" s="58"/>
      <c r="BFQ14" s="58"/>
      <c r="BFR14" s="58"/>
      <c r="BFS14" s="58"/>
      <c r="BFT14" s="58"/>
      <c r="BFU14" s="58"/>
      <c r="BFV14" s="58"/>
      <c r="BFW14" s="58"/>
      <c r="BFX14" s="58"/>
      <c r="BFY14" s="58"/>
      <c r="BFZ14" s="58"/>
      <c r="BGA14" s="58"/>
      <c r="BGB14" s="58"/>
      <c r="BGC14" s="58"/>
      <c r="BGD14" s="58"/>
      <c r="BGE14" s="58"/>
      <c r="BGF14" s="58"/>
      <c r="BGG14" s="58"/>
      <c r="BGH14" s="58"/>
      <c r="BGI14" s="58"/>
      <c r="BGJ14" s="58"/>
      <c r="BGK14" s="58"/>
      <c r="BGL14" s="58"/>
      <c r="BGM14" s="58"/>
      <c r="BGN14" s="58"/>
      <c r="BGO14" s="58"/>
      <c r="BGP14" s="58"/>
      <c r="BGQ14" s="58"/>
      <c r="BGR14" s="58"/>
      <c r="BGS14" s="58"/>
      <c r="BGT14" s="58"/>
      <c r="BGU14" s="58"/>
      <c r="BGV14" s="58"/>
      <c r="BGW14" s="58"/>
      <c r="BGX14" s="58"/>
      <c r="BGY14" s="58"/>
      <c r="BGZ14" s="58"/>
      <c r="BHA14" s="58"/>
      <c r="BHB14" s="58"/>
      <c r="BHC14" s="58"/>
      <c r="BHD14" s="58"/>
      <c r="BHE14" s="58"/>
      <c r="BHF14" s="58"/>
      <c r="BHG14" s="58"/>
      <c r="BHH14" s="58"/>
      <c r="BHI14" s="58"/>
      <c r="BHJ14" s="58"/>
      <c r="BHK14" s="58"/>
      <c r="BHL14" s="58"/>
      <c r="BHM14" s="58"/>
      <c r="BHN14" s="58"/>
      <c r="BHO14" s="58"/>
      <c r="BHP14" s="58"/>
      <c r="BHQ14" s="58"/>
      <c r="BHR14" s="58"/>
      <c r="BHS14" s="58"/>
      <c r="BHT14" s="58"/>
      <c r="BHU14" s="58"/>
      <c r="BHV14" s="58"/>
      <c r="BHW14" s="58"/>
      <c r="BHX14" s="58"/>
      <c r="BHY14" s="58"/>
      <c r="BHZ14" s="58"/>
      <c r="BIA14" s="58"/>
      <c r="BIB14" s="58"/>
      <c r="BIC14" s="58"/>
      <c r="BID14" s="58"/>
      <c r="BIE14" s="58"/>
      <c r="BIF14" s="58"/>
      <c r="BIG14" s="58"/>
      <c r="BIH14" s="58"/>
      <c r="BII14" s="58"/>
      <c r="BIJ14" s="58"/>
      <c r="BIK14" s="58"/>
      <c r="BIL14" s="58"/>
      <c r="BIM14" s="58"/>
      <c r="BIN14" s="58"/>
      <c r="BIO14" s="58"/>
      <c r="BIP14" s="58"/>
      <c r="BIQ14" s="58"/>
      <c r="BIR14" s="58"/>
      <c r="BIS14" s="58"/>
      <c r="BIT14" s="58"/>
      <c r="BIU14" s="58"/>
      <c r="BIV14" s="58"/>
      <c r="BIW14" s="58"/>
      <c r="BIX14" s="58"/>
      <c r="BIY14" s="58"/>
      <c r="BIZ14" s="58"/>
      <c r="BJA14" s="58"/>
      <c r="BJB14" s="58"/>
      <c r="BJC14" s="58"/>
      <c r="BJD14" s="58"/>
      <c r="BJE14" s="58"/>
      <c r="BJF14" s="58"/>
      <c r="BJG14" s="58"/>
      <c r="BJH14" s="58"/>
      <c r="BJI14" s="58"/>
      <c r="BJJ14" s="58"/>
      <c r="BJK14" s="58"/>
      <c r="BJL14" s="58"/>
      <c r="BJM14" s="58"/>
      <c r="BJN14" s="58"/>
      <c r="BJO14" s="58"/>
      <c r="BJP14" s="58"/>
      <c r="BJQ14" s="58"/>
      <c r="BJR14" s="58"/>
      <c r="BJS14" s="58"/>
      <c r="BJT14" s="58"/>
      <c r="BJU14" s="58"/>
      <c r="BJV14" s="58"/>
      <c r="BJW14" s="58"/>
      <c r="BJX14" s="58"/>
      <c r="BJY14" s="58"/>
      <c r="BJZ14" s="58"/>
      <c r="BKA14" s="58"/>
      <c r="BKB14" s="58"/>
      <c r="BKC14" s="58"/>
      <c r="BKD14" s="58"/>
      <c r="BKE14" s="58"/>
      <c r="BKF14" s="58"/>
      <c r="BKG14" s="58"/>
      <c r="BKH14" s="58"/>
      <c r="BKI14" s="58"/>
      <c r="BKJ14" s="58"/>
      <c r="BKK14" s="58"/>
      <c r="BKL14" s="58"/>
      <c r="BKM14" s="58"/>
      <c r="BKN14" s="58"/>
      <c r="BKO14" s="58"/>
      <c r="BKP14" s="58"/>
      <c r="BKQ14" s="58"/>
      <c r="BKR14" s="58"/>
      <c r="BKS14" s="58"/>
      <c r="BKT14" s="58"/>
      <c r="BKU14" s="58"/>
      <c r="BKV14" s="58"/>
      <c r="BKW14" s="58"/>
      <c r="BKX14" s="58"/>
      <c r="BKY14" s="58"/>
      <c r="BKZ14" s="58"/>
      <c r="BLA14" s="58"/>
      <c r="BLB14" s="58"/>
      <c r="BLC14" s="58"/>
      <c r="BLD14" s="58"/>
      <c r="BLE14" s="58"/>
      <c r="BLF14" s="58"/>
      <c r="BLG14" s="58"/>
      <c r="BLH14" s="58"/>
      <c r="BLI14" s="58"/>
      <c r="BLJ14" s="58"/>
      <c r="BLK14" s="58"/>
      <c r="BLL14" s="58"/>
      <c r="BLM14" s="58"/>
      <c r="BLN14" s="58"/>
      <c r="BLO14" s="58"/>
      <c r="BLP14" s="58"/>
      <c r="BLQ14" s="58"/>
      <c r="BLR14" s="58"/>
      <c r="BLS14" s="58"/>
      <c r="BLT14" s="58"/>
      <c r="BLU14" s="58"/>
      <c r="BLV14" s="58"/>
      <c r="BLW14" s="58"/>
      <c r="BLX14" s="58"/>
      <c r="BLY14" s="58"/>
      <c r="BLZ14" s="58"/>
      <c r="BMA14" s="58"/>
      <c r="BMB14" s="58"/>
      <c r="BMC14" s="58"/>
      <c r="BMD14" s="58"/>
      <c r="BME14" s="58"/>
      <c r="BMF14" s="58"/>
      <c r="BMG14" s="58"/>
      <c r="BMH14" s="58"/>
      <c r="BMI14" s="58"/>
      <c r="BMJ14" s="58"/>
      <c r="BMK14" s="58"/>
      <c r="BML14" s="58"/>
      <c r="BMM14" s="58"/>
      <c r="BMN14" s="58"/>
      <c r="BMO14" s="58"/>
      <c r="BMP14" s="58"/>
      <c r="BMQ14" s="58"/>
      <c r="BMR14" s="58"/>
      <c r="BMS14" s="58"/>
      <c r="BMT14" s="58"/>
      <c r="BMU14" s="58"/>
      <c r="BMV14" s="58"/>
      <c r="BMW14" s="58"/>
      <c r="BMX14" s="58"/>
      <c r="BMY14" s="58"/>
      <c r="BMZ14" s="58"/>
      <c r="BNA14" s="58"/>
      <c r="BNB14" s="58"/>
      <c r="BNC14" s="58"/>
      <c r="BND14" s="58"/>
      <c r="BNE14" s="58"/>
      <c r="BNF14" s="58"/>
      <c r="BNG14" s="58"/>
      <c r="BNH14" s="58"/>
      <c r="BNI14" s="58"/>
      <c r="BNJ14" s="58"/>
      <c r="BNK14" s="58"/>
      <c r="BNL14" s="58"/>
      <c r="BNM14" s="58"/>
      <c r="BNN14" s="58"/>
      <c r="BNO14" s="58"/>
      <c r="BNP14" s="58"/>
      <c r="BNQ14" s="58"/>
      <c r="BNR14" s="58"/>
      <c r="BNS14" s="58"/>
      <c r="BNT14" s="58"/>
      <c r="BNU14" s="58"/>
      <c r="BNV14" s="58"/>
      <c r="BNW14" s="58"/>
      <c r="BNX14" s="58"/>
      <c r="BNY14" s="58"/>
      <c r="BNZ14" s="58"/>
      <c r="BOA14" s="58"/>
      <c r="BOB14" s="58"/>
      <c r="BOC14" s="58"/>
      <c r="BOD14" s="58"/>
      <c r="BOE14" s="58"/>
      <c r="BOF14" s="58"/>
      <c r="BOG14" s="58"/>
      <c r="BOH14" s="58"/>
      <c r="BOI14" s="58"/>
      <c r="BOJ14" s="58"/>
      <c r="BOK14" s="58"/>
      <c r="BOL14" s="58"/>
      <c r="BOM14" s="58"/>
      <c r="BON14" s="58"/>
      <c r="BOO14" s="58"/>
      <c r="BOP14" s="58"/>
      <c r="BOQ14" s="58"/>
      <c r="BOR14" s="58"/>
      <c r="BOS14" s="58"/>
      <c r="BOT14" s="58"/>
      <c r="BOU14" s="58"/>
      <c r="BOV14" s="58"/>
      <c r="BOW14" s="58"/>
      <c r="BOX14" s="58"/>
      <c r="BOY14" s="58"/>
      <c r="BOZ14" s="58"/>
      <c r="BPA14" s="58"/>
      <c r="BPB14" s="58"/>
      <c r="BPC14" s="58"/>
      <c r="BPD14" s="58"/>
      <c r="BPE14" s="58"/>
      <c r="BPF14" s="58"/>
      <c r="BPG14" s="58"/>
      <c r="BPH14" s="58"/>
      <c r="BPI14" s="58"/>
      <c r="BPJ14" s="58"/>
      <c r="BPK14" s="58"/>
      <c r="BPL14" s="58"/>
      <c r="BPM14" s="58"/>
      <c r="BPN14" s="58"/>
      <c r="BPO14" s="58"/>
      <c r="BPP14" s="58"/>
      <c r="BPQ14" s="58"/>
      <c r="BPR14" s="58"/>
      <c r="BPS14" s="58"/>
      <c r="BPT14" s="58"/>
      <c r="BPU14" s="58"/>
      <c r="BPV14" s="58"/>
      <c r="BPW14" s="58"/>
      <c r="BPX14" s="58"/>
      <c r="BPY14" s="58"/>
      <c r="BPZ14" s="58"/>
      <c r="BQA14" s="58"/>
      <c r="BQB14" s="58"/>
      <c r="BQC14" s="58"/>
      <c r="BQD14" s="58"/>
      <c r="BQE14" s="58"/>
      <c r="BQF14" s="58"/>
      <c r="BQG14" s="58"/>
      <c r="BQH14" s="58"/>
      <c r="BQI14" s="58"/>
      <c r="BQJ14" s="58"/>
      <c r="BQK14" s="58"/>
      <c r="BQL14" s="58"/>
      <c r="BQM14" s="58"/>
      <c r="BQN14" s="58"/>
      <c r="BQO14" s="58"/>
      <c r="BQP14" s="58"/>
      <c r="BQQ14" s="58"/>
      <c r="BQR14" s="58"/>
      <c r="BQS14" s="58"/>
      <c r="BQT14" s="58"/>
      <c r="BQU14" s="58"/>
      <c r="BQV14" s="58"/>
      <c r="BQW14" s="58"/>
      <c r="BQX14" s="58"/>
      <c r="BQY14" s="58"/>
      <c r="BQZ14" s="58"/>
      <c r="BRA14" s="58"/>
      <c r="BRB14" s="58"/>
      <c r="BRC14" s="58"/>
      <c r="BRD14" s="58"/>
      <c r="BRE14" s="58"/>
      <c r="BRF14" s="58"/>
      <c r="BRG14" s="58"/>
      <c r="BRH14" s="58"/>
      <c r="BRI14" s="58"/>
      <c r="BRJ14" s="58"/>
      <c r="BRK14" s="58"/>
      <c r="BRL14" s="58"/>
      <c r="BRM14" s="58"/>
      <c r="BRN14" s="58"/>
      <c r="BRO14" s="58"/>
      <c r="BRP14" s="58"/>
      <c r="BRQ14" s="58"/>
      <c r="BRR14" s="58"/>
      <c r="BRS14" s="58"/>
      <c r="BRT14" s="58"/>
      <c r="BRU14" s="58"/>
      <c r="BRV14" s="58"/>
      <c r="BRW14" s="58"/>
      <c r="BRX14" s="58"/>
      <c r="BRY14" s="58"/>
      <c r="BRZ14" s="58"/>
      <c r="BSA14" s="58"/>
      <c r="BSB14" s="58"/>
      <c r="BSC14" s="58"/>
      <c r="BSD14" s="58"/>
      <c r="BSE14" s="58"/>
      <c r="BSF14" s="58"/>
      <c r="BSG14" s="58"/>
      <c r="BSH14" s="58"/>
      <c r="BSI14" s="58"/>
      <c r="BSJ14" s="58"/>
      <c r="BSK14" s="58"/>
      <c r="BSL14" s="58"/>
      <c r="BSM14" s="58"/>
      <c r="BSN14" s="58"/>
      <c r="BSO14" s="58"/>
      <c r="BSP14" s="58"/>
      <c r="BSQ14" s="58"/>
      <c r="BSR14" s="58"/>
      <c r="BSS14" s="58"/>
      <c r="BST14" s="58"/>
      <c r="BSU14" s="58"/>
      <c r="BSV14" s="58"/>
      <c r="BSW14" s="58"/>
      <c r="BSX14" s="58"/>
      <c r="BSY14" s="58"/>
      <c r="BSZ14" s="58"/>
      <c r="BTA14" s="58"/>
      <c r="BTB14" s="58"/>
      <c r="BTC14" s="58"/>
      <c r="BTD14" s="58"/>
      <c r="BTE14" s="58"/>
      <c r="BTF14" s="58"/>
      <c r="BTG14" s="58"/>
      <c r="BTH14" s="58"/>
      <c r="BTI14" s="58"/>
      <c r="BTJ14" s="58"/>
      <c r="BTK14" s="58"/>
      <c r="BTL14" s="58"/>
      <c r="BTM14" s="58"/>
      <c r="BTN14" s="58"/>
      <c r="BTO14" s="58"/>
      <c r="BTP14" s="58"/>
      <c r="BTQ14" s="58"/>
      <c r="BTR14" s="58"/>
      <c r="BTS14" s="58"/>
      <c r="BTT14" s="58"/>
      <c r="BTU14" s="58"/>
      <c r="BTV14" s="58"/>
      <c r="BTW14" s="58"/>
      <c r="BTX14" s="58"/>
      <c r="BTY14" s="58"/>
      <c r="BTZ14" s="58"/>
      <c r="BUA14" s="58"/>
      <c r="BUB14" s="58"/>
      <c r="BUC14" s="58"/>
      <c r="BUD14" s="58"/>
      <c r="BUE14" s="58"/>
      <c r="BUF14" s="58"/>
      <c r="BUG14" s="58"/>
      <c r="BUH14" s="58"/>
      <c r="BUI14" s="58"/>
      <c r="BUJ14" s="58"/>
      <c r="BUK14" s="58"/>
      <c r="BUL14" s="58"/>
      <c r="BUM14" s="58"/>
      <c r="BUN14" s="58"/>
      <c r="BUO14" s="58"/>
      <c r="BUP14" s="58"/>
      <c r="BUQ14" s="58"/>
      <c r="BUR14" s="58"/>
      <c r="BUS14" s="58"/>
      <c r="BUT14" s="58"/>
      <c r="BUU14" s="58"/>
      <c r="BUV14" s="58"/>
      <c r="BUW14" s="58"/>
      <c r="BUX14" s="58"/>
      <c r="BUY14" s="58"/>
      <c r="BUZ14" s="58"/>
      <c r="BVA14" s="58"/>
      <c r="BVB14" s="58"/>
      <c r="BVC14" s="58"/>
      <c r="BVD14" s="58"/>
      <c r="BVE14" s="58"/>
      <c r="BVF14" s="58"/>
      <c r="BVG14" s="58"/>
      <c r="BVH14" s="58"/>
      <c r="BVI14" s="58"/>
      <c r="BVJ14" s="58"/>
      <c r="BVK14" s="58"/>
      <c r="BVL14" s="58"/>
      <c r="BVM14" s="58"/>
      <c r="BVN14" s="58"/>
      <c r="BVO14" s="58"/>
      <c r="BVP14" s="58"/>
      <c r="BVQ14" s="58"/>
      <c r="BVR14" s="58"/>
      <c r="BVS14" s="58"/>
      <c r="BVT14" s="58"/>
      <c r="BVU14" s="58"/>
      <c r="BVV14" s="58"/>
      <c r="BVW14" s="58"/>
      <c r="BVX14" s="58"/>
      <c r="BVY14" s="58"/>
      <c r="BVZ14" s="58"/>
      <c r="BWA14" s="58"/>
      <c r="BWB14" s="58"/>
      <c r="BWC14" s="58"/>
      <c r="BWD14" s="58"/>
      <c r="BWE14" s="58"/>
      <c r="BWF14" s="58"/>
      <c r="BWG14" s="58"/>
      <c r="BWH14" s="58"/>
      <c r="BWI14" s="58"/>
      <c r="BWJ14" s="58"/>
      <c r="BWK14" s="58"/>
      <c r="BWL14" s="58"/>
      <c r="BWM14" s="58"/>
      <c r="BWN14" s="58"/>
      <c r="BWO14" s="58"/>
      <c r="BWP14" s="58"/>
      <c r="BWQ14" s="58"/>
      <c r="BWR14" s="58"/>
      <c r="BWS14" s="58"/>
      <c r="BWT14" s="58"/>
      <c r="BWU14" s="58"/>
      <c r="BWV14" s="58"/>
      <c r="BWW14" s="58"/>
      <c r="BWX14" s="58"/>
      <c r="BWY14" s="58"/>
      <c r="BWZ14" s="58"/>
      <c r="BXA14" s="58"/>
      <c r="BXB14" s="58"/>
      <c r="BXC14" s="58"/>
      <c r="BXD14" s="58"/>
      <c r="BXE14" s="58"/>
      <c r="BXF14" s="58"/>
      <c r="BXG14" s="58"/>
      <c r="BXH14" s="58"/>
      <c r="BXI14" s="58"/>
      <c r="BXJ14" s="58"/>
      <c r="BXK14" s="58"/>
      <c r="BXL14" s="58"/>
      <c r="BXM14" s="58"/>
      <c r="BXN14" s="58"/>
      <c r="BXO14" s="58"/>
      <c r="BXP14" s="58"/>
      <c r="BXQ14" s="58"/>
      <c r="BXR14" s="58"/>
      <c r="BXS14" s="58"/>
      <c r="BXT14" s="58"/>
      <c r="BXU14" s="58"/>
      <c r="BXV14" s="58"/>
      <c r="BXW14" s="58"/>
      <c r="BXX14" s="58"/>
      <c r="BXY14" s="58"/>
      <c r="BXZ14" s="58"/>
      <c r="BYA14" s="58"/>
      <c r="BYB14" s="58"/>
      <c r="BYC14" s="58"/>
      <c r="BYD14" s="58"/>
      <c r="BYE14" s="58"/>
      <c r="BYF14" s="58"/>
      <c r="BYG14" s="58"/>
      <c r="BYH14" s="58"/>
      <c r="BYI14" s="58"/>
      <c r="BYJ14" s="58"/>
      <c r="BYK14" s="58"/>
      <c r="BYL14" s="58"/>
      <c r="BYM14" s="58"/>
      <c r="BYN14" s="58"/>
      <c r="BYO14" s="58"/>
      <c r="BYP14" s="58"/>
      <c r="BYQ14" s="58"/>
      <c r="BYR14" s="58"/>
      <c r="BYS14" s="58"/>
      <c r="BYT14" s="58"/>
      <c r="BYU14" s="58"/>
      <c r="BYV14" s="58"/>
      <c r="BYW14" s="58"/>
      <c r="BYX14" s="58"/>
      <c r="BYY14" s="58"/>
      <c r="BYZ14" s="58"/>
      <c r="BZA14" s="58"/>
      <c r="BZB14" s="58"/>
      <c r="BZC14" s="58"/>
      <c r="BZD14" s="58"/>
      <c r="BZE14" s="58"/>
      <c r="BZF14" s="58"/>
      <c r="BZG14" s="58"/>
      <c r="BZH14" s="58"/>
      <c r="BZI14" s="58"/>
      <c r="BZJ14" s="58"/>
      <c r="BZK14" s="58"/>
      <c r="BZL14" s="58"/>
      <c r="BZM14" s="58"/>
      <c r="BZN14" s="58"/>
      <c r="BZO14" s="58"/>
      <c r="BZP14" s="58"/>
      <c r="BZQ14" s="58"/>
      <c r="BZR14" s="58"/>
      <c r="BZS14" s="58"/>
      <c r="BZT14" s="58"/>
      <c r="BZU14" s="58"/>
      <c r="BZV14" s="58"/>
      <c r="BZW14" s="58"/>
      <c r="BZX14" s="58"/>
      <c r="BZY14" s="58"/>
      <c r="BZZ14" s="58"/>
      <c r="CAA14" s="58"/>
      <c r="CAB14" s="58"/>
      <c r="CAC14" s="58"/>
      <c r="CAD14" s="58"/>
      <c r="CAE14" s="58"/>
      <c r="CAF14" s="58"/>
      <c r="CAG14" s="58"/>
      <c r="CAH14" s="58"/>
      <c r="CAI14" s="58"/>
      <c r="CAJ14" s="58"/>
      <c r="CAK14" s="58"/>
      <c r="CAL14" s="58"/>
      <c r="CAM14" s="58"/>
      <c r="CAN14" s="58"/>
      <c r="CAO14" s="58"/>
      <c r="CAP14" s="58"/>
      <c r="CAQ14" s="58"/>
      <c r="CAR14" s="58"/>
      <c r="CAS14" s="58"/>
      <c r="CAT14" s="58"/>
      <c r="CAU14" s="58"/>
      <c r="CAV14" s="58"/>
      <c r="CAW14" s="58"/>
      <c r="CAX14" s="58"/>
      <c r="CAY14" s="58"/>
      <c r="CAZ14" s="58"/>
      <c r="CBA14" s="58"/>
      <c r="CBB14" s="58"/>
      <c r="CBC14" s="58"/>
      <c r="CBD14" s="58"/>
      <c r="CBE14" s="58"/>
      <c r="CBF14" s="58"/>
      <c r="CBG14" s="58"/>
      <c r="CBH14" s="58"/>
      <c r="CBI14" s="58"/>
      <c r="CBJ14" s="58"/>
      <c r="CBK14" s="58"/>
      <c r="CBL14" s="58"/>
      <c r="CBM14" s="58"/>
      <c r="CBN14" s="58"/>
      <c r="CBO14" s="58"/>
      <c r="CBP14" s="58"/>
      <c r="CBQ14" s="58"/>
      <c r="CBR14" s="58"/>
      <c r="CBS14" s="58"/>
      <c r="CBT14" s="58"/>
      <c r="CBU14" s="58"/>
      <c r="CBV14" s="58"/>
      <c r="CBW14" s="58"/>
      <c r="CBX14" s="58"/>
      <c r="CBY14" s="58"/>
      <c r="CBZ14" s="58"/>
      <c r="CCA14" s="58"/>
      <c r="CCB14" s="58"/>
      <c r="CCC14" s="58"/>
      <c r="CCD14" s="58"/>
      <c r="CCE14" s="58"/>
      <c r="CCF14" s="58"/>
      <c r="CCG14" s="58"/>
      <c r="CCH14" s="58"/>
      <c r="CCI14" s="58"/>
      <c r="CCJ14" s="58"/>
      <c r="CCK14" s="58"/>
      <c r="CCL14" s="58"/>
      <c r="CCM14" s="58"/>
      <c r="CCN14" s="58"/>
      <c r="CCO14" s="58"/>
      <c r="CCP14" s="58"/>
      <c r="CCQ14" s="58"/>
      <c r="CCR14" s="58"/>
      <c r="CCS14" s="58"/>
      <c r="CCT14" s="58"/>
      <c r="CCU14" s="58"/>
      <c r="CCV14" s="58"/>
      <c r="CCW14" s="58"/>
      <c r="CCX14" s="58"/>
      <c r="CCY14" s="58"/>
      <c r="CCZ14" s="58"/>
      <c r="CDA14" s="58"/>
      <c r="CDB14" s="58"/>
      <c r="CDC14" s="58"/>
      <c r="CDD14" s="58"/>
      <c r="CDE14" s="58"/>
      <c r="CDF14" s="58"/>
      <c r="CDG14" s="58"/>
      <c r="CDH14" s="58"/>
      <c r="CDI14" s="58"/>
      <c r="CDJ14" s="58"/>
      <c r="CDK14" s="58"/>
      <c r="CDL14" s="58"/>
      <c r="CDM14" s="58"/>
      <c r="CDN14" s="58"/>
      <c r="CDO14" s="58"/>
      <c r="CDP14" s="58"/>
      <c r="CDQ14" s="58"/>
      <c r="CDR14" s="58"/>
      <c r="CDS14" s="58"/>
      <c r="CDT14" s="58"/>
      <c r="CDU14" s="58"/>
      <c r="CDV14" s="58"/>
      <c r="CDW14" s="58"/>
      <c r="CDX14" s="58"/>
      <c r="CDY14" s="58"/>
      <c r="CDZ14" s="58"/>
      <c r="CEA14" s="58"/>
      <c r="CEB14" s="58"/>
      <c r="CEC14" s="58"/>
      <c r="CED14" s="58"/>
      <c r="CEE14" s="58"/>
      <c r="CEF14" s="58"/>
      <c r="CEG14" s="58"/>
      <c r="CEH14" s="58"/>
      <c r="CEI14" s="58"/>
      <c r="CEJ14" s="58"/>
      <c r="CEK14" s="58"/>
      <c r="CEL14" s="58"/>
      <c r="CEM14" s="58"/>
      <c r="CEN14" s="58"/>
      <c r="CEO14" s="58"/>
      <c r="CEP14" s="58"/>
      <c r="CEQ14" s="58"/>
      <c r="CER14" s="58"/>
      <c r="CES14" s="58"/>
      <c r="CET14" s="58"/>
      <c r="CEU14" s="58"/>
      <c r="CEV14" s="58"/>
      <c r="CEW14" s="58"/>
      <c r="CEX14" s="58"/>
      <c r="CEY14" s="58"/>
      <c r="CEZ14" s="58"/>
      <c r="CFA14" s="58"/>
      <c r="CFB14" s="58"/>
      <c r="CFC14" s="58"/>
      <c r="CFD14" s="58"/>
      <c r="CFE14" s="58"/>
      <c r="CFF14" s="58"/>
      <c r="CFG14" s="58"/>
      <c r="CFH14" s="58"/>
      <c r="CFI14" s="58"/>
      <c r="CFJ14" s="58"/>
      <c r="CFK14" s="58"/>
      <c r="CFL14" s="58"/>
      <c r="CFM14" s="58"/>
      <c r="CFN14" s="58"/>
      <c r="CFO14" s="58"/>
      <c r="CFP14" s="58"/>
      <c r="CFQ14" s="58"/>
      <c r="CFR14" s="58"/>
      <c r="CFS14" s="58"/>
      <c r="CFT14" s="58"/>
      <c r="CFU14" s="58"/>
      <c r="CFV14" s="58"/>
      <c r="CFW14" s="58"/>
      <c r="CFX14" s="58"/>
      <c r="CFY14" s="58"/>
      <c r="CFZ14" s="58"/>
      <c r="CGA14" s="58"/>
      <c r="CGB14" s="58"/>
      <c r="CGC14" s="58"/>
      <c r="CGD14" s="58"/>
      <c r="CGE14" s="58"/>
      <c r="CGF14" s="58"/>
      <c r="CGG14" s="58"/>
      <c r="CGH14" s="58"/>
      <c r="CGI14" s="58"/>
      <c r="CGJ14" s="58"/>
      <c r="CGK14" s="58"/>
      <c r="CGL14" s="58"/>
      <c r="CGM14" s="58"/>
      <c r="CGN14" s="58"/>
      <c r="CGO14" s="58"/>
      <c r="CGP14" s="58"/>
      <c r="CGQ14" s="58"/>
      <c r="CGR14" s="58"/>
      <c r="CGS14" s="58"/>
      <c r="CGT14" s="58"/>
      <c r="CGU14" s="58"/>
      <c r="CGV14" s="58"/>
      <c r="CGW14" s="58"/>
      <c r="CGX14" s="58"/>
      <c r="CGY14" s="58"/>
      <c r="CGZ14" s="58"/>
      <c r="CHA14" s="58"/>
      <c r="CHB14" s="58"/>
      <c r="CHC14" s="58"/>
      <c r="CHD14" s="58"/>
      <c r="CHE14" s="58"/>
      <c r="CHF14" s="58"/>
      <c r="CHG14" s="58"/>
      <c r="CHH14" s="58"/>
      <c r="CHI14" s="58"/>
      <c r="CHJ14" s="58"/>
      <c r="CHK14" s="58"/>
      <c r="CHL14" s="58"/>
      <c r="CHM14" s="58"/>
      <c r="CHN14" s="58"/>
      <c r="CHO14" s="58"/>
      <c r="CHP14" s="58"/>
      <c r="CHQ14" s="58"/>
      <c r="CHR14" s="58"/>
      <c r="CHS14" s="58"/>
      <c r="CHT14" s="58"/>
      <c r="CHU14" s="58"/>
      <c r="CHV14" s="58"/>
      <c r="CHW14" s="58"/>
      <c r="CHX14" s="58"/>
      <c r="CHY14" s="58"/>
      <c r="CHZ14" s="58"/>
      <c r="CIA14" s="58"/>
      <c r="CIB14" s="58"/>
      <c r="CIC14" s="58"/>
      <c r="CID14" s="58"/>
      <c r="CIE14" s="58"/>
      <c r="CIF14" s="58"/>
      <c r="CIG14" s="58"/>
      <c r="CIH14" s="58"/>
      <c r="CII14" s="58"/>
      <c r="CIJ14" s="58"/>
      <c r="CIK14" s="58"/>
      <c r="CIL14" s="58"/>
      <c r="CIM14" s="58"/>
      <c r="CIN14" s="58"/>
      <c r="CIO14" s="58"/>
      <c r="CIP14" s="58"/>
      <c r="CIQ14" s="58"/>
      <c r="CIR14" s="58"/>
      <c r="CIS14" s="58"/>
      <c r="CIT14" s="58"/>
      <c r="CIU14" s="58"/>
      <c r="CIV14" s="58"/>
      <c r="CIW14" s="58"/>
      <c r="CIX14" s="58"/>
      <c r="CIY14" s="58"/>
      <c r="CIZ14" s="58"/>
      <c r="CJA14" s="58"/>
      <c r="CJB14" s="58"/>
      <c r="CJC14" s="58"/>
      <c r="CJD14" s="58"/>
      <c r="CJE14" s="58"/>
      <c r="CJF14" s="58"/>
      <c r="CJG14" s="58"/>
      <c r="CJH14" s="58"/>
      <c r="CJI14" s="58"/>
      <c r="CJJ14" s="58"/>
      <c r="CJK14" s="58"/>
      <c r="CJL14" s="58"/>
      <c r="CJM14" s="58"/>
      <c r="CJN14" s="58"/>
      <c r="CJO14" s="58"/>
      <c r="CJP14" s="58"/>
      <c r="CJQ14" s="58"/>
      <c r="CJR14" s="58"/>
      <c r="CJS14" s="58"/>
      <c r="CJT14" s="58"/>
      <c r="CJU14" s="58"/>
      <c r="CJV14" s="58"/>
      <c r="CJW14" s="58"/>
      <c r="CJX14" s="58"/>
      <c r="CJY14" s="58"/>
      <c r="CJZ14" s="58"/>
      <c r="CKA14" s="58"/>
      <c r="CKB14" s="58"/>
      <c r="CKC14" s="58"/>
      <c r="CKD14" s="58"/>
      <c r="CKE14" s="58"/>
      <c r="CKF14" s="58"/>
      <c r="CKG14" s="58"/>
      <c r="CKH14" s="58"/>
      <c r="CKI14" s="58"/>
      <c r="CKJ14" s="58"/>
      <c r="CKK14" s="58"/>
      <c r="CKL14" s="58"/>
      <c r="CKM14" s="58"/>
      <c r="CKN14" s="58"/>
      <c r="CKO14" s="58"/>
      <c r="CKP14" s="58"/>
      <c r="CKQ14" s="58"/>
      <c r="CKR14" s="58"/>
      <c r="CKS14" s="58"/>
      <c r="CKT14" s="58"/>
      <c r="CKU14" s="58"/>
      <c r="CKV14" s="58"/>
      <c r="CKW14" s="58"/>
      <c r="CKX14" s="58"/>
      <c r="CKY14" s="58"/>
      <c r="CKZ14" s="58"/>
      <c r="CLA14" s="58"/>
      <c r="CLB14" s="58"/>
      <c r="CLC14" s="58"/>
      <c r="CLD14" s="58"/>
      <c r="CLE14" s="58"/>
      <c r="CLF14" s="58"/>
      <c r="CLG14" s="58"/>
      <c r="CLH14" s="58"/>
      <c r="CLI14" s="58"/>
      <c r="CLJ14" s="58"/>
      <c r="CLK14" s="58"/>
      <c r="CLL14" s="58"/>
      <c r="CLM14" s="58"/>
      <c r="CLN14" s="58"/>
      <c r="CLO14" s="58"/>
      <c r="CLP14" s="58"/>
      <c r="CLQ14" s="58"/>
      <c r="CLR14" s="58"/>
      <c r="CLS14" s="58"/>
      <c r="CLT14" s="58"/>
      <c r="CLU14" s="58"/>
      <c r="CLV14" s="58"/>
      <c r="CLW14" s="58"/>
      <c r="CLX14" s="58"/>
      <c r="CLY14" s="58"/>
      <c r="CLZ14" s="58"/>
      <c r="CMA14" s="58"/>
      <c r="CMB14" s="58"/>
      <c r="CMC14" s="58"/>
      <c r="CMD14" s="58"/>
      <c r="CME14" s="58"/>
      <c r="CMF14" s="58"/>
      <c r="CMG14" s="58"/>
      <c r="CMH14" s="58"/>
      <c r="CMI14" s="58"/>
      <c r="CMJ14" s="58"/>
      <c r="CMK14" s="58"/>
      <c r="CML14" s="58"/>
      <c r="CMM14" s="58"/>
      <c r="CMN14" s="58"/>
      <c r="CMO14" s="58"/>
      <c r="CMP14" s="58"/>
      <c r="CMQ14" s="58"/>
      <c r="CMR14" s="58"/>
      <c r="CMS14" s="58"/>
      <c r="CMT14" s="58"/>
      <c r="CMU14" s="58"/>
      <c r="CMV14" s="58"/>
      <c r="CMW14" s="58"/>
      <c r="CMX14" s="58"/>
      <c r="CMY14" s="58"/>
      <c r="CMZ14" s="58"/>
      <c r="CNA14" s="58"/>
      <c r="CNB14" s="58"/>
      <c r="CNC14" s="58"/>
      <c r="CND14" s="58"/>
      <c r="CNE14" s="58"/>
      <c r="CNF14" s="58"/>
      <c r="CNG14" s="58"/>
      <c r="CNH14" s="58"/>
      <c r="CNI14" s="58"/>
      <c r="CNJ14" s="58"/>
      <c r="CNK14" s="58"/>
      <c r="CNL14" s="58"/>
      <c r="CNM14" s="58"/>
      <c r="CNN14" s="58"/>
      <c r="CNO14" s="58"/>
      <c r="CNP14" s="58"/>
      <c r="CNQ14" s="58"/>
      <c r="CNR14" s="58"/>
      <c r="CNS14" s="58"/>
      <c r="CNT14" s="58"/>
      <c r="CNU14" s="58"/>
      <c r="CNV14" s="58"/>
      <c r="CNW14" s="58"/>
      <c r="CNX14" s="58"/>
      <c r="CNY14" s="58"/>
      <c r="CNZ14" s="58"/>
      <c r="COA14" s="58"/>
      <c r="COB14" s="58"/>
      <c r="COC14" s="58"/>
      <c r="COD14" s="58"/>
      <c r="COE14" s="58"/>
      <c r="COF14" s="58"/>
      <c r="COG14" s="58"/>
      <c r="COH14" s="58"/>
      <c r="COI14" s="58"/>
      <c r="COJ14" s="58"/>
      <c r="COK14" s="58"/>
      <c r="COL14" s="58"/>
      <c r="COM14" s="58"/>
      <c r="CON14" s="58"/>
      <c r="COO14" s="58"/>
      <c r="COP14" s="58"/>
      <c r="COQ14" s="58"/>
      <c r="COR14" s="58"/>
      <c r="COS14" s="58"/>
      <c r="COT14" s="58"/>
      <c r="COU14" s="58"/>
      <c r="COV14" s="58"/>
      <c r="COW14" s="58"/>
      <c r="COX14" s="58"/>
      <c r="COY14" s="58"/>
      <c r="COZ14" s="58"/>
      <c r="CPA14" s="58"/>
      <c r="CPB14" s="58"/>
      <c r="CPC14" s="58"/>
      <c r="CPD14" s="58"/>
      <c r="CPE14" s="58"/>
      <c r="CPF14" s="58"/>
      <c r="CPG14" s="58"/>
      <c r="CPH14" s="58"/>
      <c r="CPI14" s="58"/>
      <c r="CPJ14" s="58"/>
      <c r="CPK14" s="58"/>
      <c r="CPL14" s="58"/>
      <c r="CPM14" s="58"/>
      <c r="CPN14" s="58"/>
      <c r="CPO14" s="58"/>
      <c r="CPP14" s="58"/>
      <c r="CPQ14" s="58"/>
      <c r="CPR14" s="58"/>
      <c r="CPS14" s="58"/>
      <c r="CPT14" s="58"/>
      <c r="CPU14" s="58"/>
      <c r="CPV14" s="58"/>
      <c r="CPW14" s="58"/>
      <c r="CPX14" s="58"/>
      <c r="CPY14" s="58"/>
      <c r="CPZ14" s="58"/>
      <c r="CQA14" s="58"/>
      <c r="CQB14" s="58"/>
      <c r="CQC14" s="58"/>
      <c r="CQD14" s="58"/>
      <c r="CQE14" s="58"/>
      <c r="CQF14" s="58"/>
      <c r="CQG14" s="58"/>
      <c r="CQH14" s="58"/>
      <c r="CQI14" s="58"/>
      <c r="CQJ14" s="58"/>
      <c r="CQK14" s="58"/>
      <c r="CQL14" s="58"/>
      <c r="CQM14" s="58"/>
      <c r="CQN14" s="58"/>
      <c r="CQO14" s="58"/>
      <c r="CQP14" s="58"/>
      <c r="CQQ14" s="58"/>
      <c r="CQR14" s="58"/>
      <c r="CQS14" s="58"/>
      <c r="CQT14" s="58"/>
      <c r="CQU14" s="58"/>
      <c r="CQV14" s="58"/>
      <c r="CQW14" s="58"/>
      <c r="CQX14" s="58"/>
      <c r="CQY14" s="58"/>
      <c r="CQZ14" s="58"/>
      <c r="CRA14" s="58"/>
      <c r="CRB14" s="58"/>
      <c r="CRC14" s="58"/>
      <c r="CRD14" s="58"/>
      <c r="CRE14" s="58"/>
      <c r="CRF14" s="58"/>
      <c r="CRG14" s="58"/>
      <c r="CRH14" s="58"/>
      <c r="CRI14" s="58"/>
      <c r="CRJ14" s="58"/>
      <c r="CRK14" s="58"/>
      <c r="CRL14" s="58"/>
      <c r="CRM14" s="58"/>
      <c r="CRN14" s="58"/>
      <c r="CRO14" s="58"/>
      <c r="CRP14" s="58"/>
      <c r="CRQ14" s="58"/>
      <c r="CRR14" s="58"/>
      <c r="CRS14" s="58"/>
      <c r="CRT14" s="58"/>
      <c r="CRU14" s="58"/>
      <c r="CRV14" s="58"/>
      <c r="CRW14" s="58"/>
      <c r="CRX14" s="58"/>
      <c r="CRY14" s="58"/>
      <c r="CRZ14" s="58"/>
      <c r="CSA14" s="58"/>
      <c r="CSB14" s="58"/>
      <c r="CSC14" s="58"/>
      <c r="CSD14" s="58"/>
      <c r="CSE14" s="58"/>
      <c r="CSF14" s="58"/>
      <c r="CSG14" s="58"/>
      <c r="CSH14" s="58"/>
      <c r="CSI14" s="58"/>
      <c r="CSJ14" s="58"/>
      <c r="CSK14" s="58"/>
      <c r="CSL14" s="58"/>
      <c r="CSM14" s="58"/>
      <c r="CSN14" s="58"/>
      <c r="CSO14" s="58"/>
      <c r="CSP14" s="58"/>
      <c r="CSQ14" s="58"/>
      <c r="CSR14" s="58"/>
      <c r="CSS14" s="58"/>
      <c r="CST14" s="58"/>
      <c r="CSU14" s="58"/>
      <c r="CSV14" s="58"/>
      <c r="CSW14" s="58"/>
      <c r="CSX14" s="58"/>
      <c r="CSY14" s="58"/>
      <c r="CSZ14" s="58"/>
      <c r="CTA14" s="58"/>
      <c r="CTB14" s="58"/>
      <c r="CTC14" s="58"/>
      <c r="CTD14" s="58"/>
      <c r="CTE14" s="58"/>
      <c r="CTF14" s="58"/>
      <c r="CTG14" s="58"/>
      <c r="CTH14" s="58"/>
      <c r="CTI14" s="58"/>
      <c r="CTJ14" s="58"/>
      <c r="CTK14" s="58"/>
      <c r="CTL14" s="58"/>
      <c r="CTM14" s="58"/>
      <c r="CTN14" s="58"/>
      <c r="CTO14" s="58"/>
      <c r="CTP14" s="58"/>
      <c r="CTQ14" s="58"/>
      <c r="CTR14" s="58"/>
      <c r="CTS14" s="58"/>
      <c r="CTT14" s="58"/>
      <c r="CTU14" s="58"/>
      <c r="CTV14" s="58"/>
      <c r="CTW14" s="58"/>
      <c r="CTX14" s="58"/>
      <c r="CTY14" s="58"/>
      <c r="CTZ14" s="58"/>
      <c r="CUA14" s="58"/>
      <c r="CUB14" s="58"/>
      <c r="CUC14" s="58"/>
      <c r="CUD14" s="58"/>
      <c r="CUE14" s="58"/>
      <c r="CUF14" s="58"/>
      <c r="CUG14" s="58"/>
      <c r="CUH14" s="58"/>
      <c r="CUI14" s="58"/>
      <c r="CUJ14" s="58"/>
      <c r="CUK14" s="58"/>
      <c r="CUL14" s="58"/>
      <c r="CUM14" s="58"/>
      <c r="CUN14" s="58"/>
      <c r="CUO14" s="58"/>
      <c r="CUP14" s="58"/>
      <c r="CUQ14" s="58"/>
      <c r="CUR14" s="58"/>
      <c r="CUS14" s="58"/>
      <c r="CUT14" s="58"/>
      <c r="CUU14" s="58"/>
      <c r="CUV14" s="58"/>
      <c r="CUW14" s="58"/>
      <c r="CUX14" s="58"/>
      <c r="CUY14" s="58"/>
      <c r="CUZ14" s="58"/>
      <c r="CVA14" s="58"/>
      <c r="CVB14" s="58"/>
      <c r="CVC14" s="58"/>
      <c r="CVD14" s="58"/>
      <c r="CVE14" s="58"/>
      <c r="CVF14" s="58"/>
      <c r="CVG14" s="58"/>
      <c r="CVH14" s="58"/>
      <c r="CVI14" s="58"/>
      <c r="CVJ14" s="58"/>
      <c r="CVK14" s="58"/>
      <c r="CVL14" s="58"/>
      <c r="CVM14" s="58"/>
      <c r="CVN14" s="58"/>
      <c r="CVO14" s="58"/>
      <c r="CVP14" s="58"/>
      <c r="CVQ14" s="58"/>
      <c r="CVR14" s="58"/>
      <c r="CVS14" s="58"/>
      <c r="CVT14" s="58"/>
      <c r="CVU14" s="58"/>
      <c r="CVV14" s="58"/>
      <c r="CVW14" s="58"/>
      <c r="CVX14" s="58"/>
      <c r="CVY14" s="58"/>
      <c r="CVZ14" s="58"/>
      <c r="CWA14" s="58"/>
      <c r="CWB14" s="58"/>
      <c r="CWC14" s="58"/>
      <c r="CWD14" s="58"/>
      <c r="CWE14" s="58"/>
      <c r="CWF14" s="58"/>
      <c r="CWG14" s="58"/>
      <c r="CWH14" s="58"/>
      <c r="CWI14" s="58"/>
      <c r="CWJ14" s="58"/>
      <c r="CWK14" s="58"/>
      <c r="CWL14" s="58"/>
      <c r="CWM14" s="58"/>
      <c r="CWN14" s="58"/>
      <c r="CWO14" s="58"/>
      <c r="CWP14" s="58"/>
      <c r="CWQ14" s="58"/>
      <c r="CWR14" s="58"/>
      <c r="CWS14" s="58"/>
      <c r="CWT14" s="58"/>
      <c r="CWU14" s="58"/>
      <c r="CWV14" s="58"/>
      <c r="CWW14" s="58"/>
      <c r="CWX14" s="58"/>
      <c r="CWY14" s="58"/>
      <c r="CWZ14" s="58"/>
      <c r="CXA14" s="58"/>
      <c r="CXB14" s="58"/>
      <c r="CXC14" s="58"/>
      <c r="CXD14" s="58"/>
      <c r="CXE14" s="58"/>
      <c r="CXF14" s="58"/>
      <c r="CXG14" s="58"/>
      <c r="CXH14" s="58"/>
      <c r="CXI14" s="58"/>
      <c r="CXJ14" s="58"/>
      <c r="CXK14" s="58"/>
      <c r="CXL14" s="58"/>
      <c r="CXM14" s="58"/>
      <c r="CXN14" s="58"/>
      <c r="CXO14" s="58"/>
      <c r="CXP14" s="58"/>
      <c r="CXQ14" s="58"/>
      <c r="CXR14" s="58"/>
      <c r="CXS14" s="58"/>
      <c r="CXT14" s="58"/>
      <c r="CXU14" s="58"/>
      <c r="CXV14" s="58"/>
      <c r="CXW14" s="58"/>
      <c r="CXX14" s="58"/>
      <c r="CXY14" s="58"/>
      <c r="CXZ14" s="58"/>
      <c r="CYA14" s="58"/>
      <c r="CYB14" s="58"/>
      <c r="CYC14" s="58"/>
      <c r="CYD14" s="58"/>
      <c r="CYE14" s="58"/>
      <c r="CYF14" s="58"/>
      <c r="CYG14" s="58"/>
      <c r="CYH14" s="58"/>
      <c r="CYI14" s="58"/>
      <c r="CYJ14" s="58"/>
      <c r="CYK14" s="58"/>
      <c r="CYL14" s="58"/>
      <c r="CYM14" s="58"/>
      <c r="CYN14" s="58"/>
      <c r="CYO14" s="58"/>
      <c r="CYP14" s="58"/>
      <c r="CYQ14" s="58"/>
      <c r="CYR14" s="58"/>
      <c r="CYS14" s="58"/>
      <c r="CYT14" s="58"/>
      <c r="CYU14" s="58"/>
      <c r="CYV14" s="58"/>
      <c r="CYW14" s="58"/>
      <c r="CYX14" s="58"/>
      <c r="CYY14" s="58"/>
      <c r="CYZ14" s="58"/>
      <c r="CZA14" s="58"/>
      <c r="CZB14" s="58"/>
      <c r="CZC14" s="58"/>
      <c r="CZD14" s="58"/>
      <c r="CZE14" s="58"/>
      <c r="CZF14" s="58"/>
      <c r="CZG14" s="58"/>
      <c r="CZH14" s="58"/>
      <c r="CZI14" s="58"/>
      <c r="CZJ14" s="58"/>
      <c r="CZK14" s="58"/>
      <c r="CZL14" s="58"/>
      <c r="CZM14" s="58"/>
      <c r="CZN14" s="58"/>
      <c r="CZO14" s="58"/>
      <c r="CZP14" s="58"/>
      <c r="CZQ14" s="58"/>
      <c r="CZR14" s="58"/>
      <c r="CZS14" s="58"/>
      <c r="CZT14" s="58"/>
      <c r="CZU14" s="58"/>
      <c r="CZV14" s="58"/>
      <c r="CZW14" s="58"/>
      <c r="CZX14" s="58"/>
      <c r="CZY14" s="58"/>
      <c r="CZZ14" s="58"/>
      <c r="DAA14" s="58"/>
      <c r="DAB14" s="58"/>
      <c r="DAC14" s="58"/>
      <c r="DAD14" s="58"/>
      <c r="DAE14" s="58"/>
      <c r="DAF14" s="58"/>
      <c r="DAG14" s="58"/>
      <c r="DAH14" s="58"/>
      <c r="DAI14" s="58"/>
      <c r="DAJ14" s="58"/>
      <c r="DAK14" s="58"/>
      <c r="DAL14" s="58"/>
      <c r="DAM14" s="58"/>
      <c r="DAN14" s="58"/>
      <c r="DAO14" s="58"/>
      <c r="DAP14" s="58"/>
      <c r="DAQ14" s="58"/>
      <c r="DAR14" s="58"/>
      <c r="DAS14" s="58"/>
      <c r="DAT14" s="58"/>
      <c r="DAU14" s="58"/>
      <c r="DAV14" s="58"/>
      <c r="DAW14" s="58"/>
      <c r="DAX14" s="58"/>
      <c r="DAY14" s="58"/>
      <c r="DAZ14" s="58"/>
      <c r="DBA14" s="58"/>
      <c r="DBB14" s="58"/>
      <c r="DBC14" s="58"/>
      <c r="DBD14" s="58"/>
      <c r="DBE14" s="58"/>
      <c r="DBF14" s="58"/>
      <c r="DBG14" s="58"/>
      <c r="DBH14" s="58"/>
      <c r="DBI14" s="58"/>
      <c r="DBJ14" s="58"/>
      <c r="DBK14" s="58"/>
      <c r="DBL14" s="58"/>
      <c r="DBM14" s="58"/>
      <c r="DBN14" s="58"/>
      <c r="DBO14" s="58"/>
      <c r="DBP14" s="58"/>
      <c r="DBQ14" s="58"/>
      <c r="DBR14" s="58"/>
      <c r="DBS14" s="58"/>
      <c r="DBT14" s="58"/>
      <c r="DBU14" s="58"/>
      <c r="DBV14" s="58"/>
      <c r="DBW14" s="58"/>
      <c r="DBX14" s="58"/>
      <c r="DBY14" s="58"/>
      <c r="DBZ14" s="58"/>
      <c r="DCA14" s="58"/>
      <c r="DCB14" s="58"/>
      <c r="DCC14" s="58"/>
      <c r="DCD14" s="58"/>
      <c r="DCE14" s="58"/>
      <c r="DCF14" s="58"/>
      <c r="DCG14" s="58"/>
      <c r="DCH14" s="58"/>
      <c r="DCI14" s="58"/>
      <c r="DCJ14" s="58"/>
      <c r="DCK14" s="58"/>
      <c r="DCL14" s="58"/>
      <c r="DCM14" s="58"/>
      <c r="DCN14" s="58"/>
      <c r="DCO14" s="58"/>
      <c r="DCP14" s="58"/>
      <c r="DCQ14" s="58"/>
      <c r="DCR14" s="58"/>
      <c r="DCS14" s="58"/>
      <c r="DCT14" s="58"/>
      <c r="DCU14" s="58"/>
      <c r="DCV14" s="58"/>
      <c r="DCW14" s="58"/>
      <c r="DCX14" s="58"/>
      <c r="DCY14" s="58"/>
      <c r="DCZ14" s="58"/>
      <c r="DDA14" s="58"/>
      <c r="DDB14" s="58"/>
      <c r="DDC14" s="58"/>
      <c r="DDD14" s="58"/>
      <c r="DDE14" s="58"/>
      <c r="DDF14" s="58"/>
      <c r="DDG14" s="58"/>
      <c r="DDH14" s="58"/>
      <c r="DDI14" s="58"/>
      <c r="DDJ14" s="58"/>
      <c r="DDK14" s="58"/>
      <c r="DDL14" s="58"/>
      <c r="DDM14" s="58"/>
      <c r="DDN14" s="58"/>
      <c r="DDO14" s="58"/>
      <c r="DDP14" s="58"/>
      <c r="DDQ14" s="58"/>
      <c r="DDR14" s="58"/>
      <c r="DDS14" s="58"/>
      <c r="DDT14" s="58"/>
      <c r="DDU14" s="58"/>
      <c r="DDV14" s="58"/>
      <c r="DDW14" s="58"/>
      <c r="DDX14" s="58"/>
      <c r="DDY14" s="58"/>
      <c r="DDZ14" s="58"/>
      <c r="DEA14" s="58"/>
      <c r="DEB14" s="58"/>
      <c r="DEC14" s="58"/>
      <c r="DED14" s="58"/>
      <c r="DEE14" s="58"/>
      <c r="DEF14" s="58"/>
      <c r="DEG14" s="58"/>
      <c r="DEH14" s="58"/>
      <c r="DEI14" s="58"/>
      <c r="DEJ14" s="58"/>
      <c r="DEK14" s="58"/>
      <c r="DEL14" s="58"/>
      <c r="DEM14" s="58"/>
      <c r="DEN14" s="58"/>
      <c r="DEO14" s="58"/>
      <c r="DEP14" s="58"/>
      <c r="DEQ14" s="58"/>
      <c r="DER14" s="58"/>
      <c r="DES14" s="58"/>
      <c r="DET14" s="58"/>
      <c r="DEU14" s="58"/>
      <c r="DEV14" s="58"/>
      <c r="DEW14" s="58"/>
      <c r="DEX14" s="58"/>
      <c r="DEY14" s="58"/>
      <c r="DEZ14" s="58"/>
      <c r="DFA14" s="58"/>
      <c r="DFB14" s="58"/>
      <c r="DFC14" s="58"/>
      <c r="DFD14" s="58"/>
      <c r="DFE14" s="58"/>
      <c r="DFF14" s="58"/>
      <c r="DFG14" s="58"/>
      <c r="DFH14" s="58"/>
      <c r="DFI14" s="58"/>
      <c r="DFJ14" s="58"/>
      <c r="DFK14" s="58"/>
      <c r="DFL14" s="58"/>
      <c r="DFM14" s="58"/>
      <c r="DFN14" s="58"/>
      <c r="DFO14" s="58"/>
      <c r="DFP14" s="58"/>
      <c r="DFQ14" s="58"/>
      <c r="DFR14" s="58"/>
      <c r="DFS14" s="58"/>
      <c r="DFT14" s="58"/>
      <c r="DFU14" s="58"/>
      <c r="DFV14" s="58"/>
      <c r="DFW14" s="58"/>
      <c r="DFX14" s="58"/>
      <c r="DFY14" s="58"/>
      <c r="DFZ14" s="58"/>
      <c r="DGA14" s="58"/>
      <c r="DGB14" s="58"/>
      <c r="DGC14" s="58"/>
      <c r="DGD14" s="58"/>
      <c r="DGE14" s="58"/>
      <c r="DGF14" s="58"/>
      <c r="DGG14" s="58"/>
      <c r="DGH14" s="58"/>
      <c r="DGI14" s="58"/>
      <c r="DGJ14" s="58"/>
      <c r="DGK14" s="58"/>
      <c r="DGL14" s="58"/>
      <c r="DGM14" s="58"/>
      <c r="DGN14" s="58"/>
      <c r="DGO14" s="58"/>
      <c r="DGP14" s="58"/>
      <c r="DGQ14" s="58"/>
      <c r="DGR14" s="58"/>
      <c r="DGS14" s="58"/>
      <c r="DGT14" s="58"/>
      <c r="DGU14" s="58"/>
      <c r="DGV14" s="58"/>
      <c r="DGW14" s="58"/>
      <c r="DGX14" s="58"/>
      <c r="DGY14" s="58"/>
      <c r="DGZ14" s="58"/>
      <c r="DHA14" s="58"/>
      <c r="DHB14" s="58"/>
      <c r="DHC14" s="58"/>
      <c r="DHD14" s="58"/>
      <c r="DHE14" s="58"/>
      <c r="DHF14" s="58"/>
      <c r="DHG14" s="58"/>
      <c r="DHH14" s="58"/>
      <c r="DHI14" s="58"/>
      <c r="DHJ14" s="58"/>
      <c r="DHK14" s="58"/>
      <c r="DHL14" s="58"/>
      <c r="DHM14" s="58"/>
      <c r="DHN14" s="58"/>
      <c r="DHO14" s="58"/>
      <c r="DHP14" s="58"/>
      <c r="DHQ14" s="58"/>
      <c r="DHR14" s="58"/>
      <c r="DHS14" s="58"/>
      <c r="DHT14" s="58"/>
      <c r="DHU14" s="58"/>
      <c r="DHV14" s="58"/>
      <c r="DHW14" s="58"/>
      <c r="DHX14" s="58"/>
      <c r="DHY14" s="58"/>
      <c r="DHZ14" s="58"/>
      <c r="DIA14" s="58"/>
      <c r="DIB14" s="58"/>
      <c r="DIC14" s="58"/>
      <c r="DID14" s="58"/>
      <c r="DIE14" s="58"/>
      <c r="DIF14" s="58"/>
      <c r="DIG14" s="58"/>
      <c r="DIH14" s="58"/>
      <c r="DII14" s="58"/>
      <c r="DIJ14" s="58"/>
      <c r="DIK14" s="58"/>
      <c r="DIL14" s="58"/>
      <c r="DIM14" s="58"/>
      <c r="DIN14" s="58"/>
      <c r="DIO14" s="58"/>
      <c r="DIP14" s="58"/>
      <c r="DIQ14" s="58"/>
      <c r="DIR14" s="58"/>
      <c r="DIS14" s="58"/>
      <c r="DIT14" s="58"/>
      <c r="DIU14" s="58"/>
      <c r="DIV14" s="58"/>
      <c r="DIW14" s="58"/>
      <c r="DIX14" s="58"/>
      <c r="DIY14" s="58"/>
      <c r="DIZ14" s="58"/>
      <c r="DJA14" s="58"/>
      <c r="DJB14" s="58"/>
      <c r="DJC14" s="58"/>
      <c r="DJD14" s="58"/>
      <c r="DJE14" s="58"/>
      <c r="DJF14" s="58"/>
      <c r="DJG14" s="58"/>
      <c r="DJH14" s="58"/>
      <c r="DJI14" s="58"/>
      <c r="DJJ14" s="58"/>
      <c r="DJK14" s="58"/>
      <c r="DJL14" s="58"/>
      <c r="DJM14" s="58"/>
      <c r="DJN14" s="58"/>
      <c r="DJO14" s="58"/>
      <c r="DJP14" s="58"/>
      <c r="DJQ14" s="58"/>
      <c r="DJR14" s="58"/>
      <c r="DJS14" s="58"/>
      <c r="DJT14" s="58"/>
      <c r="DJU14" s="58"/>
      <c r="DJV14" s="58"/>
      <c r="DJW14" s="58"/>
      <c r="DJX14" s="58"/>
      <c r="DJY14" s="58"/>
      <c r="DJZ14" s="58"/>
      <c r="DKA14" s="58"/>
      <c r="DKB14" s="58"/>
      <c r="DKC14" s="58"/>
      <c r="DKD14" s="58"/>
      <c r="DKE14" s="58"/>
      <c r="DKF14" s="58"/>
      <c r="DKG14" s="58"/>
      <c r="DKH14" s="58"/>
      <c r="DKI14" s="58"/>
      <c r="DKJ14" s="58"/>
      <c r="DKK14" s="58"/>
      <c r="DKL14" s="58"/>
      <c r="DKM14" s="58"/>
      <c r="DKN14" s="58"/>
      <c r="DKO14" s="58"/>
      <c r="DKP14" s="58"/>
      <c r="DKQ14" s="58"/>
      <c r="DKR14" s="58"/>
      <c r="DKS14" s="58"/>
      <c r="DKT14" s="58"/>
      <c r="DKU14" s="58"/>
      <c r="DKV14" s="58"/>
      <c r="DKW14" s="58"/>
      <c r="DKX14" s="58"/>
      <c r="DKY14" s="58"/>
      <c r="DKZ14" s="58"/>
      <c r="DLA14" s="58"/>
      <c r="DLB14" s="58"/>
      <c r="DLC14" s="58"/>
      <c r="DLD14" s="58"/>
      <c r="DLE14" s="58"/>
      <c r="DLF14" s="58"/>
      <c r="DLG14" s="58"/>
      <c r="DLH14" s="58"/>
      <c r="DLI14" s="58"/>
      <c r="DLJ14" s="58"/>
      <c r="DLK14" s="58"/>
      <c r="DLL14" s="58"/>
      <c r="DLM14" s="58"/>
      <c r="DLN14" s="58"/>
      <c r="DLO14" s="58"/>
      <c r="DLP14" s="58"/>
      <c r="DLQ14" s="58"/>
      <c r="DLR14" s="58"/>
      <c r="DLS14" s="58"/>
      <c r="DLT14" s="58"/>
      <c r="DLU14" s="58"/>
      <c r="DLV14" s="58"/>
      <c r="DLW14" s="58"/>
      <c r="DLX14" s="58"/>
      <c r="DLY14" s="58"/>
      <c r="DLZ14" s="58"/>
      <c r="DMA14" s="58"/>
      <c r="DMB14" s="58"/>
      <c r="DMC14" s="58"/>
      <c r="DMD14" s="58"/>
      <c r="DME14" s="58"/>
      <c r="DMF14" s="58"/>
      <c r="DMG14" s="58"/>
      <c r="DMH14" s="58"/>
      <c r="DMI14" s="58"/>
      <c r="DMJ14" s="58"/>
      <c r="DMK14" s="58"/>
      <c r="DML14" s="58"/>
      <c r="DMM14" s="58"/>
      <c r="DMN14" s="58"/>
      <c r="DMO14" s="58"/>
      <c r="DMP14" s="58"/>
      <c r="DMQ14" s="58"/>
      <c r="DMR14" s="58"/>
      <c r="DMS14" s="58"/>
      <c r="DMT14" s="58"/>
      <c r="DMU14" s="58"/>
      <c r="DMV14" s="58"/>
      <c r="DMW14" s="58"/>
      <c r="DMX14" s="58"/>
      <c r="DMY14" s="58"/>
      <c r="DMZ14" s="58"/>
      <c r="DNA14" s="58"/>
      <c r="DNB14" s="58"/>
      <c r="DNC14" s="58"/>
      <c r="DND14" s="58"/>
      <c r="DNE14" s="58"/>
      <c r="DNF14" s="58"/>
      <c r="DNG14" s="58"/>
      <c r="DNH14" s="58"/>
      <c r="DNI14" s="58"/>
      <c r="DNJ14" s="58"/>
      <c r="DNK14" s="58"/>
      <c r="DNL14" s="58"/>
      <c r="DNM14" s="58"/>
      <c r="DNN14" s="58"/>
      <c r="DNO14" s="58"/>
      <c r="DNP14" s="58"/>
      <c r="DNQ14" s="58"/>
      <c r="DNR14" s="58"/>
      <c r="DNS14" s="58"/>
      <c r="DNT14" s="58"/>
      <c r="DNU14" s="58"/>
      <c r="DNV14" s="58"/>
      <c r="DNW14" s="58"/>
      <c r="DNX14" s="58"/>
      <c r="DNY14" s="58"/>
      <c r="DNZ14" s="58"/>
      <c r="DOA14" s="58"/>
      <c r="DOB14" s="58"/>
      <c r="DOC14" s="58"/>
      <c r="DOD14" s="58"/>
      <c r="DOE14" s="58"/>
      <c r="DOF14" s="58"/>
      <c r="DOG14" s="58"/>
      <c r="DOH14" s="58"/>
      <c r="DOI14" s="58"/>
      <c r="DOJ14" s="58"/>
      <c r="DOK14" s="58"/>
      <c r="DOL14" s="58"/>
      <c r="DOM14" s="58"/>
      <c r="DON14" s="58"/>
      <c r="DOO14" s="58"/>
      <c r="DOP14" s="58"/>
      <c r="DOQ14" s="58"/>
      <c r="DOR14" s="58"/>
      <c r="DOS14" s="58"/>
      <c r="DOT14" s="58"/>
      <c r="DOU14" s="58"/>
      <c r="DOV14" s="58"/>
      <c r="DOW14" s="58"/>
      <c r="DOX14" s="58"/>
      <c r="DOY14" s="58"/>
      <c r="DOZ14" s="58"/>
      <c r="DPA14" s="58"/>
      <c r="DPB14" s="58"/>
      <c r="DPC14" s="58"/>
      <c r="DPD14" s="58"/>
      <c r="DPE14" s="58"/>
      <c r="DPF14" s="58"/>
      <c r="DPG14" s="58"/>
      <c r="DPH14" s="58"/>
      <c r="DPI14" s="58"/>
      <c r="DPJ14" s="58"/>
      <c r="DPK14" s="58"/>
      <c r="DPL14" s="58"/>
      <c r="DPM14" s="58"/>
      <c r="DPN14" s="58"/>
      <c r="DPO14" s="58"/>
      <c r="DPP14" s="58"/>
      <c r="DPQ14" s="58"/>
      <c r="DPR14" s="58"/>
      <c r="DPS14" s="58"/>
      <c r="DPT14" s="58"/>
      <c r="DPU14" s="58"/>
      <c r="DPV14" s="58"/>
      <c r="DPW14" s="58"/>
      <c r="DPX14" s="58"/>
      <c r="DPY14" s="58"/>
      <c r="DPZ14" s="58"/>
      <c r="DQA14" s="58"/>
      <c r="DQB14" s="58"/>
      <c r="DQC14" s="58"/>
      <c r="DQD14" s="58"/>
      <c r="DQE14" s="58"/>
      <c r="DQF14" s="58"/>
      <c r="DQG14" s="58"/>
      <c r="DQH14" s="58"/>
      <c r="DQI14" s="58"/>
      <c r="DQJ14" s="58"/>
      <c r="DQK14" s="58"/>
      <c r="DQL14" s="58"/>
      <c r="DQM14" s="58"/>
      <c r="DQN14" s="58"/>
      <c r="DQO14" s="58"/>
      <c r="DQP14" s="58"/>
      <c r="DQQ14" s="58"/>
      <c r="DQR14" s="58"/>
      <c r="DQS14" s="58"/>
      <c r="DQT14" s="58"/>
      <c r="DQU14" s="58"/>
      <c r="DQV14" s="58"/>
      <c r="DQW14" s="58"/>
      <c r="DQX14" s="58"/>
      <c r="DQY14" s="58"/>
      <c r="DQZ14" s="58"/>
      <c r="DRA14" s="58"/>
      <c r="DRB14" s="58"/>
      <c r="DRC14" s="58"/>
      <c r="DRD14" s="58"/>
      <c r="DRE14" s="58"/>
      <c r="DRF14" s="58"/>
      <c r="DRG14" s="58"/>
      <c r="DRH14" s="58"/>
      <c r="DRI14" s="58"/>
      <c r="DRJ14" s="58"/>
      <c r="DRK14" s="58"/>
      <c r="DRL14" s="58"/>
      <c r="DRM14" s="58"/>
      <c r="DRN14" s="58"/>
      <c r="DRO14" s="58"/>
      <c r="DRP14" s="58"/>
      <c r="DRQ14" s="58"/>
      <c r="DRR14" s="58"/>
      <c r="DRS14" s="58"/>
      <c r="DRT14" s="58"/>
      <c r="DRU14" s="58"/>
      <c r="DRV14" s="58"/>
      <c r="DRW14" s="58"/>
      <c r="DRX14" s="58"/>
      <c r="DRY14" s="58"/>
      <c r="DRZ14" s="58"/>
      <c r="DSA14" s="58"/>
      <c r="DSB14" s="58"/>
      <c r="DSC14" s="58"/>
      <c r="DSD14" s="58"/>
      <c r="DSE14" s="58"/>
      <c r="DSF14" s="58"/>
      <c r="DSG14" s="58"/>
      <c r="DSH14" s="58"/>
      <c r="DSI14" s="58"/>
      <c r="DSJ14" s="58"/>
      <c r="DSK14" s="58"/>
      <c r="DSL14" s="58"/>
      <c r="DSM14" s="58"/>
      <c r="DSN14" s="58"/>
      <c r="DSO14" s="58"/>
      <c r="DSP14" s="58"/>
      <c r="DSQ14" s="58"/>
      <c r="DSR14" s="58"/>
      <c r="DSS14" s="58"/>
      <c r="DST14" s="58"/>
      <c r="DSU14" s="58"/>
      <c r="DSV14" s="58"/>
      <c r="DSW14" s="58"/>
      <c r="DSX14" s="58"/>
      <c r="DSY14" s="58"/>
      <c r="DSZ14" s="58"/>
      <c r="DTA14" s="58"/>
      <c r="DTB14" s="58"/>
      <c r="DTC14" s="58"/>
      <c r="DTD14" s="58"/>
      <c r="DTE14" s="58"/>
      <c r="DTF14" s="58"/>
      <c r="DTG14" s="58"/>
      <c r="DTH14" s="58"/>
      <c r="DTI14" s="58"/>
      <c r="DTJ14" s="58"/>
      <c r="DTK14" s="58"/>
      <c r="DTL14" s="58"/>
      <c r="DTM14" s="58"/>
      <c r="DTN14" s="58"/>
      <c r="DTO14" s="58"/>
      <c r="DTP14" s="58"/>
      <c r="DTQ14" s="58"/>
      <c r="DTR14" s="58"/>
      <c r="DTS14" s="58"/>
      <c r="DTT14" s="58"/>
      <c r="DTU14" s="58"/>
      <c r="DTV14" s="58"/>
      <c r="DTW14" s="58"/>
      <c r="DTX14" s="58"/>
      <c r="DTY14" s="58"/>
      <c r="DTZ14" s="58"/>
      <c r="DUA14" s="58"/>
      <c r="DUB14" s="58"/>
      <c r="DUC14" s="58"/>
      <c r="DUD14" s="58"/>
      <c r="DUE14" s="58"/>
      <c r="DUF14" s="58"/>
      <c r="DUG14" s="58"/>
      <c r="DUH14" s="58"/>
      <c r="DUI14" s="58"/>
      <c r="DUJ14" s="58"/>
      <c r="DUK14" s="58"/>
      <c r="DUL14" s="58"/>
      <c r="DUM14" s="58"/>
      <c r="DUN14" s="58"/>
      <c r="DUO14" s="58"/>
      <c r="DUP14" s="58"/>
      <c r="DUQ14" s="58"/>
      <c r="DUR14" s="58"/>
      <c r="DUS14" s="58"/>
      <c r="DUT14" s="58"/>
      <c r="DUU14" s="58"/>
      <c r="DUV14" s="58"/>
      <c r="DUW14" s="58"/>
      <c r="DUX14" s="58"/>
      <c r="DUY14" s="58"/>
      <c r="DUZ14" s="58"/>
      <c r="DVA14" s="58"/>
      <c r="DVB14" s="58"/>
      <c r="DVC14" s="58"/>
      <c r="DVD14" s="58"/>
      <c r="DVE14" s="58"/>
      <c r="DVF14" s="58"/>
      <c r="DVG14" s="58"/>
      <c r="DVH14" s="58"/>
      <c r="DVI14" s="58"/>
      <c r="DVJ14" s="58"/>
      <c r="DVK14" s="58"/>
      <c r="DVL14" s="58"/>
      <c r="DVM14" s="58"/>
      <c r="DVN14" s="58"/>
      <c r="DVO14" s="58"/>
      <c r="DVP14" s="58"/>
      <c r="DVQ14" s="58"/>
      <c r="DVR14" s="58"/>
      <c r="DVS14" s="58"/>
      <c r="DVT14" s="58"/>
      <c r="DVU14" s="58"/>
      <c r="DVV14" s="58"/>
      <c r="DVW14" s="58"/>
      <c r="DVX14" s="58"/>
      <c r="DVY14" s="58"/>
      <c r="DVZ14" s="58"/>
      <c r="DWA14" s="58"/>
      <c r="DWB14" s="58"/>
      <c r="DWC14" s="58"/>
      <c r="DWD14" s="58"/>
      <c r="DWE14" s="58"/>
      <c r="DWF14" s="58"/>
      <c r="DWG14" s="58"/>
      <c r="DWH14" s="58"/>
      <c r="DWI14" s="58"/>
      <c r="DWJ14" s="58"/>
      <c r="DWK14" s="58"/>
      <c r="DWL14" s="58"/>
      <c r="DWM14" s="58"/>
      <c r="DWN14" s="58"/>
      <c r="DWO14" s="58"/>
      <c r="DWP14" s="58"/>
      <c r="DWQ14" s="58"/>
      <c r="DWR14" s="58"/>
      <c r="DWS14" s="58"/>
      <c r="DWT14" s="58"/>
      <c r="DWU14" s="58"/>
      <c r="DWV14" s="58"/>
      <c r="DWW14" s="58"/>
      <c r="DWX14" s="58"/>
      <c r="DWY14" s="58"/>
      <c r="DWZ14" s="58"/>
      <c r="DXA14" s="58"/>
      <c r="DXB14" s="58"/>
      <c r="DXC14" s="58"/>
      <c r="DXD14" s="58"/>
      <c r="DXE14" s="58"/>
      <c r="DXF14" s="58"/>
      <c r="DXG14" s="58"/>
      <c r="DXH14" s="58"/>
      <c r="DXI14" s="58"/>
      <c r="DXJ14" s="58"/>
      <c r="DXK14" s="58"/>
      <c r="DXL14" s="58"/>
      <c r="DXM14" s="58"/>
      <c r="DXN14" s="58"/>
      <c r="DXO14" s="58"/>
      <c r="DXP14" s="58"/>
      <c r="DXQ14" s="58"/>
      <c r="DXR14" s="58"/>
      <c r="DXS14" s="58"/>
      <c r="DXT14" s="58"/>
      <c r="DXU14" s="58"/>
      <c r="DXV14" s="58"/>
      <c r="DXW14" s="58"/>
      <c r="DXX14" s="58"/>
      <c r="DXY14" s="58"/>
      <c r="DXZ14" s="58"/>
      <c r="DYA14" s="58"/>
      <c r="DYB14" s="58"/>
      <c r="DYC14" s="58"/>
      <c r="DYD14" s="58"/>
      <c r="DYE14" s="58"/>
      <c r="DYF14" s="58"/>
      <c r="DYG14" s="58"/>
      <c r="DYH14" s="58"/>
      <c r="DYI14" s="58"/>
      <c r="DYJ14" s="58"/>
      <c r="DYK14" s="58"/>
      <c r="DYL14" s="58"/>
      <c r="DYM14" s="58"/>
      <c r="DYN14" s="58"/>
      <c r="DYO14" s="58"/>
      <c r="DYP14" s="58"/>
      <c r="DYQ14" s="58"/>
      <c r="DYR14" s="58"/>
      <c r="DYS14" s="58"/>
      <c r="DYT14" s="58"/>
      <c r="DYU14" s="58"/>
      <c r="DYV14" s="58"/>
      <c r="DYW14" s="58"/>
      <c r="DYX14" s="58"/>
      <c r="DYY14" s="58"/>
      <c r="DYZ14" s="58"/>
      <c r="DZA14" s="58"/>
      <c r="DZB14" s="58"/>
      <c r="DZC14" s="58"/>
      <c r="DZD14" s="58"/>
      <c r="DZE14" s="58"/>
      <c r="DZF14" s="58"/>
      <c r="DZG14" s="58"/>
      <c r="DZH14" s="58"/>
      <c r="DZI14" s="58"/>
      <c r="DZJ14" s="58"/>
      <c r="DZK14" s="58"/>
      <c r="DZL14" s="58"/>
      <c r="DZM14" s="58"/>
      <c r="DZN14" s="58"/>
      <c r="DZO14" s="58"/>
      <c r="DZP14" s="58"/>
      <c r="DZQ14" s="58"/>
      <c r="DZR14" s="58"/>
      <c r="DZS14" s="58"/>
      <c r="DZT14" s="58"/>
      <c r="DZU14" s="58"/>
      <c r="DZV14" s="58"/>
      <c r="DZW14" s="58"/>
      <c r="DZX14" s="58"/>
      <c r="DZY14" s="58"/>
      <c r="DZZ14" s="58"/>
      <c r="EAA14" s="58"/>
      <c r="EAB14" s="58"/>
      <c r="EAC14" s="58"/>
      <c r="EAD14" s="58"/>
      <c r="EAE14" s="58"/>
      <c r="EAF14" s="58"/>
      <c r="EAG14" s="58"/>
      <c r="EAH14" s="58"/>
      <c r="EAI14" s="58"/>
      <c r="EAJ14" s="58"/>
      <c r="EAK14" s="58"/>
      <c r="EAL14" s="58"/>
      <c r="EAM14" s="58"/>
      <c r="EAN14" s="58"/>
      <c r="EAO14" s="58"/>
      <c r="EAP14" s="58"/>
      <c r="EAQ14" s="58"/>
      <c r="EAR14" s="58"/>
      <c r="EAS14" s="58"/>
      <c r="EAT14" s="58"/>
      <c r="EAU14" s="58"/>
      <c r="EAV14" s="58"/>
      <c r="EAW14" s="58"/>
      <c r="EAX14" s="58"/>
      <c r="EAY14" s="58"/>
      <c r="EAZ14" s="58"/>
      <c r="EBA14" s="58"/>
      <c r="EBB14" s="58"/>
      <c r="EBC14" s="58"/>
      <c r="EBD14" s="58"/>
      <c r="EBE14" s="58"/>
      <c r="EBF14" s="58"/>
      <c r="EBG14" s="58"/>
      <c r="EBH14" s="58"/>
      <c r="EBI14" s="58"/>
      <c r="EBJ14" s="58"/>
      <c r="EBK14" s="58"/>
      <c r="EBL14" s="58"/>
      <c r="EBM14" s="58"/>
      <c r="EBN14" s="58"/>
      <c r="EBO14" s="58"/>
      <c r="EBP14" s="58"/>
      <c r="EBQ14" s="58"/>
      <c r="EBR14" s="58"/>
      <c r="EBS14" s="58"/>
      <c r="EBT14" s="58"/>
      <c r="EBU14" s="58"/>
      <c r="EBV14" s="58"/>
      <c r="EBW14" s="58"/>
      <c r="EBX14" s="58"/>
      <c r="EBY14" s="58"/>
      <c r="EBZ14" s="58"/>
      <c r="ECA14" s="58"/>
      <c r="ECB14" s="58"/>
      <c r="ECC14" s="58"/>
      <c r="ECD14" s="58"/>
      <c r="ECE14" s="58"/>
      <c r="ECF14" s="58"/>
      <c r="ECG14" s="58"/>
      <c r="ECH14" s="58"/>
      <c r="ECI14" s="58"/>
      <c r="ECJ14" s="58"/>
      <c r="ECK14" s="58"/>
      <c r="ECL14" s="58"/>
      <c r="ECM14" s="58"/>
      <c r="ECN14" s="58"/>
      <c r="ECO14" s="58"/>
      <c r="ECP14" s="58"/>
      <c r="ECQ14" s="58"/>
      <c r="ECR14" s="58"/>
      <c r="ECS14" s="58"/>
      <c r="ECT14" s="58"/>
      <c r="ECU14" s="58"/>
      <c r="ECV14" s="58"/>
      <c r="ECW14" s="58"/>
      <c r="ECX14" s="58"/>
      <c r="ECY14" s="58"/>
      <c r="ECZ14" s="58"/>
      <c r="EDA14" s="58"/>
      <c r="EDB14" s="58"/>
      <c r="EDC14" s="58"/>
      <c r="EDD14" s="58"/>
      <c r="EDE14" s="58"/>
      <c r="EDF14" s="58"/>
      <c r="EDG14" s="58"/>
      <c r="EDH14" s="58"/>
      <c r="EDI14" s="58"/>
      <c r="EDJ14" s="58"/>
      <c r="EDK14" s="58"/>
      <c r="EDL14" s="58"/>
      <c r="EDM14" s="58"/>
      <c r="EDN14" s="58"/>
      <c r="EDO14" s="58"/>
      <c r="EDP14" s="58"/>
      <c r="EDQ14" s="58"/>
      <c r="EDR14" s="58"/>
      <c r="EDS14" s="58"/>
      <c r="EDT14" s="58"/>
      <c r="EDU14" s="58"/>
      <c r="EDV14" s="58"/>
      <c r="EDW14" s="58"/>
      <c r="EDX14" s="58"/>
      <c r="EDY14" s="58"/>
      <c r="EDZ14" s="58"/>
      <c r="EEA14" s="58"/>
      <c r="EEB14" s="58"/>
      <c r="EEC14" s="58"/>
      <c r="EED14" s="58"/>
      <c r="EEE14" s="58"/>
      <c r="EEF14" s="58"/>
      <c r="EEG14" s="58"/>
      <c r="EEH14" s="58"/>
      <c r="EEI14" s="58"/>
      <c r="EEJ14" s="58"/>
      <c r="EEK14" s="58"/>
      <c r="EEL14" s="58"/>
      <c r="EEM14" s="58"/>
      <c r="EEN14" s="58"/>
      <c r="EEO14" s="58"/>
      <c r="EEP14" s="58"/>
      <c r="EEQ14" s="58"/>
      <c r="EER14" s="58"/>
      <c r="EES14" s="58"/>
      <c r="EET14" s="58"/>
      <c r="EEU14" s="58"/>
      <c r="EEV14" s="58"/>
      <c r="EEW14" s="58"/>
      <c r="EEX14" s="58"/>
      <c r="EEY14" s="58"/>
      <c r="EEZ14" s="58"/>
      <c r="EFA14" s="58"/>
      <c r="EFB14" s="58"/>
      <c r="EFC14" s="58"/>
      <c r="EFD14" s="58"/>
      <c r="EFE14" s="58"/>
      <c r="EFF14" s="58"/>
      <c r="EFG14" s="58"/>
      <c r="EFH14" s="58"/>
      <c r="EFI14" s="58"/>
      <c r="EFJ14" s="58"/>
      <c r="EFK14" s="58"/>
      <c r="EFL14" s="58"/>
      <c r="EFM14" s="58"/>
      <c r="EFN14" s="58"/>
      <c r="EFO14" s="58"/>
      <c r="EFP14" s="58"/>
      <c r="EFQ14" s="58"/>
      <c r="EFR14" s="58"/>
      <c r="EFS14" s="58"/>
      <c r="EFT14" s="58"/>
      <c r="EFU14" s="58"/>
      <c r="EFV14" s="58"/>
      <c r="EFW14" s="58"/>
      <c r="EFX14" s="58"/>
      <c r="EFY14" s="58"/>
      <c r="EFZ14" s="58"/>
      <c r="EGA14" s="58"/>
      <c r="EGB14" s="58"/>
      <c r="EGC14" s="58"/>
      <c r="EGD14" s="58"/>
      <c r="EGE14" s="58"/>
      <c r="EGF14" s="58"/>
      <c r="EGG14" s="58"/>
      <c r="EGH14" s="58"/>
      <c r="EGI14" s="58"/>
      <c r="EGJ14" s="58"/>
      <c r="EGK14" s="58"/>
      <c r="EGL14" s="58"/>
      <c r="EGM14" s="58"/>
      <c r="EGN14" s="58"/>
      <c r="EGO14" s="58"/>
      <c r="EGP14" s="58"/>
      <c r="EGQ14" s="58"/>
      <c r="EGR14" s="58"/>
      <c r="EGS14" s="58"/>
      <c r="EGT14" s="58"/>
      <c r="EGU14" s="58"/>
      <c r="EGV14" s="58"/>
      <c r="EGW14" s="58"/>
      <c r="EGX14" s="58"/>
      <c r="EGY14" s="58"/>
      <c r="EGZ14" s="58"/>
      <c r="EHA14" s="58"/>
      <c r="EHB14" s="58"/>
      <c r="EHC14" s="58"/>
      <c r="EHD14" s="58"/>
      <c r="EHE14" s="58"/>
      <c r="EHF14" s="58"/>
      <c r="EHG14" s="58"/>
      <c r="EHH14" s="58"/>
      <c r="EHI14" s="58"/>
      <c r="EHJ14" s="58"/>
      <c r="EHK14" s="58"/>
      <c r="EHL14" s="58"/>
      <c r="EHM14" s="58"/>
      <c r="EHN14" s="58"/>
      <c r="EHO14" s="58"/>
      <c r="EHP14" s="58"/>
      <c r="EHQ14" s="58"/>
      <c r="EHR14" s="58"/>
      <c r="EHS14" s="58"/>
      <c r="EHT14" s="58"/>
      <c r="EHU14" s="58"/>
      <c r="EHV14" s="58"/>
      <c r="EHW14" s="58"/>
      <c r="EHX14" s="58"/>
      <c r="EHY14" s="58"/>
      <c r="EHZ14" s="58"/>
      <c r="EIA14" s="58"/>
      <c r="EIB14" s="58"/>
      <c r="EIC14" s="58"/>
      <c r="EID14" s="58"/>
      <c r="EIE14" s="58"/>
      <c r="EIF14" s="58"/>
      <c r="EIG14" s="58"/>
      <c r="EIH14" s="58"/>
      <c r="EII14" s="58"/>
      <c r="EIJ14" s="58"/>
      <c r="EIK14" s="58"/>
      <c r="EIL14" s="58"/>
      <c r="EIM14" s="58"/>
      <c r="EIN14" s="58"/>
      <c r="EIO14" s="58"/>
      <c r="EIP14" s="58"/>
      <c r="EIQ14" s="58"/>
      <c r="EIR14" s="58"/>
      <c r="EIS14" s="58"/>
      <c r="EIT14" s="58"/>
      <c r="EIU14" s="58"/>
      <c r="EIV14" s="58"/>
      <c r="EIW14" s="58"/>
      <c r="EIX14" s="58"/>
      <c r="EIY14" s="58"/>
      <c r="EIZ14" s="58"/>
      <c r="EJA14" s="58"/>
      <c r="EJB14" s="58"/>
      <c r="EJC14" s="58"/>
      <c r="EJD14" s="58"/>
      <c r="EJE14" s="58"/>
      <c r="EJF14" s="58"/>
      <c r="EJG14" s="58"/>
      <c r="EJH14" s="58"/>
      <c r="EJI14" s="58"/>
      <c r="EJJ14" s="58"/>
      <c r="EJK14" s="58"/>
      <c r="EJL14" s="58"/>
      <c r="EJM14" s="58"/>
      <c r="EJN14" s="58"/>
      <c r="EJO14" s="58"/>
      <c r="EJP14" s="58"/>
      <c r="EJQ14" s="58"/>
      <c r="EJR14" s="58"/>
      <c r="EJS14" s="58"/>
      <c r="EJT14" s="58"/>
      <c r="EJU14" s="58"/>
      <c r="EJV14" s="58"/>
      <c r="EJW14" s="58"/>
      <c r="EJX14" s="58"/>
      <c r="EJY14" s="58"/>
      <c r="EJZ14" s="58"/>
      <c r="EKA14" s="58"/>
      <c r="EKB14" s="58"/>
      <c r="EKC14" s="58"/>
      <c r="EKD14" s="58"/>
      <c r="EKE14" s="58"/>
      <c r="EKF14" s="58"/>
      <c r="EKG14" s="58"/>
      <c r="EKH14" s="58"/>
      <c r="EKI14" s="58"/>
      <c r="EKJ14" s="58"/>
      <c r="EKK14" s="58"/>
      <c r="EKL14" s="58"/>
      <c r="EKM14" s="58"/>
      <c r="EKN14" s="58"/>
      <c r="EKO14" s="58"/>
      <c r="EKP14" s="58"/>
      <c r="EKQ14" s="58"/>
      <c r="EKR14" s="58"/>
      <c r="EKS14" s="58"/>
      <c r="EKT14" s="58"/>
      <c r="EKU14" s="58"/>
      <c r="EKV14" s="58"/>
      <c r="EKW14" s="58"/>
      <c r="EKX14" s="58"/>
      <c r="EKY14" s="58"/>
      <c r="EKZ14" s="58"/>
      <c r="ELA14" s="58"/>
      <c r="ELB14" s="58"/>
      <c r="ELC14" s="58"/>
      <c r="ELD14" s="58"/>
      <c r="ELE14" s="58"/>
      <c r="ELF14" s="58"/>
      <c r="ELG14" s="58"/>
      <c r="ELH14" s="58"/>
      <c r="ELI14" s="58"/>
      <c r="ELJ14" s="58"/>
      <c r="ELK14" s="58"/>
      <c r="ELL14" s="58"/>
      <c r="ELM14" s="58"/>
      <c r="ELN14" s="58"/>
      <c r="ELO14" s="58"/>
      <c r="ELP14" s="58"/>
      <c r="ELQ14" s="58"/>
      <c r="ELR14" s="58"/>
      <c r="ELS14" s="58"/>
      <c r="ELT14" s="58"/>
      <c r="ELU14" s="58"/>
      <c r="ELV14" s="58"/>
      <c r="ELW14" s="58"/>
      <c r="ELX14" s="58"/>
      <c r="ELY14" s="58"/>
      <c r="ELZ14" s="58"/>
      <c r="EMA14" s="58"/>
      <c r="EMB14" s="58"/>
      <c r="EMC14" s="58"/>
      <c r="EMD14" s="58"/>
      <c r="EME14" s="58"/>
      <c r="EMF14" s="58"/>
      <c r="EMG14" s="58"/>
      <c r="EMH14" s="58"/>
      <c r="EMI14" s="58"/>
      <c r="EMJ14" s="58"/>
      <c r="EMK14" s="58"/>
      <c r="EML14" s="58"/>
      <c r="EMM14" s="58"/>
      <c r="EMN14" s="58"/>
      <c r="EMO14" s="58"/>
      <c r="EMP14" s="58"/>
      <c r="EMQ14" s="58"/>
      <c r="EMR14" s="58"/>
      <c r="EMS14" s="58"/>
      <c r="EMT14" s="58"/>
      <c r="EMU14" s="58"/>
      <c r="EMV14" s="58"/>
      <c r="EMW14" s="58"/>
      <c r="EMX14" s="58"/>
      <c r="EMY14" s="58"/>
      <c r="EMZ14" s="58"/>
      <c r="ENA14" s="58"/>
      <c r="ENB14" s="58"/>
      <c r="ENC14" s="58"/>
      <c r="END14" s="58"/>
      <c r="ENE14" s="58"/>
      <c r="ENF14" s="58"/>
      <c r="ENG14" s="58"/>
      <c r="ENH14" s="58"/>
      <c r="ENI14" s="58"/>
      <c r="ENJ14" s="58"/>
      <c r="ENK14" s="58"/>
      <c r="ENL14" s="58"/>
      <c r="ENM14" s="58"/>
      <c r="ENN14" s="58"/>
      <c r="ENO14" s="58"/>
      <c r="ENP14" s="58"/>
      <c r="ENQ14" s="58"/>
      <c r="ENR14" s="58"/>
      <c r="ENS14" s="58"/>
      <c r="ENT14" s="58"/>
      <c r="ENU14" s="58"/>
      <c r="ENV14" s="58"/>
      <c r="ENW14" s="58"/>
      <c r="ENX14" s="58"/>
      <c r="ENY14" s="58"/>
      <c r="ENZ14" s="58"/>
      <c r="EOA14" s="58"/>
      <c r="EOB14" s="58"/>
      <c r="EOC14" s="58"/>
      <c r="EOD14" s="58"/>
      <c r="EOE14" s="58"/>
      <c r="EOF14" s="58"/>
      <c r="EOG14" s="58"/>
      <c r="EOH14" s="58"/>
      <c r="EOI14" s="58"/>
      <c r="EOJ14" s="58"/>
      <c r="EOK14" s="58"/>
      <c r="EOL14" s="58"/>
      <c r="EOM14" s="58"/>
      <c r="EON14" s="58"/>
      <c r="EOO14" s="58"/>
      <c r="EOP14" s="58"/>
      <c r="EOQ14" s="58"/>
      <c r="EOR14" s="58"/>
      <c r="EOS14" s="58"/>
      <c r="EOT14" s="58"/>
      <c r="EOU14" s="58"/>
      <c r="EOV14" s="58"/>
      <c r="EOW14" s="58"/>
      <c r="EOX14" s="58"/>
      <c r="EOY14" s="58"/>
      <c r="EOZ14" s="58"/>
      <c r="EPA14" s="58"/>
      <c r="EPB14" s="58"/>
      <c r="EPC14" s="58"/>
      <c r="EPD14" s="58"/>
      <c r="EPE14" s="58"/>
      <c r="EPF14" s="58"/>
      <c r="EPG14" s="58"/>
      <c r="EPH14" s="58"/>
      <c r="EPI14" s="58"/>
      <c r="EPJ14" s="58"/>
      <c r="EPK14" s="58"/>
      <c r="EPL14" s="58"/>
      <c r="EPM14" s="58"/>
      <c r="EPN14" s="58"/>
      <c r="EPO14" s="58"/>
      <c r="EPP14" s="58"/>
      <c r="EPQ14" s="58"/>
      <c r="EPR14" s="58"/>
      <c r="EPS14" s="58"/>
      <c r="EPT14" s="58"/>
      <c r="EPU14" s="58"/>
      <c r="EPV14" s="58"/>
      <c r="EPW14" s="58"/>
      <c r="EPX14" s="58"/>
      <c r="EPY14" s="58"/>
      <c r="EPZ14" s="58"/>
      <c r="EQA14" s="58"/>
      <c r="EQB14" s="58"/>
      <c r="EQC14" s="58"/>
      <c r="EQD14" s="58"/>
      <c r="EQE14" s="58"/>
      <c r="EQF14" s="58"/>
      <c r="EQG14" s="58"/>
      <c r="EQH14" s="58"/>
      <c r="EQI14" s="58"/>
      <c r="EQJ14" s="58"/>
      <c r="EQK14" s="58"/>
      <c r="EQL14" s="58"/>
      <c r="EQM14" s="58"/>
      <c r="EQN14" s="58"/>
      <c r="EQO14" s="58"/>
      <c r="EQP14" s="58"/>
      <c r="EQQ14" s="58"/>
      <c r="EQR14" s="58"/>
      <c r="EQS14" s="58"/>
      <c r="EQT14" s="58"/>
      <c r="EQU14" s="58"/>
      <c r="EQV14" s="58"/>
      <c r="EQW14" s="58"/>
      <c r="EQX14" s="58"/>
      <c r="EQY14" s="58"/>
      <c r="EQZ14" s="58"/>
      <c r="ERA14" s="58"/>
      <c r="ERB14" s="58"/>
      <c r="ERC14" s="58"/>
      <c r="ERD14" s="58"/>
      <c r="ERE14" s="58"/>
      <c r="ERF14" s="58"/>
      <c r="ERG14" s="58"/>
      <c r="ERH14" s="58"/>
      <c r="ERI14" s="58"/>
      <c r="ERJ14" s="58"/>
      <c r="ERK14" s="58"/>
      <c r="ERL14" s="58"/>
      <c r="ERM14" s="58"/>
      <c r="ERN14" s="58"/>
      <c r="ERO14" s="58"/>
      <c r="ERP14" s="58"/>
      <c r="ERQ14" s="58"/>
      <c r="ERR14" s="58"/>
      <c r="ERS14" s="58"/>
      <c r="ERT14" s="58"/>
      <c r="ERU14" s="58"/>
      <c r="ERV14" s="58"/>
      <c r="ERW14" s="58"/>
      <c r="ERX14" s="58"/>
      <c r="ERY14" s="58"/>
      <c r="ERZ14" s="58"/>
      <c r="ESA14" s="58"/>
      <c r="ESB14" s="58"/>
      <c r="ESC14" s="58"/>
      <c r="ESD14" s="58"/>
      <c r="ESE14" s="58"/>
      <c r="ESF14" s="58"/>
      <c r="ESG14" s="58"/>
      <c r="ESH14" s="58"/>
      <c r="ESI14" s="58"/>
      <c r="ESJ14" s="58"/>
      <c r="ESK14" s="58"/>
      <c r="ESL14" s="58"/>
      <c r="ESM14" s="58"/>
      <c r="ESN14" s="58"/>
      <c r="ESO14" s="58"/>
      <c r="ESP14" s="58"/>
      <c r="ESQ14" s="58"/>
      <c r="ESR14" s="58"/>
      <c r="ESS14" s="58"/>
      <c r="EST14" s="58"/>
      <c r="ESU14" s="58"/>
      <c r="ESV14" s="58"/>
      <c r="ESW14" s="58"/>
      <c r="ESX14" s="58"/>
      <c r="ESY14" s="58"/>
      <c r="ESZ14" s="58"/>
      <c r="ETA14" s="58"/>
      <c r="ETB14" s="58"/>
      <c r="ETC14" s="58"/>
      <c r="ETD14" s="58"/>
      <c r="ETE14" s="58"/>
      <c r="ETF14" s="58"/>
      <c r="ETG14" s="58"/>
      <c r="ETH14" s="58"/>
      <c r="ETI14" s="58"/>
      <c r="ETJ14" s="58"/>
      <c r="ETK14" s="58"/>
      <c r="ETL14" s="58"/>
      <c r="ETM14" s="58"/>
      <c r="ETN14" s="58"/>
      <c r="ETO14" s="58"/>
      <c r="ETP14" s="58"/>
      <c r="ETQ14" s="58"/>
      <c r="ETR14" s="58"/>
      <c r="ETS14" s="58"/>
      <c r="ETT14" s="58"/>
      <c r="ETU14" s="58"/>
      <c r="ETV14" s="58"/>
      <c r="ETW14" s="58"/>
      <c r="ETX14" s="58"/>
      <c r="ETY14" s="58"/>
      <c r="ETZ14" s="58"/>
      <c r="EUA14" s="58"/>
      <c r="EUB14" s="58"/>
      <c r="EUC14" s="58"/>
      <c r="EUD14" s="58"/>
      <c r="EUE14" s="58"/>
      <c r="EUF14" s="58"/>
      <c r="EUG14" s="58"/>
      <c r="EUH14" s="58"/>
      <c r="EUI14" s="58"/>
      <c r="EUJ14" s="58"/>
      <c r="EUK14" s="58"/>
      <c r="EUL14" s="58"/>
      <c r="EUM14" s="58"/>
      <c r="EUN14" s="58"/>
      <c r="EUO14" s="58"/>
      <c r="EUP14" s="58"/>
      <c r="EUQ14" s="58"/>
      <c r="EUR14" s="58"/>
      <c r="EUS14" s="58"/>
      <c r="EUT14" s="58"/>
      <c r="EUU14" s="58"/>
      <c r="EUV14" s="58"/>
      <c r="EUW14" s="58"/>
      <c r="EUX14" s="58"/>
      <c r="EUY14" s="58"/>
      <c r="EUZ14" s="58"/>
      <c r="EVA14" s="58"/>
      <c r="EVB14" s="58"/>
      <c r="EVC14" s="58"/>
      <c r="EVD14" s="58"/>
      <c r="EVE14" s="58"/>
      <c r="EVF14" s="58"/>
      <c r="EVG14" s="58"/>
      <c r="EVH14" s="58"/>
      <c r="EVI14" s="58"/>
      <c r="EVJ14" s="58"/>
      <c r="EVK14" s="58"/>
      <c r="EVL14" s="58"/>
      <c r="EVM14" s="58"/>
      <c r="EVN14" s="58"/>
      <c r="EVO14" s="58"/>
      <c r="EVP14" s="58"/>
      <c r="EVQ14" s="58"/>
      <c r="EVR14" s="58"/>
      <c r="EVS14" s="58"/>
      <c r="EVT14" s="58"/>
      <c r="EVU14" s="58"/>
      <c r="EVV14" s="58"/>
      <c r="EVW14" s="58"/>
      <c r="EVX14" s="58"/>
      <c r="EVY14" s="58"/>
      <c r="EVZ14" s="58"/>
      <c r="EWA14" s="58"/>
      <c r="EWB14" s="58"/>
      <c r="EWC14" s="58"/>
      <c r="EWD14" s="58"/>
      <c r="EWE14" s="58"/>
      <c r="EWF14" s="58"/>
      <c r="EWG14" s="58"/>
      <c r="EWH14" s="58"/>
      <c r="EWI14" s="58"/>
      <c r="EWJ14" s="58"/>
      <c r="EWK14" s="58"/>
      <c r="EWL14" s="58"/>
      <c r="EWM14" s="58"/>
      <c r="EWN14" s="58"/>
      <c r="EWO14" s="58"/>
      <c r="EWP14" s="58"/>
      <c r="EWQ14" s="58"/>
      <c r="EWR14" s="58"/>
      <c r="EWS14" s="58"/>
      <c r="EWT14" s="58"/>
      <c r="EWU14" s="58"/>
      <c r="EWV14" s="58"/>
      <c r="EWW14" s="58"/>
      <c r="EWX14" s="58"/>
      <c r="EWY14" s="58"/>
      <c r="EWZ14" s="58"/>
      <c r="EXA14" s="58"/>
      <c r="EXB14" s="58"/>
      <c r="EXC14" s="58"/>
      <c r="EXD14" s="58"/>
      <c r="EXE14" s="58"/>
      <c r="EXF14" s="58"/>
      <c r="EXG14" s="58"/>
      <c r="EXH14" s="58"/>
      <c r="EXI14" s="58"/>
      <c r="EXJ14" s="58"/>
      <c r="EXK14" s="58"/>
      <c r="EXL14" s="58"/>
      <c r="EXM14" s="58"/>
      <c r="EXN14" s="58"/>
      <c r="EXO14" s="58"/>
      <c r="EXP14" s="58"/>
      <c r="EXQ14" s="58"/>
      <c r="EXR14" s="58"/>
      <c r="EXS14" s="58"/>
      <c r="EXT14" s="58"/>
      <c r="EXU14" s="58"/>
      <c r="EXV14" s="58"/>
      <c r="EXW14" s="58"/>
      <c r="EXX14" s="58"/>
      <c r="EXY14" s="58"/>
      <c r="EXZ14" s="58"/>
      <c r="EYA14" s="58"/>
      <c r="EYB14" s="58"/>
      <c r="EYC14" s="58"/>
      <c r="EYD14" s="58"/>
      <c r="EYE14" s="58"/>
      <c r="EYF14" s="58"/>
      <c r="EYG14" s="58"/>
      <c r="EYH14" s="58"/>
      <c r="EYI14" s="58"/>
      <c r="EYJ14" s="58"/>
      <c r="EYK14" s="58"/>
      <c r="EYL14" s="58"/>
      <c r="EYM14" s="58"/>
      <c r="EYN14" s="58"/>
      <c r="EYO14" s="58"/>
      <c r="EYP14" s="58"/>
      <c r="EYQ14" s="58"/>
      <c r="EYR14" s="58"/>
      <c r="EYS14" s="58"/>
      <c r="EYT14" s="58"/>
      <c r="EYU14" s="58"/>
      <c r="EYV14" s="58"/>
      <c r="EYW14" s="58"/>
      <c r="EYX14" s="58"/>
      <c r="EYY14" s="58"/>
      <c r="EYZ14" s="58"/>
      <c r="EZA14" s="58"/>
      <c r="EZB14" s="58"/>
      <c r="EZC14" s="58"/>
      <c r="EZD14" s="58"/>
      <c r="EZE14" s="58"/>
      <c r="EZF14" s="58"/>
      <c r="EZG14" s="58"/>
      <c r="EZH14" s="58"/>
      <c r="EZI14" s="58"/>
      <c r="EZJ14" s="58"/>
      <c r="EZK14" s="58"/>
      <c r="EZL14" s="58"/>
      <c r="EZM14" s="58"/>
      <c r="EZN14" s="58"/>
      <c r="EZO14" s="58"/>
      <c r="EZP14" s="58"/>
      <c r="EZQ14" s="58"/>
      <c r="EZR14" s="58"/>
      <c r="EZS14" s="58"/>
      <c r="EZT14" s="58"/>
      <c r="EZU14" s="58"/>
      <c r="EZV14" s="58"/>
      <c r="EZW14" s="58"/>
      <c r="EZX14" s="58"/>
      <c r="EZY14" s="58"/>
      <c r="EZZ14" s="58"/>
      <c r="FAA14" s="58"/>
      <c r="FAB14" s="58"/>
      <c r="FAC14" s="58"/>
      <c r="FAD14" s="58"/>
      <c r="FAE14" s="58"/>
      <c r="FAF14" s="58"/>
      <c r="FAG14" s="58"/>
      <c r="FAH14" s="58"/>
      <c r="FAI14" s="58"/>
      <c r="FAJ14" s="58"/>
      <c r="FAK14" s="58"/>
      <c r="FAL14" s="58"/>
      <c r="FAM14" s="58"/>
      <c r="FAN14" s="58"/>
      <c r="FAO14" s="58"/>
      <c r="FAP14" s="58"/>
      <c r="FAQ14" s="58"/>
      <c r="FAR14" s="58"/>
      <c r="FAS14" s="58"/>
      <c r="FAT14" s="58"/>
      <c r="FAU14" s="58"/>
      <c r="FAV14" s="58"/>
      <c r="FAW14" s="58"/>
      <c r="FAX14" s="58"/>
      <c r="FAY14" s="58"/>
      <c r="FAZ14" s="58"/>
      <c r="FBA14" s="58"/>
      <c r="FBB14" s="58"/>
      <c r="FBC14" s="58"/>
      <c r="FBD14" s="58"/>
      <c r="FBE14" s="58"/>
      <c r="FBF14" s="58"/>
      <c r="FBG14" s="58"/>
      <c r="FBH14" s="58"/>
      <c r="FBI14" s="58"/>
      <c r="FBJ14" s="58"/>
      <c r="FBK14" s="58"/>
      <c r="FBL14" s="58"/>
      <c r="FBM14" s="58"/>
      <c r="FBN14" s="58"/>
      <c r="FBO14" s="58"/>
      <c r="FBP14" s="58"/>
      <c r="FBQ14" s="58"/>
      <c r="FBR14" s="58"/>
      <c r="FBS14" s="58"/>
      <c r="FBT14" s="58"/>
      <c r="FBU14" s="58"/>
      <c r="FBV14" s="58"/>
      <c r="FBW14" s="58"/>
      <c r="FBX14" s="58"/>
      <c r="FBY14" s="58"/>
      <c r="FBZ14" s="58"/>
      <c r="FCA14" s="58"/>
      <c r="FCB14" s="58"/>
      <c r="FCC14" s="58"/>
      <c r="FCD14" s="58"/>
      <c r="FCE14" s="58"/>
      <c r="FCF14" s="58"/>
      <c r="FCG14" s="58"/>
      <c r="FCH14" s="58"/>
      <c r="FCI14" s="58"/>
      <c r="FCJ14" s="58"/>
      <c r="FCK14" s="58"/>
      <c r="FCL14" s="58"/>
      <c r="FCM14" s="58"/>
      <c r="FCN14" s="58"/>
      <c r="FCO14" s="58"/>
      <c r="FCP14" s="58"/>
      <c r="FCQ14" s="58"/>
      <c r="FCR14" s="58"/>
      <c r="FCS14" s="58"/>
      <c r="FCT14" s="58"/>
      <c r="FCU14" s="58"/>
      <c r="FCV14" s="58"/>
      <c r="FCW14" s="58"/>
      <c r="FCX14" s="58"/>
      <c r="FCY14" s="58"/>
      <c r="FCZ14" s="58"/>
      <c r="FDA14" s="58"/>
      <c r="FDB14" s="58"/>
      <c r="FDC14" s="58"/>
      <c r="FDD14" s="58"/>
      <c r="FDE14" s="58"/>
      <c r="FDF14" s="58"/>
      <c r="FDG14" s="58"/>
      <c r="FDH14" s="58"/>
      <c r="FDI14" s="58"/>
      <c r="FDJ14" s="58"/>
      <c r="FDK14" s="58"/>
      <c r="FDL14" s="58"/>
      <c r="FDM14" s="58"/>
      <c r="FDN14" s="58"/>
      <c r="FDO14" s="58"/>
      <c r="FDP14" s="58"/>
      <c r="FDQ14" s="58"/>
      <c r="FDR14" s="58"/>
      <c r="FDS14" s="58"/>
      <c r="FDT14" s="58"/>
      <c r="FDU14" s="58"/>
      <c r="FDV14" s="58"/>
      <c r="FDW14" s="58"/>
      <c r="FDX14" s="58"/>
      <c r="FDY14" s="58"/>
      <c r="FDZ14" s="58"/>
      <c r="FEA14" s="58"/>
      <c r="FEB14" s="58"/>
      <c r="FEC14" s="58"/>
      <c r="FED14" s="58"/>
      <c r="FEE14" s="58"/>
      <c r="FEF14" s="58"/>
      <c r="FEG14" s="58"/>
      <c r="FEH14" s="58"/>
      <c r="FEI14" s="58"/>
      <c r="FEJ14" s="58"/>
      <c r="FEK14" s="58"/>
      <c r="FEL14" s="58"/>
      <c r="FEM14" s="58"/>
      <c r="FEN14" s="58"/>
      <c r="FEO14" s="58"/>
      <c r="FEP14" s="58"/>
      <c r="FEQ14" s="58"/>
      <c r="FER14" s="58"/>
      <c r="FES14" s="58"/>
      <c r="FET14" s="58"/>
      <c r="FEU14" s="58"/>
      <c r="FEV14" s="58"/>
      <c r="FEW14" s="58"/>
      <c r="FEX14" s="58"/>
      <c r="FEY14" s="58"/>
      <c r="FEZ14" s="58"/>
      <c r="FFA14" s="58"/>
      <c r="FFB14" s="58"/>
      <c r="FFC14" s="58"/>
      <c r="FFD14" s="58"/>
      <c r="FFE14" s="58"/>
      <c r="FFF14" s="58"/>
      <c r="FFG14" s="58"/>
      <c r="FFH14" s="58"/>
      <c r="FFI14" s="58"/>
      <c r="FFJ14" s="58"/>
      <c r="FFK14" s="58"/>
      <c r="FFL14" s="58"/>
      <c r="FFM14" s="58"/>
      <c r="FFN14" s="58"/>
      <c r="FFO14" s="58"/>
      <c r="FFP14" s="58"/>
      <c r="FFQ14" s="58"/>
      <c r="FFR14" s="58"/>
      <c r="FFS14" s="58"/>
      <c r="FFT14" s="58"/>
      <c r="FFU14" s="58"/>
      <c r="FFV14" s="58"/>
      <c r="FFW14" s="58"/>
      <c r="FFX14" s="58"/>
      <c r="FFY14" s="58"/>
      <c r="FFZ14" s="58"/>
      <c r="FGA14" s="58"/>
      <c r="FGB14" s="58"/>
      <c r="FGC14" s="58"/>
      <c r="FGD14" s="58"/>
      <c r="FGE14" s="58"/>
      <c r="FGF14" s="58"/>
      <c r="FGG14" s="58"/>
      <c r="FGH14" s="58"/>
      <c r="FGI14" s="58"/>
      <c r="FGJ14" s="58"/>
      <c r="FGK14" s="58"/>
      <c r="FGL14" s="58"/>
      <c r="FGM14" s="58"/>
      <c r="FGN14" s="58"/>
      <c r="FGO14" s="58"/>
      <c r="FGP14" s="58"/>
      <c r="FGQ14" s="58"/>
      <c r="FGR14" s="58"/>
      <c r="FGS14" s="58"/>
      <c r="FGT14" s="58"/>
      <c r="FGU14" s="58"/>
      <c r="FGV14" s="58"/>
      <c r="FGW14" s="58"/>
      <c r="FGX14" s="58"/>
      <c r="FGY14" s="58"/>
      <c r="FGZ14" s="58"/>
      <c r="FHA14" s="58"/>
      <c r="FHB14" s="58"/>
      <c r="FHC14" s="58"/>
      <c r="FHD14" s="58"/>
      <c r="FHE14" s="58"/>
      <c r="FHF14" s="58"/>
      <c r="FHG14" s="58"/>
      <c r="FHH14" s="58"/>
      <c r="FHI14" s="58"/>
      <c r="FHJ14" s="58"/>
      <c r="FHK14" s="58"/>
      <c r="FHL14" s="58"/>
      <c r="FHM14" s="58"/>
      <c r="FHN14" s="58"/>
      <c r="FHO14" s="58"/>
      <c r="FHP14" s="58"/>
      <c r="FHQ14" s="58"/>
      <c r="FHR14" s="58"/>
      <c r="FHS14" s="58"/>
      <c r="FHT14" s="58"/>
      <c r="FHU14" s="58"/>
      <c r="FHV14" s="58"/>
      <c r="FHW14" s="58"/>
      <c r="FHX14" s="58"/>
      <c r="FHY14" s="58"/>
      <c r="FHZ14" s="58"/>
      <c r="FIA14" s="58"/>
      <c r="FIB14" s="58"/>
      <c r="FIC14" s="58"/>
      <c r="FID14" s="58"/>
      <c r="FIE14" s="58"/>
      <c r="FIF14" s="58"/>
      <c r="FIG14" s="58"/>
      <c r="FIH14" s="58"/>
      <c r="FII14" s="58"/>
      <c r="FIJ14" s="58"/>
      <c r="FIK14" s="58"/>
      <c r="FIL14" s="58"/>
      <c r="FIM14" s="58"/>
      <c r="FIN14" s="58"/>
      <c r="FIO14" s="58"/>
      <c r="FIP14" s="58"/>
      <c r="FIQ14" s="58"/>
      <c r="FIR14" s="58"/>
      <c r="FIS14" s="58"/>
      <c r="FIT14" s="58"/>
      <c r="FIU14" s="58"/>
      <c r="FIV14" s="58"/>
      <c r="FIW14" s="58"/>
      <c r="FIX14" s="58"/>
      <c r="FIY14" s="58"/>
      <c r="FIZ14" s="58"/>
      <c r="FJA14" s="58"/>
      <c r="FJB14" s="58"/>
      <c r="FJC14" s="58"/>
      <c r="FJD14" s="58"/>
      <c r="FJE14" s="58"/>
      <c r="FJF14" s="58"/>
      <c r="FJG14" s="58"/>
      <c r="FJH14" s="58"/>
      <c r="FJI14" s="58"/>
      <c r="FJJ14" s="58"/>
      <c r="FJK14" s="58"/>
      <c r="FJL14" s="58"/>
      <c r="FJM14" s="58"/>
      <c r="FJN14" s="58"/>
      <c r="FJO14" s="58"/>
      <c r="FJP14" s="58"/>
      <c r="FJQ14" s="58"/>
      <c r="FJR14" s="58"/>
      <c r="FJS14" s="58"/>
      <c r="FJT14" s="58"/>
      <c r="FJU14" s="58"/>
      <c r="FJV14" s="58"/>
      <c r="FJW14" s="58"/>
      <c r="FJX14" s="58"/>
      <c r="FJY14" s="58"/>
      <c r="FJZ14" s="58"/>
      <c r="FKA14" s="58"/>
      <c r="FKB14" s="58"/>
      <c r="FKC14" s="58"/>
      <c r="FKD14" s="58"/>
      <c r="FKE14" s="58"/>
      <c r="FKF14" s="58"/>
      <c r="FKG14" s="58"/>
      <c r="FKH14" s="58"/>
      <c r="FKI14" s="58"/>
      <c r="FKJ14" s="58"/>
      <c r="FKK14" s="58"/>
      <c r="FKL14" s="58"/>
      <c r="FKM14" s="58"/>
      <c r="FKN14" s="58"/>
      <c r="FKO14" s="58"/>
      <c r="FKP14" s="58"/>
      <c r="FKQ14" s="58"/>
      <c r="FKR14" s="58"/>
      <c r="FKS14" s="58"/>
      <c r="FKT14" s="58"/>
      <c r="FKU14" s="58"/>
      <c r="FKV14" s="58"/>
      <c r="FKW14" s="58"/>
      <c r="FKX14" s="58"/>
      <c r="FKY14" s="58"/>
      <c r="FKZ14" s="58"/>
      <c r="FLA14" s="58"/>
      <c r="FLB14" s="58"/>
      <c r="FLC14" s="58"/>
      <c r="FLD14" s="58"/>
      <c r="FLE14" s="58"/>
      <c r="FLF14" s="58"/>
      <c r="FLG14" s="58"/>
      <c r="FLH14" s="58"/>
      <c r="FLI14" s="58"/>
      <c r="FLJ14" s="58"/>
      <c r="FLK14" s="58"/>
      <c r="FLL14" s="58"/>
      <c r="FLM14" s="58"/>
      <c r="FLN14" s="58"/>
      <c r="FLO14" s="58"/>
      <c r="FLP14" s="58"/>
      <c r="FLQ14" s="58"/>
      <c r="FLR14" s="58"/>
      <c r="FLS14" s="58"/>
      <c r="FLT14" s="58"/>
      <c r="FLU14" s="58"/>
      <c r="FLV14" s="58"/>
      <c r="FLW14" s="58"/>
      <c r="FLX14" s="58"/>
      <c r="FLY14" s="58"/>
      <c r="FLZ14" s="58"/>
      <c r="FMA14" s="58"/>
      <c r="FMB14" s="58"/>
      <c r="FMC14" s="58"/>
      <c r="FMD14" s="58"/>
      <c r="FME14" s="58"/>
      <c r="FMF14" s="58"/>
      <c r="FMG14" s="58"/>
      <c r="FMH14" s="58"/>
      <c r="FMI14" s="58"/>
      <c r="FMJ14" s="58"/>
      <c r="FMK14" s="58"/>
      <c r="FML14" s="58"/>
      <c r="FMM14" s="58"/>
      <c r="FMN14" s="58"/>
      <c r="FMO14" s="58"/>
      <c r="FMP14" s="58"/>
      <c r="FMQ14" s="58"/>
      <c r="FMR14" s="58"/>
      <c r="FMS14" s="58"/>
      <c r="FMT14" s="58"/>
      <c r="FMU14" s="58"/>
      <c r="FMV14" s="58"/>
      <c r="FMW14" s="58"/>
      <c r="FMX14" s="58"/>
      <c r="FMY14" s="58"/>
      <c r="FMZ14" s="58"/>
      <c r="FNA14" s="58"/>
      <c r="FNB14" s="58"/>
      <c r="FNC14" s="58"/>
      <c r="FND14" s="58"/>
      <c r="FNE14" s="58"/>
      <c r="FNF14" s="58"/>
      <c r="FNG14" s="58"/>
      <c r="FNH14" s="58"/>
      <c r="FNI14" s="58"/>
      <c r="FNJ14" s="58"/>
      <c r="FNK14" s="58"/>
      <c r="FNL14" s="58"/>
      <c r="FNM14" s="58"/>
      <c r="FNN14" s="58"/>
      <c r="FNO14" s="58"/>
      <c r="FNP14" s="58"/>
      <c r="FNQ14" s="58"/>
      <c r="FNR14" s="58"/>
      <c r="FNS14" s="58"/>
      <c r="FNT14" s="58"/>
      <c r="FNU14" s="58"/>
      <c r="FNV14" s="58"/>
      <c r="FNW14" s="58"/>
      <c r="FNX14" s="58"/>
      <c r="FNY14" s="58"/>
      <c r="FNZ14" s="58"/>
      <c r="FOA14" s="58"/>
      <c r="FOB14" s="58"/>
      <c r="FOC14" s="58"/>
      <c r="FOD14" s="58"/>
      <c r="FOE14" s="58"/>
      <c r="FOF14" s="58"/>
      <c r="FOG14" s="58"/>
      <c r="FOH14" s="58"/>
      <c r="FOI14" s="58"/>
      <c r="FOJ14" s="58"/>
      <c r="FOK14" s="58"/>
      <c r="FOL14" s="58"/>
      <c r="FOM14" s="58"/>
      <c r="FON14" s="58"/>
      <c r="FOO14" s="58"/>
      <c r="FOP14" s="58"/>
      <c r="FOQ14" s="58"/>
      <c r="FOR14" s="58"/>
      <c r="FOS14" s="58"/>
      <c r="FOT14" s="58"/>
      <c r="FOU14" s="58"/>
      <c r="FOV14" s="58"/>
      <c r="FOW14" s="58"/>
      <c r="FOX14" s="58"/>
      <c r="FOY14" s="58"/>
      <c r="FOZ14" s="58"/>
      <c r="FPA14" s="58"/>
      <c r="FPB14" s="58"/>
      <c r="FPC14" s="58"/>
      <c r="FPD14" s="58"/>
      <c r="FPE14" s="58"/>
      <c r="FPF14" s="58"/>
      <c r="FPG14" s="58"/>
      <c r="FPH14" s="58"/>
      <c r="FPI14" s="58"/>
      <c r="FPJ14" s="58"/>
      <c r="FPK14" s="58"/>
      <c r="FPL14" s="58"/>
      <c r="FPM14" s="58"/>
      <c r="FPN14" s="58"/>
      <c r="FPO14" s="58"/>
      <c r="FPP14" s="58"/>
      <c r="FPQ14" s="58"/>
      <c r="FPR14" s="58"/>
      <c r="FPS14" s="58"/>
      <c r="FPT14" s="58"/>
      <c r="FPU14" s="58"/>
      <c r="FPV14" s="58"/>
      <c r="FPW14" s="58"/>
      <c r="FPX14" s="58"/>
      <c r="FPY14" s="58"/>
      <c r="FPZ14" s="58"/>
      <c r="FQA14" s="58"/>
      <c r="FQB14" s="58"/>
      <c r="FQC14" s="58"/>
      <c r="FQD14" s="58"/>
      <c r="FQE14" s="58"/>
      <c r="FQF14" s="58"/>
      <c r="FQG14" s="58"/>
      <c r="FQH14" s="58"/>
      <c r="FQI14" s="58"/>
      <c r="FQJ14" s="58"/>
      <c r="FQK14" s="58"/>
      <c r="FQL14" s="58"/>
      <c r="FQM14" s="58"/>
      <c r="FQN14" s="58"/>
      <c r="FQO14" s="58"/>
      <c r="FQP14" s="58"/>
      <c r="FQQ14" s="58"/>
      <c r="FQR14" s="58"/>
      <c r="FQS14" s="58"/>
      <c r="FQT14" s="58"/>
      <c r="FQU14" s="58"/>
      <c r="FQV14" s="58"/>
      <c r="FQW14" s="58"/>
      <c r="FQX14" s="58"/>
      <c r="FQY14" s="58"/>
      <c r="FQZ14" s="58"/>
      <c r="FRA14" s="58"/>
      <c r="FRB14" s="58"/>
      <c r="FRC14" s="58"/>
      <c r="FRD14" s="58"/>
      <c r="FRE14" s="58"/>
      <c r="FRF14" s="58"/>
      <c r="FRG14" s="58"/>
      <c r="FRH14" s="58"/>
      <c r="FRI14" s="58"/>
      <c r="FRJ14" s="58"/>
      <c r="FRK14" s="58"/>
      <c r="FRL14" s="58"/>
      <c r="FRM14" s="58"/>
      <c r="FRN14" s="58"/>
      <c r="FRO14" s="58"/>
      <c r="FRP14" s="58"/>
      <c r="FRQ14" s="58"/>
      <c r="FRR14" s="58"/>
      <c r="FRS14" s="58"/>
      <c r="FRT14" s="58"/>
      <c r="FRU14" s="58"/>
      <c r="FRV14" s="58"/>
      <c r="FRW14" s="58"/>
      <c r="FRX14" s="58"/>
      <c r="FRY14" s="58"/>
      <c r="FRZ14" s="58"/>
      <c r="FSA14" s="58"/>
      <c r="FSB14" s="58"/>
      <c r="FSC14" s="58"/>
      <c r="FSD14" s="58"/>
      <c r="FSE14" s="58"/>
      <c r="FSF14" s="58"/>
      <c r="FSG14" s="58"/>
      <c r="FSH14" s="58"/>
      <c r="FSI14" s="58"/>
      <c r="FSJ14" s="58"/>
      <c r="FSK14" s="58"/>
      <c r="FSL14" s="58"/>
      <c r="FSM14" s="58"/>
      <c r="FSN14" s="58"/>
      <c r="FSO14" s="58"/>
      <c r="FSP14" s="58"/>
      <c r="FSQ14" s="58"/>
      <c r="FSR14" s="58"/>
      <c r="FSS14" s="58"/>
      <c r="FST14" s="58"/>
      <c r="FSU14" s="58"/>
      <c r="FSV14" s="58"/>
      <c r="FSW14" s="58"/>
      <c r="FSX14" s="58"/>
      <c r="FSY14" s="58"/>
      <c r="FSZ14" s="58"/>
      <c r="FTA14" s="58"/>
      <c r="FTB14" s="58"/>
      <c r="FTC14" s="58"/>
      <c r="FTD14" s="58"/>
      <c r="FTE14" s="58"/>
      <c r="FTF14" s="58"/>
      <c r="FTG14" s="58"/>
      <c r="FTH14" s="58"/>
      <c r="FTI14" s="58"/>
      <c r="FTJ14" s="58"/>
      <c r="FTK14" s="58"/>
      <c r="FTL14" s="58"/>
      <c r="FTM14" s="58"/>
      <c r="FTN14" s="58"/>
      <c r="FTO14" s="58"/>
      <c r="FTP14" s="58"/>
      <c r="FTQ14" s="58"/>
      <c r="FTR14" s="58"/>
      <c r="FTS14" s="58"/>
      <c r="FTT14" s="58"/>
      <c r="FTU14" s="58"/>
      <c r="FTV14" s="58"/>
      <c r="FTW14" s="58"/>
      <c r="FTX14" s="58"/>
      <c r="FTY14" s="58"/>
      <c r="FTZ14" s="58"/>
      <c r="FUA14" s="58"/>
      <c r="FUB14" s="58"/>
      <c r="FUC14" s="58"/>
      <c r="FUD14" s="58"/>
      <c r="FUE14" s="58"/>
      <c r="FUF14" s="58"/>
      <c r="FUG14" s="58"/>
      <c r="FUH14" s="58"/>
      <c r="FUI14" s="58"/>
      <c r="FUJ14" s="58"/>
      <c r="FUK14" s="58"/>
      <c r="FUL14" s="58"/>
      <c r="FUM14" s="58"/>
      <c r="FUN14" s="58"/>
      <c r="FUO14" s="58"/>
      <c r="FUP14" s="58"/>
      <c r="FUQ14" s="58"/>
      <c r="FUR14" s="58"/>
      <c r="FUS14" s="58"/>
      <c r="FUT14" s="58"/>
      <c r="FUU14" s="58"/>
      <c r="FUV14" s="58"/>
      <c r="FUW14" s="58"/>
      <c r="FUX14" s="58"/>
      <c r="FUY14" s="58"/>
      <c r="FUZ14" s="58"/>
      <c r="FVA14" s="58"/>
      <c r="FVB14" s="58"/>
      <c r="FVC14" s="58"/>
      <c r="FVD14" s="58"/>
      <c r="FVE14" s="58"/>
      <c r="FVF14" s="58"/>
      <c r="FVG14" s="58"/>
      <c r="FVH14" s="58"/>
      <c r="FVI14" s="58"/>
      <c r="FVJ14" s="58"/>
      <c r="FVK14" s="58"/>
      <c r="FVL14" s="58"/>
      <c r="FVM14" s="58"/>
      <c r="FVN14" s="58"/>
      <c r="FVO14" s="58"/>
      <c r="FVP14" s="58"/>
      <c r="FVQ14" s="58"/>
      <c r="FVR14" s="58"/>
      <c r="FVS14" s="58"/>
      <c r="FVT14" s="58"/>
      <c r="FVU14" s="58"/>
      <c r="FVV14" s="58"/>
      <c r="FVW14" s="58"/>
      <c r="FVX14" s="58"/>
      <c r="FVY14" s="58"/>
      <c r="FVZ14" s="58"/>
      <c r="FWA14" s="58"/>
      <c r="FWB14" s="58"/>
      <c r="FWC14" s="58"/>
      <c r="FWD14" s="58"/>
      <c r="FWE14" s="58"/>
      <c r="FWF14" s="58"/>
      <c r="FWG14" s="58"/>
      <c r="FWH14" s="58"/>
      <c r="FWI14" s="58"/>
      <c r="FWJ14" s="58"/>
      <c r="FWK14" s="58"/>
      <c r="FWL14" s="58"/>
      <c r="FWM14" s="58"/>
      <c r="FWN14" s="58"/>
      <c r="FWO14" s="58"/>
      <c r="FWP14" s="58"/>
      <c r="FWQ14" s="58"/>
      <c r="FWR14" s="58"/>
      <c r="FWS14" s="58"/>
      <c r="FWT14" s="58"/>
      <c r="FWU14" s="58"/>
      <c r="FWV14" s="58"/>
      <c r="FWW14" s="58"/>
      <c r="FWX14" s="58"/>
      <c r="FWY14" s="58"/>
      <c r="FWZ14" s="58"/>
      <c r="FXA14" s="58"/>
      <c r="FXB14" s="58"/>
      <c r="FXC14" s="58"/>
      <c r="FXD14" s="58"/>
      <c r="FXE14" s="58"/>
      <c r="FXF14" s="58"/>
      <c r="FXG14" s="58"/>
      <c r="FXH14" s="58"/>
      <c r="FXI14" s="58"/>
      <c r="FXJ14" s="58"/>
      <c r="FXK14" s="58"/>
      <c r="FXL14" s="58"/>
      <c r="FXM14" s="58"/>
      <c r="FXN14" s="58"/>
      <c r="FXO14" s="58"/>
      <c r="FXP14" s="58"/>
      <c r="FXQ14" s="58"/>
      <c r="FXR14" s="58"/>
      <c r="FXS14" s="58"/>
      <c r="FXT14" s="58"/>
      <c r="FXU14" s="58"/>
      <c r="FXV14" s="58"/>
      <c r="FXW14" s="58"/>
      <c r="FXX14" s="58"/>
      <c r="FXY14" s="58"/>
      <c r="FXZ14" s="58"/>
      <c r="FYA14" s="58"/>
      <c r="FYB14" s="58"/>
      <c r="FYC14" s="58"/>
      <c r="FYD14" s="58"/>
      <c r="FYE14" s="58"/>
      <c r="FYF14" s="58"/>
      <c r="FYG14" s="58"/>
      <c r="FYH14" s="58"/>
      <c r="FYI14" s="58"/>
      <c r="FYJ14" s="58"/>
      <c r="FYK14" s="58"/>
      <c r="FYL14" s="58"/>
      <c r="FYM14" s="58"/>
      <c r="FYN14" s="58"/>
      <c r="FYO14" s="58"/>
      <c r="FYP14" s="58"/>
      <c r="FYQ14" s="58"/>
      <c r="FYR14" s="58"/>
      <c r="FYS14" s="58"/>
      <c r="FYT14" s="58"/>
      <c r="FYU14" s="58"/>
      <c r="FYV14" s="58"/>
      <c r="FYW14" s="58"/>
      <c r="FYX14" s="58"/>
      <c r="FYY14" s="58"/>
      <c r="FYZ14" s="58"/>
      <c r="FZA14" s="58"/>
      <c r="FZB14" s="58"/>
      <c r="FZC14" s="58"/>
      <c r="FZD14" s="58"/>
      <c r="FZE14" s="58"/>
      <c r="FZF14" s="58"/>
      <c r="FZG14" s="58"/>
      <c r="FZH14" s="58"/>
      <c r="FZI14" s="58"/>
      <c r="FZJ14" s="58"/>
      <c r="FZK14" s="58"/>
      <c r="FZL14" s="58"/>
      <c r="FZM14" s="58"/>
      <c r="FZN14" s="58"/>
      <c r="FZO14" s="58"/>
      <c r="FZP14" s="58"/>
      <c r="FZQ14" s="58"/>
      <c r="FZR14" s="58"/>
      <c r="FZS14" s="58"/>
      <c r="FZT14" s="58"/>
      <c r="FZU14" s="58"/>
      <c r="FZV14" s="58"/>
      <c r="FZW14" s="58"/>
      <c r="FZX14" s="58"/>
      <c r="FZY14" s="58"/>
      <c r="FZZ14" s="58"/>
      <c r="GAA14" s="58"/>
      <c r="GAB14" s="58"/>
      <c r="GAC14" s="58"/>
      <c r="GAD14" s="58"/>
      <c r="GAE14" s="58"/>
      <c r="GAF14" s="58"/>
      <c r="GAG14" s="58"/>
      <c r="GAH14" s="58"/>
      <c r="GAI14" s="58"/>
      <c r="GAJ14" s="58"/>
      <c r="GAK14" s="58"/>
      <c r="GAL14" s="58"/>
      <c r="GAM14" s="58"/>
      <c r="GAN14" s="58"/>
      <c r="GAO14" s="58"/>
      <c r="GAP14" s="58"/>
      <c r="GAQ14" s="58"/>
      <c r="GAR14" s="58"/>
      <c r="GAS14" s="58"/>
      <c r="GAT14" s="58"/>
      <c r="GAU14" s="58"/>
      <c r="GAV14" s="58"/>
      <c r="GAW14" s="58"/>
      <c r="GAX14" s="58"/>
      <c r="GAY14" s="58"/>
      <c r="GAZ14" s="58"/>
      <c r="GBA14" s="58"/>
      <c r="GBB14" s="58"/>
      <c r="GBC14" s="58"/>
      <c r="GBD14" s="58"/>
      <c r="GBE14" s="58"/>
      <c r="GBF14" s="58"/>
      <c r="GBG14" s="58"/>
      <c r="GBH14" s="58"/>
      <c r="GBI14" s="58"/>
      <c r="GBJ14" s="58"/>
      <c r="GBK14" s="58"/>
      <c r="GBL14" s="58"/>
      <c r="GBM14" s="58"/>
      <c r="GBN14" s="58"/>
      <c r="GBO14" s="58"/>
      <c r="GBP14" s="58"/>
      <c r="GBQ14" s="58"/>
      <c r="GBR14" s="58"/>
      <c r="GBS14" s="58"/>
      <c r="GBT14" s="58"/>
      <c r="GBU14" s="58"/>
      <c r="GBV14" s="58"/>
      <c r="GBW14" s="58"/>
      <c r="GBX14" s="58"/>
      <c r="GBY14" s="58"/>
      <c r="GBZ14" s="58"/>
      <c r="GCA14" s="58"/>
      <c r="GCB14" s="58"/>
      <c r="GCC14" s="58"/>
      <c r="GCD14" s="58"/>
      <c r="GCE14" s="58"/>
      <c r="GCF14" s="58"/>
      <c r="GCG14" s="58"/>
      <c r="GCH14" s="58"/>
      <c r="GCI14" s="58"/>
      <c r="GCJ14" s="58"/>
      <c r="GCK14" s="58"/>
      <c r="GCL14" s="58"/>
      <c r="GCM14" s="58"/>
      <c r="GCN14" s="58"/>
      <c r="GCO14" s="58"/>
      <c r="GCP14" s="58"/>
      <c r="GCQ14" s="58"/>
      <c r="GCR14" s="58"/>
      <c r="GCS14" s="58"/>
      <c r="GCT14" s="58"/>
      <c r="GCU14" s="58"/>
      <c r="GCV14" s="58"/>
      <c r="GCW14" s="58"/>
      <c r="GCX14" s="58"/>
      <c r="GCY14" s="58"/>
      <c r="GCZ14" s="58"/>
      <c r="GDA14" s="58"/>
      <c r="GDB14" s="58"/>
      <c r="GDC14" s="58"/>
      <c r="GDD14" s="58"/>
      <c r="GDE14" s="58"/>
      <c r="GDF14" s="58"/>
      <c r="GDG14" s="58"/>
      <c r="GDH14" s="58"/>
      <c r="GDI14" s="58"/>
      <c r="GDJ14" s="58"/>
      <c r="GDK14" s="58"/>
      <c r="GDL14" s="58"/>
      <c r="GDM14" s="58"/>
      <c r="GDN14" s="58"/>
      <c r="GDO14" s="58"/>
      <c r="GDP14" s="58"/>
      <c r="GDQ14" s="58"/>
      <c r="GDR14" s="58"/>
      <c r="GDS14" s="58"/>
      <c r="GDT14" s="58"/>
      <c r="GDU14" s="58"/>
      <c r="GDV14" s="58"/>
      <c r="GDW14" s="58"/>
      <c r="GDX14" s="58"/>
      <c r="GDY14" s="58"/>
      <c r="GDZ14" s="58"/>
      <c r="GEA14" s="58"/>
      <c r="GEB14" s="58"/>
      <c r="GEC14" s="58"/>
      <c r="GED14" s="58"/>
      <c r="GEE14" s="58"/>
      <c r="GEF14" s="58"/>
      <c r="GEG14" s="58"/>
      <c r="GEH14" s="58"/>
      <c r="GEI14" s="58"/>
      <c r="GEJ14" s="58"/>
      <c r="GEK14" s="58"/>
      <c r="GEL14" s="58"/>
      <c r="GEM14" s="58"/>
      <c r="GEN14" s="58"/>
      <c r="GEO14" s="58"/>
      <c r="GEP14" s="58"/>
      <c r="GEQ14" s="58"/>
      <c r="GER14" s="58"/>
      <c r="GES14" s="58"/>
      <c r="GET14" s="58"/>
      <c r="GEU14" s="58"/>
      <c r="GEV14" s="58"/>
      <c r="GEW14" s="58"/>
      <c r="GEX14" s="58"/>
      <c r="GEY14" s="58"/>
      <c r="GEZ14" s="58"/>
      <c r="GFA14" s="58"/>
      <c r="GFB14" s="58"/>
      <c r="GFC14" s="58"/>
      <c r="GFD14" s="58"/>
      <c r="GFE14" s="58"/>
      <c r="GFF14" s="58"/>
      <c r="GFG14" s="58"/>
      <c r="GFH14" s="58"/>
      <c r="GFI14" s="58"/>
      <c r="GFJ14" s="58"/>
      <c r="GFK14" s="58"/>
      <c r="GFL14" s="58"/>
      <c r="GFM14" s="58"/>
      <c r="GFN14" s="58"/>
      <c r="GFO14" s="58"/>
      <c r="GFP14" s="58"/>
      <c r="GFQ14" s="58"/>
      <c r="GFR14" s="58"/>
      <c r="GFS14" s="58"/>
      <c r="GFT14" s="58"/>
      <c r="GFU14" s="58"/>
      <c r="GFV14" s="58"/>
      <c r="GFW14" s="58"/>
      <c r="GFX14" s="58"/>
      <c r="GFY14" s="58"/>
      <c r="GFZ14" s="58"/>
      <c r="GGA14" s="58"/>
      <c r="GGB14" s="58"/>
      <c r="GGC14" s="58"/>
      <c r="GGD14" s="58"/>
      <c r="GGE14" s="58"/>
      <c r="GGF14" s="58"/>
      <c r="GGG14" s="58"/>
      <c r="GGH14" s="58"/>
      <c r="GGI14" s="58"/>
      <c r="GGJ14" s="58"/>
      <c r="GGK14" s="58"/>
      <c r="GGL14" s="58"/>
      <c r="GGM14" s="58"/>
      <c r="GGN14" s="58"/>
      <c r="GGO14" s="58"/>
      <c r="GGP14" s="58"/>
      <c r="GGQ14" s="58"/>
      <c r="GGR14" s="58"/>
      <c r="GGS14" s="58"/>
      <c r="GGT14" s="58"/>
      <c r="GGU14" s="58"/>
      <c r="GGV14" s="58"/>
      <c r="GGW14" s="58"/>
      <c r="GGX14" s="58"/>
      <c r="GGY14" s="58"/>
      <c r="GGZ14" s="58"/>
      <c r="GHA14" s="58"/>
      <c r="GHB14" s="58"/>
      <c r="GHC14" s="58"/>
      <c r="GHD14" s="58"/>
      <c r="GHE14" s="58"/>
      <c r="GHF14" s="58"/>
      <c r="GHG14" s="58"/>
      <c r="GHH14" s="58"/>
      <c r="GHI14" s="58"/>
      <c r="GHJ14" s="58"/>
      <c r="GHK14" s="58"/>
      <c r="GHL14" s="58"/>
      <c r="GHM14" s="58"/>
      <c r="GHN14" s="58"/>
      <c r="GHO14" s="58"/>
      <c r="GHP14" s="58"/>
      <c r="GHQ14" s="58"/>
      <c r="GHR14" s="58"/>
      <c r="GHS14" s="58"/>
      <c r="GHT14" s="58"/>
      <c r="GHU14" s="58"/>
      <c r="GHV14" s="58"/>
      <c r="GHW14" s="58"/>
      <c r="GHX14" s="58"/>
      <c r="GHY14" s="58"/>
      <c r="GHZ14" s="58"/>
      <c r="GIA14" s="58"/>
      <c r="GIB14" s="58"/>
      <c r="GIC14" s="58"/>
      <c r="GID14" s="58"/>
      <c r="GIE14" s="58"/>
      <c r="GIF14" s="58"/>
      <c r="GIG14" s="58"/>
      <c r="GIH14" s="58"/>
      <c r="GII14" s="58"/>
      <c r="GIJ14" s="58"/>
      <c r="GIK14" s="58"/>
      <c r="GIL14" s="58"/>
      <c r="GIM14" s="58"/>
      <c r="GIN14" s="58"/>
      <c r="GIO14" s="58"/>
      <c r="GIP14" s="58"/>
      <c r="GIQ14" s="58"/>
      <c r="GIR14" s="58"/>
      <c r="GIS14" s="58"/>
      <c r="GIT14" s="58"/>
      <c r="GIU14" s="58"/>
      <c r="GIV14" s="58"/>
      <c r="GIW14" s="58"/>
      <c r="GIX14" s="58"/>
      <c r="GIY14" s="58"/>
      <c r="GIZ14" s="58"/>
      <c r="GJA14" s="58"/>
      <c r="GJB14" s="58"/>
      <c r="GJC14" s="58"/>
      <c r="GJD14" s="58"/>
      <c r="GJE14" s="58"/>
      <c r="GJF14" s="58"/>
      <c r="GJG14" s="58"/>
      <c r="GJH14" s="58"/>
      <c r="GJI14" s="58"/>
      <c r="GJJ14" s="58"/>
      <c r="GJK14" s="58"/>
      <c r="GJL14" s="58"/>
      <c r="GJM14" s="58"/>
      <c r="GJN14" s="58"/>
      <c r="GJO14" s="58"/>
      <c r="GJP14" s="58"/>
      <c r="GJQ14" s="58"/>
      <c r="GJR14" s="58"/>
      <c r="GJS14" s="58"/>
      <c r="GJT14" s="58"/>
      <c r="GJU14" s="58"/>
      <c r="GJV14" s="58"/>
      <c r="GJW14" s="58"/>
      <c r="GJX14" s="58"/>
      <c r="GJY14" s="58"/>
      <c r="GJZ14" s="58"/>
      <c r="GKA14" s="58"/>
      <c r="GKB14" s="58"/>
      <c r="GKC14" s="58"/>
      <c r="GKD14" s="58"/>
      <c r="GKE14" s="58"/>
      <c r="GKF14" s="58"/>
      <c r="GKG14" s="58"/>
      <c r="GKH14" s="58"/>
      <c r="GKI14" s="58"/>
      <c r="GKJ14" s="58"/>
      <c r="GKK14" s="58"/>
      <c r="GKL14" s="58"/>
      <c r="GKM14" s="58"/>
      <c r="GKN14" s="58"/>
      <c r="GKO14" s="58"/>
      <c r="GKP14" s="58"/>
      <c r="GKQ14" s="58"/>
      <c r="GKR14" s="58"/>
      <c r="GKS14" s="58"/>
      <c r="GKT14" s="58"/>
      <c r="GKU14" s="58"/>
      <c r="GKV14" s="58"/>
      <c r="GKW14" s="58"/>
      <c r="GKX14" s="58"/>
      <c r="GKY14" s="58"/>
      <c r="GKZ14" s="58"/>
      <c r="GLA14" s="58"/>
      <c r="GLB14" s="58"/>
      <c r="GLC14" s="58"/>
      <c r="GLD14" s="58"/>
      <c r="GLE14" s="58"/>
      <c r="GLF14" s="58"/>
      <c r="GLG14" s="58"/>
      <c r="GLH14" s="58"/>
      <c r="GLI14" s="58"/>
      <c r="GLJ14" s="58"/>
      <c r="GLK14" s="58"/>
      <c r="GLL14" s="58"/>
      <c r="GLM14" s="58"/>
      <c r="GLN14" s="58"/>
      <c r="GLO14" s="58"/>
      <c r="GLP14" s="58"/>
      <c r="GLQ14" s="58"/>
      <c r="GLR14" s="58"/>
      <c r="GLS14" s="58"/>
      <c r="GLT14" s="58"/>
      <c r="GLU14" s="58"/>
      <c r="GLV14" s="58"/>
      <c r="GLW14" s="58"/>
      <c r="GLX14" s="58"/>
      <c r="GLY14" s="58"/>
      <c r="GLZ14" s="58"/>
      <c r="GMA14" s="58"/>
      <c r="GMB14" s="58"/>
      <c r="GMC14" s="58"/>
      <c r="GMD14" s="58"/>
      <c r="GME14" s="58"/>
      <c r="GMF14" s="58"/>
      <c r="GMG14" s="58"/>
      <c r="GMH14" s="58"/>
      <c r="GMI14" s="58"/>
      <c r="GMJ14" s="58"/>
      <c r="GMK14" s="58"/>
      <c r="GML14" s="58"/>
      <c r="GMM14" s="58"/>
      <c r="GMN14" s="58"/>
      <c r="GMO14" s="58"/>
      <c r="GMP14" s="58"/>
      <c r="GMQ14" s="58"/>
      <c r="GMR14" s="58"/>
      <c r="GMS14" s="58"/>
      <c r="GMT14" s="58"/>
      <c r="GMU14" s="58"/>
      <c r="GMV14" s="58"/>
      <c r="GMW14" s="58"/>
      <c r="GMX14" s="58"/>
      <c r="GMY14" s="58"/>
      <c r="GMZ14" s="58"/>
      <c r="GNA14" s="58"/>
      <c r="GNB14" s="58"/>
      <c r="GNC14" s="58"/>
      <c r="GND14" s="58"/>
      <c r="GNE14" s="58"/>
      <c r="GNF14" s="58"/>
      <c r="GNG14" s="58"/>
      <c r="GNH14" s="58"/>
      <c r="GNI14" s="58"/>
      <c r="GNJ14" s="58"/>
      <c r="GNK14" s="58"/>
      <c r="GNL14" s="58"/>
      <c r="GNM14" s="58"/>
      <c r="GNN14" s="58"/>
      <c r="GNO14" s="58"/>
      <c r="GNP14" s="58"/>
      <c r="GNQ14" s="58"/>
      <c r="GNR14" s="58"/>
      <c r="GNS14" s="58"/>
      <c r="GNT14" s="58"/>
      <c r="GNU14" s="58"/>
      <c r="GNV14" s="58"/>
      <c r="GNW14" s="58"/>
      <c r="GNX14" s="58"/>
      <c r="GNY14" s="58"/>
      <c r="GNZ14" s="58"/>
      <c r="GOA14" s="58"/>
      <c r="GOB14" s="58"/>
      <c r="GOC14" s="58"/>
      <c r="GOD14" s="58"/>
      <c r="GOE14" s="58"/>
      <c r="GOF14" s="58"/>
      <c r="GOG14" s="58"/>
      <c r="GOH14" s="58"/>
      <c r="GOI14" s="58"/>
      <c r="GOJ14" s="58"/>
      <c r="GOK14" s="58"/>
      <c r="GOL14" s="58"/>
      <c r="GOM14" s="58"/>
      <c r="GON14" s="58"/>
      <c r="GOO14" s="58"/>
      <c r="GOP14" s="58"/>
      <c r="GOQ14" s="58"/>
      <c r="GOR14" s="58"/>
      <c r="GOS14" s="58"/>
      <c r="GOT14" s="58"/>
      <c r="GOU14" s="58"/>
      <c r="GOV14" s="58"/>
      <c r="GOW14" s="58"/>
      <c r="GOX14" s="58"/>
      <c r="GOY14" s="58"/>
      <c r="GOZ14" s="58"/>
      <c r="GPA14" s="58"/>
      <c r="GPB14" s="58"/>
      <c r="GPC14" s="58"/>
      <c r="GPD14" s="58"/>
      <c r="GPE14" s="58"/>
      <c r="GPF14" s="58"/>
      <c r="GPG14" s="58"/>
      <c r="GPH14" s="58"/>
      <c r="GPI14" s="58"/>
      <c r="GPJ14" s="58"/>
      <c r="GPK14" s="58"/>
      <c r="GPL14" s="58"/>
      <c r="GPM14" s="58"/>
      <c r="GPN14" s="58"/>
      <c r="GPO14" s="58"/>
      <c r="GPP14" s="58"/>
      <c r="GPQ14" s="58"/>
      <c r="GPR14" s="58"/>
      <c r="GPS14" s="58"/>
      <c r="GPT14" s="58"/>
      <c r="GPU14" s="58"/>
      <c r="GPV14" s="58"/>
      <c r="GPW14" s="58"/>
      <c r="GPX14" s="58"/>
      <c r="GPY14" s="58"/>
      <c r="GPZ14" s="58"/>
      <c r="GQA14" s="58"/>
      <c r="GQB14" s="58"/>
      <c r="GQC14" s="58"/>
      <c r="GQD14" s="58"/>
      <c r="GQE14" s="58"/>
      <c r="GQF14" s="58"/>
      <c r="GQG14" s="58"/>
      <c r="GQH14" s="58"/>
      <c r="GQI14" s="58"/>
      <c r="GQJ14" s="58"/>
      <c r="GQK14" s="58"/>
      <c r="GQL14" s="58"/>
      <c r="GQM14" s="58"/>
      <c r="GQN14" s="58"/>
      <c r="GQO14" s="58"/>
      <c r="GQP14" s="58"/>
      <c r="GQQ14" s="58"/>
      <c r="GQR14" s="58"/>
      <c r="GQS14" s="58"/>
      <c r="GQT14" s="58"/>
      <c r="GQU14" s="58"/>
      <c r="GQV14" s="58"/>
      <c r="GQW14" s="58"/>
      <c r="GQX14" s="58"/>
      <c r="GQY14" s="58"/>
      <c r="GQZ14" s="58"/>
      <c r="GRA14" s="58"/>
      <c r="GRB14" s="58"/>
      <c r="GRC14" s="58"/>
      <c r="GRD14" s="58"/>
      <c r="GRE14" s="58"/>
      <c r="GRF14" s="58"/>
      <c r="GRG14" s="58"/>
      <c r="GRH14" s="58"/>
      <c r="GRI14" s="58"/>
      <c r="GRJ14" s="58"/>
      <c r="GRK14" s="58"/>
      <c r="GRL14" s="58"/>
      <c r="GRM14" s="58"/>
      <c r="GRN14" s="58"/>
      <c r="GRO14" s="58"/>
      <c r="GRP14" s="58"/>
      <c r="GRQ14" s="58"/>
      <c r="GRR14" s="58"/>
      <c r="GRS14" s="58"/>
      <c r="GRT14" s="58"/>
      <c r="GRU14" s="58"/>
      <c r="GRV14" s="58"/>
      <c r="GRW14" s="58"/>
      <c r="GRX14" s="58"/>
      <c r="GRY14" s="58"/>
      <c r="GRZ14" s="58"/>
      <c r="GSA14" s="58"/>
      <c r="GSB14" s="58"/>
      <c r="GSC14" s="58"/>
      <c r="GSD14" s="58"/>
      <c r="GSE14" s="58"/>
      <c r="GSF14" s="58"/>
      <c r="GSG14" s="58"/>
      <c r="GSH14" s="58"/>
      <c r="GSI14" s="58"/>
      <c r="GSJ14" s="58"/>
      <c r="GSK14" s="58"/>
      <c r="GSL14" s="58"/>
      <c r="GSM14" s="58"/>
      <c r="GSN14" s="58"/>
      <c r="GSO14" s="58"/>
      <c r="GSP14" s="58"/>
      <c r="GSQ14" s="58"/>
      <c r="GSR14" s="58"/>
      <c r="GSS14" s="58"/>
      <c r="GST14" s="58"/>
      <c r="GSU14" s="58"/>
      <c r="GSV14" s="58"/>
      <c r="GSW14" s="58"/>
      <c r="GSX14" s="58"/>
      <c r="GSY14" s="58"/>
      <c r="GSZ14" s="58"/>
      <c r="GTA14" s="58"/>
      <c r="GTB14" s="58"/>
      <c r="GTC14" s="58"/>
      <c r="GTD14" s="58"/>
      <c r="GTE14" s="58"/>
      <c r="GTF14" s="58"/>
      <c r="GTG14" s="58"/>
      <c r="GTH14" s="58"/>
      <c r="GTI14" s="58"/>
      <c r="GTJ14" s="58"/>
      <c r="GTK14" s="58"/>
      <c r="GTL14" s="58"/>
      <c r="GTM14" s="58"/>
      <c r="GTN14" s="58"/>
      <c r="GTO14" s="58"/>
      <c r="GTP14" s="58"/>
      <c r="GTQ14" s="58"/>
      <c r="GTR14" s="58"/>
      <c r="GTS14" s="58"/>
      <c r="GTT14" s="58"/>
      <c r="GTU14" s="58"/>
      <c r="GTV14" s="58"/>
      <c r="GTW14" s="58"/>
      <c r="GTX14" s="58"/>
      <c r="GTY14" s="58"/>
      <c r="GTZ14" s="58"/>
      <c r="GUA14" s="58"/>
      <c r="GUB14" s="58"/>
      <c r="GUC14" s="58"/>
      <c r="GUD14" s="58"/>
      <c r="GUE14" s="58"/>
      <c r="GUF14" s="58"/>
      <c r="GUG14" s="58"/>
      <c r="GUH14" s="58"/>
      <c r="GUI14" s="58"/>
      <c r="GUJ14" s="58"/>
      <c r="GUK14" s="58"/>
      <c r="GUL14" s="58"/>
      <c r="GUM14" s="58"/>
      <c r="GUN14" s="58"/>
      <c r="GUO14" s="58"/>
      <c r="GUP14" s="58"/>
      <c r="GUQ14" s="58"/>
      <c r="GUR14" s="58"/>
      <c r="GUS14" s="58"/>
      <c r="GUT14" s="58"/>
      <c r="GUU14" s="58"/>
      <c r="GUV14" s="58"/>
      <c r="GUW14" s="58"/>
      <c r="GUX14" s="58"/>
      <c r="GUY14" s="58"/>
      <c r="GUZ14" s="58"/>
      <c r="GVA14" s="58"/>
      <c r="GVB14" s="58"/>
      <c r="GVC14" s="58"/>
      <c r="GVD14" s="58"/>
      <c r="GVE14" s="58"/>
      <c r="GVF14" s="58"/>
      <c r="GVG14" s="58"/>
      <c r="GVH14" s="58"/>
      <c r="GVI14" s="58"/>
      <c r="GVJ14" s="58"/>
      <c r="GVK14" s="58"/>
      <c r="GVL14" s="58"/>
      <c r="GVM14" s="58"/>
      <c r="GVN14" s="58"/>
      <c r="GVO14" s="58"/>
      <c r="GVP14" s="58"/>
      <c r="GVQ14" s="58"/>
      <c r="GVR14" s="58"/>
      <c r="GVS14" s="58"/>
      <c r="GVT14" s="58"/>
      <c r="GVU14" s="58"/>
      <c r="GVV14" s="58"/>
      <c r="GVW14" s="58"/>
      <c r="GVX14" s="58"/>
      <c r="GVY14" s="58"/>
      <c r="GVZ14" s="58"/>
      <c r="GWA14" s="58"/>
      <c r="GWB14" s="58"/>
      <c r="GWC14" s="58"/>
      <c r="GWD14" s="58"/>
      <c r="GWE14" s="58"/>
      <c r="GWF14" s="58"/>
      <c r="GWG14" s="58"/>
      <c r="GWH14" s="58"/>
      <c r="GWI14" s="58"/>
      <c r="GWJ14" s="58"/>
      <c r="GWK14" s="58"/>
      <c r="GWL14" s="58"/>
      <c r="GWM14" s="58"/>
      <c r="GWN14" s="58"/>
      <c r="GWO14" s="58"/>
      <c r="GWP14" s="58"/>
      <c r="GWQ14" s="58"/>
      <c r="GWR14" s="58"/>
      <c r="GWS14" s="58"/>
      <c r="GWT14" s="58"/>
      <c r="GWU14" s="58"/>
      <c r="GWV14" s="58"/>
      <c r="GWW14" s="58"/>
      <c r="GWX14" s="58"/>
      <c r="GWY14" s="58"/>
      <c r="GWZ14" s="58"/>
      <c r="GXA14" s="58"/>
      <c r="GXB14" s="58"/>
      <c r="GXC14" s="58"/>
      <c r="GXD14" s="58"/>
      <c r="GXE14" s="58"/>
      <c r="GXF14" s="58"/>
      <c r="GXG14" s="58"/>
      <c r="GXH14" s="58"/>
      <c r="GXI14" s="58"/>
      <c r="GXJ14" s="58"/>
      <c r="GXK14" s="58"/>
      <c r="GXL14" s="58"/>
      <c r="GXM14" s="58"/>
      <c r="GXN14" s="58"/>
      <c r="GXO14" s="58"/>
      <c r="GXP14" s="58"/>
      <c r="GXQ14" s="58"/>
      <c r="GXR14" s="58"/>
      <c r="GXS14" s="58"/>
      <c r="GXT14" s="58"/>
      <c r="GXU14" s="58"/>
      <c r="GXV14" s="58"/>
      <c r="GXW14" s="58"/>
      <c r="GXX14" s="58"/>
      <c r="GXY14" s="58"/>
      <c r="GXZ14" s="58"/>
      <c r="GYA14" s="58"/>
      <c r="GYB14" s="58"/>
      <c r="GYC14" s="58"/>
      <c r="GYD14" s="58"/>
      <c r="GYE14" s="58"/>
      <c r="GYF14" s="58"/>
      <c r="GYG14" s="58"/>
      <c r="GYH14" s="58"/>
      <c r="GYI14" s="58"/>
      <c r="GYJ14" s="58"/>
      <c r="GYK14" s="58"/>
      <c r="GYL14" s="58"/>
      <c r="GYM14" s="58"/>
      <c r="GYN14" s="58"/>
      <c r="GYO14" s="58"/>
      <c r="GYP14" s="58"/>
      <c r="GYQ14" s="58"/>
      <c r="GYR14" s="58"/>
      <c r="GYS14" s="58"/>
      <c r="GYT14" s="58"/>
      <c r="GYU14" s="58"/>
      <c r="GYV14" s="58"/>
      <c r="GYW14" s="58"/>
      <c r="GYX14" s="58"/>
      <c r="GYY14" s="58"/>
      <c r="GYZ14" s="58"/>
      <c r="GZA14" s="58"/>
      <c r="GZB14" s="58"/>
      <c r="GZC14" s="58"/>
      <c r="GZD14" s="58"/>
      <c r="GZE14" s="58"/>
      <c r="GZF14" s="58"/>
      <c r="GZG14" s="58"/>
      <c r="GZH14" s="58"/>
      <c r="GZI14" s="58"/>
      <c r="GZJ14" s="58"/>
      <c r="GZK14" s="58"/>
      <c r="GZL14" s="58"/>
      <c r="GZM14" s="58"/>
      <c r="GZN14" s="58"/>
      <c r="GZO14" s="58"/>
      <c r="GZP14" s="58"/>
      <c r="GZQ14" s="58"/>
      <c r="GZR14" s="58"/>
      <c r="GZS14" s="58"/>
      <c r="GZT14" s="58"/>
      <c r="GZU14" s="58"/>
      <c r="GZV14" s="58"/>
      <c r="GZW14" s="58"/>
      <c r="GZX14" s="58"/>
      <c r="GZY14" s="58"/>
      <c r="GZZ14" s="58"/>
      <c r="HAA14" s="58"/>
      <c r="HAB14" s="58"/>
      <c r="HAC14" s="58"/>
      <c r="HAD14" s="58"/>
      <c r="HAE14" s="58"/>
      <c r="HAF14" s="58"/>
      <c r="HAG14" s="58"/>
      <c r="HAH14" s="58"/>
      <c r="HAI14" s="58"/>
      <c r="HAJ14" s="58"/>
      <c r="HAK14" s="58"/>
      <c r="HAL14" s="58"/>
      <c r="HAM14" s="58"/>
      <c r="HAN14" s="58"/>
      <c r="HAO14" s="58"/>
      <c r="HAP14" s="58"/>
      <c r="HAQ14" s="58"/>
      <c r="HAR14" s="58"/>
      <c r="HAS14" s="58"/>
      <c r="HAT14" s="58"/>
      <c r="HAU14" s="58"/>
      <c r="HAV14" s="58"/>
      <c r="HAW14" s="58"/>
      <c r="HAX14" s="58"/>
      <c r="HAY14" s="58"/>
      <c r="HAZ14" s="58"/>
      <c r="HBA14" s="58"/>
      <c r="HBB14" s="58"/>
      <c r="HBC14" s="58"/>
      <c r="HBD14" s="58"/>
      <c r="HBE14" s="58"/>
      <c r="HBF14" s="58"/>
      <c r="HBG14" s="58"/>
      <c r="HBH14" s="58"/>
      <c r="HBI14" s="58"/>
      <c r="HBJ14" s="58"/>
      <c r="HBK14" s="58"/>
      <c r="HBL14" s="58"/>
      <c r="HBM14" s="58"/>
      <c r="HBN14" s="58"/>
      <c r="HBO14" s="58"/>
      <c r="HBP14" s="58"/>
      <c r="HBQ14" s="58"/>
      <c r="HBR14" s="58"/>
      <c r="HBS14" s="58"/>
      <c r="HBT14" s="58"/>
      <c r="HBU14" s="58"/>
      <c r="HBV14" s="58"/>
      <c r="HBW14" s="58"/>
      <c r="HBX14" s="58"/>
      <c r="HBY14" s="58"/>
      <c r="HBZ14" s="58"/>
      <c r="HCA14" s="58"/>
      <c r="HCB14" s="58"/>
      <c r="HCC14" s="58"/>
      <c r="HCD14" s="58"/>
      <c r="HCE14" s="58"/>
      <c r="HCF14" s="58"/>
      <c r="HCG14" s="58"/>
      <c r="HCH14" s="58"/>
      <c r="HCI14" s="58"/>
      <c r="HCJ14" s="58"/>
      <c r="HCK14" s="58"/>
      <c r="HCL14" s="58"/>
      <c r="HCM14" s="58"/>
      <c r="HCN14" s="58"/>
      <c r="HCO14" s="58"/>
      <c r="HCP14" s="58"/>
      <c r="HCQ14" s="58"/>
      <c r="HCR14" s="58"/>
      <c r="HCS14" s="58"/>
      <c r="HCT14" s="58"/>
      <c r="HCU14" s="58"/>
      <c r="HCV14" s="58"/>
      <c r="HCW14" s="58"/>
      <c r="HCX14" s="58"/>
      <c r="HCY14" s="58"/>
      <c r="HCZ14" s="58"/>
      <c r="HDA14" s="58"/>
      <c r="HDB14" s="58"/>
      <c r="HDC14" s="58"/>
      <c r="HDD14" s="58"/>
      <c r="HDE14" s="58"/>
      <c r="HDF14" s="58"/>
      <c r="HDG14" s="58"/>
      <c r="HDH14" s="58"/>
      <c r="HDI14" s="58"/>
      <c r="HDJ14" s="58"/>
      <c r="HDK14" s="58"/>
      <c r="HDL14" s="58"/>
      <c r="HDM14" s="58"/>
      <c r="HDN14" s="58"/>
      <c r="HDO14" s="58"/>
      <c r="HDP14" s="58"/>
      <c r="HDQ14" s="58"/>
      <c r="HDR14" s="58"/>
      <c r="HDS14" s="58"/>
      <c r="HDT14" s="58"/>
      <c r="HDU14" s="58"/>
      <c r="HDV14" s="58"/>
      <c r="HDW14" s="58"/>
      <c r="HDX14" s="58"/>
      <c r="HDY14" s="58"/>
      <c r="HDZ14" s="58"/>
      <c r="HEA14" s="58"/>
      <c r="HEB14" s="58"/>
      <c r="HEC14" s="58"/>
      <c r="HED14" s="58"/>
      <c r="HEE14" s="58"/>
      <c r="HEF14" s="58"/>
      <c r="HEG14" s="58"/>
      <c r="HEH14" s="58"/>
      <c r="HEI14" s="58"/>
      <c r="HEJ14" s="58"/>
      <c r="HEK14" s="58"/>
      <c r="HEL14" s="58"/>
      <c r="HEM14" s="58"/>
      <c r="HEN14" s="58"/>
      <c r="HEO14" s="58"/>
      <c r="HEP14" s="58"/>
      <c r="HEQ14" s="58"/>
      <c r="HER14" s="58"/>
      <c r="HES14" s="58"/>
      <c r="HET14" s="58"/>
      <c r="HEU14" s="58"/>
      <c r="HEV14" s="58"/>
      <c r="HEW14" s="58"/>
      <c r="HEX14" s="58"/>
      <c r="HEY14" s="58"/>
      <c r="HEZ14" s="58"/>
      <c r="HFA14" s="58"/>
      <c r="HFB14" s="58"/>
      <c r="HFC14" s="58"/>
      <c r="HFD14" s="58"/>
      <c r="HFE14" s="58"/>
      <c r="HFF14" s="58"/>
      <c r="HFG14" s="58"/>
      <c r="HFH14" s="58"/>
      <c r="HFI14" s="58"/>
      <c r="HFJ14" s="58"/>
      <c r="HFK14" s="58"/>
      <c r="HFL14" s="58"/>
      <c r="HFM14" s="58"/>
      <c r="HFN14" s="58"/>
      <c r="HFO14" s="58"/>
      <c r="HFP14" s="58"/>
      <c r="HFQ14" s="58"/>
      <c r="HFR14" s="58"/>
      <c r="HFS14" s="58"/>
      <c r="HFT14" s="58"/>
      <c r="HFU14" s="58"/>
      <c r="HFV14" s="58"/>
      <c r="HFW14" s="58"/>
      <c r="HFX14" s="58"/>
      <c r="HFY14" s="58"/>
      <c r="HFZ14" s="58"/>
      <c r="HGA14" s="58"/>
      <c r="HGB14" s="58"/>
      <c r="HGC14" s="58"/>
      <c r="HGD14" s="58"/>
      <c r="HGE14" s="58"/>
      <c r="HGF14" s="58"/>
      <c r="HGG14" s="58"/>
      <c r="HGH14" s="58"/>
      <c r="HGI14" s="58"/>
      <c r="HGJ14" s="58"/>
      <c r="HGK14" s="58"/>
      <c r="HGL14" s="58"/>
      <c r="HGM14" s="58"/>
      <c r="HGN14" s="58"/>
      <c r="HGO14" s="58"/>
      <c r="HGP14" s="58"/>
      <c r="HGQ14" s="58"/>
      <c r="HGR14" s="58"/>
      <c r="HGS14" s="58"/>
      <c r="HGT14" s="58"/>
      <c r="HGU14" s="58"/>
      <c r="HGV14" s="58"/>
      <c r="HGW14" s="58"/>
      <c r="HGX14" s="58"/>
      <c r="HGY14" s="58"/>
      <c r="HGZ14" s="58"/>
      <c r="HHA14" s="58"/>
      <c r="HHB14" s="58"/>
      <c r="HHC14" s="58"/>
      <c r="HHD14" s="58"/>
      <c r="HHE14" s="58"/>
      <c r="HHF14" s="58"/>
      <c r="HHG14" s="58"/>
      <c r="HHH14" s="58"/>
      <c r="HHI14" s="58"/>
      <c r="HHJ14" s="58"/>
      <c r="HHK14" s="58"/>
      <c r="HHL14" s="58"/>
      <c r="HHM14" s="58"/>
      <c r="HHN14" s="58"/>
      <c r="HHO14" s="58"/>
      <c r="HHP14" s="58"/>
      <c r="HHQ14" s="58"/>
      <c r="HHR14" s="58"/>
      <c r="HHS14" s="58"/>
      <c r="HHT14" s="58"/>
      <c r="HHU14" s="58"/>
      <c r="HHV14" s="58"/>
      <c r="HHW14" s="58"/>
      <c r="HHX14" s="58"/>
      <c r="HHY14" s="58"/>
      <c r="HHZ14" s="58"/>
      <c r="HIA14" s="58"/>
      <c r="HIB14" s="58"/>
      <c r="HIC14" s="58"/>
      <c r="HID14" s="58"/>
      <c r="HIE14" s="58"/>
      <c r="HIF14" s="58"/>
      <c r="HIG14" s="58"/>
      <c r="HIH14" s="58"/>
      <c r="HII14" s="58"/>
      <c r="HIJ14" s="58"/>
      <c r="HIK14" s="58"/>
      <c r="HIL14" s="58"/>
      <c r="HIM14" s="58"/>
      <c r="HIN14" s="58"/>
      <c r="HIO14" s="58"/>
      <c r="HIP14" s="58"/>
      <c r="HIQ14" s="58"/>
      <c r="HIR14" s="58"/>
      <c r="HIS14" s="58"/>
      <c r="HIT14" s="58"/>
      <c r="HIU14" s="58"/>
      <c r="HIV14" s="58"/>
      <c r="HIW14" s="58"/>
      <c r="HIX14" s="58"/>
      <c r="HIY14" s="58"/>
      <c r="HIZ14" s="58"/>
      <c r="HJA14" s="58"/>
      <c r="HJB14" s="58"/>
      <c r="HJC14" s="58"/>
      <c r="HJD14" s="58"/>
      <c r="HJE14" s="58"/>
      <c r="HJF14" s="58"/>
      <c r="HJG14" s="58"/>
      <c r="HJH14" s="58"/>
      <c r="HJI14" s="58"/>
      <c r="HJJ14" s="58"/>
      <c r="HJK14" s="58"/>
      <c r="HJL14" s="58"/>
      <c r="HJM14" s="58"/>
      <c r="HJN14" s="58"/>
      <c r="HJO14" s="58"/>
      <c r="HJP14" s="58"/>
      <c r="HJQ14" s="58"/>
      <c r="HJR14" s="58"/>
      <c r="HJS14" s="58"/>
      <c r="HJT14" s="58"/>
      <c r="HJU14" s="58"/>
      <c r="HJV14" s="58"/>
      <c r="HJW14" s="58"/>
      <c r="HJX14" s="58"/>
      <c r="HJY14" s="58"/>
      <c r="HJZ14" s="58"/>
      <c r="HKA14" s="58"/>
      <c r="HKB14" s="58"/>
      <c r="HKC14" s="58"/>
      <c r="HKD14" s="58"/>
      <c r="HKE14" s="58"/>
      <c r="HKF14" s="58"/>
      <c r="HKG14" s="58"/>
      <c r="HKH14" s="58"/>
      <c r="HKI14" s="58"/>
      <c r="HKJ14" s="58"/>
      <c r="HKK14" s="58"/>
      <c r="HKL14" s="58"/>
      <c r="HKM14" s="58"/>
      <c r="HKN14" s="58"/>
      <c r="HKO14" s="58"/>
      <c r="HKP14" s="58"/>
      <c r="HKQ14" s="58"/>
      <c r="HKR14" s="58"/>
      <c r="HKS14" s="58"/>
      <c r="HKT14" s="58"/>
      <c r="HKU14" s="58"/>
      <c r="HKV14" s="58"/>
      <c r="HKW14" s="58"/>
      <c r="HKX14" s="58"/>
      <c r="HKY14" s="58"/>
      <c r="HKZ14" s="58"/>
      <c r="HLA14" s="58"/>
      <c r="HLB14" s="58"/>
      <c r="HLC14" s="58"/>
      <c r="HLD14" s="58"/>
      <c r="HLE14" s="58"/>
      <c r="HLF14" s="58"/>
      <c r="HLG14" s="58"/>
      <c r="HLH14" s="58"/>
      <c r="HLI14" s="58"/>
      <c r="HLJ14" s="58"/>
      <c r="HLK14" s="58"/>
      <c r="HLL14" s="58"/>
      <c r="HLM14" s="58"/>
      <c r="HLN14" s="58"/>
      <c r="HLO14" s="58"/>
      <c r="HLP14" s="58"/>
      <c r="HLQ14" s="58"/>
      <c r="HLR14" s="58"/>
      <c r="HLS14" s="58"/>
      <c r="HLT14" s="58"/>
      <c r="HLU14" s="58"/>
      <c r="HLV14" s="58"/>
      <c r="HLW14" s="58"/>
      <c r="HLX14" s="58"/>
      <c r="HLY14" s="58"/>
      <c r="HLZ14" s="58"/>
      <c r="HMA14" s="58"/>
      <c r="HMB14" s="58"/>
      <c r="HMC14" s="58"/>
      <c r="HMD14" s="58"/>
      <c r="HME14" s="58"/>
      <c r="HMF14" s="58"/>
      <c r="HMG14" s="58"/>
      <c r="HMH14" s="58"/>
      <c r="HMI14" s="58"/>
      <c r="HMJ14" s="58"/>
      <c r="HMK14" s="58"/>
      <c r="HML14" s="58"/>
      <c r="HMM14" s="58"/>
      <c r="HMN14" s="58"/>
      <c r="HMO14" s="58"/>
      <c r="HMP14" s="58"/>
      <c r="HMQ14" s="58"/>
      <c r="HMR14" s="58"/>
      <c r="HMS14" s="58"/>
      <c r="HMT14" s="58"/>
      <c r="HMU14" s="58"/>
      <c r="HMV14" s="58"/>
      <c r="HMW14" s="58"/>
      <c r="HMX14" s="58"/>
      <c r="HMY14" s="58"/>
      <c r="HMZ14" s="58"/>
      <c r="HNA14" s="58"/>
      <c r="HNB14" s="58"/>
      <c r="HNC14" s="58"/>
      <c r="HND14" s="58"/>
      <c r="HNE14" s="58"/>
      <c r="HNF14" s="58"/>
      <c r="HNG14" s="58"/>
      <c r="HNH14" s="58"/>
      <c r="HNI14" s="58"/>
      <c r="HNJ14" s="58"/>
      <c r="HNK14" s="58"/>
      <c r="HNL14" s="58"/>
      <c r="HNM14" s="58"/>
      <c r="HNN14" s="58"/>
      <c r="HNO14" s="58"/>
      <c r="HNP14" s="58"/>
      <c r="HNQ14" s="58"/>
      <c r="HNR14" s="58"/>
      <c r="HNS14" s="58"/>
      <c r="HNT14" s="58"/>
      <c r="HNU14" s="58"/>
      <c r="HNV14" s="58"/>
      <c r="HNW14" s="58"/>
      <c r="HNX14" s="58"/>
      <c r="HNY14" s="58"/>
      <c r="HNZ14" s="58"/>
      <c r="HOA14" s="58"/>
      <c r="HOB14" s="58"/>
      <c r="HOC14" s="58"/>
      <c r="HOD14" s="58"/>
      <c r="HOE14" s="58"/>
      <c r="HOF14" s="58"/>
      <c r="HOG14" s="58"/>
      <c r="HOH14" s="58"/>
      <c r="HOI14" s="58"/>
      <c r="HOJ14" s="58"/>
      <c r="HOK14" s="58"/>
      <c r="HOL14" s="58"/>
      <c r="HOM14" s="58"/>
      <c r="HON14" s="58"/>
      <c r="HOO14" s="58"/>
      <c r="HOP14" s="58"/>
      <c r="HOQ14" s="58"/>
      <c r="HOR14" s="58"/>
      <c r="HOS14" s="58"/>
      <c r="HOT14" s="58"/>
      <c r="HOU14" s="58"/>
      <c r="HOV14" s="58"/>
      <c r="HOW14" s="58"/>
      <c r="HOX14" s="58"/>
      <c r="HOY14" s="58"/>
      <c r="HOZ14" s="58"/>
      <c r="HPA14" s="58"/>
      <c r="HPB14" s="58"/>
      <c r="HPC14" s="58"/>
      <c r="HPD14" s="58"/>
      <c r="HPE14" s="58"/>
      <c r="HPF14" s="58"/>
      <c r="HPG14" s="58"/>
      <c r="HPH14" s="58"/>
      <c r="HPI14" s="58"/>
      <c r="HPJ14" s="58"/>
      <c r="HPK14" s="58"/>
      <c r="HPL14" s="58"/>
      <c r="HPM14" s="58"/>
      <c r="HPN14" s="58"/>
      <c r="HPO14" s="58"/>
      <c r="HPP14" s="58"/>
      <c r="HPQ14" s="58"/>
      <c r="HPR14" s="58"/>
      <c r="HPS14" s="58"/>
      <c r="HPT14" s="58"/>
      <c r="HPU14" s="58"/>
      <c r="HPV14" s="58"/>
      <c r="HPW14" s="58"/>
      <c r="HPX14" s="58"/>
      <c r="HPY14" s="58"/>
      <c r="HPZ14" s="58"/>
      <c r="HQA14" s="58"/>
      <c r="HQB14" s="58"/>
      <c r="HQC14" s="58"/>
      <c r="HQD14" s="58"/>
      <c r="HQE14" s="58"/>
      <c r="HQF14" s="58"/>
      <c r="HQG14" s="58"/>
      <c r="HQH14" s="58"/>
      <c r="HQI14" s="58"/>
      <c r="HQJ14" s="58"/>
      <c r="HQK14" s="58"/>
      <c r="HQL14" s="58"/>
      <c r="HQM14" s="58"/>
      <c r="HQN14" s="58"/>
      <c r="HQO14" s="58"/>
      <c r="HQP14" s="58"/>
      <c r="HQQ14" s="58"/>
      <c r="HQR14" s="58"/>
      <c r="HQS14" s="58"/>
      <c r="HQT14" s="58"/>
      <c r="HQU14" s="58"/>
      <c r="HQV14" s="58"/>
      <c r="HQW14" s="58"/>
      <c r="HQX14" s="58"/>
      <c r="HQY14" s="58"/>
      <c r="HQZ14" s="58"/>
      <c r="HRA14" s="58"/>
      <c r="HRB14" s="58"/>
      <c r="HRC14" s="58"/>
      <c r="HRD14" s="58"/>
      <c r="HRE14" s="58"/>
      <c r="HRF14" s="58"/>
      <c r="HRG14" s="58"/>
      <c r="HRH14" s="58"/>
      <c r="HRI14" s="58"/>
      <c r="HRJ14" s="58"/>
      <c r="HRK14" s="58"/>
      <c r="HRL14" s="58"/>
      <c r="HRM14" s="58"/>
      <c r="HRN14" s="58"/>
      <c r="HRO14" s="58"/>
      <c r="HRP14" s="58"/>
      <c r="HRQ14" s="58"/>
      <c r="HRR14" s="58"/>
      <c r="HRS14" s="58"/>
      <c r="HRT14" s="58"/>
      <c r="HRU14" s="58"/>
      <c r="HRV14" s="58"/>
      <c r="HRW14" s="58"/>
      <c r="HRX14" s="58"/>
      <c r="HRY14" s="58"/>
      <c r="HRZ14" s="58"/>
      <c r="HSA14" s="58"/>
      <c r="HSB14" s="58"/>
      <c r="HSC14" s="58"/>
      <c r="HSD14" s="58"/>
      <c r="HSE14" s="58"/>
      <c r="HSF14" s="58"/>
      <c r="HSG14" s="58"/>
      <c r="HSH14" s="58"/>
      <c r="HSI14" s="58"/>
      <c r="HSJ14" s="58"/>
      <c r="HSK14" s="58"/>
      <c r="HSL14" s="58"/>
      <c r="HSM14" s="58"/>
      <c r="HSN14" s="58"/>
      <c r="HSO14" s="58"/>
      <c r="HSP14" s="58"/>
      <c r="HSQ14" s="58"/>
      <c r="HSR14" s="58"/>
      <c r="HSS14" s="58"/>
      <c r="HST14" s="58"/>
      <c r="HSU14" s="58"/>
      <c r="HSV14" s="58"/>
      <c r="HSW14" s="58"/>
      <c r="HSX14" s="58"/>
      <c r="HSY14" s="58"/>
      <c r="HSZ14" s="58"/>
      <c r="HTA14" s="58"/>
      <c r="HTB14" s="58"/>
      <c r="HTC14" s="58"/>
      <c r="HTD14" s="58"/>
      <c r="HTE14" s="58"/>
      <c r="HTF14" s="58"/>
      <c r="HTG14" s="58"/>
      <c r="HTH14" s="58"/>
      <c r="HTI14" s="58"/>
      <c r="HTJ14" s="58"/>
      <c r="HTK14" s="58"/>
      <c r="HTL14" s="58"/>
      <c r="HTM14" s="58"/>
      <c r="HTN14" s="58"/>
      <c r="HTO14" s="58"/>
      <c r="HTP14" s="58"/>
      <c r="HTQ14" s="58"/>
      <c r="HTR14" s="58"/>
      <c r="HTS14" s="58"/>
      <c r="HTT14" s="58"/>
      <c r="HTU14" s="58"/>
      <c r="HTV14" s="58"/>
      <c r="HTW14" s="58"/>
      <c r="HTX14" s="58"/>
      <c r="HTY14" s="58"/>
      <c r="HTZ14" s="58"/>
      <c r="HUA14" s="58"/>
      <c r="HUB14" s="58"/>
      <c r="HUC14" s="58"/>
      <c r="HUD14" s="58"/>
      <c r="HUE14" s="58"/>
      <c r="HUF14" s="58"/>
      <c r="HUG14" s="58"/>
      <c r="HUH14" s="58"/>
      <c r="HUI14" s="58"/>
      <c r="HUJ14" s="58"/>
      <c r="HUK14" s="58"/>
      <c r="HUL14" s="58"/>
      <c r="HUM14" s="58"/>
      <c r="HUN14" s="58"/>
      <c r="HUO14" s="58"/>
      <c r="HUP14" s="58"/>
      <c r="HUQ14" s="58"/>
      <c r="HUR14" s="58"/>
      <c r="HUS14" s="58"/>
      <c r="HUT14" s="58"/>
      <c r="HUU14" s="58"/>
      <c r="HUV14" s="58"/>
      <c r="HUW14" s="58"/>
      <c r="HUX14" s="58"/>
      <c r="HUY14" s="58"/>
      <c r="HUZ14" s="58"/>
      <c r="HVA14" s="58"/>
      <c r="HVB14" s="58"/>
      <c r="HVC14" s="58"/>
      <c r="HVD14" s="58"/>
      <c r="HVE14" s="58"/>
      <c r="HVF14" s="58"/>
      <c r="HVG14" s="58"/>
      <c r="HVH14" s="58"/>
      <c r="HVI14" s="58"/>
      <c r="HVJ14" s="58"/>
      <c r="HVK14" s="58"/>
      <c r="HVL14" s="58"/>
      <c r="HVM14" s="58"/>
      <c r="HVN14" s="58"/>
      <c r="HVO14" s="58"/>
      <c r="HVP14" s="58"/>
      <c r="HVQ14" s="58"/>
      <c r="HVR14" s="58"/>
      <c r="HVS14" s="58"/>
      <c r="HVT14" s="58"/>
      <c r="HVU14" s="58"/>
      <c r="HVV14" s="58"/>
      <c r="HVW14" s="58"/>
      <c r="HVX14" s="58"/>
      <c r="HVY14" s="58"/>
      <c r="HVZ14" s="58"/>
      <c r="HWA14" s="58"/>
      <c r="HWB14" s="58"/>
      <c r="HWC14" s="58"/>
      <c r="HWD14" s="58"/>
      <c r="HWE14" s="58"/>
      <c r="HWF14" s="58"/>
      <c r="HWG14" s="58"/>
      <c r="HWH14" s="58"/>
      <c r="HWI14" s="58"/>
      <c r="HWJ14" s="58"/>
      <c r="HWK14" s="58"/>
      <c r="HWL14" s="58"/>
      <c r="HWM14" s="58"/>
      <c r="HWN14" s="58"/>
      <c r="HWO14" s="58"/>
      <c r="HWP14" s="58"/>
      <c r="HWQ14" s="58"/>
      <c r="HWR14" s="58"/>
      <c r="HWS14" s="58"/>
      <c r="HWT14" s="58"/>
      <c r="HWU14" s="58"/>
      <c r="HWV14" s="58"/>
      <c r="HWW14" s="58"/>
      <c r="HWX14" s="58"/>
      <c r="HWY14" s="58"/>
      <c r="HWZ14" s="58"/>
      <c r="HXA14" s="58"/>
      <c r="HXB14" s="58"/>
      <c r="HXC14" s="58"/>
      <c r="HXD14" s="58"/>
      <c r="HXE14" s="58"/>
      <c r="HXF14" s="58"/>
      <c r="HXG14" s="58"/>
      <c r="HXH14" s="58"/>
      <c r="HXI14" s="58"/>
      <c r="HXJ14" s="58"/>
      <c r="HXK14" s="58"/>
      <c r="HXL14" s="58"/>
      <c r="HXM14" s="58"/>
      <c r="HXN14" s="58"/>
      <c r="HXO14" s="58"/>
      <c r="HXP14" s="58"/>
      <c r="HXQ14" s="58"/>
      <c r="HXR14" s="58"/>
      <c r="HXS14" s="58"/>
      <c r="HXT14" s="58"/>
      <c r="HXU14" s="58"/>
      <c r="HXV14" s="58"/>
      <c r="HXW14" s="58"/>
      <c r="HXX14" s="58"/>
      <c r="HXY14" s="58"/>
      <c r="HXZ14" s="58"/>
      <c r="HYA14" s="58"/>
      <c r="HYB14" s="58"/>
      <c r="HYC14" s="58"/>
      <c r="HYD14" s="58"/>
      <c r="HYE14" s="58"/>
      <c r="HYF14" s="58"/>
      <c r="HYG14" s="58"/>
      <c r="HYH14" s="58"/>
      <c r="HYI14" s="58"/>
      <c r="HYJ14" s="58"/>
      <c r="HYK14" s="58"/>
      <c r="HYL14" s="58"/>
      <c r="HYM14" s="58"/>
      <c r="HYN14" s="58"/>
      <c r="HYO14" s="58"/>
      <c r="HYP14" s="58"/>
      <c r="HYQ14" s="58"/>
      <c r="HYR14" s="58"/>
      <c r="HYS14" s="58"/>
      <c r="HYT14" s="58"/>
      <c r="HYU14" s="58"/>
      <c r="HYV14" s="58"/>
      <c r="HYW14" s="58"/>
      <c r="HYX14" s="58"/>
      <c r="HYY14" s="58"/>
      <c r="HYZ14" s="58"/>
      <c r="HZA14" s="58"/>
      <c r="HZB14" s="58"/>
      <c r="HZC14" s="58"/>
      <c r="HZD14" s="58"/>
      <c r="HZE14" s="58"/>
      <c r="HZF14" s="58"/>
      <c r="HZG14" s="58"/>
      <c r="HZH14" s="58"/>
      <c r="HZI14" s="58"/>
      <c r="HZJ14" s="58"/>
      <c r="HZK14" s="58"/>
      <c r="HZL14" s="58"/>
      <c r="HZM14" s="58"/>
      <c r="HZN14" s="58"/>
      <c r="HZO14" s="58"/>
      <c r="HZP14" s="58"/>
      <c r="HZQ14" s="58"/>
      <c r="HZR14" s="58"/>
      <c r="HZS14" s="58"/>
      <c r="HZT14" s="58"/>
      <c r="HZU14" s="58"/>
      <c r="HZV14" s="58"/>
      <c r="HZW14" s="58"/>
      <c r="HZX14" s="58"/>
      <c r="HZY14" s="58"/>
      <c r="HZZ14" s="58"/>
      <c r="IAA14" s="58"/>
      <c r="IAB14" s="58"/>
      <c r="IAC14" s="58"/>
      <c r="IAD14" s="58"/>
      <c r="IAE14" s="58"/>
      <c r="IAF14" s="58"/>
      <c r="IAG14" s="58"/>
      <c r="IAH14" s="58"/>
      <c r="IAI14" s="58"/>
      <c r="IAJ14" s="58"/>
      <c r="IAK14" s="58"/>
      <c r="IAL14" s="58"/>
      <c r="IAM14" s="58"/>
      <c r="IAN14" s="58"/>
      <c r="IAO14" s="58"/>
      <c r="IAP14" s="58"/>
      <c r="IAQ14" s="58"/>
      <c r="IAR14" s="58"/>
      <c r="IAS14" s="58"/>
      <c r="IAT14" s="58"/>
      <c r="IAU14" s="58"/>
      <c r="IAV14" s="58"/>
      <c r="IAW14" s="58"/>
      <c r="IAX14" s="58"/>
      <c r="IAY14" s="58"/>
      <c r="IAZ14" s="58"/>
      <c r="IBA14" s="58"/>
      <c r="IBB14" s="58"/>
      <c r="IBC14" s="58"/>
      <c r="IBD14" s="58"/>
      <c r="IBE14" s="58"/>
      <c r="IBF14" s="58"/>
      <c r="IBG14" s="58"/>
      <c r="IBH14" s="58"/>
      <c r="IBI14" s="58"/>
      <c r="IBJ14" s="58"/>
      <c r="IBK14" s="58"/>
      <c r="IBL14" s="58"/>
      <c r="IBM14" s="58"/>
      <c r="IBN14" s="58"/>
      <c r="IBO14" s="58"/>
      <c r="IBP14" s="58"/>
      <c r="IBQ14" s="58"/>
      <c r="IBR14" s="58"/>
      <c r="IBS14" s="58"/>
      <c r="IBT14" s="58"/>
      <c r="IBU14" s="58"/>
      <c r="IBV14" s="58"/>
      <c r="IBW14" s="58"/>
      <c r="IBX14" s="58"/>
      <c r="IBY14" s="58"/>
      <c r="IBZ14" s="58"/>
      <c r="ICA14" s="58"/>
      <c r="ICB14" s="58"/>
      <c r="ICC14" s="58"/>
      <c r="ICD14" s="58"/>
      <c r="ICE14" s="58"/>
      <c r="ICF14" s="58"/>
      <c r="ICG14" s="58"/>
      <c r="ICH14" s="58"/>
      <c r="ICI14" s="58"/>
      <c r="ICJ14" s="58"/>
      <c r="ICK14" s="58"/>
      <c r="ICL14" s="58"/>
      <c r="ICM14" s="58"/>
      <c r="ICN14" s="58"/>
      <c r="ICO14" s="58"/>
      <c r="ICP14" s="58"/>
      <c r="ICQ14" s="58"/>
      <c r="ICR14" s="58"/>
      <c r="ICS14" s="58"/>
      <c r="ICT14" s="58"/>
      <c r="ICU14" s="58"/>
      <c r="ICV14" s="58"/>
      <c r="ICW14" s="58"/>
      <c r="ICX14" s="58"/>
      <c r="ICY14" s="58"/>
      <c r="ICZ14" s="58"/>
      <c r="IDA14" s="58"/>
      <c r="IDB14" s="58"/>
      <c r="IDC14" s="58"/>
      <c r="IDD14" s="58"/>
      <c r="IDE14" s="58"/>
      <c r="IDF14" s="58"/>
      <c r="IDG14" s="58"/>
      <c r="IDH14" s="58"/>
      <c r="IDI14" s="58"/>
      <c r="IDJ14" s="58"/>
      <c r="IDK14" s="58"/>
      <c r="IDL14" s="58"/>
      <c r="IDM14" s="58"/>
      <c r="IDN14" s="58"/>
      <c r="IDO14" s="58"/>
      <c r="IDP14" s="58"/>
      <c r="IDQ14" s="58"/>
      <c r="IDR14" s="58"/>
      <c r="IDS14" s="58"/>
      <c r="IDT14" s="58"/>
      <c r="IDU14" s="58"/>
      <c r="IDV14" s="58"/>
      <c r="IDW14" s="58"/>
      <c r="IDX14" s="58"/>
      <c r="IDY14" s="58"/>
      <c r="IDZ14" s="58"/>
      <c r="IEA14" s="58"/>
      <c r="IEB14" s="58"/>
      <c r="IEC14" s="58"/>
      <c r="IED14" s="58"/>
      <c r="IEE14" s="58"/>
      <c r="IEF14" s="58"/>
      <c r="IEG14" s="58"/>
      <c r="IEH14" s="58"/>
      <c r="IEI14" s="58"/>
      <c r="IEJ14" s="58"/>
      <c r="IEK14" s="58"/>
      <c r="IEL14" s="58"/>
      <c r="IEM14" s="58"/>
      <c r="IEN14" s="58"/>
      <c r="IEO14" s="58"/>
      <c r="IEP14" s="58"/>
      <c r="IEQ14" s="58"/>
      <c r="IER14" s="58"/>
      <c r="IES14" s="58"/>
      <c r="IET14" s="58"/>
      <c r="IEU14" s="58"/>
      <c r="IEV14" s="58"/>
      <c r="IEW14" s="58"/>
      <c r="IEX14" s="58"/>
      <c r="IEY14" s="58"/>
      <c r="IEZ14" s="58"/>
      <c r="IFA14" s="58"/>
      <c r="IFB14" s="58"/>
      <c r="IFC14" s="58"/>
      <c r="IFD14" s="58"/>
      <c r="IFE14" s="58"/>
      <c r="IFF14" s="58"/>
      <c r="IFG14" s="58"/>
      <c r="IFH14" s="58"/>
      <c r="IFI14" s="58"/>
      <c r="IFJ14" s="58"/>
      <c r="IFK14" s="58"/>
      <c r="IFL14" s="58"/>
      <c r="IFM14" s="58"/>
      <c r="IFN14" s="58"/>
      <c r="IFO14" s="58"/>
      <c r="IFP14" s="58"/>
      <c r="IFQ14" s="58"/>
      <c r="IFR14" s="58"/>
      <c r="IFS14" s="58"/>
      <c r="IFT14" s="58"/>
      <c r="IFU14" s="58"/>
      <c r="IFV14" s="58"/>
      <c r="IFW14" s="58"/>
      <c r="IFX14" s="58"/>
      <c r="IFY14" s="58"/>
      <c r="IFZ14" s="58"/>
      <c r="IGA14" s="58"/>
      <c r="IGB14" s="58"/>
      <c r="IGC14" s="58"/>
      <c r="IGD14" s="58"/>
      <c r="IGE14" s="58"/>
      <c r="IGF14" s="58"/>
      <c r="IGG14" s="58"/>
      <c r="IGH14" s="58"/>
      <c r="IGI14" s="58"/>
      <c r="IGJ14" s="58"/>
      <c r="IGK14" s="58"/>
      <c r="IGL14" s="58"/>
      <c r="IGM14" s="58"/>
      <c r="IGN14" s="58"/>
      <c r="IGO14" s="58"/>
      <c r="IGP14" s="58"/>
      <c r="IGQ14" s="58"/>
      <c r="IGR14" s="58"/>
      <c r="IGS14" s="58"/>
      <c r="IGT14" s="58"/>
      <c r="IGU14" s="58"/>
      <c r="IGV14" s="58"/>
      <c r="IGW14" s="58"/>
      <c r="IGX14" s="58"/>
      <c r="IGY14" s="58"/>
      <c r="IGZ14" s="58"/>
      <c r="IHA14" s="58"/>
      <c r="IHB14" s="58"/>
      <c r="IHC14" s="58"/>
      <c r="IHD14" s="58"/>
      <c r="IHE14" s="58"/>
      <c r="IHF14" s="58"/>
      <c r="IHG14" s="58"/>
      <c r="IHH14" s="58"/>
      <c r="IHI14" s="58"/>
      <c r="IHJ14" s="58"/>
      <c r="IHK14" s="58"/>
      <c r="IHL14" s="58"/>
      <c r="IHM14" s="58"/>
      <c r="IHN14" s="58"/>
      <c r="IHO14" s="58"/>
      <c r="IHP14" s="58"/>
      <c r="IHQ14" s="58"/>
      <c r="IHR14" s="58"/>
      <c r="IHS14" s="58"/>
      <c r="IHT14" s="58"/>
      <c r="IHU14" s="58"/>
      <c r="IHV14" s="58"/>
      <c r="IHW14" s="58"/>
      <c r="IHX14" s="58"/>
      <c r="IHY14" s="58"/>
      <c r="IHZ14" s="58"/>
      <c r="IIA14" s="58"/>
      <c r="IIB14" s="58"/>
      <c r="IIC14" s="58"/>
      <c r="IID14" s="58"/>
      <c r="IIE14" s="58"/>
      <c r="IIF14" s="58"/>
      <c r="IIG14" s="58"/>
      <c r="IIH14" s="58"/>
      <c r="III14" s="58"/>
      <c r="IIJ14" s="58"/>
      <c r="IIK14" s="58"/>
      <c r="IIL14" s="58"/>
      <c r="IIM14" s="58"/>
      <c r="IIN14" s="58"/>
      <c r="IIO14" s="58"/>
      <c r="IIP14" s="58"/>
      <c r="IIQ14" s="58"/>
      <c r="IIR14" s="58"/>
      <c r="IIS14" s="58"/>
      <c r="IIT14" s="58"/>
      <c r="IIU14" s="58"/>
      <c r="IIV14" s="58"/>
      <c r="IIW14" s="58"/>
      <c r="IIX14" s="58"/>
      <c r="IIY14" s="58"/>
      <c r="IIZ14" s="58"/>
      <c r="IJA14" s="58"/>
      <c r="IJB14" s="58"/>
      <c r="IJC14" s="58"/>
      <c r="IJD14" s="58"/>
      <c r="IJE14" s="58"/>
      <c r="IJF14" s="58"/>
      <c r="IJG14" s="58"/>
      <c r="IJH14" s="58"/>
      <c r="IJI14" s="58"/>
      <c r="IJJ14" s="58"/>
      <c r="IJK14" s="58"/>
      <c r="IJL14" s="58"/>
      <c r="IJM14" s="58"/>
      <c r="IJN14" s="58"/>
      <c r="IJO14" s="58"/>
      <c r="IJP14" s="58"/>
      <c r="IJQ14" s="58"/>
      <c r="IJR14" s="58"/>
      <c r="IJS14" s="58"/>
      <c r="IJT14" s="58"/>
      <c r="IJU14" s="58"/>
      <c r="IJV14" s="58"/>
      <c r="IJW14" s="58"/>
      <c r="IJX14" s="58"/>
      <c r="IJY14" s="58"/>
      <c r="IJZ14" s="58"/>
      <c r="IKA14" s="58"/>
      <c r="IKB14" s="58"/>
      <c r="IKC14" s="58"/>
      <c r="IKD14" s="58"/>
      <c r="IKE14" s="58"/>
      <c r="IKF14" s="58"/>
      <c r="IKG14" s="58"/>
      <c r="IKH14" s="58"/>
      <c r="IKI14" s="58"/>
      <c r="IKJ14" s="58"/>
      <c r="IKK14" s="58"/>
      <c r="IKL14" s="58"/>
      <c r="IKM14" s="58"/>
      <c r="IKN14" s="58"/>
      <c r="IKO14" s="58"/>
      <c r="IKP14" s="58"/>
      <c r="IKQ14" s="58"/>
      <c r="IKR14" s="58"/>
      <c r="IKS14" s="58"/>
      <c r="IKT14" s="58"/>
      <c r="IKU14" s="58"/>
      <c r="IKV14" s="58"/>
      <c r="IKW14" s="58"/>
      <c r="IKX14" s="58"/>
      <c r="IKY14" s="58"/>
      <c r="IKZ14" s="58"/>
      <c r="ILA14" s="58"/>
      <c r="ILB14" s="58"/>
      <c r="ILC14" s="58"/>
      <c r="ILD14" s="58"/>
      <c r="ILE14" s="58"/>
      <c r="ILF14" s="58"/>
      <c r="ILG14" s="58"/>
      <c r="ILH14" s="58"/>
      <c r="ILI14" s="58"/>
      <c r="ILJ14" s="58"/>
      <c r="ILK14" s="58"/>
      <c r="ILL14" s="58"/>
      <c r="ILM14" s="58"/>
      <c r="ILN14" s="58"/>
      <c r="ILO14" s="58"/>
      <c r="ILP14" s="58"/>
      <c r="ILQ14" s="58"/>
      <c r="ILR14" s="58"/>
      <c r="ILS14" s="58"/>
      <c r="ILT14" s="58"/>
      <c r="ILU14" s="58"/>
      <c r="ILV14" s="58"/>
      <c r="ILW14" s="58"/>
      <c r="ILX14" s="58"/>
      <c r="ILY14" s="58"/>
      <c r="ILZ14" s="58"/>
      <c r="IMA14" s="58"/>
      <c r="IMB14" s="58"/>
      <c r="IMC14" s="58"/>
      <c r="IMD14" s="58"/>
      <c r="IME14" s="58"/>
      <c r="IMF14" s="58"/>
      <c r="IMG14" s="58"/>
      <c r="IMH14" s="58"/>
      <c r="IMI14" s="58"/>
      <c r="IMJ14" s="58"/>
      <c r="IMK14" s="58"/>
      <c r="IML14" s="58"/>
      <c r="IMM14" s="58"/>
      <c r="IMN14" s="58"/>
      <c r="IMO14" s="58"/>
      <c r="IMP14" s="58"/>
      <c r="IMQ14" s="58"/>
      <c r="IMR14" s="58"/>
      <c r="IMS14" s="58"/>
      <c r="IMT14" s="58"/>
      <c r="IMU14" s="58"/>
      <c r="IMV14" s="58"/>
      <c r="IMW14" s="58"/>
      <c r="IMX14" s="58"/>
      <c r="IMY14" s="58"/>
      <c r="IMZ14" s="58"/>
      <c r="INA14" s="58"/>
      <c r="INB14" s="58"/>
      <c r="INC14" s="58"/>
      <c r="IND14" s="58"/>
      <c r="INE14" s="58"/>
      <c r="INF14" s="58"/>
      <c r="ING14" s="58"/>
      <c r="INH14" s="58"/>
      <c r="INI14" s="58"/>
      <c r="INJ14" s="58"/>
      <c r="INK14" s="58"/>
      <c r="INL14" s="58"/>
      <c r="INM14" s="58"/>
      <c r="INN14" s="58"/>
      <c r="INO14" s="58"/>
      <c r="INP14" s="58"/>
      <c r="INQ14" s="58"/>
      <c r="INR14" s="58"/>
      <c r="INS14" s="58"/>
      <c r="INT14" s="58"/>
      <c r="INU14" s="58"/>
      <c r="INV14" s="58"/>
      <c r="INW14" s="58"/>
      <c r="INX14" s="58"/>
      <c r="INY14" s="58"/>
      <c r="INZ14" s="58"/>
      <c r="IOA14" s="58"/>
      <c r="IOB14" s="58"/>
      <c r="IOC14" s="58"/>
      <c r="IOD14" s="58"/>
      <c r="IOE14" s="58"/>
      <c r="IOF14" s="58"/>
      <c r="IOG14" s="58"/>
      <c r="IOH14" s="58"/>
      <c r="IOI14" s="58"/>
      <c r="IOJ14" s="58"/>
      <c r="IOK14" s="58"/>
      <c r="IOL14" s="58"/>
      <c r="IOM14" s="58"/>
      <c r="ION14" s="58"/>
      <c r="IOO14" s="58"/>
      <c r="IOP14" s="58"/>
      <c r="IOQ14" s="58"/>
      <c r="IOR14" s="58"/>
      <c r="IOS14" s="58"/>
      <c r="IOT14" s="58"/>
      <c r="IOU14" s="58"/>
      <c r="IOV14" s="58"/>
      <c r="IOW14" s="58"/>
      <c r="IOX14" s="58"/>
      <c r="IOY14" s="58"/>
      <c r="IOZ14" s="58"/>
      <c r="IPA14" s="58"/>
      <c r="IPB14" s="58"/>
      <c r="IPC14" s="58"/>
      <c r="IPD14" s="58"/>
      <c r="IPE14" s="58"/>
      <c r="IPF14" s="58"/>
      <c r="IPG14" s="58"/>
      <c r="IPH14" s="58"/>
      <c r="IPI14" s="58"/>
      <c r="IPJ14" s="58"/>
      <c r="IPK14" s="58"/>
      <c r="IPL14" s="58"/>
      <c r="IPM14" s="58"/>
      <c r="IPN14" s="58"/>
      <c r="IPO14" s="58"/>
      <c r="IPP14" s="58"/>
      <c r="IPQ14" s="58"/>
      <c r="IPR14" s="58"/>
      <c r="IPS14" s="58"/>
      <c r="IPT14" s="58"/>
      <c r="IPU14" s="58"/>
      <c r="IPV14" s="58"/>
      <c r="IPW14" s="58"/>
      <c r="IPX14" s="58"/>
      <c r="IPY14" s="58"/>
      <c r="IPZ14" s="58"/>
      <c r="IQA14" s="58"/>
      <c r="IQB14" s="58"/>
      <c r="IQC14" s="58"/>
      <c r="IQD14" s="58"/>
      <c r="IQE14" s="58"/>
      <c r="IQF14" s="58"/>
      <c r="IQG14" s="58"/>
      <c r="IQH14" s="58"/>
      <c r="IQI14" s="58"/>
      <c r="IQJ14" s="58"/>
      <c r="IQK14" s="58"/>
      <c r="IQL14" s="58"/>
      <c r="IQM14" s="58"/>
      <c r="IQN14" s="58"/>
      <c r="IQO14" s="58"/>
      <c r="IQP14" s="58"/>
      <c r="IQQ14" s="58"/>
      <c r="IQR14" s="58"/>
      <c r="IQS14" s="58"/>
      <c r="IQT14" s="58"/>
      <c r="IQU14" s="58"/>
      <c r="IQV14" s="58"/>
      <c r="IQW14" s="58"/>
      <c r="IQX14" s="58"/>
      <c r="IQY14" s="58"/>
      <c r="IQZ14" s="58"/>
      <c r="IRA14" s="58"/>
      <c r="IRB14" s="58"/>
      <c r="IRC14" s="58"/>
      <c r="IRD14" s="58"/>
      <c r="IRE14" s="58"/>
      <c r="IRF14" s="58"/>
      <c r="IRG14" s="58"/>
      <c r="IRH14" s="58"/>
      <c r="IRI14" s="58"/>
      <c r="IRJ14" s="58"/>
      <c r="IRK14" s="58"/>
      <c r="IRL14" s="58"/>
      <c r="IRM14" s="58"/>
      <c r="IRN14" s="58"/>
      <c r="IRO14" s="58"/>
      <c r="IRP14" s="58"/>
      <c r="IRQ14" s="58"/>
      <c r="IRR14" s="58"/>
      <c r="IRS14" s="58"/>
      <c r="IRT14" s="58"/>
      <c r="IRU14" s="58"/>
      <c r="IRV14" s="58"/>
      <c r="IRW14" s="58"/>
      <c r="IRX14" s="58"/>
      <c r="IRY14" s="58"/>
      <c r="IRZ14" s="58"/>
      <c r="ISA14" s="58"/>
      <c r="ISB14" s="58"/>
      <c r="ISC14" s="58"/>
      <c r="ISD14" s="58"/>
      <c r="ISE14" s="58"/>
      <c r="ISF14" s="58"/>
      <c r="ISG14" s="58"/>
      <c r="ISH14" s="58"/>
      <c r="ISI14" s="58"/>
      <c r="ISJ14" s="58"/>
      <c r="ISK14" s="58"/>
      <c r="ISL14" s="58"/>
      <c r="ISM14" s="58"/>
      <c r="ISN14" s="58"/>
      <c r="ISO14" s="58"/>
      <c r="ISP14" s="58"/>
      <c r="ISQ14" s="58"/>
      <c r="ISR14" s="58"/>
      <c r="ISS14" s="58"/>
      <c r="IST14" s="58"/>
      <c r="ISU14" s="58"/>
      <c r="ISV14" s="58"/>
      <c r="ISW14" s="58"/>
      <c r="ISX14" s="58"/>
      <c r="ISY14" s="58"/>
      <c r="ISZ14" s="58"/>
      <c r="ITA14" s="58"/>
      <c r="ITB14" s="58"/>
      <c r="ITC14" s="58"/>
      <c r="ITD14" s="58"/>
      <c r="ITE14" s="58"/>
      <c r="ITF14" s="58"/>
      <c r="ITG14" s="58"/>
      <c r="ITH14" s="58"/>
      <c r="ITI14" s="58"/>
      <c r="ITJ14" s="58"/>
      <c r="ITK14" s="58"/>
      <c r="ITL14" s="58"/>
      <c r="ITM14" s="58"/>
      <c r="ITN14" s="58"/>
      <c r="ITO14" s="58"/>
      <c r="ITP14" s="58"/>
      <c r="ITQ14" s="58"/>
      <c r="ITR14" s="58"/>
      <c r="ITS14" s="58"/>
      <c r="ITT14" s="58"/>
      <c r="ITU14" s="58"/>
      <c r="ITV14" s="58"/>
      <c r="ITW14" s="58"/>
      <c r="ITX14" s="58"/>
      <c r="ITY14" s="58"/>
      <c r="ITZ14" s="58"/>
      <c r="IUA14" s="58"/>
      <c r="IUB14" s="58"/>
      <c r="IUC14" s="58"/>
      <c r="IUD14" s="58"/>
      <c r="IUE14" s="58"/>
      <c r="IUF14" s="58"/>
      <c r="IUG14" s="58"/>
      <c r="IUH14" s="58"/>
      <c r="IUI14" s="58"/>
      <c r="IUJ14" s="58"/>
      <c r="IUK14" s="58"/>
      <c r="IUL14" s="58"/>
      <c r="IUM14" s="58"/>
      <c r="IUN14" s="58"/>
      <c r="IUO14" s="58"/>
      <c r="IUP14" s="58"/>
      <c r="IUQ14" s="58"/>
      <c r="IUR14" s="58"/>
      <c r="IUS14" s="58"/>
      <c r="IUT14" s="58"/>
      <c r="IUU14" s="58"/>
      <c r="IUV14" s="58"/>
      <c r="IUW14" s="58"/>
      <c r="IUX14" s="58"/>
      <c r="IUY14" s="58"/>
      <c r="IUZ14" s="58"/>
      <c r="IVA14" s="58"/>
      <c r="IVB14" s="58"/>
      <c r="IVC14" s="58"/>
      <c r="IVD14" s="58"/>
      <c r="IVE14" s="58"/>
      <c r="IVF14" s="58"/>
      <c r="IVG14" s="58"/>
      <c r="IVH14" s="58"/>
      <c r="IVI14" s="58"/>
      <c r="IVJ14" s="58"/>
      <c r="IVK14" s="58"/>
      <c r="IVL14" s="58"/>
      <c r="IVM14" s="58"/>
      <c r="IVN14" s="58"/>
      <c r="IVO14" s="58"/>
      <c r="IVP14" s="58"/>
      <c r="IVQ14" s="58"/>
      <c r="IVR14" s="58"/>
      <c r="IVS14" s="58"/>
      <c r="IVT14" s="58"/>
      <c r="IVU14" s="58"/>
      <c r="IVV14" s="58"/>
      <c r="IVW14" s="58"/>
      <c r="IVX14" s="58"/>
      <c r="IVY14" s="58"/>
      <c r="IVZ14" s="58"/>
      <c r="IWA14" s="58"/>
      <c r="IWB14" s="58"/>
      <c r="IWC14" s="58"/>
      <c r="IWD14" s="58"/>
      <c r="IWE14" s="58"/>
      <c r="IWF14" s="58"/>
      <c r="IWG14" s="58"/>
      <c r="IWH14" s="58"/>
      <c r="IWI14" s="58"/>
      <c r="IWJ14" s="58"/>
      <c r="IWK14" s="58"/>
      <c r="IWL14" s="58"/>
      <c r="IWM14" s="58"/>
      <c r="IWN14" s="58"/>
      <c r="IWO14" s="58"/>
      <c r="IWP14" s="58"/>
      <c r="IWQ14" s="58"/>
      <c r="IWR14" s="58"/>
      <c r="IWS14" s="58"/>
      <c r="IWT14" s="58"/>
      <c r="IWU14" s="58"/>
      <c r="IWV14" s="58"/>
      <c r="IWW14" s="58"/>
      <c r="IWX14" s="58"/>
      <c r="IWY14" s="58"/>
      <c r="IWZ14" s="58"/>
      <c r="IXA14" s="58"/>
      <c r="IXB14" s="58"/>
      <c r="IXC14" s="58"/>
      <c r="IXD14" s="58"/>
      <c r="IXE14" s="58"/>
      <c r="IXF14" s="58"/>
      <c r="IXG14" s="58"/>
      <c r="IXH14" s="58"/>
      <c r="IXI14" s="58"/>
      <c r="IXJ14" s="58"/>
      <c r="IXK14" s="58"/>
      <c r="IXL14" s="58"/>
      <c r="IXM14" s="58"/>
      <c r="IXN14" s="58"/>
      <c r="IXO14" s="58"/>
      <c r="IXP14" s="58"/>
      <c r="IXQ14" s="58"/>
      <c r="IXR14" s="58"/>
      <c r="IXS14" s="58"/>
      <c r="IXT14" s="58"/>
      <c r="IXU14" s="58"/>
      <c r="IXV14" s="58"/>
      <c r="IXW14" s="58"/>
      <c r="IXX14" s="58"/>
      <c r="IXY14" s="58"/>
      <c r="IXZ14" s="58"/>
      <c r="IYA14" s="58"/>
      <c r="IYB14" s="58"/>
      <c r="IYC14" s="58"/>
      <c r="IYD14" s="58"/>
      <c r="IYE14" s="58"/>
      <c r="IYF14" s="58"/>
      <c r="IYG14" s="58"/>
      <c r="IYH14" s="58"/>
      <c r="IYI14" s="58"/>
      <c r="IYJ14" s="58"/>
      <c r="IYK14" s="58"/>
      <c r="IYL14" s="58"/>
      <c r="IYM14" s="58"/>
      <c r="IYN14" s="58"/>
      <c r="IYO14" s="58"/>
      <c r="IYP14" s="58"/>
      <c r="IYQ14" s="58"/>
      <c r="IYR14" s="58"/>
      <c r="IYS14" s="58"/>
      <c r="IYT14" s="58"/>
      <c r="IYU14" s="58"/>
      <c r="IYV14" s="58"/>
      <c r="IYW14" s="58"/>
      <c r="IYX14" s="58"/>
      <c r="IYY14" s="58"/>
      <c r="IYZ14" s="58"/>
      <c r="IZA14" s="58"/>
      <c r="IZB14" s="58"/>
      <c r="IZC14" s="58"/>
      <c r="IZD14" s="58"/>
      <c r="IZE14" s="58"/>
      <c r="IZF14" s="58"/>
      <c r="IZG14" s="58"/>
      <c r="IZH14" s="58"/>
      <c r="IZI14" s="58"/>
      <c r="IZJ14" s="58"/>
      <c r="IZK14" s="58"/>
      <c r="IZL14" s="58"/>
      <c r="IZM14" s="58"/>
      <c r="IZN14" s="58"/>
      <c r="IZO14" s="58"/>
      <c r="IZP14" s="58"/>
      <c r="IZQ14" s="58"/>
      <c r="IZR14" s="58"/>
      <c r="IZS14" s="58"/>
      <c r="IZT14" s="58"/>
      <c r="IZU14" s="58"/>
      <c r="IZV14" s="58"/>
      <c r="IZW14" s="58"/>
      <c r="IZX14" s="58"/>
      <c r="IZY14" s="58"/>
      <c r="IZZ14" s="58"/>
      <c r="JAA14" s="58"/>
      <c r="JAB14" s="58"/>
      <c r="JAC14" s="58"/>
      <c r="JAD14" s="58"/>
      <c r="JAE14" s="58"/>
      <c r="JAF14" s="58"/>
      <c r="JAG14" s="58"/>
      <c r="JAH14" s="58"/>
      <c r="JAI14" s="58"/>
      <c r="JAJ14" s="58"/>
      <c r="JAK14" s="58"/>
      <c r="JAL14" s="58"/>
      <c r="JAM14" s="58"/>
      <c r="JAN14" s="58"/>
      <c r="JAO14" s="58"/>
      <c r="JAP14" s="58"/>
      <c r="JAQ14" s="58"/>
      <c r="JAR14" s="58"/>
      <c r="JAS14" s="58"/>
      <c r="JAT14" s="58"/>
      <c r="JAU14" s="58"/>
      <c r="JAV14" s="58"/>
      <c r="JAW14" s="58"/>
      <c r="JAX14" s="58"/>
      <c r="JAY14" s="58"/>
      <c r="JAZ14" s="58"/>
      <c r="JBA14" s="58"/>
      <c r="JBB14" s="58"/>
      <c r="JBC14" s="58"/>
      <c r="JBD14" s="58"/>
      <c r="JBE14" s="58"/>
      <c r="JBF14" s="58"/>
      <c r="JBG14" s="58"/>
      <c r="JBH14" s="58"/>
      <c r="JBI14" s="58"/>
      <c r="JBJ14" s="58"/>
      <c r="JBK14" s="58"/>
      <c r="JBL14" s="58"/>
      <c r="JBM14" s="58"/>
      <c r="JBN14" s="58"/>
      <c r="JBO14" s="58"/>
      <c r="JBP14" s="58"/>
      <c r="JBQ14" s="58"/>
      <c r="JBR14" s="58"/>
      <c r="JBS14" s="58"/>
      <c r="JBT14" s="58"/>
      <c r="JBU14" s="58"/>
      <c r="JBV14" s="58"/>
      <c r="JBW14" s="58"/>
      <c r="JBX14" s="58"/>
      <c r="JBY14" s="58"/>
      <c r="JBZ14" s="58"/>
      <c r="JCA14" s="58"/>
      <c r="JCB14" s="58"/>
      <c r="JCC14" s="58"/>
      <c r="JCD14" s="58"/>
      <c r="JCE14" s="58"/>
      <c r="JCF14" s="58"/>
      <c r="JCG14" s="58"/>
      <c r="JCH14" s="58"/>
      <c r="JCI14" s="58"/>
      <c r="JCJ14" s="58"/>
      <c r="JCK14" s="58"/>
      <c r="JCL14" s="58"/>
      <c r="JCM14" s="58"/>
      <c r="JCN14" s="58"/>
      <c r="JCO14" s="58"/>
      <c r="JCP14" s="58"/>
      <c r="JCQ14" s="58"/>
      <c r="JCR14" s="58"/>
      <c r="JCS14" s="58"/>
      <c r="JCT14" s="58"/>
      <c r="JCU14" s="58"/>
      <c r="JCV14" s="58"/>
      <c r="JCW14" s="58"/>
      <c r="JCX14" s="58"/>
      <c r="JCY14" s="58"/>
      <c r="JCZ14" s="58"/>
      <c r="JDA14" s="58"/>
      <c r="JDB14" s="58"/>
      <c r="JDC14" s="58"/>
      <c r="JDD14" s="58"/>
      <c r="JDE14" s="58"/>
      <c r="JDF14" s="58"/>
      <c r="JDG14" s="58"/>
      <c r="JDH14" s="58"/>
      <c r="JDI14" s="58"/>
      <c r="JDJ14" s="58"/>
      <c r="JDK14" s="58"/>
      <c r="JDL14" s="58"/>
      <c r="JDM14" s="58"/>
      <c r="JDN14" s="58"/>
      <c r="JDO14" s="58"/>
      <c r="JDP14" s="58"/>
      <c r="JDQ14" s="58"/>
      <c r="JDR14" s="58"/>
      <c r="JDS14" s="58"/>
      <c r="JDT14" s="58"/>
      <c r="JDU14" s="58"/>
      <c r="JDV14" s="58"/>
      <c r="JDW14" s="58"/>
      <c r="JDX14" s="58"/>
      <c r="JDY14" s="58"/>
      <c r="JDZ14" s="58"/>
      <c r="JEA14" s="58"/>
      <c r="JEB14" s="58"/>
      <c r="JEC14" s="58"/>
      <c r="JED14" s="58"/>
      <c r="JEE14" s="58"/>
      <c r="JEF14" s="58"/>
      <c r="JEG14" s="58"/>
      <c r="JEH14" s="58"/>
      <c r="JEI14" s="58"/>
      <c r="JEJ14" s="58"/>
      <c r="JEK14" s="58"/>
      <c r="JEL14" s="58"/>
      <c r="JEM14" s="58"/>
      <c r="JEN14" s="58"/>
      <c r="JEO14" s="58"/>
      <c r="JEP14" s="58"/>
      <c r="JEQ14" s="58"/>
      <c r="JER14" s="58"/>
      <c r="JES14" s="58"/>
      <c r="JET14" s="58"/>
      <c r="JEU14" s="58"/>
      <c r="JEV14" s="58"/>
      <c r="JEW14" s="58"/>
      <c r="JEX14" s="58"/>
      <c r="JEY14" s="58"/>
      <c r="JEZ14" s="58"/>
      <c r="JFA14" s="58"/>
      <c r="JFB14" s="58"/>
      <c r="JFC14" s="58"/>
      <c r="JFD14" s="58"/>
      <c r="JFE14" s="58"/>
      <c r="JFF14" s="58"/>
      <c r="JFG14" s="58"/>
      <c r="JFH14" s="58"/>
      <c r="JFI14" s="58"/>
      <c r="JFJ14" s="58"/>
      <c r="JFK14" s="58"/>
      <c r="JFL14" s="58"/>
      <c r="JFM14" s="58"/>
      <c r="JFN14" s="58"/>
      <c r="JFO14" s="58"/>
      <c r="JFP14" s="58"/>
      <c r="JFQ14" s="58"/>
      <c r="JFR14" s="58"/>
      <c r="JFS14" s="58"/>
      <c r="JFT14" s="58"/>
      <c r="JFU14" s="58"/>
      <c r="JFV14" s="58"/>
      <c r="JFW14" s="58"/>
      <c r="JFX14" s="58"/>
      <c r="JFY14" s="58"/>
      <c r="JFZ14" s="58"/>
      <c r="JGA14" s="58"/>
      <c r="JGB14" s="58"/>
      <c r="JGC14" s="58"/>
      <c r="JGD14" s="58"/>
      <c r="JGE14" s="58"/>
      <c r="JGF14" s="58"/>
      <c r="JGG14" s="58"/>
      <c r="JGH14" s="58"/>
      <c r="JGI14" s="58"/>
      <c r="JGJ14" s="58"/>
      <c r="JGK14" s="58"/>
      <c r="JGL14" s="58"/>
      <c r="JGM14" s="58"/>
      <c r="JGN14" s="58"/>
      <c r="JGO14" s="58"/>
      <c r="JGP14" s="58"/>
      <c r="JGQ14" s="58"/>
      <c r="JGR14" s="58"/>
      <c r="JGS14" s="58"/>
      <c r="JGT14" s="58"/>
      <c r="JGU14" s="58"/>
      <c r="JGV14" s="58"/>
      <c r="JGW14" s="58"/>
      <c r="JGX14" s="58"/>
      <c r="JGY14" s="58"/>
      <c r="JGZ14" s="58"/>
      <c r="JHA14" s="58"/>
      <c r="JHB14" s="58"/>
      <c r="JHC14" s="58"/>
      <c r="JHD14" s="58"/>
      <c r="JHE14" s="58"/>
      <c r="JHF14" s="58"/>
      <c r="JHG14" s="58"/>
      <c r="JHH14" s="58"/>
      <c r="JHI14" s="58"/>
      <c r="JHJ14" s="58"/>
      <c r="JHK14" s="58"/>
      <c r="JHL14" s="58"/>
      <c r="JHM14" s="58"/>
      <c r="JHN14" s="58"/>
      <c r="JHO14" s="58"/>
      <c r="JHP14" s="58"/>
      <c r="JHQ14" s="58"/>
      <c r="JHR14" s="58"/>
      <c r="JHS14" s="58"/>
      <c r="JHT14" s="58"/>
      <c r="JHU14" s="58"/>
      <c r="JHV14" s="58"/>
      <c r="JHW14" s="58"/>
      <c r="JHX14" s="58"/>
      <c r="JHY14" s="58"/>
      <c r="JHZ14" s="58"/>
      <c r="JIA14" s="58"/>
      <c r="JIB14" s="58"/>
      <c r="JIC14" s="58"/>
      <c r="JID14" s="58"/>
      <c r="JIE14" s="58"/>
      <c r="JIF14" s="58"/>
      <c r="JIG14" s="58"/>
      <c r="JIH14" s="58"/>
      <c r="JII14" s="58"/>
      <c r="JIJ14" s="58"/>
      <c r="JIK14" s="58"/>
      <c r="JIL14" s="58"/>
      <c r="JIM14" s="58"/>
      <c r="JIN14" s="58"/>
      <c r="JIO14" s="58"/>
      <c r="JIP14" s="58"/>
      <c r="JIQ14" s="58"/>
      <c r="JIR14" s="58"/>
      <c r="JIS14" s="58"/>
      <c r="JIT14" s="58"/>
      <c r="JIU14" s="58"/>
      <c r="JIV14" s="58"/>
      <c r="JIW14" s="58"/>
      <c r="JIX14" s="58"/>
      <c r="JIY14" s="58"/>
      <c r="JIZ14" s="58"/>
      <c r="JJA14" s="58"/>
      <c r="JJB14" s="58"/>
      <c r="JJC14" s="58"/>
      <c r="JJD14" s="58"/>
      <c r="JJE14" s="58"/>
      <c r="JJF14" s="58"/>
      <c r="JJG14" s="58"/>
      <c r="JJH14" s="58"/>
      <c r="JJI14" s="58"/>
      <c r="JJJ14" s="58"/>
      <c r="JJK14" s="58"/>
      <c r="JJL14" s="58"/>
      <c r="JJM14" s="58"/>
      <c r="JJN14" s="58"/>
      <c r="JJO14" s="58"/>
      <c r="JJP14" s="58"/>
      <c r="JJQ14" s="58"/>
      <c r="JJR14" s="58"/>
      <c r="JJS14" s="58"/>
      <c r="JJT14" s="58"/>
      <c r="JJU14" s="58"/>
      <c r="JJV14" s="58"/>
      <c r="JJW14" s="58"/>
      <c r="JJX14" s="58"/>
      <c r="JJY14" s="58"/>
      <c r="JJZ14" s="58"/>
      <c r="JKA14" s="58"/>
      <c r="JKB14" s="58"/>
      <c r="JKC14" s="58"/>
      <c r="JKD14" s="58"/>
      <c r="JKE14" s="58"/>
      <c r="JKF14" s="58"/>
      <c r="JKG14" s="58"/>
      <c r="JKH14" s="58"/>
      <c r="JKI14" s="58"/>
      <c r="JKJ14" s="58"/>
      <c r="JKK14" s="58"/>
      <c r="JKL14" s="58"/>
      <c r="JKM14" s="58"/>
      <c r="JKN14" s="58"/>
      <c r="JKO14" s="58"/>
      <c r="JKP14" s="58"/>
      <c r="JKQ14" s="58"/>
      <c r="JKR14" s="58"/>
      <c r="JKS14" s="58"/>
      <c r="JKT14" s="58"/>
      <c r="JKU14" s="58"/>
      <c r="JKV14" s="58"/>
      <c r="JKW14" s="58"/>
      <c r="JKX14" s="58"/>
      <c r="JKY14" s="58"/>
      <c r="JKZ14" s="58"/>
      <c r="JLA14" s="58"/>
      <c r="JLB14" s="58"/>
      <c r="JLC14" s="58"/>
      <c r="JLD14" s="58"/>
      <c r="JLE14" s="58"/>
      <c r="JLF14" s="58"/>
      <c r="JLG14" s="58"/>
      <c r="JLH14" s="58"/>
      <c r="JLI14" s="58"/>
      <c r="JLJ14" s="58"/>
      <c r="JLK14" s="58"/>
      <c r="JLL14" s="58"/>
      <c r="JLM14" s="58"/>
      <c r="JLN14" s="58"/>
      <c r="JLO14" s="58"/>
      <c r="JLP14" s="58"/>
      <c r="JLQ14" s="58"/>
      <c r="JLR14" s="58"/>
      <c r="JLS14" s="58"/>
      <c r="JLT14" s="58"/>
      <c r="JLU14" s="58"/>
      <c r="JLV14" s="58"/>
      <c r="JLW14" s="58"/>
      <c r="JLX14" s="58"/>
      <c r="JLY14" s="58"/>
      <c r="JLZ14" s="58"/>
      <c r="JMA14" s="58"/>
      <c r="JMB14" s="58"/>
      <c r="JMC14" s="58"/>
      <c r="JMD14" s="58"/>
      <c r="JME14" s="58"/>
      <c r="JMF14" s="58"/>
      <c r="JMG14" s="58"/>
      <c r="JMH14" s="58"/>
      <c r="JMI14" s="58"/>
      <c r="JMJ14" s="58"/>
      <c r="JMK14" s="58"/>
      <c r="JML14" s="58"/>
      <c r="JMM14" s="58"/>
      <c r="JMN14" s="58"/>
      <c r="JMO14" s="58"/>
      <c r="JMP14" s="58"/>
      <c r="JMQ14" s="58"/>
      <c r="JMR14" s="58"/>
      <c r="JMS14" s="58"/>
      <c r="JMT14" s="58"/>
      <c r="JMU14" s="58"/>
      <c r="JMV14" s="58"/>
      <c r="JMW14" s="58"/>
      <c r="JMX14" s="58"/>
      <c r="JMY14" s="58"/>
      <c r="JMZ14" s="58"/>
      <c r="JNA14" s="58"/>
      <c r="JNB14" s="58"/>
      <c r="JNC14" s="58"/>
      <c r="JND14" s="58"/>
      <c r="JNE14" s="58"/>
      <c r="JNF14" s="58"/>
      <c r="JNG14" s="58"/>
      <c r="JNH14" s="58"/>
      <c r="JNI14" s="58"/>
      <c r="JNJ14" s="58"/>
      <c r="JNK14" s="58"/>
      <c r="JNL14" s="58"/>
      <c r="JNM14" s="58"/>
      <c r="JNN14" s="58"/>
      <c r="JNO14" s="58"/>
      <c r="JNP14" s="58"/>
      <c r="JNQ14" s="58"/>
      <c r="JNR14" s="58"/>
      <c r="JNS14" s="58"/>
      <c r="JNT14" s="58"/>
      <c r="JNU14" s="58"/>
      <c r="JNV14" s="58"/>
      <c r="JNW14" s="58"/>
      <c r="JNX14" s="58"/>
      <c r="JNY14" s="58"/>
      <c r="JNZ14" s="58"/>
      <c r="JOA14" s="58"/>
      <c r="JOB14" s="58"/>
      <c r="JOC14" s="58"/>
      <c r="JOD14" s="58"/>
      <c r="JOE14" s="58"/>
      <c r="JOF14" s="58"/>
      <c r="JOG14" s="58"/>
      <c r="JOH14" s="58"/>
      <c r="JOI14" s="58"/>
      <c r="JOJ14" s="58"/>
      <c r="JOK14" s="58"/>
      <c r="JOL14" s="58"/>
      <c r="JOM14" s="58"/>
      <c r="JON14" s="58"/>
      <c r="JOO14" s="58"/>
      <c r="JOP14" s="58"/>
      <c r="JOQ14" s="58"/>
      <c r="JOR14" s="58"/>
      <c r="JOS14" s="58"/>
      <c r="JOT14" s="58"/>
      <c r="JOU14" s="58"/>
      <c r="JOV14" s="58"/>
      <c r="JOW14" s="58"/>
      <c r="JOX14" s="58"/>
      <c r="JOY14" s="58"/>
      <c r="JOZ14" s="58"/>
      <c r="JPA14" s="58"/>
      <c r="JPB14" s="58"/>
      <c r="JPC14" s="58"/>
      <c r="JPD14" s="58"/>
      <c r="JPE14" s="58"/>
      <c r="JPF14" s="58"/>
      <c r="JPG14" s="58"/>
      <c r="JPH14" s="58"/>
      <c r="JPI14" s="58"/>
      <c r="JPJ14" s="58"/>
      <c r="JPK14" s="58"/>
      <c r="JPL14" s="58"/>
      <c r="JPM14" s="58"/>
      <c r="JPN14" s="58"/>
      <c r="JPO14" s="58"/>
      <c r="JPP14" s="58"/>
      <c r="JPQ14" s="58"/>
      <c r="JPR14" s="58"/>
      <c r="JPS14" s="58"/>
      <c r="JPT14" s="58"/>
      <c r="JPU14" s="58"/>
      <c r="JPV14" s="58"/>
      <c r="JPW14" s="58"/>
      <c r="JPX14" s="58"/>
      <c r="JPY14" s="58"/>
      <c r="JPZ14" s="58"/>
      <c r="JQA14" s="58"/>
      <c r="JQB14" s="58"/>
      <c r="JQC14" s="58"/>
      <c r="JQD14" s="58"/>
      <c r="JQE14" s="58"/>
      <c r="JQF14" s="58"/>
      <c r="JQG14" s="58"/>
      <c r="JQH14" s="58"/>
      <c r="JQI14" s="58"/>
      <c r="JQJ14" s="58"/>
      <c r="JQK14" s="58"/>
      <c r="JQL14" s="58"/>
      <c r="JQM14" s="58"/>
      <c r="JQN14" s="58"/>
      <c r="JQO14" s="58"/>
      <c r="JQP14" s="58"/>
      <c r="JQQ14" s="58"/>
      <c r="JQR14" s="58"/>
      <c r="JQS14" s="58"/>
      <c r="JQT14" s="58"/>
      <c r="JQU14" s="58"/>
      <c r="JQV14" s="58"/>
      <c r="JQW14" s="58"/>
      <c r="JQX14" s="58"/>
      <c r="JQY14" s="58"/>
      <c r="JQZ14" s="58"/>
      <c r="JRA14" s="58"/>
      <c r="JRB14" s="58"/>
      <c r="JRC14" s="58"/>
      <c r="JRD14" s="58"/>
      <c r="JRE14" s="58"/>
      <c r="JRF14" s="58"/>
      <c r="JRG14" s="58"/>
      <c r="JRH14" s="58"/>
      <c r="JRI14" s="58"/>
      <c r="JRJ14" s="58"/>
      <c r="JRK14" s="58"/>
      <c r="JRL14" s="58"/>
      <c r="JRM14" s="58"/>
      <c r="JRN14" s="58"/>
      <c r="JRO14" s="58"/>
      <c r="JRP14" s="58"/>
      <c r="JRQ14" s="58"/>
      <c r="JRR14" s="58"/>
      <c r="JRS14" s="58"/>
      <c r="JRT14" s="58"/>
      <c r="JRU14" s="58"/>
      <c r="JRV14" s="58"/>
      <c r="JRW14" s="58"/>
      <c r="JRX14" s="58"/>
      <c r="JRY14" s="58"/>
      <c r="JRZ14" s="58"/>
      <c r="JSA14" s="58"/>
      <c r="JSB14" s="58"/>
      <c r="JSC14" s="58"/>
      <c r="JSD14" s="58"/>
      <c r="JSE14" s="58"/>
      <c r="JSF14" s="58"/>
      <c r="JSG14" s="58"/>
      <c r="JSH14" s="58"/>
      <c r="JSI14" s="58"/>
      <c r="JSJ14" s="58"/>
      <c r="JSK14" s="58"/>
      <c r="JSL14" s="58"/>
      <c r="JSM14" s="58"/>
      <c r="JSN14" s="58"/>
      <c r="JSO14" s="58"/>
      <c r="JSP14" s="58"/>
      <c r="JSQ14" s="58"/>
      <c r="JSR14" s="58"/>
      <c r="JSS14" s="58"/>
      <c r="JST14" s="58"/>
      <c r="JSU14" s="58"/>
      <c r="JSV14" s="58"/>
      <c r="JSW14" s="58"/>
      <c r="JSX14" s="58"/>
      <c r="JSY14" s="58"/>
      <c r="JSZ14" s="58"/>
      <c r="JTA14" s="58"/>
      <c r="JTB14" s="58"/>
      <c r="JTC14" s="58"/>
      <c r="JTD14" s="58"/>
      <c r="JTE14" s="58"/>
      <c r="JTF14" s="58"/>
      <c r="JTG14" s="58"/>
      <c r="JTH14" s="58"/>
      <c r="JTI14" s="58"/>
      <c r="JTJ14" s="58"/>
      <c r="JTK14" s="58"/>
      <c r="JTL14" s="58"/>
      <c r="JTM14" s="58"/>
      <c r="JTN14" s="58"/>
      <c r="JTO14" s="58"/>
      <c r="JTP14" s="58"/>
      <c r="JTQ14" s="58"/>
      <c r="JTR14" s="58"/>
      <c r="JTS14" s="58"/>
      <c r="JTT14" s="58"/>
      <c r="JTU14" s="58"/>
      <c r="JTV14" s="58"/>
      <c r="JTW14" s="58"/>
      <c r="JTX14" s="58"/>
      <c r="JTY14" s="58"/>
      <c r="JTZ14" s="58"/>
      <c r="JUA14" s="58"/>
      <c r="JUB14" s="58"/>
      <c r="JUC14" s="58"/>
      <c r="JUD14" s="58"/>
      <c r="JUE14" s="58"/>
      <c r="JUF14" s="58"/>
      <c r="JUG14" s="58"/>
      <c r="JUH14" s="58"/>
      <c r="JUI14" s="58"/>
      <c r="JUJ14" s="58"/>
      <c r="JUK14" s="58"/>
      <c r="JUL14" s="58"/>
      <c r="JUM14" s="58"/>
      <c r="JUN14" s="58"/>
      <c r="JUO14" s="58"/>
      <c r="JUP14" s="58"/>
      <c r="JUQ14" s="58"/>
      <c r="JUR14" s="58"/>
      <c r="JUS14" s="58"/>
      <c r="JUT14" s="58"/>
      <c r="JUU14" s="58"/>
      <c r="JUV14" s="58"/>
      <c r="JUW14" s="58"/>
      <c r="JUX14" s="58"/>
      <c r="JUY14" s="58"/>
      <c r="JUZ14" s="58"/>
      <c r="JVA14" s="58"/>
      <c r="JVB14" s="58"/>
      <c r="JVC14" s="58"/>
      <c r="JVD14" s="58"/>
      <c r="JVE14" s="58"/>
      <c r="JVF14" s="58"/>
      <c r="JVG14" s="58"/>
      <c r="JVH14" s="58"/>
      <c r="JVI14" s="58"/>
      <c r="JVJ14" s="58"/>
      <c r="JVK14" s="58"/>
      <c r="JVL14" s="58"/>
      <c r="JVM14" s="58"/>
      <c r="JVN14" s="58"/>
      <c r="JVO14" s="58"/>
      <c r="JVP14" s="58"/>
      <c r="JVQ14" s="58"/>
      <c r="JVR14" s="58"/>
      <c r="JVS14" s="58"/>
      <c r="JVT14" s="58"/>
      <c r="JVU14" s="58"/>
      <c r="JVV14" s="58"/>
      <c r="JVW14" s="58"/>
      <c r="JVX14" s="58"/>
      <c r="JVY14" s="58"/>
      <c r="JVZ14" s="58"/>
      <c r="JWA14" s="58"/>
      <c r="JWB14" s="58"/>
      <c r="JWC14" s="58"/>
      <c r="JWD14" s="58"/>
      <c r="JWE14" s="58"/>
      <c r="JWF14" s="58"/>
      <c r="JWG14" s="58"/>
      <c r="JWH14" s="58"/>
      <c r="JWI14" s="58"/>
      <c r="JWJ14" s="58"/>
      <c r="JWK14" s="58"/>
      <c r="JWL14" s="58"/>
      <c r="JWM14" s="58"/>
      <c r="JWN14" s="58"/>
      <c r="JWO14" s="58"/>
      <c r="JWP14" s="58"/>
      <c r="JWQ14" s="58"/>
      <c r="JWR14" s="58"/>
      <c r="JWS14" s="58"/>
      <c r="JWT14" s="58"/>
      <c r="JWU14" s="58"/>
      <c r="JWV14" s="58"/>
      <c r="JWW14" s="58"/>
      <c r="JWX14" s="58"/>
      <c r="JWY14" s="58"/>
      <c r="JWZ14" s="58"/>
      <c r="JXA14" s="58"/>
      <c r="JXB14" s="58"/>
      <c r="JXC14" s="58"/>
      <c r="JXD14" s="58"/>
      <c r="JXE14" s="58"/>
      <c r="JXF14" s="58"/>
      <c r="JXG14" s="58"/>
      <c r="JXH14" s="58"/>
      <c r="JXI14" s="58"/>
      <c r="JXJ14" s="58"/>
      <c r="JXK14" s="58"/>
      <c r="JXL14" s="58"/>
      <c r="JXM14" s="58"/>
      <c r="JXN14" s="58"/>
      <c r="JXO14" s="58"/>
      <c r="JXP14" s="58"/>
      <c r="JXQ14" s="58"/>
      <c r="JXR14" s="58"/>
      <c r="JXS14" s="58"/>
      <c r="JXT14" s="58"/>
      <c r="JXU14" s="58"/>
      <c r="JXV14" s="58"/>
      <c r="JXW14" s="58"/>
      <c r="JXX14" s="58"/>
      <c r="JXY14" s="58"/>
      <c r="JXZ14" s="58"/>
      <c r="JYA14" s="58"/>
      <c r="JYB14" s="58"/>
      <c r="JYC14" s="58"/>
      <c r="JYD14" s="58"/>
      <c r="JYE14" s="58"/>
      <c r="JYF14" s="58"/>
      <c r="JYG14" s="58"/>
      <c r="JYH14" s="58"/>
      <c r="JYI14" s="58"/>
      <c r="JYJ14" s="58"/>
      <c r="JYK14" s="58"/>
      <c r="JYL14" s="58"/>
      <c r="JYM14" s="58"/>
      <c r="JYN14" s="58"/>
      <c r="JYO14" s="58"/>
      <c r="JYP14" s="58"/>
      <c r="JYQ14" s="58"/>
      <c r="JYR14" s="58"/>
      <c r="JYS14" s="58"/>
      <c r="JYT14" s="58"/>
      <c r="JYU14" s="58"/>
      <c r="JYV14" s="58"/>
      <c r="JYW14" s="58"/>
      <c r="JYX14" s="58"/>
      <c r="JYY14" s="58"/>
      <c r="JYZ14" s="58"/>
      <c r="JZA14" s="58"/>
      <c r="JZB14" s="58"/>
      <c r="JZC14" s="58"/>
      <c r="JZD14" s="58"/>
      <c r="JZE14" s="58"/>
      <c r="JZF14" s="58"/>
      <c r="JZG14" s="58"/>
      <c r="JZH14" s="58"/>
      <c r="JZI14" s="58"/>
      <c r="JZJ14" s="58"/>
      <c r="JZK14" s="58"/>
      <c r="JZL14" s="58"/>
      <c r="JZM14" s="58"/>
      <c r="JZN14" s="58"/>
      <c r="JZO14" s="58"/>
      <c r="JZP14" s="58"/>
      <c r="JZQ14" s="58"/>
      <c r="JZR14" s="58"/>
      <c r="JZS14" s="58"/>
      <c r="JZT14" s="58"/>
      <c r="JZU14" s="58"/>
      <c r="JZV14" s="58"/>
      <c r="JZW14" s="58"/>
      <c r="JZX14" s="58"/>
      <c r="JZY14" s="58"/>
      <c r="JZZ14" s="58"/>
      <c r="KAA14" s="58"/>
      <c r="KAB14" s="58"/>
      <c r="KAC14" s="58"/>
      <c r="KAD14" s="58"/>
      <c r="KAE14" s="58"/>
      <c r="KAF14" s="58"/>
      <c r="KAG14" s="58"/>
      <c r="KAH14" s="58"/>
      <c r="KAI14" s="58"/>
      <c r="KAJ14" s="58"/>
      <c r="KAK14" s="58"/>
      <c r="KAL14" s="58"/>
      <c r="KAM14" s="58"/>
      <c r="KAN14" s="58"/>
      <c r="KAO14" s="58"/>
      <c r="KAP14" s="58"/>
      <c r="KAQ14" s="58"/>
      <c r="KAR14" s="58"/>
      <c r="KAS14" s="58"/>
      <c r="KAT14" s="58"/>
      <c r="KAU14" s="58"/>
      <c r="KAV14" s="58"/>
      <c r="KAW14" s="58"/>
      <c r="KAX14" s="58"/>
      <c r="KAY14" s="58"/>
      <c r="KAZ14" s="58"/>
      <c r="KBA14" s="58"/>
      <c r="KBB14" s="58"/>
      <c r="KBC14" s="58"/>
      <c r="KBD14" s="58"/>
      <c r="KBE14" s="58"/>
      <c r="KBF14" s="58"/>
      <c r="KBG14" s="58"/>
      <c r="KBH14" s="58"/>
      <c r="KBI14" s="58"/>
      <c r="KBJ14" s="58"/>
      <c r="KBK14" s="58"/>
      <c r="KBL14" s="58"/>
      <c r="KBM14" s="58"/>
      <c r="KBN14" s="58"/>
      <c r="KBO14" s="58"/>
      <c r="KBP14" s="58"/>
      <c r="KBQ14" s="58"/>
      <c r="KBR14" s="58"/>
      <c r="KBS14" s="58"/>
      <c r="KBT14" s="58"/>
      <c r="KBU14" s="58"/>
      <c r="KBV14" s="58"/>
      <c r="KBW14" s="58"/>
      <c r="KBX14" s="58"/>
      <c r="KBY14" s="58"/>
      <c r="KBZ14" s="58"/>
      <c r="KCA14" s="58"/>
      <c r="KCB14" s="58"/>
      <c r="KCC14" s="58"/>
      <c r="KCD14" s="58"/>
      <c r="KCE14" s="58"/>
      <c r="KCF14" s="58"/>
      <c r="KCG14" s="58"/>
      <c r="KCH14" s="58"/>
      <c r="KCI14" s="58"/>
      <c r="KCJ14" s="58"/>
      <c r="KCK14" s="58"/>
      <c r="KCL14" s="58"/>
      <c r="KCM14" s="58"/>
      <c r="KCN14" s="58"/>
      <c r="KCO14" s="58"/>
      <c r="KCP14" s="58"/>
      <c r="KCQ14" s="58"/>
      <c r="KCR14" s="58"/>
      <c r="KCS14" s="58"/>
      <c r="KCT14" s="58"/>
      <c r="KCU14" s="58"/>
      <c r="KCV14" s="58"/>
      <c r="KCW14" s="58"/>
      <c r="KCX14" s="58"/>
      <c r="KCY14" s="58"/>
      <c r="KCZ14" s="58"/>
      <c r="KDA14" s="58"/>
      <c r="KDB14" s="58"/>
      <c r="KDC14" s="58"/>
      <c r="KDD14" s="58"/>
      <c r="KDE14" s="58"/>
      <c r="KDF14" s="58"/>
      <c r="KDG14" s="58"/>
      <c r="KDH14" s="58"/>
      <c r="KDI14" s="58"/>
      <c r="KDJ14" s="58"/>
      <c r="KDK14" s="58"/>
      <c r="KDL14" s="58"/>
      <c r="KDM14" s="58"/>
      <c r="KDN14" s="58"/>
      <c r="KDO14" s="58"/>
      <c r="KDP14" s="58"/>
      <c r="KDQ14" s="58"/>
      <c r="KDR14" s="58"/>
      <c r="KDS14" s="58"/>
      <c r="KDT14" s="58"/>
      <c r="KDU14" s="58"/>
      <c r="KDV14" s="58"/>
      <c r="KDW14" s="58"/>
      <c r="KDX14" s="58"/>
      <c r="KDY14" s="58"/>
      <c r="KDZ14" s="58"/>
      <c r="KEA14" s="58"/>
      <c r="KEB14" s="58"/>
      <c r="KEC14" s="58"/>
      <c r="KED14" s="58"/>
      <c r="KEE14" s="58"/>
      <c r="KEF14" s="58"/>
      <c r="KEG14" s="58"/>
      <c r="KEH14" s="58"/>
      <c r="KEI14" s="58"/>
      <c r="KEJ14" s="58"/>
      <c r="KEK14" s="58"/>
      <c r="KEL14" s="58"/>
      <c r="KEM14" s="58"/>
      <c r="KEN14" s="58"/>
      <c r="KEO14" s="58"/>
      <c r="KEP14" s="58"/>
      <c r="KEQ14" s="58"/>
      <c r="KER14" s="58"/>
      <c r="KES14" s="58"/>
      <c r="KET14" s="58"/>
      <c r="KEU14" s="58"/>
      <c r="KEV14" s="58"/>
      <c r="KEW14" s="58"/>
      <c r="KEX14" s="58"/>
      <c r="KEY14" s="58"/>
      <c r="KEZ14" s="58"/>
      <c r="KFA14" s="58"/>
      <c r="KFB14" s="58"/>
      <c r="KFC14" s="58"/>
      <c r="KFD14" s="58"/>
      <c r="KFE14" s="58"/>
      <c r="KFF14" s="58"/>
      <c r="KFG14" s="58"/>
      <c r="KFH14" s="58"/>
      <c r="KFI14" s="58"/>
      <c r="KFJ14" s="58"/>
      <c r="KFK14" s="58"/>
      <c r="KFL14" s="58"/>
      <c r="KFM14" s="58"/>
      <c r="KFN14" s="58"/>
      <c r="KFO14" s="58"/>
      <c r="KFP14" s="58"/>
      <c r="KFQ14" s="58"/>
      <c r="KFR14" s="58"/>
      <c r="KFS14" s="58"/>
      <c r="KFT14" s="58"/>
      <c r="KFU14" s="58"/>
      <c r="KFV14" s="58"/>
      <c r="KFW14" s="58"/>
      <c r="KFX14" s="58"/>
      <c r="KFY14" s="58"/>
      <c r="KFZ14" s="58"/>
      <c r="KGA14" s="58"/>
      <c r="KGB14" s="58"/>
      <c r="KGC14" s="58"/>
      <c r="KGD14" s="58"/>
      <c r="KGE14" s="58"/>
      <c r="KGF14" s="58"/>
      <c r="KGG14" s="58"/>
      <c r="KGH14" s="58"/>
      <c r="KGI14" s="58"/>
      <c r="KGJ14" s="58"/>
      <c r="KGK14" s="58"/>
      <c r="KGL14" s="58"/>
      <c r="KGM14" s="58"/>
      <c r="KGN14" s="58"/>
      <c r="KGO14" s="58"/>
      <c r="KGP14" s="58"/>
      <c r="KGQ14" s="58"/>
      <c r="KGR14" s="58"/>
      <c r="KGS14" s="58"/>
      <c r="KGT14" s="58"/>
      <c r="KGU14" s="58"/>
      <c r="KGV14" s="58"/>
      <c r="KGW14" s="58"/>
      <c r="KGX14" s="58"/>
      <c r="KGY14" s="58"/>
      <c r="KGZ14" s="58"/>
      <c r="KHA14" s="58"/>
      <c r="KHB14" s="58"/>
      <c r="KHC14" s="58"/>
      <c r="KHD14" s="58"/>
      <c r="KHE14" s="58"/>
      <c r="KHF14" s="58"/>
      <c r="KHG14" s="58"/>
      <c r="KHH14" s="58"/>
      <c r="KHI14" s="58"/>
      <c r="KHJ14" s="58"/>
      <c r="KHK14" s="58"/>
      <c r="KHL14" s="58"/>
      <c r="KHM14" s="58"/>
      <c r="KHN14" s="58"/>
      <c r="KHO14" s="58"/>
      <c r="KHP14" s="58"/>
      <c r="KHQ14" s="58"/>
      <c r="KHR14" s="58"/>
      <c r="KHS14" s="58"/>
      <c r="KHT14" s="58"/>
      <c r="KHU14" s="58"/>
      <c r="KHV14" s="58"/>
      <c r="KHW14" s="58"/>
      <c r="KHX14" s="58"/>
      <c r="KHY14" s="58"/>
      <c r="KHZ14" s="58"/>
      <c r="KIA14" s="58"/>
      <c r="KIB14" s="58"/>
      <c r="KIC14" s="58"/>
      <c r="KID14" s="58"/>
      <c r="KIE14" s="58"/>
      <c r="KIF14" s="58"/>
      <c r="KIG14" s="58"/>
      <c r="KIH14" s="58"/>
      <c r="KII14" s="58"/>
      <c r="KIJ14" s="58"/>
      <c r="KIK14" s="58"/>
      <c r="KIL14" s="58"/>
      <c r="KIM14" s="58"/>
      <c r="KIN14" s="58"/>
      <c r="KIO14" s="58"/>
      <c r="KIP14" s="58"/>
      <c r="KIQ14" s="58"/>
      <c r="KIR14" s="58"/>
      <c r="KIS14" s="58"/>
      <c r="KIT14" s="58"/>
      <c r="KIU14" s="58"/>
      <c r="KIV14" s="58"/>
      <c r="KIW14" s="58"/>
      <c r="KIX14" s="58"/>
      <c r="KIY14" s="58"/>
      <c r="KIZ14" s="58"/>
      <c r="KJA14" s="58"/>
      <c r="KJB14" s="58"/>
      <c r="KJC14" s="58"/>
      <c r="KJD14" s="58"/>
      <c r="KJE14" s="58"/>
      <c r="KJF14" s="58"/>
      <c r="KJG14" s="58"/>
      <c r="KJH14" s="58"/>
      <c r="KJI14" s="58"/>
      <c r="KJJ14" s="58"/>
      <c r="KJK14" s="58"/>
      <c r="KJL14" s="58"/>
      <c r="KJM14" s="58"/>
      <c r="KJN14" s="58"/>
      <c r="KJO14" s="58"/>
      <c r="KJP14" s="58"/>
      <c r="KJQ14" s="58"/>
      <c r="KJR14" s="58"/>
      <c r="KJS14" s="58"/>
      <c r="KJT14" s="58"/>
      <c r="KJU14" s="58"/>
      <c r="KJV14" s="58"/>
      <c r="KJW14" s="58"/>
      <c r="KJX14" s="58"/>
      <c r="KJY14" s="58"/>
      <c r="KJZ14" s="58"/>
      <c r="KKA14" s="58"/>
      <c r="KKB14" s="58"/>
      <c r="KKC14" s="58"/>
      <c r="KKD14" s="58"/>
      <c r="KKE14" s="58"/>
      <c r="KKF14" s="58"/>
      <c r="KKG14" s="58"/>
      <c r="KKH14" s="58"/>
      <c r="KKI14" s="58"/>
      <c r="KKJ14" s="58"/>
      <c r="KKK14" s="58"/>
      <c r="KKL14" s="58"/>
      <c r="KKM14" s="58"/>
      <c r="KKN14" s="58"/>
      <c r="KKO14" s="58"/>
      <c r="KKP14" s="58"/>
      <c r="KKQ14" s="58"/>
      <c r="KKR14" s="58"/>
      <c r="KKS14" s="58"/>
      <c r="KKT14" s="58"/>
      <c r="KKU14" s="58"/>
      <c r="KKV14" s="58"/>
      <c r="KKW14" s="58"/>
      <c r="KKX14" s="58"/>
      <c r="KKY14" s="58"/>
      <c r="KKZ14" s="58"/>
      <c r="KLA14" s="58"/>
      <c r="KLB14" s="58"/>
      <c r="KLC14" s="58"/>
      <c r="KLD14" s="58"/>
      <c r="KLE14" s="58"/>
      <c r="KLF14" s="58"/>
      <c r="KLG14" s="58"/>
      <c r="KLH14" s="58"/>
      <c r="KLI14" s="58"/>
      <c r="KLJ14" s="58"/>
      <c r="KLK14" s="58"/>
      <c r="KLL14" s="58"/>
      <c r="KLM14" s="58"/>
      <c r="KLN14" s="58"/>
      <c r="KLO14" s="58"/>
      <c r="KLP14" s="58"/>
      <c r="KLQ14" s="58"/>
      <c r="KLR14" s="58"/>
      <c r="KLS14" s="58"/>
      <c r="KLT14" s="58"/>
      <c r="KLU14" s="58"/>
      <c r="KLV14" s="58"/>
      <c r="KLW14" s="58"/>
      <c r="KLX14" s="58"/>
      <c r="KLY14" s="58"/>
      <c r="KLZ14" s="58"/>
      <c r="KMA14" s="58"/>
      <c r="KMB14" s="58"/>
      <c r="KMC14" s="58"/>
      <c r="KMD14" s="58"/>
      <c r="KME14" s="58"/>
      <c r="KMF14" s="58"/>
      <c r="KMG14" s="58"/>
      <c r="KMH14" s="58"/>
      <c r="KMI14" s="58"/>
      <c r="KMJ14" s="58"/>
      <c r="KMK14" s="58"/>
      <c r="KML14" s="58"/>
      <c r="KMM14" s="58"/>
      <c r="KMN14" s="58"/>
      <c r="KMO14" s="58"/>
      <c r="KMP14" s="58"/>
      <c r="KMQ14" s="58"/>
      <c r="KMR14" s="58"/>
      <c r="KMS14" s="58"/>
      <c r="KMT14" s="58"/>
      <c r="KMU14" s="58"/>
      <c r="KMV14" s="58"/>
      <c r="KMW14" s="58"/>
      <c r="KMX14" s="58"/>
      <c r="KMY14" s="58"/>
      <c r="KMZ14" s="58"/>
      <c r="KNA14" s="58"/>
      <c r="KNB14" s="58"/>
      <c r="KNC14" s="58"/>
      <c r="KND14" s="58"/>
      <c r="KNE14" s="58"/>
      <c r="KNF14" s="58"/>
      <c r="KNG14" s="58"/>
      <c r="KNH14" s="58"/>
      <c r="KNI14" s="58"/>
      <c r="KNJ14" s="58"/>
      <c r="KNK14" s="58"/>
      <c r="KNL14" s="58"/>
      <c r="KNM14" s="58"/>
      <c r="KNN14" s="58"/>
      <c r="KNO14" s="58"/>
      <c r="KNP14" s="58"/>
      <c r="KNQ14" s="58"/>
      <c r="KNR14" s="58"/>
      <c r="KNS14" s="58"/>
      <c r="KNT14" s="58"/>
      <c r="KNU14" s="58"/>
      <c r="KNV14" s="58"/>
      <c r="KNW14" s="58"/>
      <c r="KNX14" s="58"/>
      <c r="KNY14" s="58"/>
      <c r="KNZ14" s="58"/>
      <c r="KOA14" s="58"/>
      <c r="KOB14" s="58"/>
      <c r="KOC14" s="58"/>
      <c r="KOD14" s="58"/>
      <c r="KOE14" s="58"/>
      <c r="KOF14" s="58"/>
      <c r="KOG14" s="58"/>
      <c r="KOH14" s="58"/>
      <c r="KOI14" s="58"/>
      <c r="KOJ14" s="58"/>
      <c r="KOK14" s="58"/>
      <c r="KOL14" s="58"/>
      <c r="KOM14" s="58"/>
      <c r="KON14" s="58"/>
      <c r="KOO14" s="58"/>
      <c r="KOP14" s="58"/>
      <c r="KOQ14" s="58"/>
      <c r="KOR14" s="58"/>
      <c r="KOS14" s="58"/>
      <c r="KOT14" s="58"/>
      <c r="KOU14" s="58"/>
      <c r="KOV14" s="58"/>
      <c r="KOW14" s="58"/>
      <c r="KOX14" s="58"/>
      <c r="KOY14" s="58"/>
      <c r="KOZ14" s="58"/>
      <c r="KPA14" s="58"/>
      <c r="KPB14" s="58"/>
      <c r="KPC14" s="58"/>
      <c r="KPD14" s="58"/>
      <c r="KPE14" s="58"/>
      <c r="KPF14" s="58"/>
      <c r="KPG14" s="58"/>
      <c r="KPH14" s="58"/>
      <c r="KPI14" s="58"/>
      <c r="KPJ14" s="58"/>
      <c r="KPK14" s="58"/>
      <c r="KPL14" s="58"/>
      <c r="KPM14" s="58"/>
      <c r="KPN14" s="58"/>
      <c r="KPO14" s="58"/>
      <c r="KPP14" s="58"/>
      <c r="KPQ14" s="58"/>
      <c r="KPR14" s="58"/>
      <c r="KPS14" s="58"/>
      <c r="KPT14" s="58"/>
      <c r="KPU14" s="58"/>
      <c r="KPV14" s="58"/>
      <c r="KPW14" s="58"/>
      <c r="KPX14" s="58"/>
      <c r="KPY14" s="58"/>
      <c r="KPZ14" s="58"/>
      <c r="KQA14" s="58"/>
      <c r="KQB14" s="58"/>
      <c r="KQC14" s="58"/>
      <c r="KQD14" s="58"/>
      <c r="KQE14" s="58"/>
      <c r="KQF14" s="58"/>
      <c r="KQG14" s="58"/>
      <c r="KQH14" s="58"/>
      <c r="KQI14" s="58"/>
      <c r="KQJ14" s="58"/>
      <c r="KQK14" s="58"/>
      <c r="KQL14" s="58"/>
      <c r="KQM14" s="58"/>
      <c r="KQN14" s="58"/>
      <c r="KQO14" s="58"/>
      <c r="KQP14" s="58"/>
      <c r="KQQ14" s="58"/>
      <c r="KQR14" s="58"/>
      <c r="KQS14" s="58"/>
      <c r="KQT14" s="58"/>
      <c r="KQU14" s="58"/>
      <c r="KQV14" s="58"/>
      <c r="KQW14" s="58"/>
      <c r="KQX14" s="58"/>
      <c r="KQY14" s="58"/>
      <c r="KQZ14" s="58"/>
      <c r="KRA14" s="58"/>
      <c r="KRB14" s="58"/>
      <c r="KRC14" s="58"/>
      <c r="KRD14" s="58"/>
      <c r="KRE14" s="58"/>
      <c r="KRF14" s="58"/>
      <c r="KRG14" s="58"/>
      <c r="KRH14" s="58"/>
      <c r="KRI14" s="58"/>
      <c r="KRJ14" s="58"/>
      <c r="KRK14" s="58"/>
      <c r="KRL14" s="58"/>
      <c r="KRM14" s="58"/>
      <c r="KRN14" s="58"/>
      <c r="KRO14" s="58"/>
      <c r="KRP14" s="58"/>
      <c r="KRQ14" s="58"/>
      <c r="KRR14" s="58"/>
      <c r="KRS14" s="58"/>
      <c r="KRT14" s="58"/>
      <c r="KRU14" s="58"/>
      <c r="KRV14" s="58"/>
      <c r="KRW14" s="58"/>
      <c r="KRX14" s="58"/>
      <c r="KRY14" s="58"/>
      <c r="KRZ14" s="58"/>
      <c r="KSA14" s="58"/>
      <c r="KSB14" s="58"/>
      <c r="KSC14" s="58"/>
      <c r="KSD14" s="58"/>
      <c r="KSE14" s="58"/>
      <c r="KSF14" s="58"/>
      <c r="KSG14" s="58"/>
      <c r="KSH14" s="58"/>
      <c r="KSI14" s="58"/>
      <c r="KSJ14" s="58"/>
      <c r="KSK14" s="58"/>
      <c r="KSL14" s="58"/>
      <c r="KSM14" s="58"/>
      <c r="KSN14" s="58"/>
      <c r="KSO14" s="58"/>
      <c r="KSP14" s="58"/>
      <c r="KSQ14" s="58"/>
      <c r="KSR14" s="58"/>
      <c r="KSS14" s="58"/>
      <c r="KST14" s="58"/>
      <c r="KSU14" s="58"/>
      <c r="KSV14" s="58"/>
      <c r="KSW14" s="58"/>
      <c r="KSX14" s="58"/>
      <c r="KSY14" s="58"/>
      <c r="KSZ14" s="58"/>
      <c r="KTA14" s="58"/>
      <c r="KTB14" s="58"/>
      <c r="KTC14" s="58"/>
      <c r="KTD14" s="58"/>
      <c r="KTE14" s="58"/>
      <c r="KTF14" s="58"/>
      <c r="KTG14" s="58"/>
      <c r="KTH14" s="58"/>
      <c r="KTI14" s="58"/>
      <c r="KTJ14" s="58"/>
      <c r="KTK14" s="58"/>
      <c r="KTL14" s="58"/>
      <c r="KTM14" s="58"/>
      <c r="KTN14" s="58"/>
      <c r="KTO14" s="58"/>
      <c r="KTP14" s="58"/>
      <c r="KTQ14" s="58"/>
      <c r="KTR14" s="58"/>
      <c r="KTS14" s="58"/>
      <c r="KTT14" s="58"/>
      <c r="KTU14" s="58"/>
      <c r="KTV14" s="58"/>
      <c r="KTW14" s="58"/>
      <c r="KTX14" s="58"/>
      <c r="KTY14" s="58"/>
      <c r="KTZ14" s="58"/>
      <c r="KUA14" s="58"/>
      <c r="KUB14" s="58"/>
      <c r="KUC14" s="58"/>
      <c r="KUD14" s="58"/>
      <c r="KUE14" s="58"/>
      <c r="KUF14" s="58"/>
      <c r="KUG14" s="58"/>
      <c r="KUH14" s="58"/>
      <c r="KUI14" s="58"/>
      <c r="KUJ14" s="58"/>
      <c r="KUK14" s="58"/>
      <c r="KUL14" s="58"/>
      <c r="KUM14" s="58"/>
      <c r="KUN14" s="58"/>
      <c r="KUO14" s="58"/>
      <c r="KUP14" s="58"/>
      <c r="KUQ14" s="58"/>
      <c r="KUR14" s="58"/>
      <c r="KUS14" s="58"/>
      <c r="KUT14" s="58"/>
      <c r="KUU14" s="58"/>
      <c r="KUV14" s="58"/>
      <c r="KUW14" s="58"/>
      <c r="KUX14" s="58"/>
      <c r="KUY14" s="58"/>
      <c r="KUZ14" s="58"/>
      <c r="KVA14" s="58"/>
      <c r="KVB14" s="58"/>
      <c r="KVC14" s="58"/>
      <c r="KVD14" s="58"/>
      <c r="KVE14" s="58"/>
      <c r="KVF14" s="58"/>
      <c r="KVG14" s="58"/>
      <c r="KVH14" s="58"/>
      <c r="KVI14" s="58"/>
      <c r="KVJ14" s="58"/>
      <c r="KVK14" s="58"/>
      <c r="KVL14" s="58"/>
      <c r="KVM14" s="58"/>
      <c r="KVN14" s="58"/>
      <c r="KVO14" s="58"/>
      <c r="KVP14" s="58"/>
      <c r="KVQ14" s="58"/>
      <c r="KVR14" s="58"/>
      <c r="KVS14" s="58"/>
      <c r="KVT14" s="58"/>
      <c r="KVU14" s="58"/>
      <c r="KVV14" s="58"/>
      <c r="KVW14" s="58"/>
      <c r="KVX14" s="58"/>
      <c r="KVY14" s="58"/>
      <c r="KVZ14" s="58"/>
      <c r="KWA14" s="58"/>
      <c r="KWB14" s="58"/>
      <c r="KWC14" s="58"/>
      <c r="KWD14" s="58"/>
      <c r="KWE14" s="58"/>
      <c r="KWF14" s="58"/>
      <c r="KWG14" s="58"/>
      <c r="KWH14" s="58"/>
      <c r="KWI14" s="58"/>
      <c r="KWJ14" s="58"/>
      <c r="KWK14" s="58"/>
      <c r="KWL14" s="58"/>
      <c r="KWM14" s="58"/>
      <c r="KWN14" s="58"/>
      <c r="KWO14" s="58"/>
      <c r="KWP14" s="58"/>
      <c r="KWQ14" s="58"/>
      <c r="KWR14" s="58"/>
      <c r="KWS14" s="58"/>
      <c r="KWT14" s="58"/>
      <c r="KWU14" s="58"/>
      <c r="KWV14" s="58"/>
      <c r="KWW14" s="58"/>
      <c r="KWX14" s="58"/>
      <c r="KWY14" s="58"/>
      <c r="KWZ14" s="58"/>
      <c r="KXA14" s="58"/>
      <c r="KXB14" s="58"/>
      <c r="KXC14" s="58"/>
      <c r="KXD14" s="58"/>
      <c r="KXE14" s="58"/>
      <c r="KXF14" s="58"/>
      <c r="KXG14" s="58"/>
      <c r="KXH14" s="58"/>
      <c r="KXI14" s="58"/>
      <c r="KXJ14" s="58"/>
      <c r="KXK14" s="58"/>
      <c r="KXL14" s="58"/>
      <c r="KXM14" s="58"/>
      <c r="KXN14" s="58"/>
      <c r="KXO14" s="58"/>
      <c r="KXP14" s="58"/>
      <c r="KXQ14" s="58"/>
      <c r="KXR14" s="58"/>
      <c r="KXS14" s="58"/>
      <c r="KXT14" s="58"/>
      <c r="KXU14" s="58"/>
      <c r="KXV14" s="58"/>
      <c r="KXW14" s="58"/>
      <c r="KXX14" s="58"/>
      <c r="KXY14" s="58"/>
      <c r="KXZ14" s="58"/>
      <c r="KYA14" s="58"/>
      <c r="KYB14" s="58"/>
      <c r="KYC14" s="58"/>
      <c r="KYD14" s="58"/>
      <c r="KYE14" s="58"/>
      <c r="KYF14" s="58"/>
      <c r="KYG14" s="58"/>
      <c r="KYH14" s="58"/>
      <c r="KYI14" s="58"/>
      <c r="KYJ14" s="58"/>
      <c r="KYK14" s="58"/>
      <c r="KYL14" s="58"/>
      <c r="KYM14" s="58"/>
      <c r="KYN14" s="58"/>
      <c r="KYO14" s="58"/>
      <c r="KYP14" s="58"/>
      <c r="KYQ14" s="58"/>
      <c r="KYR14" s="58"/>
      <c r="KYS14" s="58"/>
      <c r="KYT14" s="58"/>
      <c r="KYU14" s="58"/>
      <c r="KYV14" s="58"/>
      <c r="KYW14" s="58"/>
      <c r="KYX14" s="58"/>
      <c r="KYY14" s="58"/>
      <c r="KYZ14" s="58"/>
      <c r="KZA14" s="58"/>
      <c r="KZB14" s="58"/>
      <c r="KZC14" s="58"/>
      <c r="KZD14" s="58"/>
      <c r="KZE14" s="58"/>
      <c r="KZF14" s="58"/>
      <c r="KZG14" s="58"/>
      <c r="KZH14" s="58"/>
      <c r="KZI14" s="58"/>
      <c r="KZJ14" s="58"/>
      <c r="KZK14" s="58"/>
      <c r="KZL14" s="58"/>
      <c r="KZM14" s="58"/>
      <c r="KZN14" s="58"/>
      <c r="KZO14" s="58"/>
      <c r="KZP14" s="58"/>
      <c r="KZQ14" s="58"/>
      <c r="KZR14" s="58"/>
      <c r="KZS14" s="58"/>
      <c r="KZT14" s="58"/>
      <c r="KZU14" s="58"/>
      <c r="KZV14" s="58"/>
      <c r="KZW14" s="58"/>
      <c r="KZX14" s="58"/>
      <c r="KZY14" s="58"/>
      <c r="KZZ14" s="58"/>
      <c r="LAA14" s="58"/>
      <c r="LAB14" s="58"/>
      <c r="LAC14" s="58"/>
      <c r="LAD14" s="58"/>
      <c r="LAE14" s="58"/>
      <c r="LAF14" s="58"/>
      <c r="LAG14" s="58"/>
      <c r="LAH14" s="58"/>
      <c r="LAI14" s="58"/>
      <c r="LAJ14" s="58"/>
      <c r="LAK14" s="58"/>
      <c r="LAL14" s="58"/>
      <c r="LAM14" s="58"/>
      <c r="LAN14" s="58"/>
      <c r="LAO14" s="58"/>
      <c r="LAP14" s="58"/>
      <c r="LAQ14" s="58"/>
      <c r="LAR14" s="58"/>
      <c r="LAS14" s="58"/>
      <c r="LAT14" s="58"/>
      <c r="LAU14" s="58"/>
      <c r="LAV14" s="58"/>
      <c r="LAW14" s="58"/>
      <c r="LAX14" s="58"/>
      <c r="LAY14" s="58"/>
      <c r="LAZ14" s="58"/>
      <c r="LBA14" s="58"/>
      <c r="LBB14" s="58"/>
      <c r="LBC14" s="58"/>
      <c r="LBD14" s="58"/>
      <c r="LBE14" s="58"/>
      <c r="LBF14" s="58"/>
      <c r="LBG14" s="58"/>
      <c r="LBH14" s="58"/>
      <c r="LBI14" s="58"/>
      <c r="LBJ14" s="58"/>
      <c r="LBK14" s="58"/>
      <c r="LBL14" s="58"/>
      <c r="LBM14" s="58"/>
      <c r="LBN14" s="58"/>
      <c r="LBO14" s="58"/>
      <c r="LBP14" s="58"/>
      <c r="LBQ14" s="58"/>
      <c r="LBR14" s="58"/>
      <c r="LBS14" s="58"/>
      <c r="LBT14" s="58"/>
      <c r="LBU14" s="58"/>
      <c r="LBV14" s="58"/>
      <c r="LBW14" s="58"/>
      <c r="LBX14" s="58"/>
      <c r="LBY14" s="58"/>
      <c r="LBZ14" s="58"/>
      <c r="LCA14" s="58"/>
      <c r="LCB14" s="58"/>
      <c r="LCC14" s="58"/>
      <c r="LCD14" s="58"/>
      <c r="LCE14" s="58"/>
      <c r="LCF14" s="58"/>
      <c r="LCG14" s="58"/>
      <c r="LCH14" s="58"/>
      <c r="LCI14" s="58"/>
      <c r="LCJ14" s="58"/>
      <c r="LCK14" s="58"/>
      <c r="LCL14" s="58"/>
      <c r="LCM14" s="58"/>
      <c r="LCN14" s="58"/>
      <c r="LCO14" s="58"/>
      <c r="LCP14" s="58"/>
      <c r="LCQ14" s="58"/>
      <c r="LCR14" s="58"/>
      <c r="LCS14" s="58"/>
      <c r="LCT14" s="58"/>
      <c r="LCU14" s="58"/>
      <c r="LCV14" s="58"/>
      <c r="LCW14" s="58"/>
      <c r="LCX14" s="58"/>
      <c r="LCY14" s="58"/>
      <c r="LCZ14" s="58"/>
      <c r="LDA14" s="58"/>
      <c r="LDB14" s="58"/>
      <c r="LDC14" s="58"/>
      <c r="LDD14" s="58"/>
      <c r="LDE14" s="58"/>
      <c r="LDF14" s="58"/>
      <c r="LDG14" s="58"/>
      <c r="LDH14" s="58"/>
      <c r="LDI14" s="58"/>
      <c r="LDJ14" s="58"/>
      <c r="LDK14" s="58"/>
      <c r="LDL14" s="58"/>
      <c r="LDM14" s="58"/>
      <c r="LDN14" s="58"/>
      <c r="LDO14" s="58"/>
      <c r="LDP14" s="58"/>
      <c r="LDQ14" s="58"/>
      <c r="LDR14" s="58"/>
      <c r="LDS14" s="58"/>
      <c r="LDT14" s="58"/>
      <c r="LDU14" s="58"/>
      <c r="LDV14" s="58"/>
      <c r="LDW14" s="58"/>
      <c r="LDX14" s="58"/>
      <c r="LDY14" s="58"/>
      <c r="LDZ14" s="58"/>
      <c r="LEA14" s="58"/>
      <c r="LEB14" s="58"/>
      <c r="LEC14" s="58"/>
      <c r="LED14" s="58"/>
      <c r="LEE14" s="58"/>
      <c r="LEF14" s="58"/>
      <c r="LEG14" s="58"/>
      <c r="LEH14" s="58"/>
      <c r="LEI14" s="58"/>
      <c r="LEJ14" s="58"/>
      <c r="LEK14" s="58"/>
      <c r="LEL14" s="58"/>
      <c r="LEM14" s="58"/>
      <c r="LEN14" s="58"/>
      <c r="LEO14" s="58"/>
      <c r="LEP14" s="58"/>
      <c r="LEQ14" s="58"/>
      <c r="LER14" s="58"/>
      <c r="LES14" s="58"/>
      <c r="LET14" s="58"/>
      <c r="LEU14" s="58"/>
      <c r="LEV14" s="58"/>
      <c r="LEW14" s="58"/>
      <c r="LEX14" s="58"/>
      <c r="LEY14" s="58"/>
      <c r="LEZ14" s="58"/>
      <c r="LFA14" s="58"/>
      <c r="LFB14" s="58"/>
      <c r="LFC14" s="58"/>
      <c r="LFD14" s="58"/>
      <c r="LFE14" s="58"/>
      <c r="LFF14" s="58"/>
      <c r="LFG14" s="58"/>
      <c r="LFH14" s="58"/>
      <c r="LFI14" s="58"/>
      <c r="LFJ14" s="58"/>
      <c r="LFK14" s="58"/>
      <c r="LFL14" s="58"/>
      <c r="LFM14" s="58"/>
      <c r="LFN14" s="58"/>
      <c r="LFO14" s="58"/>
      <c r="LFP14" s="58"/>
      <c r="LFQ14" s="58"/>
      <c r="LFR14" s="58"/>
      <c r="LFS14" s="58"/>
      <c r="LFT14" s="58"/>
      <c r="LFU14" s="58"/>
      <c r="LFV14" s="58"/>
      <c r="LFW14" s="58"/>
      <c r="LFX14" s="58"/>
      <c r="LFY14" s="58"/>
      <c r="LFZ14" s="58"/>
      <c r="LGA14" s="58"/>
      <c r="LGB14" s="58"/>
      <c r="LGC14" s="58"/>
      <c r="LGD14" s="58"/>
      <c r="LGE14" s="58"/>
      <c r="LGF14" s="58"/>
      <c r="LGG14" s="58"/>
      <c r="LGH14" s="58"/>
      <c r="LGI14" s="58"/>
      <c r="LGJ14" s="58"/>
      <c r="LGK14" s="58"/>
      <c r="LGL14" s="58"/>
      <c r="LGM14" s="58"/>
      <c r="LGN14" s="58"/>
      <c r="LGO14" s="58"/>
      <c r="LGP14" s="58"/>
      <c r="LGQ14" s="58"/>
      <c r="LGR14" s="58"/>
      <c r="LGS14" s="58"/>
      <c r="LGT14" s="58"/>
      <c r="LGU14" s="58"/>
      <c r="LGV14" s="58"/>
      <c r="LGW14" s="58"/>
      <c r="LGX14" s="58"/>
      <c r="LGY14" s="58"/>
      <c r="LGZ14" s="58"/>
      <c r="LHA14" s="58"/>
      <c r="LHB14" s="58"/>
      <c r="LHC14" s="58"/>
      <c r="LHD14" s="58"/>
      <c r="LHE14" s="58"/>
      <c r="LHF14" s="58"/>
      <c r="LHG14" s="58"/>
      <c r="LHH14" s="58"/>
      <c r="LHI14" s="58"/>
      <c r="LHJ14" s="58"/>
      <c r="LHK14" s="58"/>
      <c r="LHL14" s="58"/>
      <c r="LHM14" s="58"/>
      <c r="LHN14" s="58"/>
      <c r="LHO14" s="58"/>
      <c r="LHP14" s="58"/>
      <c r="LHQ14" s="58"/>
      <c r="LHR14" s="58"/>
      <c r="LHS14" s="58"/>
      <c r="LHT14" s="58"/>
      <c r="LHU14" s="58"/>
      <c r="LHV14" s="58"/>
      <c r="LHW14" s="58"/>
      <c r="LHX14" s="58"/>
      <c r="LHY14" s="58"/>
      <c r="LHZ14" s="58"/>
      <c r="LIA14" s="58"/>
      <c r="LIB14" s="58"/>
      <c r="LIC14" s="58"/>
      <c r="LID14" s="58"/>
      <c r="LIE14" s="58"/>
      <c r="LIF14" s="58"/>
      <c r="LIG14" s="58"/>
      <c r="LIH14" s="58"/>
      <c r="LII14" s="58"/>
      <c r="LIJ14" s="58"/>
      <c r="LIK14" s="58"/>
      <c r="LIL14" s="58"/>
      <c r="LIM14" s="58"/>
      <c r="LIN14" s="58"/>
      <c r="LIO14" s="58"/>
      <c r="LIP14" s="58"/>
      <c r="LIQ14" s="58"/>
      <c r="LIR14" s="58"/>
      <c r="LIS14" s="58"/>
      <c r="LIT14" s="58"/>
      <c r="LIU14" s="58"/>
      <c r="LIV14" s="58"/>
      <c r="LIW14" s="58"/>
      <c r="LIX14" s="58"/>
      <c r="LIY14" s="58"/>
      <c r="LIZ14" s="58"/>
      <c r="LJA14" s="58"/>
      <c r="LJB14" s="58"/>
      <c r="LJC14" s="58"/>
      <c r="LJD14" s="58"/>
      <c r="LJE14" s="58"/>
      <c r="LJF14" s="58"/>
      <c r="LJG14" s="58"/>
      <c r="LJH14" s="58"/>
      <c r="LJI14" s="58"/>
      <c r="LJJ14" s="58"/>
      <c r="LJK14" s="58"/>
      <c r="LJL14" s="58"/>
      <c r="LJM14" s="58"/>
      <c r="LJN14" s="58"/>
      <c r="LJO14" s="58"/>
      <c r="LJP14" s="58"/>
      <c r="LJQ14" s="58"/>
      <c r="LJR14" s="58"/>
      <c r="LJS14" s="58"/>
      <c r="LJT14" s="58"/>
      <c r="LJU14" s="58"/>
      <c r="LJV14" s="58"/>
      <c r="LJW14" s="58"/>
      <c r="LJX14" s="58"/>
      <c r="LJY14" s="58"/>
      <c r="LJZ14" s="58"/>
      <c r="LKA14" s="58"/>
      <c r="LKB14" s="58"/>
      <c r="LKC14" s="58"/>
      <c r="LKD14" s="58"/>
      <c r="LKE14" s="58"/>
      <c r="LKF14" s="58"/>
      <c r="LKG14" s="58"/>
      <c r="LKH14" s="58"/>
      <c r="LKI14" s="58"/>
      <c r="LKJ14" s="58"/>
      <c r="LKK14" s="58"/>
      <c r="LKL14" s="58"/>
      <c r="LKM14" s="58"/>
      <c r="LKN14" s="58"/>
      <c r="LKO14" s="58"/>
      <c r="LKP14" s="58"/>
      <c r="LKQ14" s="58"/>
      <c r="LKR14" s="58"/>
      <c r="LKS14" s="58"/>
      <c r="LKT14" s="58"/>
      <c r="LKU14" s="58"/>
      <c r="LKV14" s="58"/>
      <c r="LKW14" s="58"/>
      <c r="LKX14" s="58"/>
      <c r="LKY14" s="58"/>
      <c r="LKZ14" s="58"/>
      <c r="LLA14" s="58"/>
      <c r="LLB14" s="58"/>
      <c r="LLC14" s="58"/>
      <c r="LLD14" s="58"/>
      <c r="LLE14" s="58"/>
      <c r="LLF14" s="58"/>
      <c r="LLG14" s="58"/>
      <c r="LLH14" s="58"/>
      <c r="LLI14" s="58"/>
      <c r="LLJ14" s="58"/>
      <c r="LLK14" s="58"/>
      <c r="LLL14" s="58"/>
      <c r="LLM14" s="58"/>
      <c r="LLN14" s="58"/>
      <c r="LLO14" s="58"/>
      <c r="LLP14" s="58"/>
      <c r="LLQ14" s="58"/>
      <c r="LLR14" s="58"/>
      <c r="LLS14" s="58"/>
      <c r="LLT14" s="58"/>
      <c r="LLU14" s="58"/>
      <c r="LLV14" s="58"/>
      <c r="LLW14" s="58"/>
      <c r="LLX14" s="58"/>
      <c r="LLY14" s="58"/>
      <c r="LLZ14" s="58"/>
      <c r="LMA14" s="58"/>
      <c r="LMB14" s="58"/>
      <c r="LMC14" s="58"/>
      <c r="LMD14" s="58"/>
      <c r="LME14" s="58"/>
      <c r="LMF14" s="58"/>
      <c r="LMG14" s="58"/>
      <c r="LMH14" s="58"/>
      <c r="LMI14" s="58"/>
      <c r="LMJ14" s="58"/>
      <c r="LMK14" s="58"/>
      <c r="LML14" s="58"/>
      <c r="LMM14" s="58"/>
      <c r="LMN14" s="58"/>
      <c r="LMO14" s="58"/>
      <c r="LMP14" s="58"/>
      <c r="LMQ14" s="58"/>
      <c r="LMR14" s="58"/>
      <c r="LMS14" s="58"/>
      <c r="LMT14" s="58"/>
      <c r="LMU14" s="58"/>
      <c r="LMV14" s="58"/>
      <c r="LMW14" s="58"/>
      <c r="LMX14" s="58"/>
      <c r="LMY14" s="58"/>
      <c r="LMZ14" s="58"/>
      <c r="LNA14" s="58"/>
      <c r="LNB14" s="58"/>
      <c r="LNC14" s="58"/>
      <c r="LND14" s="58"/>
      <c r="LNE14" s="58"/>
      <c r="LNF14" s="58"/>
      <c r="LNG14" s="58"/>
      <c r="LNH14" s="58"/>
      <c r="LNI14" s="58"/>
      <c r="LNJ14" s="58"/>
      <c r="LNK14" s="58"/>
      <c r="LNL14" s="58"/>
      <c r="LNM14" s="58"/>
      <c r="LNN14" s="58"/>
      <c r="LNO14" s="58"/>
      <c r="LNP14" s="58"/>
      <c r="LNQ14" s="58"/>
      <c r="LNR14" s="58"/>
      <c r="LNS14" s="58"/>
      <c r="LNT14" s="58"/>
      <c r="LNU14" s="58"/>
      <c r="LNV14" s="58"/>
      <c r="LNW14" s="58"/>
      <c r="LNX14" s="58"/>
      <c r="LNY14" s="58"/>
      <c r="LNZ14" s="58"/>
      <c r="LOA14" s="58"/>
      <c r="LOB14" s="58"/>
      <c r="LOC14" s="58"/>
      <c r="LOD14" s="58"/>
      <c r="LOE14" s="58"/>
      <c r="LOF14" s="58"/>
      <c r="LOG14" s="58"/>
      <c r="LOH14" s="58"/>
      <c r="LOI14" s="58"/>
      <c r="LOJ14" s="58"/>
      <c r="LOK14" s="58"/>
      <c r="LOL14" s="58"/>
      <c r="LOM14" s="58"/>
      <c r="LON14" s="58"/>
      <c r="LOO14" s="58"/>
      <c r="LOP14" s="58"/>
      <c r="LOQ14" s="58"/>
      <c r="LOR14" s="58"/>
      <c r="LOS14" s="58"/>
      <c r="LOT14" s="58"/>
      <c r="LOU14" s="58"/>
      <c r="LOV14" s="58"/>
      <c r="LOW14" s="58"/>
      <c r="LOX14" s="58"/>
      <c r="LOY14" s="58"/>
      <c r="LOZ14" s="58"/>
      <c r="LPA14" s="58"/>
      <c r="LPB14" s="58"/>
      <c r="LPC14" s="58"/>
      <c r="LPD14" s="58"/>
      <c r="LPE14" s="58"/>
      <c r="LPF14" s="58"/>
      <c r="LPG14" s="58"/>
      <c r="LPH14" s="58"/>
      <c r="LPI14" s="58"/>
      <c r="LPJ14" s="58"/>
      <c r="LPK14" s="58"/>
      <c r="LPL14" s="58"/>
      <c r="LPM14" s="58"/>
      <c r="LPN14" s="58"/>
      <c r="LPO14" s="58"/>
      <c r="LPP14" s="58"/>
      <c r="LPQ14" s="58"/>
      <c r="LPR14" s="58"/>
      <c r="LPS14" s="58"/>
      <c r="LPT14" s="58"/>
      <c r="LPU14" s="58"/>
      <c r="LPV14" s="58"/>
      <c r="LPW14" s="58"/>
      <c r="LPX14" s="58"/>
      <c r="LPY14" s="58"/>
      <c r="LPZ14" s="58"/>
      <c r="LQA14" s="58"/>
      <c r="LQB14" s="58"/>
      <c r="LQC14" s="58"/>
      <c r="LQD14" s="58"/>
      <c r="LQE14" s="58"/>
      <c r="LQF14" s="58"/>
      <c r="LQG14" s="58"/>
      <c r="LQH14" s="58"/>
      <c r="LQI14" s="58"/>
      <c r="LQJ14" s="58"/>
      <c r="LQK14" s="58"/>
      <c r="LQL14" s="58"/>
      <c r="LQM14" s="58"/>
      <c r="LQN14" s="58"/>
      <c r="LQO14" s="58"/>
      <c r="LQP14" s="58"/>
      <c r="LQQ14" s="58"/>
      <c r="LQR14" s="58"/>
      <c r="LQS14" s="58"/>
      <c r="LQT14" s="58"/>
      <c r="LQU14" s="58"/>
      <c r="LQV14" s="58"/>
      <c r="LQW14" s="58"/>
      <c r="LQX14" s="58"/>
      <c r="LQY14" s="58"/>
      <c r="LQZ14" s="58"/>
      <c r="LRA14" s="58"/>
      <c r="LRB14" s="58"/>
      <c r="LRC14" s="58"/>
      <c r="LRD14" s="58"/>
      <c r="LRE14" s="58"/>
      <c r="LRF14" s="58"/>
      <c r="LRG14" s="58"/>
      <c r="LRH14" s="58"/>
      <c r="LRI14" s="58"/>
      <c r="LRJ14" s="58"/>
      <c r="LRK14" s="58"/>
      <c r="LRL14" s="58"/>
      <c r="LRM14" s="58"/>
      <c r="LRN14" s="58"/>
      <c r="LRO14" s="58"/>
      <c r="LRP14" s="58"/>
      <c r="LRQ14" s="58"/>
      <c r="LRR14" s="58"/>
      <c r="LRS14" s="58"/>
      <c r="LRT14" s="58"/>
      <c r="LRU14" s="58"/>
      <c r="LRV14" s="58"/>
      <c r="LRW14" s="58"/>
      <c r="LRX14" s="58"/>
      <c r="LRY14" s="58"/>
      <c r="LRZ14" s="58"/>
      <c r="LSA14" s="58"/>
      <c r="LSB14" s="58"/>
      <c r="LSC14" s="58"/>
      <c r="LSD14" s="58"/>
      <c r="LSE14" s="58"/>
      <c r="LSF14" s="58"/>
      <c r="LSG14" s="58"/>
      <c r="LSH14" s="58"/>
      <c r="LSI14" s="58"/>
      <c r="LSJ14" s="58"/>
      <c r="LSK14" s="58"/>
      <c r="LSL14" s="58"/>
      <c r="LSM14" s="58"/>
      <c r="LSN14" s="58"/>
      <c r="LSO14" s="58"/>
      <c r="LSP14" s="58"/>
      <c r="LSQ14" s="58"/>
      <c r="LSR14" s="58"/>
      <c r="LSS14" s="58"/>
      <c r="LST14" s="58"/>
      <c r="LSU14" s="58"/>
      <c r="LSV14" s="58"/>
      <c r="LSW14" s="58"/>
      <c r="LSX14" s="58"/>
      <c r="LSY14" s="58"/>
      <c r="LSZ14" s="58"/>
      <c r="LTA14" s="58"/>
      <c r="LTB14" s="58"/>
      <c r="LTC14" s="58"/>
      <c r="LTD14" s="58"/>
      <c r="LTE14" s="58"/>
      <c r="LTF14" s="58"/>
      <c r="LTG14" s="58"/>
      <c r="LTH14" s="58"/>
      <c r="LTI14" s="58"/>
      <c r="LTJ14" s="58"/>
      <c r="LTK14" s="58"/>
      <c r="LTL14" s="58"/>
      <c r="LTM14" s="58"/>
      <c r="LTN14" s="58"/>
      <c r="LTO14" s="58"/>
      <c r="LTP14" s="58"/>
      <c r="LTQ14" s="58"/>
      <c r="LTR14" s="58"/>
      <c r="LTS14" s="58"/>
      <c r="LTT14" s="58"/>
      <c r="LTU14" s="58"/>
      <c r="LTV14" s="58"/>
      <c r="LTW14" s="58"/>
      <c r="LTX14" s="58"/>
      <c r="LTY14" s="58"/>
      <c r="LTZ14" s="58"/>
      <c r="LUA14" s="58"/>
      <c r="LUB14" s="58"/>
      <c r="LUC14" s="58"/>
      <c r="LUD14" s="58"/>
      <c r="LUE14" s="58"/>
      <c r="LUF14" s="58"/>
      <c r="LUG14" s="58"/>
      <c r="LUH14" s="58"/>
      <c r="LUI14" s="58"/>
      <c r="LUJ14" s="58"/>
      <c r="LUK14" s="58"/>
      <c r="LUL14" s="58"/>
      <c r="LUM14" s="58"/>
      <c r="LUN14" s="58"/>
      <c r="LUO14" s="58"/>
      <c r="LUP14" s="58"/>
      <c r="LUQ14" s="58"/>
      <c r="LUR14" s="58"/>
      <c r="LUS14" s="58"/>
      <c r="LUT14" s="58"/>
      <c r="LUU14" s="58"/>
      <c r="LUV14" s="58"/>
      <c r="LUW14" s="58"/>
      <c r="LUX14" s="58"/>
      <c r="LUY14" s="58"/>
      <c r="LUZ14" s="58"/>
      <c r="LVA14" s="58"/>
      <c r="LVB14" s="58"/>
      <c r="LVC14" s="58"/>
      <c r="LVD14" s="58"/>
      <c r="LVE14" s="58"/>
      <c r="LVF14" s="58"/>
      <c r="LVG14" s="58"/>
      <c r="LVH14" s="58"/>
      <c r="LVI14" s="58"/>
      <c r="LVJ14" s="58"/>
      <c r="LVK14" s="58"/>
      <c r="LVL14" s="58"/>
      <c r="LVM14" s="58"/>
      <c r="LVN14" s="58"/>
      <c r="LVO14" s="58"/>
      <c r="LVP14" s="58"/>
      <c r="LVQ14" s="58"/>
      <c r="LVR14" s="58"/>
      <c r="LVS14" s="58"/>
      <c r="LVT14" s="58"/>
      <c r="LVU14" s="58"/>
      <c r="LVV14" s="58"/>
      <c r="LVW14" s="58"/>
      <c r="LVX14" s="58"/>
      <c r="LVY14" s="58"/>
      <c r="LVZ14" s="58"/>
      <c r="LWA14" s="58"/>
      <c r="LWB14" s="58"/>
      <c r="LWC14" s="58"/>
      <c r="LWD14" s="58"/>
      <c r="LWE14" s="58"/>
      <c r="LWF14" s="58"/>
      <c r="LWG14" s="58"/>
      <c r="LWH14" s="58"/>
      <c r="LWI14" s="58"/>
      <c r="LWJ14" s="58"/>
      <c r="LWK14" s="58"/>
      <c r="LWL14" s="58"/>
      <c r="LWM14" s="58"/>
      <c r="LWN14" s="58"/>
      <c r="LWO14" s="58"/>
      <c r="LWP14" s="58"/>
      <c r="LWQ14" s="58"/>
      <c r="LWR14" s="58"/>
      <c r="LWS14" s="58"/>
      <c r="LWT14" s="58"/>
      <c r="LWU14" s="58"/>
      <c r="LWV14" s="58"/>
      <c r="LWW14" s="58"/>
      <c r="LWX14" s="58"/>
      <c r="LWY14" s="58"/>
      <c r="LWZ14" s="58"/>
      <c r="LXA14" s="58"/>
      <c r="LXB14" s="58"/>
      <c r="LXC14" s="58"/>
      <c r="LXD14" s="58"/>
      <c r="LXE14" s="58"/>
      <c r="LXF14" s="58"/>
      <c r="LXG14" s="58"/>
      <c r="LXH14" s="58"/>
      <c r="LXI14" s="58"/>
      <c r="LXJ14" s="58"/>
      <c r="LXK14" s="58"/>
      <c r="LXL14" s="58"/>
      <c r="LXM14" s="58"/>
      <c r="LXN14" s="58"/>
      <c r="LXO14" s="58"/>
      <c r="LXP14" s="58"/>
      <c r="LXQ14" s="58"/>
      <c r="LXR14" s="58"/>
      <c r="LXS14" s="58"/>
      <c r="LXT14" s="58"/>
      <c r="LXU14" s="58"/>
      <c r="LXV14" s="58"/>
      <c r="LXW14" s="58"/>
      <c r="LXX14" s="58"/>
      <c r="LXY14" s="58"/>
      <c r="LXZ14" s="58"/>
      <c r="LYA14" s="58"/>
      <c r="LYB14" s="58"/>
      <c r="LYC14" s="58"/>
      <c r="LYD14" s="58"/>
      <c r="LYE14" s="58"/>
      <c r="LYF14" s="58"/>
      <c r="LYG14" s="58"/>
      <c r="LYH14" s="58"/>
      <c r="LYI14" s="58"/>
      <c r="LYJ14" s="58"/>
      <c r="LYK14" s="58"/>
      <c r="LYL14" s="58"/>
      <c r="LYM14" s="58"/>
      <c r="LYN14" s="58"/>
      <c r="LYO14" s="58"/>
      <c r="LYP14" s="58"/>
      <c r="LYQ14" s="58"/>
      <c r="LYR14" s="58"/>
      <c r="LYS14" s="58"/>
      <c r="LYT14" s="58"/>
      <c r="LYU14" s="58"/>
      <c r="LYV14" s="58"/>
      <c r="LYW14" s="58"/>
      <c r="LYX14" s="58"/>
      <c r="LYY14" s="58"/>
      <c r="LYZ14" s="58"/>
      <c r="LZA14" s="58"/>
      <c r="LZB14" s="58"/>
      <c r="LZC14" s="58"/>
      <c r="LZD14" s="58"/>
      <c r="LZE14" s="58"/>
      <c r="LZF14" s="58"/>
      <c r="LZG14" s="58"/>
      <c r="LZH14" s="58"/>
      <c r="LZI14" s="58"/>
      <c r="LZJ14" s="58"/>
      <c r="LZK14" s="58"/>
      <c r="LZL14" s="58"/>
      <c r="LZM14" s="58"/>
      <c r="LZN14" s="58"/>
      <c r="LZO14" s="58"/>
      <c r="LZP14" s="58"/>
      <c r="LZQ14" s="58"/>
      <c r="LZR14" s="58"/>
      <c r="LZS14" s="58"/>
      <c r="LZT14" s="58"/>
      <c r="LZU14" s="58"/>
      <c r="LZV14" s="58"/>
      <c r="LZW14" s="58"/>
      <c r="LZX14" s="58"/>
      <c r="LZY14" s="58"/>
      <c r="LZZ14" s="58"/>
      <c r="MAA14" s="58"/>
      <c r="MAB14" s="58"/>
      <c r="MAC14" s="58"/>
      <c r="MAD14" s="58"/>
      <c r="MAE14" s="58"/>
      <c r="MAF14" s="58"/>
      <c r="MAG14" s="58"/>
      <c r="MAH14" s="58"/>
      <c r="MAI14" s="58"/>
      <c r="MAJ14" s="58"/>
      <c r="MAK14" s="58"/>
      <c r="MAL14" s="58"/>
      <c r="MAM14" s="58"/>
      <c r="MAN14" s="58"/>
      <c r="MAO14" s="58"/>
      <c r="MAP14" s="58"/>
      <c r="MAQ14" s="58"/>
      <c r="MAR14" s="58"/>
      <c r="MAS14" s="58"/>
      <c r="MAT14" s="58"/>
      <c r="MAU14" s="58"/>
      <c r="MAV14" s="58"/>
      <c r="MAW14" s="58"/>
      <c r="MAX14" s="58"/>
      <c r="MAY14" s="58"/>
      <c r="MAZ14" s="58"/>
      <c r="MBA14" s="58"/>
      <c r="MBB14" s="58"/>
      <c r="MBC14" s="58"/>
      <c r="MBD14" s="58"/>
      <c r="MBE14" s="58"/>
      <c r="MBF14" s="58"/>
      <c r="MBG14" s="58"/>
      <c r="MBH14" s="58"/>
      <c r="MBI14" s="58"/>
      <c r="MBJ14" s="58"/>
      <c r="MBK14" s="58"/>
      <c r="MBL14" s="58"/>
      <c r="MBM14" s="58"/>
      <c r="MBN14" s="58"/>
      <c r="MBO14" s="58"/>
      <c r="MBP14" s="58"/>
      <c r="MBQ14" s="58"/>
      <c r="MBR14" s="58"/>
      <c r="MBS14" s="58"/>
      <c r="MBT14" s="58"/>
      <c r="MBU14" s="58"/>
      <c r="MBV14" s="58"/>
      <c r="MBW14" s="58"/>
      <c r="MBX14" s="58"/>
      <c r="MBY14" s="58"/>
      <c r="MBZ14" s="58"/>
      <c r="MCA14" s="58"/>
      <c r="MCB14" s="58"/>
      <c r="MCC14" s="58"/>
      <c r="MCD14" s="58"/>
      <c r="MCE14" s="58"/>
      <c r="MCF14" s="58"/>
      <c r="MCG14" s="58"/>
      <c r="MCH14" s="58"/>
      <c r="MCI14" s="58"/>
      <c r="MCJ14" s="58"/>
      <c r="MCK14" s="58"/>
      <c r="MCL14" s="58"/>
      <c r="MCM14" s="58"/>
      <c r="MCN14" s="58"/>
      <c r="MCO14" s="58"/>
      <c r="MCP14" s="58"/>
      <c r="MCQ14" s="58"/>
      <c r="MCR14" s="58"/>
      <c r="MCS14" s="58"/>
      <c r="MCT14" s="58"/>
      <c r="MCU14" s="58"/>
      <c r="MCV14" s="58"/>
      <c r="MCW14" s="58"/>
      <c r="MCX14" s="58"/>
      <c r="MCY14" s="58"/>
      <c r="MCZ14" s="58"/>
      <c r="MDA14" s="58"/>
      <c r="MDB14" s="58"/>
      <c r="MDC14" s="58"/>
      <c r="MDD14" s="58"/>
      <c r="MDE14" s="58"/>
      <c r="MDF14" s="58"/>
      <c r="MDG14" s="58"/>
      <c r="MDH14" s="58"/>
      <c r="MDI14" s="58"/>
      <c r="MDJ14" s="58"/>
      <c r="MDK14" s="58"/>
      <c r="MDL14" s="58"/>
      <c r="MDM14" s="58"/>
      <c r="MDN14" s="58"/>
      <c r="MDO14" s="58"/>
      <c r="MDP14" s="58"/>
      <c r="MDQ14" s="58"/>
      <c r="MDR14" s="58"/>
      <c r="MDS14" s="58"/>
      <c r="MDT14" s="58"/>
      <c r="MDU14" s="58"/>
      <c r="MDV14" s="58"/>
      <c r="MDW14" s="58"/>
      <c r="MDX14" s="58"/>
      <c r="MDY14" s="58"/>
      <c r="MDZ14" s="58"/>
      <c r="MEA14" s="58"/>
      <c r="MEB14" s="58"/>
      <c r="MEC14" s="58"/>
      <c r="MED14" s="58"/>
      <c r="MEE14" s="58"/>
      <c r="MEF14" s="58"/>
      <c r="MEG14" s="58"/>
      <c r="MEH14" s="58"/>
      <c r="MEI14" s="58"/>
      <c r="MEJ14" s="58"/>
      <c r="MEK14" s="58"/>
      <c r="MEL14" s="58"/>
      <c r="MEM14" s="58"/>
      <c r="MEN14" s="58"/>
      <c r="MEO14" s="58"/>
      <c r="MEP14" s="58"/>
      <c r="MEQ14" s="58"/>
      <c r="MER14" s="58"/>
      <c r="MES14" s="58"/>
      <c r="MET14" s="58"/>
      <c r="MEU14" s="58"/>
      <c r="MEV14" s="58"/>
      <c r="MEW14" s="58"/>
      <c r="MEX14" s="58"/>
      <c r="MEY14" s="58"/>
      <c r="MEZ14" s="58"/>
      <c r="MFA14" s="58"/>
      <c r="MFB14" s="58"/>
      <c r="MFC14" s="58"/>
      <c r="MFD14" s="58"/>
      <c r="MFE14" s="58"/>
      <c r="MFF14" s="58"/>
      <c r="MFG14" s="58"/>
      <c r="MFH14" s="58"/>
      <c r="MFI14" s="58"/>
      <c r="MFJ14" s="58"/>
      <c r="MFK14" s="58"/>
      <c r="MFL14" s="58"/>
      <c r="MFM14" s="58"/>
      <c r="MFN14" s="58"/>
      <c r="MFO14" s="58"/>
      <c r="MFP14" s="58"/>
      <c r="MFQ14" s="58"/>
      <c r="MFR14" s="58"/>
      <c r="MFS14" s="58"/>
      <c r="MFT14" s="58"/>
      <c r="MFU14" s="58"/>
      <c r="MFV14" s="58"/>
      <c r="MFW14" s="58"/>
      <c r="MFX14" s="58"/>
      <c r="MFY14" s="58"/>
      <c r="MFZ14" s="58"/>
      <c r="MGA14" s="58"/>
      <c r="MGB14" s="58"/>
      <c r="MGC14" s="58"/>
      <c r="MGD14" s="58"/>
      <c r="MGE14" s="58"/>
      <c r="MGF14" s="58"/>
      <c r="MGG14" s="58"/>
      <c r="MGH14" s="58"/>
      <c r="MGI14" s="58"/>
      <c r="MGJ14" s="58"/>
      <c r="MGK14" s="58"/>
      <c r="MGL14" s="58"/>
      <c r="MGM14" s="58"/>
      <c r="MGN14" s="58"/>
      <c r="MGO14" s="58"/>
      <c r="MGP14" s="58"/>
      <c r="MGQ14" s="58"/>
      <c r="MGR14" s="58"/>
      <c r="MGS14" s="58"/>
      <c r="MGT14" s="58"/>
      <c r="MGU14" s="58"/>
      <c r="MGV14" s="58"/>
      <c r="MGW14" s="58"/>
      <c r="MGX14" s="58"/>
      <c r="MGY14" s="58"/>
      <c r="MGZ14" s="58"/>
      <c r="MHA14" s="58"/>
      <c r="MHB14" s="58"/>
      <c r="MHC14" s="58"/>
      <c r="MHD14" s="58"/>
      <c r="MHE14" s="58"/>
      <c r="MHF14" s="58"/>
      <c r="MHG14" s="58"/>
      <c r="MHH14" s="58"/>
      <c r="MHI14" s="58"/>
      <c r="MHJ14" s="58"/>
      <c r="MHK14" s="58"/>
      <c r="MHL14" s="58"/>
      <c r="MHM14" s="58"/>
      <c r="MHN14" s="58"/>
      <c r="MHO14" s="58"/>
      <c r="MHP14" s="58"/>
      <c r="MHQ14" s="58"/>
      <c r="MHR14" s="58"/>
      <c r="MHS14" s="58"/>
      <c r="MHT14" s="58"/>
      <c r="MHU14" s="58"/>
      <c r="MHV14" s="58"/>
      <c r="MHW14" s="58"/>
      <c r="MHX14" s="58"/>
      <c r="MHY14" s="58"/>
      <c r="MHZ14" s="58"/>
      <c r="MIA14" s="58"/>
      <c r="MIB14" s="58"/>
      <c r="MIC14" s="58"/>
      <c r="MID14" s="58"/>
      <c r="MIE14" s="58"/>
      <c r="MIF14" s="58"/>
      <c r="MIG14" s="58"/>
      <c r="MIH14" s="58"/>
      <c r="MII14" s="58"/>
      <c r="MIJ14" s="58"/>
      <c r="MIK14" s="58"/>
      <c r="MIL14" s="58"/>
      <c r="MIM14" s="58"/>
      <c r="MIN14" s="58"/>
      <c r="MIO14" s="58"/>
      <c r="MIP14" s="58"/>
      <c r="MIQ14" s="58"/>
      <c r="MIR14" s="58"/>
      <c r="MIS14" s="58"/>
      <c r="MIT14" s="58"/>
      <c r="MIU14" s="58"/>
      <c r="MIV14" s="58"/>
      <c r="MIW14" s="58"/>
      <c r="MIX14" s="58"/>
      <c r="MIY14" s="58"/>
      <c r="MIZ14" s="58"/>
      <c r="MJA14" s="58"/>
      <c r="MJB14" s="58"/>
      <c r="MJC14" s="58"/>
      <c r="MJD14" s="58"/>
      <c r="MJE14" s="58"/>
      <c r="MJF14" s="58"/>
      <c r="MJG14" s="58"/>
      <c r="MJH14" s="58"/>
      <c r="MJI14" s="58"/>
      <c r="MJJ14" s="58"/>
      <c r="MJK14" s="58"/>
      <c r="MJL14" s="58"/>
      <c r="MJM14" s="58"/>
      <c r="MJN14" s="58"/>
      <c r="MJO14" s="58"/>
      <c r="MJP14" s="58"/>
      <c r="MJQ14" s="58"/>
      <c r="MJR14" s="58"/>
      <c r="MJS14" s="58"/>
      <c r="MJT14" s="58"/>
      <c r="MJU14" s="58"/>
      <c r="MJV14" s="58"/>
      <c r="MJW14" s="58"/>
      <c r="MJX14" s="58"/>
      <c r="MJY14" s="58"/>
      <c r="MJZ14" s="58"/>
      <c r="MKA14" s="58"/>
      <c r="MKB14" s="58"/>
      <c r="MKC14" s="58"/>
      <c r="MKD14" s="58"/>
      <c r="MKE14" s="58"/>
      <c r="MKF14" s="58"/>
      <c r="MKG14" s="58"/>
      <c r="MKH14" s="58"/>
      <c r="MKI14" s="58"/>
      <c r="MKJ14" s="58"/>
      <c r="MKK14" s="58"/>
      <c r="MKL14" s="58"/>
      <c r="MKM14" s="58"/>
      <c r="MKN14" s="58"/>
      <c r="MKO14" s="58"/>
      <c r="MKP14" s="58"/>
      <c r="MKQ14" s="58"/>
      <c r="MKR14" s="58"/>
      <c r="MKS14" s="58"/>
      <c r="MKT14" s="58"/>
      <c r="MKU14" s="58"/>
      <c r="MKV14" s="58"/>
      <c r="MKW14" s="58"/>
      <c r="MKX14" s="58"/>
      <c r="MKY14" s="58"/>
      <c r="MKZ14" s="58"/>
      <c r="MLA14" s="58"/>
      <c r="MLB14" s="58"/>
      <c r="MLC14" s="58"/>
      <c r="MLD14" s="58"/>
      <c r="MLE14" s="58"/>
      <c r="MLF14" s="58"/>
      <c r="MLG14" s="58"/>
      <c r="MLH14" s="58"/>
      <c r="MLI14" s="58"/>
      <c r="MLJ14" s="58"/>
      <c r="MLK14" s="58"/>
      <c r="MLL14" s="58"/>
      <c r="MLM14" s="58"/>
      <c r="MLN14" s="58"/>
      <c r="MLO14" s="58"/>
      <c r="MLP14" s="58"/>
      <c r="MLQ14" s="58"/>
      <c r="MLR14" s="58"/>
      <c r="MLS14" s="58"/>
      <c r="MLT14" s="58"/>
      <c r="MLU14" s="58"/>
      <c r="MLV14" s="58"/>
      <c r="MLW14" s="58"/>
      <c r="MLX14" s="58"/>
      <c r="MLY14" s="58"/>
      <c r="MLZ14" s="58"/>
      <c r="MMA14" s="58"/>
      <c r="MMB14" s="58"/>
      <c r="MMC14" s="58"/>
      <c r="MMD14" s="58"/>
      <c r="MME14" s="58"/>
      <c r="MMF14" s="58"/>
      <c r="MMG14" s="58"/>
      <c r="MMH14" s="58"/>
      <c r="MMI14" s="58"/>
      <c r="MMJ14" s="58"/>
      <c r="MMK14" s="58"/>
      <c r="MML14" s="58"/>
      <c r="MMM14" s="58"/>
      <c r="MMN14" s="58"/>
      <c r="MMO14" s="58"/>
      <c r="MMP14" s="58"/>
      <c r="MMQ14" s="58"/>
      <c r="MMR14" s="58"/>
      <c r="MMS14" s="58"/>
      <c r="MMT14" s="58"/>
      <c r="MMU14" s="58"/>
      <c r="MMV14" s="58"/>
      <c r="MMW14" s="58"/>
      <c r="MMX14" s="58"/>
      <c r="MMY14" s="58"/>
      <c r="MMZ14" s="58"/>
      <c r="MNA14" s="58"/>
      <c r="MNB14" s="58"/>
      <c r="MNC14" s="58"/>
      <c r="MND14" s="58"/>
      <c r="MNE14" s="58"/>
      <c r="MNF14" s="58"/>
      <c r="MNG14" s="58"/>
      <c r="MNH14" s="58"/>
      <c r="MNI14" s="58"/>
      <c r="MNJ14" s="58"/>
      <c r="MNK14" s="58"/>
      <c r="MNL14" s="58"/>
      <c r="MNM14" s="58"/>
      <c r="MNN14" s="58"/>
      <c r="MNO14" s="58"/>
      <c r="MNP14" s="58"/>
      <c r="MNQ14" s="58"/>
      <c r="MNR14" s="58"/>
      <c r="MNS14" s="58"/>
      <c r="MNT14" s="58"/>
      <c r="MNU14" s="58"/>
      <c r="MNV14" s="58"/>
      <c r="MNW14" s="58"/>
      <c r="MNX14" s="58"/>
      <c r="MNY14" s="58"/>
      <c r="MNZ14" s="58"/>
      <c r="MOA14" s="58"/>
      <c r="MOB14" s="58"/>
      <c r="MOC14" s="58"/>
      <c r="MOD14" s="58"/>
      <c r="MOE14" s="58"/>
      <c r="MOF14" s="58"/>
      <c r="MOG14" s="58"/>
      <c r="MOH14" s="58"/>
      <c r="MOI14" s="58"/>
      <c r="MOJ14" s="58"/>
      <c r="MOK14" s="58"/>
      <c r="MOL14" s="58"/>
      <c r="MOM14" s="58"/>
      <c r="MON14" s="58"/>
      <c r="MOO14" s="58"/>
      <c r="MOP14" s="58"/>
      <c r="MOQ14" s="58"/>
      <c r="MOR14" s="58"/>
      <c r="MOS14" s="58"/>
      <c r="MOT14" s="58"/>
      <c r="MOU14" s="58"/>
      <c r="MOV14" s="58"/>
      <c r="MOW14" s="58"/>
      <c r="MOX14" s="58"/>
      <c r="MOY14" s="58"/>
      <c r="MOZ14" s="58"/>
      <c r="MPA14" s="58"/>
      <c r="MPB14" s="58"/>
      <c r="MPC14" s="58"/>
      <c r="MPD14" s="58"/>
      <c r="MPE14" s="58"/>
      <c r="MPF14" s="58"/>
      <c r="MPG14" s="58"/>
      <c r="MPH14" s="58"/>
      <c r="MPI14" s="58"/>
      <c r="MPJ14" s="58"/>
      <c r="MPK14" s="58"/>
      <c r="MPL14" s="58"/>
      <c r="MPM14" s="58"/>
      <c r="MPN14" s="58"/>
      <c r="MPO14" s="58"/>
      <c r="MPP14" s="58"/>
      <c r="MPQ14" s="58"/>
      <c r="MPR14" s="58"/>
      <c r="MPS14" s="58"/>
      <c r="MPT14" s="58"/>
      <c r="MPU14" s="58"/>
      <c r="MPV14" s="58"/>
      <c r="MPW14" s="58"/>
      <c r="MPX14" s="58"/>
      <c r="MPY14" s="58"/>
      <c r="MPZ14" s="58"/>
      <c r="MQA14" s="58"/>
      <c r="MQB14" s="58"/>
      <c r="MQC14" s="58"/>
      <c r="MQD14" s="58"/>
      <c r="MQE14" s="58"/>
      <c r="MQF14" s="58"/>
      <c r="MQG14" s="58"/>
      <c r="MQH14" s="58"/>
      <c r="MQI14" s="58"/>
      <c r="MQJ14" s="58"/>
      <c r="MQK14" s="58"/>
      <c r="MQL14" s="58"/>
      <c r="MQM14" s="58"/>
      <c r="MQN14" s="58"/>
      <c r="MQO14" s="58"/>
      <c r="MQP14" s="58"/>
      <c r="MQQ14" s="58"/>
      <c r="MQR14" s="58"/>
      <c r="MQS14" s="58"/>
      <c r="MQT14" s="58"/>
      <c r="MQU14" s="58"/>
      <c r="MQV14" s="58"/>
      <c r="MQW14" s="58"/>
      <c r="MQX14" s="58"/>
      <c r="MQY14" s="58"/>
      <c r="MQZ14" s="58"/>
      <c r="MRA14" s="58"/>
      <c r="MRB14" s="58"/>
      <c r="MRC14" s="58"/>
      <c r="MRD14" s="58"/>
      <c r="MRE14" s="58"/>
      <c r="MRF14" s="58"/>
      <c r="MRG14" s="58"/>
      <c r="MRH14" s="58"/>
      <c r="MRI14" s="58"/>
      <c r="MRJ14" s="58"/>
      <c r="MRK14" s="58"/>
      <c r="MRL14" s="58"/>
      <c r="MRM14" s="58"/>
      <c r="MRN14" s="58"/>
      <c r="MRO14" s="58"/>
      <c r="MRP14" s="58"/>
      <c r="MRQ14" s="58"/>
      <c r="MRR14" s="58"/>
      <c r="MRS14" s="58"/>
      <c r="MRT14" s="58"/>
      <c r="MRU14" s="58"/>
      <c r="MRV14" s="58"/>
      <c r="MRW14" s="58"/>
      <c r="MRX14" s="58"/>
      <c r="MRY14" s="58"/>
      <c r="MRZ14" s="58"/>
      <c r="MSA14" s="58"/>
      <c r="MSB14" s="58"/>
      <c r="MSC14" s="58"/>
      <c r="MSD14" s="58"/>
      <c r="MSE14" s="58"/>
      <c r="MSF14" s="58"/>
      <c r="MSG14" s="58"/>
      <c r="MSH14" s="58"/>
      <c r="MSI14" s="58"/>
      <c r="MSJ14" s="58"/>
      <c r="MSK14" s="58"/>
      <c r="MSL14" s="58"/>
      <c r="MSM14" s="58"/>
      <c r="MSN14" s="58"/>
      <c r="MSO14" s="58"/>
      <c r="MSP14" s="58"/>
      <c r="MSQ14" s="58"/>
      <c r="MSR14" s="58"/>
      <c r="MSS14" s="58"/>
      <c r="MST14" s="58"/>
      <c r="MSU14" s="58"/>
      <c r="MSV14" s="58"/>
      <c r="MSW14" s="58"/>
      <c r="MSX14" s="58"/>
      <c r="MSY14" s="58"/>
      <c r="MSZ14" s="58"/>
      <c r="MTA14" s="58"/>
      <c r="MTB14" s="58"/>
      <c r="MTC14" s="58"/>
      <c r="MTD14" s="58"/>
      <c r="MTE14" s="58"/>
      <c r="MTF14" s="58"/>
      <c r="MTG14" s="58"/>
      <c r="MTH14" s="58"/>
      <c r="MTI14" s="58"/>
      <c r="MTJ14" s="58"/>
      <c r="MTK14" s="58"/>
      <c r="MTL14" s="58"/>
      <c r="MTM14" s="58"/>
      <c r="MTN14" s="58"/>
      <c r="MTO14" s="58"/>
      <c r="MTP14" s="58"/>
      <c r="MTQ14" s="58"/>
      <c r="MTR14" s="58"/>
      <c r="MTS14" s="58"/>
      <c r="MTT14" s="58"/>
      <c r="MTU14" s="58"/>
      <c r="MTV14" s="58"/>
      <c r="MTW14" s="58"/>
      <c r="MTX14" s="58"/>
      <c r="MTY14" s="58"/>
      <c r="MTZ14" s="58"/>
      <c r="MUA14" s="58"/>
      <c r="MUB14" s="58"/>
      <c r="MUC14" s="58"/>
      <c r="MUD14" s="58"/>
      <c r="MUE14" s="58"/>
      <c r="MUF14" s="58"/>
      <c r="MUG14" s="58"/>
      <c r="MUH14" s="58"/>
      <c r="MUI14" s="58"/>
      <c r="MUJ14" s="58"/>
      <c r="MUK14" s="58"/>
      <c r="MUL14" s="58"/>
      <c r="MUM14" s="58"/>
      <c r="MUN14" s="58"/>
      <c r="MUO14" s="58"/>
      <c r="MUP14" s="58"/>
      <c r="MUQ14" s="58"/>
      <c r="MUR14" s="58"/>
      <c r="MUS14" s="58"/>
      <c r="MUT14" s="58"/>
      <c r="MUU14" s="58"/>
      <c r="MUV14" s="58"/>
      <c r="MUW14" s="58"/>
      <c r="MUX14" s="58"/>
      <c r="MUY14" s="58"/>
      <c r="MUZ14" s="58"/>
      <c r="MVA14" s="58"/>
      <c r="MVB14" s="58"/>
      <c r="MVC14" s="58"/>
      <c r="MVD14" s="58"/>
      <c r="MVE14" s="58"/>
      <c r="MVF14" s="58"/>
      <c r="MVG14" s="58"/>
      <c r="MVH14" s="58"/>
      <c r="MVI14" s="58"/>
      <c r="MVJ14" s="58"/>
      <c r="MVK14" s="58"/>
      <c r="MVL14" s="58"/>
      <c r="MVM14" s="58"/>
      <c r="MVN14" s="58"/>
      <c r="MVO14" s="58"/>
      <c r="MVP14" s="58"/>
      <c r="MVQ14" s="58"/>
      <c r="MVR14" s="58"/>
      <c r="MVS14" s="58"/>
      <c r="MVT14" s="58"/>
      <c r="MVU14" s="58"/>
      <c r="MVV14" s="58"/>
      <c r="MVW14" s="58"/>
      <c r="MVX14" s="58"/>
      <c r="MVY14" s="58"/>
      <c r="MVZ14" s="58"/>
      <c r="MWA14" s="58"/>
      <c r="MWB14" s="58"/>
      <c r="MWC14" s="58"/>
      <c r="MWD14" s="58"/>
      <c r="MWE14" s="58"/>
      <c r="MWF14" s="58"/>
      <c r="MWG14" s="58"/>
      <c r="MWH14" s="58"/>
      <c r="MWI14" s="58"/>
      <c r="MWJ14" s="58"/>
      <c r="MWK14" s="58"/>
      <c r="MWL14" s="58"/>
      <c r="MWM14" s="58"/>
      <c r="MWN14" s="58"/>
      <c r="MWO14" s="58"/>
      <c r="MWP14" s="58"/>
      <c r="MWQ14" s="58"/>
      <c r="MWR14" s="58"/>
      <c r="MWS14" s="58"/>
      <c r="MWT14" s="58"/>
      <c r="MWU14" s="58"/>
      <c r="MWV14" s="58"/>
      <c r="MWW14" s="58"/>
      <c r="MWX14" s="58"/>
      <c r="MWY14" s="58"/>
      <c r="MWZ14" s="58"/>
      <c r="MXA14" s="58"/>
      <c r="MXB14" s="58"/>
      <c r="MXC14" s="58"/>
      <c r="MXD14" s="58"/>
      <c r="MXE14" s="58"/>
      <c r="MXF14" s="58"/>
      <c r="MXG14" s="58"/>
      <c r="MXH14" s="58"/>
      <c r="MXI14" s="58"/>
      <c r="MXJ14" s="58"/>
      <c r="MXK14" s="58"/>
      <c r="MXL14" s="58"/>
      <c r="MXM14" s="58"/>
      <c r="MXN14" s="58"/>
      <c r="MXO14" s="58"/>
      <c r="MXP14" s="58"/>
      <c r="MXQ14" s="58"/>
      <c r="MXR14" s="58"/>
      <c r="MXS14" s="58"/>
      <c r="MXT14" s="58"/>
      <c r="MXU14" s="58"/>
      <c r="MXV14" s="58"/>
      <c r="MXW14" s="58"/>
      <c r="MXX14" s="58"/>
      <c r="MXY14" s="58"/>
      <c r="MXZ14" s="58"/>
      <c r="MYA14" s="58"/>
      <c r="MYB14" s="58"/>
      <c r="MYC14" s="58"/>
      <c r="MYD14" s="58"/>
      <c r="MYE14" s="58"/>
      <c r="MYF14" s="58"/>
      <c r="MYG14" s="58"/>
      <c r="MYH14" s="58"/>
      <c r="MYI14" s="58"/>
      <c r="MYJ14" s="58"/>
      <c r="MYK14" s="58"/>
      <c r="MYL14" s="58"/>
      <c r="MYM14" s="58"/>
      <c r="MYN14" s="58"/>
      <c r="MYO14" s="58"/>
      <c r="MYP14" s="58"/>
      <c r="MYQ14" s="58"/>
      <c r="MYR14" s="58"/>
      <c r="MYS14" s="58"/>
      <c r="MYT14" s="58"/>
      <c r="MYU14" s="58"/>
      <c r="MYV14" s="58"/>
      <c r="MYW14" s="58"/>
      <c r="MYX14" s="58"/>
      <c r="MYY14" s="58"/>
      <c r="MYZ14" s="58"/>
      <c r="MZA14" s="58"/>
      <c r="MZB14" s="58"/>
      <c r="MZC14" s="58"/>
      <c r="MZD14" s="58"/>
      <c r="MZE14" s="58"/>
      <c r="MZF14" s="58"/>
      <c r="MZG14" s="58"/>
      <c r="MZH14" s="58"/>
      <c r="MZI14" s="58"/>
      <c r="MZJ14" s="58"/>
      <c r="MZK14" s="58"/>
      <c r="MZL14" s="58"/>
      <c r="MZM14" s="58"/>
      <c r="MZN14" s="58"/>
      <c r="MZO14" s="58"/>
      <c r="MZP14" s="58"/>
      <c r="MZQ14" s="58"/>
      <c r="MZR14" s="58"/>
      <c r="MZS14" s="58"/>
      <c r="MZT14" s="58"/>
      <c r="MZU14" s="58"/>
      <c r="MZV14" s="58"/>
      <c r="MZW14" s="58"/>
      <c r="MZX14" s="58"/>
      <c r="MZY14" s="58"/>
      <c r="MZZ14" s="58"/>
      <c r="NAA14" s="58"/>
      <c r="NAB14" s="58"/>
      <c r="NAC14" s="58"/>
      <c r="NAD14" s="58"/>
      <c r="NAE14" s="58"/>
      <c r="NAF14" s="58"/>
      <c r="NAG14" s="58"/>
      <c r="NAH14" s="58"/>
      <c r="NAI14" s="58"/>
      <c r="NAJ14" s="58"/>
      <c r="NAK14" s="58"/>
      <c r="NAL14" s="58"/>
      <c r="NAM14" s="58"/>
      <c r="NAN14" s="58"/>
      <c r="NAO14" s="58"/>
      <c r="NAP14" s="58"/>
      <c r="NAQ14" s="58"/>
      <c r="NAR14" s="58"/>
      <c r="NAS14" s="58"/>
      <c r="NAT14" s="58"/>
      <c r="NAU14" s="58"/>
      <c r="NAV14" s="58"/>
      <c r="NAW14" s="58"/>
      <c r="NAX14" s="58"/>
      <c r="NAY14" s="58"/>
      <c r="NAZ14" s="58"/>
      <c r="NBA14" s="58"/>
      <c r="NBB14" s="58"/>
      <c r="NBC14" s="58"/>
      <c r="NBD14" s="58"/>
      <c r="NBE14" s="58"/>
      <c r="NBF14" s="58"/>
      <c r="NBG14" s="58"/>
      <c r="NBH14" s="58"/>
      <c r="NBI14" s="58"/>
      <c r="NBJ14" s="58"/>
      <c r="NBK14" s="58"/>
      <c r="NBL14" s="58"/>
      <c r="NBM14" s="58"/>
      <c r="NBN14" s="58"/>
      <c r="NBO14" s="58"/>
      <c r="NBP14" s="58"/>
      <c r="NBQ14" s="58"/>
      <c r="NBR14" s="58"/>
      <c r="NBS14" s="58"/>
      <c r="NBT14" s="58"/>
      <c r="NBU14" s="58"/>
      <c r="NBV14" s="58"/>
      <c r="NBW14" s="58"/>
      <c r="NBX14" s="58"/>
      <c r="NBY14" s="58"/>
      <c r="NBZ14" s="58"/>
      <c r="NCA14" s="58"/>
      <c r="NCB14" s="58"/>
      <c r="NCC14" s="58"/>
      <c r="NCD14" s="58"/>
      <c r="NCE14" s="58"/>
      <c r="NCF14" s="58"/>
      <c r="NCG14" s="58"/>
      <c r="NCH14" s="58"/>
      <c r="NCI14" s="58"/>
      <c r="NCJ14" s="58"/>
      <c r="NCK14" s="58"/>
      <c r="NCL14" s="58"/>
      <c r="NCM14" s="58"/>
      <c r="NCN14" s="58"/>
      <c r="NCO14" s="58"/>
      <c r="NCP14" s="58"/>
      <c r="NCQ14" s="58"/>
      <c r="NCR14" s="58"/>
      <c r="NCS14" s="58"/>
      <c r="NCT14" s="58"/>
      <c r="NCU14" s="58"/>
      <c r="NCV14" s="58"/>
      <c r="NCW14" s="58"/>
      <c r="NCX14" s="58"/>
      <c r="NCY14" s="58"/>
      <c r="NCZ14" s="58"/>
      <c r="NDA14" s="58"/>
      <c r="NDB14" s="58"/>
      <c r="NDC14" s="58"/>
      <c r="NDD14" s="58"/>
      <c r="NDE14" s="58"/>
      <c r="NDF14" s="58"/>
      <c r="NDG14" s="58"/>
      <c r="NDH14" s="58"/>
      <c r="NDI14" s="58"/>
      <c r="NDJ14" s="58"/>
      <c r="NDK14" s="58"/>
      <c r="NDL14" s="58"/>
      <c r="NDM14" s="58"/>
      <c r="NDN14" s="58"/>
      <c r="NDO14" s="58"/>
      <c r="NDP14" s="58"/>
      <c r="NDQ14" s="58"/>
      <c r="NDR14" s="58"/>
      <c r="NDS14" s="58"/>
      <c r="NDT14" s="58"/>
      <c r="NDU14" s="58"/>
      <c r="NDV14" s="58"/>
      <c r="NDW14" s="58"/>
      <c r="NDX14" s="58"/>
      <c r="NDY14" s="58"/>
      <c r="NDZ14" s="58"/>
      <c r="NEA14" s="58"/>
      <c r="NEB14" s="58"/>
      <c r="NEC14" s="58"/>
      <c r="NED14" s="58"/>
      <c r="NEE14" s="58"/>
      <c r="NEF14" s="58"/>
      <c r="NEG14" s="58"/>
      <c r="NEH14" s="58"/>
      <c r="NEI14" s="58"/>
      <c r="NEJ14" s="58"/>
      <c r="NEK14" s="58"/>
      <c r="NEL14" s="58"/>
      <c r="NEM14" s="58"/>
      <c r="NEN14" s="58"/>
      <c r="NEO14" s="58"/>
      <c r="NEP14" s="58"/>
      <c r="NEQ14" s="58"/>
      <c r="NER14" s="58"/>
      <c r="NES14" s="58"/>
      <c r="NET14" s="58"/>
      <c r="NEU14" s="58"/>
      <c r="NEV14" s="58"/>
      <c r="NEW14" s="58"/>
      <c r="NEX14" s="58"/>
      <c r="NEY14" s="58"/>
      <c r="NEZ14" s="58"/>
      <c r="NFA14" s="58"/>
      <c r="NFB14" s="58"/>
      <c r="NFC14" s="58"/>
      <c r="NFD14" s="58"/>
      <c r="NFE14" s="58"/>
      <c r="NFF14" s="58"/>
      <c r="NFG14" s="58"/>
      <c r="NFH14" s="58"/>
      <c r="NFI14" s="58"/>
      <c r="NFJ14" s="58"/>
      <c r="NFK14" s="58"/>
      <c r="NFL14" s="58"/>
      <c r="NFM14" s="58"/>
      <c r="NFN14" s="58"/>
      <c r="NFO14" s="58"/>
      <c r="NFP14" s="58"/>
      <c r="NFQ14" s="58"/>
      <c r="NFR14" s="58"/>
      <c r="NFS14" s="58"/>
      <c r="NFT14" s="58"/>
      <c r="NFU14" s="58"/>
      <c r="NFV14" s="58"/>
      <c r="NFW14" s="58"/>
      <c r="NFX14" s="58"/>
      <c r="NFY14" s="58"/>
      <c r="NFZ14" s="58"/>
      <c r="NGA14" s="58"/>
      <c r="NGB14" s="58"/>
      <c r="NGC14" s="58"/>
      <c r="NGD14" s="58"/>
      <c r="NGE14" s="58"/>
      <c r="NGF14" s="58"/>
      <c r="NGG14" s="58"/>
      <c r="NGH14" s="58"/>
      <c r="NGI14" s="58"/>
      <c r="NGJ14" s="58"/>
      <c r="NGK14" s="58"/>
      <c r="NGL14" s="58"/>
      <c r="NGM14" s="58"/>
      <c r="NGN14" s="58"/>
      <c r="NGO14" s="58"/>
      <c r="NGP14" s="58"/>
      <c r="NGQ14" s="58"/>
      <c r="NGR14" s="58"/>
      <c r="NGS14" s="58"/>
      <c r="NGT14" s="58"/>
      <c r="NGU14" s="58"/>
      <c r="NGV14" s="58"/>
      <c r="NGW14" s="58"/>
      <c r="NGX14" s="58"/>
      <c r="NGY14" s="58"/>
      <c r="NGZ14" s="58"/>
      <c r="NHA14" s="58"/>
      <c r="NHB14" s="58"/>
      <c r="NHC14" s="58"/>
      <c r="NHD14" s="58"/>
      <c r="NHE14" s="58"/>
      <c r="NHF14" s="58"/>
      <c r="NHG14" s="58"/>
      <c r="NHH14" s="58"/>
      <c r="NHI14" s="58"/>
      <c r="NHJ14" s="58"/>
      <c r="NHK14" s="58"/>
      <c r="NHL14" s="58"/>
      <c r="NHM14" s="58"/>
      <c r="NHN14" s="58"/>
      <c r="NHO14" s="58"/>
      <c r="NHP14" s="58"/>
      <c r="NHQ14" s="58"/>
      <c r="NHR14" s="58"/>
      <c r="NHS14" s="58"/>
      <c r="NHT14" s="58"/>
      <c r="NHU14" s="58"/>
      <c r="NHV14" s="58"/>
      <c r="NHW14" s="58"/>
      <c r="NHX14" s="58"/>
      <c r="NHY14" s="58"/>
      <c r="NHZ14" s="58"/>
      <c r="NIA14" s="58"/>
      <c r="NIB14" s="58"/>
      <c r="NIC14" s="58"/>
      <c r="NID14" s="58"/>
      <c r="NIE14" s="58"/>
      <c r="NIF14" s="58"/>
      <c r="NIG14" s="58"/>
      <c r="NIH14" s="58"/>
      <c r="NII14" s="58"/>
      <c r="NIJ14" s="58"/>
      <c r="NIK14" s="58"/>
      <c r="NIL14" s="58"/>
      <c r="NIM14" s="58"/>
      <c r="NIN14" s="58"/>
      <c r="NIO14" s="58"/>
      <c r="NIP14" s="58"/>
      <c r="NIQ14" s="58"/>
      <c r="NIR14" s="58"/>
      <c r="NIS14" s="58"/>
      <c r="NIT14" s="58"/>
      <c r="NIU14" s="58"/>
      <c r="NIV14" s="58"/>
      <c r="NIW14" s="58"/>
      <c r="NIX14" s="58"/>
      <c r="NIY14" s="58"/>
      <c r="NIZ14" s="58"/>
      <c r="NJA14" s="58"/>
      <c r="NJB14" s="58"/>
      <c r="NJC14" s="58"/>
      <c r="NJD14" s="58"/>
      <c r="NJE14" s="58"/>
      <c r="NJF14" s="58"/>
      <c r="NJG14" s="58"/>
      <c r="NJH14" s="58"/>
      <c r="NJI14" s="58"/>
      <c r="NJJ14" s="58"/>
      <c r="NJK14" s="58"/>
      <c r="NJL14" s="58"/>
      <c r="NJM14" s="58"/>
      <c r="NJN14" s="58"/>
      <c r="NJO14" s="58"/>
      <c r="NJP14" s="58"/>
      <c r="NJQ14" s="58"/>
      <c r="NJR14" s="58"/>
      <c r="NJS14" s="58"/>
      <c r="NJT14" s="58"/>
      <c r="NJU14" s="58"/>
      <c r="NJV14" s="58"/>
      <c r="NJW14" s="58"/>
      <c r="NJX14" s="58"/>
      <c r="NJY14" s="58"/>
      <c r="NJZ14" s="58"/>
      <c r="NKA14" s="58"/>
      <c r="NKB14" s="58"/>
      <c r="NKC14" s="58"/>
      <c r="NKD14" s="58"/>
      <c r="NKE14" s="58"/>
      <c r="NKF14" s="58"/>
      <c r="NKG14" s="58"/>
      <c r="NKH14" s="58"/>
      <c r="NKI14" s="58"/>
      <c r="NKJ14" s="58"/>
      <c r="NKK14" s="58"/>
      <c r="NKL14" s="58"/>
      <c r="NKM14" s="58"/>
      <c r="NKN14" s="58"/>
      <c r="NKO14" s="58"/>
      <c r="NKP14" s="58"/>
      <c r="NKQ14" s="58"/>
      <c r="NKR14" s="58"/>
      <c r="NKS14" s="58"/>
      <c r="NKT14" s="58"/>
      <c r="NKU14" s="58"/>
      <c r="NKV14" s="58"/>
      <c r="NKW14" s="58"/>
      <c r="NKX14" s="58"/>
      <c r="NKY14" s="58"/>
      <c r="NKZ14" s="58"/>
      <c r="NLA14" s="58"/>
      <c r="NLB14" s="58"/>
      <c r="NLC14" s="58"/>
      <c r="NLD14" s="58"/>
      <c r="NLE14" s="58"/>
      <c r="NLF14" s="58"/>
      <c r="NLG14" s="58"/>
      <c r="NLH14" s="58"/>
      <c r="NLI14" s="58"/>
      <c r="NLJ14" s="58"/>
      <c r="NLK14" s="58"/>
      <c r="NLL14" s="58"/>
      <c r="NLM14" s="58"/>
      <c r="NLN14" s="58"/>
      <c r="NLO14" s="58"/>
      <c r="NLP14" s="58"/>
      <c r="NLQ14" s="58"/>
      <c r="NLR14" s="58"/>
      <c r="NLS14" s="58"/>
      <c r="NLT14" s="58"/>
      <c r="NLU14" s="58"/>
      <c r="NLV14" s="58"/>
      <c r="NLW14" s="58"/>
      <c r="NLX14" s="58"/>
      <c r="NLY14" s="58"/>
      <c r="NLZ14" s="58"/>
      <c r="NMA14" s="58"/>
      <c r="NMB14" s="58"/>
      <c r="NMC14" s="58"/>
      <c r="NMD14" s="58"/>
      <c r="NME14" s="58"/>
      <c r="NMF14" s="58"/>
      <c r="NMG14" s="58"/>
      <c r="NMH14" s="58"/>
      <c r="NMI14" s="58"/>
      <c r="NMJ14" s="58"/>
      <c r="NMK14" s="58"/>
      <c r="NML14" s="58"/>
      <c r="NMM14" s="58"/>
      <c r="NMN14" s="58"/>
      <c r="NMO14" s="58"/>
      <c r="NMP14" s="58"/>
      <c r="NMQ14" s="58"/>
      <c r="NMR14" s="58"/>
      <c r="NMS14" s="58"/>
      <c r="NMT14" s="58"/>
      <c r="NMU14" s="58"/>
      <c r="NMV14" s="58"/>
      <c r="NMW14" s="58"/>
      <c r="NMX14" s="58"/>
      <c r="NMY14" s="58"/>
      <c r="NMZ14" s="58"/>
      <c r="NNA14" s="58"/>
      <c r="NNB14" s="58"/>
      <c r="NNC14" s="58"/>
      <c r="NND14" s="58"/>
      <c r="NNE14" s="58"/>
      <c r="NNF14" s="58"/>
      <c r="NNG14" s="58"/>
      <c r="NNH14" s="58"/>
      <c r="NNI14" s="58"/>
      <c r="NNJ14" s="58"/>
      <c r="NNK14" s="58"/>
      <c r="NNL14" s="58"/>
      <c r="NNM14" s="58"/>
      <c r="NNN14" s="58"/>
      <c r="NNO14" s="58"/>
      <c r="NNP14" s="58"/>
      <c r="NNQ14" s="58"/>
      <c r="NNR14" s="58"/>
      <c r="NNS14" s="58"/>
      <c r="NNT14" s="58"/>
      <c r="NNU14" s="58"/>
      <c r="NNV14" s="58"/>
      <c r="NNW14" s="58"/>
      <c r="NNX14" s="58"/>
      <c r="NNY14" s="58"/>
      <c r="NNZ14" s="58"/>
      <c r="NOA14" s="58"/>
      <c r="NOB14" s="58"/>
      <c r="NOC14" s="58"/>
      <c r="NOD14" s="58"/>
      <c r="NOE14" s="58"/>
      <c r="NOF14" s="58"/>
      <c r="NOG14" s="58"/>
      <c r="NOH14" s="58"/>
      <c r="NOI14" s="58"/>
      <c r="NOJ14" s="58"/>
      <c r="NOK14" s="58"/>
      <c r="NOL14" s="58"/>
      <c r="NOM14" s="58"/>
      <c r="NON14" s="58"/>
      <c r="NOO14" s="58"/>
      <c r="NOP14" s="58"/>
      <c r="NOQ14" s="58"/>
      <c r="NOR14" s="58"/>
      <c r="NOS14" s="58"/>
      <c r="NOT14" s="58"/>
      <c r="NOU14" s="58"/>
      <c r="NOV14" s="58"/>
      <c r="NOW14" s="58"/>
      <c r="NOX14" s="58"/>
      <c r="NOY14" s="58"/>
      <c r="NOZ14" s="58"/>
      <c r="NPA14" s="58"/>
      <c r="NPB14" s="58"/>
      <c r="NPC14" s="58"/>
      <c r="NPD14" s="58"/>
      <c r="NPE14" s="58"/>
      <c r="NPF14" s="58"/>
      <c r="NPG14" s="58"/>
      <c r="NPH14" s="58"/>
      <c r="NPI14" s="58"/>
      <c r="NPJ14" s="58"/>
      <c r="NPK14" s="58"/>
      <c r="NPL14" s="58"/>
      <c r="NPM14" s="58"/>
      <c r="NPN14" s="58"/>
      <c r="NPO14" s="58"/>
      <c r="NPP14" s="58"/>
      <c r="NPQ14" s="58"/>
      <c r="NPR14" s="58"/>
      <c r="NPS14" s="58"/>
      <c r="NPT14" s="58"/>
      <c r="NPU14" s="58"/>
      <c r="NPV14" s="58"/>
      <c r="NPW14" s="58"/>
      <c r="NPX14" s="58"/>
      <c r="NPY14" s="58"/>
      <c r="NPZ14" s="58"/>
      <c r="NQA14" s="58"/>
      <c r="NQB14" s="58"/>
      <c r="NQC14" s="58"/>
      <c r="NQD14" s="58"/>
      <c r="NQE14" s="58"/>
      <c r="NQF14" s="58"/>
      <c r="NQG14" s="58"/>
      <c r="NQH14" s="58"/>
      <c r="NQI14" s="58"/>
      <c r="NQJ14" s="58"/>
      <c r="NQK14" s="58"/>
      <c r="NQL14" s="58"/>
      <c r="NQM14" s="58"/>
      <c r="NQN14" s="58"/>
      <c r="NQO14" s="58"/>
      <c r="NQP14" s="58"/>
      <c r="NQQ14" s="58"/>
      <c r="NQR14" s="58"/>
      <c r="NQS14" s="58"/>
      <c r="NQT14" s="58"/>
      <c r="NQU14" s="58"/>
      <c r="NQV14" s="58"/>
      <c r="NQW14" s="58"/>
      <c r="NQX14" s="58"/>
      <c r="NQY14" s="58"/>
      <c r="NQZ14" s="58"/>
      <c r="NRA14" s="58"/>
      <c r="NRB14" s="58"/>
      <c r="NRC14" s="58"/>
      <c r="NRD14" s="58"/>
      <c r="NRE14" s="58"/>
      <c r="NRF14" s="58"/>
      <c r="NRG14" s="58"/>
      <c r="NRH14" s="58"/>
      <c r="NRI14" s="58"/>
      <c r="NRJ14" s="58"/>
      <c r="NRK14" s="58"/>
      <c r="NRL14" s="58"/>
      <c r="NRM14" s="58"/>
      <c r="NRN14" s="58"/>
      <c r="NRO14" s="58"/>
      <c r="NRP14" s="58"/>
      <c r="NRQ14" s="58"/>
      <c r="NRR14" s="58"/>
      <c r="NRS14" s="58"/>
      <c r="NRT14" s="58"/>
      <c r="NRU14" s="58"/>
      <c r="NRV14" s="58"/>
      <c r="NRW14" s="58"/>
      <c r="NRX14" s="58"/>
      <c r="NRY14" s="58"/>
      <c r="NRZ14" s="58"/>
      <c r="NSA14" s="58"/>
      <c r="NSB14" s="58"/>
      <c r="NSC14" s="58"/>
      <c r="NSD14" s="58"/>
      <c r="NSE14" s="58"/>
      <c r="NSF14" s="58"/>
      <c r="NSG14" s="58"/>
      <c r="NSH14" s="58"/>
      <c r="NSI14" s="58"/>
      <c r="NSJ14" s="58"/>
      <c r="NSK14" s="58"/>
      <c r="NSL14" s="58"/>
      <c r="NSM14" s="58"/>
      <c r="NSN14" s="58"/>
      <c r="NSO14" s="58"/>
      <c r="NSP14" s="58"/>
      <c r="NSQ14" s="58"/>
      <c r="NSR14" s="58"/>
      <c r="NSS14" s="58"/>
      <c r="NST14" s="58"/>
      <c r="NSU14" s="58"/>
      <c r="NSV14" s="58"/>
      <c r="NSW14" s="58"/>
      <c r="NSX14" s="58"/>
      <c r="NSY14" s="58"/>
      <c r="NSZ14" s="58"/>
      <c r="NTA14" s="58"/>
      <c r="NTB14" s="58"/>
      <c r="NTC14" s="58"/>
      <c r="NTD14" s="58"/>
      <c r="NTE14" s="58"/>
      <c r="NTF14" s="58"/>
      <c r="NTG14" s="58"/>
      <c r="NTH14" s="58"/>
      <c r="NTI14" s="58"/>
      <c r="NTJ14" s="58"/>
      <c r="NTK14" s="58"/>
      <c r="NTL14" s="58"/>
      <c r="NTM14" s="58"/>
      <c r="NTN14" s="58"/>
      <c r="NTO14" s="58"/>
      <c r="NTP14" s="58"/>
      <c r="NTQ14" s="58"/>
      <c r="NTR14" s="58"/>
      <c r="NTS14" s="58"/>
      <c r="NTT14" s="58"/>
      <c r="NTU14" s="58"/>
      <c r="NTV14" s="58"/>
      <c r="NTW14" s="58"/>
      <c r="NTX14" s="58"/>
      <c r="NTY14" s="58"/>
      <c r="NTZ14" s="58"/>
      <c r="NUA14" s="58"/>
      <c r="NUB14" s="58"/>
      <c r="NUC14" s="58"/>
      <c r="NUD14" s="58"/>
      <c r="NUE14" s="58"/>
      <c r="NUF14" s="58"/>
      <c r="NUG14" s="58"/>
      <c r="NUH14" s="58"/>
      <c r="NUI14" s="58"/>
      <c r="NUJ14" s="58"/>
      <c r="NUK14" s="58"/>
      <c r="NUL14" s="58"/>
      <c r="NUM14" s="58"/>
      <c r="NUN14" s="58"/>
      <c r="NUO14" s="58"/>
      <c r="NUP14" s="58"/>
      <c r="NUQ14" s="58"/>
      <c r="NUR14" s="58"/>
      <c r="NUS14" s="58"/>
      <c r="NUT14" s="58"/>
      <c r="NUU14" s="58"/>
      <c r="NUV14" s="58"/>
      <c r="NUW14" s="58"/>
      <c r="NUX14" s="58"/>
      <c r="NUY14" s="58"/>
      <c r="NUZ14" s="58"/>
      <c r="NVA14" s="58"/>
      <c r="NVB14" s="58"/>
      <c r="NVC14" s="58"/>
      <c r="NVD14" s="58"/>
      <c r="NVE14" s="58"/>
      <c r="NVF14" s="58"/>
      <c r="NVG14" s="58"/>
      <c r="NVH14" s="58"/>
      <c r="NVI14" s="58"/>
      <c r="NVJ14" s="58"/>
      <c r="NVK14" s="58"/>
      <c r="NVL14" s="58"/>
      <c r="NVM14" s="58"/>
      <c r="NVN14" s="58"/>
      <c r="NVO14" s="58"/>
      <c r="NVP14" s="58"/>
      <c r="NVQ14" s="58"/>
      <c r="NVR14" s="58"/>
      <c r="NVS14" s="58"/>
      <c r="NVT14" s="58"/>
      <c r="NVU14" s="58"/>
      <c r="NVV14" s="58"/>
      <c r="NVW14" s="58"/>
      <c r="NVX14" s="58"/>
      <c r="NVY14" s="58"/>
      <c r="NVZ14" s="58"/>
      <c r="NWA14" s="58"/>
      <c r="NWB14" s="58"/>
      <c r="NWC14" s="58"/>
      <c r="NWD14" s="58"/>
      <c r="NWE14" s="58"/>
      <c r="NWF14" s="58"/>
      <c r="NWG14" s="58"/>
      <c r="NWH14" s="58"/>
      <c r="NWI14" s="58"/>
      <c r="NWJ14" s="58"/>
      <c r="NWK14" s="58"/>
      <c r="NWL14" s="58"/>
      <c r="NWM14" s="58"/>
      <c r="NWN14" s="58"/>
      <c r="NWO14" s="58"/>
      <c r="NWP14" s="58"/>
      <c r="NWQ14" s="58"/>
      <c r="NWR14" s="58"/>
      <c r="NWS14" s="58"/>
      <c r="NWT14" s="58"/>
      <c r="NWU14" s="58"/>
      <c r="NWV14" s="58"/>
      <c r="NWW14" s="58"/>
      <c r="NWX14" s="58"/>
      <c r="NWY14" s="58"/>
      <c r="NWZ14" s="58"/>
      <c r="NXA14" s="58"/>
      <c r="NXB14" s="58"/>
      <c r="NXC14" s="58"/>
      <c r="NXD14" s="58"/>
      <c r="NXE14" s="58"/>
      <c r="NXF14" s="58"/>
      <c r="NXG14" s="58"/>
      <c r="NXH14" s="58"/>
      <c r="NXI14" s="58"/>
      <c r="NXJ14" s="58"/>
      <c r="NXK14" s="58"/>
      <c r="NXL14" s="58"/>
      <c r="NXM14" s="58"/>
      <c r="NXN14" s="58"/>
      <c r="NXO14" s="58"/>
      <c r="NXP14" s="58"/>
      <c r="NXQ14" s="58"/>
      <c r="NXR14" s="58"/>
      <c r="NXS14" s="58"/>
      <c r="NXT14" s="58"/>
      <c r="NXU14" s="58"/>
      <c r="NXV14" s="58"/>
      <c r="NXW14" s="58"/>
      <c r="NXX14" s="58"/>
      <c r="NXY14" s="58"/>
      <c r="NXZ14" s="58"/>
      <c r="NYA14" s="58"/>
      <c r="NYB14" s="58"/>
      <c r="NYC14" s="58"/>
      <c r="NYD14" s="58"/>
      <c r="NYE14" s="58"/>
      <c r="NYF14" s="58"/>
      <c r="NYG14" s="58"/>
      <c r="NYH14" s="58"/>
      <c r="NYI14" s="58"/>
      <c r="NYJ14" s="58"/>
      <c r="NYK14" s="58"/>
      <c r="NYL14" s="58"/>
      <c r="NYM14" s="58"/>
      <c r="NYN14" s="58"/>
      <c r="NYO14" s="58"/>
      <c r="NYP14" s="58"/>
      <c r="NYQ14" s="58"/>
      <c r="NYR14" s="58"/>
      <c r="NYS14" s="58"/>
      <c r="NYT14" s="58"/>
      <c r="NYU14" s="58"/>
      <c r="NYV14" s="58"/>
      <c r="NYW14" s="58"/>
      <c r="NYX14" s="58"/>
      <c r="NYY14" s="58"/>
      <c r="NYZ14" s="58"/>
      <c r="NZA14" s="58"/>
      <c r="NZB14" s="58"/>
      <c r="NZC14" s="58"/>
      <c r="NZD14" s="58"/>
      <c r="NZE14" s="58"/>
      <c r="NZF14" s="58"/>
      <c r="NZG14" s="58"/>
      <c r="NZH14" s="58"/>
      <c r="NZI14" s="58"/>
      <c r="NZJ14" s="58"/>
      <c r="NZK14" s="58"/>
      <c r="NZL14" s="58"/>
      <c r="NZM14" s="58"/>
      <c r="NZN14" s="58"/>
      <c r="NZO14" s="58"/>
      <c r="NZP14" s="58"/>
      <c r="NZQ14" s="58"/>
      <c r="NZR14" s="58"/>
      <c r="NZS14" s="58"/>
      <c r="NZT14" s="58"/>
      <c r="NZU14" s="58"/>
      <c r="NZV14" s="58"/>
      <c r="NZW14" s="58"/>
      <c r="NZX14" s="58"/>
      <c r="NZY14" s="58"/>
      <c r="NZZ14" s="58"/>
      <c r="OAA14" s="58"/>
      <c r="OAB14" s="58"/>
      <c r="OAC14" s="58"/>
      <c r="OAD14" s="58"/>
      <c r="OAE14" s="58"/>
      <c r="OAF14" s="58"/>
      <c r="OAG14" s="58"/>
      <c r="OAH14" s="58"/>
      <c r="OAI14" s="58"/>
      <c r="OAJ14" s="58"/>
      <c r="OAK14" s="58"/>
      <c r="OAL14" s="58"/>
      <c r="OAM14" s="58"/>
      <c r="OAN14" s="58"/>
      <c r="OAO14" s="58"/>
      <c r="OAP14" s="58"/>
      <c r="OAQ14" s="58"/>
      <c r="OAR14" s="58"/>
      <c r="OAS14" s="58"/>
      <c r="OAT14" s="58"/>
      <c r="OAU14" s="58"/>
      <c r="OAV14" s="58"/>
      <c r="OAW14" s="58"/>
      <c r="OAX14" s="58"/>
      <c r="OAY14" s="58"/>
      <c r="OAZ14" s="58"/>
      <c r="OBA14" s="58"/>
      <c r="OBB14" s="58"/>
      <c r="OBC14" s="58"/>
      <c r="OBD14" s="58"/>
      <c r="OBE14" s="58"/>
      <c r="OBF14" s="58"/>
      <c r="OBG14" s="58"/>
      <c r="OBH14" s="58"/>
      <c r="OBI14" s="58"/>
      <c r="OBJ14" s="58"/>
      <c r="OBK14" s="58"/>
      <c r="OBL14" s="58"/>
      <c r="OBM14" s="58"/>
      <c r="OBN14" s="58"/>
      <c r="OBO14" s="58"/>
      <c r="OBP14" s="58"/>
      <c r="OBQ14" s="58"/>
      <c r="OBR14" s="58"/>
      <c r="OBS14" s="58"/>
      <c r="OBT14" s="58"/>
      <c r="OBU14" s="58"/>
      <c r="OBV14" s="58"/>
      <c r="OBW14" s="58"/>
      <c r="OBX14" s="58"/>
      <c r="OBY14" s="58"/>
      <c r="OBZ14" s="58"/>
      <c r="OCA14" s="58"/>
      <c r="OCB14" s="58"/>
      <c r="OCC14" s="58"/>
      <c r="OCD14" s="58"/>
      <c r="OCE14" s="58"/>
      <c r="OCF14" s="58"/>
      <c r="OCG14" s="58"/>
      <c r="OCH14" s="58"/>
      <c r="OCI14" s="58"/>
      <c r="OCJ14" s="58"/>
      <c r="OCK14" s="58"/>
      <c r="OCL14" s="58"/>
      <c r="OCM14" s="58"/>
      <c r="OCN14" s="58"/>
      <c r="OCO14" s="58"/>
      <c r="OCP14" s="58"/>
      <c r="OCQ14" s="58"/>
      <c r="OCR14" s="58"/>
      <c r="OCS14" s="58"/>
      <c r="OCT14" s="58"/>
      <c r="OCU14" s="58"/>
      <c r="OCV14" s="58"/>
      <c r="OCW14" s="58"/>
      <c r="OCX14" s="58"/>
      <c r="OCY14" s="58"/>
      <c r="OCZ14" s="58"/>
      <c r="ODA14" s="58"/>
      <c r="ODB14" s="58"/>
      <c r="ODC14" s="58"/>
      <c r="ODD14" s="58"/>
      <c r="ODE14" s="58"/>
      <c r="ODF14" s="58"/>
      <c r="ODG14" s="58"/>
      <c r="ODH14" s="58"/>
      <c r="ODI14" s="58"/>
      <c r="ODJ14" s="58"/>
      <c r="ODK14" s="58"/>
      <c r="ODL14" s="58"/>
      <c r="ODM14" s="58"/>
      <c r="ODN14" s="58"/>
      <c r="ODO14" s="58"/>
      <c r="ODP14" s="58"/>
      <c r="ODQ14" s="58"/>
      <c r="ODR14" s="58"/>
      <c r="ODS14" s="58"/>
      <c r="ODT14" s="58"/>
      <c r="ODU14" s="58"/>
      <c r="ODV14" s="58"/>
      <c r="ODW14" s="58"/>
      <c r="ODX14" s="58"/>
      <c r="ODY14" s="58"/>
      <c r="ODZ14" s="58"/>
      <c r="OEA14" s="58"/>
      <c r="OEB14" s="58"/>
      <c r="OEC14" s="58"/>
      <c r="OED14" s="58"/>
      <c r="OEE14" s="58"/>
      <c r="OEF14" s="58"/>
      <c r="OEG14" s="58"/>
      <c r="OEH14" s="58"/>
      <c r="OEI14" s="58"/>
      <c r="OEJ14" s="58"/>
      <c r="OEK14" s="58"/>
      <c r="OEL14" s="58"/>
      <c r="OEM14" s="58"/>
      <c r="OEN14" s="58"/>
      <c r="OEO14" s="58"/>
      <c r="OEP14" s="58"/>
      <c r="OEQ14" s="58"/>
      <c r="OER14" s="58"/>
      <c r="OES14" s="58"/>
      <c r="OET14" s="58"/>
      <c r="OEU14" s="58"/>
      <c r="OEV14" s="58"/>
      <c r="OEW14" s="58"/>
      <c r="OEX14" s="58"/>
      <c r="OEY14" s="58"/>
      <c r="OEZ14" s="58"/>
      <c r="OFA14" s="58"/>
      <c r="OFB14" s="58"/>
      <c r="OFC14" s="58"/>
      <c r="OFD14" s="58"/>
      <c r="OFE14" s="58"/>
      <c r="OFF14" s="58"/>
      <c r="OFG14" s="58"/>
      <c r="OFH14" s="58"/>
      <c r="OFI14" s="58"/>
      <c r="OFJ14" s="58"/>
      <c r="OFK14" s="58"/>
      <c r="OFL14" s="58"/>
      <c r="OFM14" s="58"/>
      <c r="OFN14" s="58"/>
      <c r="OFO14" s="58"/>
      <c r="OFP14" s="58"/>
      <c r="OFQ14" s="58"/>
      <c r="OFR14" s="58"/>
      <c r="OFS14" s="58"/>
      <c r="OFT14" s="58"/>
      <c r="OFU14" s="58"/>
      <c r="OFV14" s="58"/>
      <c r="OFW14" s="58"/>
      <c r="OFX14" s="58"/>
      <c r="OFY14" s="58"/>
      <c r="OFZ14" s="58"/>
      <c r="OGA14" s="58"/>
      <c r="OGB14" s="58"/>
      <c r="OGC14" s="58"/>
      <c r="OGD14" s="58"/>
      <c r="OGE14" s="58"/>
      <c r="OGF14" s="58"/>
      <c r="OGG14" s="58"/>
      <c r="OGH14" s="58"/>
      <c r="OGI14" s="58"/>
      <c r="OGJ14" s="58"/>
      <c r="OGK14" s="58"/>
      <c r="OGL14" s="58"/>
      <c r="OGM14" s="58"/>
      <c r="OGN14" s="58"/>
      <c r="OGO14" s="58"/>
      <c r="OGP14" s="58"/>
      <c r="OGQ14" s="58"/>
      <c r="OGR14" s="58"/>
      <c r="OGS14" s="58"/>
      <c r="OGT14" s="58"/>
      <c r="OGU14" s="58"/>
      <c r="OGV14" s="58"/>
      <c r="OGW14" s="58"/>
      <c r="OGX14" s="58"/>
      <c r="OGY14" s="58"/>
      <c r="OGZ14" s="58"/>
      <c r="OHA14" s="58"/>
      <c r="OHB14" s="58"/>
      <c r="OHC14" s="58"/>
      <c r="OHD14" s="58"/>
      <c r="OHE14" s="58"/>
      <c r="OHF14" s="58"/>
      <c r="OHG14" s="58"/>
      <c r="OHH14" s="58"/>
      <c r="OHI14" s="58"/>
      <c r="OHJ14" s="58"/>
      <c r="OHK14" s="58"/>
      <c r="OHL14" s="58"/>
      <c r="OHM14" s="58"/>
      <c r="OHN14" s="58"/>
      <c r="OHO14" s="58"/>
      <c r="OHP14" s="58"/>
      <c r="OHQ14" s="58"/>
      <c r="OHR14" s="58"/>
      <c r="OHS14" s="58"/>
      <c r="OHT14" s="58"/>
      <c r="OHU14" s="58"/>
      <c r="OHV14" s="58"/>
      <c r="OHW14" s="58"/>
      <c r="OHX14" s="58"/>
      <c r="OHY14" s="58"/>
      <c r="OHZ14" s="58"/>
      <c r="OIA14" s="58"/>
      <c r="OIB14" s="58"/>
      <c r="OIC14" s="58"/>
      <c r="OID14" s="58"/>
      <c r="OIE14" s="58"/>
      <c r="OIF14" s="58"/>
      <c r="OIG14" s="58"/>
      <c r="OIH14" s="58"/>
      <c r="OII14" s="58"/>
      <c r="OIJ14" s="58"/>
      <c r="OIK14" s="58"/>
      <c r="OIL14" s="58"/>
      <c r="OIM14" s="58"/>
      <c r="OIN14" s="58"/>
      <c r="OIO14" s="58"/>
      <c r="OIP14" s="58"/>
      <c r="OIQ14" s="58"/>
      <c r="OIR14" s="58"/>
      <c r="OIS14" s="58"/>
      <c r="OIT14" s="58"/>
      <c r="OIU14" s="58"/>
      <c r="OIV14" s="58"/>
      <c r="OIW14" s="58"/>
      <c r="OIX14" s="58"/>
      <c r="OIY14" s="58"/>
      <c r="OIZ14" s="58"/>
      <c r="OJA14" s="58"/>
      <c r="OJB14" s="58"/>
      <c r="OJC14" s="58"/>
      <c r="OJD14" s="58"/>
      <c r="OJE14" s="58"/>
      <c r="OJF14" s="58"/>
      <c r="OJG14" s="58"/>
      <c r="OJH14" s="58"/>
      <c r="OJI14" s="58"/>
      <c r="OJJ14" s="58"/>
      <c r="OJK14" s="58"/>
      <c r="OJL14" s="58"/>
      <c r="OJM14" s="58"/>
      <c r="OJN14" s="58"/>
      <c r="OJO14" s="58"/>
      <c r="OJP14" s="58"/>
      <c r="OJQ14" s="58"/>
      <c r="OJR14" s="58"/>
      <c r="OJS14" s="58"/>
      <c r="OJT14" s="58"/>
      <c r="OJU14" s="58"/>
      <c r="OJV14" s="58"/>
      <c r="OJW14" s="58"/>
      <c r="OJX14" s="58"/>
      <c r="OJY14" s="58"/>
      <c r="OJZ14" s="58"/>
      <c r="OKA14" s="58"/>
      <c r="OKB14" s="58"/>
      <c r="OKC14" s="58"/>
      <c r="OKD14" s="58"/>
      <c r="OKE14" s="58"/>
      <c r="OKF14" s="58"/>
      <c r="OKG14" s="58"/>
      <c r="OKH14" s="58"/>
      <c r="OKI14" s="58"/>
      <c r="OKJ14" s="58"/>
      <c r="OKK14" s="58"/>
      <c r="OKL14" s="58"/>
      <c r="OKM14" s="58"/>
      <c r="OKN14" s="58"/>
      <c r="OKO14" s="58"/>
      <c r="OKP14" s="58"/>
      <c r="OKQ14" s="58"/>
      <c r="OKR14" s="58"/>
      <c r="OKS14" s="58"/>
      <c r="OKT14" s="58"/>
      <c r="OKU14" s="58"/>
      <c r="OKV14" s="58"/>
      <c r="OKW14" s="58"/>
      <c r="OKX14" s="58"/>
      <c r="OKY14" s="58"/>
      <c r="OKZ14" s="58"/>
      <c r="OLA14" s="58"/>
      <c r="OLB14" s="58"/>
      <c r="OLC14" s="58"/>
      <c r="OLD14" s="58"/>
      <c r="OLE14" s="58"/>
      <c r="OLF14" s="58"/>
      <c r="OLG14" s="58"/>
      <c r="OLH14" s="58"/>
      <c r="OLI14" s="58"/>
      <c r="OLJ14" s="58"/>
      <c r="OLK14" s="58"/>
      <c r="OLL14" s="58"/>
      <c r="OLM14" s="58"/>
      <c r="OLN14" s="58"/>
      <c r="OLO14" s="58"/>
      <c r="OLP14" s="58"/>
      <c r="OLQ14" s="58"/>
      <c r="OLR14" s="58"/>
      <c r="OLS14" s="58"/>
      <c r="OLT14" s="58"/>
      <c r="OLU14" s="58"/>
      <c r="OLV14" s="58"/>
      <c r="OLW14" s="58"/>
      <c r="OLX14" s="58"/>
      <c r="OLY14" s="58"/>
      <c r="OLZ14" s="58"/>
      <c r="OMA14" s="58"/>
      <c r="OMB14" s="58"/>
      <c r="OMC14" s="58"/>
      <c r="OMD14" s="58"/>
      <c r="OME14" s="58"/>
      <c r="OMF14" s="58"/>
      <c r="OMG14" s="58"/>
      <c r="OMH14" s="58"/>
      <c r="OMI14" s="58"/>
      <c r="OMJ14" s="58"/>
      <c r="OMK14" s="58"/>
      <c r="OML14" s="58"/>
      <c r="OMM14" s="58"/>
      <c r="OMN14" s="58"/>
      <c r="OMO14" s="58"/>
      <c r="OMP14" s="58"/>
      <c r="OMQ14" s="58"/>
      <c r="OMR14" s="58"/>
      <c r="OMS14" s="58"/>
      <c r="OMT14" s="58"/>
      <c r="OMU14" s="58"/>
      <c r="OMV14" s="58"/>
      <c r="OMW14" s="58"/>
      <c r="OMX14" s="58"/>
      <c r="OMY14" s="58"/>
      <c r="OMZ14" s="58"/>
      <c r="ONA14" s="58"/>
      <c r="ONB14" s="58"/>
      <c r="ONC14" s="58"/>
      <c r="OND14" s="58"/>
      <c r="ONE14" s="58"/>
      <c r="ONF14" s="58"/>
      <c r="ONG14" s="58"/>
      <c r="ONH14" s="58"/>
      <c r="ONI14" s="58"/>
      <c r="ONJ14" s="58"/>
      <c r="ONK14" s="58"/>
      <c r="ONL14" s="58"/>
      <c r="ONM14" s="58"/>
      <c r="ONN14" s="58"/>
      <c r="ONO14" s="58"/>
      <c r="ONP14" s="58"/>
      <c r="ONQ14" s="58"/>
      <c r="ONR14" s="58"/>
      <c r="ONS14" s="58"/>
      <c r="ONT14" s="58"/>
      <c r="ONU14" s="58"/>
      <c r="ONV14" s="58"/>
      <c r="ONW14" s="58"/>
      <c r="ONX14" s="58"/>
      <c r="ONY14" s="58"/>
      <c r="ONZ14" s="58"/>
      <c r="OOA14" s="58"/>
      <c r="OOB14" s="58"/>
      <c r="OOC14" s="58"/>
      <c r="OOD14" s="58"/>
      <c r="OOE14" s="58"/>
      <c r="OOF14" s="58"/>
      <c r="OOG14" s="58"/>
      <c r="OOH14" s="58"/>
      <c r="OOI14" s="58"/>
      <c r="OOJ14" s="58"/>
      <c r="OOK14" s="58"/>
      <c r="OOL14" s="58"/>
      <c r="OOM14" s="58"/>
      <c r="OON14" s="58"/>
      <c r="OOO14" s="58"/>
      <c r="OOP14" s="58"/>
      <c r="OOQ14" s="58"/>
      <c r="OOR14" s="58"/>
      <c r="OOS14" s="58"/>
      <c r="OOT14" s="58"/>
      <c r="OOU14" s="58"/>
      <c r="OOV14" s="58"/>
      <c r="OOW14" s="58"/>
      <c r="OOX14" s="58"/>
      <c r="OOY14" s="58"/>
      <c r="OOZ14" s="58"/>
      <c r="OPA14" s="58"/>
      <c r="OPB14" s="58"/>
      <c r="OPC14" s="58"/>
      <c r="OPD14" s="58"/>
      <c r="OPE14" s="58"/>
      <c r="OPF14" s="58"/>
      <c r="OPG14" s="58"/>
      <c r="OPH14" s="58"/>
      <c r="OPI14" s="58"/>
      <c r="OPJ14" s="58"/>
      <c r="OPK14" s="58"/>
      <c r="OPL14" s="58"/>
      <c r="OPM14" s="58"/>
      <c r="OPN14" s="58"/>
      <c r="OPO14" s="58"/>
      <c r="OPP14" s="58"/>
      <c r="OPQ14" s="58"/>
      <c r="OPR14" s="58"/>
      <c r="OPS14" s="58"/>
      <c r="OPT14" s="58"/>
      <c r="OPU14" s="58"/>
      <c r="OPV14" s="58"/>
      <c r="OPW14" s="58"/>
      <c r="OPX14" s="58"/>
      <c r="OPY14" s="58"/>
      <c r="OPZ14" s="58"/>
      <c r="OQA14" s="58"/>
      <c r="OQB14" s="58"/>
      <c r="OQC14" s="58"/>
      <c r="OQD14" s="58"/>
      <c r="OQE14" s="58"/>
      <c r="OQF14" s="58"/>
      <c r="OQG14" s="58"/>
      <c r="OQH14" s="58"/>
      <c r="OQI14" s="58"/>
      <c r="OQJ14" s="58"/>
      <c r="OQK14" s="58"/>
      <c r="OQL14" s="58"/>
      <c r="OQM14" s="58"/>
      <c r="OQN14" s="58"/>
      <c r="OQO14" s="58"/>
      <c r="OQP14" s="58"/>
      <c r="OQQ14" s="58"/>
      <c r="OQR14" s="58"/>
      <c r="OQS14" s="58"/>
      <c r="OQT14" s="58"/>
      <c r="OQU14" s="58"/>
      <c r="OQV14" s="58"/>
      <c r="OQW14" s="58"/>
      <c r="OQX14" s="58"/>
      <c r="OQY14" s="58"/>
      <c r="OQZ14" s="58"/>
      <c r="ORA14" s="58"/>
      <c r="ORB14" s="58"/>
      <c r="ORC14" s="58"/>
      <c r="ORD14" s="58"/>
      <c r="ORE14" s="58"/>
      <c r="ORF14" s="58"/>
      <c r="ORG14" s="58"/>
      <c r="ORH14" s="58"/>
      <c r="ORI14" s="58"/>
      <c r="ORJ14" s="58"/>
      <c r="ORK14" s="58"/>
      <c r="ORL14" s="58"/>
      <c r="ORM14" s="58"/>
      <c r="ORN14" s="58"/>
      <c r="ORO14" s="58"/>
      <c r="ORP14" s="58"/>
      <c r="ORQ14" s="58"/>
      <c r="ORR14" s="58"/>
      <c r="ORS14" s="58"/>
      <c r="ORT14" s="58"/>
      <c r="ORU14" s="58"/>
      <c r="ORV14" s="58"/>
      <c r="ORW14" s="58"/>
      <c r="ORX14" s="58"/>
      <c r="ORY14" s="58"/>
      <c r="ORZ14" s="58"/>
      <c r="OSA14" s="58"/>
      <c r="OSB14" s="58"/>
      <c r="OSC14" s="58"/>
      <c r="OSD14" s="58"/>
      <c r="OSE14" s="58"/>
      <c r="OSF14" s="58"/>
      <c r="OSG14" s="58"/>
      <c r="OSH14" s="58"/>
      <c r="OSI14" s="58"/>
      <c r="OSJ14" s="58"/>
      <c r="OSK14" s="58"/>
      <c r="OSL14" s="58"/>
      <c r="OSM14" s="58"/>
      <c r="OSN14" s="58"/>
      <c r="OSO14" s="58"/>
      <c r="OSP14" s="58"/>
      <c r="OSQ14" s="58"/>
      <c r="OSR14" s="58"/>
      <c r="OSS14" s="58"/>
      <c r="OST14" s="58"/>
      <c r="OSU14" s="58"/>
      <c r="OSV14" s="58"/>
      <c r="OSW14" s="58"/>
      <c r="OSX14" s="58"/>
      <c r="OSY14" s="58"/>
      <c r="OSZ14" s="58"/>
      <c r="OTA14" s="58"/>
      <c r="OTB14" s="58"/>
      <c r="OTC14" s="58"/>
      <c r="OTD14" s="58"/>
      <c r="OTE14" s="58"/>
      <c r="OTF14" s="58"/>
      <c r="OTG14" s="58"/>
      <c r="OTH14" s="58"/>
      <c r="OTI14" s="58"/>
      <c r="OTJ14" s="58"/>
      <c r="OTK14" s="58"/>
      <c r="OTL14" s="58"/>
      <c r="OTM14" s="58"/>
      <c r="OTN14" s="58"/>
      <c r="OTO14" s="58"/>
      <c r="OTP14" s="58"/>
      <c r="OTQ14" s="58"/>
      <c r="OTR14" s="58"/>
      <c r="OTS14" s="58"/>
      <c r="OTT14" s="58"/>
      <c r="OTU14" s="58"/>
      <c r="OTV14" s="58"/>
      <c r="OTW14" s="58"/>
      <c r="OTX14" s="58"/>
      <c r="OTY14" s="58"/>
      <c r="OTZ14" s="58"/>
      <c r="OUA14" s="58"/>
      <c r="OUB14" s="58"/>
      <c r="OUC14" s="58"/>
      <c r="OUD14" s="58"/>
      <c r="OUE14" s="58"/>
      <c r="OUF14" s="58"/>
      <c r="OUG14" s="58"/>
      <c r="OUH14" s="58"/>
      <c r="OUI14" s="58"/>
      <c r="OUJ14" s="58"/>
      <c r="OUK14" s="58"/>
      <c r="OUL14" s="58"/>
      <c r="OUM14" s="58"/>
      <c r="OUN14" s="58"/>
      <c r="OUO14" s="58"/>
      <c r="OUP14" s="58"/>
      <c r="OUQ14" s="58"/>
      <c r="OUR14" s="58"/>
      <c r="OUS14" s="58"/>
      <c r="OUT14" s="58"/>
      <c r="OUU14" s="58"/>
      <c r="OUV14" s="58"/>
      <c r="OUW14" s="58"/>
      <c r="OUX14" s="58"/>
      <c r="OUY14" s="58"/>
      <c r="OUZ14" s="58"/>
      <c r="OVA14" s="58"/>
      <c r="OVB14" s="58"/>
      <c r="OVC14" s="58"/>
      <c r="OVD14" s="58"/>
      <c r="OVE14" s="58"/>
      <c r="OVF14" s="58"/>
      <c r="OVG14" s="58"/>
      <c r="OVH14" s="58"/>
      <c r="OVI14" s="58"/>
      <c r="OVJ14" s="58"/>
      <c r="OVK14" s="58"/>
      <c r="OVL14" s="58"/>
      <c r="OVM14" s="58"/>
      <c r="OVN14" s="58"/>
      <c r="OVO14" s="58"/>
      <c r="OVP14" s="58"/>
      <c r="OVQ14" s="58"/>
      <c r="OVR14" s="58"/>
      <c r="OVS14" s="58"/>
      <c r="OVT14" s="58"/>
      <c r="OVU14" s="58"/>
      <c r="OVV14" s="58"/>
      <c r="OVW14" s="58"/>
      <c r="OVX14" s="58"/>
      <c r="OVY14" s="58"/>
      <c r="OVZ14" s="58"/>
      <c r="OWA14" s="58"/>
      <c r="OWB14" s="58"/>
      <c r="OWC14" s="58"/>
      <c r="OWD14" s="58"/>
      <c r="OWE14" s="58"/>
      <c r="OWF14" s="58"/>
      <c r="OWG14" s="58"/>
      <c r="OWH14" s="58"/>
      <c r="OWI14" s="58"/>
      <c r="OWJ14" s="58"/>
      <c r="OWK14" s="58"/>
      <c r="OWL14" s="58"/>
      <c r="OWM14" s="58"/>
      <c r="OWN14" s="58"/>
      <c r="OWO14" s="58"/>
      <c r="OWP14" s="58"/>
      <c r="OWQ14" s="58"/>
      <c r="OWR14" s="58"/>
      <c r="OWS14" s="58"/>
      <c r="OWT14" s="58"/>
      <c r="OWU14" s="58"/>
      <c r="OWV14" s="58"/>
      <c r="OWW14" s="58"/>
      <c r="OWX14" s="58"/>
      <c r="OWY14" s="58"/>
      <c r="OWZ14" s="58"/>
      <c r="OXA14" s="58"/>
      <c r="OXB14" s="58"/>
      <c r="OXC14" s="58"/>
      <c r="OXD14" s="58"/>
      <c r="OXE14" s="58"/>
      <c r="OXF14" s="58"/>
      <c r="OXG14" s="58"/>
      <c r="OXH14" s="58"/>
      <c r="OXI14" s="58"/>
      <c r="OXJ14" s="58"/>
      <c r="OXK14" s="58"/>
      <c r="OXL14" s="58"/>
      <c r="OXM14" s="58"/>
      <c r="OXN14" s="58"/>
      <c r="OXO14" s="58"/>
      <c r="OXP14" s="58"/>
      <c r="OXQ14" s="58"/>
      <c r="OXR14" s="58"/>
      <c r="OXS14" s="58"/>
      <c r="OXT14" s="58"/>
      <c r="OXU14" s="58"/>
      <c r="OXV14" s="58"/>
      <c r="OXW14" s="58"/>
      <c r="OXX14" s="58"/>
      <c r="OXY14" s="58"/>
      <c r="OXZ14" s="58"/>
      <c r="OYA14" s="58"/>
      <c r="OYB14" s="58"/>
      <c r="OYC14" s="58"/>
      <c r="OYD14" s="58"/>
      <c r="OYE14" s="58"/>
      <c r="OYF14" s="58"/>
      <c r="OYG14" s="58"/>
      <c r="OYH14" s="58"/>
      <c r="OYI14" s="58"/>
      <c r="OYJ14" s="58"/>
      <c r="OYK14" s="58"/>
      <c r="OYL14" s="58"/>
      <c r="OYM14" s="58"/>
      <c r="OYN14" s="58"/>
      <c r="OYO14" s="58"/>
      <c r="OYP14" s="58"/>
      <c r="OYQ14" s="58"/>
      <c r="OYR14" s="58"/>
      <c r="OYS14" s="58"/>
      <c r="OYT14" s="58"/>
      <c r="OYU14" s="58"/>
      <c r="OYV14" s="58"/>
      <c r="OYW14" s="58"/>
      <c r="OYX14" s="58"/>
      <c r="OYY14" s="58"/>
      <c r="OYZ14" s="58"/>
      <c r="OZA14" s="58"/>
      <c r="OZB14" s="58"/>
      <c r="OZC14" s="58"/>
      <c r="OZD14" s="58"/>
      <c r="OZE14" s="58"/>
      <c r="OZF14" s="58"/>
      <c r="OZG14" s="58"/>
      <c r="OZH14" s="58"/>
      <c r="OZI14" s="58"/>
      <c r="OZJ14" s="58"/>
      <c r="OZK14" s="58"/>
      <c r="OZL14" s="58"/>
      <c r="OZM14" s="58"/>
      <c r="OZN14" s="58"/>
      <c r="OZO14" s="58"/>
      <c r="OZP14" s="58"/>
      <c r="OZQ14" s="58"/>
      <c r="OZR14" s="58"/>
      <c r="OZS14" s="58"/>
      <c r="OZT14" s="58"/>
      <c r="OZU14" s="58"/>
      <c r="OZV14" s="58"/>
      <c r="OZW14" s="58"/>
      <c r="OZX14" s="58"/>
      <c r="OZY14" s="58"/>
      <c r="OZZ14" s="58"/>
      <c r="PAA14" s="58"/>
      <c r="PAB14" s="58"/>
      <c r="PAC14" s="58"/>
      <c r="PAD14" s="58"/>
      <c r="PAE14" s="58"/>
      <c r="PAF14" s="58"/>
      <c r="PAG14" s="58"/>
      <c r="PAH14" s="58"/>
      <c r="PAI14" s="58"/>
      <c r="PAJ14" s="58"/>
      <c r="PAK14" s="58"/>
      <c r="PAL14" s="58"/>
      <c r="PAM14" s="58"/>
      <c r="PAN14" s="58"/>
      <c r="PAO14" s="58"/>
      <c r="PAP14" s="58"/>
      <c r="PAQ14" s="58"/>
      <c r="PAR14" s="58"/>
      <c r="PAS14" s="58"/>
      <c r="PAT14" s="58"/>
      <c r="PAU14" s="58"/>
      <c r="PAV14" s="58"/>
      <c r="PAW14" s="58"/>
      <c r="PAX14" s="58"/>
      <c r="PAY14" s="58"/>
      <c r="PAZ14" s="58"/>
      <c r="PBA14" s="58"/>
      <c r="PBB14" s="58"/>
      <c r="PBC14" s="58"/>
      <c r="PBD14" s="58"/>
      <c r="PBE14" s="58"/>
      <c r="PBF14" s="58"/>
      <c r="PBG14" s="58"/>
      <c r="PBH14" s="58"/>
      <c r="PBI14" s="58"/>
      <c r="PBJ14" s="58"/>
      <c r="PBK14" s="58"/>
      <c r="PBL14" s="58"/>
      <c r="PBM14" s="58"/>
      <c r="PBN14" s="58"/>
      <c r="PBO14" s="58"/>
      <c r="PBP14" s="58"/>
      <c r="PBQ14" s="58"/>
      <c r="PBR14" s="58"/>
      <c r="PBS14" s="58"/>
      <c r="PBT14" s="58"/>
      <c r="PBU14" s="58"/>
      <c r="PBV14" s="58"/>
      <c r="PBW14" s="58"/>
      <c r="PBX14" s="58"/>
      <c r="PBY14" s="58"/>
      <c r="PBZ14" s="58"/>
      <c r="PCA14" s="58"/>
      <c r="PCB14" s="58"/>
      <c r="PCC14" s="58"/>
      <c r="PCD14" s="58"/>
      <c r="PCE14" s="58"/>
      <c r="PCF14" s="58"/>
      <c r="PCG14" s="58"/>
      <c r="PCH14" s="58"/>
      <c r="PCI14" s="58"/>
      <c r="PCJ14" s="58"/>
      <c r="PCK14" s="58"/>
      <c r="PCL14" s="58"/>
      <c r="PCM14" s="58"/>
      <c r="PCN14" s="58"/>
      <c r="PCO14" s="58"/>
      <c r="PCP14" s="58"/>
      <c r="PCQ14" s="58"/>
      <c r="PCR14" s="58"/>
      <c r="PCS14" s="58"/>
      <c r="PCT14" s="58"/>
      <c r="PCU14" s="58"/>
      <c r="PCV14" s="58"/>
      <c r="PCW14" s="58"/>
      <c r="PCX14" s="58"/>
      <c r="PCY14" s="58"/>
      <c r="PCZ14" s="58"/>
      <c r="PDA14" s="58"/>
      <c r="PDB14" s="58"/>
      <c r="PDC14" s="58"/>
      <c r="PDD14" s="58"/>
      <c r="PDE14" s="58"/>
      <c r="PDF14" s="58"/>
      <c r="PDG14" s="58"/>
      <c r="PDH14" s="58"/>
      <c r="PDI14" s="58"/>
      <c r="PDJ14" s="58"/>
      <c r="PDK14" s="58"/>
      <c r="PDL14" s="58"/>
      <c r="PDM14" s="58"/>
      <c r="PDN14" s="58"/>
      <c r="PDO14" s="58"/>
      <c r="PDP14" s="58"/>
      <c r="PDQ14" s="58"/>
      <c r="PDR14" s="58"/>
      <c r="PDS14" s="58"/>
      <c r="PDT14" s="58"/>
      <c r="PDU14" s="58"/>
      <c r="PDV14" s="58"/>
      <c r="PDW14" s="58"/>
      <c r="PDX14" s="58"/>
      <c r="PDY14" s="58"/>
      <c r="PDZ14" s="58"/>
      <c r="PEA14" s="58"/>
      <c r="PEB14" s="58"/>
      <c r="PEC14" s="58"/>
      <c r="PED14" s="58"/>
      <c r="PEE14" s="58"/>
      <c r="PEF14" s="58"/>
      <c r="PEG14" s="58"/>
      <c r="PEH14" s="58"/>
      <c r="PEI14" s="58"/>
      <c r="PEJ14" s="58"/>
      <c r="PEK14" s="58"/>
      <c r="PEL14" s="58"/>
      <c r="PEM14" s="58"/>
      <c r="PEN14" s="58"/>
      <c r="PEO14" s="58"/>
      <c r="PEP14" s="58"/>
      <c r="PEQ14" s="58"/>
      <c r="PER14" s="58"/>
      <c r="PES14" s="58"/>
      <c r="PET14" s="58"/>
      <c r="PEU14" s="58"/>
      <c r="PEV14" s="58"/>
      <c r="PEW14" s="58"/>
      <c r="PEX14" s="58"/>
      <c r="PEY14" s="58"/>
      <c r="PEZ14" s="58"/>
      <c r="PFA14" s="58"/>
      <c r="PFB14" s="58"/>
      <c r="PFC14" s="58"/>
      <c r="PFD14" s="58"/>
      <c r="PFE14" s="58"/>
      <c r="PFF14" s="58"/>
      <c r="PFG14" s="58"/>
      <c r="PFH14" s="58"/>
      <c r="PFI14" s="58"/>
      <c r="PFJ14" s="58"/>
      <c r="PFK14" s="58"/>
      <c r="PFL14" s="58"/>
      <c r="PFM14" s="58"/>
      <c r="PFN14" s="58"/>
      <c r="PFO14" s="58"/>
      <c r="PFP14" s="58"/>
      <c r="PFQ14" s="58"/>
      <c r="PFR14" s="58"/>
      <c r="PFS14" s="58"/>
      <c r="PFT14" s="58"/>
      <c r="PFU14" s="58"/>
      <c r="PFV14" s="58"/>
      <c r="PFW14" s="58"/>
      <c r="PFX14" s="58"/>
      <c r="PFY14" s="58"/>
      <c r="PFZ14" s="58"/>
      <c r="PGA14" s="58"/>
      <c r="PGB14" s="58"/>
      <c r="PGC14" s="58"/>
      <c r="PGD14" s="58"/>
      <c r="PGE14" s="58"/>
      <c r="PGF14" s="58"/>
      <c r="PGG14" s="58"/>
      <c r="PGH14" s="58"/>
      <c r="PGI14" s="58"/>
      <c r="PGJ14" s="58"/>
      <c r="PGK14" s="58"/>
      <c r="PGL14" s="58"/>
      <c r="PGM14" s="58"/>
      <c r="PGN14" s="58"/>
      <c r="PGO14" s="58"/>
      <c r="PGP14" s="58"/>
      <c r="PGQ14" s="58"/>
      <c r="PGR14" s="58"/>
      <c r="PGS14" s="58"/>
      <c r="PGT14" s="58"/>
      <c r="PGU14" s="58"/>
      <c r="PGV14" s="58"/>
      <c r="PGW14" s="58"/>
      <c r="PGX14" s="58"/>
      <c r="PGY14" s="58"/>
      <c r="PGZ14" s="58"/>
      <c r="PHA14" s="58"/>
      <c r="PHB14" s="58"/>
      <c r="PHC14" s="58"/>
      <c r="PHD14" s="58"/>
      <c r="PHE14" s="58"/>
      <c r="PHF14" s="58"/>
      <c r="PHG14" s="58"/>
      <c r="PHH14" s="58"/>
      <c r="PHI14" s="58"/>
      <c r="PHJ14" s="58"/>
      <c r="PHK14" s="58"/>
      <c r="PHL14" s="58"/>
      <c r="PHM14" s="58"/>
      <c r="PHN14" s="58"/>
      <c r="PHO14" s="58"/>
      <c r="PHP14" s="58"/>
      <c r="PHQ14" s="58"/>
      <c r="PHR14" s="58"/>
      <c r="PHS14" s="58"/>
      <c r="PHT14" s="58"/>
      <c r="PHU14" s="58"/>
      <c r="PHV14" s="58"/>
      <c r="PHW14" s="58"/>
      <c r="PHX14" s="58"/>
      <c r="PHY14" s="58"/>
      <c r="PHZ14" s="58"/>
      <c r="PIA14" s="58"/>
      <c r="PIB14" s="58"/>
      <c r="PIC14" s="58"/>
      <c r="PID14" s="58"/>
      <c r="PIE14" s="58"/>
      <c r="PIF14" s="58"/>
      <c r="PIG14" s="58"/>
      <c r="PIH14" s="58"/>
      <c r="PII14" s="58"/>
      <c r="PIJ14" s="58"/>
      <c r="PIK14" s="58"/>
      <c r="PIL14" s="58"/>
      <c r="PIM14" s="58"/>
      <c r="PIN14" s="58"/>
      <c r="PIO14" s="58"/>
      <c r="PIP14" s="58"/>
      <c r="PIQ14" s="58"/>
      <c r="PIR14" s="58"/>
      <c r="PIS14" s="58"/>
      <c r="PIT14" s="58"/>
      <c r="PIU14" s="58"/>
      <c r="PIV14" s="58"/>
      <c r="PIW14" s="58"/>
      <c r="PIX14" s="58"/>
      <c r="PIY14" s="58"/>
      <c r="PIZ14" s="58"/>
      <c r="PJA14" s="58"/>
      <c r="PJB14" s="58"/>
      <c r="PJC14" s="58"/>
      <c r="PJD14" s="58"/>
      <c r="PJE14" s="58"/>
      <c r="PJF14" s="58"/>
      <c r="PJG14" s="58"/>
      <c r="PJH14" s="58"/>
      <c r="PJI14" s="58"/>
      <c r="PJJ14" s="58"/>
      <c r="PJK14" s="58"/>
      <c r="PJL14" s="58"/>
      <c r="PJM14" s="58"/>
      <c r="PJN14" s="58"/>
      <c r="PJO14" s="58"/>
      <c r="PJP14" s="58"/>
      <c r="PJQ14" s="58"/>
      <c r="PJR14" s="58"/>
      <c r="PJS14" s="58"/>
      <c r="PJT14" s="58"/>
      <c r="PJU14" s="58"/>
      <c r="PJV14" s="58"/>
      <c r="PJW14" s="58"/>
      <c r="PJX14" s="58"/>
      <c r="PJY14" s="58"/>
      <c r="PJZ14" s="58"/>
      <c r="PKA14" s="58"/>
      <c r="PKB14" s="58"/>
      <c r="PKC14" s="58"/>
      <c r="PKD14" s="58"/>
      <c r="PKE14" s="58"/>
      <c r="PKF14" s="58"/>
      <c r="PKG14" s="58"/>
      <c r="PKH14" s="58"/>
      <c r="PKI14" s="58"/>
      <c r="PKJ14" s="58"/>
      <c r="PKK14" s="58"/>
      <c r="PKL14" s="58"/>
      <c r="PKM14" s="58"/>
      <c r="PKN14" s="58"/>
      <c r="PKO14" s="58"/>
      <c r="PKP14" s="58"/>
      <c r="PKQ14" s="58"/>
      <c r="PKR14" s="58"/>
      <c r="PKS14" s="58"/>
      <c r="PKT14" s="58"/>
      <c r="PKU14" s="58"/>
      <c r="PKV14" s="58"/>
      <c r="PKW14" s="58"/>
      <c r="PKX14" s="58"/>
      <c r="PKY14" s="58"/>
      <c r="PKZ14" s="58"/>
      <c r="PLA14" s="58"/>
      <c r="PLB14" s="58"/>
      <c r="PLC14" s="58"/>
      <c r="PLD14" s="58"/>
      <c r="PLE14" s="58"/>
      <c r="PLF14" s="58"/>
      <c r="PLG14" s="58"/>
      <c r="PLH14" s="58"/>
      <c r="PLI14" s="58"/>
      <c r="PLJ14" s="58"/>
      <c r="PLK14" s="58"/>
      <c r="PLL14" s="58"/>
      <c r="PLM14" s="58"/>
      <c r="PLN14" s="58"/>
      <c r="PLO14" s="58"/>
      <c r="PLP14" s="58"/>
      <c r="PLQ14" s="58"/>
      <c r="PLR14" s="58"/>
      <c r="PLS14" s="58"/>
      <c r="PLT14" s="58"/>
      <c r="PLU14" s="58"/>
      <c r="PLV14" s="58"/>
      <c r="PLW14" s="58"/>
      <c r="PLX14" s="58"/>
      <c r="PLY14" s="58"/>
      <c r="PLZ14" s="58"/>
      <c r="PMA14" s="58"/>
      <c r="PMB14" s="58"/>
      <c r="PMC14" s="58"/>
      <c r="PMD14" s="58"/>
      <c r="PME14" s="58"/>
      <c r="PMF14" s="58"/>
      <c r="PMG14" s="58"/>
      <c r="PMH14" s="58"/>
      <c r="PMI14" s="58"/>
      <c r="PMJ14" s="58"/>
      <c r="PMK14" s="58"/>
      <c r="PML14" s="58"/>
      <c r="PMM14" s="58"/>
      <c r="PMN14" s="58"/>
      <c r="PMO14" s="58"/>
      <c r="PMP14" s="58"/>
      <c r="PMQ14" s="58"/>
      <c r="PMR14" s="58"/>
      <c r="PMS14" s="58"/>
      <c r="PMT14" s="58"/>
      <c r="PMU14" s="58"/>
      <c r="PMV14" s="58"/>
      <c r="PMW14" s="58"/>
      <c r="PMX14" s="58"/>
      <c r="PMY14" s="58"/>
      <c r="PMZ14" s="58"/>
      <c r="PNA14" s="58"/>
      <c r="PNB14" s="58"/>
      <c r="PNC14" s="58"/>
      <c r="PND14" s="58"/>
      <c r="PNE14" s="58"/>
      <c r="PNF14" s="58"/>
      <c r="PNG14" s="58"/>
      <c r="PNH14" s="58"/>
      <c r="PNI14" s="58"/>
      <c r="PNJ14" s="58"/>
      <c r="PNK14" s="58"/>
      <c r="PNL14" s="58"/>
      <c r="PNM14" s="58"/>
      <c r="PNN14" s="58"/>
      <c r="PNO14" s="58"/>
      <c r="PNP14" s="58"/>
      <c r="PNQ14" s="58"/>
      <c r="PNR14" s="58"/>
      <c r="PNS14" s="58"/>
      <c r="PNT14" s="58"/>
      <c r="PNU14" s="58"/>
      <c r="PNV14" s="58"/>
      <c r="PNW14" s="58"/>
      <c r="PNX14" s="58"/>
      <c r="PNY14" s="58"/>
      <c r="PNZ14" s="58"/>
      <c r="POA14" s="58"/>
      <c r="POB14" s="58"/>
      <c r="POC14" s="58"/>
      <c r="POD14" s="58"/>
      <c r="POE14" s="58"/>
      <c r="POF14" s="58"/>
      <c r="POG14" s="58"/>
      <c r="POH14" s="58"/>
      <c r="POI14" s="58"/>
      <c r="POJ14" s="58"/>
      <c r="POK14" s="58"/>
      <c r="POL14" s="58"/>
      <c r="POM14" s="58"/>
      <c r="PON14" s="58"/>
      <c r="POO14" s="58"/>
      <c r="POP14" s="58"/>
      <c r="POQ14" s="58"/>
      <c r="POR14" s="58"/>
      <c r="POS14" s="58"/>
      <c r="POT14" s="58"/>
      <c r="POU14" s="58"/>
      <c r="POV14" s="58"/>
      <c r="POW14" s="58"/>
      <c r="POX14" s="58"/>
      <c r="POY14" s="58"/>
      <c r="POZ14" s="58"/>
      <c r="PPA14" s="58"/>
      <c r="PPB14" s="58"/>
      <c r="PPC14" s="58"/>
      <c r="PPD14" s="58"/>
      <c r="PPE14" s="58"/>
      <c r="PPF14" s="58"/>
      <c r="PPG14" s="58"/>
      <c r="PPH14" s="58"/>
      <c r="PPI14" s="58"/>
      <c r="PPJ14" s="58"/>
      <c r="PPK14" s="58"/>
      <c r="PPL14" s="58"/>
      <c r="PPM14" s="58"/>
      <c r="PPN14" s="58"/>
      <c r="PPO14" s="58"/>
      <c r="PPP14" s="58"/>
      <c r="PPQ14" s="58"/>
      <c r="PPR14" s="58"/>
      <c r="PPS14" s="58"/>
      <c r="PPT14" s="58"/>
      <c r="PPU14" s="58"/>
      <c r="PPV14" s="58"/>
      <c r="PPW14" s="58"/>
      <c r="PPX14" s="58"/>
      <c r="PPY14" s="58"/>
      <c r="PPZ14" s="58"/>
      <c r="PQA14" s="58"/>
      <c r="PQB14" s="58"/>
      <c r="PQC14" s="58"/>
      <c r="PQD14" s="58"/>
      <c r="PQE14" s="58"/>
      <c r="PQF14" s="58"/>
      <c r="PQG14" s="58"/>
      <c r="PQH14" s="58"/>
      <c r="PQI14" s="58"/>
      <c r="PQJ14" s="58"/>
      <c r="PQK14" s="58"/>
      <c r="PQL14" s="58"/>
      <c r="PQM14" s="58"/>
      <c r="PQN14" s="58"/>
      <c r="PQO14" s="58"/>
      <c r="PQP14" s="58"/>
      <c r="PQQ14" s="58"/>
      <c r="PQR14" s="58"/>
      <c r="PQS14" s="58"/>
      <c r="PQT14" s="58"/>
      <c r="PQU14" s="58"/>
      <c r="PQV14" s="58"/>
      <c r="PQW14" s="58"/>
      <c r="PQX14" s="58"/>
      <c r="PQY14" s="58"/>
      <c r="PQZ14" s="58"/>
      <c r="PRA14" s="58"/>
      <c r="PRB14" s="58"/>
      <c r="PRC14" s="58"/>
      <c r="PRD14" s="58"/>
      <c r="PRE14" s="58"/>
      <c r="PRF14" s="58"/>
      <c r="PRG14" s="58"/>
      <c r="PRH14" s="58"/>
      <c r="PRI14" s="58"/>
      <c r="PRJ14" s="58"/>
      <c r="PRK14" s="58"/>
      <c r="PRL14" s="58"/>
      <c r="PRM14" s="58"/>
      <c r="PRN14" s="58"/>
      <c r="PRO14" s="58"/>
      <c r="PRP14" s="58"/>
      <c r="PRQ14" s="58"/>
      <c r="PRR14" s="58"/>
      <c r="PRS14" s="58"/>
      <c r="PRT14" s="58"/>
      <c r="PRU14" s="58"/>
      <c r="PRV14" s="58"/>
      <c r="PRW14" s="58"/>
      <c r="PRX14" s="58"/>
      <c r="PRY14" s="58"/>
      <c r="PRZ14" s="58"/>
      <c r="PSA14" s="58"/>
      <c r="PSB14" s="58"/>
      <c r="PSC14" s="58"/>
      <c r="PSD14" s="58"/>
      <c r="PSE14" s="58"/>
      <c r="PSF14" s="58"/>
      <c r="PSG14" s="58"/>
      <c r="PSH14" s="58"/>
      <c r="PSI14" s="58"/>
      <c r="PSJ14" s="58"/>
      <c r="PSK14" s="58"/>
      <c r="PSL14" s="58"/>
      <c r="PSM14" s="58"/>
      <c r="PSN14" s="58"/>
      <c r="PSO14" s="58"/>
      <c r="PSP14" s="58"/>
      <c r="PSQ14" s="58"/>
      <c r="PSR14" s="58"/>
      <c r="PSS14" s="58"/>
      <c r="PST14" s="58"/>
      <c r="PSU14" s="58"/>
      <c r="PSV14" s="58"/>
      <c r="PSW14" s="58"/>
      <c r="PSX14" s="58"/>
      <c r="PSY14" s="58"/>
      <c r="PSZ14" s="58"/>
      <c r="PTA14" s="58"/>
      <c r="PTB14" s="58"/>
      <c r="PTC14" s="58"/>
      <c r="PTD14" s="58"/>
      <c r="PTE14" s="58"/>
      <c r="PTF14" s="58"/>
      <c r="PTG14" s="58"/>
      <c r="PTH14" s="58"/>
      <c r="PTI14" s="58"/>
      <c r="PTJ14" s="58"/>
      <c r="PTK14" s="58"/>
      <c r="PTL14" s="58"/>
      <c r="PTM14" s="58"/>
      <c r="PTN14" s="58"/>
      <c r="PTO14" s="58"/>
      <c r="PTP14" s="58"/>
      <c r="PTQ14" s="58"/>
      <c r="PTR14" s="58"/>
      <c r="PTS14" s="58"/>
      <c r="PTT14" s="58"/>
      <c r="PTU14" s="58"/>
      <c r="PTV14" s="58"/>
      <c r="PTW14" s="58"/>
      <c r="PTX14" s="58"/>
      <c r="PTY14" s="58"/>
      <c r="PTZ14" s="58"/>
      <c r="PUA14" s="58"/>
      <c r="PUB14" s="58"/>
      <c r="PUC14" s="58"/>
      <c r="PUD14" s="58"/>
      <c r="PUE14" s="58"/>
      <c r="PUF14" s="58"/>
      <c r="PUG14" s="58"/>
      <c r="PUH14" s="58"/>
      <c r="PUI14" s="58"/>
      <c r="PUJ14" s="58"/>
      <c r="PUK14" s="58"/>
      <c r="PUL14" s="58"/>
      <c r="PUM14" s="58"/>
      <c r="PUN14" s="58"/>
      <c r="PUO14" s="58"/>
      <c r="PUP14" s="58"/>
      <c r="PUQ14" s="58"/>
      <c r="PUR14" s="58"/>
      <c r="PUS14" s="58"/>
      <c r="PUT14" s="58"/>
      <c r="PUU14" s="58"/>
      <c r="PUV14" s="58"/>
      <c r="PUW14" s="58"/>
      <c r="PUX14" s="58"/>
      <c r="PUY14" s="58"/>
      <c r="PUZ14" s="58"/>
      <c r="PVA14" s="58"/>
      <c r="PVB14" s="58"/>
      <c r="PVC14" s="58"/>
      <c r="PVD14" s="58"/>
      <c r="PVE14" s="58"/>
      <c r="PVF14" s="58"/>
      <c r="PVG14" s="58"/>
      <c r="PVH14" s="58"/>
      <c r="PVI14" s="58"/>
      <c r="PVJ14" s="58"/>
      <c r="PVK14" s="58"/>
      <c r="PVL14" s="58"/>
      <c r="PVM14" s="58"/>
      <c r="PVN14" s="58"/>
      <c r="PVO14" s="58"/>
      <c r="PVP14" s="58"/>
      <c r="PVQ14" s="58"/>
      <c r="PVR14" s="58"/>
      <c r="PVS14" s="58"/>
      <c r="PVT14" s="58"/>
      <c r="PVU14" s="58"/>
      <c r="PVV14" s="58"/>
      <c r="PVW14" s="58"/>
      <c r="PVX14" s="58"/>
      <c r="PVY14" s="58"/>
      <c r="PVZ14" s="58"/>
      <c r="PWA14" s="58"/>
      <c r="PWB14" s="58"/>
      <c r="PWC14" s="58"/>
      <c r="PWD14" s="58"/>
      <c r="PWE14" s="58"/>
      <c r="PWF14" s="58"/>
      <c r="PWG14" s="58"/>
      <c r="PWH14" s="58"/>
      <c r="PWI14" s="58"/>
      <c r="PWJ14" s="58"/>
      <c r="PWK14" s="58"/>
      <c r="PWL14" s="58"/>
      <c r="PWM14" s="58"/>
      <c r="PWN14" s="58"/>
      <c r="PWO14" s="58"/>
      <c r="PWP14" s="58"/>
      <c r="PWQ14" s="58"/>
      <c r="PWR14" s="58"/>
      <c r="PWS14" s="58"/>
      <c r="PWT14" s="58"/>
      <c r="PWU14" s="58"/>
      <c r="PWV14" s="58"/>
      <c r="PWW14" s="58"/>
      <c r="PWX14" s="58"/>
      <c r="PWY14" s="58"/>
      <c r="PWZ14" s="58"/>
      <c r="PXA14" s="58"/>
      <c r="PXB14" s="58"/>
      <c r="PXC14" s="58"/>
      <c r="PXD14" s="58"/>
      <c r="PXE14" s="58"/>
      <c r="PXF14" s="58"/>
      <c r="PXG14" s="58"/>
      <c r="PXH14" s="58"/>
      <c r="PXI14" s="58"/>
      <c r="PXJ14" s="58"/>
      <c r="PXK14" s="58"/>
      <c r="PXL14" s="58"/>
      <c r="PXM14" s="58"/>
      <c r="PXN14" s="58"/>
      <c r="PXO14" s="58"/>
      <c r="PXP14" s="58"/>
      <c r="PXQ14" s="58"/>
      <c r="PXR14" s="58"/>
      <c r="PXS14" s="58"/>
      <c r="PXT14" s="58"/>
      <c r="PXU14" s="58"/>
      <c r="PXV14" s="58"/>
      <c r="PXW14" s="58"/>
      <c r="PXX14" s="58"/>
      <c r="PXY14" s="58"/>
      <c r="PXZ14" s="58"/>
      <c r="PYA14" s="58"/>
      <c r="PYB14" s="58"/>
      <c r="PYC14" s="58"/>
      <c r="PYD14" s="58"/>
      <c r="PYE14" s="58"/>
      <c r="PYF14" s="58"/>
      <c r="PYG14" s="58"/>
      <c r="PYH14" s="58"/>
      <c r="PYI14" s="58"/>
      <c r="PYJ14" s="58"/>
      <c r="PYK14" s="58"/>
      <c r="PYL14" s="58"/>
      <c r="PYM14" s="58"/>
      <c r="PYN14" s="58"/>
      <c r="PYO14" s="58"/>
      <c r="PYP14" s="58"/>
      <c r="PYQ14" s="58"/>
      <c r="PYR14" s="58"/>
      <c r="PYS14" s="58"/>
      <c r="PYT14" s="58"/>
      <c r="PYU14" s="58"/>
      <c r="PYV14" s="58"/>
      <c r="PYW14" s="58"/>
      <c r="PYX14" s="58"/>
      <c r="PYY14" s="58"/>
      <c r="PYZ14" s="58"/>
      <c r="PZA14" s="58"/>
      <c r="PZB14" s="58"/>
      <c r="PZC14" s="58"/>
      <c r="PZD14" s="58"/>
      <c r="PZE14" s="58"/>
      <c r="PZF14" s="58"/>
      <c r="PZG14" s="58"/>
      <c r="PZH14" s="58"/>
      <c r="PZI14" s="58"/>
      <c r="PZJ14" s="58"/>
      <c r="PZK14" s="58"/>
      <c r="PZL14" s="58"/>
      <c r="PZM14" s="58"/>
      <c r="PZN14" s="58"/>
      <c r="PZO14" s="58"/>
      <c r="PZP14" s="58"/>
      <c r="PZQ14" s="58"/>
      <c r="PZR14" s="58"/>
      <c r="PZS14" s="58"/>
      <c r="PZT14" s="58"/>
      <c r="PZU14" s="58"/>
      <c r="PZV14" s="58"/>
      <c r="PZW14" s="58"/>
      <c r="PZX14" s="58"/>
      <c r="PZY14" s="58"/>
      <c r="PZZ14" s="58"/>
      <c r="QAA14" s="58"/>
      <c r="QAB14" s="58"/>
      <c r="QAC14" s="58"/>
      <c r="QAD14" s="58"/>
      <c r="QAE14" s="58"/>
      <c r="QAF14" s="58"/>
      <c r="QAG14" s="58"/>
      <c r="QAH14" s="58"/>
      <c r="QAI14" s="58"/>
      <c r="QAJ14" s="58"/>
      <c r="QAK14" s="58"/>
      <c r="QAL14" s="58"/>
      <c r="QAM14" s="58"/>
      <c r="QAN14" s="58"/>
      <c r="QAO14" s="58"/>
      <c r="QAP14" s="58"/>
      <c r="QAQ14" s="58"/>
      <c r="QAR14" s="58"/>
      <c r="QAS14" s="58"/>
      <c r="QAT14" s="58"/>
      <c r="QAU14" s="58"/>
      <c r="QAV14" s="58"/>
      <c r="QAW14" s="58"/>
      <c r="QAX14" s="58"/>
      <c r="QAY14" s="58"/>
      <c r="QAZ14" s="58"/>
      <c r="QBA14" s="58"/>
      <c r="QBB14" s="58"/>
      <c r="QBC14" s="58"/>
      <c r="QBD14" s="58"/>
      <c r="QBE14" s="58"/>
      <c r="QBF14" s="58"/>
      <c r="QBG14" s="58"/>
      <c r="QBH14" s="58"/>
      <c r="QBI14" s="58"/>
      <c r="QBJ14" s="58"/>
      <c r="QBK14" s="58"/>
      <c r="QBL14" s="58"/>
      <c r="QBM14" s="58"/>
      <c r="QBN14" s="58"/>
      <c r="QBO14" s="58"/>
      <c r="QBP14" s="58"/>
      <c r="QBQ14" s="58"/>
      <c r="QBR14" s="58"/>
      <c r="QBS14" s="58"/>
      <c r="QBT14" s="58"/>
      <c r="QBU14" s="58"/>
      <c r="QBV14" s="58"/>
      <c r="QBW14" s="58"/>
      <c r="QBX14" s="58"/>
      <c r="QBY14" s="58"/>
      <c r="QBZ14" s="58"/>
      <c r="QCA14" s="58"/>
      <c r="QCB14" s="58"/>
      <c r="QCC14" s="58"/>
      <c r="QCD14" s="58"/>
      <c r="QCE14" s="58"/>
      <c r="QCF14" s="58"/>
      <c r="QCG14" s="58"/>
      <c r="QCH14" s="58"/>
      <c r="QCI14" s="58"/>
      <c r="QCJ14" s="58"/>
      <c r="QCK14" s="58"/>
      <c r="QCL14" s="58"/>
      <c r="QCM14" s="58"/>
      <c r="QCN14" s="58"/>
      <c r="QCO14" s="58"/>
      <c r="QCP14" s="58"/>
      <c r="QCQ14" s="58"/>
      <c r="QCR14" s="58"/>
      <c r="QCS14" s="58"/>
      <c r="QCT14" s="58"/>
      <c r="QCU14" s="58"/>
      <c r="QCV14" s="58"/>
      <c r="QCW14" s="58"/>
      <c r="QCX14" s="58"/>
      <c r="QCY14" s="58"/>
      <c r="QCZ14" s="58"/>
      <c r="QDA14" s="58"/>
      <c r="QDB14" s="58"/>
      <c r="QDC14" s="58"/>
      <c r="QDD14" s="58"/>
      <c r="QDE14" s="58"/>
      <c r="QDF14" s="58"/>
      <c r="QDG14" s="58"/>
      <c r="QDH14" s="58"/>
      <c r="QDI14" s="58"/>
      <c r="QDJ14" s="58"/>
      <c r="QDK14" s="58"/>
      <c r="QDL14" s="58"/>
      <c r="QDM14" s="58"/>
      <c r="QDN14" s="58"/>
      <c r="QDO14" s="58"/>
      <c r="QDP14" s="58"/>
      <c r="QDQ14" s="58"/>
      <c r="QDR14" s="58"/>
      <c r="QDS14" s="58"/>
      <c r="QDT14" s="58"/>
      <c r="QDU14" s="58"/>
      <c r="QDV14" s="58"/>
      <c r="QDW14" s="58"/>
      <c r="QDX14" s="58"/>
      <c r="QDY14" s="58"/>
      <c r="QDZ14" s="58"/>
      <c r="QEA14" s="58"/>
      <c r="QEB14" s="58"/>
      <c r="QEC14" s="58"/>
      <c r="QED14" s="58"/>
      <c r="QEE14" s="58"/>
      <c r="QEF14" s="58"/>
      <c r="QEG14" s="58"/>
      <c r="QEH14" s="58"/>
      <c r="QEI14" s="58"/>
      <c r="QEJ14" s="58"/>
      <c r="QEK14" s="58"/>
      <c r="QEL14" s="58"/>
      <c r="QEM14" s="58"/>
      <c r="QEN14" s="58"/>
      <c r="QEO14" s="58"/>
      <c r="QEP14" s="58"/>
      <c r="QEQ14" s="58"/>
      <c r="QER14" s="58"/>
      <c r="QES14" s="58"/>
      <c r="QET14" s="58"/>
      <c r="QEU14" s="58"/>
      <c r="QEV14" s="58"/>
      <c r="QEW14" s="58"/>
      <c r="QEX14" s="58"/>
      <c r="QEY14" s="58"/>
      <c r="QEZ14" s="58"/>
      <c r="QFA14" s="58"/>
      <c r="QFB14" s="58"/>
      <c r="QFC14" s="58"/>
      <c r="QFD14" s="58"/>
      <c r="QFE14" s="58"/>
      <c r="QFF14" s="58"/>
      <c r="QFG14" s="58"/>
      <c r="QFH14" s="58"/>
      <c r="QFI14" s="58"/>
      <c r="QFJ14" s="58"/>
      <c r="QFK14" s="58"/>
      <c r="QFL14" s="58"/>
      <c r="QFM14" s="58"/>
      <c r="QFN14" s="58"/>
      <c r="QFO14" s="58"/>
      <c r="QFP14" s="58"/>
      <c r="QFQ14" s="58"/>
      <c r="QFR14" s="58"/>
      <c r="QFS14" s="58"/>
      <c r="QFT14" s="58"/>
      <c r="QFU14" s="58"/>
      <c r="QFV14" s="58"/>
      <c r="QFW14" s="58"/>
      <c r="QFX14" s="58"/>
      <c r="QFY14" s="58"/>
      <c r="QFZ14" s="58"/>
      <c r="QGA14" s="58"/>
      <c r="QGB14" s="58"/>
      <c r="QGC14" s="58"/>
      <c r="QGD14" s="58"/>
      <c r="QGE14" s="58"/>
      <c r="QGF14" s="58"/>
      <c r="QGG14" s="58"/>
      <c r="QGH14" s="58"/>
      <c r="QGI14" s="58"/>
      <c r="QGJ14" s="58"/>
      <c r="QGK14" s="58"/>
      <c r="QGL14" s="58"/>
      <c r="QGM14" s="58"/>
      <c r="QGN14" s="58"/>
      <c r="QGO14" s="58"/>
      <c r="QGP14" s="58"/>
      <c r="QGQ14" s="58"/>
      <c r="QGR14" s="58"/>
      <c r="QGS14" s="58"/>
      <c r="QGT14" s="58"/>
      <c r="QGU14" s="58"/>
      <c r="QGV14" s="58"/>
      <c r="QGW14" s="58"/>
      <c r="QGX14" s="58"/>
      <c r="QGY14" s="58"/>
      <c r="QGZ14" s="58"/>
      <c r="QHA14" s="58"/>
      <c r="QHB14" s="58"/>
      <c r="QHC14" s="58"/>
      <c r="QHD14" s="58"/>
      <c r="QHE14" s="58"/>
      <c r="QHF14" s="58"/>
      <c r="QHG14" s="58"/>
      <c r="QHH14" s="58"/>
      <c r="QHI14" s="58"/>
      <c r="QHJ14" s="58"/>
      <c r="QHK14" s="58"/>
      <c r="QHL14" s="58"/>
      <c r="QHM14" s="58"/>
      <c r="QHN14" s="58"/>
      <c r="QHO14" s="58"/>
      <c r="QHP14" s="58"/>
      <c r="QHQ14" s="58"/>
      <c r="QHR14" s="58"/>
      <c r="QHS14" s="58"/>
      <c r="QHT14" s="58"/>
      <c r="QHU14" s="58"/>
      <c r="QHV14" s="58"/>
      <c r="QHW14" s="58"/>
      <c r="QHX14" s="58"/>
      <c r="QHY14" s="58"/>
      <c r="QHZ14" s="58"/>
      <c r="QIA14" s="58"/>
      <c r="QIB14" s="58"/>
      <c r="QIC14" s="58"/>
      <c r="QID14" s="58"/>
      <c r="QIE14" s="58"/>
      <c r="QIF14" s="58"/>
      <c r="QIG14" s="58"/>
      <c r="QIH14" s="58"/>
      <c r="QII14" s="58"/>
      <c r="QIJ14" s="58"/>
      <c r="QIK14" s="58"/>
      <c r="QIL14" s="58"/>
      <c r="QIM14" s="58"/>
      <c r="QIN14" s="58"/>
      <c r="QIO14" s="58"/>
      <c r="QIP14" s="58"/>
      <c r="QIQ14" s="58"/>
      <c r="QIR14" s="58"/>
      <c r="QIS14" s="58"/>
      <c r="QIT14" s="58"/>
      <c r="QIU14" s="58"/>
      <c r="QIV14" s="58"/>
      <c r="QIW14" s="58"/>
      <c r="QIX14" s="58"/>
      <c r="QIY14" s="58"/>
      <c r="QIZ14" s="58"/>
      <c r="QJA14" s="58"/>
      <c r="QJB14" s="58"/>
      <c r="QJC14" s="58"/>
      <c r="QJD14" s="58"/>
      <c r="QJE14" s="58"/>
      <c r="QJF14" s="58"/>
      <c r="QJG14" s="58"/>
      <c r="QJH14" s="58"/>
      <c r="QJI14" s="58"/>
      <c r="QJJ14" s="58"/>
      <c r="QJK14" s="58"/>
      <c r="QJL14" s="58"/>
      <c r="QJM14" s="58"/>
      <c r="QJN14" s="58"/>
      <c r="QJO14" s="58"/>
      <c r="QJP14" s="58"/>
      <c r="QJQ14" s="58"/>
      <c r="QJR14" s="58"/>
      <c r="QJS14" s="58"/>
      <c r="QJT14" s="58"/>
      <c r="QJU14" s="58"/>
      <c r="QJV14" s="58"/>
      <c r="QJW14" s="58"/>
      <c r="QJX14" s="58"/>
      <c r="QJY14" s="58"/>
      <c r="QJZ14" s="58"/>
      <c r="QKA14" s="58"/>
      <c r="QKB14" s="58"/>
      <c r="QKC14" s="58"/>
      <c r="QKD14" s="58"/>
      <c r="QKE14" s="58"/>
      <c r="QKF14" s="58"/>
      <c r="QKG14" s="58"/>
      <c r="QKH14" s="58"/>
      <c r="QKI14" s="58"/>
      <c r="QKJ14" s="58"/>
      <c r="QKK14" s="58"/>
      <c r="QKL14" s="58"/>
      <c r="QKM14" s="58"/>
      <c r="QKN14" s="58"/>
      <c r="QKO14" s="58"/>
      <c r="QKP14" s="58"/>
      <c r="QKQ14" s="58"/>
      <c r="QKR14" s="58"/>
      <c r="QKS14" s="58"/>
      <c r="QKT14" s="58"/>
      <c r="QKU14" s="58"/>
      <c r="QKV14" s="58"/>
      <c r="QKW14" s="58"/>
      <c r="QKX14" s="58"/>
      <c r="QKY14" s="58"/>
      <c r="QKZ14" s="58"/>
      <c r="QLA14" s="58"/>
      <c r="QLB14" s="58"/>
      <c r="QLC14" s="58"/>
      <c r="QLD14" s="58"/>
      <c r="QLE14" s="58"/>
      <c r="QLF14" s="58"/>
      <c r="QLG14" s="58"/>
      <c r="QLH14" s="58"/>
      <c r="QLI14" s="58"/>
      <c r="QLJ14" s="58"/>
      <c r="QLK14" s="58"/>
      <c r="QLL14" s="58"/>
      <c r="QLM14" s="58"/>
      <c r="QLN14" s="58"/>
      <c r="QLO14" s="58"/>
      <c r="QLP14" s="58"/>
      <c r="QLQ14" s="58"/>
      <c r="QLR14" s="58"/>
      <c r="QLS14" s="58"/>
      <c r="QLT14" s="58"/>
      <c r="QLU14" s="58"/>
      <c r="QLV14" s="58"/>
      <c r="QLW14" s="58"/>
      <c r="QLX14" s="58"/>
      <c r="QLY14" s="58"/>
      <c r="QLZ14" s="58"/>
      <c r="QMA14" s="58"/>
      <c r="QMB14" s="58"/>
      <c r="QMC14" s="58"/>
      <c r="QMD14" s="58"/>
      <c r="QME14" s="58"/>
      <c r="QMF14" s="58"/>
      <c r="QMG14" s="58"/>
      <c r="QMH14" s="58"/>
      <c r="QMI14" s="58"/>
      <c r="QMJ14" s="58"/>
      <c r="QMK14" s="58"/>
      <c r="QML14" s="58"/>
      <c r="QMM14" s="58"/>
      <c r="QMN14" s="58"/>
      <c r="QMO14" s="58"/>
      <c r="QMP14" s="58"/>
      <c r="QMQ14" s="58"/>
      <c r="QMR14" s="58"/>
      <c r="QMS14" s="58"/>
      <c r="QMT14" s="58"/>
      <c r="QMU14" s="58"/>
      <c r="QMV14" s="58"/>
      <c r="QMW14" s="58"/>
      <c r="QMX14" s="58"/>
      <c r="QMY14" s="58"/>
      <c r="QMZ14" s="58"/>
      <c r="QNA14" s="58"/>
      <c r="QNB14" s="58"/>
      <c r="QNC14" s="58"/>
      <c r="QND14" s="58"/>
      <c r="QNE14" s="58"/>
      <c r="QNF14" s="58"/>
      <c r="QNG14" s="58"/>
      <c r="QNH14" s="58"/>
      <c r="QNI14" s="58"/>
      <c r="QNJ14" s="58"/>
      <c r="QNK14" s="58"/>
      <c r="QNL14" s="58"/>
      <c r="QNM14" s="58"/>
      <c r="QNN14" s="58"/>
      <c r="QNO14" s="58"/>
      <c r="QNP14" s="58"/>
      <c r="QNQ14" s="58"/>
      <c r="QNR14" s="58"/>
      <c r="QNS14" s="58"/>
      <c r="QNT14" s="58"/>
      <c r="QNU14" s="58"/>
      <c r="QNV14" s="58"/>
      <c r="QNW14" s="58"/>
      <c r="QNX14" s="58"/>
      <c r="QNY14" s="58"/>
      <c r="QNZ14" s="58"/>
      <c r="QOA14" s="58"/>
      <c r="QOB14" s="58"/>
      <c r="QOC14" s="58"/>
      <c r="QOD14" s="58"/>
      <c r="QOE14" s="58"/>
      <c r="QOF14" s="58"/>
      <c r="QOG14" s="58"/>
      <c r="QOH14" s="58"/>
      <c r="QOI14" s="58"/>
      <c r="QOJ14" s="58"/>
      <c r="QOK14" s="58"/>
      <c r="QOL14" s="58"/>
      <c r="QOM14" s="58"/>
      <c r="QON14" s="58"/>
      <c r="QOO14" s="58"/>
      <c r="QOP14" s="58"/>
      <c r="QOQ14" s="58"/>
      <c r="QOR14" s="58"/>
      <c r="QOS14" s="58"/>
      <c r="QOT14" s="58"/>
      <c r="QOU14" s="58"/>
      <c r="QOV14" s="58"/>
      <c r="QOW14" s="58"/>
      <c r="QOX14" s="58"/>
      <c r="QOY14" s="58"/>
      <c r="QOZ14" s="58"/>
      <c r="QPA14" s="58"/>
      <c r="QPB14" s="58"/>
      <c r="QPC14" s="58"/>
      <c r="QPD14" s="58"/>
      <c r="QPE14" s="58"/>
      <c r="QPF14" s="58"/>
      <c r="QPG14" s="58"/>
      <c r="QPH14" s="58"/>
      <c r="QPI14" s="58"/>
      <c r="QPJ14" s="58"/>
      <c r="QPK14" s="58"/>
      <c r="QPL14" s="58"/>
      <c r="QPM14" s="58"/>
      <c r="QPN14" s="58"/>
      <c r="QPO14" s="58"/>
      <c r="QPP14" s="58"/>
      <c r="QPQ14" s="58"/>
      <c r="QPR14" s="58"/>
      <c r="QPS14" s="58"/>
      <c r="QPT14" s="58"/>
      <c r="QPU14" s="58"/>
      <c r="QPV14" s="58"/>
      <c r="QPW14" s="58"/>
      <c r="QPX14" s="58"/>
      <c r="QPY14" s="58"/>
      <c r="QPZ14" s="58"/>
      <c r="QQA14" s="58"/>
      <c r="QQB14" s="58"/>
      <c r="QQC14" s="58"/>
      <c r="QQD14" s="58"/>
      <c r="QQE14" s="58"/>
      <c r="QQF14" s="58"/>
      <c r="QQG14" s="58"/>
      <c r="QQH14" s="58"/>
      <c r="QQI14" s="58"/>
      <c r="QQJ14" s="58"/>
      <c r="QQK14" s="58"/>
      <c r="QQL14" s="58"/>
      <c r="QQM14" s="58"/>
      <c r="QQN14" s="58"/>
      <c r="QQO14" s="58"/>
      <c r="QQP14" s="58"/>
      <c r="QQQ14" s="58"/>
      <c r="QQR14" s="58"/>
      <c r="QQS14" s="58"/>
      <c r="QQT14" s="58"/>
      <c r="QQU14" s="58"/>
      <c r="QQV14" s="58"/>
      <c r="QQW14" s="58"/>
      <c r="QQX14" s="58"/>
      <c r="QQY14" s="58"/>
      <c r="QQZ14" s="58"/>
      <c r="QRA14" s="58"/>
      <c r="QRB14" s="58"/>
      <c r="QRC14" s="58"/>
      <c r="QRD14" s="58"/>
      <c r="QRE14" s="58"/>
      <c r="QRF14" s="58"/>
      <c r="QRG14" s="58"/>
      <c r="QRH14" s="58"/>
      <c r="QRI14" s="58"/>
      <c r="QRJ14" s="58"/>
      <c r="QRK14" s="58"/>
      <c r="QRL14" s="58"/>
      <c r="QRM14" s="58"/>
      <c r="QRN14" s="58"/>
      <c r="QRO14" s="58"/>
      <c r="QRP14" s="58"/>
      <c r="QRQ14" s="58"/>
      <c r="QRR14" s="58"/>
      <c r="QRS14" s="58"/>
      <c r="QRT14" s="58"/>
      <c r="QRU14" s="58"/>
      <c r="QRV14" s="58"/>
      <c r="QRW14" s="58"/>
      <c r="QRX14" s="58"/>
      <c r="QRY14" s="58"/>
      <c r="QRZ14" s="58"/>
      <c r="QSA14" s="58"/>
      <c r="QSB14" s="58"/>
      <c r="QSC14" s="58"/>
      <c r="QSD14" s="58"/>
      <c r="QSE14" s="58"/>
      <c r="QSF14" s="58"/>
      <c r="QSG14" s="58"/>
      <c r="QSH14" s="58"/>
      <c r="QSI14" s="58"/>
      <c r="QSJ14" s="58"/>
      <c r="QSK14" s="58"/>
      <c r="QSL14" s="58"/>
      <c r="QSM14" s="58"/>
      <c r="QSN14" s="58"/>
      <c r="QSO14" s="58"/>
      <c r="QSP14" s="58"/>
      <c r="QSQ14" s="58"/>
      <c r="QSR14" s="58"/>
      <c r="QSS14" s="58"/>
      <c r="QST14" s="58"/>
      <c r="QSU14" s="58"/>
      <c r="QSV14" s="58"/>
      <c r="QSW14" s="58"/>
      <c r="QSX14" s="58"/>
      <c r="QSY14" s="58"/>
      <c r="QSZ14" s="58"/>
      <c r="QTA14" s="58"/>
      <c r="QTB14" s="58"/>
      <c r="QTC14" s="58"/>
      <c r="QTD14" s="58"/>
      <c r="QTE14" s="58"/>
      <c r="QTF14" s="58"/>
      <c r="QTG14" s="58"/>
      <c r="QTH14" s="58"/>
      <c r="QTI14" s="58"/>
      <c r="QTJ14" s="58"/>
      <c r="QTK14" s="58"/>
      <c r="QTL14" s="58"/>
      <c r="QTM14" s="58"/>
      <c r="QTN14" s="58"/>
      <c r="QTO14" s="58"/>
      <c r="QTP14" s="58"/>
      <c r="QTQ14" s="58"/>
      <c r="QTR14" s="58"/>
      <c r="QTS14" s="58"/>
      <c r="QTT14" s="58"/>
      <c r="QTU14" s="58"/>
      <c r="QTV14" s="58"/>
      <c r="QTW14" s="58"/>
      <c r="QTX14" s="58"/>
      <c r="QTY14" s="58"/>
      <c r="QTZ14" s="58"/>
      <c r="QUA14" s="58"/>
      <c r="QUB14" s="58"/>
      <c r="QUC14" s="58"/>
      <c r="QUD14" s="58"/>
      <c r="QUE14" s="58"/>
      <c r="QUF14" s="58"/>
      <c r="QUG14" s="58"/>
      <c r="QUH14" s="58"/>
      <c r="QUI14" s="58"/>
      <c r="QUJ14" s="58"/>
      <c r="QUK14" s="58"/>
      <c r="QUL14" s="58"/>
      <c r="QUM14" s="58"/>
      <c r="QUN14" s="58"/>
      <c r="QUO14" s="58"/>
      <c r="QUP14" s="58"/>
      <c r="QUQ14" s="58"/>
      <c r="QUR14" s="58"/>
      <c r="QUS14" s="58"/>
      <c r="QUT14" s="58"/>
      <c r="QUU14" s="58"/>
      <c r="QUV14" s="58"/>
      <c r="QUW14" s="58"/>
      <c r="QUX14" s="58"/>
      <c r="QUY14" s="58"/>
      <c r="QUZ14" s="58"/>
      <c r="QVA14" s="58"/>
      <c r="QVB14" s="58"/>
      <c r="QVC14" s="58"/>
      <c r="QVD14" s="58"/>
      <c r="QVE14" s="58"/>
      <c r="QVF14" s="58"/>
      <c r="QVG14" s="58"/>
      <c r="QVH14" s="58"/>
      <c r="QVI14" s="58"/>
      <c r="QVJ14" s="58"/>
      <c r="QVK14" s="58"/>
      <c r="QVL14" s="58"/>
      <c r="QVM14" s="58"/>
      <c r="QVN14" s="58"/>
      <c r="QVO14" s="58"/>
      <c r="QVP14" s="58"/>
      <c r="QVQ14" s="58"/>
      <c r="QVR14" s="58"/>
      <c r="QVS14" s="58"/>
      <c r="QVT14" s="58"/>
      <c r="QVU14" s="58"/>
      <c r="QVV14" s="58"/>
      <c r="QVW14" s="58"/>
      <c r="QVX14" s="58"/>
      <c r="QVY14" s="58"/>
      <c r="QVZ14" s="58"/>
      <c r="QWA14" s="58"/>
      <c r="QWB14" s="58"/>
      <c r="QWC14" s="58"/>
      <c r="QWD14" s="58"/>
      <c r="QWE14" s="58"/>
      <c r="QWF14" s="58"/>
      <c r="QWG14" s="58"/>
      <c r="QWH14" s="58"/>
      <c r="QWI14" s="58"/>
      <c r="QWJ14" s="58"/>
      <c r="QWK14" s="58"/>
      <c r="QWL14" s="58"/>
      <c r="QWM14" s="58"/>
      <c r="QWN14" s="58"/>
      <c r="QWO14" s="58"/>
      <c r="QWP14" s="58"/>
      <c r="QWQ14" s="58"/>
      <c r="QWR14" s="58"/>
      <c r="QWS14" s="58"/>
      <c r="QWT14" s="58"/>
      <c r="QWU14" s="58"/>
      <c r="QWV14" s="58"/>
      <c r="QWW14" s="58"/>
      <c r="QWX14" s="58"/>
      <c r="QWY14" s="58"/>
      <c r="QWZ14" s="58"/>
      <c r="QXA14" s="58"/>
      <c r="QXB14" s="58"/>
      <c r="QXC14" s="58"/>
      <c r="QXD14" s="58"/>
      <c r="QXE14" s="58"/>
      <c r="QXF14" s="58"/>
      <c r="QXG14" s="58"/>
      <c r="QXH14" s="58"/>
      <c r="QXI14" s="58"/>
      <c r="QXJ14" s="58"/>
      <c r="QXK14" s="58"/>
      <c r="QXL14" s="58"/>
      <c r="QXM14" s="58"/>
      <c r="QXN14" s="58"/>
      <c r="QXO14" s="58"/>
      <c r="QXP14" s="58"/>
      <c r="QXQ14" s="58"/>
      <c r="QXR14" s="58"/>
      <c r="QXS14" s="58"/>
      <c r="QXT14" s="58"/>
      <c r="QXU14" s="58"/>
      <c r="QXV14" s="58"/>
      <c r="QXW14" s="58"/>
      <c r="QXX14" s="58"/>
      <c r="QXY14" s="58"/>
      <c r="QXZ14" s="58"/>
      <c r="QYA14" s="58"/>
      <c r="QYB14" s="58"/>
      <c r="QYC14" s="58"/>
      <c r="QYD14" s="58"/>
      <c r="QYE14" s="58"/>
      <c r="QYF14" s="58"/>
      <c r="QYG14" s="58"/>
      <c r="QYH14" s="58"/>
      <c r="QYI14" s="58"/>
      <c r="QYJ14" s="58"/>
      <c r="QYK14" s="58"/>
      <c r="QYL14" s="58"/>
      <c r="QYM14" s="58"/>
      <c r="QYN14" s="58"/>
      <c r="QYO14" s="58"/>
      <c r="QYP14" s="58"/>
      <c r="QYQ14" s="58"/>
      <c r="QYR14" s="58"/>
      <c r="QYS14" s="58"/>
      <c r="QYT14" s="58"/>
      <c r="QYU14" s="58"/>
      <c r="QYV14" s="58"/>
      <c r="QYW14" s="58"/>
      <c r="QYX14" s="58"/>
      <c r="QYY14" s="58"/>
      <c r="QYZ14" s="58"/>
      <c r="QZA14" s="58"/>
      <c r="QZB14" s="58"/>
      <c r="QZC14" s="58"/>
      <c r="QZD14" s="58"/>
      <c r="QZE14" s="58"/>
      <c r="QZF14" s="58"/>
      <c r="QZG14" s="58"/>
      <c r="QZH14" s="58"/>
      <c r="QZI14" s="58"/>
      <c r="QZJ14" s="58"/>
      <c r="QZK14" s="58"/>
      <c r="QZL14" s="58"/>
      <c r="QZM14" s="58"/>
      <c r="QZN14" s="58"/>
      <c r="QZO14" s="58"/>
      <c r="QZP14" s="58"/>
      <c r="QZQ14" s="58"/>
      <c r="QZR14" s="58"/>
      <c r="QZS14" s="58"/>
      <c r="QZT14" s="58"/>
      <c r="QZU14" s="58"/>
      <c r="QZV14" s="58"/>
      <c r="QZW14" s="58"/>
      <c r="QZX14" s="58"/>
      <c r="QZY14" s="58"/>
      <c r="QZZ14" s="58"/>
      <c r="RAA14" s="58"/>
      <c r="RAB14" s="58"/>
      <c r="RAC14" s="58"/>
      <c r="RAD14" s="58"/>
      <c r="RAE14" s="58"/>
      <c r="RAF14" s="58"/>
      <c r="RAG14" s="58"/>
      <c r="RAH14" s="58"/>
      <c r="RAI14" s="58"/>
      <c r="RAJ14" s="58"/>
      <c r="RAK14" s="58"/>
      <c r="RAL14" s="58"/>
      <c r="RAM14" s="58"/>
      <c r="RAN14" s="58"/>
      <c r="RAO14" s="58"/>
      <c r="RAP14" s="58"/>
      <c r="RAQ14" s="58"/>
      <c r="RAR14" s="58"/>
      <c r="RAS14" s="58"/>
      <c r="RAT14" s="58"/>
      <c r="RAU14" s="58"/>
      <c r="RAV14" s="58"/>
      <c r="RAW14" s="58"/>
      <c r="RAX14" s="58"/>
      <c r="RAY14" s="58"/>
      <c r="RAZ14" s="58"/>
      <c r="RBA14" s="58"/>
      <c r="RBB14" s="58"/>
      <c r="RBC14" s="58"/>
      <c r="RBD14" s="58"/>
      <c r="RBE14" s="58"/>
      <c r="RBF14" s="58"/>
      <c r="RBG14" s="58"/>
      <c r="RBH14" s="58"/>
      <c r="RBI14" s="58"/>
      <c r="RBJ14" s="58"/>
      <c r="RBK14" s="58"/>
      <c r="RBL14" s="58"/>
      <c r="RBM14" s="58"/>
      <c r="RBN14" s="58"/>
      <c r="RBO14" s="58"/>
      <c r="RBP14" s="58"/>
      <c r="RBQ14" s="58"/>
      <c r="RBR14" s="58"/>
      <c r="RBS14" s="58"/>
      <c r="RBT14" s="58"/>
      <c r="RBU14" s="58"/>
      <c r="RBV14" s="58"/>
      <c r="RBW14" s="58"/>
      <c r="RBX14" s="58"/>
      <c r="RBY14" s="58"/>
      <c r="RBZ14" s="58"/>
      <c r="RCA14" s="58"/>
      <c r="RCB14" s="58"/>
      <c r="RCC14" s="58"/>
      <c r="RCD14" s="58"/>
      <c r="RCE14" s="58"/>
      <c r="RCF14" s="58"/>
      <c r="RCG14" s="58"/>
      <c r="RCH14" s="58"/>
      <c r="RCI14" s="58"/>
      <c r="RCJ14" s="58"/>
      <c r="RCK14" s="58"/>
      <c r="RCL14" s="58"/>
      <c r="RCM14" s="58"/>
      <c r="RCN14" s="58"/>
      <c r="RCO14" s="58"/>
      <c r="RCP14" s="58"/>
      <c r="RCQ14" s="58"/>
      <c r="RCR14" s="58"/>
      <c r="RCS14" s="58"/>
      <c r="RCT14" s="58"/>
      <c r="RCU14" s="58"/>
      <c r="RCV14" s="58"/>
      <c r="RCW14" s="58"/>
      <c r="RCX14" s="58"/>
      <c r="RCY14" s="58"/>
      <c r="RCZ14" s="58"/>
      <c r="RDA14" s="58"/>
      <c r="RDB14" s="58"/>
      <c r="RDC14" s="58"/>
      <c r="RDD14" s="58"/>
      <c r="RDE14" s="58"/>
      <c r="RDF14" s="58"/>
      <c r="RDG14" s="58"/>
      <c r="RDH14" s="58"/>
      <c r="RDI14" s="58"/>
      <c r="RDJ14" s="58"/>
      <c r="RDK14" s="58"/>
      <c r="RDL14" s="58"/>
      <c r="RDM14" s="58"/>
      <c r="RDN14" s="58"/>
      <c r="RDO14" s="58"/>
      <c r="RDP14" s="58"/>
      <c r="RDQ14" s="58"/>
      <c r="RDR14" s="58"/>
      <c r="RDS14" s="58"/>
      <c r="RDT14" s="58"/>
      <c r="RDU14" s="58"/>
      <c r="RDV14" s="58"/>
      <c r="RDW14" s="58"/>
      <c r="RDX14" s="58"/>
      <c r="RDY14" s="58"/>
      <c r="RDZ14" s="58"/>
      <c r="REA14" s="58"/>
      <c r="REB14" s="58"/>
      <c r="REC14" s="58"/>
      <c r="RED14" s="58"/>
      <c r="REE14" s="58"/>
      <c r="REF14" s="58"/>
      <c r="REG14" s="58"/>
      <c r="REH14" s="58"/>
      <c r="REI14" s="58"/>
      <c r="REJ14" s="58"/>
      <c r="REK14" s="58"/>
      <c r="REL14" s="58"/>
      <c r="REM14" s="58"/>
      <c r="REN14" s="58"/>
      <c r="REO14" s="58"/>
      <c r="REP14" s="58"/>
      <c r="REQ14" s="58"/>
      <c r="RER14" s="58"/>
      <c r="RES14" s="58"/>
      <c r="RET14" s="58"/>
      <c r="REU14" s="58"/>
      <c r="REV14" s="58"/>
      <c r="REW14" s="58"/>
      <c r="REX14" s="58"/>
      <c r="REY14" s="58"/>
      <c r="REZ14" s="58"/>
      <c r="RFA14" s="58"/>
      <c r="RFB14" s="58"/>
      <c r="RFC14" s="58"/>
      <c r="RFD14" s="58"/>
      <c r="RFE14" s="58"/>
      <c r="RFF14" s="58"/>
      <c r="RFG14" s="58"/>
      <c r="RFH14" s="58"/>
      <c r="RFI14" s="58"/>
      <c r="RFJ14" s="58"/>
      <c r="RFK14" s="58"/>
      <c r="RFL14" s="58"/>
      <c r="RFM14" s="58"/>
      <c r="RFN14" s="58"/>
      <c r="RFO14" s="58"/>
      <c r="RFP14" s="58"/>
      <c r="RFQ14" s="58"/>
      <c r="RFR14" s="58"/>
      <c r="RFS14" s="58"/>
      <c r="RFT14" s="58"/>
      <c r="RFU14" s="58"/>
      <c r="RFV14" s="58"/>
      <c r="RFW14" s="58"/>
      <c r="RFX14" s="58"/>
      <c r="RFY14" s="58"/>
      <c r="RFZ14" s="58"/>
      <c r="RGA14" s="58"/>
      <c r="RGB14" s="58"/>
      <c r="RGC14" s="58"/>
      <c r="RGD14" s="58"/>
      <c r="RGE14" s="58"/>
      <c r="RGF14" s="58"/>
      <c r="RGG14" s="58"/>
      <c r="RGH14" s="58"/>
      <c r="RGI14" s="58"/>
      <c r="RGJ14" s="58"/>
      <c r="RGK14" s="58"/>
      <c r="RGL14" s="58"/>
      <c r="RGM14" s="58"/>
      <c r="RGN14" s="58"/>
      <c r="RGO14" s="58"/>
      <c r="RGP14" s="58"/>
      <c r="RGQ14" s="58"/>
      <c r="RGR14" s="58"/>
      <c r="RGS14" s="58"/>
      <c r="RGT14" s="58"/>
      <c r="RGU14" s="58"/>
      <c r="RGV14" s="58"/>
      <c r="RGW14" s="58"/>
      <c r="RGX14" s="58"/>
      <c r="RGY14" s="58"/>
      <c r="RGZ14" s="58"/>
      <c r="RHA14" s="58"/>
      <c r="RHB14" s="58"/>
      <c r="RHC14" s="58"/>
      <c r="RHD14" s="58"/>
      <c r="RHE14" s="58"/>
      <c r="RHF14" s="58"/>
      <c r="RHG14" s="58"/>
      <c r="RHH14" s="58"/>
      <c r="RHI14" s="58"/>
      <c r="RHJ14" s="58"/>
      <c r="RHK14" s="58"/>
      <c r="RHL14" s="58"/>
      <c r="RHM14" s="58"/>
      <c r="RHN14" s="58"/>
      <c r="RHO14" s="58"/>
      <c r="RHP14" s="58"/>
      <c r="RHQ14" s="58"/>
      <c r="RHR14" s="58"/>
      <c r="RHS14" s="58"/>
      <c r="RHT14" s="58"/>
      <c r="RHU14" s="58"/>
      <c r="RHV14" s="58"/>
      <c r="RHW14" s="58"/>
      <c r="RHX14" s="58"/>
      <c r="RHY14" s="58"/>
      <c r="RHZ14" s="58"/>
      <c r="RIA14" s="58"/>
      <c r="RIB14" s="58"/>
      <c r="RIC14" s="58"/>
      <c r="RID14" s="58"/>
      <c r="RIE14" s="58"/>
      <c r="RIF14" s="58"/>
      <c r="RIG14" s="58"/>
      <c r="RIH14" s="58"/>
      <c r="RII14" s="58"/>
      <c r="RIJ14" s="58"/>
      <c r="RIK14" s="58"/>
      <c r="RIL14" s="58"/>
      <c r="RIM14" s="58"/>
      <c r="RIN14" s="58"/>
      <c r="RIO14" s="58"/>
      <c r="RIP14" s="58"/>
      <c r="RIQ14" s="58"/>
      <c r="RIR14" s="58"/>
      <c r="RIS14" s="58"/>
      <c r="RIT14" s="58"/>
      <c r="RIU14" s="58"/>
      <c r="RIV14" s="58"/>
      <c r="RIW14" s="58"/>
      <c r="RIX14" s="58"/>
      <c r="RIY14" s="58"/>
      <c r="RIZ14" s="58"/>
      <c r="RJA14" s="58"/>
      <c r="RJB14" s="58"/>
      <c r="RJC14" s="58"/>
      <c r="RJD14" s="58"/>
      <c r="RJE14" s="58"/>
      <c r="RJF14" s="58"/>
      <c r="RJG14" s="58"/>
      <c r="RJH14" s="58"/>
      <c r="RJI14" s="58"/>
      <c r="RJJ14" s="58"/>
      <c r="RJK14" s="58"/>
      <c r="RJL14" s="58"/>
      <c r="RJM14" s="58"/>
      <c r="RJN14" s="58"/>
      <c r="RJO14" s="58"/>
      <c r="RJP14" s="58"/>
      <c r="RJQ14" s="58"/>
      <c r="RJR14" s="58"/>
      <c r="RJS14" s="58"/>
      <c r="RJT14" s="58"/>
      <c r="RJU14" s="58"/>
      <c r="RJV14" s="58"/>
      <c r="RJW14" s="58"/>
      <c r="RJX14" s="58"/>
      <c r="RJY14" s="58"/>
      <c r="RJZ14" s="58"/>
      <c r="RKA14" s="58"/>
      <c r="RKB14" s="58"/>
      <c r="RKC14" s="58"/>
      <c r="RKD14" s="58"/>
      <c r="RKE14" s="58"/>
      <c r="RKF14" s="58"/>
      <c r="RKG14" s="58"/>
      <c r="RKH14" s="58"/>
      <c r="RKI14" s="58"/>
      <c r="RKJ14" s="58"/>
      <c r="RKK14" s="58"/>
      <c r="RKL14" s="58"/>
      <c r="RKM14" s="58"/>
      <c r="RKN14" s="58"/>
      <c r="RKO14" s="58"/>
      <c r="RKP14" s="58"/>
      <c r="RKQ14" s="58"/>
      <c r="RKR14" s="58"/>
      <c r="RKS14" s="58"/>
      <c r="RKT14" s="58"/>
      <c r="RKU14" s="58"/>
      <c r="RKV14" s="58"/>
      <c r="RKW14" s="58"/>
      <c r="RKX14" s="58"/>
      <c r="RKY14" s="58"/>
      <c r="RKZ14" s="58"/>
      <c r="RLA14" s="58"/>
      <c r="RLB14" s="58"/>
      <c r="RLC14" s="58"/>
      <c r="RLD14" s="58"/>
      <c r="RLE14" s="58"/>
      <c r="RLF14" s="58"/>
      <c r="RLG14" s="58"/>
      <c r="RLH14" s="58"/>
      <c r="RLI14" s="58"/>
      <c r="RLJ14" s="58"/>
      <c r="RLK14" s="58"/>
      <c r="RLL14" s="58"/>
      <c r="RLM14" s="58"/>
      <c r="RLN14" s="58"/>
      <c r="RLO14" s="58"/>
      <c r="RLP14" s="58"/>
      <c r="RLQ14" s="58"/>
      <c r="RLR14" s="58"/>
      <c r="RLS14" s="58"/>
      <c r="RLT14" s="58"/>
      <c r="RLU14" s="58"/>
      <c r="RLV14" s="58"/>
      <c r="RLW14" s="58"/>
      <c r="RLX14" s="58"/>
      <c r="RLY14" s="58"/>
      <c r="RLZ14" s="58"/>
      <c r="RMA14" s="58"/>
      <c r="RMB14" s="58"/>
      <c r="RMC14" s="58"/>
      <c r="RMD14" s="58"/>
      <c r="RME14" s="58"/>
      <c r="RMF14" s="58"/>
      <c r="RMG14" s="58"/>
      <c r="RMH14" s="58"/>
      <c r="RMI14" s="58"/>
      <c r="RMJ14" s="58"/>
      <c r="RMK14" s="58"/>
      <c r="RML14" s="58"/>
      <c r="RMM14" s="58"/>
      <c r="RMN14" s="58"/>
      <c r="RMO14" s="58"/>
      <c r="RMP14" s="58"/>
      <c r="RMQ14" s="58"/>
      <c r="RMR14" s="58"/>
      <c r="RMS14" s="58"/>
      <c r="RMT14" s="58"/>
      <c r="RMU14" s="58"/>
      <c r="RMV14" s="58"/>
      <c r="RMW14" s="58"/>
      <c r="RMX14" s="58"/>
      <c r="RMY14" s="58"/>
      <c r="RMZ14" s="58"/>
      <c r="RNA14" s="58"/>
      <c r="RNB14" s="58"/>
      <c r="RNC14" s="58"/>
      <c r="RND14" s="58"/>
      <c r="RNE14" s="58"/>
      <c r="RNF14" s="58"/>
      <c r="RNG14" s="58"/>
      <c r="RNH14" s="58"/>
      <c r="RNI14" s="58"/>
      <c r="RNJ14" s="58"/>
      <c r="RNK14" s="58"/>
      <c r="RNL14" s="58"/>
      <c r="RNM14" s="58"/>
      <c r="RNN14" s="58"/>
      <c r="RNO14" s="58"/>
      <c r="RNP14" s="58"/>
      <c r="RNQ14" s="58"/>
      <c r="RNR14" s="58"/>
      <c r="RNS14" s="58"/>
      <c r="RNT14" s="58"/>
      <c r="RNU14" s="58"/>
      <c r="RNV14" s="58"/>
      <c r="RNW14" s="58"/>
      <c r="RNX14" s="58"/>
      <c r="RNY14" s="58"/>
      <c r="RNZ14" s="58"/>
      <c r="ROA14" s="58"/>
      <c r="ROB14" s="58"/>
      <c r="ROC14" s="58"/>
      <c r="ROD14" s="58"/>
      <c r="ROE14" s="58"/>
      <c r="ROF14" s="58"/>
      <c r="ROG14" s="58"/>
      <c r="ROH14" s="58"/>
      <c r="ROI14" s="58"/>
      <c r="ROJ14" s="58"/>
      <c r="ROK14" s="58"/>
      <c r="ROL14" s="58"/>
      <c r="ROM14" s="58"/>
      <c r="RON14" s="58"/>
      <c r="ROO14" s="58"/>
      <c r="ROP14" s="58"/>
      <c r="ROQ14" s="58"/>
      <c r="ROR14" s="58"/>
      <c r="ROS14" s="58"/>
      <c r="ROT14" s="58"/>
      <c r="ROU14" s="58"/>
      <c r="ROV14" s="58"/>
      <c r="ROW14" s="58"/>
      <c r="ROX14" s="58"/>
      <c r="ROY14" s="58"/>
      <c r="ROZ14" s="58"/>
      <c r="RPA14" s="58"/>
      <c r="RPB14" s="58"/>
      <c r="RPC14" s="58"/>
      <c r="RPD14" s="58"/>
      <c r="RPE14" s="58"/>
      <c r="RPF14" s="58"/>
      <c r="RPG14" s="58"/>
      <c r="RPH14" s="58"/>
      <c r="RPI14" s="58"/>
      <c r="RPJ14" s="58"/>
      <c r="RPK14" s="58"/>
      <c r="RPL14" s="58"/>
      <c r="RPM14" s="58"/>
      <c r="RPN14" s="58"/>
      <c r="RPO14" s="58"/>
      <c r="RPP14" s="58"/>
      <c r="RPQ14" s="58"/>
      <c r="RPR14" s="58"/>
      <c r="RPS14" s="58"/>
      <c r="RPT14" s="58"/>
      <c r="RPU14" s="58"/>
      <c r="RPV14" s="58"/>
      <c r="RPW14" s="58"/>
      <c r="RPX14" s="58"/>
      <c r="RPY14" s="58"/>
      <c r="RPZ14" s="58"/>
      <c r="RQA14" s="58"/>
      <c r="RQB14" s="58"/>
      <c r="RQC14" s="58"/>
      <c r="RQD14" s="58"/>
      <c r="RQE14" s="58"/>
      <c r="RQF14" s="58"/>
      <c r="RQG14" s="58"/>
      <c r="RQH14" s="58"/>
      <c r="RQI14" s="58"/>
      <c r="RQJ14" s="58"/>
      <c r="RQK14" s="58"/>
      <c r="RQL14" s="58"/>
      <c r="RQM14" s="58"/>
      <c r="RQN14" s="58"/>
      <c r="RQO14" s="58"/>
      <c r="RQP14" s="58"/>
      <c r="RQQ14" s="58"/>
      <c r="RQR14" s="58"/>
      <c r="RQS14" s="58"/>
      <c r="RQT14" s="58"/>
      <c r="RQU14" s="58"/>
      <c r="RQV14" s="58"/>
      <c r="RQW14" s="58"/>
      <c r="RQX14" s="58"/>
      <c r="RQY14" s="58"/>
      <c r="RQZ14" s="58"/>
      <c r="RRA14" s="58"/>
      <c r="RRB14" s="58"/>
      <c r="RRC14" s="58"/>
      <c r="RRD14" s="58"/>
      <c r="RRE14" s="58"/>
      <c r="RRF14" s="58"/>
      <c r="RRG14" s="58"/>
      <c r="RRH14" s="58"/>
      <c r="RRI14" s="58"/>
      <c r="RRJ14" s="58"/>
      <c r="RRK14" s="58"/>
      <c r="RRL14" s="58"/>
      <c r="RRM14" s="58"/>
      <c r="RRN14" s="58"/>
      <c r="RRO14" s="58"/>
      <c r="RRP14" s="58"/>
      <c r="RRQ14" s="58"/>
      <c r="RRR14" s="58"/>
      <c r="RRS14" s="58"/>
      <c r="RRT14" s="58"/>
      <c r="RRU14" s="58"/>
      <c r="RRV14" s="58"/>
      <c r="RRW14" s="58"/>
      <c r="RRX14" s="58"/>
      <c r="RRY14" s="58"/>
      <c r="RRZ14" s="58"/>
      <c r="RSA14" s="58"/>
      <c r="RSB14" s="58"/>
      <c r="RSC14" s="58"/>
      <c r="RSD14" s="58"/>
      <c r="RSE14" s="58"/>
      <c r="RSF14" s="58"/>
      <c r="RSG14" s="58"/>
      <c r="RSH14" s="58"/>
      <c r="RSI14" s="58"/>
      <c r="RSJ14" s="58"/>
      <c r="RSK14" s="58"/>
      <c r="RSL14" s="58"/>
      <c r="RSM14" s="58"/>
      <c r="RSN14" s="58"/>
      <c r="RSO14" s="58"/>
      <c r="RSP14" s="58"/>
      <c r="RSQ14" s="58"/>
      <c r="RSR14" s="58"/>
      <c r="RSS14" s="58"/>
      <c r="RST14" s="58"/>
      <c r="RSU14" s="58"/>
      <c r="RSV14" s="58"/>
      <c r="RSW14" s="58"/>
      <c r="RSX14" s="58"/>
      <c r="RSY14" s="58"/>
      <c r="RSZ14" s="58"/>
      <c r="RTA14" s="58"/>
      <c r="RTB14" s="58"/>
      <c r="RTC14" s="58"/>
      <c r="RTD14" s="58"/>
      <c r="RTE14" s="58"/>
      <c r="RTF14" s="58"/>
      <c r="RTG14" s="58"/>
      <c r="RTH14" s="58"/>
      <c r="RTI14" s="58"/>
      <c r="RTJ14" s="58"/>
      <c r="RTK14" s="58"/>
      <c r="RTL14" s="58"/>
      <c r="RTM14" s="58"/>
      <c r="RTN14" s="58"/>
      <c r="RTO14" s="58"/>
      <c r="RTP14" s="58"/>
      <c r="RTQ14" s="58"/>
      <c r="RTR14" s="58"/>
      <c r="RTS14" s="58"/>
      <c r="RTT14" s="58"/>
      <c r="RTU14" s="58"/>
      <c r="RTV14" s="58"/>
      <c r="RTW14" s="58"/>
      <c r="RTX14" s="58"/>
      <c r="RTY14" s="58"/>
      <c r="RTZ14" s="58"/>
      <c r="RUA14" s="58"/>
      <c r="RUB14" s="58"/>
      <c r="RUC14" s="58"/>
      <c r="RUD14" s="58"/>
      <c r="RUE14" s="58"/>
      <c r="RUF14" s="58"/>
      <c r="RUG14" s="58"/>
      <c r="RUH14" s="58"/>
      <c r="RUI14" s="58"/>
      <c r="RUJ14" s="58"/>
      <c r="RUK14" s="58"/>
      <c r="RUL14" s="58"/>
      <c r="RUM14" s="58"/>
      <c r="RUN14" s="58"/>
      <c r="RUO14" s="58"/>
      <c r="RUP14" s="58"/>
      <c r="RUQ14" s="58"/>
      <c r="RUR14" s="58"/>
      <c r="RUS14" s="58"/>
      <c r="RUT14" s="58"/>
      <c r="RUU14" s="58"/>
      <c r="RUV14" s="58"/>
      <c r="RUW14" s="58"/>
      <c r="RUX14" s="58"/>
      <c r="RUY14" s="58"/>
      <c r="RUZ14" s="58"/>
      <c r="RVA14" s="58"/>
      <c r="RVB14" s="58"/>
      <c r="RVC14" s="58"/>
      <c r="RVD14" s="58"/>
      <c r="RVE14" s="58"/>
      <c r="RVF14" s="58"/>
      <c r="RVG14" s="58"/>
      <c r="RVH14" s="58"/>
      <c r="RVI14" s="58"/>
      <c r="RVJ14" s="58"/>
      <c r="RVK14" s="58"/>
      <c r="RVL14" s="58"/>
      <c r="RVM14" s="58"/>
      <c r="RVN14" s="58"/>
      <c r="RVO14" s="58"/>
      <c r="RVP14" s="58"/>
      <c r="RVQ14" s="58"/>
      <c r="RVR14" s="58"/>
      <c r="RVS14" s="58"/>
      <c r="RVT14" s="58"/>
      <c r="RVU14" s="58"/>
      <c r="RVV14" s="58"/>
      <c r="RVW14" s="58"/>
      <c r="RVX14" s="58"/>
      <c r="RVY14" s="58"/>
      <c r="RVZ14" s="58"/>
      <c r="RWA14" s="58"/>
      <c r="RWB14" s="58"/>
      <c r="RWC14" s="58"/>
      <c r="RWD14" s="58"/>
      <c r="RWE14" s="58"/>
      <c r="RWF14" s="58"/>
      <c r="RWG14" s="58"/>
      <c r="RWH14" s="58"/>
      <c r="RWI14" s="58"/>
      <c r="RWJ14" s="58"/>
      <c r="RWK14" s="58"/>
      <c r="RWL14" s="58"/>
      <c r="RWM14" s="58"/>
      <c r="RWN14" s="58"/>
      <c r="RWO14" s="58"/>
      <c r="RWP14" s="58"/>
      <c r="RWQ14" s="58"/>
      <c r="RWR14" s="58"/>
      <c r="RWS14" s="58"/>
      <c r="RWT14" s="58"/>
      <c r="RWU14" s="58"/>
      <c r="RWV14" s="58"/>
      <c r="RWW14" s="58"/>
      <c r="RWX14" s="58"/>
      <c r="RWY14" s="58"/>
      <c r="RWZ14" s="58"/>
      <c r="RXA14" s="58"/>
      <c r="RXB14" s="58"/>
      <c r="RXC14" s="58"/>
      <c r="RXD14" s="58"/>
      <c r="RXE14" s="58"/>
      <c r="RXF14" s="58"/>
      <c r="RXG14" s="58"/>
      <c r="RXH14" s="58"/>
      <c r="RXI14" s="58"/>
      <c r="RXJ14" s="58"/>
      <c r="RXK14" s="58"/>
      <c r="RXL14" s="58"/>
      <c r="RXM14" s="58"/>
      <c r="RXN14" s="58"/>
      <c r="RXO14" s="58"/>
      <c r="RXP14" s="58"/>
      <c r="RXQ14" s="58"/>
      <c r="RXR14" s="58"/>
      <c r="RXS14" s="58"/>
      <c r="RXT14" s="58"/>
      <c r="RXU14" s="58"/>
      <c r="RXV14" s="58"/>
      <c r="RXW14" s="58"/>
      <c r="RXX14" s="58"/>
      <c r="RXY14" s="58"/>
      <c r="RXZ14" s="58"/>
      <c r="RYA14" s="58"/>
      <c r="RYB14" s="58"/>
      <c r="RYC14" s="58"/>
      <c r="RYD14" s="58"/>
      <c r="RYE14" s="58"/>
      <c r="RYF14" s="58"/>
      <c r="RYG14" s="58"/>
      <c r="RYH14" s="58"/>
      <c r="RYI14" s="58"/>
      <c r="RYJ14" s="58"/>
      <c r="RYK14" s="58"/>
      <c r="RYL14" s="58"/>
      <c r="RYM14" s="58"/>
      <c r="RYN14" s="58"/>
      <c r="RYO14" s="58"/>
      <c r="RYP14" s="58"/>
      <c r="RYQ14" s="58"/>
      <c r="RYR14" s="58"/>
      <c r="RYS14" s="58"/>
      <c r="RYT14" s="58"/>
      <c r="RYU14" s="58"/>
      <c r="RYV14" s="58"/>
      <c r="RYW14" s="58"/>
      <c r="RYX14" s="58"/>
      <c r="RYY14" s="58"/>
      <c r="RYZ14" s="58"/>
      <c r="RZA14" s="58"/>
      <c r="RZB14" s="58"/>
      <c r="RZC14" s="58"/>
      <c r="RZD14" s="58"/>
      <c r="RZE14" s="58"/>
      <c r="RZF14" s="58"/>
      <c r="RZG14" s="58"/>
      <c r="RZH14" s="58"/>
      <c r="RZI14" s="58"/>
      <c r="RZJ14" s="58"/>
      <c r="RZK14" s="58"/>
      <c r="RZL14" s="58"/>
      <c r="RZM14" s="58"/>
      <c r="RZN14" s="58"/>
      <c r="RZO14" s="58"/>
      <c r="RZP14" s="58"/>
      <c r="RZQ14" s="58"/>
      <c r="RZR14" s="58"/>
      <c r="RZS14" s="58"/>
      <c r="RZT14" s="58"/>
      <c r="RZU14" s="58"/>
      <c r="RZV14" s="58"/>
      <c r="RZW14" s="58"/>
      <c r="RZX14" s="58"/>
      <c r="RZY14" s="58"/>
      <c r="RZZ14" s="58"/>
      <c r="SAA14" s="58"/>
      <c r="SAB14" s="58"/>
      <c r="SAC14" s="58"/>
      <c r="SAD14" s="58"/>
      <c r="SAE14" s="58"/>
      <c r="SAF14" s="58"/>
      <c r="SAG14" s="58"/>
      <c r="SAH14" s="58"/>
      <c r="SAI14" s="58"/>
      <c r="SAJ14" s="58"/>
      <c r="SAK14" s="58"/>
      <c r="SAL14" s="58"/>
      <c r="SAM14" s="58"/>
      <c r="SAN14" s="58"/>
      <c r="SAO14" s="58"/>
      <c r="SAP14" s="58"/>
      <c r="SAQ14" s="58"/>
      <c r="SAR14" s="58"/>
      <c r="SAS14" s="58"/>
      <c r="SAT14" s="58"/>
      <c r="SAU14" s="58"/>
      <c r="SAV14" s="58"/>
      <c r="SAW14" s="58"/>
      <c r="SAX14" s="58"/>
      <c r="SAY14" s="58"/>
      <c r="SAZ14" s="58"/>
      <c r="SBA14" s="58"/>
      <c r="SBB14" s="58"/>
      <c r="SBC14" s="58"/>
      <c r="SBD14" s="58"/>
      <c r="SBE14" s="58"/>
      <c r="SBF14" s="58"/>
      <c r="SBG14" s="58"/>
      <c r="SBH14" s="58"/>
      <c r="SBI14" s="58"/>
      <c r="SBJ14" s="58"/>
      <c r="SBK14" s="58"/>
      <c r="SBL14" s="58"/>
      <c r="SBM14" s="58"/>
      <c r="SBN14" s="58"/>
      <c r="SBO14" s="58"/>
      <c r="SBP14" s="58"/>
      <c r="SBQ14" s="58"/>
      <c r="SBR14" s="58"/>
      <c r="SBS14" s="58"/>
      <c r="SBT14" s="58"/>
      <c r="SBU14" s="58"/>
      <c r="SBV14" s="58"/>
      <c r="SBW14" s="58"/>
      <c r="SBX14" s="58"/>
      <c r="SBY14" s="58"/>
      <c r="SBZ14" s="58"/>
      <c r="SCA14" s="58"/>
      <c r="SCB14" s="58"/>
      <c r="SCC14" s="58"/>
      <c r="SCD14" s="58"/>
      <c r="SCE14" s="58"/>
      <c r="SCF14" s="58"/>
      <c r="SCG14" s="58"/>
      <c r="SCH14" s="58"/>
      <c r="SCI14" s="58"/>
      <c r="SCJ14" s="58"/>
      <c r="SCK14" s="58"/>
      <c r="SCL14" s="58"/>
      <c r="SCM14" s="58"/>
      <c r="SCN14" s="58"/>
      <c r="SCO14" s="58"/>
      <c r="SCP14" s="58"/>
      <c r="SCQ14" s="58"/>
      <c r="SCR14" s="58"/>
      <c r="SCS14" s="58"/>
      <c r="SCT14" s="58"/>
      <c r="SCU14" s="58"/>
      <c r="SCV14" s="58"/>
      <c r="SCW14" s="58"/>
      <c r="SCX14" s="58"/>
      <c r="SCY14" s="58"/>
      <c r="SCZ14" s="58"/>
      <c r="SDA14" s="58"/>
      <c r="SDB14" s="58"/>
      <c r="SDC14" s="58"/>
      <c r="SDD14" s="58"/>
      <c r="SDE14" s="58"/>
      <c r="SDF14" s="58"/>
      <c r="SDG14" s="58"/>
      <c r="SDH14" s="58"/>
      <c r="SDI14" s="58"/>
      <c r="SDJ14" s="58"/>
      <c r="SDK14" s="58"/>
      <c r="SDL14" s="58"/>
      <c r="SDM14" s="58"/>
      <c r="SDN14" s="58"/>
      <c r="SDO14" s="58"/>
      <c r="SDP14" s="58"/>
      <c r="SDQ14" s="58"/>
      <c r="SDR14" s="58"/>
      <c r="SDS14" s="58"/>
      <c r="SDT14" s="58"/>
      <c r="SDU14" s="58"/>
      <c r="SDV14" s="58"/>
      <c r="SDW14" s="58"/>
      <c r="SDX14" s="58"/>
      <c r="SDY14" s="58"/>
      <c r="SDZ14" s="58"/>
      <c r="SEA14" s="58"/>
      <c r="SEB14" s="58"/>
      <c r="SEC14" s="58"/>
      <c r="SED14" s="58"/>
      <c r="SEE14" s="58"/>
      <c r="SEF14" s="58"/>
      <c r="SEG14" s="58"/>
      <c r="SEH14" s="58"/>
      <c r="SEI14" s="58"/>
      <c r="SEJ14" s="58"/>
      <c r="SEK14" s="58"/>
      <c r="SEL14" s="58"/>
      <c r="SEM14" s="58"/>
      <c r="SEN14" s="58"/>
      <c r="SEO14" s="58"/>
      <c r="SEP14" s="58"/>
      <c r="SEQ14" s="58"/>
      <c r="SER14" s="58"/>
      <c r="SES14" s="58"/>
      <c r="SET14" s="58"/>
      <c r="SEU14" s="58"/>
      <c r="SEV14" s="58"/>
      <c r="SEW14" s="58"/>
      <c r="SEX14" s="58"/>
      <c r="SEY14" s="58"/>
      <c r="SEZ14" s="58"/>
      <c r="SFA14" s="58"/>
      <c r="SFB14" s="58"/>
      <c r="SFC14" s="58"/>
      <c r="SFD14" s="58"/>
      <c r="SFE14" s="58"/>
      <c r="SFF14" s="58"/>
      <c r="SFG14" s="58"/>
      <c r="SFH14" s="58"/>
      <c r="SFI14" s="58"/>
      <c r="SFJ14" s="58"/>
      <c r="SFK14" s="58"/>
      <c r="SFL14" s="58"/>
      <c r="SFM14" s="58"/>
      <c r="SFN14" s="58"/>
      <c r="SFO14" s="58"/>
      <c r="SFP14" s="58"/>
      <c r="SFQ14" s="58"/>
      <c r="SFR14" s="58"/>
      <c r="SFS14" s="58"/>
      <c r="SFT14" s="58"/>
      <c r="SFU14" s="58"/>
      <c r="SFV14" s="58"/>
      <c r="SFW14" s="58"/>
      <c r="SFX14" s="58"/>
      <c r="SFY14" s="58"/>
      <c r="SFZ14" s="58"/>
      <c r="SGA14" s="58"/>
      <c r="SGB14" s="58"/>
      <c r="SGC14" s="58"/>
      <c r="SGD14" s="58"/>
      <c r="SGE14" s="58"/>
      <c r="SGF14" s="58"/>
      <c r="SGG14" s="58"/>
      <c r="SGH14" s="58"/>
      <c r="SGI14" s="58"/>
      <c r="SGJ14" s="58"/>
      <c r="SGK14" s="58"/>
      <c r="SGL14" s="58"/>
      <c r="SGM14" s="58"/>
      <c r="SGN14" s="58"/>
      <c r="SGO14" s="58"/>
      <c r="SGP14" s="58"/>
      <c r="SGQ14" s="58"/>
      <c r="SGR14" s="58"/>
      <c r="SGS14" s="58"/>
      <c r="SGT14" s="58"/>
      <c r="SGU14" s="58"/>
      <c r="SGV14" s="58"/>
      <c r="SGW14" s="58"/>
      <c r="SGX14" s="58"/>
      <c r="SGY14" s="58"/>
      <c r="SGZ14" s="58"/>
      <c r="SHA14" s="58"/>
      <c r="SHB14" s="58"/>
      <c r="SHC14" s="58"/>
      <c r="SHD14" s="58"/>
      <c r="SHE14" s="58"/>
      <c r="SHF14" s="58"/>
      <c r="SHG14" s="58"/>
      <c r="SHH14" s="58"/>
      <c r="SHI14" s="58"/>
      <c r="SHJ14" s="58"/>
      <c r="SHK14" s="58"/>
      <c r="SHL14" s="58"/>
      <c r="SHM14" s="58"/>
      <c r="SHN14" s="58"/>
      <c r="SHO14" s="58"/>
      <c r="SHP14" s="58"/>
      <c r="SHQ14" s="58"/>
      <c r="SHR14" s="58"/>
      <c r="SHS14" s="58"/>
      <c r="SHT14" s="58"/>
      <c r="SHU14" s="58"/>
      <c r="SHV14" s="58"/>
      <c r="SHW14" s="58"/>
      <c r="SHX14" s="58"/>
      <c r="SHY14" s="58"/>
      <c r="SHZ14" s="58"/>
      <c r="SIA14" s="58"/>
      <c r="SIB14" s="58"/>
      <c r="SIC14" s="58"/>
      <c r="SID14" s="58"/>
      <c r="SIE14" s="58"/>
      <c r="SIF14" s="58"/>
      <c r="SIG14" s="58"/>
      <c r="SIH14" s="58"/>
      <c r="SII14" s="58"/>
      <c r="SIJ14" s="58"/>
      <c r="SIK14" s="58"/>
      <c r="SIL14" s="58"/>
      <c r="SIM14" s="58"/>
      <c r="SIN14" s="58"/>
      <c r="SIO14" s="58"/>
      <c r="SIP14" s="58"/>
      <c r="SIQ14" s="58"/>
      <c r="SIR14" s="58"/>
      <c r="SIS14" s="58"/>
      <c r="SIT14" s="58"/>
      <c r="SIU14" s="58"/>
      <c r="SIV14" s="58"/>
      <c r="SIW14" s="58"/>
      <c r="SIX14" s="58"/>
      <c r="SIY14" s="58"/>
      <c r="SIZ14" s="58"/>
      <c r="SJA14" s="58"/>
      <c r="SJB14" s="58"/>
      <c r="SJC14" s="58"/>
      <c r="SJD14" s="58"/>
      <c r="SJE14" s="58"/>
      <c r="SJF14" s="58"/>
      <c r="SJG14" s="58"/>
      <c r="SJH14" s="58"/>
      <c r="SJI14" s="58"/>
      <c r="SJJ14" s="58"/>
      <c r="SJK14" s="58"/>
      <c r="SJL14" s="58"/>
      <c r="SJM14" s="58"/>
      <c r="SJN14" s="58"/>
      <c r="SJO14" s="58"/>
      <c r="SJP14" s="58"/>
      <c r="SJQ14" s="58"/>
      <c r="SJR14" s="58"/>
      <c r="SJS14" s="58"/>
      <c r="SJT14" s="58"/>
      <c r="SJU14" s="58"/>
      <c r="SJV14" s="58"/>
      <c r="SJW14" s="58"/>
      <c r="SJX14" s="58"/>
      <c r="SJY14" s="58"/>
      <c r="SJZ14" s="58"/>
      <c r="SKA14" s="58"/>
      <c r="SKB14" s="58"/>
      <c r="SKC14" s="58"/>
      <c r="SKD14" s="58"/>
      <c r="SKE14" s="58"/>
      <c r="SKF14" s="58"/>
      <c r="SKG14" s="58"/>
      <c r="SKH14" s="58"/>
      <c r="SKI14" s="58"/>
      <c r="SKJ14" s="58"/>
      <c r="SKK14" s="58"/>
      <c r="SKL14" s="58"/>
      <c r="SKM14" s="58"/>
      <c r="SKN14" s="58"/>
      <c r="SKO14" s="58"/>
      <c r="SKP14" s="58"/>
      <c r="SKQ14" s="58"/>
      <c r="SKR14" s="58"/>
      <c r="SKS14" s="58"/>
      <c r="SKT14" s="58"/>
      <c r="SKU14" s="58"/>
      <c r="SKV14" s="58"/>
      <c r="SKW14" s="58"/>
      <c r="SKX14" s="58"/>
      <c r="SKY14" s="58"/>
      <c r="SKZ14" s="58"/>
      <c r="SLA14" s="58"/>
      <c r="SLB14" s="58"/>
      <c r="SLC14" s="58"/>
      <c r="SLD14" s="58"/>
      <c r="SLE14" s="58"/>
      <c r="SLF14" s="58"/>
      <c r="SLG14" s="58"/>
      <c r="SLH14" s="58"/>
      <c r="SLI14" s="58"/>
      <c r="SLJ14" s="58"/>
      <c r="SLK14" s="58"/>
      <c r="SLL14" s="58"/>
      <c r="SLM14" s="58"/>
      <c r="SLN14" s="58"/>
      <c r="SLO14" s="58"/>
      <c r="SLP14" s="58"/>
      <c r="SLQ14" s="58"/>
      <c r="SLR14" s="58"/>
      <c r="SLS14" s="58"/>
      <c r="SLT14" s="58"/>
      <c r="SLU14" s="58"/>
      <c r="SLV14" s="58"/>
      <c r="SLW14" s="58"/>
      <c r="SLX14" s="58"/>
      <c r="SLY14" s="58"/>
      <c r="SLZ14" s="58"/>
      <c r="SMA14" s="58"/>
      <c r="SMB14" s="58"/>
      <c r="SMC14" s="58"/>
      <c r="SMD14" s="58"/>
      <c r="SME14" s="58"/>
      <c r="SMF14" s="58"/>
      <c r="SMG14" s="58"/>
      <c r="SMH14" s="58"/>
      <c r="SMI14" s="58"/>
      <c r="SMJ14" s="58"/>
      <c r="SMK14" s="58"/>
      <c r="SML14" s="58"/>
      <c r="SMM14" s="58"/>
      <c r="SMN14" s="58"/>
      <c r="SMO14" s="58"/>
      <c r="SMP14" s="58"/>
      <c r="SMQ14" s="58"/>
      <c r="SMR14" s="58"/>
      <c r="SMS14" s="58"/>
      <c r="SMT14" s="58"/>
      <c r="SMU14" s="58"/>
      <c r="SMV14" s="58"/>
      <c r="SMW14" s="58"/>
      <c r="SMX14" s="58"/>
      <c r="SMY14" s="58"/>
      <c r="SMZ14" s="58"/>
      <c r="SNA14" s="58"/>
      <c r="SNB14" s="58"/>
      <c r="SNC14" s="58"/>
      <c r="SND14" s="58"/>
      <c r="SNE14" s="58"/>
      <c r="SNF14" s="58"/>
      <c r="SNG14" s="58"/>
      <c r="SNH14" s="58"/>
      <c r="SNI14" s="58"/>
      <c r="SNJ14" s="58"/>
      <c r="SNK14" s="58"/>
      <c r="SNL14" s="58"/>
      <c r="SNM14" s="58"/>
      <c r="SNN14" s="58"/>
      <c r="SNO14" s="58"/>
      <c r="SNP14" s="58"/>
      <c r="SNQ14" s="58"/>
      <c r="SNR14" s="58"/>
      <c r="SNS14" s="58"/>
      <c r="SNT14" s="58"/>
      <c r="SNU14" s="58"/>
      <c r="SNV14" s="58"/>
      <c r="SNW14" s="58"/>
      <c r="SNX14" s="58"/>
      <c r="SNY14" s="58"/>
      <c r="SNZ14" s="58"/>
      <c r="SOA14" s="58"/>
      <c r="SOB14" s="58"/>
      <c r="SOC14" s="58"/>
      <c r="SOD14" s="58"/>
      <c r="SOE14" s="58"/>
      <c r="SOF14" s="58"/>
      <c r="SOG14" s="58"/>
      <c r="SOH14" s="58"/>
      <c r="SOI14" s="58"/>
      <c r="SOJ14" s="58"/>
      <c r="SOK14" s="58"/>
      <c r="SOL14" s="58"/>
      <c r="SOM14" s="58"/>
      <c r="SON14" s="58"/>
      <c r="SOO14" s="58"/>
      <c r="SOP14" s="58"/>
      <c r="SOQ14" s="58"/>
      <c r="SOR14" s="58"/>
      <c r="SOS14" s="58"/>
      <c r="SOT14" s="58"/>
      <c r="SOU14" s="58"/>
      <c r="SOV14" s="58"/>
      <c r="SOW14" s="58"/>
      <c r="SOX14" s="58"/>
      <c r="SOY14" s="58"/>
      <c r="SOZ14" s="58"/>
      <c r="SPA14" s="58"/>
      <c r="SPB14" s="58"/>
      <c r="SPC14" s="58"/>
      <c r="SPD14" s="58"/>
      <c r="SPE14" s="58"/>
      <c r="SPF14" s="58"/>
      <c r="SPG14" s="58"/>
      <c r="SPH14" s="58"/>
      <c r="SPI14" s="58"/>
      <c r="SPJ14" s="58"/>
      <c r="SPK14" s="58"/>
      <c r="SPL14" s="58"/>
      <c r="SPM14" s="58"/>
      <c r="SPN14" s="58"/>
      <c r="SPO14" s="58"/>
      <c r="SPP14" s="58"/>
      <c r="SPQ14" s="58"/>
      <c r="SPR14" s="58"/>
      <c r="SPS14" s="58"/>
      <c r="SPT14" s="58"/>
      <c r="SPU14" s="58"/>
      <c r="SPV14" s="58"/>
      <c r="SPW14" s="58"/>
      <c r="SPX14" s="58"/>
      <c r="SPY14" s="58"/>
      <c r="SPZ14" s="58"/>
      <c r="SQA14" s="58"/>
      <c r="SQB14" s="58"/>
      <c r="SQC14" s="58"/>
      <c r="SQD14" s="58"/>
      <c r="SQE14" s="58"/>
      <c r="SQF14" s="58"/>
      <c r="SQG14" s="58"/>
      <c r="SQH14" s="58"/>
      <c r="SQI14" s="58"/>
      <c r="SQJ14" s="58"/>
      <c r="SQK14" s="58"/>
      <c r="SQL14" s="58"/>
      <c r="SQM14" s="58"/>
      <c r="SQN14" s="58"/>
      <c r="SQO14" s="58"/>
      <c r="SQP14" s="58"/>
      <c r="SQQ14" s="58"/>
      <c r="SQR14" s="58"/>
      <c r="SQS14" s="58"/>
      <c r="SQT14" s="58"/>
      <c r="SQU14" s="58"/>
      <c r="SQV14" s="58"/>
      <c r="SQW14" s="58"/>
      <c r="SQX14" s="58"/>
      <c r="SQY14" s="58"/>
      <c r="SQZ14" s="58"/>
      <c r="SRA14" s="58"/>
      <c r="SRB14" s="58"/>
      <c r="SRC14" s="58"/>
      <c r="SRD14" s="58"/>
      <c r="SRE14" s="58"/>
      <c r="SRF14" s="58"/>
      <c r="SRG14" s="58"/>
      <c r="SRH14" s="58"/>
      <c r="SRI14" s="58"/>
      <c r="SRJ14" s="58"/>
      <c r="SRK14" s="58"/>
      <c r="SRL14" s="58"/>
      <c r="SRM14" s="58"/>
      <c r="SRN14" s="58"/>
      <c r="SRO14" s="58"/>
      <c r="SRP14" s="58"/>
      <c r="SRQ14" s="58"/>
      <c r="SRR14" s="58"/>
      <c r="SRS14" s="58"/>
      <c r="SRT14" s="58"/>
      <c r="SRU14" s="58"/>
      <c r="SRV14" s="58"/>
      <c r="SRW14" s="58"/>
      <c r="SRX14" s="58"/>
      <c r="SRY14" s="58"/>
      <c r="SRZ14" s="58"/>
      <c r="SSA14" s="58"/>
      <c r="SSB14" s="58"/>
      <c r="SSC14" s="58"/>
      <c r="SSD14" s="58"/>
      <c r="SSE14" s="58"/>
      <c r="SSF14" s="58"/>
      <c r="SSG14" s="58"/>
      <c r="SSH14" s="58"/>
      <c r="SSI14" s="58"/>
      <c r="SSJ14" s="58"/>
      <c r="SSK14" s="58"/>
      <c r="SSL14" s="58"/>
      <c r="SSM14" s="58"/>
      <c r="SSN14" s="58"/>
      <c r="SSO14" s="58"/>
      <c r="SSP14" s="58"/>
      <c r="SSQ14" s="58"/>
      <c r="SSR14" s="58"/>
      <c r="SSS14" s="58"/>
      <c r="SST14" s="58"/>
      <c r="SSU14" s="58"/>
      <c r="SSV14" s="58"/>
      <c r="SSW14" s="58"/>
      <c r="SSX14" s="58"/>
      <c r="SSY14" s="58"/>
      <c r="SSZ14" s="58"/>
      <c r="STA14" s="58"/>
      <c r="STB14" s="58"/>
      <c r="STC14" s="58"/>
      <c r="STD14" s="58"/>
      <c r="STE14" s="58"/>
      <c r="STF14" s="58"/>
      <c r="STG14" s="58"/>
      <c r="STH14" s="58"/>
      <c r="STI14" s="58"/>
      <c r="STJ14" s="58"/>
      <c r="STK14" s="58"/>
      <c r="STL14" s="58"/>
      <c r="STM14" s="58"/>
      <c r="STN14" s="58"/>
      <c r="STO14" s="58"/>
      <c r="STP14" s="58"/>
      <c r="STQ14" s="58"/>
      <c r="STR14" s="58"/>
      <c r="STS14" s="58"/>
      <c r="STT14" s="58"/>
      <c r="STU14" s="58"/>
      <c r="STV14" s="58"/>
      <c r="STW14" s="58"/>
      <c r="STX14" s="58"/>
      <c r="STY14" s="58"/>
      <c r="STZ14" s="58"/>
      <c r="SUA14" s="58"/>
      <c r="SUB14" s="58"/>
      <c r="SUC14" s="58"/>
      <c r="SUD14" s="58"/>
      <c r="SUE14" s="58"/>
      <c r="SUF14" s="58"/>
      <c r="SUG14" s="58"/>
      <c r="SUH14" s="58"/>
      <c r="SUI14" s="58"/>
      <c r="SUJ14" s="58"/>
      <c r="SUK14" s="58"/>
      <c r="SUL14" s="58"/>
      <c r="SUM14" s="58"/>
      <c r="SUN14" s="58"/>
      <c r="SUO14" s="58"/>
      <c r="SUP14" s="58"/>
      <c r="SUQ14" s="58"/>
      <c r="SUR14" s="58"/>
      <c r="SUS14" s="58"/>
      <c r="SUT14" s="58"/>
      <c r="SUU14" s="58"/>
      <c r="SUV14" s="58"/>
      <c r="SUW14" s="58"/>
      <c r="SUX14" s="58"/>
      <c r="SUY14" s="58"/>
      <c r="SUZ14" s="58"/>
      <c r="SVA14" s="58"/>
      <c r="SVB14" s="58"/>
      <c r="SVC14" s="58"/>
      <c r="SVD14" s="58"/>
      <c r="SVE14" s="58"/>
      <c r="SVF14" s="58"/>
      <c r="SVG14" s="58"/>
      <c r="SVH14" s="58"/>
      <c r="SVI14" s="58"/>
      <c r="SVJ14" s="58"/>
      <c r="SVK14" s="58"/>
      <c r="SVL14" s="58"/>
      <c r="SVM14" s="58"/>
      <c r="SVN14" s="58"/>
      <c r="SVO14" s="58"/>
      <c r="SVP14" s="58"/>
      <c r="SVQ14" s="58"/>
      <c r="SVR14" s="58"/>
      <c r="SVS14" s="58"/>
      <c r="SVT14" s="58"/>
      <c r="SVU14" s="58"/>
      <c r="SVV14" s="58"/>
      <c r="SVW14" s="58"/>
      <c r="SVX14" s="58"/>
      <c r="SVY14" s="58"/>
      <c r="SVZ14" s="58"/>
      <c r="SWA14" s="58"/>
      <c r="SWB14" s="58"/>
      <c r="SWC14" s="58"/>
      <c r="SWD14" s="58"/>
      <c r="SWE14" s="58"/>
      <c r="SWF14" s="58"/>
      <c r="SWG14" s="58"/>
      <c r="SWH14" s="58"/>
      <c r="SWI14" s="58"/>
      <c r="SWJ14" s="58"/>
      <c r="SWK14" s="58"/>
      <c r="SWL14" s="58"/>
      <c r="SWM14" s="58"/>
      <c r="SWN14" s="58"/>
      <c r="SWO14" s="58"/>
      <c r="SWP14" s="58"/>
      <c r="SWQ14" s="58"/>
      <c r="SWR14" s="58"/>
      <c r="SWS14" s="58"/>
      <c r="SWT14" s="58"/>
      <c r="SWU14" s="58"/>
      <c r="SWV14" s="58"/>
      <c r="SWW14" s="58"/>
      <c r="SWX14" s="58"/>
      <c r="SWY14" s="58"/>
      <c r="SWZ14" s="58"/>
      <c r="SXA14" s="58"/>
      <c r="SXB14" s="58"/>
      <c r="SXC14" s="58"/>
      <c r="SXD14" s="58"/>
      <c r="SXE14" s="58"/>
      <c r="SXF14" s="58"/>
      <c r="SXG14" s="58"/>
      <c r="SXH14" s="58"/>
      <c r="SXI14" s="58"/>
      <c r="SXJ14" s="58"/>
      <c r="SXK14" s="58"/>
      <c r="SXL14" s="58"/>
      <c r="SXM14" s="58"/>
      <c r="SXN14" s="58"/>
      <c r="SXO14" s="58"/>
      <c r="SXP14" s="58"/>
      <c r="SXQ14" s="58"/>
      <c r="SXR14" s="58"/>
      <c r="SXS14" s="58"/>
      <c r="SXT14" s="58"/>
      <c r="SXU14" s="58"/>
      <c r="SXV14" s="58"/>
      <c r="SXW14" s="58"/>
      <c r="SXX14" s="58"/>
      <c r="SXY14" s="58"/>
      <c r="SXZ14" s="58"/>
      <c r="SYA14" s="58"/>
      <c r="SYB14" s="58"/>
      <c r="SYC14" s="58"/>
      <c r="SYD14" s="58"/>
      <c r="SYE14" s="58"/>
      <c r="SYF14" s="58"/>
      <c r="SYG14" s="58"/>
      <c r="SYH14" s="58"/>
      <c r="SYI14" s="58"/>
      <c r="SYJ14" s="58"/>
      <c r="SYK14" s="58"/>
      <c r="SYL14" s="58"/>
      <c r="SYM14" s="58"/>
      <c r="SYN14" s="58"/>
      <c r="SYO14" s="58"/>
      <c r="SYP14" s="58"/>
      <c r="SYQ14" s="58"/>
      <c r="SYR14" s="58"/>
      <c r="SYS14" s="58"/>
      <c r="SYT14" s="58"/>
      <c r="SYU14" s="58"/>
      <c r="SYV14" s="58"/>
      <c r="SYW14" s="58"/>
      <c r="SYX14" s="58"/>
      <c r="SYY14" s="58"/>
      <c r="SYZ14" s="58"/>
      <c r="SZA14" s="58"/>
      <c r="SZB14" s="58"/>
      <c r="SZC14" s="58"/>
      <c r="SZD14" s="58"/>
      <c r="SZE14" s="58"/>
      <c r="SZF14" s="58"/>
      <c r="SZG14" s="58"/>
      <c r="SZH14" s="58"/>
      <c r="SZI14" s="58"/>
      <c r="SZJ14" s="58"/>
      <c r="SZK14" s="58"/>
      <c r="SZL14" s="58"/>
      <c r="SZM14" s="58"/>
      <c r="SZN14" s="58"/>
      <c r="SZO14" s="58"/>
      <c r="SZP14" s="58"/>
      <c r="SZQ14" s="58"/>
      <c r="SZR14" s="58"/>
      <c r="SZS14" s="58"/>
      <c r="SZT14" s="58"/>
      <c r="SZU14" s="58"/>
      <c r="SZV14" s="58"/>
      <c r="SZW14" s="58"/>
      <c r="SZX14" s="58"/>
      <c r="SZY14" s="58"/>
      <c r="SZZ14" s="58"/>
      <c r="TAA14" s="58"/>
      <c r="TAB14" s="58"/>
      <c r="TAC14" s="58"/>
      <c r="TAD14" s="58"/>
      <c r="TAE14" s="58"/>
      <c r="TAF14" s="58"/>
      <c r="TAG14" s="58"/>
      <c r="TAH14" s="58"/>
      <c r="TAI14" s="58"/>
      <c r="TAJ14" s="58"/>
      <c r="TAK14" s="58"/>
      <c r="TAL14" s="58"/>
      <c r="TAM14" s="58"/>
      <c r="TAN14" s="58"/>
      <c r="TAO14" s="58"/>
      <c r="TAP14" s="58"/>
      <c r="TAQ14" s="58"/>
      <c r="TAR14" s="58"/>
      <c r="TAS14" s="58"/>
      <c r="TAT14" s="58"/>
      <c r="TAU14" s="58"/>
      <c r="TAV14" s="58"/>
      <c r="TAW14" s="58"/>
      <c r="TAX14" s="58"/>
      <c r="TAY14" s="58"/>
      <c r="TAZ14" s="58"/>
      <c r="TBA14" s="58"/>
      <c r="TBB14" s="58"/>
      <c r="TBC14" s="58"/>
      <c r="TBD14" s="58"/>
      <c r="TBE14" s="58"/>
      <c r="TBF14" s="58"/>
      <c r="TBG14" s="58"/>
      <c r="TBH14" s="58"/>
      <c r="TBI14" s="58"/>
      <c r="TBJ14" s="58"/>
      <c r="TBK14" s="58"/>
      <c r="TBL14" s="58"/>
      <c r="TBM14" s="58"/>
      <c r="TBN14" s="58"/>
      <c r="TBO14" s="58"/>
      <c r="TBP14" s="58"/>
      <c r="TBQ14" s="58"/>
      <c r="TBR14" s="58"/>
      <c r="TBS14" s="58"/>
      <c r="TBT14" s="58"/>
      <c r="TBU14" s="58"/>
      <c r="TBV14" s="58"/>
      <c r="TBW14" s="58"/>
      <c r="TBX14" s="58"/>
      <c r="TBY14" s="58"/>
      <c r="TBZ14" s="58"/>
      <c r="TCA14" s="58"/>
      <c r="TCB14" s="58"/>
      <c r="TCC14" s="58"/>
      <c r="TCD14" s="58"/>
      <c r="TCE14" s="58"/>
      <c r="TCF14" s="58"/>
      <c r="TCG14" s="58"/>
      <c r="TCH14" s="58"/>
      <c r="TCI14" s="58"/>
      <c r="TCJ14" s="58"/>
      <c r="TCK14" s="58"/>
      <c r="TCL14" s="58"/>
      <c r="TCM14" s="58"/>
      <c r="TCN14" s="58"/>
      <c r="TCO14" s="58"/>
      <c r="TCP14" s="58"/>
      <c r="TCQ14" s="58"/>
      <c r="TCR14" s="58"/>
      <c r="TCS14" s="58"/>
      <c r="TCT14" s="58"/>
      <c r="TCU14" s="58"/>
      <c r="TCV14" s="58"/>
      <c r="TCW14" s="58"/>
      <c r="TCX14" s="58"/>
      <c r="TCY14" s="58"/>
      <c r="TCZ14" s="58"/>
      <c r="TDA14" s="58"/>
      <c r="TDB14" s="58"/>
      <c r="TDC14" s="58"/>
      <c r="TDD14" s="58"/>
      <c r="TDE14" s="58"/>
      <c r="TDF14" s="58"/>
      <c r="TDG14" s="58"/>
      <c r="TDH14" s="58"/>
      <c r="TDI14" s="58"/>
      <c r="TDJ14" s="58"/>
      <c r="TDK14" s="58"/>
      <c r="TDL14" s="58"/>
      <c r="TDM14" s="58"/>
      <c r="TDN14" s="58"/>
      <c r="TDO14" s="58"/>
      <c r="TDP14" s="58"/>
      <c r="TDQ14" s="58"/>
      <c r="TDR14" s="58"/>
      <c r="TDS14" s="58"/>
      <c r="TDT14" s="58"/>
      <c r="TDU14" s="58"/>
      <c r="TDV14" s="58"/>
      <c r="TDW14" s="58"/>
      <c r="TDX14" s="58"/>
      <c r="TDY14" s="58"/>
      <c r="TDZ14" s="58"/>
      <c r="TEA14" s="58"/>
      <c r="TEB14" s="58"/>
      <c r="TEC14" s="58"/>
      <c r="TED14" s="58"/>
      <c r="TEE14" s="58"/>
      <c r="TEF14" s="58"/>
      <c r="TEG14" s="58"/>
      <c r="TEH14" s="58"/>
      <c r="TEI14" s="58"/>
      <c r="TEJ14" s="58"/>
      <c r="TEK14" s="58"/>
      <c r="TEL14" s="58"/>
      <c r="TEM14" s="58"/>
      <c r="TEN14" s="58"/>
      <c r="TEO14" s="58"/>
      <c r="TEP14" s="58"/>
      <c r="TEQ14" s="58"/>
      <c r="TER14" s="58"/>
      <c r="TES14" s="58"/>
      <c r="TET14" s="58"/>
      <c r="TEU14" s="58"/>
      <c r="TEV14" s="58"/>
      <c r="TEW14" s="58"/>
      <c r="TEX14" s="58"/>
      <c r="TEY14" s="58"/>
      <c r="TEZ14" s="58"/>
      <c r="TFA14" s="58"/>
      <c r="TFB14" s="58"/>
      <c r="TFC14" s="58"/>
      <c r="TFD14" s="58"/>
      <c r="TFE14" s="58"/>
      <c r="TFF14" s="58"/>
      <c r="TFG14" s="58"/>
      <c r="TFH14" s="58"/>
      <c r="TFI14" s="58"/>
      <c r="TFJ14" s="58"/>
      <c r="TFK14" s="58"/>
      <c r="TFL14" s="58"/>
      <c r="TFM14" s="58"/>
      <c r="TFN14" s="58"/>
      <c r="TFO14" s="58"/>
      <c r="TFP14" s="58"/>
      <c r="TFQ14" s="58"/>
      <c r="TFR14" s="58"/>
      <c r="TFS14" s="58"/>
      <c r="TFT14" s="58"/>
      <c r="TFU14" s="58"/>
      <c r="TFV14" s="58"/>
      <c r="TFW14" s="58"/>
      <c r="TFX14" s="58"/>
      <c r="TFY14" s="58"/>
      <c r="TFZ14" s="58"/>
      <c r="TGA14" s="58"/>
      <c r="TGB14" s="58"/>
      <c r="TGC14" s="58"/>
      <c r="TGD14" s="58"/>
      <c r="TGE14" s="58"/>
      <c r="TGF14" s="58"/>
      <c r="TGG14" s="58"/>
      <c r="TGH14" s="58"/>
      <c r="TGI14" s="58"/>
      <c r="TGJ14" s="58"/>
      <c r="TGK14" s="58"/>
      <c r="TGL14" s="58"/>
      <c r="TGM14" s="58"/>
      <c r="TGN14" s="58"/>
      <c r="TGO14" s="58"/>
      <c r="TGP14" s="58"/>
      <c r="TGQ14" s="58"/>
      <c r="TGR14" s="58"/>
      <c r="TGS14" s="58"/>
      <c r="TGT14" s="58"/>
      <c r="TGU14" s="58"/>
      <c r="TGV14" s="58"/>
      <c r="TGW14" s="58"/>
      <c r="TGX14" s="58"/>
      <c r="TGY14" s="58"/>
      <c r="TGZ14" s="58"/>
      <c r="THA14" s="58"/>
      <c r="THB14" s="58"/>
      <c r="THC14" s="58"/>
      <c r="THD14" s="58"/>
      <c r="THE14" s="58"/>
      <c r="THF14" s="58"/>
      <c r="THG14" s="58"/>
      <c r="THH14" s="58"/>
      <c r="THI14" s="58"/>
      <c r="THJ14" s="58"/>
      <c r="THK14" s="58"/>
      <c r="THL14" s="58"/>
      <c r="THM14" s="58"/>
      <c r="THN14" s="58"/>
      <c r="THO14" s="58"/>
      <c r="THP14" s="58"/>
      <c r="THQ14" s="58"/>
      <c r="THR14" s="58"/>
      <c r="THS14" s="58"/>
      <c r="THT14" s="58"/>
      <c r="THU14" s="58"/>
      <c r="THV14" s="58"/>
      <c r="THW14" s="58"/>
      <c r="THX14" s="58"/>
      <c r="THY14" s="58"/>
      <c r="THZ14" s="58"/>
      <c r="TIA14" s="58"/>
      <c r="TIB14" s="58"/>
      <c r="TIC14" s="58"/>
      <c r="TID14" s="58"/>
      <c r="TIE14" s="58"/>
      <c r="TIF14" s="58"/>
      <c r="TIG14" s="58"/>
      <c r="TIH14" s="58"/>
      <c r="TII14" s="58"/>
      <c r="TIJ14" s="58"/>
      <c r="TIK14" s="58"/>
      <c r="TIL14" s="58"/>
      <c r="TIM14" s="58"/>
      <c r="TIN14" s="58"/>
      <c r="TIO14" s="58"/>
      <c r="TIP14" s="58"/>
      <c r="TIQ14" s="58"/>
      <c r="TIR14" s="58"/>
      <c r="TIS14" s="58"/>
      <c r="TIT14" s="58"/>
      <c r="TIU14" s="58"/>
      <c r="TIV14" s="58"/>
      <c r="TIW14" s="58"/>
      <c r="TIX14" s="58"/>
      <c r="TIY14" s="58"/>
      <c r="TIZ14" s="58"/>
      <c r="TJA14" s="58"/>
      <c r="TJB14" s="58"/>
      <c r="TJC14" s="58"/>
      <c r="TJD14" s="58"/>
      <c r="TJE14" s="58"/>
      <c r="TJF14" s="58"/>
      <c r="TJG14" s="58"/>
      <c r="TJH14" s="58"/>
      <c r="TJI14" s="58"/>
      <c r="TJJ14" s="58"/>
      <c r="TJK14" s="58"/>
      <c r="TJL14" s="58"/>
      <c r="TJM14" s="58"/>
      <c r="TJN14" s="58"/>
      <c r="TJO14" s="58"/>
      <c r="TJP14" s="58"/>
      <c r="TJQ14" s="58"/>
      <c r="TJR14" s="58"/>
      <c r="TJS14" s="58"/>
      <c r="TJT14" s="58"/>
      <c r="TJU14" s="58"/>
      <c r="TJV14" s="58"/>
      <c r="TJW14" s="58"/>
      <c r="TJX14" s="58"/>
      <c r="TJY14" s="58"/>
      <c r="TJZ14" s="58"/>
      <c r="TKA14" s="58"/>
      <c r="TKB14" s="58"/>
      <c r="TKC14" s="58"/>
      <c r="TKD14" s="58"/>
      <c r="TKE14" s="58"/>
      <c r="TKF14" s="58"/>
      <c r="TKG14" s="58"/>
      <c r="TKH14" s="58"/>
      <c r="TKI14" s="58"/>
      <c r="TKJ14" s="58"/>
      <c r="TKK14" s="58"/>
      <c r="TKL14" s="58"/>
      <c r="TKM14" s="58"/>
      <c r="TKN14" s="58"/>
      <c r="TKO14" s="58"/>
      <c r="TKP14" s="58"/>
      <c r="TKQ14" s="58"/>
      <c r="TKR14" s="58"/>
      <c r="TKS14" s="58"/>
      <c r="TKT14" s="58"/>
      <c r="TKU14" s="58"/>
      <c r="TKV14" s="58"/>
      <c r="TKW14" s="58"/>
      <c r="TKX14" s="58"/>
      <c r="TKY14" s="58"/>
      <c r="TKZ14" s="58"/>
      <c r="TLA14" s="58"/>
      <c r="TLB14" s="58"/>
      <c r="TLC14" s="58"/>
      <c r="TLD14" s="58"/>
      <c r="TLE14" s="58"/>
      <c r="TLF14" s="58"/>
      <c r="TLG14" s="58"/>
      <c r="TLH14" s="58"/>
      <c r="TLI14" s="58"/>
      <c r="TLJ14" s="58"/>
      <c r="TLK14" s="58"/>
      <c r="TLL14" s="58"/>
      <c r="TLM14" s="58"/>
      <c r="TLN14" s="58"/>
      <c r="TLO14" s="58"/>
      <c r="TLP14" s="58"/>
      <c r="TLQ14" s="58"/>
      <c r="TLR14" s="58"/>
      <c r="TLS14" s="58"/>
      <c r="TLT14" s="58"/>
      <c r="TLU14" s="58"/>
      <c r="TLV14" s="58"/>
      <c r="TLW14" s="58"/>
      <c r="TLX14" s="58"/>
      <c r="TLY14" s="58"/>
      <c r="TLZ14" s="58"/>
      <c r="TMA14" s="58"/>
      <c r="TMB14" s="58"/>
      <c r="TMC14" s="58"/>
      <c r="TMD14" s="58"/>
      <c r="TME14" s="58"/>
      <c r="TMF14" s="58"/>
      <c r="TMG14" s="58"/>
      <c r="TMH14" s="58"/>
      <c r="TMI14" s="58"/>
      <c r="TMJ14" s="58"/>
      <c r="TMK14" s="58"/>
      <c r="TML14" s="58"/>
      <c r="TMM14" s="58"/>
      <c r="TMN14" s="58"/>
      <c r="TMO14" s="58"/>
      <c r="TMP14" s="58"/>
      <c r="TMQ14" s="58"/>
      <c r="TMR14" s="58"/>
      <c r="TMS14" s="58"/>
      <c r="TMT14" s="58"/>
      <c r="TMU14" s="58"/>
      <c r="TMV14" s="58"/>
      <c r="TMW14" s="58"/>
      <c r="TMX14" s="58"/>
      <c r="TMY14" s="58"/>
      <c r="TMZ14" s="58"/>
      <c r="TNA14" s="58"/>
      <c r="TNB14" s="58"/>
      <c r="TNC14" s="58"/>
      <c r="TND14" s="58"/>
      <c r="TNE14" s="58"/>
      <c r="TNF14" s="58"/>
      <c r="TNG14" s="58"/>
      <c r="TNH14" s="58"/>
      <c r="TNI14" s="58"/>
      <c r="TNJ14" s="58"/>
      <c r="TNK14" s="58"/>
      <c r="TNL14" s="58"/>
      <c r="TNM14" s="58"/>
      <c r="TNN14" s="58"/>
      <c r="TNO14" s="58"/>
      <c r="TNP14" s="58"/>
      <c r="TNQ14" s="58"/>
      <c r="TNR14" s="58"/>
      <c r="TNS14" s="58"/>
      <c r="TNT14" s="58"/>
      <c r="TNU14" s="58"/>
      <c r="TNV14" s="58"/>
      <c r="TNW14" s="58"/>
      <c r="TNX14" s="58"/>
      <c r="TNY14" s="58"/>
      <c r="TNZ14" s="58"/>
      <c r="TOA14" s="58"/>
      <c r="TOB14" s="58"/>
      <c r="TOC14" s="58"/>
      <c r="TOD14" s="58"/>
      <c r="TOE14" s="58"/>
      <c r="TOF14" s="58"/>
      <c r="TOG14" s="58"/>
      <c r="TOH14" s="58"/>
      <c r="TOI14" s="58"/>
      <c r="TOJ14" s="58"/>
      <c r="TOK14" s="58"/>
      <c r="TOL14" s="58"/>
      <c r="TOM14" s="58"/>
      <c r="TON14" s="58"/>
      <c r="TOO14" s="58"/>
      <c r="TOP14" s="58"/>
      <c r="TOQ14" s="58"/>
      <c r="TOR14" s="58"/>
      <c r="TOS14" s="58"/>
      <c r="TOT14" s="58"/>
      <c r="TOU14" s="58"/>
      <c r="TOV14" s="58"/>
      <c r="TOW14" s="58"/>
      <c r="TOX14" s="58"/>
      <c r="TOY14" s="58"/>
      <c r="TOZ14" s="58"/>
      <c r="TPA14" s="58"/>
      <c r="TPB14" s="58"/>
      <c r="TPC14" s="58"/>
      <c r="TPD14" s="58"/>
      <c r="TPE14" s="58"/>
      <c r="TPF14" s="58"/>
      <c r="TPG14" s="58"/>
      <c r="TPH14" s="58"/>
      <c r="TPI14" s="58"/>
      <c r="TPJ14" s="58"/>
      <c r="TPK14" s="58"/>
      <c r="TPL14" s="58"/>
      <c r="TPM14" s="58"/>
      <c r="TPN14" s="58"/>
      <c r="TPO14" s="58"/>
      <c r="TPP14" s="58"/>
      <c r="TPQ14" s="58"/>
      <c r="TPR14" s="58"/>
      <c r="TPS14" s="58"/>
      <c r="TPT14" s="58"/>
      <c r="TPU14" s="58"/>
      <c r="TPV14" s="58"/>
      <c r="TPW14" s="58"/>
      <c r="TPX14" s="58"/>
      <c r="TPY14" s="58"/>
      <c r="TPZ14" s="58"/>
      <c r="TQA14" s="58"/>
      <c r="TQB14" s="58"/>
      <c r="TQC14" s="58"/>
      <c r="TQD14" s="58"/>
      <c r="TQE14" s="58"/>
      <c r="TQF14" s="58"/>
      <c r="TQG14" s="58"/>
      <c r="TQH14" s="58"/>
      <c r="TQI14" s="58"/>
      <c r="TQJ14" s="58"/>
      <c r="TQK14" s="58"/>
      <c r="TQL14" s="58"/>
      <c r="TQM14" s="58"/>
      <c r="TQN14" s="58"/>
      <c r="TQO14" s="58"/>
      <c r="TQP14" s="58"/>
      <c r="TQQ14" s="58"/>
      <c r="TQR14" s="58"/>
      <c r="TQS14" s="58"/>
      <c r="TQT14" s="58"/>
      <c r="TQU14" s="58"/>
      <c r="TQV14" s="58"/>
      <c r="TQW14" s="58"/>
      <c r="TQX14" s="58"/>
      <c r="TQY14" s="58"/>
      <c r="TQZ14" s="58"/>
      <c r="TRA14" s="58"/>
      <c r="TRB14" s="58"/>
      <c r="TRC14" s="58"/>
      <c r="TRD14" s="58"/>
      <c r="TRE14" s="58"/>
      <c r="TRF14" s="58"/>
      <c r="TRG14" s="58"/>
      <c r="TRH14" s="58"/>
      <c r="TRI14" s="58"/>
      <c r="TRJ14" s="58"/>
      <c r="TRK14" s="58"/>
      <c r="TRL14" s="58"/>
      <c r="TRM14" s="58"/>
      <c r="TRN14" s="58"/>
      <c r="TRO14" s="58"/>
      <c r="TRP14" s="58"/>
      <c r="TRQ14" s="58"/>
      <c r="TRR14" s="58"/>
      <c r="TRS14" s="58"/>
      <c r="TRT14" s="58"/>
      <c r="TRU14" s="58"/>
      <c r="TRV14" s="58"/>
      <c r="TRW14" s="58"/>
      <c r="TRX14" s="58"/>
      <c r="TRY14" s="58"/>
      <c r="TRZ14" s="58"/>
      <c r="TSA14" s="58"/>
      <c r="TSB14" s="58"/>
      <c r="TSC14" s="58"/>
      <c r="TSD14" s="58"/>
      <c r="TSE14" s="58"/>
      <c r="TSF14" s="58"/>
      <c r="TSG14" s="58"/>
      <c r="TSH14" s="58"/>
      <c r="TSI14" s="58"/>
      <c r="TSJ14" s="58"/>
      <c r="TSK14" s="58"/>
      <c r="TSL14" s="58"/>
      <c r="TSM14" s="58"/>
      <c r="TSN14" s="58"/>
      <c r="TSO14" s="58"/>
      <c r="TSP14" s="58"/>
      <c r="TSQ14" s="58"/>
      <c r="TSR14" s="58"/>
      <c r="TSS14" s="58"/>
      <c r="TST14" s="58"/>
      <c r="TSU14" s="58"/>
      <c r="TSV14" s="58"/>
      <c r="TSW14" s="58"/>
      <c r="TSX14" s="58"/>
      <c r="TSY14" s="58"/>
      <c r="TSZ14" s="58"/>
      <c r="TTA14" s="58"/>
      <c r="TTB14" s="58"/>
      <c r="TTC14" s="58"/>
      <c r="TTD14" s="58"/>
      <c r="TTE14" s="58"/>
      <c r="TTF14" s="58"/>
      <c r="TTG14" s="58"/>
      <c r="TTH14" s="58"/>
      <c r="TTI14" s="58"/>
      <c r="TTJ14" s="58"/>
      <c r="TTK14" s="58"/>
      <c r="TTL14" s="58"/>
      <c r="TTM14" s="58"/>
      <c r="TTN14" s="58"/>
      <c r="TTO14" s="58"/>
      <c r="TTP14" s="58"/>
      <c r="TTQ14" s="58"/>
      <c r="TTR14" s="58"/>
      <c r="TTS14" s="58"/>
      <c r="TTT14" s="58"/>
      <c r="TTU14" s="58"/>
      <c r="TTV14" s="58"/>
      <c r="TTW14" s="58"/>
      <c r="TTX14" s="58"/>
      <c r="TTY14" s="58"/>
      <c r="TTZ14" s="58"/>
      <c r="TUA14" s="58"/>
      <c r="TUB14" s="58"/>
      <c r="TUC14" s="58"/>
      <c r="TUD14" s="58"/>
      <c r="TUE14" s="58"/>
      <c r="TUF14" s="58"/>
      <c r="TUG14" s="58"/>
      <c r="TUH14" s="58"/>
      <c r="TUI14" s="58"/>
      <c r="TUJ14" s="58"/>
      <c r="TUK14" s="58"/>
      <c r="TUL14" s="58"/>
      <c r="TUM14" s="58"/>
      <c r="TUN14" s="58"/>
      <c r="TUO14" s="58"/>
      <c r="TUP14" s="58"/>
      <c r="TUQ14" s="58"/>
      <c r="TUR14" s="58"/>
      <c r="TUS14" s="58"/>
      <c r="TUT14" s="58"/>
      <c r="TUU14" s="58"/>
      <c r="TUV14" s="58"/>
      <c r="TUW14" s="58"/>
      <c r="TUX14" s="58"/>
      <c r="TUY14" s="58"/>
      <c r="TUZ14" s="58"/>
      <c r="TVA14" s="58"/>
      <c r="TVB14" s="58"/>
      <c r="TVC14" s="58"/>
      <c r="TVD14" s="58"/>
      <c r="TVE14" s="58"/>
      <c r="TVF14" s="58"/>
      <c r="TVG14" s="58"/>
      <c r="TVH14" s="58"/>
      <c r="TVI14" s="58"/>
      <c r="TVJ14" s="58"/>
      <c r="TVK14" s="58"/>
      <c r="TVL14" s="58"/>
      <c r="TVM14" s="58"/>
      <c r="TVN14" s="58"/>
      <c r="TVO14" s="58"/>
      <c r="TVP14" s="58"/>
      <c r="TVQ14" s="58"/>
      <c r="TVR14" s="58"/>
      <c r="TVS14" s="58"/>
      <c r="TVT14" s="58"/>
      <c r="TVU14" s="58"/>
      <c r="TVV14" s="58"/>
      <c r="TVW14" s="58"/>
      <c r="TVX14" s="58"/>
      <c r="TVY14" s="58"/>
      <c r="TVZ14" s="58"/>
      <c r="TWA14" s="58"/>
      <c r="TWB14" s="58"/>
      <c r="TWC14" s="58"/>
      <c r="TWD14" s="58"/>
      <c r="TWE14" s="58"/>
      <c r="TWF14" s="58"/>
      <c r="TWG14" s="58"/>
      <c r="TWH14" s="58"/>
      <c r="TWI14" s="58"/>
      <c r="TWJ14" s="58"/>
      <c r="TWK14" s="58"/>
      <c r="TWL14" s="58"/>
      <c r="TWM14" s="58"/>
      <c r="TWN14" s="58"/>
      <c r="TWO14" s="58"/>
      <c r="TWP14" s="58"/>
      <c r="TWQ14" s="58"/>
      <c r="TWR14" s="58"/>
      <c r="TWS14" s="58"/>
      <c r="TWT14" s="58"/>
      <c r="TWU14" s="58"/>
      <c r="TWV14" s="58"/>
      <c r="TWW14" s="58"/>
      <c r="TWX14" s="58"/>
      <c r="TWY14" s="58"/>
      <c r="TWZ14" s="58"/>
      <c r="TXA14" s="58"/>
      <c r="TXB14" s="58"/>
      <c r="TXC14" s="58"/>
      <c r="TXD14" s="58"/>
      <c r="TXE14" s="58"/>
      <c r="TXF14" s="58"/>
      <c r="TXG14" s="58"/>
      <c r="TXH14" s="58"/>
      <c r="TXI14" s="58"/>
      <c r="TXJ14" s="58"/>
      <c r="TXK14" s="58"/>
      <c r="TXL14" s="58"/>
      <c r="TXM14" s="58"/>
      <c r="TXN14" s="58"/>
      <c r="TXO14" s="58"/>
      <c r="TXP14" s="58"/>
      <c r="TXQ14" s="58"/>
      <c r="TXR14" s="58"/>
      <c r="TXS14" s="58"/>
      <c r="TXT14" s="58"/>
      <c r="TXU14" s="58"/>
      <c r="TXV14" s="58"/>
      <c r="TXW14" s="58"/>
      <c r="TXX14" s="58"/>
      <c r="TXY14" s="58"/>
      <c r="TXZ14" s="58"/>
      <c r="TYA14" s="58"/>
      <c r="TYB14" s="58"/>
      <c r="TYC14" s="58"/>
      <c r="TYD14" s="58"/>
      <c r="TYE14" s="58"/>
      <c r="TYF14" s="58"/>
      <c r="TYG14" s="58"/>
      <c r="TYH14" s="58"/>
      <c r="TYI14" s="58"/>
      <c r="TYJ14" s="58"/>
      <c r="TYK14" s="58"/>
      <c r="TYL14" s="58"/>
      <c r="TYM14" s="58"/>
      <c r="TYN14" s="58"/>
      <c r="TYO14" s="58"/>
      <c r="TYP14" s="58"/>
      <c r="TYQ14" s="58"/>
      <c r="TYR14" s="58"/>
      <c r="TYS14" s="58"/>
      <c r="TYT14" s="58"/>
      <c r="TYU14" s="58"/>
      <c r="TYV14" s="58"/>
      <c r="TYW14" s="58"/>
      <c r="TYX14" s="58"/>
      <c r="TYY14" s="58"/>
      <c r="TYZ14" s="58"/>
      <c r="TZA14" s="58"/>
      <c r="TZB14" s="58"/>
      <c r="TZC14" s="58"/>
      <c r="TZD14" s="58"/>
      <c r="TZE14" s="58"/>
      <c r="TZF14" s="58"/>
      <c r="TZG14" s="58"/>
      <c r="TZH14" s="58"/>
      <c r="TZI14" s="58"/>
      <c r="TZJ14" s="58"/>
      <c r="TZK14" s="58"/>
      <c r="TZL14" s="58"/>
      <c r="TZM14" s="58"/>
      <c r="TZN14" s="58"/>
      <c r="TZO14" s="58"/>
      <c r="TZP14" s="58"/>
      <c r="TZQ14" s="58"/>
      <c r="TZR14" s="58"/>
      <c r="TZS14" s="58"/>
      <c r="TZT14" s="58"/>
      <c r="TZU14" s="58"/>
      <c r="TZV14" s="58"/>
      <c r="TZW14" s="58"/>
      <c r="TZX14" s="58"/>
      <c r="TZY14" s="58"/>
      <c r="TZZ14" s="58"/>
      <c r="UAA14" s="58"/>
      <c r="UAB14" s="58"/>
      <c r="UAC14" s="58"/>
      <c r="UAD14" s="58"/>
      <c r="UAE14" s="58"/>
      <c r="UAF14" s="58"/>
      <c r="UAG14" s="58"/>
      <c r="UAH14" s="58"/>
      <c r="UAI14" s="58"/>
      <c r="UAJ14" s="58"/>
      <c r="UAK14" s="58"/>
      <c r="UAL14" s="58"/>
      <c r="UAM14" s="58"/>
      <c r="UAN14" s="58"/>
      <c r="UAO14" s="58"/>
      <c r="UAP14" s="58"/>
      <c r="UAQ14" s="58"/>
      <c r="UAR14" s="58"/>
      <c r="UAS14" s="58"/>
      <c r="UAT14" s="58"/>
      <c r="UAU14" s="58"/>
      <c r="UAV14" s="58"/>
      <c r="UAW14" s="58"/>
      <c r="UAX14" s="58"/>
      <c r="UAY14" s="58"/>
      <c r="UAZ14" s="58"/>
      <c r="UBA14" s="58"/>
      <c r="UBB14" s="58"/>
      <c r="UBC14" s="58"/>
      <c r="UBD14" s="58"/>
      <c r="UBE14" s="58"/>
      <c r="UBF14" s="58"/>
      <c r="UBG14" s="58"/>
      <c r="UBH14" s="58"/>
      <c r="UBI14" s="58"/>
      <c r="UBJ14" s="58"/>
      <c r="UBK14" s="58"/>
      <c r="UBL14" s="58"/>
      <c r="UBM14" s="58"/>
      <c r="UBN14" s="58"/>
      <c r="UBO14" s="58"/>
      <c r="UBP14" s="58"/>
      <c r="UBQ14" s="58"/>
      <c r="UBR14" s="58"/>
      <c r="UBS14" s="58"/>
      <c r="UBT14" s="58"/>
      <c r="UBU14" s="58"/>
      <c r="UBV14" s="58"/>
      <c r="UBW14" s="58"/>
      <c r="UBX14" s="58"/>
      <c r="UBY14" s="58"/>
      <c r="UBZ14" s="58"/>
      <c r="UCA14" s="58"/>
      <c r="UCB14" s="58"/>
      <c r="UCC14" s="58"/>
      <c r="UCD14" s="58"/>
      <c r="UCE14" s="58"/>
      <c r="UCF14" s="58"/>
      <c r="UCG14" s="58"/>
      <c r="UCH14" s="58"/>
      <c r="UCI14" s="58"/>
      <c r="UCJ14" s="58"/>
      <c r="UCK14" s="58"/>
      <c r="UCL14" s="58"/>
      <c r="UCM14" s="58"/>
      <c r="UCN14" s="58"/>
      <c r="UCO14" s="58"/>
      <c r="UCP14" s="58"/>
      <c r="UCQ14" s="58"/>
      <c r="UCR14" s="58"/>
      <c r="UCS14" s="58"/>
      <c r="UCT14" s="58"/>
      <c r="UCU14" s="58"/>
      <c r="UCV14" s="58"/>
      <c r="UCW14" s="58"/>
      <c r="UCX14" s="58"/>
      <c r="UCY14" s="58"/>
      <c r="UCZ14" s="58"/>
      <c r="UDA14" s="58"/>
      <c r="UDB14" s="58"/>
      <c r="UDC14" s="58"/>
      <c r="UDD14" s="58"/>
      <c r="UDE14" s="58"/>
      <c r="UDF14" s="58"/>
      <c r="UDG14" s="58"/>
      <c r="UDH14" s="58"/>
      <c r="UDI14" s="58"/>
      <c r="UDJ14" s="58"/>
      <c r="UDK14" s="58"/>
      <c r="UDL14" s="58"/>
      <c r="UDM14" s="58"/>
      <c r="UDN14" s="58"/>
      <c r="UDO14" s="58"/>
      <c r="UDP14" s="58"/>
      <c r="UDQ14" s="58"/>
      <c r="UDR14" s="58"/>
      <c r="UDS14" s="58"/>
      <c r="UDT14" s="58"/>
      <c r="UDU14" s="58"/>
      <c r="UDV14" s="58"/>
      <c r="UDW14" s="58"/>
      <c r="UDX14" s="58"/>
      <c r="UDY14" s="58"/>
      <c r="UDZ14" s="58"/>
      <c r="UEA14" s="58"/>
      <c r="UEB14" s="58"/>
      <c r="UEC14" s="58"/>
      <c r="UED14" s="58"/>
      <c r="UEE14" s="58"/>
      <c r="UEF14" s="58"/>
      <c r="UEG14" s="58"/>
      <c r="UEH14" s="58"/>
      <c r="UEI14" s="58"/>
      <c r="UEJ14" s="58"/>
      <c r="UEK14" s="58"/>
      <c r="UEL14" s="58"/>
      <c r="UEM14" s="58"/>
      <c r="UEN14" s="58"/>
      <c r="UEO14" s="58"/>
      <c r="UEP14" s="58"/>
      <c r="UEQ14" s="58"/>
      <c r="UER14" s="58"/>
      <c r="UES14" s="58"/>
      <c r="UET14" s="58"/>
      <c r="UEU14" s="58"/>
      <c r="UEV14" s="58"/>
      <c r="UEW14" s="58"/>
      <c r="UEX14" s="58"/>
      <c r="UEY14" s="58"/>
      <c r="UEZ14" s="58"/>
      <c r="UFA14" s="58"/>
      <c r="UFB14" s="58"/>
      <c r="UFC14" s="58"/>
      <c r="UFD14" s="58"/>
      <c r="UFE14" s="58"/>
      <c r="UFF14" s="58"/>
      <c r="UFG14" s="58"/>
      <c r="UFH14" s="58"/>
      <c r="UFI14" s="58"/>
      <c r="UFJ14" s="58"/>
      <c r="UFK14" s="58"/>
      <c r="UFL14" s="58"/>
      <c r="UFM14" s="58"/>
      <c r="UFN14" s="58"/>
      <c r="UFO14" s="58"/>
      <c r="UFP14" s="58"/>
      <c r="UFQ14" s="58"/>
      <c r="UFR14" s="58"/>
      <c r="UFS14" s="58"/>
      <c r="UFT14" s="58"/>
      <c r="UFU14" s="58"/>
      <c r="UFV14" s="58"/>
      <c r="UFW14" s="58"/>
      <c r="UFX14" s="58"/>
      <c r="UFY14" s="58"/>
      <c r="UFZ14" s="58"/>
      <c r="UGA14" s="58"/>
      <c r="UGB14" s="58"/>
      <c r="UGC14" s="58"/>
      <c r="UGD14" s="58"/>
      <c r="UGE14" s="58"/>
      <c r="UGF14" s="58"/>
      <c r="UGG14" s="58"/>
      <c r="UGH14" s="58"/>
      <c r="UGI14" s="58"/>
      <c r="UGJ14" s="58"/>
      <c r="UGK14" s="58"/>
      <c r="UGL14" s="58"/>
      <c r="UGM14" s="58"/>
      <c r="UGN14" s="58"/>
      <c r="UGO14" s="58"/>
      <c r="UGP14" s="58"/>
      <c r="UGQ14" s="58"/>
      <c r="UGR14" s="58"/>
      <c r="UGS14" s="58"/>
      <c r="UGT14" s="58"/>
      <c r="UGU14" s="58"/>
      <c r="UGV14" s="58"/>
      <c r="UGW14" s="58"/>
      <c r="UGX14" s="58"/>
      <c r="UGY14" s="58"/>
      <c r="UGZ14" s="58"/>
      <c r="UHA14" s="58"/>
      <c r="UHB14" s="58"/>
      <c r="UHC14" s="58"/>
      <c r="UHD14" s="58"/>
      <c r="UHE14" s="58"/>
      <c r="UHF14" s="58"/>
      <c r="UHG14" s="58"/>
      <c r="UHH14" s="58"/>
      <c r="UHI14" s="58"/>
      <c r="UHJ14" s="58"/>
      <c r="UHK14" s="58"/>
      <c r="UHL14" s="58"/>
      <c r="UHM14" s="58"/>
      <c r="UHN14" s="58"/>
      <c r="UHO14" s="58"/>
      <c r="UHP14" s="58"/>
      <c r="UHQ14" s="58"/>
      <c r="UHR14" s="58"/>
      <c r="UHS14" s="58"/>
      <c r="UHT14" s="58"/>
      <c r="UHU14" s="58"/>
      <c r="UHV14" s="58"/>
      <c r="UHW14" s="58"/>
      <c r="UHX14" s="58"/>
      <c r="UHY14" s="58"/>
      <c r="UHZ14" s="58"/>
      <c r="UIA14" s="58"/>
      <c r="UIB14" s="58"/>
      <c r="UIC14" s="58"/>
      <c r="UID14" s="58"/>
      <c r="UIE14" s="58"/>
      <c r="UIF14" s="58"/>
      <c r="UIG14" s="58"/>
      <c r="UIH14" s="58"/>
      <c r="UII14" s="58"/>
      <c r="UIJ14" s="58"/>
      <c r="UIK14" s="58"/>
      <c r="UIL14" s="58"/>
      <c r="UIM14" s="58"/>
      <c r="UIN14" s="58"/>
      <c r="UIO14" s="58"/>
      <c r="UIP14" s="58"/>
      <c r="UIQ14" s="58"/>
      <c r="UIR14" s="58"/>
      <c r="UIS14" s="58"/>
      <c r="UIT14" s="58"/>
      <c r="UIU14" s="58"/>
      <c r="UIV14" s="58"/>
      <c r="UIW14" s="58"/>
      <c r="UIX14" s="58"/>
      <c r="UIY14" s="58"/>
      <c r="UIZ14" s="58"/>
      <c r="UJA14" s="58"/>
      <c r="UJB14" s="58"/>
      <c r="UJC14" s="58"/>
      <c r="UJD14" s="58"/>
      <c r="UJE14" s="58"/>
      <c r="UJF14" s="58"/>
      <c r="UJG14" s="58"/>
      <c r="UJH14" s="58"/>
      <c r="UJI14" s="58"/>
      <c r="UJJ14" s="58"/>
      <c r="UJK14" s="58"/>
      <c r="UJL14" s="58"/>
      <c r="UJM14" s="58"/>
      <c r="UJN14" s="58"/>
      <c r="UJO14" s="58"/>
      <c r="UJP14" s="58"/>
      <c r="UJQ14" s="58"/>
      <c r="UJR14" s="58"/>
      <c r="UJS14" s="58"/>
      <c r="UJT14" s="58"/>
      <c r="UJU14" s="58"/>
      <c r="UJV14" s="58"/>
      <c r="UJW14" s="58"/>
      <c r="UJX14" s="58"/>
      <c r="UJY14" s="58"/>
      <c r="UJZ14" s="58"/>
      <c r="UKA14" s="58"/>
      <c r="UKB14" s="58"/>
      <c r="UKC14" s="58"/>
      <c r="UKD14" s="58"/>
      <c r="UKE14" s="58"/>
      <c r="UKF14" s="58"/>
      <c r="UKG14" s="58"/>
      <c r="UKH14" s="58"/>
      <c r="UKI14" s="58"/>
      <c r="UKJ14" s="58"/>
      <c r="UKK14" s="58"/>
      <c r="UKL14" s="58"/>
      <c r="UKM14" s="58"/>
      <c r="UKN14" s="58"/>
      <c r="UKO14" s="58"/>
      <c r="UKP14" s="58"/>
      <c r="UKQ14" s="58"/>
      <c r="UKR14" s="58"/>
      <c r="UKS14" s="58"/>
      <c r="UKT14" s="58"/>
      <c r="UKU14" s="58"/>
      <c r="UKV14" s="58"/>
      <c r="UKW14" s="58"/>
      <c r="UKX14" s="58"/>
      <c r="UKY14" s="58"/>
      <c r="UKZ14" s="58"/>
      <c r="ULA14" s="58"/>
      <c r="ULB14" s="58"/>
      <c r="ULC14" s="58"/>
      <c r="ULD14" s="58"/>
      <c r="ULE14" s="58"/>
      <c r="ULF14" s="58"/>
      <c r="ULG14" s="58"/>
      <c r="ULH14" s="58"/>
      <c r="ULI14" s="58"/>
      <c r="ULJ14" s="58"/>
      <c r="ULK14" s="58"/>
      <c r="ULL14" s="58"/>
      <c r="ULM14" s="58"/>
      <c r="ULN14" s="58"/>
      <c r="ULO14" s="58"/>
      <c r="ULP14" s="58"/>
      <c r="ULQ14" s="58"/>
      <c r="ULR14" s="58"/>
      <c r="ULS14" s="58"/>
      <c r="ULT14" s="58"/>
      <c r="ULU14" s="58"/>
      <c r="ULV14" s="58"/>
      <c r="ULW14" s="58"/>
      <c r="ULX14" s="58"/>
      <c r="ULY14" s="58"/>
      <c r="ULZ14" s="58"/>
      <c r="UMA14" s="58"/>
      <c r="UMB14" s="58"/>
      <c r="UMC14" s="58"/>
      <c r="UMD14" s="58"/>
      <c r="UME14" s="58"/>
      <c r="UMF14" s="58"/>
      <c r="UMG14" s="58"/>
      <c r="UMH14" s="58"/>
      <c r="UMI14" s="58"/>
      <c r="UMJ14" s="58"/>
      <c r="UMK14" s="58"/>
      <c r="UML14" s="58"/>
      <c r="UMM14" s="58"/>
      <c r="UMN14" s="58"/>
      <c r="UMO14" s="58"/>
      <c r="UMP14" s="58"/>
      <c r="UMQ14" s="58"/>
      <c r="UMR14" s="58"/>
      <c r="UMS14" s="58"/>
      <c r="UMT14" s="58"/>
      <c r="UMU14" s="58"/>
      <c r="UMV14" s="58"/>
      <c r="UMW14" s="58"/>
      <c r="UMX14" s="58"/>
      <c r="UMY14" s="58"/>
      <c r="UMZ14" s="58"/>
      <c r="UNA14" s="58"/>
      <c r="UNB14" s="58"/>
      <c r="UNC14" s="58"/>
      <c r="UND14" s="58"/>
      <c r="UNE14" s="58"/>
      <c r="UNF14" s="58"/>
      <c r="UNG14" s="58"/>
      <c r="UNH14" s="58"/>
      <c r="UNI14" s="58"/>
      <c r="UNJ14" s="58"/>
      <c r="UNK14" s="58"/>
      <c r="UNL14" s="58"/>
      <c r="UNM14" s="58"/>
      <c r="UNN14" s="58"/>
      <c r="UNO14" s="58"/>
      <c r="UNP14" s="58"/>
      <c r="UNQ14" s="58"/>
      <c r="UNR14" s="58"/>
      <c r="UNS14" s="58"/>
      <c r="UNT14" s="58"/>
      <c r="UNU14" s="58"/>
      <c r="UNV14" s="58"/>
      <c r="UNW14" s="58"/>
      <c r="UNX14" s="58"/>
      <c r="UNY14" s="58"/>
      <c r="UNZ14" s="58"/>
      <c r="UOA14" s="58"/>
      <c r="UOB14" s="58"/>
      <c r="UOC14" s="58"/>
      <c r="UOD14" s="58"/>
      <c r="UOE14" s="58"/>
      <c r="UOF14" s="58"/>
      <c r="UOG14" s="58"/>
      <c r="UOH14" s="58"/>
      <c r="UOI14" s="58"/>
      <c r="UOJ14" s="58"/>
      <c r="UOK14" s="58"/>
      <c r="UOL14" s="58"/>
      <c r="UOM14" s="58"/>
      <c r="UON14" s="58"/>
      <c r="UOO14" s="58"/>
      <c r="UOP14" s="58"/>
      <c r="UOQ14" s="58"/>
      <c r="UOR14" s="58"/>
      <c r="UOS14" s="58"/>
      <c r="UOT14" s="58"/>
      <c r="UOU14" s="58"/>
      <c r="UOV14" s="58"/>
      <c r="UOW14" s="58"/>
      <c r="UOX14" s="58"/>
      <c r="UOY14" s="58"/>
      <c r="UOZ14" s="58"/>
      <c r="UPA14" s="58"/>
      <c r="UPB14" s="58"/>
      <c r="UPC14" s="58"/>
      <c r="UPD14" s="58"/>
      <c r="UPE14" s="58"/>
      <c r="UPF14" s="58"/>
      <c r="UPG14" s="58"/>
      <c r="UPH14" s="58"/>
      <c r="UPI14" s="58"/>
      <c r="UPJ14" s="58"/>
      <c r="UPK14" s="58"/>
      <c r="UPL14" s="58"/>
      <c r="UPM14" s="58"/>
      <c r="UPN14" s="58"/>
      <c r="UPO14" s="58"/>
      <c r="UPP14" s="58"/>
      <c r="UPQ14" s="58"/>
      <c r="UPR14" s="58"/>
      <c r="UPS14" s="58"/>
      <c r="UPT14" s="58"/>
      <c r="UPU14" s="58"/>
      <c r="UPV14" s="58"/>
      <c r="UPW14" s="58"/>
      <c r="UPX14" s="58"/>
      <c r="UPY14" s="58"/>
      <c r="UPZ14" s="58"/>
      <c r="UQA14" s="58"/>
      <c r="UQB14" s="58"/>
      <c r="UQC14" s="58"/>
      <c r="UQD14" s="58"/>
      <c r="UQE14" s="58"/>
      <c r="UQF14" s="58"/>
      <c r="UQG14" s="58"/>
      <c r="UQH14" s="58"/>
      <c r="UQI14" s="58"/>
      <c r="UQJ14" s="58"/>
      <c r="UQK14" s="58"/>
      <c r="UQL14" s="58"/>
      <c r="UQM14" s="58"/>
      <c r="UQN14" s="58"/>
      <c r="UQO14" s="58"/>
      <c r="UQP14" s="58"/>
      <c r="UQQ14" s="58"/>
      <c r="UQR14" s="58"/>
      <c r="UQS14" s="58"/>
      <c r="UQT14" s="58"/>
      <c r="UQU14" s="58"/>
      <c r="UQV14" s="58"/>
      <c r="UQW14" s="58"/>
      <c r="UQX14" s="58"/>
      <c r="UQY14" s="58"/>
      <c r="UQZ14" s="58"/>
      <c r="URA14" s="58"/>
      <c r="URB14" s="58"/>
      <c r="URC14" s="58"/>
      <c r="URD14" s="58"/>
      <c r="URE14" s="58"/>
      <c r="URF14" s="58"/>
      <c r="URG14" s="58"/>
      <c r="URH14" s="58"/>
      <c r="URI14" s="58"/>
      <c r="URJ14" s="58"/>
      <c r="URK14" s="58"/>
      <c r="URL14" s="58"/>
      <c r="URM14" s="58"/>
      <c r="URN14" s="58"/>
      <c r="URO14" s="58"/>
      <c r="URP14" s="58"/>
      <c r="URQ14" s="58"/>
      <c r="URR14" s="58"/>
      <c r="URS14" s="58"/>
      <c r="URT14" s="58"/>
      <c r="URU14" s="58"/>
      <c r="URV14" s="58"/>
      <c r="URW14" s="58"/>
      <c r="URX14" s="58"/>
      <c r="URY14" s="58"/>
      <c r="URZ14" s="58"/>
      <c r="USA14" s="58"/>
      <c r="USB14" s="58"/>
      <c r="USC14" s="58"/>
      <c r="USD14" s="58"/>
      <c r="USE14" s="58"/>
      <c r="USF14" s="58"/>
      <c r="USG14" s="58"/>
      <c r="USH14" s="58"/>
      <c r="USI14" s="58"/>
      <c r="USJ14" s="58"/>
      <c r="USK14" s="58"/>
      <c r="USL14" s="58"/>
      <c r="USM14" s="58"/>
      <c r="USN14" s="58"/>
      <c r="USO14" s="58"/>
      <c r="USP14" s="58"/>
      <c r="USQ14" s="58"/>
      <c r="USR14" s="58"/>
      <c r="USS14" s="58"/>
      <c r="UST14" s="58"/>
      <c r="USU14" s="58"/>
      <c r="USV14" s="58"/>
      <c r="USW14" s="58"/>
      <c r="USX14" s="58"/>
      <c r="USY14" s="58"/>
      <c r="USZ14" s="58"/>
      <c r="UTA14" s="58"/>
      <c r="UTB14" s="58"/>
      <c r="UTC14" s="58"/>
      <c r="UTD14" s="58"/>
      <c r="UTE14" s="58"/>
      <c r="UTF14" s="58"/>
      <c r="UTG14" s="58"/>
      <c r="UTH14" s="58"/>
      <c r="UTI14" s="58"/>
      <c r="UTJ14" s="58"/>
      <c r="UTK14" s="58"/>
      <c r="UTL14" s="58"/>
      <c r="UTM14" s="58"/>
      <c r="UTN14" s="58"/>
      <c r="UTO14" s="58"/>
      <c r="UTP14" s="58"/>
      <c r="UTQ14" s="58"/>
      <c r="UTR14" s="58"/>
      <c r="UTS14" s="58"/>
      <c r="UTT14" s="58"/>
      <c r="UTU14" s="58"/>
      <c r="UTV14" s="58"/>
      <c r="UTW14" s="58"/>
      <c r="UTX14" s="58"/>
      <c r="UTY14" s="58"/>
      <c r="UTZ14" s="58"/>
      <c r="UUA14" s="58"/>
      <c r="UUB14" s="58"/>
      <c r="UUC14" s="58"/>
      <c r="UUD14" s="58"/>
      <c r="UUE14" s="58"/>
      <c r="UUF14" s="58"/>
      <c r="UUG14" s="58"/>
      <c r="UUH14" s="58"/>
      <c r="UUI14" s="58"/>
      <c r="UUJ14" s="58"/>
      <c r="UUK14" s="58"/>
      <c r="UUL14" s="58"/>
      <c r="UUM14" s="58"/>
      <c r="UUN14" s="58"/>
      <c r="UUO14" s="58"/>
      <c r="UUP14" s="58"/>
      <c r="UUQ14" s="58"/>
      <c r="UUR14" s="58"/>
      <c r="UUS14" s="58"/>
      <c r="UUT14" s="58"/>
      <c r="UUU14" s="58"/>
      <c r="UUV14" s="58"/>
      <c r="UUW14" s="58"/>
      <c r="UUX14" s="58"/>
      <c r="UUY14" s="58"/>
      <c r="UUZ14" s="58"/>
      <c r="UVA14" s="58"/>
      <c r="UVB14" s="58"/>
      <c r="UVC14" s="58"/>
      <c r="UVD14" s="58"/>
      <c r="UVE14" s="58"/>
      <c r="UVF14" s="58"/>
      <c r="UVG14" s="58"/>
      <c r="UVH14" s="58"/>
      <c r="UVI14" s="58"/>
      <c r="UVJ14" s="58"/>
      <c r="UVK14" s="58"/>
      <c r="UVL14" s="58"/>
      <c r="UVM14" s="58"/>
      <c r="UVN14" s="58"/>
      <c r="UVO14" s="58"/>
      <c r="UVP14" s="58"/>
      <c r="UVQ14" s="58"/>
      <c r="UVR14" s="58"/>
      <c r="UVS14" s="58"/>
      <c r="UVT14" s="58"/>
      <c r="UVU14" s="58"/>
      <c r="UVV14" s="58"/>
      <c r="UVW14" s="58"/>
      <c r="UVX14" s="58"/>
      <c r="UVY14" s="58"/>
      <c r="UVZ14" s="58"/>
      <c r="UWA14" s="58"/>
      <c r="UWB14" s="58"/>
      <c r="UWC14" s="58"/>
      <c r="UWD14" s="58"/>
      <c r="UWE14" s="58"/>
      <c r="UWF14" s="58"/>
      <c r="UWG14" s="58"/>
      <c r="UWH14" s="58"/>
      <c r="UWI14" s="58"/>
      <c r="UWJ14" s="58"/>
      <c r="UWK14" s="58"/>
      <c r="UWL14" s="58"/>
      <c r="UWM14" s="58"/>
      <c r="UWN14" s="58"/>
      <c r="UWO14" s="58"/>
      <c r="UWP14" s="58"/>
      <c r="UWQ14" s="58"/>
      <c r="UWR14" s="58"/>
      <c r="UWS14" s="58"/>
      <c r="UWT14" s="58"/>
      <c r="UWU14" s="58"/>
      <c r="UWV14" s="58"/>
      <c r="UWW14" s="58"/>
      <c r="UWX14" s="58"/>
      <c r="UWY14" s="58"/>
      <c r="UWZ14" s="58"/>
      <c r="UXA14" s="58"/>
      <c r="UXB14" s="58"/>
      <c r="UXC14" s="58"/>
      <c r="UXD14" s="58"/>
      <c r="UXE14" s="58"/>
      <c r="UXF14" s="58"/>
      <c r="UXG14" s="58"/>
      <c r="UXH14" s="58"/>
      <c r="UXI14" s="58"/>
      <c r="UXJ14" s="58"/>
      <c r="UXK14" s="58"/>
      <c r="UXL14" s="58"/>
      <c r="UXM14" s="58"/>
      <c r="UXN14" s="58"/>
      <c r="UXO14" s="58"/>
      <c r="UXP14" s="58"/>
      <c r="UXQ14" s="58"/>
      <c r="UXR14" s="58"/>
      <c r="UXS14" s="58"/>
      <c r="UXT14" s="58"/>
      <c r="UXU14" s="58"/>
      <c r="UXV14" s="58"/>
      <c r="UXW14" s="58"/>
      <c r="UXX14" s="58"/>
      <c r="UXY14" s="58"/>
      <c r="UXZ14" s="58"/>
      <c r="UYA14" s="58"/>
      <c r="UYB14" s="58"/>
      <c r="UYC14" s="58"/>
      <c r="UYD14" s="58"/>
      <c r="UYE14" s="58"/>
      <c r="UYF14" s="58"/>
      <c r="UYG14" s="58"/>
      <c r="UYH14" s="58"/>
      <c r="UYI14" s="58"/>
      <c r="UYJ14" s="58"/>
      <c r="UYK14" s="58"/>
      <c r="UYL14" s="58"/>
      <c r="UYM14" s="58"/>
      <c r="UYN14" s="58"/>
      <c r="UYO14" s="58"/>
      <c r="UYP14" s="58"/>
      <c r="UYQ14" s="58"/>
      <c r="UYR14" s="58"/>
      <c r="UYS14" s="58"/>
      <c r="UYT14" s="58"/>
      <c r="UYU14" s="58"/>
      <c r="UYV14" s="58"/>
      <c r="UYW14" s="58"/>
      <c r="UYX14" s="58"/>
      <c r="UYY14" s="58"/>
      <c r="UYZ14" s="58"/>
      <c r="UZA14" s="58"/>
      <c r="UZB14" s="58"/>
      <c r="UZC14" s="58"/>
      <c r="UZD14" s="58"/>
      <c r="UZE14" s="58"/>
      <c r="UZF14" s="58"/>
      <c r="UZG14" s="58"/>
      <c r="UZH14" s="58"/>
      <c r="UZI14" s="58"/>
      <c r="UZJ14" s="58"/>
      <c r="UZK14" s="58"/>
      <c r="UZL14" s="58"/>
      <c r="UZM14" s="58"/>
      <c r="UZN14" s="58"/>
      <c r="UZO14" s="58"/>
      <c r="UZP14" s="58"/>
      <c r="UZQ14" s="58"/>
      <c r="UZR14" s="58"/>
      <c r="UZS14" s="58"/>
      <c r="UZT14" s="58"/>
      <c r="UZU14" s="58"/>
      <c r="UZV14" s="58"/>
      <c r="UZW14" s="58"/>
      <c r="UZX14" s="58"/>
      <c r="UZY14" s="58"/>
      <c r="UZZ14" s="58"/>
      <c r="VAA14" s="58"/>
      <c r="VAB14" s="58"/>
      <c r="VAC14" s="58"/>
      <c r="VAD14" s="58"/>
      <c r="VAE14" s="58"/>
      <c r="VAF14" s="58"/>
      <c r="VAG14" s="58"/>
      <c r="VAH14" s="58"/>
      <c r="VAI14" s="58"/>
      <c r="VAJ14" s="58"/>
      <c r="VAK14" s="58"/>
      <c r="VAL14" s="58"/>
      <c r="VAM14" s="58"/>
      <c r="VAN14" s="58"/>
      <c r="VAO14" s="58"/>
      <c r="VAP14" s="58"/>
      <c r="VAQ14" s="58"/>
      <c r="VAR14" s="58"/>
      <c r="VAS14" s="58"/>
      <c r="VAT14" s="58"/>
      <c r="VAU14" s="58"/>
      <c r="VAV14" s="58"/>
      <c r="VAW14" s="58"/>
      <c r="VAX14" s="58"/>
      <c r="VAY14" s="58"/>
      <c r="VAZ14" s="58"/>
      <c r="VBA14" s="58"/>
      <c r="VBB14" s="58"/>
      <c r="VBC14" s="58"/>
      <c r="VBD14" s="58"/>
      <c r="VBE14" s="58"/>
      <c r="VBF14" s="58"/>
      <c r="VBG14" s="58"/>
      <c r="VBH14" s="58"/>
      <c r="VBI14" s="58"/>
      <c r="VBJ14" s="58"/>
      <c r="VBK14" s="58"/>
      <c r="VBL14" s="58"/>
      <c r="VBM14" s="58"/>
      <c r="VBN14" s="58"/>
      <c r="VBO14" s="58"/>
      <c r="VBP14" s="58"/>
      <c r="VBQ14" s="58"/>
      <c r="VBR14" s="58"/>
      <c r="VBS14" s="58"/>
      <c r="VBT14" s="58"/>
      <c r="VBU14" s="58"/>
      <c r="VBV14" s="58"/>
      <c r="VBW14" s="58"/>
      <c r="VBX14" s="58"/>
      <c r="VBY14" s="58"/>
      <c r="VBZ14" s="58"/>
      <c r="VCA14" s="58"/>
      <c r="VCB14" s="58"/>
      <c r="VCC14" s="58"/>
      <c r="VCD14" s="58"/>
      <c r="VCE14" s="58"/>
      <c r="VCF14" s="58"/>
      <c r="VCG14" s="58"/>
      <c r="VCH14" s="58"/>
      <c r="VCI14" s="58"/>
      <c r="VCJ14" s="58"/>
      <c r="VCK14" s="58"/>
      <c r="VCL14" s="58"/>
      <c r="VCM14" s="58"/>
      <c r="VCN14" s="58"/>
      <c r="VCO14" s="58"/>
      <c r="VCP14" s="58"/>
      <c r="VCQ14" s="58"/>
      <c r="VCR14" s="58"/>
      <c r="VCS14" s="58"/>
      <c r="VCT14" s="58"/>
      <c r="VCU14" s="58"/>
      <c r="VCV14" s="58"/>
      <c r="VCW14" s="58"/>
      <c r="VCX14" s="58"/>
      <c r="VCY14" s="58"/>
      <c r="VCZ14" s="58"/>
      <c r="VDA14" s="58"/>
      <c r="VDB14" s="58"/>
      <c r="VDC14" s="58"/>
      <c r="VDD14" s="58"/>
      <c r="VDE14" s="58"/>
      <c r="VDF14" s="58"/>
      <c r="VDG14" s="58"/>
      <c r="VDH14" s="58"/>
      <c r="VDI14" s="58"/>
      <c r="VDJ14" s="58"/>
      <c r="VDK14" s="58"/>
      <c r="VDL14" s="58"/>
      <c r="VDM14" s="58"/>
      <c r="VDN14" s="58"/>
      <c r="VDO14" s="58"/>
      <c r="VDP14" s="58"/>
      <c r="VDQ14" s="58"/>
      <c r="VDR14" s="58"/>
      <c r="VDS14" s="58"/>
      <c r="VDT14" s="58"/>
      <c r="VDU14" s="58"/>
      <c r="VDV14" s="58"/>
      <c r="VDW14" s="58"/>
      <c r="VDX14" s="58"/>
      <c r="VDY14" s="58"/>
      <c r="VDZ14" s="58"/>
      <c r="VEA14" s="58"/>
      <c r="VEB14" s="58"/>
      <c r="VEC14" s="58"/>
      <c r="VED14" s="58"/>
      <c r="VEE14" s="58"/>
      <c r="VEF14" s="58"/>
      <c r="VEG14" s="58"/>
      <c r="VEH14" s="58"/>
      <c r="VEI14" s="58"/>
      <c r="VEJ14" s="58"/>
      <c r="VEK14" s="58"/>
      <c r="VEL14" s="58"/>
      <c r="VEM14" s="58"/>
      <c r="VEN14" s="58"/>
      <c r="VEO14" s="58"/>
      <c r="VEP14" s="58"/>
      <c r="VEQ14" s="58"/>
      <c r="VER14" s="58"/>
      <c r="VES14" s="58"/>
      <c r="VET14" s="58"/>
      <c r="VEU14" s="58"/>
      <c r="VEV14" s="58"/>
      <c r="VEW14" s="58"/>
      <c r="VEX14" s="58"/>
      <c r="VEY14" s="58"/>
      <c r="VEZ14" s="58"/>
      <c r="VFA14" s="58"/>
      <c r="VFB14" s="58"/>
      <c r="VFC14" s="58"/>
      <c r="VFD14" s="58"/>
      <c r="VFE14" s="58"/>
      <c r="VFF14" s="58"/>
      <c r="VFG14" s="58"/>
      <c r="VFH14" s="58"/>
      <c r="VFI14" s="58"/>
      <c r="VFJ14" s="58"/>
      <c r="VFK14" s="58"/>
      <c r="VFL14" s="58"/>
      <c r="VFM14" s="58"/>
      <c r="VFN14" s="58"/>
      <c r="VFO14" s="58"/>
      <c r="VFP14" s="58"/>
      <c r="VFQ14" s="58"/>
      <c r="VFR14" s="58"/>
      <c r="VFS14" s="58"/>
      <c r="VFT14" s="58"/>
      <c r="VFU14" s="58"/>
      <c r="VFV14" s="58"/>
      <c r="VFW14" s="58"/>
      <c r="VFX14" s="58"/>
      <c r="VFY14" s="58"/>
      <c r="VFZ14" s="58"/>
      <c r="VGA14" s="58"/>
      <c r="VGB14" s="58"/>
      <c r="VGC14" s="58"/>
      <c r="VGD14" s="58"/>
      <c r="VGE14" s="58"/>
      <c r="VGF14" s="58"/>
      <c r="VGG14" s="58"/>
      <c r="VGH14" s="58"/>
      <c r="VGI14" s="58"/>
      <c r="VGJ14" s="58"/>
      <c r="VGK14" s="58"/>
      <c r="VGL14" s="58"/>
      <c r="VGM14" s="58"/>
      <c r="VGN14" s="58"/>
      <c r="VGO14" s="58"/>
      <c r="VGP14" s="58"/>
      <c r="VGQ14" s="58"/>
      <c r="VGR14" s="58"/>
      <c r="VGS14" s="58"/>
      <c r="VGT14" s="58"/>
      <c r="VGU14" s="58"/>
      <c r="VGV14" s="58"/>
      <c r="VGW14" s="58"/>
      <c r="VGX14" s="58"/>
      <c r="VGY14" s="58"/>
      <c r="VGZ14" s="58"/>
      <c r="VHA14" s="58"/>
      <c r="VHB14" s="58"/>
      <c r="VHC14" s="58"/>
      <c r="VHD14" s="58"/>
      <c r="VHE14" s="58"/>
      <c r="VHF14" s="58"/>
      <c r="VHG14" s="58"/>
      <c r="VHH14" s="58"/>
      <c r="VHI14" s="58"/>
      <c r="VHJ14" s="58"/>
      <c r="VHK14" s="58"/>
      <c r="VHL14" s="58"/>
      <c r="VHM14" s="58"/>
      <c r="VHN14" s="58"/>
      <c r="VHO14" s="58"/>
      <c r="VHP14" s="58"/>
      <c r="VHQ14" s="58"/>
      <c r="VHR14" s="58"/>
      <c r="VHS14" s="58"/>
      <c r="VHT14" s="58"/>
      <c r="VHU14" s="58"/>
      <c r="VHV14" s="58"/>
      <c r="VHW14" s="58"/>
      <c r="VHX14" s="58"/>
      <c r="VHY14" s="58"/>
      <c r="VHZ14" s="58"/>
      <c r="VIA14" s="58"/>
      <c r="VIB14" s="58"/>
      <c r="VIC14" s="58"/>
      <c r="VID14" s="58"/>
      <c r="VIE14" s="58"/>
      <c r="VIF14" s="58"/>
      <c r="VIG14" s="58"/>
      <c r="VIH14" s="58"/>
      <c r="VII14" s="58"/>
      <c r="VIJ14" s="58"/>
      <c r="VIK14" s="58"/>
      <c r="VIL14" s="58"/>
      <c r="VIM14" s="58"/>
      <c r="VIN14" s="58"/>
      <c r="VIO14" s="58"/>
      <c r="VIP14" s="58"/>
      <c r="VIQ14" s="58"/>
      <c r="VIR14" s="58"/>
      <c r="VIS14" s="58"/>
      <c r="VIT14" s="58"/>
      <c r="VIU14" s="58"/>
      <c r="VIV14" s="58"/>
      <c r="VIW14" s="58"/>
      <c r="VIX14" s="58"/>
      <c r="VIY14" s="58"/>
      <c r="VIZ14" s="58"/>
      <c r="VJA14" s="58"/>
      <c r="VJB14" s="58"/>
      <c r="VJC14" s="58"/>
      <c r="VJD14" s="58"/>
      <c r="VJE14" s="58"/>
      <c r="VJF14" s="58"/>
      <c r="VJG14" s="58"/>
      <c r="VJH14" s="58"/>
      <c r="VJI14" s="58"/>
      <c r="VJJ14" s="58"/>
      <c r="VJK14" s="58"/>
      <c r="VJL14" s="58"/>
      <c r="VJM14" s="58"/>
      <c r="VJN14" s="58"/>
      <c r="VJO14" s="58"/>
      <c r="VJP14" s="58"/>
      <c r="VJQ14" s="58"/>
      <c r="VJR14" s="58"/>
      <c r="VJS14" s="58"/>
      <c r="VJT14" s="58"/>
      <c r="VJU14" s="58"/>
      <c r="VJV14" s="58"/>
      <c r="VJW14" s="58"/>
      <c r="VJX14" s="58"/>
      <c r="VJY14" s="58"/>
      <c r="VJZ14" s="58"/>
      <c r="VKA14" s="58"/>
      <c r="VKB14" s="58"/>
      <c r="VKC14" s="58"/>
      <c r="VKD14" s="58"/>
      <c r="VKE14" s="58"/>
      <c r="VKF14" s="58"/>
      <c r="VKG14" s="58"/>
      <c r="VKH14" s="58"/>
      <c r="VKI14" s="58"/>
      <c r="VKJ14" s="58"/>
      <c r="VKK14" s="58"/>
      <c r="VKL14" s="58"/>
      <c r="VKM14" s="58"/>
      <c r="VKN14" s="58"/>
      <c r="VKO14" s="58"/>
      <c r="VKP14" s="58"/>
      <c r="VKQ14" s="58"/>
      <c r="VKR14" s="58"/>
      <c r="VKS14" s="58"/>
      <c r="VKT14" s="58"/>
      <c r="VKU14" s="58"/>
      <c r="VKV14" s="58"/>
      <c r="VKW14" s="58"/>
      <c r="VKX14" s="58"/>
      <c r="VKY14" s="58"/>
      <c r="VKZ14" s="58"/>
      <c r="VLA14" s="58"/>
      <c r="VLB14" s="58"/>
      <c r="VLC14" s="58"/>
      <c r="VLD14" s="58"/>
      <c r="VLE14" s="58"/>
      <c r="VLF14" s="58"/>
      <c r="VLG14" s="58"/>
      <c r="VLH14" s="58"/>
      <c r="VLI14" s="58"/>
      <c r="VLJ14" s="58"/>
      <c r="VLK14" s="58"/>
      <c r="VLL14" s="58"/>
      <c r="VLM14" s="58"/>
      <c r="VLN14" s="58"/>
      <c r="VLO14" s="58"/>
      <c r="VLP14" s="58"/>
      <c r="VLQ14" s="58"/>
      <c r="VLR14" s="58"/>
      <c r="VLS14" s="58"/>
      <c r="VLT14" s="58"/>
      <c r="VLU14" s="58"/>
      <c r="VLV14" s="58"/>
      <c r="VLW14" s="58"/>
      <c r="VLX14" s="58"/>
      <c r="VLY14" s="58"/>
      <c r="VLZ14" s="58"/>
      <c r="VMA14" s="58"/>
      <c r="VMB14" s="58"/>
      <c r="VMC14" s="58"/>
      <c r="VMD14" s="58"/>
      <c r="VME14" s="58"/>
      <c r="VMF14" s="58"/>
      <c r="VMG14" s="58"/>
      <c r="VMH14" s="58"/>
      <c r="VMI14" s="58"/>
      <c r="VMJ14" s="58"/>
      <c r="VMK14" s="58"/>
      <c r="VML14" s="58"/>
      <c r="VMM14" s="58"/>
      <c r="VMN14" s="58"/>
      <c r="VMO14" s="58"/>
      <c r="VMP14" s="58"/>
      <c r="VMQ14" s="58"/>
      <c r="VMR14" s="58"/>
      <c r="VMS14" s="58"/>
      <c r="VMT14" s="58"/>
      <c r="VMU14" s="58"/>
      <c r="VMV14" s="58"/>
      <c r="VMW14" s="58"/>
      <c r="VMX14" s="58"/>
      <c r="VMY14" s="58"/>
      <c r="VMZ14" s="58"/>
      <c r="VNA14" s="58"/>
      <c r="VNB14" s="58"/>
      <c r="VNC14" s="58"/>
      <c r="VND14" s="58"/>
      <c r="VNE14" s="58"/>
      <c r="VNF14" s="58"/>
      <c r="VNG14" s="58"/>
      <c r="VNH14" s="58"/>
      <c r="VNI14" s="58"/>
      <c r="VNJ14" s="58"/>
      <c r="VNK14" s="58"/>
      <c r="VNL14" s="58"/>
      <c r="VNM14" s="58"/>
      <c r="VNN14" s="58"/>
      <c r="VNO14" s="58"/>
      <c r="VNP14" s="58"/>
      <c r="VNQ14" s="58"/>
      <c r="VNR14" s="58"/>
      <c r="VNS14" s="58"/>
      <c r="VNT14" s="58"/>
      <c r="VNU14" s="58"/>
      <c r="VNV14" s="58"/>
      <c r="VNW14" s="58"/>
      <c r="VNX14" s="58"/>
      <c r="VNY14" s="58"/>
      <c r="VNZ14" s="58"/>
      <c r="VOA14" s="58"/>
      <c r="VOB14" s="58"/>
      <c r="VOC14" s="58"/>
      <c r="VOD14" s="58"/>
      <c r="VOE14" s="58"/>
      <c r="VOF14" s="58"/>
      <c r="VOG14" s="58"/>
      <c r="VOH14" s="58"/>
      <c r="VOI14" s="58"/>
      <c r="VOJ14" s="58"/>
      <c r="VOK14" s="58"/>
      <c r="VOL14" s="58"/>
      <c r="VOM14" s="58"/>
      <c r="VON14" s="58"/>
      <c r="VOO14" s="58"/>
      <c r="VOP14" s="58"/>
      <c r="VOQ14" s="58"/>
      <c r="VOR14" s="58"/>
      <c r="VOS14" s="58"/>
      <c r="VOT14" s="58"/>
      <c r="VOU14" s="58"/>
      <c r="VOV14" s="58"/>
      <c r="VOW14" s="58"/>
      <c r="VOX14" s="58"/>
      <c r="VOY14" s="58"/>
      <c r="VOZ14" s="58"/>
      <c r="VPA14" s="58"/>
      <c r="VPB14" s="58"/>
      <c r="VPC14" s="58"/>
      <c r="VPD14" s="58"/>
      <c r="VPE14" s="58"/>
      <c r="VPF14" s="58"/>
      <c r="VPG14" s="58"/>
      <c r="VPH14" s="58"/>
      <c r="VPI14" s="58"/>
      <c r="VPJ14" s="58"/>
      <c r="VPK14" s="58"/>
      <c r="VPL14" s="58"/>
      <c r="VPM14" s="58"/>
      <c r="VPN14" s="58"/>
      <c r="VPO14" s="58"/>
      <c r="VPP14" s="58"/>
      <c r="VPQ14" s="58"/>
      <c r="VPR14" s="58"/>
      <c r="VPS14" s="58"/>
      <c r="VPT14" s="58"/>
      <c r="VPU14" s="58"/>
      <c r="VPV14" s="58"/>
      <c r="VPW14" s="58"/>
      <c r="VPX14" s="58"/>
      <c r="VPY14" s="58"/>
      <c r="VPZ14" s="58"/>
      <c r="VQA14" s="58"/>
      <c r="VQB14" s="58"/>
      <c r="VQC14" s="58"/>
      <c r="VQD14" s="58"/>
      <c r="VQE14" s="58"/>
      <c r="VQF14" s="58"/>
      <c r="VQG14" s="58"/>
      <c r="VQH14" s="58"/>
      <c r="VQI14" s="58"/>
      <c r="VQJ14" s="58"/>
      <c r="VQK14" s="58"/>
      <c r="VQL14" s="58"/>
      <c r="VQM14" s="58"/>
      <c r="VQN14" s="58"/>
      <c r="VQO14" s="58"/>
      <c r="VQP14" s="58"/>
      <c r="VQQ14" s="58"/>
      <c r="VQR14" s="58"/>
      <c r="VQS14" s="58"/>
      <c r="VQT14" s="58"/>
      <c r="VQU14" s="58"/>
      <c r="VQV14" s="58"/>
      <c r="VQW14" s="58"/>
      <c r="VQX14" s="58"/>
      <c r="VQY14" s="58"/>
      <c r="VQZ14" s="58"/>
      <c r="VRA14" s="58"/>
      <c r="VRB14" s="58"/>
      <c r="VRC14" s="58"/>
      <c r="VRD14" s="58"/>
      <c r="VRE14" s="58"/>
      <c r="VRF14" s="58"/>
      <c r="VRG14" s="58"/>
      <c r="VRH14" s="58"/>
      <c r="VRI14" s="58"/>
      <c r="VRJ14" s="58"/>
      <c r="VRK14" s="58"/>
      <c r="VRL14" s="58"/>
      <c r="VRM14" s="58"/>
      <c r="VRN14" s="58"/>
      <c r="VRO14" s="58"/>
      <c r="VRP14" s="58"/>
      <c r="VRQ14" s="58"/>
      <c r="VRR14" s="58"/>
      <c r="VRS14" s="58"/>
      <c r="VRT14" s="58"/>
      <c r="VRU14" s="58"/>
      <c r="VRV14" s="58"/>
      <c r="VRW14" s="58"/>
      <c r="VRX14" s="58"/>
      <c r="VRY14" s="58"/>
      <c r="VRZ14" s="58"/>
      <c r="VSA14" s="58"/>
      <c r="VSB14" s="58"/>
      <c r="VSC14" s="58"/>
      <c r="VSD14" s="58"/>
      <c r="VSE14" s="58"/>
      <c r="VSF14" s="58"/>
      <c r="VSG14" s="58"/>
      <c r="VSH14" s="58"/>
      <c r="VSI14" s="58"/>
      <c r="VSJ14" s="58"/>
      <c r="VSK14" s="58"/>
      <c r="VSL14" s="58"/>
      <c r="VSM14" s="58"/>
      <c r="VSN14" s="58"/>
      <c r="VSO14" s="58"/>
      <c r="VSP14" s="58"/>
      <c r="VSQ14" s="58"/>
      <c r="VSR14" s="58"/>
      <c r="VSS14" s="58"/>
      <c r="VST14" s="58"/>
      <c r="VSU14" s="58"/>
      <c r="VSV14" s="58"/>
      <c r="VSW14" s="58"/>
      <c r="VSX14" s="58"/>
      <c r="VSY14" s="58"/>
      <c r="VSZ14" s="58"/>
      <c r="VTA14" s="58"/>
      <c r="VTB14" s="58"/>
      <c r="VTC14" s="58"/>
      <c r="VTD14" s="58"/>
      <c r="VTE14" s="58"/>
      <c r="VTF14" s="58"/>
      <c r="VTG14" s="58"/>
      <c r="VTH14" s="58"/>
      <c r="VTI14" s="58"/>
      <c r="VTJ14" s="58"/>
      <c r="VTK14" s="58"/>
      <c r="VTL14" s="58"/>
      <c r="VTM14" s="58"/>
      <c r="VTN14" s="58"/>
      <c r="VTO14" s="58"/>
      <c r="VTP14" s="58"/>
      <c r="VTQ14" s="58"/>
      <c r="VTR14" s="58"/>
      <c r="VTS14" s="58"/>
      <c r="VTT14" s="58"/>
      <c r="VTU14" s="58"/>
      <c r="VTV14" s="58"/>
      <c r="VTW14" s="58"/>
      <c r="VTX14" s="58"/>
      <c r="VTY14" s="58"/>
      <c r="VTZ14" s="58"/>
      <c r="VUA14" s="58"/>
      <c r="VUB14" s="58"/>
      <c r="VUC14" s="58"/>
      <c r="VUD14" s="58"/>
      <c r="VUE14" s="58"/>
      <c r="VUF14" s="58"/>
      <c r="VUG14" s="58"/>
      <c r="VUH14" s="58"/>
      <c r="VUI14" s="58"/>
      <c r="VUJ14" s="58"/>
      <c r="VUK14" s="58"/>
      <c r="VUL14" s="58"/>
      <c r="VUM14" s="58"/>
      <c r="VUN14" s="58"/>
      <c r="VUO14" s="58"/>
      <c r="VUP14" s="58"/>
      <c r="VUQ14" s="58"/>
      <c r="VUR14" s="58"/>
      <c r="VUS14" s="58"/>
      <c r="VUT14" s="58"/>
      <c r="VUU14" s="58"/>
      <c r="VUV14" s="58"/>
      <c r="VUW14" s="58"/>
      <c r="VUX14" s="58"/>
      <c r="VUY14" s="58"/>
      <c r="VUZ14" s="58"/>
      <c r="VVA14" s="58"/>
      <c r="VVB14" s="58"/>
      <c r="VVC14" s="58"/>
      <c r="VVD14" s="58"/>
      <c r="VVE14" s="58"/>
      <c r="VVF14" s="58"/>
      <c r="VVG14" s="58"/>
      <c r="VVH14" s="58"/>
      <c r="VVI14" s="58"/>
      <c r="VVJ14" s="58"/>
      <c r="VVK14" s="58"/>
      <c r="VVL14" s="58"/>
      <c r="VVM14" s="58"/>
      <c r="VVN14" s="58"/>
      <c r="VVO14" s="58"/>
      <c r="VVP14" s="58"/>
      <c r="VVQ14" s="58"/>
      <c r="VVR14" s="58"/>
      <c r="VVS14" s="58"/>
      <c r="VVT14" s="58"/>
      <c r="VVU14" s="58"/>
      <c r="VVV14" s="58"/>
      <c r="VVW14" s="58"/>
      <c r="VVX14" s="58"/>
      <c r="VVY14" s="58"/>
      <c r="VVZ14" s="58"/>
      <c r="VWA14" s="58"/>
      <c r="VWB14" s="58"/>
      <c r="VWC14" s="58"/>
      <c r="VWD14" s="58"/>
      <c r="VWE14" s="58"/>
      <c r="VWF14" s="58"/>
      <c r="VWG14" s="58"/>
      <c r="VWH14" s="58"/>
      <c r="VWI14" s="58"/>
      <c r="VWJ14" s="58"/>
      <c r="VWK14" s="58"/>
      <c r="VWL14" s="58"/>
      <c r="VWM14" s="58"/>
      <c r="VWN14" s="58"/>
      <c r="VWO14" s="58"/>
      <c r="VWP14" s="58"/>
      <c r="VWQ14" s="58"/>
      <c r="VWR14" s="58"/>
      <c r="VWS14" s="58"/>
      <c r="VWT14" s="58"/>
      <c r="VWU14" s="58"/>
      <c r="VWV14" s="58"/>
      <c r="VWW14" s="58"/>
      <c r="VWX14" s="58"/>
      <c r="VWY14" s="58"/>
      <c r="VWZ14" s="58"/>
      <c r="VXA14" s="58"/>
      <c r="VXB14" s="58"/>
      <c r="VXC14" s="58"/>
      <c r="VXD14" s="58"/>
      <c r="VXE14" s="58"/>
      <c r="VXF14" s="58"/>
      <c r="VXG14" s="58"/>
      <c r="VXH14" s="58"/>
      <c r="VXI14" s="58"/>
      <c r="VXJ14" s="58"/>
      <c r="VXK14" s="58"/>
      <c r="VXL14" s="58"/>
      <c r="VXM14" s="58"/>
      <c r="VXN14" s="58"/>
      <c r="VXO14" s="58"/>
      <c r="VXP14" s="58"/>
      <c r="VXQ14" s="58"/>
      <c r="VXR14" s="58"/>
      <c r="VXS14" s="58"/>
      <c r="VXT14" s="58"/>
      <c r="VXU14" s="58"/>
      <c r="VXV14" s="58"/>
      <c r="VXW14" s="58"/>
      <c r="VXX14" s="58"/>
      <c r="VXY14" s="58"/>
      <c r="VXZ14" s="58"/>
      <c r="VYA14" s="58"/>
      <c r="VYB14" s="58"/>
      <c r="VYC14" s="58"/>
      <c r="VYD14" s="58"/>
      <c r="VYE14" s="58"/>
      <c r="VYF14" s="58"/>
      <c r="VYG14" s="58"/>
      <c r="VYH14" s="58"/>
      <c r="VYI14" s="58"/>
      <c r="VYJ14" s="58"/>
      <c r="VYK14" s="58"/>
      <c r="VYL14" s="58"/>
      <c r="VYM14" s="58"/>
      <c r="VYN14" s="58"/>
      <c r="VYO14" s="58"/>
      <c r="VYP14" s="58"/>
      <c r="VYQ14" s="58"/>
      <c r="VYR14" s="58"/>
      <c r="VYS14" s="58"/>
      <c r="VYT14" s="58"/>
      <c r="VYU14" s="58"/>
      <c r="VYV14" s="58"/>
      <c r="VYW14" s="58"/>
      <c r="VYX14" s="58"/>
      <c r="VYY14" s="58"/>
      <c r="VYZ14" s="58"/>
      <c r="VZA14" s="58"/>
      <c r="VZB14" s="58"/>
      <c r="VZC14" s="58"/>
      <c r="VZD14" s="58"/>
      <c r="VZE14" s="58"/>
      <c r="VZF14" s="58"/>
      <c r="VZG14" s="58"/>
      <c r="VZH14" s="58"/>
      <c r="VZI14" s="58"/>
      <c r="VZJ14" s="58"/>
      <c r="VZK14" s="58"/>
      <c r="VZL14" s="58"/>
      <c r="VZM14" s="58"/>
      <c r="VZN14" s="58"/>
      <c r="VZO14" s="58"/>
      <c r="VZP14" s="58"/>
      <c r="VZQ14" s="58"/>
      <c r="VZR14" s="58"/>
      <c r="VZS14" s="58"/>
      <c r="VZT14" s="58"/>
      <c r="VZU14" s="58"/>
      <c r="VZV14" s="58"/>
      <c r="VZW14" s="58"/>
      <c r="VZX14" s="58"/>
      <c r="VZY14" s="58"/>
      <c r="VZZ14" s="58"/>
      <c r="WAA14" s="58"/>
      <c r="WAB14" s="58"/>
      <c r="WAC14" s="58"/>
      <c r="WAD14" s="58"/>
      <c r="WAE14" s="58"/>
      <c r="WAF14" s="58"/>
      <c r="WAG14" s="58"/>
      <c r="WAH14" s="58"/>
      <c r="WAI14" s="58"/>
      <c r="WAJ14" s="58"/>
      <c r="WAK14" s="58"/>
      <c r="WAL14" s="58"/>
      <c r="WAM14" s="58"/>
      <c r="WAN14" s="58"/>
      <c r="WAO14" s="58"/>
      <c r="WAP14" s="58"/>
      <c r="WAQ14" s="58"/>
      <c r="WAR14" s="58"/>
      <c r="WAS14" s="58"/>
      <c r="WAT14" s="58"/>
      <c r="WAU14" s="58"/>
      <c r="WAV14" s="58"/>
      <c r="WAW14" s="58"/>
      <c r="WAX14" s="58"/>
      <c r="WAY14" s="58"/>
      <c r="WAZ14" s="58"/>
      <c r="WBA14" s="58"/>
      <c r="WBB14" s="58"/>
      <c r="WBC14" s="58"/>
      <c r="WBD14" s="58"/>
      <c r="WBE14" s="58"/>
      <c r="WBF14" s="58"/>
      <c r="WBG14" s="58"/>
      <c r="WBH14" s="58"/>
      <c r="WBI14" s="58"/>
      <c r="WBJ14" s="58"/>
      <c r="WBK14" s="58"/>
      <c r="WBL14" s="58"/>
      <c r="WBM14" s="58"/>
      <c r="WBN14" s="58"/>
      <c r="WBO14" s="58"/>
      <c r="WBP14" s="58"/>
      <c r="WBQ14" s="58"/>
      <c r="WBR14" s="58"/>
      <c r="WBS14" s="58"/>
      <c r="WBT14" s="58"/>
      <c r="WBU14" s="58"/>
      <c r="WBV14" s="58"/>
      <c r="WBW14" s="58"/>
      <c r="WBX14" s="58"/>
      <c r="WBY14" s="58"/>
      <c r="WBZ14" s="58"/>
      <c r="WCA14" s="58"/>
      <c r="WCB14" s="58"/>
      <c r="WCC14" s="58"/>
      <c r="WCD14" s="58"/>
      <c r="WCE14" s="58"/>
      <c r="WCF14" s="58"/>
      <c r="WCG14" s="58"/>
      <c r="WCH14" s="58"/>
      <c r="WCI14" s="58"/>
      <c r="WCJ14" s="58"/>
      <c r="WCK14" s="58"/>
      <c r="WCL14" s="58"/>
      <c r="WCM14" s="58"/>
      <c r="WCN14" s="58"/>
      <c r="WCO14" s="58"/>
      <c r="WCP14" s="58"/>
      <c r="WCQ14" s="58"/>
      <c r="WCR14" s="58"/>
      <c r="WCS14" s="58"/>
      <c r="WCT14" s="58"/>
      <c r="WCU14" s="58"/>
      <c r="WCV14" s="58"/>
      <c r="WCW14" s="58"/>
      <c r="WCX14" s="58"/>
      <c r="WCY14" s="58"/>
      <c r="WCZ14" s="58"/>
      <c r="WDA14" s="58"/>
      <c r="WDB14" s="58"/>
      <c r="WDC14" s="58"/>
      <c r="WDD14" s="58"/>
      <c r="WDE14" s="58"/>
      <c r="WDF14" s="58"/>
      <c r="WDG14" s="58"/>
      <c r="WDH14" s="58"/>
      <c r="WDI14" s="58"/>
      <c r="WDJ14" s="58"/>
      <c r="WDK14" s="58"/>
      <c r="WDL14" s="58"/>
      <c r="WDM14" s="58"/>
      <c r="WDN14" s="58"/>
      <c r="WDO14" s="58"/>
      <c r="WDP14" s="58"/>
      <c r="WDQ14" s="58"/>
      <c r="WDR14" s="58"/>
      <c r="WDS14" s="58"/>
      <c r="WDT14" s="58"/>
      <c r="WDU14" s="58"/>
      <c r="WDV14" s="58"/>
      <c r="WDW14" s="58"/>
      <c r="WDX14" s="58"/>
      <c r="WDY14" s="58"/>
      <c r="WDZ14" s="58"/>
      <c r="WEA14" s="58"/>
      <c r="WEB14" s="58"/>
      <c r="WEC14" s="58"/>
      <c r="WED14" s="58"/>
      <c r="WEE14" s="58"/>
      <c r="WEF14" s="58"/>
      <c r="WEG14" s="58"/>
      <c r="WEH14" s="58"/>
      <c r="WEI14" s="58"/>
      <c r="WEJ14" s="58"/>
      <c r="WEK14" s="58"/>
      <c r="WEL14" s="58"/>
      <c r="WEM14" s="58"/>
      <c r="WEN14" s="58"/>
      <c r="WEO14" s="58"/>
      <c r="WEP14" s="58"/>
      <c r="WEQ14" s="58"/>
      <c r="WER14" s="58"/>
      <c r="WES14" s="58"/>
      <c r="WET14" s="58"/>
      <c r="WEU14" s="58"/>
      <c r="WEV14" s="58"/>
      <c r="WEW14" s="58"/>
      <c r="WEX14" s="58"/>
      <c r="WEY14" s="58"/>
      <c r="WEZ14" s="58"/>
      <c r="WFA14" s="58"/>
      <c r="WFB14" s="58"/>
      <c r="WFC14" s="58"/>
      <c r="WFD14" s="58"/>
      <c r="WFE14" s="58"/>
      <c r="WFF14" s="58"/>
      <c r="WFG14" s="58"/>
      <c r="WFH14" s="58"/>
      <c r="WFI14" s="58"/>
      <c r="WFJ14" s="58"/>
      <c r="WFK14" s="58"/>
      <c r="WFL14" s="58"/>
      <c r="WFM14" s="58"/>
      <c r="WFN14" s="58"/>
      <c r="WFO14" s="58"/>
      <c r="WFP14" s="58"/>
      <c r="WFQ14" s="58"/>
      <c r="WFR14" s="58"/>
      <c r="WFS14" s="58"/>
      <c r="WFT14" s="58"/>
      <c r="WFU14" s="58"/>
      <c r="WFV14" s="58"/>
      <c r="WFW14" s="58"/>
      <c r="WFX14" s="58"/>
      <c r="WFY14" s="58"/>
      <c r="WFZ14" s="58"/>
      <c r="WGA14" s="58"/>
      <c r="WGB14" s="58"/>
      <c r="WGC14" s="58"/>
      <c r="WGD14" s="58"/>
      <c r="WGE14" s="58"/>
      <c r="WGF14" s="58"/>
      <c r="WGG14" s="58"/>
      <c r="WGH14" s="58"/>
      <c r="WGI14" s="58"/>
      <c r="WGJ14" s="58"/>
      <c r="WGK14" s="58"/>
      <c r="WGL14" s="58"/>
      <c r="WGM14" s="58"/>
      <c r="WGN14" s="58"/>
      <c r="WGO14" s="58"/>
      <c r="WGP14" s="58"/>
      <c r="WGQ14" s="58"/>
      <c r="WGR14" s="58"/>
      <c r="WGS14" s="58"/>
      <c r="WGT14" s="58"/>
      <c r="WGU14" s="58"/>
      <c r="WGV14" s="58"/>
      <c r="WGW14" s="58"/>
      <c r="WGX14" s="58"/>
      <c r="WGY14" s="58"/>
      <c r="WGZ14" s="58"/>
      <c r="WHA14" s="58"/>
      <c r="WHB14" s="58"/>
      <c r="WHC14" s="58"/>
      <c r="WHD14" s="58"/>
      <c r="WHE14" s="58"/>
      <c r="WHF14" s="58"/>
      <c r="WHG14" s="58"/>
      <c r="WHH14" s="58"/>
      <c r="WHI14" s="58"/>
      <c r="WHJ14" s="58"/>
      <c r="WHK14" s="58"/>
      <c r="WHL14" s="58"/>
      <c r="WHM14" s="58"/>
      <c r="WHN14" s="58"/>
      <c r="WHO14" s="58"/>
      <c r="WHP14" s="58"/>
      <c r="WHQ14" s="58"/>
      <c r="WHR14" s="58"/>
      <c r="WHS14" s="58"/>
      <c r="WHT14" s="58"/>
      <c r="WHU14" s="58"/>
      <c r="WHV14" s="58"/>
      <c r="WHW14" s="58"/>
      <c r="WHX14" s="58"/>
      <c r="WHY14" s="58"/>
      <c r="WHZ14" s="58"/>
      <c r="WIA14" s="58"/>
      <c r="WIB14" s="58"/>
      <c r="WIC14" s="58"/>
      <c r="WID14" s="58"/>
      <c r="WIE14" s="58"/>
      <c r="WIF14" s="58"/>
      <c r="WIG14" s="58"/>
      <c r="WIH14" s="58"/>
      <c r="WII14" s="58"/>
      <c r="WIJ14" s="58"/>
      <c r="WIK14" s="58"/>
      <c r="WIL14" s="58"/>
      <c r="WIM14" s="58"/>
      <c r="WIN14" s="58"/>
      <c r="WIO14" s="58"/>
      <c r="WIP14" s="58"/>
      <c r="WIQ14" s="58"/>
      <c r="WIR14" s="58"/>
      <c r="WIS14" s="58"/>
      <c r="WIT14" s="58"/>
      <c r="WIU14" s="58"/>
      <c r="WIV14" s="58"/>
      <c r="WIW14" s="58"/>
      <c r="WIX14" s="58"/>
      <c r="WIY14" s="58"/>
      <c r="WIZ14" s="58"/>
      <c r="WJA14" s="58"/>
      <c r="WJB14" s="58"/>
      <c r="WJC14" s="58"/>
      <c r="WJD14" s="58"/>
      <c r="WJE14" s="58"/>
      <c r="WJF14" s="58"/>
      <c r="WJG14" s="58"/>
      <c r="WJH14" s="58"/>
      <c r="WJI14" s="58"/>
      <c r="WJJ14" s="58"/>
      <c r="WJK14" s="58"/>
      <c r="WJL14" s="58"/>
      <c r="WJM14" s="58"/>
      <c r="WJN14" s="58"/>
      <c r="WJO14" s="58"/>
      <c r="WJP14" s="58"/>
      <c r="WJQ14" s="58"/>
      <c r="WJR14" s="58"/>
      <c r="WJS14" s="58"/>
      <c r="WJT14" s="58"/>
      <c r="WJU14" s="58"/>
      <c r="WJV14" s="58"/>
      <c r="WJW14" s="58"/>
      <c r="WJX14" s="58"/>
      <c r="WJY14" s="58"/>
      <c r="WJZ14" s="58"/>
      <c r="WKA14" s="58"/>
      <c r="WKB14" s="58"/>
      <c r="WKC14" s="58"/>
      <c r="WKD14" s="58"/>
      <c r="WKE14" s="58"/>
      <c r="WKF14" s="58"/>
      <c r="WKG14" s="58"/>
      <c r="WKH14" s="58"/>
      <c r="WKI14" s="58"/>
      <c r="WKJ14" s="58"/>
      <c r="WKK14" s="58"/>
      <c r="WKL14" s="58"/>
      <c r="WKM14" s="58"/>
      <c r="WKN14" s="58"/>
      <c r="WKO14" s="58"/>
      <c r="WKP14" s="58"/>
      <c r="WKQ14" s="58"/>
      <c r="WKR14" s="58"/>
      <c r="WKS14" s="58"/>
      <c r="WKT14" s="58"/>
      <c r="WKU14" s="58"/>
      <c r="WKV14" s="58"/>
      <c r="WKW14" s="58"/>
      <c r="WKX14" s="58"/>
      <c r="WKY14" s="58"/>
      <c r="WKZ14" s="58"/>
      <c r="WLA14" s="58"/>
      <c r="WLB14" s="58"/>
      <c r="WLC14" s="58"/>
      <c r="WLD14" s="58"/>
      <c r="WLE14" s="58"/>
      <c r="WLF14" s="58"/>
      <c r="WLG14" s="58"/>
      <c r="WLH14" s="58"/>
      <c r="WLI14" s="58"/>
      <c r="WLJ14" s="58"/>
      <c r="WLK14" s="58"/>
      <c r="WLL14" s="58"/>
      <c r="WLM14" s="58"/>
      <c r="WLN14" s="58"/>
      <c r="WLO14" s="58"/>
      <c r="WLP14" s="58"/>
      <c r="WLQ14" s="58"/>
      <c r="WLR14" s="58"/>
      <c r="WLS14" s="58"/>
      <c r="WLT14" s="58"/>
      <c r="WLU14" s="58"/>
      <c r="WLV14" s="58"/>
      <c r="WLW14" s="58"/>
      <c r="WLX14" s="58"/>
      <c r="WLY14" s="58"/>
      <c r="WLZ14" s="58"/>
      <c r="WMA14" s="58"/>
      <c r="WMB14" s="58"/>
      <c r="WMC14" s="58"/>
      <c r="WMD14" s="58"/>
      <c r="WME14" s="58"/>
      <c r="WMF14" s="58"/>
      <c r="WMG14" s="58"/>
      <c r="WMH14" s="58"/>
      <c r="WMI14" s="58"/>
      <c r="WMJ14" s="58"/>
      <c r="WMK14" s="58"/>
      <c r="WML14" s="58"/>
      <c r="WMM14" s="58"/>
      <c r="WMN14" s="58"/>
      <c r="WMO14" s="58"/>
      <c r="WMP14" s="58"/>
      <c r="WMQ14" s="58"/>
      <c r="WMR14" s="58"/>
      <c r="WMS14" s="58"/>
      <c r="WMT14" s="58"/>
      <c r="WMU14" s="58"/>
      <c r="WMV14" s="58"/>
      <c r="WMW14" s="58"/>
      <c r="WMX14" s="58"/>
      <c r="WMY14" s="58"/>
      <c r="WMZ14" s="58"/>
      <c r="WNA14" s="58"/>
      <c r="WNB14" s="58"/>
      <c r="WNC14" s="58"/>
      <c r="WND14" s="58"/>
      <c r="WNE14" s="58"/>
      <c r="WNF14" s="58"/>
      <c r="WNG14" s="58"/>
      <c r="WNH14" s="58"/>
      <c r="WNI14" s="58"/>
      <c r="WNJ14" s="58"/>
      <c r="WNK14" s="58"/>
      <c r="WNL14" s="58"/>
      <c r="WNM14" s="58"/>
      <c r="WNN14" s="58"/>
      <c r="WNO14" s="58"/>
      <c r="WNP14" s="58"/>
      <c r="WNQ14" s="58"/>
      <c r="WNR14" s="58"/>
      <c r="WNS14" s="58"/>
      <c r="WNT14" s="58"/>
      <c r="WNU14" s="58"/>
      <c r="WNV14" s="58"/>
      <c r="WNW14" s="58"/>
      <c r="WNX14" s="58"/>
      <c r="WNY14" s="58"/>
      <c r="WNZ14" s="58"/>
      <c r="WOA14" s="58"/>
      <c r="WOB14" s="58"/>
      <c r="WOC14" s="58"/>
      <c r="WOD14" s="58"/>
      <c r="WOE14" s="58"/>
      <c r="WOF14" s="58"/>
      <c r="WOG14" s="58"/>
      <c r="WOH14" s="58"/>
      <c r="WOI14" s="58"/>
      <c r="WOJ14" s="58"/>
      <c r="WOK14" s="58"/>
      <c r="WOL14" s="58"/>
      <c r="WOM14" s="58"/>
      <c r="WON14" s="58"/>
      <c r="WOO14" s="58"/>
      <c r="WOP14" s="58"/>
      <c r="WOQ14" s="58"/>
      <c r="WOR14" s="58"/>
      <c r="WOS14" s="58"/>
      <c r="WOT14" s="58"/>
      <c r="WOU14" s="58"/>
      <c r="WOV14" s="58"/>
      <c r="WOW14" s="58"/>
      <c r="WOX14" s="58"/>
      <c r="WOY14" s="58"/>
      <c r="WOZ14" s="58"/>
      <c r="WPA14" s="58"/>
      <c r="WPB14" s="58"/>
      <c r="WPC14" s="58"/>
      <c r="WPD14" s="58"/>
      <c r="WPE14" s="58"/>
      <c r="WPF14" s="58"/>
      <c r="WPG14" s="58"/>
      <c r="WPH14" s="58"/>
      <c r="WPI14" s="58"/>
      <c r="WPJ14" s="58"/>
      <c r="WPK14" s="58"/>
      <c r="WPL14" s="58"/>
      <c r="WPM14" s="58"/>
      <c r="WPN14" s="58"/>
      <c r="WPO14" s="58"/>
      <c r="WPP14" s="58"/>
      <c r="WPQ14" s="58"/>
      <c r="WPR14" s="58"/>
      <c r="WPS14" s="58"/>
      <c r="WPT14" s="58"/>
      <c r="WPU14" s="58"/>
      <c r="WPV14" s="58"/>
      <c r="WPW14" s="58"/>
      <c r="WPX14" s="58"/>
      <c r="WPY14" s="58"/>
      <c r="WPZ14" s="58"/>
      <c r="WQA14" s="58"/>
      <c r="WQB14" s="58"/>
      <c r="WQC14" s="58"/>
      <c r="WQD14" s="58"/>
      <c r="WQE14" s="58"/>
      <c r="WQF14" s="58"/>
      <c r="WQG14" s="58"/>
      <c r="WQH14" s="58"/>
      <c r="WQI14" s="58"/>
      <c r="WQJ14" s="58"/>
      <c r="WQK14" s="58"/>
      <c r="WQL14" s="58"/>
      <c r="WQM14" s="58"/>
      <c r="WQN14" s="58"/>
      <c r="WQO14" s="58"/>
      <c r="WQP14" s="58"/>
      <c r="WQQ14" s="58"/>
      <c r="WQR14" s="58"/>
      <c r="WQS14" s="58"/>
      <c r="WQT14" s="58"/>
      <c r="WQU14" s="58"/>
      <c r="WQV14" s="58"/>
      <c r="WQW14" s="58"/>
      <c r="WQX14" s="58"/>
      <c r="WQY14" s="58"/>
      <c r="WQZ14" s="58"/>
      <c r="WRA14" s="58"/>
      <c r="WRB14" s="58"/>
      <c r="WRC14" s="58"/>
      <c r="WRD14" s="58"/>
      <c r="WRE14" s="58"/>
      <c r="WRF14" s="58"/>
      <c r="WRG14" s="58"/>
      <c r="WRH14" s="58"/>
      <c r="WRI14" s="58"/>
      <c r="WRJ14" s="58"/>
      <c r="WRK14" s="58"/>
      <c r="WRL14" s="58"/>
      <c r="WRM14" s="58"/>
      <c r="WRN14" s="58"/>
      <c r="WRO14" s="58"/>
      <c r="WRP14" s="58"/>
      <c r="WRQ14" s="58"/>
      <c r="WRR14" s="58"/>
      <c r="WRS14" s="58"/>
      <c r="WRT14" s="58"/>
      <c r="WRU14" s="58"/>
      <c r="WRV14" s="58"/>
      <c r="WRW14" s="58"/>
      <c r="WRX14" s="58"/>
      <c r="WRY14" s="58"/>
      <c r="WRZ14" s="58"/>
      <c r="WSA14" s="58"/>
      <c r="WSB14" s="58"/>
      <c r="WSC14" s="58"/>
      <c r="WSD14" s="58"/>
      <c r="WSE14" s="58"/>
      <c r="WSF14" s="58"/>
      <c r="WSG14" s="58"/>
      <c r="WSH14" s="58"/>
      <c r="WSI14" s="58"/>
      <c r="WSJ14" s="58"/>
      <c r="WSK14" s="58"/>
      <c r="WSL14" s="58"/>
      <c r="WSM14" s="58"/>
      <c r="WSN14" s="58"/>
      <c r="WSO14" s="58"/>
      <c r="WSP14" s="58"/>
      <c r="WSQ14" s="58"/>
      <c r="WSR14" s="58"/>
      <c r="WSS14" s="58"/>
      <c r="WST14" s="58"/>
      <c r="WSU14" s="58"/>
      <c r="WSV14" s="58"/>
      <c r="WSW14" s="58"/>
      <c r="WSX14" s="58"/>
      <c r="WSY14" s="58"/>
      <c r="WSZ14" s="58"/>
      <c r="WTA14" s="58"/>
      <c r="WTB14" s="58"/>
      <c r="WTC14" s="58"/>
      <c r="WTD14" s="58"/>
      <c r="WTE14" s="58"/>
      <c r="WTF14" s="58"/>
      <c r="WTG14" s="58"/>
      <c r="WTH14" s="58"/>
      <c r="WTI14" s="58"/>
      <c r="WTJ14" s="58"/>
      <c r="WTK14" s="58"/>
      <c r="WTL14" s="58"/>
      <c r="WTM14" s="58"/>
      <c r="WTN14" s="58"/>
      <c r="WTO14" s="58"/>
      <c r="WTP14" s="58"/>
      <c r="WTQ14" s="58"/>
      <c r="WTR14" s="58"/>
      <c r="WTS14" s="58"/>
      <c r="WTT14" s="58"/>
      <c r="WTU14" s="58"/>
      <c r="WTV14" s="58"/>
      <c r="WTW14" s="58"/>
      <c r="WTX14" s="58"/>
      <c r="WTY14" s="58"/>
      <c r="WTZ14" s="58"/>
      <c r="WUA14" s="58"/>
      <c r="WUB14" s="58"/>
      <c r="WUC14" s="58"/>
      <c r="WUD14" s="58"/>
      <c r="WUE14" s="58"/>
      <c r="WUF14" s="58"/>
      <c r="WUG14" s="58"/>
      <c r="WUH14" s="58"/>
      <c r="WUI14" s="58"/>
      <c r="WUJ14" s="58"/>
      <c r="WUK14" s="58"/>
      <c r="WUL14" s="58"/>
      <c r="WUM14" s="58"/>
      <c r="WUN14" s="58"/>
      <c r="WUO14" s="58"/>
      <c r="WUP14" s="58"/>
      <c r="WUQ14" s="58"/>
      <c r="WUR14" s="58"/>
      <c r="WUS14" s="58"/>
      <c r="WUT14" s="58"/>
      <c r="WUU14" s="58"/>
      <c r="WUV14" s="58"/>
      <c r="WUW14" s="58"/>
      <c r="WUX14" s="58"/>
      <c r="WUY14" s="58"/>
      <c r="WUZ14" s="58"/>
      <c r="WVA14" s="58"/>
      <c r="WVB14" s="58"/>
      <c r="WVC14" s="58"/>
      <c r="WVD14" s="58"/>
      <c r="WVE14" s="58"/>
      <c r="WVF14" s="58"/>
      <c r="WVG14" s="58"/>
      <c r="WVH14" s="58"/>
      <c r="WVI14" s="58"/>
      <c r="WVJ14" s="58"/>
      <c r="WVK14" s="58"/>
      <c r="WVL14" s="58"/>
      <c r="WVM14" s="58"/>
      <c r="WVN14" s="58"/>
      <c r="WVO14" s="58"/>
      <c r="WVP14" s="58"/>
      <c r="WVQ14" s="58"/>
      <c r="WVR14" s="58"/>
      <c r="WVS14" s="58"/>
      <c r="WVT14" s="58"/>
      <c r="WVU14" s="58"/>
      <c r="WVV14" s="58"/>
      <c r="WVW14" s="58"/>
      <c r="WVX14" s="58"/>
      <c r="WVY14" s="58"/>
      <c r="WVZ14" s="58"/>
      <c r="WWA14" s="58"/>
      <c r="WWB14" s="58"/>
      <c r="WWC14" s="58"/>
      <c r="WWD14" s="58"/>
      <c r="WWE14" s="58"/>
      <c r="WWF14" s="58"/>
      <c r="WWG14" s="58"/>
      <c r="WWH14" s="58"/>
      <c r="WWI14" s="58"/>
      <c r="WWJ14" s="58"/>
      <c r="WWK14" s="58"/>
      <c r="WWL14" s="58"/>
      <c r="WWM14" s="58"/>
      <c r="WWN14" s="58"/>
      <c r="WWO14" s="58"/>
      <c r="WWP14" s="58"/>
      <c r="WWQ14" s="58"/>
      <c r="WWR14" s="58"/>
      <c r="WWS14" s="58"/>
      <c r="WWT14" s="58"/>
      <c r="WWU14" s="58"/>
      <c r="WWV14" s="58"/>
      <c r="WWW14" s="58"/>
      <c r="WWX14" s="58"/>
      <c r="WWY14" s="58"/>
      <c r="WWZ14" s="58"/>
      <c r="WXA14" s="58"/>
      <c r="WXB14" s="58"/>
      <c r="WXC14" s="58"/>
      <c r="WXD14" s="58"/>
      <c r="WXE14" s="58"/>
      <c r="WXF14" s="58"/>
      <c r="WXG14" s="58"/>
      <c r="WXH14" s="58"/>
      <c r="WXI14" s="58"/>
      <c r="WXJ14" s="58"/>
      <c r="WXK14" s="58"/>
      <c r="WXL14" s="58"/>
      <c r="WXM14" s="58"/>
      <c r="WXN14" s="58"/>
      <c r="WXO14" s="58"/>
      <c r="WXP14" s="58"/>
      <c r="WXQ14" s="58"/>
      <c r="WXR14" s="58"/>
      <c r="WXS14" s="58"/>
      <c r="WXT14" s="58"/>
      <c r="WXU14" s="58"/>
      <c r="WXV14" s="58"/>
      <c r="WXW14" s="58"/>
      <c r="WXX14" s="58"/>
      <c r="WXY14" s="58"/>
      <c r="WXZ14" s="58"/>
      <c r="WYA14" s="58"/>
      <c r="WYB14" s="58"/>
      <c r="WYC14" s="58"/>
      <c r="WYD14" s="58"/>
      <c r="WYE14" s="58"/>
      <c r="WYF14" s="58"/>
      <c r="WYG14" s="58"/>
      <c r="WYH14" s="58"/>
      <c r="WYI14" s="58"/>
      <c r="WYJ14" s="58"/>
      <c r="WYK14" s="58"/>
      <c r="WYL14" s="58"/>
      <c r="WYM14" s="58"/>
      <c r="WYN14" s="58"/>
      <c r="WYO14" s="58"/>
      <c r="WYP14" s="58"/>
      <c r="WYQ14" s="58"/>
      <c r="WYR14" s="58"/>
      <c r="WYS14" s="58"/>
      <c r="WYT14" s="58"/>
      <c r="WYU14" s="58"/>
      <c r="WYV14" s="58"/>
      <c r="WYW14" s="58"/>
      <c r="WYX14" s="58"/>
      <c r="WYY14" s="58"/>
      <c r="WYZ14" s="58"/>
      <c r="WZA14" s="58"/>
      <c r="WZB14" s="58"/>
      <c r="WZC14" s="58"/>
      <c r="WZD14" s="58"/>
      <c r="WZE14" s="58"/>
      <c r="WZF14" s="58"/>
      <c r="WZG14" s="58"/>
      <c r="WZH14" s="58"/>
      <c r="WZI14" s="58"/>
      <c r="WZJ14" s="58"/>
      <c r="WZK14" s="58"/>
      <c r="WZL14" s="58"/>
      <c r="WZM14" s="58"/>
      <c r="WZN14" s="58"/>
      <c r="WZO14" s="58"/>
      <c r="WZP14" s="58"/>
      <c r="WZQ14" s="58"/>
      <c r="WZR14" s="58"/>
      <c r="WZS14" s="58"/>
      <c r="WZT14" s="58"/>
      <c r="WZU14" s="58"/>
      <c r="WZV14" s="58"/>
      <c r="WZW14" s="58"/>
      <c r="WZX14" s="58"/>
      <c r="WZY14" s="58"/>
      <c r="WZZ14" s="58"/>
      <c r="XAA14" s="58"/>
      <c r="XAB14" s="58"/>
      <c r="XAC14" s="58"/>
      <c r="XAD14" s="58"/>
      <c r="XAE14" s="58"/>
      <c r="XAF14" s="58"/>
      <c r="XAG14" s="58"/>
      <c r="XAH14" s="58"/>
      <c r="XAI14" s="58"/>
      <c r="XAJ14" s="58"/>
      <c r="XAK14" s="58"/>
      <c r="XAL14" s="58"/>
      <c r="XAM14" s="58"/>
      <c r="XAN14" s="58"/>
      <c r="XAO14" s="58"/>
      <c r="XAP14" s="58"/>
      <c r="XAQ14" s="58"/>
      <c r="XAR14" s="58"/>
      <c r="XAS14" s="58"/>
      <c r="XAT14" s="58"/>
      <c r="XAU14" s="58"/>
      <c r="XAV14" s="58"/>
      <c r="XAW14" s="58"/>
      <c r="XAX14" s="58"/>
      <c r="XAY14" s="58"/>
      <c r="XAZ14" s="58"/>
      <c r="XBA14" s="58"/>
      <c r="XBB14" s="58"/>
      <c r="XBC14" s="58"/>
      <c r="XBD14" s="58"/>
      <c r="XBE14" s="58"/>
      <c r="XBF14" s="58"/>
      <c r="XBG14" s="58"/>
      <c r="XBH14" s="58"/>
      <c r="XBI14" s="58"/>
      <c r="XBJ14" s="58"/>
      <c r="XBK14" s="58"/>
      <c r="XBL14" s="58"/>
      <c r="XBM14" s="58"/>
      <c r="XBN14" s="58"/>
      <c r="XBO14" s="58"/>
      <c r="XBP14" s="58"/>
      <c r="XBQ14" s="58"/>
      <c r="XBR14" s="58"/>
      <c r="XBS14" s="58"/>
      <c r="XBT14" s="58"/>
      <c r="XBU14" s="58"/>
      <c r="XBV14" s="58"/>
      <c r="XBW14" s="58"/>
      <c r="XBX14" s="58"/>
      <c r="XBY14" s="58"/>
      <c r="XBZ14" s="58"/>
      <c r="XCA14" s="58"/>
      <c r="XCB14" s="58"/>
      <c r="XCC14" s="58"/>
      <c r="XCD14" s="58"/>
      <c r="XCE14" s="58"/>
      <c r="XCF14" s="58"/>
      <c r="XCG14" s="58"/>
      <c r="XCH14" s="58"/>
      <c r="XCI14" s="58"/>
      <c r="XCJ14" s="58"/>
      <c r="XCK14" s="58"/>
      <c r="XCL14" s="58"/>
      <c r="XCM14" s="58"/>
      <c r="XCN14" s="58"/>
      <c r="XCO14" s="58"/>
      <c r="XCP14" s="58"/>
      <c r="XCQ14" s="58"/>
      <c r="XCR14" s="58"/>
      <c r="XCS14" s="58"/>
      <c r="XCT14" s="58"/>
      <c r="XCU14" s="58"/>
      <c r="XCV14" s="58"/>
      <c r="XCW14" s="58"/>
      <c r="XCX14" s="58"/>
      <c r="XCY14" s="58"/>
      <c r="XCZ14" s="58"/>
      <c r="XDA14" s="58"/>
      <c r="XDB14" s="58"/>
      <c r="XDC14" s="58"/>
      <c r="XDD14" s="58"/>
      <c r="XDE14" s="58"/>
      <c r="XDF14" s="58"/>
      <c r="XDG14" s="58"/>
      <c r="XDH14" s="58"/>
      <c r="XDI14" s="58"/>
      <c r="XDJ14" s="58"/>
      <c r="XDK14" s="58"/>
      <c r="XDL14" s="58"/>
      <c r="XDM14" s="58"/>
      <c r="XDN14" s="58"/>
      <c r="XDO14" s="58"/>
      <c r="XDP14" s="58"/>
      <c r="XDQ14" s="58"/>
      <c r="XDR14" s="58"/>
      <c r="XDS14" s="58"/>
      <c r="XDT14" s="58"/>
      <c r="XDU14" s="58"/>
      <c r="XDV14" s="58"/>
      <c r="XDW14" s="58"/>
      <c r="XDX14" s="58"/>
      <c r="XDY14" s="58"/>
      <c r="XDZ14" s="58"/>
      <c r="XEA14" s="58"/>
      <c r="XEB14" s="58"/>
      <c r="XEC14" s="58"/>
      <c r="XED14" s="58"/>
      <c r="XEE14" s="58"/>
      <c r="XEF14" s="58"/>
      <c r="XEG14" s="58"/>
      <c r="XEH14" s="58"/>
      <c r="XEI14" s="58"/>
      <c r="XEJ14" s="58"/>
      <c r="XEK14" s="58"/>
      <c r="XEL14" s="58"/>
      <c r="XEM14" s="58"/>
      <c r="XEN14" s="58"/>
      <c r="XEO14" s="58"/>
      <c r="XEP14" s="58"/>
      <c r="XEQ14" s="58"/>
      <c r="XER14" s="58"/>
      <c r="XES14" s="58"/>
      <c r="XET14" s="58"/>
      <c r="XEU14" s="58"/>
      <c r="XEV14" s="58"/>
      <c r="XEW14" s="58"/>
      <c r="XEX14" s="58"/>
      <c r="XEY14" s="58"/>
      <c r="XEZ14" s="58"/>
      <c r="XFA14" s="58"/>
      <c r="XFB14" s="58"/>
      <c r="XFC14" s="58"/>
      <c r="XFD14" s="58"/>
    </row>
    <row r="15" spans="2:16384" s="25" customFormat="1" ht="19.5" customHeight="1" x14ac:dyDescent="0.3">
      <c r="B15" s="42"/>
      <c r="C15" s="42"/>
      <c r="D15" s="42" t="s">
        <v>270</v>
      </c>
      <c r="E15" s="6"/>
      <c r="F15" s="125">
        <v>1500000000</v>
      </c>
      <c r="G15" s="90"/>
      <c r="H15" s="112"/>
      <c r="I15" s="90"/>
      <c r="J15" s="7"/>
      <c r="K15" s="29"/>
      <c r="L15" s="29"/>
      <c r="M15" s="15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140" t="s">
        <v>288</v>
      </c>
      <c r="Y15" s="140"/>
      <c r="Z15" s="50">
        <v>0.25</v>
      </c>
      <c r="AA15" s="50">
        <v>0.5</v>
      </c>
      <c r="AB15" s="50">
        <v>0.75</v>
      </c>
      <c r="AC15" s="50">
        <v>1</v>
      </c>
      <c r="AD15" s="50">
        <v>0.25</v>
      </c>
      <c r="AE15" s="50">
        <v>0.5</v>
      </c>
      <c r="AF15" s="50">
        <v>0.75</v>
      </c>
      <c r="AG15" s="50">
        <v>1</v>
      </c>
      <c r="AH15" s="50">
        <v>0.25</v>
      </c>
      <c r="AI15" s="50">
        <v>0.5</v>
      </c>
      <c r="AJ15" s="50">
        <v>0.75</v>
      </c>
      <c r="AK15" s="50">
        <v>1</v>
      </c>
      <c r="AL15" s="50">
        <v>0.25</v>
      </c>
      <c r="AM15" s="50">
        <v>0.5</v>
      </c>
      <c r="AN15" s="50">
        <v>0.75</v>
      </c>
      <c r="AO15" s="50">
        <v>1</v>
      </c>
      <c r="AP15" s="50">
        <v>0.25</v>
      </c>
      <c r="AQ15" s="50">
        <v>0.5</v>
      </c>
      <c r="AR15" s="50">
        <v>0.75</v>
      </c>
      <c r="AS15" s="50">
        <v>1</v>
      </c>
      <c r="AT15" s="50">
        <v>0.25</v>
      </c>
      <c r="AU15" s="50">
        <v>0.5</v>
      </c>
      <c r="AV15" s="50">
        <v>0.75</v>
      </c>
      <c r="AW15" s="50">
        <v>1</v>
      </c>
      <c r="AX15" s="50">
        <v>0.25</v>
      </c>
      <c r="AY15" s="50">
        <v>0.5</v>
      </c>
      <c r="AZ15" s="50">
        <v>0.75</v>
      </c>
      <c r="BA15" s="50">
        <v>1</v>
      </c>
      <c r="BB15" s="50">
        <v>0.25</v>
      </c>
      <c r="BC15" s="50">
        <v>0.5</v>
      </c>
      <c r="BD15" s="50">
        <v>0.75</v>
      </c>
      <c r="BE15" s="50">
        <v>1</v>
      </c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  <c r="AFJ15" s="41"/>
      <c r="AFK15" s="41"/>
      <c r="AFL15" s="41"/>
      <c r="AFM15" s="41"/>
      <c r="AFN15" s="41"/>
      <c r="AFO15" s="41"/>
      <c r="AFP15" s="41"/>
      <c r="AFQ15" s="41"/>
      <c r="AFR15" s="41"/>
      <c r="AFS15" s="41"/>
      <c r="AFT15" s="41"/>
      <c r="AFU15" s="41"/>
      <c r="AFV15" s="41"/>
      <c r="AFW15" s="41"/>
      <c r="AFX15" s="41"/>
      <c r="AFY15" s="41"/>
      <c r="AFZ15" s="41"/>
      <c r="AGA15" s="41"/>
      <c r="AGB15" s="41"/>
      <c r="AGC15" s="41"/>
      <c r="AGD15" s="41"/>
      <c r="AGE15" s="41"/>
      <c r="AGF15" s="41"/>
      <c r="AGG15" s="41"/>
      <c r="AGH15" s="41"/>
      <c r="AGI15" s="41"/>
      <c r="AGJ15" s="41"/>
      <c r="AGK15" s="41"/>
      <c r="AGL15" s="41"/>
      <c r="AGM15" s="41"/>
      <c r="AGN15" s="41"/>
      <c r="AGO15" s="41"/>
      <c r="AGP15" s="41"/>
      <c r="AGQ15" s="41"/>
      <c r="AGR15" s="41"/>
      <c r="AGS15" s="41"/>
      <c r="AGT15" s="41"/>
      <c r="AGU15" s="41"/>
      <c r="AGV15" s="41"/>
      <c r="AGW15" s="41"/>
      <c r="AGX15" s="41"/>
      <c r="AGY15" s="41"/>
      <c r="AGZ15" s="41"/>
      <c r="AHA15" s="41"/>
      <c r="AHB15" s="41"/>
      <c r="AHC15" s="41"/>
      <c r="AHD15" s="41"/>
      <c r="AHE15" s="41"/>
      <c r="AHF15" s="41"/>
      <c r="AHG15" s="41"/>
      <c r="AHH15" s="41"/>
      <c r="AHI15" s="41"/>
      <c r="AHJ15" s="41"/>
      <c r="AHK15" s="41"/>
      <c r="AHL15" s="41"/>
      <c r="AHM15" s="41"/>
      <c r="AHN15" s="41"/>
      <c r="AHO15" s="41"/>
      <c r="AHP15" s="41"/>
      <c r="AHQ15" s="41"/>
      <c r="AHR15" s="41"/>
      <c r="AHS15" s="41"/>
      <c r="AHT15" s="41"/>
      <c r="AHU15" s="41"/>
      <c r="AHV15" s="41"/>
      <c r="AHW15" s="41"/>
      <c r="AHX15" s="41"/>
      <c r="AHY15" s="41"/>
      <c r="AHZ15" s="41"/>
      <c r="AIA15" s="41"/>
      <c r="AIB15" s="41"/>
      <c r="AIC15" s="41"/>
      <c r="AID15" s="41"/>
      <c r="AIE15" s="41"/>
      <c r="AIF15" s="41"/>
      <c r="AIG15" s="41"/>
      <c r="AIH15" s="41"/>
      <c r="AII15" s="41"/>
      <c r="AIJ15" s="41"/>
      <c r="AIK15" s="41"/>
      <c r="AIL15" s="41"/>
      <c r="AIM15" s="41"/>
      <c r="AIN15" s="41"/>
      <c r="AIO15" s="41"/>
      <c r="AIP15" s="41"/>
      <c r="AIQ15" s="41"/>
      <c r="AIR15" s="41"/>
      <c r="AIS15" s="41"/>
      <c r="AIT15" s="41"/>
      <c r="AIU15" s="41"/>
      <c r="AIV15" s="41"/>
      <c r="AIW15" s="41"/>
      <c r="AIX15" s="41"/>
      <c r="AIY15" s="41"/>
      <c r="AIZ15" s="41"/>
      <c r="AJA15" s="41"/>
      <c r="AJB15" s="41"/>
      <c r="AJC15" s="41"/>
      <c r="AJD15" s="41"/>
      <c r="AJE15" s="41"/>
      <c r="AJF15" s="41"/>
      <c r="AJG15" s="41"/>
      <c r="AJH15" s="41"/>
      <c r="AJI15" s="41"/>
      <c r="AJJ15" s="41"/>
      <c r="AJK15" s="41"/>
      <c r="AJL15" s="41"/>
      <c r="AJM15" s="41"/>
      <c r="AJN15" s="41"/>
      <c r="AJO15" s="41"/>
      <c r="AJP15" s="41"/>
      <c r="AJQ15" s="41"/>
      <c r="AJR15" s="41"/>
      <c r="AJS15" s="41"/>
      <c r="AJT15" s="41"/>
      <c r="AJU15" s="41"/>
      <c r="AJV15" s="41"/>
      <c r="AJW15" s="41"/>
      <c r="AJX15" s="41"/>
      <c r="AJY15" s="41"/>
      <c r="AJZ15" s="41"/>
      <c r="AKA15" s="41"/>
      <c r="AKB15" s="41"/>
      <c r="AKC15" s="41"/>
      <c r="AKD15" s="41"/>
      <c r="AKE15" s="41"/>
      <c r="AKF15" s="41"/>
      <c r="AKG15" s="41"/>
      <c r="AKH15" s="41"/>
      <c r="AKI15" s="41"/>
      <c r="AKJ15" s="41"/>
      <c r="AKK15" s="41"/>
      <c r="AKL15" s="41"/>
      <c r="AKM15" s="41"/>
      <c r="AKN15" s="41"/>
      <c r="AKO15" s="41"/>
      <c r="AKP15" s="41"/>
      <c r="AKQ15" s="41"/>
      <c r="AKR15" s="41"/>
      <c r="AKS15" s="41"/>
      <c r="AKT15" s="41"/>
      <c r="AKU15" s="41"/>
      <c r="AKV15" s="41"/>
      <c r="AKW15" s="41"/>
      <c r="AKX15" s="41"/>
      <c r="AKY15" s="41"/>
      <c r="AKZ15" s="41"/>
      <c r="ALA15" s="41"/>
      <c r="ALB15" s="41"/>
      <c r="ALC15" s="41"/>
      <c r="ALD15" s="41"/>
      <c r="ALE15" s="41"/>
      <c r="ALF15" s="41"/>
      <c r="ALG15" s="41"/>
      <c r="ALH15" s="41"/>
      <c r="ALI15" s="41"/>
      <c r="ALJ15" s="41"/>
      <c r="ALK15" s="41"/>
      <c r="ALL15" s="41"/>
      <c r="ALM15" s="41"/>
      <c r="ALN15" s="41"/>
      <c r="ALO15" s="41"/>
      <c r="ALP15" s="41"/>
      <c r="ALQ15" s="41"/>
      <c r="ALR15" s="41"/>
      <c r="ALS15" s="41"/>
      <c r="ALT15" s="41"/>
      <c r="ALU15" s="41"/>
      <c r="ALV15" s="41"/>
      <c r="ALW15" s="41"/>
      <c r="ALX15" s="41"/>
      <c r="ALY15" s="41"/>
      <c r="ALZ15" s="41"/>
      <c r="AMA15" s="41"/>
      <c r="AMB15" s="41"/>
      <c r="AMC15" s="41"/>
      <c r="AMD15" s="41"/>
      <c r="AME15" s="41"/>
      <c r="AMF15" s="41"/>
      <c r="AMG15" s="41"/>
      <c r="AMH15" s="41"/>
      <c r="AMI15" s="41"/>
      <c r="AMJ15" s="41"/>
      <c r="AMK15" s="41"/>
      <c r="AML15" s="41"/>
      <c r="AMM15" s="41"/>
      <c r="AMN15" s="41"/>
      <c r="AMO15" s="41"/>
      <c r="AMP15" s="41"/>
      <c r="AMQ15" s="41"/>
      <c r="AMR15" s="41"/>
      <c r="AMS15" s="41"/>
      <c r="AMT15" s="41"/>
      <c r="AMU15" s="41"/>
      <c r="AMV15" s="41"/>
      <c r="AMW15" s="41"/>
      <c r="AMX15" s="41"/>
      <c r="AMY15" s="41"/>
      <c r="AMZ15" s="41"/>
      <c r="ANA15" s="41"/>
      <c r="ANB15" s="41"/>
      <c r="ANC15" s="41"/>
      <c r="AND15" s="41"/>
      <c r="ANE15" s="41"/>
      <c r="ANF15" s="41"/>
      <c r="ANG15" s="41"/>
      <c r="ANH15" s="41"/>
      <c r="ANI15" s="41"/>
      <c r="ANJ15" s="41"/>
      <c r="ANK15" s="41"/>
      <c r="ANL15" s="41"/>
      <c r="ANM15" s="41"/>
      <c r="ANN15" s="41"/>
      <c r="ANO15" s="41"/>
      <c r="ANP15" s="41"/>
      <c r="ANQ15" s="41"/>
      <c r="ANR15" s="41"/>
      <c r="ANS15" s="41"/>
      <c r="ANT15" s="41"/>
      <c r="ANU15" s="41"/>
      <c r="ANV15" s="41"/>
      <c r="ANW15" s="41"/>
      <c r="ANX15" s="41"/>
      <c r="ANY15" s="41"/>
      <c r="ANZ15" s="41"/>
      <c r="AOA15" s="41"/>
      <c r="AOB15" s="41"/>
      <c r="AOC15" s="41"/>
      <c r="AOD15" s="41"/>
      <c r="AOE15" s="41"/>
      <c r="AOF15" s="41"/>
      <c r="AOG15" s="41"/>
      <c r="AOH15" s="41"/>
      <c r="AOI15" s="41"/>
      <c r="AOJ15" s="41"/>
      <c r="AOK15" s="41"/>
      <c r="AOL15" s="41"/>
      <c r="AOM15" s="41"/>
      <c r="AON15" s="41"/>
      <c r="AOO15" s="41"/>
      <c r="AOP15" s="41"/>
      <c r="AOQ15" s="41"/>
      <c r="AOR15" s="41"/>
      <c r="AOS15" s="41"/>
      <c r="AOT15" s="41"/>
      <c r="AOU15" s="41"/>
      <c r="AOV15" s="41"/>
      <c r="AOW15" s="41"/>
      <c r="AOX15" s="41"/>
      <c r="AOY15" s="41"/>
      <c r="AOZ15" s="41"/>
      <c r="APA15" s="41"/>
      <c r="APB15" s="41"/>
      <c r="APC15" s="41"/>
      <c r="APD15" s="41"/>
      <c r="APE15" s="41"/>
      <c r="APF15" s="41"/>
      <c r="APG15" s="41"/>
      <c r="APH15" s="41"/>
      <c r="API15" s="41"/>
      <c r="APJ15" s="41"/>
      <c r="APK15" s="41"/>
      <c r="APL15" s="41"/>
      <c r="APM15" s="41"/>
      <c r="APN15" s="41"/>
      <c r="APO15" s="41"/>
      <c r="APP15" s="41"/>
      <c r="APQ15" s="41"/>
      <c r="APR15" s="41"/>
      <c r="APS15" s="41"/>
      <c r="APT15" s="41"/>
      <c r="APU15" s="41"/>
      <c r="APV15" s="41"/>
      <c r="APW15" s="41"/>
      <c r="APX15" s="41"/>
      <c r="APY15" s="41"/>
      <c r="APZ15" s="41"/>
      <c r="AQA15" s="41"/>
      <c r="AQB15" s="41"/>
      <c r="AQC15" s="41"/>
      <c r="AQD15" s="41"/>
      <c r="AQE15" s="41"/>
      <c r="AQF15" s="41"/>
      <c r="AQG15" s="41"/>
      <c r="AQH15" s="41"/>
      <c r="AQI15" s="41"/>
      <c r="AQJ15" s="41"/>
      <c r="AQK15" s="41"/>
      <c r="AQL15" s="41"/>
      <c r="AQM15" s="41"/>
      <c r="AQN15" s="41"/>
      <c r="AQO15" s="41"/>
      <c r="AQP15" s="41"/>
      <c r="AQQ15" s="41"/>
      <c r="AQR15" s="41"/>
      <c r="AQS15" s="41"/>
      <c r="AQT15" s="41"/>
      <c r="AQU15" s="41"/>
      <c r="AQV15" s="41"/>
      <c r="AQW15" s="41"/>
      <c r="AQX15" s="41"/>
      <c r="AQY15" s="41"/>
      <c r="AQZ15" s="41"/>
      <c r="ARA15" s="41"/>
      <c r="ARB15" s="41"/>
      <c r="ARC15" s="41"/>
      <c r="ARD15" s="41"/>
      <c r="ARE15" s="41"/>
      <c r="ARF15" s="41"/>
      <c r="ARG15" s="41"/>
      <c r="ARH15" s="41"/>
      <c r="ARI15" s="41"/>
      <c r="ARJ15" s="41"/>
      <c r="ARK15" s="41"/>
      <c r="ARL15" s="41"/>
      <c r="ARM15" s="41"/>
      <c r="ARN15" s="41"/>
      <c r="ARO15" s="41"/>
      <c r="ARP15" s="41"/>
      <c r="ARQ15" s="41"/>
      <c r="ARR15" s="41"/>
      <c r="ARS15" s="41"/>
      <c r="ART15" s="41"/>
      <c r="ARU15" s="41"/>
      <c r="ARV15" s="41"/>
      <c r="ARW15" s="41"/>
      <c r="ARX15" s="41"/>
      <c r="ARY15" s="41"/>
      <c r="ARZ15" s="41"/>
      <c r="ASA15" s="41"/>
      <c r="ASB15" s="41"/>
      <c r="ASC15" s="41"/>
      <c r="ASD15" s="41"/>
      <c r="ASE15" s="41"/>
      <c r="ASF15" s="41"/>
      <c r="ASG15" s="41"/>
      <c r="ASH15" s="41"/>
      <c r="ASI15" s="41"/>
      <c r="ASJ15" s="41"/>
      <c r="ASK15" s="41"/>
      <c r="ASL15" s="41"/>
      <c r="ASM15" s="41"/>
      <c r="ASN15" s="41"/>
      <c r="ASO15" s="41"/>
      <c r="ASP15" s="41"/>
      <c r="ASQ15" s="41"/>
      <c r="ASR15" s="41"/>
      <c r="ASS15" s="41"/>
      <c r="AST15" s="41"/>
      <c r="ASU15" s="41"/>
      <c r="ASV15" s="41"/>
      <c r="ASW15" s="41"/>
      <c r="ASX15" s="41"/>
      <c r="ASY15" s="41"/>
      <c r="ASZ15" s="41"/>
      <c r="ATA15" s="41"/>
      <c r="ATB15" s="41"/>
      <c r="ATC15" s="41"/>
      <c r="ATD15" s="41"/>
      <c r="ATE15" s="41"/>
      <c r="ATF15" s="41"/>
      <c r="ATG15" s="41"/>
      <c r="ATH15" s="41"/>
      <c r="ATI15" s="41"/>
      <c r="ATJ15" s="41"/>
      <c r="ATK15" s="41"/>
      <c r="ATL15" s="41"/>
      <c r="ATM15" s="41"/>
      <c r="ATN15" s="41"/>
      <c r="ATO15" s="41"/>
      <c r="ATP15" s="41"/>
      <c r="ATQ15" s="41"/>
      <c r="ATR15" s="41"/>
      <c r="ATS15" s="41"/>
      <c r="ATT15" s="41"/>
      <c r="ATU15" s="41"/>
      <c r="ATV15" s="41"/>
      <c r="ATW15" s="41"/>
      <c r="ATX15" s="41"/>
      <c r="ATY15" s="41"/>
      <c r="ATZ15" s="41"/>
      <c r="AUA15" s="41"/>
      <c r="AUB15" s="41"/>
      <c r="AUC15" s="41"/>
      <c r="AUD15" s="41"/>
      <c r="AUE15" s="41"/>
      <c r="AUF15" s="41"/>
      <c r="AUG15" s="41"/>
      <c r="AUH15" s="41"/>
      <c r="AUI15" s="41"/>
      <c r="AUJ15" s="41"/>
      <c r="AUK15" s="41"/>
      <c r="AUL15" s="41"/>
      <c r="AUM15" s="41"/>
      <c r="AUN15" s="41"/>
      <c r="AUO15" s="41"/>
      <c r="AUP15" s="41"/>
      <c r="AUQ15" s="41"/>
      <c r="AUR15" s="41"/>
      <c r="AUS15" s="41"/>
      <c r="AUT15" s="41"/>
      <c r="AUU15" s="41"/>
      <c r="AUV15" s="41"/>
      <c r="AUW15" s="41"/>
      <c r="AUX15" s="41"/>
      <c r="AUY15" s="41"/>
      <c r="AUZ15" s="41"/>
      <c r="AVA15" s="41"/>
      <c r="AVB15" s="41"/>
      <c r="AVC15" s="41"/>
      <c r="AVD15" s="41"/>
      <c r="AVE15" s="41"/>
      <c r="AVF15" s="41"/>
      <c r="AVG15" s="41"/>
      <c r="AVH15" s="41"/>
      <c r="AVI15" s="41"/>
      <c r="AVJ15" s="41"/>
      <c r="AVK15" s="41"/>
      <c r="AVL15" s="41"/>
      <c r="AVM15" s="41"/>
      <c r="AVN15" s="41"/>
      <c r="AVO15" s="41"/>
      <c r="AVP15" s="41"/>
      <c r="AVQ15" s="41"/>
      <c r="AVR15" s="41"/>
      <c r="AVS15" s="41"/>
      <c r="AVT15" s="41"/>
      <c r="AVU15" s="41"/>
      <c r="AVV15" s="41"/>
      <c r="AVW15" s="41"/>
      <c r="AVX15" s="41"/>
      <c r="AVY15" s="41"/>
      <c r="AVZ15" s="41"/>
      <c r="AWA15" s="41"/>
      <c r="AWB15" s="41"/>
      <c r="AWC15" s="41"/>
      <c r="AWD15" s="41"/>
      <c r="AWE15" s="41"/>
      <c r="AWF15" s="41"/>
      <c r="AWG15" s="41"/>
      <c r="AWH15" s="41"/>
      <c r="AWI15" s="41"/>
      <c r="AWJ15" s="41"/>
      <c r="AWK15" s="41"/>
      <c r="AWL15" s="41"/>
      <c r="AWM15" s="41"/>
      <c r="AWN15" s="41"/>
      <c r="AWO15" s="41"/>
      <c r="AWP15" s="41"/>
      <c r="AWQ15" s="41"/>
      <c r="AWR15" s="41"/>
      <c r="AWS15" s="41"/>
      <c r="AWT15" s="41"/>
      <c r="AWU15" s="41"/>
      <c r="AWV15" s="41"/>
      <c r="AWW15" s="41"/>
      <c r="AWX15" s="41"/>
      <c r="AWY15" s="41"/>
      <c r="AWZ15" s="41"/>
      <c r="AXA15" s="41"/>
      <c r="AXB15" s="41"/>
      <c r="AXC15" s="41"/>
      <c r="AXD15" s="41"/>
      <c r="AXE15" s="41"/>
      <c r="AXF15" s="41"/>
      <c r="AXG15" s="41"/>
      <c r="AXH15" s="41"/>
      <c r="AXI15" s="41"/>
      <c r="AXJ15" s="41"/>
      <c r="AXK15" s="41"/>
      <c r="AXL15" s="41"/>
      <c r="AXM15" s="41"/>
      <c r="AXN15" s="41"/>
      <c r="AXO15" s="41"/>
      <c r="AXP15" s="41"/>
      <c r="AXQ15" s="41"/>
      <c r="AXR15" s="41"/>
      <c r="AXS15" s="41"/>
      <c r="AXT15" s="41"/>
      <c r="AXU15" s="41"/>
      <c r="AXV15" s="41"/>
      <c r="AXW15" s="41"/>
      <c r="AXX15" s="41"/>
      <c r="AXY15" s="41"/>
      <c r="AXZ15" s="41"/>
      <c r="AYA15" s="41"/>
      <c r="AYB15" s="41"/>
      <c r="AYC15" s="41"/>
      <c r="AYD15" s="41"/>
      <c r="AYE15" s="41"/>
      <c r="AYF15" s="41"/>
      <c r="AYG15" s="41"/>
      <c r="AYH15" s="41"/>
      <c r="AYI15" s="41"/>
      <c r="AYJ15" s="41"/>
      <c r="AYK15" s="41"/>
      <c r="AYL15" s="41"/>
      <c r="AYM15" s="41"/>
      <c r="AYN15" s="41"/>
      <c r="AYO15" s="41"/>
      <c r="AYP15" s="41"/>
      <c r="AYQ15" s="41"/>
      <c r="AYR15" s="41"/>
      <c r="AYS15" s="41"/>
      <c r="AYT15" s="41"/>
      <c r="AYU15" s="41"/>
      <c r="AYV15" s="41"/>
      <c r="AYW15" s="41"/>
      <c r="AYX15" s="41"/>
      <c r="AYY15" s="41"/>
      <c r="AYZ15" s="41"/>
      <c r="AZA15" s="41"/>
      <c r="AZB15" s="41"/>
      <c r="AZC15" s="41"/>
      <c r="AZD15" s="41"/>
      <c r="AZE15" s="41"/>
      <c r="AZF15" s="41"/>
      <c r="AZG15" s="41"/>
      <c r="AZH15" s="41"/>
      <c r="AZI15" s="41"/>
      <c r="AZJ15" s="41"/>
      <c r="AZK15" s="41"/>
      <c r="AZL15" s="41"/>
      <c r="AZM15" s="41"/>
      <c r="AZN15" s="41"/>
      <c r="AZO15" s="41"/>
      <c r="AZP15" s="41"/>
      <c r="AZQ15" s="41"/>
      <c r="AZR15" s="41"/>
      <c r="AZS15" s="41"/>
      <c r="AZT15" s="41"/>
      <c r="AZU15" s="41"/>
      <c r="AZV15" s="41"/>
      <c r="AZW15" s="41"/>
      <c r="AZX15" s="41"/>
      <c r="AZY15" s="41"/>
      <c r="AZZ15" s="41"/>
      <c r="BAA15" s="41"/>
      <c r="BAB15" s="41"/>
      <c r="BAC15" s="41"/>
      <c r="BAD15" s="41"/>
      <c r="BAE15" s="41"/>
      <c r="BAF15" s="41"/>
      <c r="BAG15" s="41"/>
      <c r="BAH15" s="41"/>
      <c r="BAI15" s="41"/>
      <c r="BAJ15" s="41"/>
      <c r="BAK15" s="41"/>
      <c r="BAL15" s="41"/>
      <c r="BAM15" s="41"/>
      <c r="BAN15" s="41"/>
      <c r="BAO15" s="41"/>
      <c r="BAP15" s="41"/>
      <c r="BAQ15" s="41"/>
      <c r="BAR15" s="41"/>
      <c r="BAS15" s="41"/>
      <c r="BAT15" s="41"/>
      <c r="BAU15" s="41"/>
      <c r="BAV15" s="41"/>
      <c r="BAW15" s="41"/>
      <c r="BAX15" s="41"/>
      <c r="BAY15" s="41"/>
      <c r="BAZ15" s="41"/>
      <c r="BBA15" s="41"/>
      <c r="BBB15" s="41"/>
      <c r="BBC15" s="41"/>
      <c r="BBD15" s="41"/>
      <c r="BBE15" s="41"/>
      <c r="BBF15" s="41"/>
      <c r="BBG15" s="41"/>
      <c r="BBH15" s="41"/>
      <c r="BBI15" s="41"/>
      <c r="BBJ15" s="41"/>
      <c r="BBK15" s="41"/>
      <c r="BBL15" s="41"/>
      <c r="BBM15" s="41"/>
      <c r="BBN15" s="41"/>
      <c r="BBO15" s="41"/>
      <c r="BBP15" s="41"/>
      <c r="BBQ15" s="41"/>
      <c r="BBR15" s="41"/>
      <c r="BBS15" s="41"/>
      <c r="BBT15" s="41"/>
      <c r="BBU15" s="41"/>
      <c r="BBV15" s="41"/>
      <c r="BBW15" s="41"/>
      <c r="BBX15" s="41"/>
      <c r="BBY15" s="41"/>
      <c r="BBZ15" s="41"/>
      <c r="BCA15" s="41"/>
      <c r="BCB15" s="41"/>
      <c r="BCC15" s="41"/>
      <c r="BCD15" s="41"/>
      <c r="BCE15" s="41"/>
      <c r="BCF15" s="41"/>
      <c r="BCG15" s="41"/>
      <c r="BCH15" s="41"/>
      <c r="BCI15" s="41"/>
      <c r="BCJ15" s="41"/>
      <c r="BCK15" s="41"/>
      <c r="BCL15" s="41"/>
      <c r="BCM15" s="41"/>
      <c r="BCN15" s="41"/>
      <c r="BCO15" s="41"/>
      <c r="BCP15" s="41"/>
      <c r="BCQ15" s="41"/>
      <c r="BCR15" s="41"/>
      <c r="BCS15" s="41"/>
      <c r="BCT15" s="41"/>
      <c r="BCU15" s="41"/>
      <c r="BCV15" s="41"/>
      <c r="BCW15" s="41"/>
      <c r="BCX15" s="41"/>
      <c r="BCY15" s="41"/>
      <c r="BCZ15" s="41"/>
      <c r="BDA15" s="41"/>
      <c r="BDB15" s="41"/>
      <c r="BDC15" s="41"/>
      <c r="BDD15" s="41"/>
      <c r="BDE15" s="41"/>
      <c r="BDF15" s="41"/>
      <c r="BDG15" s="41"/>
      <c r="BDH15" s="41"/>
      <c r="BDI15" s="41"/>
      <c r="BDJ15" s="41"/>
      <c r="BDK15" s="41"/>
      <c r="BDL15" s="41"/>
      <c r="BDM15" s="41"/>
      <c r="BDN15" s="41"/>
      <c r="BDO15" s="41"/>
      <c r="BDP15" s="41"/>
      <c r="BDQ15" s="41"/>
      <c r="BDR15" s="41"/>
      <c r="BDS15" s="41"/>
      <c r="BDT15" s="41"/>
      <c r="BDU15" s="41"/>
      <c r="BDV15" s="41"/>
      <c r="BDW15" s="41"/>
      <c r="BDX15" s="41"/>
      <c r="BDY15" s="41"/>
      <c r="BDZ15" s="41"/>
      <c r="BEA15" s="41"/>
      <c r="BEB15" s="41"/>
      <c r="BEC15" s="41"/>
      <c r="BED15" s="41"/>
      <c r="BEE15" s="41"/>
      <c r="BEF15" s="41"/>
      <c r="BEG15" s="41"/>
      <c r="BEH15" s="41"/>
      <c r="BEI15" s="41"/>
      <c r="BEJ15" s="41"/>
      <c r="BEK15" s="41"/>
      <c r="BEL15" s="41"/>
      <c r="BEM15" s="41"/>
      <c r="BEN15" s="41"/>
      <c r="BEO15" s="41"/>
      <c r="BEP15" s="41"/>
      <c r="BEQ15" s="41"/>
      <c r="BER15" s="41"/>
      <c r="BES15" s="41"/>
      <c r="BET15" s="41"/>
      <c r="BEU15" s="41"/>
      <c r="BEV15" s="41"/>
      <c r="BEW15" s="41"/>
      <c r="BEX15" s="41"/>
      <c r="BEY15" s="41"/>
      <c r="BEZ15" s="41"/>
      <c r="BFA15" s="41"/>
      <c r="BFB15" s="41"/>
      <c r="BFC15" s="41"/>
      <c r="BFD15" s="41"/>
      <c r="BFE15" s="41"/>
      <c r="BFF15" s="41"/>
      <c r="BFG15" s="41"/>
      <c r="BFH15" s="41"/>
      <c r="BFI15" s="41"/>
      <c r="BFJ15" s="41"/>
      <c r="BFK15" s="41"/>
      <c r="BFL15" s="41"/>
      <c r="BFM15" s="41"/>
      <c r="BFN15" s="41"/>
      <c r="BFO15" s="41"/>
      <c r="BFP15" s="41"/>
      <c r="BFQ15" s="41"/>
      <c r="BFR15" s="41"/>
      <c r="BFS15" s="41"/>
      <c r="BFT15" s="41"/>
      <c r="BFU15" s="41"/>
      <c r="BFV15" s="41"/>
      <c r="BFW15" s="41"/>
      <c r="BFX15" s="41"/>
      <c r="BFY15" s="41"/>
      <c r="BFZ15" s="41"/>
      <c r="BGA15" s="41"/>
      <c r="BGB15" s="41"/>
      <c r="BGC15" s="41"/>
      <c r="BGD15" s="41"/>
      <c r="BGE15" s="41"/>
      <c r="BGF15" s="41"/>
      <c r="BGG15" s="41"/>
      <c r="BGH15" s="41"/>
      <c r="BGI15" s="41"/>
      <c r="BGJ15" s="41"/>
      <c r="BGK15" s="41"/>
      <c r="BGL15" s="41"/>
      <c r="BGM15" s="41"/>
      <c r="BGN15" s="41"/>
      <c r="BGO15" s="41"/>
      <c r="BGP15" s="41"/>
      <c r="BGQ15" s="41"/>
      <c r="BGR15" s="41"/>
      <c r="BGS15" s="41"/>
      <c r="BGT15" s="41"/>
      <c r="BGU15" s="41"/>
      <c r="BGV15" s="41"/>
      <c r="BGW15" s="41"/>
      <c r="BGX15" s="41"/>
      <c r="BGY15" s="41"/>
      <c r="BGZ15" s="41"/>
      <c r="BHA15" s="41"/>
      <c r="BHB15" s="41"/>
      <c r="BHC15" s="41"/>
      <c r="BHD15" s="41"/>
      <c r="BHE15" s="41"/>
      <c r="BHF15" s="41"/>
      <c r="BHG15" s="41"/>
      <c r="BHH15" s="41"/>
      <c r="BHI15" s="41"/>
      <c r="BHJ15" s="41"/>
      <c r="BHK15" s="41"/>
      <c r="BHL15" s="41"/>
      <c r="BHM15" s="41"/>
      <c r="BHN15" s="41"/>
      <c r="BHO15" s="41"/>
      <c r="BHP15" s="41"/>
      <c r="BHQ15" s="41"/>
      <c r="BHR15" s="41"/>
      <c r="BHS15" s="41"/>
      <c r="BHT15" s="41"/>
      <c r="BHU15" s="41"/>
      <c r="BHV15" s="41"/>
      <c r="BHW15" s="41"/>
      <c r="BHX15" s="41"/>
      <c r="BHY15" s="41"/>
      <c r="BHZ15" s="41"/>
      <c r="BIA15" s="41"/>
      <c r="BIB15" s="41"/>
      <c r="BIC15" s="41"/>
      <c r="BID15" s="41"/>
      <c r="BIE15" s="41"/>
      <c r="BIF15" s="41"/>
      <c r="BIG15" s="41"/>
      <c r="BIH15" s="41"/>
      <c r="BII15" s="41"/>
      <c r="BIJ15" s="41"/>
      <c r="BIK15" s="41"/>
      <c r="BIL15" s="41"/>
      <c r="BIM15" s="41"/>
      <c r="BIN15" s="41"/>
      <c r="BIO15" s="41"/>
      <c r="BIP15" s="41"/>
      <c r="BIQ15" s="41"/>
      <c r="BIR15" s="41"/>
      <c r="BIS15" s="41"/>
      <c r="BIT15" s="41"/>
      <c r="BIU15" s="41"/>
      <c r="BIV15" s="41"/>
      <c r="BIW15" s="41"/>
      <c r="BIX15" s="41"/>
      <c r="BIY15" s="41"/>
      <c r="BIZ15" s="41"/>
      <c r="BJA15" s="41"/>
      <c r="BJB15" s="41"/>
      <c r="BJC15" s="41"/>
      <c r="BJD15" s="41"/>
      <c r="BJE15" s="41"/>
      <c r="BJF15" s="41"/>
      <c r="BJG15" s="41"/>
      <c r="BJH15" s="41"/>
      <c r="BJI15" s="41"/>
      <c r="BJJ15" s="41"/>
      <c r="BJK15" s="41"/>
      <c r="BJL15" s="41"/>
      <c r="BJM15" s="41"/>
      <c r="BJN15" s="41"/>
      <c r="BJO15" s="41"/>
      <c r="BJP15" s="41"/>
      <c r="BJQ15" s="41"/>
      <c r="BJR15" s="41"/>
      <c r="BJS15" s="41"/>
      <c r="BJT15" s="41"/>
      <c r="BJU15" s="41"/>
      <c r="BJV15" s="41"/>
      <c r="BJW15" s="41"/>
      <c r="BJX15" s="41"/>
      <c r="BJY15" s="41"/>
      <c r="BJZ15" s="41"/>
      <c r="BKA15" s="41"/>
      <c r="BKB15" s="41"/>
      <c r="BKC15" s="41"/>
      <c r="BKD15" s="41"/>
      <c r="BKE15" s="41"/>
      <c r="BKF15" s="41"/>
      <c r="BKG15" s="41"/>
      <c r="BKH15" s="41"/>
      <c r="BKI15" s="41"/>
      <c r="BKJ15" s="41"/>
      <c r="BKK15" s="41"/>
      <c r="BKL15" s="41"/>
      <c r="BKM15" s="41"/>
      <c r="BKN15" s="41"/>
      <c r="BKO15" s="41"/>
      <c r="BKP15" s="41"/>
      <c r="BKQ15" s="41"/>
      <c r="BKR15" s="41"/>
      <c r="BKS15" s="41"/>
      <c r="BKT15" s="41"/>
      <c r="BKU15" s="41"/>
      <c r="BKV15" s="41"/>
      <c r="BKW15" s="41"/>
      <c r="BKX15" s="41"/>
      <c r="BKY15" s="41"/>
      <c r="BKZ15" s="41"/>
      <c r="BLA15" s="41"/>
      <c r="BLB15" s="41"/>
      <c r="BLC15" s="41"/>
      <c r="BLD15" s="41"/>
      <c r="BLE15" s="41"/>
      <c r="BLF15" s="41"/>
      <c r="BLG15" s="41"/>
      <c r="BLH15" s="41"/>
      <c r="BLI15" s="41"/>
      <c r="BLJ15" s="41"/>
      <c r="BLK15" s="41"/>
      <c r="BLL15" s="41"/>
      <c r="BLM15" s="41"/>
      <c r="BLN15" s="41"/>
      <c r="BLO15" s="41"/>
      <c r="BLP15" s="41"/>
      <c r="BLQ15" s="41"/>
      <c r="BLR15" s="41"/>
      <c r="BLS15" s="41"/>
      <c r="BLT15" s="41"/>
      <c r="BLU15" s="41"/>
      <c r="BLV15" s="41"/>
      <c r="BLW15" s="41"/>
      <c r="BLX15" s="41"/>
      <c r="BLY15" s="41"/>
      <c r="BLZ15" s="41"/>
      <c r="BMA15" s="41"/>
      <c r="BMB15" s="41"/>
      <c r="BMC15" s="41"/>
      <c r="BMD15" s="41"/>
      <c r="BME15" s="41"/>
      <c r="BMF15" s="41"/>
      <c r="BMG15" s="41"/>
      <c r="BMH15" s="41"/>
      <c r="BMI15" s="41"/>
      <c r="BMJ15" s="41"/>
      <c r="BMK15" s="41"/>
      <c r="BML15" s="41"/>
      <c r="BMM15" s="41"/>
      <c r="BMN15" s="41"/>
      <c r="BMO15" s="41"/>
      <c r="BMP15" s="41"/>
      <c r="BMQ15" s="41"/>
      <c r="BMR15" s="41"/>
      <c r="BMS15" s="41"/>
      <c r="BMT15" s="41"/>
      <c r="BMU15" s="41"/>
      <c r="BMV15" s="41"/>
      <c r="BMW15" s="41"/>
      <c r="BMX15" s="41"/>
      <c r="BMY15" s="41"/>
      <c r="BMZ15" s="41"/>
      <c r="BNA15" s="41"/>
      <c r="BNB15" s="41"/>
      <c r="BNC15" s="41"/>
      <c r="BND15" s="41"/>
      <c r="BNE15" s="41"/>
      <c r="BNF15" s="41"/>
      <c r="BNG15" s="41"/>
      <c r="BNH15" s="41"/>
      <c r="BNI15" s="41"/>
      <c r="BNJ15" s="41"/>
      <c r="BNK15" s="41"/>
      <c r="BNL15" s="41"/>
      <c r="BNM15" s="41"/>
      <c r="BNN15" s="41"/>
      <c r="BNO15" s="41"/>
      <c r="BNP15" s="41"/>
      <c r="BNQ15" s="41"/>
      <c r="BNR15" s="41"/>
      <c r="BNS15" s="41"/>
      <c r="BNT15" s="41"/>
      <c r="BNU15" s="41"/>
      <c r="BNV15" s="41"/>
      <c r="BNW15" s="41"/>
      <c r="BNX15" s="41"/>
      <c r="BNY15" s="41"/>
      <c r="BNZ15" s="41"/>
      <c r="BOA15" s="41"/>
      <c r="BOB15" s="41"/>
      <c r="BOC15" s="41"/>
      <c r="BOD15" s="41"/>
      <c r="BOE15" s="41"/>
      <c r="BOF15" s="41"/>
      <c r="BOG15" s="41"/>
      <c r="BOH15" s="41"/>
      <c r="BOI15" s="41"/>
      <c r="BOJ15" s="41"/>
      <c r="BOK15" s="41"/>
      <c r="BOL15" s="41"/>
      <c r="BOM15" s="41"/>
      <c r="BON15" s="41"/>
      <c r="BOO15" s="41"/>
      <c r="BOP15" s="41"/>
      <c r="BOQ15" s="41"/>
      <c r="BOR15" s="41"/>
      <c r="BOS15" s="41"/>
      <c r="BOT15" s="41"/>
      <c r="BOU15" s="41"/>
      <c r="BOV15" s="41"/>
      <c r="BOW15" s="41"/>
      <c r="BOX15" s="41"/>
      <c r="BOY15" s="41"/>
      <c r="BOZ15" s="41"/>
      <c r="BPA15" s="41"/>
      <c r="BPB15" s="41"/>
      <c r="BPC15" s="41"/>
      <c r="BPD15" s="41"/>
      <c r="BPE15" s="41"/>
      <c r="BPF15" s="41"/>
      <c r="BPG15" s="41"/>
      <c r="BPH15" s="41"/>
      <c r="BPI15" s="41"/>
      <c r="BPJ15" s="41"/>
      <c r="BPK15" s="41"/>
      <c r="BPL15" s="41"/>
      <c r="BPM15" s="41"/>
      <c r="BPN15" s="41"/>
      <c r="BPO15" s="41"/>
      <c r="BPP15" s="41"/>
      <c r="BPQ15" s="41"/>
      <c r="BPR15" s="41"/>
      <c r="BPS15" s="41"/>
      <c r="BPT15" s="41"/>
      <c r="BPU15" s="41"/>
      <c r="BPV15" s="41"/>
      <c r="BPW15" s="41"/>
      <c r="BPX15" s="41"/>
      <c r="BPY15" s="41"/>
      <c r="BPZ15" s="41"/>
      <c r="BQA15" s="41"/>
      <c r="BQB15" s="41"/>
      <c r="BQC15" s="41"/>
      <c r="BQD15" s="41"/>
      <c r="BQE15" s="41"/>
      <c r="BQF15" s="41"/>
      <c r="BQG15" s="41"/>
      <c r="BQH15" s="41"/>
      <c r="BQI15" s="41"/>
      <c r="BQJ15" s="41"/>
      <c r="BQK15" s="41"/>
      <c r="BQL15" s="41"/>
      <c r="BQM15" s="41"/>
      <c r="BQN15" s="41"/>
      <c r="BQO15" s="41"/>
      <c r="BQP15" s="41"/>
      <c r="BQQ15" s="41"/>
      <c r="BQR15" s="41"/>
      <c r="BQS15" s="41"/>
      <c r="BQT15" s="41"/>
      <c r="BQU15" s="41"/>
      <c r="BQV15" s="41"/>
      <c r="BQW15" s="41"/>
      <c r="BQX15" s="41"/>
      <c r="BQY15" s="41"/>
      <c r="BQZ15" s="41"/>
      <c r="BRA15" s="41"/>
      <c r="BRB15" s="41"/>
      <c r="BRC15" s="41"/>
      <c r="BRD15" s="41"/>
      <c r="BRE15" s="41"/>
      <c r="BRF15" s="41"/>
      <c r="BRG15" s="41"/>
      <c r="BRH15" s="41"/>
      <c r="BRI15" s="41"/>
      <c r="BRJ15" s="41"/>
      <c r="BRK15" s="41"/>
      <c r="BRL15" s="41"/>
      <c r="BRM15" s="41"/>
      <c r="BRN15" s="41"/>
      <c r="BRO15" s="41"/>
      <c r="BRP15" s="41"/>
      <c r="BRQ15" s="41"/>
      <c r="BRR15" s="41"/>
      <c r="BRS15" s="41"/>
      <c r="BRT15" s="41"/>
      <c r="BRU15" s="41"/>
      <c r="BRV15" s="41"/>
      <c r="BRW15" s="41"/>
      <c r="BRX15" s="41"/>
      <c r="BRY15" s="41"/>
      <c r="BRZ15" s="41"/>
      <c r="BSA15" s="41"/>
      <c r="BSB15" s="41"/>
      <c r="BSC15" s="41"/>
      <c r="BSD15" s="41"/>
      <c r="BSE15" s="41"/>
      <c r="BSF15" s="41"/>
      <c r="BSG15" s="41"/>
      <c r="BSH15" s="41"/>
      <c r="BSI15" s="41"/>
      <c r="BSJ15" s="41"/>
      <c r="BSK15" s="41"/>
      <c r="BSL15" s="41"/>
      <c r="BSM15" s="41"/>
      <c r="BSN15" s="41"/>
      <c r="BSO15" s="41"/>
      <c r="BSP15" s="41"/>
      <c r="BSQ15" s="41"/>
      <c r="BSR15" s="41"/>
      <c r="BSS15" s="41"/>
      <c r="BST15" s="41"/>
      <c r="BSU15" s="41"/>
      <c r="BSV15" s="41"/>
      <c r="BSW15" s="41"/>
      <c r="BSX15" s="41"/>
      <c r="BSY15" s="41"/>
      <c r="BSZ15" s="41"/>
      <c r="BTA15" s="41"/>
      <c r="BTB15" s="41"/>
      <c r="BTC15" s="41"/>
      <c r="BTD15" s="41"/>
      <c r="BTE15" s="41"/>
      <c r="BTF15" s="41"/>
      <c r="BTG15" s="41"/>
      <c r="BTH15" s="41"/>
      <c r="BTI15" s="41"/>
      <c r="BTJ15" s="41"/>
      <c r="BTK15" s="41"/>
      <c r="BTL15" s="41"/>
      <c r="BTM15" s="41"/>
      <c r="BTN15" s="41"/>
      <c r="BTO15" s="41"/>
      <c r="BTP15" s="41"/>
      <c r="BTQ15" s="41"/>
      <c r="BTR15" s="41"/>
      <c r="BTS15" s="41"/>
      <c r="BTT15" s="41"/>
      <c r="BTU15" s="41"/>
      <c r="BTV15" s="41"/>
      <c r="BTW15" s="41"/>
      <c r="BTX15" s="41"/>
      <c r="BTY15" s="41"/>
      <c r="BTZ15" s="41"/>
      <c r="BUA15" s="41"/>
      <c r="BUB15" s="41"/>
      <c r="BUC15" s="41"/>
      <c r="BUD15" s="41"/>
      <c r="BUE15" s="41"/>
      <c r="BUF15" s="41"/>
      <c r="BUG15" s="41"/>
      <c r="BUH15" s="41"/>
      <c r="BUI15" s="41"/>
      <c r="BUJ15" s="41"/>
      <c r="BUK15" s="41"/>
      <c r="BUL15" s="41"/>
      <c r="BUM15" s="41"/>
      <c r="BUN15" s="41"/>
      <c r="BUO15" s="41"/>
      <c r="BUP15" s="41"/>
      <c r="BUQ15" s="41"/>
      <c r="BUR15" s="41"/>
      <c r="BUS15" s="41"/>
      <c r="BUT15" s="41"/>
      <c r="BUU15" s="41"/>
      <c r="BUV15" s="41"/>
      <c r="BUW15" s="41"/>
      <c r="BUX15" s="41"/>
      <c r="BUY15" s="41"/>
      <c r="BUZ15" s="41"/>
      <c r="BVA15" s="41"/>
      <c r="BVB15" s="41"/>
      <c r="BVC15" s="41"/>
      <c r="BVD15" s="41"/>
      <c r="BVE15" s="41"/>
      <c r="BVF15" s="41"/>
      <c r="BVG15" s="41"/>
      <c r="BVH15" s="41"/>
      <c r="BVI15" s="41"/>
      <c r="BVJ15" s="41"/>
      <c r="BVK15" s="41"/>
      <c r="BVL15" s="41"/>
      <c r="BVM15" s="41"/>
      <c r="BVN15" s="41"/>
      <c r="BVO15" s="41"/>
      <c r="BVP15" s="41"/>
      <c r="BVQ15" s="41"/>
      <c r="BVR15" s="41"/>
      <c r="BVS15" s="41"/>
      <c r="BVT15" s="41"/>
      <c r="BVU15" s="41"/>
      <c r="BVV15" s="41"/>
      <c r="BVW15" s="41"/>
      <c r="BVX15" s="41"/>
      <c r="BVY15" s="41"/>
      <c r="BVZ15" s="41"/>
      <c r="BWA15" s="41"/>
      <c r="BWB15" s="41"/>
      <c r="BWC15" s="41"/>
      <c r="BWD15" s="41"/>
      <c r="BWE15" s="41"/>
      <c r="BWF15" s="41"/>
      <c r="BWG15" s="41"/>
      <c r="BWH15" s="41"/>
      <c r="BWI15" s="41"/>
      <c r="BWJ15" s="41"/>
      <c r="BWK15" s="41"/>
      <c r="BWL15" s="41"/>
      <c r="BWM15" s="41"/>
      <c r="BWN15" s="41"/>
      <c r="BWO15" s="41"/>
      <c r="BWP15" s="41"/>
      <c r="BWQ15" s="41"/>
      <c r="BWR15" s="41"/>
      <c r="BWS15" s="41"/>
      <c r="BWT15" s="41"/>
      <c r="BWU15" s="41"/>
      <c r="BWV15" s="41"/>
      <c r="BWW15" s="41"/>
      <c r="BWX15" s="41"/>
      <c r="BWY15" s="41"/>
      <c r="BWZ15" s="41"/>
      <c r="BXA15" s="41"/>
      <c r="BXB15" s="41"/>
      <c r="BXC15" s="41"/>
      <c r="BXD15" s="41"/>
      <c r="BXE15" s="41"/>
      <c r="BXF15" s="41"/>
      <c r="BXG15" s="41"/>
      <c r="BXH15" s="41"/>
      <c r="BXI15" s="41"/>
      <c r="BXJ15" s="41"/>
      <c r="BXK15" s="41"/>
      <c r="BXL15" s="41"/>
      <c r="BXM15" s="41"/>
      <c r="BXN15" s="41"/>
      <c r="BXO15" s="41"/>
      <c r="BXP15" s="41"/>
      <c r="BXQ15" s="41"/>
      <c r="BXR15" s="41"/>
      <c r="BXS15" s="41"/>
      <c r="BXT15" s="41"/>
      <c r="BXU15" s="41"/>
      <c r="BXV15" s="41"/>
      <c r="BXW15" s="41"/>
      <c r="BXX15" s="41"/>
      <c r="BXY15" s="41"/>
      <c r="BXZ15" s="41"/>
      <c r="BYA15" s="41"/>
      <c r="BYB15" s="41"/>
      <c r="BYC15" s="41"/>
      <c r="BYD15" s="41"/>
      <c r="BYE15" s="41"/>
      <c r="BYF15" s="41"/>
      <c r="BYG15" s="41"/>
      <c r="BYH15" s="41"/>
      <c r="BYI15" s="41"/>
      <c r="BYJ15" s="41"/>
      <c r="BYK15" s="41"/>
      <c r="BYL15" s="41"/>
      <c r="BYM15" s="41"/>
      <c r="BYN15" s="41"/>
      <c r="BYO15" s="41"/>
      <c r="BYP15" s="41"/>
      <c r="BYQ15" s="41"/>
      <c r="BYR15" s="41"/>
      <c r="BYS15" s="41"/>
      <c r="BYT15" s="41"/>
      <c r="BYU15" s="41"/>
      <c r="BYV15" s="41"/>
      <c r="BYW15" s="41"/>
      <c r="BYX15" s="41"/>
      <c r="BYY15" s="41"/>
      <c r="BYZ15" s="41"/>
      <c r="BZA15" s="41"/>
      <c r="BZB15" s="41"/>
      <c r="BZC15" s="41"/>
      <c r="BZD15" s="41"/>
      <c r="BZE15" s="41"/>
      <c r="BZF15" s="41"/>
      <c r="BZG15" s="41"/>
      <c r="BZH15" s="41"/>
      <c r="BZI15" s="41"/>
      <c r="BZJ15" s="41"/>
      <c r="BZK15" s="41"/>
      <c r="BZL15" s="41"/>
      <c r="BZM15" s="41"/>
      <c r="BZN15" s="41"/>
      <c r="BZO15" s="41"/>
      <c r="BZP15" s="41"/>
      <c r="BZQ15" s="41"/>
      <c r="BZR15" s="41"/>
      <c r="BZS15" s="41"/>
      <c r="BZT15" s="41"/>
      <c r="BZU15" s="41"/>
      <c r="BZV15" s="41"/>
      <c r="BZW15" s="41"/>
      <c r="BZX15" s="41"/>
      <c r="BZY15" s="41"/>
      <c r="BZZ15" s="41"/>
      <c r="CAA15" s="41"/>
      <c r="CAB15" s="41"/>
      <c r="CAC15" s="41"/>
      <c r="CAD15" s="41"/>
      <c r="CAE15" s="41"/>
      <c r="CAF15" s="41"/>
      <c r="CAG15" s="41"/>
      <c r="CAH15" s="41"/>
      <c r="CAI15" s="41"/>
      <c r="CAJ15" s="41"/>
      <c r="CAK15" s="41"/>
      <c r="CAL15" s="41"/>
      <c r="CAM15" s="41"/>
      <c r="CAN15" s="41"/>
      <c r="CAO15" s="41"/>
      <c r="CAP15" s="41"/>
      <c r="CAQ15" s="41"/>
      <c r="CAR15" s="41"/>
      <c r="CAS15" s="41"/>
      <c r="CAT15" s="41"/>
      <c r="CAU15" s="41"/>
      <c r="CAV15" s="41"/>
      <c r="CAW15" s="41"/>
      <c r="CAX15" s="41"/>
      <c r="CAY15" s="41"/>
      <c r="CAZ15" s="41"/>
      <c r="CBA15" s="41"/>
      <c r="CBB15" s="41"/>
      <c r="CBC15" s="41"/>
      <c r="CBD15" s="41"/>
      <c r="CBE15" s="41"/>
      <c r="CBF15" s="41"/>
      <c r="CBG15" s="41"/>
      <c r="CBH15" s="41"/>
      <c r="CBI15" s="41"/>
      <c r="CBJ15" s="41"/>
      <c r="CBK15" s="41"/>
      <c r="CBL15" s="41"/>
      <c r="CBM15" s="41"/>
      <c r="CBN15" s="41"/>
      <c r="CBO15" s="41"/>
      <c r="CBP15" s="41"/>
      <c r="CBQ15" s="41"/>
      <c r="CBR15" s="41"/>
      <c r="CBS15" s="41"/>
      <c r="CBT15" s="41"/>
      <c r="CBU15" s="41"/>
      <c r="CBV15" s="41"/>
      <c r="CBW15" s="41"/>
      <c r="CBX15" s="41"/>
      <c r="CBY15" s="41"/>
      <c r="CBZ15" s="41"/>
      <c r="CCA15" s="41"/>
      <c r="CCB15" s="41"/>
      <c r="CCC15" s="41"/>
      <c r="CCD15" s="41"/>
      <c r="CCE15" s="41"/>
      <c r="CCF15" s="41"/>
      <c r="CCG15" s="41"/>
      <c r="CCH15" s="41"/>
      <c r="CCI15" s="41"/>
      <c r="CCJ15" s="41"/>
      <c r="CCK15" s="41"/>
      <c r="CCL15" s="41"/>
      <c r="CCM15" s="41"/>
      <c r="CCN15" s="41"/>
      <c r="CCO15" s="41"/>
      <c r="CCP15" s="41"/>
      <c r="CCQ15" s="41"/>
      <c r="CCR15" s="41"/>
      <c r="CCS15" s="41"/>
      <c r="CCT15" s="41"/>
      <c r="CCU15" s="41"/>
      <c r="CCV15" s="41"/>
      <c r="CCW15" s="41"/>
      <c r="CCX15" s="41"/>
      <c r="CCY15" s="41"/>
      <c r="CCZ15" s="41"/>
      <c r="CDA15" s="41"/>
      <c r="CDB15" s="41"/>
      <c r="CDC15" s="41"/>
      <c r="CDD15" s="41"/>
      <c r="CDE15" s="41"/>
      <c r="CDF15" s="41"/>
      <c r="CDG15" s="41"/>
      <c r="CDH15" s="41"/>
      <c r="CDI15" s="41"/>
      <c r="CDJ15" s="41"/>
      <c r="CDK15" s="41"/>
      <c r="CDL15" s="41"/>
      <c r="CDM15" s="41"/>
      <c r="CDN15" s="41"/>
      <c r="CDO15" s="41"/>
      <c r="CDP15" s="41"/>
      <c r="CDQ15" s="41"/>
      <c r="CDR15" s="41"/>
      <c r="CDS15" s="41"/>
      <c r="CDT15" s="41"/>
      <c r="CDU15" s="41"/>
      <c r="CDV15" s="41"/>
      <c r="CDW15" s="41"/>
      <c r="CDX15" s="41"/>
      <c r="CDY15" s="41"/>
      <c r="CDZ15" s="41"/>
      <c r="CEA15" s="41"/>
      <c r="CEB15" s="41"/>
      <c r="CEC15" s="41"/>
      <c r="CED15" s="41"/>
      <c r="CEE15" s="41"/>
      <c r="CEF15" s="41"/>
      <c r="CEG15" s="41"/>
      <c r="CEH15" s="41"/>
      <c r="CEI15" s="41"/>
      <c r="CEJ15" s="41"/>
      <c r="CEK15" s="41"/>
      <c r="CEL15" s="41"/>
      <c r="CEM15" s="41"/>
      <c r="CEN15" s="41"/>
      <c r="CEO15" s="41"/>
      <c r="CEP15" s="41"/>
      <c r="CEQ15" s="41"/>
      <c r="CER15" s="41"/>
      <c r="CES15" s="41"/>
      <c r="CET15" s="41"/>
      <c r="CEU15" s="41"/>
      <c r="CEV15" s="41"/>
      <c r="CEW15" s="41"/>
      <c r="CEX15" s="41"/>
      <c r="CEY15" s="41"/>
      <c r="CEZ15" s="41"/>
      <c r="CFA15" s="41"/>
      <c r="CFB15" s="41"/>
      <c r="CFC15" s="41"/>
      <c r="CFD15" s="41"/>
      <c r="CFE15" s="41"/>
      <c r="CFF15" s="41"/>
      <c r="CFG15" s="41"/>
      <c r="CFH15" s="41"/>
      <c r="CFI15" s="41"/>
      <c r="CFJ15" s="41"/>
      <c r="CFK15" s="41"/>
      <c r="CFL15" s="41"/>
      <c r="CFM15" s="41"/>
      <c r="CFN15" s="41"/>
      <c r="CFO15" s="41"/>
      <c r="CFP15" s="41"/>
      <c r="CFQ15" s="41"/>
      <c r="CFR15" s="41"/>
      <c r="CFS15" s="41"/>
      <c r="CFT15" s="41"/>
      <c r="CFU15" s="41"/>
      <c r="CFV15" s="41"/>
      <c r="CFW15" s="41"/>
      <c r="CFX15" s="41"/>
      <c r="CFY15" s="41"/>
      <c r="CFZ15" s="41"/>
      <c r="CGA15" s="41"/>
      <c r="CGB15" s="41"/>
      <c r="CGC15" s="41"/>
      <c r="CGD15" s="41"/>
      <c r="CGE15" s="41"/>
      <c r="CGF15" s="41"/>
      <c r="CGG15" s="41"/>
      <c r="CGH15" s="41"/>
      <c r="CGI15" s="41"/>
      <c r="CGJ15" s="41"/>
      <c r="CGK15" s="41"/>
      <c r="CGL15" s="41"/>
      <c r="CGM15" s="41"/>
      <c r="CGN15" s="41"/>
      <c r="CGO15" s="41"/>
      <c r="CGP15" s="41"/>
      <c r="CGQ15" s="41"/>
      <c r="CGR15" s="41"/>
      <c r="CGS15" s="41"/>
      <c r="CGT15" s="41"/>
      <c r="CGU15" s="41"/>
      <c r="CGV15" s="41"/>
      <c r="CGW15" s="41"/>
      <c r="CGX15" s="41"/>
      <c r="CGY15" s="41"/>
      <c r="CGZ15" s="41"/>
      <c r="CHA15" s="41"/>
      <c r="CHB15" s="41"/>
      <c r="CHC15" s="41"/>
      <c r="CHD15" s="41"/>
      <c r="CHE15" s="41"/>
      <c r="CHF15" s="41"/>
      <c r="CHG15" s="41"/>
      <c r="CHH15" s="41"/>
      <c r="CHI15" s="41"/>
      <c r="CHJ15" s="41"/>
      <c r="CHK15" s="41"/>
      <c r="CHL15" s="41"/>
      <c r="CHM15" s="41"/>
      <c r="CHN15" s="41"/>
      <c r="CHO15" s="41"/>
      <c r="CHP15" s="41"/>
      <c r="CHQ15" s="41"/>
      <c r="CHR15" s="41"/>
      <c r="CHS15" s="41"/>
      <c r="CHT15" s="41"/>
      <c r="CHU15" s="41"/>
      <c r="CHV15" s="41"/>
      <c r="CHW15" s="41"/>
      <c r="CHX15" s="41"/>
      <c r="CHY15" s="41"/>
      <c r="CHZ15" s="41"/>
      <c r="CIA15" s="41"/>
      <c r="CIB15" s="41"/>
      <c r="CIC15" s="41"/>
      <c r="CID15" s="41"/>
      <c r="CIE15" s="41"/>
      <c r="CIF15" s="41"/>
      <c r="CIG15" s="41"/>
      <c r="CIH15" s="41"/>
      <c r="CII15" s="41"/>
      <c r="CIJ15" s="41"/>
      <c r="CIK15" s="41"/>
      <c r="CIL15" s="41"/>
      <c r="CIM15" s="41"/>
      <c r="CIN15" s="41"/>
      <c r="CIO15" s="41"/>
      <c r="CIP15" s="41"/>
      <c r="CIQ15" s="41"/>
      <c r="CIR15" s="41"/>
      <c r="CIS15" s="41"/>
      <c r="CIT15" s="41"/>
      <c r="CIU15" s="41"/>
      <c r="CIV15" s="41"/>
      <c r="CIW15" s="41"/>
      <c r="CIX15" s="41"/>
      <c r="CIY15" s="41"/>
      <c r="CIZ15" s="41"/>
      <c r="CJA15" s="41"/>
      <c r="CJB15" s="41"/>
      <c r="CJC15" s="41"/>
      <c r="CJD15" s="41"/>
      <c r="CJE15" s="41"/>
      <c r="CJF15" s="41"/>
      <c r="CJG15" s="41"/>
      <c r="CJH15" s="41"/>
      <c r="CJI15" s="41"/>
      <c r="CJJ15" s="41"/>
      <c r="CJK15" s="41"/>
      <c r="CJL15" s="41"/>
      <c r="CJM15" s="41"/>
      <c r="CJN15" s="41"/>
      <c r="CJO15" s="41"/>
      <c r="CJP15" s="41"/>
      <c r="CJQ15" s="41"/>
      <c r="CJR15" s="41"/>
      <c r="CJS15" s="41"/>
      <c r="CJT15" s="41"/>
      <c r="CJU15" s="41"/>
      <c r="CJV15" s="41"/>
      <c r="CJW15" s="41"/>
      <c r="CJX15" s="41"/>
      <c r="CJY15" s="41"/>
      <c r="CJZ15" s="41"/>
      <c r="CKA15" s="41"/>
      <c r="CKB15" s="41"/>
      <c r="CKC15" s="41"/>
      <c r="CKD15" s="41"/>
      <c r="CKE15" s="41"/>
      <c r="CKF15" s="41"/>
      <c r="CKG15" s="41"/>
      <c r="CKH15" s="41"/>
      <c r="CKI15" s="41"/>
      <c r="CKJ15" s="41"/>
      <c r="CKK15" s="41"/>
      <c r="CKL15" s="41"/>
      <c r="CKM15" s="41"/>
      <c r="CKN15" s="41"/>
      <c r="CKO15" s="41"/>
      <c r="CKP15" s="41"/>
      <c r="CKQ15" s="41"/>
      <c r="CKR15" s="41"/>
      <c r="CKS15" s="41"/>
      <c r="CKT15" s="41"/>
      <c r="CKU15" s="41"/>
      <c r="CKV15" s="41"/>
      <c r="CKW15" s="41"/>
      <c r="CKX15" s="41"/>
      <c r="CKY15" s="41"/>
      <c r="CKZ15" s="41"/>
      <c r="CLA15" s="41"/>
      <c r="CLB15" s="41"/>
      <c r="CLC15" s="41"/>
      <c r="CLD15" s="41"/>
      <c r="CLE15" s="41"/>
      <c r="CLF15" s="41"/>
      <c r="CLG15" s="41"/>
      <c r="CLH15" s="41"/>
      <c r="CLI15" s="41"/>
      <c r="CLJ15" s="41"/>
      <c r="CLK15" s="41"/>
      <c r="CLL15" s="41"/>
      <c r="CLM15" s="41"/>
      <c r="CLN15" s="41"/>
      <c r="CLO15" s="41"/>
      <c r="CLP15" s="41"/>
      <c r="CLQ15" s="41"/>
      <c r="CLR15" s="41"/>
      <c r="CLS15" s="41"/>
      <c r="CLT15" s="41"/>
      <c r="CLU15" s="41"/>
      <c r="CLV15" s="41"/>
      <c r="CLW15" s="41"/>
      <c r="CLX15" s="41"/>
      <c r="CLY15" s="41"/>
      <c r="CLZ15" s="41"/>
      <c r="CMA15" s="41"/>
      <c r="CMB15" s="41"/>
      <c r="CMC15" s="41"/>
      <c r="CMD15" s="41"/>
      <c r="CME15" s="41"/>
      <c r="CMF15" s="41"/>
      <c r="CMG15" s="41"/>
      <c r="CMH15" s="41"/>
      <c r="CMI15" s="41"/>
      <c r="CMJ15" s="41"/>
      <c r="CMK15" s="41"/>
      <c r="CML15" s="41"/>
      <c r="CMM15" s="41"/>
      <c r="CMN15" s="41"/>
      <c r="CMO15" s="41"/>
      <c r="CMP15" s="41"/>
      <c r="CMQ15" s="41"/>
      <c r="CMR15" s="41"/>
      <c r="CMS15" s="41"/>
      <c r="CMT15" s="41"/>
      <c r="CMU15" s="41"/>
      <c r="CMV15" s="41"/>
      <c r="CMW15" s="41"/>
      <c r="CMX15" s="41"/>
      <c r="CMY15" s="41"/>
      <c r="CMZ15" s="41"/>
      <c r="CNA15" s="41"/>
      <c r="CNB15" s="41"/>
      <c r="CNC15" s="41"/>
      <c r="CND15" s="41"/>
      <c r="CNE15" s="41"/>
      <c r="CNF15" s="41"/>
      <c r="CNG15" s="41"/>
      <c r="CNH15" s="41"/>
      <c r="CNI15" s="41"/>
      <c r="CNJ15" s="41"/>
      <c r="CNK15" s="41"/>
      <c r="CNL15" s="41"/>
      <c r="CNM15" s="41"/>
      <c r="CNN15" s="41"/>
      <c r="CNO15" s="41"/>
      <c r="CNP15" s="41"/>
      <c r="CNQ15" s="41"/>
      <c r="CNR15" s="41"/>
      <c r="CNS15" s="41"/>
      <c r="CNT15" s="41"/>
      <c r="CNU15" s="41"/>
      <c r="CNV15" s="41"/>
      <c r="CNW15" s="41"/>
      <c r="CNX15" s="41"/>
      <c r="CNY15" s="41"/>
      <c r="CNZ15" s="41"/>
      <c r="COA15" s="41"/>
      <c r="COB15" s="41"/>
      <c r="COC15" s="41"/>
      <c r="COD15" s="41"/>
      <c r="COE15" s="41"/>
      <c r="COF15" s="41"/>
      <c r="COG15" s="41"/>
      <c r="COH15" s="41"/>
      <c r="COI15" s="41"/>
      <c r="COJ15" s="41"/>
      <c r="COK15" s="41"/>
      <c r="COL15" s="41"/>
      <c r="COM15" s="41"/>
      <c r="CON15" s="41"/>
      <c r="COO15" s="41"/>
      <c r="COP15" s="41"/>
      <c r="COQ15" s="41"/>
      <c r="COR15" s="41"/>
      <c r="COS15" s="41"/>
      <c r="COT15" s="41"/>
      <c r="COU15" s="41"/>
      <c r="COV15" s="41"/>
      <c r="COW15" s="41"/>
      <c r="COX15" s="41"/>
      <c r="COY15" s="41"/>
      <c r="COZ15" s="41"/>
      <c r="CPA15" s="41"/>
      <c r="CPB15" s="41"/>
      <c r="CPC15" s="41"/>
      <c r="CPD15" s="41"/>
      <c r="CPE15" s="41"/>
      <c r="CPF15" s="41"/>
      <c r="CPG15" s="41"/>
      <c r="CPH15" s="41"/>
      <c r="CPI15" s="41"/>
      <c r="CPJ15" s="41"/>
      <c r="CPK15" s="41"/>
      <c r="CPL15" s="41"/>
      <c r="CPM15" s="41"/>
      <c r="CPN15" s="41"/>
      <c r="CPO15" s="41"/>
      <c r="CPP15" s="41"/>
      <c r="CPQ15" s="41"/>
      <c r="CPR15" s="41"/>
      <c r="CPS15" s="41"/>
      <c r="CPT15" s="41"/>
      <c r="CPU15" s="41"/>
      <c r="CPV15" s="41"/>
      <c r="CPW15" s="41"/>
      <c r="CPX15" s="41"/>
      <c r="CPY15" s="41"/>
      <c r="CPZ15" s="41"/>
      <c r="CQA15" s="41"/>
      <c r="CQB15" s="41"/>
      <c r="CQC15" s="41"/>
      <c r="CQD15" s="41"/>
      <c r="CQE15" s="41"/>
      <c r="CQF15" s="41"/>
      <c r="CQG15" s="41"/>
      <c r="CQH15" s="41"/>
      <c r="CQI15" s="41"/>
      <c r="CQJ15" s="41"/>
      <c r="CQK15" s="41"/>
      <c r="CQL15" s="41"/>
      <c r="CQM15" s="41"/>
      <c r="CQN15" s="41"/>
      <c r="CQO15" s="41"/>
      <c r="CQP15" s="41"/>
      <c r="CQQ15" s="41"/>
      <c r="CQR15" s="41"/>
      <c r="CQS15" s="41"/>
      <c r="CQT15" s="41"/>
      <c r="CQU15" s="41"/>
      <c r="CQV15" s="41"/>
      <c r="CQW15" s="41"/>
      <c r="CQX15" s="41"/>
      <c r="CQY15" s="41"/>
      <c r="CQZ15" s="41"/>
      <c r="CRA15" s="41"/>
      <c r="CRB15" s="41"/>
      <c r="CRC15" s="41"/>
      <c r="CRD15" s="41"/>
      <c r="CRE15" s="41"/>
      <c r="CRF15" s="41"/>
      <c r="CRG15" s="41"/>
      <c r="CRH15" s="41"/>
      <c r="CRI15" s="41"/>
      <c r="CRJ15" s="41"/>
      <c r="CRK15" s="41"/>
      <c r="CRL15" s="41"/>
      <c r="CRM15" s="41"/>
      <c r="CRN15" s="41"/>
      <c r="CRO15" s="41"/>
      <c r="CRP15" s="41"/>
      <c r="CRQ15" s="41"/>
      <c r="CRR15" s="41"/>
      <c r="CRS15" s="41"/>
      <c r="CRT15" s="41"/>
      <c r="CRU15" s="41"/>
      <c r="CRV15" s="41"/>
      <c r="CRW15" s="41"/>
      <c r="CRX15" s="41"/>
      <c r="CRY15" s="41"/>
      <c r="CRZ15" s="41"/>
      <c r="CSA15" s="41"/>
      <c r="CSB15" s="41"/>
      <c r="CSC15" s="41"/>
      <c r="CSD15" s="41"/>
      <c r="CSE15" s="41"/>
      <c r="CSF15" s="41"/>
      <c r="CSG15" s="41"/>
      <c r="CSH15" s="41"/>
      <c r="CSI15" s="41"/>
      <c r="CSJ15" s="41"/>
      <c r="CSK15" s="41"/>
      <c r="CSL15" s="41"/>
      <c r="CSM15" s="41"/>
      <c r="CSN15" s="41"/>
      <c r="CSO15" s="41"/>
      <c r="CSP15" s="41"/>
      <c r="CSQ15" s="41"/>
      <c r="CSR15" s="41"/>
      <c r="CSS15" s="41"/>
      <c r="CST15" s="41"/>
      <c r="CSU15" s="41"/>
      <c r="CSV15" s="41"/>
      <c r="CSW15" s="41"/>
      <c r="CSX15" s="41"/>
      <c r="CSY15" s="41"/>
      <c r="CSZ15" s="41"/>
      <c r="CTA15" s="41"/>
      <c r="CTB15" s="41"/>
      <c r="CTC15" s="41"/>
      <c r="CTD15" s="41"/>
      <c r="CTE15" s="41"/>
      <c r="CTF15" s="41"/>
      <c r="CTG15" s="41"/>
      <c r="CTH15" s="41"/>
      <c r="CTI15" s="41"/>
      <c r="CTJ15" s="41"/>
      <c r="CTK15" s="41"/>
      <c r="CTL15" s="41"/>
      <c r="CTM15" s="41"/>
      <c r="CTN15" s="41"/>
      <c r="CTO15" s="41"/>
      <c r="CTP15" s="41"/>
      <c r="CTQ15" s="41"/>
      <c r="CTR15" s="41"/>
      <c r="CTS15" s="41"/>
      <c r="CTT15" s="41"/>
      <c r="CTU15" s="41"/>
      <c r="CTV15" s="41"/>
      <c r="CTW15" s="41"/>
      <c r="CTX15" s="41"/>
      <c r="CTY15" s="41"/>
      <c r="CTZ15" s="41"/>
      <c r="CUA15" s="41"/>
      <c r="CUB15" s="41"/>
      <c r="CUC15" s="41"/>
      <c r="CUD15" s="41"/>
      <c r="CUE15" s="41"/>
      <c r="CUF15" s="41"/>
      <c r="CUG15" s="41"/>
      <c r="CUH15" s="41"/>
      <c r="CUI15" s="41"/>
      <c r="CUJ15" s="41"/>
      <c r="CUK15" s="41"/>
      <c r="CUL15" s="41"/>
      <c r="CUM15" s="41"/>
      <c r="CUN15" s="41"/>
      <c r="CUO15" s="41"/>
      <c r="CUP15" s="41"/>
      <c r="CUQ15" s="41"/>
      <c r="CUR15" s="41"/>
      <c r="CUS15" s="41"/>
      <c r="CUT15" s="41"/>
      <c r="CUU15" s="41"/>
      <c r="CUV15" s="41"/>
      <c r="CUW15" s="41"/>
      <c r="CUX15" s="41"/>
      <c r="CUY15" s="41"/>
      <c r="CUZ15" s="41"/>
      <c r="CVA15" s="41"/>
      <c r="CVB15" s="41"/>
      <c r="CVC15" s="41"/>
      <c r="CVD15" s="41"/>
      <c r="CVE15" s="41"/>
      <c r="CVF15" s="41"/>
      <c r="CVG15" s="41"/>
      <c r="CVH15" s="41"/>
      <c r="CVI15" s="41"/>
      <c r="CVJ15" s="41"/>
      <c r="CVK15" s="41"/>
      <c r="CVL15" s="41"/>
      <c r="CVM15" s="41"/>
      <c r="CVN15" s="41"/>
      <c r="CVO15" s="41"/>
      <c r="CVP15" s="41"/>
      <c r="CVQ15" s="41"/>
      <c r="CVR15" s="41"/>
      <c r="CVS15" s="41"/>
      <c r="CVT15" s="41"/>
      <c r="CVU15" s="41"/>
      <c r="CVV15" s="41"/>
      <c r="CVW15" s="41"/>
      <c r="CVX15" s="41"/>
      <c r="CVY15" s="41"/>
      <c r="CVZ15" s="41"/>
      <c r="CWA15" s="41"/>
      <c r="CWB15" s="41"/>
      <c r="CWC15" s="41"/>
      <c r="CWD15" s="41"/>
      <c r="CWE15" s="41"/>
      <c r="CWF15" s="41"/>
      <c r="CWG15" s="41"/>
      <c r="CWH15" s="41"/>
      <c r="CWI15" s="41"/>
      <c r="CWJ15" s="41"/>
      <c r="CWK15" s="41"/>
      <c r="CWL15" s="41"/>
      <c r="CWM15" s="41"/>
      <c r="CWN15" s="41"/>
      <c r="CWO15" s="41"/>
      <c r="CWP15" s="41"/>
      <c r="CWQ15" s="41"/>
      <c r="CWR15" s="41"/>
      <c r="CWS15" s="41"/>
      <c r="CWT15" s="41"/>
      <c r="CWU15" s="41"/>
      <c r="CWV15" s="41"/>
      <c r="CWW15" s="41"/>
      <c r="CWX15" s="41"/>
      <c r="CWY15" s="41"/>
      <c r="CWZ15" s="41"/>
      <c r="CXA15" s="41"/>
      <c r="CXB15" s="41"/>
      <c r="CXC15" s="41"/>
      <c r="CXD15" s="41"/>
      <c r="CXE15" s="41"/>
      <c r="CXF15" s="41"/>
      <c r="CXG15" s="41"/>
      <c r="CXH15" s="41"/>
      <c r="CXI15" s="41"/>
      <c r="CXJ15" s="41"/>
      <c r="CXK15" s="41"/>
      <c r="CXL15" s="41"/>
      <c r="CXM15" s="41"/>
      <c r="CXN15" s="41"/>
      <c r="CXO15" s="41"/>
      <c r="CXP15" s="41"/>
      <c r="CXQ15" s="41"/>
      <c r="CXR15" s="41"/>
      <c r="CXS15" s="41"/>
      <c r="CXT15" s="41"/>
      <c r="CXU15" s="41"/>
      <c r="CXV15" s="41"/>
      <c r="CXW15" s="41"/>
      <c r="CXX15" s="41"/>
      <c r="CXY15" s="41"/>
      <c r="CXZ15" s="41"/>
      <c r="CYA15" s="41"/>
      <c r="CYB15" s="41"/>
      <c r="CYC15" s="41"/>
      <c r="CYD15" s="41"/>
      <c r="CYE15" s="41"/>
      <c r="CYF15" s="41"/>
      <c r="CYG15" s="41"/>
      <c r="CYH15" s="41"/>
      <c r="CYI15" s="41"/>
      <c r="CYJ15" s="41"/>
      <c r="CYK15" s="41"/>
      <c r="CYL15" s="41"/>
      <c r="CYM15" s="41"/>
      <c r="CYN15" s="41"/>
      <c r="CYO15" s="41"/>
      <c r="CYP15" s="41"/>
      <c r="CYQ15" s="41"/>
      <c r="CYR15" s="41"/>
      <c r="CYS15" s="41"/>
      <c r="CYT15" s="41"/>
      <c r="CYU15" s="41"/>
      <c r="CYV15" s="41"/>
      <c r="CYW15" s="41"/>
      <c r="CYX15" s="41"/>
      <c r="CYY15" s="41"/>
      <c r="CYZ15" s="41"/>
      <c r="CZA15" s="41"/>
      <c r="CZB15" s="41"/>
      <c r="CZC15" s="41"/>
      <c r="CZD15" s="41"/>
      <c r="CZE15" s="41"/>
      <c r="CZF15" s="41"/>
      <c r="CZG15" s="41"/>
      <c r="CZH15" s="41"/>
      <c r="CZI15" s="41"/>
      <c r="CZJ15" s="41"/>
      <c r="CZK15" s="41"/>
      <c r="CZL15" s="41"/>
      <c r="CZM15" s="41"/>
      <c r="CZN15" s="41"/>
      <c r="CZO15" s="41"/>
      <c r="CZP15" s="41"/>
      <c r="CZQ15" s="41"/>
      <c r="CZR15" s="41"/>
      <c r="CZS15" s="41"/>
      <c r="CZT15" s="41"/>
      <c r="CZU15" s="41"/>
      <c r="CZV15" s="41"/>
      <c r="CZW15" s="41"/>
      <c r="CZX15" s="41"/>
      <c r="CZY15" s="41"/>
      <c r="CZZ15" s="41"/>
      <c r="DAA15" s="41"/>
      <c r="DAB15" s="41"/>
      <c r="DAC15" s="41"/>
      <c r="DAD15" s="41"/>
      <c r="DAE15" s="41"/>
      <c r="DAF15" s="41"/>
      <c r="DAG15" s="41"/>
      <c r="DAH15" s="41"/>
      <c r="DAI15" s="41"/>
      <c r="DAJ15" s="41"/>
      <c r="DAK15" s="41"/>
      <c r="DAL15" s="41"/>
      <c r="DAM15" s="41"/>
      <c r="DAN15" s="41"/>
      <c r="DAO15" s="41"/>
      <c r="DAP15" s="41"/>
      <c r="DAQ15" s="41"/>
      <c r="DAR15" s="41"/>
      <c r="DAS15" s="41"/>
      <c r="DAT15" s="41"/>
      <c r="DAU15" s="41"/>
      <c r="DAV15" s="41"/>
      <c r="DAW15" s="41"/>
      <c r="DAX15" s="41"/>
      <c r="DAY15" s="41"/>
      <c r="DAZ15" s="41"/>
      <c r="DBA15" s="41"/>
      <c r="DBB15" s="41"/>
      <c r="DBC15" s="41"/>
      <c r="DBD15" s="41"/>
      <c r="DBE15" s="41"/>
      <c r="DBF15" s="41"/>
      <c r="DBG15" s="41"/>
      <c r="DBH15" s="41"/>
      <c r="DBI15" s="41"/>
      <c r="DBJ15" s="41"/>
      <c r="DBK15" s="41"/>
      <c r="DBL15" s="41"/>
      <c r="DBM15" s="41"/>
      <c r="DBN15" s="41"/>
      <c r="DBO15" s="41"/>
      <c r="DBP15" s="41"/>
      <c r="DBQ15" s="41"/>
      <c r="DBR15" s="41"/>
      <c r="DBS15" s="41"/>
      <c r="DBT15" s="41"/>
      <c r="DBU15" s="41"/>
      <c r="DBV15" s="41"/>
      <c r="DBW15" s="41"/>
      <c r="DBX15" s="41"/>
      <c r="DBY15" s="41"/>
      <c r="DBZ15" s="41"/>
      <c r="DCA15" s="41"/>
      <c r="DCB15" s="41"/>
      <c r="DCC15" s="41"/>
      <c r="DCD15" s="41"/>
      <c r="DCE15" s="41"/>
      <c r="DCF15" s="41"/>
      <c r="DCG15" s="41"/>
      <c r="DCH15" s="41"/>
      <c r="DCI15" s="41"/>
      <c r="DCJ15" s="41"/>
      <c r="DCK15" s="41"/>
      <c r="DCL15" s="41"/>
      <c r="DCM15" s="41"/>
      <c r="DCN15" s="41"/>
      <c r="DCO15" s="41"/>
      <c r="DCP15" s="41"/>
      <c r="DCQ15" s="41"/>
      <c r="DCR15" s="41"/>
      <c r="DCS15" s="41"/>
      <c r="DCT15" s="41"/>
      <c r="DCU15" s="41"/>
      <c r="DCV15" s="41"/>
      <c r="DCW15" s="41"/>
      <c r="DCX15" s="41"/>
      <c r="DCY15" s="41"/>
      <c r="DCZ15" s="41"/>
      <c r="DDA15" s="41"/>
      <c r="DDB15" s="41"/>
      <c r="DDC15" s="41"/>
      <c r="DDD15" s="41"/>
      <c r="DDE15" s="41"/>
      <c r="DDF15" s="41"/>
      <c r="DDG15" s="41"/>
      <c r="DDH15" s="41"/>
      <c r="DDI15" s="41"/>
      <c r="DDJ15" s="41"/>
      <c r="DDK15" s="41"/>
      <c r="DDL15" s="41"/>
      <c r="DDM15" s="41"/>
      <c r="DDN15" s="41"/>
      <c r="DDO15" s="41"/>
      <c r="DDP15" s="41"/>
      <c r="DDQ15" s="41"/>
      <c r="DDR15" s="41"/>
      <c r="DDS15" s="41"/>
      <c r="DDT15" s="41"/>
      <c r="DDU15" s="41"/>
      <c r="DDV15" s="41"/>
      <c r="DDW15" s="41"/>
      <c r="DDX15" s="41"/>
      <c r="DDY15" s="41"/>
      <c r="DDZ15" s="41"/>
      <c r="DEA15" s="41"/>
      <c r="DEB15" s="41"/>
      <c r="DEC15" s="41"/>
      <c r="DED15" s="41"/>
      <c r="DEE15" s="41"/>
      <c r="DEF15" s="41"/>
      <c r="DEG15" s="41"/>
      <c r="DEH15" s="41"/>
      <c r="DEI15" s="41"/>
      <c r="DEJ15" s="41"/>
      <c r="DEK15" s="41"/>
      <c r="DEL15" s="41"/>
      <c r="DEM15" s="41"/>
      <c r="DEN15" s="41"/>
      <c r="DEO15" s="41"/>
      <c r="DEP15" s="41"/>
      <c r="DEQ15" s="41"/>
      <c r="DER15" s="41"/>
      <c r="DES15" s="41"/>
      <c r="DET15" s="41"/>
      <c r="DEU15" s="41"/>
      <c r="DEV15" s="41"/>
      <c r="DEW15" s="41"/>
      <c r="DEX15" s="41"/>
      <c r="DEY15" s="41"/>
      <c r="DEZ15" s="41"/>
      <c r="DFA15" s="41"/>
      <c r="DFB15" s="41"/>
      <c r="DFC15" s="41"/>
      <c r="DFD15" s="41"/>
      <c r="DFE15" s="41"/>
      <c r="DFF15" s="41"/>
      <c r="DFG15" s="41"/>
      <c r="DFH15" s="41"/>
      <c r="DFI15" s="41"/>
      <c r="DFJ15" s="41"/>
      <c r="DFK15" s="41"/>
      <c r="DFL15" s="41"/>
      <c r="DFM15" s="41"/>
      <c r="DFN15" s="41"/>
      <c r="DFO15" s="41"/>
      <c r="DFP15" s="41"/>
      <c r="DFQ15" s="41"/>
      <c r="DFR15" s="41"/>
      <c r="DFS15" s="41"/>
      <c r="DFT15" s="41"/>
      <c r="DFU15" s="41"/>
      <c r="DFV15" s="41"/>
      <c r="DFW15" s="41"/>
      <c r="DFX15" s="41"/>
      <c r="DFY15" s="41"/>
      <c r="DFZ15" s="41"/>
      <c r="DGA15" s="41"/>
      <c r="DGB15" s="41"/>
      <c r="DGC15" s="41"/>
      <c r="DGD15" s="41"/>
      <c r="DGE15" s="41"/>
      <c r="DGF15" s="41"/>
      <c r="DGG15" s="41"/>
      <c r="DGH15" s="41"/>
      <c r="DGI15" s="41"/>
      <c r="DGJ15" s="41"/>
      <c r="DGK15" s="41"/>
      <c r="DGL15" s="41"/>
      <c r="DGM15" s="41"/>
      <c r="DGN15" s="41"/>
      <c r="DGO15" s="41"/>
      <c r="DGP15" s="41"/>
      <c r="DGQ15" s="41"/>
      <c r="DGR15" s="41"/>
      <c r="DGS15" s="41"/>
      <c r="DGT15" s="41"/>
      <c r="DGU15" s="41"/>
      <c r="DGV15" s="41"/>
      <c r="DGW15" s="41"/>
      <c r="DGX15" s="41"/>
      <c r="DGY15" s="41"/>
      <c r="DGZ15" s="41"/>
      <c r="DHA15" s="41"/>
      <c r="DHB15" s="41"/>
      <c r="DHC15" s="41"/>
      <c r="DHD15" s="41"/>
      <c r="DHE15" s="41"/>
      <c r="DHF15" s="41"/>
      <c r="DHG15" s="41"/>
      <c r="DHH15" s="41"/>
      <c r="DHI15" s="41"/>
      <c r="DHJ15" s="41"/>
      <c r="DHK15" s="41"/>
      <c r="DHL15" s="41"/>
      <c r="DHM15" s="41"/>
      <c r="DHN15" s="41"/>
      <c r="DHO15" s="41"/>
      <c r="DHP15" s="41"/>
      <c r="DHQ15" s="41"/>
      <c r="DHR15" s="41"/>
      <c r="DHS15" s="41"/>
      <c r="DHT15" s="41"/>
      <c r="DHU15" s="41"/>
      <c r="DHV15" s="41"/>
      <c r="DHW15" s="41"/>
      <c r="DHX15" s="41"/>
      <c r="DHY15" s="41"/>
      <c r="DHZ15" s="41"/>
      <c r="DIA15" s="41"/>
      <c r="DIB15" s="41"/>
      <c r="DIC15" s="41"/>
      <c r="DID15" s="41"/>
      <c r="DIE15" s="41"/>
      <c r="DIF15" s="41"/>
      <c r="DIG15" s="41"/>
      <c r="DIH15" s="41"/>
      <c r="DII15" s="41"/>
      <c r="DIJ15" s="41"/>
      <c r="DIK15" s="41"/>
      <c r="DIL15" s="41"/>
      <c r="DIM15" s="41"/>
      <c r="DIN15" s="41"/>
      <c r="DIO15" s="41"/>
      <c r="DIP15" s="41"/>
      <c r="DIQ15" s="41"/>
      <c r="DIR15" s="41"/>
      <c r="DIS15" s="41"/>
      <c r="DIT15" s="41"/>
      <c r="DIU15" s="41"/>
      <c r="DIV15" s="41"/>
      <c r="DIW15" s="41"/>
      <c r="DIX15" s="41"/>
      <c r="DIY15" s="41"/>
      <c r="DIZ15" s="41"/>
      <c r="DJA15" s="41"/>
      <c r="DJB15" s="41"/>
      <c r="DJC15" s="41"/>
      <c r="DJD15" s="41"/>
      <c r="DJE15" s="41"/>
      <c r="DJF15" s="41"/>
      <c r="DJG15" s="41"/>
      <c r="DJH15" s="41"/>
      <c r="DJI15" s="41"/>
      <c r="DJJ15" s="41"/>
      <c r="DJK15" s="41"/>
      <c r="DJL15" s="41"/>
      <c r="DJM15" s="41"/>
      <c r="DJN15" s="41"/>
      <c r="DJO15" s="41"/>
      <c r="DJP15" s="41"/>
      <c r="DJQ15" s="41"/>
      <c r="DJR15" s="41"/>
      <c r="DJS15" s="41"/>
      <c r="DJT15" s="41"/>
      <c r="DJU15" s="41"/>
      <c r="DJV15" s="41"/>
      <c r="DJW15" s="41"/>
      <c r="DJX15" s="41"/>
      <c r="DJY15" s="41"/>
      <c r="DJZ15" s="41"/>
      <c r="DKA15" s="41"/>
      <c r="DKB15" s="41"/>
      <c r="DKC15" s="41"/>
      <c r="DKD15" s="41"/>
      <c r="DKE15" s="41"/>
      <c r="DKF15" s="41"/>
      <c r="DKG15" s="41"/>
      <c r="DKH15" s="41"/>
      <c r="DKI15" s="41"/>
      <c r="DKJ15" s="41"/>
      <c r="DKK15" s="41"/>
      <c r="DKL15" s="41"/>
      <c r="DKM15" s="41"/>
      <c r="DKN15" s="41"/>
      <c r="DKO15" s="41"/>
      <c r="DKP15" s="41"/>
      <c r="DKQ15" s="41"/>
      <c r="DKR15" s="41"/>
      <c r="DKS15" s="41"/>
      <c r="DKT15" s="41"/>
      <c r="DKU15" s="41"/>
      <c r="DKV15" s="41"/>
      <c r="DKW15" s="41"/>
      <c r="DKX15" s="41"/>
      <c r="DKY15" s="41"/>
      <c r="DKZ15" s="41"/>
      <c r="DLA15" s="41"/>
      <c r="DLB15" s="41"/>
      <c r="DLC15" s="41"/>
      <c r="DLD15" s="41"/>
      <c r="DLE15" s="41"/>
      <c r="DLF15" s="41"/>
      <c r="DLG15" s="41"/>
      <c r="DLH15" s="41"/>
      <c r="DLI15" s="41"/>
      <c r="DLJ15" s="41"/>
      <c r="DLK15" s="41"/>
      <c r="DLL15" s="41"/>
      <c r="DLM15" s="41"/>
      <c r="DLN15" s="41"/>
      <c r="DLO15" s="41"/>
      <c r="DLP15" s="41"/>
      <c r="DLQ15" s="41"/>
      <c r="DLR15" s="41"/>
      <c r="DLS15" s="41"/>
      <c r="DLT15" s="41"/>
      <c r="DLU15" s="41"/>
      <c r="DLV15" s="41"/>
      <c r="DLW15" s="41"/>
      <c r="DLX15" s="41"/>
      <c r="DLY15" s="41"/>
      <c r="DLZ15" s="41"/>
      <c r="DMA15" s="41"/>
      <c r="DMB15" s="41"/>
      <c r="DMC15" s="41"/>
      <c r="DMD15" s="41"/>
      <c r="DME15" s="41"/>
      <c r="DMF15" s="41"/>
      <c r="DMG15" s="41"/>
      <c r="DMH15" s="41"/>
      <c r="DMI15" s="41"/>
      <c r="DMJ15" s="41"/>
      <c r="DMK15" s="41"/>
      <c r="DML15" s="41"/>
      <c r="DMM15" s="41"/>
      <c r="DMN15" s="41"/>
      <c r="DMO15" s="41"/>
      <c r="DMP15" s="41"/>
      <c r="DMQ15" s="41"/>
      <c r="DMR15" s="41"/>
      <c r="DMS15" s="41"/>
      <c r="DMT15" s="41"/>
      <c r="DMU15" s="41"/>
      <c r="DMV15" s="41"/>
      <c r="DMW15" s="41"/>
      <c r="DMX15" s="41"/>
      <c r="DMY15" s="41"/>
      <c r="DMZ15" s="41"/>
      <c r="DNA15" s="41"/>
      <c r="DNB15" s="41"/>
      <c r="DNC15" s="41"/>
      <c r="DND15" s="41"/>
      <c r="DNE15" s="41"/>
      <c r="DNF15" s="41"/>
      <c r="DNG15" s="41"/>
      <c r="DNH15" s="41"/>
      <c r="DNI15" s="41"/>
      <c r="DNJ15" s="41"/>
      <c r="DNK15" s="41"/>
      <c r="DNL15" s="41"/>
      <c r="DNM15" s="41"/>
      <c r="DNN15" s="41"/>
      <c r="DNO15" s="41"/>
      <c r="DNP15" s="41"/>
      <c r="DNQ15" s="41"/>
      <c r="DNR15" s="41"/>
      <c r="DNS15" s="41"/>
      <c r="DNT15" s="41"/>
      <c r="DNU15" s="41"/>
      <c r="DNV15" s="41"/>
      <c r="DNW15" s="41"/>
      <c r="DNX15" s="41"/>
      <c r="DNY15" s="41"/>
      <c r="DNZ15" s="41"/>
      <c r="DOA15" s="41"/>
      <c r="DOB15" s="41"/>
      <c r="DOC15" s="41"/>
      <c r="DOD15" s="41"/>
      <c r="DOE15" s="41"/>
      <c r="DOF15" s="41"/>
      <c r="DOG15" s="41"/>
      <c r="DOH15" s="41"/>
      <c r="DOI15" s="41"/>
      <c r="DOJ15" s="41"/>
      <c r="DOK15" s="41"/>
      <c r="DOL15" s="41"/>
      <c r="DOM15" s="41"/>
      <c r="DON15" s="41"/>
      <c r="DOO15" s="41"/>
      <c r="DOP15" s="41"/>
      <c r="DOQ15" s="41"/>
      <c r="DOR15" s="41"/>
      <c r="DOS15" s="41"/>
      <c r="DOT15" s="41"/>
      <c r="DOU15" s="41"/>
      <c r="DOV15" s="41"/>
      <c r="DOW15" s="41"/>
      <c r="DOX15" s="41"/>
      <c r="DOY15" s="41"/>
      <c r="DOZ15" s="41"/>
      <c r="DPA15" s="41"/>
      <c r="DPB15" s="41"/>
      <c r="DPC15" s="41"/>
      <c r="DPD15" s="41"/>
      <c r="DPE15" s="41"/>
      <c r="DPF15" s="41"/>
      <c r="DPG15" s="41"/>
      <c r="DPH15" s="41"/>
      <c r="DPI15" s="41"/>
      <c r="DPJ15" s="41"/>
      <c r="DPK15" s="41"/>
      <c r="DPL15" s="41"/>
      <c r="DPM15" s="41"/>
      <c r="DPN15" s="41"/>
      <c r="DPO15" s="41"/>
      <c r="DPP15" s="41"/>
      <c r="DPQ15" s="41"/>
      <c r="DPR15" s="41"/>
      <c r="DPS15" s="41"/>
      <c r="DPT15" s="41"/>
      <c r="DPU15" s="41"/>
      <c r="DPV15" s="41"/>
      <c r="DPW15" s="41"/>
      <c r="DPX15" s="41"/>
      <c r="DPY15" s="41"/>
      <c r="DPZ15" s="41"/>
      <c r="DQA15" s="41"/>
      <c r="DQB15" s="41"/>
      <c r="DQC15" s="41"/>
      <c r="DQD15" s="41"/>
      <c r="DQE15" s="41"/>
      <c r="DQF15" s="41"/>
      <c r="DQG15" s="41"/>
      <c r="DQH15" s="41"/>
      <c r="DQI15" s="41"/>
      <c r="DQJ15" s="41"/>
      <c r="DQK15" s="41"/>
      <c r="DQL15" s="41"/>
      <c r="DQM15" s="41"/>
      <c r="DQN15" s="41"/>
      <c r="DQO15" s="41"/>
      <c r="DQP15" s="41"/>
      <c r="DQQ15" s="41"/>
      <c r="DQR15" s="41"/>
      <c r="DQS15" s="41"/>
      <c r="DQT15" s="41"/>
      <c r="DQU15" s="41"/>
      <c r="DQV15" s="41"/>
      <c r="DQW15" s="41"/>
      <c r="DQX15" s="41"/>
      <c r="DQY15" s="41"/>
      <c r="DQZ15" s="41"/>
      <c r="DRA15" s="41"/>
      <c r="DRB15" s="41"/>
      <c r="DRC15" s="41"/>
      <c r="DRD15" s="41"/>
      <c r="DRE15" s="41"/>
      <c r="DRF15" s="41"/>
      <c r="DRG15" s="41"/>
      <c r="DRH15" s="41"/>
      <c r="DRI15" s="41"/>
      <c r="DRJ15" s="41"/>
      <c r="DRK15" s="41"/>
      <c r="DRL15" s="41"/>
      <c r="DRM15" s="41"/>
      <c r="DRN15" s="41"/>
      <c r="DRO15" s="41"/>
      <c r="DRP15" s="41"/>
      <c r="DRQ15" s="41"/>
      <c r="DRR15" s="41"/>
      <c r="DRS15" s="41"/>
      <c r="DRT15" s="41"/>
      <c r="DRU15" s="41"/>
      <c r="DRV15" s="41"/>
      <c r="DRW15" s="41"/>
      <c r="DRX15" s="41"/>
      <c r="DRY15" s="41"/>
      <c r="DRZ15" s="41"/>
      <c r="DSA15" s="41"/>
      <c r="DSB15" s="41"/>
      <c r="DSC15" s="41"/>
      <c r="DSD15" s="41"/>
      <c r="DSE15" s="41"/>
      <c r="DSF15" s="41"/>
      <c r="DSG15" s="41"/>
      <c r="DSH15" s="41"/>
      <c r="DSI15" s="41"/>
      <c r="DSJ15" s="41"/>
      <c r="DSK15" s="41"/>
      <c r="DSL15" s="41"/>
      <c r="DSM15" s="41"/>
      <c r="DSN15" s="41"/>
      <c r="DSO15" s="41"/>
      <c r="DSP15" s="41"/>
      <c r="DSQ15" s="41"/>
      <c r="DSR15" s="41"/>
      <c r="DSS15" s="41"/>
      <c r="DST15" s="41"/>
      <c r="DSU15" s="41"/>
      <c r="DSV15" s="41"/>
      <c r="DSW15" s="41"/>
      <c r="DSX15" s="41"/>
      <c r="DSY15" s="41"/>
      <c r="DSZ15" s="41"/>
      <c r="DTA15" s="41"/>
      <c r="DTB15" s="41"/>
      <c r="DTC15" s="41"/>
      <c r="DTD15" s="41"/>
      <c r="DTE15" s="41"/>
      <c r="DTF15" s="41"/>
      <c r="DTG15" s="41"/>
      <c r="DTH15" s="41"/>
      <c r="DTI15" s="41"/>
      <c r="DTJ15" s="41"/>
      <c r="DTK15" s="41"/>
      <c r="DTL15" s="41"/>
      <c r="DTM15" s="41"/>
      <c r="DTN15" s="41"/>
      <c r="DTO15" s="41"/>
      <c r="DTP15" s="41"/>
      <c r="DTQ15" s="41"/>
      <c r="DTR15" s="41"/>
      <c r="DTS15" s="41"/>
      <c r="DTT15" s="41"/>
      <c r="DTU15" s="41"/>
      <c r="DTV15" s="41"/>
      <c r="DTW15" s="41"/>
      <c r="DTX15" s="41"/>
      <c r="DTY15" s="41"/>
      <c r="DTZ15" s="41"/>
      <c r="DUA15" s="41"/>
      <c r="DUB15" s="41"/>
      <c r="DUC15" s="41"/>
      <c r="DUD15" s="41"/>
      <c r="DUE15" s="41"/>
      <c r="DUF15" s="41"/>
      <c r="DUG15" s="41"/>
      <c r="DUH15" s="41"/>
      <c r="DUI15" s="41"/>
      <c r="DUJ15" s="41"/>
      <c r="DUK15" s="41"/>
      <c r="DUL15" s="41"/>
      <c r="DUM15" s="41"/>
      <c r="DUN15" s="41"/>
      <c r="DUO15" s="41"/>
      <c r="DUP15" s="41"/>
      <c r="DUQ15" s="41"/>
      <c r="DUR15" s="41"/>
      <c r="DUS15" s="41"/>
      <c r="DUT15" s="41"/>
      <c r="DUU15" s="41"/>
      <c r="DUV15" s="41"/>
      <c r="DUW15" s="41"/>
      <c r="DUX15" s="41"/>
      <c r="DUY15" s="41"/>
      <c r="DUZ15" s="41"/>
      <c r="DVA15" s="41"/>
      <c r="DVB15" s="41"/>
      <c r="DVC15" s="41"/>
      <c r="DVD15" s="41"/>
      <c r="DVE15" s="41"/>
      <c r="DVF15" s="41"/>
      <c r="DVG15" s="41"/>
      <c r="DVH15" s="41"/>
      <c r="DVI15" s="41"/>
      <c r="DVJ15" s="41"/>
      <c r="DVK15" s="41"/>
      <c r="DVL15" s="41"/>
      <c r="DVM15" s="41"/>
      <c r="DVN15" s="41"/>
      <c r="DVO15" s="41"/>
      <c r="DVP15" s="41"/>
      <c r="DVQ15" s="41"/>
      <c r="DVR15" s="41"/>
      <c r="DVS15" s="41"/>
      <c r="DVT15" s="41"/>
      <c r="DVU15" s="41"/>
      <c r="DVV15" s="41"/>
      <c r="DVW15" s="41"/>
      <c r="DVX15" s="41"/>
      <c r="DVY15" s="41"/>
      <c r="DVZ15" s="41"/>
      <c r="DWA15" s="41"/>
      <c r="DWB15" s="41"/>
      <c r="DWC15" s="41"/>
      <c r="DWD15" s="41"/>
      <c r="DWE15" s="41"/>
      <c r="DWF15" s="41"/>
      <c r="DWG15" s="41"/>
      <c r="DWH15" s="41"/>
      <c r="DWI15" s="41"/>
      <c r="DWJ15" s="41"/>
      <c r="DWK15" s="41"/>
      <c r="DWL15" s="41"/>
      <c r="DWM15" s="41"/>
      <c r="DWN15" s="41"/>
      <c r="DWO15" s="41"/>
      <c r="DWP15" s="41"/>
      <c r="DWQ15" s="41"/>
      <c r="DWR15" s="41"/>
      <c r="DWS15" s="41"/>
      <c r="DWT15" s="41"/>
      <c r="DWU15" s="41"/>
      <c r="DWV15" s="41"/>
      <c r="DWW15" s="41"/>
      <c r="DWX15" s="41"/>
      <c r="DWY15" s="41"/>
      <c r="DWZ15" s="41"/>
      <c r="DXA15" s="41"/>
      <c r="DXB15" s="41"/>
      <c r="DXC15" s="41"/>
      <c r="DXD15" s="41"/>
      <c r="DXE15" s="41"/>
      <c r="DXF15" s="41"/>
      <c r="DXG15" s="41"/>
      <c r="DXH15" s="41"/>
      <c r="DXI15" s="41"/>
      <c r="DXJ15" s="41"/>
      <c r="DXK15" s="41"/>
      <c r="DXL15" s="41"/>
      <c r="DXM15" s="41"/>
      <c r="DXN15" s="41"/>
      <c r="DXO15" s="41"/>
      <c r="DXP15" s="41"/>
      <c r="DXQ15" s="41"/>
      <c r="DXR15" s="41"/>
      <c r="DXS15" s="41"/>
      <c r="DXT15" s="41"/>
      <c r="DXU15" s="41"/>
      <c r="DXV15" s="41"/>
      <c r="DXW15" s="41"/>
      <c r="DXX15" s="41"/>
      <c r="DXY15" s="41"/>
      <c r="DXZ15" s="41"/>
      <c r="DYA15" s="41"/>
      <c r="DYB15" s="41"/>
      <c r="DYC15" s="41"/>
      <c r="DYD15" s="41"/>
      <c r="DYE15" s="41"/>
      <c r="DYF15" s="41"/>
      <c r="DYG15" s="41"/>
      <c r="DYH15" s="41"/>
      <c r="DYI15" s="41"/>
      <c r="DYJ15" s="41"/>
      <c r="DYK15" s="41"/>
      <c r="DYL15" s="41"/>
      <c r="DYM15" s="41"/>
      <c r="DYN15" s="41"/>
      <c r="DYO15" s="41"/>
      <c r="DYP15" s="41"/>
      <c r="DYQ15" s="41"/>
      <c r="DYR15" s="41"/>
      <c r="DYS15" s="41"/>
      <c r="DYT15" s="41"/>
      <c r="DYU15" s="41"/>
      <c r="DYV15" s="41"/>
      <c r="DYW15" s="41"/>
      <c r="DYX15" s="41"/>
      <c r="DYY15" s="41"/>
      <c r="DYZ15" s="41"/>
      <c r="DZA15" s="41"/>
      <c r="DZB15" s="41"/>
      <c r="DZC15" s="41"/>
      <c r="DZD15" s="41"/>
      <c r="DZE15" s="41"/>
      <c r="DZF15" s="41"/>
      <c r="DZG15" s="41"/>
      <c r="DZH15" s="41"/>
      <c r="DZI15" s="41"/>
      <c r="DZJ15" s="41"/>
      <c r="DZK15" s="41"/>
      <c r="DZL15" s="41"/>
      <c r="DZM15" s="41"/>
      <c r="DZN15" s="41"/>
      <c r="DZO15" s="41"/>
      <c r="DZP15" s="41"/>
      <c r="DZQ15" s="41"/>
      <c r="DZR15" s="41"/>
      <c r="DZS15" s="41"/>
      <c r="DZT15" s="41"/>
      <c r="DZU15" s="41"/>
      <c r="DZV15" s="41"/>
      <c r="DZW15" s="41"/>
      <c r="DZX15" s="41"/>
      <c r="DZY15" s="41"/>
      <c r="DZZ15" s="41"/>
      <c r="EAA15" s="41"/>
      <c r="EAB15" s="41"/>
      <c r="EAC15" s="41"/>
      <c r="EAD15" s="41"/>
      <c r="EAE15" s="41"/>
      <c r="EAF15" s="41"/>
      <c r="EAG15" s="41"/>
      <c r="EAH15" s="41"/>
      <c r="EAI15" s="41"/>
      <c r="EAJ15" s="41"/>
      <c r="EAK15" s="41"/>
      <c r="EAL15" s="41"/>
      <c r="EAM15" s="41"/>
      <c r="EAN15" s="41"/>
      <c r="EAO15" s="41"/>
      <c r="EAP15" s="41"/>
      <c r="EAQ15" s="41"/>
      <c r="EAR15" s="41"/>
      <c r="EAS15" s="41"/>
      <c r="EAT15" s="41"/>
      <c r="EAU15" s="41"/>
      <c r="EAV15" s="41"/>
      <c r="EAW15" s="41"/>
      <c r="EAX15" s="41"/>
      <c r="EAY15" s="41"/>
      <c r="EAZ15" s="41"/>
      <c r="EBA15" s="41"/>
      <c r="EBB15" s="41"/>
      <c r="EBC15" s="41"/>
      <c r="EBD15" s="41"/>
      <c r="EBE15" s="41"/>
      <c r="EBF15" s="41"/>
      <c r="EBG15" s="41"/>
      <c r="EBH15" s="41"/>
      <c r="EBI15" s="41"/>
      <c r="EBJ15" s="41"/>
      <c r="EBK15" s="41"/>
      <c r="EBL15" s="41"/>
      <c r="EBM15" s="41"/>
      <c r="EBN15" s="41"/>
      <c r="EBO15" s="41"/>
      <c r="EBP15" s="41"/>
      <c r="EBQ15" s="41"/>
      <c r="EBR15" s="41"/>
      <c r="EBS15" s="41"/>
      <c r="EBT15" s="41"/>
      <c r="EBU15" s="41"/>
      <c r="EBV15" s="41"/>
      <c r="EBW15" s="41"/>
      <c r="EBX15" s="41"/>
      <c r="EBY15" s="41"/>
      <c r="EBZ15" s="41"/>
      <c r="ECA15" s="41"/>
      <c r="ECB15" s="41"/>
      <c r="ECC15" s="41"/>
      <c r="ECD15" s="41"/>
      <c r="ECE15" s="41"/>
      <c r="ECF15" s="41"/>
      <c r="ECG15" s="41"/>
      <c r="ECH15" s="41"/>
      <c r="ECI15" s="41"/>
      <c r="ECJ15" s="41"/>
      <c r="ECK15" s="41"/>
      <c r="ECL15" s="41"/>
      <c r="ECM15" s="41"/>
      <c r="ECN15" s="41"/>
      <c r="ECO15" s="41"/>
      <c r="ECP15" s="41"/>
      <c r="ECQ15" s="41"/>
      <c r="ECR15" s="41"/>
      <c r="ECS15" s="41"/>
      <c r="ECT15" s="41"/>
      <c r="ECU15" s="41"/>
      <c r="ECV15" s="41"/>
      <c r="ECW15" s="41"/>
      <c r="ECX15" s="41"/>
      <c r="ECY15" s="41"/>
      <c r="ECZ15" s="41"/>
      <c r="EDA15" s="41"/>
      <c r="EDB15" s="41"/>
      <c r="EDC15" s="41"/>
      <c r="EDD15" s="41"/>
      <c r="EDE15" s="41"/>
      <c r="EDF15" s="41"/>
      <c r="EDG15" s="41"/>
      <c r="EDH15" s="41"/>
      <c r="EDI15" s="41"/>
      <c r="EDJ15" s="41"/>
      <c r="EDK15" s="41"/>
      <c r="EDL15" s="41"/>
      <c r="EDM15" s="41"/>
      <c r="EDN15" s="41"/>
      <c r="EDO15" s="41"/>
      <c r="EDP15" s="41"/>
      <c r="EDQ15" s="41"/>
      <c r="EDR15" s="41"/>
      <c r="EDS15" s="41"/>
      <c r="EDT15" s="41"/>
      <c r="EDU15" s="41"/>
      <c r="EDV15" s="41"/>
      <c r="EDW15" s="41"/>
      <c r="EDX15" s="41"/>
      <c r="EDY15" s="41"/>
      <c r="EDZ15" s="41"/>
      <c r="EEA15" s="41"/>
      <c r="EEB15" s="41"/>
      <c r="EEC15" s="41"/>
      <c r="EED15" s="41"/>
      <c r="EEE15" s="41"/>
      <c r="EEF15" s="41"/>
      <c r="EEG15" s="41"/>
      <c r="EEH15" s="41"/>
      <c r="EEI15" s="41"/>
      <c r="EEJ15" s="41"/>
      <c r="EEK15" s="41"/>
      <c r="EEL15" s="41"/>
      <c r="EEM15" s="41"/>
      <c r="EEN15" s="41"/>
      <c r="EEO15" s="41"/>
      <c r="EEP15" s="41"/>
      <c r="EEQ15" s="41"/>
      <c r="EER15" s="41"/>
      <c r="EES15" s="41"/>
      <c r="EET15" s="41"/>
      <c r="EEU15" s="41"/>
      <c r="EEV15" s="41"/>
      <c r="EEW15" s="41"/>
      <c r="EEX15" s="41"/>
      <c r="EEY15" s="41"/>
      <c r="EEZ15" s="41"/>
      <c r="EFA15" s="41"/>
      <c r="EFB15" s="41"/>
      <c r="EFC15" s="41"/>
      <c r="EFD15" s="41"/>
      <c r="EFE15" s="41"/>
      <c r="EFF15" s="41"/>
      <c r="EFG15" s="41"/>
      <c r="EFH15" s="41"/>
      <c r="EFI15" s="41"/>
      <c r="EFJ15" s="41"/>
      <c r="EFK15" s="41"/>
      <c r="EFL15" s="41"/>
      <c r="EFM15" s="41"/>
      <c r="EFN15" s="41"/>
      <c r="EFO15" s="41"/>
      <c r="EFP15" s="41"/>
      <c r="EFQ15" s="41"/>
      <c r="EFR15" s="41"/>
      <c r="EFS15" s="41"/>
      <c r="EFT15" s="41"/>
      <c r="EFU15" s="41"/>
      <c r="EFV15" s="41"/>
      <c r="EFW15" s="41"/>
      <c r="EFX15" s="41"/>
      <c r="EFY15" s="41"/>
      <c r="EFZ15" s="41"/>
      <c r="EGA15" s="41"/>
      <c r="EGB15" s="41"/>
      <c r="EGC15" s="41"/>
      <c r="EGD15" s="41"/>
      <c r="EGE15" s="41"/>
      <c r="EGF15" s="41"/>
      <c r="EGG15" s="41"/>
      <c r="EGH15" s="41"/>
      <c r="EGI15" s="41"/>
      <c r="EGJ15" s="41"/>
      <c r="EGK15" s="41"/>
      <c r="EGL15" s="41"/>
      <c r="EGM15" s="41"/>
      <c r="EGN15" s="41"/>
      <c r="EGO15" s="41"/>
      <c r="EGP15" s="41"/>
      <c r="EGQ15" s="41"/>
      <c r="EGR15" s="41"/>
      <c r="EGS15" s="41"/>
      <c r="EGT15" s="41"/>
      <c r="EGU15" s="41"/>
      <c r="EGV15" s="41"/>
      <c r="EGW15" s="41"/>
      <c r="EGX15" s="41"/>
      <c r="EGY15" s="41"/>
      <c r="EGZ15" s="41"/>
      <c r="EHA15" s="41"/>
      <c r="EHB15" s="41"/>
      <c r="EHC15" s="41"/>
      <c r="EHD15" s="41"/>
      <c r="EHE15" s="41"/>
      <c r="EHF15" s="41"/>
      <c r="EHG15" s="41"/>
      <c r="EHH15" s="41"/>
      <c r="EHI15" s="41"/>
      <c r="EHJ15" s="41"/>
      <c r="EHK15" s="41"/>
      <c r="EHL15" s="41"/>
      <c r="EHM15" s="41"/>
      <c r="EHN15" s="41"/>
      <c r="EHO15" s="41"/>
      <c r="EHP15" s="41"/>
      <c r="EHQ15" s="41"/>
      <c r="EHR15" s="41"/>
      <c r="EHS15" s="41"/>
      <c r="EHT15" s="41"/>
      <c r="EHU15" s="41"/>
      <c r="EHV15" s="41"/>
      <c r="EHW15" s="41"/>
      <c r="EHX15" s="41"/>
      <c r="EHY15" s="41"/>
      <c r="EHZ15" s="41"/>
      <c r="EIA15" s="41"/>
      <c r="EIB15" s="41"/>
      <c r="EIC15" s="41"/>
      <c r="EID15" s="41"/>
      <c r="EIE15" s="41"/>
      <c r="EIF15" s="41"/>
      <c r="EIG15" s="41"/>
      <c r="EIH15" s="41"/>
      <c r="EII15" s="41"/>
      <c r="EIJ15" s="41"/>
      <c r="EIK15" s="41"/>
      <c r="EIL15" s="41"/>
      <c r="EIM15" s="41"/>
      <c r="EIN15" s="41"/>
      <c r="EIO15" s="41"/>
      <c r="EIP15" s="41"/>
      <c r="EIQ15" s="41"/>
      <c r="EIR15" s="41"/>
      <c r="EIS15" s="41"/>
      <c r="EIT15" s="41"/>
      <c r="EIU15" s="41"/>
      <c r="EIV15" s="41"/>
      <c r="EIW15" s="41"/>
      <c r="EIX15" s="41"/>
      <c r="EIY15" s="41"/>
      <c r="EIZ15" s="41"/>
      <c r="EJA15" s="41"/>
      <c r="EJB15" s="41"/>
      <c r="EJC15" s="41"/>
      <c r="EJD15" s="41"/>
      <c r="EJE15" s="41"/>
      <c r="EJF15" s="41"/>
      <c r="EJG15" s="41"/>
      <c r="EJH15" s="41"/>
      <c r="EJI15" s="41"/>
      <c r="EJJ15" s="41"/>
      <c r="EJK15" s="41"/>
      <c r="EJL15" s="41"/>
      <c r="EJM15" s="41"/>
      <c r="EJN15" s="41"/>
      <c r="EJO15" s="41"/>
      <c r="EJP15" s="41"/>
      <c r="EJQ15" s="41"/>
      <c r="EJR15" s="41"/>
      <c r="EJS15" s="41"/>
      <c r="EJT15" s="41"/>
      <c r="EJU15" s="41"/>
      <c r="EJV15" s="41"/>
      <c r="EJW15" s="41"/>
      <c r="EJX15" s="41"/>
      <c r="EJY15" s="41"/>
      <c r="EJZ15" s="41"/>
      <c r="EKA15" s="41"/>
      <c r="EKB15" s="41"/>
      <c r="EKC15" s="41"/>
      <c r="EKD15" s="41"/>
      <c r="EKE15" s="41"/>
      <c r="EKF15" s="41"/>
      <c r="EKG15" s="41"/>
      <c r="EKH15" s="41"/>
      <c r="EKI15" s="41"/>
      <c r="EKJ15" s="41"/>
      <c r="EKK15" s="41"/>
      <c r="EKL15" s="41"/>
      <c r="EKM15" s="41"/>
      <c r="EKN15" s="41"/>
      <c r="EKO15" s="41"/>
      <c r="EKP15" s="41"/>
      <c r="EKQ15" s="41"/>
      <c r="EKR15" s="41"/>
      <c r="EKS15" s="41"/>
      <c r="EKT15" s="41"/>
      <c r="EKU15" s="41"/>
      <c r="EKV15" s="41"/>
      <c r="EKW15" s="41"/>
      <c r="EKX15" s="41"/>
      <c r="EKY15" s="41"/>
      <c r="EKZ15" s="41"/>
      <c r="ELA15" s="41"/>
      <c r="ELB15" s="41"/>
      <c r="ELC15" s="41"/>
      <c r="ELD15" s="41"/>
      <c r="ELE15" s="41"/>
      <c r="ELF15" s="41"/>
      <c r="ELG15" s="41"/>
      <c r="ELH15" s="41"/>
      <c r="ELI15" s="41"/>
      <c r="ELJ15" s="41"/>
      <c r="ELK15" s="41"/>
      <c r="ELL15" s="41"/>
      <c r="ELM15" s="41"/>
      <c r="ELN15" s="41"/>
      <c r="ELO15" s="41"/>
      <c r="ELP15" s="41"/>
      <c r="ELQ15" s="41"/>
      <c r="ELR15" s="41"/>
      <c r="ELS15" s="41"/>
      <c r="ELT15" s="41"/>
      <c r="ELU15" s="41"/>
      <c r="ELV15" s="41"/>
      <c r="ELW15" s="41"/>
      <c r="ELX15" s="41"/>
      <c r="ELY15" s="41"/>
      <c r="ELZ15" s="41"/>
      <c r="EMA15" s="41"/>
      <c r="EMB15" s="41"/>
      <c r="EMC15" s="41"/>
      <c r="EMD15" s="41"/>
      <c r="EME15" s="41"/>
      <c r="EMF15" s="41"/>
      <c r="EMG15" s="41"/>
      <c r="EMH15" s="41"/>
      <c r="EMI15" s="41"/>
      <c r="EMJ15" s="41"/>
      <c r="EMK15" s="41"/>
      <c r="EML15" s="41"/>
      <c r="EMM15" s="41"/>
      <c r="EMN15" s="41"/>
      <c r="EMO15" s="41"/>
      <c r="EMP15" s="41"/>
      <c r="EMQ15" s="41"/>
      <c r="EMR15" s="41"/>
      <c r="EMS15" s="41"/>
      <c r="EMT15" s="41"/>
      <c r="EMU15" s="41"/>
      <c r="EMV15" s="41"/>
      <c r="EMW15" s="41"/>
      <c r="EMX15" s="41"/>
      <c r="EMY15" s="41"/>
      <c r="EMZ15" s="41"/>
      <c r="ENA15" s="41"/>
      <c r="ENB15" s="41"/>
      <c r="ENC15" s="41"/>
      <c r="END15" s="41"/>
      <c r="ENE15" s="41"/>
      <c r="ENF15" s="41"/>
      <c r="ENG15" s="41"/>
      <c r="ENH15" s="41"/>
      <c r="ENI15" s="41"/>
      <c r="ENJ15" s="41"/>
      <c r="ENK15" s="41"/>
      <c r="ENL15" s="41"/>
      <c r="ENM15" s="41"/>
      <c r="ENN15" s="41"/>
      <c r="ENO15" s="41"/>
      <c r="ENP15" s="41"/>
      <c r="ENQ15" s="41"/>
      <c r="ENR15" s="41"/>
      <c r="ENS15" s="41"/>
      <c r="ENT15" s="41"/>
      <c r="ENU15" s="41"/>
      <c r="ENV15" s="41"/>
      <c r="ENW15" s="41"/>
      <c r="ENX15" s="41"/>
      <c r="ENY15" s="41"/>
      <c r="ENZ15" s="41"/>
      <c r="EOA15" s="41"/>
      <c r="EOB15" s="41"/>
      <c r="EOC15" s="41"/>
      <c r="EOD15" s="41"/>
      <c r="EOE15" s="41"/>
      <c r="EOF15" s="41"/>
      <c r="EOG15" s="41"/>
      <c r="EOH15" s="41"/>
      <c r="EOI15" s="41"/>
      <c r="EOJ15" s="41"/>
      <c r="EOK15" s="41"/>
      <c r="EOL15" s="41"/>
      <c r="EOM15" s="41"/>
      <c r="EON15" s="41"/>
      <c r="EOO15" s="41"/>
      <c r="EOP15" s="41"/>
      <c r="EOQ15" s="41"/>
      <c r="EOR15" s="41"/>
      <c r="EOS15" s="41"/>
      <c r="EOT15" s="41"/>
      <c r="EOU15" s="41"/>
      <c r="EOV15" s="41"/>
      <c r="EOW15" s="41"/>
      <c r="EOX15" s="41"/>
      <c r="EOY15" s="41"/>
      <c r="EOZ15" s="41"/>
      <c r="EPA15" s="41"/>
      <c r="EPB15" s="41"/>
      <c r="EPC15" s="41"/>
      <c r="EPD15" s="41"/>
      <c r="EPE15" s="41"/>
      <c r="EPF15" s="41"/>
      <c r="EPG15" s="41"/>
      <c r="EPH15" s="41"/>
      <c r="EPI15" s="41"/>
      <c r="EPJ15" s="41"/>
      <c r="EPK15" s="41"/>
      <c r="EPL15" s="41"/>
      <c r="EPM15" s="41"/>
      <c r="EPN15" s="41"/>
      <c r="EPO15" s="41"/>
      <c r="EPP15" s="41"/>
      <c r="EPQ15" s="41"/>
      <c r="EPR15" s="41"/>
      <c r="EPS15" s="41"/>
      <c r="EPT15" s="41"/>
      <c r="EPU15" s="41"/>
      <c r="EPV15" s="41"/>
      <c r="EPW15" s="41"/>
      <c r="EPX15" s="41"/>
      <c r="EPY15" s="41"/>
      <c r="EPZ15" s="41"/>
      <c r="EQA15" s="41"/>
      <c r="EQB15" s="41"/>
      <c r="EQC15" s="41"/>
      <c r="EQD15" s="41"/>
      <c r="EQE15" s="41"/>
      <c r="EQF15" s="41"/>
      <c r="EQG15" s="41"/>
      <c r="EQH15" s="41"/>
      <c r="EQI15" s="41"/>
      <c r="EQJ15" s="41"/>
      <c r="EQK15" s="41"/>
      <c r="EQL15" s="41"/>
      <c r="EQM15" s="41"/>
      <c r="EQN15" s="41"/>
      <c r="EQO15" s="41"/>
      <c r="EQP15" s="41"/>
      <c r="EQQ15" s="41"/>
      <c r="EQR15" s="41"/>
      <c r="EQS15" s="41"/>
      <c r="EQT15" s="41"/>
      <c r="EQU15" s="41"/>
      <c r="EQV15" s="41"/>
      <c r="EQW15" s="41"/>
      <c r="EQX15" s="41"/>
      <c r="EQY15" s="41"/>
      <c r="EQZ15" s="41"/>
      <c r="ERA15" s="41"/>
      <c r="ERB15" s="41"/>
      <c r="ERC15" s="41"/>
      <c r="ERD15" s="41"/>
      <c r="ERE15" s="41"/>
      <c r="ERF15" s="41"/>
      <c r="ERG15" s="41"/>
      <c r="ERH15" s="41"/>
      <c r="ERI15" s="41"/>
      <c r="ERJ15" s="41"/>
      <c r="ERK15" s="41"/>
      <c r="ERL15" s="41"/>
      <c r="ERM15" s="41"/>
      <c r="ERN15" s="41"/>
      <c r="ERO15" s="41"/>
      <c r="ERP15" s="41"/>
      <c r="ERQ15" s="41"/>
      <c r="ERR15" s="41"/>
      <c r="ERS15" s="41"/>
      <c r="ERT15" s="41"/>
      <c r="ERU15" s="41"/>
      <c r="ERV15" s="41"/>
      <c r="ERW15" s="41"/>
      <c r="ERX15" s="41"/>
      <c r="ERY15" s="41"/>
      <c r="ERZ15" s="41"/>
      <c r="ESA15" s="41"/>
      <c r="ESB15" s="41"/>
      <c r="ESC15" s="41"/>
      <c r="ESD15" s="41"/>
      <c r="ESE15" s="41"/>
      <c r="ESF15" s="41"/>
      <c r="ESG15" s="41"/>
      <c r="ESH15" s="41"/>
      <c r="ESI15" s="41"/>
      <c r="ESJ15" s="41"/>
      <c r="ESK15" s="41"/>
      <c r="ESL15" s="41"/>
      <c r="ESM15" s="41"/>
      <c r="ESN15" s="41"/>
      <c r="ESO15" s="41"/>
      <c r="ESP15" s="41"/>
      <c r="ESQ15" s="41"/>
      <c r="ESR15" s="41"/>
      <c r="ESS15" s="41"/>
      <c r="EST15" s="41"/>
      <c r="ESU15" s="41"/>
      <c r="ESV15" s="41"/>
      <c r="ESW15" s="41"/>
      <c r="ESX15" s="41"/>
      <c r="ESY15" s="41"/>
      <c r="ESZ15" s="41"/>
      <c r="ETA15" s="41"/>
      <c r="ETB15" s="41"/>
      <c r="ETC15" s="41"/>
      <c r="ETD15" s="41"/>
      <c r="ETE15" s="41"/>
      <c r="ETF15" s="41"/>
      <c r="ETG15" s="41"/>
      <c r="ETH15" s="41"/>
      <c r="ETI15" s="41"/>
      <c r="ETJ15" s="41"/>
      <c r="ETK15" s="41"/>
      <c r="ETL15" s="41"/>
      <c r="ETM15" s="41"/>
      <c r="ETN15" s="41"/>
      <c r="ETO15" s="41"/>
      <c r="ETP15" s="41"/>
      <c r="ETQ15" s="41"/>
      <c r="ETR15" s="41"/>
      <c r="ETS15" s="41"/>
      <c r="ETT15" s="41"/>
      <c r="ETU15" s="41"/>
      <c r="ETV15" s="41"/>
      <c r="ETW15" s="41"/>
      <c r="ETX15" s="41"/>
      <c r="ETY15" s="41"/>
      <c r="ETZ15" s="41"/>
      <c r="EUA15" s="41"/>
      <c r="EUB15" s="41"/>
      <c r="EUC15" s="41"/>
      <c r="EUD15" s="41"/>
      <c r="EUE15" s="41"/>
      <c r="EUF15" s="41"/>
      <c r="EUG15" s="41"/>
      <c r="EUH15" s="41"/>
      <c r="EUI15" s="41"/>
      <c r="EUJ15" s="41"/>
      <c r="EUK15" s="41"/>
      <c r="EUL15" s="41"/>
      <c r="EUM15" s="41"/>
      <c r="EUN15" s="41"/>
      <c r="EUO15" s="41"/>
      <c r="EUP15" s="41"/>
      <c r="EUQ15" s="41"/>
      <c r="EUR15" s="41"/>
      <c r="EUS15" s="41"/>
      <c r="EUT15" s="41"/>
      <c r="EUU15" s="41"/>
      <c r="EUV15" s="41"/>
      <c r="EUW15" s="41"/>
      <c r="EUX15" s="41"/>
      <c r="EUY15" s="41"/>
      <c r="EUZ15" s="41"/>
      <c r="EVA15" s="41"/>
      <c r="EVB15" s="41"/>
      <c r="EVC15" s="41"/>
      <c r="EVD15" s="41"/>
      <c r="EVE15" s="41"/>
      <c r="EVF15" s="41"/>
      <c r="EVG15" s="41"/>
      <c r="EVH15" s="41"/>
      <c r="EVI15" s="41"/>
      <c r="EVJ15" s="41"/>
      <c r="EVK15" s="41"/>
      <c r="EVL15" s="41"/>
      <c r="EVM15" s="41"/>
      <c r="EVN15" s="41"/>
      <c r="EVO15" s="41"/>
      <c r="EVP15" s="41"/>
      <c r="EVQ15" s="41"/>
      <c r="EVR15" s="41"/>
      <c r="EVS15" s="41"/>
      <c r="EVT15" s="41"/>
      <c r="EVU15" s="41"/>
      <c r="EVV15" s="41"/>
      <c r="EVW15" s="41"/>
      <c r="EVX15" s="41"/>
      <c r="EVY15" s="41"/>
      <c r="EVZ15" s="41"/>
      <c r="EWA15" s="41"/>
      <c r="EWB15" s="41"/>
      <c r="EWC15" s="41"/>
      <c r="EWD15" s="41"/>
      <c r="EWE15" s="41"/>
      <c r="EWF15" s="41"/>
      <c r="EWG15" s="41"/>
      <c r="EWH15" s="41"/>
      <c r="EWI15" s="41"/>
      <c r="EWJ15" s="41"/>
      <c r="EWK15" s="41"/>
      <c r="EWL15" s="41"/>
      <c r="EWM15" s="41"/>
      <c r="EWN15" s="41"/>
      <c r="EWO15" s="41"/>
      <c r="EWP15" s="41"/>
      <c r="EWQ15" s="41"/>
      <c r="EWR15" s="41"/>
      <c r="EWS15" s="41"/>
      <c r="EWT15" s="41"/>
      <c r="EWU15" s="41"/>
      <c r="EWV15" s="41"/>
      <c r="EWW15" s="41"/>
      <c r="EWX15" s="41"/>
      <c r="EWY15" s="41"/>
      <c r="EWZ15" s="41"/>
      <c r="EXA15" s="41"/>
      <c r="EXB15" s="41"/>
      <c r="EXC15" s="41"/>
      <c r="EXD15" s="41"/>
      <c r="EXE15" s="41"/>
      <c r="EXF15" s="41"/>
      <c r="EXG15" s="41"/>
      <c r="EXH15" s="41"/>
      <c r="EXI15" s="41"/>
      <c r="EXJ15" s="41"/>
      <c r="EXK15" s="41"/>
      <c r="EXL15" s="41"/>
      <c r="EXM15" s="41"/>
      <c r="EXN15" s="41"/>
      <c r="EXO15" s="41"/>
      <c r="EXP15" s="41"/>
      <c r="EXQ15" s="41"/>
      <c r="EXR15" s="41"/>
      <c r="EXS15" s="41"/>
      <c r="EXT15" s="41"/>
      <c r="EXU15" s="41"/>
      <c r="EXV15" s="41"/>
      <c r="EXW15" s="41"/>
      <c r="EXX15" s="41"/>
      <c r="EXY15" s="41"/>
      <c r="EXZ15" s="41"/>
      <c r="EYA15" s="41"/>
      <c r="EYB15" s="41"/>
      <c r="EYC15" s="41"/>
      <c r="EYD15" s="41"/>
      <c r="EYE15" s="41"/>
      <c r="EYF15" s="41"/>
      <c r="EYG15" s="41"/>
      <c r="EYH15" s="41"/>
      <c r="EYI15" s="41"/>
      <c r="EYJ15" s="41"/>
      <c r="EYK15" s="41"/>
      <c r="EYL15" s="41"/>
      <c r="EYM15" s="41"/>
      <c r="EYN15" s="41"/>
      <c r="EYO15" s="41"/>
      <c r="EYP15" s="41"/>
      <c r="EYQ15" s="41"/>
      <c r="EYR15" s="41"/>
      <c r="EYS15" s="41"/>
      <c r="EYT15" s="41"/>
      <c r="EYU15" s="41"/>
      <c r="EYV15" s="41"/>
      <c r="EYW15" s="41"/>
      <c r="EYX15" s="41"/>
      <c r="EYY15" s="41"/>
      <c r="EYZ15" s="41"/>
      <c r="EZA15" s="41"/>
      <c r="EZB15" s="41"/>
      <c r="EZC15" s="41"/>
      <c r="EZD15" s="41"/>
      <c r="EZE15" s="41"/>
      <c r="EZF15" s="41"/>
      <c r="EZG15" s="41"/>
      <c r="EZH15" s="41"/>
      <c r="EZI15" s="41"/>
      <c r="EZJ15" s="41"/>
      <c r="EZK15" s="41"/>
      <c r="EZL15" s="41"/>
      <c r="EZM15" s="41"/>
      <c r="EZN15" s="41"/>
      <c r="EZO15" s="41"/>
      <c r="EZP15" s="41"/>
      <c r="EZQ15" s="41"/>
      <c r="EZR15" s="41"/>
      <c r="EZS15" s="41"/>
      <c r="EZT15" s="41"/>
      <c r="EZU15" s="41"/>
      <c r="EZV15" s="41"/>
      <c r="EZW15" s="41"/>
      <c r="EZX15" s="41"/>
      <c r="EZY15" s="41"/>
      <c r="EZZ15" s="41"/>
      <c r="FAA15" s="41"/>
      <c r="FAB15" s="41"/>
      <c r="FAC15" s="41"/>
      <c r="FAD15" s="41"/>
      <c r="FAE15" s="41"/>
      <c r="FAF15" s="41"/>
      <c r="FAG15" s="41"/>
      <c r="FAH15" s="41"/>
      <c r="FAI15" s="41"/>
      <c r="FAJ15" s="41"/>
      <c r="FAK15" s="41"/>
      <c r="FAL15" s="41"/>
      <c r="FAM15" s="41"/>
      <c r="FAN15" s="41"/>
      <c r="FAO15" s="41"/>
      <c r="FAP15" s="41"/>
      <c r="FAQ15" s="41"/>
      <c r="FAR15" s="41"/>
      <c r="FAS15" s="41"/>
      <c r="FAT15" s="41"/>
      <c r="FAU15" s="41"/>
      <c r="FAV15" s="41"/>
      <c r="FAW15" s="41"/>
      <c r="FAX15" s="41"/>
      <c r="FAY15" s="41"/>
      <c r="FAZ15" s="41"/>
      <c r="FBA15" s="41"/>
      <c r="FBB15" s="41"/>
      <c r="FBC15" s="41"/>
      <c r="FBD15" s="41"/>
      <c r="FBE15" s="41"/>
      <c r="FBF15" s="41"/>
      <c r="FBG15" s="41"/>
      <c r="FBH15" s="41"/>
      <c r="FBI15" s="41"/>
      <c r="FBJ15" s="41"/>
      <c r="FBK15" s="41"/>
      <c r="FBL15" s="41"/>
      <c r="FBM15" s="41"/>
      <c r="FBN15" s="41"/>
      <c r="FBO15" s="41"/>
      <c r="FBP15" s="41"/>
      <c r="FBQ15" s="41"/>
      <c r="FBR15" s="41"/>
      <c r="FBS15" s="41"/>
      <c r="FBT15" s="41"/>
      <c r="FBU15" s="41"/>
      <c r="FBV15" s="41"/>
      <c r="FBW15" s="41"/>
      <c r="FBX15" s="41"/>
      <c r="FBY15" s="41"/>
      <c r="FBZ15" s="41"/>
      <c r="FCA15" s="41"/>
      <c r="FCB15" s="41"/>
      <c r="FCC15" s="41"/>
      <c r="FCD15" s="41"/>
      <c r="FCE15" s="41"/>
      <c r="FCF15" s="41"/>
      <c r="FCG15" s="41"/>
      <c r="FCH15" s="41"/>
      <c r="FCI15" s="41"/>
      <c r="FCJ15" s="41"/>
      <c r="FCK15" s="41"/>
      <c r="FCL15" s="41"/>
      <c r="FCM15" s="41"/>
      <c r="FCN15" s="41"/>
      <c r="FCO15" s="41"/>
      <c r="FCP15" s="41"/>
      <c r="FCQ15" s="41"/>
      <c r="FCR15" s="41"/>
      <c r="FCS15" s="41"/>
      <c r="FCT15" s="41"/>
      <c r="FCU15" s="41"/>
      <c r="FCV15" s="41"/>
      <c r="FCW15" s="41"/>
      <c r="FCX15" s="41"/>
      <c r="FCY15" s="41"/>
      <c r="FCZ15" s="41"/>
      <c r="FDA15" s="41"/>
      <c r="FDB15" s="41"/>
      <c r="FDC15" s="41"/>
      <c r="FDD15" s="41"/>
      <c r="FDE15" s="41"/>
      <c r="FDF15" s="41"/>
      <c r="FDG15" s="41"/>
      <c r="FDH15" s="41"/>
      <c r="FDI15" s="41"/>
      <c r="FDJ15" s="41"/>
      <c r="FDK15" s="41"/>
      <c r="FDL15" s="41"/>
      <c r="FDM15" s="41"/>
      <c r="FDN15" s="41"/>
      <c r="FDO15" s="41"/>
      <c r="FDP15" s="41"/>
      <c r="FDQ15" s="41"/>
      <c r="FDR15" s="41"/>
      <c r="FDS15" s="41"/>
      <c r="FDT15" s="41"/>
      <c r="FDU15" s="41"/>
      <c r="FDV15" s="41"/>
      <c r="FDW15" s="41"/>
      <c r="FDX15" s="41"/>
      <c r="FDY15" s="41"/>
      <c r="FDZ15" s="41"/>
      <c r="FEA15" s="41"/>
      <c r="FEB15" s="41"/>
      <c r="FEC15" s="41"/>
      <c r="FED15" s="41"/>
      <c r="FEE15" s="41"/>
      <c r="FEF15" s="41"/>
      <c r="FEG15" s="41"/>
      <c r="FEH15" s="41"/>
      <c r="FEI15" s="41"/>
      <c r="FEJ15" s="41"/>
      <c r="FEK15" s="41"/>
      <c r="FEL15" s="41"/>
      <c r="FEM15" s="41"/>
      <c r="FEN15" s="41"/>
      <c r="FEO15" s="41"/>
      <c r="FEP15" s="41"/>
      <c r="FEQ15" s="41"/>
      <c r="FER15" s="41"/>
      <c r="FES15" s="41"/>
      <c r="FET15" s="41"/>
      <c r="FEU15" s="41"/>
      <c r="FEV15" s="41"/>
      <c r="FEW15" s="41"/>
      <c r="FEX15" s="41"/>
      <c r="FEY15" s="41"/>
      <c r="FEZ15" s="41"/>
      <c r="FFA15" s="41"/>
      <c r="FFB15" s="41"/>
      <c r="FFC15" s="41"/>
      <c r="FFD15" s="41"/>
      <c r="FFE15" s="41"/>
      <c r="FFF15" s="41"/>
      <c r="FFG15" s="41"/>
      <c r="FFH15" s="41"/>
      <c r="FFI15" s="41"/>
      <c r="FFJ15" s="41"/>
      <c r="FFK15" s="41"/>
      <c r="FFL15" s="41"/>
      <c r="FFM15" s="41"/>
      <c r="FFN15" s="41"/>
      <c r="FFO15" s="41"/>
      <c r="FFP15" s="41"/>
      <c r="FFQ15" s="41"/>
      <c r="FFR15" s="41"/>
      <c r="FFS15" s="41"/>
      <c r="FFT15" s="41"/>
      <c r="FFU15" s="41"/>
      <c r="FFV15" s="41"/>
      <c r="FFW15" s="41"/>
      <c r="FFX15" s="41"/>
      <c r="FFY15" s="41"/>
      <c r="FFZ15" s="41"/>
      <c r="FGA15" s="41"/>
      <c r="FGB15" s="41"/>
      <c r="FGC15" s="41"/>
      <c r="FGD15" s="41"/>
      <c r="FGE15" s="41"/>
      <c r="FGF15" s="41"/>
      <c r="FGG15" s="41"/>
      <c r="FGH15" s="41"/>
      <c r="FGI15" s="41"/>
      <c r="FGJ15" s="41"/>
      <c r="FGK15" s="41"/>
      <c r="FGL15" s="41"/>
      <c r="FGM15" s="41"/>
      <c r="FGN15" s="41"/>
      <c r="FGO15" s="41"/>
      <c r="FGP15" s="41"/>
      <c r="FGQ15" s="41"/>
      <c r="FGR15" s="41"/>
      <c r="FGS15" s="41"/>
      <c r="FGT15" s="41"/>
      <c r="FGU15" s="41"/>
      <c r="FGV15" s="41"/>
      <c r="FGW15" s="41"/>
      <c r="FGX15" s="41"/>
      <c r="FGY15" s="41"/>
      <c r="FGZ15" s="41"/>
      <c r="FHA15" s="41"/>
      <c r="FHB15" s="41"/>
      <c r="FHC15" s="41"/>
      <c r="FHD15" s="41"/>
      <c r="FHE15" s="41"/>
      <c r="FHF15" s="41"/>
      <c r="FHG15" s="41"/>
      <c r="FHH15" s="41"/>
      <c r="FHI15" s="41"/>
      <c r="FHJ15" s="41"/>
      <c r="FHK15" s="41"/>
      <c r="FHL15" s="41"/>
      <c r="FHM15" s="41"/>
      <c r="FHN15" s="41"/>
      <c r="FHO15" s="41"/>
      <c r="FHP15" s="41"/>
      <c r="FHQ15" s="41"/>
      <c r="FHR15" s="41"/>
      <c r="FHS15" s="41"/>
      <c r="FHT15" s="41"/>
      <c r="FHU15" s="41"/>
      <c r="FHV15" s="41"/>
      <c r="FHW15" s="41"/>
      <c r="FHX15" s="41"/>
      <c r="FHY15" s="41"/>
      <c r="FHZ15" s="41"/>
      <c r="FIA15" s="41"/>
      <c r="FIB15" s="41"/>
      <c r="FIC15" s="41"/>
      <c r="FID15" s="41"/>
      <c r="FIE15" s="41"/>
      <c r="FIF15" s="41"/>
      <c r="FIG15" s="41"/>
      <c r="FIH15" s="41"/>
      <c r="FII15" s="41"/>
      <c r="FIJ15" s="41"/>
      <c r="FIK15" s="41"/>
      <c r="FIL15" s="41"/>
      <c r="FIM15" s="41"/>
      <c r="FIN15" s="41"/>
      <c r="FIO15" s="41"/>
      <c r="FIP15" s="41"/>
      <c r="FIQ15" s="41"/>
      <c r="FIR15" s="41"/>
      <c r="FIS15" s="41"/>
      <c r="FIT15" s="41"/>
      <c r="FIU15" s="41"/>
      <c r="FIV15" s="41"/>
      <c r="FIW15" s="41"/>
      <c r="FIX15" s="41"/>
      <c r="FIY15" s="41"/>
      <c r="FIZ15" s="41"/>
      <c r="FJA15" s="41"/>
      <c r="FJB15" s="41"/>
      <c r="FJC15" s="41"/>
      <c r="FJD15" s="41"/>
      <c r="FJE15" s="41"/>
      <c r="FJF15" s="41"/>
      <c r="FJG15" s="41"/>
      <c r="FJH15" s="41"/>
      <c r="FJI15" s="41"/>
      <c r="FJJ15" s="41"/>
      <c r="FJK15" s="41"/>
      <c r="FJL15" s="41"/>
      <c r="FJM15" s="41"/>
      <c r="FJN15" s="41"/>
      <c r="FJO15" s="41"/>
      <c r="FJP15" s="41"/>
      <c r="FJQ15" s="41"/>
      <c r="FJR15" s="41"/>
      <c r="FJS15" s="41"/>
      <c r="FJT15" s="41"/>
      <c r="FJU15" s="41"/>
      <c r="FJV15" s="41"/>
      <c r="FJW15" s="41"/>
      <c r="FJX15" s="41"/>
      <c r="FJY15" s="41"/>
      <c r="FJZ15" s="41"/>
      <c r="FKA15" s="41"/>
      <c r="FKB15" s="41"/>
      <c r="FKC15" s="41"/>
      <c r="FKD15" s="41"/>
      <c r="FKE15" s="41"/>
      <c r="FKF15" s="41"/>
      <c r="FKG15" s="41"/>
      <c r="FKH15" s="41"/>
      <c r="FKI15" s="41"/>
      <c r="FKJ15" s="41"/>
      <c r="FKK15" s="41"/>
      <c r="FKL15" s="41"/>
      <c r="FKM15" s="41"/>
      <c r="FKN15" s="41"/>
      <c r="FKO15" s="41"/>
      <c r="FKP15" s="41"/>
      <c r="FKQ15" s="41"/>
      <c r="FKR15" s="41"/>
      <c r="FKS15" s="41"/>
      <c r="FKT15" s="41"/>
      <c r="FKU15" s="41"/>
      <c r="FKV15" s="41"/>
      <c r="FKW15" s="41"/>
      <c r="FKX15" s="41"/>
      <c r="FKY15" s="41"/>
      <c r="FKZ15" s="41"/>
      <c r="FLA15" s="41"/>
      <c r="FLB15" s="41"/>
      <c r="FLC15" s="41"/>
      <c r="FLD15" s="41"/>
      <c r="FLE15" s="41"/>
      <c r="FLF15" s="41"/>
      <c r="FLG15" s="41"/>
      <c r="FLH15" s="41"/>
      <c r="FLI15" s="41"/>
      <c r="FLJ15" s="41"/>
      <c r="FLK15" s="41"/>
      <c r="FLL15" s="41"/>
      <c r="FLM15" s="41"/>
      <c r="FLN15" s="41"/>
      <c r="FLO15" s="41"/>
      <c r="FLP15" s="41"/>
      <c r="FLQ15" s="41"/>
      <c r="FLR15" s="41"/>
      <c r="FLS15" s="41"/>
      <c r="FLT15" s="41"/>
      <c r="FLU15" s="41"/>
      <c r="FLV15" s="41"/>
      <c r="FLW15" s="41"/>
      <c r="FLX15" s="41"/>
      <c r="FLY15" s="41"/>
      <c r="FLZ15" s="41"/>
      <c r="FMA15" s="41"/>
      <c r="FMB15" s="41"/>
      <c r="FMC15" s="41"/>
      <c r="FMD15" s="41"/>
      <c r="FME15" s="41"/>
      <c r="FMF15" s="41"/>
      <c r="FMG15" s="41"/>
      <c r="FMH15" s="41"/>
      <c r="FMI15" s="41"/>
      <c r="FMJ15" s="41"/>
      <c r="FMK15" s="41"/>
      <c r="FML15" s="41"/>
      <c r="FMM15" s="41"/>
      <c r="FMN15" s="41"/>
      <c r="FMO15" s="41"/>
      <c r="FMP15" s="41"/>
      <c r="FMQ15" s="41"/>
      <c r="FMR15" s="41"/>
      <c r="FMS15" s="41"/>
      <c r="FMT15" s="41"/>
      <c r="FMU15" s="41"/>
      <c r="FMV15" s="41"/>
      <c r="FMW15" s="41"/>
      <c r="FMX15" s="41"/>
      <c r="FMY15" s="41"/>
      <c r="FMZ15" s="41"/>
      <c r="FNA15" s="41"/>
      <c r="FNB15" s="41"/>
      <c r="FNC15" s="41"/>
      <c r="FND15" s="41"/>
      <c r="FNE15" s="41"/>
      <c r="FNF15" s="41"/>
      <c r="FNG15" s="41"/>
      <c r="FNH15" s="41"/>
      <c r="FNI15" s="41"/>
      <c r="FNJ15" s="41"/>
      <c r="FNK15" s="41"/>
      <c r="FNL15" s="41"/>
      <c r="FNM15" s="41"/>
      <c r="FNN15" s="41"/>
      <c r="FNO15" s="41"/>
      <c r="FNP15" s="41"/>
      <c r="FNQ15" s="41"/>
      <c r="FNR15" s="41"/>
      <c r="FNS15" s="41"/>
      <c r="FNT15" s="41"/>
      <c r="FNU15" s="41"/>
      <c r="FNV15" s="41"/>
      <c r="FNW15" s="41"/>
      <c r="FNX15" s="41"/>
      <c r="FNY15" s="41"/>
      <c r="FNZ15" s="41"/>
      <c r="FOA15" s="41"/>
      <c r="FOB15" s="41"/>
      <c r="FOC15" s="41"/>
      <c r="FOD15" s="41"/>
      <c r="FOE15" s="41"/>
      <c r="FOF15" s="41"/>
      <c r="FOG15" s="41"/>
      <c r="FOH15" s="41"/>
      <c r="FOI15" s="41"/>
      <c r="FOJ15" s="41"/>
      <c r="FOK15" s="41"/>
      <c r="FOL15" s="41"/>
      <c r="FOM15" s="41"/>
      <c r="FON15" s="41"/>
      <c r="FOO15" s="41"/>
      <c r="FOP15" s="41"/>
      <c r="FOQ15" s="41"/>
      <c r="FOR15" s="41"/>
      <c r="FOS15" s="41"/>
      <c r="FOT15" s="41"/>
      <c r="FOU15" s="41"/>
      <c r="FOV15" s="41"/>
      <c r="FOW15" s="41"/>
      <c r="FOX15" s="41"/>
      <c r="FOY15" s="41"/>
      <c r="FOZ15" s="41"/>
      <c r="FPA15" s="41"/>
      <c r="FPB15" s="41"/>
      <c r="FPC15" s="41"/>
      <c r="FPD15" s="41"/>
      <c r="FPE15" s="41"/>
      <c r="FPF15" s="41"/>
      <c r="FPG15" s="41"/>
      <c r="FPH15" s="41"/>
      <c r="FPI15" s="41"/>
      <c r="FPJ15" s="41"/>
      <c r="FPK15" s="41"/>
      <c r="FPL15" s="41"/>
      <c r="FPM15" s="41"/>
      <c r="FPN15" s="41"/>
      <c r="FPO15" s="41"/>
      <c r="FPP15" s="41"/>
      <c r="FPQ15" s="41"/>
      <c r="FPR15" s="41"/>
      <c r="FPS15" s="41"/>
      <c r="FPT15" s="41"/>
      <c r="FPU15" s="41"/>
      <c r="FPV15" s="41"/>
      <c r="FPW15" s="41"/>
      <c r="FPX15" s="41"/>
      <c r="FPY15" s="41"/>
      <c r="FPZ15" s="41"/>
      <c r="FQA15" s="41"/>
      <c r="FQB15" s="41"/>
      <c r="FQC15" s="41"/>
      <c r="FQD15" s="41"/>
      <c r="FQE15" s="41"/>
      <c r="FQF15" s="41"/>
      <c r="FQG15" s="41"/>
      <c r="FQH15" s="41"/>
      <c r="FQI15" s="41"/>
      <c r="FQJ15" s="41"/>
      <c r="FQK15" s="41"/>
      <c r="FQL15" s="41"/>
      <c r="FQM15" s="41"/>
      <c r="FQN15" s="41"/>
      <c r="FQO15" s="41"/>
      <c r="FQP15" s="41"/>
      <c r="FQQ15" s="41"/>
      <c r="FQR15" s="41"/>
      <c r="FQS15" s="41"/>
      <c r="FQT15" s="41"/>
      <c r="FQU15" s="41"/>
      <c r="FQV15" s="41"/>
      <c r="FQW15" s="41"/>
      <c r="FQX15" s="41"/>
      <c r="FQY15" s="41"/>
      <c r="FQZ15" s="41"/>
      <c r="FRA15" s="41"/>
      <c r="FRB15" s="41"/>
      <c r="FRC15" s="41"/>
      <c r="FRD15" s="41"/>
      <c r="FRE15" s="41"/>
      <c r="FRF15" s="41"/>
      <c r="FRG15" s="41"/>
      <c r="FRH15" s="41"/>
      <c r="FRI15" s="41"/>
      <c r="FRJ15" s="41"/>
      <c r="FRK15" s="41"/>
      <c r="FRL15" s="41"/>
      <c r="FRM15" s="41"/>
      <c r="FRN15" s="41"/>
      <c r="FRO15" s="41"/>
      <c r="FRP15" s="41"/>
      <c r="FRQ15" s="41"/>
      <c r="FRR15" s="41"/>
      <c r="FRS15" s="41"/>
      <c r="FRT15" s="41"/>
      <c r="FRU15" s="41"/>
      <c r="FRV15" s="41"/>
      <c r="FRW15" s="41"/>
      <c r="FRX15" s="41"/>
      <c r="FRY15" s="41"/>
      <c r="FRZ15" s="41"/>
      <c r="FSA15" s="41"/>
      <c r="FSB15" s="41"/>
      <c r="FSC15" s="41"/>
      <c r="FSD15" s="41"/>
      <c r="FSE15" s="41"/>
      <c r="FSF15" s="41"/>
      <c r="FSG15" s="41"/>
      <c r="FSH15" s="41"/>
      <c r="FSI15" s="41"/>
      <c r="FSJ15" s="41"/>
      <c r="FSK15" s="41"/>
      <c r="FSL15" s="41"/>
      <c r="FSM15" s="41"/>
      <c r="FSN15" s="41"/>
      <c r="FSO15" s="41"/>
      <c r="FSP15" s="41"/>
      <c r="FSQ15" s="41"/>
      <c r="FSR15" s="41"/>
      <c r="FSS15" s="41"/>
      <c r="FST15" s="41"/>
      <c r="FSU15" s="41"/>
      <c r="FSV15" s="41"/>
      <c r="FSW15" s="41"/>
      <c r="FSX15" s="41"/>
      <c r="FSY15" s="41"/>
      <c r="FSZ15" s="41"/>
      <c r="FTA15" s="41"/>
      <c r="FTB15" s="41"/>
      <c r="FTC15" s="41"/>
      <c r="FTD15" s="41"/>
      <c r="FTE15" s="41"/>
      <c r="FTF15" s="41"/>
      <c r="FTG15" s="41"/>
      <c r="FTH15" s="41"/>
      <c r="FTI15" s="41"/>
      <c r="FTJ15" s="41"/>
      <c r="FTK15" s="41"/>
      <c r="FTL15" s="41"/>
      <c r="FTM15" s="41"/>
      <c r="FTN15" s="41"/>
      <c r="FTO15" s="41"/>
      <c r="FTP15" s="41"/>
      <c r="FTQ15" s="41"/>
      <c r="FTR15" s="41"/>
      <c r="FTS15" s="41"/>
      <c r="FTT15" s="41"/>
      <c r="FTU15" s="41"/>
      <c r="FTV15" s="41"/>
      <c r="FTW15" s="41"/>
      <c r="FTX15" s="41"/>
      <c r="FTY15" s="41"/>
      <c r="FTZ15" s="41"/>
      <c r="FUA15" s="41"/>
      <c r="FUB15" s="41"/>
      <c r="FUC15" s="41"/>
      <c r="FUD15" s="41"/>
      <c r="FUE15" s="41"/>
      <c r="FUF15" s="41"/>
      <c r="FUG15" s="41"/>
      <c r="FUH15" s="41"/>
      <c r="FUI15" s="41"/>
      <c r="FUJ15" s="41"/>
      <c r="FUK15" s="41"/>
      <c r="FUL15" s="41"/>
      <c r="FUM15" s="41"/>
      <c r="FUN15" s="41"/>
      <c r="FUO15" s="41"/>
      <c r="FUP15" s="41"/>
      <c r="FUQ15" s="41"/>
      <c r="FUR15" s="41"/>
      <c r="FUS15" s="41"/>
      <c r="FUT15" s="41"/>
      <c r="FUU15" s="41"/>
      <c r="FUV15" s="41"/>
      <c r="FUW15" s="41"/>
      <c r="FUX15" s="41"/>
      <c r="FUY15" s="41"/>
      <c r="FUZ15" s="41"/>
      <c r="FVA15" s="41"/>
      <c r="FVB15" s="41"/>
      <c r="FVC15" s="41"/>
      <c r="FVD15" s="41"/>
      <c r="FVE15" s="41"/>
      <c r="FVF15" s="41"/>
      <c r="FVG15" s="41"/>
      <c r="FVH15" s="41"/>
      <c r="FVI15" s="41"/>
      <c r="FVJ15" s="41"/>
      <c r="FVK15" s="41"/>
      <c r="FVL15" s="41"/>
      <c r="FVM15" s="41"/>
      <c r="FVN15" s="41"/>
      <c r="FVO15" s="41"/>
      <c r="FVP15" s="41"/>
      <c r="FVQ15" s="41"/>
      <c r="FVR15" s="41"/>
      <c r="FVS15" s="41"/>
      <c r="FVT15" s="41"/>
      <c r="FVU15" s="41"/>
      <c r="FVV15" s="41"/>
      <c r="FVW15" s="41"/>
      <c r="FVX15" s="41"/>
      <c r="FVY15" s="41"/>
      <c r="FVZ15" s="41"/>
      <c r="FWA15" s="41"/>
      <c r="FWB15" s="41"/>
      <c r="FWC15" s="41"/>
      <c r="FWD15" s="41"/>
      <c r="FWE15" s="41"/>
      <c r="FWF15" s="41"/>
      <c r="FWG15" s="41"/>
      <c r="FWH15" s="41"/>
      <c r="FWI15" s="41"/>
      <c r="FWJ15" s="41"/>
      <c r="FWK15" s="41"/>
      <c r="FWL15" s="41"/>
      <c r="FWM15" s="41"/>
      <c r="FWN15" s="41"/>
      <c r="FWO15" s="41"/>
      <c r="FWP15" s="41"/>
      <c r="FWQ15" s="41"/>
      <c r="FWR15" s="41"/>
      <c r="FWS15" s="41"/>
      <c r="FWT15" s="41"/>
      <c r="FWU15" s="41"/>
      <c r="FWV15" s="41"/>
      <c r="FWW15" s="41"/>
      <c r="FWX15" s="41"/>
      <c r="FWY15" s="41"/>
      <c r="FWZ15" s="41"/>
      <c r="FXA15" s="41"/>
      <c r="FXB15" s="41"/>
      <c r="FXC15" s="41"/>
      <c r="FXD15" s="41"/>
      <c r="FXE15" s="41"/>
      <c r="FXF15" s="41"/>
      <c r="FXG15" s="41"/>
      <c r="FXH15" s="41"/>
      <c r="FXI15" s="41"/>
      <c r="FXJ15" s="41"/>
      <c r="FXK15" s="41"/>
      <c r="FXL15" s="41"/>
      <c r="FXM15" s="41"/>
      <c r="FXN15" s="41"/>
      <c r="FXO15" s="41"/>
      <c r="FXP15" s="41"/>
      <c r="FXQ15" s="41"/>
      <c r="FXR15" s="41"/>
      <c r="FXS15" s="41"/>
      <c r="FXT15" s="41"/>
      <c r="FXU15" s="41"/>
      <c r="FXV15" s="41"/>
      <c r="FXW15" s="41"/>
      <c r="FXX15" s="41"/>
      <c r="FXY15" s="41"/>
      <c r="FXZ15" s="41"/>
      <c r="FYA15" s="41"/>
      <c r="FYB15" s="41"/>
      <c r="FYC15" s="41"/>
      <c r="FYD15" s="41"/>
      <c r="FYE15" s="41"/>
      <c r="FYF15" s="41"/>
      <c r="FYG15" s="41"/>
      <c r="FYH15" s="41"/>
      <c r="FYI15" s="41"/>
      <c r="FYJ15" s="41"/>
      <c r="FYK15" s="41"/>
      <c r="FYL15" s="41"/>
      <c r="FYM15" s="41"/>
      <c r="FYN15" s="41"/>
      <c r="FYO15" s="41"/>
      <c r="FYP15" s="41"/>
      <c r="FYQ15" s="41"/>
      <c r="FYR15" s="41"/>
      <c r="FYS15" s="41"/>
      <c r="FYT15" s="41"/>
      <c r="FYU15" s="41"/>
      <c r="FYV15" s="41"/>
      <c r="FYW15" s="41"/>
      <c r="FYX15" s="41"/>
      <c r="FYY15" s="41"/>
      <c r="FYZ15" s="41"/>
      <c r="FZA15" s="41"/>
      <c r="FZB15" s="41"/>
      <c r="FZC15" s="41"/>
      <c r="FZD15" s="41"/>
      <c r="FZE15" s="41"/>
      <c r="FZF15" s="41"/>
      <c r="FZG15" s="41"/>
      <c r="FZH15" s="41"/>
      <c r="FZI15" s="41"/>
      <c r="FZJ15" s="41"/>
      <c r="FZK15" s="41"/>
      <c r="FZL15" s="41"/>
      <c r="FZM15" s="41"/>
      <c r="FZN15" s="41"/>
      <c r="FZO15" s="41"/>
      <c r="FZP15" s="41"/>
      <c r="FZQ15" s="41"/>
      <c r="FZR15" s="41"/>
      <c r="FZS15" s="41"/>
      <c r="FZT15" s="41"/>
      <c r="FZU15" s="41"/>
      <c r="FZV15" s="41"/>
      <c r="FZW15" s="41"/>
      <c r="FZX15" s="41"/>
      <c r="FZY15" s="41"/>
      <c r="FZZ15" s="41"/>
      <c r="GAA15" s="41"/>
      <c r="GAB15" s="41"/>
      <c r="GAC15" s="41"/>
      <c r="GAD15" s="41"/>
      <c r="GAE15" s="41"/>
      <c r="GAF15" s="41"/>
      <c r="GAG15" s="41"/>
      <c r="GAH15" s="41"/>
      <c r="GAI15" s="41"/>
      <c r="GAJ15" s="41"/>
      <c r="GAK15" s="41"/>
      <c r="GAL15" s="41"/>
      <c r="GAM15" s="41"/>
      <c r="GAN15" s="41"/>
      <c r="GAO15" s="41"/>
      <c r="GAP15" s="41"/>
      <c r="GAQ15" s="41"/>
      <c r="GAR15" s="41"/>
      <c r="GAS15" s="41"/>
      <c r="GAT15" s="41"/>
      <c r="GAU15" s="41"/>
      <c r="GAV15" s="41"/>
      <c r="GAW15" s="41"/>
      <c r="GAX15" s="41"/>
      <c r="GAY15" s="41"/>
      <c r="GAZ15" s="41"/>
      <c r="GBA15" s="41"/>
      <c r="GBB15" s="41"/>
      <c r="GBC15" s="41"/>
      <c r="GBD15" s="41"/>
      <c r="GBE15" s="41"/>
      <c r="GBF15" s="41"/>
      <c r="GBG15" s="41"/>
      <c r="GBH15" s="41"/>
      <c r="GBI15" s="41"/>
      <c r="GBJ15" s="41"/>
      <c r="GBK15" s="41"/>
      <c r="GBL15" s="41"/>
      <c r="GBM15" s="41"/>
      <c r="GBN15" s="41"/>
      <c r="GBO15" s="41"/>
      <c r="GBP15" s="41"/>
      <c r="GBQ15" s="41"/>
      <c r="GBR15" s="41"/>
      <c r="GBS15" s="41"/>
      <c r="GBT15" s="41"/>
      <c r="GBU15" s="41"/>
      <c r="GBV15" s="41"/>
      <c r="GBW15" s="41"/>
      <c r="GBX15" s="41"/>
      <c r="GBY15" s="41"/>
      <c r="GBZ15" s="41"/>
      <c r="GCA15" s="41"/>
      <c r="GCB15" s="41"/>
      <c r="GCC15" s="41"/>
      <c r="GCD15" s="41"/>
      <c r="GCE15" s="41"/>
      <c r="GCF15" s="41"/>
      <c r="GCG15" s="41"/>
      <c r="GCH15" s="41"/>
      <c r="GCI15" s="41"/>
      <c r="GCJ15" s="41"/>
      <c r="GCK15" s="41"/>
      <c r="GCL15" s="41"/>
      <c r="GCM15" s="41"/>
      <c r="GCN15" s="41"/>
      <c r="GCO15" s="41"/>
      <c r="GCP15" s="41"/>
      <c r="GCQ15" s="41"/>
      <c r="GCR15" s="41"/>
      <c r="GCS15" s="41"/>
      <c r="GCT15" s="41"/>
      <c r="GCU15" s="41"/>
      <c r="GCV15" s="41"/>
      <c r="GCW15" s="41"/>
      <c r="GCX15" s="41"/>
      <c r="GCY15" s="41"/>
      <c r="GCZ15" s="41"/>
      <c r="GDA15" s="41"/>
      <c r="GDB15" s="41"/>
      <c r="GDC15" s="41"/>
      <c r="GDD15" s="41"/>
      <c r="GDE15" s="41"/>
      <c r="GDF15" s="41"/>
      <c r="GDG15" s="41"/>
      <c r="GDH15" s="41"/>
      <c r="GDI15" s="41"/>
      <c r="GDJ15" s="41"/>
      <c r="GDK15" s="41"/>
      <c r="GDL15" s="41"/>
      <c r="GDM15" s="41"/>
      <c r="GDN15" s="41"/>
      <c r="GDO15" s="41"/>
      <c r="GDP15" s="41"/>
      <c r="GDQ15" s="41"/>
      <c r="GDR15" s="41"/>
      <c r="GDS15" s="41"/>
      <c r="GDT15" s="41"/>
      <c r="GDU15" s="41"/>
      <c r="GDV15" s="41"/>
      <c r="GDW15" s="41"/>
      <c r="GDX15" s="41"/>
      <c r="GDY15" s="41"/>
      <c r="GDZ15" s="41"/>
      <c r="GEA15" s="41"/>
      <c r="GEB15" s="41"/>
      <c r="GEC15" s="41"/>
      <c r="GED15" s="41"/>
      <c r="GEE15" s="41"/>
      <c r="GEF15" s="41"/>
      <c r="GEG15" s="41"/>
      <c r="GEH15" s="41"/>
      <c r="GEI15" s="41"/>
      <c r="GEJ15" s="41"/>
      <c r="GEK15" s="41"/>
      <c r="GEL15" s="41"/>
      <c r="GEM15" s="41"/>
      <c r="GEN15" s="41"/>
      <c r="GEO15" s="41"/>
      <c r="GEP15" s="41"/>
      <c r="GEQ15" s="41"/>
      <c r="GER15" s="41"/>
      <c r="GES15" s="41"/>
      <c r="GET15" s="41"/>
      <c r="GEU15" s="41"/>
      <c r="GEV15" s="41"/>
      <c r="GEW15" s="41"/>
      <c r="GEX15" s="41"/>
      <c r="GEY15" s="41"/>
      <c r="GEZ15" s="41"/>
      <c r="GFA15" s="41"/>
      <c r="GFB15" s="41"/>
      <c r="GFC15" s="41"/>
      <c r="GFD15" s="41"/>
      <c r="GFE15" s="41"/>
      <c r="GFF15" s="41"/>
      <c r="GFG15" s="41"/>
      <c r="GFH15" s="41"/>
      <c r="GFI15" s="41"/>
      <c r="GFJ15" s="41"/>
      <c r="GFK15" s="41"/>
      <c r="GFL15" s="41"/>
      <c r="GFM15" s="41"/>
      <c r="GFN15" s="41"/>
      <c r="GFO15" s="41"/>
      <c r="GFP15" s="41"/>
      <c r="GFQ15" s="41"/>
      <c r="GFR15" s="41"/>
      <c r="GFS15" s="41"/>
      <c r="GFT15" s="41"/>
      <c r="GFU15" s="41"/>
      <c r="GFV15" s="41"/>
      <c r="GFW15" s="41"/>
      <c r="GFX15" s="41"/>
      <c r="GFY15" s="41"/>
      <c r="GFZ15" s="41"/>
      <c r="GGA15" s="41"/>
      <c r="GGB15" s="41"/>
      <c r="GGC15" s="41"/>
      <c r="GGD15" s="41"/>
      <c r="GGE15" s="41"/>
      <c r="GGF15" s="41"/>
      <c r="GGG15" s="41"/>
      <c r="GGH15" s="41"/>
      <c r="GGI15" s="41"/>
      <c r="GGJ15" s="41"/>
      <c r="GGK15" s="41"/>
      <c r="GGL15" s="41"/>
      <c r="GGM15" s="41"/>
      <c r="GGN15" s="41"/>
      <c r="GGO15" s="41"/>
      <c r="GGP15" s="41"/>
      <c r="GGQ15" s="41"/>
      <c r="GGR15" s="41"/>
      <c r="GGS15" s="41"/>
      <c r="GGT15" s="41"/>
      <c r="GGU15" s="41"/>
      <c r="GGV15" s="41"/>
      <c r="GGW15" s="41"/>
      <c r="GGX15" s="41"/>
      <c r="GGY15" s="41"/>
      <c r="GGZ15" s="41"/>
      <c r="GHA15" s="41"/>
      <c r="GHB15" s="41"/>
      <c r="GHC15" s="41"/>
      <c r="GHD15" s="41"/>
      <c r="GHE15" s="41"/>
      <c r="GHF15" s="41"/>
      <c r="GHG15" s="41"/>
      <c r="GHH15" s="41"/>
      <c r="GHI15" s="41"/>
      <c r="GHJ15" s="41"/>
      <c r="GHK15" s="41"/>
      <c r="GHL15" s="41"/>
      <c r="GHM15" s="41"/>
      <c r="GHN15" s="41"/>
      <c r="GHO15" s="41"/>
      <c r="GHP15" s="41"/>
      <c r="GHQ15" s="41"/>
      <c r="GHR15" s="41"/>
      <c r="GHS15" s="41"/>
      <c r="GHT15" s="41"/>
      <c r="GHU15" s="41"/>
      <c r="GHV15" s="41"/>
      <c r="GHW15" s="41"/>
      <c r="GHX15" s="41"/>
      <c r="GHY15" s="41"/>
      <c r="GHZ15" s="41"/>
      <c r="GIA15" s="41"/>
      <c r="GIB15" s="41"/>
      <c r="GIC15" s="41"/>
      <c r="GID15" s="41"/>
      <c r="GIE15" s="41"/>
      <c r="GIF15" s="41"/>
      <c r="GIG15" s="41"/>
      <c r="GIH15" s="41"/>
      <c r="GII15" s="41"/>
      <c r="GIJ15" s="41"/>
      <c r="GIK15" s="41"/>
      <c r="GIL15" s="41"/>
      <c r="GIM15" s="41"/>
      <c r="GIN15" s="41"/>
      <c r="GIO15" s="41"/>
      <c r="GIP15" s="41"/>
      <c r="GIQ15" s="41"/>
      <c r="GIR15" s="41"/>
      <c r="GIS15" s="41"/>
      <c r="GIT15" s="41"/>
      <c r="GIU15" s="41"/>
      <c r="GIV15" s="41"/>
      <c r="GIW15" s="41"/>
      <c r="GIX15" s="41"/>
      <c r="GIY15" s="41"/>
      <c r="GIZ15" s="41"/>
      <c r="GJA15" s="41"/>
      <c r="GJB15" s="41"/>
      <c r="GJC15" s="41"/>
      <c r="GJD15" s="41"/>
      <c r="GJE15" s="41"/>
      <c r="GJF15" s="41"/>
      <c r="GJG15" s="41"/>
      <c r="GJH15" s="41"/>
      <c r="GJI15" s="41"/>
      <c r="GJJ15" s="41"/>
      <c r="GJK15" s="41"/>
      <c r="GJL15" s="41"/>
      <c r="GJM15" s="41"/>
      <c r="GJN15" s="41"/>
      <c r="GJO15" s="41"/>
      <c r="GJP15" s="41"/>
      <c r="GJQ15" s="41"/>
      <c r="GJR15" s="41"/>
      <c r="GJS15" s="41"/>
      <c r="GJT15" s="41"/>
      <c r="GJU15" s="41"/>
      <c r="GJV15" s="41"/>
      <c r="GJW15" s="41"/>
      <c r="GJX15" s="41"/>
      <c r="GJY15" s="41"/>
      <c r="GJZ15" s="41"/>
      <c r="GKA15" s="41"/>
      <c r="GKB15" s="41"/>
      <c r="GKC15" s="41"/>
      <c r="GKD15" s="41"/>
      <c r="GKE15" s="41"/>
      <c r="GKF15" s="41"/>
      <c r="GKG15" s="41"/>
      <c r="GKH15" s="41"/>
      <c r="GKI15" s="41"/>
      <c r="GKJ15" s="41"/>
      <c r="GKK15" s="41"/>
      <c r="GKL15" s="41"/>
      <c r="GKM15" s="41"/>
      <c r="GKN15" s="41"/>
      <c r="GKO15" s="41"/>
      <c r="GKP15" s="41"/>
      <c r="GKQ15" s="41"/>
      <c r="GKR15" s="41"/>
      <c r="GKS15" s="41"/>
      <c r="GKT15" s="41"/>
      <c r="GKU15" s="41"/>
      <c r="GKV15" s="41"/>
      <c r="GKW15" s="41"/>
      <c r="GKX15" s="41"/>
      <c r="GKY15" s="41"/>
      <c r="GKZ15" s="41"/>
      <c r="GLA15" s="41"/>
      <c r="GLB15" s="41"/>
      <c r="GLC15" s="41"/>
      <c r="GLD15" s="41"/>
      <c r="GLE15" s="41"/>
      <c r="GLF15" s="41"/>
      <c r="GLG15" s="41"/>
      <c r="GLH15" s="41"/>
      <c r="GLI15" s="41"/>
      <c r="GLJ15" s="41"/>
      <c r="GLK15" s="41"/>
      <c r="GLL15" s="41"/>
      <c r="GLM15" s="41"/>
      <c r="GLN15" s="41"/>
      <c r="GLO15" s="41"/>
      <c r="GLP15" s="41"/>
      <c r="GLQ15" s="41"/>
      <c r="GLR15" s="41"/>
      <c r="GLS15" s="41"/>
      <c r="GLT15" s="41"/>
      <c r="GLU15" s="41"/>
      <c r="GLV15" s="41"/>
      <c r="GLW15" s="41"/>
      <c r="GLX15" s="41"/>
      <c r="GLY15" s="41"/>
      <c r="GLZ15" s="41"/>
      <c r="GMA15" s="41"/>
      <c r="GMB15" s="41"/>
      <c r="GMC15" s="41"/>
      <c r="GMD15" s="41"/>
      <c r="GME15" s="41"/>
      <c r="GMF15" s="41"/>
      <c r="GMG15" s="41"/>
      <c r="GMH15" s="41"/>
      <c r="GMI15" s="41"/>
      <c r="GMJ15" s="41"/>
      <c r="GMK15" s="41"/>
      <c r="GML15" s="41"/>
      <c r="GMM15" s="41"/>
      <c r="GMN15" s="41"/>
      <c r="GMO15" s="41"/>
      <c r="GMP15" s="41"/>
      <c r="GMQ15" s="41"/>
      <c r="GMR15" s="41"/>
      <c r="GMS15" s="41"/>
      <c r="GMT15" s="41"/>
      <c r="GMU15" s="41"/>
      <c r="GMV15" s="41"/>
      <c r="GMW15" s="41"/>
      <c r="GMX15" s="41"/>
      <c r="GMY15" s="41"/>
      <c r="GMZ15" s="41"/>
      <c r="GNA15" s="41"/>
      <c r="GNB15" s="41"/>
      <c r="GNC15" s="41"/>
      <c r="GND15" s="41"/>
      <c r="GNE15" s="41"/>
      <c r="GNF15" s="41"/>
      <c r="GNG15" s="41"/>
      <c r="GNH15" s="41"/>
      <c r="GNI15" s="41"/>
      <c r="GNJ15" s="41"/>
      <c r="GNK15" s="41"/>
      <c r="GNL15" s="41"/>
      <c r="GNM15" s="41"/>
      <c r="GNN15" s="41"/>
      <c r="GNO15" s="41"/>
      <c r="GNP15" s="41"/>
      <c r="GNQ15" s="41"/>
      <c r="GNR15" s="41"/>
      <c r="GNS15" s="41"/>
      <c r="GNT15" s="41"/>
      <c r="GNU15" s="41"/>
      <c r="GNV15" s="41"/>
      <c r="GNW15" s="41"/>
      <c r="GNX15" s="41"/>
      <c r="GNY15" s="41"/>
      <c r="GNZ15" s="41"/>
      <c r="GOA15" s="41"/>
      <c r="GOB15" s="41"/>
      <c r="GOC15" s="41"/>
      <c r="GOD15" s="41"/>
      <c r="GOE15" s="41"/>
      <c r="GOF15" s="41"/>
      <c r="GOG15" s="41"/>
      <c r="GOH15" s="41"/>
      <c r="GOI15" s="41"/>
      <c r="GOJ15" s="41"/>
      <c r="GOK15" s="41"/>
      <c r="GOL15" s="41"/>
      <c r="GOM15" s="41"/>
      <c r="GON15" s="41"/>
      <c r="GOO15" s="41"/>
      <c r="GOP15" s="41"/>
      <c r="GOQ15" s="41"/>
      <c r="GOR15" s="41"/>
      <c r="GOS15" s="41"/>
      <c r="GOT15" s="41"/>
      <c r="GOU15" s="41"/>
      <c r="GOV15" s="41"/>
      <c r="GOW15" s="41"/>
      <c r="GOX15" s="41"/>
      <c r="GOY15" s="41"/>
      <c r="GOZ15" s="41"/>
      <c r="GPA15" s="41"/>
      <c r="GPB15" s="41"/>
      <c r="GPC15" s="41"/>
      <c r="GPD15" s="41"/>
      <c r="GPE15" s="41"/>
      <c r="GPF15" s="41"/>
      <c r="GPG15" s="41"/>
      <c r="GPH15" s="41"/>
      <c r="GPI15" s="41"/>
      <c r="GPJ15" s="41"/>
      <c r="GPK15" s="41"/>
      <c r="GPL15" s="41"/>
      <c r="GPM15" s="41"/>
      <c r="GPN15" s="41"/>
      <c r="GPO15" s="41"/>
      <c r="GPP15" s="41"/>
      <c r="GPQ15" s="41"/>
      <c r="GPR15" s="41"/>
      <c r="GPS15" s="41"/>
      <c r="GPT15" s="41"/>
      <c r="GPU15" s="41"/>
      <c r="GPV15" s="41"/>
      <c r="GPW15" s="41"/>
      <c r="GPX15" s="41"/>
      <c r="GPY15" s="41"/>
      <c r="GPZ15" s="41"/>
      <c r="GQA15" s="41"/>
      <c r="GQB15" s="41"/>
      <c r="GQC15" s="41"/>
      <c r="GQD15" s="41"/>
      <c r="GQE15" s="41"/>
      <c r="GQF15" s="41"/>
      <c r="GQG15" s="41"/>
      <c r="GQH15" s="41"/>
      <c r="GQI15" s="41"/>
      <c r="GQJ15" s="41"/>
      <c r="GQK15" s="41"/>
      <c r="GQL15" s="41"/>
      <c r="GQM15" s="41"/>
      <c r="GQN15" s="41"/>
      <c r="GQO15" s="41"/>
      <c r="GQP15" s="41"/>
      <c r="GQQ15" s="41"/>
      <c r="GQR15" s="41"/>
      <c r="GQS15" s="41"/>
      <c r="GQT15" s="41"/>
      <c r="GQU15" s="41"/>
      <c r="GQV15" s="41"/>
      <c r="GQW15" s="41"/>
      <c r="GQX15" s="41"/>
      <c r="GQY15" s="41"/>
      <c r="GQZ15" s="41"/>
      <c r="GRA15" s="41"/>
      <c r="GRB15" s="41"/>
      <c r="GRC15" s="41"/>
      <c r="GRD15" s="41"/>
      <c r="GRE15" s="41"/>
      <c r="GRF15" s="41"/>
      <c r="GRG15" s="41"/>
      <c r="GRH15" s="41"/>
      <c r="GRI15" s="41"/>
      <c r="GRJ15" s="41"/>
      <c r="GRK15" s="41"/>
      <c r="GRL15" s="41"/>
      <c r="GRM15" s="41"/>
      <c r="GRN15" s="41"/>
      <c r="GRO15" s="41"/>
      <c r="GRP15" s="41"/>
      <c r="GRQ15" s="41"/>
      <c r="GRR15" s="41"/>
      <c r="GRS15" s="41"/>
      <c r="GRT15" s="41"/>
      <c r="GRU15" s="41"/>
      <c r="GRV15" s="41"/>
      <c r="GRW15" s="41"/>
      <c r="GRX15" s="41"/>
      <c r="GRY15" s="41"/>
      <c r="GRZ15" s="41"/>
      <c r="GSA15" s="41"/>
      <c r="GSB15" s="41"/>
      <c r="GSC15" s="41"/>
      <c r="GSD15" s="41"/>
      <c r="GSE15" s="41"/>
      <c r="GSF15" s="41"/>
      <c r="GSG15" s="41"/>
      <c r="GSH15" s="41"/>
      <c r="GSI15" s="41"/>
      <c r="GSJ15" s="41"/>
      <c r="GSK15" s="41"/>
      <c r="GSL15" s="41"/>
      <c r="GSM15" s="41"/>
      <c r="GSN15" s="41"/>
      <c r="GSO15" s="41"/>
      <c r="GSP15" s="41"/>
      <c r="GSQ15" s="41"/>
      <c r="GSR15" s="41"/>
      <c r="GSS15" s="41"/>
      <c r="GST15" s="41"/>
      <c r="GSU15" s="41"/>
      <c r="GSV15" s="41"/>
      <c r="GSW15" s="41"/>
      <c r="GSX15" s="41"/>
      <c r="GSY15" s="41"/>
      <c r="GSZ15" s="41"/>
      <c r="GTA15" s="41"/>
      <c r="GTB15" s="41"/>
      <c r="GTC15" s="41"/>
      <c r="GTD15" s="41"/>
      <c r="GTE15" s="41"/>
      <c r="GTF15" s="41"/>
      <c r="GTG15" s="41"/>
      <c r="GTH15" s="41"/>
      <c r="GTI15" s="41"/>
      <c r="GTJ15" s="41"/>
      <c r="GTK15" s="41"/>
      <c r="GTL15" s="41"/>
      <c r="GTM15" s="41"/>
      <c r="GTN15" s="41"/>
      <c r="GTO15" s="41"/>
      <c r="GTP15" s="41"/>
      <c r="GTQ15" s="41"/>
      <c r="GTR15" s="41"/>
      <c r="GTS15" s="41"/>
      <c r="GTT15" s="41"/>
      <c r="GTU15" s="41"/>
      <c r="GTV15" s="41"/>
      <c r="GTW15" s="41"/>
      <c r="GTX15" s="41"/>
      <c r="GTY15" s="41"/>
      <c r="GTZ15" s="41"/>
      <c r="GUA15" s="41"/>
      <c r="GUB15" s="41"/>
      <c r="GUC15" s="41"/>
      <c r="GUD15" s="41"/>
      <c r="GUE15" s="41"/>
      <c r="GUF15" s="41"/>
      <c r="GUG15" s="41"/>
      <c r="GUH15" s="41"/>
      <c r="GUI15" s="41"/>
      <c r="GUJ15" s="41"/>
      <c r="GUK15" s="41"/>
      <c r="GUL15" s="41"/>
      <c r="GUM15" s="41"/>
      <c r="GUN15" s="41"/>
      <c r="GUO15" s="41"/>
      <c r="GUP15" s="41"/>
      <c r="GUQ15" s="41"/>
      <c r="GUR15" s="41"/>
      <c r="GUS15" s="41"/>
      <c r="GUT15" s="41"/>
      <c r="GUU15" s="41"/>
      <c r="GUV15" s="41"/>
      <c r="GUW15" s="41"/>
      <c r="GUX15" s="41"/>
      <c r="GUY15" s="41"/>
      <c r="GUZ15" s="41"/>
      <c r="GVA15" s="41"/>
      <c r="GVB15" s="41"/>
      <c r="GVC15" s="41"/>
      <c r="GVD15" s="41"/>
      <c r="GVE15" s="41"/>
      <c r="GVF15" s="41"/>
      <c r="GVG15" s="41"/>
      <c r="GVH15" s="41"/>
      <c r="GVI15" s="41"/>
      <c r="GVJ15" s="41"/>
      <c r="GVK15" s="41"/>
      <c r="GVL15" s="41"/>
      <c r="GVM15" s="41"/>
      <c r="GVN15" s="41"/>
      <c r="GVO15" s="41"/>
      <c r="GVP15" s="41"/>
      <c r="GVQ15" s="41"/>
      <c r="GVR15" s="41"/>
      <c r="GVS15" s="41"/>
      <c r="GVT15" s="41"/>
      <c r="GVU15" s="41"/>
      <c r="GVV15" s="41"/>
      <c r="GVW15" s="41"/>
      <c r="GVX15" s="41"/>
      <c r="GVY15" s="41"/>
      <c r="GVZ15" s="41"/>
      <c r="GWA15" s="41"/>
      <c r="GWB15" s="41"/>
      <c r="GWC15" s="41"/>
      <c r="GWD15" s="41"/>
      <c r="GWE15" s="41"/>
      <c r="GWF15" s="41"/>
      <c r="GWG15" s="41"/>
      <c r="GWH15" s="41"/>
      <c r="GWI15" s="41"/>
      <c r="GWJ15" s="41"/>
      <c r="GWK15" s="41"/>
      <c r="GWL15" s="41"/>
      <c r="GWM15" s="41"/>
      <c r="GWN15" s="41"/>
      <c r="GWO15" s="41"/>
      <c r="GWP15" s="41"/>
      <c r="GWQ15" s="41"/>
      <c r="GWR15" s="41"/>
      <c r="GWS15" s="41"/>
      <c r="GWT15" s="41"/>
      <c r="GWU15" s="41"/>
      <c r="GWV15" s="41"/>
      <c r="GWW15" s="41"/>
      <c r="GWX15" s="41"/>
      <c r="GWY15" s="41"/>
      <c r="GWZ15" s="41"/>
      <c r="GXA15" s="41"/>
      <c r="GXB15" s="41"/>
      <c r="GXC15" s="41"/>
      <c r="GXD15" s="41"/>
      <c r="GXE15" s="41"/>
      <c r="GXF15" s="41"/>
      <c r="GXG15" s="41"/>
      <c r="GXH15" s="41"/>
      <c r="GXI15" s="41"/>
      <c r="GXJ15" s="41"/>
      <c r="GXK15" s="41"/>
      <c r="GXL15" s="41"/>
      <c r="GXM15" s="41"/>
      <c r="GXN15" s="41"/>
      <c r="GXO15" s="41"/>
      <c r="GXP15" s="41"/>
      <c r="GXQ15" s="41"/>
      <c r="GXR15" s="41"/>
      <c r="GXS15" s="41"/>
      <c r="GXT15" s="41"/>
      <c r="GXU15" s="41"/>
      <c r="GXV15" s="41"/>
      <c r="GXW15" s="41"/>
      <c r="GXX15" s="41"/>
      <c r="GXY15" s="41"/>
      <c r="GXZ15" s="41"/>
      <c r="GYA15" s="41"/>
      <c r="GYB15" s="41"/>
      <c r="GYC15" s="41"/>
      <c r="GYD15" s="41"/>
      <c r="GYE15" s="41"/>
      <c r="GYF15" s="41"/>
      <c r="GYG15" s="41"/>
      <c r="GYH15" s="41"/>
      <c r="GYI15" s="41"/>
      <c r="GYJ15" s="41"/>
      <c r="GYK15" s="41"/>
      <c r="GYL15" s="41"/>
      <c r="GYM15" s="41"/>
      <c r="GYN15" s="41"/>
      <c r="GYO15" s="41"/>
      <c r="GYP15" s="41"/>
      <c r="GYQ15" s="41"/>
      <c r="GYR15" s="41"/>
      <c r="GYS15" s="41"/>
      <c r="GYT15" s="41"/>
      <c r="GYU15" s="41"/>
      <c r="GYV15" s="41"/>
      <c r="GYW15" s="41"/>
      <c r="GYX15" s="41"/>
      <c r="GYY15" s="41"/>
      <c r="GYZ15" s="41"/>
      <c r="GZA15" s="41"/>
      <c r="GZB15" s="41"/>
      <c r="GZC15" s="41"/>
      <c r="GZD15" s="41"/>
      <c r="GZE15" s="41"/>
      <c r="GZF15" s="41"/>
      <c r="GZG15" s="41"/>
      <c r="GZH15" s="41"/>
      <c r="GZI15" s="41"/>
      <c r="GZJ15" s="41"/>
      <c r="GZK15" s="41"/>
      <c r="GZL15" s="41"/>
      <c r="GZM15" s="41"/>
      <c r="GZN15" s="41"/>
      <c r="GZO15" s="41"/>
      <c r="GZP15" s="41"/>
      <c r="GZQ15" s="41"/>
      <c r="GZR15" s="41"/>
      <c r="GZS15" s="41"/>
      <c r="GZT15" s="41"/>
      <c r="GZU15" s="41"/>
      <c r="GZV15" s="41"/>
      <c r="GZW15" s="41"/>
      <c r="GZX15" s="41"/>
      <c r="GZY15" s="41"/>
      <c r="GZZ15" s="41"/>
      <c r="HAA15" s="41"/>
      <c r="HAB15" s="41"/>
      <c r="HAC15" s="41"/>
      <c r="HAD15" s="41"/>
      <c r="HAE15" s="41"/>
      <c r="HAF15" s="41"/>
      <c r="HAG15" s="41"/>
      <c r="HAH15" s="41"/>
      <c r="HAI15" s="41"/>
      <c r="HAJ15" s="41"/>
      <c r="HAK15" s="41"/>
      <c r="HAL15" s="41"/>
      <c r="HAM15" s="41"/>
      <c r="HAN15" s="41"/>
      <c r="HAO15" s="41"/>
      <c r="HAP15" s="41"/>
      <c r="HAQ15" s="41"/>
      <c r="HAR15" s="41"/>
      <c r="HAS15" s="41"/>
      <c r="HAT15" s="41"/>
      <c r="HAU15" s="41"/>
      <c r="HAV15" s="41"/>
      <c r="HAW15" s="41"/>
      <c r="HAX15" s="41"/>
      <c r="HAY15" s="41"/>
      <c r="HAZ15" s="41"/>
      <c r="HBA15" s="41"/>
      <c r="HBB15" s="41"/>
      <c r="HBC15" s="41"/>
      <c r="HBD15" s="41"/>
      <c r="HBE15" s="41"/>
      <c r="HBF15" s="41"/>
      <c r="HBG15" s="41"/>
      <c r="HBH15" s="41"/>
      <c r="HBI15" s="41"/>
      <c r="HBJ15" s="41"/>
      <c r="HBK15" s="41"/>
      <c r="HBL15" s="41"/>
      <c r="HBM15" s="41"/>
      <c r="HBN15" s="41"/>
      <c r="HBO15" s="41"/>
      <c r="HBP15" s="41"/>
      <c r="HBQ15" s="41"/>
      <c r="HBR15" s="41"/>
      <c r="HBS15" s="41"/>
      <c r="HBT15" s="41"/>
      <c r="HBU15" s="41"/>
      <c r="HBV15" s="41"/>
      <c r="HBW15" s="41"/>
      <c r="HBX15" s="41"/>
      <c r="HBY15" s="41"/>
      <c r="HBZ15" s="41"/>
      <c r="HCA15" s="41"/>
      <c r="HCB15" s="41"/>
      <c r="HCC15" s="41"/>
      <c r="HCD15" s="41"/>
      <c r="HCE15" s="41"/>
      <c r="HCF15" s="41"/>
      <c r="HCG15" s="41"/>
      <c r="HCH15" s="41"/>
      <c r="HCI15" s="41"/>
      <c r="HCJ15" s="41"/>
      <c r="HCK15" s="41"/>
      <c r="HCL15" s="41"/>
      <c r="HCM15" s="41"/>
      <c r="HCN15" s="41"/>
      <c r="HCO15" s="41"/>
      <c r="HCP15" s="41"/>
      <c r="HCQ15" s="41"/>
      <c r="HCR15" s="41"/>
      <c r="HCS15" s="41"/>
      <c r="HCT15" s="41"/>
      <c r="HCU15" s="41"/>
      <c r="HCV15" s="41"/>
      <c r="HCW15" s="41"/>
      <c r="HCX15" s="41"/>
      <c r="HCY15" s="41"/>
      <c r="HCZ15" s="41"/>
      <c r="HDA15" s="41"/>
      <c r="HDB15" s="41"/>
      <c r="HDC15" s="41"/>
      <c r="HDD15" s="41"/>
      <c r="HDE15" s="41"/>
      <c r="HDF15" s="41"/>
      <c r="HDG15" s="41"/>
      <c r="HDH15" s="41"/>
      <c r="HDI15" s="41"/>
      <c r="HDJ15" s="41"/>
      <c r="HDK15" s="41"/>
      <c r="HDL15" s="41"/>
      <c r="HDM15" s="41"/>
      <c r="HDN15" s="41"/>
      <c r="HDO15" s="41"/>
      <c r="HDP15" s="41"/>
      <c r="HDQ15" s="41"/>
      <c r="HDR15" s="41"/>
      <c r="HDS15" s="41"/>
      <c r="HDT15" s="41"/>
      <c r="HDU15" s="41"/>
      <c r="HDV15" s="41"/>
      <c r="HDW15" s="41"/>
      <c r="HDX15" s="41"/>
      <c r="HDY15" s="41"/>
      <c r="HDZ15" s="41"/>
      <c r="HEA15" s="41"/>
      <c r="HEB15" s="41"/>
      <c r="HEC15" s="41"/>
      <c r="HED15" s="41"/>
      <c r="HEE15" s="41"/>
      <c r="HEF15" s="41"/>
      <c r="HEG15" s="41"/>
      <c r="HEH15" s="41"/>
      <c r="HEI15" s="41"/>
      <c r="HEJ15" s="41"/>
      <c r="HEK15" s="41"/>
      <c r="HEL15" s="41"/>
      <c r="HEM15" s="41"/>
      <c r="HEN15" s="41"/>
      <c r="HEO15" s="41"/>
      <c r="HEP15" s="41"/>
      <c r="HEQ15" s="41"/>
      <c r="HER15" s="41"/>
      <c r="HES15" s="41"/>
      <c r="HET15" s="41"/>
      <c r="HEU15" s="41"/>
      <c r="HEV15" s="41"/>
      <c r="HEW15" s="41"/>
      <c r="HEX15" s="41"/>
      <c r="HEY15" s="41"/>
      <c r="HEZ15" s="41"/>
      <c r="HFA15" s="41"/>
      <c r="HFB15" s="41"/>
      <c r="HFC15" s="41"/>
      <c r="HFD15" s="41"/>
      <c r="HFE15" s="41"/>
      <c r="HFF15" s="41"/>
      <c r="HFG15" s="41"/>
      <c r="HFH15" s="41"/>
      <c r="HFI15" s="41"/>
      <c r="HFJ15" s="41"/>
      <c r="HFK15" s="41"/>
      <c r="HFL15" s="41"/>
      <c r="HFM15" s="41"/>
      <c r="HFN15" s="41"/>
      <c r="HFO15" s="41"/>
      <c r="HFP15" s="41"/>
      <c r="HFQ15" s="41"/>
      <c r="HFR15" s="41"/>
      <c r="HFS15" s="41"/>
      <c r="HFT15" s="41"/>
      <c r="HFU15" s="41"/>
      <c r="HFV15" s="41"/>
      <c r="HFW15" s="41"/>
      <c r="HFX15" s="41"/>
      <c r="HFY15" s="41"/>
      <c r="HFZ15" s="41"/>
      <c r="HGA15" s="41"/>
      <c r="HGB15" s="41"/>
      <c r="HGC15" s="41"/>
      <c r="HGD15" s="41"/>
      <c r="HGE15" s="41"/>
      <c r="HGF15" s="41"/>
      <c r="HGG15" s="41"/>
      <c r="HGH15" s="41"/>
      <c r="HGI15" s="41"/>
      <c r="HGJ15" s="41"/>
      <c r="HGK15" s="41"/>
      <c r="HGL15" s="41"/>
      <c r="HGM15" s="41"/>
      <c r="HGN15" s="41"/>
      <c r="HGO15" s="41"/>
      <c r="HGP15" s="41"/>
      <c r="HGQ15" s="41"/>
      <c r="HGR15" s="41"/>
      <c r="HGS15" s="41"/>
      <c r="HGT15" s="41"/>
      <c r="HGU15" s="41"/>
      <c r="HGV15" s="41"/>
      <c r="HGW15" s="41"/>
      <c r="HGX15" s="41"/>
      <c r="HGY15" s="41"/>
      <c r="HGZ15" s="41"/>
      <c r="HHA15" s="41"/>
      <c r="HHB15" s="41"/>
      <c r="HHC15" s="41"/>
      <c r="HHD15" s="41"/>
      <c r="HHE15" s="41"/>
      <c r="HHF15" s="41"/>
      <c r="HHG15" s="41"/>
      <c r="HHH15" s="41"/>
      <c r="HHI15" s="41"/>
      <c r="HHJ15" s="41"/>
      <c r="HHK15" s="41"/>
      <c r="HHL15" s="41"/>
      <c r="HHM15" s="41"/>
      <c r="HHN15" s="41"/>
      <c r="HHO15" s="41"/>
      <c r="HHP15" s="41"/>
      <c r="HHQ15" s="41"/>
      <c r="HHR15" s="41"/>
      <c r="HHS15" s="41"/>
      <c r="HHT15" s="41"/>
      <c r="HHU15" s="41"/>
      <c r="HHV15" s="41"/>
      <c r="HHW15" s="41"/>
      <c r="HHX15" s="41"/>
      <c r="HHY15" s="41"/>
      <c r="HHZ15" s="41"/>
      <c r="HIA15" s="41"/>
      <c r="HIB15" s="41"/>
      <c r="HIC15" s="41"/>
      <c r="HID15" s="41"/>
      <c r="HIE15" s="41"/>
      <c r="HIF15" s="41"/>
      <c r="HIG15" s="41"/>
      <c r="HIH15" s="41"/>
      <c r="HII15" s="41"/>
      <c r="HIJ15" s="41"/>
      <c r="HIK15" s="41"/>
      <c r="HIL15" s="41"/>
      <c r="HIM15" s="41"/>
      <c r="HIN15" s="41"/>
      <c r="HIO15" s="41"/>
      <c r="HIP15" s="41"/>
      <c r="HIQ15" s="41"/>
      <c r="HIR15" s="41"/>
      <c r="HIS15" s="41"/>
      <c r="HIT15" s="41"/>
      <c r="HIU15" s="41"/>
      <c r="HIV15" s="41"/>
      <c r="HIW15" s="41"/>
      <c r="HIX15" s="41"/>
      <c r="HIY15" s="41"/>
      <c r="HIZ15" s="41"/>
      <c r="HJA15" s="41"/>
      <c r="HJB15" s="41"/>
      <c r="HJC15" s="41"/>
      <c r="HJD15" s="41"/>
      <c r="HJE15" s="41"/>
      <c r="HJF15" s="41"/>
      <c r="HJG15" s="41"/>
      <c r="HJH15" s="41"/>
      <c r="HJI15" s="41"/>
      <c r="HJJ15" s="41"/>
      <c r="HJK15" s="41"/>
      <c r="HJL15" s="41"/>
      <c r="HJM15" s="41"/>
      <c r="HJN15" s="41"/>
      <c r="HJO15" s="41"/>
      <c r="HJP15" s="41"/>
      <c r="HJQ15" s="41"/>
      <c r="HJR15" s="41"/>
      <c r="HJS15" s="41"/>
      <c r="HJT15" s="41"/>
      <c r="HJU15" s="41"/>
      <c r="HJV15" s="41"/>
      <c r="HJW15" s="41"/>
      <c r="HJX15" s="41"/>
      <c r="HJY15" s="41"/>
      <c r="HJZ15" s="41"/>
      <c r="HKA15" s="41"/>
      <c r="HKB15" s="41"/>
      <c r="HKC15" s="41"/>
      <c r="HKD15" s="41"/>
      <c r="HKE15" s="41"/>
      <c r="HKF15" s="41"/>
      <c r="HKG15" s="41"/>
      <c r="HKH15" s="41"/>
      <c r="HKI15" s="41"/>
      <c r="HKJ15" s="41"/>
      <c r="HKK15" s="41"/>
      <c r="HKL15" s="41"/>
      <c r="HKM15" s="41"/>
      <c r="HKN15" s="41"/>
      <c r="HKO15" s="41"/>
      <c r="HKP15" s="41"/>
      <c r="HKQ15" s="41"/>
      <c r="HKR15" s="41"/>
      <c r="HKS15" s="41"/>
      <c r="HKT15" s="41"/>
      <c r="HKU15" s="41"/>
      <c r="HKV15" s="41"/>
      <c r="HKW15" s="41"/>
      <c r="HKX15" s="41"/>
      <c r="HKY15" s="41"/>
      <c r="HKZ15" s="41"/>
      <c r="HLA15" s="41"/>
      <c r="HLB15" s="41"/>
      <c r="HLC15" s="41"/>
      <c r="HLD15" s="41"/>
      <c r="HLE15" s="41"/>
      <c r="HLF15" s="41"/>
      <c r="HLG15" s="41"/>
      <c r="HLH15" s="41"/>
      <c r="HLI15" s="41"/>
      <c r="HLJ15" s="41"/>
      <c r="HLK15" s="41"/>
      <c r="HLL15" s="41"/>
      <c r="HLM15" s="41"/>
      <c r="HLN15" s="41"/>
      <c r="HLO15" s="41"/>
      <c r="HLP15" s="41"/>
      <c r="HLQ15" s="41"/>
      <c r="HLR15" s="41"/>
      <c r="HLS15" s="41"/>
      <c r="HLT15" s="41"/>
      <c r="HLU15" s="41"/>
      <c r="HLV15" s="41"/>
      <c r="HLW15" s="41"/>
      <c r="HLX15" s="41"/>
      <c r="HLY15" s="41"/>
      <c r="HLZ15" s="41"/>
      <c r="HMA15" s="41"/>
      <c r="HMB15" s="41"/>
      <c r="HMC15" s="41"/>
      <c r="HMD15" s="41"/>
      <c r="HME15" s="41"/>
      <c r="HMF15" s="41"/>
      <c r="HMG15" s="41"/>
      <c r="HMH15" s="41"/>
      <c r="HMI15" s="41"/>
      <c r="HMJ15" s="41"/>
      <c r="HMK15" s="41"/>
      <c r="HML15" s="41"/>
      <c r="HMM15" s="41"/>
      <c r="HMN15" s="41"/>
      <c r="HMO15" s="41"/>
      <c r="HMP15" s="41"/>
      <c r="HMQ15" s="41"/>
      <c r="HMR15" s="41"/>
      <c r="HMS15" s="41"/>
      <c r="HMT15" s="41"/>
      <c r="HMU15" s="41"/>
      <c r="HMV15" s="41"/>
      <c r="HMW15" s="41"/>
      <c r="HMX15" s="41"/>
      <c r="HMY15" s="41"/>
      <c r="HMZ15" s="41"/>
      <c r="HNA15" s="41"/>
      <c r="HNB15" s="41"/>
      <c r="HNC15" s="41"/>
      <c r="HND15" s="41"/>
      <c r="HNE15" s="41"/>
      <c r="HNF15" s="41"/>
      <c r="HNG15" s="41"/>
      <c r="HNH15" s="41"/>
      <c r="HNI15" s="41"/>
      <c r="HNJ15" s="41"/>
      <c r="HNK15" s="41"/>
      <c r="HNL15" s="41"/>
      <c r="HNM15" s="41"/>
      <c r="HNN15" s="41"/>
      <c r="HNO15" s="41"/>
      <c r="HNP15" s="41"/>
      <c r="HNQ15" s="41"/>
      <c r="HNR15" s="41"/>
      <c r="HNS15" s="41"/>
      <c r="HNT15" s="41"/>
      <c r="HNU15" s="41"/>
      <c r="HNV15" s="41"/>
      <c r="HNW15" s="41"/>
      <c r="HNX15" s="41"/>
      <c r="HNY15" s="41"/>
      <c r="HNZ15" s="41"/>
      <c r="HOA15" s="41"/>
      <c r="HOB15" s="41"/>
      <c r="HOC15" s="41"/>
      <c r="HOD15" s="41"/>
      <c r="HOE15" s="41"/>
      <c r="HOF15" s="41"/>
      <c r="HOG15" s="41"/>
      <c r="HOH15" s="41"/>
      <c r="HOI15" s="41"/>
      <c r="HOJ15" s="41"/>
      <c r="HOK15" s="41"/>
      <c r="HOL15" s="41"/>
      <c r="HOM15" s="41"/>
      <c r="HON15" s="41"/>
      <c r="HOO15" s="41"/>
      <c r="HOP15" s="41"/>
      <c r="HOQ15" s="41"/>
      <c r="HOR15" s="41"/>
      <c r="HOS15" s="41"/>
      <c r="HOT15" s="41"/>
      <c r="HOU15" s="41"/>
      <c r="HOV15" s="41"/>
      <c r="HOW15" s="41"/>
      <c r="HOX15" s="41"/>
      <c r="HOY15" s="41"/>
      <c r="HOZ15" s="41"/>
      <c r="HPA15" s="41"/>
      <c r="HPB15" s="41"/>
      <c r="HPC15" s="41"/>
      <c r="HPD15" s="41"/>
      <c r="HPE15" s="41"/>
      <c r="HPF15" s="41"/>
      <c r="HPG15" s="41"/>
      <c r="HPH15" s="41"/>
      <c r="HPI15" s="41"/>
      <c r="HPJ15" s="41"/>
      <c r="HPK15" s="41"/>
      <c r="HPL15" s="41"/>
      <c r="HPM15" s="41"/>
      <c r="HPN15" s="41"/>
      <c r="HPO15" s="41"/>
      <c r="HPP15" s="41"/>
      <c r="HPQ15" s="41"/>
      <c r="HPR15" s="41"/>
      <c r="HPS15" s="41"/>
      <c r="HPT15" s="41"/>
      <c r="HPU15" s="41"/>
      <c r="HPV15" s="41"/>
      <c r="HPW15" s="41"/>
      <c r="HPX15" s="41"/>
      <c r="HPY15" s="41"/>
      <c r="HPZ15" s="41"/>
      <c r="HQA15" s="41"/>
      <c r="HQB15" s="41"/>
      <c r="HQC15" s="41"/>
      <c r="HQD15" s="41"/>
      <c r="HQE15" s="41"/>
      <c r="HQF15" s="41"/>
      <c r="HQG15" s="41"/>
      <c r="HQH15" s="41"/>
      <c r="HQI15" s="41"/>
      <c r="HQJ15" s="41"/>
      <c r="HQK15" s="41"/>
      <c r="HQL15" s="41"/>
      <c r="HQM15" s="41"/>
      <c r="HQN15" s="41"/>
      <c r="HQO15" s="41"/>
      <c r="HQP15" s="41"/>
      <c r="HQQ15" s="41"/>
      <c r="HQR15" s="41"/>
      <c r="HQS15" s="41"/>
      <c r="HQT15" s="41"/>
      <c r="HQU15" s="41"/>
      <c r="HQV15" s="41"/>
      <c r="HQW15" s="41"/>
      <c r="HQX15" s="41"/>
      <c r="HQY15" s="41"/>
      <c r="HQZ15" s="41"/>
      <c r="HRA15" s="41"/>
      <c r="HRB15" s="41"/>
      <c r="HRC15" s="41"/>
      <c r="HRD15" s="41"/>
      <c r="HRE15" s="41"/>
      <c r="HRF15" s="41"/>
      <c r="HRG15" s="41"/>
      <c r="HRH15" s="41"/>
      <c r="HRI15" s="41"/>
      <c r="HRJ15" s="41"/>
      <c r="HRK15" s="41"/>
      <c r="HRL15" s="41"/>
      <c r="HRM15" s="41"/>
      <c r="HRN15" s="41"/>
      <c r="HRO15" s="41"/>
      <c r="HRP15" s="41"/>
      <c r="HRQ15" s="41"/>
      <c r="HRR15" s="41"/>
      <c r="HRS15" s="41"/>
      <c r="HRT15" s="41"/>
      <c r="HRU15" s="41"/>
      <c r="HRV15" s="41"/>
      <c r="HRW15" s="41"/>
      <c r="HRX15" s="41"/>
      <c r="HRY15" s="41"/>
      <c r="HRZ15" s="41"/>
      <c r="HSA15" s="41"/>
      <c r="HSB15" s="41"/>
      <c r="HSC15" s="41"/>
      <c r="HSD15" s="41"/>
      <c r="HSE15" s="41"/>
      <c r="HSF15" s="41"/>
      <c r="HSG15" s="41"/>
      <c r="HSH15" s="41"/>
      <c r="HSI15" s="41"/>
      <c r="HSJ15" s="41"/>
      <c r="HSK15" s="41"/>
      <c r="HSL15" s="41"/>
      <c r="HSM15" s="41"/>
      <c r="HSN15" s="41"/>
      <c r="HSO15" s="41"/>
      <c r="HSP15" s="41"/>
      <c r="HSQ15" s="41"/>
      <c r="HSR15" s="41"/>
      <c r="HSS15" s="41"/>
      <c r="HST15" s="41"/>
      <c r="HSU15" s="41"/>
      <c r="HSV15" s="41"/>
      <c r="HSW15" s="41"/>
      <c r="HSX15" s="41"/>
      <c r="HSY15" s="41"/>
      <c r="HSZ15" s="41"/>
      <c r="HTA15" s="41"/>
      <c r="HTB15" s="41"/>
      <c r="HTC15" s="41"/>
      <c r="HTD15" s="41"/>
      <c r="HTE15" s="41"/>
      <c r="HTF15" s="41"/>
      <c r="HTG15" s="41"/>
      <c r="HTH15" s="41"/>
      <c r="HTI15" s="41"/>
      <c r="HTJ15" s="41"/>
      <c r="HTK15" s="41"/>
      <c r="HTL15" s="41"/>
      <c r="HTM15" s="41"/>
      <c r="HTN15" s="41"/>
      <c r="HTO15" s="41"/>
      <c r="HTP15" s="41"/>
      <c r="HTQ15" s="41"/>
      <c r="HTR15" s="41"/>
      <c r="HTS15" s="41"/>
      <c r="HTT15" s="41"/>
      <c r="HTU15" s="41"/>
      <c r="HTV15" s="41"/>
      <c r="HTW15" s="41"/>
      <c r="HTX15" s="41"/>
      <c r="HTY15" s="41"/>
      <c r="HTZ15" s="41"/>
      <c r="HUA15" s="41"/>
      <c r="HUB15" s="41"/>
      <c r="HUC15" s="41"/>
      <c r="HUD15" s="41"/>
      <c r="HUE15" s="41"/>
      <c r="HUF15" s="41"/>
      <c r="HUG15" s="41"/>
      <c r="HUH15" s="41"/>
      <c r="HUI15" s="41"/>
      <c r="HUJ15" s="41"/>
      <c r="HUK15" s="41"/>
      <c r="HUL15" s="41"/>
      <c r="HUM15" s="41"/>
      <c r="HUN15" s="41"/>
      <c r="HUO15" s="41"/>
      <c r="HUP15" s="41"/>
      <c r="HUQ15" s="41"/>
      <c r="HUR15" s="41"/>
      <c r="HUS15" s="41"/>
      <c r="HUT15" s="41"/>
      <c r="HUU15" s="41"/>
      <c r="HUV15" s="41"/>
      <c r="HUW15" s="41"/>
      <c r="HUX15" s="41"/>
      <c r="HUY15" s="41"/>
      <c r="HUZ15" s="41"/>
      <c r="HVA15" s="41"/>
      <c r="HVB15" s="41"/>
      <c r="HVC15" s="41"/>
      <c r="HVD15" s="41"/>
      <c r="HVE15" s="41"/>
      <c r="HVF15" s="41"/>
      <c r="HVG15" s="41"/>
      <c r="HVH15" s="41"/>
      <c r="HVI15" s="41"/>
      <c r="HVJ15" s="41"/>
      <c r="HVK15" s="41"/>
      <c r="HVL15" s="41"/>
      <c r="HVM15" s="41"/>
      <c r="HVN15" s="41"/>
      <c r="HVO15" s="41"/>
      <c r="HVP15" s="41"/>
      <c r="HVQ15" s="41"/>
      <c r="HVR15" s="41"/>
      <c r="HVS15" s="41"/>
      <c r="HVT15" s="41"/>
      <c r="HVU15" s="41"/>
      <c r="HVV15" s="41"/>
      <c r="HVW15" s="41"/>
      <c r="HVX15" s="41"/>
      <c r="HVY15" s="41"/>
      <c r="HVZ15" s="41"/>
      <c r="HWA15" s="41"/>
      <c r="HWB15" s="41"/>
      <c r="HWC15" s="41"/>
      <c r="HWD15" s="41"/>
      <c r="HWE15" s="41"/>
      <c r="HWF15" s="41"/>
      <c r="HWG15" s="41"/>
      <c r="HWH15" s="41"/>
      <c r="HWI15" s="41"/>
      <c r="HWJ15" s="41"/>
      <c r="HWK15" s="41"/>
      <c r="HWL15" s="41"/>
      <c r="HWM15" s="41"/>
      <c r="HWN15" s="41"/>
      <c r="HWO15" s="41"/>
      <c r="HWP15" s="41"/>
      <c r="HWQ15" s="41"/>
      <c r="HWR15" s="41"/>
      <c r="HWS15" s="41"/>
      <c r="HWT15" s="41"/>
      <c r="HWU15" s="41"/>
      <c r="HWV15" s="41"/>
      <c r="HWW15" s="41"/>
      <c r="HWX15" s="41"/>
      <c r="HWY15" s="41"/>
      <c r="HWZ15" s="41"/>
      <c r="HXA15" s="41"/>
      <c r="HXB15" s="41"/>
      <c r="HXC15" s="41"/>
      <c r="HXD15" s="41"/>
      <c r="HXE15" s="41"/>
      <c r="HXF15" s="41"/>
      <c r="HXG15" s="41"/>
      <c r="HXH15" s="41"/>
      <c r="HXI15" s="41"/>
      <c r="HXJ15" s="41"/>
      <c r="HXK15" s="41"/>
      <c r="HXL15" s="41"/>
      <c r="HXM15" s="41"/>
      <c r="HXN15" s="41"/>
      <c r="HXO15" s="41"/>
      <c r="HXP15" s="41"/>
      <c r="HXQ15" s="41"/>
      <c r="HXR15" s="41"/>
      <c r="HXS15" s="41"/>
      <c r="HXT15" s="41"/>
      <c r="HXU15" s="41"/>
      <c r="HXV15" s="41"/>
      <c r="HXW15" s="41"/>
      <c r="HXX15" s="41"/>
      <c r="HXY15" s="41"/>
      <c r="HXZ15" s="41"/>
      <c r="HYA15" s="41"/>
      <c r="HYB15" s="41"/>
      <c r="HYC15" s="41"/>
      <c r="HYD15" s="41"/>
      <c r="HYE15" s="41"/>
      <c r="HYF15" s="41"/>
      <c r="HYG15" s="41"/>
      <c r="HYH15" s="41"/>
      <c r="HYI15" s="41"/>
      <c r="HYJ15" s="41"/>
      <c r="HYK15" s="41"/>
      <c r="HYL15" s="41"/>
      <c r="HYM15" s="41"/>
      <c r="HYN15" s="41"/>
      <c r="HYO15" s="41"/>
      <c r="HYP15" s="41"/>
      <c r="HYQ15" s="41"/>
      <c r="HYR15" s="41"/>
      <c r="HYS15" s="41"/>
      <c r="HYT15" s="41"/>
      <c r="HYU15" s="41"/>
      <c r="HYV15" s="41"/>
      <c r="HYW15" s="41"/>
      <c r="HYX15" s="41"/>
      <c r="HYY15" s="41"/>
      <c r="HYZ15" s="41"/>
      <c r="HZA15" s="41"/>
      <c r="HZB15" s="41"/>
      <c r="HZC15" s="41"/>
      <c r="HZD15" s="41"/>
      <c r="HZE15" s="41"/>
      <c r="HZF15" s="41"/>
      <c r="HZG15" s="41"/>
      <c r="HZH15" s="41"/>
      <c r="HZI15" s="41"/>
      <c r="HZJ15" s="41"/>
      <c r="HZK15" s="41"/>
      <c r="HZL15" s="41"/>
      <c r="HZM15" s="41"/>
      <c r="HZN15" s="41"/>
      <c r="HZO15" s="41"/>
      <c r="HZP15" s="41"/>
      <c r="HZQ15" s="41"/>
      <c r="HZR15" s="41"/>
      <c r="HZS15" s="41"/>
      <c r="HZT15" s="41"/>
      <c r="HZU15" s="41"/>
      <c r="HZV15" s="41"/>
      <c r="HZW15" s="41"/>
      <c r="HZX15" s="41"/>
      <c r="HZY15" s="41"/>
      <c r="HZZ15" s="41"/>
      <c r="IAA15" s="41"/>
      <c r="IAB15" s="41"/>
      <c r="IAC15" s="41"/>
      <c r="IAD15" s="41"/>
      <c r="IAE15" s="41"/>
      <c r="IAF15" s="41"/>
      <c r="IAG15" s="41"/>
      <c r="IAH15" s="41"/>
      <c r="IAI15" s="41"/>
      <c r="IAJ15" s="41"/>
      <c r="IAK15" s="41"/>
      <c r="IAL15" s="41"/>
      <c r="IAM15" s="41"/>
      <c r="IAN15" s="41"/>
      <c r="IAO15" s="41"/>
      <c r="IAP15" s="41"/>
      <c r="IAQ15" s="41"/>
      <c r="IAR15" s="41"/>
      <c r="IAS15" s="41"/>
      <c r="IAT15" s="41"/>
      <c r="IAU15" s="41"/>
      <c r="IAV15" s="41"/>
      <c r="IAW15" s="41"/>
      <c r="IAX15" s="41"/>
      <c r="IAY15" s="41"/>
      <c r="IAZ15" s="41"/>
      <c r="IBA15" s="41"/>
      <c r="IBB15" s="41"/>
      <c r="IBC15" s="41"/>
      <c r="IBD15" s="41"/>
      <c r="IBE15" s="41"/>
      <c r="IBF15" s="41"/>
      <c r="IBG15" s="41"/>
      <c r="IBH15" s="41"/>
      <c r="IBI15" s="41"/>
      <c r="IBJ15" s="41"/>
      <c r="IBK15" s="41"/>
      <c r="IBL15" s="41"/>
      <c r="IBM15" s="41"/>
      <c r="IBN15" s="41"/>
      <c r="IBO15" s="41"/>
      <c r="IBP15" s="41"/>
      <c r="IBQ15" s="41"/>
      <c r="IBR15" s="41"/>
      <c r="IBS15" s="41"/>
      <c r="IBT15" s="41"/>
      <c r="IBU15" s="41"/>
      <c r="IBV15" s="41"/>
      <c r="IBW15" s="41"/>
      <c r="IBX15" s="41"/>
      <c r="IBY15" s="41"/>
      <c r="IBZ15" s="41"/>
      <c r="ICA15" s="41"/>
      <c r="ICB15" s="41"/>
      <c r="ICC15" s="41"/>
      <c r="ICD15" s="41"/>
      <c r="ICE15" s="41"/>
      <c r="ICF15" s="41"/>
      <c r="ICG15" s="41"/>
      <c r="ICH15" s="41"/>
      <c r="ICI15" s="41"/>
      <c r="ICJ15" s="41"/>
      <c r="ICK15" s="41"/>
      <c r="ICL15" s="41"/>
      <c r="ICM15" s="41"/>
      <c r="ICN15" s="41"/>
      <c r="ICO15" s="41"/>
      <c r="ICP15" s="41"/>
      <c r="ICQ15" s="41"/>
      <c r="ICR15" s="41"/>
      <c r="ICS15" s="41"/>
      <c r="ICT15" s="41"/>
      <c r="ICU15" s="41"/>
      <c r="ICV15" s="41"/>
      <c r="ICW15" s="41"/>
      <c r="ICX15" s="41"/>
      <c r="ICY15" s="41"/>
      <c r="ICZ15" s="41"/>
      <c r="IDA15" s="41"/>
      <c r="IDB15" s="41"/>
      <c r="IDC15" s="41"/>
      <c r="IDD15" s="41"/>
      <c r="IDE15" s="41"/>
      <c r="IDF15" s="41"/>
      <c r="IDG15" s="41"/>
      <c r="IDH15" s="41"/>
      <c r="IDI15" s="41"/>
      <c r="IDJ15" s="41"/>
      <c r="IDK15" s="41"/>
      <c r="IDL15" s="41"/>
      <c r="IDM15" s="41"/>
      <c r="IDN15" s="41"/>
      <c r="IDO15" s="41"/>
      <c r="IDP15" s="41"/>
      <c r="IDQ15" s="41"/>
      <c r="IDR15" s="41"/>
      <c r="IDS15" s="41"/>
      <c r="IDT15" s="41"/>
      <c r="IDU15" s="41"/>
      <c r="IDV15" s="41"/>
      <c r="IDW15" s="41"/>
      <c r="IDX15" s="41"/>
      <c r="IDY15" s="41"/>
      <c r="IDZ15" s="41"/>
      <c r="IEA15" s="41"/>
      <c r="IEB15" s="41"/>
      <c r="IEC15" s="41"/>
      <c r="IED15" s="41"/>
      <c r="IEE15" s="41"/>
      <c r="IEF15" s="41"/>
      <c r="IEG15" s="41"/>
      <c r="IEH15" s="41"/>
      <c r="IEI15" s="41"/>
      <c r="IEJ15" s="41"/>
      <c r="IEK15" s="41"/>
      <c r="IEL15" s="41"/>
      <c r="IEM15" s="41"/>
      <c r="IEN15" s="41"/>
      <c r="IEO15" s="41"/>
      <c r="IEP15" s="41"/>
      <c r="IEQ15" s="41"/>
      <c r="IER15" s="41"/>
      <c r="IES15" s="41"/>
      <c r="IET15" s="41"/>
      <c r="IEU15" s="41"/>
      <c r="IEV15" s="41"/>
      <c r="IEW15" s="41"/>
      <c r="IEX15" s="41"/>
      <c r="IEY15" s="41"/>
      <c r="IEZ15" s="41"/>
      <c r="IFA15" s="41"/>
      <c r="IFB15" s="41"/>
      <c r="IFC15" s="41"/>
      <c r="IFD15" s="41"/>
      <c r="IFE15" s="41"/>
      <c r="IFF15" s="41"/>
      <c r="IFG15" s="41"/>
      <c r="IFH15" s="41"/>
      <c r="IFI15" s="41"/>
      <c r="IFJ15" s="41"/>
      <c r="IFK15" s="41"/>
      <c r="IFL15" s="41"/>
      <c r="IFM15" s="41"/>
      <c r="IFN15" s="41"/>
      <c r="IFO15" s="41"/>
      <c r="IFP15" s="41"/>
      <c r="IFQ15" s="41"/>
      <c r="IFR15" s="41"/>
      <c r="IFS15" s="41"/>
      <c r="IFT15" s="41"/>
      <c r="IFU15" s="41"/>
      <c r="IFV15" s="41"/>
      <c r="IFW15" s="41"/>
      <c r="IFX15" s="41"/>
      <c r="IFY15" s="41"/>
      <c r="IFZ15" s="41"/>
      <c r="IGA15" s="41"/>
      <c r="IGB15" s="41"/>
      <c r="IGC15" s="41"/>
      <c r="IGD15" s="41"/>
      <c r="IGE15" s="41"/>
      <c r="IGF15" s="41"/>
      <c r="IGG15" s="41"/>
      <c r="IGH15" s="41"/>
      <c r="IGI15" s="41"/>
      <c r="IGJ15" s="41"/>
      <c r="IGK15" s="41"/>
      <c r="IGL15" s="41"/>
      <c r="IGM15" s="41"/>
      <c r="IGN15" s="41"/>
      <c r="IGO15" s="41"/>
      <c r="IGP15" s="41"/>
      <c r="IGQ15" s="41"/>
      <c r="IGR15" s="41"/>
      <c r="IGS15" s="41"/>
      <c r="IGT15" s="41"/>
      <c r="IGU15" s="41"/>
      <c r="IGV15" s="41"/>
      <c r="IGW15" s="41"/>
      <c r="IGX15" s="41"/>
      <c r="IGY15" s="41"/>
      <c r="IGZ15" s="41"/>
      <c r="IHA15" s="41"/>
      <c r="IHB15" s="41"/>
      <c r="IHC15" s="41"/>
      <c r="IHD15" s="41"/>
      <c r="IHE15" s="41"/>
      <c r="IHF15" s="41"/>
      <c r="IHG15" s="41"/>
      <c r="IHH15" s="41"/>
      <c r="IHI15" s="41"/>
      <c r="IHJ15" s="41"/>
      <c r="IHK15" s="41"/>
      <c r="IHL15" s="41"/>
      <c r="IHM15" s="41"/>
      <c r="IHN15" s="41"/>
      <c r="IHO15" s="41"/>
      <c r="IHP15" s="41"/>
      <c r="IHQ15" s="41"/>
      <c r="IHR15" s="41"/>
      <c r="IHS15" s="41"/>
      <c r="IHT15" s="41"/>
      <c r="IHU15" s="41"/>
      <c r="IHV15" s="41"/>
      <c r="IHW15" s="41"/>
      <c r="IHX15" s="41"/>
      <c r="IHY15" s="41"/>
      <c r="IHZ15" s="41"/>
      <c r="IIA15" s="41"/>
      <c r="IIB15" s="41"/>
      <c r="IIC15" s="41"/>
      <c r="IID15" s="41"/>
      <c r="IIE15" s="41"/>
      <c r="IIF15" s="41"/>
      <c r="IIG15" s="41"/>
      <c r="IIH15" s="41"/>
      <c r="III15" s="41"/>
      <c r="IIJ15" s="41"/>
      <c r="IIK15" s="41"/>
      <c r="IIL15" s="41"/>
      <c r="IIM15" s="41"/>
      <c r="IIN15" s="41"/>
      <c r="IIO15" s="41"/>
      <c r="IIP15" s="41"/>
      <c r="IIQ15" s="41"/>
      <c r="IIR15" s="41"/>
      <c r="IIS15" s="41"/>
      <c r="IIT15" s="41"/>
      <c r="IIU15" s="41"/>
      <c r="IIV15" s="41"/>
      <c r="IIW15" s="41"/>
      <c r="IIX15" s="41"/>
      <c r="IIY15" s="41"/>
      <c r="IIZ15" s="41"/>
      <c r="IJA15" s="41"/>
      <c r="IJB15" s="41"/>
      <c r="IJC15" s="41"/>
      <c r="IJD15" s="41"/>
      <c r="IJE15" s="41"/>
      <c r="IJF15" s="41"/>
      <c r="IJG15" s="41"/>
      <c r="IJH15" s="41"/>
      <c r="IJI15" s="41"/>
      <c r="IJJ15" s="41"/>
      <c r="IJK15" s="41"/>
      <c r="IJL15" s="41"/>
      <c r="IJM15" s="41"/>
      <c r="IJN15" s="41"/>
      <c r="IJO15" s="41"/>
      <c r="IJP15" s="41"/>
      <c r="IJQ15" s="41"/>
      <c r="IJR15" s="41"/>
      <c r="IJS15" s="41"/>
      <c r="IJT15" s="41"/>
      <c r="IJU15" s="41"/>
      <c r="IJV15" s="41"/>
      <c r="IJW15" s="41"/>
      <c r="IJX15" s="41"/>
      <c r="IJY15" s="41"/>
      <c r="IJZ15" s="41"/>
      <c r="IKA15" s="41"/>
      <c r="IKB15" s="41"/>
      <c r="IKC15" s="41"/>
      <c r="IKD15" s="41"/>
      <c r="IKE15" s="41"/>
      <c r="IKF15" s="41"/>
      <c r="IKG15" s="41"/>
      <c r="IKH15" s="41"/>
      <c r="IKI15" s="41"/>
      <c r="IKJ15" s="41"/>
      <c r="IKK15" s="41"/>
      <c r="IKL15" s="41"/>
      <c r="IKM15" s="41"/>
      <c r="IKN15" s="41"/>
      <c r="IKO15" s="41"/>
      <c r="IKP15" s="41"/>
      <c r="IKQ15" s="41"/>
      <c r="IKR15" s="41"/>
      <c r="IKS15" s="41"/>
      <c r="IKT15" s="41"/>
      <c r="IKU15" s="41"/>
      <c r="IKV15" s="41"/>
      <c r="IKW15" s="41"/>
      <c r="IKX15" s="41"/>
      <c r="IKY15" s="41"/>
      <c r="IKZ15" s="41"/>
      <c r="ILA15" s="41"/>
      <c r="ILB15" s="41"/>
      <c r="ILC15" s="41"/>
      <c r="ILD15" s="41"/>
      <c r="ILE15" s="41"/>
      <c r="ILF15" s="41"/>
      <c r="ILG15" s="41"/>
      <c r="ILH15" s="41"/>
      <c r="ILI15" s="41"/>
      <c r="ILJ15" s="41"/>
      <c r="ILK15" s="41"/>
      <c r="ILL15" s="41"/>
      <c r="ILM15" s="41"/>
      <c r="ILN15" s="41"/>
      <c r="ILO15" s="41"/>
      <c r="ILP15" s="41"/>
      <c r="ILQ15" s="41"/>
      <c r="ILR15" s="41"/>
      <c r="ILS15" s="41"/>
      <c r="ILT15" s="41"/>
      <c r="ILU15" s="41"/>
      <c r="ILV15" s="41"/>
      <c r="ILW15" s="41"/>
      <c r="ILX15" s="41"/>
      <c r="ILY15" s="41"/>
      <c r="ILZ15" s="41"/>
      <c r="IMA15" s="41"/>
      <c r="IMB15" s="41"/>
      <c r="IMC15" s="41"/>
      <c r="IMD15" s="41"/>
      <c r="IME15" s="41"/>
      <c r="IMF15" s="41"/>
      <c r="IMG15" s="41"/>
      <c r="IMH15" s="41"/>
      <c r="IMI15" s="41"/>
      <c r="IMJ15" s="41"/>
      <c r="IMK15" s="41"/>
      <c r="IML15" s="41"/>
      <c r="IMM15" s="41"/>
      <c r="IMN15" s="41"/>
      <c r="IMO15" s="41"/>
      <c r="IMP15" s="41"/>
      <c r="IMQ15" s="41"/>
      <c r="IMR15" s="41"/>
      <c r="IMS15" s="41"/>
      <c r="IMT15" s="41"/>
      <c r="IMU15" s="41"/>
      <c r="IMV15" s="41"/>
      <c r="IMW15" s="41"/>
      <c r="IMX15" s="41"/>
      <c r="IMY15" s="41"/>
      <c r="IMZ15" s="41"/>
      <c r="INA15" s="41"/>
      <c r="INB15" s="41"/>
      <c r="INC15" s="41"/>
      <c r="IND15" s="41"/>
      <c r="INE15" s="41"/>
      <c r="INF15" s="41"/>
      <c r="ING15" s="41"/>
      <c r="INH15" s="41"/>
      <c r="INI15" s="41"/>
      <c r="INJ15" s="41"/>
      <c r="INK15" s="41"/>
      <c r="INL15" s="41"/>
      <c r="INM15" s="41"/>
      <c r="INN15" s="41"/>
      <c r="INO15" s="41"/>
      <c r="INP15" s="41"/>
      <c r="INQ15" s="41"/>
      <c r="INR15" s="41"/>
      <c r="INS15" s="41"/>
      <c r="INT15" s="41"/>
      <c r="INU15" s="41"/>
      <c r="INV15" s="41"/>
      <c r="INW15" s="41"/>
      <c r="INX15" s="41"/>
      <c r="INY15" s="41"/>
      <c r="INZ15" s="41"/>
      <c r="IOA15" s="41"/>
      <c r="IOB15" s="41"/>
      <c r="IOC15" s="41"/>
      <c r="IOD15" s="41"/>
      <c r="IOE15" s="41"/>
      <c r="IOF15" s="41"/>
      <c r="IOG15" s="41"/>
      <c r="IOH15" s="41"/>
      <c r="IOI15" s="41"/>
      <c r="IOJ15" s="41"/>
      <c r="IOK15" s="41"/>
      <c r="IOL15" s="41"/>
      <c r="IOM15" s="41"/>
      <c r="ION15" s="41"/>
      <c r="IOO15" s="41"/>
      <c r="IOP15" s="41"/>
      <c r="IOQ15" s="41"/>
      <c r="IOR15" s="41"/>
      <c r="IOS15" s="41"/>
      <c r="IOT15" s="41"/>
      <c r="IOU15" s="41"/>
      <c r="IOV15" s="41"/>
      <c r="IOW15" s="41"/>
      <c r="IOX15" s="41"/>
      <c r="IOY15" s="41"/>
      <c r="IOZ15" s="41"/>
      <c r="IPA15" s="41"/>
      <c r="IPB15" s="41"/>
      <c r="IPC15" s="41"/>
      <c r="IPD15" s="41"/>
      <c r="IPE15" s="41"/>
      <c r="IPF15" s="41"/>
      <c r="IPG15" s="41"/>
      <c r="IPH15" s="41"/>
      <c r="IPI15" s="41"/>
      <c r="IPJ15" s="41"/>
      <c r="IPK15" s="41"/>
      <c r="IPL15" s="41"/>
      <c r="IPM15" s="41"/>
      <c r="IPN15" s="41"/>
      <c r="IPO15" s="41"/>
      <c r="IPP15" s="41"/>
      <c r="IPQ15" s="41"/>
      <c r="IPR15" s="41"/>
      <c r="IPS15" s="41"/>
      <c r="IPT15" s="41"/>
      <c r="IPU15" s="41"/>
      <c r="IPV15" s="41"/>
      <c r="IPW15" s="41"/>
      <c r="IPX15" s="41"/>
      <c r="IPY15" s="41"/>
      <c r="IPZ15" s="41"/>
      <c r="IQA15" s="41"/>
      <c r="IQB15" s="41"/>
      <c r="IQC15" s="41"/>
      <c r="IQD15" s="41"/>
      <c r="IQE15" s="41"/>
      <c r="IQF15" s="41"/>
      <c r="IQG15" s="41"/>
      <c r="IQH15" s="41"/>
      <c r="IQI15" s="41"/>
      <c r="IQJ15" s="41"/>
      <c r="IQK15" s="41"/>
      <c r="IQL15" s="41"/>
      <c r="IQM15" s="41"/>
      <c r="IQN15" s="41"/>
      <c r="IQO15" s="41"/>
      <c r="IQP15" s="41"/>
      <c r="IQQ15" s="41"/>
      <c r="IQR15" s="41"/>
      <c r="IQS15" s="41"/>
      <c r="IQT15" s="41"/>
      <c r="IQU15" s="41"/>
      <c r="IQV15" s="41"/>
      <c r="IQW15" s="41"/>
      <c r="IQX15" s="41"/>
      <c r="IQY15" s="41"/>
      <c r="IQZ15" s="41"/>
      <c r="IRA15" s="41"/>
      <c r="IRB15" s="41"/>
      <c r="IRC15" s="41"/>
      <c r="IRD15" s="41"/>
      <c r="IRE15" s="41"/>
      <c r="IRF15" s="41"/>
      <c r="IRG15" s="41"/>
      <c r="IRH15" s="41"/>
      <c r="IRI15" s="41"/>
      <c r="IRJ15" s="41"/>
      <c r="IRK15" s="41"/>
      <c r="IRL15" s="41"/>
      <c r="IRM15" s="41"/>
      <c r="IRN15" s="41"/>
      <c r="IRO15" s="41"/>
      <c r="IRP15" s="41"/>
      <c r="IRQ15" s="41"/>
      <c r="IRR15" s="41"/>
      <c r="IRS15" s="41"/>
      <c r="IRT15" s="41"/>
      <c r="IRU15" s="41"/>
      <c r="IRV15" s="41"/>
      <c r="IRW15" s="41"/>
      <c r="IRX15" s="41"/>
      <c r="IRY15" s="41"/>
      <c r="IRZ15" s="41"/>
      <c r="ISA15" s="41"/>
      <c r="ISB15" s="41"/>
      <c r="ISC15" s="41"/>
      <c r="ISD15" s="41"/>
      <c r="ISE15" s="41"/>
      <c r="ISF15" s="41"/>
      <c r="ISG15" s="41"/>
      <c r="ISH15" s="41"/>
      <c r="ISI15" s="41"/>
      <c r="ISJ15" s="41"/>
      <c r="ISK15" s="41"/>
      <c r="ISL15" s="41"/>
      <c r="ISM15" s="41"/>
      <c r="ISN15" s="41"/>
      <c r="ISO15" s="41"/>
      <c r="ISP15" s="41"/>
      <c r="ISQ15" s="41"/>
      <c r="ISR15" s="41"/>
      <c r="ISS15" s="41"/>
      <c r="IST15" s="41"/>
      <c r="ISU15" s="41"/>
      <c r="ISV15" s="41"/>
      <c r="ISW15" s="41"/>
      <c r="ISX15" s="41"/>
      <c r="ISY15" s="41"/>
      <c r="ISZ15" s="41"/>
      <c r="ITA15" s="41"/>
      <c r="ITB15" s="41"/>
      <c r="ITC15" s="41"/>
      <c r="ITD15" s="41"/>
      <c r="ITE15" s="41"/>
      <c r="ITF15" s="41"/>
      <c r="ITG15" s="41"/>
      <c r="ITH15" s="41"/>
      <c r="ITI15" s="41"/>
      <c r="ITJ15" s="41"/>
      <c r="ITK15" s="41"/>
      <c r="ITL15" s="41"/>
      <c r="ITM15" s="41"/>
      <c r="ITN15" s="41"/>
      <c r="ITO15" s="41"/>
      <c r="ITP15" s="41"/>
      <c r="ITQ15" s="41"/>
      <c r="ITR15" s="41"/>
      <c r="ITS15" s="41"/>
      <c r="ITT15" s="41"/>
      <c r="ITU15" s="41"/>
      <c r="ITV15" s="41"/>
      <c r="ITW15" s="41"/>
      <c r="ITX15" s="41"/>
      <c r="ITY15" s="41"/>
      <c r="ITZ15" s="41"/>
      <c r="IUA15" s="41"/>
      <c r="IUB15" s="41"/>
      <c r="IUC15" s="41"/>
      <c r="IUD15" s="41"/>
      <c r="IUE15" s="41"/>
      <c r="IUF15" s="41"/>
      <c r="IUG15" s="41"/>
      <c r="IUH15" s="41"/>
      <c r="IUI15" s="41"/>
      <c r="IUJ15" s="41"/>
      <c r="IUK15" s="41"/>
      <c r="IUL15" s="41"/>
      <c r="IUM15" s="41"/>
      <c r="IUN15" s="41"/>
      <c r="IUO15" s="41"/>
      <c r="IUP15" s="41"/>
      <c r="IUQ15" s="41"/>
      <c r="IUR15" s="41"/>
      <c r="IUS15" s="41"/>
      <c r="IUT15" s="41"/>
      <c r="IUU15" s="41"/>
      <c r="IUV15" s="41"/>
      <c r="IUW15" s="41"/>
      <c r="IUX15" s="41"/>
      <c r="IUY15" s="41"/>
      <c r="IUZ15" s="41"/>
      <c r="IVA15" s="41"/>
      <c r="IVB15" s="41"/>
      <c r="IVC15" s="41"/>
      <c r="IVD15" s="41"/>
      <c r="IVE15" s="41"/>
      <c r="IVF15" s="41"/>
      <c r="IVG15" s="41"/>
      <c r="IVH15" s="41"/>
      <c r="IVI15" s="41"/>
      <c r="IVJ15" s="41"/>
      <c r="IVK15" s="41"/>
      <c r="IVL15" s="41"/>
      <c r="IVM15" s="41"/>
      <c r="IVN15" s="41"/>
      <c r="IVO15" s="41"/>
      <c r="IVP15" s="41"/>
      <c r="IVQ15" s="41"/>
      <c r="IVR15" s="41"/>
      <c r="IVS15" s="41"/>
      <c r="IVT15" s="41"/>
      <c r="IVU15" s="41"/>
      <c r="IVV15" s="41"/>
      <c r="IVW15" s="41"/>
      <c r="IVX15" s="41"/>
      <c r="IVY15" s="41"/>
      <c r="IVZ15" s="41"/>
      <c r="IWA15" s="41"/>
      <c r="IWB15" s="41"/>
      <c r="IWC15" s="41"/>
      <c r="IWD15" s="41"/>
      <c r="IWE15" s="41"/>
      <c r="IWF15" s="41"/>
      <c r="IWG15" s="41"/>
      <c r="IWH15" s="41"/>
      <c r="IWI15" s="41"/>
      <c r="IWJ15" s="41"/>
      <c r="IWK15" s="41"/>
      <c r="IWL15" s="41"/>
      <c r="IWM15" s="41"/>
      <c r="IWN15" s="41"/>
      <c r="IWO15" s="41"/>
      <c r="IWP15" s="41"/>
      <c r="IWQ15" s="41"/>
      <c r="IWR15" s="41"/>
      <c r="IWS15" s="41"/>
      <c r="IWT15" s="41"/>
      <c r="IWU15" s="41"/>
      <c r="IWV15" s="41"/>
      <c r="IWW15" s="41"/>
      <c r="IWX15" s="41"/>
      <c r="IWY15" s="41"/>
      <c r="IWZ15" s="41"/>
      <c r="IXA15" s="41"/>
      <c r="IXB15" s="41"/>
      <c r="IXC15" s="41"/>
      <c r="IXD15" s="41"/>
      <c r="IXE15" s="41"/>
      <c r="IXF15" s="41"/>
      <c r="IXG15" s="41"/>
      <c r="IXH15" s="41"/>
      <c r="IXI15" s="41"/>
      <c r="IXJ15" s="41"/>
      <c r="IXK15" s="41"/>
      <c r="IXL15" s="41"/>
      <c r="IXM15" s="41"/>
      <c r="IXN15" s="41"/>
      <c r="IXO15" s="41"/>
      <c r="IXP15" s="41"/>
      <c r="IXQ15" s="41"/>
      <c r="IXR15" s="41"/>
      <c r="IXS15" s="41"/>
      <c r="IXT15" s="41"/>
      <c r="IXU15" s="41"/>
      <c r="IXV15" s="41"/>
      <c r="IXW15" s="41"/>
      <c r="IXX15" s="41"/>
      <c r="IXY15" s="41"/>
      <c r="IXZ15" s="41"/>
      <c r="IYA15" s="41"/>
      <c r="IYB15" s="41"/>
      <c r="IYC15" s="41"/>
      <c r="IYD15" s="41"/>
      <c r="IYE15" s="41"/>
      <c r="IYF15" s="41"/>
      <c r="IYG15" s="41"/>
      <c r="IYH15" s="41"/>
      <c r="IYI15" s="41"/>
      <c r="IYJ15" s="41"/>
      <c r="IYK15" s="41"/>
      <c r="IYL15" s="41"/>
      <c r="IYM15" s="41"/>
      <c r="IYN15" s="41"/>
      <c r="IYO15" s="41"/>
      <c r="IYP15" s="41"/>
      <c r="IYQ15" s="41"/>
      <c r="IYR15" s="41"/>
      <c r="IYS15" s="41"/>
      <c r="IYT15" s="41"/>
      <c r="IYU15" s="41"/>
      <c r="IYV15" s="41"/>
      <c r="IYW15" s="41"/>
      <c r="IYX15" s="41"/>
      <c r="IYY15" s="41"/>
      <c r="IYZ15" s="41"/>
      <c r="IZA15" s="41"/>
      <c r="IZB15" s="41"/>
      <c r="IZC15" s="41"/>
      <c r="IZD15" s="41"/>
      <c r="IZE15" s="41"/>
      <c r="IZF15" s="41"/>
      <c r="IZG15" s="41"/>
      <c r="IZH15" s="41"/>
      <c r="IZI15" s="41"/>
      <c r="IZJ15" s="41"/>
      <c r="IZK15" s="41"/>
      <c r="IZL15" s="41"/>
      <c r="IZM15" s="41"/>
      <c r="IZN15" s="41"/>
      <c r="IZO15" s="41"/>
      <c r="IZP15" s="41"/>
      <c r="IZQ15" s="41"/>
      <c r="IZR15" s="41"/>
      <c r="IZS15" s="41"/>
      <c r="IZT15" s="41"/>
      <c r="IZU15" s="41"/>
      <c r="IZV15" s="41"/>
      <c r="IZW15" s="41"/>
      <c r="IZX15" s="41"/>
      <c r="IZY15" s="41"/>
      <c r="IZZ15" s="41"/>
      <c r="JAA15" s="41"/>
      <c r="JAB15" s="41"/>
      <c r="JAC15" s="41"/>
      <c r="JAD15" s="41"/>
      <c r="JAE15" s="41"/>
      <c r="JAF15" s="41"/>
      <c r="JAG15" s="41"/>
      <c r="JAH15" s="41"/>
      <c r="JAI15" s="41"/>
      <c r="JAJ15" s="41"/>
      <c r="JAK15" s="41"/>
      <c r="JAL15" s="41"/>
      <c r="JAM15" s="41"/>
      <c r="JAN15" s="41"/>
      <c r="JAO15" s="41"/>
      <c r="JAP15" s="41"/>
      <c r="JAQ15" s="41"/>
      <c r="JAR15" s="41"/>
      <c r="JAS15" s="41"/>
      <c r="JAT15" s="41"/>
      <c r="JAU15" s="41"/>
      <c r="JAV15" s="41"/>
      <c r="JAW15" s="41"/>
      <c r="JAX15" s="41"/>
      <c r="JAY15" s="41"/>
      <c r="JAZ15" s="41"/>
      <c r="JBA15" s="41"/>
      <c r="JBB15" s="41"/>
      <c r="JBC15" s="41"/>
      <c r="JBD15" s="41"/>
      <c r="JBE15" s="41"/>
      <c r="JBF15" s="41"/>
      <c r="JBG15" s="41"/>
      <c r="JBH15" s="41"/>
      <c r="JBI15" s="41"/>
      <c r="JBJ15" s="41"/>
      <c r="JBK15" s="41"/>
      <c r="JBL15" s="41"/>
      <c r="JBM15" s="41"/>
      <c r="JBN15" s="41"/>
      <c r="JBO15" s="41"/>
      <c r="JBP15" s="41"/>
      <c r="JBQ15" s="41"/>
      <c r="JBR15" s="41"/>
      <c r="JBS15" s="41"/>
      <c r="JBT15" s="41"/>
      <c r="JBU15" s="41"/>
      <c r="JBV15" s="41"/>
      <c r="JBW15" s="41"/>
      <c r="JBX15" s="41"/>
      <c r="JBY15" s="41"/>
      <c r="JBZ15" s="41"/>
      <c r="JCA15" s="41"/>
      <c r="JCB15" s="41"/>
      <c r="JCC15" s="41"/>
      <c r="JCD15" s="41"/>
      <c r="JCE15" s="41"/>
      <c r="JCF15" s="41"/>
      <c r="JCG15" s="41"/>
      <c r="JCH15" s="41"/>
      <c r="JCI15" s="41"/>
      <c r="JCJ15" s="41"/>
      <c r="JCK15" s="41"/>
      <c r="JCL15" s="41"/>
      <c r="JCM15" s="41"/>
      <c r="JCN15" s="41"/>
      <c r="JCO15" s="41"/>
      <c r="JCP15" s="41"/>
      <c r="JCQ15" s="41"/>
      <c r="JCR15" s="41"/>
      <c r="JCS15" s="41"/>
      <c r="JCT15" s="41"/>
      <c r="JCU15" s="41"/>
      <c r="JCV15" s="41"/>
      <c r="JCW15" s="41"/>
      <c r="JCX15" s="41"/>
      <c r="JCY15" s="41"/>
      <c r="JCZ15" s="41"/>
      <c r="JDA15" s="41"/>
      <c r="JDB15" s="41"/>
      <c r="JDC15" s="41"/>
      <c r="JDD15" s="41"/>
      <c r="JDE15" s="41"/>
      <c r="JDF15" s="41"/>
      <c r="JDG15" s="41"/>
      <c r="JDH15" s="41"/>
      <c r="JDI15" s="41"/>
      <c r="JDJ15" s="41"/>
      <c r="JDK15" s="41"/>
      <c r="JDL15" s="41"/>
      <c r="JDM15" s="41"/>
      <c r="JDN15" s="41"/>
      <c r="JDO15" s="41"/>
      <c r="JDP15" s="41"/>
      <c r="JDQ15" s="41"/>
      <c r="JDR15" s="41"/>
      <c r="JDS15" s="41"/>
      <c r="JDT15" s="41"/>
      <c r="JDU15" s="41"/>
      <c r="JDV15" s="41"/>
      <c r="JDW15" s="41"/>
      <c r="JDX15" s="41"/>
      <c r="JDY15" s="41"/>
      <c r="JDZ15" s="41"/>
      <c r="JEA15" s="41"/>
      <c r="JEB15" s="41"/>
      <c r="JEC15" s="41"/>
      <c r="JED15" s="41"/>
      <c r="JEE15" s="41"/>
      <c r="JEF15" s="41"/>
      <c r="JEG15" s="41"/>
      <c r="JEH15" s="41"/>
      <c r="JEI15" s="41"/>
      <c r="JEJ15" s="41"/>
      <c r="JEK15" s="41"/>
      <c r="JEL15" s="41"/>
      <c r="JEM15" s="41"/>
      <c r="JEN15" s="41"/>
      <c r="JEO15" s="41"/>
      <c r="JEP15" s="41"/>
      <c r="JEQ15" s="41"/>
      <c r="JER15" s="41"/>
      <c r="JES15" s="41"/>
      <c r="JET15" s="41"/>
      <c r="JEU15" s="41"/>
      <c r="JEV15" s="41"/>
      <c r="JEW15" s="41"/>
      <c r="JEX15" s="41"/>
      <c r="JEY15" s="41"/>
      <c r="JEZ15" s="41"/>
      <c r="JFA15" s="41"/>
      <c r="JFB15" s="41"/>
      <c r="JFC15" s="41"/>
      <c r="JFD15" s="41"/>
      <c r="JFE15" s="41"/>
      <c r="JFF15" s="41"/>
      <c r="JFG15" s="41"/>
      <c r="JFH15" s="41"/>
      <c r="JFI15" s="41"/>
      <c r="JFJ15" s="41"/>
      <c r="JFK15" s="41"/>
      <c r="JFL15" s="41"/>
      <c r="JFM15" s="41"/>
      <c r="JFN15" s="41"/>
      <c r="JFO15" s="41"/>
      <c r="JFP15" s="41"/>
      <c r="JFQ15" s="41"/>
      <c r="JFR15" s="41"/>
      <c r="JFS15" s="41"/>
      <c r="JFT15" s="41"/>
      <c r="JFU15" s="41"/>
      <c r="JFV15" s="41"/>
      <c r="JFW15" s="41"/>
      <c r="JFX15" s="41"/>
      <c r="JFY15" s="41"/>
      <c r="JFZ15" s="41"/>
      <c r="JGA15" s="41"/>
      <c r="JGB15" s="41"/>
      <c r="JGC15" s="41"/>
      <c r="JGD15" s="41"/>
      <c r="JGE15" s="41"/>
      <c r="JGF15" s="41"/>
      <c r="JGG15" s="41"/>
      <c r="JGH15" s="41"/>
      <c r="JGI15" s="41"/>
      <c r="JGJ15" s="41"/>
      <c r="JGK15" s="41"/>
      <c r="JGL15" s="41"/>
      <c r="JGM15" s="41"/>
      <c r="JGN15" s="41"/>
      <c r="JGO15" s="41"/>
      <c r="JGP15" s="41"/>
      <c r="JGQ15" s="41"/>
      <c r="JGR15" s="41"/>
      <c r="JGS15" s="41"/>
      <c r="JGT15" s="41"/>
      <c r="JGU15" s="41"/>
      <c r="JGV15" s="41"/>
      <c r="JGW15" s="41"/>
      <c r="JGX15" s="41"/>
      <c r="JGY15" s="41"/>
      <c r="JGZ15" s="41"/>
      <c r="JHA15" s="41"/>
      <c r="JHB15" s="41"/>
      <c r="JHC15" s="41"/>
      <c r="JHD15" s="41"/>
      <c r="JHE15" s="41"/>
      <c r="JHF15" s="41"/>
      <c r="JHG15" s="41"/>
      <c r="JHH15" s="41"/>
      <c r="JHI15" s="41"/>
      <c r="JHJ15" s="41"/>
      <c r="JHK15" s="41"/>
      <c r="JHL15" s="41"/>
      <c r="JHM15" s="41"/>
      <c r="JHN15" s="41"/>
      <c r="JHO15" s="41"/>
      <c r="JHP15" s="41"/>
      <c r="JHQ15" s="41"/>
      <c r="JHR15" s="41"/>
      <c r="JHS15" s="41"/>
      <c r="JHT15" s="41"/>
      <c r="JHU15" s="41"/>
      <c r="JHV15" s="41"/>
      <c r="JHW15" s="41"/>
      <c r="JHX15" s="41"/>
      <c r="JHY15" s="41"/>
      <c r="JHZ15" s="41"/>
      <c r="JIA15" s="41"/>
      <c r="JIB15" s="41"/>
      <c r="JIC15" s="41"/>
      <c r="JID15" s="41"/>
      <c r="JIE15" s="41"/>
      <c r="JIF15" s="41"/>
      <c r="JIG15" s="41"/>
      <c r="JIH15" s="41"/>
      <c r="JII15" s="41"/>
      <c r="JIJ15" s="41"/>
      <c r="JIK15" s="41"/>
      <c r="JIL15" s="41"/>
      <c r="JIM15" s="41"/>
      <c r="JIN15" s="41"/>
      <c r="JIO15" s="41"/>
      <c r="JIP15" s="41"/>
      <c r="JIQ15" s="41"/>
      <c r="JIR15" s="41"/>
      <c r="JIS15" s="41"/>
      <c r="JIT15" s="41"/>
      <c r="JIU15" s="41"/>
      <c r="JIV15" s="41"/>
      <c r="JIW15" s="41"/>
      <c r="JIX15" s="41"/>
      <c r="JIY15" s="41"/>
      <c r="JIZ15" s="41"/>
      <c r="JJA15" s="41"/>
      <c r="JJB15" s="41"/>
      <c r="JJC15" s="41"/>
      <c r="JJD15" s="41"/>
      <c r="JJE15" s="41"/>
      <c r="JJF15" s="41"/>
      <c r="JJG15" s="41"/>
      <c r="JJH15" s="41"/>
      <c r="JJI15" s="41"/>
      <c r="JJJ15" s="41"/>
      <c r="JJK15" s="41"/>
      <c r="JJL15" s="41"/>
      <c r="JJM15" s="41"/>
      <c r="JJN15" s="41"/>
      <c r="JJO15" s="41"/>
      <c r="JJP15" s="41"/>
      <c r="JJQ15" s="41"/>
      <c r="JJR15" s="41"/>
      <c r="JJS15" s="41"/>
      <c r="JJT15" s="41"/>
      <c r="JJU15" s="41"/>
      <c r="JJV15" s="41"/>
      <c r="JJW15" s="41"/>
      <c r="JJX15" s="41"/>
      <c r="JJY15" s="41"/>
      <c r="JJZ15" s="41"/>
      <c r="JKA15" s="41"/>
      <c r="JKB15" s="41"/>
      <c r="JKC15" s="41"/>
      <c r="JKD15" s="41"/>
      <c r="JKE15" s="41"/>
      <c r="JKF15" s="41"/>
      <c r="JKG15" s="41"/>
      <c r="JKH15" s="41"/>
      <c r="JKI15" s="41"/>
      <c r="JKJ15" s="41"/>
      <c r="JKK15" s="41"/>
      <c r="JKL15" s="41"/>
      <c r="JKM15" s="41"/>
      <c r="JKN15" s="41"/>
      <c r="JKO15" s="41"/>
      <c r="JKP15" s="41"/>
      <c r="JKQ15" s="41"/>
      <c r="JKR15" s="41"/>
      <c r="JKS15" s="41"/>
      <c r="JKT15" s="41"/>
      <c r="JKU15" s="41"/>
      <c r="JKV15" s="41"/>
      <c r="JKW15" s="41"/>
      <c r="JKX15" s="41"/>
      <c r="JKY15" s="41"/>
      <c r="JKZ15" s="41"/>
      <c r="JLA15" s="41"/>
      <c r="JLB15" s="41"/>
      <c r="JLC15" s="41"/>
      <c r="JLD15" s="41"/>
      <c r="JLE15" s="41"/>
      <c r="JLF15" s="41"/>
      <c r="JLG15" s="41"/>
      <c r="JLH15" s="41"/>
      <c r="JLI15" s="41"/>
      <c r="JLJ15" s="41"/>
      <c r="JLK15" s="41"/>
      <c r="JLL15" s="41"/>
      <c r="JLM15" s="41"/>
      <c r="JLN15" s="41"/>
      <c r="JLO15" s="41"/>
      <c r="JLP15" s="41"/>
      <c r="JLQ15" s="41"/>
      <c r="JLR15" s="41"/>
      <c r="JLS15" s="41"/>
      <c r="JLT15" s="41"/>
      <c r="JLU15" s="41"/>
      <c r="JLV15" s="41"/>
      <c r="JLW15" s="41"/>
      <c r="JLX15" s="41"/>
      <c r="JLY15" s="41"/>
      <c r="JLZ15" s="41"/>
      <c r="JMA15" s="41"/>
      <c r="JMB15" s="41"/>
      <c r="JMC15" s="41"/>
      <c r="JMD15" s="41"/>
      <c r="JME15" s="41"/>
      <c r="JMF15" s="41"/>
      <c r="JMG15" s="41"/>
      <c r="JMH15" s="41"/>
      <c r="JMI15" s="41"/>
      <c r="JMJ15" s="41"/>
      <c r="JMK15" s="41"/>
      <c r="JML15" s="41"/>
      <c r="JMM15" s="41"/>
      <c r="JMN15" s="41"/>
      <c r="JMO15" s="41"/>
      <c r="JMP15" s="41"/>
      <c r="JMQ15" s="41"/>
      <c r="JMR15" s="41"/>
      <c r="JMS15" s="41"/>
      <c r="JMT15" s="41"/>
      <c r="JMU15" s="41"/>
      <c r="JMV15" s="41"/>
      <c r="JMW15" s="41"/>
      <c r="JMX15" s="41"/>
      <c r="JMY15" s="41"/>
      <c r="JMZ15" s="41"/>
      <c r="JNA15" s="41"/>
      <c r="JNB15" s="41"/>
      <c r="JNC15" s="41"/>
      <c r="JND15" s="41"/>
      <c r="JNE15" s="41"/>
      <c r="JNF15" s="41"/>
      <c r="JNG15" s="41"/>
      <c r="JNH15" s="41"/>
      <c r="JNI15" s="41"/>
      <c r="JNJ15" s="41"/>
      <c r="JNK15" s="41"/>
      <c r="JNL15" s="41"/>
      <c r="JNM15" s="41"/>
      <c r="JNN15" s="41"/>
      <c r="JNO15" s="41"/>
      <c r="JNP15" s="41"/>
      <c r="JNQ15" s="41"/>
      <c r="JNR15" s="41"/>
      <c r="JNS15" s="41"/>
      <c r="JNT15" s="41"/>
      <c r="JNU15" s="41"/>
      <c r="JNV15" s="41"/>
      <c r="JNW15" s="41"/>
      <c r="JNX15" s="41"/>
      <c r="JNY15" s="41"/>
      <c r="JNZ15" s="41"/>
      <c r="JOA15" s="41"/>
      <c r="JOB15" s="41"/>
      <c r="JOC15" s="41"/>
      <c r="JOD15" s="41"/>
      <c r="JOE15" s="41"/>
      <c r="JOF15" s="41"/>
      <c r="JOG15" s="41"/>
      <c r="JOH15" s="41"/>
      <c r="JOI15" s="41"/>
      <c r="JOJ15" s="41"/>
      <c r="JOK15" s="41"/>
      <c r="JOL15" s="41"/>
      <c r="JOM15" s="41"/>
      <c r="JON15" s="41"/>
      <c r="JOO15" s="41"/>
      <c r="JOP15" s="41"/>
      <c r="JOQ15" s="41"/>
      <c r="JOR15" s="41"/>
      <c r="JOS15" s="41"/>
      <c r="JOT15" s="41"/>
      <c r="JOU15" s="41"/>
      <c r="JOV15" s="41"/>
      <c r="JOW15" s="41"/>
      <c r="JOX15" s="41"/>
      <c r="JOY15" s="41"/>
      <c r="JOZ15" s="41"/>
      <c r="JPA15" s="41"/>
      <c r="JPB15" s="41"/>
      <c r="JPC15" s="41"/>
      <c r="JPD15" s="41"/>
      <c r="JPE15" s="41"/>
      <c r="JPF15" s="41"/>
      <c r="JPG15" s="41"/>
      <c r="JPH15" s="41"/>
      <c r="JPI15" s="41"/>
      <c r="JPJ15" s="41"/>
      <c r="JPK15" s="41"/>
      <c r="JPL15" s="41"/>
      <c r="JPM15" s="41"/>
      <c r="JPN15" s="41"/>
      <c r="JPO15" s="41"/>
      <c r="JPP15" s="41"/>
      <c r="JPQ15" s="41"/>
      <c r="JPR15" s="41"/>
      <c r="JPS15" s="41"/>
      <c r="JPT15" s="41"/>
      <c r="JPU15" s="41"/>
      <c r="JPV15" s="41"/>
      <c r="JPW15" s="41"/>
      <c r="JPX15" s="41"/>
      <c r="JPY15" s="41"/>
      <c r="JPZ15" s="41"/>
      <c r="JQA15" s="41"/>
      <c r="JQB15" s="41"/>
      <c r="JQC15" s="41"/>
      <c r="JQD15" s="41"/>
      <c r="JQE15" s="41"/>
      <c r="JQF15" s="41"/>
      <c r="JQG15" s="41"/>
      <c r="JQH15" s="41"/>
      <c r="JQI15" s="41"/>
      <c r="JQJ15" s="41"/>
      <c r="JQK15" s="41"/>
      <c r="JQL15" s="41"/>
      <c r="JQM15" s="41"/>
      <c r="JQN15" s="41"/>
      <c r="JQO15" s="41"/>
      <c r="JQP15" s="41"/>
      <c r="JQQ15" s="41"/>
      <c r="JQR15" s="41"/>
      <c r="JQS15" s="41"/>
      <c r="JQT15" s="41"/>
      <c r="JQU15" s="41"/>
      <c r="JQV15" s="41"/>
      <c r="JQW15" s="41"/>
      <c r="JQX15" s="41"/>
      <c r="JQY15" s="41"/>
      <c r="JQZ15" s="41"/>
      <c r="JRA15" s="41"/>
      <c r="JRB15" s="41"/>
      <c r="JRC15" s="41"/>
      <c r="JRD15" s="41"/>
      <c r="JRE15" s="41"/>
      <c r="JRF15" s="41"/>
      <c r="JRG15" s="41"/>
      <c r="JRH15" s="41"/>
      <c r="JRI15" s="41"/>
      <c r="JRJ15" s="41"/>
      <c r="JRK15" s="41"/>
      <c r="JRL15" s="41"/>
      <c r="JRM15" s="41"/>
      <c r="JRN15" s="41"/>
      <c r="JRO15" s="41"/>
      <c r="JRP15" s="41"/>
      <c r="JRQ15" s="41"/>
      <c r="JRR15" s="41"/>
      <c r="JRS15" s="41"/>
      <c r="JRT15" s="41"/>
      <c r="JRU15" s="41"/>
      <c r="JRV15" s="41"/>
      <c r="JRW15" s="41"/>
      <c r="JRX15" s="41"/>
      <c r="JRY15" s="41"/>
      <c r="JRZ15" s="41"/>
      <c r="JSA15" s="41"/>
      <c r="JSB15" s="41"/>
      <c r="JSC15" s="41"/>
      <c r="JSD15" s="41"/>
      <c r="JSE15" s="41"/>
      <c r="JSF15" s="41"/>
      <c r="JSG15" s="41"/>
      <c r="JSH15" s="41"/>
      <c r="JSI15" s="41"/>
      <c r="JSJ15" s="41"/>
      <c r="JSK15" s="41"/>
      <c r="JSL15" s="41"/>
      <c r="JSM15" s="41"/>
      <c r="JSN15" s="41"/>
      <c r="JSO15" s="41"/>
      <c r="JSP15" s="41"/>
      <c r="JSQ15" s="41"/>
      <c r="JSR15" s="41"/>
      <c r="JSS15" s="41"/>
      <c r="JST15" s="41"/>
      <c r="JSU15" s="41"/>
      <c r="JSV15" s="41"/>
      <c r="JSW15" s="41"/>
      <c r="JSX15" s="41"/>
      <c r="JSY15" s="41"/>
      <c r="JSZ15" s="41"/>
      <c r="JTA15" s="41"/>
      <c r="JTB15" s="41"/>
      <c r="JTC15" s="41"/>
      <c r="JTD15" s="41"/>
      <c r="JTE15" s="41"/>
      <c r="JTF15" s="41"/>
      <c r="JTG15" s="41"/>
      <c r="JTH15" s="41"/>
      <c r="JTI15" s="41"/>
      <c r="JTJ15" s="41"/>
      <c r="JTK15" s="41"/>
      <c r="JTL15" s="41"/>
      <c r="JTM15" s="41"/>
      <c r="JTN15" s="41"/>
      <c r="JTO15" s="41"/>
      <c r="JTP15" s="41"/>
      <c r="JTQ15" s="41"/>
      <c r="JTR15" s="41"/>
      <c r="JTS15" s="41"/>
      <c r="JTT15" s="41"/>
      <c r="JTU15" s="41"/>
      <c r="JTV15" s="41"/>
      <c r="JTW15" s="41"/>
      <c r="JTX15" s="41"/>
      <c r="JTY15" s="41"/>
      <c r="JTZ15" s="41"/>
      <c r="JUA15" s="41"/>
      <c r="JUB15" s="41"/>
      <c r="JUC15" s="41"/>
      <c r="JUD15" s="41"/>
      <c r="JUE15" s="41"/>
      <c r="JUF15" s="41"/>
      <c r="JUG15" s="41"/>
      <c r="JUH15" s="41"/>
      <c r="JUI15" s="41"/>
      <c r="JUJ15" s="41"/>
      <c r="JUK15" s="41"/>
      <c r="JUL15" s="41"/>
      <c r="JUM15" s="41"/>
      <c r="JUN15" s="41"/>
      <c r="JUO15" s="41"/>
      <c r="JUP15" s="41"/>
      <c r="JUQ15" s="41"/>
      <c r="JUR15" s="41"/>
      <c r="JUS15" s="41"/>
      <c r="JUT15" s="41"/>
      <c r="JUU15" s="41"/>
      <c r="JUV15" s="41"/>
      <c r="JUW15" s="41"/>
      <c r="JUX15" s="41"/>
      <c r="JUY15" s="41"/>
      <c r="JUZ15" s="41"/>
      <c r="JVA15" s="41"/>
      <c r="JVB15" s="41"/>
      <c r="JVC15" s="41"/>
      <c r="JVD15" s="41"/>
      <c r="JVE15" s="41"/>
      <c r="JVF15" s="41"/>
      <c r="JVG15" s="41"/>
      <c r="JVH15" s="41"/>
      <c r="JVI15" s="41"/>
      <c r="JVJ15" s="41"/>
      <c r="JVK15" s="41"/>
      <c r="JVL15" s="41"/>
      <c r="JVM15" s="41"/>
      <c r="JVN15" s="41"/>
      <c r="JVO15" s="41"/>
      <c r="JVP15" s="41"/>
      <c r="JVQ15" s="41"/>
      <c r="JVR15" s="41"/>
      <c r="JVS15" s="41"/>
      <c r="JVT15" s="41"/>
      <c r="JVU15" s="41"/>
      <c r="JVV15" s="41"/>
      <c r="JVW15" s="41"/>
      <c r="JVX15" s="41"/>
      <c r="JVY15" s="41"/>
      <c r="JVZ15" s="41"/>
      <c r="JWA15" s="41"/>
      <c r="JWB15" s="41"/>
      <c r="JWC15" s="41"/>
      <c r="JWD15" s="41"/>
      <c r="JWE15" s="41"/>
      <c r="JWF15" s="41"/>
      <c r="JWG15" s="41"/>
      <c r="JWH15" s="41"/>
      <c r="JWI15" s="41"/>
      <c r="JWJ15" s="41"/>
      <c r="JWK15" s="41"/>
      <c r="JWL15" s="41"/>
      <c r="JWM15" s="41"/>
      <c r="JWN15" s="41"/>
      <c r="JWO15" s="41"/>
      <c r="JWP15" s="41"/>
      <c r="JWQ15" s="41"/>
      <c r="JWR15" s="41"/>
      <c r="JWS15" s="41"/>
      <c r="JWT15" s="41"/>
      <c r="JWU15" s="41"/>
      <c r="JWV15" s="41"/>
      <c r="JWW15" s="41"/>
      <c r="JWX15" s="41"/>
      <c r="JWY15" s="41"/>
      <c r="JWZ15" s="41"/>
      <c r="JXA15" s="41"/>
      <c r="JXB15" s="41"/>
      <c r="JXC15" s="41"/>
      <c r="JXD15" s="41"/>
      <c r="JXE15" s="41"/>
      <c r="JXF15" s="41"/>
      <c r="JXG15" s="41"/>
      <c r="JXH15" s="41"/>
      <c r="JXI15" s="41"/>
      <c r="JXJ15" s="41"/>
      <c r="JXK15" s="41"/>
      <c r="JXL15" s="41"/>
      <c r="JXM15" s="41"/>
      <c r="JXN15" s="41"/>
      <c r="JXO15" s="41"/>
      <c r="JXP15" s="41"/>
      <c r="JXQ15" s="41"/>
      <c r="JXR15" s="41"/>
      <c r="JXS15" s="41"/>
      <c r="JXT15" s="41"/>
      <c r="JXU15" s="41"/>
      <c r="JXV15" s="41"/>
      <c r="JXW15" s="41"/>
      <c r="JXX15" s="41"/>
      <c r="JXY15" s="41"/>
      <c r="JXZ15" s="41"/>
      <c r="JYA15" s="41"/>
      <c r="JYB15" s="41"/>
      <c r="JYC15" s="41"/>
      <c r="JYD15" s="41"/>
      <c r="JYE15" s="41"/>
      <c r="JYF15" s="41"/>
      <c r="JYG15" s="41"/>
      <c r="JYH15" s="41"/>
      <c r="JYI15" s="41"/>
      <c r="JYJ15" s="41"/>
      <c r="JYK15" s="41"/>
      <c r="JYL15" s="41"/>
      <c r="JYM15" s="41"/>
      <c r="JYN15" s="41"/>
      <c r="JYO15" s="41"/>
      <c r="JYP15" s="41"/>
      <c r="JYQ15" s="41"/>
      <c r="JYR15" s="41"/>
      <c r="JYS15" s="41"/>
      <c r="JYT15" s="41"/>
      <c r="JYU15" s="41"/>
      <c r="JYV15" s="41"/>
      <c r="JYW15" s="41"/>
      <c r="JYX15" s="41"/>
      <c r="JYY15" s="41"/>
      <c r="JYZ15" s="41"/>
      <c r="JZA15" s="41"/>
      <c r="JZB15" s="41"/>
      <c r="JZC15" s="41"/>
      <c r="JZD15" s="41"/>
      <c r="JZE15" s="41"/>
      <c r="JZF15" s="41"/>
      <c r="JZG15" s="41"/>
      <c r="JZH15" s="41"/>
      <c r="JZI15" s="41"/>
      <c r="JZJ15" s="41"/>
      <c r="JZK15" s="41"/>
      <c r="JZL15" s="41"/>
      <c r="JZM15" s="41"/>
      <c r="JZN15" s="41"/>
      <c r="JZO15" s="41"/>
      <c r="JZP15" s="41"/>
      <c r="JZQ15" s="41"/>
      <c r="JZR15" s="41"/>
      <c r="JZS15" s="41"/>
      <c r="JZT15" s="41"/>
      <c r="JZU15" s="41"/>
      <c r="JZV15" s="41"/>
      <c r="JZW15" s="41"/>
      <c r="JZX15" s="41"/>
      <c r="JZY15" s="41"/>
      <c r="JZZ15" s="41"/>
      <c r="KAA15" s="41"/>
      <c r="KAB15" s="41"/>
      <c r="KAC15" s="41"/>
      <c r="KAD15" s="41"/>
      <c r="KAE15" s="41"/>
      <c r="KAF15" s="41"/>
      <c r="KAG15" s="41"/>
      <c r="KAH15" s="41"/>
      <c r="KAI15" s="41"/>
      <c r="KAJ15" s="41"/>
      <c r="KAK15" s="41"/>
      <c r="KAL15" s="41"/>
      <c r="KAM15" s="41"/>
      <c r="KAN15" s="41"/>
      <c r="KAO15" s="41"/>
      <c r="KAP15" s="41"/>
      <c r="KAQ15" s="41"/>
      <c r="KAR15" s="41"/>
      <c r="KAS15" s="41"/>
      <c r="KAT15" s="41"/>
      <c r="KAU15" s="41"/>
      <c r="KAV15" s="41"/>
      <c r="KAW15" s="41"/>
      <c r="KAX15" s="41"/>
      <c r="KAY15" s="41"/>
      <c r="KAZ15" s="41"/>
      <c r="KBA15" s="41"/>
      <c r="KBB15" s="41"/>
      <c r="KBC15" s="41"/>
      <c r="KBD15" s="41"/>
      <c r="KBE15" s="41"/>
      <c r="KBF15" s="41"/>
      <c r="KBG15" s="41"/>
      <c r="KBH15" s="41"/>
      <c r="KBI15" s="41"/>
      <c r="KBJ15" s="41"/>
      <c r="KBK15" s="41"/>
      <c r="KBL15" s="41"/>
      <c r="KBM15" s="41"/>
      <c r="KBN15" s="41"/>
      <c r="KBO15" s="41"/>
      <c r="KBP15" s="41"/>
      <c r="KBQ15" s="41"/>
      <c r="KBR15" s="41"/>
      <c r="KBS15" s="41"/>
      <c r="KBT15" s="41"/>
      <c r="KBU15" s="41"/>
      <c r="KBV15" s="41"/>
      <c r="KBW15" s="41"/>
      <c r="KBX15" s="41"/>
      <c r="KBY15" s="41"/>
      <c r="KBZ15" s="41"/>
      <c r="KCA15" s="41"/>
      <c r="KCB15" s="41"/>
      <c r="KCC15" s="41"/>
      <c r="KCD15" s="41"/>
      <c r="KCE15" s="41"/>
      <c r="KCF15" s="41"/>
      <c r="KCG15" s="41"/>
      <c r="KCH15" s="41"/>
      <c r="KCI15" s="41"/>
      <c r="KCJ15" s="41"/>
      <c r="KCK15" s="41"/>
      <c r="KCL15" s="41"/>
      <c r="KCM15" s="41"/>
      <c r="KCN15" s="41"/>
      <c r="KCO15" s="41"/>
      <c r="KCP15" s="41"/>
      <c r="KCQ15" s="41"/>
      <c r="KCR15" s="41"/>
      <c r="KCS15" s="41"/>
      <c r="KCT15" s="41"/>
      <c r="KCU15" s="41"/>
      <c r="KCV15" s="41"/>
      <c r="KCW15" s="41"/>
      <c r="KCX15" s="41"/>
      <c r="KCY15" s="41"/>
      <c r="KCZ15" s="41"/>
      <c r="KDA15" s="41"/>
      <c r="KDB15" s="41"/>
      <c r="KDC15" s="41"/>
      <c r="KDD15" s="41"/>
      <c r="KDE15" s="41"/>
      <c r="KDF15" s="41"/>
      <c r="KDG15" s="41"/>
      <c r="KDH15" s="41"/>
      <c r="KDI15" s="41"/>
      <c r="KDJ15" s="41"/>
      <c r="KDK15" s="41"/>
      <c r="KDL15" s="41"/>
      <c r="KDM15" s="41"/>
      <c r="KDN15" s="41"/>
      <c r="KDO15" s="41"/>
      <c r="KDP15" s="41"/>
      <c r="KDQ15" s="41"/>
      <c r="KDR15" s="41"/>
      <c r="KDS15" s="41"/>
      <c r="KDT15" s="41"/>
      <c r="KDU15" s="41"/>
      <c r="KDV15" s="41"/>
      <c r="KDW15" s="41"/>
      <c r="KDX15" s="41"/>
      <c r="KDY15" s="41"/>
      <c r="KDZ15" s="41"/>
      <c r="KEA15" s="41"/>
      <c r="KEB15" s="41"/>
      <c r="KEC15" s="41"/>
      <c r="KED15" s="41"/>
      <c r="KEE15" s="41"/>
      <c r="KEF15" s="41"/>
      <c r="KEG15" s="41"/>
      <c r="KEH15" s="41"/>
      <c r="KEI15" s="41"/>
      <c r="KEJ15" s="41"/>
      <c r="KEK15" s="41"/>
      <c r="KEL15" s="41"/>
      <c r="KEM15" s="41"/>
      <c r="KEN15" s="41"/>
      <c r="KEO15" s="41"/>
      <c r="KEP15" s="41"/>
      <c r="KEQ15" s="41"/>
      <c r="KER15" s="41"/>
      <c r="KES15" s="41"/>
      <c r="KET15" s="41"/>
      <c r="KEU15" s="41"/>
      <c r="KEV15" s="41"/>
      <c r="KEW15" s="41"/>
      <c r="KEX15" s="41"/>
      <c r="KEY15" s="41"/>
      <c r="KEZ15" s="41"/>
      <c r="KFA15" s="41"/>
      <c r="KFB15" s="41"/>
      <c r="KFC15" s="41"/>
      <c r="KFD15" s="41"/>
      <c r="KFE15" s="41"/>
      <c r="KFF15" s="41"/>
      <c r="KFG15" s="41"/>
      <c r="KFH15" s="41"/>
      <c r="KFI15" s="41"/>
      <c r="KFJ15" s="41"/>
      <c r="KFK15" s="41"/>
      <c r="KFL15" s="41"/>
      <c r="KFM15" s="41"/>
      <c r="KFN15" s="41"/>
      <c r="KFO15" s="41"/>
      <c r="KFP15" s="41"/>
      <c r="KFQ15" s="41"/>
      <c r="KFR15" s="41"/>
      <c r="KFS15" s="41"/>
      <c r="KFT15" s="41"/>
      <c r="KFU15" s="41"/>
      <c r="KFV15" s="41"/>
      <c r="KFW15" s="41"/>
      <c r="KFX15" s="41"/>
      <c r="KFY15" s="41"/>
      <c r="KFZ15" s="41"/>
      <c r="KGA15" s="41"/>
      <c r="KGB15" s="41"/>
      <c r="KGC15" s="41"/>
      <c r="KGD15" s="41"/>
      <c r="KGE15" s="41"/>
      <c r="KGF15" s="41"/>
      <c r="KGG15" s="41"/>
      <c r="KGH15" s="41"/>
      <c r="KGI15" s="41"/>
      <c r="KGJ15" s="41"/>
      <c r="KGK15" s="41"/>
      <c r="KGL15" s="41"/>
      <c r="KGM15" s="41"/>
      <c r="KGN15" s="41"/>
      <c r="KGO15" s="41"/>
      <c r="KGP15" s="41"/>
      <c r="KGQ15" s="41"/>
      <c r="KGR15" s="41"/>
      <c r="KGS15" s="41"/>
      <c r="KGT15" s="41"/>
      <c r="KGU15" s="41"/>
      <c r="KGV15" s="41"/>
      <c r="KGW15" s="41"/>
      <c r="KGX15" s="41"/>
      <c r="KGY15" s="41"/>
      <c r="KGZ15" s="41"/>
      <c r="KHA15" s="41"/>
      <c r="KHB15" s="41"/>
      <c r="KHC15" s="41"/>
      <c r="KHD15" s="41"/>
      <c r="KHE15" s="41"/>
      <c r="KHF15" s="41"/>
      <c r="KHG15" s="41"/>
      <c r="KHH15" s="41"/>
      <c r="KHI15" s="41"/>
      <c r="KHJ15" s="41"/>
      <c r="KHK15" s="41"/>
      <c r="KHL15" s="41"/>
      <c r="KHM15" s="41"/>
      <c r="KHN15" s="41"/>
      <c r="KHO15" s="41"/>
      <c r="KHP15" s="41"/>
      <c r="KHQ15" s="41"/>
      <c r="KHR15" s="41"/>
      <c r="KHS15" s="41"/>
      <c r="KHT15" s="41"/>
      <c r="KHU15" s="41"/>
      <c r="KHV15" s="41"/>
      <c r="KHW15" s="41"/>
      <c r="KHX15" s="41"/>
      <c r="KHY15" s="41"/>
      <c r="KHZ15" s="41"/>
      <c r="KIA15" s="41"/>
      <c r="KIB15" s="41"/>
      <c r="KIC15" s="41"/>
      <c r="KID15" s="41"/>
      <c r="KIE15" s="41"/>
      <c r="KIF15" s="41"/>
      <c r="KIG15" s="41"/>
      <c r="KIH15" s="41"/>
      <c r="KII15" s="41"/>
      <c r="KIJ15" s="41"/>
      <c r="KIK15" s="41"/>
      <c r="KIL15" s="41"/>
      <c r="KIM15" s="41"/>
      <c r="KIN15" s="41"/>
      <c r="KIO15" s="41"/>
      <c r="KIP15" s="41"/>
      <c r="KIQ15" s="41"/>
      <c r="KIR15" s="41"/>
      <c r="KIS15" s="41"/>
      <c r="KIT15" s="41"/>
      <c r="KIU15" s="41"/>
      <c r="KIV15" s="41"/>
      <c r="KIW15" s="41"/>
      <c r="KIX15" s="41"/>
      <c r="KIY15" s="41"/>
      <c r="KIZ15" s="41"/>
      <c r="KJA15" s="41"/>
      <c r="KJB15" s="41"/>
      <c r="KJC15" s="41"/>
      <c r="KJD15" s="41"/>
      <c r="KJE15" s="41"/>
      <c r="KJF15" s="41"/>
      <c r="KJG15" s="41"/>
      <c r="KJH15" s="41"/>
      <c r="KJI15" s="41"/>
      <c r="KJJ15" s="41"/>
      <c r="KJK15" s="41"/>
      <c r="KJL15" s="41"/>
      <c r="KJM15" s="41"/>
      <c r="KJN15" s="41"/>
      <c r="KJO15" s="41"/>
      <c r="KJP15" s="41"/>
      <c r="KJQ15" s="41"/>
      <c r="KJR15" s="41"/>
      <c r="KJS15" s="41"/>
      <c r="KJT15" s="41"/>
      <c r="KJU15" s="41"/>
      <c r="KJV15" s="41"/>
      <c r="KJW15" s="41"/>
      <c r="KJX15" s="41"/>
      <c r="KJY15" s="41"/>
      <c r="KJZ15" s="41"/>
      <c r="KKA15" s="41"/>
      <c r="KKB15" s="41"/>
      <c r="KKC15" s="41"/>
      <c r="KKD15" s="41"/>
      <c r="KKE15" s="41"/>
      <c r="KKF15" s="41"/>
      <c r="KKG15" s="41"/>
      <c r="KKH15" s="41"/>
      <c r="KKI15" s="41"/>
      <c r="KKJ15" s="41"/>
      <c r="KKK15" s="41"/>
      <c r="KKL15" s="41"/>
      <c r="KKM15" s="41"/>
      <c r="KKN15" s="41"/>
      <c r="KKO15" s="41"/>
      <c r="KKP15" s="41"/>
      <c r="KKQ15" s="41"/>
      <c r="KKR15" s="41"/>
      <c r="KKS15" s="41"/>
      <c r="KKT15" s="41"/>
      <c r="KKU15" s="41"/>
      <c r="KKV15" s="41"/>
      <c r="KKW15" s="41"/>
      <c r="KKX15" s="41"/>
      <c r="KKY15" s="41"/>
      <c r="KKZ15" s="41"/>
      <c r="KLA15" s="41"/>
      <c r="KLB15" s="41"/>
      <c r="KLC15" s="41"/>
      <c r="KLD15" s="41"/>
      <c r="KLE15" s="41"/>
      <c r="KLF15" s="41"/>
      <c r="KLG15" s="41"/>
      <c r="KLH15" s="41"/>
      <c r="KLI15" s="41"/>
      <c r="KLJ15" s="41"/>
      <c r="KLK15" s="41"/>
      <c r="KLL15" s="41"/>
      <c r="KLM15" s="41"/>
      <c r="KLN15" s="41"/>
      <c r="KLO15" s="41"/>
      <c r="KLP15" s="41"/>
      <c r="KLQ15" s="41"/>
      <c r="KLR15" s="41"/>
      <c r="KLS15" s="41"/>
      <c r="KLT15" s="41"/>
      <c r="KLU15" s="41"/>
      <c r="KLV15" s="41"/>
      <c r="KLW15" s="41"/>
      <c r="KLX15" s="41"/>
      <c r="KLY15" s="41"/>
      <c r="KLZ15" s="41"/>
      <c r="KMA15" s="41"/>
      <c r="KMB15" s="41"/>
      <c r="KMC15" s="41"/>
      <c r="KMD15" s="41"/>
      <c r="KME15" s="41"/>
      <c r="KMF15" s="41"/>
      <c r="KMG15" s="41"/>
      <c r="KMH15" s="41"/>
      <c r="KMI15" s="41"/>
      <c r="KMJ15" s="41"/>
      <c r="KMK15" s="41"/>
      <c r="KML15" s="41"/>
      <c r="KMM15" s="41"/>
      <c r="KMN15" s="41"/>
      <c r="KMO15" s="41"/>
      <c r="KMP15" s="41"/>
      <c r="KMQ15" s="41"/>
      <c r="KMR15" s="41"/>
      <c r="KMS15" s="41"/>
      <c r="KMT15" s="41"/>
      <c r="KMU15" s="41"/>
      <c r="KMV15" s="41"/>
      <c r="KMW15" s="41"/>
      <c r="KMX15" s="41"/>
      <c r="KMY15" s="41"/>
      <c r="KMZ15" s="41"/>
      <c r="KNA15" s="41"/>
      <c r="KNB15" s="41"/>
      <c r="KNC15" s="41"/>
      <c r="KND15" s="41"/>
      <c r="KNE15" s="41"/>
      <c r="KNF15" s="41"/>
      <c r="KNG15" s="41"/>
      <c r="KNH15" s="41"/>
      <c r="KNI15" s="41"/>
      <c r="KNJ15" s="41"/>
      <c r="KNK15" s="41"/>
      <c r="KNL15" s="41"/>
      <c r="KNM15" s="41"/>
      <c r="KNN15" s="41"/>
      <c r="KNO15" s="41"/>
      <c r="KNP15" s="41"/>
      <c r="KNQ15" s="41"/>
      <c r="KNR15" s="41"/>
      <c r="KNS15" s="41"/>
      <c r="KNT15" s="41"/>
      <c r="KNU15" s="41"/>
      <c r="KNV15" s="41"/>
      <c r="KNW15" s="41"/>
      <c r="KNX15" s="41"/>
      <c r="KNY15" s="41"/>
      <c r="KNZ15" s="41"/>
      <c r="KOA15" s="41"/>
      <c r="KOB15" s="41"/>
      <c r="KOC15" s="41"/>
      <c r="KOD15" s="41"/>
      <c r="KOE15" s="41"/>
      <c r="KOF15" s="41"/>
      <c r="KOG15" s="41"/>
      <c r="KOH15" s="41"/>
      <c r="KOI15" s="41"/>
      <c r="KOJ15" s="41"/>
      <c r="KOK15" s="41"/>
      <c r="KOL15" s="41"/>
      <c r="KOM15" s="41"/>
      <c r="KON15" s="41"/>
      <c r="KOO15" s="41"/>
      <c r="KOP15" s="41"/>
      <c r="KOQ15" s="41"/>
      <c r="KOR15" s="41"/>
      <c r="KOS15" s="41"/>
      <c r="KOT15" s="41"/>
      <c r="KOU15" s="41"/>
      <c r="KOV15" s="41"/>
      <c r="KOW15" s="41"/>
      <c r="KOX15" s="41"/>
      <c r="KOY15" s="41"/>
      <c r="KOZ15" s="41"/>
      <c r="KPA15" s="41"/>
      <c r="KPB15" s="41"/>
      <c r="KPC15" s="41"/>
      <c r="KPD15" s="41"/>
      <c r="KPE15" s="41"/>
      <c r="KPF15" s="41"/>
      <c r="KPG15" s="41"/>
      <c r="KPH15" s="41"/>
      <c r="KPI15" s="41"/>
      <c r="KPJ15" s="41"/>
      <c r="KPK15" s="41"/>
      <c r="KPL15" s="41"/>
      <c r="KPM15" s="41"/>
      <c r="KPN15" s="41"/>
      <c r="KPO15" s="41"/>
      <c r="KPP15" s="41"/>
      <c r="KPQ15" s="41"/>
      <c r="KPR15" s="41"/>
      <c r="KPS15" s="41"/>
      <c r="KPT15" s="41"/>
      <c r="KPU15" s="41"/>
      <c r="KPV15" s="41"/>
      <c r="KPW15" s="41"/>
      <c r="KPX15" s="41"/>
      <c r="KPY15" s="41"/>
      <c r="KPZ15" s="41"/>
      <c r="KQA15" s="41"/>
      <c r="KQB15" s="41"/>
      <c r="KQC15" s="41"/>
      <c r="KQD15" s="41"/>
      <c r="KQE15" s="41"/>
      <c r="KQF15" s="41"/>
      <c r="KQG15" s="41"/>
      <c r="KQH15" s="41"/>
      <c r="KQI15" s="41"/>
      <c r="KQJ15" s="41"/>
      <c r="KQK15" s="41"/>
      <c r="KQL15" s="41"/>
      <c r="KQM15" s="41"/>
      <c r="KQN15" s="41"/>
      <c r="KQO15" s="41"/>
      <c r="KQP15" s="41"/>
      <c r="KQQ15" s="41"/>
      <c r="KQR15" s="41"/>
      <c r="KQS15" s="41"/>
      <c r="KQT15" s="41"/>
      <c r="KQU15" s="41"/>
      <c r="KQV15" s="41"/>
      <c r="KQW15" s="41"/>
      <c r="KQX15" s="41"/>
      <c r="KQY15" s="41"/>
      <c r="KQZ15" s="41"/>
      <c r="KRA15" s="41"/>
      <c r="KRB15" s="41"/>
      <c r="KRC15" s="41"/>
      <c r="KRD15" s="41"/>
      <c r="KRE15" s="41"/>
      <c r="KRF15" s="41"/>
      <c r="KRG15" s="41"/>
      <c r="KRH15" s="41"/>
      <c r="KRI15" s="41"/>
      <c r="KRJ15" s="41"/>
      <c r="KRK15" s="41"/>
      <c r="KRL15" s="41"/>
      <c r="KRM15" s="41"/>
      <c r="KRN15" s="41"/>
      <c r="KRO15" s="41"/>
      <c r="KRP15" s="41"/>
      <c r="KRQ15" s="41"/>
      <c r="KRR15" s="41"/>
      <c r="KRS15" s="41"/>
      <c r="KRT15" s="41"/>
      <c r="KRU15" s="41"/>
      <c r="KRV15" s="41"/>
      <c r="KRW15" s="41"/>
      <c r="KRX15" s="41"/>
      <c r="KRY15" s="41"/>
      <c r="KRZ15" s="41"/>
      <c r="KSA15" s="41"/>
      <c r="KSB15" s="41"/>
      <c r="KSC15" s="41"/>
      <c r="KSD15" s="41"/>
      <c r="KSE15" s="41"/>
      <c r="KSF15" s="41"/>
      <c r="KSG15" s="41"/>
      <c r="KSH15" s="41"/>
      <c r="KSI15" s="41"/>
      <c r="KSJ15" s="41"/>
      <c r="KSK15" s="41"/>
      <c r="KSL15" s="41"/>
      <c r="KSM15" s="41"/>
      <c r="KSN15" s="41"/>
      <c r="KSO15" s="41"/>
      <c r="KSP15" s="41"/>
      <c r="KSQ15" s="41"/>
      <c r="KSR15" s="41"/>
      <c r="KSS15" s="41"/>
      <c r="KST15" s="41"/>
      <c r="KSU15" s="41"/>
      <c r="KSV15" s="41"/>
      <c r="KSW15" s="41"/>
      <c r="KSX15" s="41"/>
      <c r="KSY15" s="41"/>
      <c r="KSZ15" s="41"/>
      <c r="KTA15" s="41"/>
      <c r="KTB15" s="41"/>
      <c r="KTC15" s="41"/>
      <c r="KTD15" s="41"/>
      <c r="KTE15" s="41"/>
      <c r="KTF15" s="41"/>
      <c r="KTG15" s="41"/>
      <c r="KTH15" s="41"/>
      <c r="KTI15" s="41"/>
      <c r="KTJ15" s="41"/>
      <c r="KTK15" s="41"/>
      <c r="KTL15" s="41"/>
      <c r="KTM15" s="41"/>
      <c r="KTN15" s="41"/>
      <c r="KTO15" s="41"/>
      <c r="KTP15" s="41"/>
      <c r="KTQ15" s="41"/>
      <c r="KTR15" s="41"/>
      <c r="KTS15" s="41"/>
      <c r="KTT15" s="41"/>
      <c r="KTU15" s="41"/>
      <c r="KTV15" s="41"/>
      <c r="KTW15" s="41"/>
      <c r="KTX15" s="41"/>
      <c r="KTY15" s="41"/>
      <c r="KTZ15" s="41"/>
      <c r="KUA15" s="41"/>
      <c r="KUB15" s="41"/>
      <c r="KUC15" s="41"/>
      <c r="KUD15" s="41"/>
      <c r="KUE15" s="41"/>
      <c r="KUF15" s="41"/>
      <c r="KUG15" s="41"/>
      <c r="KUH15" s="41"/>
      <c r="KUI15" s="41"/>
      <c r="KUJ15" s="41"/>
      <c r="KUK15" s="41"/>
      <c r="KUL15" s="41"/>
      <c r="KUM15" s="41"/>
      <c r="KUN15" s="41"/>
      <c r="KUO15" s="41"/>
      <c r="KUP15" s="41"/>
      <c r="KUQ15" s="41"/>
      <c r="KUR15" s="41"/>
      <c r="KUS15" s="41"/>
      <c r="KUT15" s="41"/>
      <c r="KUU15" s="41"/>
      <c r="KUV15" s="41"/>
      <c r="KUW15" s="41"/>
      <c r="KUX15" s="41"/>
      <c r="KUY15" s="41"/>
      <c r="KUZ15" s="41"/>
      <c r="KVA15" s="41"/>
      <c r="KVB15" s="41"/>
      <c r="KVC15" s="41"/>
      <c r="KVD15" s="41"/>
      <c r="KVE15" s="41"/>
      <c r="KVF15" s="41"/>
      <c r="KVG15" s="41"/>
      <c r="KVH15" s="41"/>
      <c r="KVI15" s="41"/>
      <c r="KVJ15" s="41"/>
      <c r="KVK15" s="41"/>
      <c r="KVL15" s="41"/>
      <c r="KVM15" s="41"/>
      <c r="KVN15" s="41"/>
      <c r="KVO15" s="41"/>
      <c r="KVP15" s="41"/>
      <c r="KVQ15" s="41"/>
      <c r="KVR15" s="41"/>
      <c r="KVS15" s="41"/>
      <c r="KVT15" s="41"/>
      <c r="KVU15" s="41"/>
      <c r="KVV15" s="41"/>
      <c r="KVW15" s="41"/>
      <c r="KVX15" s="41"/>
      <c r="KVY15" s="41"/>
      <c r="KVZ15" s="41"/>
      <c r="KWA15" s="41"/>
      <c r="KWB15" s="41"/>
      <c r="KWC15" s="41"/>
      <c r="KWD15" s="41"/>
      <c r="KWE15" s="41"/>
      <c r="KWF15" s="41"/>
      <c r="KWG15" s="41"/>
      <c r="KWH15" s="41"/>
      <c r="KWI15" s="41"/>
      <c r="KWJ15" s="41"/>
      <c r="KWK15" s="41"/>
      <c r="KWL15" s="41"/>
      <c r="KWM15" s="41"/>
      <c r="KWN15" s="41"/>
      <c r="KWO15" s="41"/>
      <c r="KWP15" s="41"/>
      <c r="KWQ15" s="41"/>
      <c r="KWR15" s="41"/>
      <c r="KWS15" s="41"/>
      <c r="KWT15" s="41"/>
      <c r="KWU15" s="41"/>
      <c r="KWV15" s="41"/>
      <c r="KWW15" s="41"/>
      <c r="KWX15" s="41"/>
      <c r="KWY15" s="41"/>
      <c r="KWZ15" s="41"/>
      <c r="KXA15" s="41"/>
      <c r="KXB15" s="41"/>
      <c r="KXC15" s="41"/>
      <c r="KXD15" s="41"/>
      <c r="KXE15" s="41"/>
      <c r="KXF15" s="41"/>
      <c r="KXG15" s="41"/>
      <c r="KXH15" s="41"/>
      <c r="KXI15" s="41"/>
      <c r="KXJ15" s="41"/>
      <c r="KXK15" s="41"/>
      <c r="KXL15" s="41"/>
      <c r="KXM15" s="41"/>
      <c r="KXN15" s="41"/>
      <c r="KXO15" s="41"/>
      <c r="KXP15" s="41"/>
      <c r="KXQ15" s="41"/>
      <c r="KXR15" s="41"/>
      <c r="KXS15" s="41"/>
      <c r="KXT15" s="41"/>
      <c r="KXU15" s="41"/>
      <c r="KXV15" s="41"/>
      <c r="KXW15" s="41"/>
      <c r="KXX15" s="41"/>
      <c r="KXY15" s="41"/>
      <c r="KXZ15" s="41"/>
      <c r="KYA15" s="41"/>
      <c r="KYB15" s="41"/>
      <c r="KYC15" s="41"/>
      <c r="KYD15" s="41"/>
      <c r="KYE15" s="41"/>
      <c r="KYF15" s="41"/>
      <c r="KYG15" s="41"/>
      <c r="KYH15" s="41"/>
      <c r="KYI15" s="41"/>
      <c r="KYJ15" s="41"/>
      <c r="KYK15" s="41"/>
      <c r="KYL15" s="41"/>
      <c r="KYM15" s="41"/>
      <c r="KYN15" s="41"/>
      <c r="KYO15" s="41"/>
      <c r="KYP15" s="41"/>
      <c r="KYQ15" s="41"/>
      <c r="KYR15" s="41"/>
      <c r="KYS15" s="41"/>
      <c r="KYT15" s="41"/>
      <c r="KYU15" s="41"/>
      <c r="KYV15" s="41"/>
      <c r="KYW15" s="41"/>
      <c r="KYX15" s="41"/>
      <c r="KYY15" s="41"/>
      <c r="KYZ15" s="41"/>
      <c r="KZA15" s="41"/>
      <c r="KZB15" s="41"/>
      <c r="KZC15" s="41"/>
      <c r="KZD15" s="41"/>
      <c r="KZE15" s="41"/>
      <c r="KZF15" s="41"/>
      <c r="KZG15" s="41"/>
      <c r="KZH15" s="41"/>
      <c r="KZI15" s="41"/>
      <c r="KZJ15" s="41"/>
      <c r="KZK15" s="41"/>
      <c r="KZL15" s="41"/>
      <c r="KZM15" s="41"/>
      <c r="KZN15" s="41"/>
      <c r="KZO15" s="41"/>
      <c r="KZP15" s="41"/>
      <c r="KZQ15" s="41"/>
      <c r="KZR15" s="41"/>
      <c r="KZS15" s="41"/>
      <c r="KZT15" s="41"/>
      <c r="KZU15" s="41"/>
      <c r="KZV15" s="41"/>
      <c r="KZW15" s="41"/>
      <c r="KZX15" s="41"/>
      <c r="KZY15" s="41"/>
      <c r="KZZ15" s="41"/>
      <c r="LAA15" s="41"/>
      <c r="LAB15" s="41"/>
      <c r="LAC15" s="41"/>
      <c r="LAD15" s="41"/>
      <c r="LAE15" s="41"/>
      <c r="LAF15" s="41"/>
      <c r="LAG15" s="41"/>
      <c r="LAH15" s="41"/>
      <c r="LAI15" s="41"/>
      <c r="LAJ15" s="41"/>
      <c r="LAK15" s="41"/>
      <c r="LAL15" s="41"/>
      <c r="LAM15" s="41"/>
      <c r="LAN15" s="41"/>
      <c r="LAO15" s="41"/>
      <c r="LAP15" s="41"/>
      <c r="LAQ15" s="41"/>
      <c r="LAR15" s="41"/>
      <c r="LAS15" s="41"/>
      <c r="LAT15" s="41"/>
      <c r="LAU15" s="41"/>
      <c r="LAV15" s="41"/>
      <c r="LAW15" s="41"/>
      <c r="LAX15" s="41"/>
      <c r="LAY15" s="41"/>
      <c r="LAZ15" s="41"/>
      <c r="LBA15" s="41"/>
      <c r="LBB15" s="41"/>
      <c r="LBC15" s="41"/>
      <c r="LBD15" s="41"/>
      <c r="LBE15" s="41"/>
      <c r="LBF15" s="41"/>
      <c r="LBG15" s="41"/>
      <c r="LBH15" s="41"/>
      <c r="LBI15" s="41"/>
      <c r="LBJ15" s="41"/>
      <c r="LBK15" s="41"/>
      <c r="LBL15" s="41"/>
      <c r="LBM15" s="41"/>
      <c r="LBN15" s="41"/>
      <c r="LBO15" s="41"/>
      <c r="LBP15" s="41"/>
      <c r="LBQ15" s="41"/>
      <c r="LBR15" s="41"/>
      <c r="LBS15" s="41"/>
      <c r="LBT15" s="41"/>
      <c r="LBU15" s="41"/>
      <c r="LBV15" s="41"/>
      <c r="LBW15" s="41"/>
      <c r="LBX15" s="41"/>
      <c r="LBY15" s="41"/>
      <c r="LBZ15" s="41"/>
      <c r="LCA15" s="41"/>
      <c r="LCB15" s="41"/>
      <c r="LCC15" s="41"/>
      <c r="LCD15" s="41"/>
      <c r="LCE15" s="41"/>
      <c r="LCF15" s="41"/>
      <c r="LCG15" s="41"/>
      <c r="LCH15" s="41"/>
      <c r="LCI15" s="41"/>
      <c r="LCJ15" s="41"/>
      <c r="LCK15" s="41"/>
      <c r="LCL15" s="41"/>
      <c r="LCM15" s="41"/>
      <c r="LCN15" s="41"/>
      <c r="LCO15" s="41"/>
      <c r="LCP15" s="41"/>
      <c r="LCQ15" s="41"/>
      <c r="LCR15" s="41"/>
      <c r="LCS15" s="41"/>
      <c r="LCT15" s="41"/>
      <c r="LCU15" s="41"/>
      <c r="LCV15" s="41"/>
      <c r="LCW15" s="41"/>
      <c r="LCX15" s="41"/>
      <c r="LCY15" s="41"/>
      <c r="LCZ15" s="41"/>
      <c r="LDA15" s="41"/>
      <c r="LDB15" s="41"/>
      <c r="LDC15" s="41"/>
      <c r="LDD15" s="41"/>
      <c r="LDE15" s="41"/>
      <c r="LDF15" s="41"/>
      <c r="LDG15" s="41"/>
      <c r="LDH15" s="41"/>
      <c r="LDI15" s="41"/>
      <c r="LDJ15" s="41"/>
      <c r="LDK15" s="41"/>
      <c r="LDL15" s="41"/>
      <c r="LDM15" s="41"/>
      <c r="LDN15" s="41"/>
      <c r="LDO15" s="41"/>
      <c r="LDP15" s="41"/>
      <c r="LDQ15" s="41"/>
      <c r="LDR15" s="41"/>
      <c r="LDS15" s="41"/>
      <c r="LDT15" s="41"/>
      <c r="LDU15" s="41"/>
      <c r="LDV15" s="41"/>
      <c r="LDW15" s="41"/>
      <c r="LDX15" s="41"/>
      <c r="LDY15" s="41"/>
      <c r="LDZ15" s="41"/>
      <c r="LEA15" s="41"/>
      <c r="LEB15" s="41"/>
      <c r="LEC15" s="41"/>
      <c r="LED15" s="41"/>
      <c r="LEE15" s="41"/>
      <c r="LEF15" s="41"/>
      <c r="LEG15" s="41"/>
      <c r="LEH15" s="41"/>
      <c r="LEI15" s="41"/>
      <c r="LEJ15" s="41"/>
      <c r="LEK15" s="41"/>
      <c r="LEL15" s="41"/>
      <c r="LEM15" s="41"/>
      <c r="LEN15" s="41"/>
      <c r="LEO15" s="41"/>
      <c r="LEP15" s="41"/>
      <c r="LEQ15" s="41"/>
      <c r="LER15" s="41"/>
      <c r="LES15" s="41"/>
      <c r="LET15" s="41"/>
      <c r="LEU15" s="41"/>
      <c r="LEV15" s="41"/>
      <c r="LEW15" s="41"/>
      <c r="LEX15" s="41"/>
      <c r="LEY15" s="41"/>
      <c r="LEZ15" s="41"/>
      <c r="LFA15" s="41"/>
      <c r="LFB15" s="41"/>
      <c r="LFC15" s="41"/>
      <c r="LFD15" s="41"/>
      <c r="LFE15" s="41"/>
      <c r="LFF15" s="41"/>
      <c r="LFG15" s="41"/>
      <c r="LFH15" s="41"/>
      <c r="LFI15" s="41"/>
      <c r="LFJ15" s="41"/>
      <c r="LFK15" s="41"/>
      <c r="LFL15" s="41"/>
      <c r="LFM15" s="41"/>
      <c r="LFN15" s="41"/>
      <c r="LFO15" s="41"/>
      <c r="LFP15" s="41"/>
      <c r="LFQ15" s="41"/>
      <c r="LFR15" s="41"/>
      <c r="LFS15" s="41"/>
      <c r="LFT15" s="41"/>
      <c r="LFU15" s="41"/>
      <c r="LFV15" s="41"/>
      <c r="LFW15" s="41"/>
      <c r="LFX15" s="41"/>
      <c r="LFY15" s="41"/>
      <c r="LFZ15" s="41"/>
      <c r="LGA15" s="41"/>
      <c r="LGB15" s="41"/>
      <c r="LGC15" s="41"/>
      <c r="LGD15" s="41"/>
      <c r="LGE15" s="41"/>
      <c r="LGF15" s="41"/>
      <c r="LGG15" s="41"/>
      <c r="LGH15" s="41"/>
      <c r="LGI15" s="41"/>
      <c r="LGJ15" s="41"/>
      <c r="LGK15" s="41"/>
      <c r="LGL15" s="41"/>
      <c r="LGM15" s="41"/>
      <c r="LGN15" s="41"/>
      <c r="LGO15" s="41"/>
      <c r="LGP15" s="41"/>
      <c r="LGQ15" s="41"/>
      <c r="LGR15" s="41"/>
      <c r="LGS15" s="41"/>
      <c r="LGT15" s="41"/>
      <c r="LGU15" s="41"/>
      <c r="LGV15" s="41"/>
      <c r="LGW15" s="41"/>
      <c r="LGX15" s="41"/>
      <c r="LGY15" s="41"/>
      <c r="LGZ15" s="41"/>
      <c r="LHA15" s="41"/>
      <c r="LHB15" s="41"/>
      <c r="LHC15" s="41"/>
      <c r="LHD15" s="41"/>
      <c r="LHE15" s="41"/>
      <c r="LHF15" s="41"/>
      <c r="LHG15" s="41"/>
      <c r="LHH15" s="41"/>
      <c r="LHI15" s="41"/>
      <c r="LHJ15" s="41"/>
      <c r="LHK15" s="41"/>
      <c r="LHL15" s="41"/>
      <c r="LHM15" s="41"/>
      <c r="LHN15" s="41"/>
      <c r="LHO15" s="41"/>
      <c r="LHP15" s="41"/>
      <c r="LHQ15" s="41"/>
      <c r="LHR15" s="41"/>
      <c r="LHS15" s="41"/>
      <c r="LHT15" s="41"/>
      <c r="LHU15" s="41"/>
      <c r="LHV15" s="41"/>
      <c r="LHW15" s="41"/>
      <c r="LHX15" s="41"/>
      <c r="LHY15" s="41"/>
      <c r="LHZ15" s="41"/>
      <c r="LIA15" s="41"/>
      <c r="LIB15" s="41"/>
      <c r="LIC15" s="41"/>
      <c r="LID15" s="41"/>
      <c r="LIE15" s="41"/>
      <c r="LIF15" s="41"/>
      <c r="LIG15" s="41"/>
      <c r="LIH15" s="41"/>
      <c r="LII15" s="41"/>
      <c r="LIJ15" s="41"/>
      <c r="LIK15" s="41"/>
      <c r="LIL15" s="41"/>
      <c r="LIM15" s="41"/>
      <c r="LIN15" s="41"/>
      <c r="LIO15" s="41"/>
      <c r="LIP15" s="41"/>
      <c r="LIQ15" s="41"/>
      <c r="LIR15" s="41"/>
      <c r="LIS15" s="41"/>
      <c r="LIT15" s="41"/>
      <c r="LIU15" s="41"/>
      <c r="LIV15" s="41"/>
      <c r="LIW15" s="41"/>
      <c r="LIX15" s="41"/>
      <c r="LIY15" s="41"/>
      <c r="LIZ15" s="41"/>
      <c r="LJA15" s="41"/>
      <c r="LJB15" s="41"/>
      <c r="LJC15" s="41"/>
      <c r="LJD15" s="41"/>
      <c r="LJE15" s="41"/>
      <c r="LJF15" s="41"/>
      <c r="LJG15" s="41"/>
      <c r="LJH15" s="41"/>
      <c r="LJI15" s="41"/>
      <c r="LJJ15" s="41"/>
      <c r="LJK15" s="41"/>
      <c r="LJL15" s="41"/>
      <c r="LJM15" s="41"/>
      <c r="LJN15" s="41"/>
      <c r="LJO15" s="41"/>
      <c r="LJP15" s="41"/>
      <c r="LJQ15" s="41"/>
      <c r="LJR15" s="41"/>
      <c r="LJS15" s="41"/>
      <c r="LJT15" s="41"/>
      <c r="LJU15" s="41"/>
      <c r="LJV15" s="41"/>
      <c r="LJW15" s="41"/>
      <c r="LJX15" s="41"/>
      <c r="LJY15" s="41"/>
      <c r="LJZ15" s="41"/>
      <c r="LKA15" s="41"/>
      <c r="LKB15" s="41"/>
      <c r="LKC15" s="41"/>
      <c r="LKD15" s="41"/>
      <c r="LKE15" s="41"/>
      <c r="LKF15" s="41"/>
      <c r="LKG15" s="41"/>
      <c r="LKH15" s="41"/>
      <c r="LKI15" s="41"/>
      <c r="LKJ15" s="41"/>
      <c r="LKK15" s="41"/>
      <c r="LKL15" s="41"/>
      <c r="LKM15" s="41"/>
      <c r="LKN15" s="41"/>
      <c r="LKO15" s="41"/>
      <c r="LKP15" s="41"/>
      <c r="LKQ15" s="41"/>
      <c r="LKR15" s="41"/>
      <c r="LKS15" s="41"/>
      <c r="LKT15" s="41"/>
      <c r="LKU15" s="41"/>
      <c r="LKV15" s="41"/>
      <c r="LKW15" s="41"/>
      <c r="LKX15" s="41"/>
      <c r="LKY15" s="41"/>
      <c r="LKZ15" s="41"/>
      <c r="LLA15" s="41"/>
      <c r="LLB15" s="41"/>
      <c r="LLC15" s="41"/>
      <c r="LLD15" s="41"/>
      <c r="LLE15" s="41"/>
      <c r="LLF15" s="41"/>
      <c r="LLG15" s="41"/>
      <c r="LLH15" s="41"/>
      <c r="LLI15" s="41"/>
      <c r="LLJ15" s="41"/>
      <c r="LLK15" s="41"/>
      <c r="LLL15" s="41"/>
      <c r="LLM15" s="41"/>
      <c r="LLN15" s="41"/>
      <c r="LLO15" s="41"/>
      <c r="LLP15" s="41"/>
      <c r="LLQ15" s="41"/>
      <c r="LLR15" s="41"/>
      <c r="LLS15" s="41"/>
      <c r="LLT15" s="41"/>
      <c r="LLU15" s="41"/>
      <c r="LLV15" s="41"/>
      <c r="LLW15" s="41"/>
      <c r="LLX15" s="41"/>
      <c r="LLY15" s="41"/>
      <c r="LLZ15" s="41"/>
      <c r="LMA15" s="41"/>
      <c r="LMB15" s="41"/>
      <c r="LMC15" s="41"/>
      <c r="LMD15" s="41"/>
      <c r="LME15" s="41"/>
      <c r="LMF15" s="41"/>
      <c r="LMG15" s="41"/>
      <c r="LMH15" s="41"/>
      <c r="LMI15" s="41"/>
      <c r="LMJ15" s="41"/>
      <c r="LMK15" s="41"/>
      <c r="LML15" s="41"/>
      <c r="LMM15" s="41"/>
      <c r="LMN15" s="41"/>
      <c r="LMO15" s="41"/>
      <c r="LMP15" s="41"/>
      <c r="LMQ15" s="41"/>
      <c r="LMR15" s="41"/>
      <c r="LMS15" s="41"/>
      <c r="LMT15" s="41"/>
      <c r="LMU15" s="41"/>
      <c r="LMV15" s="41"/>
      <c r="LMW15" s="41"/>
      <c r="LMX15" s="41"/>
      <c r="LMY15" s="41"/>
      <c r="LMZ15" s="41"/>
      <c r="LNA15" s="41"/>
      <c r="LNB15" s="41"/>
      <c r="LNC15" s="41"/>
      <c r="LND15" s="41"/>
      <c r="LNE15" s="41"/>
      <c r="LNF15" s="41"/>
      <c r="LNG15" s="41"/>
      <c r="LNH15" s="41"/>
      <c r="LNI15" s="41"/>
      <c r="LNJ15" s="41"/>
      <c r="LNK15" s="41"/>
      <c r="LNL15" s="41"/>
      <c r="LNM15" s="41"/>
      <c r="LNN15" s="41"/>
      <c r="LNO15" s="41"/>
      <c r="LNP15" s="41"/>
      <c r="LNQ15" s="41"/>
      <c r="LNR15" s="41"/>
      <c r="LNS15" s="41"/>
      <c r="LNT15" s="41"/>
      <c r="LNU15" s="41"/>
      <c r="LNV15" s="41"/>
      <c r="LNW15" s="41"/>
      <c r="LNX15" s="41"/>
      <c r="LNY15" s="41"/>
      <c r="LNZ15" s="41"/>
      <c r="LOA15" s="41"/>
      <c r="LOB15" s="41"/>
      <c r="LOC15" s="41"/>
      <c r="LOD15" s="41"/>
      <c r="LOE15" s="41"/>
      <c r="LOF15" s="41"/>
      <c r="LOG15" s="41"/>
      <c r="LOH15" s="41"/>
      <c r="LOI15" s="41"/>
      <c r="LOJ15" s="41"/>
      <c r="LOK15" s="41"/>
      <c r="LOL15" s="41"/>
      <c r="LOM15" s="41"/>
      <c r="LON15" s="41"/>
      <c r="LOO15" s="41"/>
      <c r="LOP15" s="41"/>
      <c r="LOQ15" s="41"/>
      <c r="LOR15" s="41"/>
      <c r="LOS15" s="41"/>
      <c r="LOT15" s="41"/>
      <c r="LOU15" s="41"/>
      <c r="LOV15" s="41"/>
      <c r="LOW15" s="41"/>
      <c r="LOX15" s="41"/>
      <c r="LOY15" s="41"/>
      <c r="LOZ15" s="41"/>
      <c r="LPA15" s="41"/>
      <c r="LPB15" s="41"/>
      <c r="LPC15" s="41"/>
      <c r="LPD15" s="41"/>
      <c r="LPE15" s="41"/>
      <c r="LPF15" s="41"/>
      <c r="LPG15" s="41"/>
      <c r="LPH15" s="41"/>
      <c r="LPI15" s="41"/>
      <c r="LPJ15" s="41"/>
      <c r="LPK15" s="41"/>
      <c r="LPL15" s="41"/>
      <c r="LPM15" s="41"/>
      <c r="LPN15" s="41"/>
      <c r="LPO15" s="41"/>
      <c r="LPP15" s="41"/>
      <c r="LPQ15" s="41"/>
      <c r="LPR15" s="41"/>
      <c r="LPS15" s="41"/>
      <c r="LPT15" s="41"/>
      <c r="LPU15" s="41"/>
      <c r="LPV15" s="41"/>
      <c r="LPW15" s="41"/>
      <c r="LPX15" s="41"/>
      <c r="LPY15" s="41"/>
      <c r="LPZ15" s="41"/>
      <c r="LQA15" s="41"/>
      <c r="LQB15" s="41"/>
      <c r="LQC15" s="41"/>
      <c r="LQD15" s="41"/>
      <c r="LQE15" s="41"/>
      <c r="LQF15" s="41"/>
      <c r="LQG15" s="41"/>
      <c r="LQH15" s="41"/>
      <c r="LQI15" s="41"/>
      <c r="LQJ15" s="41"/>
      <c r="LQK15" s="41"/>
      <c r="LQL15" s="41"/>
      <c r="LQM15" s="41"/>
      <c r="LQN15" s="41"/>
      <c r="LQO15" s="41"/>
      <c r="LQP15" s="41"/>
      <c r="LQQ15" s="41"/>
      <c r="LQR15" s="41"/>
      <c r="LQS15" s="41"/>
      <c r="LQT15" s="41"/>
      <c r="LQU15" s="41"/>
      <c r="LQV15" s="41"/>
      <c r="LQW15" s="41"/>
      <c r="LQX15" s="41"/>
      <c r="LQY15" s="41"/>
      <c r="LQZ15" s="41"/>
      <c r="LRA15" s="41"/>
      <c r="LRB15" s="41"/>
      <c r="LRC15" s="41"/>
      <c r="LRD15" s="41"/>
      <c r="LRE15" s="41"/>
      <c r="LRF15" s="41"/>
      <c r="LRG15" s="41"/>
      <c r="LRH15" s="41"/>
      <c r="LRI15" s="41"/>
      <c r="LRJ15" s="41"/>
      <c r="LRK15" s="41"/>
      <c r="LRL15" s="41"/>
      <c r="LRM15" s="41"/>
      <c r="LRN15" s="41"/>
      <c r="LRO15" s="41"/>
      <c r="LRP15" s="41"/>
      <c r="LRQ15" s="41"/>
      <c r="LRR15" s="41"/>
      <c r="LRS15" s="41"/>
      <c r="LRT15" s="41"/>
      <c r="LRU15" s="41"/>
      <c r="LRV15" s="41"/>
      <c r="LRW15" s="41"/>
      <c r="LRX15" s="41"/>
      <c r="LRY15" s="41"/>
      <c r="LRZ15" s="41"/>
      <c r="LSA15" s="41"/>
      <c r="LSB15" s="41"/>
      <c r="LSC15" s="41"/>
      <c r="LSD15" s="41"/>
      <c r="LSE15" s="41"/>
      <c r="LSF15" s="41"/>
      <c r="LSG15" s="41"/>
      <c r="LSH15" s="41"/>
      <c r="LSI15" s="41"/>
      <c r="LSJ15" s="41"/>
      <c r="LSK15" s="41"/>
      <c r="LSL15" s="41"/>
      <c r="LSM15" s="41"/>
      <c r="LSN15" s="41"/>
      <c r="LSO15" s="41"/>
      <c r="LSP15" s="41"/>
      <c r="LSQ15" s="41"/>
      <c r="LSR15" s="41"/>
      <c r="LSS15" s="41"/>
      <c r="LST15" s="41"/>
      <c r="LSU15" s="41"/>
      <c r="LSV15" s="41"/>
      <c r="LSW15" s="41"/>
      <c r="LSX15" s="41"/>
      <c r="LSY15" s="41"/>
      <c r="LSZ15" s="41"/>
      <c r="LTA15" s="41"/>
      <c r="LTB15" s="41"/>
      <c r="LTC15" s="41"/>
      <c r="LTD15" s="41"/>
      <c r="LTE15" s="41"/>
      <c r="LTF15" s="41"/>
      <c r="LTG15" s="41"/>
      <c r="LTH15" s="41"/>
      <c r="LTI15" s="41"/>
      <c r="LTJ15" s="41"/>
      <c r="LTK15" s="41"/>
      <c r="LTL15" s="41"/>
      <c r="LTM15" s="41"/>
      <c r="LTN15" s="41"/>
      <c r="LTO15" s="41"/>
      <c r="LTP15" s="41"/>
      <c r="LTQ15" s="41"/>
      <c r="LTR15" s="41"/>
      <c r="LTS15" s="41"/>
      <c r="LTT15" s="41"/>
      <c r="LTU15" s="41"/>
      <c r="LTV15" s="41"/>
      <c r="LTW15" s="41"/>
      <c r="LTX15" s="41"/>
      <c r="LTY15" s="41"/>
      <c r="LTZ15" s="41"/>
      <c r="LUA15" s="41"/>
      <c r="LUB15" s="41"/>
      <c r="LUC15" s="41"/>
      <c r="LUD15" s="41"/>
      <c r="LUE15" s="41"/>
      <c r="LUF15" s="41"/>
      <c r="LUG15" s="41"/>
      <c r="LUH15" s="41"/>
      <c r="LUI15" s="41"/>
      <c r="LUJ15" s="41"/>
      <c r="LUK15" s="41"/>
      <c r="LUL15" s="41"/>
      <c r="LUM15" s="41"/>
      <c r="LUN15" s="41"/>
      <c r="LUO15" s="41"/>
      <c r="LUP15" s="41"/>
      <c r="LUQ15" s="41"/>
      <c r="LUR15" s="41"/>
      <c r="LUS15" s="41"/>
      <c r="LUT15" s="41"/>
      <c r="LUU15" s="41"/>
      <c r="LUV15" s="41"/>
      <c r="LUW15" s="41"/>
      <c r="LUX15" s="41"/>
      <c r="LUY15" s="41"/>
      <c r="LUZ15" s="41"/>
      <c r="LVA15" s="41"/>
      <c r="LVB15" s="41"/>
      <c r="LVC15" s="41"/>
      <c r="LVD15" s="41"/>
      <c r="LVE15" s="41"/>
      <c r="LVF15" s="41"/>
      <c r="LVG15" s="41"/>
      <c r="LVH15" s="41"/>
      <c r="LVI15" s="41"/>
      <c r="LVJ15" s="41"/>
      <c r="LVK15" s="41"/>
      <c r="LVL15" s="41"/>
      <c r="LVM15" s="41"/>
      <c r="LVN15" s="41"/>
      <c r="LVO15" s="41"/>
      <c r="LVP15" s="41"/>
      <c r="LVQ15" s="41"/>
      <c r="LVR15" s="41"/>
      <c r="LVS15" s="41"/>
      <c r="LVT15" s="41"/>
      <c r="LVU15" s="41"/>
      <c r="LVV15" s="41"/>
      <c r="LVW15" s="41"/>
      <c r="LVX15" s="41"/>
      <c r="LVY15" s="41"/>
      <c r="LVZ15" s="41"/>
      <c r="LWA15" s="41"/>
      <c r="LWB15" s="41"/>
      <c r="LWC15" s="41"/>
      <c r="LWD15" s="41"/>
      <c r="LWE15" s="41"/>
      <c r="LWF15" s="41"/>
      <c r="LWG15" s="41"/>
      <c r="LWH15" s="41"/>
      <c r="LWI15" s="41"/>
      <c r="LWJ15" s="41"/>
      <c r="LWK15" s="41"/>
      <c r="LWL15" s="41"/>
      <c r="LWM15" s="41"/>
      <c r="LWN15" s="41"/>
      <c r="LWO15" s="41"/>
      <c r="LWP15" s="41"/>
      <c r="LWQ15" s="41"/>
      <c r="LWR15" s="41"/>
      <c r="LWS15" s="41"/>
      <c r="LWT15" s="41"/>
      <c r="LWU15" s="41"/>
      <c r="LWV15" s="41"/>
      <c r="LWW15" s="41"/>
      <c r="LWX15" s="41"/>
      <c r="LWY15" s="41"/>
      <c r="LWZ15" s="41"/>
      <c r="LXA15" s="41"/>
      <c r="LXB15" s="41"/>
      <c r="LXC15" s="41"/>
      <c r="LXD15" s="41"/>
      <c r="LXE15" s="41"/>
      <c r="LXF15" s="41"/>
      <c r="LXG15" s="41"/>
      <c r="LXH15" s="41"/>
      <c r="LXI15" s="41"/>
      <c r="LXJ15" s="41"/>
      <c r="LXK15" s="41"/>
      <c r="LXL15" s="41"/>
      <c r="LXM15" s="41"/>
      <c r="LXN15" s="41"/>
      <c r="LXO15" s="41"/>
      <c r="LXP15" s="41"/>
      <c r="LXQ15" s="41"/>
      <c r="LXR15" s="41"/>
      <c r="LXS15" s="41"/>
      <c r="LXT15" s="41"/>
      <c r="LXU15" s="41"/>
      <c r="LXV15" s="41"/>
      <c r="LXW15" s="41"/>
      <c r="LXX15" s="41"/>
      <c r="LXY15" s="41"/>
      <c r="LXZ15" s="41"/>
      <c r="LYA15" s="41"/>
      <c r="LYB15" s="41"/>
      <c r="LYC15" s="41"/>
      <c r="LYD15" s="41"/>
      <c r="LYE15" s="41"/>
      <c r="LYF15" s="41"/>
      <c r="LYG15" s="41"/>
      <c r="LYH15" s="41"/>
      <c r="LYI15" s="41"/>
      <c r="LYJ15" s="41"/>
      <c r="LYK15" s="41"/>
      <c r="LYL15" s="41"/>
      <c r="LYM15" s="41"/>
      <c r="LYN15" s="41"/>
      <c r="LYO15" s="41"/>
      <c r="LYP15" s="41"/>
      <c r="LYQ15" s="41"/>
      <c r="LYR15" s="41"/>
      <c r="LYS15" s="41"/>
      <c r="LYT15" s="41"/>
      <c r="LYU15" s="41"/>
      <c r="LYV15" s="41"/>
      <c r="LYW15" s="41"/>
      <c r="LYX15" s="41"/>
      <c r="LYY15" s="41"/>
      <c r="LYZ15" s="41"/>
      <c r="LZA15" s="41"/>
      <c r="LZB15" s="41"/>
      <c r="LZC15" s="41"/>
      <c r="LZD15" s="41"/>
      <c r="LZE15" s="41"/>
      <c r="LZF15" s="41"/>
      <c r="LZG15" s="41"/>
      <c r="LZH15" s="41"/>
      <c r="LZI15" s="41"/>
      <c r="LZJ15" s="41"/>
      <c r="LZK15" s="41"/>
      <c r="LZL15" s="41"/>
      <c r="LZM15" s="41"/>
      <c r="LZN15" s="41"/>
      <c r="LZO15" s="41"/>
      <c r="LZP15" s="41"/>
      <c r="LZQ15" s="41"/>
      <c r="LZR15" s="41"/>
      <c r="LZS15" s="41"/>
      <c r="LZT15" s="41"/>
      <c r="LZU15" s="41"/>
      <c r="LZV15" s="41"/>
      <c r="LZW15" s="41"/>
      <c r="LZX15" s="41"/>
      <c r="LZY15" s="41"/>
      <c r="LZZ15" s="41"/>
      <c r="MAA15" s="41"/>
      <c r="MAB15" s="41"/>
      <c r="MAC15" s="41"/>
      <c r="MAD15" s="41"/>
      <c r="MAE15" s="41"/>
      <c r="MAF15" s="41"/>
      <c r="MAG15" s="41"/>
      <c r="MAH15" s="41"/>
      <c r="MAI15" s="41"/>
      <c r="MAJ15" s="41"/>
      <c r="MAK15" s="41"/>
      <c r="MAL15" s="41"/>
      <c r="MAM15" s="41"/>
      <c r="MAN15" s="41"/>
      <c r="MAO15" s="41"/>
      <c r="MAP15" s="41"/>
      <c r="MAQ15" s="41"/>
      <c r="MAR15" s="41"/>
      <c r="MAS15" s="41"/>
      <c r="MAT15" s="41"/>
      <c r="MAU15" s="41"/>
      <c r="MAV15" s="41"/>
      <c r="MAW15" s="41"/>
      <c r="MAX15" s="41"/>
      <c r="MAY15" s="41"/>
      <c r="MAZ15" s="41"/>
      <c r="MBA15" s="41"/>
      <c r="MBB15" s="41"/>
      <c r="MBC15" s="41"/>
      <c r="MBD15" s="41"/>
      <c r="MBE15" s="41"/>
      <c r="MBF15" s="41"/>
      <c r="MBG15" s="41"/>
      <c r="MBH15" s="41"/>
      <c r="MBI15" s="41"/>
      <c r="MBJ15" s="41"/>
      <c r="MBK15" s="41"/>
      <c r="MBL15" s="41"/>
      <c r="MBM15" s="41"/>
      <c r="MBN15" s="41"/>
      <c r="MBO15" s="41"/>
      <c r="MBP15" s="41"/>
      <c r="MBQ15" s="41"/>
      <c r="MBR15" s="41"/>
      <c r="MBS15" s="41"/>
      <c r="MBT15" s="41"/>
      <c r="MBU15" s="41"/>
      <c r="MBV15" s="41"/>
      <c r="MBW15" s="41"/>
      <c r="MBX15" s="41"/>
      <c r="MBY15" s="41"/>
      <c r="MBZ15" s="41"/>
      <c r="MCA15" s="41"/>
      <c r="MCB15" s="41"/>
      <c r="MCC15" s="41"/>
      <c r="MCD15" s="41"/>
      <c r="MCE15" s="41"/>
      <c r="MCF15" s="41"/>
      <c r="MCG15" s="41"/>
      <c r="MCH15" s="41"/>
      <c r="MCI15" s="41"/>
      <c r="MCJ15" s="41"/>
      <c r="MCK15" s="41"/>
      <c r="MCL15" s="41"/>
      <c r="MCM15" s="41"/>
      <c r="MCN15" s="41"/>
      <c r="MCO15" s="41"/>
      <c r="MCP15" s="41"/>
      <c r="MCQ15" s="41"/>
      <c r="MCR15" s="41"/>
      <c r="MCS15" s="41"/>
      <c r="MCT15" s="41"/>
      <c r="MCU15" s="41"/>
      <c r="MCV15" s="41"/>
      <c r="MCW15" s="41"/>
      <c r="MCX15" s="41"/>
      <c r="MCY15" s="41"/>
      <c r="MCZ15" s="41"/>
      <c r="MDA15" s="41"/>
      <c r="MDB15" s="41"/>
      <c r="MDC15" s="41"/>
      <c r="MDD15" s="41"/>
      <c r="MDE15" s="41"/>
      <c r="MDF15" s="41"/>
      <c r="MDG15" s="41"/>
      <c r="MDH15" s="41"/>
      <c r="MDI15" s="41"/>
      <c r="MDJ15" s="41"/>
      <c r="MDK15" s="41"/>
      <c r="MDL15" s="41"/>
      <c r="MDM15" s="41"/>
      <c r="MDN15" s="41"/>
      <c r="MDO15" s="41"/>
      <c r="MDP15" s="41"/>
      <c r="MDQ15" s="41"/>
      <c r="MDR15" s="41"/>
      <c r="MDS15" s="41"/>
      <c r="MDT15" s="41"/>
      <c r="MDU15" s="41"/>
      <c r="MDV15" s="41"/>
      <c r="MDW15" s="41"/>
      <c r="MDX15" s="41"/>
      <c r="MDY15" s="41"/>
      <c r="MDZ15" s="41"/>
      <c r="MEA15" s="41"/>
      <c r="MEB15" s="41"/>
      <c r="MEC15" s="41"/>
      <c r="MED15" s="41"/>
      <c r="MEE15" s="41"/>
      <c r="MEF15" s="41"/>
      <c r="MEG15" s="41"/>
      <c r="MEH15" s="41"/>
      <c r="MEI15" s="41"/>
      <c r="MEJ15" s="41"/>
      <c r="MEK15" s="41"/>
      <c r="MEL15" s="41"/>
      <c r="MEM15" s="41"/>
      <c r="MEN15" s="41"/>
      <c r="MEO15" s="41"/>
      <c r="MEP15" s="41"/>
      <c r="MEQ15" s="41"/>
      <c r="MER15" s="41"/>
      <c r="MES15" s="41"/>
      <c r="MET15" s="41"/>
      <c r="MEU15" s="41"/>
      <c r="MEV15" s="41"/>
      <c r="MEW15" s="41"/>
      <c r="MEX15" s="41"/>
      <c r="MEY15" s="41"/>
      <c r="MEZ15" s="41"/>
      <c r="MFA15" s="41"/>
      <c r="MFB15" s="41"/>
      <c r="MFC15" s="41"/>
      <c r="MFD15" s="41"/>
      <c r="MFE15" s="41"/>
      <c r="MFF15" s="41"/>
      <c r="MFG15" s="41"/>
      <c r="MFH15" s="41"/>
      <c r="MFI15" s="41"/>
      <c r="MFJ15" s="41"/>
      <c r="MFK15" s="41"/>
      <c r="MFL15" s="41"/>
      <c r="MFM15" s="41"/>
      <c r="MFN15" s="41"/>
      <c r="MFO15" s="41"/>
      <c r="MFP15" s="41"/>
      <c r="MFQ15" s="41"/>
      <c r="MFR15" s="41"/>
      <c r="MFS15" s="41"/>
      <c r="MFT15" s="41"/>
      <c r="MFU15" s="41"/>
      <c r="MFV15" s="41"/>
      <c r="MFW15" s="41"/>
      <c r="MFX15" s="41"/>
      <c r="MFY15" s="41"/>
      <c r="MFZ15" s="41"/>
      <c r="MGA15" s="41"/>
      <c r="MGB15" s="41"/>
      <c r="MGC15" s="41"/>
      <c r="MGD15" s="41"/>
      <c r="MGE15" s="41"/>
      <c r="MGF15" s="41"/>
      <c r="MGG15" s="41"/>
      <c r="MGH15" s="41"/>
      <c r="MGI15" s="41"/>
      <c r="MGJ15" s="41"/>
      <c r="MGK15" s="41"/>
      <c r="MGL15" s="41"/>
      <c r="MGM15" s="41"/>
      <c r="MGN15" s="41"/>
      <c r="MGO15" s="41"/>
      <c r="MGP15" s="41"/>
      <c r="MGQ15" s="41"/>
      <c r="MGR15" s="41"/>
      <c r="MGS15" s="41"/>
      <c r="MGT15" s="41"/>
      <c r="MGU15" s="41"/>
      <c r="MGV15" s="41"/>
      <c r="MGW15" s="41"/>
      <c r="MGX15" s="41"/>
      <c r="MGY15" s="41"/>
      <c r="MGZ15" s="41"/>
      <c r="MHA15" s="41"/>
      <c r="MHB15" s="41"/>
      <c r="MHC15" s="41"/>
      <c r="MHD15" s="41"/>
      <c r="MHE15" s="41"/>
      <c r="MHF15" s="41"/>
      <c r="MHG15" s="41"/>
      <c r="MHH15" s="41"/>
      <c r="MHI15" s="41"/>
      <c r="MHJ15" s="41"/>
      <c r="MHK15" s="41"/>
      <c r="MHL15" s="41"/>
      <c r="MHM15" s="41"/>
      <c r="MHN15" s="41"/>
      <c r="MHO15" s="41"/>
      <c r="MHP15" s="41"/>
      <c r="MHQ15" s="41"/>
      <c r="MHR15" s="41"/>
      <c r="MHS15" s="41"/>
      <c r="MHT15" s="41"/>
      <c r="MHU15" s="41"/>
      <c r="MHV15" s="41"/>
      <c r="MHW15" s="41"/>
      <c r="MHX15" s="41"/>
      <c r="MHY15" s="41"/>
      <c r="MHZ15" s="41"/>
      <c r="MIA15" s="41"/>
      <c r="MIB15" s="41"/>
      <c r="MIC15" s="41"/>
      <c r="MID15" s="41"/>
      <c r="MIE15" s="41"/>
      <c r="MIF15" s="41"/>
      <c r="MIG15" s="41"/>
      <c r="MIH15" s="41"/>
      <c r="MII15" s="41"/>
      <c r="MIJ15" s="41"/>
      <c r="MIK15" s="41"/>
      <c r="MIL15" s="41"/>
      <c r="MIM15" s="41"/>
      <c r="MIN15" s="41"/>
      <c r="MIO15" s="41"/>
      <c r="MIP15" s="41"/>
      <c r="MIQ15" s="41"/>
      <c r="MIR15" s="41"/>
      <c r="MIS15" s="41"/>
      <c r="MIT15" s="41"/>
      <c r="MIU15" s="41"/>
      <c r="MIV15" s="41"/>
      <c r="MIW15" s="41"/>
      <c r="MIX15" s="41"/>
      <c r="MIY15" s="41"/>
      <c r="MIZ15" s="41"/>
      <c r="MJA15" s="41"/>
      <c r="MJB15" s="41"/>
      <c r="MJC15" s="41"/>
      <c r="MJD15" s="41"/>
      <c r="MJE15" s="41"/>
      <c r="MJF15" s="41"/>
      <c r="MJG15" s="41"/>
      <c r="MJH15" s="41"/>
      <c r="MJI15" s="41"/>
      <c r="MJJ15" s="41"/>
      <c r="MJK15" s="41"/>
      <c r="MJL15" s="41"/>
      <c r="MJM15" s="41"/>
      <c r="MJN15" s="41"/>
      <c r="MJO15" s="41"/>
      <c r="MJP15" s="41"/>
      <c r="MJQ15" s="41"/>
      <c r="MJR15" s="41"/>
      <c r="MJS15" s="41"/>
      <c r="MJT15" s="41"/>
      <c r="MJU15" s="41"/>
      <c r="MJV15" s="41"/>
      <c r="MJW15" s="41"/>
      <c r="MJX15" s="41"/>
      <c r="MJY15" s="41"/>
      <c r="MJZ15" s="41"/>
      <c r="MKA15" s="41"/>
      <c r="MKB15" s="41"/>
      <c r="MKC15" s="41"/>
      <c r="MKD15" s="41"/>
      <c r="MKE15" s="41"/>
      <c r="MKF15" s="41"/>
      <c r="MKG15" s="41"/>
      <c r="MKH15" s="41"/>
      <c r="MKI15" s="41"/>
      <c r="MKJ15" s="41"/>
      <c r="MKK15" s="41"/>
      <c r="MKL15" s="41"/>
      <c r="MKM15" s="41"/>
      <c r="MKN15" s="41"/>
      <c r="MKO15" s="41"/>
      <c r="MKP15" s="41"/>
      <c r="MKQ15" s="41"/>
      <c r="MKR15" s="41"/>
      <c r="MKS15" s="41"/>
      <c r="MKT15" s="41"/>
      <c r="MKU15" s="41"/>
      <c r="MKV15" s="41"/>
      <c r="MKW15" s="41"/>
      <c r="MKX15" s="41"/>
      <c r="MKY15" s="41"/>
      <c r="MKZ15" s="41"/>
      <c r="MLA15" s="41"/>
      <c r="MLB15" s="41"/>
      <c r="MLC15" s="41"/>
      <c r="MLD15" s="41"/>
      <c r="MLE15" s="41"/>
      <c r="MLF15" s="41"/>
      <c r="MLG15" s="41"/>
      <c r="MLH15" s="41"/>
      <c r="MLI15" s="41"/>
      <c r="MLJ15" s="41"/>
      <c r="MLK15" s="41"/>
      <c r="MLL15" s="41"/>
      <c r="MLM15" s="41"/>
      <c r="MLN15" s="41"/>
      <c r="MLO15" s="41"/>
      <c r="MLP15" s="41"/>
      <c r="MLQ15" s="41"/>
      <c r="MLR15" s="41"/>
      <c r="MLS15" s="41"/>
      <c r="MLT15" s="41"/>
      <c r="MLU15" s="41"/>
      <c r="MLV15" s="41"/>
      <c r="MLW15" s="41"/>
      <c r="MLX15" s="41"/>
      <c r="MLY15" s="41"/>
      <c r="MLZ15" s="41"/>
      <c r="MMA15" s="41"/>
      <c r="MMB15" s="41"/>
      <c r="MMC15" s="41"/>
      <c r="MMD15" s="41"/>
      <c r="MME15" s="41"/>
      <c r="MMF15" s="41"/>
      <c r="MMG15" s="41"/>
      <c r="MMH15" s="41"/>
      <c r="MMI15" s="41"/>
      <c r="MMJ15" s="41"/>
      <c r="MMK15" s="41"/>
      <c r="MML15" s="41"/>
      <c r="MMM15" s="41"/>
      <c r="MMN15" s="41"/>
      <c r="MMO15" s="41"/>
      <c r="MMP15" s="41"/>
      <c r="MMQ15" s="41"/>
      <c r="MMR15" s="41"/>
      <c r="MMS15" s="41"/>
      <c r="MMT15" s="41"/>
      <c r="MMU15" s="41"/>
      <c r="MMV15" s="41"/>
      <c r="MMW15" s="41"/>
      <c r="MMX15" s="41"/>
      <c r="MMY15" s="41"/>
      <c r="MMZ15" s="41"/>
      <c r="MNA15" s="41"/>
      <c r="MNB15" s="41"/>
      <c r="MNC15" s="41"/>
      <c r="MND15" s="41"/>
      <c r="MNE15" s="41"/>
      <c r="MNF15" s="41"/>
      <c r="MNG15" s="41"/>
      <c r="MNH15" s="41"/>
      <c r="MNI15" s="41"/>
      <c r="MNJ15" s="41"/>
      <c r="MNK15" s="41"/>
      <c r="MNL15" s="41"/>
      <c r="MNM15" s="41"/>
      <c r="MNN15" s="41"/>
      <c r="MNO15" s="41"/>
      <c r="MNP15" s="41"/>
      <c r="MNQ15" s="41"/>
      <c r="MNR15" s="41"/>
      <c r="MNS15" s="41"/>
      <c r="MNT15" s="41"/>
      <c r="MNU15" s="41"/>
      <c r="MNV15" s="41"/>
      <c r="MNW15" s="41"/>
      <c r="MNX15" s="41"/>
      <c r="MNY15" s="41"/>
      <c r="MNZ15" s="41"/>
      <c r="MOA15" s="41"/>
      <c r="MOB15" s="41"/>
      <c r="MOC15" s="41"/>
      <c r="MOD15" s="41"/>
      <c r="MOE15" s="41"/>
      <c r="MOF15" s="41"/>
      <c r="MOG15" s="41"/>
      <c r="MOH15" s="41"/>
      <c r="MOI15" s="41"/>
      <c r="MOJ15" s="41"/>
      <c r="MOK15" s="41"/>
      <c r="MOL15" s="41"/>
      <c r="MOM15" s="41"/>
      <c r="MON15" s="41"/>
      <c r="MOO15" s="41"/>
      <c r="MOP15" s="41"/>
      <c r="MOQ15" s="41"/>
      <c r="MOR15" s="41"/>
      <c r="MOS15" s="41"/>
      <c r="MOT15" s="41"/>
      <c r="MOU15" s="41"/>
      <c r="MOV15" s="41"/>
      <c r="MOW15" s="41"/>
      <c r="MOX15" s="41"/>
      <c r="MOY15" s="41"/>
      <c r="MOZ15" s="41"/>
      <c r="MPA15" s="41"/>
      <c r="MPB15" s="41"/>
      <c r="MPC15" s="41"/>
      <c r="MPD15" s="41"/>
      <c r="MPE15" s="41"/>
      <c r="MPF15" s="41"/>
      <c r="MPG15" s="41"/>
      <c r="MPH15" s="41"/>
      <c r="MPI15" s="41"/>
      <c r="MPJ15" s="41"/>
      <c r="MPK15" s="41"/>
      <c r="MPL15" s="41"/>
      <c r="MPM15" s="41"/>
      <c r="MPN15" s="41"/>
      <c r="MPO15" s="41"/>
      <c r="MPP15" s="41"/>
      <c r="MPQ15" s="41"/>
      <c r="MPR15" s="41"/>
      <c r="MPS15" s="41"/>
      <c r="MPT15" s="41"/>
      <c r="MPU15" s="41"/>
      <c r="MPV15" s="41"/>
      <c r="MPW15" s="41"/>
      <c r="MPX15" s="41"/>
      <c r="MPY15" s="41"/>
      <c r="MPZ15" s="41"/>
      <c r="MQA15" s="41"/>
      <c r="MQB15" s="41"/>
      <c r="MQC15" s="41"/>
      <c r="MQD15" s="41"/>
      <c r="MQE15" s="41"/>
      <c r="MQF15" s="41"/>
      <c r="MQG15" s="41"/>
      <c r="MQH15" s="41"/>
      <c r="MQI15" s="41"/>
      <c r="MQJ15" s="41"/>
      <c r="MQK15" s="41"/>
      <c r="MQL15" s="41"/>
      <c r="MQM15" s="41"/>
      <c r="MQN15" s="41"/>
      <c r="MQO15" s="41"/>
      <c r="MQP15" s="41"/>
      <c r="MQQ15" s="41"/>
      <c r="MQR15" s="41"/>
      <c r="MQS15" s="41"/>
      <c r="MQT15" s="41"/>
      <c r="MQU15" s="41"/>
      <c r="MQV15" s="41"/>
      <c r="MQW15" s="41"/>
      <c r="MQX15" s="41"/>
      <c r="MQY15" s="41"/>
      <c r="MQZ15" s="41"/>
      <c r="MRA15" s="41"/>
      <c r="MRB15" s="41"/>
      <c r="MRC15" s="41"/>
      <c r="MRD15" s="41"/>
      <c r="MRE15" s="41"/>
      <c r="MRF15" s="41"/>
      <c r="MRG15" s="41"/>
      <c r="MRH15" s="41"/>
      <c r="MRI15" s="41"/>
      <c r="MRJ15" s="41"/>
      <c r="MRK15" s="41"/>
      <c r="MRL15" s="41"/>
      <c r="MRM15" s="41"/>
      <c r="MRN15" s="41"/>
      <c r="MRO15" s="41"/>
      <c r="MRP15" s="41"/>
      <c r="MRQ15" s="41"/>
      <c r="MRR15" s="41"/>
      <c r="MRS15" s="41"/>
      <c r="MRT15" s="41"/>
      <c r="MRU15" s="41"/>
      <c r="MRV15" s="41"/>
      <c r="MRW15" s="41"/>
      <c r="MRX15" s="41"/>
      <c r="MRY15" s="41"/>
      <c r="MRZ15" s="41"/>
      <c r="MSA15" s="41"/>
      <c r="MSB15" s="41"/>
      <c r="MSC15" s="41"/>
      <c r="MSD15" s="41"/>
      <c r="MSE15" s="41"/>
      <c r="MSF15" s="41"/>
      <c r="MSG15" s="41"/>
      <c r="MSH15" s="41"/>
      <c r="MSI15" s="41"/>
      <c r="MSJ15" s="41"/>
      <c r="MSK15" s="41"/>
      <c r="MSL15" s="41"/>
      <c r="MSM15" s="41"/>
      <c r="MSN15" s="41"/>
      <c r="MSO15" s="41"/>
      <c r="MSP15" s="41"/>
      <c r="MSQ15" s="41"/>
      <c r="MSR15" s="41"/>
      <c r="MSS15" s="41"/>
      <c r="MST15" s="41"/>
      <c r="MSU15" s="41"/>
      <c r="MSV15" s="41"/>
      <c r="MSW15" s="41"/>
      <c r="MSX15" s="41"/>
      <c r="MSY15" s="41"/>
      <c r="MSZ15" s="41"/>
      <c r="MTA15" s="41"/>
      <c r="MTB15" s="41"/>
      <c r="MTC15" s="41"/>
      <c r="MTD15" s="41"/>
      <c r="MTE15" s="41"/>
      <c r="MTF15" s="41"/>
      <c r="MTG15" s="41"/>
      <c r="MTH15" s="41"/>
      <c r="MTI15" s="41"/>
      <c r="MTJ15" s="41"/>
      <c r="MTK15" s="41"/>
      <c r="MTL15" s="41"/>
      <c r="MTM15" s="41"/>
      <c r="MTN15" s="41"/>
      <c r="MTO15" s="41"/>
      <c r="MTP15" s="41"/>
      <c r="MTQ15" s="41"/>
      <c r="MTR15" s="41"/>
      <c r="MTS15" s="41"/>
      <c r="MTT15" s="41"/>
      <c r="MTU15" s="41"/>
      <c r="MTV15" s="41"/>
      <c r="MTW15" s="41"/>
      <c r="MTX15" s="41"/>
      <c r="MTY15" s="41"/>
      <c r="MTZ15" s="41"/>
      <c r="MUA15" s="41"/>
      <c r="MUB15" s="41"/>
      <c r="MUC15" s="41"/>
      <c r="MUD15" s="41"/>
      <c r="MUE15" s="41"/>
      <c r="MUF15" s="41"/>
      <c r="MUG15" s="41"/>
      <c r="MUH15" s="41"/>
      <c r="MUI15" s="41"/>
      <c r="MUJ15" s="41"/>
      <c r="MUK15" s="41"/>
      <c r="MUL15" s="41"/>
      <c r="MUM15" s="41"/>
      <c r="MUN15" s="41"/>
      <c r="MUO15" s="41"/>
      <c r="MUP15" s="41"/>
      <c r="MUQ15" s="41"/>
      <c r="MUR15" s="41"/>
      <c r="MUS15" s="41"/>
      <c r="MUT15" s="41"/>
      <c r="MUU15" s="41"/>
      <c r="MUV15" s="41"/>
      <c r="MUW15" s="41"/>
      <c r="MUX15" s="41"/>
      <c r="MUY15" s="41"/>
      <c r="MUZ15" s="41"/>
      <c r="MVA15" s="41"/>
      <c r="MVB15" s="41"/>
      <c r="MVC15" s="41"/>
      <c r="MVD15" s="41"/>
      <c r="MVE15" s="41"/>
      <c r="MVF15" s="41"/>
      <c r="MVG15" s="41"/>
      <c r="MVH15" s="41"/>
      <c r="MVI15" s="41"/>
      <c r="MVJ15" s="41"/>
      <c r="MVK15" s="41"/>
      <c r="MVL15" s="41"/>
      <c r="MVM15" s="41"/>
      <c r="MVN15" s="41"/>
      <c r="MVO15" s="41"/>
      <c r="MVP15" s="41"/>
      <c r="MVQ15" s="41"/>
      <c r="MVR15" s="41"/>
      <c r="MVS15" s="41"/>
      <c r="MVT15" s="41"/>
      <c r="MVU15" s="41"/>
      <c r="MVV15" s="41"/>
      <c r="MVW15" s="41"/>
      <c r="MVX15" s="41"/>
      <c r="MVY15" s="41"/>
      <c r="MVZ15" s="41"/>
      <c r="MWA15" s="41"/>
      <c r="MWB15" s="41"/>
      <c r="MWC15" s="41"/>
      <c r="MWD15" s="41"/>
      <c r="MWE15" s="41"/>
      <c r="MWF15" s="41"/>
      <c r="MWG15" s="41"/>
      <c r="MWH15" s="41"/>
      <c r="MWI15" s="41"/>
      <c r="MWJ15" s="41"/>
      <c r="MWK15" s="41"/>
      <c r="MWL15" s="41"/>
      <c r="MWM15" s="41"/>
      <c r="MWN15" s="41"/>
      <c r="MWO15" s="41"/>
      <c r="MWP15" s="41"/>
      <c r="MWQ15" s="41"/>
      <c r="MWR15" s="41"/>
      <c r="MWS15" s="41"/>
      <c r="MWT15" s="41"/>
      <c r="MWU15" s="41"/>
      <c r="MWV15" s="41"/>
      <c r="MWW15" s="41"/>
      <c r="MWX15" s="41"/>
      <c r="MWY15" s="41"/>
      <c r="MWZ15" s="41"/>
      <c r="MXA15" s="41"/>
      <c r="MXB15" s="41"/>
      <c r="MXC15" s="41"/>
      <c r="MXD15" s="41"/>
      <c r="MXE15" s="41"/>
      <c r="MXF15" s="41"/>
      <c r="MXG15" s="41"/>
      <c r="MXH15" s="41"/>
      <c r="MXI15" s="41"/>
      <c r="MXJ15" s="41"/>
      <c r="MXK15" s="41"/>
      <c r="MXL15" s="41"/>
      <c r="MXM15" s="41"/>
      <c r="MXN15" s="41"/>
      <c r="MXO15" s="41"/>
      <c r="MXP15" s="41"/>
      <c r="MXQ15" s="41"/>
      <c r="MXR15" s="41"/>
      <c r="MXS15" s="41"/>
      <c r="MXT15" s="41"/>
      <c r="MXU15" s="41"/>
      <c r="MXV15" s="41"/>
      <c r="MXW15" s="41"/>
      <c r="MXX15" s="41"/>
      <c r="MXY15" s="41"/>
      <c r="MXZ15" s="41"/>
      <c r="MYA15" s="41"/>
      <c r="MYB15" s="41"/>
      <c r="MYC15" s="41"/>
      <c r="MYD15" s="41"/>
      <c r="MYE15" s="41"/>
      <c r="MYF15" s="41"/>
      <c r="MYG15" s="41"/>
      <c r="MYH15" s="41"/>
      <c r="MYI15" s="41"/>
      <c r="MYJ15" s="41"/>
      <c r="MYK15" s="41"/>
      <c r="MYL15" s="41"/>
      <c r="MYM15" s="41"/>
      <c r="MYN15" s="41"/>
      <c r="MYO15" s="41"/>
      <c r="MYP15" s="41"/>
      <c r="MYQ15" s="41"/>
      <c r="MYR15" s="41"/>
      <c r="MYS15" s="41"/>
      <c r="MYT15" s="41"/>
      <c r="MYU15" s="41"/>
      <c r="MYV15" s="41"/>
      <c r="MYW15" s="41"/>
      <c r="MYX15" s="41"/>
      <c r="MYY15" s="41"/>
      <c r="MYZ15" s="41"/>
      <c r="MZA15" s="41"/>
      <c r="MZB15" s="41"/>
      <c r="MZC15" s="41"/>
      <c r="MZD15" s="41"/>
      <c r="MZE15" s="41"/>
      <c r="MZF15" s="41"/>
      <c r="MZG15" s="41"/>
      <c r="MZH15" s="41"/>
      <c r="MZI15" s="41"/>
      <c r="MZJ15" s="41"/>
      <c r="MZK15" s="41"/>
      <c r="MZL15" s="41"/>
      <c r="MZM15" s="41"/>
      <c r="MZN15" s="41"/>
      <c r="MZO15" s="41"/>
      <c r="MZP15" s="41"/>
      <c r="MZQ15" s="41"/>
      <c r="MZR15" s="41"/>
      <c r="MZS15" s="41"/>
      <c r="MZT15" s="41"/>
      <c r="MZU15" s="41"/>
      <c r="MZV15" s="41"/>
      <c r="MZW15" s="41"/>
      <c r="MZX15" s="41"/>
      <c r="MZY15" s="41"/>
      <c r="MZZ15" s="41"/>
      <c r="NAA15" s="41"/>
      <c r="NAB15" s="41"/>
      <c r="NAC15" s="41"/>
      <c r="NAD15" s="41"/>
      <c r="NAE15" s="41"/>
      <c r="NAF15" s="41"/>
      <c r="NAG15" s="41"/>
      <c r="NAH15" s="41"/>
      <c r="NAI15" s="41"/>
      <c r="NAJ15" s="41"/>
      <c r="NAK15" s="41"/>
      <c r="NAL15" s="41"/>
      <c r="NAM15" s="41"/>
      <c r="NAN15" s="41"/>
      <c r="NAO15" s="41"/>
      <c r="NAP15" s="41"/>
      <c r="NAQ15" s="41"/>
      <c r="NAR15" s="41"/>
      <c r="NAS15" s="41"/>
      <c r="NAT15" s="41"/>
      <c r="NAU15" s="41"/>
      <c r="NAV15" s="41"/>
      <c r="NAW15" s="41"/>
      <c r="NAX15" s="41"/>
      <c r="NAY15" s="41"/>
      <c r="NAZ15" s="41"/>
      <c r="NBA15" s="41"/>
      <c r="NBB15" s="41"/>
      <c r="NBC15" s="41"/>
      <c r="NBD15" s="41"/>
      <c r="NBE15" s="41"/>
      <c r="NBF15" s="41"/>
      <c r="NBG15" s="41"/>
      <c r="NBH15" s="41"/>
      <c r="NBI15" s="41"/>
      <c r="NBJ15" s="41"/>
      <c r="NBK15" s="41"/>
      <c r="NBL15" s="41"/>
      <c r="NBM15" s="41"/>
      <c r="NBN15" s="41"/>
      <c r="NBO15" s="41"/>
      <c r="NBP15" s="41"/>
      <c r="NBQ15" s="41"/>
      <c r="NBR15" s="41"/>
      <c r="NBS15" s="41"/>
      <c r="NBT15" s="41"/>
      <c r="NBU15" s="41"/>
      <c r="NBV15" s="41"/>
      <c r="NBW15" s="41"/>
      <c r="NBX15" s="41"/>
      <c r="NBY15" s="41"/>
      <c r="NBZ15" s="41"/>
      <c r="NCA15" s="41"/>
      <c r="NCB15" s="41"/>
      <c r="NCC15" s="41"/>
      <c r="NCD15" s="41"/>
      <c r="NCE15" s="41"/>
      <c r="NCF15" s="41"/>
      <c r="NCG15" s="41"/>
      <c r="NCH15" s="41"/>
      <c r="NCI15" s="41"/>
      <c r="NCJ15" s="41"/>
      <c r="NCK15" s="41"/>
      <c r="NCL15" s="41"/>
      <c r="NCM15" s="41"/>
      <c r="NCN15" s="41"/>
      <c r="NCO15" s="41"/>
      <c r="NCP15" s="41"/>
      <c r="NCQ15" s="41"/>
      <c r="NCR15" s="41"/>
      <c r="NCS15" s="41"/>
      <c r="NCT15" s="41"/>
      <c r="NCU15" s="41"/>
      <c r="NCV15" s="41"/>
      <c r="NCW15" s="41"/>
      <c r="NCX15" s="41"/>
      <c r="NCY15" s="41"/>
      <c r="NCZ15" s="41"/>
      <c r="NDA15" s="41"/>
      <c r="NDB15" s="41"/>
      <c r="NDC15" s="41"/>
      <c r="NDD15" s="41"/>
      <c r="NDE15" s="41"/>
      <c r="NDF15" s="41"/>
      <c r="NDG15" s="41"/>
      <c r="NDH15" s="41"/>
      <c r="NDI15" s="41"/>
      <c r="NDJ15" s="41"/>
      <c r="NDK15" s="41"/>
      <c r="NDL15" s="41"/>
      <c r="NDM15" s="41"/>
      <c r="NDN15" s="41"/>
      <c r="NDO15" s="41"/>
      <c r="NDP15" s="41"/>
      <c r="NDQ15" s="41"/>
      <c r="NDR15" s="41"/>
      <c r="NDS15" s="41"/>
      <c r="NDT15" s="41"/>
      <c r="NDU15" s="41"/>
      <c r="NDV15" s="41"/>
      <c r="NDW15" s="41"/>
      <c r="NDX15" s="41"/>
      <c r="NDY15" s="41"/>
      <c r="NDZ15" s="41"/>
      <c r="NEA15" s="41"/>
      <c r="NEB15" s="41"/>
      <c r="NEC15" s="41"/>
      <c r="NED15" s="41"/>
      <c r="NEE15" s="41"/>
      <c r="NEF15" s="41"/>
      <c r="NEG15" s="41"/>
      <c r="NEH15" s="41"/>
      <c r="NEI15" s="41"/>
      <c r="NEJ15" s="41"/>
      <c r="NEK15" s="41"/>
      <c r="NEL15" s="41"/>
      <c r="NEM15" s="41"/>
      <c r="NEN15" s="41"/>
      <c r="NEO15" s="41"/>
      <c r="NEP15" s="41"/>
      <c r="NEQ15" s="41"/>
      <c r="NER15" s="41"/>
      <c r="NES15" s="41"/>
      <c r="NET15" s="41"/>
      <c r="NEU15" s="41"/>
      <c r="NEV15" s="41"/>
      <c r="NEW15" s="41"/>
      <c r="NEX15" s="41"/>
      <c r="NEY15" s="41"/>
      <c r="NEZ15" s="41"/>
      <c r="NFA15" s="41"/>
      <c r="NFB15" s="41"/>
      <c r="NFC15" s="41"/>
      <c r="NFD15" s="41"/>
      <c r="NFE15" s="41"/>
      <c r="NFF15" s="41"/>
      <c r="NFG15" s="41"/>
      <c r="NFH15" s="41"/>
      <c r="NFI15" s="41"/>
      <c r="NFJ15" s="41"/>
      <c r="NFK15" s="41"/>
      <c r="NFL15" s="41"/>
      <c r="NFM15" s="41"/>
      <c r="NFN15" s="41"/>
      <c r="NFO15" s="41"/>
      <c r="NFP15" s="41"/>
      <c r="NFQ15" s="41"/>
      <c r="NFR15" s="41"/>
      <c r="NFS15" s="41"/>
      <c r="NFT15" s="41"/>
      <c r="NFU15" s="41"/>
      <c r="NFV15" s="41"/>
      <c r="NFW15" s="41"/>
      <c r="NFX15" s="41"/>
      <c r="NFY15" s="41"/>
      <c r="NFZ15" s="41"/>
      <c r="NGA15" s="41"/>
      <c r="NGB15" s="41"/>
      <c r="NGC15" s="41"/>
      <c r="NGD15" s="41"/>
      <c r="NGE15" s="41"/>
      <c r="NGF15" s="41"/>
      <c r="NGG15" s="41"/>
      <c r="NGH15" s="41"/>
      <c r="NGI15" s="41"/>
      <c r="NGJ15" s="41"/>
      <c r="NGK15" s="41"/>
      <c r="NGL15" s="41"/>
      <c r="NGM15" s="41"/>
      <c r="NGN15" s="41"/>
      <c r="NGO15" s="41"/>
      <c r="NGP15" s="41"/>
      <c r="NGQ15" s="41"/>
      <c r="NGR15" s="41"/>
      <c r="NGS15" s="41"/>
      <c r="NGT15" s="41"/>
      <c r="NGU15" s="41"/>
      <c r="NGV15" s="41"/>
      <c r="NGW15" s="41"/>
      <c r="NGX15" s="41"/>
      <c r="NGY15" s="41"/>
      <c r="NGZ15" s="41"/>
      <c r="NHA15" s="41"/>
      <c r="NHB15" s="41"/>
      <c r="NHC15" s="41"/>
      <c r="NHD15" s="41"/>
      <c r="NHE15" s="41"/>
      <c r="NHF15" s="41"/>
      <c r="NHG15" s="41"/>
      <c r="NHH15" s="41"/>
      <c r="NHI15" s="41"/>
      <c r="NHJ15" s="41"/>
      <c r="NHK15" s="41"/>
      <c r="NHL15" s="41"/>
      <c r="NHM15" s="41"/>
      <c r="NHN15" s="41"/>
      <c r="NHO15" s="41"/>
      <c r="NHP15" s="41"/>
      <c r="NHQ15" s="41"/>
      <c r="NHR15" s="41"/>
      <c r="NHS15" s="41"/>
      <c r="NHT15" s="41"/>
      <c r="NHU15" s="41"/>
      <c r="NHV15" s="41"/>
      <c r="NHW15" s="41"/>
      <c r="NHX15" s="41"/>
      <c r="NHY15" s="41"/>
      <c r="NHZ15" s="41"/>
      <c r="NIA15" s="41"/>
      <c r="NIB15" s="41"/>
      <c r="NIC15" s="41"/>
      <c r="NID15" s="41"/>
      <c r="NIE15" s="41"/>
      <c r="NIF15" s="41"/>
      <c r="NIG15" s="41"/>
      <c r="NIH15" s="41"/>
      <c r="NII15" s="41"/>
      <c r="NIJ15" s="41"/>
      <c r="NIK15" s="41"/>
      <c r="NIL15" s="41"/>
      <c r="NIM15" s="41"/>
      <c r="NIN15" s="41"/>
      <c r="NIO15" s="41"/>
      <c r="NIP15" s="41"/>
      <c r="NIQ15" s="41"/>
      <c r="NIR15" s="41"/>
      <c r="NIS15" s="41"/>
      <c r="NIT15" s="41"/>
      <c r="NIU15" s="41"/>
      <c r="NIV15" s="41"/>
      <c r="NIW15" s="41"/>
      <c r="NIX15" s="41"/>
      <c r="NIY15" s="41"/>
      <c r="NIZ15" s="41"/>
      <c r="NJA15" s="41"/>
      <c r="NJB15" s="41"/>
      <c r="NJC15" s="41"/>
      <c r="NJD15" s="41"/>
      <c r="NJE15" s="41"/>
      <c r="NJF15" s="41"/>
      <c r="NJG15" s="41"/>
      <c r="NJH15" s="41"/>
      <c r="NJI15" s="41"/>
      <c r="NJJ15" s="41"/>
      <c r="NJK15" s="41"/>
      <c r="NJL15" s="41"/>
      <c r="NJM15" s="41"/>
      <c r="NJN15" s="41"/>
      <c r="NJO15" s="41"/>
      <c r="NJP15" s="41"/>
      <c r="NJQ15" s="41"/>
      <c r="NJR15" s="41"/>
      <c r="NJS15" s="41"/>
      <c r="NJT15" s="41"/>
      <c r="NJU15" s="41"/>
      <c r="NJV15" s="41"/>
      <c r="NJW15" s="41"/>
      <c r="NJX15" s="41"/>
      <c r="NJY15" s="41"/>
      <c r="NJZ15" s="41"/>
      <c r="NKA15" s="41"/>
      <c r="NKB15" s="41"/>
      <c r="NKC15" s="41"/>
      <c r="NKD15" s="41"/>
      <c r="NKE15" s="41"/>
      <c r="NKF15" s="41"/>
      <c r="NKG15" s="41"/>
      <c r="NKH15" s="41"/>
      <c r="NKI15" s="41"/>
      <c r="NKJ15" s="41"/>
      <c r="NKK15" s="41"/>
      <c r="NKL15" s="41"/>
      <c r="NKM15" s="41"/>
      <c r="NKN15" s="41"/>
      <c r="NKO15" s="41"/>
      <c r="NKP15" s="41"/>
      <c r="NKQ15" s="41"/>
      <c r="NKR15" s="41"/>
      <c r="NKS15" s="41"/>
      <c r="NKT15" s="41"/>
      <c r="NKU15" s="41"/>
      <c r="NKV15" s="41"/>
      <c r="NKW15" s="41"/>
      <c r="NKX15" s="41"/>
      <c r="NKY15" s="41"/>
      <c r="NKZ15" s="41"/>
      <c r="NLA15" s="41"/>
      <c r="NLB15" s="41"/>
      <c r="NLC15" s="41"/>
      <c r="NLD15" s="41"/>
      <c r="NLE15" s="41"/>
      <c r="NLF15" s="41"/>
      <c r="NLG15" s="41"/>
      <c r="NLH15" s="41"/>
      <c r="NLI15" s="41"/>
      <c r="NLJ15" s="41"/>
      <c r="NLK15" s="41"/>
      <c r="NLL15" s="41"/>
      <c r="NLM15" s="41"/>
      <c r="NLN15" s="41"/>
      <c r="NLO15" s="41"/>
      <c r="NLP15" s="41"/>
      <c r="NLQ15" s="41"/>
      <c r="NLR15" s="41"/>
      <c r="NLS15" s="41"/>
      <c r="NLT15" s="41"/>
      <c r="NLU15" s="41"/>
      <c r="NLV15" s="41"/>
      <c r="NLW15" s="41"/>
      <c r="NLX15" s="41"/>
      <c r="NLY15" s="41"/>
      <c r="NLZ15" s="41"/>
      <c r="NMA15" s="41"/>
      <c r="NMB15" s="41"/>
      <c r="NMC15" s="41"/>
      <c r="NMD15" s="41"/>
      <c r="NME15" s="41"/>
      <c r="NMF15" s="41"/>
      <c r="NMG15" s="41"/>
      <c r="NMH15" s="41"/>
      <c r="NMI15" s="41"/>
      <c r="NMJ15" s="41"/>
      <c r="NMK15" s="41"/>
      <c r="NML15" s="41"/>
      <c r="NMM15" s="41"/>
      <c r="NMN15" s="41"/>
      <c r="NMO15" s="41"/>
      <c r="NMP15" s="41"/>
      <c r="NMQ15" s="41"/>
      <c r="NMR15" s="41"/>
      <c r="NMS15" s="41"/>
      <c r="NMT15" s="41"/>
      <c r="NMU15" s="41"/>
      <c r="NMV15" s="41"/>
      <c r="NMW15" s="41"/>
      <c r="NMX15" s="41"/>
      <c r="NMY15" s="41"/>
      <c r="NMZ15" s="41"/>
      <c r="NNA15" s="41"/>
      <c r="NNB15" s="41"/>
      <c r="NNC15" s="41"/>
      <c r="NND15" s="41"/>
      <c r="NNE15" s="41"/>
      <c r="NNF15" s="41"/>
      <c r="NNG15" s="41"/>
      <c r="NNH15" s="41"/>
      <c r="NNI15" s="41"/>
      <c r="NNJ15" s="41"/>
      <c r="NNK15" s="41"/>
      <c r="NNL15" s="41"/>
      <c r="NNM15" s="41"/>
      <c r="NNN15" s="41"/>
      <c r="NNO15" s="41"/>
      <c r="NNP15" s="41"/>
      <c r="NNQ15" s="41"/>
      <c r="NNR15" s="41"/>
      <c r="NNS15" s="41"/>
      <c r="NNT15" s="41"/>
      <c r="NNU15" s="41"/>
      <c r="NNV15" s="41"/>
      <c r="NNW15" s="41"/>
      <c r="NNX15" s="41"/>
      <c r="NNY15" s="41"/>
      <c r="NNZ15" s="41"/>
      <c r="NOA15" s="41"/>
      <c r="NOB15" s="41"/>
      <c r="NOC15" s="41"/>
      <c r="NOD15" s="41"/>
      <c r="NOE15" s="41"/>
      <c r="NOF15" s="41"/>
      <c r="NOG15" s="41"/>
      <c r="NOH15" s="41"/>
      <c r="NOI15" s="41"/>
      <c r="NOJ15" s="41"/>
      <c r="NOK15" s="41"/>
      <c r="NOL15" s="41"/>
      <c r="NOM15" s="41"/>
      <c r="NON15" s="41"/>
      <c r="NOO15" s="41"/>
      <c r="NOP15" s="41"/>
      <c r="NOQ15" s="41"/>
      <c r="NOR15" s="41"/>
      <c r="NOS15" s="41"/>
      <c r="NOT15" s="41"/>
      <c r="NOU15" s="41"/>
      <c r="NOV15" s="41"/>
      <c r="NOW15" s="41"/>
      <c r="NOX15" s="41"/>
      <c r="NOY15" s="41"/>
      <c r="NOZ15" s="41"/>
      <c r="NPA15" s="41"/>
      <c r="NPB15" s="41"/>
      <c r="NPC15" s="41"/>
      <c r="NPD15" s="41"/>
      <c r="NPE15" s="41"/>
      <c r="NPF15" s="41"/>
      <c r="NPG15" s="41"/>
      <c r="NPH15" s="41"/>
      <c r="NPI15" s="41"/>
      <c r="NPJ15" s="41"/>
      <c r="NPK15" s="41"/>
      <c r="NPL15" s="41"/>
      <c r="NPM15" s="41"/>
      <c r="NPN15" s="41"/>
      <c r="NPO15" s="41"/>
      <c r="NPP15" s="41"/>
      <c r="NPQ15" s="41"/>
      <c r="NPR15" s="41"/>
      <c r="NPS15" s="41"/>
      <c r="NPT15" s="41"/>
      <c r="NPU15" s="41"/>
      <c r="NPV15" s="41"/>
      <c r="NPW15" s="41"/>
      <c r="NPX15" s="41"/>
      <c r="NPY15" s="41"/>
      <c r="NPZ15" s="41"/>
      <c r="NQA15" s="41"/>
      <c r="NQB15" s="41"/>
      <c r="NQC15" s="41"/>
      <c r="NQD15" s="41"/>
      <c r="NQE15" s="41"/>
      <c r="NQF15" s="41"/>
      <c r="NQG15" s="41"/>
      <c r="NQH15" s="41"/>
      <c r="NQI15" s="41"/>
      <c r="NQJ15" s="41"/>
      <c r="NQK15" s="41"/>
      <c r="NQL15" s="41"/>
      <c r="NQM15" s="41"/>
      <c r="NQN15" s="41"/>
      <c r="NQO15" s="41"/>
      <c r="NQP15" s="41"/>
      <c r="NQQ15" s="41"/>
      <c r="NQR15" s="41"/>
      <c r="NQS15" s="41"/>
      <c r="NQT15" s="41"/>
      <c r="NQU15" s="41"/>
      <c r="NQV15" s="41"/>
      <c r="NQW15" s="41"/>
      <c r="NQX15" s="41"/>
      <c r="NQY15" s="41"/>
      <c r="NQZ15" s="41"/>
      <c r="NRA15" s="41"/>
      <c r="NRB15" s="41"/>
      <c r="NRC15" s="41"/>
      <c r="NRD15" s="41"/>
      <c r="NRE15" s="41"/>
      <c r="NRF15" s="41"/>
      <c r="NRG15" s="41"/>
      <c r="NRH15" s="41"/>
      <c r="NRI15" s="41"/>
      <c r="NRJ15" s="41"/>
      <c r="NRK15" s="41"/>
      <c r="NRL15" s="41"/>
      <c r="NRM15" s="41"/>
      <c r="NRN15" s="41"/>
      <c r="NRO15" s="41"/>
      <c r="NRP15" s="41"/>
      <c r="NRQ15" s="41"/>
      <c r="NRR15" s="41"/>
      <c r="NRS15" s="41"/>
      <c r="NRT15" s="41"/>
      <c r="NRU15" s="41"/>
      <c r="NRV15" s="41"/>
      <c r="NRW15" s="41"/>
      <c r="NRX15" s="41"/>
      <c r="NRY15" s="41"/>
      <c r="NRZ15" s="41"/>
      <c r="NSA15" s="41"/>
      <c r="NSB15" s="41"/>
      <c r="NSC15" s="41"/>
      <c r="NSD15" s="41"/>
      <c r="NSE15" s="41"/>
      <c r="NSF15" s="41"/>
      <c r="NSG15" s="41"/>
      <c r="NSH15" s="41"/>
      <c r="NSI15" s="41"/>
      <c r="NSJ15" s="41"/>
      <c r="NSK15" s="41"/>
      <c r="NSL15" s="41"/>
      <c r="NSM15" s="41"/>
      <c r="NSN15" s="41"/>
      <c r="NSO15" s="41"/>
      <c r="NSP15" s="41"/>
      <c r="NSQ15" s="41"/>
      <c r="NSR15" s="41"/>
      <c r="NSS15" s="41"/>
      <c r="NST15" s="41"/>
      <c r="NSU15" s="41"/>
      <c r="NSV15" s="41"/>
      <c r="NSW15" s="41"/>
      <c r="NSX15" s="41"/>
      <c r="NSY15" s="41"/>
      <c r="NSZ15" s="41"/>
      <c r="NTA15" s="41"/>
      <c r="NTB15" s="41"/>
      <c r="NTC15" s="41"/>
      <c r="NTD15" s="41"/>
      <c r="NTE15" s="41"/>
      <c r="NTF15" s="41"/>
      <c r="NTG15" s="41"/>
      <c r="NTH15" s="41"/>
      <c r="NTI15" s="41"/>
      <c r="NTJ15" s="41"/>
      <c r="NTK15" s="41"/>
      <c r="NTL15" s="41"/>
      <c r="NTM15" s="41"/>
      <c r="NTN15" s="41"/>
      <c r="NTO15" s="41"/>
      <c r="NTP15" s="41"/>
      <c r="NTQ15" s="41"/>
      <c r="NTR15" s="41"/>
      <c r="NTS15" s="41"/>
      <c r="NTT15" s="41"/>
      <c r="NTU15" s="41"/>
      <c r="NTV15" s="41"/>
      <c r="NTW15" s="41"/>
      <c r="NTX15" s="41"/>
      <c r="NTY15" s="41"/>
      <c r="NTZ15" s="41"/>
      <c r="NUA15" s="41"/>
      <c r="NUB15" s="41"/>
      <c r="NUC15" s="41"/>
      <c r="NUD15" s="41"/>
      <c r="NUE15" s="41"/>
      <c r="NUF15" s="41"/>
      <c r="NUG15" s="41"/>
      <c r="NUH15" s="41"/>
      <c r="NUI15" s="41"/>
      <c r="NUJ15" s="41"/>
      <c r="NUK15" s="41"/>
      <c r="NUL15" s="41"/>
      <c r="NUM15" s="41"/>
      <c r="NUN15" s="41"/>
      <c r="NUO15" s="41"/>
      <c r="NUP15" s="41"/>
      <c r="NUQ15" s="41"/>
      <c r="NUR15" s="41"/>
      <c r="NUS15" s="41"/>
      <c r="NUT15" s="41"/>
      <c r="NUU15" s="41"/>
      <c r="NUV15" s="41"/>
      <c r="NUW15" s="41"/>
      <c r="NUX15" s="41"/>
      <c r="NUY15" s="41"/>
      <c r="NUZ15" s="41"/>
      <c r="NVA15" s="41"/>
      <c r="NVB15" s="41"/>
      <c r="NVC15" s="41"/>
      <c r="NVD15" s="41"/>
      <c r="NVE15" s="41"/>
      <c r="NVF15" s="41"/>
      <c r="NVG15" s="41"/>
      <c r="NVH15" s="41"/>
      <c r="NVI15" s="41"/>
      <c r="NVJ15" s="41"/>
      <c r="NVK15" s="41"/>
      <c r="NVL15" s="41"/>
      <c r="NVM15" s="41"/>
      <c r="NVN15" s="41"/>
      <c r="NVO15" s="41"/>
      <c r="NVP15" s="41"/>
      <c r="NVQ15" s="41"/>
      <c r="NVR15" s="41"/>
      <c r="NVS15" s="41"/>
      <c r="NVT15" s="41"/>
      <c r="NVU15" s="41"/>
      <c r="NVV15" s="41"/>
      <c r="NVW15" s="41"/>
      <c r="NVX15" s="41"/>
      <c r="NVY15" s="41"/>
      <c r="NVZ15" s="41"/>
      <c r="NWA15" s="41"/>
      <c r="NWB15" s="41"/>
      <c r="NWC15" s="41"/>
      <c r="NWD15" s="41"/>
      <c r="NWE15" s="41"/>
      <c r="NWF15" s="41"/>
      <c r="NWG15" s="41"/>
      <c r="NWH15" s="41"/>
      <c r="NWI15" s="41"/>
      <c r="NWJ15" s="41"/>
      <c r="NWK15" s="41"/>
      <c r="NWL15" s="41"/>
      <c r="NWM15" s="41"/>
      <c r="NWN15" s="41"/>
      <c r="NWO15" s="41"/>
      <c r="NWP15" s="41"/>
      <c r="NWQ15" s="41"/>
      <c r="NWR15" s="41"/>
      <c r="NWS15" s="41"/>
      <c r="NWT15" s="41"/>
      <c r="NWU15" s="41"/>
      <c r="NWV15" s="41"/>
      <c r="NWW15" s="41"/>
      <c r="NWX15" s="41"/>
      <c r="NWY15" s="41"/>
      <c r="NWZ15" s="41"/>
      <c r="NXA15" s="41"/>
      <c r="NXB15" s="41"/>
      <c r="NXC15" s="41"/>
      <c r="NXD15" s="41"/>
      <c r="NXE15" s="41"/>
      <c r="NXF15" s="41"/>
      <c r="NXG15" s="41"/>
      <c r="NXH15" s="41"/>
      <c r="NXI15" s="41"/>
      <c r="NXJ15" s="41"/>
      <c r="NXK15" s="41"/>
      <c r="NXL15" s="41"/>
      <c r="NXM15" s="41"/>
      <c r="NXN15" s="41"/>
      <c r="NXO15" s="41"/>
      <c r="NXP15" s="41"/>
      <c r="NXQ15" s="41"/>
      <c r="NXR15" s="41"/>
      <c r="NXS15" s="41"/>
      <c r="NXT15" s="41"/>
      <c r="NXU15" s="41"/>
      <c r="NXV15" s="41"/>
      <c r="NXW15" s="41"/>
      <c r="NXX15" s="41"/>
      <c r="NXY15" s="41"/>
      <c r="NXZ15" s="41"/>
      <c r="NYA15" s="41"/>
      <c r="NYB15" s="41"/>
      <c r="NYC15" s="41"/>
      <c r="NYD15" s="41"/>
      <c r="NYE15" s="41"/>
      <c r="NYF15" s="41"/>
      <c r="NYG15" s="41"/>
      <c r="NYH15" s="41"/>
      <c r="NYI15" s="41"/>
      <c r="NYJ15" s="41"/>
      <c r="NYK15" s="41"/>
      <c r="NYL15" s="41"/>
      <c r="NYM15" s="41"/>
      <c r="NYN15" s="41"/>
      <c r="NYO15" s="41"/>
      <c r="NYP15" s="41"/>
      <c r="NYQ15" s="41"/>
      <c r="NYR15" s="41"/>
      <c r="NYS15" s="41"/>
      <c r="NYT15" s="41"/>
      <c r="NYU15" s="41"/>
      <c r="NYV15" s="41"/>
      <c r="NYW15" s="41"/>
      <c r="NYX15" s="41"/>
      <c r="NYY15" s="41"/>
      <c r="NYZ15" s="41"/>
      <c r="NZA15" s="41"/>
      <c r="NZB15" s="41"/>
      <c r="NZC15" s="41"/>
      <c r="NZD15" s="41"/>
      <c r="NZE15" s="41"/>
      <c r="NZF15" s="41"/>
      <c r="NZG15" s="41"/>
      <c r="NZH15" s="41"/>
      <c r="NZI15" s="41"/>
      <c r="NZJ15" s="41"/>
      <c r="NZK15" s="41"/>
      <c r="NZL15" s="41"/>
      <c r="NZM15" s="41"/>
      <c r="NZN15" s="41"/>
      <c r="NZO15" s="41"/>
      <c r="NZP15" s="41"/>
      <c r="NZQ15" s="41"/>
      <c r="NZR15" s="41"/>
      <c r="NZS15" s="41"/>
      <c r="NZT15" s="41"/>
      <c r="NZU15" s="41"/>
      <c r="NZV15" s="41"/>
      <c r="NZW15" s="41"/>
      <c r="NZX15" s="41"/>
      <c r="NZY15" s="41"/>
      <c r="NZZ15" s="41"/>
      <c r="OAA15" s="41"/>
      <c r="OAB15" s="41"/>
      <c r="OAC15" s="41"/>
      <c r="OAD15" s="41"/>
      <c r="OAE15" s="41"/>
      <c r="OAF15" s="41"/>
      <c r="OAG15" s="41"/>
      <c r="OAH15" s="41"/>
      <c r="OAI15" s="41"/>
      <c r="OAJ15" s="41"/>
      <c r="OAK15" s="41"/>
      <c r="OAL15" s="41"/>
      <c r="OAM15" s="41"/>
      <c r="OAN15" s="41"/>
      <c r="OAO15" s="41"/>
      <c r="OAP15" s="41"/>
      <c r="OAQ15" s="41"/>
      <c r="OAR15" s="41"/>
      <c r="OAS15" s="41"/>
      <c r="OAT15" s="41"/>
      <c r="OAU15" s="41"/>
      <c r="OAV15" s="41"/>
      <c r="OAW15" s="41"/>
      <c r="OAX15" s="41"/>
      <c r="OAY15" s="41"/>
      <c r="OAZ15" s="41"/>
      <c r="OBA15" s="41"/>
      <c r="OBB15" s="41"/>
      <c r="OBC15" s="41"/>
      <c r="OBD15" s="41"/>
      <c r="OBE15" s="41"/>
      <c r="OBF15" s="41"/>
      <c r="OBG15" s="41"/>
      <c r="OBH15" s="41"/>
      <c r="OBI15" s="41"/>
      <c r="OBJ15" s="41"/>
      <c r="OBK15" s="41"/>
      <c r="OBL15" s="41"/>
      <c r="OBM15" s="41"/>
      <c r="OBN15" s="41"/>
      <c r="OBO15" s="41"/>
      <c r="OBP15" s="41"/>
      <c r="OBQ15" s="41"/>
      <c r="OBR15" s="41"/>
      <c r="OBS15" s="41"/>
      <c r="OBT15" s="41"/>
      <c r="OBU15" s="41"/>
      <c r="OBV15" s="41"/>
      <c r="OBW15" s="41"/>
      <c r="OBX15" s="41"/>
      <c r="OBY15" s="41"/>
      <c r="OBZ15" s="41"/>
      <c r="OCA15" s="41"/>
      <c r="OCB15" s="41"/>
      <c r="OCC15" s="41"/>
      <c r="OCD15" s="41"/>
      <c r="OCE15" s="41"/>
      <c r="OCF15" s="41"/>
      <c r="OCG15" s="41"/>
      <c r="OCH15" s="41"/>
      <c r="OCI15" s="41"/>
      <c r="OCJ15" s="41"/>
      <c r="OCK15" s="41"/>
      <c r="OCL15" s="41"/>
      <c r="OCM15" s="41"/>
      <c r="OCN15" s="41"/>
      <c r="OCO15" s="41"/>
      <c r="OCP15" s="41"/>
      <c r="OCQ15" s="41"/>
      <c r="OCR15" s="41"/>
      <c r="OCS15" s="41"/>
      <c r="OCT15" s="41"/>
      <c r="OCU15" s="41"/>
      <c r="OCV15" s="41"/>
      <c r="OCW15" s="41"/>
      <c r="OCX15" s="41"/>
      <c r="OCY15" s="41"/>
      <c r="OCZ15" s="41"/>
      <c r="ODA15" s="41"/>
      <c r="ODB15" s="41"/>
      <c r="ODC15" s="41"/>
      <c r="ODD15" s="41"/>
      <c r="ODE15" s="41"/>
      <c r="ODF15" s="41"/>
      <c r="ODG15" s="41"/>
      <c r="ODH15" s="41"/>
      <c r="ODI15" s="41"/>
      <c r="ODJ15" s="41"/>
      <c r="ODK15" s="41"/>
      <c r="ODL15" s="41"/>
      <c r="ODM15" s="41"/>
      <c r="ODN15" s="41"/>
      <c r="ODO15" s="41"/>
      <c r="ODP15" s="41"/>
      <c r="ODQ15" s="41"/>
      <c r="ODR15" s="41"/>
      <c r="ODS15" s="41"/>
      <c r="ODT15" s="41"/>
      <c r="ODU15" s="41"/>
      <c r="ODV15" s="41"/>
      <c r="ODW15" s="41"/>
      <c r="ODX15" s="41"/>
      <c r="ODY15" s="41"/>
      <c r="ODZ15" s="41"/>
      <c r="OEA15" s="41"/>
      <c r="OEB15" s="41"/>
      <c r="OEC15" s="41"/>
      <c r="OED15" s="41"/>
      <c r="OEE15" s="41"/>
      <c r="OEF15" s="41"/>
      <c r="OEG15" s="41"/>
      <c r="OEH15" s="41"/>
      <c r="OEI15" s="41"/>
      <c r="OEJ15" s="41"/>
      <c r="OEK15" s="41"/>
      <c r="OEL15" s="41"/>
      <c r="OEM15" s="41"/>
      <c r="OEN15" s="41"/>
      <c r="OEO15" s="41"/>
      <c r="OEP15" s="41"/>
      <c r="OEQ15" s="41"/>
      <c r="OER15" s="41"/>
      <c r="OES15" s="41"/>
      <c r="OET15" s="41"/>
      <c r="OEU15" s="41"/>
      <c r="OEV15" s="41"/>
      <c r="OEW15" s="41"/>
      <c r="OEX15" s="41"/>
      <c r="OEY15" s="41"/>
      <c r="OEZ15" s="41"/>
      <c r="OFA15" s="41"/>
      <c r="OFB15" s="41"/>
      <c r="OFC15" s="41"/>
      <c r="OFD15" s="41"/>
      <c r="OFE15" s="41"/>
      <c r="OFF15" s="41"/>
      <c r="OFG15" s="41"/>
      <c r="OFH15" s="41"/>
      <c r="OFI15" s="41"/>
      <c r="OFJ15" s="41"/>
      <c r="OFK15" s="41"/>
      <c r="OFL15" s="41"/>
      <c r="OFM15" s="41"/>
      <c r="OFN15" s="41"/>
      <c r="OFO15" s="41"/>
      <c r="OFP15" s="41"/>
      <c r="OFQ15" s="41"/>
      <c r="OFR15" s="41"/>
      <c r="OFS15" s="41"/>
      <c r="OFT15" s="41"/>
      <c r="OFU15" s="41"/>
      <c r="OFV15" s="41"/>
      <c r="OFW15" s="41"/>
      <c r="OFX15" s="41"/>
      <c r="OFY15" s="41"/>
      <c r="OFZ15" s="41"/>
      <c r="OGA15" s="41"/>
      <c r="OGB15" s="41"/>
      <c r="OGC15" s="41"/>
      <c r="OGD15" s="41"/>
      <c r="OGE15" s="41"/>
      <c r="OGF15" s="41"/>
      <c r="OGG15" s="41"/>
      <c r="OGH15" s="41"/>
      <c r="OGI15" s="41"/>
      <c r="OGJ15" s="41"/>
      <c r="OGK15" s="41"/>
      <c r="OGL15" s="41"/>
      <c r="OGM15" s="41"/>
      <c r="OGN15" s="41"/>
      <c r="OGO15" s="41"/>
      <c r="OGP15" s="41"/>
      <c r="OGQ15" s="41"/>
      <c r="OGR15" s="41"/>
      <c r="OGS15" s="41"/>
      <c r="OGT15" s="41"/>
      <c r="OGU15" s="41"/>
      <c r="OGV15" s="41"/>
      <c r="OGW15" s="41"/>
      <c r="OGX15" s="41"/>
      <c r="OGY15" s="41"/>
      <c r="OGZ15" s="41"/>
      <c r="OHA15" s="41"/>
      <c r="OHB15" s="41"/>
      <c r="OHC15" s="41"/>
      <c r="OHD15" s="41"/>
      <c r="OHE15" s="41"/>
      <c r="OHF15" s="41"/>
      <c r="OHG15" s="41"/>
      <c r="OHH15" s="41"/>
      <c r="OHI15" s="41"/>
      <c r="OHJ15" s="41"/>
      <c r="OHK15" s="41"/>
      <c r="OHL15" s="41"/>
      <c r="OHM15" s="41"/>
      <c r="OHN15" s="41"/>
      <c r="OHO15" s="41"/>
      <c r="OHP15" s="41"/>
      <c r="OHQ15" s="41"/>
      <c r="OHR15" s="41"/>
      <c r="OHS15" s="41"/>
      <c r="OHT15" s="41"/>
      <c r="OHU15" s="41"/>
      <c r="OHV15" s="41"/>
      <c r="OHW15" s="41"/>
      <c r="OHX15" s="41"/>
      <c r="OHY15" s="41"/>
      <c r="OHZ15" s="41"/>
      <c r="OIA15" s="41"/>
      <c r="OIB15" s="41"/>
      <c r="OIC15" s="41"/>
      <c r="OID15" s="41"/>
      <c r="OIE15" s="41"/>
      <c r="OIF15" s="41"/>
      <c r="OIG15" s="41"/>
      <c r="OIH15" s="41"/>
      <c r="OII15" s="41"/>
      <c r="OIJ15" s="41"/>
      <c r="OIK15" s="41"/>
      <c r="OIL15" s="41"/>
      <c r="OIM15" s="41"/>
      <c r="OIN15" s="41"/>
      <c r="OIO15" s="41"/>
      <c r="OIP15" s="41"/>
      <c r="OIQ15" s="41"/>
      <c r="OIR15" s="41"/>
      <c r="OIS15" s="41"/>
      <c r="OIT15" s="41"/>
      <c r="OIU15" s="41"/>
      <c r="OIV15" s="41"/>
      <c r="OIW15" s="41"/>
      <c r="OIX15" s="41"/>
      <c r="OIY15" s="41"/>
      <c r="OIZ15" s="41"/>
      <c r="OJA15" s="41"/>
      <c r="OJB15" s="41"/>
      <c r="OJC15" s="41"/>
      <c r="OJD15" s="41"/>
      <c r="OJE15" s="41"/>
      <c r="OJF15" s="41"/>
      <c r="OJG15" s="41"/>
      <c r="OJH15" s="41"/>
      <c r="OJI15" s="41"/>
      <c r="OJJ15" s="41"/>
      <c r="OJK15" s="41"/>
      <c r="OJL15" s="41"/>
      <c r="OJM15" s="41"/>
      <c r="OJN15" s="41"/>
      <c r="OJO15" s="41"/>
      <c r="OJP15" s="41"/>
      <c r="OJQ15" s="41"/>
      <c r="OJR15" s="41"/>
      <c r="OJS15" s="41"/>
      <c r="OJT15" s="41"/>
      <c r="OJU15" s="41"/>
      <c r="OJV15" s="41"/>
      <c r="OJW15" s="41"/>
      <c r="OJX15" s="41"/>
      <c r="OJY15" s="41"/>
      <c r="OJZ15" s="41"/>
      <c r="OKA15" s="41"/>
      <c r="OKB15" s="41"/>
      <c r="OKC15" s="41"/>
      <c r="OKD15" s="41"/>
      <c r="OKE15" s="41"/>
      <c r="OKF15" s="41"/>
      <c r="OKG15" s="41"/>
      <c r="OKH15" s="41"/>
      <c r="OKI15" s="41"/>
      <c r="OKJ15" s="41"/>
      <c r="OKK15" s="41"/>
      <c r="OKL15" s="41"/>
      <c r="OKM15" s="41"/>
      <c r="OKN15" s="41"/>
      <c r="OKO15" s="41"/>
      <c r="OKP15" s="41"/>
      <c r="OKQ15" s="41"/>
      <c r="OKR15" s="41"/>
      <c r="OKS15" s="41"/>
      <c r="OKT15" s="41"/>
      <c r="OKU15" s="41"/>
      <c r="OKV15" s="41"/>
      <c r="OKW15" s="41"/>
      <c r="OKX15" s="41"/>
      <c r="OKY15" s="41"/>
      <c r="OKZ15" s="41"/>
      <c r="OLA15" s="41"/>
      <c r="OLB15" s="41"/>
      <c r="OLC15" s="41"/>
      <c r="OLD15" s="41"/>
      <c r="OLE15" s="41"/>
      <c r="OLF15" s="41"/>
      <c r="OLG15" s="41"/>
      <c r="OLH15" s="41"/>
      <c r="OLI15" s="41"/>
      <c r="OLJ15" s="41"/>
      <c r="OLK15" s="41"/>
      <c r="OLL15" s="41"/>
      <c r="OLM15" s="41"/>
      <c r="OLN15" s="41"/>
      <c r="OLO15" s="41"/>
      <c r="OLP15" s="41"/>
      <c r="OLQ15" s="41"/>
      <c r="OLR15" s="41"/>
      <c r="OLS15" s="41"/>
      <c r="OLT15" s="41"/>
      <c r="OLU15" s="41"/>
      <c r="OLV15" s="41"/>
      <c r="OLW15" s="41"/>
      <c r="OLX15" s="41"/>
      <c r="OLY15" s="41"/>
      <c r="OLZ15" s="41"/>
      <c r="OMA15" s="41"/>
      <c r="OMB15" s="41"/>
      <c r="OMC15" s="41"/>
      <c r="OMD15" s="41"/>
      <c r="OME15" s="41"/>
      <c r="OMF15" s="41"/>
      <c r="OMG15" s="41"/>
      <c r="OMH15" s="41"/>
      <c r="OMI15" s="41"/>
      <c r="OMJ15" s="41"/>
      <c r="OMK15" s="41"/>
      <c r="OML15" s="41"/>
      <c r="OMM15" s="41"/>
      <c r="OMN15" s="41"/>
      <c r="OMO15" s="41"/>
      <c r="OMP15" s="41"/>
      <c r="OMQ15" s="41"/>
      <c r="OMR15" s="41"/>
      <c r="OMS15" s="41"/>
      <c r="OMT15" s="41"/>
      <c r="OMU15" s="41"/>
      <c r="OMV15" s="41"/>
      <c r="OMW15" s="41"/>
      <c r="OMX15" s="41"/>
      <c r="OMY15" s="41"/>
      <c r="OMZ15" s="41"/>
      <c r="ONA15" s="41"/>
      <c r="ONB15" s="41"/>
      <c r="ONC15" s="41"/>
      <c r="OND15" s="41"/>
      <c r="ONE15" s="41"/>
      <c r="ONF15" s="41"/>
      <c r="ONG15" s="41"/>
      <c r="ONH15" s="41"/>
      <c r="ONI15" s="41"/>
      <c r="ONJ15" s="41"/>
      <c r="ONK15" s="41"/>
      <c r="ONL15" s="41"/>
      <c r="ONM15" s="41"/>
      <c r="ONN15" s="41"/>
      <c r="ONO15" s="41"/>
      <c r="ONP15" s="41"/>
      <c r="ONQ15" s="41"/>
      <c r="ONR15" s="41"/>
      <c r="ONS15" s="41"/>
      <c r="ONT15" s="41"/>
      <c r="ONU15" s="41"/>
      <c r="ONV15" s="41"/>
      <c r="ONW15" s="41"/>
      <c r="ONX15" s="41"/>
      <c r="ONY15" s="41"/>
      <c r="ONZ15" s="41"/>
      <c r="OOA15" s="41"/>
      <c r="OOB15" s="41"/>
      <c r="OOC15" s="41"/>
      <c r="OOD15" s="41"/>
      <c r="OOE15" s="41"/>
      <c r="OOF15" s="41"/>
      <c r="OOG15" s="41"/>
      <c r="OOH15" s="41"/>
      <c r="OOI15" s="41"/>
      <c r="OOJ15" s="41"/>
      <c r="OOK15" s="41"/>
      <c r="OOL15" s="41"/>
      <c r="OOM15" s="41"/>
      <c r="OON15" s="41"/>
      <c r="OOO15" s="41"/>
      <c r="OOP15" s="41"/>
      <c r="OOQ15" s="41"/>
      <c r="OOR15" s="41"/>
      <c r="OOS15" s="41"/>
      <c r="OOT15" s="41"/>
      <c r="OOU15" s="41"/>
      <c r="OOV15" s="41"/>
      <c r="OOW15" s="41"/>
      <c r="OOX15" s="41"/>
      <c r="OOY15" s="41"/>
      <c r="OOZ15" s="41"/>
      <c r="OPA15" s="41"/>
      <c r="OPB15" s="41"/>
      <c r="OPC15" s="41"/>
      <c r="OPD15" s="41"/>
      <c r="OPE15" s="41"/>
      <c r="OPF15" s="41"/>
      <c r="OPG15" s="41"/>
      <c r="OPH15" s="41"/>
      <c r="OPI15" s="41"/>
      <c r="OPJ15" s="41"/>
      <c r="OPK15" s="41"/>
      <c r="OPL15" s="41"/>
      <c r="OPM15" s="41"/>
      <c r="OPN15" s="41"/>
      <c r="OPO15" s="41"/>
      <c r="OPP15" s="41"/>
      <c r="OPQ15" s="41"/>
      <c r="OPR15" s="41"/>
      <c r="OPS15" s="41"/>
      <c r="OPT15" s="41"/>
      <c r="OPU15" s="41"/>
      <c r="OPV15" s="41"/>
      <c r="OPW15" s="41"/>
      <c r="OPX15" s="41"/>
      <c r="OPY15" s="41"/>
      <c r="OPZ15" s="41"/>
      <c r="OQA15" s="41"/>
      <c r="OQB15" s="41"/>
      <c r="OQC15" s="41"/>
      <c r="OQD15" s="41"/>
      <c r="OQE15" s="41"/>
      <c r="OQF15" s="41"/>
      <c r="OQG15" s="41"/>
      <c r="OQH15" s="41"/>
      <c r="OQI15" s="41"/>
      <c r="OQJ15" s="41"/>
      <c r="OQK15" s="41"/>
      <c r="OQL15" s="41"/>
      <c r="OQM15" s="41"/>
      <c r="OQN15" s="41"/>
      <c r="OQO15" s="41"/>
      <c r="OQP15" s="41"/>
      <c r="OQQ15" s="41"/>
      <c r="OQR15" s="41"/>
      <c r="OQS15" s="41"/>
      <c r="OQT15" s="41"/>
      <c r="OQU15" s="41"/>
      <c r="OQV15" s="41"/>
      <c r="OQW15" s="41"/>
      <c r="OQX15" s="41"/>
      <c r="OQY15" s="41"/>
      <c r="OQZ15" s="41"/>
      <c r="ORA15" s="41"/>
      <c r="ORB15" s="41"/>
      <c r="ORC15" s="41"/>
      <c r="ORD15" s="41"/>
      <c r="ORE15" s="41"/>
      <c r="ORF15" s="41"/>
      <c r="ORG15" s="41"/>
      <c r="ORH15" s="41"/>
      <c r="ORI15" s="41"/>
      <c r="ORJ15" s="41"/>
      <c r="ORK15" s="41"/>
      <c r="ORL15" s="41"/>
      <c r="ORM15" s="41"/>
      <c r="ORN15" s="41"/>
      <c r="ORO15" s="41"/>
      <c r="ORP15" s="41"/>
      <c r="ORQ15" s="41"/>
      <c r="ORR15" s="41"/>
      <c r="ORS15" s="41"/>
      <c r="ORT15" s="41"/>
      <c r="ORU15" s="41"/>
      <c r="ORV15" s="41"/>
      <c r="ORW15" s="41"/>
      <c r="ORX15" s="41"/>
      <c r="ORY15" s="41"/>
      <c r="ORZ15" s="41"/>
      <c r="OSA15" s="41"/>
      <c r="OSB15" s="41"/>
      <c r="OSC15" s="41"/>
      <c r="OSD15" s="41"/>
      <c r="OSE15" s="41"/>
      <c r="OSF15" s="41"/>
      <c r="OSG15" s="41"/>
      <c r="OSH15" s="41"/>
      <c r="OSI15" s="41"/>
      <c r="OSJ15" s="41"/>
      <c r="OSK15" s="41"/>
      <c r="OSL15" s="41"/>
      <c r="OSM15" s="41"/>
      <c r="OSN15" s="41"/>
      <c r="OSO15" s="41"/>
      <c r="OSP15" s="41"/>
      <c r="OSQ15" s="41"/>
      <c r="OSR15" s="41"/>
      <c r="OSS15" s="41"/>
      <c r="OST15" s="41"/>
      <c r="OSU15" s="41"/>
      <c r="OSV15" s="41"/>
      <c r="OSW15" s="41"/>
      <c r="OSX15" s="41"/>
      <c r="OSY15" s="41"/>
      <c r="OSZ15" s="41"/>
      <c r="OTA15" s="41"/>
      <c r="OTB15" s="41"/>
      <c r="OTC15" s="41"/>
      <c r="OTD15" s="41"/>
      <c r="OTE15" s="41"/>
      <c r="OTF15" s="41"/>
      <c r="OTG15" s="41"/>
      <c r="OTH15" s="41"/>
      <c r="OTI15" s="41"/>
      <c r="OTJ15" s="41"/>
      <c r="OTK15" s="41"/>
      <c r="OTL15" s="41"/>
      <c r="OTM15" s="41"/>
      <c r="OTN15" s="41"/>
      <c r="OTO15" s="41"/>
      <c r="OTP15" s="41"/>
      <c r="OTQ15" s="41"/>
      <c r="OTR15" s="41"/>
      <c r="OTS15" s="41"/>
      <c r="OTT15" s="41"/>
      <c r="OTU15" s="41"/>
      <c r="OTV15" s="41"/>
      <c r="OTW15" s="41"/>
      <c r="OTX15" s="41"/>
      <c r="OTY15" s="41"/>
      <c r="OTZ15" s="41"/>
      <c r="OUA15" s="41"/>
      <c r="OUB15" s="41"/>
      <c r="OUC15" s="41"/>
      <c r="OUD15" s="41"/>
      <c r="OUE15" s="41"/>
      <c r="OUF15" s="41"/>
      <c r="OUG15" s="41"/>
      <c r="OUH15" s="41"/>
      <c r="OUI15" s="41"/>
      <c r="OUJ15" s="41"/>
      <c r="OUK15" s="41"/>
      <c r="OUL15" s="41"/>
      <c r="OUM15" s="41"/>
      <c r="OUN15" s="41"/>
      <c r="OUO15" s="41"/>
      <c r="OUP15" s="41"/>
      <c r="OUQ15" s="41"/>
      <c r="OUR15" s="41"/>
      <c r="OUS15" s="41"/>
      <c r="OUT15" s="41"/>
      <c r="OUU15" s="41"/>
      <c r="OUV15" s="41"/>
      <c r="OUW15" s="41"/>
      <c r="OUX15" s="41"/>
      <c r="OUY15" s="41"/>
      <c r="OUZ15" s="41"/>
      <c r="OVA15" s="41"/>
      <c r="OVB15" s="41"/>
      <c r="OVC15" s="41"/>
      <c r="OVD15" s="41"/>
      <c r="OVE15" s="41"/>
      <c r="OVF15" s="41"/>
      <c r="OVG15" s="41"/>
      <c r="OVH15" s="41"/>
      <c r="OVI15" s="41"/>
      <c r="OVJ15" s="41"/>
      <c r="OVK15" s="41"/>
      <c r="OVL15" s="41"/>
      <c r="OVM15" s="41"/>
      <c r="OVN15" s="41"/>
      <c r="OVO15" s="41"/>
      <c r="OVP15" s="41"/>
      <c r="OVQ15" s="41"/>
      <c r="OVR15" s="41"/>
      <c r="OVS15" s="41"/>
      <c r="OVT15" s="41"/>
      <c r="OVU15" s="41"/>
      <c r="OVV15" s="41"/>
      <c r="OVW15" s="41"/>
      <c r="OVX15" s="41"/>
      <c r="OVY15" s="41"/>
      <c r="OVZ15" s="41"/>
      <c r="OWA15" s="41"/>
      <c r="OWB15" s="41"/>
      <c r="OWC15" s="41"/>
      <c r="OWD15" s="41"/>
      <c r="OWE15" s="41"/>
      <c r="OWF15" s="41"/>
      <c r="OWG15" s="41"/>
      <c r="OWH15" s="41"/>
      <c r="OWI15" s="41"/>
      <c r="OWJ15" s="41"/>
      <c r="OWK15" s="41"/>
      <c r="OWL15" s="41"/>
      <c r="OWM15" s="41"/>
      <c r="OWN15" s="41"/>
      <c r="OWO15" s="41"/>
      <c r="OWP15" s="41"/>
      <c r="OWQ15" s="41"/>
      <c r="OWR15" s="41"/>
      <c r="OWS15" s="41"/>
      <c r="OWT15" s="41"/>
      <c r="OWU15" s="41"/>
      <c r="OWV15" s="41"/>
      <c r="OWW15" s="41"/>
      <c r="OWX15" s="41"/>
      <c r="OWY15" s="41"/>
      <c r="OWZ15" s="41"/>
      <c r="OXA15" s="41"/>
      <c r="OXB15" s="41"/>
      <c r="OXC15" s="41"/>
      <c r="OXD15" s="41"/>
      <c r="OXE15" s="41"/>
      <c r="OXF15" s="41"/>
      <c r="OXG15" s="41"/>
      <c r="OXH15" s="41"/>
      <c r="OXI15" s="41"/>
      <c r="OXJ15" s="41"/>
      <c r="OXK15" s="41"/>
      <c r="OXL15" s="41"/>
      <c r="OXM15" s="41"/>
      <c r="OXN15" s="41"/>
      <c r="OXO15" s="41"/>
      <c r="OXP15" s="41"/>
      <c r="OXQ15" s="41"/>
      <c r="OXR15" s="41"/>
      <c r="OXS15" s="41"/>
      <c r="OXT15" s="41"/>
      <c r="OXU15" s="41"/>
      <c r="OXV15" s="41"/>
      <c r="OXW15" s="41"/>
      <c r="OXX15" s="41"/>
      <c r="OXY15" s="41"/>
      <c r="OXZ15" s="41"/>
      <c r="OYA15" s="41"/>
      <c r="OYB15" s="41"/>
      <c r="OYC15" s="41"/>
      <c r="OYD15" s="41"/>
      <c r="OYE15" s="41"/>
      <c r="OYF15" s="41"/>
      <c r="OYG15" s="41"/>
      <c r="OYH15" s="41"/>
      <c r="OYI15" s="41"/>
      <c r="OYJ15" s="41"/>
      <c r="OYK15" s="41"/>
      <c r="OYL15" s="41"/>
      <c r="OYM15" s="41"/>
      <c r="OYN15" s="41"/>
      <c r="OYO15" s="41"/>
      <c r="OYP15" s="41"/>
      <c r="OYQ15" s="41"/>
      <c r="OYR15" s="41"/>
      <c r="OYS15" s="41"/>
      <c r="OYT15" s="41"/>
      <c r="OYU15" s="41"/>
      <c r="OYV15" s="41"/>
      <c r="OYW15" s="41"/>
      <c r="OYX15" s="41"/>
      <c r="OYY15" s="41"/>
      <c r="OYZ15" s="41"/>
      <c r="OZA15" s="41"/>
      <c r="OZB15" s="41"/>
      <c r="OZC15" s="41"/>
      <c r="OZD15" s="41"/>
      <c r="OZE15" s="41"/>
      <c r="OZF15" s="41"/>
      <c r="OZG15" s="41"/>
      <c r="OZH15" s="41"/>
      <c r="OZI15" s="41"/>
      <c r="OZJ15" s="41"/>
      <c r="OZK15" s="41"/>
      <c r="OZL15" s="41"/>
      <c r="OZM15" s="41"/>
      <c r="OZN15" s="41"/>
      <c r="OZO15" s="41"/>
      <c r="OZP15" s="41"/>
      <c r="OZQ15" s="41"/>
      <c r="OZR15" s="41"/>
      <c r="OZS15" s="41"/>
      <c r="OZT15" s="41"/>
      <c r="OZU15" s="41"/>
      <c r="OZV15" s="41"/>
      <c r="OZW15" s="41"/>
      <c r="OZX15" s="41"/>
      <c r="OZY15" s="41"/>
      <c r="OZZ15" s="41"/>
      <c r="PAA15" s="41"/>
      <c r="PAB15" s="41"/>
      <c r="PAC15" s="41"/>
      <c r="PAD15" s="41"/>
      <c r="PAE15" s="41"/>
      <c r="PAF15" s="41"/>
      <c r="PAG15" s="41"/>
      <c r="PAH15" s="41"/>
      <c r="PAI15" s="41"/>
      <c r="PAJ15" s="41"/>
      <c r="PAK15" s="41"/>
      <c r="PAL15" s="41"/>
      <c r="PAM15" s="41"/>
      <c r="PAN15" s="41"/>
      <c r="PAO15" s="41"/>
      <c r="PAP15" s="41"/>
      <c r="PAQ15" s="41"/>
      <c r="PAR15" s="41"/>
      <c r="PAS15" s="41"/>
      <c r="PAT15" s="41"/>
      <c r="PAU15" s="41"/>
      <c r="PAV15" s="41"/>
      <c r="PAW15" s="41"/>
      <c r="PAX15" s="41"/>
      <c r="PAY15" s="41"/>
      <c r="PAZ15" s="41"/>
      <c r="PBA15" s="41"/>
      <c r="PBB15" s="41"/>
      <c r="PBC15" s="41"/>
      <c r="PBD15" s="41"/>
      <c r="PBE15" s="41"/>
      <c r="PBF15" s="41"/>
      <c r="PBG15" s="41"/>
      <c r="PBH15" s="41"/>
      <c r="PBI15" s="41"/>
      <c r="PBJ15" s="41"/>
      <c r="PBK15" s="41"/>
      <c r="PBL15" s="41"/>
      <c r="PBM15" s="41"/>
      <c r="PBN15" s="41"/>
      <c r="PBO15" s="41"/>
      <c r="PBP15" s="41"/>
      <c r="PBQ15" s="41"/>
      <c r="PBR15" s="41"/>
      <c r="PBS15" s="41"/>
      <c r="PBT15" s="41"/>
      <c r="PBU15" s="41"/>
      <c r="PBV15" s="41"/>
      <c r="PBW15" s="41"/>
      <c r="PBX15" s="41"/>
      <c r="PBY15" s="41"/>
      <c r="PBZ15" s="41"/>
      <c r="PCA15" s="41"/>
      <c r="PCB15" s="41"/>
      <c r="PCC15" s="41"/>
      <c r="PCD15" s="41"/>
      <c r="PCE15" s="41"/>
      <c r="PCF15" s="41"/>
      <c r="PCG15" s="41"/>
      <c r="PCH15" s="41"/>
      <c r="PCI15" s="41"/>
      <c r="PCJ15" s="41"/>
      <c r="PCK15" s="41"/>
      <c r="PCL15" s="41"/>
      <c r="PCM15" s="41"/>
      <c r="PCN15" s="41"/>
      <c r="PCO15" s="41"/>
      <c r="PCP15" s="41"/>
      <c r="PCQ15" s="41"/>
      <c r="PCR15" s="41"/>
      <c r="PCS15" s="41"/>
      <c r="PCT15" s="41"/>
      <c r="PCU15" s="41"/>
      <c r="PCV15" s="41"/>
      <c r="PCW15" s="41"/>
      <c r="PCX15" s="41"/>
      <c r="PCY15" s="41"/>
      <c r="PCZ15" s="41"/>
      <c r="PDA15" s="41"/>
      <c r="PDB15" s="41"/>
      <c r="PDC15" s="41"/>
      <c r="PDD15" s="41"/>
      <c r="PDE15" s="41"/>
      <c r="PDF15" s="41"/>
      <c r="PDG15" s="41"/>
      <c r="PDH15" s="41"/>
      <c r="PDI15" s="41"/>
      <c r="PDJ15" s="41"/>
      <c r="PDK15" s="41"/>
      <c r="PDL15" s="41"/>
      <c r="PDM15" s="41"/>
      <c r="PDN15" s="41"/>
      <c r="PDO15" s="41"/>
      <c r="PDP15" s="41"/>
      <c r="PDQ15" s="41"/>
      <c r="PDR15" s="41"/>
      <c r="PDS15" s="41"/>
      <c r="PDT15" s="41"/>
      <c r="PDU15" s="41"/>
      <c r="PDV15" s="41"/>
      <c r="PDW15" s="41"/>
      <c r="PDX15" s="41"/>
      <c r="PDY15" s="41"/>
      <c r="PDZ15" s="41"/>
      <c r="PEA15" s="41"/>
      <c r="PEB15" s="41"/>
      <c r="PEC15" s="41"/>
      <c r="PED15" s="41"/>
      <c r="PEE15" s="41"/>
      <c r="PEF15" s="41"/>
      <c r="PEG15" s="41"/>
      <c r="PEH15" s="41"/>
      <c r="PEI15" s="41"/>
      <c r="PEJ15" s="41"/>
      <c r="PEK15" s="41"/>
      <c r="PEL15" s="41"/>
      <c r="PEM15" s="41"/>
      <c r="PEN15" s="41"/>
      <c r="PEO15" s="41"/>
      <c r="PEP15" s="41"/>
      <c r="PEQ15" s="41"/>
      <c r="PER15" s="41"/>
      <c r="PES15" s="41"/>
      <c r="PET15" s="41"/>
      <c r="PEU15" s="41"/>
      <c r="PEV15" s="41"/>
      <c r="PEW15" s="41"/>
      <c r="PEX15" s="41"/>
      <c r="PEY15" s="41"/>
      <c r="PEZ15" s="41"/>
      <c r="PFA15" s="41"/>
      <c r="PFB15" s="41"/>
      <c r="PFC15" s="41"/>
      <c r="PFD15" s="41"/>
      <c r="PFE15" s="41"/>
      <c r="PFF15" s="41"/>
      <c r="PFG15" s="41"/>
      <c r="PFH15" s="41"/>
      <c r="PFI15" s="41"/>
      <c r="PFJ15" s="41"/>
      <c r="PFK15" s="41"/>
      <c r="PFL15" s="41"/>
      <c r="PFM15" s="41"/>
      <c r="PFN15" s="41"/>
      <c r="PFO15" s="41"/>
      <c r="PFP15" s="41"/>
      <c r="PFQ15" s="41"/>
      <c r="PFR15" s="41"/>
      <c r="PFS15" s="41"/>
      <c r="PFT15" s="41"/>
      <c r="PFU15" s="41"/>
      <c r="PFV15" s="41"/>
      <c r="PFW15" s="41"/>
      <c r="PFX15" s="41"/>
      <c r="PFY15" s="41"/>
      <c r="PFZ15" s="41"/>
      <c r="PGA15" s="41"/>
      <c r="PGB15" s="41"/>
      <c r="PGC15" s="41"/>
      <c r="PGD15" s="41"/>
      <c r="PGE15" s="41"/>
      <c r="PGF15" s="41"/>
      <c r="PGG15" s="41"/>
      <c r="PGH15" s="41"/>
      <c r="PGI15" s="41"/>
      <c r="PGJ15" s="41"/>
      <c r="PGK15" s="41"/>
      <c r="PGL15" s="41"/>
      <c r="PGM15" s="41"/>
      <c r="PGN15" s="41"/>
      <c r="PGO15" s="41"/>
      <c r="PGP15" s="41"/>
      <c r="PGQ15" s="41"/>
      <c r="PGR15" s="41"/>
      <c r="PGS15" s="41"/>
      <c r="PGT15" s="41"/>
      <c r="PGU15" s="41"/>
      <c r="PGV15" s="41"/>
      <c r="PGW15" s="41"/>
      <c r="PGX15" s="41"/>
      <c r="PGY15" s="41"/>
      <c r="PGZ15" s="41"/>
      <c r="PHA15" s="41"/>
      <c r="PHB15" s="41"/>
      <c r="PHC15" s="41"/>
      <c r="PHD15" s="41"/>
      <c r="PHE15" s="41"/>
      <c r="PHF15" s="41"/>
      <c r="PHG15" s="41"/>
      <c r="PHH15" s="41"/>
      <c r="PHI15" s="41"/>
      <c r="PHJ15" s="41"/>
      <c r="PHK15" s="41"/>
      <c r="PHL15" s="41"/>
      <c r="PHM15" s="41"/>
      <c r="PHN15" s="41"/>
      <c r="PHO15" s="41"/>
      <c r="PHP15" s="41"/>
      <c r="PHQ15" s="41"/>
      <c r="PHR15" s="41"/>
      <c r="PHS15" s="41"/>
      <c r="PHT15" s="41"/>
      <c r="PHU15" s="41"/>
      <c r="PHV15" s="41"/>
      <c r="PHW15" s="41"/>
      <c r="PHX15" s="41"/>
      <c r="PHY15" s="41"/>
      <c r="PHZ15" s="41"/>
      <c r="PIA15" s="41"/>
      <c r="PIB15" s="41"/>
      <c r="PIC15" s="41"/>
      <c r="PID15" s="41"/>
      <c r="PIE15" s="41"/>
      <c r="PIF15" s="41"/>
      <c r="PIG15" s="41"/>
      <c r="PIH15" s="41"/>
      <c r="PII15" s="41"/>
      <c r="PIJ15" s="41"/>
      <c r="PIK15" s="41"/>
      <c r="PIL15" s="41"/>
      <c r="PIM15" s="41"/>
      <c r="PIN15" s="41"/>
      <c r="PIO15" s="41"/>
      <c r="PIP15" s="41"/>
      <c r="PIQ15" s="41"/>
      <c r="PIR15" s="41"/>
      <c r="PIS15" s="41"/>
      <c r="PIT15" s="41"/>
      <c r="PIU15" s="41"/>
      <c r="PIV15" s="41"/>
      <c r="PIW15" s="41"/>
      <c r="PIX15" s="41"/>
      <c r="PIY15" s="41"/>
      <c r="PIZ15" s="41"/>
      <c r="PJA15" s="41"/>
      <c r="PJB15" s="41"/>
      <c r="PJC15" s="41"/>
      <c r="PJD15" s="41"/>
      <c r="PJE15" s="41"/>
      <c r="PJF15" s="41"/>
      <c r="PJG15" s="41"/>
      <c r="PJH15" s="41"/>
      <c r="PJI15" s="41"/>
      <c r="PJJ15" s="41"/>
      <c r="PJK15" s="41"/>
      <c r="PJL15" s="41"/>
      <c r="PJM15" s="41"/>
      <c r="PJN15" s="41"/>
      <c r="PJO15" s="41"/>
      <c r="PJP15" s="41"/>
      <c r="PJQ15" s="41"/>
      <c r="PJR15" s="41"/>
      <c r="PJS15" s="41"/>
      <c r="PJT15" s="41"/>
      <c r="PJU15" s="41"/>
      <c r="PJV15" s="41"/>
      <c r="PJW15" s="41"/>
      <c r="PJX15" s="41"/>
      <c r="PJY15" s="41"/>
      <c r="PJZ15" s="41"/>
      <c r="PKA15" s="41"/>
      <c r="PKB15" s="41"/>
      <c r="PKC15" s="41"/>
      <c r="PKD15" s="41"/>
      <c r="PKE15" s="41"/>
      <c r="PKF15" s="41"/>
      <c r="PKG15" s="41"/>
      <c r="PKH15" s="41"/>
      <c r="PKI15" s="41"/>
      <c r="PKJ15" s="41"/>
      <c r="PKK15" s="41"/>
      <c r="PKL15" s="41"/>
      <c r="PKM15" s="41"/>
      <c r="PKN15" s="41"/>
      <c r="PKO15" s="41"/>
      <c r="PKP15" s="41"/>
      <c r="PKQ15" s="41"/>
      <c r="PKR15" s="41"/>
      <c r="PKS15" s="41"/>
      <c r="PKT15" s="41"/>
      <c r="PKU15" s="41"/>
      <c r="PKV15" s="41"/>
      <c r="PKW15" s="41"/>
      <c r="PKX15" s="41"/>
      <c r="PKY15" s="41"/>
      <c r="PKZ15" s="41"/>
      <c r="PLA15" s="41"/>
      <c r="PLB15" s="41"/>
      <c r="PLC15" s="41"/>
      <c r="PLD15" s="41"/>
      <c r="PLE15" s="41"/>
      <c r="PLF15" s="41"/>
      <c r="PLG15" s="41"/>
      <c r="PLH15" s="41"/>
      <c r="PLI15" s="41"/>
      <c r="PLJ15" s="41"/>
      <c r="PLK15" s="41"/>
      <c r="PLL15" s="41"/>
      <c r="PLM15" s="41"/>
      <c r="PLN15" s="41"/>
      <c r="PLO15" s="41"/>
      <c r="PLP15" s="41"/>
      <c r="PLQ15" s="41"/>
      <c r="PLR15" s="41"/>
      <c r="PLS15" s="41"/>
      <c r="PLT15" s="41"/>
      <c r="PLU15" s="41"/>
      <c r="PLV15" s="41"/>
      <c r="PLW15" s="41"/>
      <c r="PLX15" s="41"/>
      <c r="PLY15" s="41"/>
      <c r="PLZ15" s="41"/>
      <c r="PMA15" s="41"/>
      <c r="PMB15" s="41"/>
      <c r="PMC15" s="41"/>
      <c r="PMD15" s="41"/>
      <c r="PME15" s="41"/>
      <c r="PMF15" s="41"/>
      <c r="PMG15" s="41"/>
      <c r="PMH15" s="41"/>
      <c r="PMI15" s="41"/>
      <c r="PMJ15" s="41"/>
      <c r="PMK15" s="41"/>
      <c r="PML15" s="41"/>
      <c r="PMM15" s="41"/>
      <c r="PMN15" s="41"/>
      <c r="PMO15" s="41"/>
      <c r="PMP15" s="41"/>
      <c r="PMQ15" s="41"/>
      <c r="PMR15" s="41"/>
      <c r="PMS15" s="41"/>
      <c r="PMT15" s="41"/>
      <c r="PMU15" s="41"/>
      <c r="PMV15" s="41"/>
      <c r="PMW15" s="41"/>
      <c r="PMX15" s="41"/>
      <c r="PMY15" s="41"/>
      <c r="PMZ15" s="41"/>
      <c r="PNA15" s="41"/>
      <c r="PNB15" s="41"/>
      <c r="PNC15" s="41"/>
      <c r="PND15" s="41"/>
      <c r="PNE15" s="41"/>
      <c r="PNF15" s="41"/>
      <c r="PNG15" s="41"/>
      <c r="PNH15" s="41"/>
      <c r="PNI15" s="41"/>
      <c r="PNJ15" s="41"/>
      <c r="PNK15" s="41"/>
      <c r="PNL15" s="41"/>
      <c r="PNM15" s="41"/>
      <c r="PNN15" s="41"/>
      <c r="PNO15" s="41"/>
      <c r="PNP15" s="41"/>
      <c r="PNQ15" s="41"/>
      <c r="PNR15" s="41"/>
      <c r="PNS15" s="41"/>
      <c r="PNT15" s="41"/>
      <c r="PNU15" s="41"/>
      <c r="PNV15" s="41"/>
      <c r="PNW15" s="41"/>
      <c r="PNX15" s="41"/>
      <c r="PNY15" s="41"/>
      <c r="PNZ15" s="41"/>
      <c r="POA15" s="41"/>
      <c r="POB15" s="41"/>
      <c r="POC15" s="41"/>
      <c r="POD15" s="41"/>
      <c r="POE15" s="41"/>
      <c r="POF15" s="41"/>
      <c r="POG15" s="41"/>
      <c r="POH15" s="41"/>
      <c r="POI15" s="41"/>
      <c r="POJ15" s="41"/>
      <c r="POK15" s="41"/>
      <c r="POL15" s="41"/>
      <c r="POM15" s="41"/>
      <c r="PON15" s="41"/>
      <c r="POO15" s="41"/>
      <c r="POP15" s="41"/>
      <c r="POQ15" s="41"/>
      <c r="POR15" s="41"/>
      <c r="POS15" s="41"/>
      <c r="POT15" s="41"/>
      <c r="POU15" s="41"/>
      <c r="POV15" s="41"/>
      <c r="POW15" s="41"/>
      <c r="POX15" s="41"/>
      <c r="POY15" s="41"/>
      <c r="POZ15" s="41"/>
      <c r="PPA15" s="41"/>
      <c r="PPB15" s="41"/>
      <c r="PPC15" s="41"/>
      <c r="PPD15" s="41"/>
      <c r="PPE15" s="41"/>
      <c r="PPF15" s="41"/>
      <c r="PPG15" s="41"/>
      <c r="PPH15" s="41"/>
      <c r="PPI15" s="41"/>
      <c r="PPJ15" s="41"/>
      <c r="PPK15" s="41"/>
      <c r="PPL15" s="41"/>
      <c r="PPM15" s="41"/>
      <c r="PPN15" s="41"/>
      <c r="PPO15" s="41"/>
      <c r="PPP15" s="41"/>
      <c r="PPQ15" s="41"/>
      <c r="PPR15" s="41"/>
      <c r="PPS15" s="41"/>
      <c r="PPT15" s="41"/>
      <c r="PPU15" s="41"/>
      <c r="PPV15" s="41"/>
      <c r="PPW15" s="41"/>
      <c r="PPX15" s="41"/>
      <c r="PPY15" s="41"/>
      <c r="PPZ15" s="41"/>
      <c r="PQA15" s="41"/>
      <c r="PQB15" s="41"/>
      <c r="PQC15" s="41"/>
      <c r="PQD15" s="41"/>
      <c r="PQE15" s="41"/>
      <c r="PQF15" s="41"/>
      <c r="PQG15" s="41"/>
      <c r="PQH15" s="41"/>
      <c r="PQI15" s="41"/>
      <c r="PQJ15" s="41"/>
      <c r="PQK15" s="41"/>
      <c r="PQL15" s="41"/>
      <c r="PQM15" s="41"/>
      <c r="PQN15" s="41"/>
      <c r="PQO15" s="41"/>
      <c r="PQP15" s="41"/>
      <c r="PQQ15" s="41"/>
      <c r="PQR15" s="41"/>
      <c r="PQS15" s="41"/>
      <c r="PQT15" s="41"/>
      <c r="PQU15" s="41"/>
      <c r="PQV15" s="41"/>
      <c r="PQW15" s="41"/>
      <c r="PQX15" s="41"/>
      <c r="PQY15" s="41"/>
      <c r="PQZ15" s="41"/>
      <c r="PRA15" s="41"/>
      <c r="PRB15" s="41"/>
      <c r="PRC15" s="41"/>
      <c r="PRD15" s="41"/>
      <c r="PRE15" s="41"/>
      <c r="PRF15" s="41"/>
      <c r="PRG15" s="41"/>
      <c r="PRH15" s="41"/>
      <c r="PRI15" s="41"/>
      <c r="PRJ15" s="41"/>
      <c r="PRK15" s="41"/>
      <c r="PRL15" s="41"/>
      <c r="PRM15" s="41"/>
      <c r="PRN15" s="41"/>
      <c r="PRO15" s="41"/>
      <c r="PRP15" s="41"/>
      <c r="PRQ15" s="41"/>
      <c r="PRR15" s="41"/>
      <c r="PRS15" s="41"/>
      <c r="PRT15" s="41"/>
      <c r="PRU15" s="41"/>
      <c r="PRV15" s="41"/>
      <c r="PRW15" s="41"/>
      <c r="PRX15" s="41"/>
      <c r="PRY15" s="41"/>
      <c r="PRZ15" s="41"/>
      <c r="PSA15" s="41"/>
      <c r="PSB15" s="41"/>
      <c r="PSC15" s="41"/>
      <c r="PSD15" s="41"/>
      <c r="PSE15" s="41"/>
      <c r="PSF15" s="41"/>
      <c r="PSG15" s="41"/>
      <c r="PSH15" s="41"/>
      <c r="PSI15" s="41"/>
      <c r="PSJ15" s="41"/>
      <c r="PSK15" s="41"/>
      <c r="PSL15" s="41"/>
      <c r="PSM15" s="41"/>
      <c r="PSN15" s="41"/>
      <c r="PSO15" s="41"/>
      <c r="PSP15" s="41"/>
      <c r="PSQ15" s="41"/>
      <c r="PSR15" s="41"/>
      <c r="PSS15" s="41"/>
      <c r="PST15" s="41"/>
      <c r="PSU15" s="41"/>
      <c r="PSV15" s="41"/>
      <c r="PSW15" s="41"/>
      <c r="PSX15" s="41"/>
      <c r="PSY15" s="41"/>
      <c r="PSZ15" s="41"/>
      <c r="PTA15" s="41"/>
      <c r="PTB15" s="41"/>
      <c r="PTC15" s="41"/>
      <c r="PTD15" s="41"/>
      <c r="PTE15" s="41"/>
      <c r="PTF15" s="41"/>
      <c r="PTG15" s="41"/>
      <c r="PTH15" s="41"/>
      <c r="PTI15" s="41"/>
      <c r="PTJ15" s="41"/>
      <c r="PTK15" s="41"/>
      <c r="PTL15" s="41"/>
      <c r="PTM15" s="41"/>
      <c r="PTN15" s="41"/>
      <c r="PTO15" s="41"/>
      <c r="PTP15" s="41"/>
      <c r="PTQ15" s="41"/>
      <c r="PTR15" s="41"/>
      <c r="PTS15" s="41"/>
      <c r="PTT15" s="41"/>
      <c r="PTU15" s="41"/>
      <c r="PTV15" s="41"/>
      <c r="PTW15" s="41"/>
      <c r="PTX15" s="41"/>
      <c r="PTY15" s="41"/>
      <c r="PTZ15" s="41"/>
      <c r="PUA15" s="41"/>
      <c r="PUB15" s="41"/>
      <c r="PUC15" s="41"/>
      <c r="PUD15" s="41"/>
      <c r="PUE15" s="41"/>
      <c r="PUF15" s="41"/>
      <c r="PUG15" s="41"/>
      <c r="PUH15" s="41"/>
      <c r="PUI15" s="41"/>
      <c r="PUJ15" s="41"/>
      <c r="PUK15" s="41"/>
      <c r="PUL15" s="41"/>
      <c r="PUM15" s="41"/>
      <c r="PUN15" s="41"/>
      <c r="PUO15" s="41"/>
      <c r="PUP15" s="41"/>
      <c r="PUQ15" s="41"/>
      <c r="PUR15" s="41"/>
      <c r="PUS15" s="41"/>
      <c r="PUT15" s="41"/>
      <c r="PUU15" s="41"/>
      <c r="PUV15" s="41"/>
      <c r="PUW15" s="41"/>
      <c r="PUX15" s="41"/>
      <c r="PUY15" s="41"/>
      <c r="PUZ15" s="41"/>
      <c r="PVA15" s="41"/>
      <c r="PVB15" s="41"/>
      <c r="PVC15" s="41"/>
      <c r="PVD15" s="41"/>
      <c r="PVE15" s="41"/>
      <c r="PVF15" s="41"/>
      <c r="PVG15" s="41"/>
      <c r="PVH15" s="41"/>
      <c r="PVI15" s="41"/>
      <c r="PVJ15" s="41"/>
      <c r="PVK15" s="41"/>
      <c r="PVL15" s="41"/>
      <c r="PVM15" s="41"/>
      <c r="PVN15" s="41"/>
      <c r="PVO15" s="41"/>
      <c r="PVP15" s="41"/>
      <c r="PVQ15" s="41"/>
      <c r="PVR15" s="41"/>
      <c r="PVS15" s="41"/>
      <c r="PVT15" s="41"/>
      <c r="PVU15" s="41"/>
      <c r="PVV15" s="41"/>
      <c r="PVW15" s="41"/>
      <c r="PVX15" s="41"/>
      <c r="PVY15" s="41"/>
      <c r="PVZ15" s="41"/>
      <c r="PWA15" s="41"/>
      <c r="PWB15" s="41"/>
      <c r="PWC15" s="41"/>
      <c r="PWD15" s="41"/>
      <c r="PWE15" s="41"/>
      <c r="PWF15" s="41"/>
      <c r="PWG15" s="41"/>
      <c r="PWH15" s="41"/>
      <c r="PWI15" s="41"/>
      <c r="PWJ15" s="41"/>
      <c r="PWK15" s="41"/>
      <c r="PWL15" s="41"/>
      <c r="PWM15" s="41"/>
      <c r="PWN15" s="41"/>
      <c r="PWO15" s="41"/>
      <c r="PWP15" s="41"/>
      <c r="PWQ15" s="41"/>
      <c r="PWR15" s="41"/>
      <c r="PWS15" s="41"/>
      <c r="PWT15" s="41"/>
      <c r="PWU15" s="41"/>
      <c r="PWV15" s="41"/>
      <c r="PWW15" s="41"/>
      <c r="PWX15" s="41"/>
      <c r="PWY15" s="41"/>
      <c r="PWZ15" s="41"/>
      <c r="PXA15" s="41"/>
      <c r="PXB15" s="41"/>
      <c r="PXC15" s="41"/>
      <c r="PXD15" s="41"/>
      <c r="PXE15" s="41"/>
      <c r="PXF15" s="41"/>
      <c r="PXG15" s="41"/>
      <c r="PXH15" s="41"/>
      <c r="PXI15" s="41"/>
      <c r="PXJ15" s="41"/>
      <c r="PXK15" s="41"/>
      <c r="PXL15" s="41"/>
      <c r="PXM15" s="41"/>
      <c r="PXN15" s="41"/>
      <c r="PXO15" s="41"/>
      <c r="PXP15" s="41"/>
      <c r="PXQ15" s="41"/>
      <c r="PXR15" s="41"/>
      <c r="PXS15" s="41"/>
      <c r="PXT15" s="41"/>
      <c r="PXU15" s="41"/>
      <c r="PXV15" s="41"/>
      <c r="PXW15" s="41"/>
      <c r="PXX15" s="41"/>
      <c r="PXY15" s="41"/>
      <c r="PXZ15" s="41"/>
      <c r="PYA15" s="41"/>
      <c r="PYB15" s="41"/>
      <c r="PYC15" s="41"/>
      <c r="PYD15" s="41"/>
      <c r="PYE15" s="41"/>
      <c r="PYF15" s="41"/>
      <c r="PYG15" s="41"/>
      <c r="PYH15" s="41"/>
      <c r="PYI15" s="41"/>
      <c r="PYJ15" s="41"/>
      <c r="PYK15" s="41"/>
      <c r="PYL15" s="41"/>
      <c r="PYM15" s="41"/>
      <c r="PYN15" s="41"/>
      <c r="PYO15" s="41"/>
      <c r="PYP15" s="41"/>
      <c r="PYQ15" s="41"/>
      <c r="PYR15" s="41"/>
      <c r="PYS15" s="41"/>
      <c r="PYT15" s="41"/>
      <c r="PYU15" s="41"/>
      <c r="PYV15" s="41"/>
      <c r="PYW15" s="41"/>
      <c r="PYX15" s="41"/>
      <c r="PYY15" s="41"/>
      <c r="PYZ15" s="41"/>
      <c r="PZA15" s="41"/>
      <c r="PZB15" s="41"/>
      <c r="PZC15" s="41"/>
      <c r="PZD15" s="41"/>
      <c r="PZE15" s="41"/>
      <c r="PZF15" s="41"/>
      <c r="PZG15" s="41"/>
      <c r="PZH15" s="41"/>
      <c r="PZI15" s="41"/>
      <c r="PZJ15" s="41"/>
      <c r="PZK15" s="41"/>
      <c r="PZL15" s="41"/>
      <c r="PZM15" s="41"/>
      <c r="PZN15" s="41"/>
      <c r="PZO15" s="41"/>
      <c r="PZP15" s="41"/>
      <c r="PZQ15" s="41"/>
      <c r="PZR15" s="41"/>
      <c r="PZS15" s="41"/>
      <c r="PZT15" s="41"/>
      <c r="PZU15" s="41"/>
      <c r="PZV15" s="41"/>
      <c r="PZW15" s="41"/>
      <c r="PZX15" s="41"/>
      <c r="PZY15" s="41"/>
      <c r="PZZ15" s="41"/>
      <c r="QAA15" s="41"/>
      <c r="QAB15" s="41"/>
      <c r="QAC15" s="41"/>
      <c r="QAD15" s="41"/>
      <c r="QAE15" s="41"/>
      <c r="QAF15" s="41"/>
      <c r="QAG15" s="41"/>
      <c r="QAH15" s="41"/>
      <c r="QAI15" s="41"/>
      <c r="QAJ15" s="41"/>
      <c r="QAK15" s="41"/>
      <c r="QAL15" s="41"/>
      <c r="QAM15" s="41"/>
      <c r="QAN15" s="41"/>
      <c r="QAO15" s="41"/>
      <c r="QAP15" s="41"/>
      <c r="QAQ15" s="41"/>
      <c r="QAR15" s="41"/>
      <c r="QAS15" s="41"/>
      <c r="QAT15" s="41"/>
      <c r="QAU15" s="41"/>
      <c r="QAV15" s="41"/>
      <c r="QAW15" s="41"/>
      <c r="QAX15" s="41"/>
      <c r="QAY15" s="41"/>
      <c r="QAZ15" s="41"/>
      <c r="QBA15" s="41"/>
      <c r="QBB15" s="41"/>
      <c r="QBC15" s="41"/>
      <c r="QBD15" s="41"/>
      <c r="QBE15" s="41"/>
      <c r="QBF15" s="41"/>
      <c r="QBG15" s="41"/>
      <c r="QBH15" s="41"/>
      <c r="QBI15" s="41"/>
      <c r="QBJ15" s="41"/>
      <c r="QBK15" s="41"/>
      <c r="QBL15" s="41"/>
      <c r="QBM15" s="41"/>
      <c r="QBN15" s="41"/>
      <c r="QBO15" s="41"/>
      <c r="QBP15" s="41"/>
      <c r="QBQ15" s="41"/>
      <c r="QBR15" s="41"/>
      <c r="QBS15" s="41"/>
      <c r="QBT15" s="41"/>
      <c r="QBU15" s="41"/>
      <c r="QBV15" s="41"/>
      <c r="QBW15" s="41"/>
      <c r="QBX15" s="41"/>
      <c r="QBY15" s="41"/>
      <c r="QBZ15" s="41"/>
      <c r="QCA15" s="41"/>
      <c r="QCB15" s="41"/>
      <c r="QCC15" s="41"/>
      <c r="QCD15" s="41"/>
      <c r="QCE15" s="41"/>
      <c r="QCF15" s="41"/>
      <c r="QCG15" s="41"/>
      <c r="QCH15" s="41"/>
      <c r="QCI15" s="41"/>
      <c r="QCJ15" s="41"/>
      <c r="QCK15" s="41"/>
      <c r="QCL15" s="41"/>
      <c r="QCM15" s="41"/>
      <c r="QCN15" s="41"/>
      <c r="QCO15" s="41"/>
      <c r="QCP15" s="41"/>
      <c r="QCQ15" s="41"/>
      <c r="QCR15" s="41"/>
      <c r="QCS15" s="41"/>
      <c r="QCT15" s="41"/>
      <c r="QCU15" s="41"/>
      <c r="QCV15" s="41"/>
      <c r="QCW15" s="41"/>
      <c r="QCX15" s="41"/>
      <c r="QCY15" s="41"/>
      <c r="QCZ15" s="41"/>
      <c r="QDA15" s="41"/>
      <c r="QDB15" s="41"/>
      <c r="QDC15" s="41"/>
      <c r="QDD15" s="41"/>
      <c r="QDE15" s="41"/>
      <c r="QDF15" s="41"/>
      <c r="QDG15" s="41"/>
      <c r="QDH15" s="41"/>
      <c r="QDI15" s="41"/>
      <c r="QDJ15" s="41"/>
      <c r="QDK15" s="41"/>
      <c r="QDL15" s="41"/>
      <c r="QDM15" s="41"/>
      <c r="QDN15" s="41"/>
      <c r="QDO15" s="41"/>
      <c r="QDP15" s="41"/>
      <c r="QDQ15" s="41"/>
      <c r="QDR15" s="41"/>
      <c r="QDS15" s="41"/>
      <c r="QDT15" s="41"/>
      <c r="QDU15" s="41"/>
      <c r="QDV15" s="41"/>
      <c r="QDW15" s="41"/>
      <c r="QDX15" s="41"/>
      <c r="QDY15" s="41"/>
      <c r="QDZ15" s="41"/>
      <c r="QEA15" s="41"/>
      <c r="QEB15" s="41"/>
      <c r="QEC15" s="41"/>
      <c r="QED15" s="41"/>
      <c r="QEE15" s="41"/>
      <c r="QEF15" s="41"/>
      <c r="QEG15" s="41"/>
      <c r="QEH15" s="41"/>
      <c r="QEI15" s="41"/>
      <c r="QEJ15" s="41"/>
      <c r="QEK15" s="41"/>
      <c r="QEL15" s="41"/>
      <c r="QEM15" s="41"/>
      <c r="QEN15" s="41"/>
      <c r="QEO15" s="41"/>
      <c r="QEP15" s="41"/>
      <c r="QEQ15" s="41"/>
      <c r="QER15" s="41"/>
      <c r="QES15" s="41"/>
      <c r="QET15" s="41"/>
      <c r="QEU15" s="41"/>
      <c r="QEV15" s="41"/>
      <c r="QEW15" s="41"/>
      <c r="QEX15" s="41"/>
      <c r="QEY15" s="41"/>
      <c r="QEZ15" s="41"/>
      <c r="QFA15" s="41"/>
      <c r="QFB15" s="41"/>
      <c r="QFC15" s="41"/>
      <c r="QFD15" s="41"/>
      <c r="QFE15" s="41"/>
      <c r="QFF15" s="41"/>
      <c r="QFG15" s="41"/>
      <c r="QFH15" s="41"/>
      <c r="QFI15" s="41"/>
      <c r="QFJ15" s="41"/>
      <c r="QFK15" s="41"/>
      <c r="QFL15" s="41"/>
      <c r="QFM15" s="41"/>
      <c r="QFN15" s="41"/>
      <c r="QFO15" s="41"/>
      <c r="QFP15" s="41"/>
      <c r="QFQ15" s="41"/>
      <c r="QFR15" s="41"/>
      <c r="QFS15" s="41"/>
      <c r="QFT15" s="41"/>
      <c r="QFU15" s="41"/>
      <c r="QFV15" s="41"/>
      <c r="QFW15" s="41"/>
      <c r="QFX15" s="41"/>
      <c r="QFY15" s="41"/>
      <c r="QFZ15" s="41"/>
      <c r="QGA15" s="41"/>
      <c r="QGB15" s="41"/>
      <c r="QGC15" s="41"/>
      <c r="QGD15" s="41"/>
      <c r="QGE15" s="41"/>
      <c r="QGF15" s="41"/>
      <c r="QGG15" s="41"/>
      <c r="QGH15" s="41"/>
      <c r="QGI15" s="41"/>
      <c r="QGJ15" s="41"/>
      <c r="QGK15" s="41"/>
      <c r="QGL15" s="41"/>
      <c r="QGM15" s="41"/>
      <c r="QGN15" s="41"/>
      <c r="QGO15" s="41"/>
      <c r="QGP15" s="41"/>
      <c r="QGQ15" s="41"/>
      <c r="QGR15" s="41"/>
      <c r="QGS15" s="41"/>
      <c r="QGT15" s="41"/>
      <c r="QGU15" s="41"/>
      <c r="QGV15" s="41"/>
      <c r="QGW15" s="41"/>
      <c r="QGX15" s="41"/>
      <c r="QGY15" s="41"/>
      <c r="QGZ15" s="41"/>
      <c r="QHA15" s="41"/>
      <c r="QHB15" s="41"/>
      <c r="QHC15" s="41"/>
      <c r="QHD15" s="41"/>
      <c r="QHE15" s="41"/>
      <c r="QHF15" s="41"/>
      <c r="QHG15" s="41"/>
      <c r="QHH15" s="41"/>
      <c r="QHI15" s="41"/>
      <c r="QHJ15" s="41"/>
      <c r="QHK15" s="41"/>
      <c r="QHL15" s="41"/>
      <c r="QHM15" s="41"/>
      <c r="QHN15" s="41"/>
      <c r="QHO15" s="41"/>
      <c r="QHP15" s="41"/>
      <c r="QHQ15" s="41"/>
      <c r="QHR15" s="41"/>
      <c r="QHS15" s="41"/>
      <c r="QHT15" s="41"/>
      <c r="QHU15" s="41"/>
      <c r="QHV15" s="41"/>
      <c r="QHW15" s="41"/>
      <c r="QHX15" s="41"/>
      <c r="QHY15" s="41"/>
      <c r="QHZ15" s="41"/>
      <c r="QIA15" s="41"/>
      <c r="QIB15" s="41"/>
      <c r="QIC15" s="41"/>
      <c r="QID15" s="41"/>
      <c r="QIE15" s="41"/>
      <c r="QIF15" s="41"/>
      <c r="QIG15" s="41"/>
      <c r="QIH15" s="41"/>
      <c r="QII15" s="41"/>
      <c r="QIJ15" s="41"/>
      <c r="QIK15" s="41"/>
      <c r="QIL15" s="41"/>
      <c r="QIM15" s="41"/>
      <c r="QIN15" s="41"/>
      <c r="QIO15" s="41"/>
      <c r="QIP15" s="41"/>
      <c r="QIQ15" s="41"/>
      <c r="QIR15" s="41"/>
      <c r="QIS15" s="41"/>
      <c r="QIT15" s="41"/>
      <c r="QIU15" s="41"/>
      <c r="QIV15" s="41"/>
      <c r="QIW15" s="41"/>
      <c r="QIX15" s="41"/>
      <c r="QIY15" s="41"/>
      <c r="QIZ15" s="41"/>
      <c r="QJA15" s="41"/>
      <c r="QJB15" s="41"/>
      <c r="QJC15" s="41"/>
      <c r="QJD15" s="41"/>
      <c r="QJE15" s="41"/>
      <c r="QJF15" s="41"/>
      <c r="QJG15" s="41"/>
      <c r="QJH15" s="41"/>
      <c r="QJI15" s="41"/>
      <c r="QJJ15" s="41"/>
      <c r="QJK15" s="41"/>
      <c r="QJL15" s="41"/>
      <c r="QJM15" s="41"/>
      <c r="QJN15" s="41"/>
      <c r="QJO15" s="41"/>
      <c r="QJP15" s="41"/>
      <c r="QJQ15" s="41"/>
      <c r="QJR15" s="41"/>
      <c r="QJS15" s="41"/>
      <c r="QJT15" s="41"/>
      <c r="QJU15" s="41"/>
      <c r="QJV15" s="41"/>
      <c r="QJW15" s="41"/>
      <c r="QJX15" s="41"/>
      <c r="QJY15" s="41"/>
      <c r="QJZ15" s="41"/>
      <c r="QKA15" s="41"/>
      <c r="QKB15" s="41"/>
      <c r="QKC15" s="41"/>
      <c r="QKD15" s="41"/>
      <c r="QKE15" s="41"/>
      <c r="QKF15" s="41"/>
      <c r="QKG15" s="41"/>
      <c r="QKH15" s="41"/>
      <c r="QKI15" s="41"/>
      <c r="QKJ15" s="41"/>
      <c r="QKK15" s="41"/>
      <c r="QKL15" s="41"/>
      <c r="QKM15" s="41"/>
      <c r="QKN15" s="41"/>
      <c r="QKO15" s="41"/>
      <c r="QKP15" s="41"/>
      <c r="QKQ15" s="41"/>
      <c r="QKR15" s="41"/>
      <c r="QKS15" s="41"/>
      <c r="QKT15" s="41"/>
      <c r="QKU15" s="41"/>
      <c r="QKV15" s="41"/>
      <c r="QKW15" s="41"/>
      <c r="QKX15" s="41"/>
      <c r="QKY15" s="41"/>
      <c r="QKZ15" s="41"/>
      <c r="QLA15" s="41"/>
      <c r="QLB15" s="41"/>
      <c r="QLC15" s="41"/>
      <c r="QLD15" s="41"/>
      <c r="QLE15" s="41"/>
      <c r="QLF15" s="41"/>
      <c r="QLG15" s="41"/>
      <c r="QLH15" s="41"/>
      <c r="QLI15" s="41"/>
      <c r="QLJ15" s="41"/>
      <c r="QLK15" s="41"/>
      <c r="QLL15" s="41"/>
      <c r="QLM15" s="41"/>
      <c r="QLN15" s="41"/>
      <c r="QLO15" s="41"/>
      <c r="QLP15" s="41"/>
      <c r="QLQ15" s="41"/>
      <c r="QLR15" s="41"/>
      <c r="QLS15" s="41"/>
      <c r="QLT15" s="41"/>
      <c r="QLU15" s="41"/>
      <c r="QLV15" s="41"/>
      <c r="QLW15" s="41"/>
      <c r="QLX15" s="41"/>
      <c r="QLY15" s="41"/>
      <c r="QLZ15" s="41"/>
      <c r="QMA15" s="41"/>
      <c r="QMB15" s="41"/>
      <c r="QMC15" s="41"/>
      <c r="QMD15" s="41"/>
      <c r="QME15" s="41"/>
      <c r="QMF15" s="41"/>
      <c r="QMG15" s="41"/>
      <c r="QMH15" s="41"/>
      <c r="QMI15" s="41"/>
      <c r="QMJ15" s="41"/>
      <c r="QMK15" s="41"/>
      <c r="QML15" s="41"/>
      <c r="QMM15" s="41"/>
      <c r="QMN15" s="41"/>
      <c r="QMO15" s="41"/>
      <c r="QMP15" s="41"/>
      <c r="QMQ15" s="41"/>
      <c r="QMR15" s="41"/>
      <c r="QMS15" s="41"/>
      <c r="QMT15" s="41"/>
      <c r="QMU15" s="41"/>
      <c r="QMV15" s="41"/>
      <c r="QMW15" s="41"/>
      <c r="QMX15" s="41"/>
      <c r="QMY15" s="41"/>
      <c r="QMZ15" s="41"/>
      <c r="QNA15" s="41"/>
      <c r="QNB15" s="41"/>
      <c r="QNC15" s="41"/>
      <c r="QND15" s="41"/>
      <c r="QNE15" s="41"/>
      <c r="QNF15" s="41"/>
      <c r="QNG15" s="41"/>
      <c r="QNH15" s="41"/>
      <c r="QNI15" s="41"/>
      <c r="QNJ15" s="41"/>
      <c r="QNK15" s="41"/>
      <c r="QNL15" s="41"/>
      <c r="QNM15" s="41"/>
      <c r="QNN15" s="41"/>
      <c r="QNO15" s="41"/>
      <c r="QNP15" s="41"/>
      <c r="QNQ15" s="41"/>
      <c r="QNR15" s="41"/>
      <c r="QNS15" s="41"/>
      <c r="QNT15" s="41"/>
      <c r="QNU15" s="41"/>
      <c r="QNV15" s="41"/>
      <c r="QNW15" s="41"/>
      <c r="QNX15" s="41"/>
      <c r="QNY15" s="41"/>
      <c r="QNZ15" s="41"/>
      <c r="QOA15" s="41"/>
      <c r="QOB15" s="41"/>
      <c r="QOC15" s="41"/>
      <c r="QOD15" s="41"/>
      <c r="QOE15" s="41"/>
      <c r="QOF15" s="41"/>
      <c r="QOG15" s="41"/>
      <c r="QOH15" s="41"/>
      <c r="QOI15" s="41"/>
      <c r="QOJ15" s="41"/>
      <c r="QOK15" s="41"/>
      <c r="QOL15" s="41"/>
      <c r="QOM15" s="41"/>
      <c r="QON15" s="41"/>
      <c r="QOO15" s="41"/>
      <c r="QOP15" s="41"/>
      <c r="QOQ15" s="41"/>
      <c r="QOR15" s="41"/>
      <c r="QOS15" s="41"/>
      <c r="QOT15" s="41"/>
      <c r="QOU15" s="41"/>
      <c r="QOV15" s="41"/>
      <c r="QOW15" s="41"/>
      <c r="QOX15" s="41"/>
      <c r="QOY15" s="41"/>
      <c r="QOZ15" s="41"/>
      <c r="QPA15" s="41"/>
      <c r="QPB15" s="41"/>
      <c r="QPC15" s="41"/>
      <c r="QPD15" s="41"/>
      <c r="QPE15" s="41"/>
      <c r="QPF15" s="41"/>
      <c r="QPG15" s="41"/>
      <c r="QPH15" s="41"/>
      <c r="QPI15" s="41"/>
      <c r="QPJ15" s="41"/>
      <c r="QPK15" s="41"/>
      <c r="QPL15" s="41"/>
      <c r="QPM15" s="41"/>
      <c r="QPN15" s="41"/>
      <c r="QPO15" s="41"/>
      <c r="QPP15" s="41"/>
      <c r="QPQ15" s="41"/>
      <c r="QPR15" s="41"/>
      <c r="QPS15" s="41"/>
      <c r="QPT15" s="41"/>
      <c r="QPU15" s="41"/>
      <c r="QPV15" s="41"/>
      <c r="QPW15" s="41"/>
      <c r="QPX15" s="41"/>
      <c r="QPY15" s="41"/>
      <c r="QPZ15" s="41"/>
      <c r="QQA15" s="41"/>
      <c r="QQB15" s="41"/>
      <c r="QQC15" s="41"/>
      <c r="QQD15" s="41"/>
      <c r="QQE15" s="41"/>
      <c r="QQF15" s="41"/>
      <c r="QQG15" s="41"/>
      <c r="QQH15" s="41"/>
      <c r="QQI15" s="41"/>
      <c r="QQJ15" s="41"/>
      <c r="QQK15" s="41"/>
      <c r="QQL15" s="41"/>
      <c r="QQM15" s="41"/>
      <c r="QQN15" s="41"/>
      <c r="QQO15" s="41"/>
      <c r="QQP15" s="41"/>
      <c r="QQQ15" s="41"/>
      <c r="QQR15" s="41"/>
      <c r="QQS15" s="41"/>
      <c r="QQT15" s="41"/>
      <c r="QQU15" s="41"/>
      <c r="QQV15" s="41"/>
      <c r="QQW15" s="41"/>
      <c r="QQX15" s="41"/>
      <c r="QQY15" s="41"/>
      <c r="QQZ15" s="41"/>
      <c r="QRA15" s="41"/>
      <c r="QRB15" s="41"/>
      <c r="QRC15" s="41"/>
      <c r="QRD15" s="41"/>
      <c r="QRE15" s="41"/>
      <c r="QRF15" s="41"/>
      <c r="QRG15" s="41"/>
      <c r="QRH15" s="41"/>
      <c r="QRI15" s="41"/>
      <c r="QRJ15" s="41"/>
      <c r="QRK15" s="41"/>
      <c r="QRL15" s="41"/>
      <c r="QRM15" s="41"/>
      <c r="QRN15" s="41"/>
      <c r="QRO15" s="41"/>
      <c r="QRP15" s="41"/>
      <c r="QRQ15" s="41"/>
      <c r="QRR15" s="41"/>
      <c r="QRS15" s="41"/>
      <c r="QRT15" s="41"/>
      <c r="QRU15" s="41"/>
      <c r="QRV15" s="41"/>
      <c r="QRW15" s="41"/>
      <c r="QRX15" s="41"/>
      <c r="QRY15" s="41"/>
      <c r="QRZ15" s="41"/>
      <c r="QSA15" s="41"/>
      <c r="QSB15" s="41"/>
      <c r="QSC15" s="41"/>
      <c r="QSD15" s="41"/>
      <c r="QSE15" s="41"/>
      <c r="QSF15" s="41"/>
      <c r="QSG15" s="41"/>
      <c r="QSH15" s="41"/>
      <c r="QSI15" s="41"/>
      <c r="QSJ15" s="41"/>
      <c r="QSK15" s="41"/>
      <c r="QSL15" s="41"/>
      <c r="QSM15" s="41"/>
      <c r="QSN15" s="41"/>
      <c r="QSO15" s="41"/>
      <c r="QSP15" s="41"/>
      <c r="QSQ15" s="41"/>
      <c r="QSR15" s="41"/>
      <c r="QSS15" s="41"/>
      <c r="QST15" s="41"/>
      <c r="QSU15" s="41"/>
      <c r="QSV15" s="41"/>
      <c r="QSW15" s="41"/>
      <c r="QSX15" s="41"/>
      <c r="QSY15" s="41"/>
      <c r="QSZ15" s="41"/>
      <c r="QTA15" s="41"/>
      <c r="QTB15" s="41"/>
      <c r="QTC15" s="41"/>
      <c r="QTD15" s="41"/>
      <c r="QTE15" s="41"/>
      <c r="QTF15" s="41"/>
      <c r="QTG15" s="41"/>
      <c r="QTH15" s="41"/>
      <c r="QTI15" s="41"/>
      <c r="QTJ15" s="41"/>
      <c r="QTK15" s="41"/>
      <c r="QTL15" s="41"/>
      <c r="QTM15" s="41"/>
      <c r="QTN15" s="41"/>
      <c r="QTO15" s="41"/>
      <c r="QTP15" s="41"/>
      <c r="QTQ15" s="41"/>
      <c r="QTR15" s="41"/>
      <c r="QTS15" s="41"/>
      <c r="QTT15" s="41"/>
      <c r="QTU15" s="41"/>
      <c r="QTV15" s="41"/>
      <c r="QTW15" s="41"/>
      <c r="QTX15" s="41"/>
      <c r="QTY15" s="41"/>
      <c r="QTZ15" s="41"/>
      <c r="QUA15" s="41"/>
      <c r="QUB15" s="41"/>
      <c r="QUC15" s="41"/>
      <c r="QUD15" s="41"/>
      <c r="QUE15" s="41"/>
      <c r="QUF15" s="41"/>
      <c r="QUG15" s="41"/>
      <c r="QUH15" s="41"/>
      <c r="QUI15" s="41"/>
      <c r="QUJ15" s="41"/>
      <c r="QUK15" s="41"/>
      <c r="QUL15" s="41"/>
      <c r="QUM15" s="41"/>
      <c r="QUN15" s="41"/>
      <c r="QUO15" s="41"/>
      <c r="QUP15" s="41"/>
      <c r="QUQ15" s="41"/>
      <c r="QUR15" s="41"/>
      <c r="QUS15" s="41"/>
      <c r="QUT15" s="41"/>
      <c r="QUU15" s="41"/>
      <c r="QUV15" s="41"/>
      <c r="QUW15" s="41"/>
      <c r="QUX15" s="41"/>
      <c r="QUY15" s="41"/>
      <c r="QUZ15" s="41"/>
      <c r="QVA15" s="41"/>
      <c r="QVB15" s="41"/>
      <c r="QVC15" s="41"/>
      <c r="QVD15" s="41"/>
      <c r="QVE15" s="41"/>
      <c r="QVF15" s="41"/>
      <c r="QVG15" s="41"/>
      <c r="QVH15" s="41"/>
      <c r="QVI15" s="41"/>
      <c r="QVJ15" s="41"/>
      <c r="QVK15" s="41"/>
      <c r="QVL15" s="41"/>
      <c r="QVM15" s="41"/>
      <c r="QVN15" s="41"/>
      <c r="QVO15" s="41"/>
      <c r="QVP15" s="41"/>
      <c r="QVQ15" s="41"/>
      <c r="QVR15" s="41"/>
      <c r="QVS15" s="41"/>
      <c r="QVT15" s="41"/>
      <c r="QVU15" s="41"/>
      <c r="QVV15" s="41"/>
      <c r="QVW15" s="41"/>
      <c r="QVX15" s="41"/>
      <c r="QVY15" s="41"/>
      <c r="QVZ15" s="41"/>
      <c r="QWA15" s="41"/>
      <c r="QWB15" s="41"/>
      <c r="QWC15" s="41"/>
      <c r="QWD15" s="41"/>
      <c r="QWE15" s="41"/>
      <c r="QWF15" s="41"/>
      <c r="QWG15" s="41"/>
      <c r="QWH15" s="41"/>
      <c r="QWI15" s="41"/>
      <c r="QWJ15" s="41"/>
      <c r="QWK15" s="41"/>
      <c r="QWL15" s="41"/>
      <c r="QWM15" s="41"/>
      <c r="QWN15" s="41"/>
      <c r="QWO15" s="41"/>
      <c r="QWP15" s="41"/>
      <c r="QWQ15" s="41"/>
      <c r="QWR15" s="41"/>
      <c r="QWS15" s="41"/>
      <c r="QWT15" s="41"/>
      <c r="QWU15" s="41"/>
      <c r="QWV15" s="41"/>
      <c r="QWW15" s="41"/>
      <c r="QWX15" s="41"/>
      <c r="QWY15" s="41"/>
      <c r="QWZ15" s="41"/>
      <c r="QXA15" s="41"/>
      <c r="QXB15" s="41"/>
      <c r="QXC15" s="41"/>
      <c r="QXD15" s="41"/>
      <c r="QXE15" s="41"/>
      <c r="QXF15" s="41"/>
      <c r="QXG15" s="41"/>
      <c r="QXH15" s="41"/>
      <c r="QXI15" s="41"/>
      <c r="QXJ15" s="41"/>
      <c r="QXK15" s="41"/>
      <c r="QXL15" s="41"/>
      <c r="QXM15" s="41"/>
      <c r="QXN15" s="41"/>
      <c r="QXO15" s="41"/>
      <c r="QXP15" s="41"/>
      <c r="QXQ15" s="41"/>
      <c r="QXR15" s="41"/>
      <c r="QXS15" s="41"/>
      <c r="QXT15" s="41"/>
      <c r="QXU15" s="41"/>
      <c r="QXV15" s="41"/>
      <c r="QXW15" s="41"/>
      <c r="QXX15" s="41"/>
      <c r="QXY15" s="41"/>
      <c r="QXZ15" s="41"/>
      <c r="QYA15" s="41"/>
      <c r="QYB15" s="41"/>
      <c r="QYC15" s="41"/>
      <c r="QYD15" s="41"/>
      <c r="QYE15" s="41"/>
      <c r="QYF15" s="41"/>
      <c r="QYG15" s="41"/>
      <c r="QYH15" s="41"/>
      <c r="QYI15" s="41"/>
      <c r="QYJ15" s="41"/>
      <c r="QYK15" s="41"/>
      <c r="QYL15" s="41"/>
      <c r="QYM15" s="41"/>
      <c r="QYN15" s="41"/>
      <c r="QYO15" s="41"/>
      <c r="QYP15" s="41"/>
      <c r="QYQ15" s="41"/>
      <c r="QYR15" s="41"/>
      <c r="QYS15" s="41"/>
      <c r="QYT15" s="41"/>
      <c r="QYU15" s="41"/>
      <c r="QYV15" s="41"/>
      <c r="QYW15" s="41"/>
      <c r="QYX15" s="41"/>
      <c r="QYY15" s="41"/>
      <c r="QYZ15" s="41"/>
      <c r="QZA15" s="41"/>
      <c r="QZB15" s="41"/>
      <c r="QZC15" s="41"/>
      <c r="QZD15" s="41"/>
      <c r="QZE15" s="41"/>
      <c r="QZF15" s="41"/>
      <c r="QZG15" s="41"/>
      <c r="QZH15" s="41"/>
      <c r="QZI15" s="41"/>
      <c r="QZJ15" s="41"/>
      <c r="QZK15" s="41"/>
      <c r="QZL15" s="41"/>
      <c r="QZM15" s="41"/>
      <c r="QZN15" s="41"/>
      <c r="QZO15" s="41"/>
      <c r="QZP15" s="41"/>
      <c r="QZQ15" s="41"/>
      <c r="QZR15" s="41"/>
      <c r="QZS15" s="41"/>
      <c r="QZT15" s="41"/>
      <c r="QZU15" s="41"/>
      <c r="QZV15" s="41"/>
      <c r="QZW15" s="41"/>
      <c r="QZX15" s="41"/>
      <c r="QZY15" s="41"/>
      <c r="QZZ15" s="41"/>
      <c r="RAA15" s="41"/>
      <c r="RAB15" s="41"/>
      <c r="RAC15" s="41"/>
      <c r="RAD15" s="41"/>
      <c r="RAE15" s="41"/>
      <c r="RAF15" s="41"/>
      <c r="RAG15" s="41"/>
      <c r="RAH15" s="41"/>
      <c r="RAI15" s="41"/>
      <c r="RAJ15" s="41"/>
      <c r="RAK15" s="41"/>
      <c r="RAL15" s="41"/>
      <c r="RAM15" s="41"/>
      <c r="RAN15" s="41"/>
      <c r="RAO15" s="41"/>
      <c r="RAP15" s="41"/>
      <c r="RAQ15" s="41"/>
      <c r="RAR15" s="41"/>
      <c r="RAS15" s="41"/>
      <c r="RAT15" s="41"/>
      <c r="RAU15" s="41"/>
      <c r="RAV15" s="41"/>
      <c r="RAW15" s="41"/>
      <c r="RAX15" s="41"/>
      <c r="RAY15" s="41"/>
      <c r="RAZ15" s="41"/>
      <c r="RBA15" s="41"/>
      <c r="RBB15" s="41"/>
      <c r="RBC15" s="41"/>
      <c r="RBD15" s="41"/>
      <c r="RBE15" s="41"/>
      <c r="RBF15" s="41"/>
      <c r="RBG15" s="41"/>
      <c r="RBH15" s="41"/>
      <c r="RBI15" s="41"/>
      <c r="RBJ15" s="41"/>
      <c r="RBK15" s="41"/>
      <c r="RBL15" s="41"/>
      <c r="RBM15" s="41"/>
      <c r="RBN15" s="41"/>
      <c r="RBO15" s="41"/>
      <c r="RBP15" s="41"/>
      <c r="RBQ15" s="41"/>
      <c r="RBR15" s="41"/>
      <c r="RBS15" s="41"/>
      <c r="RBT15" s="41"/>
      <c r="RBU15" s="41"/>
      <c r="RBV15" s="41"/>
      <c r="RBW15" s="41"/>
      <c r="RBX15" s="41"/>
      <c r="RBY15" s="41"/>
      <c r="RBZ15" s="41"/>
      <c r="RCA15" s="41"/>
      <c r="RCB15" s="41"/>
      <c r="RCC15" s="41"/>
      <c r="RCD15" s="41"/>
      <c r="RCE15" s="41"/>
      <c r="RCF15" s="41"/>
      <c r="RCG15" s="41"/>
      <c r="RCH15" s="41"/>
      <c r="RCI15" s="41"/>
      <c r="RCJ15" s="41"/>
      <c r="RCK15" s="41"/>
      <c r="RCL15" s="41"/>
      <c r="RCM15" s="41"/>
      <c r="RCN15" s="41"/>
      <c r="RCO15" s="41"/>
      <c r="RCP15" s="41"/>
      <c r="RCQ15" s="41"/>
      <c r="RCR15" s="41"/>
      <c r="RCS15" s="41"/>
      <c r="RCT15" s="41"/>
      <c r="RCU15" s="41"/>
      <c r="RCV15" s="41"/>
      <c r="RCW15" s="41"/>
      <c r="RCX15" s="41"/>
      <c r="RCY15" s="41"/>
      <c r="RCZ15" s="41"/>
      <c r="RDA15" s="41"/>
      <c r="RDB15" s="41"/>
      <c r="RDC15" s="41"/>
      <c r="RDD15" s="41"/>
      <c r="RDE15" s="41"/>
      <c r="RDF15" s="41"/>
      <c r="RDG15" s="41"/>
      <c r="RDH15" s="41"/>
      <c r="RDI15" s="41"/>
      <c r="RDJ15" s="41"/>
      <c r="RDK15" s="41"/>
      <c r="RDL15" s="41"/>
      <c r="RDM15" s="41"/>
      <c r="RDN15" s="41"/>
      <c r="RDO15" s="41"/>
      <c r="RDP15" s="41"/>
      <c r="RDQ15" s="41"/>
      <c r="RDR15" s="41"/>
      <c r="RDS15" s="41"/>
      <c r="RDT15" s="41"/>
      <c r="RDU15" s="41"/>
      <c r="RDV15" s="41"/>
      <c r="RDW15" s="41"/>
      <c r="RDX15" s="41"/>
      <c r="RDY15" s="41"/>
      <c r="RDZ15" s="41"/>
      <c r="REA15" s="41"/>
      <c r="REB15" s="41"/>
      <c r="REC15" s="41"/>
      <c r="RED15" s="41"/>
      <c r="REE15" s="41"/>
      <c r="REF15" s="41"/>
      <c r="REG15" s="41"/>
      <c r="REH15" s="41"/>
      <c r="REI15" s="41"/>
      <c r="REJ15" s="41"/>
      <c r="REK15" s="41"/>
      <c r="REL15" s="41"/>
      <c r="REM15" s="41"/>
      <c r="REN15" s="41"/>
      <c r="REO15" s="41"/>
      <c r="REP15" s="41"/>
      <c r="REQ15" s="41"/>
      <c r="RER15" s="41"/>
      <c r="RES15" s="41"/>
      <c r="RET15" s="41"/>
      <c r="REU15" s="41"/>
      <c r="REV15" s="41"/>
      <c r="REW15" s="41"/>
      <c r="REX15" s="41"/>
      <c r="REY15" s="41"/>
      <c r="REZ15" s="41"/>
      <c r="RFA15" s="41"/>
      <c r="RFB15" s="41"/>
      <c r="RFC15" s="41"/>
      <c r="RFD15" s="41"/>
      <c r="RFE15" s="41"/>
      <c r="RFF15" s="41"/>
      <c r="RFG15" s="41"/>
      <c r="RFH15" s="41"/>
      <c r="RFI15" s="41"/>
      <c r="RFJ15" s="41"/>
      <c r="RFK15" s="41"/>
      <c r="RFL15" s="41"/>
      <c r="RFM15" s="41"/>
      <c r="RFN15" s="41"/>
      <c r="RFO15" s="41"/>
      <c r="RFP15" s="41"/>
      <c r="RFQ15" s="41"/>
      <c r="RFR15" s="41"/>
      <c r="RFS15" s="41"/>
      <c r="RFT15" s="41"/>
      <c r="RFU15" s="41"/>
      <c r="RFV15" s="41"/>
      <c r="RFW15" s="41"/>
      <c r="RFX15" s="41"/>
      <c r="RFY15" s="41"/>
      <c r="RFZ15" s="41"/>
      <c r="RGA15" s="41"/>
      <c r="RGB15" s="41"/>
      <c r="RGC15" s="41"/>
      <c r="RGD15" s="41"/>
      <c r="RGE15" s="41"/>
      <c r="RGF15" s="41"/>
      <c r="RGG15" s="41"/>
      <c r="RGH15" s="41"/>
      <c r="RGI15" s="41"/>
      <c r="RGJ15" s="41"/>
      <c r="RGK15" s="41"/>
      <c r="RGL15" s="41"/>
      <c r="RGM15" s="41"/>
      <c r="RGN15" s="41"/>
      <c r="RGO15" s="41"/>
      <c r="RGP15" s="41"/>
      <c r="RGQ15" s="41"/>
      <c r="RGR15" s="41"/>
      <c r="RGS15" s="41"/>
      <c r="RGT15" s="41"/>
      <c r="RGU15" s="41"/>
      <c r="RGV15" s="41"/>
      <c r="RGW15" s="41"/>
      <c r="RGX15" s="41"/>
      <c r="RGY15" s="41"/>
      <c r="RGZ15" s="41"/>
      <c r="RHA15" s="41"/>
      <c r="RHB15" s="41"/>
      <c r="RHC15" s="41"/>
      <c r="RHD15" s="41"/>
      <c r="RHE15" s="41"/>
      <c r="RHF15" s="41"/>
      <c r="RHG15" s="41"/>
      <c r="RHH15" s="41"/>
      <c r="RHI15" s="41"/>
      <c r="RHJ15" s="41"/>
      <c r="RHK15" s="41"/>
      <c r="RHL15" s="41"/>
      <c r="RHM15" s="41"/>
      <c r="RHN15" s="41"/>
      <c r="RHO15" s="41"/>
      <c r="RHP15" s="41"/>
      <c r="RHQ15" s="41"/>
      <c r="RHR15" s="41"/>
      <c r="RHS15" s="41"/>
      <c r="RHT15" s="41"/>
      <c r="RHU15" s="41"/>
      <c r="RHV15" s="41"/>
      <c r="RHW15" s="41"/>
      <c r="RHX15" s="41"/>
      <c r="RHY15" s="41"/>
      <c r="RHZ15" s="41"/>
      <c r="RIA15" s="41"/>
      <c r="RIB15" s="41"/>
      <c r="RIC15" s="41"/>
      <c r="RID15" s="41"/>
      <c r="RIE15" s="41"/>
      <c r="RIF15" s="41"/>
      <c r="RIG15" s="41"/>
      <c r="RIH15" s="41"/>
      <c r="RII15" s="41"/>
      <c r="RIJ15" s="41"/>
      <c r="RIK15" s="41"/>
      <c r="RIL15" s="41"/>
      <c r="RIM15" s="41"/>
      <c r="RIN15" s="41"/>
      <c r="RIO15" s="41"/>
      <c r="RIP15" s="41"/>
      <c r="RIQ15" s="41"/>
      <c r="RIR15" s="41"/>
      <c r="RIS15" s="41"/>
      <c r="RIT15" s="41"/>
      <c r="RIU15" s="41"/>
      <c r="RIV15" s="41"/>
      <c r="RIW15" s="41"/>
      <c r="RIX15" s="41"/>
      <c r="RIY15" s="41"/>
      <c r="RIZ15" s="41"/>
      <c r="RJA15" s="41"/>
      <c r="RJB15" s="41"/>
      <c r="RJC15" s="41"/>
      <c r="RJD15" s="41"/>
      <c r="RJE15" s="41"/>
      <c r="RJF15" s="41"/>
      <c r="RJG15" s="41"/>
      <c r="RJH15" s="41"/>
      <c r="RJI15" s="41"/>
      <c r="RJJ15" s="41"/>
      <c r="RJK15" s="41"/>
      <c r="RJL15" s="41"/>
      <c r="RJM15" s="41"/>
      <c r="RJN15" s="41"/>
      <c r="RJO15" s="41"/>
      <c r="RJP15" s="41"/>
      <c r="RJQ15" s="41"/>
      <c r="RJR15" s="41"/>
      <c r="RJS15" s="41"/>
      <c r="RJT15" s="41"/>
      <c r="RJU15" s="41"/>
      <c r="RJV15" s="41"/>
      <c r="RJW15" s="41"/>
      <c r="RJX15" s="41"/>
      <c r="RJY15" s="41"/>
      <c r="RJZ15" s="41"/>
      <c r="RKA15" s="41"/>
      <c r="RKB15" s="41"/>
      <c r="RKC15" s="41"/>
      <c r="RKD15" s="41"/>
      <c r="RKE15" s="41"/>
      <c r="RKF15" s="41"/>
      <c r="RKG15" s="41"/>
      <c r="RKH15" s="41"/>
      <c r="RKI15" s="41"/>
      <c r="RKJ15" s="41"/>
      <c r="RKK15" s="41"/>
      <c r="RKL15" s="41"/>
      <c r="RKM15" s="41"/>
      <c r="RKN15" s="41"/>
      <c r="RKO15" s="41"/>
      <c r="RKP15" s="41"/>
      <c r="RKQ15" s="41"/>
      <c r="RKR15" s="41"/>
      <c r="RKS15" s="41"/>
      <c r="RKT15" s="41"/>
      <c r="RKU15" s="41"/>
      <c r="RKV15" s="41"/>
      <c r="RKW15" s="41"/>
      <c r="RKX15" s="41"/>
      <c r="RKY15" s="41"/>
      <c r="RKZ15" s="41"/>
      <c r="RLA15" s="41"/>
      <c r="RLB15" s="41"/>
      <c r="RLC15" s="41"/>
      <c r="RLD15" s="41"/>
      <c r="RLE15" s="41"/>
      <c r="RLF15" s="41"/>
      <c r="RLG15" s="41"/>
      <c r="RLH15" s="41"/>
      <c r="RLI15" s="41"/>
      <c r="RLJ15" s="41"/>
      <c r="RLK15" s="41"/>
      <c r="RLL15" s="41"/>
      <c r="RLM15" s="41"/>
      <c r="RLN15" s="41"/>
      <c r="RLO15" s="41"/>
      <c r="RLP15" s="41"/>
      <c r="RLQ15" s="41"/>
      <c r="RLR15" s="41"/>
      <c r="RLS15" s="41"/>
      <c r="RLT15" s="41"/>
      <c r="RLU15" s="41"/>
      <c r="RLV15" s="41"/>
      <c r="RLW15" s="41"/>
      <c r="RLX15" s="41"/>
      <c r="RLY15" s="41"/>
      <c r="RLZ15" s="41"/>
      <c r="RMA15" s="41"/>
      <c r="RMB15" s="41"/>
      <c r="RMC15" s="41"/>
      <c r="RMD15" s="41"/>
      <c r="RME15" s="41"/>
      <c r="RMF15" s="41"/>
      <c r="RMG15" s="41"/>
      <c r="RMH15" s="41"/>
      <c r="RMI15" s="41"/>
      <c r="RMJ15" s="41"/>
      <c r="RMK15" s="41"/>
      <c r="RML15" s="41"/>
      <c r="RMM15" s="41"/>
      <c r="RMN15" s="41"/>
      <c r="RMO15" s="41"/>
      <c r="RMP15" s="41"/>
      <c r="RMQ15" s="41"/>
      <c r="RMR15" s="41"/>
      <c r="RMS15" s="41"/>
      <c r="RMT15" s="41"/>
      <c r="RMU15" s="41"/>
      <c r="RMV15" s="41"/>
      <c r="RMW15" s="41"/>
      <c r="RMX15" s="41"/>
      <c r="RMY15" s="41"/>
      <c r="RMZ15" s="41"/>
      <c r="RNA15" s="41"/>
      <c r="RNB15" s="41"/>
      <c r="RNC15" s="41"/>
      <c r="RND15" s="41"/>
      <c r="RNE15" s="41"/>
      <c r="RNF15" s="41"/>
      <c r="RNG15" s="41"/>
      <c r="RNH15" s="41"/>
      <c r="RNI15" s="41"/>
      <c r="RNJ15" s="41"/>
      <c r="RNK15" s="41"/>
      <c r="RNL15" s="41"/>
      <c r="RNM15" s="41"/>
      <c r="RNN15" s="41"/>
      <c r="RNO15" s="41"/>
      <c r="RNP15" s="41"/>
      <c r="RNQ15" s="41"/>
      <c r="RNR15" s="41"/>
      <c r="RNS15" s="41"/>
      <c r="RNT15" s="41"/>
      <c r="RNU15" s="41"/>
      <c r="RNV15" s="41"/>
      <c r="RNW15" s="41"/>
      <c r="RNX15" s="41"/>
      <c r="RNY15" s="41"/>
      <c r="RNZ15" s="41"/>
      <c r="ROA15" s="41"/>
      <c r="ROB15" s="41"/>
      <c r="ROC15" s="41"/>
      <c r="ROD15" s="41"/>
      <c r="ROE15" s="41"/>
      <c r="ROF15" s="41"/>
      <c r="ROG15" s="41"/>
      <c r="ROH15" s="41"/>
      <c r="ROI15" s="41"/>
      <c r="ROJ15" s="41"/>
      <c r="ROK15" s="41"/>
      <c r="ROL15" s="41"/>
      <c r="ROM15" s="41"/>
      <c r="RON15" s="41"/>
      <c r="ROO15" s="41"/>
      <c r="ROP15" s="41"/>
      <c r="ROQ15" s="41"/>
      <c r="ROR15" s="41"/>
      <c r="ROS15" s="41"/>
      <c r="ROT15" s="41"/>
      <c r="ROU15" s="41"/>
      <c r="ROV15" s="41"/>
      <c r="ROW15" s="41"/>
      <c r="ROX15" s="41"/>
      <c r="ROY15" s="41"/>
      <c r="ROZ15" s="41"/>
      <c r="RPA15" s="41"/>
      <c r="RPB15" s="41"/>
      <c r="RPC15" s="41"/>
      <c r="RPD15" s="41"/>
      <c r="RPE15" s="41"/>
      <c r="RPF15" s="41"/>
      <c r="RPG15" s="41"/>
      <c r="RPH15" s="41"/>
      <c r="RPI15" s="41"/>
      <c r="RPJ15" s="41"/>
      <c r="RPK15" s="41"/>
      <c r="RPL15" s="41"/>
      <c r="RPM15" s="41"/>
      <c r="RPN15" s="41"/>
      <c r="RPO15" s="41"/>
      <c r="RPP15" s="41"/>
      <c r="RPQ15" s="41"/>
      <c r="RPR15" s="41"/>
      <c r="RPS15" s="41"/>
      <c r="RPT15" s="41"/>
      <c r="RPU15" s="41"/>
      <c r="RPV15" s="41"/>
      <c r="RPW15" s="41"/>
      <c r="RPX15" s="41"/>
      <c r="RPY15" s="41"/>
      <c r="RPZ15" s="41"/>
      <c r="RQA15" s="41"/>
      <c r="RQB15" s="41"/>
      <c r="RQC15" s="41"/>
      <c r="RQD15" s="41"/>
      <c r="RQE15" s="41"/>
      <c r="RQF15" s="41"/>
      <c r="RQG15" s="41"/>
      <c r="RQH15" s="41"/>
      <c r="RQI15" s="41"/>
      <c r="RQJ15" s="41"/>
      <c r="RQK15" s="41"/>
      <c r="RQL15" s="41"/>
      <c r="RQM15" s="41"/>
      <c r="RQN15" s="41"/>
      <c r="RQO15" s="41"/>
      <c r="RQP15" s="41"/>
      <c r="RQQ15" s="41"/>
      <c r="RQR15" s="41"/>
      <c r="RQS15" s="41"/>
      <c r="RQT15" s="41"/>
      <c r="RQU15" s="41"/>
      <c r="RQV15" s="41"/>
      <c r="RQW15" s="41"/>
      <c r="RQX15" s="41"/>
      <c r="RQY15" s="41"/>
      <c r="RQZ15" s="41"/>
      <c r="RRA15" s="41"/>
      <c r="RRB15" s="41"/>
      <c r="RRC15" s="41"/>
      <c r="RRD15" s="41"/>
      <c r="RRE15" s="41"/>
      <c r="RRF15" s="41"/>
      <c r="RRG15" s="41"/>
      <c r="RRH15" s="41"/>
      <c r="RRI15" s="41"/>
      <c r="RRJ15" s="41"/>
      <c r="RRK15" s="41"/>
      <c r="RRL15" s="41"/>
      <c r="RRM15" s="41"/>
      <c r="RRN15" s="41"/>
      <c r="RRO15" s="41"/>
      <c r="RRP15" s="41"/>
      <c r="RRQ15" s="41"/>
      <c r="RRR15" s="41"/>
      <c r="RRS15" s="41"/>
      <c r="RRT15" s="41"/>
      <c r="RRU15" s="41"/>
      <c r="RRV15" s="41"/>
      <c r="RRW15" s="41"/>
      <c r="RRX15" s="41"/>
      <c r="RRY15" s="41"/>
      <c r="RRZ15" s="41"/>
      <c r="RSA15" s="41"/>
      <c r="RSB15" s="41"/>
      <c r="RSC15" s="41"/>
      <c r="RSD15" s="41"/>
      <c r="RSE15" s="41"/>
      <c r="RSF15" s="41"/>
      <c r="RSG15" s="41"/>
      <c r="RSH15" s="41"/>
      <c r="RSI15" s="41"/>
      <c r="RSJ15" s="41"/>
      <c r="RSK15" s="41"/>
      <c r="RSL15" s="41"/>
      <c r="RSM15" s="41"/>
      <c r="RSN15" s="41"/>
      <c r="RSO15" s="41"/>
      <c r="RSP15" s="41"/>
      <c r="RSQ15" s="41"/>
      <c r="RSR15" s="41"/>
      <c r="RSS15" s="41"/>
      <c r="RST15" s="41"/>
      <c r="RSU15" s="41"/>
      <c r="RSV15" s="41"/>
      <c r="RSW15" s="41"/>
      <c r="RSX15" s="41"/>
      <c r="RSY15" s="41"/>
      <c r="RSZ15" s="41"/>
      <c r="RTA15" s="41"/>
      <c r="RTB15" s="41"/>
      <c r="RTC15" s="41"/>
      <c r="RTD15" s="41"/>
      <c r="RTE15" s="41"/>
      <c r="RTF15" s="41"/>
      <c r="RTG15" s="41"/>
      <c r="RTH15" s="41"/>
      <c r="RTI15" s="41"/>
      <c r="RTJ15" s="41"/>
      <c r="RTK15" s="41"/>
      <c r="RTL15" s="41"/>
      <c r="RTM15" s="41"/>
      <c r="RTN15" s="41"/>
      <c r="RTO15" s="41"/>
      <c r="RTP15" s="41"/>
      <c r="RTQ15" s="41"/>
      <c r="RTR15" s="41"/>
      <c r="RTS15" s="41"/>
      <c r="RTT15" s="41"/>
      <c r="RTU15" s="41"/>
      <c r="RTV15" s="41"/>
      <c r="RTW15" s="41"/>
      <c r="RTX15" s="41"/>
      <c r="RTY15" s="41"/>
      <c r="RTZ15" s="41"/>
      <c r="RUA15" s="41"/>
      <c r="RUB15" s="41"/>
      <c r="RUC15" s="41"/>
      <c r="RUD15" s="41"/>
      <c r="RUE15" s="41"/>
      <c r="RUF15" s="41"/>
      <c r="RUG15" s="41"/>
      <c r="RUH15" s="41"/>
      <c r="RUI15" s="41"/>
      <c r="RUJ15" s="41"/>
      <c r="RUK15" s="41"/>
      <c r="RUL15" s="41"/>
      <c r="RUM15" s="41"/>
      <c r="RUN15" s="41"/>
      <c r="RUO15" s="41"/>
      <c r="RUP15" s="41"/>
      <c r="RUQ15" s="41"/>
      <c r="RUR15" s="41"/>
      <c r="RUS15" s="41"/>
      <c r="RUT15" s="41"/>
      <c r="RUU15" s="41"/>
      <c r="RUV15" s="41"/>
      <c r="RUW15" s="41"/>
      <c r="RUX15" s="41"/>
      <c r="RUY15" s="41"/>
      <c r="RUZ15" s="41"/>
      <c r="RVA15" s="41"/>
      <c r="RVB15" s="41"/>
      <c r="RVC15" s="41"/>
      <c r="RVD15" s="41"/>
      <c r="RVE15" s="41"/>
      <c r="RVF15" s="41"/>
      <c r="RVG15" s="41"/>
      <c r="RVH15" s="41"/>
      <c r="RVI15" s="41"/>
      <c r="RVJ15" s="41"/>
      <c r="RVK15" s="41"/>
      <c r="RVL15" s="41"/>
      <c r="RVM15" s="41"/>
      <c r="RVN15" s="41"/>
      <c r="RVO15" s="41"/>
      <c r="RVP15" s="41"/>
      <c r="RVQ15" s="41"/>
      <c r="RVR15" s="41"/>
      <c r="RVS15" s="41"/>
      <c r="RVT15" s="41"/>
      <c r="RVU15" s="41"/>
      <c r="RVV15" s="41"/>
      <c r="RVW15" s="41"/>
      <c r="RVX15" s="41"/>
      <c r="RVY15" s="41"/>
      <c r="RVZ15" s="41"/>
      <c r="RWA15" s="41"/>
      <c r="RWB15" s="41"/>
      <c r="RWC15" s="41"/>
      <c r="RWD15" s="41"/>
      <c r="RWE15" s="41"/>
      <c r="RWF15" s="41"/>
      <c r="RWG15" s="41"/>
      <c r="RWH15" s="41"/>
      <c r="RWI15" s="41"/>
      <c r="RWJ15" s="41"/>
      <c r="RWK15" s="41"/>
      <c r="RWL15" s="41"/>
      <c r="RWM15" s="41"/>
      <c r="RWN15" s="41"/>
      <c r="RWO15" s="41"/>
      <c r="RWP15" s="41"/>
      <c r="RWQ15" s="41"/>
      <c r="RWR15" s="41"/>
      <c r="RWS15" s="41"/>
      <c r="RWT15" s="41"/>
      <c r="RWU15" s="41"/>
      <c r="RWV15" s="41"/>
      <c r="RWW15" s="41"/>
      <c r="RWX15" s="41"/>
      <c r="RWY15" s="41"/>
      <c r="RWZ15" s="41"/>
      <c r="RXA15" s="41"/>
      <c r="RXB15" s="41"/>
      <c r="RXC15" s="41"/>
      <c r="RXD15" s="41"/>
      <c r="RXE15" s="41"/>
      <c r="RXF15" s="41"/>
      <c r="RXG15" s="41"/>
      <c r="RXH15" s="41"/>
      <c r="RXI15" s="41"/>
      <c r="RXJ15" s="41"/>
      <c r="RXK15" s="41"/>
      <c r="RXL15" s="41"/>
      <c r="RXM15" s="41"/>
      <c r="RXN15" s="41"/>
      <c r="RXO15" s="41"/>
      <c r="RXP15" s="41"/>
      <c r="RXQ15" s="41"/>
      <c r="RXR15" s="41"/>
      <c r="RXS15" s="41"/>
      <c r="RXT15" s="41"/>
      <c r="RXU15" s="41"/>
      <c r="RXV15" s="41"/>
      <c r="RXW15" s="41"/>
      <c r="RXX15" s="41"/>
      <c r="RXY15" s="41"/>
      <c r="RXZ15" s="41"/>
      <c r="RYA15" s="41"/>
      <c r="RYB15" s="41"/>
      <c r="RYC15" s="41"/>
      <c r="RYD15" s="41"/>
      <c r="RYE15" s="41"/>
      <c r="RYF15" s="41"/>
      <c r="RYG15" s="41"/>
      <c r="RYH15" s="41"/>
      <c r="RYI15" s="41"/>
      <c r="RYJ15" s="41"/>
      <c r="RYK15" s="41"/>
      <c r="RYL15" s="41"/>
      <c r="RYM15" s="41"/>
      <c r="RYN15" s="41"/>
      <c r="RYO15" s="41"/>
      <c r="RYP15" s="41"/>
      <c r="RYQ15" s="41"/>
      <c r="RYR15" s="41"/>
      <c r="RYS15" s="41"/>
      <c r="RYT15" s="41"/>
      <c r="RYU15" s="41"/>
      <c r="RYV15" s="41"/>
      <c r="RYW15" s="41"/>
      <c r="RYX15" s="41"/>
      <c r="RYY15" s="41"/>
      <c r="RYZ15" s="41"/>
      <c r="RZA15" s="41"/>
      <c r="RZB15" s="41"/>
      <c r="RZC15" s="41"/>
      <c r="RZD15" s="41"/>
      <c r="RZE15" s="41"/>
      <c r="RZF15" s="41"/>
      <c r="RZG15" s="41"/>
      <c r="RZH15" s="41"/>
      <c r="RZI15" s="41"/>
      <c r="RZJ15" s="41"/>
      <c r="RZK15" s="41"/>
      <c r="RZL15" s="41"/>
      <c r="RZM15" s="41"/>
      <c r="RZN15" s="41"/>
      <c r="RZO15" s="41"/>
      <c r="RZP15" s="41"/>
      <c r="RZQ15" s="41"/>
      <c r="RZR15" s="41"/>
      <c r="RZS15" s="41"/>
      <c r="RZT15" s="41"/>
      <c r="RZU15" s="41"/>
      <c r="RZV15" s="41"/>
      <c r="RZW15" s="41"/>
      <c r="RZX15" s="41"/>
      <c r="RZY15" s="41"/>
      <c r="RZZ15" s="41"/>
      <c r="SAA15" s="41"/>
      <c r="SAB15" s="41"/>
      <c r="SAC15" s="41"/>
      <c r="SAD15" s="41"/>
      <c r="SAE15" s="41"/>
      <c r="SAF15" s="41"/>
      <c r="SAG15" s="41"/>
      <c r="SAH15" s="41"/>
      <c r="SAI15" s="41"/>
      <c r="SAJ15" s="41"/>
      <c r="SAK15" s="41"/>
      <c r="SAL15" s="41"/>
      <c r="SAM15" s="41"/>
      <c r="SAN15" s="41"/>
      <c r="SAO15" s="41"/>
      <c r="SAP15" s="41"/>
      <c r="SAQ15" s="41"/>
      <c r="SAR15" s="41"/>
      <c r="SAS15" s="41"/>
      <c r="SAT15" s="41"/>
      <c r="SAU15" s="41"/>
      <c r="SAV15" s="41"/>
      <c r="SAW15" s="41"/>
      <c r="SAX15" s="41"/>
      <c r="SAY15" s="41"/>
      <c r="SAZ15" s="41"/>
      <c r="SBA15" s="41"/>
      <c r="SBB15" s="41"/>
      <c r="SBC15" s="41"/>
      <c r="SBD15" s="41"/>
      <c r="SBE15" s="41"/>
      <c r="SBF15" s="41"/>
      <c r="SBG15" s="41"/>
      <c r="SBH15" s="41"/>
      <c r="SBI15" s="41"/>
      <c r="SBJ15" s="41"/>
      <c r="SBK15" s="41"/>
      <c r="SBL15" s="41"/>
      <c r="SBM15" s="41"/>
      <c r="SBN15" s="41"/>
      <c r="SBO15" s="41"/>
      <c r="SBP15" s="41"/>
      <c r="SBQ15" s="41"/>
      <c r="SBR15" s="41"/>
      <c r="SBS15" s="41"/>
      <c r="SBT15" s="41"/>
      <c r="SBU15" s="41"/>
      <c r="SBV15" s="41"/>
      <c r="SBW15" s="41"/>
      <c r="SBX15" s="41"/>
      <c r="SBY15" s="41"/>
      <c r="SBZ15" s="41"/>
      <c r="SCA15" s="41"/>
      <c r="SCB15" s="41"/>
      <c r="SCC15" s="41"/>
      <c r="SCD15" s="41"/>
      <c r="SCE15" s="41"/>
      <c r="SCF15" s="41"/>
      <c r="SCG15" s="41"/>
      <c r="SCH15" s="41"/>
      <c r="SCI15" s="41"/>
      <c r="SCJ15" s="41"/>
      <c r="SCK15" s="41"/>
      <c r="SCL15" s="41"/>
      <c r="SCM15" s="41"/>
      <c r="SCN15" s="41"/>
      <c r="SCO15" s="41"/>
      <c r="SCP15" s="41"/>
      <c r="SCQ15" s="41"/>
      <c r="SCR15" s="41"/>
      <c r="SCS15" s="41"/>
      <c r="SCT15" s="41"/>
      <c r="SCU15" s="41"/>
      <c r="SCV15" s="41"/>
      <c r="SCW15" s="41"/>
      <c r="SCX15" s="41"/>
      <c r="SCY15" s="41"/>
      <c r="SCZ15" s="41"/>
      <c r="SDA15" s="41"/>
      <c r="SDB15" s="41"/>
      <c r="SDC15" s="41"/>
      <c r="SDD15" s="41"/>
      <c r="SDE15" s="41"/>
      <c r="SDF15" s="41"/>
      <c r="SDG15" s="41"/>
      <c r="SDH15" s="41"/>
      <c r="SDI15" s="41"/>
      <c r="SDJ15" s="41"/>
      <c r="SDK15" s="41"/>
      <c r="SDL15" s="41"/>
      <c r="SDM15" s="41"/>
      <c r="SDN15" s="41"/>
      <c r="SDO15" s="41"/>
      <c r="SDP15" s="41"/>
      <c r="SDQ15" s="41"/>
      <c r="SDR15" s="41"/>
      <c r="SDS15" s="41"/>
      <c r="SDT15" s="41"/>
      <c r="SDU15" s="41"/>
      <c r="SDV15" s="41"/>
      <c r="SDW15" s="41"/>
      <c r="SDX15" s="41"/>
      <c r="SDY15" s="41"/>
      <c r="SDZ15" s="41"/>
      <c r="SEA15" s="41"/>
      <c r="SEB15" s="41"/>
      <c r="SEC15" s="41"/>
      <c r="SED15" s="41"/>
      <c r="SEE15" s="41"/>
      <c r="SEF15" s="41"/>
      <c r="SEG15" s="41"/>
      <c r="SEH15" s="41"/>
      <c r="SEI15" s="41"/>
      <c r="SEJ15" s="41"/>
      <c r="SEK15" s="41"/>
      <c r="SEL15" s="41"/>
      <c r="SEM15" s="41"/>
      <c r="SEN15" s="41"/>
      <c r="SEO15" s="41"/>
      <c r="SEP15" s="41"/>
      <c r="SEQ15" s="41"/>
      <c r="SER15" s="41"/>
      <c r="SES15" s="41"/>
      <c r="SET15" s="41"/>
      <c r="SEU15" s="41"/>
      <c r="SEV15" s="41"/>
      <c r="SEW15" s="41"/>
      <c r="SEX15" s="41"/>
      <c r="SEY15" s="41"/>
      <c r="SEZ15" s="41"/>
      <c r="SFA15" s="41"/>
      <c r="SFB15" s="41"/>
      <c r="SFC15" s="41"/>
      <c r="SFD15" s="41"/>
      <c r="SFE15" s="41"/>
      <c r="SFF15" s="41"/>
      <c r="SFG15" s="41"/>
      <c r="SFH15" s="41"/>
      <c r="SFI15" s="41"/>
      <c r="SFJ15" s="41"/>
      <c r="SFK15" s="41"/>
      <c r="SFL15" s="41"/>
      <c r="SFM15" s="41"/>
      <c r="SFN15" s="41"/>
      <c r="SFO15" s="41"/>
      <c r="SFP15" s="41"/>
      <c r="SFQ15" s="41"/>
      <c r="SFR15" s="41"/>
      <c r="SFS15" s="41"/>
      <c r="SFT15" s="41"/>
      <c r="SFU15" s="41"/>
      <c r="SFV15" s="41"/>
      <c r="SFW15" s="41"/>
      <c r="SFX15" s="41"/>
      <c r="SFY15" s="41"/>
      <c r="SFZ15" s="41"/>
      <c r="SGA15" s="41"/>
      <c r="SGB15" s="41"/>
      <c r="SGC15" s="41"/>
      <c r="SGD15" s="41"/>
      <c r="SGE15" s="41"/>
      <c r="SGF15" s="41"/>
      <c r="SGG15" s="41"/>
      <c r="SGH15" s="41"/>
      <c r="SGI15" s="41"/>
      <c r="SGJ15" s="41"/>
      <c r="SGK15" s="41"/>
      <c r="SGL15" s="41"/>
      <c r="SGM15" s="41"/>
      <c r="SGN15" s="41"/>
      <c r="SGO15" s="41"/>
      <c r="SGP15" s="41"/>
      <c r="SGQ15" s="41"/>
      <c r="SGR15" s="41"/>
      <c r="SGS15" s="41"/>
      <c r="SGT15" s="41"/>
      <c r="SGU15" s="41"/>
      <c r="SGV15" s="41"/>
      <c r="SGW15" s="41"/>
      <c r="SGX15" s="41"/>
      <c r="SGY15" s="41"/>
      <c r="SGZ15" s="41"/>
      <c r="SHA15" s="41"/>
      <c r="SHB15" s="41"/>
      <c r="SHC15" s="41"/>
      <c r="SHD15" s="41"/>
      <c r="SHE15" s="41"/>
      <c r="SHF15" s="41"/>
      <c r="SHG15" s="41"/>
      <c r="SHH15" s="41"/>
      <c r="SHI15" s="41"/>
      <c r="SHJ15" s="41"/>
      <c r="SHK15" s="41"/>
      <c r="SHL15" s="41"/>
      <c r="SHM15" s="41"/>
      <c r="SHN15" s="41"/>
      <c r="SHO15" s="41"/>
      <c r="SHP15" s="41"/>
      <c r="SHQ15" s="41"/>
      <c r="SHR15" s="41"/>
      <c r="SHS15" s="41"/>
      <c r="SHT15" s="41"/>
      <c r="SHU15" s="41"/>
      <c r="SHV15" s="41"/>
      <c r="SHW15" s="41"/>
      <c r="SHX15" s="41"/>
      <c r="SHY15" s="41"/>
      <c r="SHZ15" s="41"/>
      <c r="SIA15" s="41"/>
      <c r="SIB15" s="41"/>
      <c r="SIC15" s="41"/>
      <c r="SID15" s="41"/>
      <c r="SIE15" s="41"/>
      <c r="SIF15" s="41"/>
      <c r="SIG15" s="41"/>
      <c r="SIH15" s="41"/>
      <c r="SII15" s="41"/>
      <c r="SIJ15" s="41"/>
      <c r="SIK15" s="41"/>
      <c r="SIL15" s="41"/>
      <c r="SIM15" s="41"/>
      <c r="SIN15" s="41"/>
      <c r="SIO15" s="41"/>
      <c r="SIP15" s="41"/>
      <c r="SIQ15" s="41"/>
      <c r="SIR15" s="41"/>
      <c r="SIS15" s="41"/>
      <c r="SIT15" s="41"/>
      <c r="SIU15" s="41"/>
      <c r="SIV15" s="41"/>
      <c r="SIW15" s="41"/>
      <c r="SIX15" s="41"/>
      <c r="SIY15" s="41"/>
      <c r="SIZ15" s="41"/>
      <c r="SJA15" s="41"/>
      <c r="SJB15" s="41"/>
      <c r="SJC15" s="41"/>
      <c r="SJD15" s="41"/>
      <c r="SJE15" s="41"/>
      <c r="SJF15" s="41"/>
      <c r="SJG15" s="41"/>
      <c r="SJH15" s="41"/>
      <c r="SJI15" s="41"/>
      <c r="SJJ15" s="41"/>
      <c r="SJK15" s="41"/>
      <c r="SJL15" s="41"/>
      <c r="SJM15" s="41"/>
      <c r="SJN15" s="41"/>
      <c r="SJO15" s="41"/>
      <c r="SJP15" s="41"/>
      <c r="SJQ15" s="41"/>
      <c r="SJR15" s="41"/>
      <c r="SJS15" s="41"/>
      <c r="SJT15" s="41"/>
      <c r="SJU15" s="41"/>
      <c r="SJV15" s="41"/>
      <c r="SJW15" s="41"/>
      <c r="SJX15" s="41"/>
      <c r="SJY15" s="41"/>
      <c r="SJZ15" s="41"/>
      <c r="SKA15" s="41"/>
      <c r="SKB15" s="41"/>
      <c r="SKC15" s="41"/>
      <c r="SKD15" s="41"/>
      <c r="SKE15" s="41"/>
      <c r="SKF15" s="41"/>
      <c r="SKG15" s="41"/>
      <c r="SKH15" s="41"/>
      <c r="SKI15" s="41"/>
      <c r="SKJ15" s="41"/>
      <c r="SKK15" s="41"/>
      <c r="SKL15" s="41"/>
      <c r="SKM15" s="41"/>
      <c r="SKN15" s="41"/>
      <c r="SKO15" s="41"/>
      <c r="SKP15" s="41"/>
      <c r="SKQ15" s="41"/>
      <c r="SKR15" s="41"/>
      <c r="SKS15" s="41"/>
      <c r="SKT15" s="41"/>
      <c r="SKU15" s="41"/>
      <c r="SKV15" s="41"/>
      <c r="SKW15" s="41"/>
      <c r="SKX15" s="41"/>
      <c r="SKY15" s="41"/>
      <c r="SKZ15" s="41"/>
      <c r="SLA15" s="41"/>
      <c r="SLB15" s="41"/>
      <c r="SLC15" s="41"/>
      <c r="SLD15" s="41"/>
      <c r="SLE15" s="41"/>
      <c r="SLF15" s="41"/>
      <c r="SLG15" s="41"/>
      <c r="SLH15" s="41"/>
      <c r="SLI15" s="41"/>
      <c r="SLJ15" s="41"/>
      <c r="SLK15" s="41"/>
      <c r="SLL15" s="41"/>
      <c r="SLM15" s="41"/>
      <c r="SLN15" s="41"/>
      <c r="SLO15" s="41"/>
      <c r="SLP15" s="41"/>
      <c r="SLQ15" s="41"/>
      <c r="SLR15" s="41"/>
      <c r="SLS15" s="41"/>
      <c r="SLT15" s="41"/>
      <c r="SLU15" s="41"/>
      <c r="SLV15" s="41"/>
      <c r="SLW15" s="41"/>
      <c r="SLX15" s="41"/>
      <c r="SLY15" s="41"/>
      <c r="SLZ15" s="41"/>
      <c r="SMA15" s="41"/>
      <c r="SMB15" s="41"/>
      <c r="SMC15" s="41"/>
      <c r="SMD15" s="41"/>
      <c r="SME15" s="41"/>
      <c r="SMF15" s="41"/>
      <c r="SMG15" s="41"/>
      <c r="SMH15" s="41"/>
      <c r="SMI15" s="41"/>
      <c r="SMJ15" s="41"/>
      <c r="SMK15" s="41"/>
      <c r="SML15" s="41"/>
      <c r="SMM15" s="41"/>
      <c r="SMN15" s="41"/>
      <c r="SMO15" s="41"/>
      <c r="SMP15" s="41"/>
      <c r="SMQ15" s="41"/>
      <c r="SMR15" s="41"/>
      <c r="SMS15" s="41"/>
      <c r="SMT15" s="41"/>
      <c r="SMU15" s="41"/>
      <c r="SMV15" s="41"/>
      <c r="SMW15" s="41"/>
      <c r="SMX15" s="41"/>
      <c r="SMY15" s="41"/>
      <c r="SMZ15" s="41"/>
      <c r="SNA15" s="41"/>
      <c r="SNB15" s="41"/>
      <c r="SNC15" s="41"/>
      <c r="SND15" s="41"/>
      <c r="SNE15" s="41"/>
      <c r="SNF15" s="41"/>
      <c r="SNG15" s="41"/>
      <c r="SNH15" s="41"/>
      <c r="SNI15" s="41"/>
      <c r="SNJ15" s="41"/>
      <c r="SNK15" s="41"/>
      <c r="SNL15" s="41"/>
      <c r="SNM15" s="41"/>
      <c r="SNN15" s="41"/>
      <c r="SNO15" s="41"/>
      <c r="SNP15" s="41"/>
      <c r="SNQ15" s="41"/>
      <c r="SNR15" s="41"/>
      <c r="SNS15" s="41"/>
      <c r="SNT15" s="41"/>
      <c r="SNU15" s="41"/>
      <c r="SNV15" s="41"/>
      <c r="SNW15" s="41"/>
      <c r="SNX15" s="41"/>
      <c r="SNY15" s="41"/>
      <c r="SNZ15" s="41"/>
      <c r="SOA15" s="41"/>
      <c r="SOB15" s="41"/>
      <c r="SOC15" s="41"/>
      <c r="SOD15" s="41"/>
      <c r="SOE15" s="41"/>
      <c r="SOF15" s="41"/>
      <c r="SOG15" s="41"/>
      <c r="SOH15" s="41"/>
      <c r="SOI15" s="41"/>
      <c r="SOJ15" s="41"/>
      <c r="SOK15" s="41"/>
      <c r="SOL15" s="41"/>
      <c r="SOM15" s="41"/>
      <c r="SON15" s="41"/>
      <c r="SOO15" s="41"/>
      <c r="SOP15" s="41"/>
      <c r="SOQ15" s="41"/>
      <c r="SOR15" s="41"/>
      <c r="SOS15" s="41"/>
      <c r="SOT15" s="41"/>
      <c r="SOU15" s="41"/>
      <c r="SOV15" s="41"/>
      <c r="SOW15" s="41"/>
      <c r="SOX15" s="41"/>
      <c r="SOY15" s="41"/>
      <c r="SOZ15" s="41"/>
      <c r="SPA15" s="41"/>
      <c r="SPB15" s="41"/>
      <c r="SPC15" s="41"/>
      <c r="SPD15" s="41"/>
      <c r="SPE15" s="41"/>
      <c r="SPF15" s="41"/>
      <c r="SPG15" s="41"/>
      <c r="SPH15" s="41"/>
      <c r="SPI15" s="41"/>
      <c r="SPJ15" s="41"/>
      <c r="SPK15" s="41"/>
      <c r="SPL15" s="41"/>
      <c r="SPM15" s="41"/>
      <c r="SPN15" s="41"/>
      <c r="SPO15" s="41"/>
      <c r="SPP15" s="41"/>
      <c r="SPQ15" s="41"/>
      <c r="SPR15" s="41"/>
      <c r="SPS15" s="41"/>
      <c r="SPT15" s="41"/>
      <c r="SPU15" s="41"/>
      <c r="SPV15" s="41"/>
      <c r="SPW15" s="41"/>
      <c r="SPX15" s="41"/>
      <c r="SPY15" s="41"/>
      <c r="SPZ15" s="41"/>
      <c r="SQA15" s="41"/>
      <c r="SQB15" s="41"/>
      <c r="SQC15" s="41"/>
      <c r="SQD15" s="41"/>
      <c r="SQE15" s="41"/>
      <c r="SQF15" s="41"/>
      <c r="SQG15" s="41"/>
      <c r="SQH15" s="41"/>
      <c r="SQI15" s="41"/>
      <c r="SQJ15" s="41"/>
      <c r="SQK15" s="41"/>
      <c r="SQL15" s="41"/>
      <c r="SQM15" s="41"/>
      <c r="SQN15" s="41"/>
      <c r="SQO15" s="41"/>
      <c r="SQP15" s="41"/>
      <c r="SQQ15" s="41"/>
      <c r="SQR15" s="41"/>
      <c r="SQS15" s="41"/>
      <c r="SQT15" s="41"/>
      <c r="SQU15" s="41"/>
      <c r="SQV15" s="41"/>
      <c r="SQW15" s="41"/>
      <c r="SQX15" s="41"/>
      <c r="SQY15" s="41"/>
      <c r="SQZ15" s="41"/>
      <c r="SRA15" s="41"/>
      <c r="SRB15" s="41"/>
      <c r="SRC15" s="41"/>
      <c r="SRD15" s="41"/>
      <c r="SRE15" s="41"/>
      <c r="SRF15" s="41"/>
      <c r="SRG15" s="41"/>
      <c r="SRH15" s="41"/>
      <c r="SRI15" s="41"/>
      <c r="SRJ15" s="41"/>
      <c r="SRK15" s="41"/>
      <c r="SRL15" s="41"/>
      <c r="SRM15" s="41"/>
      <c r="SRN15" s="41"/>
      <c r="SRO15" s="41"/>
      <c r="SRP15" s="41"/>
      <c r="SRQ15" s="41"/>
      <c r="SRR15" s="41"/>
      <c r="SRS15" s="41"/>
      <c r="SRT15" s="41"/>
      <c r="SRU15" s="41"/>
      <c r="SRV15" s="41"/>
      <c r="SRW15" s="41"/>
      <c r="SRX15" s="41"/>
      <c r="SRY15" s="41"/>
      <c r="SRZ15" s="41"/>
      <c r="SSA15" s="41"/>
      <c r="SSB15" s="41"/>
      <c r="SSC15" s="41"/>
      <c r="SSD15" s="41"/>
      <c r="SSE15" s="41"/>
      <c r="SSF15" s="41"/>
      <c r="SSG15" s="41"/>
      <c r="SSH15" s="41"/>
      <c r="SSI15" s="41"/>
      <c r="SSJ15" s="41"/>
      <c r="SSK15" s="41"/>
      <c r="SSL15" s="41"/>
      <c r="SSM15" s="41"/>
      <c r="SSN15" s="41"/>
      <c r="SSO15" s="41"/>
      <c r="SSP15" s="41"/>
      <c r="SSQ15" s="41"/>
      <c r="SSR15" s="41"/>
      <c r="SSS15" s="41"/>
      <c r="SST15" s="41"/>
      <c r="SSU15" s="41"/>
      <c r="SSV15" s="41"/>
      <c r="SSW15" s="41"/>
      <c r="SSX15" s="41"/>
      <c r="SSY15" s="41"/>
      <c r="SSZ15" s="41"/>
      <c r="STA15" s="41"/>
      <c r="STB15" s="41"/>
      <c r="STC15" s="41"/>
      <c r="STD15" s="41"/>
      <c r="STE15" s="41"/>
      <c r="STF15" s="41"/>
      <c r="STG15" s="41"/>
      <c r="STH15" s="41"/>
      <c r="STI15" s="41"/>
      <c r="STJ15" s="41"/>
      <c r="STK15" s="41"/>
      <c r="STL15" s="41"/>
      <c r="STM15" s="41"/>
      <c r="STN15" s="41"/>
      <c r="STO15" s="41"/>
      <c r="STP15" s="41"/>
      <c r="STQ15" s="41"/>
      <c r="STR15" s="41"/>
      <c r="STS15" s="41"/>
      <c r="STT15" s="41"/>
      <c r="STU15" s="41"/>
      <c r="STV15" s="41"/>
      <c r="STW15" s="41"/>
      <c r="STX15" s="41"/>
      <c r="STY15" s="41"/>
      <c r="STZ15" s="41"/>
      <c r="SUA15" s="41"/>
      <c r="SUB15" s="41"/>
      <c r="SUC15" s="41"/>
      <c r="SUD15" s="41"/>
      <c r="SUE15" s="41"/>
      <c r="SUF15" s="41"/>
      <c r="SUG15" s="41"/>
      <c r="SUH15" s="41"/>
      <c r="SUI15" s="41"/>
      <c r="SUJ15" s="41"/>
      <c r="SUK15" s="41"/>
      <c r="SUL15" s="41"/>
      <c r="SUM15" s="41"/>
      <c r="SUN15" s="41"/>
      <c r="SUO15" s="41"/>
      <c r="SUP15" s="41"/>
      <c r="SUQ15" s="41"/>
      <c r="SUR15" s="41"/>
      <c r="SUS15" s="41"/>
      <c r="SUT15" s="41"/>
      <c r="SUU15" s="41"/>
      <c r="SUV15" s="41"/>
      <c r="SUW15" s="41"/>
      <c r="SUX15" s="41"/>
      <c r="SUY15" s="41"/>
      <c r="SUZ15" s="41"/>
      <c r="SVA15" s="41"/>
      <c r="SVB15" s="41"/>
      <c r="SVC15" s="41"/>
      <c r="SVD15" s="41"/>
      <c r="SVE15" s="41"/>
      <c r="SVF15" s="41"/>
      <c r="SVG15" s="41"/>
      <c r="SVH15" s="41"/>
      <c r="SVI15" s="41"/>
      <c r="SVJ15" s="41"/>
      <c r="SVK15" s="41"/>
      <c r="SVL15" s="41"/>
      <c r="SVM15" s="41"/>
      <c r="SVN15" s="41"/>
      <c r="SVO15" s="41"/>
      <c r="SVP15" s="41"/>
      <c r="SVQ15" s="41"/>
      <c r="SVR15" s="41"/>
      <c r="SVS15" s="41"/>
      <c r="SVT15" s="41"/>
      <c r="SVU15" s="41"/>
      <c r="SVV15" s="41"/>
      <c r="SVW15" s="41"/>
      <c r="SVX15" s="41"/>
      <c r="SVY15" s="41"/>
      <c r="SVZ15" s="41"/>
      <c r="SWA15" s="41"/>
      <c r="SWB15" s="41"/>
      <c r="SWC15" s="41"/>
      <c r="SWD15" s="41"/>
      <c r="SWE15" s="41"/>
      <c r="SWF15" s="41"/>
      <c r="SWG15" s="41"/>
      <c r="SWH15" s="41"/>
      <c r="SWI15" s="41"/>
      <c r="SWJ15" s="41"/>
      <c r="SWK15" s="41"/>
      <c r="SWL15" s="41"/>
      <c r="SWM15" s="41"/>
      <c r="SWN15" s="41"/>
      <c r="SWO15" s="41"/>
      <c r="SWP15" s="41"/>
      <c r="SWQ15" s="41"/>
      <c r="SWR15" s="41"/>
      <c r="SWS15" s="41"/>
      <c r="SWT15" s="41"/>
      <c r="SWU15" s="41"/>
      <c r="SWV15" s="41"/>
      <c r="SWW15" s="41"/>
      <c r="SWX15" s="41"/>
      <c r="SWY15" s="41"/>
      <c r="SWZ15" s="41"/>
      <c r="SXA15" s="41"/>
      <c r="SXB15" s="41"/>
      <c r="SXC15" s="41"/>
      <c r="SXD15" s="41"/>
      <c r="SXE15" s="41"/>
      <c r="SXF15" s="41"/>
      <c r="SXG15" s="41"/>
      <c r="SXH15" s="41"/>
      <c r="SXI15" s="41"/>
      <c r="SXJ15" s="41"/>
      <c r="SXK15" s="41"/>
      <c r="SXL15" s="41"/>
      <c r="SXM15" s="41"/>
      <c r="SXN15" s="41"/>
      <c r="SXO15" s="41"/>
      <c r="SXP15" s="41"/>
      <c r="SXQ15" s="41"/>
      <c r="SXR15" s="41"/>
      <c r="SXS15" s="41"/>
      <c r="SXT15" s="41"/>
      <c r="SXU15" s="41"/>
      <c r="SXV15" s="41"/>
      <c r="SXW15" s="41"/>
      <c r="SXX15" s="41"/>
      <c r="SXY15" s="41"/>
      <c r="SXZ15" s="41"/>
      <c r="SYA15" s="41"/>
      <c r="SYB15" s="41"/>
      <c r="SYC15" s="41"/>
      <c r="SYD15" s="41"/>
      <c r="SYE15" s="41"/>
      <c r="SYF15" s="41"/>
      <c r="SYG15" s="41"/>
      <c r="SYH15" s="41"/>
      <c r="SYI15" s="41"/>
      <c r="SYJ15" s="41"/>
      <c r="SYK15" s="41"/>
      <c r="SYL15" s="41"/>
      <c r="SYM15" s="41"/>
      <c r="SYN15" s="41"/>
      <c r="SYO15" s="41"/>
      <c r="SYP15" s="41"/>
      <c r="SYQ15" s="41"/>
      <c r="SYR15" s="41"/>
      <c r="SYS15" s="41"/>
      <c r="SYT15" s="41"/>
      <c r="SYU15" s="41"/>
      <c r="SYV15" s="41"/>
      <c r="SYW15" s="41"/>
      <c r="SYX15" s="41"/>
      <c r="SYY15" s="41"/>
      <c r="SYZ15" s="41"/>
      <c r="SZA15" s="41"/>
      <c r="SZB15" s="41"/>
      <c r="SZC15" s="41"/>
      <c r="SZD15" s="41"/>
      <c r="SZE15" s="41"/>
      <c r="SZF15" s="41"/>
      <c r="SZG15" s="41"/>
      <c r="SZH15" s="41"/>
      <c r="SZI15" s="41"/>
      <c r="SZJ15" s="41"/>
      <c r="SZK15" s="41"/>
      <c r="SZL15" s="41"/>
      <c r="SZM15" s="41"/>
      <c r="SZN15" s="41"/>
      <c r="SZO15" s="41"/>
      <c r="SZP15" s="41"/>
      <c r="SZQ15" s="41"/>
      <c r="SZR15" s="41"/>
      <c r="SZS15" s="41"/>
      <c r="SZT15" s="41"/>
      <c r="SZU15" s="41"/>
      <c r="SZV15" s="41"/>
      <c r="SZW15" s="41"/>
      <c r="SZX15" s="41"/>
      <c r="SZY15" s="41"/>
      <c r="SZZ15" s="41"/>
      <c r="TAA15" s="41"/>
      <c r="TAB15" s="41"/>
      <c r="TAC15" s="41"/>
      <c r="TAD15" s="41"/>
      <c r="TAE15" s="41"/>
      <c r="TAF15" s="41"/>
      <c r="TAG15" s="41"/>
      <c r="TAH15" s="41"/>
      <c r="TAI15" s="41"/>
      <c r="TAJ15" s="41"/>
      <c r="TAK15" s="41"/>
      <c r="TAL15" s="41"/>
      <c r="TAM15" s="41"/>
      <c r="TAN15" s="41"/>
      <c r="TAO15" s="41"/>
      <c r="TAP15" s="41"/>
      <c r="TAQ15" s="41"/>
      <c r="TAR15" s="41"/>
      <c r="TAS15" s="41"/>
      <c r="TAT15" s="41"/>
      <c r="TAU15" s="41"/>
      <c r="TAV15" s="41"/>
      <c r="TAW15" s="41"/>
      <c r="TAX15" s="41"/>
      <c r="TAY15" s="41"/>
      <c r="TAZ15" s="41"/>
      <c r="TBA15" s="41"/>
      <c r="TBB15" s="41"/>
      <c r="TBC15" s="41"/>
      <c r="TBD15" s="41"/>
      <c r="TBE15" s="41"/>
      <c r="TBF15" s="41"/>
      <c r="TBG15" s="41"/>
      <c r="TBH15" s="41"/>
      <c r="TBI15" s="41"/>
      <c r="TBJ15" s="41"/>
      <c r="TBK15" s="41"/>
      <c r="TBL15" s="41"/>
      <c r="TBM15" s="41"/>
      <c r="TBN15" s="41"/>
      <c r="TBO15" s="41"/>
      <c r="TBP15" s="41"/>
      <c r="TBQ15" s="41"/>
      <c r="TBR15" s="41"/>
      <c r="TBS15" s="41"/>
      <c r="TBT15" s="41"/>
      <c r="TBU15" s="41"/>
      <c r="TBV15" s="41"/>
      <c r="TBW15" s="41"/>
      <c r="TBX15" s="41"/>
      <c r="TBY15" s="41"/>
      <c r="TBZ15" s="41"/>
      <c r="TCA15" s="41"/>
      <c r="TCB15" s="41"/>
      <c r="TCC15" s="41"/>
      <c r="TCD15" s="41"/>
      <c r="TCE15" s="41"/>
      <c r="TCF15" s="41"/>
      <c r="TCG15" s="41"/>
      <c r="TCH15" s="41"/>
      <c r="TCI15" s="41"/>
      <c r="TCJ15" s="41"/>
      <c r="TCK15" s="41"/>
      <c r="TCL15" s="41"/>
      <c r="TCM15" s="41"/>
      <c r="TCN15" s="41"/>
      <c r="TCO15" s="41"/>
      <c r="TCP15" s="41"/>
      <c r="TCQ15" s="41"/>
      <c r="TCR15" s="41"/>
      <c r="TCS15" s="41"/>
      <c r="TCT15" s="41"/>
      <c r="TCU15" s="41"/>
      <c r="TCV15" s="41"/>
      <c r="TCW15" s="41"/>
      <c r="TCX15" s="41"/>
      <c r="TCY15" s="41"/>
      <c r="TCZ15" s="41"/>
      <c r="TDA15" s="41"/>
      <c r="TDB15" s="41"/>
      <c r="TDC15" s="41"/>
      <c r="TDD15" s="41"/>
      <c r="TDE15" s="41"/>
      <c r="TDF15" s="41"/>
      <c r="TDG15" s="41"/>
      <c r="TDH15" s="41"/>
      <c r="TDI15" s="41"/>
      <c r="TDJ15" s="41"/>
      <c r="TDK15" s="41"/>
      <c r="TDL15" s="41"/>
      <c r="TDM15" s="41"/>
      <c r="TDN15" s="41"/>
      <c r="TDO15" s="41"/>
      <c r="TDP15" s="41"/>
      <c r="TDQ15" s="41"/>
      <c r="TDR15" s="41"/>
      <c r="TDS15" s="41"/>
      <c r="TDT15" s="41"/>
      <c r="TDU15" s="41"/>
      <c r="TDV15" s="41"/>
      <c r="TDW15" s="41"/>
      <c r="TDX15" s="41"/>
      <c r="TDY15" s="41"/>
      <c r="TDZ15" s="41"/>
      <c r="TEA15" s="41"/>
      <c r="TEB15" s="41"/>
      <c r="TEC15" s="41"/>
      <c r="TED15" s="41"/>
      <c r="TEE15" s="41"/>
      <c r="TEF15" s="41"/>
      <c r="TEG15" s="41"/>
      <c r="TEH15" s="41"/>
      <c r="TEI15" s="41"/>
      <c r="TEJ15" s="41"/>
      <c r="TEK15" s="41"/>
      <c r="TEL15" s="41"/>
      <c r="TEM15" s="41"/>
      <c r="TEN15" s="41"/>
      <c r="TEO15" s="41"/>
      <c r="TEP15" s="41"/>
      <c r="TEQ15" s="41"/>
      <c r="TER15" s="41"/>
      <c r="TES15" s="41"/>
      <c r="TET15" s="41"/>
      <c r="TEU15" s="41"/>
      <c r="TEV15" s="41"/>
      <c r="TEW15" s="41"/>
      <c r="TEX15" s="41"/>
      <c r="TEY15" s="41"/>
      <c r="TEZ15" s="41"/>
      <c r="TFA15" s="41"/>
      <c r="TFB15" s="41"/>
      <c r="TFC15" s="41"/>
      <c r="TFD15" s="41"/>
      <c r="TFE15" s="41"/>
      <c r="TFF15" s="41"/>
      <c r="TFG15" s="41"/>
      <c r="TFH15" s="41"/>
      <c r="TFI15" s="41"/>
      <c r="TFJ15" s="41"/>
      <c r="TFK15" s="41"/>
      <c r="TFL15" s="41"/>
      <c r="TFM15" s="41"/>
      <c r="TFN15" s="41"/>
      <c r="TFO15" s="41"/>
      <c r="TFP15" s="41"/>
      <c r="TFQ15" s="41"/>
      <c r="TFR15" s="41"/>
      <c r="TFS15" s="41"/>
      <c r="TFT15" s="41"/>
      <c r="TFU15" s="41"/>
      <c r="TFV15" s="41"/>
      <c r="TFW15" s="41"/>
      <c r="TFX15" s="41"/>
      <c r="TFY15" s="41"/>
      <c r="TFZ15" s="41"/>
      <c r="TGA15" s="41"/>
      <c r="TGB15" s="41"/>
      <c r="TGC15" s="41"/>
      <c r="TGD15" s="41"/>
      <c r="TGE15" s="41"/>
      <c r="TGF15" s="41"/>
      <c r="TGG15" s="41"/>
      <c r="TGH15" s="41"/>
      <c r="TGI15" s="41"/>
      <c r="TGJ15" s="41"/>
      <c r="TGK15" s="41"/>
      <c r="TGL15" s="41"/>
      <c r="TGM15" s="41"/>
      <c r="TGN15" s="41"/>
      <c r="TGO15" s="41"/>
      <c r="TGP15" s="41"/>
      <c r="TGQ15" s="41"/>
      <c r="TGR15" s="41"/>
      <c r="TGS15" s="41"/>
      <c r="TGT15" s="41"/>
      <c r="TGU15" s="41"/>
      <c r="TGV15" s="41"/>
      <c r="TGW15" s="41"/>
      <c r="TGX15" s="41"/>
      <c r="TGY15" s="41"/>
      <c r="TGZ15" s="41"/>
      <c r="THA15" s="41"/>
      <c r="THB15" s="41"/>
      <c r="THC15" s="41"/>
      <c r="THD15" s="41"/>
      <c r="THE15" s="41"/>
      <c r="THF15" s="41"/>
      <c r="THG15" s="41"/>
      <c r="THH15" s="41"/>
      <c r="THI15" s="41"/>
      <c r="THJ15" s="41"/>
      <c r="THK15" s="41"/>
      <c r="THL15" s="41"/>
      <c r="THM15" s="41"/>
      <c r="THN15" s="41"/>
      <c r="THO15" s="41"/>
      <c r="THP15" s="41"/>
      <c r="THQ15" s="41"/>
      <c r="THR15" s="41"/>
      <c r="THS15" s="41"/>
      <c r="THT15" s="41"/>
      <c r="THU15" s="41"/>
      <c r="THV15" s="41"/>
      <c r="THW15" s="41"/>
      <c r="THX15" s="41"/>
      <c r="THY15" s="41"/>
      <c r="THZ15" s="41"/>
      <c r="TIA15" s="41"/>
      <c r="TIB15" s="41"/>
      <c r="TIC15" s="41"/>
      <c r="TID15" s="41"/>
      <c r="TIE15" s="41"/>
      <c r="TIF15" s="41"/>
      <c r="TIG15" s="41"/>
      <c r="TIH15" s="41"/>
      <c r="TII15" s="41"/>
      <c r="TIJ15" s="41"/>
      <c r="TIK15" s="41"/>
      <c r="TIL15" s="41"/>
      <c r="TIM15" s="41"/>
      <c r="TIN15" s="41"/>
      <c r="TIO15" s="41"/>
      <c r="TIP15" s="41"/>
      <c r="TIQ15" s="41"/>
      <c r="TIR15" s="41"/>
      <c r="TIS15" s="41"/>
      <c r="TIT15" s="41"/>
      <c r="TIU15" s="41"/>
      <c r="TIV15" s="41"/>
      <c r="TIW15" s="41"/>
      <c r="TIX15" s="41"/>
      <c r="TIY15" s="41"/>
      <c r="TIZ15" s="41"/>
      <c r="TJA15" s="41"/>
      <c r="TJB15" s="41"/>
      <c r="TJC15" s="41"/>
      <c r="TJD15" s="41"/>
      <c r="TJE15" s="41"/>
      <c r="TJF15" s="41"/>
      <c r="TJG15" s="41"/>
      <c r="TJH15" s="41"/>
      <c r="TJI15" s="41"/>
      <c r="TJJ15" s="41"/>
      <c r="TJK15" s="41"/>
      <c r="TJL15" s="41"/>
      <c r="TJM15" s="41"/>
      <c r="TJN15" s="41"/>
      <c r="TJO15" s="41"/>
      <c r="TJP15" s="41"/>
      <c r="TJQ15" s="41"/>
      <c r="TJR15" s="41"/>
      <c r="TJS15" s="41"/>
      <c r="TJT15" s="41"/>
      <c r="TJU15" s="41"/>
      <c r="TJV15" s="41"/>
      <c r="TJW15" s="41"/>
      <c r="TJX15" s="41"/>
      <c r="TJY15" s="41"/>
      <c r="TJZ15" s="41"/>
      <c r="TKA15" s="41"/>
      <c r="TKB15" s="41"/>
      <c r="TKC15" s="41"/>
      <c r="TKD15" s="41"/>
      <c r="TKE15" s="41"/>
      <c r="TKF15" s="41"/>
      <c r="TKG15" s="41"/>
      <c r="TKH15" s="41"/>
      <c r="TKI15" s="41"/>
      <c r="TKJ15" s="41"/>
      <c r="TKK15" s="41"/>
      <c r="TKL15" s="41"/>
      <c r="TKM15" s="41"/>
      <c r="TKN15" s="41"/>
      <c r="TKO15" s="41"/>
      <c r="TKP15" s="41"/>
      <c r="TKQ15" s="41"/>
      <c r="TKR15" s="41"/>
      <c r="TKS15" s="41"/>
      <c r="TKT15" s="41"/>
      <c r="TKU15" s="41"/>
      <c r="TKV15" s="41"/>
      <c r="TKW15" s="41"/>
      <c r="TKX15" s="41"/>
      <c r="TKY15" s="41"/>
      <c r="TKZ15" s="41"/>
      <c r="TLA15" s="41"/>
      <c r="TLB15" s="41"/>
      <c r="TLC15" s="41"/>
      <c r="TLD15" s="41"/>
      <c r="TLE15" s="41"/>
      <c r="TLF15" s="41"/>
      <c r="TLG15" s="41"/>
      <c r="TLH15" s="41"/>
      <c r="TLI15" s="41"/>
      <c r="TLJ15" s="41"/>
      <c r="TLK15" s="41"/>
      <c r="TLL15" s="41"/>
      <c r="TLM15" s="41"/>
      <c r="TLN15" s="41"/>
      <c r="TLO15" s="41"/>
      <c r="TLP15" s="41"/>
      <c r="TLQ15" s="41"/>
      <c r="TLR15" s="41"/>
      <c r="TLS15" s="41"/>
      <c r="TLT15" s="41"/>
      <c r="TLU15" s="41"/>
      <c r="TLV15" s="41"/>
      <c r="TLW15" s="41"/>
      <c r="TLX15" s="41"/>
      <c r="TLY15" s="41"/>
      <c r="TLZ15" s="41"/>
      <c r="TMA15" s="41"/>
      <c r="TMB15" s="41"/>
      <c r="TMC15" s="41"/>
      <c r="TMD15" s="41"/>
      <c r="TME15" s="41"/>
      <c r="TMF15" s="41"/>
      <c r="TMG15" s="41"/>
      <c r="TMH15" s="41"/>
      <c r="TMI15" s="41"/>
      <c r="TMJ15" s="41"/>
      <c r="TMK15" s="41"/>
      <c r="TML15" s="41"/>
      <c r="TMM15" s="41"/>
      <c r="TMN15" s="41"/>
      <c r="TMO15" s="41"/>
      <c r="TMP15" s="41"/>
      <c r="TMQ15" s="41"/>
      <c r="TMR15" s="41"/>
      <c r="TMS15" s="41"/>
      <c r="TMT15" s="41"/>
      <c r="TMU15" s="41"/>
      <c r="TMV15" s="41"/>
      <c r="TMW15" s="41"/>
      <c r="TMX15" s="41"/>
      <c r="TMY15" s="41"/>
      <c r="TMZ15" s="41"/>
      <c r="TNA15" s="41"/>
      <c r="TNB15" s="41"/>
      <c r="TNC15" s="41"/>
      <c r="TND15" s="41"/>
      <c r="TNE15" s="41"/>
      <c r="TNF15" s="41"/>
      <c r="TNG15" s="41"/>
      <c r="TNH15" s="41"/>
      <c r="TNI15" s="41"/>
      <c r="TNJ15" s="41"/>
      <c r="TNK15" s="41"/>
      <c r="TNL15" s="41"/>
      <c r="TNM15" s="41"/>
      <c r="TNN15" s="41"/>
      <c r="TNO15" s="41"/>
      <c r="TNP15" s="41"/>
      <c r="TNQ15" s="41"/>
      <c r="TNR15" s="41"/>
      <c r="TNS15" s="41"/>
      <c r="TNT15" s="41"/>
      <c r="TNU15" s="41"/>
      <c r="TNV15" s="41"/>
      <c r="TNW15" s="41"/>
      <c r="TNX15" s="41"/>
      <c r="TNY15" s="41"/>
      <c r="TNZ15" s="41"/>
      <c r="TOA15" s="41"/>
      <c r="TOB15" s="41"/>
      <c r="TOC15" s="41"/>
      <c r="TOD15" s="41"/>
      <c r="TOE15" s="41"/>
      <c r="TOF15" s="41"/>
      <c r="TOG15" s="41"/>
      <c r="TOH15" s="41"/>
      <c r="TOI15" s="41"/>
      <c r="TOJ15" s="41"/>
      <c r="TOK15" s="41"/>
      <c r="TOL15" s="41"/>
      <c r="TOM15" s="41"/>
      <c r="TON15" s="41"/>
      <c r="TOO15" s="41"/>
      <c r="TOP15" s="41"/>
      <c r="TOQ15" s="41"/>
      <c r="TOR15" s="41"/>
      <c r="TOS15" s="41"/>
      <c r="TOT15" s="41"/>
      <c r="TOU15" s="41"/>
      <c r="TOV15" s="41"/>
      <c r="TOW15" s="41"/>
      <c r="TOX15" s="41"/>
      <c r="TOY15" s="41"/>
      <c r="TOZ15" s="41"/>
      <c r="TPA15" s="41"/>
      <c r="TPB15" s="41"/>
      <c r="TPC15" s="41"/>
      <c r="TPD15" s="41"/>
      <c r="TPE15" s="41"/>
      <c r="TPF15" s="41"/>
      <c r="TPG15" s="41"/>
      <c r="TPH15" s="41"/>
      <c r="TPI15" s="41"/>
      <c r="TPJ15" s="41"/>
      <c r="TPK15" s="41"/>
      <c r="TPL15" s="41"/>
      <c r="TPM15" s="41"/>
      <c r="TPN15" s="41"/>
      <c r="TPO15" s="41"/>
      <c r="TPP15" s="41"/>
      <c r="TPQ15" s="41"/>
      <c r="TPR15" s="41"/>
      <c r="TPS15" s="41"/>
      <c r="TPT15" s="41"/>
      <c r="TPU15" s="41"/>
      <c r="TPV15" s="41"/>
      <c r="TPW15" s="41"/>
      <c r="TPX15" s="41"/>
      <c r="TPY15" s="41"/>
      <c r="TPZ15" s="41"/>
      <c r="TQA15" s="41"/>
      <c r="TQB15" s="41"/>
      <c r="TQC15" s="41"/>
      <c r="TQD15" s="41"/>
      <c r="TQE15" s="41"/>
      <c r="TQF15" s="41"/>
      <c r="TQG15" s="41"/>
      <c r="TQH15" s="41"/>
      <c r="TQI15" s="41"/>
      <c r="TQJ15" s="41"/>
      <c r="TQK15" s="41"/>
      <c r="TQL15" s="41"/>
      <c r="TQM15" s="41"/>
      <c r="TQN15" s="41"/>
      <c r="TQO15" s="41"/>
      <c r="TQP15" s="41"/>
      <c r="TQQ15" s="41"/>
      <c r="TQR15" s="41"/>
      <c r="TQS15" s="41"/>
      <c r="TQT15" s="41"/>
      <c r="TQU15" s="41"/>
      <c r="TQV15" s="41"/>
      <c r="TQW15" s="41"/>
      <c r="TQX15" s="41"/>
      <c r="TQY15" s="41"/>
      <c r="TQZ15" s="41"/>
      <c r="TRA15" s="41"/>
      <c r="TRB15" s="41"/>
      <c r="TRC15" s="41"/>
      <c r="TRD15" s="41"/>
      <c r="TRE15" s="41"/>
      <c r="TRF15" s="41"/>
      <c r="TRG15" s="41"/>
      <c r="TRH15" s="41"/>
      <c r="TRI15" s="41"/>
      <c r="TRJ15" s="41"/>
      <c r="TRK15" s="41"/>
      <c r="TRL15" s="41"/>
      <c r="TRM15" s="41"/>
      <c r="TRN15" s="41"/>
      <c r="TRO15" s="41"/>
      <c r="TRP15" s="41"/>
      <c r="TRQ15" s="41"/>
      <c r="TRR15" s="41"/>
      <c r="TRS15" s="41"/>
      <c r="TRT15" s="41"/>
      <c r="TRU15" s="41"/>
      <c r="TRV15" s="41"/>
      <c r="TRW15" s="41"/>
      <c r="TRX15" s="41"/>
      <c r="TRY15" s="41"/>
      <c r="TRZ15" s="41"/>
      <c r="TSA15" s="41"/>
      <c r="TSB15" s="41"/>
      <c r="TSC15" s="41"/>
      <c r="TSD15" s="41"/>
      <c r="TSE15" s="41"/>
      <c r="TSF15" s="41"/>
      <c r="TSG15" s="41"/>
      <c r="TSH15" s="41"/>
      <c r="TSI15" s="41"/>
      <c r="TSJ15" s="41"/>
      <c r="TSK15" s="41"/>
      <c r="TSL15" s="41"/>
      <c r="TSM15" s="41"/>
      <c r="TSN15" s="41"/>
      <c r="TSO15" s="41"/>
      <c r="TSP15" s="41"/>
      <c r="TSQ15" s="41"/>
      <c r="TSR15" s="41"/>
      <c r="TSS15" s="41"/>
      <c r="TST15" s="41"/>
      <c r="TSU15" s="41"/>
      <c r="TSV15" s="41"/>
      <c r="TSW15" s="41"/>
      <c r="TSX15" s="41"/>
      <c r="TSY15" s="41"/>
      <c r="TSZ15" s="41"/>
      <c r="TTA15" s="41"/>
      <c r="TTB15" s="41"/>
      <c r="TTC15" s="41"/>
      <c r="TTD15" s="41"/>
      <c r="TTE15" s="41"/>
      <c r="TTF15" s="41"/>
      <c r="TTG15" s="41"/>
      <c r="TTH15" s="41"/>
      <c r="TTI15" s="41"/>
      <c r="TTJ15" s="41"/>
      <c r="TTK15" s="41"/>
      <c r="TTL15" s="41"/>
      <c r="TTM15" s="41"/>
      <c r="TTN15" s="41"/>
      <c r="TTO15" s="41"/>
      <c r="TTP15" s="41"/>
      <c r="TTQ15" s="41"/>
      <c r="TTR15" s="41"/>
      <c r="TTS15" s="41"/>
      <c r="TTT15" s="41"/>
      <c r="TTU15" s="41"/>
      <c r="TTV15" s="41"/>
      <c r="TTW15" s="41"/>
      <c r="TTX15" s="41"/>
      <c r="TTY15" s="41"/>
      <c r="TTZ15" s="41"/>
      <c r="TUA15" s="41"/>
      <c r="TUB15" s="41"/>
      <c r="TUC15" s="41"/>
      <c r="TUD15" s="41"/>
      <c r="TUE15" s="41"/>
      <c r="TUF15" s="41"/>
      <c r="TUG15" s="41"/>
      <c r="TUH15" s="41"/>
      <c r="TUI15" s="41"/>
      <c r="TUJ15" s="41"/>
      <c r="TUK15" s="41"/>
      <c r="TUL15" s="41"/>
      <c r="TUM15" s="41"/>
      <c r="TUN15" s="41"/>
      <c r="TUO15" s="41"/>
      <c r="TUP15" s="41"/>
      <c r="TUQ15" s="41"/>
      <c r="TUR15" s="41"/>
      <c r="TUS15" s="41"/>
      <c r="TUT15" s="41"/>
      <c r="TUU15" s="41"/>
      <c r="TUV15" s="41"/>
      <c r="TUW15" s="41"/>
      <c r="TUX15" s="41"/>
      <c r="TUY15" s="41"/>
      <c r="TUZ15" s="41"/>
      <c r="TVA15" s="41"/>
      <c r="TVB15" s="41"/>
      <c r="TVC15" s="41"/>
      <c r="TVD15" s="41"/>
      <c r="TVE15" s="41"/>
      <c r="TVF15" s="41"/>
      <c r="TVG15" s="41"/>
      <c r="TVH15" s="41"/>
      <c r="TVI15" s="41"/>
      <c r="TVJ15" s="41"/>
      <c r="TVK15" s="41"/>
      <c r="TVL15" s="41"/>
      <c r="TVM15" s="41"/>
      <c r="TVN15" s="41"/>
      <c r="TVO15" s="41"/>
      <c r="TVP15" s="41"/>
      <c r="TVQ15" s="41"/>
      <c r="TVR15" s="41"/>
      <c r="TVS15" s="41"/>
      <c r="TVT15" s="41"/>
      <c r="TVU15" s="41"/>
      <c r="TVV15" s="41"/>
      <c r="TVW15" s="41"/>
      <c r="TVX15" s="41"/>
      <c r="TVY15" s="41"/>
      <c r="TVZ15" s="41"/>
      <c r="TWA15" s="41"/>
      <c r="TWB15" s="41"/>
      <c r="TWC15" s="41"/>
      <c r="TWD15" s="41"/>
      <c r="TWE15" s="41"/>
      <c r="TWF15" s="41"/>
      <c r="TWG15" s="41"/>
      <c r="TWH15" s="41"/>
      <c r="TWI15" s="41"/>
      <c r="TWJ15" s="41"/>
      <c r="TWK15" s="41"/>
      <c r="TWL15" s="41"/>
      <c r="TWM15" s="41"/>
      <c r="TWN15" s="41"/>
      <c r="TWO15" s="41"/>
      <c r="TWP15" s="41"/>
      <c r="TWQ15" s="41"/>
      <c r="TWR15" s="41"/>
      <c r="TWS15" s="41"/>
      <c r="TWT15" s="41"/>
      <c r="TWU15" s="41"/>
      <c r="TWV15" s="41"/>
      <c r="TWW15" s="41"/>
      <c r="TWX15" s="41"/>
      <c r="TWY15" s="41"/>
      <c r="TWZ15" s="41"/>
      <c r="TXA15" s="41"/>
      <c r="TXB15" s="41"/>
      <c r="TXC15" s="41"/>
      <c r="TXD15" s="41"/>
      <c r="TXE15" s="41"/>
      <c r="TXF15" s="41"/>
      <c r="TXG15" s="41"/>
      <c r="TXH15" s="41"/>
      <c r="TXI15" s="41"/>
      <c r="TXJ15" s="41"/>
      <c r="TXK15" s="41"/>
      <c r="TXL15" s="41"/>
      <c r="TXM15" s="41"/>
      <c r="TXN15" s="41"/>
      <c r="TXO15" s="41"/>
      <c r="TXP15" s="41"/>
      <c r="TXQ15" s="41"/>
      <c r="TXR15" s="41"/>
      <c r="TXS15" s="41"/>
      <c r="TXT15" s="41"/>
      <c r="TXU15" s="41"/>
      <c r="TXV15" s="41"/>
      <c r="TXW15" s="41"/>
      <c r="TXX15" s="41"/>
      <c r="TXY15" s="41"/>
      <c r="TXZ15" s="41"/>
      <c r="TYA15" s="41"/>
      <c r="TYB15" s="41"/>
      <c r="TYC15" s="41"/>
      <c r="TYD15" s="41"/>
      <c r="TYE15" s="41"/>
      <c r="TYF15" s="41"/>
      <c r="TYG15" s="41"/>
      <c r="TYH15" s="41"/>
      <c r="TYI15" s="41"/>
      <c r="TYJ15" s="41"/>
      <c r="TYK15" s="41"/>
      <c r="TYL15" s="41"/>
      <c r="TYM15" s="41"/>
      <c r="TYN15" s="41"/>
      <c r="TYO15" s="41"/>
      <c r="TYP15" s="41"/>
      <c r="TYQ15" s="41"/>
      <c r="TYR15" s="41"/>
      <c r="TYS15" s="41"/>
      <c r="TYT15" s="41"/>
      <c r="TYU15" s="41"/>
      <c r="TYV15" s="41"/>
      <c r="TYW15" s="41"/>
      <c r="TYX15" s="41"/>
      <c r="TYY15" s="41"/>
      <c r="TYZ15" s="41"/>
      <c r="TZA15" s="41"/>
      <c r="TZB15" s="41"/>
      <c r="TZC15" s="41"/>
      <c r="TZD15" s="41"/>
      <c r="TZE15" s="41"/>
      <c r="TZF15" s="41"/>
      <c r="TZG15" s="41"/>
      <c r="TZH15" s="41"/>
      <c r="TZI15" s="41"/>
      <c r="TZJ15" s="41"/>
      <c r="TZK15" s="41"/>
      <c r="TZL15" s="41"/>
      <c r="TZM15" s="41"/>
      <c r="TZN15" s="41"/>
      <c r="TZO15" s="41"/>
      <c r="TZP15" s="41"/>
      <c r="TZQ15" s="41"/>
      <c r="TZR15" s="41"/>
      <c r="TZS15" s="41"/>
      <c r="TZT15" s="41"/>
      <c r="TZU15" s="41"/>
      <c r="TZV15" s="41"/>
      <c r="TZW15" s="41"/>
      <c r="TZX15" s="41"/>
      <c r="TZY15" s="41"/>
      <c r="TZZ15" s="41"/>
      <c r="UAA15" s="41"/>
      <c r="UAB15" s="41"/>
      <c r="UAC15" s="41"/>
      <c r="UAD15" s="41"/>
      <c r="UAE15" s="41"/>
      <c r="UAF15" s="41"/>
      <c r="UAG15" s="41"/>
      <c r="UAH15" s="41"/>
      <c r="UAI15" s="41"/>
      <c r="UAJ15" s="41"/>
      <c r="UAK15" s="41"/>
      <c r="UAL15" s="41"/>
      <c r="UAM15" s="41"/>
      <c r="UAN15" s="41"/>
      <c r="UAO15" s="41"/>
      <c r="UAP15" s="41"/>
      <c r="UAQ15" s="41"/>
      <c r="UAR15" s="41"/>
      <c r="UAS15" s="41"/>
      <c r="UAT15" s="41"/>
      <c r="UAU15" s="41"/>
      <c r="UAV15" s="41"/>
      <c r="UAW15" s="41"/>
      <c r="UAX15" s="41"/>
      <c r="UAY15" s="41"/>
      <c r="UAZ15" s="41"/>
      <c r="UBA15" s="41"/>
      <c r="UBB15" s="41"/>
      <c r="UBC15" s="41"/>
      <c r="UBD15" s="41"/>
      <c r="UBE15" s="41"/>
      <c r="UBF15" s="41"/>
      <c r="UBG15" s="41"/>
      <c r="UBH15" s="41"/>
      <c r="UBI15" s="41"/>
      <c r="UBJ15" s="41"/>
      <c r="UBK15" s="41"/>
      <c r="UBL15" s="41"/>
      <c r="UBM15" s="41"/>
      <c r="UBN15" s="41"/>
      <c r="UBO15" s="41"/>
      <c r="UBP15" s="41"/>
      <c r="UBQ15" s="41"/>
      <c r="UBR15" s="41"/>
      <c r="UBS15" s="41"/>
      <c r="UBT15" s="41"/>
      <c r="UBU15" s="41"/>
      <c r="UBV15" s="41"/>
      <c r="UBW15" s="41"/>
      <c r="UBX15" s="41"/>
      <c r="UBY15" s="41"/>
      <c r="UBZ15" s="41"/>
      <c r="UCA15" s="41"/>
      <c r="UCB15" s="41"/>
      <c r="UCC15" s="41"/>
      <c r="UCD15" s="41"/>
      <c r="UCE15" s="41"/>
      <c r="UCF15" s="41"/>
      <c r="UCG15" s="41"/>
      <c r="UCH15" s="41"/>
      <c r="UCI15" s="41"/>
      <c r="UCJ15" s="41"/>
      <c r="UCK15" s="41"/>
      <c r="UCL15" s="41"/>
      <c r="UCM15" s="41"/>
      <c r="UCN15" s="41"/>
      <c r="UCO15" s="41"/>
      <c r="UCP15" s="41"/>
      <c r="UCQ15" s="41"/>
      <c r="UCR15" s="41"/>
      <c r="UCS15" s="41"/>
      <c r="UCT15" s="41"/>
      <c r="UCU15" s="41"/>
      <c r="UCV15" s="41"/>
      <c r="UCW15" s="41"/>
      <c r="UCX15" s="41"/>
      <c r="UCY15" s="41"/>
      <c r="UCZ15" s="41"/>
      <c r="UDA15" s="41"/>
      <c r="UDB15" s="41"/>
      <c r="UDC15" s="41"/>
      <c r="UDD15" s="41"/>
      <c r="UDE15" s="41"/>
      <c r="UDF15" s="41"/>
      <c r="UDG15" s="41"/>
      <c r="UDH15" s="41"/>
      <c r="UDI15" s="41"/>
      <c r="UDJ15" s="41"/>
      <c r="UDK15" s="41"/>
      <c r="UDL15" s="41"/>
      <c r="UDM15" s="41"/>
      <c r="UDN15" s="41"/>
      <c r="UDO15" s="41"/>
      <c r="UDP15" s="41"/>
      <c r="UDQ15" s="41"/>
      <c r="UDR15" s="41"/>
      <c r="UDS15" s="41"/>
      <c r="UDT15" s="41"/>
      <c r="UDU15" s="41"/>
      <c r="UDV15" s="41"/>
      <c r="UDW15" s="41"/>
      <c r="UDX15" s="41"/>
      <c r="UDY15" s="41"/>
      <c r="UDZ15" s="41"/>
      <c r="UEA15" s="41"/>
      <c r="UEB15" s="41"/>
      <c r="UEC15" s="41"/>
      <c r="UED15" s="41"/>
      <c r="UEE15" s="41"/>
      <c r="UEF15" s="41"/>
      <c r="UEG15" s="41"/>
      <c r="UEH15" s="41"/>
      <c r="UEI15" s="41"/>
      <c r="UEJ15" s="41"/>
      <c r="UEK15" s="41"/>
      <c r="UEL15" s="41"/>
      <c r="UEM15" s="41"/>
      <c r="UEN15" s="41"/>
      <c r="UEO15" s="41"/>
      <c r="UEP15" s="41"/>
      <c r="UEQ15" s="41"/>
      <c r="UER15" s="41"/>
      <c r="UES15" s="41"/>
      <c r="UET15" s="41"/>
      <c r="UEU15" s="41"/>
      <c r="UEV15" s="41"/>
      <c r="UEW15" s="41"/>
      <c r="UEX15" s="41"/>
      <c r="UEY15" s="41"/>
      <c r="UEZ15" s="41"/>
      <c r="UFA15" s="41"/>
      <c r="UFB15" s="41"/>
      <c r="UFC15" s="41"/>
      <c r="UFD15" s="41"/>
      <c r="UFE15" s="41"/>
      <c r="UFF15" s="41"/>
      <c r="UFG15" s="41"/>
      <c r="UFH15" s="41"/>
      <c r="UFI15" s="41"/>
      <c r="UFJ15" s="41"/>
      <c r="UFK15" s="41"/>
      <c r="UFL15" s="41"/>
      <c r="UFM15" s="41"/>
      <c r="UFN15" s="41"/>
      <c r="UFO15" s="41"/>
      <c r="UFP15" s="41"/>
      <c r="UFQ15" s="41"/>
      <c r="UFR15" s="41"/>
      <c r="UFS15" s="41"/>
      <c r="UFT15" s="41"/>
      <c r="UFU15" s="41"/>
      <c r="UFV15" s="41"/>
      <c r="UFW15" s="41"/>
      <c r="UFX15" s="41"/>
      <c r="UFY15" s="41"/>
      <c r="UFZ15" s="41"/>
      <c r="UGA15" s="41"/>
      <c r="UGB15" s="41"/>
      <c r="UGC15" s="41"/>
      <c r="UGD15" s="41"/>
      <c r="UGE15" s="41"/>
      <c r="UGF15" s="41"/>
      <c r="UGG15" s="41"/>
      <c r="UGH15" s="41"/>
      <c r="UGI15" s="41"/>
      <c r="UGJ15" s="41"/>
      <c r="UGK15" s="41"/>
      <c r="UGL15" s="41"/>
      <c r="UGM15" s="41"/>
      <c r="UGN15" s="41"/>
      <c r="UGO15" s="41"/>
      <c r="UGP15" s="41"/>
      <c r="UGQ15" s="41"/>
      <c r="UGR15" s="41"/>
      <c r="UGS15" s="41"/>
      <c r="UGT15" s="41"/>
      <c r="UGU15" s="41"/>
      <c r="UGV15" s="41"/>
      <c r="UGW15" s="41"/>
      <c r="UGX15" s="41"/>
      <c r="UGY15" s="41"/>
      <c r="UGZ15" s="41"/>
      <c r="UHA15" s="41"/>
      <c r="UHB15" s="41"/>
      <c r="UHC15" s="41"/>
      <c r="UHD15" s="41"/>
      <c r="UHE15" s="41"/>
      <c r="UHF15" s="41"/>
      <c r="UHG15" s="41"/>
      <c r="UHH15" s="41"/>
      <c r="UHI15" s="41"/>
      <c r="UHJ15" s="41"/>
      <c r="UHK15" s="41"/>
      <c r="UHL15" s="41"/>
      <c r="UHM15" s="41"/>
      <c r="UHN15" s="41"/>
      <c r="UHO15" s="41"/>
      <c r="UHP15" s="41"/>
      <c r="UHQ15" s="41"/>
      <c r="UHR15" s="41"/>
      <c r="UHS15" s="41"/>
      <c r="UHT15" s="41"/>
      <c r="UHU15" s="41"/>
      <c r="UHV15" s="41"/>
      <c r="UHW15" s="41"/>
      <c r="UHX15" s="41"/>
      <c r="UHY15" s="41"/>
      <c r="UHZ15" s="41"/>
      <c r="UIA15" s="41"/>
      <c r="UIB15" s="41"/>
      <c r="UIC15" s="41"/>
      <c r="UID15" s="41"/>
      <c r="UIE15" s="41"/>
      <c r="UIF15" s="41"/>
      <c r="UIG15" s="41"/>
      <c r="UIH15" s="41"/>
      <c r="UII15" s="41"/>
      <c r="UIJ15" s="41"/>
      <c r="UIK15" s="41"/>
      <c r="UIL15" s="41"/>
      <c r="UIM15" s="41"/>
      <c r="UIN15" s="41"/>
      <c r="UIO15" s="41"/>
      <c r="UIP15" s="41"/>
      <c r="UIQ15" s="41"/>
      <c r="UIR15" s="41"/>
      <c r="UIS15" s="41"/>
      <c r="UIT15" s="41"/>
      <c r="UIU15" s="41"/>
      <c r="UIV15" s="41"/>
      <c r="UIW15" s="41"/>
      <c r="UIX15" s="41"/>
      <c r="UIY15" s="41"/>
      <c r="UIZ15" s="41"/>
      <c r="UJA15" s="41"/>
      <c r="UJB15" s="41"/>
      <c r="UJC15" s="41"/>
      <c r="UJD15" s="41"/>
      <c r="UJE15" s="41"/>
      <c r="UJF15" s="41"/>
      <c r="UJG15" s="41"/>
      <c r="UJH15" s="41"/>
      <c r="UJI15" s="41"/>
      <c r="UJJ15" s="41"/>
      <c r="UJK15" s="41"/>
      <c r="UJL15" s="41"/>
      <c r="UJM15" s="41"/>
      <c r="UJN15" s="41"/>
      <c r="UJO15" s="41"/>
      <c r="UJP15" s="41"/>
      <c r="UJQ15" s="41"/>
      <c r="UJR15" s="41"/>
      <c r="UJS15" s="41"/>
      <c r="UJT15" s="41"/>
      <c r="UJU15" s="41"/>
      <c r="UJV15" s="41"/>
      <c r="UJW15" s="41"/>
      <c r="UJX15" s="41"/>
      <c r="UJY15" s="41"/>
      <c r="UJZ15" s="41"/>
      <c r="UKA15" s="41"/>
      <c r="UKB15" s="41"/>
      <c r="UKC15" s="41"/>
      <c r="UKD15" s="41"/>
      <c r="UKE15" s="41"/>
      <c r="UKF15" s="41"/>
      <c r="UKG15" s="41"/>
      <c r="UKH15" s="41"/>
      <c r="UKI15" s="41"/>
      <c r="UKJ15" s="41"/>
      <c r="UKK15" s="41"/>
      <c r="UKL15" s="41"/>
      <c r="UKM15" s="41"/>
      <c r="UKN15" s="41"/>
      <c r="UKO15" s="41"/>
      <c r="UKP15" s="41"/>
      <c r="UKQ15" s="41"/>
      <c r="UKR15" s="41"/>
      <c r="UKS15" s="41"/>
      <c r="UKT15" s="41"/>
      <c r="UKU15" s="41"/>
      <c r="UKV15" s="41"/>
      <c r="UKW15" s="41"/>
      <c r="UKX15" s="41"/>
      <c r="UKY15" s="41"/>
      <c r="UKZ15" s="41"/>
      <c r="ULA15" s="41"/>
      <c r="ULB15" s="41"/>
      <c r="ULC15" s="41"/>
      <c r="ULD15" s="41"/>
      <c r="ULE15" s="41"/>
      <c r="ULF15" s="41"/>
      <c r="ULG15" s="41"/>
      <c r="ULH15" s="41"/>
      <c r="ULI15" s="41"/>
      <c r="ULJ15" s="41"/>
      <c r="ULK15" s="41"/>
      <c r="ULL15" s="41"/>
      <c r="ULM15" s="41"/>
      <c r="ULN15" s="41"/>
      <c r="ULO15" s="41"/>
      <c r="ULP15" s="41"/>
      <c r="ULQ15" s="41"/>
      <c r="ULR15" s="41"/>
      <c r="ULS15" s="41"/>
      <c r="ULT15" s="41"/>
      <c r="ULU15" s="41"/>
      <c r="ULV15" s="41"/>
      <c r="ULW15" s="41"/>
      <c r="ULX15" s="41"/>
      <c r="ULY15" s="41"/>
      <c r="ULZ15" s="41"/>
      <c r="UMA15" s="41"/>
      <c r="UMB15" s="41"/>
      <c r="UMC15" s="41"/>
      <c r="UMD15" s="41"/>
      <c r="UME15" s="41"/>
      <c r="UMF15" s="41"/>
      <c r="UMG15" s="41"/>
      <c r="UMH15" s="41"/>
      <c r="UMI15" s="41"/>
      <c r="UMJ15" s="41"/>
      <c r="UMK15" s="41"/>
      <c r="UML15" s="41"/>
      <c r="UMM15" s="41"/>
      <c r="UMN15" s="41"/>
      <c r="UMO15" s="41"/>
      <c r="UMP15" s="41"/>
      <c r="UMQ15" s="41"/>
      <c r="UMR15" s="41"/>
      <c r="UMS15" s="41"/>
      <c r="UMT15" s="41"/>
      <c r="UMU15" s="41"/>
      <c r="UMV15" s="41"/>
      <c r="UMW15" s="41"/>
      <c r="UMX15" s="41"/>
      <c r="UMY15" s="41"/>
      <c r="UMZ15" s="41"/>
      <c r="UNA15" s="41"/>
      <c r="UNB15" s="41"/>
      <c r="UNC15" s="41"/>
      <c r="UND15" s="41"/>
      <c r="UNE15" s="41"/>
      <c r="UNF15" s="41"/>
      <c r="UNG15" s="41"/>
      <c r="UNH15" s="41"/>
      <c r="UNI15" s="41"/>
      <c r="UNJ15" s="41"/>
      <c r="UNK15" s="41"/>
      <c r="UNL15" s="41"/>
      <c r="UNM15" s="41"/>
      <c r="UNN15" s="41"/>
      <c r="UNO15" s="41"/>
      <c r="UNP15" s="41"/>
      <c r="UNQ15" s="41"/>
      <c r="UNR15" s="41"/>
      <c r="UNS15" s="41"/>
      <c r="UNT15" s="41"/>
      <c r="UNU15" s="41"/>
      <c r="UNV15" s="41"/>
      <c r="UNW15" s="41"/>
      <c r="UNX15" s="41"/>
      <c r="UNY15" s="41"/>
      <c r="UNZ15" s="41"/>
      <c r="UOA15" s="41"/>
      <c r="UOB15" s="41"/>
      <c r="UOC15" s="41"/>
      <c r="UOD15" s="41"/>
      <c r="UOE15" s="41"/>
      <c r="UOF15" s="41"/>
      <c r="UOG15" s="41"/>
      <c r="UOH15" s="41"/>
      <c r="UOI15" s="41"/>
      <c r="UOJ15" s="41"/>
      <c r="UOK15" s="41"/>
      <c r="UOL15" s="41"/>
      <c r="UOM15" s="41"/>
      <c r="UON15" s="41"/>
      <c r="UOO15" s="41"/>
      <c r="UOP15" s="41"/>
      <c r="UOQ15" s="41"/>
      <c r="UOR15" s="41"/>
      <c r="UOS15" s="41"/>
      <c r="UOT15" s="41"/>
      <c r="UOU15" s="41"/>
      <c r="UOV15" s="41"/>
      <c r="UOW15" s="41"/>
      <c r="UOX15" s="41"/>
      <c r="UOY15" s="41"/>
      <c r="UOZ15" s="41"/>
      <c r="UPA15" s="41"/>
      <c r="UPB15" s="41"/>
      <c r="UPC15" s="41"/>
      <c r="UPD15" s="41"/>
      <c r="UPE15" s="41"/>
      <c r="UPF15" s="41"/>
      <c r="UPG15" s="41"/>
      <c r="UPH15" s="41"/>
      <c r="UPI15" s="41"/>
      <c r="UPJ15" s="41"/>
      <c r="UPK15" s="41"/>
      <c r="UPL15" s="41"/>
      <c r="UPM15" s="41"/>
      <c r="UPN15" s="41"/>
      <c r="UPO15" s="41"/>
      <c r="UPP15" s="41"/>
      <c r="UPQ15" s="41"/>
      <c r="UPR15" s="41"/>
      <c r="UPS15" s="41"/>
      <c r="UPT15" s="41"/>
      <c r="UPU15" s="41"/>
      <c r="UPV15" s="41"/>
      <c r="UPW15" s="41"/>
      <c r="UPX15" s="41"/>
      <c r="UPY15" s="41"/>
      <c r="UPZ15" s="41"/>
      <c r="UQA15" s="41"/>
      <c r="UQB15" s="41"/>
      <c r="UQC15" s="41"/>
      <c r="UQD15" s="41"/>
      <c r="UQE15" s="41"/>
      <c r="UQF15" s="41"/>
      <c r="UQG15" s="41"/>
      <c r="UQH15" s="41"/>
      <c r="UQI15" s="41"/>
      <c r="UQJ15" s="41"/>
      <c r="UQK15" s="41"/>
      <c r="UQL15" s="41"/>
      <c r="UQM15" s="41"/>
      <c r="UQN15" s="41"/>
      <c r="UQO15" s="41"/>
      <c r="UQP15" s="41"/>
      <c r="UQQ15" s="41"/>
      <c r="UQR15" s="41"/>
      <c r="UQS15" s="41"/>
      <c r="UQT15" s="41"/>
      <c r="UQU15" s="41"/>
      <c r="UQV15" s="41"/>
      <c r="UQW15" s="41"/>
      <c r="UQX15" s="41"/>
      <c r="UQY15" s="41"/>
      <c r="UQZ15" s="41"/>
      <c r="URA15" s="41"/>
      <c r="URB15" s="41"/>
      <c r="URC15" s="41"/>
      <c r="URD15" s="41"/>
      <c r="URE15" s="41"/>
      <c r="URF15" s="41"/>
      <c r="URG15" s="41"/>
      <c r="URH15" s="41"/>
      <c r="URI15" s="41"/>
      <c r="URJ15" s="41"/>
      <c r="URK15" s="41"/>
      <c r="URL15" s="41"/>
      <c r="URM15" s="41"/>
      <c r="URN15" s="41"/>
      <c r="URO15" s="41"/>
      <c r="URP15" s="41"/>
      <c r="URQ15" s="41"/>
      <c r="URR15" s="41"/>
      <c r="URS15" s="41"/>
      <c r="URT15" s="41"/>
      <c r="URU15" s="41"/>
      <c r="URV15" s="41"/>
      <c r="URW15" s="41"/>
      <c r="URX15" s="41"/>
      <c r="URY15" s="41"/>
      <c r="URZ15" s="41"/>
      <c r="USA15" s="41"/>
      <c r="USB15" s="41"/>
      <c r="USC15" s="41"/>
      <c r="USD15" s="41"/>
      <c r="USE15" s="41"/>
      <c r="USF15" s="41"/>
      <c r="USG15" s="41"/>
      <c r="USH15" s="41"/>
      <c r="USI15" s="41"/>
      <c r="USJ15" s="41"/>
      <c r="USK15" s="41"/>
      <c r="USL15" s="41"/>
      <c r="USM15" s="41"/>
      <c r="USN15" s="41"/>
      <c r="USO15" s="41"/>
      <c r="USP15" s="41"/>
      <c r="USQ15" s="41"/>
      <c r="USR15" s="41"/>
      <c r="USS15" s="41"/>
      <c r="UST15" s="41"/>
      <c r="USU15" s="41"/>
      <c r="USV15" s="41"/>
      <c r="USW15" s="41"/>
      <c r="USX15" s="41"/>
      <c r="USY15" s="41"/>
      <c r="USZ15" s="41"/>
      <c r="UTA15" s="41"/>
      <c r="UTB15" s="41"/>
      <c r="UTC15" s="41"/>
      <c r="UTD15" s="41"/>
      <c r="UTE15" s="41"/>
      <c r="UTF15" s="41"/>
      <c r="UTG15" s="41"/>
      <c r="UTH15" s="41"/>
      <c r="UTI15" s="41"/>
      <c r="UTJ15" s="41"/>
      <c r="UTK15" s="41"/>
      <c r="UTL15" s="41"/>
      <c r="UTM15" s="41"/>
      <c r="UTN15" s="41"/>
      <c r="UTO15" s="41"/>
      <c r="UTP15" s="41"/>
      <c r="UTQ15" s="41"/>
      <c r="UTR15" s="41"/>
      <c r="UTS15" s="41"/>
      <c r="UTT15" s="41"/>
      <c r="UTU15" s="41"/>
      <c r="UTV15" s="41"/>
      <c r="UTW15" s="41"/>
      <c r="UTX15" s="41"/>
      <c r="UTY15" s="41"/>
      <c r="UTZ15" s="41"/>
      <c r="UUA15" s="41"/>
      <c r="UUB15" s="41"/>
      <c r="UUC15" s="41"/>
      <c r="UUD15" s="41"/>
      <c r="UUE15" s="41"/>
      <c r="UUF15" s="41"/>
      <c r="UUG15" s="41"/>
      <c r="UUH15" s="41"/>
      <c r="UUI15" s="41"/>
      <c r="UUJ15" s="41"/>
      <c r="UUK15" s="41"/>
      <c r="UUL15" s="41"/>
      <c r="UUM15" s="41"/>
      <c r="UUN15" s="41"/>
      <c r="UUO15" s="41"/>
      <c r="UUP15" s="41"/>
      <c r="UUQ15" s="41"/>
      <c r="UUR15" s="41"/>
      <c r="UUS15" s="41"/>
      <c r="UUT15" s="41"/>
      <c r="UUU15" s="41"/>
      <c r="UUV15" s="41"/>
      <c r="UUW15" s="41"/>
      <c r="UUX15" s="41"/>
      <c r="UUY15" s="41"/>
      <c r="UUZ15" s="41"/>
      <c r="UVA15" s="41"/>
      <c r="UVB15" s="41"/>
      <c r="UVC15" s="41"/>
      <c r="UVD15" s="41"/>
      <c r="UVE15" s="41"/>
      <c r="UVF15" s="41"/>
      <c r="UVG15" s="41"/>
      <c r="UVH15" s="41"/>
      <c r="UVI15" s="41"/>
      <c r="UVJ15" s="41"/>
      <c r="UVK15" s="41"/>
      <c r="UVL15" s="41"/>
      <c r="UVM15" s="41"/>
      <c r="UVN15" s="41"/>
      <c r="UVO15" s="41"/>
      <c r="UVP15" s="41"/>
      <c r="UVQ15" s="41"/>
      <c r="UVR15" s="41"/>
      <c r="UVS15" s="41"/>
      <c r="UVT15" s="41"/>
      <c r="UVU15" s="41"/>
      <c r="UVV15" s="41"/>
      <c r="UVW15" s="41"/>
      <c r="UVX15" s="41"/>
      <c r="UVY15" s="41"/>
      <c r="UVZ15" s="41"/>
      <c r="UWA15" s="41"/>
      <c r="UWB15" s="41"/>
      <c r="UWC15" s="41"/>
      <c r="UWD15" s="41"/>
      <c r="UWE15" s="41"/>
      <c r="UWF15" s="41"/>
      <c r="UWG15" s="41"/>
      <c r="UWH15" s="41"/>
      <c r="UWI15" s="41"/>
      <c r="UWJ15" s="41"/>
      <c r="UWK15" s="41"/>
      <c r="UWL15" s="41"/>
      <c r="UWM15" s="41"/>
      <c r="UWN15" s="41"/>
      <c r="UWO15" s="41"/>
      <c r="UWP15" s="41"/>
      <c r="UWQ15" s="41"/>
      <c r="UWR15" s="41"/>
      <c r="UWS15" s="41"/>
      <c r="UWT15" s="41"/>
      <c r="UWU15" s="41"/>
      <c r="UWV15" s="41"/>
      <c r="UWW15" s="41"/>
      <c r="UWX15" s="41"/>
      <c r="UWY15" s="41"/>
      <c r="UWZ15" s="41"/>
      <c r="UXA15" s="41"/>
      <c r="UXB15" s="41"/>
      <c r="UXC15" s="41"/>
      <c r="UXD15" s="41"/>
      <c r="UXE15" s="41"/>
      <c r="UXF15" s="41"/>
      <c r="UXG15" s="41"/>
      <c r="UXH15" s="41"/>
      <c r="UXI15" s="41"/>
      <c r="UXJ15" s="41"/>
      <c r="UXK15" s="41"/>
      <c r="UXL15" s="41"/>
      <c r="UXM15" s="41"/>
      <c r="UXN15" s="41"/>
      <c r="UXO15" s="41"/>
      <c r="UXP15" s="41"/>
      <c r="UXQ15" s="41"/>
      <c r="UXR15" s="41"/>
      <c r="UXS15" s="41"/>
      <c r="UXT15" s="41"/>
      <c r="UXU15" s="41"/>
      <c r="UXV15" s="41"/>
      <c r="UXW15" s="41"/>
      <c r="UXX15" s="41"/>
      <c r="UXY15" s="41"/>
      <c r="UXZ15" s="41"/>
      <c r="UYA15" s="41"/>
      <c r="UYB15" s="41"/>
      <c r="UYC15" s="41"/>
      <c r="UYD15" s="41"/>
      <c r="UYE15" s="41"/>
      <c r="UYF15" s="41"/>
      <c r="UYG15" s="41"/>
      <c r="UYH15" s="41"/>
      <c r="UYI15" s="41"/>
      <c r="UYJ15" s="41"/>
      <c r="UYK15" s="41"/>
      <c r="UYL15" s="41"/>
      <c r="UYM15" s="41"/>
      <c r="UYN15" s="41"/>
      <c r="UYO15" s="41"/>
      <c r="UYP15" s="41"/>
      <c r="UYQ15" s="41"/>
      <c r="UYR15" s="41"/>
      <c r="UYS15" s="41"/>
      <c r="UYT15" s="41"/>
      <c r="UYU15" s="41"/>
      <c r="UYV15" s="41"/>
      <c r="UYW15" s="41"/>
      <c r="UYX15" s="41"/>
      <c r="UYY15" s="41"/>
      <c r="UYZ15" s="41"/>
      <c r="UZA15" s="41"/>
      <c r="UZB15" s="41"/>
      <c r="UZC15" s="41"/>
      <c r="UZD15" s="41"/>
      <c r="UZE15" s="41"/>
      <c r="UZF15" s="41"/>
      <c r="UZG15" s="41"/>
      <c r="UZH15" s="41"/>
      <c r="UZI15" s="41"/>
      <c r="UZJ15" s="41"/>
      <c r="UZK15" s="41"/>
      <c r="UZL15" s="41"/>
      <c r="UZM15" s="41"/>
      <c r="UZN15" s="41"/>
      <c r="UZO15" s="41"/>
      <c r="UZP15" s="41"/>
      <c r="UZQ15" s="41"/>
      <c r="UZR15" s="41"/>
      <c r="UZS15" s="41"/>
      <c r="UZT15" s="41"/>
      <c r="UZU15" s="41"/>
      <c r="UZV15" s="41"/>
      <c r="UZW15" s="41"/>
      <c r="UZX15" s="41"/>
      <c r="UZY15" s="41"/>
      <c r="UZZ15" s="41"/>
      <c r="VAA15" s="41"/>
      <c r="VAB15" s="41"/>
      <c r="VAC15" s="41"/>
      <c r="VAD15" s="41"/>
      <c r="VAE15" s="41"/>
      <c r="VAF15" s="41"/>
      <c r="VAG15" s="41"/>
      <c r="VAH15" s="41"/>
      <c r="VAI15" s="41"/>
      <c r="VAJ15" s="41"/>
      <c r="VAK15" s="41"/>
      <c r="VAL15" s="41"/>
      <c r="VAM15" s="41"/>
      <c r="VAN15" s="41"/>
      <c r="VAO15" s="41"/>
      <c r="VAP15" s="41"/>
      <c r="VAQ15" s="41"/>
      <c r="VAR15" s="41"/>
      <c r="VAS15" s="41"/>
      <c r="VAT15" s="41"/>
      <c r="VAU15" s="41"/>
      <c r="VAV15" s="41"/>
      <c r="VAW15" s="41"/>
      <c r="VAX15" s="41"/>
      <c r="VAY15" s="41"/>
      <c r="VAZ15" s="41"/>
      <c r="VBA15" s="41"/>
      <c r="VBB15" s="41"/>
      <c r="VBC15" s="41"/>
      <c r="VBD15" s="41"/>
      <c r="VBE15" s="41"/>
      <c r="VBF15" s="41"/>
      <c r="VBG15" s="41"/>
      <c r="VBH15" s="41"/>
      <c r="VBI15" s="41"/>
      <c r="VBJ15" s="41"/>
      <c r="VBK15" s="41"/>
      <c r="VBL15" s="41"/>
      <c r="VBM15" s="41"/>
      <c r="VBN15" s="41"/>
      <c r="VBO15" s="41"/>
      <c r="VBP15" s="41"/>
      <c r="VBQ15" s="41"/>
      <c r="VBR15" s="41"/>
      <c r="VBS15" s="41"/>
      <c r="VBT15" s="41"/>
      <c r="VBU15" s="41"/>
      <c r="VBV15" s="41"/>
      <c r="VBW15" s="41"/>
      <c r="VBX15" s="41"/>
      <c r="VBY15" s="41"/>
      <c r="VBZ15" s="41"/>
      <c r="VCA15" s="41"/>
      <c r="VCB15" s="41"/>
      <c r="VCC15" s="41"/>
      <c r="VCD15" s="41"/>
      <c r="VCE15" s="41"/>
      <c r="VCF15" s="41"/>
      <c r="VCG15" s="41"/>
      <c r="VCH15" s="41"/>
      <c r="VCI15" s="41"/>
      <c r="VCJ15" s="41"/>
      <c r="VCK15" s="41"/>
      <c r="VCL15" s="41"/>
      <c r="VCM15" s="41"/>
      <c r="VCN15" s="41"/>
      <c r="VCO15" s="41"/>
      <c r="VCP15" s="41"/>
      <c r="VCQ15" s="41"/>
      <c r="VCR15" s="41"/>
      <c r="VCS15" s="41"/>
      <c r="VCT15" s="41"/>
      <c r="VCU15" s="41"/>
      <c r="VCV15" s="41"/>
      <c r="VCW15" s="41"/>
      <c r="VCX15" s="41"/>
      <c r="VCY15" s="41"/>
      <c r="VCZ15" s="41"/>
      <c r="VDA15" s="41"/>
      <c r="VDB15" s="41"/>
      <c r="VDC15" s="41"/>
      <c r="VDD15" s="41"/>
      <c r="VDE15" s="41"/>
      <c r="VDF15" s="41"/>
      <c r="VDG15" s="41"/>
      <c r="VDH15" s="41"/>
      <c r="VDI15" s="41"/>
      <c r="VDJ15" s="41"/>
      <c r="VDK15" s="41"/>
      <c r="VDL15" s="41"/>
      <c r="VDM15" s="41"/>
      <c r="VDN15" s="41"/>
      <c r="VDO15" s="41"/>
      <c r="VDP15" s="41"/>
      <c r="VDQ15" s="41"/>
      <c r="VDR15" s="41"/>
      <c r="VDS15" s="41"/>
      <c r="VDT15" s="41"/>
      <c r="VDU15" s="41"/>
      <c r="VDV15" s="41"/>
      <c r="VDW15" s="41"/>
      <c r="VDX15" s="41"/>
      <c r="VDY15" s="41"/>
      <c r="VDZ15" s="41"/>
      <c r="VEA15" s="41"/>
      <c r="VEB15" s="41"/>
      <c r="VEC15" s="41"/>
      <c r="VED15" s="41"/>
      <c r="VEE15" s="41"/>
      <c r="VEF15" s="41"/>
      <c r="VEG15" s="41"/>
      <c r="VEH15" s="41"/>
      <c r="VEI15" s="41"/>
      <c r="VEJ15" s="41"/>
      <c r="VEK15" s="41"/>
      <c r="VEL15" s="41"/>
      <c r="VEM15" s="41"/>
      <c r="VEN15" s="41"/>
      <c r="VEO15" s="41"/>
      <c r="VEP15" s="41"/>
      <c r="VEQ15" s="41"/>
      <c r="VER15" s="41"/>
      <c r="VES15" s="41"/>
      <c r="VET15" s="41"/>
      <c r="VEU15" s="41"/>
      <c r="VEV15" s="41"/>
      <c r="VEW15" s="41"/>
      <c r="VEX15" s="41"/>
      <c r="VEY15" s="41"/>
      <c r="VEZ15" s="41"/>
      <c r="VFA15" s="41"/>
      <c r="VFB15" s="41"/>
      <c r="VFC15" s="41"/>
      <c r="VFD15" s="41"/>
      <c r="VFE15" s="41"/>
      <c r="VFF15" s="41"/>
      <c r="VFG15" s="41"/>
      <c r="VFH15" s="41"/>
      <c r="VFI15" s="41"/>
      <c r="VFJ15" s="41"/>
      <c r="VFK15" s="41"/>
      <c r="VFL15" s="41"/>
      <c r="VFM15" s="41"/>
      <c r="VFN15" s="41"/>
      <c r="VFO15" s="41"/>
      <c r="VFP15" s="41"/>
      <c r="VFQ15" s="41"/>
      <c r="VFR15" s="41"/>
      <c r="VFS15" s="41"/>
      <c r="VFT15" s="41"/>
      <c r="VFU15" s="41"/>
      <c r="VFV15" s="41"/>
      <c r="VFW15" s="41"/>
      <c r="VFX15" s="41"/>
      <c r="VFY15" s="41"/>
      <c r="VFZ15" s="41"/>
      <c r="VGA15" s="41"/>
      <c r="VGB15" s="41"/>
      <c r="VGC15" s="41"/>
      <c r="VGD15" s="41"/>
      <c r="VGE15" s="41"/>
      <c r="VGF15" s="41"/>
      <c r="VGG15" s="41"/>
      <c r="VGH15" s="41"/>
      <c r="VGI15" s="41"/>
      <c r="VGJ15" s="41"/>
      <c r="VGK15" s="41"/>
      <c r="VGL15" s="41"/>
      <c r="VGM15" s="41"/>
      <c r="VGN15" s="41"/>
      <c r="VGO15" s="41"/>
      <c r="VGP15" s="41"/>
      <c r="VGQ15" s="41"/>
      <c r="VGR15" s="41"/>
      <c r="VGS15" s="41"/>
      <c r="VGT15" s="41"/>
      <c r="VGU15" s="41"/>
      <c r="VGV15" s="41"/>
      <c r="VGW15" s="41"/>
      <c r="VGX15" s="41"/>
      <c r="VGY15" s="41"/>
      <c r="VGZ15" s="41"/>
      <c r="VHA15" s="41"/>
      <c r="VHB15" s="41"/>
      <c r="VHC15" s="41"/>
      <c r="VHD15" s="41"/>
      <c r="VHE15" s="41"/>
      <c r="VHF15" s="41"/>
      <c r="VHG15" s="41"/>
      <c r="VHH15" s="41"/>
      <c r="VHI15" s="41"/>
      <c r="VHJ15" s="41"/>
      <c r="VHK15" s="41"/>
      <c r="VHL15" s="41"/>
      <c r="VHM15" s="41"/>
      <c r="VHN15" s="41"/>
      <c r="VHO15" s="41"/>
      <c r="VHP15" s="41"/>
      <c r="VHQ15" s="41"/>
      <c r="VHR15" s="41"/>
      <c r="VHS15" s="41"/>
      <c r="VHT15" s="41"/>
      <c r="VHU15" s="41"/>
      <c r="VHV15" s="41"/>
      <c r="VHW15" s="41"/>
      <c r="VHX15" s="41"/>
      <c r="VHY15" s="41"/>
      <c r="VHZ15" s="41"/>
      <c r="VIA15" s="41"/>
      <c r="VIB15" s="41"/>
      <c r="VIC15" s="41"/>
      <c r="VID15" s="41"/>
      <c r="VIE15" s="41"/>
      <c r="VIF15" s="41"/>
      <c r="VIG15" s="41"/>
      <c r="VIH15" s="41"/>
      <c r="VII15" s="41"/>
      <c r="VIJ15" s="41"/>
      <c r="VIK15" s="41"/>
      <c r="VIL15" s="41"/>
      <c r="VIM15" s="41"/>
      <c r="VIN15" s="41"/>
      <c r="VIO15" s="41"/>
      <c r="VIP15" s="41"/>
      <c r="VIQ15" s="41"/>
      <c r="VIR15" s="41"/>
      <c r="VIS15" s="41"/>
      <c r="VIT15" s="41"/>
      <c r="VIU15" s="41"/>
      <c r="VIV15" s="41"/>
      <c r="VIW15" s="41"/>
      <c r="VIX15" s="41"/>
      <c r="VIY15" s="41"/>
      <c r="VIZ15" s="41"/>
      <c r="VJA15" s="41"/>
      <c r="VJB15" s="41"/>
      <c r="VJC15" s="41"/>
      <c r="VJD15" s="41"/>
      <c r="VJE15" s="41"/>
      <c r="VJF15" s="41"/>
      <c r="VJG15" s="41"/>
      <c r="VJH15" s="41"/>
      <c r="VJI15" s="41"/>
      <c r="VJJ15" s="41"/>
      <c r="VJK15" s="41"/>
      <c r="VJL15" s="41"/>
      <c r="VJM15" s="41"/>
      <c r="VJN15" s="41"/>
      <c r="VJO15" s="41"/>
      <c r="VJP15" s="41"/>
      <c r="VJQ15" s="41"/>
      <c r="VJR15" s="41"/>
      <c r="VJS15" s="41"/>
      <c r="VJT15" s="41"/>
      <c r="VJU15" s="41"/>
      <c r="VJV15" s="41"/>
      <c r="VJW15" s="41"/>
      <c r="VJX15" s="41"/>
      <c r="VJY15" s="41"/>
      <c r="VJZ15" s="41"/>
      <c r="VKA15" s="41"/>
      <c r="VKB15" s="41"/>
      <c r="VKC15" s="41"/>
      <c r="VKD15" s="41"/>
      <c r="VKE15" s="41"/>
      <c r="VKF15" s="41"/>
      <c r="VKG15" s="41"/>
      <c r="VKH15" s="41"/>
      <c r="VKI15" s="41"/>
      <c r="VKJ15" s="41"/>
      <c r="VKK15" s="41"/>
      <c r="VKL15" s="41"/>
      <c r="VKM15" s="41"/>
      <c r="VKN15" s="41"/>
      <c r="VKO15" s="41"/>
      <c r="VKP15" s="41"/>
      <c r="VKQ15" s="41"/>
      <c r="VKR15" s="41"/>
      <c r="VKS15" s="41"/>
      <c r="VKT15" s="41"/>
      <c r="VKU15" s="41"/>
      <c r="VKV15" s="41"/>
      <c r="VKW15" s="41"/>
      <c r="VKX15" s="41"/>
      <c r="VKY15" s="41"/>
      <c r="VKZ15" s="41"/>
      <c r="VLA15" s="41"/>
      <c r="VLB15" s="41"/>
      <c r="VLC15" s="41"/>
      <c r="VLD15" s="41"/>
      <c r="VLE15" s="41"/>
      <c r="VLF15" s="41"/>
      <c r="VLG15" s="41"/>
      <c r="VLH15" s="41"/>
      <c r="VLI15" s="41"/>
      <c r="VLJ15" s="41"/>
      <c r="VLK15" s="41"/>
      <c r="VLL15" s="41"/>
      <c r="VLM15" s="41"/>
      <c r="VLN15" s="41"/>
      <c r="VLO15" s="41"/>
      <c r="VLP15" s="41"/>
      <c r="VLQ15" s="41"/>
      <c r="VLR15" s="41"/>
      <c r="VLS15" s="41"/>
      <c r="VLT15" s="41"/>
      <c r="VLU15" s="41"/>
      <c r="VLV15" s="41"/>
      <c r="VLW15" s="41"/>
      <c r="VLX15" s="41"/>
      <c r="VLY15" s="41"/>
      <c r="VLZ15" s="41"/>
      <c r="VMA15" s="41"/>
      <c r="VMB15" s="41"/>
      <c r="VMC15" s="41"/>
      <c r="VMD15" s="41"/>
      <c r="VME15" s="41"/>
      <c r="VMF15" s="41"/>
      <c r="VMG15" s="41"/>
      <c r="VMH15" s="41"/>
      <c r="VMI15" s="41"/>
      <c r="VMJ15" s="41"/>
      <c r="VMK15" s="41"/>
      <c r="VML15" s="41"/>
      <c r="VMM15" s="41"/>
      <c r="VMN15" s="41"/>
      <c r="VMO15" s="41"/>
      <c r="VMP15" s="41"/>
      <c r="VMQ15" s="41"/>
      <c r="VMR15" s="41"/>
      <c r="VMS15" s="41"/>
      <c r="VMT15" s="41"/>
      <c r="VMU15" s="41"/>
      <c r="VMV15" s="41"/>
      <c r="VMW15" s="41"/>
      <c r="VMX15" s="41"/>
      <c r="VMY15" s="41"/>
      <c r="VMZ15" s="41"/>
      <c r="VNA15" s="41"/>
      <c r="VNB15" s="41"/>
      <c r="VNC15" s="41"/>
      <c r="VND15" s="41"/>
      <c r="VNE15" s="41"/>
      <c r="VNF15" s="41"/>
      <c r="VNG15" s="41"/>
      <c r="VNH15" s="41"/>
      <c r="VNI15" s="41"/>
      <c r="VNJ15" s="41"/>
      <c r="VNK15" s="41"/>
      <c r="VNL15" s="41"/>
      <c r="VNM15" s="41"/>
      <c r="VNN15" s="41"/>
      <c r="VNO15" s="41"/>
      <c r="VNP15" s="41"/>
      <c r="VNQ15" s="41"/>
      <c r="VNR15" s="41"/>
      <c r="VNS15" s="41"/>
      <c r="VNT15" s="41"/>
      <c r="VNU15" s="41"/>
      <c r="VNV15" s="41"/>
      <c r="VNW15" s="41"/>
      <c r="VNX15" s="41"/>
      <c r="VNY15" s="41"/>
      <c r="VNZ15" s="41"/>
      <c r="VOA15" s="41"/>
      <c r="VOB15" s="41"/>
      <c r="VOC15" s="41"/>
      <c r="VOD15" s="41"/>
      <c r="VOE15" s="41"/>
      <c r="VOF15" s="41"/>
      <c r="VOG15" s="41"/>
      <c r="VOH15" s="41"/>
      <c r="VOI15" s="41"/>
      <c r="VOJ15" s="41"/>
      <c r="VOK15" s="41"/>
      <c r="VOL15" s="41"/>
      <c r="VOM15" s="41"/>
      <c r="VON15" s="41"/>
      <c r="VOO15" s="41"/>
      <c r="VOP15" s="41"/>
      <c r="VOQ15" s="41"/>
      <c r="VOR15" s="41"/>
      <c r="VOS15" s="41"/>
      <c r="VOT15" s="41"/>
      <c r="VOU15" s="41"/>
      <c r="VOV15" s="41"/>
      <c r="VOW15" s="41"/>
      <c r="VOX15" s="41"/>
      <c r="VOY15" s="41"/>
      <c r="VOZ15" s="41"/>
      <c r="VPA15" s="41"/>
      <c r="VPB15" s="41"/>
      <c r="VPC15" s="41"/>
      <c r="VPD15" s="41"/>
      <c r="VPE15" s="41"/>
      <c r="VPF15" s="41"/>
      <c r="VPG15" s="41"/>
      <c r="VPH15" s="41"/>
      <c r="VPI15" s="41"/>
      <c r="VPJ15" s="41"/>
      <c r="VPK15" s="41"/>
      <c r="VPL15" s="41"/>
      <c r="VPM15" s="41"/>
      <c r="VPN15" s="41"/>
      <c r="VPO15" s="41"/>
      <c r="VPP15" s="41"/>
      <c r="VPQ15" s="41"/>
      <c r="VPR15" s="41"/>
      <c r="VPS15" s="41"/>
      <c r="VPT15" s="41"/>
      <c r="VPU15" s="41"/>
      <c r="VPV15" s="41"/>
      <c r="VPW15" s="41"/>
      <c r="VPX15" s="41"/>
      <c r="VPY15" s="41"/>
      <c r="VPZ15" s="41"/>
      <c r="VQA15" s="41"/>
      <c r="VQB15" s="41"/>
      <c r="VQC15" s="41"/>
      <c r="VQD15" s="41"/>
      <c r="VQE15" s="41"/>
      <c r="VQF15" s="41"/>
      <c r="VQG15" s="41"/>
      <c r="VQH15" s="41"/>
      <c r="VQI15" s="41"/>
      <c r="VQJ15" s="41"/>
      <c r="VQK15" s="41"/>
      <c r="VQL15" s="41"/>
      <c r="VQM15" s="41"/>
      <c r="VQN15" s="41"/>
      <c r="VQO15" s="41"/>
      <c r="VQP15" s="41"/>
      <c r="VQQ15" s="41"/>
      <c r="VQR15" s="41"/>
      <c r="VQS15" s="41"/>
      <c r="VQT15" s="41"/>
      <c r="VQU15" s="41"/>
      <c r="VQV15" s="41"/>
      <c r="VQW15" s="41"/>
      <c r="VQX15" s="41"/>
      <c r="VQY15" s="41"/>
      <c r="VQZ15" s="41"/>
      <c r="VRA15" s="41"/>
      <c r="VRB15" s="41"/>
      <c r="VRC15" s="41"/>
      <c r="VRD15" s="41"/>
      <c r="VRE15" s="41"/>
      <c r="VRF15" s="41"/>
      <c r="VRG15" s="41"/>
      <c r="VRH15" s="41"/>
      <c r="VRI15" s="41"/>
      <c r="VRJ15" s="41"/>
      <c r="VRK15" s="41"/>
      <c r="VRL15" s="41"/>
      <c r="VRM15" s="41"/>
      <c r="VRN15" s="41"/>
      <c r="VRO15" s="41"/>
      <c r="VRP15" s="41"/>
      <c r="VRQ15" s="41"/>
      <c r="VRR15" s="41"/>
      <c r="VRS15" s="41"/>
      <c r="VRT15" s="41"/>
      <c r="VRU15" s="41"/>
      <c r="VRV15" s="41"/>
      <c r="VRW15" s="41"/>
      <c r="VRX15" s="41"/>
      <c r="VRY15" s="41"/>
      <c r="VRZ15" s="41"/>
      <c r="VSA15" s="41"/>
      <c r="VSB15" s="41"/>
      <c r="VSC15" s="41"/>
      <c r="VSD15" s="41"/>
      <c r="VSE15" s="41"/>
      <c r="VSF15" s="41"/>
      <c r="VSG15" s="41"/>
      <c r="VSH15" s="41"/>
      <c r="VSI15" s="41"/>
      <c r="VSJ15" s="41"/>
      <c r="VSK15" s="41"/>
      <c r="VSL15" s="41"/>
      <c r="VSM15" s="41"/>
      <c r="VSN15" s="41"/>
      <c r="VSO15" s="41"/>
      <c r="VSP15" s="41"/>
      <c r="VSQ15" s="41"/>
      <c r="VSR15" s="41"/>
      <c r="VSS15" s="41"/>
      <c r="VST15" s="41"/>
      <c r="VSU15" s="41"/>
      <c r="VSV15" s="41"/>
      <c r="VSW15" s="41"/>
      <c r="VSX15" s="41"/>
      <c r="VSY15" s="41"/>
      <c r="VSZ15" s="41"/>
      <c r="VTA15" s="41"/>
      <c r="VTB15" s="41"/>
      <c r="VTC15" s="41"/>
      <c r="VTD15" s="41"/>
      <c r="VTE15" s="41"/>
      <c r="VTF15" s="41"/>
      <c r="VTG15" s="41"/>
      <c r="VTH15" s="41"/>
      <c r="VTI15" s="41"/>
      <c r="VTJ15" s="41"/>
      <c r="VTK15" s="41"/>
      <c r="VTL15" s="41"/>
      <c r="VTM15" s="41"/>
      <c r="VTN15" s="41"/>
      <c r="VTO15" s="41"/>
      <c r="VTP15" s="41"/>
      <c r="VTQ15" s="41"/>
      <c r="VTR15" s="41"/>
      <c r="VTS15" s="41"/>
      <c r="VTT15" s="41"/>
      <c r="VTU15" s="41"/>
      <c r="VTV15" s="41"/>
      <c r="VTW15" s="41"/>
      <c r="VTX15" s="41"/>
      <c r="VTY15" s="41"/>
      <c r="VTZ15" s="41"/>
      <c r="VUA15" s="41"/>
      <c r="VUB15" s="41"/>
      <c r="VUC15" s="41"/>
      <c r="VUD15" s="41"/>
      <c r="VUE15" s="41"/>
      <c r="VUF15" s="41"/>
      <c r="VUG15" s="41"/>
      <c r="VUH15" s="41"/>
      <c r="VUI15" s="41"/>
      <c r="VUJ15" s="41"/>
      <c r="VUK15" s="41"/>
      <c r="VUL15" s="41"/>
      <c r="VUM15" s="41"/>
      <c r="VUN15" s="41"/>
      <c r="VUO15" s="41"/>
      <c r="VUP15" s="41"/>
      <c r="VUQ15" s="41"/>
      <c r="VUR15" s="41"/>
      <c r="VUS15" s="41"/>
      <c r="VUT15" s="41"/>
      <c r="VUU15" s="41"/>
      <c r="VUV15" s="41"/>
      <c r="VUW15" s="41"/>
      <c r="VUX15" s="41"/>
      <c r="VUY15" s="41"/>
      <c r="VUZ15" s="41"/>
      <c r="VVA15" s="41"/>
      <c r="VVB15" s="41"/>
      <c r="VVC15" s="41"/>
      <c r="VVD15" s="41"/>
      <c r="VVE15" s="41"/>
      <c r="VVF15" s="41"/>
      <c r="VVG15" s="41"/>
      <c r="VVH15" s="41"/>
      <c r="VVI15" s="41"/>
      <c r="VVJ15" s="41"/>
      <c r="VVK15" s="41"/>
      <c r="VVL15" s="41"/>
      <c r="VVM15" s="41"/>
      <c r="VVN15" s="41"/>
      <c r="VVO15" s="41"/>
      <c r="VVP15" s="41"/>
      <c r="VVQ15" s="41"/>
      <c r="VVR15" s="41"/>
      <c r="VVS15" s="41"/>
      <c r="VVT15" s="41"/>
      <c r="VVU15" s="41"/>
      <c r="VVV15" s="41"/>
      <c r="VVW15" s="41"/>
      <c r="VVX15" s="41"/>
      <c r="VVY15" s="41"/>
      <c r="VVZ15" s="41"/>
      <c r="VWA15" s="41"/>
      <c r="VWB15" s="41"/>
      <c r="VWC15" s="41"/>
      <c r="VWD15" s="41"/>
      <c r="VWE15" s="41"/>
      <c r="VWF15" s="41"/>
      <c r="VWG15" s="41"/>
      <c r="VWH15" s="41"/>
      <c r="VWI15" s="41"/>
      <c r="VWJ15" s="41"/>
      <c r="VWK15" s="41"/>
      <c r="VWL15" s="41"/>
      <c r="VWM15" s="41"/>
      <c r="VWN15" s="41"/>
      <c r="VWO15" s="41"/>
      <c r="VWP15" s="41"/>
      <c r="VWQ15" s="41"/>
      <c r="VWR15" s="41"/>
      <c r="VWS15" s="41"/>
      <c r="VWT15" s="41"/>
      <c r="VWU15" s="41"/>
      <c r="VWV15" s="41"/>
      <c r="VWW15" s="41"/>
      <c r="VWX15" s="41"/>
      <c r="VWY15" s="41"/>
      <c r="VWZ15" s="41"/>
      <c r="VXA15" s="41"/>
      <c r="VXB15" s="41"/>
      <c r="VXC15" s="41"/>
      <c r="VXD15" s="41"/>
      <c r="VXE15" s="41"/>
      <c r="VXF15" s="41"/>
      <c r="VXG15" s="41"/>
      <c r="VXH15" s="41"/>
      <c r="VXI15" s="41"/>
      <c r="VXJ15" s="41"/>
      <c r="VXK15" s="41"/>
      <c r="VXL15" s="41"/>
      <c r="VXM15" s="41"/>
      <c r="VXN15" s="41"/>
      <c r="VXO15" s="41"/>
      <c r="VXP15" s="41"/>
      <c r="VXQ15" s="41"/>
      <c r="VXR15" s="41"/>
      <c r="VXS15" s="41"/>
      <c r="VXT15" s="41"/>
      <c r="VXU15" s="41"/>
      <c r="VXV15" s="41"/>
      <c r="VXW15" s="41"/>
      <c r="VXX15" s="41"/>
      <c r="VXY15" s="41"/>
      <c r="VXZ15" s="41"/>
      <c r="VYA15" s="41"/>
      <c r="VYB15" s="41"/>
      <c r="VYC15" s="41"/>
      <c r="VYD15" s="41"/>
      <c r="VYE15" s="41"/>
      <c r="VYF15" s="41"/>
      <c r="VYG15" s="41"/>
      <c r="VYH15" s="41"/>
      <c r="VYI15" s="41"/>
      <c r="VYJ15" s="41"/>
      <c r="VYK15" s="41"/>
      <c r="VYL15" s="41"/>
      <c r="VYM15" s="41"/>
      <c r="VYN15" s="41"/>
      <c r="VYO15" s="41"/>
      <c r="VYP15" s="41"/>
      <c r="VYQ15" s="41"/>
      <c r="VYR15" s="41"/>
      <c r="VYS15" s="41"/>
      <c r="VYT15" s="41"/>
      <c r="VYU15" s="41"/>
      <c r="VYV15" s="41"/>
      <c r="VYW15" s="41"/>
      <c r="VYX15" s="41"/>
      <c r="VYY15" s="41"/>
      <c r="VYZ15" s="41"/>
      <c r="VZA15" s="41"/>
      <c r="VZB15" s="41"/>
      <c r="VZC15" s="41"/>
      <c r="VZD15" s="41"/>
      <c r="VZE15" s="41"/>
      <c r="VZF15" s="41"/>
      <c r="VZG15" s="41"/>
      <c r="VZH15" s="41"/>
      <c r="VZI15" s="41"/>
      <c r="VZJ15" s="41"/>
      <c r="VZK15" s="41"/>
      <c r="VZL15" s="41"/>
      <c r="VZM15" s="41"/>
      <c r="VZN15" s="41"/>
      <c r="VZO15" s="41"/>
      <c r="VZP15" s="41"/>
      <c r="VZQ15" s="41"/>
      <c r="VZR15" s="41"/>
      <c r="VZS15" s="41"/>
      <c r="VZT15" s="41"/>
      <c r="VZU15" s="41"/>
      <c r="VZV15" s="41"/>
      <c r="VZW15" s="41"/>
      <c r="VZX15" s="41"/>
      <c r="VZY15" s="41"/>
      <c r="VZZ15" s="41"/>
      <c r="WAA15" s="41"/>
      <c r="WAB15" s="41"/>
      <c r="WAC15" s="41"/>
      <c r="WAD15" s="41"/>
      <c r="WAE15" s="41"/>
      <c r="WAF15" s="41"/>
      <c r="WAG15" s="41"/>
      <c r="WAH15" s="41"/>
      <c r="WAI15" s="41"/>
      <c r="WAJ15" s="41"/>
      <c r="WAK15" s="41"/>
      <c r="WAL15" s="41"/>
      <c r="WAM15" s="41"/>
      <c r="WAN15" s="41"/>
      <c r="WAO15" s="41"/>
      <c r="WAP15" s="41"/>
      <c r="WAQ15" s="41"/>
      <c r="WAR15" s="41"/>
      <c r="WAS15" s="41"/>
      <c r="WAT15" s="41"/>
      <c r="WAU15" s="41"/>
      <c r="WAV15" s="41"/>
      <c r="WAW15" s="41"/>
      <c r="WAX15" s="41"/>
      <c r="WAY15" s="41"/>
      <c r="WAZ15" s="41"/>
      <c r="WBA15" s="41"/>
      <c r="WBB15" s="41"/>
      <c r="WBC15" s="41"/>
      <c r="WBD15" s="41"/>
      <c r="WBE15" s="41"/>
      <c r="WBF15" s="41"/>
      <c r="WBG15" s="41"/>
      <c r="WBH15" s="41"/>
      <c r="WBI15" s="41"/>
      <c r="WBJ15" s="41"/>
      <c r="WBK15" s="41"/>
      <c r="WBL15" s="41"/>
      <c r="WBM15" s="41"/>
      <c r="WBN15" s="41"/>
      <c r="WBO15" s="41"/>
      <c r="WBP15" s="41"/>
      <c r="WBQ15" s="41"/>
      <c r="WBR15" s="41"/>
      <c r="WBS15" s="41"/>
      <c r="WBT15" s="41"/>
      <c r="WBU15" s="41"/>
      <c r="WBV15" s="41"/>
      <c r="WBW15" s="41"/>
      <c r="WBX15" s="41"/>
      <c r="WBY15" s="41"/>
      <c r="WBZ15" s="41"/>
      <c r="WCA15" s="41"/>
      <c r="WCB15" s="41"/>
      <c r="WCC15" s="41"/>
      <c r="WCD15" s="41"/>
      <c r="WCE15" s="41"/>
      <c r="WCF15" s="41"/>
      <c r="WCG15" s="41"/>
      <c r="WCH15" s="41"/>
      <c r="WCI15" s="41"/>
      <c r="WCJ15" s="41"/>
      <c r="WCK15" s="41"/>
      <c r="WCL15" s="41"/>
      <c r="WCM15" s="41"/>
      <c r="WCN15" s="41"/>
      <c r="WCO15" s="41"/>
      <c r="WCP15" s="41"/>
      <c r="WCQ15" s="41"/>
      <c r="WCR15" s="41"/>
      <c r="WCS15" s="41"/>
      <c r="WCT15" s="41"/>
      <c r="WCU15" s="41"/>
      <c r="WCV15" s="41"/>
      <c r="WCW15" s="41"/>
      <c r="WCX15" s="41"/>
      <c r="WCY15" s="41"/>
      <c r="WCZ15" s="41"/>
      <c r="WDA15" s="41"/>
      <c r="WDB15" s="41"/>
      <c r="WDC15" s="41"/>
      <c r="WDD15" s="41"/>
      <c r="WDE15" s="41"/>
      <c r="WDF15" s="41"/>
      <c r="WDG15" s="41"/>
      <c r="WDH15" s="41"/>
      <c r="WDI15" s="41"/>
      <c r="WDJ15" s="41"/>
      <c r="WDK15" s="41"/>
      <c r="WDL15" s="41"/>
      <c r="WDM15" s="41"/>
      <c r="WDN15" s="41"/>
      <c r="WDO15" s="41"/>
      <c r="WDP15" s="41"/>
      <c r="WDQ15" s="41"/>
      <c r="WDR15" s="41"/>
      <c r="WDS15" s="41"/>
      <c r="WDT15" s="41"/>
      <c r="WDU15" s="41"/>
      <c r="WDV15" s="41"/>
      <c r="WDW15" s="41"/>
      <c r="WDX15" s="41"/>
      <c r="WDY15" s="41"/>
      <c r="WDZ15" s="41"/>
      <c r="WEA15" s="41"/>
      <c r="WEB15" s="41"/>
      <c r="WEC15" s="41"/>
      <c r="WED15" s="41"/>
      <c r="WEE15" s="41"/>
      <c r="WEF15" s="41"/>
      <c r="WEG15" s="41"/>
      <c r="WEH15" s="41"/>
      <c r="WEI15" s="41"/>
      <c r="WEJ15" s="41"/>
      <c r="WEK15" s="41"/>
      <c r="WEL15" s="41"/>
      <c r="WEM15" s="41"/>
      <c r="WEN15" s="41"/>
      <c r="WEO15" s="41"/>
      <c r="WEP15" s="41"/>
      <c r="WEQ15" s="41"/>
      <c r="WER15" s="41"/>
      <c r="WES15" s="41"/>
      <c r="WET15" s="41"/>
      <c r="WEU15" s="41"/>
      <c r="WEV15" s="41"/>
      <c r="WEW15" s="41"/>
      <c r="WEX15" s="41"/>
      <c r="WEY15" s="41"/>
      <c r="WEZ15" s="41"/>
      <c r="WFA15" s="41"/>
      <c r="WFB15" s="41"/>
      <c r="WFC15" s="41"/>
      <c r="WFD15" s="41"/>
      <c r="WFE15" s="41"/>
      <c r="WFF15" s="41"/>
      <c r="WFG15" s="41"/>
      <c r="WFH15" s="41"/>
      <c r="WFI15" s="41"/>
      <c r="WFJ15" s="41"/>
      <c r="WFK15" s="41"/>
      <c r="WFL15" s="41"/>
      <c r="WFM15" s="41"/>
      <c r="WFN15" s="41"/>
      <c r="WFO15" s="41"/>
      <c r="WFP15" s="41"/>
      <c r="WFQ15" s="41"/>
      <c r="WFR15" s="41"/>
      <c r="WFS15" s="41"/>
      <c r="WFT15" s="41"/>
      <c r="WFU15" s="41"/>
      <c r="WFV15" s="41"/>
      <c r="WFW15" s="41"/>
      <c r="WFX15" s="41"/>
      <c r="WFY15" s="41"/>
      <c r="WFZ15" s="41"/>
      <c r="WGA15" s="41"/>
      <c r="WGB15" s="41"/>
      <c r="WGC15" s="41"/>
      <c r="WGD15" s="41"/>
      <c r="WGE15" s="41"/>
      <c r="WGF15" s="41"/>
      <c r="WGG15" s="41"/>
      <c r="WGH15" s="41"/>
      <c r="WGI15" s="41"/>
      <c r="WGJ15" s="41"/>
      <c r="WGK15" s="41"/>
      <c r="WGL15" s="41"/>
      <c r="WGM15" s="41"/>
      <c r="WGN15" s="41"/>
      <c r="WGO15" s="41"/>
      <c r="WGP15" s="41"/>
      <c r="WGQ15" s="41"/>
      <c r="WGR15" s="41"/>
      <c r="WGS15" s="41"/>
      <c r="WGT15" s="41"/>
      <c r="WGU15" s="41"/>
      <c r="WGV15" s="41"/>
      <c r="WGW15" s="41"/>
      <c r="WGX15" s="41"/>
      <c r="WGY15" s="41"/>
      <c r="WGZ15" s="41"/>
      <c r="WHA15" s="41"/>
      <c r="WHB15" s="41"/>
      <c r="WHC15" s="41"/>
      <c r="WHD15" s="41"/>
      <c r="WHE15" s="41"/>
      <c r="WHF15" s="41"/>
      <c r="WHG15" s="41"/>
      <c r="WHH15" s="41"/>
      <c r="WHI15" s="41"/>
      <c r="WHJ15" s="41"/>
      <c r="WHK15" s="41"/>
      <c r="WHL15" s="41"/>
      <c r="WHM15" s="41"/>
      <c r="WHN15" s="41"/>
      <c r="WHO15" s="41"/>
      <c r="WHP15" s="41"/>
      <c r="WHQ15" s="41"/>
      <c r="WHR15" s="41"/>
      <c r="WHS15" s="41"/>
      <c r="WHT15" s="41"/>
      <c r="WHU15" s="41"/>
      <c r="WHV15" s="41"/>
      <c r="WHW15" s="41"/>
      <c r="WHX15" s="41"/>
      <c r="WHY15" s="41"/>
      <c r="WHZ15" s="41"/>
      <c r="WIA15" s="41"/>
      <c r="WIB15" s="41"/>
      <c r="WIC15" s="41"/>
      <c r="WID15" s="41"/>
      <c r="WIE15" s="41"/>
      <c r="WIF15" s="41"/>
      <c r="WIG15" s="41"/>
      <c r="WIH15" s="41"/>
      <c r="WII15" s="41"/>
      <c r="WIJ15" s="41"/>
      <c r="WIK15" s="41"/>
      <c r="WIL15" s="41"/>
      <c r="WIM15" s="41"/>
      <c r="WIN15" s="41"/>
      <c r="WIO15" s="41"/>
      <c r="WIP15" s="41"/>
      <c r="WIQ15" s="41"/>
      <c r="WIR15" s="41"/>
      <c r="WIS15" s="41"/>
      <c r="WIT15" s="41"/>
      <c r="WIU15" s="41"/>
      <c r="WIV15" s="41"/>
      <c r="WIW15" s="41"/>
      <c r="WIX15" s="41"/>
      <c r="WIY15" s="41"/>
      <c r="WIZ15" s="41"/>
      <c r="WJA15" s="41"/>
      <c r="WJB15" s="41"/>
      <c r="WJC15" s="41"/>
      <c r="WJD15" s="41"/>
      <c r="WJE15" s="41"/>
      <c r="WJF15" s="41"/>
      <c r="WJG15" s="41"/>
      <c r="WJH15" s="41"/>
      <c r="WJI15" s="41"/>
      <c r="WJJ15" s="41"/>
      <c r="WJK15" s="41"/>
      <c r="WJL15" s="41"/>
      <c r="WJM15" s="41"/>
      <c r="WJN15" s="41"/>
      <c r="WJO15" s="41"/>
      <c r="WJP15" s="41"/>
      <c r="WJQ15" s="41"/>
      <c r="WJR15" s="41"/>
      <c r="WJS15" s="41"/>
      <c r="WJT15" s="41"/>
      <c r="WJU15" s="41"/>
      <c r="WJV15" s="41"/>
      <c r="WJW15" s="41"/>
      <c r="WJX15" s="41"/>
      <c r="WJY15" s="41"/>
      <c r="WJZ15" s="41"/>
      <c r="WKA15" s="41"/>
      <c r="WKB15" s="41"/>
      <c r="WKC15" s="41"/>
      <c r="WKD15" s="41"/>
      <c r="WKE15" s="41"/>
      <c r="WKF15" s="41"/>
      <c r="WKG15" s="41"/>
      <c r="WKH15" s="41"/>
      <c r="WKI15" s="41"/>
      <c r="WKJ15" s="41"/>
      <c r="WKK15" s="41"/>
      <c r="WKL15" s="41"/>
      <c r="WKM15" s="41"/>
      <c r="WKN15" s="41"/>
      <c r="WKO15" s="41"/>
      <c r="WKP15" s="41"/>
      <c r="WKQ15" s="41"/>
      <c r="WKR15" s="41"/>
      <c r="WKS15" s="41"/>
      <c r="WKT15" s="41"/>
      <c r="WKU15" s="41"/>
      <c r="WKV15" s="41"/>
      <c r="WKW15" s="41"/>
      <c r="WKX15" s="41"/>
      <c r="WKY15" s="41"/>
      <c r="WKZ15" s="41"/>
      <c r="WLA15" s="41"/>
      <c r="WLB15" s="41"/>
      <c r="WLC15" s="41"/>
      <c r="WLD15" s="41"/>
      <c r="WLE15" s="41"/>
      <c r="WLF15" s="41"/>
      <c r="WLG15" s="41"/>
      <c r="WLH15" s="41"/>
      <c r="WLI15" s="41"/>
      <c r="WLJ15" s="41"/>
      <c r="WLK15" s="41"/>
      <c r="WLL15" s="41"/>
      <c r="WLM15" s="41"/>
      <c r="WLN15" s="41"/>
      <c r="WLO15" s="41"/>
      <c r="WLP15" s="41"/>
      <c r="WLQ15" s="41"/>
      <c r="WLR15" s="41"/>
      <c r="WLS15" s="41"/>
      <c r="WLT15" s="41"/>
      <c r="WLU15" s="41"/>
      <c r="WLV15" s="41"/>
      <c r="WLW15" s="41"/>
      <c r="WLX15" s="41"/>
      <c r="WLY15" s="41"/>
      <c r="WLZ15" s="41"/>
      <c r="WMA15" s="41"/>
      <c r="WMB15" s="41"/>
      <c r="WMC15" s="41"/>
      <c r="WMD15" s="41"/>
      <c r="WME15" s="41"/>
      <c r="WMF15" s="41"/>
      <c r="WMG15" s="41"/>
      <c r="WMH15" s="41"/>
      <c r="WMI15" s="41"/>
      <c r="WMJ15" s="41"/>
      <c r="WMK15" s="41"/>
      <c r="WML15" s="41"/>
      <c r="WMM15" s="41"/>
      <c r="WMN15" s="41"/>
      <c r="WMO15" s="41"/>
      <c r="WMP15" s="41"/>
      <c r="WMQ15" s="41"/>
      <c r="WMR15" s="41"/>
      <c r="WMS15" s="41"/>
      <c r="WMT15" s="41"/>
      <c r="WMU15" s="41"/>
      <c r="WMV15" s="41"/>
      <c r="WMW15" s="41"/>
      <c r="WMX15" s="41"/>
      <c r="WMY15" s="41"/>
      <c r="WMZ15" s="41"/>
      <c r="WNA15" s="41"/>
      <c r="WNB15" s="41"/>
      <c r="WNC15" s="41"/>
      <c r="WND15" s="41"/>
      <c r="WNE15" s="41"/>
      <c r="WNF15" s="41"/>
      <c r="WNG15" s="41"/>
      <c r="WNH15" s="41"/>
      <c r="WNI15" s="41"/>
      <c r="WNJ15" s="41"/>
      <c r="WNK15" s="41"/>
      <c r="WNL15" s="41"/>
      <c r="WNM15" s="41"/>
      <c r="WNN15" s="41"/>
      <c r="WNO15" s="41"/>
      <c r="WNP15" s="41"/>
      <c r="WNQ15" s="41"/>
      <c r="WNR15" s="41"/>
      <c r="WNS15" s="41"/>
      <c r="WNT15" s="41"/>
      <c r="WNU15" s="41"/>
      <c r="WNV15" s="41"/>
      <c r="WNW15" s="41"/>
      <c r="WNX15" s="41"/>
      <c r="WNY15" s="41"/>
      <c r="WNZ15" s="41"/>
      <c r="WOA15" s="41"/>
      <c r="WOB15" s="41"/>
      <c r="WOC15" s="41"/>
      <c r="WOD15" s="41"/>
      <c r="WOE15" s="41"/>
      <c r="WOF15" s="41"/>
      <c r="WOG15" s="41"/>
      <c r="WOH15" s="41"/>
      <c r="WOI15" s="41"/>
      <c r="WOJ15" s="41"/>
      <c r="WOK15" s="41"/>
      <c r="WOL15" s="41"/>
      <c r="WOM15" s="41"/>
      <c r="WON15" s="41"/>
      <c r="WOO15" s="41"/>
      <c r="WOP15" s="41"/>
      <c r="WOQ15" s="41"/>
      <c r="WOR15" s="41"/>
      <c r="WOS15" s="41"/>
      <c r="WOT15" s="41"/>
      <c r="WOU15" s="41"/>
      <c r="WOV15" s="41"/>
      <c r="WOW15" s="41"/>
      <c r="WOX15" s="41"/>
      <c r="WOY15" s="41"/>
      <c r="WOZ15" s="41"/>
      <c r="WPA15" s="41"/>
      <c r="WPB15" s="41"/>
      <c r="WPC15" s="41"/>
      <c r="WPD15" s="41"/>
      <c r="WPE15" s="41"/>
      <c r="WPF15" s="41"/>
      <c r="WPG15" s="41"/>
      <c r="WPH15" s="41"/>
      <c r="WPI15" s="41"/>
      <c r="WPJ15" s="41"/>
      <c r="WPK15" s="41"/>
      <c r="WPL15" s="41"/>
      <c r="WPM15" s="41"/>
      <c r="WPN15" s="41"/>
      <c r="WPO15" s="41"/>
      <c r="WPP15" s="41"/>
      <c r="WPQ15" s="41"/>
      <c r="WPR15" s="41"/>
      <c r="WPS15" s="41"/>
      <c r="WPT15" s="41"/>
      <c r="WPU15" s="41"/>
      <c r="WPV15" s="41"/>
      <c r="WPW15" s="41"/>
      <c r="WPX15" s="41"/>
      <c r="WPY15" s="41"/>
      <c r="WPZ15" s="41"/>
      <c r="WQA15" s="41"/>
      <c r="WQB15" s="41"/>
      <c r="WQC15" s="41"/>
      <c r="WQD15" s="41"/>
      <c r="WQE15" s="41"/>
      <c r="WQF15" s="41"/>
      <c r="WQG15" s="41"/>
      <c r="WQH15" s="41"/>
      <c r="WQI15" s="41"/>
      <c r="WQJ15" s="41"/>
      <c r="WQK15" s="41"/>
      <c r="WQL15" s="41"/>
      <c r="WQM15" s="41"/>
      <c r="WQN15" s="41"/>
      <c r="WQO15" s="41"/>
      <c r="WQP15" s="41"/>
      <c r="WQQ15" s="41"/>
      <c r="WQR15" s="41"/>
      <c r="WQS15" s="41"/>
      <c r="WQT15" s="41"/>
      <c r="WQU15" s="41"/>
      <c r="WQV15" s="41"/>
      <c r="WQW15" s="41"/>
      <c r="WQX15" s="41"/>
      <c r="WQY15" s="41"/>
      <c r="WQZ15" s="41"/>
      <c r="WRA15" s="41"/>
      <c r="WRB15" s="41"/>
      <c r="WRC15" s="41"/>
      <c r="WRD15" s="41"/>
      <c r="WRE15" s="41"/>
      <c r="WRF15" s="41"/>
      <c r="WRG15" s="41"/>
      <c r="WRH15" s="41"/>
      <c r="WRI15" s="41"/>
      <c r="WRJ15" s="41"/>
      <c r="WRK15" s="41"/>
      <c r="WRL15" s="41"/>
      <c r="WRM15" s="41"/>
      <c r="WRN15" s="41"/>
      <c r="WRO15" s="41"/>
      <c r="WRP15" s="41"/>
      <c r="WRQ15" s="41"/>
      <c r="WRR15" s="41"/>
      <c r="WRS15" s="41"/>
      <c r="WRT15" s="41"/>
      <c r="WRU15" s="41"/>
      <c r="WRV15" s="41"/>
      <c r="WRW15" s="41"/>
      <c r="WRX15" s="41"/>
      <c r="WRY15" s="41"/>
      <c r="WRZ15" s="41"/>
      <c r="WSA15" s="41"/>
      <c r="WSB15" s="41"/>
      <c r="WSC15" s="41"/>
      <c r="WSD15" s="41"/>
      <c r="WSE15" s="41"/>
      <c r="WSF15" s="41"/>
      <c r="WSG15" s="41"/>
      <c r="WSH15" s="41"/>
      <c r="WSI15" s="41"/>
      <c r="WSJ15" s="41"/>
      <c r="WSK15" s="41"/>
      <c r="WSL15" s="41"/>
      <c r="WSM15" s="41"/>
      <c r="WSN15" s="41"/>
      <c r="WSO15" s="41"/>
      <c r="WSP15" s="41"/>
      <c r="WSQ15" s="41"/>
      <c r="WSR15" s="41"/>
      <c r="WSS15" s="41"/>
      <c r="WST15" s="41"/>
      <c r="WSU15" s="41"/>
      <c r="WSV15" s="41"/>
      <c r="WSW15" s="41"/>
      <c r="WSX15" s="41"/>
      <c r="WSY15" s="41"/>
      <c r="WSZ15" s="41"/>
      <c r="WTA15" s="41"/>
      <c r="WTB15" s="41"/>
      <c r="WTC15" s="41"/>
      <c r="WTD15" s="41"/>
      <c r="WTE15" s="41"/>
      <c r="WTF15" s="41"/>
      <c r="WTG15" s="41"/>
      <c r="WTH15" s="41"/>
      <c r="WTI15" s="41"/>
      <c r="WTJ15" s="41"/>
      <c r="WTK15" s="41"/>
      <c r="WTL15" s="41"/>
      <c r="WTM15" s="41"/>
      <c r="WTN15" s="41"/>
      <c r="WTO15" s="41"/>
      <c r="WTP15" s="41"/>
      <c r="WTQ15" s="41"/>
      <c r="WTR15" s="41"/>
      <c r="WTS15" s="41"/>
      <c r="WTT15" s="41"/>
      <c r="WTU15" s="41"/>
      <c r="WTV15" s="41"/>
      <c r="WTW15" s="41"/>
      <c r="WTX15" s="41"/>
      <c r="WTY15" s="41"/>
      <c r="WTZ15" s="41"/>
      <c r="WUA15" s="41"/>
      <c r="WUB15" s="41"/>
      <c r="WUC15" s="41"/>
      <c r="WUD15" s="41"/>
      <c r="WUE15" s="41"/>
      <c r="WUF15" s="41"/>
      <c r="WUG15" s="41"/>
      <c r="WUH15" s="41"/>
      <c r="WUI15" s="41"/>
      <c r="WUJ15" s="41"/>
      <c r="WUK15" s="41"/>
      <c r="WUL15" s="41"/>
      <c r="WUM15" s="41"/>
      <c r="WUN15" s="41"/>
      <c r="WUO15" s="41"/>
      <c r="WUP15" s="41"/>
      <c r="WUQ15" s="41"/>
      <c r="WUR15" s="41"/>
      <c r="WUS15" s="41"/>
      <c r="WUT15" s="41"/>
      <c r="WUU15" s="41"/>
      <c r="WUV15" s="41"/>
      <c r="WUW15" s="41"/>
      <c r="WUX15" s="41"/>
      <c r="WUY15" s="41"/>
      <c r="WUZ15" s="41"/>
      <c r="WVA15" s="41"/>
      <c r="WVB15" s="41"/>
      <c r="WVC15" s="41"/>
      <c r="WVD15" s="41"/>
      <c r="WVE15" s="41"/>
      <c r="WVF15" s="41"/>
      <c r="WVG15" s="41"/>
      <c r="WVH15" s="41"/>
      <c r="WVI15" s="41"/>
      <c r="WVJ15" s="41"/>
      <c r="WVK15" s="41"/>
      <c r="WVL15" s="41"/>
      <c r="WVM15" s="41"/>
      <c r="WVN15" s="41"/>
      <c r="WVO15" s="41"/>
      <c r="WVP15" s="41"/>
      <c r="WVQ15" s="41"/>
      <c r="WVR15" s="41"/>
      <c r="WVS15" s="41"/>
      <c r="WVT15" s="41"/>
      <c r="WVU15" s="41"/>
      <c r="WVV15" s="41"/>
      <c r="WVW15" s="41"/>
      <c r="WVX15" s="41"/>
      <c r="WVY15" s="41"/>
      <c r="WVZ15" s="41"/>
      <c r="WWA15" s="41"/>
      <c r="WWB15" s="41"/>
      <c r="WWC15" s="41"/>
      <c r="WWD15" s="41"/>
      <c r="WWE15" s="41"/>
      <c r="WWF15" s="41"/>
      <c r="WWG15" s="41"/>
      <c r="WWH15" s="41"/>
      <c r="WWI15" s="41"/>
      <c r="WWJ15" s="41"/>
      <c r="WWK15" s="41"/>
      <c r="WWL15" s="41"/>
      <c r="WWM15" s="41"/>
      <c r="WWN15" s="41"/>
      <c r="WWO15" s="41"/>
      <c r="WWP15" s="41"/>
      <c r="WWQ15" s="41"/>
      <c r="WWR15" s="41"/>
      <c r="WWS15" s="41"/>
      <c r="WWT15" s="41"/>
      <c r="WWU15" s="41"/>
      <c r="WWV15" s="41"/>
      <c r="WWW15" s="41"/>
      <c r="WWX15" s="41"/>
      <c r="WWY15" s="41"/>
      <c r="WWZ15" s="41"/>
      <c r="WXA15" s="41"/>
      <c r="WXB15" s="41"/>
      <c r="WXC15" s="41"/>
      <c r="WXD15" s="41"/>
      <c r="WXE15" s="41"/>
      <c r="WXF15" s="41"/>
      <c r="WXG15" s="41"/>
      <c r="WXH15" s="41"/>
      <c r="WXI15" s="41"/>
      <c r="WXJ15" s="41"/>
      <c r="WXK15" s="41"/>
      <c r="WXL15" s="41"/>
      <c r="WXM15" s="41"/>
      <c r="WXN15" s="41"/>
      <c r="WXO15" s="41"/>
      <c r="WXP15" s="41"/>
      <c r="WXQ15" s="41"/>
      <c r="WXR15" s="41"/>
      <c r="WXS15" s="41"/>
      <c r="WXT15" s="41"/>
      <c r="WXU15" s="41"/>
      <c r="WXV15" s="41"/>
      <c r="WXW15" s="41"/>
      <c r="WXX15" s="41"/>
      <c r="WXY15" s="41"/>
      <c r="WXZ15" s="41"/>
      <c r="WYA15" s="41"/>
      <c r="WYB15" s="41"/>
      <c r="WYC15" s="41"/>
      <c r="WYD15" s="41"/>
      <c r="WYE15" s="41"/>
      <c r="WYF15" s="41"/>
      <c r="WYG15" s="41"/>
      <c r="WYH15" s="41"/>
      <c r="WYI15" s="41"/>
      <c r="WYJ15" s="41"/>
      <c r="WYK15" s="41"/>
      <c r="WYL15" s="41"/>
      <c r="WYM15" s="41"/>
      <c r="WYN15" s="41"/>
      <c r="WYO15" s="41"/>
      <c r="WYP15" s="41"/>
      <c r="WYQ15" s="41"/>
      <c r="WYR15" s="41"/>
      <c r="WYS15" s="41"/>
      <c r="WYT15" s="41"/>
      <c r="WYU15" s="41"/>
      <c r="WYV15" s="41"/>
      <c r="WYW15" s="41"/>
      <c r="WYX15" s="41"/>
      <c r="WYY15" s="41"/>
      <c r="WYZ15" s="41"/>
      <c r="WZA15" s="41"/>
      <c r="WZB15" s="41"/>
      <c r="WZC15" s="41"/>
      <c r="WZD15" s="41"/>
      <c r="WZE15" s="41"/>
      <c r="WZF15" s="41"/>
      <c r="WZG15" s="41"/>
      <c r="WZH15" s="41"/>
      <c r="WZI15" s="41"/>
      <c r="WZJ15" s="41"/>
      <c r="WZK15" s="41"/>
      <c r="WZL15" s="41"/>
      <c r="WZM15" s="41"/>
      <c r="WZN15" s="41"/>
      <c r="WZO15" s="41"/>
      <c r="WZP15" s="41"/>
      <c r="WZQ15" s="41"/>
      <c r="WZR15" s="41"/>
      <c r="WZS15" s="41"/>
      <c r="WZT15" s="41"/>
      <c r="WZU15" s="41"/>
      <c r="WZV15" s="41"/>
      <c r="WZW15" s="41"/>
      <c r="WZX15" s="41"/>
      <c r="WZY15" s="41"/>
      <c r="WZZ15" s="41"/>
      <c r="XAA15" s="41"/>
      <c r="XAB15" s="41"/>
      <c r="XAC15" s="41"/>
      <c r="XAD15" s="41"/>
      <c r="XAE15" s="41"/>
      <c r="XAF15" s="41"/>
      <c r="XAG15" s="41"/>
      <c r="XAH15" s="41"/>
      <c r="XAI15" s="41"/>
      <c r="XAJ15" s="41"/>
      <c r="XAK15" s="41"/>
      <c r="XAL15" s="41"/>
      <c r="XAM15" s="41"/>
      <c r="XAN15" s="41"/>
      <c r="XAO15" s="41"/>
      <c r="XAP15" s="41"/>
      <c r="XAQ15" s="41"/>
      <c r="XAR15" s="41"/>
      <c r="XAS15" s="41"/>
      <c r="XAT15" s="41"/>
      <c r="XAU15" s="41"/>
      <c r="XAV15" s="41"/>
      <c r="XAW15" s="41"/>
      <c r="XAX15" s="41"/>
      <c r="XAY15" s="41"/>
      <c r="XAZ15" s="41"/>
      <c r="XBA15" s="41"/>
      <c r="XBB15" s="41"/>
      <c r="XBC15" s="41"/>
      <c r="XBD15" s="41"/>
      <c r="XBE15" s="41"/>
      <c r="XBF15" s="41"/>
      <c r="XBG15" s="41"/>
      <c r="XBH15" s="41"/>
      <c r="XBI15" s="41"/>
      <c r="XBJ15" s="41"/>
      <c r="XBK15" s="41"/>
      <c r="XBL15" s="41"/>
      <c r="XBM15" s="41"/>
      <c r="XBN15" s="41"/>
      <c r="XBO15" s="41"/>
      <c r="XBP15" s="41"/>
      <c r="XBQ15" s="41"/>
      <c r="XBR15" s="41"/>
      <c r="XBS15" s="41"/>
      <c r="XBT15" s="41"/>
      <c r="XBU15" s="41"/>
      <c r="XBV15" s="41"/>
      <c r="XBW15" s="41"/>
      <c r="XBX15" s="41"/>
      <c r="XBY15" s="41"/>
      <c r="XBZ15" s="41"/>
      <c r="XCA15" s="41"/>
      <c r="XCB15" s="41"/>
      <c r="XCC15" s="41"/>
      <c r="XCD15" s="41"/>
      <c r="XCE15" s="41"/>
      <c r="XCF15" s="41"/>
      <c r="XCG15" s="41"/>
      <c r="XCH15" s="41"/>
      <c r="XCI15" s="41"/>
      <c r="XCJ15" s="41"/>
      <c r="XCK15" s="41"/>
      <c r="XCL15" s="41"/>
      <c r="XCM15" s="41"/>
      <c r="XCN15" s="41"/>
      <c r="XCO15" s="41"/>
      <c r="XCP15" s="41"/>
      <c r="XCQ15" s="41"/>
      <c r="XCR15" s="41"/>
      <c r="XCS15" s="41"/>
      <c r="XCT15" s="41"/>
      <c r="XCU15" s="41"/>
      <c r="XCV15" s="41"/>
      <c r="XCW15" s="41"/>
      <c r="XCX15" s="41"/>
      <c r="XCY15" s="41"/>
      <c r="XCZ15" s="41"/>
      <c r="XDA15" s="41"/>
      <c r="XDB15" s="41"/>
      <c r="XDC15" s="41"/>
      <c r="XDD15" s="41"/>
      <c r="XDE15" s="41"/>
      <c r="XDF15" s="41"/>
      <c r="XDG15" s="41"/>
      <c r="XDH15" s="41"/>
      <c r="XDI15" s="41"/>
      <c r="XDJ15" s="41"/>
      <c r="XDK15" s="41"/>
      <c r="XDL15" s="41"/>
      <c r="XDM15" s="41"/>
      <c r="XDN15" s="41"/>
      <c r="XDO15" s="41"/>
      <c r="XDP15" s="41"/>
      <c r="XDQ15" s="41"/>
      <c r="XDR15" s="41"/>
      <c r="XDS15" s="41"/>
      <c r="XDT15" s="41"/>
      <c r="XDU15" s="41"/>
      <c r="XDV15" s="41"/>
      <c r="XDW15" s="41"/>
      <c r="XDX15" s="41"/>
      <c r="XDY15" s="41"/>
      <c r="XDZ15" s="41"/>
      <c r="XEA15" s="41"/>
      <c r="XEB15" s="41"/>
      <c r="XEC15" s="41"/>
      <c r="XED15" s="41"/>
      <c r="XEE15" s="41"/>
      <c r="XEF15" s="41"/>
      <c r="XEG15" s="41"/>
      <c r="XEH15" s="41"/>
      <c r="XEI15" s="41"/>
      <c r="XEJ15" s="41"/>
      <c r="XEK15" s="41"/>
      <c r="XEL15" s="41"/>
      <c r="XEM15" s="41"/>
      <c r="XEN15" s="41"/>
      <c r="XEO15" s="41"/>
      <c r="XEP15" s="41"/>
      <c r="XEQ15" s="41"/>
      <c r="XER15" s="41"/>
      <c r="XES15" s="41"/>
      <c r="XET15" s="41"/>
      <c r="XEU15" s="41"/>
      <c r="XEV15" s="41"/>
      <c r="XEW15" s="41"/>
      <c r="XEX15" s="41"/>
      <c r="XEY15" s="41"/>
      <c r="XEZ15" s="41"/>
      <c r="XFA15" s="41"/>
      <c r="XFB15" s="41"/>
      <c r="XFC15" s="41"/>
      <c r="XFD15" s="41"/>
    </row>
    <row r="16" spans="2:16384" s="25" customFormat="1" ht="19.5" customHeight="1" x14ac:dyDescent="0.3">
      <c r="B16" s="42"/>
      <c r="C16" s="42"/>
      <c r="D16" s="42" t="s">
        <v>271</v>
      </c>
      <c r="E16" s="6"/>
      <c r="F16" s="125">
        <v>1750000000</v>
      </c>
      <c r="G16" s="90"/>
      <c r="H16" s="112" t="s">
        <v>290</v>
      </c>
      <c r="I16" s="137">
        <v>0.5</v>
      </c>
      <c r="J16" s="7"/>
      <c r="K16" s="29"/>
      <c r="L16" s="29"/>
      <c r="M16" s="15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140" t="s">
        <v>255</v>
      </c>
      <c r="Y16" s="140"/>
      <c r="Z16" s="90" t="e">
        <f>SUMPRODUCT(Z14:AC14,Z15:AC15)</f>
        <v>#REF!</v>
      </c>
      <c r="AA16" s="90"/>
      <c r="AB16" s="90"/>
      <c r="AC16" s="90"/>
      <c r="AD16" s="90" t="e">
        <f>SUMPRODUCT(AD14:AG14,AD15:AG15)</f>
        <v>#REF!</v>
      </c>
      <c r="AE16" s="90"/>
      <c r="AF16" s="90"/>
      <c r="AG16" s="90"/>
      <c r="AH16" s="90" t="e">
        <f>SUMPRODUCT(AH14:AK14,AH15:AK15)</f>
        <v>#REF!</v>
      </c>
      <c r="AI16" s="90"/>
      <c r="AJ16" s="90"/>
      <c r="AK16" s="90"/>
      <c r="AL16" s="90" t="e">
        <f>SUMPRODUCT(AL14:AO14,AL15:AO15)</f>
        <v>#REF!</v>
      </c>
      <c r="AM16" s="90"/>
      <c r="AN16" s="90"/>
      <c r="AO16" s="90"/>
      <c r="AP16" s="90" t="e">
        <f>SUMPRODUCT(AP14:AS14,AP15:AS15)</f>
        <v>#REF!</v>
      </c>
      <c r="AQ16" s="90"/>
      <c r="AR16" s="90"/>
      <c r="AS16" s="90"/>
      <c r="AT16" s="90" t="e">
        <f>SUMPRODUCT(AT14:AW14,AT15:AW15)</f>
        <v>#REF!</v>
      </c>
      <c r="AU16" s="90"/>
      <c r="AV16" s="90"/>
      <c r="AW16" s="90"/>
      <c r="AX16" s="90" t="e">
        <f>SUMPRODUCT(AX14:BA14,AX15:BA15)</f>
        <v>#REF!</v>
      </c>
      <c r="AY16" s="90"/>
      <c r="AZ16" s="90"/>
      <c r="BA16" s="90"/>
      <c r="BB16" s="90" t="e">
        <f>SUMPRODUCT(BB14:BE14,BB15:BE15)</f>
        <v>#REF!</v>
      </c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  <c r="AFJ16" s="41"/>
      <c r="AFK16" s="41"/>
      <c r="AFL16" s="41"/>
      <c r="AFM16" s="41"/>
      <c r="AFN16" s="41"/>
      <c r="AFO16" s="41"/>
      <c r="AFP16" s="41"/>
      <c r="AFQ16" s="41"/>
      <c r="AFR16" s="41"/>
      <c r="AFS16" s="41"/>
      <c r="AFT16" s="41"/>
      <c r="AFU16" s="41"/>
      <c r="AFV16" s="41"/>
      <c r="AFW16" s="41"/>
      <c r="AFX16" s="41"/>
      <c r="AFY16" s="41"/>
      <c r="AFZ16" s="41"/>
      <c r="AGA16" s="41"/>
      <c r="AGB16" s="41"/>
      <c r="AGC16" s="41"/>
      <c r="AGD16" s="41"/>
      <c r="AGE16" s="41"/>
      <c r="AGF16" s="41"/>
      <c r="AGG16" s="41"/>
      <c r="AGH16" s="41"/>
      <c r="AGI16" s="41"/>
      <c r="AGJ16" s="41"/>
      <c r="AGK16" s="41"/>
      <c r="AGL16" s="41"/>
      <c r="AGM16" s="41"/>
      <c r="AGN16" s="41"/>
      <c r="AGO16" s="41"/>
      <c r="AGP16" s="41"/>
      <c r="AGQ16" s="41"/>
      <c r="AGR16" s="41"/>
      <c r="AGS16" s="41"/>
      <c r="AGT16" s="41"/>
      <c r="AGU16" s="41"/>
      <c r="AGV16" s="41"/>
      <c r="AGW16" s="41"/>
      <c r="AGX16" s="41"/>
      <c r="AGY16" s="41"/>
      <c r="AGZ16" s="41"/>
      <c r="AHA16" s="41"/>
      <c r="AHB16" s="41"/>
      <c r="AHC16" s="41"/>
      <c r="AHD16" s="41"/>
      <c r="AHE16" s="41"/>
      <c r="AHF16" s="41"/>
      <c r="AHG16" s="41"/>
      <c r="AHH16" s="41"/>
      <c r="AHI16" s="41"/>
      <c r="AHJ16" s="41"/>
      <c r="AHK16" s="41"/>
      <c r="AHL16" s="41"/>
      <c r="AHM16" s="41"/>
      <c r="AHN16" s="41"/>
      <c r="AHO16" s="41"/>
      <c r="AHP16" s="41"/>
      <c r="AHQ16" s="41"/>
      <c r="AHR16" s="41"/>
      <c r="AHS16" s="41"/>
      <c r="AHT16" s="41"/>
      <c r="AHU16" s="41"/>
      <c r="AHV16" s="41"/>
      <c r="AHW16" s="41"/>
      <c r="AHX16" s="41"/>
      <c r="AHY16" s="41"/>
      <c r="AHZ16" s="41"/>
      <c r="AIA16" s="41"/>
      <c r="AIB16" s="41"/>
      <c r="AIC16" s="41"/>
      <c r="AID16" s="41"/>
      <c r="AIE16" s="41"/>
      <c r="AIF16" s="41"/>
      <c r="AIG16" s="41"/>
      <c r="AIH16" s="41"/>
      <c r="AII16" s="41"/>
      <c r="AIJ16" s="41"/>
      <c r="AIK16" s="41"/>
      <c r="AIL16" s="41"/>
      <c r="AIM16" s="41"/>
      <c r="AIN16" s="41"/>
      <c r="AIO16" s="41"/>
      <c r="AIP16" s="41"/>
      <c r="AIQ16" s="41"/>
      <c r="AIR16" s="41"/>
      <c r="AIS16" s="41"/>
      <c r="AIT16" s="41"/>
      <c r="AIU16" s="41"/>
      <c r="AIV16" s="41"/>
      <c r="AIW16" s="41"/>
      <c r="AIX16" s="41"/>
      <c r="AIY16" s="41"/>
      <c r="AIZ16" s="41"/>
      <c r="AJA16" s="41"/>
      <c r="AJB16" s="41"/>
      <c r="AJC16" s="41"/>
      <c r="AJD16" s="41"/>
      <c r="AJE16" s="41"/>
      <c r="AJF16" s="41"/>
      <c r="AJG16" s="41"/>
      <c r="AJH16" s="41"/>
      <c r="AJI16" s="41"/>
      <c r="AJJ16" s="41"/>
      <c r="AJK16" s="41"/>
      <c r="AJL16" s="41"/>
      <c r="AJM16" s="41"/>
      <c r="AJN16" s="41"/>
      <c r="AJO16" s="41"/>
      <c r="AJP16" s="41"/>
      <c r="AJQ16" s="41"/>
      <c r="AJR16" s="41"/>
      <c r="AJS16" s="41"/>
      <c r="AJT16" s="41"/>
      <c r="AJU16" s="41"/>
      <c r="AJV16" s="41"/>
      <c r="AJW16" s="41"/>
      <c r="AJX16" s="41"/>
      <c r="AJY16" s="41"/>
      <c r="AJZ16" s="41"/>
      <c r="AKA16" s="41"/>
      <c r="AKB16" s="41"/>
      <c r="AKC16" s="41"/>
      <c r="AKD16" s="41"/>
      <c r="AKE16" s="41"/>
      <c r="AKF16" s="41"/>
      <c r="AKG16" s="41"/>
      <c r="AKH16" s="41"/>
      <c r="AKI16" s="41"/>
      <c r="AKJ16" s="41"/>
      <c r="AKK16" s="41"/>
      <c r="AKL16" s="41"/>
      <c r="AKM16" s="41"/>
      <c r="AKN16" s="41"/>
      <c r="AKO16" s="41"/>
      <c r="AKP16" s="41"/>
      <c r="AKQ16" s="41"/>
      <c r="AKR16" s="41"/>
      <c r="AKS16" s="41"/>
      <c r="AKT16" s="41"/>
      <c r="AKU16" s="41"/>
      <c r="AKV16" s="41"/>
      <c r="AKW16" s="41"/>
      <c r="AKX16" s="41"/>
      <c r="AKY16" s="41"/>
      <c r="AKZ16" s="41"/>
      <c r="ALA16" s="41"/>
      <c r="ALB16" s="41"/>
      <c r="ALC16" s="41"/>
      <c r="ALD16" s="41"/>
      <c r="ALE16" s="41"/>
      <c r="ALF16" s="41"/>
      <c r="ALG16" s="41"/>
      <c r="ALH16" s="41"/>
      <c r="ALI16" s="41"/>
      <c r="ALJ16" s="41"/>
      <c r="ALK16" s="41"/>
      <c r="ALL16" s="41"/>
      <c r="ALM16" s="41"/>
      <c r="ALN16" s="41"/>
      <c r="ALO16" s="41"/>
      <c r="ALP16" s="41"/>
      <c r="ALQ16" s="41"/>
      <c r="ALR16" s="41"/>
      <c r="ALS16" s="41"/>
      <c r="ALT16" s="41"/>
      <c r="ALU16" s="41"/>
      <c r="ALV16" s="41"/>
      <c r="ALW16" s="41"/>
      <c r="ALX16" s="41"/>
      <c r="ALY16" s="41"/>
      <c r="ALZ16" s="41"/>
      <c r="AMA16" s="41"/>
      <c r="AMB16" s="41"/>
      <c r="AMC16" s="41"/>
      <c r="AMD16" s="41"/>
      <c r="AME16" s="41"/>
      <c r="AMF16" s="41"/>
      <c r="AMG16" s="41"/>
      <c r="AMH16" s="41"/>
      <c r="AMI16" s="41"/>
      <c r="AMJ16" s="41"/>
      <c r="AMK16" s="41"/>
      <c r="AML16" s="41"/>
      <c r="AMM16" s="41"/>
      <c r="AMN16" s="41"/>
      <c r="AMO16" s="41"/>
      <c r="AMP16" s="41"/>
      <c r="AMQ16" s="41"/>
      <c r="AMR16" s="41"/>
      <c r="AMS16" s="41"/>
      <c r="AMT16" s="41"/>
      <c r="AMU16" s="41"/>
      <c r="AMV16" s="41"/>
      <c r="AMW16" s="41"/>
      <c r="AMX16" s="41"/>
      <c r="AMY16" s="41"/>
      <c r="AMZ16" s="41"/>
      <c r="ANA16" s="41"/>
      <c r="ANB16" s="41"/>
      <c r="ANC16" s="41"/>
      <c r="AND16" s="41"/>
      <c r="ANE16" s="41"/>
      <c r="ANF16" s="41"/>
      <c r="ANG16" s="41"/>
      <c r="ANH16" s="41"/>
      <c r="ANI16" s="41"/>
      <c r="ANJ16" s="41"/>
      <c r="ANK16" s="41"/>
      <c r="ANL16" s="41"/>
      <c r="ANM16" s="41"/>
      <c r="ANN16" s="41"/>
      <c r="ANO16" s="41"/>
      <c r="ANP16" s="41"/>
      <c r="ANQ16" s="41"/>
      <c r="ANR16" s="41"/>
      <c r="ANS16" s="41"/>
      <c r="ANT16" s="41"/>
      <c r="ANU16" s="41"/>
      <c r="ANV16" s="41"/>
      <c r="ANW16" s="41"/>
      <c r="ANX16" s="41"/>
      <c r="ANY16" s="41"/>
      <c r="ANZ16" s="41"/>
      <c r="AOA16" s="41"/>
      <c r="AOB16" s="41"/>
      <c r="AOC16" s="41"/>
      <c r="AOD16" s="41"/>
      <c r="AOE16" s="41"/>
      <c r="AOF16" s="41"/>
      <c r="AOG16" s="41"/>
      <c r="AOH16" s="41"/>
      <c r="AOI16" s="41"/>
      <c r="AOJ16" s="41"/>
      <c r="AOK16" s="41"/>
      <c r="AOL16" s="41"/>
      <c r="AOM16" s="41"/>
      <c r="AON16" s="41"/>
      <c r="AOO16" s="41"/>
      <c r="AOP16" s="41"/>
      <c r="AOQ16" s="41"/>
      <c r="AOR16" s="41"/>
      <c r="AOS16" s="41"/>
      <c r="AOT16" s="41"/>
      <c r="AOU16" s="41"/>
      <c r="AOV16" s="41"/>
      <c r="AOW16" s="41"/>
      <c r="AOX16" s="41"/>
      <c r="AOY16" s="41"/>
      <c r="AOZ16" s="41"/>
      <c r="APA16" s="41"/>
      <c r="APB16" s="41"/>
      <c r="APC16" s="41"/>
      <c r="APD16" s="41"/>
      <c r="APE16" s="41"/>
      <c r="APF16" s="41"/>
      <c r="APG16" s="41"/>
      <c r="APH16" s="41"/>
      <c r="API16" s="41"/>
      <c r="APJ16" s="41"/>
      <c r="APK16" s="41"/>
      <c r="APL16" s="41"/>
      <c r="APM16" s="41"/>
      <c r="APN16" s="41"/>
      <c r="APO16" s="41"/>
      <c r="APP16" s="41"/>
      <c r="APQ16" s="41"/>
      <c r="APR16" s="41"/>
      <c r="APS16" s="41"/>
      <c r="APT16" s="41"/>
      <c r="APU16" s="41"/>
      <c r="APV16" s="41"/>
      <c r="APW16" s="41"/>
      <c r="APX16" s="41"/>
      <c r="APY16" s="41"/>
      <c r="APZ16" s="41"/>
      <c r="AQA16" s="41"/>
      <c r="AQB16" s="41"/>
      <c r="AQC16" s="41"/>
      <c r="AQD16" s="41"/>
      <c r="AQE16" s="41"/>
      <c r="AQF16" s="41"/>
      <c r="AQG16" s="41"/>
      <c r="AQH16" s="41"/>
      <c r="AQI16" s="41"/>
      <c r="AQJ16" s="41"/>
      <c r="AQK16" s="41"/>
      <c r="AQL16" s="41"/>
      <c r="AQM16" s="41"/>
      <c r="AQN16" s="41"/>
      <c r="AQO16" s="41"/>
      <c r="AQP16" s="41"/>
      <c r="AQQ16" s="41"/>
      <c r="AQR16" s="41"/>
      <c r="AQS16" s="41"/>
      <c r="AQT16" s="41"/>
      <c r="AQU16" s="41"/>
      <c r="AQV16" s="41"/>
      <c r="AQW16" s="41"/>
      <c r="AQX16" s="41"/>
      <c r="AQY16" s="41"/>
      <c r="AQZ16" s="41"/>
      <c r="ARA16" s="41"/>
      <c r="ARB16" s="41"/>
      <c r="ARC16" s="41"/>
      <c r="ARD16" s="41"/>
      <c r="ARE16" s="41"/>
      <c r="ARF16" s="41"/>
      <c r="ARG16" s="41"/>
      <c r="ARH16" s="41"/>
      <c r="ARI16" s="41"/>
      <c r="ARJ16" s="41"/>
      <c r="ARK16" s="41"/>
      <c r="ARL16" s="41"/>
      <c r="ARM16" s="41"/>
      <c r="ARN16" s="41"/>
      <c r="ARO16" s="41"/>
      <c r="ARP16" s="41"/>
      <c r="ARQ16" s="41"/>
      <c r="ARR16" s="41"/>
      <c r="ARS16" s="41"/>
      <c r="ART16" s="41"/>
      <c r="ARU16" s="41"/>
      <c r="ARV16" s="41"/>
      <c r="ARW16" s="41"/>
      <c r="ARX16" s="41"/>
      <c r="ARY16" s="41"/>
      <c r="ARZ16" s="41"/>
      <c r="ASA16" s="41"/>
      <c r="ASB16" s="41"/>
      <c r="ASC16" s="41"/>
      <c r="ASD16" s="41"/>
      <c r="ASE16" s="41"/>
      <c r="ASF16" s="41"/>
      <c r="ASG16" s="41"/>
      <c r="ASH16" s="41"/>
      <c r="ASI16" s="41"/>
      <c r="ASJ16" s="41"/>
      <c r="ASK16" s="41"/>
      <c r="ASL16" s="41"/>
      <c r="ASM16" s="41"/>
      <c r="ASN16" s="41"/>
      <c r="ASO16" s="41"/>
      <c r="ASP16" s="41"/>
      <c r="ASQ16" s="41"/>
      <c r="ASR16" s="41"/>
      <c r="ASS16" s="41"/>
      <c r="AST16" s="41"/>
      <c r="ASU16" s="41"/>
      <c r="ASV16" s="41"/>
      <c r="ASW16" s="41"/>
      <c r="ASX16" s="41"/>
      <c r="ASY16" s="41"/>
      <c r="ASZ16" s="41"/>
      <c r="ATA16" s="41"/>
      <c r="ATB16" s="41"/>
      <c r="ATC16" s="41"/>
      <c r="ATD16" s="41"/>
      <c r="ATE16" s="41"/>
      <c r="ATF16" s="41"/>
      <c r="ATG16" s="41"/>
      <c r="ATH16" s="41"/>
      <c r="ATI16" s="41"/>
      <c r="ATJ16" s="41"/>
      <c r="ATK16" s="41"/>
      <c r="ATL16" s="41"/>
      <c r="ATM16" s="41"/>
      <c r="ATN16" s="41"/>
      <c r="ATO16" s="41"/>
      <c r="ATP16" s="41"/>
      <c r="ATQ16" s="41"/>
      <c r="ATR16" s="41"/>
      <c r="ATS16" s="41"/>
      <c r="ATT16" s="41"/>
      <c r="ATU16" s="41"/>
      <c r="ATV16" s="41"/>
      <c r="ATW16" s="41"/>
      <c r="ATX16" s="41"/>
      <c r="ATY16" s="41"/>
      <c r="ATZ16" s="41"/>
      <c r="AUA16" s="41"/>
      <c r="AUB16" s="41"/>
      <c r="AUC16" s="41"/>
      <c r="AUD16" s="41"/>
      <c r="AUE16" s="41"/>
      <c r="AUF16" s="41"/>
      <c r="AUG16" s="41"/>
      <c r="AUH16" s="41"/>
      <c r="AUI16" s="41"/>
      <c r="AUJ16" s="41"/>
      <c r="AUK16" s="41"/>
      <c r="AUL16" s="41"/>
      <c r="AUM16" s="41"/>
      <c r="AUN16" s="41"/>
      <c r="AUO16" s="41"/>
      <c r="AUP16" s="41"/>
      <c r="AUQ16" s="41"/>
      <c r="AUR16" s="41"/>
      <c r="AUS16" s="41"/>
      <c r="AUT16" s="41"/>
      <c r="AUU16" s="41"/>
      <c r="AUV16" s="41"/>
      <c r="AUW16" s="41"/>
      <c r="AUX16" s="41"/>
      <c r="AUY16" s="41"/>
      <c r="AUZ16" s="41"/>
      <c r="AVA16" s="41"/>
      <c r="AVB16" s="41"/>
      <c r="AVC16" s="41"/>
      <c r="AVD16" s="41"/>
      <c r="AVE16" s="41"/>
      <c r="AVF16" s="41"/>
      <c r="AVG16" s="41"/>
      <c r="AVH16" s="41"/>
      <c r="AVI16" s="41"/>
      <c r="AVJ16" s="41"/>
      <c r="AVK16" s="41"/>
      <c r="AVL16" s="41"/>
      <c r="AVM16" s="41"/>
      <c r="AVN16" s="41"/>
      <c r="AVO16" s="41"/>
      <c r="AVP16" s="41"/>
      <c r="AVQ16" s="41"/>
      <c r="AVR16" s="41"/>
      <c r="AVS16" s="41"/>
      <c r="AVT16" s="41"/>
      <c r="AVU16" s="41"/>
      <c r="AVV16" s="41"/>
      <c r="AVW16" s="41"/>
      <c r="AVX16" s="41"/>
      <c r="AVY16" s="41"/>
      <c r="AVZ16" s="41"/>
      <c r="AWA16" s="41"/>
      <c r="AWB16" s="41"/>
      <c r="AWC16" s="41"/>
      <c r="AWD16" s="41"/>
      <c r="AWE16" s="41"/>
      <c r="AWF16" s="41"/>
      <c r="AWG16" s="41"/>
      <c r="AWH16" s="41"/>
      <c r="AWI16" s="41"/>
      <c r="AWJ16" s="41"/>
      <c r="AWK16" s="41"/>
      <c r="AWL16" s="41"/>
      <c r="AWM16" s="41"/>
      <c r="AWN16" s="41"/>
      <c r="AWO16" s="41"/>
      <c r="AWP16" s="41"/>
      <c r="AWQ16" s="41"/>
      <c r="AWR16" s="41"/>
      <c r="AWS16" s="41"/>
      <c r="AWT16" s="41"/>
      <c r="AWU16" s="41"/>
      <c r="AWV16" s="41"/>
      <c r="AWW16" s="41"/>
      <c r="AWX16" s="41"/>
      <c r="AWY16" s="41"/>
      <c r="AWZ16" s="41"/>
      <c r="AXA16" s="41"/>
      <c r="AXB16" s="41"/>
      <c r="AXC16" s="41"/>
      <c r="AXD16" s="41"/>
      <c r="AXE16" s="41"/>
      <c r="AXF16" s="41"/>
      <c r="AXG16" s="41"/>
      <c r="AXH16" s="41"/>
      <c r="AXI16" s="41"/>
      <c r="AXJ16" s="41"/>
      <c r="AXK16" s="41"/>
      <c r="AXL16" s="41"/>
      <c r="AXM16" s="41"/>
      <c r="AXN16" s="41"/>
      <c r="AXO16" s="41"/>
      <c r="AXP16" s="41"/>
      <c r="AXQ16" s="41"/>
      <c r="AXR16" s="41"/>
      <c r="AXS16" s="41"/>
      <c r="AXT16" s="41"/>
      <c r="AXU16" s="41"/>
      <c r="AXV16" s="41"/>
      <c r="AXW16" s="41"/>
      <c r="AXX16" s="41"/>
      <c r="AXY16" s="41"/>
      <c r="AXZ16" s="41"/>
      <c r="AYA16" s="41"/>
      <c r="AYB16" s="41"/>
      <c r="AYC16" s="41"/>
      <c r="AYD16" s="41"/>
      <c r="AYE16" s="41"/>
      <c r="AYF16" s="41"/>
      <c r="AYG16" s="41"/>
      <c r="AYH16" s="41"/>
      <c r="AYI16" s="41"/>
      <c r="AYJ16" s="41"/>
      <c r="AYK16" s="41"/>
      <c r="AYL16" s="41"/>
      <c r="AYM16" s="41"/>
      <c r="AYN16" s="41"/>
      <c r="AYO16" s="41"/>
      <c r="AYP16" s="41"/>
      <c r="AYQ16" s="41"/>
      <c r="AYR16" s="41"/>
      <c r="AYS16" s="41"/>
      <c r="AYT16" s="41"/>
      <c r="AYU16" s="41"/>
      <c r="AYV16" s="41"/>
      <c r="AYW16" s="41"/>
      <c r="AYX16" s="41"/>
      <c r="AYY16" s="41"/>
      <c r="AYZ16" s="41"/>
      <c r="AZA16" s="41"/>
      <c r="AZB16" s="41"/>
      <c r="AZC16" s="41"/>
      <c r="AZD16" s="41"/>
      <c r="AZE16" s="41"/>
      <c r="AZF16" s="41"/>
      <c r="AZG16" s="41"/>
      <c r="AZH16" s="41"/>
      <c r="AZI16" s="41"/>
      <c r="AZJ16" s="41"/>
      <c r="AZK16" s="41"/>
      <c r="AZL16" s="41"/>
      <c r="AZM16" s="41"/>
      <c r="AZN16" s="41"/>
      <c r="AZO16" s="41"/>
      <c r="AZP16" s="41"/>
      <c r="AZQ16" s="41"/>
      <c r="AZR16" s="41"/>
      <c r="AZS16" s="41"/>
      <c r="AZT16" s="41"/>
      <c r="AZU16" s="41"/>
      <c r="AZV16" s="41"/>
      <c r="AZW16" s="41"/>
      <c r="AZX16" s="41"/>
      <c r="AZY16" s="41"/>
      <c r="AZZ16" s="41"/>
      <c r="BAA16" s="41"/>
      <c r="BAB16" s="41"/>
      <c r="BAC16" s="41"/>
      <c r="BAD16" s="41"/>
      <c r="BAE16" s="41"/>
      <c r="BAF16" s="41"/>
      <c r="BAG16" s="41"/>
      <c r="BAH16" s="41"/>
      <c r="BAI16" s="41"/>
      <c r="BAJ16" s="41"/>
      <c r="BAK16" s="41"/>
      <c r="BAL16" s="41"/>
      <c r="BAM16" s="41"/>
      <c r="BAN16" s="41"/>
      <c r="BAO16" s="41"/>
      <c r="BAP16" s="41"/>
      <c r="BAQ16" s="41"/>
      <c r="BAR16" s="41"/>
      <c r="BAS16" s="41"/>
      <c r="BAT16" s="41"/>
      <c r="BAU16" s="41"/>
      <c r="BAV16" s="41"/>
      <c r="BAW16" s="41"/>
      <c r="BAX16" s="41"/>
      <c r="BAY16" s="41"/>
      <c r="BAZ16" s="41"/>
      <c r="BBA16" s="41"/>
      <c r="BBB16" s="41"/>
      <c r="BBC16" s="41"/>
      <c r="BBD16" s="41"/>
      <c r="BBE16" s="41"/>
      <c r="BBF16" s="41"/>
      <c r="BBG16" s="41"/>
      <c r="BBH16" s="41"/>
      <c r="BBI16" s="41"/>
      <c r="BBJ16" s="41"/>
      <c r="BBK16" s="41"/>
      <c r="BBL16" s="41"/>
      <c r="BBM16" s="41"/>
      <c r="BBN16" s="41"/>
      <c r="BBO16" s="41"/>
      <c r="BBP16" s="41"/>
      <c r="BBQ16" s="41"/>
      <c r="BBR16" s="41"/>
      <c r="BBS16" s="41"/>
      <c r="BBT16" s="41"/>
      <c r="BBU16" s="41"/>
      <c r="BBV16" s="41"/>
      <c r="BBW16" s="41"/>
      <c r="BBX16" s="41"/>
      <c r="BBY16" s="41"/>
      <c r="BBZ16" s="41"/>
      <c r="BCA16" s="41"/>
      <c r="BCB16" s="41"/>
      <c r="BCC16" s="41"/>
      <c r="BCD16" s="41"/>
      <c r="BCE16" s="41"/>
      <c r="BCF16" s="41"/>
      <c r="BCG16" s="41"/>
      <c r="BCH16" s="41"/>
      <c r="BCI16" s="41"/>
      <c r="BCJ16" s="41"/>
      <c r="BCK16" s="41"/>
      <c r="BCL16" s="41"/>
      <c r="BCM16" s="41"/>
      <c r="BCN16" s="41"/>
      <c r="BCO16" s="41"/>
      <c r="BCP16" s="41"/>
      <c r="BCQ16" s="41"/>
      <c r="BCR16" s="41"/>
      <c r="BCS16" s="41"/>
      <c r="BCT16" s="41"/>
      <c r="BCU16" s="41"/>
      <c r="BCV16" s="41"/>
      <c r="BCW16" s="41"/>
      <c r="BCX16" s="41"/>
      <c r="BCY16" s="41"/>
      <c r="BCZ16" s="41"/>
      <c r="BDA16" s="41"/>
      <c r="BDB16" s="41"/>
      <c r="BDC16" s="41"/>
      <c r="BDD16" s="41"/>
      <c r="BDE16" s="41"/>
      <c r="BDF16" s="41"/>
      <c r="BDG16" s="41"/>
      <c r="BDH16" s="41"/>
      <c r="BDI16" s="41"/>
      <c r="BDJ16" s="41"/>
      <c r="BDK16" s="41"/>
      <c r="BDL16" s="41"/>
      <c r="BDM16" s="41"/>
      <c r="BDN16" s="41"/>
      <c r="BDO16" s="41"/>
      <c r="BDP16" s="41"/>
      <c r="BDQ16" s="41"/>
      <c r="BDR16" s="41"/>
      <c r="BDS16" s="41"/>
      <c r="BDT16" s="41"/>
      <c r="BDU16" s="41"/>
      <c r="BDV16" s="41"/>
      <c r="BDW16" s="41"/>
      <c r="BDX16" s="41"/>
      <c r="BDY16" s="41"/>
      <c r="BDZ16" s="41"/>
      <c r="BEA16" s="41"/>
      <c r="BEB16" s="41"/>
      <c r="BEC16" s="41"/>
      <c r="BED16" s="41"/>
      <c r="BEE16" s="41"/>
      <c r="BEF16" s="41"/>
      <c r="BEG16" s="41"/>
      <c r="BEH16" s="41"/>
      <c r="BEI16" s="41"/>
      <c r="BEJ16" s="41"/>
      <c r="BEK16" s="41"/>
      <c r="BEL16" s="41"/>
      <c r="BEM16" s="41"/>
      <c r="BEN16" s="41"/>
      <c r="BEO16" s="41"/>
      <c r="BEP16" s="41"/>
      <c r="BEQ16" s="41"/>
      <c r="BER16" s="41"/>
      <c r="BES16" s="41"/>
      <c r="BET16" s="41"/>
      <c r="BEU16" s="41"/>
      <c r="BEV16" s="41"/>
      <c r="BEW16" s="41"/>
      <c r="BEX16" s="41"/>
      <c r="BEY16" s="41"/>
      <c r="BEZ16" s="41"/>
      <c r="BFA16" s="41"/>
      <c r="BFB16" s="41"/>
      <c r="BFC16" s="41"/>
      <c r="BFD16" s="41"/>
      <c r="BFE16" s="41"/>
      <c r="BFF16" s="41"/>
      <c r="BFG16" s="41"/>
      <c r="BFH16" s="41"/>
      <c r="BFI16" s="41"/>
      <c r="BFJ16" s="41"/>
      <c r="BFK16" s="41"/>
      <c r="BFL16" s="41"/>
      <c r="BFM16" s="41"/>
      <c r="BFN16" s="41"/>
      <c r="BFO16" s="41"/>
      <c r="BFP16" s="41"/>
      <c r="BFQ16" s="41"/>
      <c r="BFR16" s="41"/>
      <c r="BFS16" s="41"/>
      <c r="BFT16" s="41"/>
      <c r="BFU16" s="41"/>
      <c r="BFV16" s="41"/>
      <c r="BFW16" s="41"/>
      <c r="BFX16" s="41"/>
      <c r="BFY16" s="41"/>
      <c r="BFZ16" s="41"/>
      <c r="BGA16" s="41"/>
      <c r="BGB16" s="41"/>
      <c r="BGC16" s="41"/>
      <c r="BGD16" s="41"/>
      <c r="BGE16" s="41"/>
      <c r="BGF16" s="41"/>
      <c r="BGG16" s="41"/>
      <c r="BGH16" s="41"/>
      <c r="BGI16" s="41"/>
      <c r="BGJ16" s="41"/>
      <c r="BGK16" s="41"/>
      <c r="BGL16" s="41"/>
      <c r="BGM16" s="41"/>
      <c r="BGN16" s="41"/>
      <c r="BGO16" s="41"/>
      <c r="BGP16" s="41"/>
      <c r="BGQ16" s="41"/>
      <c r="BGR16" s="41"/>
      <c r="BGS16" s="41"/>
      <c r="BGT16" s="41"/>
      <c r="BGU16" s="41"/>
      <c r="BGV16" s="41"/>
      <c r="BGW16" s="41"/>
      <c r="BGX16" s="41"/>
      <c r="BGY16" s="41"/>
      <c r="BGZ16" s="41"/>
      <c r="BHA16" s="41"/>
      <c r="BHB16" s="41"/>
      <c r="BHC16" s="41"/>
      <c r="BHD16" s="41"/>
      <c r="BHE16" s="41"/>
      <c r="BHF16" s="41"/>
      <c r="BHG16" s="41"/>
      <c r="BHH16" s="41"/>
      <c r="BHI16" s="41"/>
      <c r="BHJ16" s="41"/>
      <c r="BHK16" s="41"/>
      <c r="BHL16" s="41"/>
      <c r="BHM16" s="41"/>
      <c r="BHN16" s="41"/>
      <c r="BHO16" s="41"/>
      <c r="BHP16" s="41"/>
      <c r="BHQ16" s="41"/>
      <c r="BHR16" s="41"/>
      <c r="BHS16" s="41"/>
      <c r="BHT16" s="41"/>
      <c r="BHU16" s="41"/>
      <c r="BHV16" s="41"/>
      <c r="BHW16" s="41"/>
      <c r="BHX16" s="41"/>
      <c r="BHY16" s="41"/>
      <c r="BHZ16" s="41"/>
      <c r="BIA16" s="41"/>
      <c r="BIB16" s="41"/>
      <c r="BIC16" s="41"/>
      <c r="BID16" s="41"/>
      <c r="BIE16" s="41"/>
      <c r="BIF16" s="41"/>
      <c r="BIG16" s="41"/>
      <c r="BIH16" s="41"/>
      <c r="BII16" s="41"/>
      <c r="BIJ16" s="41"/>
      <c r="BIK16" s="41"/>
      <c r="BIL16" s="41"/>
      <c r="BIM16" s="41"/>
      <c r="BIN16" s="41"/>
      <c r="BIO16" s="41"/>
      <c r="BIP16" s="41"/>
      <c r="BIQ16" s="41"/>
      <c r="BIR16" s="41"/>
      <c r="BIS16" s="41"/>
      <c r="BIT16" s="41"/>
      <c r="BIU16" s="41"/>
      <c r="BIV16" s="41"/>
      <c r="BIW16" s="41"/>
      <c r="BIX16" s="41"/>
      <c r="BIY16" s="41"/>
      <c r="BIZ16" s="41"/>
      <c r="BJA16" s="41"/>
      <c r="BJB16" s="41"/>
      <c r="BJC16" s="41"/>
      <c r="BJD16" s="41"/>
      <c r="BJE16" s="41"/>
      <c r="BJF16" s="41"/>
      <c r="BJG16" s="41"/>
      <c r="BJH16" s="41"/>
      <c r="BJI16" s="41"/>
      <c r="BJJ16" s="41"/>
      <c r="BJK16" s="41"/>
      <c r="BJL16" s="41"/>
      <c r="BJM16" s="41"/>
      <c r="BJN16" s="41"/>
      <c r="BJO16" s="41"/>
      <c r="BJP16" s="41"/>
      <c r="BJQ16" s="41"/>
      <c r="BJR16" s="41"/>
      <c r="BJS16" s="41"/>
      <c r="BJT16" s="41"/>
      <c r="BJU16" s="41"/>
      <c r="BJV16" s="41"/>
      <c r="BJW16" s="41"/>
      <c r="BJX16" s="41"/>
      <c r="BJY16" s="41"/>
      <c r="BJZ16" s="41"/>
      <c r="BKA16" s="41"/>
      <c r="BKB16" s="41"/>
      <c r="BKC16" s="41"/>
      <c r="BKD16" s="41"/>
      <c r="BKE16" s="41"/>
      <c r="BKF16" s="41"/>
      <c r="BKG16" s="41"/>
      <c r="BKH16" s="41"/>
      <c r="BKI16" s="41"/>
      <c r="BKJ16" s="41"/>
      <c r="BKK16" s="41"/>
      <c r="BKL16" s="41"/>
      <c r="BKM16" s="41"/>
      <c r="BKN16" s="41"/>
      <c r="BKO16" s="41"/>
      <c r="BKP16" s="41"/>
      <c r="BKQ16" s="41"/>
      <c r="BKR16" s="41"/>
      <c r="BKS16" s="41"/>
      <c r="BKT16" s="41"/>
      <c r="BKU16" s="41"/>
      <c r="BKV16" s="41"/>
      <c r="BKW16" s="41"/>
      <c r="BKX16" s="41"/>
      <c r="BKY16" s="41"/>
      <c r="BKZ16" s="41"/>
      <c r="BLA16" s="41"/>
      <c r="BLB16" s="41"/>
      <c r="BLC16" s="41"/>
      <c r="BLD16" s="41"/>
      <c r="BLE16" s="41"/>
      <c r="BLF16" s="41"/>
      <c r="BLG16" s="41"/>
      <c r="BLH16" s="41"/>
      <c r="BLI16" s="41"/>
      <c r="BLJ16" s="41"/>
      <c r="BLK16" s="41"/>
      <c r="BLL16" s="41"/>
      <c r="BLM16" s="41"/>
      <c r="BLN16" s="41"/>
      <c r="BLO16" s="41"/>
      <c r="BLP16" s="41"/>
      <c r="BLQ16" s="41"/>
      <c r="BLR16" s="41"/>
      <c r="BLS16" s="41"/>
      <c r="BLT16" s="41"/>
      <c r="BLU16" s="41"/>
      <c r="BLV16" s="41"/>
      <c r="BLW16" s="41"/>
      <c r="BLX16" s="41"/>
      <c r="BLY16" s="41"/>
      <c r="BLZ16" s="41"/>
      <c r="BMA16" s="41"/>
      <c r="BMB16" s="41"/>
      <c r="BMC16" s="41"/>
      <c r="BMD16" s="41"/>
      <c r="BME16" s="41"/>
      <c r="BMF16" s="41"/>
      <c r="BMG16" s="41"/>
      <c r="BMH16" s="41"/>
      <c r="BMI16" s="41"/>
      <c r="BMJ16" s="41"/>
      <c r="BMK16" s="41"/>
      <c r="BML16" s="41"/>
      <c r="BMM16" s="41"/>
      <c r="BMN16" s="41"/>
      <c r="BMO16" s="41"/>
      <c r="BMP16" s="41"/>
      <c r="BMQ16" s="41"/>
      <c r="BMR16" s="41"/>
      <c r="BMS16" s="41"/>
      <c r="BMT16" s="41"/>
      <c r="BMU16" s="41"/>
      <c r="BMV16" s="41"/>
      <c r="BMW16" s="41"/>
      <c r="BMX16" s="41"/>
      <c r="BMY16" s="41"/>
      <c r="BMZ16" s="41"/>
      <c r="BNA16" s="41"/>
      <c r="BNB16" s="41"/>
      <c r="BNC16" s="41"/>
      <c r="BND16" s="41"/>
      <c r="BNE16" s="41"/>
      <c r="BNF16" s="41"/>
      <c r="BNG16" s="41"/>
      <c r="BNH16" s="41"/>
      <c r="BNI16" s="41"/>
      <c r="BNJ16" s="41"/>
      <c r="BNK16" s="41"/>
      <c r="BNL16" s="41"/>
      <c r="BNM16" s="41"/>
      <c r="BNN16" s="41"/>
      <c r="BNO16" s="41"/>
      <c r="BNP16" s="41"/>
      <c r="BNQ16" s="41"/>
      <c r="BNR16" s="41"/>
      <c r="BNS16" s="41"/>
      <c r="BNT16" s="41"/>
      <c r="BNU16" s="41"/>
      <c r="BNV16" s="41"/>
      <c r="BNW16" s="41"/>
      <c r="BNX16" s="41"/>
      <c r="BNY16" s="41"/>
      <c r="BNZ16" s="41"/>
      <c r="BOA16" s="41"/>
      <c r="BOB16" s="41"/>
      <c r="BOC16" s="41"/>
      <c r="BOD16" s="41"/>
      <c r="BOE16" s="41"/>
      <c r="BOF16" s="41"/>
      <c r="BOG16" s="41"/>
      <c r="BOH16" s="41"/>
      <c r="BOI16" s="41"/>
      <c r="BOJ16" s="41"/>
      <c r="BOK16" s="41"/>
      <c r="BOL16" s="41"/>
      <c r="BOM16" s="41"/>
      <c r="BON16" s="41"/>
      <c r="BOO16" s="41"/>
      <c r="BOP16" s="41"/>
      <c r="BOQ16" s="41"/>
      <c r="BOR16" s="41"/>
      <c r="BOS16" s="41"/>
      <c r="BOT16" s="41"/>
      <c r="BOU16" s="41"/>
      <c r="BOV16" s="41"/>
      <c r="BOW16" s="41"/>
      <c r="BOX16" s="41"/>
      <c r="BOY16" s="41"/>
      <c r="BOZ16" s="41"/>
      <c r="BPA16" s="41"/>
      <c r="BPB16" s="41"/>
      <c r="BPC16" s="41"/>
      <c r="BPD16" s="41"/>
      <c r="BPE16" s="41"/>
      <c r="BPF16" s="41"/>
      <c r="BPG16" s="41"/>
      <c r="BPH16" s="41"/>
      <c r="BPI16" s="41"/>
      <c r="BPJ16" s="41"/>
      <c r="BPK16" s="41"/>
      <c r="BPL16" s="41"/>
      <c r="BPM16" s="41"/>
      <c r="BPN16" s="41"/>
      <c r="BPO16" s="41"/>
      <c r="BPP16" s="41"/>
      <c r="BPQ16" s="41"/>
      <c r="BPR16" s="41"/>
      <c r="BPS16" s="41"/>
      <c r="BPT16" s="41"/>
      <c r="BPU16" s="41"/>
      <c r="BPV16" s="41"/>
      <c r="BPW16" s="41"/>
      <c r="BPX16" s="41"/>
      <c r="BPY16" s="41"/>
      <c r="BPZ16" s="41"/>
      <c r="BQA16" s="41"/>
      <c r="BQB16" s="41"/>
      <c r="BQC16" s="41"/>
      <c r="BQD16" s="41"/>
      <c r="BQE16" s="41"/>
      <c r="BQF16" s="41"/>
      <c r="BQG16" s="41"/>
      <c r="BQH16" s="41"/>
      <c r="BQI16" s="41"/>
      <c r="BQJ16" s="41"/>
      <c r="BQK16" s="41"/>
      <c r="BQL16" s="41"/>
      <c r="BQM16" s="41"/>
      <c r="BQN16" s="41"/>
      <c r="BQO16" s="41"/>
      <c r="BQP16" s="41"/>
      <c r="BQQ16" s="41"/>
      <c r="BQR16" s="41"/>
      <c r="BQS16" s="41"/>
      <c r="BQT16" s="41"/>
      <c r="BQU16" s="41"/>
      <c r="BQV16" s="41"/>
      <c r="BQW16" s="41"/>
      <c r="BQX16" s="41"/>
      <c r="BQY16" s="41"/>
      <c r="BQZ16" s="41"/>
      <c r="BRA16" s="41"/>
      <c r="BRB16" s="41"/>
      <c r="BRC16" s="41"/>
      <c r="BRD16" s="41"/>
      <c r="BRE16" s="41"/>
      <c r="BRF16" s="41"/>
      <c r="BRG16" s="41"/>
      <c r="BRH16" s="41"/>
      <c r="BRI16" s="41"/>
      <c r="BRJ16" s="41"/>
      <c r="BRK16" s="41"/>
      <c r="BRL16" s="41"/>
      <c r="BRM16" s="41"/>
      <c r="BRN16" s="41"/>
      <c r="BRO16" s="41"/>
      <c r="BRP16" s="41"/>
      <c r="BRQ16" s="41"/>
      <c r="BRR16" s="41"/>
      <c r="BRS16" s="41"/>
      <c r="BRT16" s="41"/>
      <c r="BRU16" s="41"/>
      <c r="BRV16" s="41"/>
      <c r="BRW16" s="41"/>
      <c r="BRX16" s="41"/>
      <c r="BRY16" s="41"/>
      <c r="BRZ16" s="41"/>
      <c r="BSA16" s="41"/>
      <c r="BSB16" s="41"/>
      <c r="BSC16" s="41"/>
      <c r="BSD16" s="41"/>
      <c r="BSE16" s="41"/>
      <c r="BSF16" s="41"/>
      <c r="BSG16" s="41"/>
      <c r="BSH16" s="41"/>
      <c r="BSI16" s="41"/>
      <c r="BSJ16" s="41"/>
      <c r="BSK16" s="41"/>
      <c r="BSL16" s="41"/>
      <c r="BSM16" s="41"/>
      <c r="BSN16" s="41"/>
      <c r="BSO16" s="41"/>
      <c r="BSP16" s="41"/>
      <c r="BSQ16" s="41"/>
      <c r="BSR16" s="41"/>
      <c r="BSS16" s="41"/>
      <c r="BST16" s="41"/>
      <c r="BSU16" s="41"/>
      <c r="BSV16" s="41"/>
      <c r="BSW16" s="41"/>
      <c r="BSX16" s="41"/>
      <c r="BSY16" s="41"/>
      <c r="BSZ16" s="41"/>
      <c r="BTA16" s="41"/>
      <c r="BTB16" s="41"/>
      <c r="BTC16" s="41"/>
      <c r="BTD16" s="41"/>
      <c r="BTE16" s="41"/>
      <c r="BTF16" s="41"/>
      <c r="BTG16" s="41"/>
      <c r="BTH16" s="41"/>
      <c r="BTI16" s="41"/>
      <c r="BTJ16" s="41"/>
      <c r="BTK16" s="41"/>
      <c r="BTL16" s="41"/>
      <c r="BTM16" s="41"/>
      <c r="BTN16" s="41"/>
      <c r="BTO16" s="41"/>
      <c r="BTP16" s="41"/>
      <c r="BTQ16" s="41"/>
      <c r="BTR16" s="41"/>
      <c r="BTS16" s="41"/>
      <c r="BTT16" s="41"/>
      <c r="BTU16" s="41"/>
      <c r="BTV16" s="41"/>
      <c r="BTW16" s="41"/>
      <c r="BTX16" s="41"/>
      <c r="BTY16" s="41"/>
      <c r="BTZ16" s="41"/>
      <c r="BUA16" s="41"/>
      <c r="BUB16" s="41"/>
      <c r="BUC16" s="41"/>
      <c r="BUD16" s="41"/>
      <c r="BUE16" s="41"/>
      <c r="BUF16" s="41"/>
      <c r="BUG16" s="41"/>
      <c r="BUH16" s="41"/>
      <c r="BUI16" s="41"/>
      <c r="BUJ16" s="41"/>
      <c r="BUK16" s="41"/>
      <c r="BUL16" s="41"/>
      <c r="BUM16" s="41"/>
      <c r="BUN16" s="41"/>
      <c r="BUO16" s="41"/>
      <c r="BUP16" s="41"/>
      <c r="BUQ16" s="41"/>
      <c r="BUR16" s="41"/>
      <c r="BUS16" s="41"/>
      <c r="BUT16" s="41"/>
      <c r="BUU16" s="41"/>
      <c r="BUV16" s="41"/>
      <c r="BUW16" s="41"/>
      <c r="BUX16" s="41"/>
      <c r="BUY16" s="41"/>
      <c r="BUZ16" s="41"/>
      <c r="BVA16" s="41"/>
      <c r="BVB16" s="41"/>
      <c r="BVC16" s="41"/>
      <c r="BVD16" s="41"/>
      <c r="BVE16" s="41"/>
      <c r="BVF16" s="41"/>
      <c r="BVG16" s="41"/>
      <c r="BVH16" s="41"/>
      <c r="BVI16" s="41"/>
      <c r="BVJ16" s="41"/>
      <c r="BVK16" s="41"/>
      <c r="BVL16" s="41"/>
      <c r="BVM16" s="41"/>
      <c r="BVN16" s="41"/>
      <c r="BVO16" s="41"/>
      <c r="BVP16" s="41"/>
      <c r="BVQ16" s="41"/>
      <c r="BVR16" s="41"/>
      <c r="BVS16" s="41"/>
      <c r="BVT16" s="41"/>
      <c r="BVU16" s="41"/>
      <c r="BVV16" s="41"/>
      <c r="BVW16" s="41"/>
      <c r="BVX16" s="41"/>
      <c r="BVY16" s="41"/>
      <c r="BVZ16" s="41"/>
      <c r="BWA16" s="41"/>
      <c r="BWB16" s="41"/>
      <c r="BWC16" s="41"/>
      <c r="BWD16" s="41"/>
      <c r="BWE16" s="41"/>
      <c r="BWF16" s="41"/>
      <c r="BWG16" s="41"/>
      <c r="BWH16" s="41"/>
      <c r="BWI16" s="41"/>
      <c r="BWJ16" s="41"/>
      <c r="BWK16" s="41"/>
      <c r="BWL16" s="41"/>
      <c r="BWM16" s="41"/>
      <c r="BWN16" s="41"/>
      <c r="BWO16" s="41"/>
      <c r="BWP16" s="41"/>
      <c r="BWQ16" s="41"/>
      <c r="BWR16" s="41"/>
      <c r="BWS16" s="41"/>
      <c r="BWT16" s="41"/>
      <c r="BWU16" s="41"/>
      <c r="BWV16" s="41"/>
      <c r="BWW16" s="41"/>
      <c r="BWX16" s="41"/>
      <c r="BWY16" s="41"/>
      <c r="BWZ16" s="41"/>
      <c r="BXA16" s="41"/>
      <c r="BXB16" s="41"/>
      <c r="BXC16" s="41"/>
      <c r="BXD16" s="41"/>
      <c r="BXE16" s="41"/>
      <c r="BXF16" s="41"/>
      <c r="BXG16" s="41"/>
      <c r="BXH16" s="41"/>
      <c r="BXI16" s="41"/>
      <c r="BXJ16" s="41"/>
      <c r="BXK16" s="41"/>
      <c r="BXL16" s="41"/>
      <c r="BXM16" s="41"/>
      <c r="BXN16" s="41"/>
      <c r="BXO16" s="41"/>
      <c r="BXP16" s="41"/>
      <c r="BXQ16" s="41"/>
      <c r="BXR16" s="41"/>
      <c r="BXS16" s="41"/>
      <c r="BXT16" s="41"/>
      <c r="BXU16" s="41"/>
      <c r="BXV16" s="41"/>
      <c r="BXW16" s="41"/>
      <c r="BXX16" s="41"/>
      <c r="BXY16" s="41"/>
      <c r="BXZ16" s="41"/>
      <c r="BYA16" s="41"/>
      <c r="BYB16" s="41"/>
      <c r="BYC16" s="41"/>
      <c r="BYD16" s="41"/>
      <c r="BYE16" s="41"/>
      <c r="BYF16" s="41"/>
      <c r="BYG16" s="41"/>
      <c r="BYH16" s="41"/>
      <c r="BYI16" s="41"/>
      <c r="BYJ16" s="41"/>
      <c r="BYK16" s="41"/>
      <c r="BYL16" s="41"/>
      <c r="BYM16" s="41"/>
      <c r="BYN16" s="41"/>
      <c r="BYO16" s="41"/>
      <c r="BYP16" s="41"/>
      <c r="BYQ16" s="41"/>
      <c r="BYR16" s="41"/>
      <c r="BYS16" s="41"/>
      <c r="BYT16" s="41"/>
      <c r="BYU16" s="41"/>
      <c r="BYV16" s="41"/>
      <c r="BYW16" s="41"/>
      <c r="BYX16" s="41"/>
      <c r="BYY16" s="41"/>
      <c r="BYZ16" s="41"/>
      <c r="BZA16" s="41"/>
      <c r="BZB16" s="41"/>
      <c r="BZC16" s="41"/>
      <c r="BZD16" s="41"/>
      <c r="BZE16" s="41"/>
      <c r="BZF16" s="41"/>
      <c r="BZG16" s="41"/>
      <c r="BZH16" s="41"/>
      <c r="BZI16" s="41"/>
      <c r="BZJ16" s="41"/>
      <c r="BZK16" s="41"/>
      <c r="BZL16" s="41"/>
      <c r="BZM16" s="41"/>
      <c r="BZN16" s="41"/>
      <c r="BZO16" s="41"/>
      <c r="BZP16" s="41"/>
      <c r="BZQ16" s="41"/>
      <c r="BZR16" s="41"/>
      <c r="BZS16" s="41"/>
      <c r="BZT16" s="41"/>
      <c r="BZU16" s="41"/>
      <c r="BZV16" s="41"/>
      <c r="BZW16" s="41"/>
      <c r="BZX16" s="41"/>
      <c r="BZY16" s="41"/>
      <c r="BZZ16" s="41"/>
      <c r="CAA16" s="41"/>
      <c r="CAB16" s="41"/>
      <c r="CAC16" s="41"/>
      <c r="CAD16" s="41"/>
      <c r="CAE16" s="41"/>
      <c r="CAF16" s="41"/>
      <c r="CAG16" s="41"/>
      <c r="CAH16" s="41"/>
      <c r="CAI16" s="41"/>
      <c r="CAJ16" s="41"/>
      <c r="CAK16" s="41"/>
      <c r="CAL16" s="41"/>
      <c r="CAM16" s="41"/>
      <c r="CAN16" s="41"/>
      <c r="CAO16" s="41"/>
      <c r="CAP16" s="41"/>
      <c r="CAQ16" s="41"/>
      <c r="CAR16" s="41"/>
      <c r="CAS16" s="41"/>
      <c r="CAT16" s="41"/>
      <c r="CAU16" s="41"/>
      <c r="CAV16" s="41"/>
      <c r="CAW16" s="41"/>
      <c r="CAX16" s="41"/>
      <c r="CAY16" s="41"/>
      <c r="CAZ16" s="41"/>
      <c r="CBA16" s="41"/>
      <c r="CBB16" s="41"/>
      <c r="CBC16" s="41"/>
      <c r="CBD16" s="41"/>
      <c r="CBE16" s="41"/>
      <c r="CBF16" s="41"/>
      <c r="CBG16" s="41"/>
      <c r="CBH16" s="41"/>
      <c r="CBI16" s="41"/>
      <c r="CBJ16" s="41"/>
      <c r="CBK16" s="41"/>
      <c r="CBL16" s="41"/>
      <c r="CBM16" s="41"/>
      <c r="CBN16" s="41"/>
      <c r="CBO16" s="41"/>
      <c r="CBP16" s="41"/>
      <c r="CBQ16" s="41"/>
      <c r="CBR16" s="41"/>
      <c r="CBS16" s="41"/>
      <c r="CBT16" s="41"/>
      <c r="CBU16" s="41"/>
      <c r="CBV16" s="41"/>
      <c r="CBW16" s="41"/>
      <c r="CBX16" s="41"/>
      <c r="CBY16" s="41"/>
      <c r="CBZ16" s="41"/>
      <c r="CCA16" s="41"/>
      <c r="CCB16" s="41"/>
      <c r="CCC16" s="41"/>
      <c r="CCD16" s="41"/>
      <c r="CCE16" s="41"/>
      <c r="CCF16" s="41"/>
      <c r="CCG16" s="41"/>
      <c r="CCH16" s="41"/>
      <c r="CCI16" s="41"/>
      <c r="CCJ16" s="41"/>
      <c r="CCK16" s="41"/>
      <c r="CCL16" s="41"/>
      <c r="CCM16" s="41"/>
      <c r="CCN16" s="41"/>
      <c r="CCO16" s="41"/>
      <c r="CCP16" s="41"/>
      <c r="CCQ16" s="41"/>
      <c r="CCR16" s="41"/>
      <c r="CCS16" s="41"/>
      <c r="CCT16" s="41"/>
      <c r="CCU16" s="41"/>
      <c r="CCV16" s="41"/>
      <c r="CCW16" s="41"/>
      <c r="CCX16" s="41"/>
      <c r="CCY16" s="41"/>
      <c r="CCZ16" s="41"/>
      <c r="CDA16" s="41"/>
      <c r="CDB16" s="41"/>
      <c r="CDC16" s="41"/>
      <c r="CDD16" s="41"/>
      <c r="CDE16" s="41"/>
      <c r="CDF16" s="41"/>
      <c r="CDG16" s="41"/>
      <c r="CDH16" s="41"/>
      <c r="CDI16" s="41"/>
      <c r="CDJ16" s="41"/>
      <c r="CDK16" s="41"/>
      <c r="CDL16" s="41"/>
      <c r="CDM16" s="41"/>
      <c r="CDN16" s="41"/>
      <c r="CDO16" s="41"/>
      <c r="CDP16" s="41"/>
      <c r="CDQ16" s="41"/>
      <c r="CDR16" s="41"/>
      <c r="CDS16" s="41"/>
      <c r="CDT16" s="41"/>
      <c r="CDU16" s="41"/>
      <c r="CDV16" s="41"/>
      <c r="CDW16" s="41"/>
      <c r="CDX16" s="41"/>
      <c r="CDY16" s="41"/>
      <c r="CDZ16" s="41"/>
      <c r="CEA16" s="41"/>
      <c r="CEB16" s="41"/>
      <c r="CEC16" s="41"/>
      <c r="CED16" s="41"/>
      <c r="CEE16" s="41"/>
      <c r="CEF16" s="41"/>
      <c r="CEG16" s="41"/>
      <c r="CEH16" s="41"/>
      <c r="CEI16" s="41"/>
      <c r="CEJ16" s="41"/>
      <c r="CEK16" s="41"/>
      <c r="CEL16" s="41"/>
      <c r="CEM16" s="41"/>
      <c r="CEN16" s="41"/>
      <c r="CEO16" s="41"/>
      <c r="CEP16" s="41"/>
      <c r="CEQ16" s="41"/>
      <c r="CER16" s="41"/>
      <c r="CES16" s="41"/>
      <c r="CET16" s="41"/>
      <c r="CEU16" s="41"/>
      <c r="CEV16" s="41"/>
      <c r="CEW16" s="41"/>
      <c r="CEX16" s="41"/>
      <c r="CEY16" s="41"/>
      <c r="CEZ16" s="41"/>
      <c r="CFA16" s="41"/>
      <c r="CFB16" s="41"/>
      <c r="CFC16" s="41"/>
      <c r="CFD16" s="41"/>
      <c r="CFE16" s="41"/>
      <c r="CFF16" s="41"/>
      <c r="CFG16" s="41"/>
      <c r="CFH16" s="41"/>
      <c r="CFI16" s="41"/>
      <c r="CFJ16" s="41"/>
      <c r="CFK16" s="41"/>
      <c r="CFL16" s="41"/>
      <c r="CFM16" s="41"/>
      <c r="CFN16" s="41"/>
      <c r="CFO16" s="41"/>
      <c r="CFP16" s="41"/>
      <c r="CFQ16" s="41"/>
      <c r="CFR16" s="41"/>
      <c r="CFS16" s="41"/>
      <c r="CFT16" s="41"/>
      <c r="CFU16" s="41"/>
      <c r="CFV16" s="41"/>
      <c r="CFW16" s="41"/>
      <c r="CFX16" s="41"/>
      <c r="CFY16" s="41"/>
      <c r="CFZ16" s="41"/>
      <c r="CGA16" s="41"/>
      <c r="CGB16" s="41"/>
      <c r="CGC16" s="41"/>
      <c r="CGD16" s="41"/>
      <c r="CGE16" s="41"/>
      <c r="CGF16" s="41"/>
      <c r="CGG16" s="41"/>
      <c r="CGH16" s="41"/>
      <c r="CGI16" s="41"/>
      <c r="CGJ16" s="41"/>
      <c r="CGK16" s="41"/>
      <c r="CGL16" s="41"/>
      <c r="CGM16" s="41"/>
      <c r="CGN16" s="41"/>
      <c r="CGO16" s="41"/>
      <c r="CGP16" s="41"/>
      <c r="CGQ16" s="41"/>
      <c r="CGR16" s="41"/>
      <c r="CGS16" s="41"/>
      <c r="CGT16" s="41"/>
      <c r="CGU16" s="41"/>
      <c r="CGV16" s="41"/>
      <c r="CGW16" s="41"/>
      <c r="CGX16" s="41"/>
      <c r="CGY16" s="41"/>
      <c r="CGZ16" s="41"/>
      <c r="CHA16" s="41"/>
      <c r="CHB16" s="41"/>
      <c r="CHC16" s="41"/>
      <c r="CHD16" s="41"/>
      <c r="CHE16" s="41"/>
      <c r="CHF16" s="41"/>
      <c r="CHG16" s="41"/>
      <c r="CHH16" s="41"/>
      <c r="CHI16" s="41"/>
      <c r="CHJ16" s="41"/>
      <c r="CHK16" s="41"/>
      <c r="CHL16" s="41"/>
      <c r="CHM16" s="41"/>
      <c r="CHN16" s="41"/>
      <c r="CHO16" s="41"/>
      <c r="CHP16" s="41"/>
      <c r="CHQ16" s="41"/>
      <c r="CHR16" s="41"/>
      <c r="CHS16" s="41"/>
      <c r="CHT16" s="41"/>
      <c r="CHU16" s="41"/>
      <c r="CHV16" s="41"/>
      <c r="CHW16" s="41"/>
      <c r="CHX16" s="41"/>
      <c r="CHY16" s="41"/>
      <c r="CHZ16" s="41"/>
      <c r="CIA16" s="41"/>
      <c r="CIB16" s="41"/>
      <c r="CIC16" s="41"/>
      <c r="CID16" s="41"/>
      <c r="CIE16" s="41"/>
      <c r="CIF16" s="41"/>
      <c r="CIG16" s="41"/>
      <c r="CIH16" s="41"/>
      <c r="CII16" s="41"/>
      <c r="CIJ16" s="41"/>
      <c r="CIK16" s="41"/>
      <c r="CIL16" s="41"/>
      <c r="CIM16" s="41"/>
      <c r="CIN16" s="41"/>
      <c r="CIO16" s="41"/>
      <c r="CIP16" s="41"/>
      <c r="CIQ16" s="41"/>
      <c r="CIR16" s="41"/>
      <c r="CIS16" s="41"/>
      <c r="CIT16" s="41"/>
      <c r="CIU16" s="41"/>
      <c r="CIV16" s="41"/>
      <c r="CIW16" s="41"/>
      <c r="CIX16" s="41"/>
      <c r="CIY16" s="41"/>
      <c r="CIZ16" s="41"/>
      <c r="CJA16" s="41"/>
      <c r="CJB16" s="41"/>
      <c r="CJC16" s="41"/>
      <c r="CJD16" s="41"/>
      <c r="CJE16" s="41"/>
      <c r="CJF16" s="41"/>
      <c r="CJG16" s="41"/>
      <c r="CJH16" s="41"/>
      <c r="CJI16" s="41"/>
      <c r="CJJ16" s="41"/>
      <c r="CJK16" s="41"/>
      <c r="CJL16" s="41"/>
      <c r="CJM16" s="41"/>
      <c r="CJN16" s="41"/>
      <c r="CJO16" s="41"/>
      <c r="CJP16" s="41"/>
      <c r="CJQ16" s="41"/>
      <c r="CJR16" s="41"/>
      <c r="CJS16" s="41"/>
      <c r="CJT16" s="41"/>
      <c r="CJU16" s="41"/>
      <c r="CJV16" s="41"/>
      <c r="CJW16" s="41"/>
      <c r="CJX16" s="41"/>
      <c r="CJY16" s="41"/>
      <c r="CJZ16" s="41"/>
      <c r="CKA16" s="41"/>
      <c r="CKB16" s="41"/>
      <c r="CKC16" s="41"/>
      <c r="CKD16" s="41"/>
      <c r="CKE16" s="41"/>
      <c r="CKF16" s="41"/>
      <c r="CKG16" s="41"/>
      <c r="CKH16" s="41"/>
      <c r="CKI16" s="41"/>
      <c r="CKJ16" s="41"/>
      <c r="CKK16" s="41"/>
      <c r="CKL16" s="41"/>
      <c r="CKM16" s="41"/>
      <c r="CKN16" s="41"/>
      <c r="CKO16" s="41"/>
      <c r="CKP16" s="41"/>
      <c r="CKQ16" s="41"/>
      <c r="CKR16" s="41"/>
      <c r="CKS16" s="41"/>
      <c r="CKT16" s="41"/>
      <c r="CKU16" s="41"/>
      <c r="CKV16" s="41"/>
      <c r="CKW16" s="41"/>
      <c r="CKX16" s="41"/>
      <c r="CKY16" s="41"/>
      <c r="CKZ16" s="41"/>
      <c r="CLA16" s="41"/>
      <c r="CLB16" s="41"/>
      <c r="CLC16" s="41"/>
      <c r="CLD16" s="41"/>
      <c r="CLE16" s="41"/>
      <c r="CLF16" s="41"/>
      <c r="CLG16" s="41"/>
      <c r="CLH16" s="41"/>
      <c r="CLI16" s="41"/>
      <c r="CLJ16" s="41"/>
      <c r="CLK16" s="41"/>
      <c r="CLL16" s="41"/>
      <c r="CLM16" s="41"/>
      <c r="CLN16" s="41"/>
      <c r="CLO16" s="41"/>
      <c r="CLP16" s="41"/>
      <c r="CLQ16" s="41"/>
      <c r="CLR16" s="41"/>
      <c r="CLS16" s="41"/>
      <c r="CLT16" s="41"/>
      <c r="CLU16" s="41"/>
      <c r="CLV16" s="41"/>
      <c r="CLW16" s="41"/>
      <c r="CLX16" s="41"/>
      <c r="CLY16" s="41"/>
      <c r="CLZ16" s="41"/>
      <c r="CMA16" s="41"/>
      <c r="CMB16" s="41"/>
      <c r="CMC16" s="41"/>
      <c r="CMD16" s="41"/>
      <c r="CME16" s="41"/>
      <c r="CMF16" s="41"/>
      <c r="CMG16" s="41"/>
      <c r="CMH16" s="41"/>
      <c r="CMI16" s="41"/>
      <c r="CMJ16" s="41"/>
      <c r="CMK16" s="41"/>
      <c r="CML16" s="41"/>
      <c r="CMM16" s="41"/>
      <c r="CMN16" s="41"/>
      <c r="CMO16" s="41"/>
      <c r="CMP16" s="41"/>
      <c r="CMQ16" s="41"/>
      <c r="CMR16" s="41"/>
      <c r="CMS16" s="41"/>
      <c r="CMT16" s="41"/>
      <c r="CMU16" s="41"/>
      <c r="CMV16" s="41"/>
      <c r="CMW16" s="41"/>
      <c r="CMX16" s="41"/>
      <c r="CMY16" s="41"/>
      <c r="CMZ16" s="41"/>
      <c r="CNA16" s="41"/>
      <c r="CNB16" s="41"/>
      <c r="CNC16" s="41"/>
      <c r="CND16" s="41"/>
      <c r="CNE16" s="41"/>
      <c r="CNF16" s="41"/>
      <c r="CNG16" s="41"/>
      <c r="CNH16" s="41"/>
      <c r="CNI16" s="41"/>
      <c r="CNJ16" s="41"/>
      <c r="CNK16" s="41"/>
      <c r="CNL16" s="41"/>
      <c r="CNM16" s="41"/>
      <c r="CNN16" s="41"/>
      <c r="CNO16" s="41"/>
      <c r="CNP16" s="41"/>
      <c r="CNQ16" s="41"/>
      <c r="CNR16" s="41"/>
      <c r="CNS16" s="41"/>
      <c r="CNT16" s="41"/>
      <c r="CNU16" s="41"/>
      <c r="CNV16" s="41"/>
      <c r="CNW16" s="41"/>
      <c r="CNX16" s="41"/>
      <c r="CNY16" s="41"/>
      <c r="CNZ16" s="41"/>
      <c r="COA16" s="41"/>
      <c r="COB16" s="41"/>
      <c r="COC16" s="41"/>
      <c r="COD16" s="41"/>
      <c r="COE16" s="41"/>
      <c r="COF16" s="41"/>
      <c r="COG16" s="41"/>
      <c r="COH16" s="41"/>
      <c r="COI16" s="41"/>
      <c r="COJ16" s="41"/>
      <c r="COK16" s="41"/>
      <c r="COL16" s="41"/>
      <c r="COM16" s="41"/>
      <c r="CON16" s="41"/>
      <c r="COO16" s="41"/>
      <c r="COP16" s="41"/>
      <c r="COQ16" s="41"/>
      <c r="COR16" s="41"/>
      <c r="COS16" s="41"/>
      <c r="COT16" s="41"/>
      <c r="COU16" s="41"/>
      <c r="COV16" s="41"/>
      <c r="COW16" s="41"/>
      <c r="COX16" s="41"/>
      <c r="COY16" s="41"/>
      <c r="COZ16" s="41"/>
      <c r="CPA16" s="41"/>
      <c r="CPB16" s="41"/>
      <c r="CPC16" s="41"/>
      <c r="CPD16" s="41"/>
      <c r="CPE16" s="41"/>
      <c r="CPF16" s="41"/>
      <c r="CPG16" s="41"/>
      <c r="CPH16" s="41"/>
      <c r="CPI16" s="41"/>
      <c r="CPJ16" s="41"/>
      <c r="CPK16" s="41"/>
      <c r="CPL16" s="41"/>
      <c r="CPM16" s="41"/>
      <c r="CPN16" s="41"/>
      <c r="CPO16" s="41"/>
      <c r="CPP16" s="41"/>
      <c r="CPQ16" s="41"/>
      <c r="CPR16" s="41"/>
      <c r="CPS16" s="41"/>
      <c r="CPT16" s="41"/>
      <c r="CPU16" s="41"/>
      <c r="CPV16" s="41"/>
      <c r="CPW16" s="41"/>
      <c r="CPX16" s="41"/>
      <c r="CPY16" s="41"/>
      <c r="CPZ16" s="41"/>
      <c r="CQA16" s="41"/>
      <c r="CQB16" s="41"/>
      <c r="CQC16" s="41"/>
      <c r="CQD16" s="41"/>
      <c r="CQE16" s="41"/>
      <c r="CQF16" s="41"/>
      <c r="CQG16" s="41"/>
      <c r="CQH16" s="41"/>
      <c r="CQI16" s="41"/>
      <c r="CQJ16" s="41"/>
      <c r="CQK16" s="41"/>
      <c r="CQL16" s="41"/>
      <c r="CQM16" s="41"/>
      <c r="CQN16" s="41"/>
      <c r="CQO16" s="41"/>
      <c r="CQP16" s="41"/>
      <c r="CQQ16" s="41"/>
      <c r="CQR16" s="41"/>
      <c r="CQS16" s="41"/>
      <c r="CQT16" s="41"/>
      <c r="CQU16" s="41"/>
      <c r="CQV16" s="41"/>
      <c r="CQW16" s="41"/>
      <c r="CQX16" s="41"/>
      <c r="CQY16" s="41"/>
      <c r="CQZ16" s="41"/>
      <c r="CRA16" s="41"/>
      <c r="CRB16" s="41"/>
      <c r="CRC16" s="41"/>
      <c r="CRD16" s="41"/>
      <c r="CRE16" s="41"/>
      <c r="CRF16" s="41"/>
      <c r="CRG16" s="41"/>
      <c r="CRH16" s="41"/>
      <c r="CRI16" s="41"/>
      <c r="CRJ16" s="41"/>
      <c r="CRK16" s="41"/>
      <c r="CRL16" s="41"/>
      <c r="CRM16" s="41"/>
      <c r="CRN16" s="41"/>
      <c r="CRO16" s="41"/>
      <c r="CRP16" s="41"/>
      <c r="CRQ16" s="41"/>
      <c r="CRR16" s="41"/>
      <c r="CRS16" s="41"/>
      <c r="CRT16" s="41"/>
      <c r="CRU16" s="41"/>
      <c r="CRV16" s="41"/>
      <c r="CRW16" s="41"/>
      <c r="CRX16" s="41"/>
      <c r="CRY16" s="41"/>
      <c r="CRZ16" s="41"/>
      <c r="CSA16" s="41"/>
      <c r="CSB16" s="41"/>
      <c r="CSC16" s="41"/>
      <c r="CSD16" s="41"/>
      <c r="CSE16" s="41"/>
      <c r="CSF16" s="41"/>
      <c r="CSG16" s="41"/>
      <c r="CSH16" s="41"/>
      <c r="CSI16" s="41"/>
      <c r="CSJ16" s="41"/>
      <c r="CSK16" s="41"/>
      <c r="CSL16" s="41"/>
      <c r="CSM16" s="41"/>
      <c r="CSN16" s="41"/>
      <c r="CSO16" s="41"/>
      <c r="CSP16" s="41"/>
      <c r="CSQ16" s="41"/>
      <c r="CSR16" s="41"/>
      <c r="CSS16" s="41"/>
      <c r="CST16" s="41"/>
      <c r="CSU16" s="41"/>
      <c r="CSV16" s="41"/>
      <c r="CSW16" s="41"/>
      <c r="CSX16" s="41"/>
      <c r="CSY16" s="41"/>
      <c r="CSZ16" s="41"/>
      <c r="CTA16" s="41"/>
      <c r="CTB16" s="41"/>
      <c r="CTC16" s="41"/>
      <c r="CTD16" s="41"/>
      <c r="CTE16" s="41"/>
      <c r="CTF16" s="41"/>
      <c r="CTG16" s="41"/>
      <c r="CTH16" s="41"/>
      <c r="CTI16" s="41"/>
      <c r="CTJ16" s="41"/>
      <c r="CTK16" s="41"/>
      <c r="CTL16" s="41"/>
      <c r="CTM16" s="41"/>
      <c r="CTN16" s="41"/>
      <c r="CTO16" s="41"/>
      <c r="CTP16" s="41"/>
      <c r="CTQ16" s="41"/>
      <c r="CTR16" s="41"/>
      <c r="CTS16" s="41"/>
      <c r="CTT16" s="41"/>
      <c r="CTU16" s="41"/>
      <c r="CTV16" s="41"/>
      <c r="CTW16" s="41"/>
      <c r="CTX16" s="41"/>
      <c r="CTY16" s="41"/>
      <c r="CTZ16" s="41"/>
      <c r="CUA16" s="41"/>
      <c r="CUB16" s="41"/>
      <c r="CUC16" s="41"/>
      <c r="CUD16" s="41"/>
      <c r="CUE16" s="41"/>
      <c r="CUF16" s="41"/>
      <c r="CUG16" s="41"/>
      <c r="CUH16" s="41"/>
      <c r="CUI16" s="41"/>
      <c r="CUJ16" s="41"/>
      <c r="CUK16" s="41"/>
      <c r="CUL16" s="41"/>
      <c r="CUM16" s="41"/>
      <c r="CUN16" s="41"/>
      <c r="CUO16" s="41"/>
      <c r="CUP16" s="41"/>
      <c r="CUQ16" s="41"/>
      <c r="CUR16" s="41"/>
      <c r="CUS16" s="41"/>
      <c r="CUT16" s="41"/>
      <c r="CUU16" s="41"/>
      <c r="CUV16" s="41"/>
      <c r="CUW16" s="41"/>
      <c r="CUX16" s="41"/>
      <c r="CUY16" s="41"/>
      <c r="CUZ16" s="41"/>
      <c r="CVA16" s="41"/>
      <c r="CVB16" s="41"/>
      <c r="CVC16" s="41"/>
      <c r="CVD16" s="41"/>
      <c r="CVE16" s="41"/>
      <c r="CVF16" s="41"/>
      <c r="CVG16" s="41"/>
      <c r="CVH16" s="41"/>
      <c r="CVI16" s="41"/>
      <c r="CVJ16" s="41"/>
      <c r="CVK16" s="41"/>
      <c r="CVL16" s="41"/>
      <c r="CVM16" s="41"/>
      <c r="CVN16" s="41"/>
      <c r="CVO16" s="41"/>
      <c r="CVP16" s="41"/>
      <c r="CVQ16" s="41"/>
      <c r="CVR16" s="41"/>
      <c r="CVS16" s="41"/>
      <c r="CVT16" s="41"/>
      <c r="CVU16" s="41"/>
      <c r="CVV16" s="41"/>
      <c r="CVW16" s="41"/>
      <c r="CVX16" s="41"/>
      <c r="CVY16" s="41"/>
      <c r="CVZ16" s="41"/>
      <c r="CWA16" s="41"/>
      <c r="CWB16" s="41"/>
      <c r="CWC16" s="41"/>
      <c r="CWD16" s="41"/>
      <c r="CWE16" s="41"/>
      <c r="CWF16" s="41"/>
      <c r="CWG16" s="41"/>
      <c r="CWH16" s="41"/>
      <c r="CWI16" s="41"/>
      <c r="CWJ16" s="41"/>
      <c r="CWK16" s="41"/>
      <c r="CWL16" s="41"/>
      <c r="CWM16" s="41"/>
      <c r="CWN16" s="41"/>
      <c r="CWO16" s="41"/>
      <c r="CWP16" s="41"/>
      <c r="CWQ16" s="41"/>
      <c r="CWR16" s="41"/>
      <c r="CWS16" s="41"/>
      <c r="CWT16" s="41"/>
      <c r="CWU16" s="41"/>
      <c r="CWV16" s="41"/>
      <c r="CWW16" s="41"/>
      <c r="CWX16" s="41"/>
      <c r="CWY16" s="41"/>
      <c r="CWZ16" s="41"/>
      <c r="CXA16" s="41"/>
      <c r="CXB16" s="41"/>
      <c r="CXC16" s="41"/>
      <c r="CXD16" s="41"/>
      <c r="CXE16" s="41"/>
      <c r="CXF16" s="41"/>
      <c r="CXG16" s="41"/>
      <c r="CXH16" s="41"/>
      <c r="CXI16" s="41"/>
      <c r="CXJ16" s="41"/>
      <c r="CXK16" s="41"/>
      <c r="CXL16" s="41"/>
      <c r="CXM16" s="41"/>
      <c r="CXN16" s="41"/>
      <c r="CXO16" s="41"/>
      <c r="CXP16" s="41"/>
      <c r="CXQ16" s="41"/>
      <c r="CXR16" s="41"/>
      <c r="CXS16" s="41"/>
      <c r="CXT16" s="41"/>
      <c r="CXU16" s="41"/>
      <c r="CXV16" s="41"/>
      <c r="CXW16" s="41"/>
      <c r="CXX16" s="41"/>
      <c r="CXY16" s="41"/>
      <c r="CXZ16" s="41"/>
      <c r="CYA16" s="41"/>
      <c r="CYB16" s="41"/>
      <c r="CYC16" s="41"/>
      <c r="CYD16" s="41"/>
      <c r="CYE16" s="41"/>
      <c r="CYF16" s="41"/>
      <c r="CYG16" s="41"/>
      <c r="CYH16" s="41"/>
      <c r="CYI16" s="41"/>
      <c r="CYJ16" s="41"/>
      <c r="CYK16" s="41"/>
      <c r="CYL16" s="41"/>
      <c r="CYM16" s="41"/>
      <c r="CYN16" s="41"/>
      <c r="CYO16" s="41"/>
      <c r="CYP16" s="41"/>
      <c r="CYQ16" s="41"/>
      <c r="CYR16" s="41"/>
      <c r="CYS16" s="41"/>
      <c r="CYT16" s="41"/>
      <c r="CYU16" s="41"/>
      <c r="CYV16" s="41"/>
      <c r="CYW16" s="41"/>
      <c r="CYX16" s="41"/>
      <c r="CYY16" s="41"/>
      <c r="CYZ16" s="41"/>
      <c r="CZA16" s="41"/>
      <c r="CZB16" s="41"/>
      <c r="CZC16" s="41"/>
      <c r="CZD16" s="41"/>
      <c r="CZE16" s="41"/>
      <c r="CZF16" s="41"/>
      <c r="CZG16" s="41"/>
      <c r="CZH16" s="41"/>
      <c r="CZI16" s="41"/>
      <c r="CZJ16" s="41"/>
      <c r="CZK16" s="41"/>
      <c r="CZL16" s="41"/>
      <c r="CZM16" s="41"/>
      <c r="CZN16" s="41"/>
      <c r="CZO16" s="41"/>
      <c r="CZP16" s="41"/>
      <c r="CZQ16" s="41"/>
      <c r="CZR16" s="41"/>
      <c r="CZS16" s="41"/>
      <c r="CZT16" s="41"/>
      <c r="CZU16" s="41"/>
      <c r="CZV16" s="41"/>
      <c r="CZW16" s="41"/>
      <c r="CZX16" s="41"/>
      <c r="CZY16" s="41"/>
      <c r="CZZ16" s="41"/>
      <c r="DAA16" s="41"/>
      <c r="DAB16" s="41"/>
      <c r="DAC16" s="41"/>
      <c r="DAD16" s="41"/>
      <c r="DAE16" s="41"/>
      <c r="DAF16" s="41"/>
      <c r="DAG16" s="41"/>
      <c r="DAH16" s="41"/>
      <c r="DAI16" s="41"/>
      <c r="DAJ16" s="41"/>
      <c r="DAK16" s="41"/>
      <c r="DAL16" s="41"/>
      <c r="DAM16" s="41"/>
      <c r="DAN16" s="41"/>
      <c r="DAO16" s="41"/>
      <c r="DAP16" s="41"/>
      <c r="DAQ16" s="41"/>
      <c r="DAR16" s="41"/>
      <c r="DAS16" s="41"/>
      <c r="DAT16" s="41"/>
      <c r="DAU16" s="41"/>
      <c r="DAV16" s="41"/>
      <c r="DAW16" s="41"/>
      <c r="DAX16" s="41"/>
      <c r="DAY16" s="41"/>
      <c r="DAZ16" s="41"/>
      <c r="DBA16" s="41"/>
      <c r="DBB16" s="41"/>
      <c r="DBC16" s="41"/>
      <c r="DBD16" s="41"/>
      <c r="DBE16" s="41"/>
      <c r="DBF16" s="41"/>
      <c r="DBG16" s="41"/>
      <c r="DBH16" s="41"/>
      <c r="DBI16" s="41"/>
      <c r="DBJ16" s="41"/>
      <c r="DBK16" s="41"/>
      <c r="DBL16" s="41"/>
      <c r="DBM16" s="41"/>
      <c r="DBN16" s="41"/>
      <c r="DBO16" s="41"/>
      <c r="DBP16" s="41"/>
      <c r="DBQ16" s="41"/>
      <c r="DBR16" s="41"/>
      <c r="DBS16" s="41"/>
      <c r="DBT16" s="41"/>
      <c r="DBU16" s="41"/>
      <c r="DBV16" s="41"/>
      <c r="DBW16" s="41"/>
      <c r="DBX16" s="41"/>
      <c r="DBY16" s="41"/>
      <c r="DBZ16" s="41"/>
      <c r="DCA16" s="41"/>
      <c r="DCB16" s="41"/>
      <c r="DCC16" s="41"/>
      <c r="DCD16" s="41"/>
      <c r="DCE16" s="41"/>
      <c r="DCF16" s="41"/>
      <c r="DCG16" s="41"/>
      <c r="DCH16" s="41"/>
      <c r="DCI16" s="41"/>
      <c r="DCJ16" s="41"/>
      <c r="DCK16" s="41"/>
      <c r="DCL16" s="41"/>
      <c r="DCM16" s="41"/>
      <c r="DCN16" s="41"/>
      <c r="DCO16" s="41"/>
      <c r="DCP16" s="41"/>
      <c r="DCQ16" s="41"/>
      <c r="DCR16" s="41"/>
      <c r="DCS16" s="41"/>
      <c r="DCT16" s="41"/>
      <c r="DCU16" s="41"/>
      <c r="DCV16" s="41"/>
      <c r="DCW16" s="41"/>
      <c r="DCX16" s="41"/>
      <c r="DCY16" s="41"/>
      <c r="DCZ16" s="41"/>
      <c r="DDA16" s="41"/>
      <c r="DDB16" s="41"/>
      <c r="DDC16" s="41"/>
      <c r="DDD16" s="41"/>
      <c r="DDE16" s="41"/>
      <c r="DDF16" s="41"/>
      <c r="DDG16" s="41"/>
      <c r="DDH16" s="41"/>
      <c r="DDI16" s="41"/>
      <c r="DDJ16" s="41"/>
      <c r="DDK16" s="41"/>
      <c r="DDL16" s="41"/>
      <c r="DDM16" s="41"/>
      <c r="DDN16" s="41"/>
      <c r="DDO16" s="41"/>
      <c r="DDP16" s="41"/>
      <c r="DDQ16" s="41"/>
      <c r="DDR16" s="41"/>
      <c r="DDS16" s="41"/>
      <c r="DDT16" s="41"/>
      <c r="DDU16" s="41"/>
      <c r="DDV16" s="41"/>
      <c r="DDW16" s="41"/>
      <c r="DDX16" s="41"/>
      <c r="DDY16" s="41"/>
      <c r="DDZ16" s="41"/>
      <c r="DEA16" s="41"/>
      <c r="DEB16" s="41"/>
      <c r="DEC16" s="41"/>
      <c r="DED16" s="41"/>
      <c r="DEE16" s="41"/>
      <c r="DEF16" s="41"/>
      <c r="DEG16" s="41"/>
      <c r="DEH16" s="41"/>
      <c r="DEI16" s="41"/>
      <c r="DEJ16" s="41"/>
      <c r="DEK16" s="41"/>
      <c r="DEL16" s="41"/>
      <c r="DEM16" s="41"/>
      <c r="DEN16" s="41"/>
      <c r="DEO16" s="41"/>
      <c r="DEP16" s="41"/>
      <c r="DEQ16" s="41"/>
      <c r="DER16" s="41"/>
      <c r="DES16" s="41"/>
      <c r="DET16" s="41"/>
      <c r="DEU16" s="41"/>
      <c r="DEV16" s="41"/>
      <c r="DEW16" s="41"/>
      <c r="DEX16" s="41"/>
      <c r="DEY16" s="41"/>
      <c r="DEZ16" s="41"/>
      <c r="DFA16" s="41"/>
      <c r="DFB16" s="41"/>
      <c r="DFC16" s="41"/>
      <c r="DFD16" s="41"/>
      <c r="DFE16" s="41"/>
      <c r="DFF16" s="41"/>
      <c r="DFG16" s="41"/>
      <c r="DFH16" s="41"/>
      <c r="DFI16" s="41"/>
      <c r="DFJ16" s="41"/>
      <c r="DFK16" s="41"/>
      <c r="DFL16" s="41"/>
      <c r="DFM16" s="41"/>
      <c r="DFN16" s="41"/>
      <c r="DFO16" s="41"/>
      <c r="DFP16" s="41"/>
      <c r="DFQ16" s="41"/>
      <c r="DFR16" s="41"/>
      <c r="DFS16" s="41"/>
      <c r="DFT16" s="41"/>
      <c r="DFU16" s="41"/>
      <c r="DFV16" s="41"/>
      <c r="DFW16" s="41"/>
      <c r="DFX16" s="41"/>
      <c r="DFY16" s="41"/>
      <c r="DFZ16" s="41"/>
      <c r="DGA16" s="41"/>
      <c r="DGB16" s="41"/>
      <c r="DGC16" s="41"/>
      <c r="DGD16" s="41"/>
      <c r="DGE16" s="41"/>
      <c r="DGF16" s="41"/>
      <c r="DGG16" s="41"/>
      <c r="DGH16" s="41"/>
      <c r="DGI16" s="41"/>
      <c r="DGJ16" s="41"/>
      <c r="DGK16" s="41"/>
      <c r="DGL16" s="41"/>
      <c r="DGM16" s="41"/>
      <c r="DGN16" s="41"/>
      <c r="DGO16" s="41"/>
      <c r="DGP16" s="41"/>
      <c r="DGQ16" s="41"/>
      <c r="DGR16" s="41"/>
      <c r="DGS16" s="41"/>
      <c r="DGT16" s="41"/>
      <c r="DGU16" s="41"/>
      <c r="DGV16" s="41"/>
      <c r="DGW16" s="41"/>
      <c r="DGX16" s="41"/>
      <c r="DGY16" s="41"/>
      <c r="DGZ16" s="41"/>
      <c r="DHA16" s="41"/>
      <c r="DHB16" s="41"/>
      <c r="DHC16" s="41"/>
      <c r="DHD16" s="41"/>
      <c r="DHE16" s="41"/>
      <c r="DHF16" s="41"/>
      <c r="DHG16" s="41"/>
      <c r="DHH16" s="41"/>
      <c r="DHI16" s="41"/>
      <c r="DHJ16" s="41"/>
      <c r="DHK16" s="41"/>
      <c r="DHL16" s="41"/>
      <c r="DHM16" s="41"/>
      <c r="DHN16" s="41"/>
      <c r="DHO16" s="41"/>
      <c r="DHP16" s="41"/>
      <c r="DHQ16" s="41"/>
      <c r="DHR16" s="41"/>
      <c r="DHS16" s="41"/>
      <c r="DHT16" s="41"/>
      <c r="DHU16" s="41"/>
      <c r="DHV16" s="41"/>
      <c r="DHW16" s="41"/>
      <c r="DHX16" s="41"/>
      <c r="DHY16" s="41"/>
      <c r="DHZ16" s="41"/>
      <c r="DIA16" s="41"/>
      <c r="DIB16" s="41"/>
      <c r="DIC16" s="41"/>
      <c r="DID16" s="41"/>
      <c r="DIE16" s="41"/>
      <c r="DIF16" s="41"/>
      <c r="DIG16" s="41"/>
      <c r="DIH16" s="41"/>
      <c r="DII16" s="41"/>
      <c r="DIJ16" s="41"/>
      <c r="DIK16" s="41"/>
      <c r="DIL16" s="41"/>
      <c r="DIM16" s="41"/>
      <c r="DIN16" s="41"/>
      <c r="DIO16" s="41"/>
      <c r="DIP16" s="41"/>
      <c r="DIQ16" s="41"/>
      <c r="DIR16" s="41"/>
      <c r="DIS16" s="41"/>
      <c r="DIT16" s="41"/>
      <c r="DIU16" s="41"/>
      <c r="DIV16" s="41"/>
      <c r="DIW16" s="41"/>
      <c r="DIX16" s="41"/>
      <c r="DIY16" s="41"/>
      <c r="DIZ16" s="41"/>
      <c r="DJA16" s="41"/>
      <c r="DJB16" s="41"/>
      <c r="DJC16" s="41"/>
      <c r="DJD16" s="41"/>
      <c r="DJE16" s="41"/>
      <c r="DJF16" s="41"/>
      <c r="DJG16" s="41"/>
      <c r="DJH16" s="41"/>
      <c r="DJI16" s="41"/>
      <c r="DJJ16" s="41"/>
      <c r="DJK16" s="41"/>
      <c r="DJL16" s="41"/>
      <c r="DJM16" s="41"/>
      <c r="DJN16" s="41"/>
      <c r="DJO16" s="41"/>
      <c r="DJP16" s="41"/>
      <c r="DJQ16" s="41"/>
      <c r="DJR16" s="41"/>
      <c r="DJS16" s="41"/>
      <c r="DJT16" s="41"/>
      <c r="DJU16" s="41"/>
      <c r="DJV16" s="41"/>
      <c r="DJW16" s="41"/>
      <c r="DJX16" s="41"/>
      <c r="DJY16" s="41"/>
      <c r="DJZ16" s="41"/>
      <c r="DKA16" s="41"/>
      <c r="DKB16" s="41"/>
      <c r="DKC16" s="41"/>
      <c r="DKD16" s="41"/>
      <c r="DKE16" s="41"/>
      <c r="DKF16" s="41"/>
      <c r="DKG16" s="41"/>
      <c r="DKH16" s="41"/>
      <c r="DKI16" s="41"/>
      <c r="DKJ16" s="41"/>
      <c r="DKK16" s="41"/>
      <c r="DKL16" s="41"/>
      <c r="DKM16" s="41"/>
      <c r="DKN16" s="41"/>
      <c r="DKO16" s="41"/>
      <c r="DKP16" s="41"/>
      <c r="DKQ16" s="41"/>
      <c r="DKR16" s="41"/>
      <c r="DKS16" s="41"/>
      <c r="DKT16" s="41"/>
      <c r="DKU16" s="41"/>
      <c r="DKV16" s="41"/>
      <c r="DKW16" s="41"/>
      <c r="DKX16" s="41"/>
      <c r="DKY16" s="41"/>
      <c r="DKZ16" s="41"/>
      <c r="DLA16" s="41"/>
      <c r="DLB16" s="41"/>
      <c r="DLC16" s="41"/>
      <c r="DLD16" s="41"/>
      <c r="DLE16" s="41"/>
      <c r="DLF16" s="41"/>
      <c r="DLG16" s="41"/>
      <c r="DLH16" s="41"/>
      <c r="DLI16" s="41"/>
      <c r="DLJ16" s="41"/>
      <c r="DLK16" s="41"/>
      <c r="DLL16" s="41"/>
      <c r="DLM16" s="41"/>
      <c r="DLN16" s="41"/>
      <c r="DLO16" s="41"/>
      <c r="DLP16" s="41"/>
      <c r="DLQ16" s="41"/>
      <c r="DLR16" s="41"/>
      <c r="DLS16" s="41"/>
      <c r="DLT16" s="41"/>
      <c r="DLU16" s="41"/>
      <c r="DLV16" s="41"/>
      <c r="DLW16" s="41"/>
      <c r="DLX16" s="41"/>
      <c r="DLY16" s="41"/>
      <c r="DLZ16" s="41"/>
      <c r="DMA16" s="41"/>
      <c r="DMB16" s="41"/>
      <c r="DMC16" s="41"/>
      <c r="DMD16" s="41"/>
      <c r="DME16" s="41"/>
      <c r="DMF16" s="41"/>
      <c r="DMG16" s="41"/>
      <c r="DMH16" s="41"/>
      <c r="DMI16" s="41"/>
      <c r="DMJ16" s="41"/>
      <c r="DMK16" s="41"/>
      <c r="DML16" s="41"/>
      <c r="DMM16" s="41"/>
      <c r="DMN16" s="41"/>
      <c r="DMO16" s="41"/>
      <c r="DMP16" s="41"/>
      <c r="DMQ16" s="41"/>
      <c r="DMR16" s="41"/>
      <c r="DMS16" s="41"/>
      <c r="DMT16" s="41"/>
      <c r="DMU16" s="41"/>
      <c r="DMV16" s="41"/>
      <c r="DMW16" s="41"/>
      <c r="DMX16" s="41"/>
      <c r="DMY16" s="41"/>
      <c r="DMZ16" s="41"/>
      <c r="DNA16" s="41"/>
      <c r="DNB16" s="41"/>
      <c r="DNC16" s="41"/>
      <c r="DND16" s="41"/>
      <c r="DNE16" s="41"/>
      <c r="DNF16" s="41"/>
      <c r="DNG16" s="41"/>
      <c r="DNH16" s="41"/>
      <c r="DNI16" s="41"/>
      <c r="DNJ16" s="41"/>
      <c r="DNK16" s="41"/>
      <c r="DNL16" s="41"/>
      <c r="DNM16" s="41"/>
      <c r="DNN16" s="41"/>
      <c r="DNO16" s="41"/>
      <c r="DNP16" s="41"/>
      <c r="DNQ16" s="41"/>
      <c r="DNR16" s="41"/>
      <c r="DNS16" s="41"/>
      <c r="DNT16" s="41"/>
      <c r="DNU16" s="41"/>
      <c r="DNV16" s="41"/>
      <c r="DNW16" s="41"/>
      <c r="DNX16" s="41"/>
      <c r="DNY16" s="41"/>
      <c r="DNZ16" s="41"/>
      <c r="DOA16" s="41"/>
      <c r="DOB16" s="41"/>
      <c r="DOC16" s="41"/>
      <c r="DOD16" s="41"/>
      <c r="DOE16" s="41"/>
      <c r="DOF16" s="41"/>
      <c r="DOG16" s="41"/>
      <c r="DOH16" s="41"/>
      <c r="DOI16" s="41"/>
      <c r="DOJ16" s="41"/>
      <c r="DOK16" s="41"/>
      <c r="DOL16" s="41"/>
      <c r="DOM16" s="41"/>
      <c r="DON16" s="41"/>
      <c r="DOO16" s="41"/>
      <c r="DOP16" s="41"/>
      <c r="DOQ16" s="41"/>
      <c r="DOR16" s="41"/>
      <c r="DOS16" s="41"/>
      <c r="DOT16" s="41"/>
      <c r="DOU16" s="41"/>
      <c r="DOV16" s="41"/>
      <c r="DOW16" s="41"/>
      <c r="DOX16" s="41"/>
      <c r="DOY16" s="41"/>
      <c r="DOZ16" s="41"/>
      <c r="DPA16" s="41"/>
      <c r="DPB16" s="41"/>
      <c r="DPC16" s="41"/>
      <c r="DPD16" s="41"/>
      <c r="DPE16" s="41"/>
      <c r="DPF16" s="41"/>
      <c r="DPG16" s="41"/>
      <c r="DPH16" s="41"/>
      <c r="DPI16" s="41"/>
      <c r="DPJ16" s="41"/>
      <c r="DPK16" s="41"/>
      <c r="DPL16" s="41"/>
      <c r="DPM16" s="41"/>
      <c r="DPN16" s="41"/>
      <c r="DPO16" s="41"/>
      <c r="DPP16" s="41"/>
      <c r="DPQ16" s="41"/>
      <c r="DPR16" s="41"/>
      <c r="DPS16" s="41"/>
      <c r="DPT16" s="41"/>
      <c r="DPU16" s="41"/>
      <c r="DPV16" s="41"/>
      <c r="DPW16" s="41"/>
      <c r="DPX16" s="41"/>
      <c r="DPY16" s="41"/>
      <c r="DPZ16" s="41"/>
      <c r="DQA16" s="41"/>
      <c r="DQB16" s="41"/>
      <c r="DQC16" s="41"/>
      <c r="DQD16" s="41"/>
      <c r="DQE16" s="41"/>
      <c r="DQF16" s="41"/>
      <c r="DQG16" s="41"/>
      <c r="DQH16" s="41"/>
      <c r="DQI16" s="41"/>
      <c r="DQJ16" s="41"/>
      <c r="DQK16" s="41"/>
      <c r="DQL16" s="41"/>
      <c r="DQM16" s="41"/>
      <c r="DQN16" s="41"/>
      <c r="DQO16" s="41"/>
      <c r="DQP16" s="41"/>
      <c r="DQQ16" s="41"/>
      <c r="DQR16" s="41"/>
      <c r="DQS16" s="41"/>
      <c r="DQT16" s="41"/>
      <c r="DQU16" s="41"/>
      <c r="DQV16" s="41"/>
      <c r="DQW16" s="41"/>
      <c r="DQX16" s="41"/>
      <c r="DQY16" s="41"/>
      <c r="DQZ16" s="41"/>
      <c r="DRA16" s="41"/>
      <c r="DRB16" s="41"/>
      <c r="DRC16" s="41"/>
      <c r="DRD16" s="41"/>
      <c r="DRE16" s="41"/>
      <c r="DRF16" s="41"/>
      <c r="DRG16" s="41"/>
      <c r="DRH16" s="41"/>
      <c r="DRI16" s="41"/>
      <c r="DRJ16" s="41"/>
      <c r="DRK16" s="41"/>
      <c r="DRL16" s="41"/>
      <c r="DRM16" s="41"/>
      <c r="DRN16" s="41"/>
      <c r="DRO16" s="41"/>
      <c r="DRP16" s="41"/>
      <c r="DRQ16" s="41"/>
      <c r="DRR16" s="41"/>
      <c r="DRS16" s="41"/>
      <c r="DRT16" s="41"/>
      <c r="DRU16" s="41"/>
      <c r="DRV16" s="41"/>
      <c r="DRW16" s="41"/>
      <c r="DRX16" s="41"/>
      <c r="DRY16" s="41"/>
      <c r="DRZ16" s="41"/>
      <c r="DSA16" s="41"/>
      <c r="DSB16" s="41"/>
      <c r="DSC16" s="41"/>
      <c r="DSD16" s="41"/>
      <c r="DSE16" s="41"/>
      <c r="DSF16" s="41"/>
      <c r="DSG16" s="41"/>
      <c r="DSH16" s="41"/>
      <c r="DSI16" s="41"/>
      <c r="DSJ16" s="41"/>
      <c r="DSK16" s="41"/>
      <c r="DSL16" s="41"/>
      <c r="DSM16" s="41"/>
      <c r="DSN16" s="41"/>
      <c r="DSO16" s="41"/>
      <c r="DSP16" s="41"/>
      <c r="DSQ16" s="41"/>
      <c r="DSR16" s="41"/>
      <c r="DSS16" s="41"/>
      <c r="DST16" s="41"/>
      <c r="DSU16" s="41"/>
      <c r="DSV16" s="41"/>
      <c r="DSW16" s="41"/>
      <c r="DSX16" s="41"/>
      <c r="DSY16" s="41"/>
      <c r="DSZ16" s="41"/>
      <c r="DTA16" s="41"/>
      <c r="DTB16" s="41"/>
      <c r="DTC16" s="41"/>
      <c r="DTD16" s="41"/>
      <c r="DTE16" s="41"/>
      <c r="DTF16" s="41"/>
      <c r="DTG16" s="41"/>
      <c r="DTH16" s="41"/>
      <c r="DTI16" s="41"/>
      <c r="DTJ16" s="41"/>
      <c r="DTK16" s="41"/>
      <c r="DTL16" s="41"/>
      <c r="DTM16" s="41"/>
      <c r="DTN16" s="41"/>
      <c r="DTO16" s="41"/>
      <c r="DTP16" s="41"/>
      <c r="DTQ16" s="41"/>
      <c r="DTR16" s="41"/>
      <c r="DTS16" s="41"/>
      <c r="DTT16" s="41"/>
      <c r="DTU16" s="41"/>
      <c r="DTV16" s="41"/>
      <c r="DTW16" s="41"/>
      <c r="DTX16" s="41"/>
      <c r="DTY16" s="41"/>
      <c r="DTZ16" s="41"/>
      <c r="DUA16" s="41"/>
      <c r="DUB16" s="41"/>
      <c r="DUC16" s="41"/>
      <c r="DUD16" s="41"/>
      <c r="DUE16" s="41"/>
      <c r="DUF16" s="41"/>
      <c r="DUG16" s="41"/>
      <c r="DUH16" s="41"/>
      <c r="DUI16" s="41"/>
      <c r="DUJ16" s="41"/>
      <c r="DUK16" s="41"/>
      <c r="DUL16" s="41"/>
      <c r="DUM16" s="41"/>
      <c r="DUN16" s="41"/>
      <c r="DUO16" s="41"/>
      <c r="DUP16" s="41"/>
      <c r="DUQ16" s="41"/>
      <c r="DUR16" s="41"/>
      <c r="DUS16" s="41"/>
      <c r="DUT16" s="41"/>
      <c r="DUU16" s="41"/>
      <c r="DUV16" s="41"/>
      <c r="DUW16" s="41"/>
      <c r="DUX16" s="41"/>
      <c r="DUY16" s="41"/>
      <c r="DUZ16" s="41"/>
      <c r="DVA16" s="41"/>
      <c r="DVB16" s="41"/>
      <c r="DVC16" s="41"/>
      <c r="DVD16" s="41"/>
      <c r="DVE16" s="41"/>
      <c r="DVF16" s="41"/>
      <c r="DVG16" s="41"/>
      <c r="DVH16" s="41"/>
      <c r="DVI16" s="41"/>
      <c r="DVJ16" s="41"/>
      <c r="DVK16" s="41"/>
      <c r="DVL16" s="41"/>
      <c r="DVM16" s="41"/>
      <c r="DVN16" s="41"/>
      <c r="DVO16" s="41"/>
      <c r="DVP16" s="41"/>
      <c r="DVQ16" s="41"/>
      <c r="DVR16" s="41"/>
      <c r="DVS16" s="41"/>
      <c r="DVT16" s="41"/>
      <c r="DVU16" s="41"/>
      <c r="DVV16" s="41"/>
      <c r="DVW16" s="41"/>
      <c r="DVX16" s="41"/>
      <c r="DVY16" s="41"/>
      <c r="DVZ16" s="41"/>
      <c r="DWA16" s="41"/>
      <c r="DWB16" s="41"/>
      <c r="DWC16" s="41"/>
      <c r="DWD16" s="41"/>
      <c r="DWE16" s="41"/>
      <c r="DWF16" s="41"/>
      <c r="DWG16" s="41"/>
      <c r="DWH16" s="41"/>
      <c r="DWI16" s="41"/>
      <c r="DWJ16" s="41"/>
      <c r="DWK16" s="41"/>
      <c r="DWL16" s="41"/>
      <c r="DWM16" s="41"/>
      <c r="DWN16" s="41"/>
      <c r="DWO16" s="41"/>
      <c r="DWP16" s="41"/>
      <c r="DWQ16" s="41"/>
      <c r="DWR16" s="41"/>
      <c r="DWS16" s="41"/>
      <c r="DWT16" s="41"/>
      <c r="DWU16" s="41"/>
      <c r="DWV16" s="41"/>
      <c r="DWW16" s="41"/>
      <c r="DWX16" s="41"/>
      <c r="DWY16" s="41"/>
      <c r="DWZ16" s="41"/>
      <c r="DXA16" s="41"/>
      <c r="DXB16" s="41"/>
      <c r="DXC16" s="41"/>
      <c r="DXD16" s="41"/>
      <c r="DXE16" s="41"/>
      <c r="DXF16" s="41"/>
      <c r="DXG16" s="41"/>
      <c r="DXH16" s="41"/>
      <c r="DXI16" s="41"/>
      <c r="DXJ16" s="41"/>
      <c r="DXK16" s="41"/>
      <c r="DXL16" s="41"/>
      <c r="DXM16" s="41"/>
      <c r="DXN16" s="41"/>
      <c r="DXO16" s="41"/>
      <c r="DXP16" s="41"/>
      <c r="DXQ16" s="41"/>
      <c r="DXR16" s="41"/>
      <c r="DXS16" s="41"/>
      <c r="DXT16" s="41"/>
      <c r="DXU16" s="41"/>
      <c r="DXV16" s="41"/>
      <c r="DXW16" s="41"/>
      <c r="DXX16" s="41"/>
      <c r="DXY16" s="41"/>
      <c r="DXZ16" s="41"/>
      <c r="DYA16" s="41"/>
      <c r="DYB16" s="41"/>
      <c r="DYC16" s="41"/>
      <c r="DYD16" s="41"/>
      <c r="DYE16" s="41"/>
      <c r="DYF16" s="41"/>
      <c r="DYG16" s="41"/>
      <c r="DYH16" s="41"/>
      <c r="DYI16" s="41"/>
      <c r="DYJ16" s="41"/>
      <c r="DYK16" s="41"/>
      <c r="DYL16" s="41"/>
      <c r="DYM16" s="41"/>
      <c r="DYN16" s="41"/>
      <c r="DYO16" s="41"/>
      <c r="DYP16" s="41"/>
      <c r="DYQ16" s="41"/>
      <c r="DYR16" s="41"/>
      <c r="DYS16" s="41"/>
      <c r="DYT16" s="41"/>
      <c r="DYU16" s="41"/>
      <c r="DYV16" s="41"/>
      <c r="DYW16" s="41"/>
      <c r="DYX16" s="41"/>
      <c r="DYY16" s="41"/>
      <c r="DYZ16" s="41"/>
      <c r="DZA16" s="41"/>
      <c r="DZB16" s="41"/>
      <c r="DZC16" s="41"/>
      <c r="DZD16" s="41"/>
      <c r="DZE16" s="41"/>
      <c r="DZF16" s="41"/>
      <c r="DZG16" s="41"/>
      <c r="DZH16" s="41"/>
      <c r="DZI16" s="41"/>
      <c r="DZJ16" s="41"/>
      <c r="DZK16" s="41"/>
      <c r="DZL16" s="41"/>
      <c r="DZM16" s="41"/>
      <c r="DZN16" s="41"/>
      <c r="DZO16" s="41"/>
      <c r="DZP16" s="41"/>
      <c r="DZQ16" s="41"/>
      <c r="DZR16" s="41"/>
      <c r="DZS16" s="41"/>
      <c r="DZT16" s="41"/>
      <c r="DZU16" s="41"/>
      <c r="DZV16" s="41"/>
      <c r="DZW16" s="41"/>
      <c r="DZX16" s="41"/>
      <c r="DZY16" s="41"/>
      <c r="DZZ16" s="41"/>
      <c r="EAA16" s="41"/>
      <c r="EAB16" s="41"/>
      <c r="EAC16" s="41"/>
      <c r="EAD16" s="41"/>
      <c r="EAE16" s="41"/>
      <c r="EAF16" s="41"/>
      <c r="EAG16" s="41"/>
      <c r="EAH16" s="41"/>
      <c r="EAI16" s="41"/>
      <c r="EAJ16" s="41"/>
      <c r="EAK16" s="41"/>
      <c r="EAL16" s="41"/>
      <c r="EAM16" s="41"/>
      <c r="EAN16" s="41"/>
      <c r="EAO16" s="41"/>
      <c r="EAP16" s="41"/>
      <c r="EAQ16" s="41"/>
      <c r="EAR16" s="41"/>
      <c r="EAS16" s="41"/>
      <c r="EAT16" s="41"/>
      <c r="EAU16" s="41"/>
      <c r="EAV16" s="41"/>
      <c r="EAW16" s="41"/>
      <c r="EAX16" s="41"/>
      <c r="EAY16" s="41"/>
      <c r="EAZ16" s="41"/>
      <c r="EBA16" s="41"/>
      <c r="EBB16" s="41"/>
      <c r="EBC16" s="41"/>
      <c r="EBD16" s="41"/>
      <c r="EBE16" s="41"/>
      <c r="EBF16" s="41"/>
      <c r="EBG16" s="41"/>
      <c r="EBH16" s="41"/>
      <c r="EBI16" s="41"/>
      <c r="EBJ16" s="41"/>
      <c r="EBK16" s="41"/>
      <c r="EBL16" s="41"/>
      <c r="EBM16" s="41"/>
      <c r="EBN16" s="41"/>
      <c r="EBO16" s="41"/>
      <c r="EBP16" s="41"/>
      <c r="EBQ16" s="41"/>
      <c r="EBR16" s="41"/>
      <c r="EBS16" s="41"/>
      <c r="EBT16" s="41"/>
      <c r="EBU16" s="41"/>
      <c r="EBV16" s="41"/>
      <c r="EBW16" s="41"/>
      <c r="EBX16" s="41"/>
      <c r="EBY16" s="41"/>
      <c r="EBZ16" s="41"/>
      <c r="ECA16" s="41"/>
      <c r="ECB16" s="41"/>
      <c r="ECC16" s="41"/>
      <c r="ECD16" s="41"/>
      <c r="ECE16" s="41"/>
      <c r="ECF16" s="41"/>
      <c r="ECG16" s="41"/>
      <c r="ECH16" s="41"/>
      <c r="ECI16" s="41"/>
      <c r="ECJ16" s="41"/>
      <c r="ECK16" s="41"/>
      <c r="ECL16" s="41"/>
      <c r="ECM16" s="41"/>
      <c r="ECN16" s="41"/>
      <c r="ECO16" s="41"/>
      <c r="ECP16" s="41"/>
      <c r="ECQ16" s="41"/>
      <c r="ECR16" s="41"/>
      <c r="ECS16" s="41"/>
      <c r="ECT16" s="41"/>
      <c r="ECU16" s="41"/>
      <c r="ECV16" s="41"/>
      <c r="ECW16" s="41"/>
      <c r="ECX16" s="41"/>
      <c r="ECY16" s="41"/>
      <c r="ECZ16" s="41"/>
      <c r="EDA16" s="41"/>
      <c r="EDB16" s="41"/>
      <c r="EDC16" s="41"/>
      <c r="EDD16" s="41"/>
      <c r="EDE16" s="41"/>
      <c r="EDF16" s="41"/>
      <c r="EDG16" s="41"/>
      <c r="EDH16" s="41"/>
      <c r="EDI16" s="41"/>
      <c r="EDJ16" s="41"/>
      <c r="EDK16" s="41"/>
      <c r="EDL16" s="41"/>
      <c r="EDM16" s="41"/>
      <c r="EDN16" s="41"/>
      <c r="EDO16" s="41"/>
      <c r="EDP16" s="41"/>
      <c r="EDQ16" s="41"/>
      <c r="EDR16" s="41"/>
      <c r="EDS16" s="41"/>
      <c r="EDT16" s="41"/>
      <c r="EDU16" s="41"/>
      <c r="EDV16" s="41"/>
      <c r="EDW16" s="41"/>
      <c r="EDX16" s="41"/>
      <c r="EDY16" s="41"/>
      <c r="EDZ16" s="41"/>
      <c r="EEA16" s="41"/>
      <c r="EEB16" s="41"/>
      <c r="EEC16" s="41"/>
      <c r="EED16" s="41"/>
      <c r="EEE16" s="41"/>
      <c r="EEF16" s="41"/>
      <c r="EEG16" s="41"/>
      <c r="EEH16" s="41"/>
      <c r="EEI16" s="41"/>
      <c r="EEJ16" s="41"/>
      <c r="EEK16" s="41"/>
      <c r="EEL16" s="41"/>
      <c r="EEM16" s="41"/>
      <c r="EEN16" s="41"/>
      <c r="EEO16" s="41"/>
      <c r="EEP16" s="41"/>
      <c r="EEQ16" s="41"/>
      <c r="EER16" s="41"/>
      <c r="EES16" s="41"/>
      <c r="EET16" s="41"/>
      <c r="EEU16" s="41"/>
      <c r="EEV16" s="41"/>
      <c r="EEW16" s="41"/>
      <c r="EEX16" s="41"/>
      <c r="EEY16" s="41"/>
      <c r="EEZ16" s="41"/>
      <c r="EFA16" s="41"/>
      <c r="EFB16" s="41"/>
      <c r="EFC16" s="41"/>
      <c r="EFD16" s="41"/>
      <c r="EFE16" s="41"/>
      <c r="EFF16" s="41"/>
      <c r="EFG16" s="41"/>
      <c r="EFH16" s="41"/>
      <c r="EFI16" s="41"/>
      <c r="EFJ16" s="41"/>
      <c r="EFK16" s="41"/>
      <c r="EFL16" s="41"/>
      <c r="EFM16" s="41"/>
      <c r="EFN16" s="41"/>
      <c r="EFO16" s="41"/>
      <c r="EFP16" s="41"/>
      <c r="EFQ16" s="41"/>
      <c r="EFR16" s="41"/>
      <c r="EFS16" s="41"/>
      <c r="EFT16" s="41"/>
      <c r="EFU16" s="41"/>
      <c r="EFV16" s="41"/>
      <c r="EFW16" s="41"/>
      <c r="EFX16" s="41"/>
      <c r="EFY16" s="41"/>
      <c r="EFZ16" s="41"/>
      <c r="EGA16" s="41"/>
      <c r="EGB16" s="41"/>
      <c r="EGC16" s="41"/>
      <c r="EGD16" s="41"/>
      <c r="EGE16" s="41"/>
      <c r="EGF16" s="41"/>
      <c r="EGG16" s="41"/>
      <c r="EGH16" s="41"/>
      <c r="EGI16" s="41"/>
      <c r="EGJ16" s="41"/>
      <c r="EGK16" s="41"/>
      <c r="EGL16" s="41"/>
      <c r="EGM16" s="41"/>
      <c r="EGN16" s="41"/>
      <c r="EGO16" s="41"/>
      <c r="EGP16" s="41"/>
      <c r="EGQ16" s="41"/>
      <c r="EGR16" s="41"/>
      <c r="EGS16" s="41"/>
      <c r="EGT16" s="41"/>
      <c r="EGU16" s="41"/>
      <c r="EGV16" s="41"/>
      <c r="EGW16" s="41"/>
      <c r="EGX16" s="41"/>
      <c r="EGY16" s="41"/>
      <c r="EGZ16" s="41"/>
      <c r="EHA16" s="41"/>
      <c r="EHB16" s="41"/>
      <c r="EHC16" s="41"/>
      <c r="EHD16" s="41"/>
      <c r="EHE16" s="41"/>
      <c r="EHF16" s="41"/>
      <c r="EHG16" s="41"/>
      <c r="EHH16" s="41"/>
      <c r="EHI16" s="41"/>
      <c r="EHJ16" s="41"/>
      <c r="EHK16" s="41"/>
      <c r="EHL16" s="41"/>
      <c r="EHM16" s="41"/>
      <c r="EHN16" s="41"/>
      <c r="EHO16" s="41"/>
      <c r="EHP16" s="41"/>
      <c r="EHQ16" s="41"/>
      <c r="EHR16" s="41"/>
      <c r="EHS16" s="41"/>
      <c r="EHT16" s="41"/>
      <c r="EHU16" s="41"/>
      <c r="EHV16" s="41"/>
      <c r="EHW16" s="41"/>
      <c r="EHX16" s="41"/>
      <c r="EHY16" s="41"/>
      <c r="EHZ16" s="41"/>
      <c r="EIA16" s="41"/>
      <c r="EIB16" s="41"/>
      <c r="EIC16" s="41"/>
      <c r="EID16" s="41"/>
      <c r="EIE16" s="41"/>
      <c r="EIF16" s="41"/>
      <c r="EIG16" s="41"/>
      <c r="EIH16" s="41"/>
      <c r="EII16" s="41"/>
      <c r="EIJ16" s="41"/>
      <c r="EIK16" s="41"/>
      <c r="EIL16" s="41"/>
      <c r="EIM16" s="41"/>
      <c r="EIN16" s="41"/>
      <c r="EIO16" s="41"/>
      <c r="EIP16" s="41"/>
      <c r="EIQ16" s="41"/>
      <c r="EIR16" s="41"/>
      <c r="EIS16" s="41"/>
      <c r="EIT16" s="41"/>
      <c r="EIU16" s="41"/>
      <c r="EIV16" s="41"/>
      <c r="EIW16" s="41"/>
      <c r="EIX16" s="41"/>
      <c r="EIY16" s="41"/>
      <c r="EIZ16" s="41"/>
      <c r="EJA16" s="41"/>
      <c r="EJB16" s="41"/>
      <c r="EJC16" s="41"/>
      <c r="EJD16" s="41"/>
      <c r="EJE16" s="41"/>
      <c r="EJF16" s="41"/>
      <c r="EJG16" s="41"/>
      <c r="EJH16" s="41"/>
      <c r="EJI16" s="41"/>
      <c r="EJJ16" s="41"/>
      <c r="EJK16" s="41"/>
      <c r="EJL16" s="41"/>
      <c r="EJM16" s="41"/>
      <c r="EJN16" s="41"/>
      <c r="EJO16" s="41"/>
      <c r="EJP16" s="41"/>
      <c r="EJQ16" s="41"/>
      <c r="EJR16" s="41"/>
      <c r="EJS16" s="41"/>
      <c r="EJT16" s="41"/>
      <c r="EJU16" s="41"/>
      <c r="EJV16" s="41"/>
      <c r="EJW16" s="41"/>
      <c r="EJX16" s="41"/>
      <c r="EJY16" s="41"/>
      <c r="EJZ16" s="41"/>
      <c r="EKA16" s="41"/>
      <c r="EKB16" s="41"/>
      <c r="EKC16" s="41"/>
      <c r="EKD16" s="41"/>
      <c r="EKE16" s="41"/>
      <c r="EKF16" s="41"/>
      <c r="EKG16" s="41"/>
      <c r="EKH16" s="41"/>
      <c r="EKI16" s="41"/>
      <c r="EKJ16" s="41"/>
      <c r="EKK16" s="41"/>
      <c r="EKL16" s="41"/>
      <c r="EKM16" s="41"/>
      <c r="EKN16" s="41"/>
      <c r="EKO16" s="41"/>
      <c r="EKP16" s="41"/>
      <c r="EKQ16" s="41"/>
      <c r="EKR16" s="41"/>
      <c r="EKS16" s="41"/>
      <c r="EKT16" s="41"/>
      <c r="EKU16" s="41"/>
      <c r="EKV16" s="41"/>
      <c r="EKW16" s="41"/>
      <c r="EKX16" s="41"/>
      <c r="EKY16" s="41"/>
      <c r="EKZ16" s="41"/>
      <c r="ELA16" s="41"/>
      <c r="ELB16" s="41"/>
      <c r="ELC16" s="41"/>
      <c r="ELD16" s="41"/>
      <c r="ELE16" s="41"/>
      <c r="ELF16" s="41"/>
      <c r="ELG16" s="41"/>
      <c r="ELH16" s="41"/>
      <c r="ELI16" s="41"/>
      <c r="ELJ16" s="41"/>
      <c r="ELK16" s="41"/>
      <c r="ELL16" s="41"/>
      <c r="ELM16" s="41"/>
      <c r="ELN16" s="41"/>
      <c r="ELO16" s="41"/>
      <c r="ELP16" s="41"/>
      <c r="ELQ16" s="41"/>
      <c r="ELR16" s="41"/>
      <c r="ELS16" s="41"/>
      <c r="ELT16" s="41"/>
      <c r="ELU16" s="41"/>
      <c r="ELV16" s="41"/>
      <c r="ELW16" s="41"/>
      <c r="ELX16" s="41"/>
      <c r="ELY16" s="41"/>
      <c r="ELZ16" s="41"/>
      <c r="EMA16" s="41"/>
      <c r="EMB16" s="41"/>
      <c r="EMC16" s="41"/>
      <c r="EMD16" s="41"/>
      <c r="EME16" s="41"/>
      <c r="EMF16" s="41"/>
      <c r="EMG16" s="41"/>
      <c r="EMH16" s="41"/>
      <c r="EMI16" s="41"/>
      <c r="EMJ16" s="41"/>
      <c r="EMK16" s="41"/>
      <c r="EML16" s="41"/>
      <c r="EMM16" s="41"/>
      <c r="EMN16" s="41"/>
      <c r="EMO16" s="41"/>
      <c r="EMP16" s="41"/>
      <c r="EMQ16" s="41"/>
      <c r="EMR16" s="41"/>
      <c r="EMS16" s="41"/>
      <c r="EMT16" s="41"/>
      <c r="EMU16" s="41"/>
      <c r="EMV16" s="41"/>
      <c r="EMW16" s="41"/>
      <c r="EMX16" s="41"/>
      <c r="EMY16" s="41"/>
      <c r="EMZ16" s="41"/>
      <c r="ENA16" s="41"/>
      <c r="ENB16" s="41"/>
      <c r="ENC16" s="41"/>
      <c r="END16" s="41"/>
      <c r="ENE16" s="41"/>
      <c r="ENF16" s="41"/>
      <c r="ENG16" s="41"/>
      <c r="ENH16" s="41"/>
      <c r="ENI16" s="41"/>
      <c r="ENJ16" s="41"/>
      <c r="ENK16" s="41"/>
      <c r="ENL16" s="41"/>
      <c r="ENM16" s="41"/>
      <c r="ENN16" s="41"/>
      <c r="ENO16" s="41"/>
      <c r="ENP16" s="41"/>
      <c r="ENQ16" s="41"/>
      <c r="ENR16" s="41"/>
      <c r="ENS16" s="41"/>
      <c r="ENT16" s="41"/>
      <c r="ENU16" s="41"/>
      <c r="ENV16" s="41"/>
      <c r="ENW16" s="41"/>
      <c r="ENX16" s="41"/>
      <c r="ENY16" s="41"/>
      <c r="ENZ16" s="41"/>
      <c r="EOA16" s="41"/>
      <c r="EOB16" s="41"/>
      <c r="EOC16" s="41"/>
      <c r="EOD16" s="41"/>
      <c r="EOE16" s="41"/>
      <c r="EOF16" s="41"/>
      <c r="EOG16" s="41"/>
      <c r="EOH16" s="41"/>
      <c r="EOI16" s="41"/>
      <c r="EOJ16" s="41"/>
      <c r="EOK16" s="41"/>
      <c r="EOL16" s="41"/>
      <c r="EOM16" s="41"/>
      <c r="EON16" s="41"/>
      <c r="EOO16" s="41"/>
      <c r="EOP16" s="41"/>
      <c r="EOQ16" s="41"/>
      <c r="EOR16" s="41"/>
      <c r="EOS16" s="41"/>
      <c r="EOT16" s="41"/>
      <c r="EOU16" s="41"/>
      <c r="EOV16" s="41"/>
      <c r="EOW16" s="41"/>
      <c r="EOX16" s="41"/>
      <c r="EOY16" s="41"/>
      <c r="EOZ16" s="41"/>
      <c r="EPA16" s="41"/>
      <c r="EPB16" s="41"/>
      <c r="EPC16" s="41"/>
      <c r="EPD16" s="41"/>
      <c r="EPE16" s="41"/>
      <c r="EPF16" s="41"/>
      <c r="EPG16" s="41"/>
      <c r="EPH16" s="41"/>
      <c r="EPI16" s="41"/>
      <c r="EPJ16" s="41"/>
      <c r="EPK16" s="41"/>
      <c r="EPL16" s="41"/>
      <c r="EPM16" s="41"/>
      <c r="EPN16" s="41"/>
      <c r="EPO16" s="41"/>
      <c r="EPP16" s="41"/>
      <c r="EPQ16" s="41"/>
      <c r="EPR16" s="41"/>
      <c r="EPS16" s="41"/>
      <c r="EPT16" s="41"/>
      <c r="EPU16" s="41"/>
      <c r="EPV16" s="41"/>
      <c r="EPW16" s="41"/>
      <c r="EPX16" s="41"/>
      <c r="EPY16" s="41"/>
      <c r="EPZ16" s="41"/>
      <c r="EQA16" s="41"/>
      <c r="EQB16" s="41"/>
      <c r="EQC16" s="41"/>
      <c r="EQD16" s="41"/>
      <c r="EQE16" s="41"/>
      <c r="EQF16" s="41"/>
      <c r="EQG16" s="41"/>
      <c r="EQH16" s="41"/>
      <c r="EQI16" s="41"/>
      <c r="EQJ16" s="41"/>
      <c r="EQK16" s="41"/>
      <c r="EQL16" s="41"/>
      <c r="EQM16" s="41"/>
      <c r="EQN16" s="41"/>
      <c r="EQO16" s="41"/>
      <c r="EQP16" s="41"/>
      <c r="EQQ16" s="41"/>
      <c r="EQR16" s="41"/>
      <c r="EQS16" s="41"/>
      <c r="EQT16" s="41"/>
      <c r="EQU16" s="41"/>
      <c r="EQV16" s="41"/>
      <c r="EQW16" s="41"/>
      <c r="EQX16" s="41"/>
      <c r="EQY16" s="41"/>
      <c r="EQZ16" s="41"/>
      <c r="ERA16" s="41"/>
      <c r="ERB16" s="41"/>
      <c r="ERC16" s="41"/>
      <c r="ERD16" s="41"/>
      <c r="ERE16" s="41"/>
      <c r="ERF16" s="41"/>
      <c r="ERG16" s="41"/>
      <c r="ERH16" s="41"/>
      <c r="ERI16" s="41"/>
      <c r="ERJ16" s="41"/>
      <c r="ERK16" s="41"/>
      <c r="ERL16" s="41"/>
      <c r="ERM16" s="41"/>
      <c r="ERN16" s="41"/>
      <c r="ERO16" s="41"/>
      <c r="ERP16" s="41"/>
      <c r="ERQ16" s="41"/>
      <c r="ERR16" s="41"/>
      <c r="ERS16" s="41"/>
      <c r="ERT16" s="41"/>
      <c r="ERU16" s="41"/>
      <c r="ERV16" s="41"/>
      <c r="ERW16" s="41"/>
      <c r="ERX16" s="41"/>
      <c r="ERY16" s="41"/>
      <c r="ERZ16" s="41"/>
      <c r="ESA16" s="41"/>
      <c r="ESB16" s="41"/>
      <c r="ESC16" s="41"/>
      <c r="ESD16" s="41"/>
      <c r="ESE16" s="41"/>
      <c r="ESF16" s="41"/>
      <c r="ESG16" s="41"/>
      <c r="ESH16" s="41"/>
      <c r="ESI16" s="41"/>
      <c r="ESJ16" s="41"/>
      <c r="ESK16" s="41"/>
      <c r="ESL16" s="41"/>
      <c r="ESM16" s="41"/>
      <c r="ESN16" s="41"/>
      <c r="ESO16" s="41"/>
      <c r="ESP16" s="41"/>
      <c r="ESQ16" s="41"/>
      <c r="ESR16" s="41"/>
      <c r="ESS16" s="41"/>
      <c r="EST16" s="41"/>
      <c r="ESU16" s="41"/>
      <c r="ESV16" s="41"/>
      <c r="ESW16" s="41"/>
      <c r="ESX16" s="41"/>
      <c r="ESY16" s="41"/>
      <c r="ESZ16" s="41"/>
      <c r="ETA16" s="41"/>
      <c r="ETB16" s="41"/>
      <c r="ETC16" s="41"/>
      <c r="ETD16" s="41"/>
      <c r="ETE16" s="41"/>
      <c r="ETF16" s="41"/>
      <c r="ETG16" s="41"/>
      <c r="ETH16" s="41"/>
      <c r="ETI16" s="41"/>
      <c r="ETJ16" s="41"/>
      <c r="ETK16" s="41"/>
      <c r="ETL16" s="41"/>
      <c r="ETM16" s="41"/>
      <c r="ETN16" s="41"/>
      <c r="ETO16" s="41"/>
      <c r="ETP16" s="41"/>
      <c r="ETQ16" s="41"/>
      <c r="ETR16" s="41"/>
      <c r="ETS16" s="41"/>
      <c r="ETT16" s="41"/>
      <c r="ETU16" s="41"/>
      <c r="ETV16" s="41"/>
      <c r="ETW16" s="41"/>
      <c r="ETX16" s="41"/>
      <c r="ETY16" s="41"/>
      <c r="ETZ16" s="41"/>
      <c r="EUA16" s="41"/>
      <c r="EUB16" s="41"/>
      <c r="EUC16" s="41"/>
      <c r="EUD16" s="41"/>
      <c r="EUE16" s="41"/>
      <c r="EUF16" s="41"/>
      <c r="EUG16" s="41"/>
      <c r="EUH16" s="41"/>
      <c r="EUI16" s="41"/>
      <c r="EUJ16" s="41"/>
      <c r="EUK16" s="41"/>
      <c r="EUL16" s="41"/>
      <c r="EUM16" s="41"/>
      <c r="EUN16" s="41"/>
      <c r="EUO16" s="41"/>
      <c r="EUP16" s="41"/>
      <c r="EUQ16" s="41"/>
      <c r="EUR16" s="41"/>
      <c r="EUS16" s="41"/>
      <c r="EUT16" s="41"/>
      <c r="EUU16" s="41"/>
      <c r="EUV16" s="41"/>
      <c r="EUW16" s="41"/>
      <c r="EUX16" s="41"/>
      <c r="EUY16" s="41"/>
      <c r="EUZ16" s="41"/>
      <c r="EVA16" s="41"/>
      <c r="EVB16" s="41"/>
      <c r="EVC16" s="41"/>
      <c r="EVD16" s="41"/>
      <c r="EVE16" s="41"/>
      <c r="EVF16" s="41"/>
      <c r="EVG16" s="41"/>
      <c r="EVH16" s="41"/>
      <c r="EVI16" s="41"/>
      <c r="EVJ16" s="41"/>
      <c r="EVK16" s="41"/>
      <c r="EVL16" s="41"/>
      <c r="EVM16" s="41"/>
      <c r="EVN16" s="41"/>
      <c r="EVO16" s="41"/>
      <c r="EVP16" s="41"/>
      <c r="EVQ16" s="41"/>
      <c r="EVR16" s="41"/>
      <c r="EVS16" s="41"/>
      <c r="EVT16" s="41"/>
      <c r="EVU16" s="41"/>
      <c r="EVV16" s="41"/>
      <c r="EVW16" s="41"/>
      <c r="EVX16" s="41"/>
      <c r="EVY16" s="41"/>
      <c r="EVZ16" s="41"/>
      <c r="EWA16" s="41"/>
      <c r="EWB16" s="41"/>
      <c r="EWC16" s="41"/>
      <c r="EWD16" s="41"/>
      <c r="EWE16" s="41"/>
      <c r="EWF16" s="41"/>
      <c r="EWG16" s="41"/>
      <c r="EWH16" s="41"/>
      <c r="EWI16" s="41"/>
      <c r="EWJ16" s="41"/>
      <c r="EWK16" s="41"/>
      <c r="EWL16" s="41"/>
      <c r="EWM16" s="41"/>
      <c r="EWN16" s="41"/>
      <c r="EWO16" s="41"/>
      <c r="EWP16" s="41"/>
      <c r="EWQ16" s="41"/>
      <c r="EWR16" s="41"/>
      <c r="EWS16" s="41"/>
      <c r="EWT16" s="41"/>
      <c r="EWU16" s="41"/>
      <c r="EWV16" s="41"/>
      <c r="EWW16" s="41"/>
      <c r="EWX16" s="41"/>
      <c r="EWY16" s="41"/>
      <c r="EWZ16" s="41"/>
      <c r="EXA16" s="41"/>
      <c r="EXB16" s="41"/>
      <c r="EXC16" s="41"/>
      <c r="EXD16" s="41"/>
      <c r="EXE16" s="41"/>
      <c r="EXF16" s="41"/>
      <c r="EXG16" s="41"/>
      <c r="EXH16" s="41"/>
      <c r="EXI16" s="41"/>
      <c r="EXJ16" s="41"/>
      <c r="EXK16" s="41"/>
      <c r="EXL16" s="41"/>
      <c r="EXM16" s="41"/>
      <c r="EXN16" s="41"/>
      <c r="EXO16" s="41"/>
      <c r="EXP16" s="41"/>
      <c r="EXQ16" s="41"/>
      <c r="EXR16" s="41"/>
      <c r="EXS16" s="41"/>
      <c r="EXT16" s="41"/>
      <c r="EXU16" s="41"/>
      <c r="EXV16" s="41"/>
      <c r="EXW16" s="41"/>
      <c r="EXX16" s="41"/>
      <c r="EXY16" s="41"/>
      <c r="EXZ16" s="41"/>
      <c r="EYA16" s="41"/>
      <c r="EYB16" s="41"/>
      <c r="EYC16" s="41"/>
      <c r="EYD16" s="41"/>
      <c r="EYE16" s="41"/>
      <c r="EYF16" s="41"/>
      <c r="EYG16" s="41"/>
      <c r="EYH16" s="41"/>
      <c r="EYI16" s="41"/>
      <c r="EYJ16" s="41"/>
      <c r="EYK16" s="41"/>
      <c r="EYL16" s="41"/>
      <c r="EYM16" s="41"/>
      <c r="EYN16" s="41"/>
      <c r="EYO16" s="41"/>
      <c r="EYP16" s="41"/>
      <c r="EYQ16" s="41"/>
      <c r="EYR16" s="41"/>
      <c r="EYS16" s="41"/>
      <c r="EYT16" s="41"/>
      <c r="EYU16" s="41"/>
      <c r="EYV16" s="41"/>
      <c r="EYW16" s="41"/>
      <c r="EYX16" s="41"/>
      <c r="EYY16" s="41"/>
      <c r="EYZ16" s="41"/>
      <c r="EZA16" s="41"/>
      <c r="EZB16" s="41"/>
      <c r="EZC16" s="41"/>
      <c r="EZD16" s="41"/>
      <c r="EZE16" s="41"/>
      <c r="EZF16" s="41"/>
      <c r="EZG16" s="41"/>
      <c r="EZH16" s="41"/>
      <c r="EZI16" s="41"/>
      <c r="EZJ16" s="41"/>
      <c r="EZK16" s="41"/>
      <c r="EZL16" s="41"/>
      <c r="EZM16" s="41"/>
      <c r="EZN16" s="41"/>
      <c r="EZO16" s="41"/>
      <c r="EZP16" s="41"/>
      <c r="EZQ16" s="41"/>
      <c r="EZR16" s="41"/>
      <c r="EZS16" s="41"/>
      <c r="EZT16" s="41"/>
      <c r="EZU16" s="41"/>
      <c r="EZV16" s="41"/>
      <c r="EZW16" s="41"/>
      <c r="EZX16" s="41"/>
      <c r="EZY16" s="41"/>
      <c r="EZZ16" s="41"/>
      <c r="FAA16" s="41"/>
      <c r="FAB16" s="41"/>
      <c r="FAC16" s="41"/>
      <c r="FAD16" s="41"/>
      <c r="FAE16" s="41"/>
      <c r="FAF16" s="41"/>
      <c r="FAG16" s="41"/>
      <c r="FAH16" s="41"/>
      <c r="FAI16" s="41"/>
      <c r="FAJ16" s="41"/>
      <c r="FAK16" s="41"/>
      <c r="FAL16" s="41"/>
      <c r="FAM16" s="41"/>
      <c r="FAN16" s="41"/>
      <c r="FAO16" s="41"/>
      <c r="FAP16" s="41"/>
      <c r="FAQ16" s="41"/>
      <c r="FAR16" s="41"/>
      <c r="FAS16" s="41"/>
      <c r="FAT16" s="41"/>
      <c r="FAU16" s="41"/>
      <c r="FAV16" s="41"/>
      <c r="FAW16" s="41"/>
      <c r="FAX16" s="41"/>
      <c r="FAY16" s="41"/>
      <c r="FAZ16" s="41"/>
      <c r="FBA16" s="41"/>
      <c r="FBB16" s="41"/>
      <c r="FBC16" s="41"/>
      <c r="FBD16" s="41"/>
      <c r="FBE16" s="41"/>
      <c r="FBF16" s="41"/>
      <c r="FBG16" s="41"/>
      <c r="FBH16" s="41"/>
      <c r="FBI16" s="41"/>
      <c r="FBJ16" s="41"/>
      <c r="FBK16" s="41"/>
      <c r="FBL16" s="41"/>
      <c r="FBM16" s="41"/>
      <c r="FBN16" s="41"/>
      <c r="FBO16" s="41"/>
      <c r="FBP16" s="41"/>
      <c r="FBQ16" s="41"/>
      <c r="FBR16" s="41"/>
      <c r="FBS16" s="41"/>
      <c r="FBT16" s="41"/>
      <c r="FBU16" s="41"/>
      <c r="FBV16" s="41"/>
      <c r="FBW16" s="41"/>
      <c r="FBX16" s="41"/>
      <c r="FBY16" s="41"/>
      <c r="FBZ16" s="41"/>
      <c r="FCA16" s="41"/>
      <c r="FCB16" s="41"/>
      <c r="FCC16" s="41"/>
      <c r="FCD16" s="41"/>
      <c r="FCE16" s="41"/>
      <c r="FCF16" s="41"/>
      <c r="FCG16" s="41"/>
      <c r="FCH16" s="41"/>
      <c r="FCI16" s="41"/>
      <c r="FCJ16" s="41"/>
      <c r="FCK16" s="41"/>
      <c r="FCL16" s="41"/>
      <c r="FCM16" s="41"/>
      <c r="FCN16" s="41"/>
      <c r="FCO16" s="41"/>
      <c r="FCP16" s="41"/>
      <c r="FCQ16" s="41"/>
      <c r="FCR16" s="41"/>
      <c r="FCS16" s="41"/>
      <c r="FCT16" s="41"/>
      <c r="FCU16" s="41"/>
      <c r="FCV16" s="41"/>
      <c r="FCW16" s="41"/>
      <c r="FCX16" s="41"/>
      <c r="FCY16" s="41"/>
      <c r="FCZ16" s="41"/>
      <c r="FDA16" s="41"/>
      <c r="FDB16" s="41"/>
      <c r="FDC16" s="41"/>
      <c r="FDD16" s="41"/>
      <c r="FDE16" s="41"/>
      <c r="FDF16" s="41"/>
      <c r="FDG16" s="41"/>
      <c r="FDH16" s="41"/>
      <c r="FDI16" s="41"/>
      <c r="FDJ16" s="41"/>
      <c r="FDK16" s="41"/>
      <c r="FDL16" s="41"/>
      <c r="FDM16" s="41"/>
      <c r="FDN16" s="41"/>
      <c r="FDO16" s="41"/>
      <c r="FDP16" s="41"/>
      <c r="FDQ16" s="41"/>
      <c r="FDR16" s="41"/>
      <c r="FDS16" s="41"/>
      <c r="FDT16" s="41"/>
      <c r="FDU16" s="41"/>
      <c r="FDV16" s="41"/>
      <c r="FDW16" s="41"/>
      <c r="FDX16" s="41"/>
      <c r="FDY16" s="41"/>
      <c r="FDZ16" s="41"/>
      <c r="FEA16" s="41"/>
      <c r="FEB16" s="41"/>
      <c r="FEC16" s="41"/>
      <c r="FED16" s="41"/>
      <c r="FEE16" s="41"/>
      <c r="FEF16" s="41"/>
      <c r="FEG16" s="41"/>
      <c r="FEH16" s="41"/>
      <c r="FEI16" s="41"/>
      <c r="FEJ16" s="41"/>
      <c r="FEK16" s="41"/>
      <c r="FEL16" s="41"/>
      <c r="FEM16" s="41"/>
      <c r="FEN16" s="41"/>
      <c r="FEO16" s="41"/>
      <c r="FEP16" s="41"/>
      <c r="FEQ16" s="41"/>
      <c r="FER16" s="41"/>
      <c r="FES16" s="41"/>
      <c r="FET16" s="41"/>
      <c r="FEU16" s="41"/>
      <c r="FEV16" s="41"/>
      <c r="FEW16" s="41"/>
      <c r="FEX16" s="41"/>
      <c r="FEY16" s="41"/>
      <c r="FEZ16" s="41"/>
      <c r="FFA16" s="41"/>
      <c r="FFB16" s="41"/>
      <c r="FFC16" s="41"/>
      <c r="FFD16" s="41"/>
      <c r="FFE16" s="41"/>
      <c r="FFF16" s="41"/>
      <c r="FFG16" s="41"/>
      <c r="FFH16" s="41"/>
      <c r="FFI16" s="41"/>
      <c r="FFJ16" s="41"/>
      <c r="FFK16" s="41"/>
      <c r="FFL16" s="41"/>
      <c r="FFM16" s="41"/>
      <c r="FFN16" s="41"/>
      <c r="FFO16" s="41"/>
      <c r="FFP16" s="41"/>
      <c r="FFQ16" s="41"/>
      <c r="FFR16" s="41"/>
      <c r="FFS16" s="41"/>
      <c r="FFT16" s="41"/>
      <c r="FFU16" s="41"/>
      <c r="FFV16" s="41"/>
      <c r="FFW16" s="41"/>
      <c r="FFX16" s="41"/>
      <c r="FFY16" s="41"/>
      <c r="FFZ16" s="41"/>
      <c r="FGA16" s="41"/>
      <c r="FGB16" s="41"/>
      <c r="FGC16" s="41"/>
      <c r="FGD16" s="41"/>
      <c r="FGE16" s="41"/>
      <c r="FGF16" s="41"/>
      <c r="FGG16" s="41"/>
      <c r="FGH16" s="41"/>
      <c r="FGI16" s="41"/>
      <c r="FGJ16" s="41"/>
      <c r="FGK16" s="41"/>
      <c r="FGL16" s="41"/>
      <c r="FGM16" s="41"/>
      <c r="FGN16" s="41"/>
      <c r="FGO16" s="41"/>
      <c r="FGP16" s="41"/>
      <c r="FGQ16" s="41"/>
      <c r="FGR16" s="41"/>
      <c r="FGS16" s="41"/>
      <c r="FGT16" s="41"/>
      <c r="FGU16" s="41"/>
      <c r="FGV16" s="41"/>
      <c r="FGW16" s="41"/>
      <c r="FGX16" s="41"/>
      <c r="FGY16" s="41"/>
      <c r="FGZ16" s="41"/>
      <c r="FHA16" s="41"/>
      <c r="FHB16" s="41"/>
      <c r="FHC16" s="41"/>
      <c r="FHD16" s="41"/>
      <c r="FHE16" s="41"/>
      <c r="FHF16" s="41"/>
      <c r="FHG16" s="41"/>
      <c r="FHH16" s="41"/>
      <c r="FHI16" s="41"/>
      <c r="FHJ16" s="41"/>
      <c r="FHK16" s="41"/>
      <c r="FHL16" s="41"/>
      <c r="FHM16" s="41"/>
      <c r="FHN16" s="41"/>
      <c r="FHO16" s="41"/>
      <c r="FHP16" s="41"/>
      <c r="FHQ16" s="41"/>
      <c r="FHR16" s="41"/>
      <c r="FHS16" s="41"/>
      <c r="FHT16" s="41"/>
      <c r="FHU16" s="41"/>
      <c r="FHV16" s="41"/>
      <c r="FHW16" s="41"/>
      <c r="FHX16" s="41"/>
      <c r="FHY16" s="41"/>
      <c r="FHZ16" s="41"/>
      <c r="FIA16" s="41"/>
      <c r="FIB16" s="41"/>
      <c r="FIC16" s="41"/>
      <c r="FID16" s="41"/>
      <c r="FIE16" s="41"/>
      <c r="FIF16" s="41"/>
      <c r="FIG16" s="41"/>
      <c r="FIH16" s="41"/>
      <c r="FII16" s="41"/>
      <c r="FIJ16" s="41"/>
      <c r="FIK16" s="41"/>
      <c r="FIL16" s="41"/>
      <c r="FIM16" s="41"/>
      <c r="FIN16" s="41"/>
      <c r="FIO16" s="41"/>
      <c r="FIP16" s="41"/>
      <c r="FIQ16" s="41"/>
      <c r="FIR16" s="41"/>
      <c r="FIS16" s="41"/>
      <c r="FIT16" s="41"/>
      <c r="FIU16" s="41"/>
      <c r="FIV16" s="41"/>
      <c r="FIW16" s="41"/>
      <c r="FIX16" s="41"/>
      <c r="FIY16" s="41"/>
      <c r="FIZ16" s="41"/>
      <c r="FJA16" s="41"/>
      <c r="FJB16" s="41"/>
      <c r="FJC16" s="41"/>
      <c r="FJD16" s="41"/>
      <c r="FJE16" s="41"/>
      <c r="FJF16" s="41"/>
      <c r="FJG16" s="41"/>
      <c r="FJH16" s="41"/>
      <c r="FJI16" s="41"/>
      <c r="FJJ16" s="41"/>
      <c r="FJK16" s="41"/>
      <c r="FJL16" s="41"/>
      <c r="FJM16" s="41"/>
      <c r="FJN16" s="41"/>
      <c r="FJO16" s="41"/>
      <c r="FJP16" s="41"/>
      <c r="FJQ16" s="41"/>
      <c r="FJR16" s="41"/>
      <c r="FJS16" s="41"/>
      <c r="FJT16" s="41"/>
      <c r="FJU16" s="41"/>
      <c r="FJV16" s="41"/>
      <c r="FJW16" s="41"/>
      <c r="FJX16" s="41"/>
      <c r="FJY16" s="41"/>
      <c r="FJZ16" s="41"/>
      <c r="FKA16" s="41"/>
      <c r="FKB16" s="41"/>
      <c r="FKC16" s="41"/>
      <c r="FKD16" s="41"/>
      <c r="FKE16" s="41"/>
      <c r="FKF16" s="41"/>
      <c r="FKG16" s="41"/>
      <c r="FKH16" s="41"/>
      <c r="FKI16" s="41"/>
      <c r="FKJ16" s="41"/>
      <c r="FKK16" s="41"/>
      <c r="FKL16" s="41"/>
      <c r="FKM16" s="41"/>
      <c r="FKN16" s="41"/>
      <c r="FKO16" s="41"/>
      <c r="FKP16" s="41"/>
      <c r="FKQ16" s="41"/>
      <c r="FKR16" s="41"/>
      <c r="FKS16" s="41"/>
      <c r="FKT16" s="41"/>
      <c r="FKU16" s="41"/>
      <c r="FKV16" s="41"/>
      <c r="FKW16" s="41"/>
      <c r="FKX16" s="41"/>
      <c r="FKY16" s="41"/>
      <c r="FKZ16" s="41"/>
      <c r="FLA16" s="41"/>
      <c r="FLB16" s="41"/>
      <c r="FLC16" s="41"/>
      <c r="FLD16" s="41"/>
      <c r="FLE16" s="41"/>
      <c r="FLF16" s="41"/>
      <c r="FLG16" s="41"/>
      <c r="FLH16" s="41"/>
      <c r="FLI16" s="41"/>
      <c r="FLJ16" s="41"/>
      <c r="FLK16" s="41"/>
      <c r="FLL16" s="41"/>
      <c r="FLM16" s="41"/>
      <c r="FLN16" s="41"/>
      <c r="FLO16" s="41"/>
      <c r="FLP16" s="41"/>
      <c r="FLQ16" s="41"/>
      <c r="FLR16" s="41"/>
      <c r="FLS16" s="41"/>
      <c r="FLT16" s="41"/>
      <c r="FLU16" s="41"/>
      <c r="FLV16" s="41"/>
      <c r="FLW16" s="41"/>
      <c r="FLX16" s="41"/>
      <c r="FLY16" s="41"/>
      <c r="FLZ16" s="41"/>
      <c r="FMA16" s="41"/>
      <c r="FMB16" s="41"/>
      <c r="FMC16" s="41"/>
      <c r="FMD16" s="41"/>
      <c r="FME16" s="41"/>
      <c r="FMF16" s="41"/>
      <c r="FMG16" s="41"/>
      <c r="FMH16" s="41"/>
      <c r="FMI16" s="41"/>
      <c r="FMJ16" s="41"/>
      <c r="FMK16" s="41"/>
      <c r="FML16" s="41"/>
      <c r="FMM16" s="41"/>
      <c r="FMN16" s="41"/>
      <c r="FMO16" s="41"/>
      <c r="FMP16" s="41"/>
      <c r="FMQ16" s="41"/>
      <c r="FMR16" s="41"/>
      <c r="FMS16" s="41"/>
      <c r="FMT16" s="41"/>
      <c r="FMU16" s="41"/>
      <c r="FMV16" s="41"/>
      <c r="FMW16" s="41"/>
      <c r="FMX16" s="41"/>
      <c r="FMY16" s="41"/>
      <c r="FMZ16" s="41"/>
      <c r="FNA16" s="41"/>
      <c r="FNB16" s="41"/>
      <c r="FNC16" s="41"/>
      <c r="FND16" s="41"/>
      <c r="FNE16" s="41"/>
      <c r="FNF16" s="41"/>
      <c r="FNG16" s="41"/>
      <c r="FNH16" s="41"/>
      <c r="FNI16" s="41"/>
      <c r="FNJ16" s="41"/>
      <c r="FNK16" s="41"/>
      <c r="FNL16" s="41"/>
      <c r="FNM16" s="41"/>
      <c r="FNN16" s="41"/>
      <c r="FNO16" s="41"/>
      <c r="FNP16" s="41"/>
      <c r="FNQ16" s="41"/>
      <c r="FNR16" s="41"/>
      <c r="FNS16" s="41"/>
      <c r="FNT16" s="41"/>
      <c r="FNU16" s="41"/>
      <c r="FNV16" s="41"/>
      <c r="FNW16" s="41"/>
      <c r="FNX16" s="41"/>
      <c r="FNY16" s="41"/>
      <c r="FNZ16" s="41"/>
      <c r="FOA16" s="41"/>
      <c r="FOB16" s="41"/>
      <c r="FOC16" s="41"/>
      <c r="FOD16" s="41"/>
      <c r="FOE16" s="41"/>
      <c r="FOF16" s="41"/>
      <c r="FOG16" s="41"/>
      <c r="FOH16" s="41"/>
      <c r="FOI16" s="41"/>
      <c r="FOJ16" s="41"/>
      <c r="FOK16" s="41"/>
      <c r="FOL16" s="41"/>
      <c r="FOM16" s="41"/>
      <c r="FON16" s="41"/>
      <c r="FOO16" s="41"/>
      <c r="FOP16" s="41"/>
      <c r="FOQ16" s="41"/>
      <c r="FOR16" s="41"/>
      <c r="FOS16" s="41"/>
      <c r="FOT16" s="41"/>
      <c r="FOU16" s="41"/>
      <c r="FOV16" s="41"/>
      <c r="FOW16" s="41"/>
      <c r="FOX16" s="41"/>
      <c r="FOY16" s="41"/>
      <c r="FOZ16" s="41"/>
      <c r="FPA16" s="41"/>
      <c r="FPB16" s="41"/>
      <c r="FPC16" s="41"/>
      <c r="FPD16" s="41"/>
      <c r="FPE16" s="41"/>
      <c r="FPF16" s="41"/>
      <c r="FPG16" s="41"/>
      <c r="FPH16" s="41"/>
      <c r="FPI16" s="41"/>
      <c r="FPJ16" s="41"/>
      <c r="FPK16" s="41"/>
      <c r="FPL16" s="41"/>
      <c r="FPM16" s="41"/>
      <c r="FPN16" s="41"/>
      <c r="FPO16" s="41"/>
      <c r="FPP16" s="41"/>
      <c r="FPQ16" s="41"/>
      <c r="FPR16" s="41"/>
      <c r="FPS16" s="41"/>
      <c r="FPT16" s="41"/>
      <c r="FPU16" s="41"/>
      <c r="FPV16" s="41"/>
      <c r="FPW16" s="41"/>
      <c r="FPX16" s="41"/>
      <c r="FPY16" s="41"/>
      <c r="FPZ16" s="41"/>
      <c r="FQA16" s="41"/>
      <c r="FQB16" s="41"/>
      <c r="FQC16" s="41"/>
      <c r="FQD16" s="41"/>
      <c r="FQE16" s="41"/>
      <c r="FQF16" s="41"/>
      <c r="FQG16" s="41"/>
      <c r="FQH16" s="41"/>
      <c r="FQI16" s="41"/>
      <c r="FQJ16" s="41"/>
      <c r="FQK16" s="41"/>
      <c r="FQL16" s="41"/>
      <c r="FQM16" s="41"/>
      <c r="FQN16" s="41"/>
      <c r="FQO16" s="41"/>
      <c r="FQP16" s="41"/>
      <c r="FQQ16" s="41"/>
      <c r="FQR16" s="41"/>
      <c r="FQS16" s="41"/>
      <c r="FQT16" s="41"/>
      <c r="FQU16" s="41"/>
      <c r="FQV16" s="41"/>
      <c r="FQW16" s="41"/>
      <c r="FQX16" s="41"/>
      <c r="FQY16" s="41"/>
      <c r="FQZ16" s="41"/>
      <c r="FRA16" s="41"/>
      <c r="FRB16" s="41"/>
      <c r="FRC16" s="41"/>
      <c r="FRD16" s="41"/>
      <c r="FRE16" s="41"/>
      <c r="FRF16" s="41"/>
      <c r="FRG16" s="41"/>
      <c r="FRH16" s="41"/>
      <c r="FRI16" s="41"/>
      <c r="FRJ16" s="41"/>
      <c r="FRK16" s="41"/>
      <c r="FRL16" s="41"/>
      <c r="FRM16" s="41"/>
      <c r="FRN16" s="41"/>
      <c r="FRO16" s="41"/>
      <c r="FRP16" s="41"/>
      <c r="FRQ16" s="41"/>
      <c r="FRR16" s="41"/>
      <c r="FRS16" s="41"/>
      <c r="FRT16" s="41"/>
      <c r="FRU16" s="41"/>
      <c r="FRV16" s="41"/>
      <c r="FRW16" s="41"/>
      <c r="FRX16" s="41"/>
      <c r="FRY16" s="41"/>
      <c r="FRZ16" s="41"/>
      <c r="FSA16" s="41"/>
      <c r="FSB16" s="41"/>
      <c r="FSC16" s="41"/>
      <c r="FSD16" s="41"/>
      <c r="FSE16" s="41"/>
      <c r="FSF16" s="41"/>
      <c r="FSG16" s="41"/>
      <c r="FSH16" s="41"/>
      <c r="FSI16" s="41"/>
      <c r="FSJ16" s="41"/>
      <c r="FSK16" s="41"/>
      <c r="FSL16" s="41"/>
      <c r="FSM16" s="41"/>
      <c r="FSN16" s="41"/>
      <c r="FSO16" s="41"/>
      <c r="FSP16" s="41"/>
      <c r="FSQ16" s="41"/>
      <c r="FSR16" s="41"/>
      <c r="FSS16" s="41"/>
      <c r="FST16" s="41"/>
      <c r="FSU16" s="41"/>
      <c r="FSV16" s="41"/>
      <c r="FSW16" s="41"/>
      <c r="FSX16" s="41"/>
      <c r="FSY16" s="41"/>
      <c r="FSZ16" s="41"/>
      <c r="FTA16" s="41"/>
      <c r="FTB16" s="41"/>
      <c r="FTC16" s="41"/>
      <c r="FTD16" s="41"/>
      <c r="FTE16" s="41"/>
      <c r="FTF16" s="41"/>
      <c r="FTG16" s="41"/>
      <c r="FTH16" s="41"/>
      <c r="FTI16" s="41"/>
      <c r="FTJ16" s="41"/>
      <c r="FTK16" s="41"/>
      <c r="FTL16" s="41"/>
      <c r="FTM16" s="41"/>
      <c r="FTN16" s="41"/>
      <c r="FTO16" s="41"/>
      <c r="FTP16" s="41"/>
      <c r="FTQ16" s="41"/>
      <c r="FTR16" s="41"/>
      <c r="FTS16" s="41"/>
      <c r="FTT16" s="41"/>
      <c r="FTU16" s="41"/>
      <c r="FTV16" s="41"/>
      <c r="FTW16" s="41"/>
      <c r="FTX16" s="41"/>
      <c r="FTY16" s="41"/>
      <c r="FTZ16" s="41"/>
      <c r="FUA16" s="41"/>
      <c r="FUB16" s="41"/>
      <c r="FUC16" s="41"/>
      <c r="FUD16" s="41"/>
      <c r="FUE16" s="41"/>
      <c r="FUF16" s="41"/>
      <c r="FUG16" s="41"/>
      <c r="FUH16" s="41"/>
      <c r="FUI16" s="41"/>
      <c r="FUJ16" s="41"/>
      <c r="FUK16" s="41"/>
      <c r="FUL16" s="41"/>
      <c r="FUM16" s="41"/>
      <c r="FUN16" s="41"/>
      <c r="FUO16" s="41"/>
      <c r="FUP16" s="41"/>
      <c r="FUQ16" s="41"/>
      <c r="FUR16" s="41"/>
      <c r="FUS16" s="41"/>
      <c r="FUT16" s="41"/>
      <c r="FUU16" s="41"/>
      <c r="FUV16" s="41"/>
      <c r="FUW16" s="41"/>
      <c r="FUX16" s="41"/>
      <c r="FUY16" s="41"/>
      <c r="FUZ16" s="41"/>
      <c r="FVA16" s="41"/>
      <c r="FVB16" s="41"/>
      <c r="FVC16" s="41"/>
      <c r="FVD16" s="41"/>
      <c r="FVE16" s="41"/>
      <c r="FVF16" s="41"/>
      <c r="FVG16" s="41"/>
      <c r="FVH16" s="41"/>
      <c r="FVI16" s="41"/>
      <c r="FVJ16" s="41"/>
      <c r="FVK16" s="41"/>
      <c r="FVL16" s="41"/>
      <c r="FVM16" s="41"/>
      <c r="FVN16" s="41"/>
      <c r="FVO16" s="41"/>
      <c r="FVP16" s="41"/>
      <c r="FVQ16" s="41"/>
      <c r="FVR16" s="41"/>
      <c r="FVS16" s="41"/>
      <c r="FVT16" s="41"/>
      <c r="FVU16" s="41"/>
      <c r="FVV16" s="41"/>
      <c r="FVW16" s="41"/>
      <c r="FVX16" s="41"/>
      <c r="FVY16" s="41"/>
      <c r="FVZ16" s="41"/>
      <c r="FWA16" s="41"/>
      <c r="FWB16" s="41"/>
      <c r="FWC16" s="41"/>
      <c r="FWD16" s="41"/>
      <c r="FWE16" s="41"/>
      <c r="FWF16" s="41"/>
      <c r="FWG16" s="41"/>
      <c r="FWH16" s="41"/>
      <c r="FWI16" s="41"/>
      <c r="FWJ16" s="41"/>
      <c r="FWK16" s="41"/>
      <c r="FWL16" s="41"/>
      <c r="FWM16" s="41"/>
      <c r="FWN16" s="41"/>
      <c r="FWO16" s="41"/>
      <c r="FWP16" s="41"/>
      <c r="FWQ16" s="41"/>
      <c r="FWR16" s="41"/>
      <c r="FWS16" s="41"/>
      <c r="FWT16" s="41"/>
      <c r="FWU16" s="41"/>
      <c r="FWV16" s="41"/>
      <c r="FWW16" s="41"/>
      <c r="FWX16" s="41"/>
      <c r="FWY16" s="41"/>
      <c r="FWZ16" s="41"/>
      <c r="FXA16" s="41"/>
      <c r="FXB16" s="41"/>
      <c r="FXC16" s="41"/>
      <c r="FXD16" s="41"/>
      <c r="FXE16" s="41"/>
      <c r="FXF16" s="41"/>
      <c r="FXG16" s="41"/>
      <c r="FXH16" s="41"/>
      <c r="FXI16" s="41"/>
      <c r="FXJ16" s="41"/>
      <c r="FXK16" s="41"/>
      <c r="FXL16" s="41"/>
      <c r="FXM16" s="41"/>
      <c r="FXN16" s="41"/>
      <c r="FXO16" s="41"/>
      <c r="FXP16" s="41"/>
      <c r="FXQ16" s="41"/>
      <c r="FXR16" s="41"/>
      <c r="FXS16" s="41"/>
      <c r="FXT16" s="41"/>
      <c r="FXU16" s="41"/>
      <c r="FXV16" s="41"/>
      <c r="FXW16" s="41"/>
      <c r="FXX16" s="41"/>
      <c r="FXY16" s="41"/>
      <c r="FXZ16" s="41"/>
      <c r="FYA16" s="41"/>
      <c r="FYB16" s="41"/>
      <c r="FYC16" s="41"/>
      <c r="FYD16" s="41"/>
      <c r="FYE16" s="41"/>
      <c r="FYF16" s="41"/>
      <c r="FYG16" s="41"/>
      <c r="FYH16" s="41"/>
      <c r="FYI16" s="41"/>
      <c r="FYJ16" s="41"/>
      <c r="FYK16" s="41"/>
      <c r="FYL16" s="41"/>
      <c r="FYM16" s="41"/>
      <c r="FYN16" s="41"/>
      <c r="FYO16" s="41"/>
      <c r="FYP16" s="41"/>
      <c r="FYQ16" s="41"/>
      <c r="FYR16" s="41"/>
      <c r="FYS16" s="41"/>
      <c r="FYT16" s="41"/>
      <c r="FYU16" s="41"/>
      <c r="FYV16" s="41"/>
      <c r="FYW16" s="41"/>
      <c r="FYX16" s="41"/>
      <c r="FYY16" s="41"/>
      <c r="FYZ16" s="41"/>
      <c r="FZA16" s="41"/>
      <c r="FZB16" s="41"/>
      <c r="FZC16" s="41"/>
      <c r="FZD16" s="41"/>
      <c r="FZE16" s="41"/>
      <c r="FZF16" s="41"/>
      <c r="FZG16" s="41"/>
      <c r="FZH16" s="41"/>
      <c r="FZI16" s="41"/>
      <c r="FZJ16" s="41"/>
      <c r="FZK16" s="41"/>
      <c r="FZL16" s="41"/>
      <c r="FZM16" s="41"/>
      <c r="FZN16" s="41"/>
      <c r="FZO16" s="41"/>
      <c r="FZP16" s="41"/>
      <c r="FZQ16" s="41"/>
      <c r="FZR16" s="41"/>
      <c r="FZS16" s="41"/>
      <c r="FZT16" s="41"/>
      <c r="FZU16" s="41"/>
      <c r="FZV16" s="41"/>
      <c r="FZW16" s="41"/>
      <c r="FZX16" s="41"/>
      <c r="FZY16" s="41"/>
      <c r="FZZ16" s="41"/>
      <c r="GAA16" s="41"/>
      <c r="GAB16" s="41"/>
      <c r="GAC16" s="41"/>
      <c r="GAD16" s="41"/>
      <c r="GAE16" s="41"/>
      <c r="GAF16" s="41"/>
      <c r="GAG16" s="41"/>
      <c r="GAH16" s="41"/>
      <c r="GAI16" s="41"/>
      <c r="GAJ16" s="41"/>
      <c r="GAK16" s="41"/>
      <c r="GAL16" s="41"/>
      <c r="GAM16" s="41"/>
      <c r="GAN16" s="41"/>
      <c r="GAO16" s="41"/>
      <c r="GAP16" s="41"/>
      <c r="GAQ16" s="41"/>
      <c r="GAR16" s="41"/>
      <c r="GAS16" s="41"/>
      <c r="GAT16" s="41"/>
      <c r="GAU16" s="41"/>
      <c r="GAV16" s="41"/>
      <c r="GAW16" s="41"/>
      <c r="GAX16" s="41"/>
      <c r="GAY16" s="41"/>
      <c r="GAZ16" s="41"/>
      <c r="GBA16" s="41"/>
      <c r="GBB16" s="41"/>
      <c r="GBC16" s="41"/>
      <c r="GBD16" s="41"/>
      <c r="GBE16" s="41"/>
      <c r="GBF16" s="41"/>
      <c r="GBG16" s="41"/>
      <c r="GBH16" s="41"/>
      <c r="GBI16" s="41"/>
      <c r="GBJ16" s="41"/>
      <c r="GBK16" s="41"/>
      <c r="GBL16" s="41"/>
      <c r="GBM16" s="41"/>
      <c r="GBN16" s="41"/>
      <c r="GBO16" s="41"/>
      <c r="GBP16" s="41"/>
      <c r="GBQ16" s="41"/>
      <c r="GBR16" s="41"/>
      <c r="GBS16" s="41"/>
      <c r="GBT16" s="41"/>
      <c r="GBU16" s="41"/>
      <c r="GBV16" s="41"/>
      <c r="GBW16" s="41"/>
      <c r="GBX16" s="41"/>
      <c r="GBY16" s="41"/>
      <c r="GBZ16" s="41"/>
      <c r="GCA16" s="41"/>
      <c r="GCB16" s="41"/>
      <c r="GCC16" s="41"/>
      <c r="GCD16" s="41"/>
      <c r="GCE16" s="41"/>
      <c r="GCF16" s="41"/>
      <c r="GCG16" s="41"/>
      <c r="GCH16" s="41"/>
      <c r="GCI16" s="41"/>
      <c r="GCJ16" s="41"/>
      <c r="GCK16" s="41"/>
      <c r="GCL16" s="41"/>
      <c r="GCM16" s="41"/>
      <c r="GCN16" s="41"/>
      <c r="GCO16" s="41"/>
      <c r="GCP16" s="41"/>
      <c r="GCQ16" s="41"/>
      <c r="GCR16" s="41"/>
      <c r="GCS16" s="41"/>
      <c r="GCT16" s="41"/>
      <c r="GCU16" s="41"/>
      <c r="GCV16" s="41"/>
      <c r="GCW16" s="41"/>
      <c r="GCX16" s="41"/>
      <c r="GCY16" s="41"/>
      <c r="GCZ16" s="41"/>
      <c r="GDA16" s="41"/>
      <c r="GDB16" s="41"/>
      <c r="GDC16" s="41"/>
      <c r="GDD16" s="41"/>
      <c r="GDE16" s="41"/>
      <c r="GDF16" s="41"/>
      <c r="GDG16" s="41"/>
      <c r="GDH16" s="41"/>
      <c r="GDI16" s="41"/>
      <c r="GDJ16" s="41"/>
      <c r="GDK16" s="41"/>
      <c r="GDL16" s="41"/>
      <c r="GDM16" s="41"/>
      <c r="GDN16" s="41"/>
      <c r="GDO16" s="41"/>
      <c r="GDP16" s="41"/>
      <c r="GDQ16" s="41"/>
      <c r="GDR16" s="41"/>
      <c r="GDS16" s="41"/>
      <c r="GDT16" s="41"/>
      <c r="GDU16" s="41"/>
      <c r="GDV16" s="41"/>
      <c r="GDW16" s="41"/>
      <c r="GDX16" s="41"/>
      <c r="GDY16" s="41"/>
      <c r="GDZ16" s="41"/>
      <c r="GEA16" s="41"/>
      <c r="GEB16" s="41"/>
      <c r="GEC16" s="41"/>
      <c r="GED16" s="41"/>
      <c r="GEE16" s="41"/>
      <c r="GEF16" s="41"/>
      <c r="GEG16" s="41"/>
      <c r="GEH16" s="41"/>
      <c r="GEI16" s="41"/>
      <c r="GEJ16" s="41"/>
      <c r="GEK16" s="41"/>
      <c r="GEL16" s="41"/>
      <c r="GEM16" s="41"/>
      <c r="GEN16" s="41"/>
      <c r="GEO16" s="41"/>
      <c r="GEP16" s="41"/>
      <c r="GEQ16" s="41"/>
      <c r="GER16" s="41"/>
      <c r="GES16" s="41"/>
      <c r="GET16" s="41"/>
      <c r="GEU16" s="41"/>
      <c r="GEV16" s="41"/>
      <c r="GEW16" s="41"/>
      <c r="GEX16" s="41"/>
      <c r="GEY16" s="41"/>
      <c r="GEZ16" s="41"/>
      <c r="GFA16" s="41"/>
      <c r="GFB16" s="41"/>
      <c r="GFC16" s="41"/>
      <c r="GFD16" s="41"/>
      <c r="GFE16" s="41"/>
      <c r="GFF16" s="41"/>
      <c r="GFG16" s="41"/>
      <c r="GFH16" s="41"/>
      <c r="GFI16" s="41"/>
      <c r="GFJ16" s="41"/>
      <c r="GFK16" s="41"/>
      <c r="GFL16" s="41"/>
      <c r="GFM16" s="41"/>
      <c r="GFN16" s="41"/>
      <c r="GFO16" s="41"/>
      <c r="GFP16" s="41"/>
      <c r="GFQ16" s="41"/>
      <c r="GFR16" s="41"/>
      <c r="GFS16" s="41"/>
      <c r="GFT16" s="41"/>
      <c r="GFU16" s="41"/>
      <c r="GFV16" s="41"/>
      <c r="GFW16" s="41"/>
      <c r="GFX16" s="41"/>
      <c r="GFY16" s="41"/>
      <c r="GFZ16" s="41"/>
      <c r="GGA16" s="41"/>
      <c r="GGB16" s="41"/>
      <c r="GGC16" s="41"/>
      <c r="GGD16" s="41"/>
      <c r="GGE16" s="41"/>
      <c r="GGF16" s="41"/>
      <c r="GGG16" s="41"/>
      <c r="GGH16" s="41"/>
      <c r="GGI16" s="41"/>
      <c r="GGJ16" s="41"/>
      <c r="GGK16" s="41"/>
      <c r="GGL16" s="41"/>
      <c r="GGM16" s="41"/>
      <c r="GGN16" s="41"/>
      <c r="GGO16" s="41"/>
      <c r="GGP16" s="41"/>
      <c r="GGQ16" s="41"/>
      <c r="GGR16" s="41"/>
      <c r="GGS16" s="41"/>
      <c r="GGT16" s="41"/>
      <c r="GGU16" s="41"/>
      <c r="GGV16" s="41"/>
      <c r="GGW16" s="41"/>
      <c r="GGX16" s="41"/>
      <c r="GGY16" s="41"/>
      <c r="GGZ16" s="41"/>
      <c r="GHA16" s="41"/>
      <c r="GHB16" s="41"/>
      <c r="GHC16" s="41"/>
      <c r="GHD16" s="41"/>
      <c r="GHE16" s="41"/>
      <c r="GHF16" s="41"/>
      <c r="GHG16" s="41"/>
      <c r="GHH16" s="41"/>
      <c r="GHI16" s="41"/>
      <c r="GHJ16" s="41"/>
      <c r="GHK16" s="41"/>
      <c r="GHL16" s="41"/>
      <c r="GHM16" s="41"/>
      <c r="GHN16" s="41"/>
      <c r="GHO16" s="41"/>
      <c r="GHP16" s="41"/>
      <c r="GHQ16" s="41"/>
      <c r="GHR16" s="41"/>
      <c r="GHS16" s="41"/>
      <c r="GHT16" s="41"/>
      <c r="GHU16" s="41"/>
      <c r="GHV16" s="41"/>
      <c r="GHW16" s="41"/>
      <c r="GHX16" s="41"/>
      <c r="GHY16" s="41"/>
      <c r="GHZ16" s="41"/>
      <c r="GIA16" s="41"/>
      <c r="GIB16" s="41"/>
      <c r="GIC16" s="41"/>
      <c r="GID16" s="41"/>
      <c r="GIE16" s="41"/>
      <c r="GIF16" s="41"/>
      <c r="GIG16" s="41"/>
      <c r="GIH16" s="41"/>
      <c r="GII16" s="41"/>
      <c r="GIJ16" s="41"/>
      <c r="GIK16" s="41"/>
      <c r="GIL16" s="41"/>
      <c r="GIM16" s="41"/>
      <c r="GIN16" s="41"/>
      <c r="GIO16" s="41"/>
      <c r="GIP16" s="41"/>
      <c r="GIQ16" s="41"/>
      <c r="GIR16" s="41"/>
      <c r="GIS16" s="41"/>
      <c r="GIT16" s="41"/>
      <c r="GIU16" s="41"/>
      <c r="GIV16" s="41"/>
      <c r="GIW16" s="41"/>
      <c r="GIX16" s="41"/>
      <c r="GIY16" s="41"/>
      <c r="GIZ16" s="41"/>
      <c r="GJA16" s="41"/>
      <c r="GJB16" s="41"/>
      <c r="GJC16" s="41"/>
      <c r="GJD16" s="41"/>
      <c r="GJE16" s="41"/>
      <c r="GJF16" s="41"/>
      <c r="GJG16" s="41"/>
      <c r="GJH16" s="41"/>
      <c r="GJI16" s="41"/>
      <c r="GJJ16" s="41"/>
      <c r="GJK16" s="41"/>
      <c r="GJL16" s="41"/>
      <c r="GJM16" s="41"/>
      <c r="GJN16" s="41"/>
      <c r="GJO16" s="41"/>
      <c r="GJP16" s="41"/>
      <c r="GJQ16" s="41"/>
      <c r="GJR16" s="41"/>
      <c r="GJS16" s="41"/>
      <c r="GJT16" s="41"/>
      <c r="GJU16" s="41"/>
      <c r="GJV16" s="41"/>
      <c r="GJW16" s="41"/>
      <c r="GJX16" s="41"/>
      <c r="GJY16" s="41"/>
      <c r="GJZ16" s="41"/>
      <c r="GKA16" s="41"/>
      <c r="GKB16" s="41"/>
      <c r="GKC16" s="41"/>
      <c r="GKD16" s="41"/>
      <c r="GKE16" s="41"/>
      <c r="GKF16" s="41"/>
      <c r="GKG16" s="41"/>
      <c r="GKH16" s="41"/>
      <c r="GKI16" s="41"/>
      <c r="GKJ16" s="41"/>
      <c r="GKK16" s="41"/>
      <c r="GKL16" s="41"/>
      <c r="GKM16" s="41"/>
      <c r="GKN16" s="41"/>
      <c r="GKO16" s="41"/>
      <c r="GKP16" s="41"/>
      <c r="GKQ16" s="41"/>
      <c r="GKR16" s="41"/>
      <c r="GKS16" s="41"/>
      <c r="GKT16" s="41"/>
      <c r="GKU16" s="41"/>
      <c r="GKV16" s="41"/>
      <c r="GKW16" s="41"/>
      <c r="GKX16" s="41"/>
      <c r="GKY16" s="41"/>
      <c r="GKZ16" s="41"/>
      <c r="GLA16" s="41"/>
      <c r="GLB16" s="41"/>
      <c r="GLC16" s="41"/>
      <c r="GLD16" s="41"/>
      <c r="GLE16" s="41"/>
      <c r="GLF16" s="41"/>
      <c r="GLG16" s="41"/>
      <c r="GLH16" s="41"/>
      <c r="GLI16" s="41"/>
      <c r="GLJ16" s="41"/>
      <c r="GLK16" s="41"/>
      <c r="GLL16" s="41"/>
      <c r="GLM16" s="41"/>
      <c r="GLN16" s="41"/>
      <c r="GLO16" s="41"/>
      <c r="GLP16" s="41"/>
      <c r="GLQ16" s="41"/>
      <c r="GLR16" s="41"/>
      <c r="GLS16" s="41"/>
      <c r="GLT16" s="41"/>
      <c r="GLU16" s="41"/>
      <c r="GLV16" s="41"/>
      <c r="GLW16" s="41"/>
      <c r="GLX16" s="41"/>
      <c r="GLY16" s="41"/>
      <c r="GLZ16" s="41"/>
      <c r="GMA16" s="41"/>
      <c r="GMB16" s="41"/>
      <c r="GMC16" s="41"/>
      <c r="GMD16" s="41"/>
      <c r="GME16" s="41"/>
      <c r="GMF16" s="41"/>
      <c r="GMG16" s="41"/>
      <c r="GMH16" s="41"/>
      <c r="GMI16" s="41"/>
      <c r="GMJ16" s="41"/>
      <c r="GMK16" s="41"/>
      <c r="GML16" s="41"/>
      <c r="GMM16" s="41"/>
      <c r="GMN16" s="41"/>
      <c r="GMO16" s="41"/>
      <c r="GMP16" s="41"/>
      <c r="GMQ16" s="41"/>
      <c r="GMR16" s="41"/>
      <c r="GMS16" s="41"/>
      <c r="GMT16" s="41"/>
      <c r="GMU16" s="41"/>
      <c r="GMV16" s="41"/>
      <c r="GMW16" s="41"/>
      <c r="GMX16" s="41"/>
      <c r="GMY16" s="41"/>
      <c r="GMZ16" s="41"/>
      <c r="GNA16" s="41"/>
      <c r="GNB16" s="41"/>
      <c r="GNC16" s="41"/>
      <c r="GND16" s="41"/>
      <c r="GNE16" s="41"/>
      <c r="GNF16" s="41"/>
      <c r="GNG16" s="41"/>
      <c r="GNH16" s="41"/>
      <c r="GNI16" s="41"/>
      <c r="GNJ16" s="41"/>
      <c r="GNK16" s="41"/>
      <c r="GNL16" s="41"/>
      <c r="GNM16" s="41"/>
      <c r="GNN16" s="41"/>
      <c r="GNO16" s="41"/>
      <c r="GNP16" s="41"/>
      <c r="GNQ16" s="41"/>
      <c r="GNR16" s="41"/>
      <c r="GNS16" s="41"/>
      <c r="GNT16" s="41"/>
      <c r="GNU16" s="41"/>
      <c r="GNV16" s="41"/>
      <c r="GNW16" s="41"/>
      <c r="GNX16" s="41"/>
      <c r="GNY16" s="41"/>
      <c r="GNZ16" s="41"/>
      <c r="GOA16" s="41"/>
      <c r="GOB16" s="41"/>
      <c r="GOC16" s="41"/>
      <c r="GOD16" s="41"/>
      <c r="GOE16" s="41"/>
      <c r="GOF16" s="41"/>
      <c r="GOG16" s="41"/>
      <c r="GOH16" s="41"/>
      <c r="GOI16" s="41"/>
      <c r="GOJ16" s="41"/>
      <c r="GOK16" s="41"/>
      <c r="GOL16" s="41"/>
      <c r="GOM16" s="41"/>
      <c r="GON16" s="41"/>
      <c r="GOO16" s="41"/>
      <c r="GOP16" s="41"/>
      <c r="GOQ16" s="41"/>
      <c r="GOR16" s="41"/>
      <c r="GOS16" s="41"/>
      <c r="GOT16" s="41"/>
      <c r="GOU16" s="41"/>
      <c r="GOV16" s="41"/>
      <c r="GOW16" s="41"/>
      <c r="GOX16" s="41"/>
      <c r="GOY16" s="41"/>
      <c r="GOZ16" s="41"/>
      <c r="GPA16" s="41"/>
      <c r="GPB16" s="41"/>
      <c r="GPC16" s="41"/>
      <c r="GPD16" s="41"/>
      <c r="GPE16" s="41"/>
      <c r="GPF16" s="41"/>
      <c r="GPG16" s="41"/>
      <c r="GPH16" s="41"/>
      <c r="GPI16" s="41"/>
      <c r="GPJ16" s="41"/>
      <c r="GPK16" s="41"/>
      <c r="GPL16" s="41"/>
      <c r="GPM16" s="41"/>
      <c r="GPN16" s="41"/>
      <c r="GPO16" s="41"/>
      <c r="GPP16" s="41"/>
      <c r="GPQ16" s="41"/>
      <c r="GPR16" s="41"/>
      <c r="GPS16" s="41"/>
      <c r="GPT16" s="41"/>
      <c r="GPU16" s="41"/>
      <c r="GPV16" s="41"/>
      <c r="GPW16" s="41"/>
      <c r="GPX16" s="41"/>
      <c r="GPY16" s="41"/>
      <c r="GPZ16" s="41"/>
      <c r="GQA16" s="41"/>
      <c r="GQB16" s="41"/>
      <c r="GQC16" s="41"/>
      <c r="GQD16" s="41"/>
      <c r="GQE16" s="41"/>
      <c r="GQF16" s="41"/>
      <c r="GQG16" s="41"/>
      <c r="GQH16" s="41"/>
      <c r="GQI16" s="41"/>
      <c r="GQJ16" s="41"/>
      <c r="GQK16" s="41"/>
      <c r="GQL16" s="41"/>
      <c r="GQM16" s="41"/>
      <c r="GQN16" s="41"/>
      <c r="GQO16" s="41"/>
      <c r="GQP16" s="41"/>
      <c r="GQQ16" s="41"/>
      <c r="GQR16" s="41"/>
      <c r="GQS16" s="41"/>
      <c r="GQT16" s="41"/>
      <c r="GQU16" s="41"/>
      <c r="GQV16" s="41"/>
      <c r="GQW16" s="41"/>
      <c r="GQX16" s="41"/>
      <c r="GQY16" s="41"/>
      <c r="GQZ16" s="41"/>
      <c r="GRA16" s="41"/>
      <c r="GRB16" s="41"/>
      <c r="GRC16" s="41"/>
      <c r="GRD16" s="41"/>
      <c r="GRE16" s="41"/>
      <c r="GRF16" s="41"/>
      <c r="GRG16" s="41"/>
      <c r="GRH16" s="41"/>
      <c r="GRI16" s="41"/>
      <c r="GRJ16" s="41"/>
      <c r="GRK16" s="41"/>
      <c r="GRL16" s="41"/>
      <c r="GRM16" s="41"/>
      <c r="GRN16" s="41"/>
      <c r="GRO16" s="41"/>
      <c r="GRP16" s="41"/>
      <c r="GRQ16" s="41"/>
      <c r="GRR16" s="41"/>
      <c r="GRS16" s="41"/>
      <c r="GRT16" s="41"/>
      <c r="GRU16" s="41"/>
      <c r="GRV16" s="41"/>
      <c r="GRW16" s="41"/>
      <c r="GRX16" s="41"/>
      <c r="GRY16" s="41"/>
      <c r="GRZ16" s="41"/>
      <c r="GSA16" s="41"/>
      <c r="GSB16" s="41"/>
      <c r="GSC16" s="41"/>
      <c r="GSD16" s="41"/>
      <c r="GSE16" s="41"/>
      <c r="GSF16" s="41"/>
      <c r="GSG16" s="41"/>
      <c r="GSH16" s="41"/>
      <c r="GSI16" s="41"/>
      <c r="GSJ16" s="41"/>
      <c r="GSK16" s="41"/>
      <c r="GSL16" s="41"/>
      <c r="GSM16" s="41"/>
      <c r="GSN16" s="41"/>
      <c r="GSO16" s="41"/>
      <c r="GSP16" s="41"/>
      <c r="GSQ16" s="41"/>
      <c r="GSR16" s="41"/>
      <c r="GSS16" s="41"/>
      <c r="GST16" s="41"/>
      <c r="GSU16" s="41"/>
      <c r="GSV16" s="41"/>
      <c r="GSW16" s="41"/>
      <c r="GSX16" s="41"/>
      <c r="GSY16" s="41"/>
      <c r="GSZ16" s="41"/>
      <c r="GTA16" s="41"/>
      <c r="GTB16" s="41"/>
      <c r="GTC16" s="41"/>
      <c r="GTD16" s="41"/>
      <c r="GTE16" s="41"/>
      <c r="GTF16" s="41"/>
      <c r="GTG16" s="41"/>
      <c r="GTH16" s="41"/>
      <c r="GTI16" s="41"/>
      <c r="GTJ16" s="41"/>
      <c r="GTK16" s="41"/>
      <c r="GTL16" s="41"/>
      <c r="GTM16" s="41"/>
      <c r="GTN16" s="41"/>
      <c r="GTO16" s="41"/>
      <c r="GTP16" s="41"/>
      <c r="GTQ16" s="41"/>
      <c r="GTR16" s="41"/>
      <c r="GTS16" s="41"/>
      <c r="GTT16" s="41"/>
      <c r="GTU16" s="41"/>
      <c r="GTV16" s="41"/>
      <c r="GTW16" s="41"/>
      <c r="GTX16" s="41"/>
      <c r="GTY16" s="41"/>
      <c r="GTZ16" s="41"/>
      <c r="GUA16" s="41"/>
      <c r="GUB16" s="41"/>
      <c r="GUC16" s="41"/>
      <c r="GUD16" s="41"/>
      <c r="GUE16" s="41"/>
      <c r="GUF16" s="41"/>
      <c r="GUG16" s="41"/>
      <c r="GUH16" s="41"/>
      <c r="GUI16" s="41"/>
      <c r="GUJ16" s="41"/>
      <c r="GUK16" s="41"/>
      <c r="GUL16" s="41"/>
      <c r="GUM16" s="41"/>
      <c r="GUN16" s="41"/>
      <c r="GUO16" s="41"/>
      <c r="GUP16" s="41"/>
      <c r="GUQ16" s="41"/>
      <c r="GUR16" s="41"/>
      <c r="GUS16" s="41"/>
      <c r="GUT16" s="41"/>
      <c r="GUU16" s="41"/>
      <c r="GUV16" s="41"/>
      <c r="GUW16" s="41"/>
      <c r="GUX16" s="41"/>
      <c r="GUY16" s="41"/>
      <c r="GUZ16" s="41"/>
      <c r="GVA16" s="41"/>
      <c r="GVB16" s="41"/>
      <c r="GVC16" s="41"/>
      <c r="GVD16" s="41"/>
      <c r="GVE16" s="41"/>
      <c r="GVF16" s="41"/>
      <c r="GVG16" s="41"/>
      <c r="GVH16" s="41"/>
      <c r="GVI16" s="41"/>
      <c r="GVJ16" s="41"/>
      <c r="GVK16" s="41"/>
      <c r="GVL16" s="41"/>
      <c r="GVM16" s="41"/>
      <c r="GVN16" s="41"/>
      <c r="GVO16" s="41"/>
      <c r="GVP16" s="41"/>
      <c r="GVQ16" s="41"/>
      <c r="GVR16" s="41"/>
      <c r="GVS16" s="41"/>
      <c r="GVT16" s="41"/>
      <c r="GVU16" s="41"/>
      <c r="GVV16" s="41"/>
      <c r="GVW16" s="41"/>
      <c r="GVX16" s="41"/>
      <c r="GVY16" s="41"/>
      <c r="GVZ16" s="41"/>
      <c r="GWA16" s="41"/>
      <c r="GWB16" s="41"/>
      <c r="GWC16" s="41"/>
      <c r="GWD16" s="41"/>
      <c r="GWE16" s="41"/>
      <c r="GWF16" s="41"/>
      <c r="GWG16" s="41"/>
      <c r="GWH16" s="41"/>
      <c r="GWI16" s="41"/>
      <c r="GWJ16" s="41"/>
      <c r="GWK16" s="41"/>
      <c r="GWL16" s="41"/>
      <c r="GWM16" s="41"/>
      <c r="GWN16" s="41"/>
      <c r="GWO16" s="41"/>
      <c r="GWP16" s="41"/>
      <c r="GWQ16" s="41"/>
      <c r="GWR16" s="41"/>
      <c r="GWS16" s="41"/>
      <c r="GWT16" s="41"/>
      <c r="GWU16" s="41"/>
      <c r="GWV16" s="41"/>
      <c r="GWW16" s="41"/>
      <c r="GWX16" s="41"/>
      <c r="GWY16" s="41"/>
      <c r="GWZ16" s="41"/>
      <c r="GXA16" s="41"/>
      <c r="GXB16" s="41"/>
      <c r="GXC16" s="41"/>
      <c r="GXD16" s="41"/>
      <c r="GXE16" s="41"/>
      <c r="GXF16" s="41"/>
      <c r="GXG16" s="41"/>
      <c r="GXH16" s="41"/>
      <c r="GXI16" s="41"/>
      <c r="GXJ16" s="41"/>
      <c r="GXK16" s="41"/>
      <c r="GXL16" s="41"/>
      <c r="GXM16" s="41"/>
      <c r="GXN16" s="41"/>
      <c r="GXO16" s="41"/>
      <c r="GXP16" s="41"/>
      <c r="GXQ16" s="41"/>
      <c r="GXR16" s="41"/>
      <c r="GXS16" s="41"/>
      <c r="GXT16" s="41"/>
      <c r="GXU16" s="41"/>
      <c r="GXV16" s="41"/>
      <c r="GXW16" s="41"/>
      <c r="GXX16" s="41"/>
      <c r="GXY16" s="41"/>
      <c r="GXZ16" s="41"/>
      <c r="GYA16" s="41"/>
      <c r="GYB16" s="41"/>
      <c r="GYC16" s="41"/>
      <c r="GYD16" s="41"/>
      <c r="GYE16" s="41"/>
      <c r="GYF16" s="41"/>
      <c r="GYG16" s="41"/>
      <c r="GYH16" s="41"/>
      <c r="GYI16" s="41"/>
      <c r="GYJ16" s="41"/>
      <c r="GYK16" s="41"/>
      <c r="GYL16" s="41"/>
      <c r="GYM16" s="41"/>
      <c r="GYN16" s="41"/>
      <c r="GYO16" s="41"/>
      <c r="GYP16" s="41"/>
      <c r="GYQ16" s="41"/>
      <c r="GYR16" s="41"/>
      <c r="GYS16" s="41"/>
      <c r="GYT16" s="41"/>
      <c r="GYU16" s="41"/>
      <c r="GYV16" s="41"/>
      <c r="GYW16" s="41"/>
      <c r="GYX16" s="41"/>
      <c r="GYY16" s="41"/>
      <c r="GYZ16" s="41"/>
      <c r="GZA16" s="41"/>
      <c r="GZB16" s="41"/>
      <c r="GZC16" s="41"/>
      <c r="GZD16" s="41"/>
      <c r="GZE16" s="41"/>
      <c r="GZF16" s="41"/>
      <c r="GZG16" s="41"/>
      <c r="GZH16" s="41"/>
      <c r="GZI16" s="41"/>
      <c r="GZJ16" s="41"/>
      <c r="GZK16" s="41"/>
      <c r="GZL16" s="41"/>
      <c r="GZM16" s="41"/>
      <c r="GZN16" s="41"/>
      <c r="GZO16" s="41"/>
      <c r="GZP16" s="41"/>
      <c r="GZQ16" s="41"/>
      <c r="GZR16" s="41"/>
      <c r="GZS16" s="41"/>
      <c r="GZT16" s="41"/>
      <c r="GZU16" s="41"/>
      <c r="GZV16" s="41"/>
      <c r="GZW16" s="41"/>
      <c r="GZX16" s="41"/>
      <c r="GZY16" s="41"/>
      <c r="GZZ16" s="41"/>
      <c r="HAA16" s="41"/>
      <c r="HAB16" s="41"/>
      <c r="HAC16" s="41"/>
      <c r="HAD16" s="41"/>
      <c r="HAE16" s="41"/>
      <c r="HAF16" s="41"/>
      <c r="HAG16" s="41"/>
      <c r="HAH16" s="41"/>
      <c r="HAI16" s="41"/>
      <c r="HAJ16" s="41"/>
      <c r="HAK16" s="41"/>
      <c r="HAL16" s="41"/>
      <c r="HAM16" s="41"/>
      <c r="HAN16" s="41"/>
      <c r="HAO16" s="41"/>
      <c r="HAP16" s="41"/>
      <c r="HAQ16" s="41"/>
      <c r="HAR16" s="41"/>
      <c r="HAS16" s="41"/>
      <c r="HAT16" s="41"/>
      <c r="HAU16" s="41"/>
      <c r="HAV16" s="41"/>
      <c r="HAW16" s="41"/>
      <c r="HAX16" s="41"/>
      <c r="HAY16" s="41"/>
      <c r="HAZ16" s="41"/>
      <c r="HBA16" s="41"/>
      <c r="HBB16" s="41"/>
      <c r="HBC16" s="41"/>
      <c r="HBD16" s="41"/>
      <c r="HBE16" s="41"/>
      <c r="HBF16" s="41"/>
      <c r="HBG16" s="41"/>
      <c r="HBH16" s="41"/>
      <c r="HBI16" s="41"/>
      <c r="HBJ16" s="41"/>
      <c r="HBK16" s="41"/>
      <c r="HBL16" s="41"/>
      <c r="HBM16" s="41"/>
      <c r="HBN16" s="41"/>
      <c r="HBO16" s="41"/>
      <c r="HBP16" s="41"/>
      <c r="HBQ16" s="41"/>
      <c r="HBR16" s="41"/>
      <c r="HBS16" s="41"/>
      <c r="HBT16" s="41"/>
      <c r="HBU16" s="41"/>
      <c r="HBV16" s="41"/>
      <c r="HBW16" s="41"/>
      <c r="HBX16" s="41"/>
      <c r="HBY16" s="41"/>
      <c r="HBZ16" s="41"/>
      <c r="HCA16" s="41"/>
      <c r="HCB16" s="41"/>
      <c r="HCC16" s="41"/>
      <c r="HCD16" s="41"/>
      <c r="HCE16" s="41"/>
      <c r="HCF16" s="41"/>
      <c r="HCG16" s="41"/>
      <c r="HCH16" s="41"/>
      <c r="HCI16" s="41"/>
      <c r="HCJ16" s="41"/>
      <c r="HCK16" s="41"/>
      <c r="HCL16" s="41"/>
      <c r="HCM16" s="41"/>
      <c r="HCN16" s="41"/>
      <c r="HCO16" s="41"/>
      <c r="HCP16" s="41"/>
      <c r="HCQ16" s="41"/>
      <c r="HCR16" s="41"/>
      <c r="HCS16" s="41"/>
      <c r="HCT16" s="41"/>
      <c r="HCU16" s="41"/>
      <c r="HCV16" s="41"/>
      <c r="HCW16" s="41"/>
      <c r="HCX16" s="41"/>
      <c r="HCY16" s="41"/>
      <c r="HCZ16" s="41"/>
      <c r="HDA16" s="41"/>
      <c r="HDB16" s="41"/>
      <c r="HDC16" s="41"/>
      <c r="HDD16" s="41"/>
      <c r="HDE16" s="41"/>
      <c r="HDF16" s="41"/>
      <c r="HDG16" s="41"/>
      <c r="HDH16" s="41"/>
      <c r="HDI16" s="41"/>
      <c r="HDJ16" s="41"/>
      <c r="HDK16" s="41"/>
      <c r="HDL16" s="41"/>
      <c r="HDM16" s="41"/>
      <c r="HDN16" s="41"/>
      <c r="HDO16" s="41"/>
      <c r="HDP16" s="41"/>
      <c r="HDQ16" s="41"/>
      <c r="HDR16" s="41"/>
      <c r="HDS16" s="41"/>
      <c r="HDT16" s="41"/>
      <c r="HDU16" s="41"/>
      <c r="HDV16" s="41"/>
      <c r="HDW16" s="41"/>
      <c r="HDX16" s="41"/>
      <c r="HDY16" s="41"/>
      <c r="HDZ16" s="41"/>
      <c r="HEA16" s="41"/>
      <c r="HEB16" s="41"/>
      <c r="HEC16" s="41"/>
      <c r="HED16" s="41"/>
      <c r="HEE16" s="41"/>
      <c r="HEF16" s="41"/>
      <c r="HEG16" s="41"/>
      <c r="HEH16" s="41"/>
      <c r="HEI16" s="41"/>
      <c r="HEJ16" s="41"/>
      <c r="HEK16" s="41"/>
      <c r="HEL16" s="41"/>
      <c r="HEM16" s="41"/>
      <c r="HEN16" s="41"/>
      <c r="HEO16" s="41"/>
      <c r="HEP16" s="41"/>
      <c r="HEQ16" s="41"/>
      <c r="HER16" s="41"/>
      <c r="HES16" s="41"/>
      <c r="HET16" s="41"/>
      <c r="HEU16" s="41"/>
      <c r="HEV16" s="41"/>
      <c r="HEW16" s="41"/>
      <c r="HEX16" s="41"/>
      <c r="HEY16" s="41"/>
      <c r="HEZ16" s="41"/>
      <c r="HFA16" s="41"/>
      <c r="HFB16" s="41"/>
      <c r="HFC16" s="41"/>
      <c r="HFD16" s="41"/>
      <c r="HFE16" s="41"/>
      <c r="HFF16" s="41"/>
      <c r="HFG16" s="41"/>
      <c r="HFH16" s="41"/>
      <c r="HFI16" s="41"/>
      <c r="HFJ16" s="41"/>
      <c r="HFK16" s="41"/>
      <c r="HFL16" s="41"/>
      <c r="HFM16" s="41"/>
      <c r="HFN16" s="41"/>
      <c r="HFO16" s="41"/>
      <c r="HFP16" s="41"/>
      <c r="HFQ16" s="41"/>
      <c r="HFR16" s="41"/>
      <c r="HFS16" s="41"/>
      <c r="HFT16" s="41"/>
      <c r="HFU16" s="41"/>
      <c r="HFV16" s="41"/>
      <c r="HFW16" s="41"/>
      <c r="HFX16" s="41"/>
      <c r="HFY16" s="41"/>
      <c r="HFZ16" s="41"/>
      <c r="HGA16" s="41"/>
      <c r="HGB16" s="41"/>
      <c r="HGC16" s="41"/>
      <c r="HGD16" s="41"/>
      <c r="HGE16" s="41"/>
      <c r="HGF16" s="41"/>
      <c r="HGG16" s="41"/>
      <c r="HGH16" s="41"/>
      <c r="HGI16" s="41"/>
      <c r="HGJ16" s="41"/>
      <c r="HGK16" s="41"/>
      <c r="HGL16" s="41"/>
      <c r="HGM16" s="41"/>
      <c r="HGN16" s="41"/>
      <c r="HGO16" s="41"/>
      <c r="HGP16" s="41"/>
      <c r="HGQ16" s="41"/>
      <c r="HGR16" s="41"/>
      <c r="HGS16" s="41"/>
      <c r="HGT16" s="41"/>
      <c r="HGU16" s="41"/>
      <c r="HGV16" s="41"/>
      <c r="HGW16" s="41"/>
      <c r="HGX16" s="41"/>
      <c r="HGY16" s="41"/>
      <c r="HGZ16" s="41"/>
      <c r="HHA16" s="41"/>
      <c r="HHB16" s="41"/>
      <c r="HHC16" s="41"/>
      <c r="HHD16" s="41"/>
      <c r="HHE16" s="41"/>
      <c r="HHF16" s="41"/>
      <c r="HHG16" s="41"/>
      <c r="HHH16" s="41"/>
      <c r="HHI16" s="41"/>
      <c r="HHJ16" s="41"/>
      <c r="HHK16" s="41"/>
      <c r="HHL16" s="41"/>
      <c r="HHM16" s="41"/>
      <c r="HHN16" s="41"/>
      <c r="HHO16" s="41"/>
      <c r="HHP16" s="41"/>
      <c r="HHQ16" s="41"/>
      <c r="HHR16" s="41"/>
      <c r="HHS16" s="41"/>
      <c r="HHT16" s="41"/>
      <c r="HHU16" s="41"/>
      <c r="HHV16" s="41"/>
      <c r="HHW16" s="41"/>
      <c r="HHX16" s="41"/>
      <c r="HHY16" s="41"/>
      <c r="HHZ16" s="41"/>
      <c r="HIA16" s="41"/>
      <c r="HIB16" s="41"/>
      <c r="HIC16" s="41"/>
      <c r="HID16" s="41"/>
      <c r="HIE16" s="41"/>
      <c r="HIF16" s="41"/>
      <c r="HIG16" s="41"/>
      <c r="HIH16" s="41"/>
      <c r="HII16" s="41"/>
      <c r="HIJ16" s="41"/>
      <c r="HIK16" s="41"/>
      <c r="HIL16" s="41"/>
      <c r="HIM16" s="41"/>
      <c r="HIN16" s="41"/>
      <c r="HIO16" s="41"/>
      <c r="HIP16" s="41"/>
      <c r="HIQ16" s="41"/>
      <c r="HIR16" s="41"/>
      <c r="HIS16" s="41"/>
      <c r="HIT16" s="41"/>
      <c r="HIU16" s="41"/>
      <c r="HIV16" s="41"/>
      <c r="HIW16" s="41"/>
      <c r="HIX16" s="41"/>
      <c r="HIY16" s="41"/>
      <c r="HIZ16" s="41"/>
      <c r="HJA16" s="41"/>
      <c r="HJB16" s="41"/>
      <c r="HJC16" s="41"/>
      <c r="HJD16" s="41"/>
      <c r="HJE16" s="41"/>
      <c r="HJF16" s="41"/>
      <c r="HJG16" s="41"/>
      <c r="HJH16" s="41"/>
      <c r="HJI16" s="41"/>
      <c r="HJJ16" s="41"/>
      <c r="HJK16" s="41"/>
      <c r="HJL16" s="41"/>
      <c r="HJM16" s="41"/>
      <c r="HJN16" s="41"/>
      <c r="HJO16" s="41"/>
      <c r="HJP16" s="41"/>
      <c r="HJQ16" s="41"/>
      <c r="HJR16" s="41"/>
      <c r="HJS16" s="41"/>
      <c r="HJT16" s="41"/>
      <c r="HJU16" s="41"/>
      <c r="HJV16" s="41"/>
      <c r="HJW16" s="41"/>
      <c r="HJX16" s="41"/>
      <c r="HJY16" s="41"/>
      <c r="HJZ16" s="41"/>
      <c r="HKA16" s="41"/>
      <c r="HKB16" s="41"/>
      <c r="HKC16" s="41"/>
      <c r="HKD16" s="41"/>
      <c r="HKE16" s="41"/>
      <c r="HKF16" s="41"/>
      <c r="HKG16" s="41"/>
      <c r="HKH16" s="41"/>
      <c r="HKI16" s="41"/>
      <c r="HKJ16" s="41"/>
      <c r="HKK16" s="41"/>
      <c r="HKL16" s="41"/>
      <c r="HKM16" s="41"/>
      <c r="HKN16" s="41"/>
      <c r="HKO16" s="41"/>
      <c r="HKP16" s="41"/>
      <c r="HKQ16" s="41"/>
      <c r="HKR16" s="41"/>
      <c r="HKS16" s="41"/>
      <c r="HKT16" s="41"/>
      <c r="HKU16" s="41"/>
      <c r="HKV16" s="41"/>
      <c r="HKW16" s="41"/>
      <c r="HKX16" s="41"/>
      <c r="HKY16" s="41"/>
      <c r="HKZ16" s="41"/>
      <c r="HLA16" s="41"/>
      <c r="HLB16" s="41"/>
      <c r="HLC16" s="41"/>
      <c r="HLD16" s="41"/>
      <c r="HLE16" s="41"/>
      <c r="HLF16" s="41"/>
      <c r="HLG16" s="41"/>
      <c r="HLH16" s="41"/>
      <c r="HLI16" s="41"/>
      <c r="HLJ16" s="41"/>
      <c r="HLK16" s="41"/>
      <c r="HLL16" s="41"/>
      <c r="HLM16" s="41"/>
      <c r="HLN16" s="41"/>
      <c r="HLO16" s="41"/>
      <c r="HLP16" s="41"/>
      <c r="HLQ16" s="41"/>
      <c r="HLR16" s="41"/>
      <c r="HLS16" s="41"/>
      <c r="HLT16" s="41"/>
      <c r="HLU16" s="41"/>
      <c r="HLV16" s="41"/>
      <c r="HLW16" s="41"/>
      <c r="HLX16" s="41"/>
      <c r="HLY16" s="41"/>
      <c r="HLZ16" s="41"/>
      <c r="HMA16" s="41"/>
      <c r="HMB16" s="41"/>
      <c r="HMC16" s="41"/>
      <c r="HMD16" s="41"/>
      <c r="HME16" s="41"/>
      <c r="HMF16" s="41"/>
      <c r="HMG16" s="41"/>
      <c r="HMH16" s="41"/>
      <c r="HMI16" s="41"/>
      <c r="HMJ16" s="41"/>
      <c r="HMK16" s="41"/>
      <c r="HML16" s="41"/>
      <c r="HMM16" s="41"/>
      <c r="HMN16" s="41"/>
      <c r="HMO16" s="41"/>
      <c r="HMP16" s="41"/>
      <c r="HMQ16" s="41"/>
      <c r="HMR16" s="41"/>
      <c r="HMS16" s="41"/>
      <c r="HMT16" s="41"/>
      <c r="HMU16" s="41"/>
      <c r="HMV16" s="41"/>
      <c r="HMW16" s="41"/>
      <c r="HMX16" s="41"/>
      <c r="HMY16" s="41"/>
      <c r="HMZ16" s="41"/>
      <c r="HNA16" s="41"/>
      <c r="HNB16" s="41"/>
      <c r="HNC16" s="41"/>
      <c r="HND16" s="41"/>
      <c r="HNE16" s="41"/>
      <c r="HNF16" s="41"/>
      <c r="HNG16" s="41"/>
      <c r="HNH16" s="41"/>
      <c r="HNI16" s="41"/>
      <c r="HNJ16" s="41"/>
      <c r="HNK16" s="41"/>
      <c r="HNL16" s="41"/>
      <c r="HNM16" s="41"/>
      <c r="HNN16" s="41"/>
      <c r="HNO16" s="41"/>
      <c r="HNP16" s="41"/>
      <c r="HNQ16" s="41"/>
      <c r="HNR16" s="41"/>
      <c r="HNS16" s="41"/>
      <c r="HNT16" s="41"/>
      <c r="HNU16" s="41"/>
      <c r="HNV16" s="41"/>
      <c r="HNW16" s="41"/>
      <c r="HNX16" s="41"/>
      <c r="HNY16" s="41"/>
      <c r="HNZ16" s="41"/>
      <c r="HOA16" s="41"/>
      <c r="HOB16" s="41"/>
      <c r="HOC16" s="41"/>
      <c r="HOD16" s="41"/>
      <c r="HOE16" s="41"/>
      <c r="HOF16" s="41"/>
      <c r="HOG16" s="41"/>
      <c r="HOH16" s="41"/>
      <c r="HOI16" s="41"/>
      <c r="HOJ16" s="41"/>
      <c r="HOK16" s="41"/>
      <c r="HOL16" s="41"/>
      <c r="HOM16" s="41"/>
      <c r="HON16" s="41"/>
      <c r="HOO16" s="41"/>
      <c r="HOP16" s="41"/>
      <c r="HOQ16" s="41"/>
      <c r="HOR16" s="41"/>
      <c r="HOS16" s="41"/>
      <c r="HOT16" s="41"/>
      <c r="HOU16" s="41"/>
      <c r="HOV16" s="41"/>
      <c r="HOW16" s="41"/>
      <c r="HOX16" s="41"/>
      <c r="HOY16" s="41"/>
      <c r="HOZ16" s="41"/>
      <c r="HPA16" s="41"/>
      <c r="HPB16" s="41"/>
      <c r="HPC16" s="41"/>
      <c r="HPD16" s="41"/>
      <c r="HPE16" s="41"/>
      <c r="HPF16" s="41"/>
      <c r="HPG16" s="41"/>
      <c r="HPH16" s="41"/>
      <c r="HPI16" s="41"/>
      <c r="HPJ16" s="41"/>
      <c r="HPK16" s="41"/>
      <c r="HPL16" s="41"/>
      <c r="HPM16" s="41"/>
      <c r="HPN16" s="41"/>
      <c r="HPO16" s="41"/>
      <c r="HPP16" s="41"/>
      <c r="HPQ16" s="41"/>
      <c r="HPR16" s="41"/>
      <c r="HPS16" s="41"/>
      <c r="HPT16" s="41"/>
      <c r="HPU16" s="41"/>
      <c r="HPV16" s="41"/>
      <c r="HPW16" s="41"/>
      <c r="HPX16" s="41"/>
      <c r="HPY16" s="41"/>
      <c r="HPZ16" s="41"/>
      <c r="HQA16" s="41"/>
      <c r="HQB16" s="41"/>
      <c r="HQC16" s="41"/>
      <c r="HQD16" s="41"/>
      <c r="HQE16" s="41"/>
      <c r="HQF16" s="41"/>
      <c r="HQG16" s="41"/>
      <c r="HQH16" s="41"/>
      <c r="HQI16" s="41"/>
      <c r="HQJ16" s="41"/>
      <c r="HQK16" s="41"/>
      <c r="HQL16" s="41"/>
      <c r="HQM16" s="41"/>
      <c r="HQN16" s="41"/>
      <c r="HQO16" s="41"/>
      <c r="HQP16" s="41"/>
      <c r="HQQ16" s="41"/>
      <c r="HQR16" s="41"/>
      <c r="HQS16" s="41"/>
      <c r="HQT16" s="41"/>
      <c r="HQU16" s="41"/>
      <c r="HQV16" s="41"/>
      <c r="HQW16" s="41"/>
      <c r="HQX16" s="41"/>
      <c r="HQY16" s="41"/>
      <c r="HQZ16" s="41"/>
      <c r="HRA16" s="41"/>
      <c r="HRB16" s="41"/>
      <c r="HRC16" s="41"/>
      <c r="HRD16" s="41"/>
      <c r="HRE16" s="41"/>
      <c r="HRF16" s="41"/>
      <c r="HRG16" s="41"/>
      <c r="HRH16" s="41"/>
      <c r="HRI16" s="41"/>
      <c r="HRJ16" s="41"/>
      <c r="HRK16" s="41"/>
      <c r="HRL16" s="41"/>
      <c r="HRM16" s="41"/>
      <c r="HRN16" s="41"/>
      <c r="HRO16" s="41"/>
      <c r="HRP16" s="41"/>
      <c r="HRQ16" s="41"/>
      <c r="HRR16" s="41"/>
      <c r="HRS16" s="41"/>
      <c r="HRT16" s="41"/>
      <c r="HRU16" s="41"/>
      <c r="HRV16" s="41"/>
      <c r="HRW16" s="41"/>
      <c r="HRX16" s="41"/>
      <c r="HRY16" s="41"/>
      <c r="HRZ16" s="41"/>
      <c r="HSA16" s="41"/>
      <c r="HSB16" s="41"/>
      <c r="HSC16" s="41"/>
      <c r="HSD16" s="41"/>
      <c r="HSE16" s="41"/>
      <c r="HSF16" s="41"/>
      <c r="HSG16" s="41"/>
      <c r="HSH16" s="41"/>
      <c r="HSI16" s="41"/>
      <c r="HSJ16" s="41"/>
      <c r="HSK16" s="41"/>
      <c r="HSL16" s="41"/>
      <c r="HSM16" s="41"/>
      <c r="HSN16" s="41"/>
      <c r="HSO16" s="41"/>
      <c r="HSP16" s="41"/>
      <c r="HSQ16" s="41"/>
      <c r="HSR16" s="41"/>
      <c r="HSS16" s="41"/>
      <c r="HST16" s="41"/>
      <c r="HSU16" s="41"/>
      <c r="HSV16" s="41"/>
      <c r="HSW16" s="41"/>
      <c r="HSX16" s="41"/>
      <c r="HSY16" s="41"/>
      <c r="HSZ16" s="41"/>
      <c r="HTA16" s="41"/>
      <c r="HTB16" s="41"/>
      <c r="HTC16" s="41"/>
      <c r="HTD16" s="41"/>
      <c r="HTE16" s="41"/>
      <c r="HTF16" s="41"/>
      <c r="HTG16" s="41"/>
      <c r="HTH16" s="41"/>
      <c r="HTI16" s="41"/>
      <c r="HTJ16" s="41"/>
      <c r="HTK16" s="41"/>
      <c r="HTL16" s="41"/>
      <c r="HTM16" s="41"/>
      <c r="HTN16" s="41"/>
      <c r="HTO16" s="41"/>
      <c r="HTP16" s="41"/>
      <c r="HTQ16" s="41"/>
      <c r="HTR16" s="41"/>
      <c r="HTS16" s="41"/>
      <c r="HTT16" s="41"/>
      <c r="HTU16" s="41"/>
      <c r="HTV16" s="41"/>
      <c r="HTW16" s="41"/>
      <c r="HTX16" s="41"/>
      <c r="HTY16" s="41"/>
      <c r="HTZ16" s="41"/>
      <c r="HUA16" s="41"/>
      <c r="HUB16" s="41"/>
      <c r="HUC16" s="41"/>
      <c r="HUD16" s="41"/>
      <c r="HUE16" s="41"/>
      <c r="HUF16" s="41"/>
      <c r="HUG16" s="41"/>
      <c r="HUH16" s="41"/>
      <c r="HUI16" s="41"/>
      <c r="HUJ16" s="41"/>
      <c r="HUK16" s="41"/>
      <c r="HUL16" s="41"/>
      <c r="HUM16" s="41"/>
      <c r="HUN16" s="41"/>
      <c r="HUO16" s="41"/>
      <c r="HUP16" s="41"/>
      <c r="HUQ16" s="41"/>
      <c r="HUR16" s="41"/>
      <c r="HUS16" s="41"/>
      <c r="HUT16" s="41"/>
      <c r="HUU16" s="41"/>
      <c r="HUV16" s="41"/>
      <c r="HUW16" s="41"/>
      <c r="HUX16" s="41"/>
      <c r="HUY16" s="41"/>
      <c r="HUZ16" s="41"/>
      <c r="HVA16" s="41"/>
      <c r="HVB16" s="41"/>
      <c r="HVC16" s="41"/>
      <c r="HVD16" s="41"/>
      <c r="HVE16" s="41"/>
      <c r="HVF16" s="41"/>
      <c r="HVG16" s="41"/>
      <c r="HVH16" s="41"/>
      <c r="HVI16" s="41"/>
      <c r="HVJ16" s="41"/>
      <c r="HVK16" s="41"/>
      <c r="HVL16" s="41"/>
      <c r="HVM16" s="41"/>
      <c r="HVN16" s="41"/>
      <c r="HVO16" s="41"/>
      <c r="HVP16" s="41"/>
      <c r="HVQ16" s="41"/>
      <c r="HVR16" s="41"/>
      <c r="HVS16" s="41"/>
      <c r="HVT16" s="41"/>
      <c r="HVU16" s="41"/>
      <c r="HVV16" s="41"/>
      <c r="HVW16" s="41"/>
      <c r="HVX16" s="41"/>
      <c r="HVY16" s="41"/>
      <c r="HVZ16" s="41"/>
      <c r="HWA16" s="41"/>
      <c r="HWB16" s="41"/>
      <c r="HWC16" s="41"/>
      <c r="HWD16" s="41"/>
      <c r="HWE16" s="41"/>
      <c r="HWF16" s="41"/>
      <c r="HWG16" s="41"/>
      <c r="HWH16" s="41"/>
      <c r="HWI16" s="41"/>
      <c r="HWJ16" s="41"/>
      <c r="HWK16" s="41"/>
      <c r="HWL16" s="41"/>
      <c r="HWM16" s="41"/>
      <c r="HWN16" s="41"/>
      <c r="HWO16" s="41"/>
      <c r="HWP16" s="41"/>
      <c r="HWQ16" s="41"/>
      <c r="HWR16" s="41"/>
      <c r="HWS16" s="41"/>
      <c r="HWT16" s="41"/>
      <c r="HWU16" s="41"/>
      <c r="HWV16" s="41"/>
      <c r="HWW16" s="41"/>
      <c r="HWX16" s="41"/>
      <c r="HWY16" s="41"/>
      <c r="HWZ16" s="41"/>
      <c r="HXA16" s="41"/>
      <c r="HXB16" s="41"/>
      <c r="HXC16" s="41"/>
      <c r="HXD16" s="41"/>
      <c r="HXE16" s="41"/>
      <c r="HXF16" s="41"/>
      <c r="HXG16" s="41"/>
      <c r="HXH16" s="41"/>
      <c r="HXI16" s="41"/>
      <c r="HXJ16" s="41"/>
      <c r="HXK16" s="41"/>
      <c r="HXL16" s="41"/>
      <c r="HXM16" s="41"/>
      <c r="HXN16" s="41"/>
      <c r="HXO16" s="41"/>
      <c r="HXP16" s="41"/>
      <c r="HXQ16" s="41"/>
      <c r="HXR16" s="41"/>
      <c r="HXS16" s="41"/>
      <c r="HXT16" s="41"/>
      <c r="HXU16" s="41"/>
      <c r="HXV16" s="41"/>
      <c r="HXW16" s="41"/>
      <c r="HXX16" s="41"/>
      <c r="HXY16" s="41"/>
      <c r="HXZ16" s="41"/>
      <c r="HYA16" s="41"/>
      <c r="HYB16" s="41"/>
      <c r="HYC16" s="41"/>
      <c r="HYD16" s="41"/>
      <c r="HYE16" s="41"/>
      <c r="HYF16" s="41"/>
      <c r="HYG16" s="41"/>
      <c r="HYH16" s="41"/>
      <c r="HYI16" s="41"/>
      <c r="HYJ16" s="41"/>
      <c r="HYK16" s="41"/>
      <c r="HYL16" s="41"/>
      <c r="HYM16" s="41"/>
      <c r="HYN16" s="41"/>
      <c r="HYO16" s="41"/>
      <c r="HYP16" s="41"/>
      <c r="HYQ16" s="41"/>
      <c r="HYR16" s="41"/>
      <c r="HYS16" s="41"/>
      <c r="HYT16" s="41"/>
      <c r="HYU16" s="41"/>
      <c r="HYV16" s="41"/>
      <c r="HYW16" s="41"/>
      <c r="HYX16" s="41"/>
      <c r="HYY16" s="41"/>
      <c r="HYZ16" s="41"/>
      <c r="HZA16" s="41"/>
      <c r="HZB16" s="41"/>
      <c r="HZC16" s="41"/>
      <c r="HZD16" s="41"/>
      <c r="HZE16" s="41"/>
      <c r="HZF16" s="41"/>
      <c r="HZG16" s="41"/>
      <c r="HZH16" s="41"/>
      <c r="HZI16" s="41"/>
      <c r="HZJ16" s="41"/>
      <c r="HZK16" s="41"/>
      <c r="HZL16" s="41"/>
      <c r="HZM16" s="41"/>
      <c r="HZN16" s="41"/>
      <c r="HZO16" s="41"/>
      <c r="HZP16" s="41"/>
      <c r="HZQ16" s="41"/>
      <c r="HZR16" s="41"/>
      <c r="HZS16" s="41"/>
      <c r="HZT16" s="41"/>
      <c r="HZU16" s="41"/>
      <c r="HZV16" s="41"/>
      <c r="HZW16" s="41"/>
      <c r="HZX16" s="41"/>
      <c r="HZY16" s="41"/>
      <c r="HZZ16" s="41"/>
      <c r="IAA16" s="41"/>
      <c r="IAB16" s="41"/>
      <c r="IAC16" s="41"/>
      <c r="IAD16" s="41"/>
      <c r="IAE16" s="41"/>
      <c r="IAF16" s="41"/>
      <c r="IAG16" s="41"/>
      <c r="IAH16" s="41"/>
      <c r="IAI16" s="41"/>
      <c r="IAJ16" s="41"/>
      <c r="IAK16" s="41"/>
      <c r="IAL16" s="41"/>
      <c r="IAM16" s="41"/>
      <c r="IAN16" s="41"/>
      <c r="IAO16" s="41"/>
      <c r="IAP16" s="41"/>
      <c r="IAQ16" s="41"/>
      <c r="IAR16" s="41"/>
      <c r="IAS16" s="41"/>
      <c r="IAT16" s="41"/>
      <c r="IAU16" s="41"/>
      <c r="IAV16" s="41"/>
      <c r="IAW16" s="41"/>
      <c r="IAX16" s="41"/>
      <c r="IAY16" s="41"/>
      <c r="IAZ16" s="41"/>
      <c r="IBA16" s="41"/>
      <c r="IBB16" s="41"/>
      <c r="IBC16" s="41"/>
      <c r="IBD16" s="41"/>
      <c r="IBE16" s="41"/>
      <c r="IBF16" s="41"/>
      <c r="IBG16" s="41"/>
      <c r="IBH16" s="41"/>
      <c r="IBI16" s="41"/>
      <c r="IBJ16" s="41"/>
      <c r="IBK16" s="41"/>
      <c r="IBL16" s="41"/>
      <c r="IBM16" s="41"/>
      <c r="IBN16" s="41"/>
      <c r="IBO16" s="41"/>
      <c r="IBP16" s="41"/>
      <c r="IBQ16" s="41"/>
      <c r="IBR16" s="41"/>
      <c r="IBS16" s="41"/>
      <c r="IBT16" s="41"/>
      <c r="IBU16" s="41"/>
      <c r="IBV16" s="41"/>
      <c r="IBW16" s="41"/>
      <c r="IBX16" s="41"/>
      <c r="IBY16" s="41"/>
      <c r="IBZ16" s="41"/>
      <c r="ICA16" s="41"/>
      <c r="ICB16" s="41"/>
      <c r="ICC16" s="41"/>
      <c r="ICD16" s="41"/>
      <c r="ICE16" s="41"/>
      <c r="ICF16" s="41"/>
      <c r="ICG16" s="41"/>
      <c r="ICH16" s="41"/>
      <c r="ICI16" s="41"/>
      <c r="ICJ16" s="41"/>
      <c r="ICK16" s="41"/>
      <c r="ICL16" s="41"/>
      <c r="ICM16" s="41"/>
      <c r="ICN16" s="41"/>
      <c r="ICO16" s="41"/>
      <c r="ICP16" s="41"/>
      <c r="ICQ16" s="41"/>
      <c r="ICR16" s="41"/>
      <c r="ICS16" s="41"/>
      <c r="ICT16" s="41"/>
      <c r="ICU16" s="41"/>
      <c r="ICV16" s="41"/>
      <c r="ICW16" s="41"/>
      <c r="ICX16" s="41"/>
      <c r="ICY16" s="41"/>
      <c r="ICZ16" s="41"/>
      <c r="IDA16" s="41"/>
      <c r="IDB16" s="41"/>
      <c r="IDC16" s="41"/>
      <c r="IDD16" s="41"/>
      <c r="IDE16" s="41"/>
      <c r="IDF16" s="41"/>
      <c r="IDG16" s="41"/>
      <c r="IDH16" s="41"/>
      <c r="IDI16" s="41"/>
      <c r="IDJ16" s="41"/>
      <c r="IDK16" s="41"/>
      <c r="IDL16" s="41"/>
      <c r="IDM16" s="41"/>
      <c r="IDN16" s="41"/>
      <c r="IDO16" s="41"/>
      <c r="IDP16" s="41"/>
      <c r="IDQ16" s="41"/>
      <c r="IDR16" s="41"/>
      <c r="IDS16" s="41"/>
      <c r="IDT16" s="41"/>
      <c r="IDU16" s="41"/>
      <c r="IDV16" s="41"/>
      <c r="IDW16" s="41"/>
      <c r="IDX16" s="41"/>
      <c r="IDY16" s="41"/>
      <c r="IDZ16" s="41"/>
      <c r="IEA16" s="41"/>
      <c r="IEB16" s="41"/>
      <c r="IEC16" s="41"/>
      <c r="IED16" s="41"/>
      <c r="IEE16" s="41"/>
      <c r="IEF16" s="41"/>
      <c r="IEG16" s="41"/>
      <c r="IEH16" s="41"/>
      <c r="IEI16" s="41"/>
      <c r="IEJ16" s="41"/>
      <c r="IEK16" s="41"/>
      <c r="IEL16" s="41"/>
      <c r="IEM16" s="41"/>
      <c r="IEN16" s="41"/>
      <c r="IEO16" s="41"/>
      <c r="IEP16" s="41"/>
      <c r="IEQ16" s="41"/>
      <c r="IER16" s="41"/>
      <c r="IES16" s="41"/>
      <c r="IET16" s="41"/>
      <c r="IEU16" s="41"/>
      <c r="IEV16" s="41"/>
      <c r="IEW16" s="41"/>
      <c r="IEX16" s="41"/>
      <c r="IEY16" s="41"/>
      <c r="IEZ16" s="41"/>
      <c r="IFA16" s="41"/>
      <c r="IFB16" s="41"/>
      <c r="IFC16" s="41"/>
      <c r="IFD16" s="41"/>
      <c r="IFE16" s="41"/>
      <c r="IFF16" s="41"/>
      <c r="IFG16" s="41"/>
      <c r="IFH16" s="41"/>
      <c r="IFI16" s="41"/>
      <c r="IFJ16" s="41"/>
      <c r="IFK16" s="41"/>
      <c r="IFL16" s="41"/>
      <c r="IFM16" s="41"/>
      <c r="IFN16" s="41"/>
      <c r="IFO16" s="41"/>
      <c r="IFP16" s="41"/>
      <c r="IFQ16" s="41"/>
      <c r="IFR16" s="41"/>
      <c r="IFS16" s="41"/>
      <c r="IFT16" s="41"/>
      <c r="IFU16" s="41"/>
      <c r="IFV16" s="41"/>
      <c r="IFW16" s="41"/>
      <c r="IFX16" s="41"/>
      <c r="IFY16" s="41"/>
      <c r="IFZ16" s="41"/>
      <c r="IGA16" s="41"/>
      <c r="IGB16" s="41"/>
      <c r="IGC16" s="41"/>
      <c r="IGD16" s="41"/>
      <c r="IGE16" s="41"/>
      <c r="IGF16" s="41"/>
      <c r="IGG16" s="41"/>
      <c r="IGH16" s="41"/>
      <c r="IGI16" s="41"/>
      <c r="IGJ16" s="41"/>
      <c r="IGK16" s="41"/>
      <c r="IGL16" s="41"/>
      <c r="IGM16" s="41"/>
      <c r="IGN16" s="41"/>
      <c r="IGO16" s="41"/>
      <c r="IGP16" s="41"/>
      <c r="IGQ16" s="41"/>
      <c r="IGR16" s="41"/>
      <c r="IGS16" s="41"/>
      <c r="IGT16" s="41"/>
      <c r="IGU16" s="41"/>
      <c r="IGV16" s="41"/>
      <c r="IGW16" s="41"/>
      <c r="IGX16" s="41"/>
      <c r="IGY16" s="41"/>
      <c r="IGZ16" s="41"/>
      <c r="IHA16" s="41"/>
      <c r="IHB16" s="41"/>
      <c r="IHC16" s="41"/>
      <c r="IHD16" s="41"/>
      <c r="IHE16" s="41"/>
      <c r="IHF16" s="41"/>
      <c r="IHG16" s="41"/>
      <c r="IHH16" s="41"/>
      <c r="IHI16" s="41"/>
      <c r="IHJ16" s="41"/>
      <c r="IHK16" s="41"/>
      <c r="IHL16" s="41"/>
      <c r="IHM16" s="41"/>
      <c r="IHN16" s="41"/>
      <c r="IHO16" s="41"/>
      <c r="IHP16" s="41"/>
      <c r="IHQ16" s="41"/>
      <c r="IHR16" s="41"/>
      <c r="IHS16" s="41"/>
      <c r="IHT16" s="41"/>
      <c r="IHU16" s="41"/>
      <c r="IHV16" s="41"/>
      <c r="IHW16" s="41"/>
      <c r="IHX16" s="41"/>
      <c r="IHY16" s="41"/>
      <c r="IHZ16" s="41"/>
      <c r="IIA16" s="41"/>
      <c r="IIB16" s="41"/>
      <c r="IIC16" s="41"/>
      <c r="IID16" s="41"/>
      <c r="IIE16" s="41"/>
      <c r="IIF16" s="41"/>
      <c r="IIG16" s="41"/>
      <c r="IIH16" s="41"/>
      <c r="III16" s="41"/>
      <c r="IIJ16" s="41"/>
      <c r="IIK16" s="41"/>
      <c r="IIL16" s="41"/>
      <c r="IIM16" s="41"/>
      <c r="IIN16" s="41"/>
      <c r="IIO16" s="41"/>
      <c r="IIP16" s="41"/>
      <c r="IIQ16" s="41"/>
      <c r="IIR16" s="41"/>
      <c r="IIS16" s="41"/>
      <c r="IIT16" s="41"/>
      <c r="IIU16" s="41"/>
      <c r="IIV16" s="41"/>
      <c r="IIW16" s="41"/>
      <c r="IIX16" s="41"/>
      <c r="IIY16" s="41"/>
      <c r="IIZ16" s="41"/>
      <c r="IJA16" s="41"/>
      <c r="IJB16" s="41"/>
      <c r="IJC16" s="41"/>
      <c r="IJD16" s="41"/>
      <c r="IJE16" s="41"/>
      <c r="IJF16" s="41"/>
      <c r="IJG16" s="41"/>
      <c r="IJH16" s="41"/>
      <c r="IJI16" s="41"/>
      <c r="IJJ16" s="41"/>
      <c r="IJK16" s="41"/>
      <c r="IJL16" s="41"/>
      <c r="IJM16" s="41"/>
      <c r="IJN16" s="41"/>
      <c r="IJO16" s="41"/>
      <c r="IJP16" s="41"/>
      <c r="IJQ16" s="41"/>
      <c r="IJR16" s="41"/>
      <c r="IJS16" s="41"/>
      <c r="IJT16" s="41"/>
      <c r="IJU16" s="41"/>
      <c r="IJV16" s="41"/>
      <c r="IJW16" s="41"/>
      <c r="IJX16" s="41"/>
      <c r="IJY16" s="41"/>
      <c r="IJZ16" s="41"/>
      <c r="IKA16" s="41"/>
      <c r="IKB16" s="41"/>
      <c r="IKC16" s="41"/>
      <c r="IKD16" s="41"/>
      <c r="IKE16" s="41"/>
      <c r="IKF16" s="41"/>
      <c r="IKG16" s="41"/>
      <c r="IKH16" s="41"/>
      <c r="IKI16" s="41"/>
      <c r="IKJ16" s="41"/>
      <c r="IKK16" s="41"/>
      <c r="IKL16" s="41"/>
      <c r="IKM16" s="41"/>
      <c r="IKN16" s="41"/>
      <c r="IKO16" s="41"/>
      <c r="IKP16" s="41"/>
      <c r="IKQ16" s="41"/>
      <c r="IKR16" s="41"/>
      <c r="IKS16" s="41"/>
      <c r="IKT16" s="41"/>
      <c r="IKU16" s="41"/>
      <c r="IKV16" s="41"/>
      <c r="IKW16" s="41"/>
      <c r="IKX16" s="41"/>
      <c r="IKY16" s="41"/>
      <c r="IKZ16" s="41"/>
      <c r="ILA16" s="41"/>
      <c r="ILB16" s="41"/>
      <c r="ILC16" s="41"/>
      <c r="ILD16" s="41"/>
      <c r="ILE16" s="41"/>
      <c r="ILF16" s="41"/>
      <c r="ILG16" s="41"/>
      <c r="ILH16" s="41"/>
      <c r="ILI16" s="41"/>
      <c r="ILJ16" s="41"/>
      <c r="ILK16" s="41"/>
      <c r="ILL16" s="41"/>
      <c r="ILM16" s="41"/>
      <c r="ILN16" s="41"/>
      <c r="ILO16" s="41"/>
      <c r="ILP16" s="41"/>
      <c r="ILQ16" s="41"/>
      <c r="ILR16" s="41"/>
      <c r="ILS16" s="41"/>
      <c r="ILT16" s="41"/>
      <c r="ILU16" s="41"/>
      <c r="ILV16" s="41"/>
      <c r="ILW16" s="41"/>
      <c r="ILX16" s="41"/>
      <c r="ILY16" s="41"/>
      <c r="ILZ16" s="41"/>
      <c r="IMA16" s="41"/>
      <c r="IMB16" s="41"/>
      <c r="IMC16" s="41"/>
      <c r="IMD16" s="41"/>
      <c r="IME16" s="41"/>
      <c r="IMF16" s="41"/>
      <c r="IMG16" s="41"/>
      <c r="IMH16" s="41"/>
      <c r="IMI16" s="41"/>
      <c r="IMJ16" s="41"/>
      <c r="IMK16" s="41"/>
      <c r="IML16" s="41"/>
      <c r="IMM16" s="41"/>
      <c r="IMN16" s="41"/>
      <c r="IMO16" s="41"/>
      <c r="IMP16" s="41"/>
      <c r="IMQ16" s="41"/>
      <c r="IMR16" s="41"/>
      <c r="IMS16" s="41"/>
      <c r="IMT16" s="41"/>
      <c r="IMU16" s="41"/>
      <c r="IMV16" s="41"/>
      <c r="IMW16" s="41"/>
      <c r="IMX16" s="41"/>
      <c r="IMY16" s="41"/>
      <c r="IMZ16" s="41"/>
      <c r="INA16" s="41"/>
      <c r="INB16" s="41"/>
      <c r="INC16" s="41"/>
      <c r="IND16" s="41"/>
      <c r="INE16" s="41"/>
      <c r="INF16" s="41"/>
      <c r="ING16" s="41"/>
      <c r="INH16" s="41"/>
      <c r="INI16" s="41"/>
      <c r="INJ16" s="41"/>
      <c r="INK16" s="41"/>
      <c r="INL16" s="41"/>
      <c r="INM16" s="41"/>
      <c r="INN16" s="41"/>
      <c r="INO16" s="41"/>
      <c r="INP16" s="41"/>
      <c r="INQ16" s="41"/>
      <c r="INR16" s="41"/>
      <c r="INS16" s="41"/>
      <c r="INT16" s="41"/>
      <c r="INU16" s="41"/>
      <c r="INV16" s="41"/>
      <c r="INW16" s="41"/>
      <c r="INX16" s="41"/>
      <c r="INY16" s="41"/>
      <c r="INZ16" s="41"/>
      <c r="IOA16" s="41"/>
      <c r="IOB16" s="41"/>
      <c r="IOC16" s="41"/>
      <c r="IOD16" s="41"/>
      <c r="IOE16" s="41"/>
      <c r="IOF16" s="41"/>
      <c r="IOG16" s="41"/>
      <c r="IOH16" s="41"/>
      <c r="IOI16" s="41"/>
      <c r="IOJ16" s="41"/>
      <c r="IOK16" s="41"/>
      <c r="IOL16" s="41"/>
      <c r="IOM16" s="41"/>
      <c r="ION16" s="41"/>
      <c r="IOO16" s="41"/>
      <c r="IOP16" s="41"/>
      <c r="IOQ16" s="41"/>
      <c r="IOR16" s="41"/>
      <c r="IOS16" s="41"/>
      <c r="IOT16" s="41"/>
      <c r="IOU16" s="41"/>
      <c r="IOV16" s="41"/>
      <c r="IOW16" s="41"/>
      <c r="IOX16" s="41"/>
      <c r="IOY16" s="41"/>
      <c r="IOZ16" s="41"/>
      <c r="IPA16" s="41"/>
      <c r="IPB16" s="41"/>
      <c r="IPC16" s="41"/>
      <c r="IPD16" s="41"/>
      <c r="IPE16" s="41"/>
      <c r="IPF16" s="41"/>
      <c r="IPG16" s="41"/>
      <c r="IPH16" s="41"/>
      <c r="IPI16" s="41"/>
      <c r="IPJ16" s="41"/>
      <c r="IPK16" s="41"/>
      <c r="IPL16" s="41"/>
      <c r="IPM16" s="41"/>
      <c r="IPN16" s="41"/>
      <c r="IPO16" s="41"/>
      <c r="IPP16" s="41"/>
      <c r="IPQ16" s="41"/>
      <c r="IPR16" s="41"/>
      <c r="IPS16" s="41"/>
      <c r="IPT16" s="41"/>
      <c r="IPU16" s="41"/>
      <c r="IPV16" s="41"/>
      <c r="IPW16" s="41"/>
      <c r="IPX16" s="41"/>
      <c r="IPY16" s="41"/>
      <c r="IPZ16" s="41"/>
      <c r="IQA16" s="41"/>
      <c r="IQB16" s="41"/>
      <c r="IQC16" s="41"/>
      <c r="IQD16" s="41"/>
      <c r="IQE16" s="41"/>
      <c r="IQF16" s="41"/>
      <c r="IQG16" s="41"/>
      <c r="IQH16" s="41"/>
      <c r="IQI16" s="41"/>
      <c r="IQJ16" s="41"/>
      <c r="IQK16" s="41"/>
      <c r="IQL16" s="41"/>
      <c r="IQM16" s="41"/>
      <c r="IQN16" s="41"/>
      <c r="IQO16" s="41"/>
      <c r="IQP16" s="41"/>
      <c r="IQQ16" s="41"/>
      <c r="IQR16" s="41"/>
      <c r="IQS16" s="41"/>
      <c r="IQT16" s="41"/>
      <c r="IQU16" s="41"/>
      <c r="IQV16" s="41"/>
      <c r="IQW16" s="41"/>
      <c r="IQX16" s="41"/>
      <c r="IQY16" s="41"/>
      <c r="IQZ16" s="41"/>
      <c r="IRA16" s="41"/>
      <c r="IRB16" s="41"/>
      <c r="IRC16" s="41"/>
      <c r="IRD16" s="41"/>
      <c r="IRE16" s="41"/>
      <c r="IRF16" s="41"/>
      <c r="IRG16" s="41"/>
      <c r="IRH16" s="41"/>
      <c r="IRI16" s="41"/>
      <c r="IRJ16" s="41"/>
      <c r="IRK16" s="41"/>
      <c r="IRL16" s="41"/>
      <c r="IRM16" s="41"/>
      <c r="IRN16" s="41"/>
      <c r="IRO16" s="41"/>
      <c r="IRP16" s="41"/>
      <c r="IRQ16" s="41"/>
      <c r="IRR16" s="41"/>
      <c r="IRS16" s="41"/>
      <c r="IRT16" s="41"/>
      <c r="IRU16" s="41"/>
      <c r="IRV16" s="41"/>
      <c r="IRW16" s="41"/>
      <c r="IRX16" s="41"/>
      <c r="IRY16" s="41"/>
      <c r="IRZ16" s="41"/>
      <c r="ISA16" s="41"/>
      <c r="ISB16" s="41"/>
      <c r="ISC16" s="41"/>
      <c r="ISD16" s="41"/>
      <c r="ISE16" s="41"/>
      <c r="ISF16" s="41"/>
      <c r="ISG16" s="41"/>
      <c r="ISH16" s="41"/>
      <c r="ISI16" s="41"/>
      <c r="ISJ16" s="41"/>
      <c r="ISK16" s="41"/>
      <c r="ISL16" s="41"/>
      <c r="ISM16" s="41"/>
      <c r="ISN16" s="41"/>
      <c r="ISO16" s="41"/>
      <c r="ISP16" s="41"/>
      <c r="ISQ16" s="41"/>
      <c r="ISR16" s="41"/>
      <c r="ISS16" s="41"/>
      <c r="IST16" s="41"/>
      <c r="ISU16" s="41"/>
      <c r="ISV16" s="41"/>
      <c r="ISW16" s="41"/>
      <c r="ISX16" s="41"/>
      <c r="ISY16" s="41"/>
      <c r="ISZ16" s="41"/>
      <c r="ITA16" s="41"/>
      <c r="ITB16" s="41"/>
      <c r="ITC16" s="41"/>
      <c r="ITD16" s="41"/>
      <c r="ITE16" s="41"/>
      <c r="ITF16" s="41"/>
      <c r="ITG16" s="41"/>
      <c r="ITH16" s="41"/>
      <c r="ITI16" s="41"/>
      <c r="ITJ16" s="41"/>
      <c r="ITK16" s="41"/>
      <c r="ITL16" s="41"/>
      <c r="ITM16" s="41"/>
      <c r="ITN16" s="41"/>
      <c r="ITO16" s="41"/>
      <c r="ITP16" s="41"/>
      <c r="ITQ16" s="41"/>
      <c r="ITR16" s="41"/>
      <c r="ITS16" s="41"/>
      <c r="ITT16" s="41"/>
      <c r="ITU16" s="41"/>
      <c r="ITV16" s="41"/>
      <c r="ITW16" s="41"/>
      <c r="ITX16" s="41"/>
      <c r="ITY16" s="41"/>
      <c r="ITZ16" s="41"/>
      <c r="IUA16" s="41"/>
      <c r="IUB16" s="41"/>
      <c r="IUC16" s="41"/>
      <c r="IUD16" s="41"/>
      <c r="IUE16" s="41"/>
      <c r="IUF16" s="41"/>
      <c r="IUG16" s="41"/>
      <c r="IUH16" s="41"/>
      <c r="IUI16" s="41"/>
      <c r="IUJ16" s="41"/>
      <c r="IUK16" s="41"/>
      <c r="IUL16" s="41"/>
      <c r="IUM16" s="41"/>
      <c r="IUN16" s="41"/>
      <c r="IUO16" s="41"/>
      <c r="IUP16" s="41"/>
      <c r="IUQ16" s="41"/>
      <c r="IUR16" s="41"/>
      <c r="IUS16" s="41"/>
      <c r="IUT16" s="41"/>
      <c r="IUU16" s="41"/>
      <c r="IUV16" s="41"/>
      <c r="IUW16" s="41"/>
      <c r="IUX16" s="41"/>
      <c r="IUY16" s="41"/>
      <c r="IUZ16" s="41"/>
      <c r="IVA16" s="41"/>
      <c r="IVB16" s="41"/>
      <c r="IVC16" s="41"/>
      <c r="IVD16" s="41"/>
      <c r="IVE16" s="41"/>
      <c r="IVF16" s="41"/>
      <c r="IVG16" s="41"/>
      <c r="IVH16" s="41"/>
      <c r="IVI16" s="41"/>
      <c r="IVJ16" s="41"/>
      <c r="IVK16" s="41"/>
      <c r="IVL16" s="41"/>
      <c r="IVM16" s="41"/>
      <c r="IVN16" s="41"/>
      <c r="IVO16" s="41"/>
      <c r="IVP16" s="41"/>
      <c r="IVQ16" s="41"/>
      <c r="IVR16" s="41"/>
      <c r="IVS16" s="41"/>
      <c r="IVT16" s="41"/>
      <c r="IVU16" s="41"/>
      <c r="IVV16" s="41"/>
      <c r="IVW16" s="41"/>
      <c r="IVX16" s="41"/>
      <c r="IVY16" s="41"/>
      <c r="IVZ16" s="41"/>
      <c r="IWA16" s="41"/>
      <c r="IWB16" s="41"/>
      <c r="IWC16" s="41"/>
      <c r="IWD16" s="41"/>
      <c r="IWE16" s="41"/>
      <c r="IWF16" s="41"/>
      <c r="IWG16" s="41"/>
      <c r="IWH16" s="41"/>
      <c r="IWI16" s="41"/>
      <c r="IWJ16" s="41"/>
      <c r="IWK16" s="41"/>
      <c r="IWL16" s="41"/>
      <c r="IWM16" s="41"/>
      <c r="IWN16" s="41"/>
      <c r="IWO16" s="41"/>
      <c r="IWP16" s="41"/>
      <c r="IWQ16" s="41"/>
      <c r="IWR16" s="41"/>
      <c r="IWS16" s="41"/>
      <c r="IWT16" s="41"/>
      <c r="IWU16" s="41"/>
      <c r="IWV16" s="41"/>
      <c r="IWW16" s="41"/>
      <c r="IWX16" s="41"/>
      <c r="IWY16" s="41"/>
      <c r="IWZ16" s="41"/>
      <c r="IXA16" s="41"/>
      <c r="IXB16" s="41"/>
      <c r="IXC16" s="41"/>
      <c r="IXD16" s="41"/>
      <c r="IXE16" s="41"/>
      <c r="IXF16" s="41"/>
      <c r="IXG16" s="41"/>
      <c r="IXH16" s="41"/>
      <c r="IXI16" s="41"/>
      <c r="IXJ16" s="41"/>
      <c r="IXK16" s="41"/>
      <c r="IXL16" s="41"/>
      <c r="IXM16" s="41"/>
      <c r="IXN16" s="41"/>
      <c r="IXO16" s="41"/>
      <c r="IXP16" s="41"/>
      <c r="IXQ16" s="41"/>
      <c r="IXR16" s="41"/>
      <c r="IXS16" s="41"/>
      <c r="IXT16" s="41"/>
      <c r="IXU16" s="41"/>
      <c r="IXV16" s="41"/>
      <c r="IXW16" s="41"/>
      <c r="IXX16" s="41"/>
      <c r="IXY16" s="41"/>
      <c r="IXZ16" s="41"/>
      <c r="IYA16" s="41"/>
      <c r="IYB16" s="41"/>
      <c r="IYC16" s="41"/>
      <c r="IYD16" s="41"/>
      <c r="IYE16" s="41"/>
      <c r="IYF16" s="41"/>
      <c r="IYG16" s="41"/>
      <c r="IYH16" s="41"/>
      <c r="IYI16" s="41"/>
      <c r="IYJ16" s="41"/>
      <c r="IYK16" s="41"/>
      <c r="IYL16" s="41"/>
      <c r="IYM16" s="41"/>
      <c r="IYN16" s="41"/>
      <c r="IYO16" s="41"/>
      <c r="IYP16" s="41"/>
      <c r="IYQ16" s="41"/>
      <c r="IYR16" s="41"/>
      <c r="IYS16" s="41"/>
      <c r="IYT16" s="41"/>
      <c r="IYU16" s="41"/>
      <c r="IYV16" s="41"/>
      <c r="IYW16" s="41"/>
      <c r="IYX16" s="41"/>
      <c r="IYY16" s="41"/>
      <c r="IYZ16" s="41"/>
      <c r="IZA16" s="41"/>
      <c r="IZB16" s="41"/>
      <c r="IZC16" s="41"/>
      <c r="IZD16" s="41"/>
      <c r="IZE16" s="41"/>
      <c r="IZF16" s="41"/>
      <c r="IZG16" s="41"/>
      <c r="IZH16" s="41"/>
      <c r="IZI16" s="41"/>
      <c r="IZJ16" s="41"/>
      <c r="IZK16" s="41"/>
      <c r="IZL16" s="41"/>
      <c r="IZM16" s="41"/>
      <c r="IZN16" s="41"/>
      <c r="IZO16" s="41"/>
      <c r="IZP16" s="41"/>
      <c r="IZQ16" s="41"/>
      <c r="IZR16" s="41"/>
      <c r="IZS16" s="41"/>
      <c r="IZT16" s="41"/>
      <c r="IZU16" s="41"/>
      <c r="IZV16" s="41"/>
      <c r="IZW16" s="41"/>
      <c r="IZX16" s="41"/>
      <c r="IZY16" s="41"/>
      <c r="IZZ16" s="41"/>
      <c r="JAA16" s="41"/>
      <c r="JAB16" s="41"/>
      <c r="JAC16" s="41"/>
      <c r="JAD16" s="41"/>
      <c r="JAE16" s="41"/>
      <c r="JAF16" s="41"/>
      <c r="JAG16" s="41"/>
      <c r="JAH16" s="41"/>
      <c r="JAI16" s="41"/>
      <c r="JAJ16" s="41"/>
      <c r="JAK16" s="41"/>
      <c r="JAL16" s="41"/>
      <c r="JAM16" s="41"/>
      <c r="JAN16" s="41"/>
      <c r="JAO16" s="41"/>
      <c r="JAP16" s="41"/>
      <c r="JAQ16" s="41"/>
      <c r="JAR16" s="41"/>
      <c r="JAS16" s="41"/>
      <c r="JAT16" s="41"/>
      <c r="JAU16" s="41"/>
      <c r="JAV16" s="41"/>
      <c r="JAW16" s="41"/>
      <c r="JAX16" s="41"/>
      <c r="JAY16" s="41"/>
      <c r="JAZ16" s="41"/>
      <c r="JBA16" s="41"/>
      <c r="JBB16" s="41"/>
      <c r="JBC16" s="41"/>
      <c r="JBD16" s="41"/>
      <c r="JBE16" s="41"/>
      <c r="JBF16" s="41"/>
      <c r="JBG16" s="41"/>
      <c r="JBH16" s="41"/>
      <c r="JBI16" s="41"/>
      <c r="JBJ16" s="41"/>
      <c r="JBK16" s="41"/>
      <c r="JBL16" s="41"/>
      <c r="JBM16" s="41"/>
      <c r="JBN16" s="41"/>
      <c r="JBO16" s="41"/>
      <c r="JBP16" s="41"/>
      <c r="JBQ16" s="41"/>
      <c r="JBR16" s="41"/>
      <c r="JBS16" s="41"/>
      <c r="JBT16" s="41"/>
      <c r="JBU16" s="41"/>
      <c r="JBV16" s="41"/>
      <c r="JBW16" s="41"/>
      <c r="JBX16" s="41"/>
      <c r="JBY16" s="41"/>
      <c r="JBZ16" s="41"/>
      <c r="JCA16" s="41"/>
      <c r="JCB16" s="41"/>
      <c r="JCC16" s="41"/>
      <c r="JCD16" s="41"/>
      <c r="JCE16" s="41"/>
      <c r="JCF16" s="41"/>
      <c r="JCG16" s="41"/>
      <c r="JCH16" s="41"/>
      <c r="JCI16" s="41"/>
      <c r="JCJ16" s="41"/>
      <c r="JCK16" s="41"/>
      <c r="JCL16" s="41"/>
      <c r="JCM16" s="41"/>
      <c r="JCN16" s="41"/>
      <c r="JCO16" s="41"/>
      <c r="JCP16" s="41"/>
      <c r="JCQ16" s="41"/>
      <c r="JCR16" s="41"/>
      <c r="JCS16" s="41"/>
      <c r="JCT16" s="41"/>
      <c r="JCU16" s="41"/>
      <c r="JCV16" s="41"/>
      <c r="JCW16" s="41"/>
      <c r="JCX16" s="41"/>
      <c r="JCY16" s="41"/>
      <c r="JCZ16" s="41"/>
      <c r="JDA16" s="41"/>
      <c r="JDB16" s="41"/>
      <c r="JDC16" s="41"/>
      <c r="JDD16" s="41"/>
      <c r="JDE16" s="41"/>
      <c r="JDF16" s="41"/>
      <c r="JDG16" s="41"/>
      <c r="JDH16" s="41"/>
      <c r="JDI16" s="41"/>
      <c r="JDJ16" s="41"/>
      <c r="JDK16" s="41"/>
      <c r="JDL16" s="41"/>
      <c r="JDM16" s="41"/>
      <c r="JDN16" s="41"/>
      <c r="JDO16" s="41"/>
      <c r="JDP16" s="41"/>
      <c r="JDQ16" s="41"/>
      <c r="JDR16" s="41"/>
      <c r="JDS16" s="41"/>
      <c r="JDT16" s="41"/>
      <c r="JDU16" s="41"/>
      <c r="JDV16" s="41"/>
      <c r="JDW16" s="41"/>
      <c r="JDX16" s="41"/>
      <c r="JDY16" s="41"/>
      <c r="JDZ16" s="41"/>
      <c r="JEA16" s="41"/>
      <c r="JEB16" s="41"/>
      <c r="JEC16" s="41"/>
      <c r="JED16" s="41"/>
      <c r="JEE16" s="41"/>
      <c r="JEF16" s="41"/>
      <c r="JEG16" s="41"/>
      <c r="JEH16" s="41"/>
      <c r="JEI16" s="41"/>
      <c r="JEJ16" s="41"/>
      <c r="JEK16" s="41"/>
      <c r="JEL16" s="41"/>
      <c r="JEM16" s="41"/>
      <c r="JEN16" s="41"/>
      <c r="JEO16" s="41"/>
      <c r="JEP16" s="41"/>
      <c r="JEQ16" s="41"/>
      <c r="JER16" s="41"/>
      <c r="JES16" s="41"/>
      <c r="JET16" s="41"/>
      <c r="JEU16" s="41"/>
      <c r="JEV16" s="41"/>
      <c r="JEW16" s="41"/>
      <c r="JEX16" s="41"/>
      <c r="JEY16" s="41"/>
      <c r="JEZ16" s="41"/>
      <c r="JFA16" s="41"/>
      <c r="JFB16" s="41"/>
      <c r="JFC16" s="41"/>
      <c r="JFD16" s="41"/>
      <c r="JFE16" s="41"/>
      <c r="JFF16" s="41"/>
      <c r="JFG16" s="41"/>
      <c r="JFH16" s="41"/>
      <c r="JFI16" s="41"/>
      <c r="JFJ16" s="41"/>
      <c r="JFK16" s="41"/>
      <c r="JFL16" s="41"/>
      <c r="JFM16" s="41"/>
      <c r="JFN16" s="41"/>
      <c r="JFO16" s="41"/>
      <c r="JFP16" s="41"/>
      <c r="JFQ16" s="41"/>
      <c r="JFR16" s="41"/>
      <c r="JFS16" s="41"/>
      <c r="JFT16" s="41"/>
      <c r="JFU16" s="41"/>
      <c r="JFV16" s="41"/>
      <c r="JFW16" s="41"/>
      <c r="JFX16" s="41"/>
      <c r="JFY16" s="41"/>
      <c r="JFZ16" s="41"/>
      <c r="JGA16" s="41"/>
      <c r="JGB16" s="41"/>
      <c r="JGC16" s="41"/>
      <c r="JGD16" s="41"/>
      <c r="JGE16" s="41"/>
      <c r="JGF16" s="41"/>
      <c r="JGG16" s="41"/>
      <c r="JGH16" s="41"/>
      <c r="JGI16" s="41"/>
      <c r="JGJ16" s="41"/>
      <c r="JGK16" s="41"/>
      <c r="JGL16" s="41"/>
      <c r="JGM16" s="41"/>
      <c r="JGN16" s="41"/>
      <c r="JGO16" s="41"/>
      <c r="JGP16" s="41"/>
      <c r="JGQ16" s="41"/>
      <c r="JGR16" s="41"/>
      <c r="JGS16" s="41"/>
      <c r="JGT16" s="41"/>
      <c r="JGU16" s="41"/>
      <c r="JGV16" s="41"/>
      <c r="JGW16" s="41"/>
      <c r="JGX16" s="41"/>
      <c r="JGY16" s="41"/>
      <c r="JGZ16" s="41"/>
      <c r="JHA16" s="41"/>
      <c r="JHB16" s="41"/>
      <c r="JHC16" s="41"/>
      <c r="JHD16" s="41"/>
      <c r="JHE16" s="41"/>
      <c r="JHF16" s="41"/>
      <c r="JHG16" s="41"/>
      <c r="JHH16" s="41"/>
      <c r="JHI16" s="41"/>
      <c r="JHJ16" s="41"/>
      <c r="JHK16" s="41"/>
      <c r="JHL16" s="41"/>
      <c r="JHM16" s="41"/>
      <c r="JHN16" s="41"/>
      <c r="JHO16" s="41"/>
      <c r="JHP16" s="41"/>
      <c r="JHQ16" s="41"/>
      <c r="JHR16" s="41"/>
      <c r="JHS16" s="41"/>
      <c r="JHT16" s="41"/>
      <c r="JHU16" s="41"/>
      <c r="JHV16" s="41"/>
      <c r="JHW16" s="41"/>
      <c r="JHX16" s="41"/>
      <c r="JHY16" s="41"/>
      <c r="JHZ16" s="41"/>
      <c r="JIA16" s="41"/>
      <c r="JIB16" s="41"/>
      <c r="JIC16" s="41"/>
      <c r="JID16" s="41"/>
      <c r="JIE16" s="41"/>
      <c r="JIF16" s="41"/>
      <c r="JIG16" s="41"/>
      <c r="JIH16" s="41"/>
      <c r="JII16" s="41"/>
      <c r="JIJ16" s="41"/>
      <c r="JIK16" s="41"/>
      <c r="JIL16" s="41"/>
      <c r="JIM16" s="41"/>
      <c r="JIN16" s="41"/>
      <c r="JIO16" s="41"/>
      <c r="JIP16" s="41"/>
      <c r="JIQ16" s="41"/>
      <c r="JIR16" s="41"/>
      <c r="JIS16" s="41"/>
      <c r="JIT16" s="41"/>
      <c r="JIU16" s="41"/>
      <c r="JIV16" s="41"/>
      <c r="JIW16" s="41"/>
      <c r="JIX16" s="41"/>
      <c r="JIY16" s="41"/>
      <c r="JIZ16" s="41"/>
      <c r="JJA16" s="41"/>
      <c r="JJB16" s="41"/>
      <c r="JJC16" s="41"/>
      <c r="JJD16" s="41"/>
      <c r="JJE16" s="41"/>
      <c r="JJF16" s="41"/>
      <c r="JJG16" s="41"/>
      <c r="JJH16" s="41"/>
      <c r="JJI16" s="41"/>
      <c r="JJJ16" s="41"/>
      <c r="JJK16" s="41"/>
      <c r="JJL16" s="41"/>
      <c r="JJM16" s="41"/>
      <c r="JJN16" s="41"/>
      <c r="JJO16" s="41"/>
      <c r="JJP16" s="41"/>
      <c r="JJQ16" s="41"/>
      <c r="JJR16" s="41"/>
      <c r="JJS16" s="41"/>
      <c r="JJT16" s="41"/>
      <c r="JJU16" s="41"/>
      <c r="JJV16" s="41"/>
      <c r="JJW16" s="41"/>
      <c r="JJX16" s="41"/>
      <c r="JJY16" s="41"/>
      <c r="JJZ16" s="41"/>
      <c r="JKA16" s="41"/>
      <c r="JKB16" s="41"/>
      <c r="JKC16" s="41"/>
      <c r="JKD16" s="41"/>
      <c r="JKE16" s="41"/>
      <c r="JKF16" s="41"/>
      <c r="JKG16" s="41"/>
      <c r="JKH16" s="41"/>
      <c r="JKI16" s="41"/>
      <c r="JKJ16" s="41"/>
      <c r="JKK16" s="41"/>
      <c r="JKL16" s="41"/>
      <c r="JKM16" s="41"/>
      <c r="JKN16" s="41"/>
      <c r="JKO16" s="41"/>
      <c r="JKP16" s="41"/>
      <c r="JKQ16" s="41"/>
      <c r="JKR16" s="41"/>
      <c r="JKS16" s="41"/>
      <c r="JKT16" s="41"/>
      <c r="JKU16" s="41"/>
      <c r="JKV16" s="41"/>
      <c r="JKW16" s="41"/>
      <c r="JKX16" s="41"/>
      <c r="JKY16" s="41"/>
      <c r="JKZ16" s="41"/>
      <c r="JLA16" s="41"/>
      <c r="JLB16" s="41"/>
      <c r="JLC16" s="41"/>
      <c r="JLD16" s="41"/>
      <c r="JLE16" s="41"/>
      <c r="JLF16" s="41"/>
      <c r="JLG16" s="41"/>
      <c r="JLH16" s="41"/>
      <c r="JLI16" s="41"/>
      <c r="JLJ16" s="41"/>
      <c r="JLK16" s="41"/>
      <c r="JLL16" s="41"/>
      <c r="JLM16" s="41"/>
      <c r="JLN16" s="41"/>
      <c r="JLO16" s="41"/>
      <c r="JLP16" s="41"/>
      <c r="JLQ16" s="41"/>
      <c r="JLR16" s="41"/>
      <c r="JLS16" s="41"/>
      <c r="JLT16" s="41"/>
      <c r="JLU16" s="41"/>
      <c r="JLV16" s="41"/>
      <c r="JLW16" s="41"/>
      <c r="JLX16" s="41"/>
      <c r="JLY16" s="41"/>
      <c r="JLZ16" s="41"/>
      <c r="JMA16" s="41"/>
      <c r="JMB16" s="41"/>
      <c r="JMC16" s="41"/>
      <c r="JMD16" s="41"/>
      <c r="JME16" s="41"/>
      <c r="JMF16" s="41"/>
      <c r="JMG16" s="41"/>
      <c r="JMH16" s="41"/>
      <c r="JMI16" s="41"/>
      <c r="JMJ16" s="41"/>
      <c r="JMK16" s="41"/>
      <c r="JML16" s="41"/>
      <c r="JMM16" s="41"/>
      <c r="JMN16" s="41"/>
      <c r="JMO16" s="41"/>
      <c r="JMP16" s="41"/>
      <c r="JMQ16" s="41"/>
      <c r="JMR16" s="41"/>
      <c r="JMS16" s="41"/>
      <c r="JMT16" s="41"/>
      <c r="JMU16" s="41"/>
      <c r="JMV16" s="41"/>
      <c r="JMW16" s="41"/>
      <c r="JMX16" s="41"/>
      <c r="JMY16" s="41"/>
      <c r="JMZ16" s="41"/>
      <c r="JNA16" s="41"/>
      <c r="JNB16" s="41"/>
      <c r="JNC16" s="41"/>
      <c r="JND16" s="41"/>
      <c r="JNE16" s="41"/>
      <c r="JNF16" s="41"/>
      <c r="JNG16" s="41"/>
      <c r="JNH16" s="41"/>
      <c r="JNI16" s="41"/>
      <c r="JNJ16" s="41"/>
      <c r="JNK16" s="41"/>
      <c r="JNL16" s="41"/>
      <c r="JNM16" s="41"/>
      <c r="JNN16" s="41"/>
      <c r="JNO16" s="41"/>
      <c r="JNP16" s="41"/>
      <c r="JNQ16" s="41"/>
      <c r="JNR16" s="41"/>
      <c r="JNS16" s="41"/>
      <c r="JNT16" s="41"/>
      <c r="JNU16" s="41"/>
      <c r="JNV16" s="41"/>
      <c r="JNW16" s="41"/>
      <c r="JNX16" s="41"/>
      <c r="JNY16" s="41"/>
      <c r="JNZ16" s="41"/>
      <c r="JOA16" s="41"/>
      <c r="JOB16" s="41"/>
      <c r="JOC16" s="41"/>
      <c r="JOD16" s="41"/>
      <c r="JOE16" s="41"/>
      <c r="JOF16" s="41"/>
      <c r="JOG16" s="41"/>
      <c r="JOH16" s="41"/>
      <c r="JOI16" s="41"/>
      <c r="JOJ16" s="41"/>
      <c r="JOK16" s="41"/>
      <c r="JOL16" s="41"/>
      <c r="JOM16" s="41"/>
      <c r="JON16" s="41"/>
      <c r="JOO16" s="41"/>
      <c r="JOP16" s="41"/>
      <c r="JOQ16" s="41"/>
      <c r="JOR16" s="41"/>
      <c r="JOS16" s="41"/>
      <c r="JOT16" s="41"/>
      <c r="JOU16" s="41"/>
      <c r="JOV16" s="41"/>
      <c r="JOW16" s="41"/>
      <c r="JOX16" s="41"/>
      <c r="JOY16" s="41"/>
      <c r="JOZ16" s="41"/>
      <c r="JPA16" s="41"/>
      <c r="JPB16" s="41"/>
      <c r="JPC16" s="41"/>
      <c r="JPD16" s="41"/>
      <c r="JPE16" s="41"/>
      <c r="JPF16" s="41"/>
      <c r="JPG16" s="41"/>
      <c r="JPH16" s="41"/>
      <c r="JPI16" s="41"/>
      <c r="JPJ16" s="41"/>
      <c r="JPK16" s="41"/>
      <c r="JPL16" s="41"/>
      <c r="JPM16" s="41"/>
      <c r="JPN16" s="41"/>
      <c r="JPO16" s="41"/>
      <c r="JPP16" s="41"/>
      <c r="JPQ16" s="41"/>
      <c r="JPR16" s="41"/>
      <c r="JPS16" s="41"/>
      <c r="JPT16" s="41"/>
      <c r="JPU16" s="41"/>
      <c r="JPV16" s="41"/>
      <c r="JPW16" s="41"/>
      <c r="JPX16" s="41"/>
      <c r="JPY16" s="41"/>
      <c r="JPZ16" s="41"/>
      <c r="JQA16" s="41"/>
      <c r="JQB16" s="41"/>
      <c r="JQC16" s="41"/>
      <c r="JQD16" s="41"/>
      <c r="JQE16" s="41"/>
      <c r="JQF16" s="41"/>
      <c r="JQG16" s="41"/>
      <c r="JQH16" s="41"/>
      <c r="JQI16" s="41"/>
      <c r="JQJ16" s="41"/>
      <c r="JQK16" s="41"/>
      <c r="JQL16" s="41"/>
      <c r="JQM16" s="41"/>
      <c r="JQN16" s="41"/>
      <c r="JQO16" s="41"/>
      <c r="JQP16" s="41"/>
      <c r="JQQ16" s="41"/>
      <c r="JQR16" s="41"/>
      <c r="JQS16" s="41"/>
      <c r="JQT16" s="41"/>
      <c r="JQU16" s="41"/>
      <c r="JQV16" s="41"/>
      <c r="JQW16" s="41"/>
      <c r="JQX16" s="41"/>
      <c r="JQY16" s="41"/>
      <c r="JQZ16" s="41"/>
      <c r="JRA16" s="41"/>
      <c r="JRB16" s="41"/>
      <c r="JRC16" s="41"/>
      <c r="JRD16" s="41"/>
      <c r="JRE16" s="41"/>
      <c r="JRF16" s="41"/>
      <c r="JRG16" s="41"/>
      <c r="JRH16" s="41"/>
      <c r="JRI16" s="41"/>
      <c r="JRJ16" s="41"/>
      <c r="JRK16" s="41"/>
      <c r="JRL16" s="41"/>
      <c r="JRM16" s="41"/>
      <c r="JRN16" s="41"/>
      <c r="JRO16" s="41"/>
      <c r="JRP16" s="41"/>
      <c r="JRQ16" s="41"/>
      <c r="JRR16" s="41"/>
      <c r="JRS16" s="41"/>
      <c r="JRT16" s="41"/>
      <c r="JRU16" s="41"/>
      <c r="JRV16" s="41"/>
      <c r="JRW16" s="41"/>
      <c r="JRX16" s="41"/>
      <c r="JRY16" s="41"/>
      <c r="JRZ16" s="41"/>
      <c r="JSA16" s="41"/>
      <c r="JSB16" s="41"/>
      <c r="JSC16" s="41"/>
      <c r="JSD16" s="41"/>
      <c r="JSE16" s="41"/>
      <c r="JSF16" s="41"/>
      <c r="JSG16" s="41"/>
      <c r="JSH16" s="41"/>
      <c r="JSI16" s="41"/>
      <c r="JSJ16" s="41"/>
      <c r="JSK16" s="41"/>
      <c r="JSL16" s="41"/>
      <c r="JSM16" s="41"/>
      <c r="JSN16" s="41"/>
      <c r="JSO16" s="41"/>
      <c r="JSP16" s="41"/>
      <c r="JSQ16" s="41"/>
      <c r="JSR16" s="41"/>
      <c r="JSS16" s="41"/>
      <c r="JST16" s="41"/>
      <c r="JSU16" s="41"/>
      <c r="JSV16" s="41"/>
      <c r="JSW16" s="41"/>
      <c r="JSX16" s="41"/>
      <c r="JSY16" s="41"/>
      <c r="JSZ16" s="41"/>
      <c r="JTA16" s="41"/>
      <c r="JTB16" s="41"/>
      <c r="JTC16" s="41"/>
      <c r="JTD16" s="41"/>
      <c r="JTE16" s="41"/>
      <c r="JTF16" s="41"/>
      <c r="JTG16" s="41"/>
      <c r="JTH16" s="41"/>
      <c r="JTI16" s="41"/>
      <c r="JTJ16" s="41"/>
      <c r="JTK16" s="41"/>
      <c r="JTL16" s="41"/>
      <c r="JTM16" s="41"/>
      <c r="JTN16" s="41"/>
      <c r="JTO16" s="41"/>
      <c r="JTP16" s="41"/>
      <c r="JTQ16" s="41"/>
      <c r="JTR16" s="41"/>
      <c r="JTS16" s="41"/>
      <c r="JTT16" s="41"/>
      <c r="JTU16" s="41"/>
      <c r="JTV16" s="41"/>
      <c r="JTW16" s="41"/>
      <c r="JTX16" s="41"/>
      <c r="JTY16" s="41"/>
      <c r="JTZ16" s="41"/>
      <c r="JUA16" s="41"/>
      <c r="JUB16" s="41"/>
      <c r="JUC16" s="41"/>
      <c r="JUD16" s="41"/>
      <c r="JUE16" s="41"/>
      <c r="JUF16" s="41"/>
      <c r="JUG16" s="41"/>
      <c r="JUH16" s="41"/>
      <c r="JUI16" s="41"/>
      <c r="JUJ16" s="41"/>
      <c r="JUK16" s="41"/>
      <c r="JUL16" s="41"/>
      <c r="JUM16" s="41"/>
      <c r="JUN16" s="41"/>
      <c r="JUO16" s="41"/>
      <c r="JUP16" s="41"/>
      <c r="JUQ16" s="41"/>
      <c r="JUR16" s="41"/>
      <c r="JUS16" s="41"/>
      <c r="JUT16" s="41"/>
      <c r="JUU16" s="41"/>
      <c r="JUV16" s="41"/>
      <c r="JUW16" s="41"/>
      <c r="JUX16" s="41"/>
      <c r="JUY16" s="41"/>
      <c r="JUZ16" s="41"/>
      <c r="JVA16" s="41"/>
      <c r="JVB16" s="41"/>
      <c r="JVC16" s="41"/>
      <c r="JVD16" s="41"/>
      <c r="JVE16" s="41"/>
      <c r="JVF16" s="41"/>
      <c r="JVG16" s="41"/>
      <c r="JVH16" s="41"/>
      <c r="JVI16" s="41"/>
      <c r="JVJ16" s="41"/>
      <c r="JVK16" s="41"/>
      <c r="JVL16" s="41"/>
      <c r="JVM16" s="41"/>
      <c r="JVN16" s="41"/>
      <c r="JVO16" s="41"/>
      <c r="JVP16" s="41"/>
      <c r="JVQ16" s="41"/>
      <c r="JVR16" s="41"/>
      <c r="JVS16" s="41"/>
      <c r="JVT16" s="41"/>
      <c r="JVU16" s="41"/>
      <c r="JVV16" s="41"/>
      <c r="JVW16" s="41"/>
      <c r="JVX16" s="41"/>
      <c r="JVY16" s="41"/>
      <c r="JVZ16" s="41"/>
      <c r="JWA16" s="41"/>
      <c r="JWB16" s="41"/>
      <c r="JWC16" s="41"/>
      <c r="JWD16" s="41"/>
      <c r="JWE16" s="41"/>
      <c r="JWF16" s="41"/>
      <c r="JWG16" s="41"/>
      <c r="JWH16" s="41"/>
      <c r="JWI16" s="41"/>
      <c r="JWJ16" s="41"/>
      <c r="JWK16" s="41"/>
      <c r="JWL16" s="41"/>
      <c r="JWM16" s="41"/>
      <c r="JWN16" s="41"/>
      <c r="JWO16" s="41"/>
      <c r="JWP16" s="41"/>
      <c r="JWQ16" s="41"/>
      <c r="JWR16" s="41"/>
      <c r="JWS16" s="41"/>
      <c r="JWT16" s="41"/>
      <c r="JWU16" s="41"/>
      <c r="JWV16" s="41"/>
      <c r="JWW16" s="41"/>
      <c r="JWX16" s="41"/>
      <c r="JWY16" s="41"/>
      <c r="JWZ16" s="41"/>
      <c r="JXA16" s="41"/>
      <c r="JXB16" s="41"/>
      <c r="JXC16" s="41"/>
      <c r="JXD16" s="41"/>
      <c r="JXE16" s="41"/>
      <c r="JXF16" s="41"/>
      <c r="JXG16" s="41"/>
      <c r="JXH16" s="41"/>
      <c r="JXI16" s="41"/>
      <c r="JXJ16" s="41"/>
      <c r="JXK16" s="41"/>
      <c r="JXL16" s="41"/>
      <c r="JXM16" s="41"/>
      <c r="JXN16" s="41"/>
      <c r="JXO16" s="41"/>
      <c r="JXP16" s="41"/>
      <c r="JXQ16" s="41"/>
      <c r="JXR16" s="41"/>
      <c r="JXS16" s="41"/>
      <c r="JXT16" s="41"/>
      <c r="JXU16" s="41"/>
      <c r="JXV16" s="41"/>
      <c r="JXW16" s="41"/>
      <c r="JXX16" s="41"/>
      <c r="JXY16" s="41"/>
      <c r="JXZ16" s="41"/>
      <c r="JYA16" s="41"/>
      <c r="JYB16" s="41"/>
      <c r="JYC16" s="41"/>
      <c r="JYD16" s="41"/>
      <c r="JYE16" s="41"/>
      <c r="JYF16" s="41"/>
      <c r="JYG16" s="41"/>
      <c r="JYH16" s="41"/>
      <c r="JYI16" s="41"/>
      <c r="JYJ16" s="41"/>
      <c r="JYK16" s="41"/>
      <c r="JYL16" s="41"/>
      <c r="JYM16" s="41"/>
      <c r="JYN16" s="41"/>
      <c r="JYO16" s="41"/>
      <c r="JYP16" s="41"/>
      <c r="JYQ16" s="41"/>
      <c r="JYR16" s="41"/>
      <c r="JYS16" s="41"/>
      <c r="JYT16" s="41"/>
      <c r="JYU16" s="41"/>
      <c r="JYV16" s="41"/>
      <c r="JYW16" s="41"/>
      <c r="JYX16" s="41"/>
      <c r="JYY16" s="41"/>
      <c r="JYZ16" s="41"/>
      <c r="JZA16" s="41"/>
      <c r="JZB16" s="41"/>
      <c r="JZC16" s="41"/>
      <c r="JZD16" s="41"/>
      <c r="JZE16" s="41"/>
      <c r="JZF16" s="41"/>
      <c r="JZG16" s="41"/>
      <c r="JZH16" s="41"/>
      <c r="JZI16" s="41"/>
      <c r="JZJ16" s="41"/>
      <c r="JZK16" s="41"/>
      <c r="JZL16" s="41"/>
      <c r="JZM16" s="41"/>
      <c r="JZN16" s="41"/>
      <c r="JZO16" s="41"/>
      <c r="JZP16" s="41"/>
      <c r="JZQ16" s="41"/>
      <c r="JZR16" s="41"/>
      <c r="JZS16" s="41"/>
      <c r="JZT16" s="41"/>
      <c r="JZU16" s="41"/>
      <c r="JZV16" s="41"/>
      <c r="JZW16" s="41"/>
      <c r="JZX16" s="41"/>
      <c r="JZY16" s="41"/>
      <c r="JZZ16" s="41"/>
      <c r="KAA16" s="41"/>
      <c r="KAB16" s="41"/>
      <c r="KAC16" s="41"/>
      <c r="KAD16" s="41"/>
      <c r="KAE16" s="41"/>
      <c r="KAF16" s="41"/>
      <c r="KAG16" s="41"/>
      <c r="KAH16" s="41"/>
      <c r="KAI16" s="41"/>
      <c r="KAJ16" s="41"/>
      <c r="KAK16" s="41"/>
      <c r="KAL16" s="41"/>
      <c r="KAM16" s="41"/>
      <c r="KAN16" s="41"/>
      <c r="KAO16" s="41"/>
      <c r="KAP16" s="41"/>
      <c r="KAQ16" s="41"/>
      <c r="KAR16" s="41"/>
      <c r="KAS16" s="41"/>
      <c r="KAT16" s="41"/>
      <c r="KAU16" s="41"/>
      <c r="KAV16" s="41"/>
      <c r="KAW16" s="41"/>
      <c r="KAX16" s="41"/>
      <c r="KAY16" s="41"/>
      <c r="KAZ16" s="41"/>
      <c r="KBA16" s="41"/>
      <c r="KBB16" s="41"/>
      <c r="KBC16" s="41"/>
      <c r="KBD16" s="41"/>
      <c r="KBE16" s="41"/>
      <c r="KBF16" s="41"/>
      <c r="KBG16" s="41"/>
      <c r="KBH16" s="41"/>
      <c r="KBI16" s="41"/>
      <c r="KBJ16" s="41"/>
      <c r="KBK16" s="41"/>
      <c r="KBL16" s="41"/>
      <c r="KBM16" s="41"/>
      <c r="KBN16" s="41"/>
      <c r="KBO16" s="41"/>
      <c r="KBP16" s="41"/>
      <c r="KBQ16" s="41"/>
      <c r="KBR16" s="41"/>
      <c r="KBS16" s="41"/>
      <c r="KBT16" s="41"/>
      <c r="KBU16" s="41"/>
      <c r="KBV16" s="41"/>
      <c r="KBW16" s="41"/>
      <c r="KBX16" s="41"/>
      <c r="KBY16" s="41"/>
      <c r="KBZ16" s="41"/>
      <c r="KCA16" s="41"/>
      <c r="KCB16" s="41"/>
      <c r="KCC16" s="41"/>
      <c r="KCD16" s="41"/>
      <c r="KCE16" s="41"/>
      <c r="KCF16" s="41"/>
      <c r="KCG16" s="41"/>
      <c r="KCH16" s="41"/>
      <c r="KCI16" s="41"/>
      <c r="KCJ16" s="41"/>
      <c r="KCK16" s="41"/>
      <c r="KCL16" s="41"/>
      <c r="KCM16" s="41"/>
      <c r="KCN16" s="41"/>
      <c r="KCO16" s="41"/>
      <c r="KCP16" s="41"/>
      <c r="KCQ16" s="41"/>
      <c r="KCR16" s="41"/>
      <c r="KCS16" s="41"/>
      <c r="KCT16" s="41"/>
      <c r="KCU16" s="41"/>
      <c r="KCV16" s="41"/>
      <c r="KCW16" s="41"/>
      <c r="KCX16" s="41"/>
      <c r="KCY16" s="41"/>
      <c r="KCZ16" s="41"/>
      <c r="KDA16" s="41"/>
      <c r="KDB16" s="41"/>
      <c r="KDC16" s="41"/>
      <c r="KDD16" s="41"/>
      <c r="KDE16" s="41"/>
      <c r="KDF16" s="41"/>
      <c r="KDG16" s="41"/>
      <c r="KDH16" s="41"/>
      <c r="KDI16" s="41"/>
      <c r="KDJ16" s="41"/>
      <c r="KDK16" s="41"/>
      <c r="KDL16" s="41"/>
      <c r="KDM16" s="41"/>
      <c r="KDN16" s="41"/>
      <c r="KDO16" s="41"/>
      <c r="KDP16" s="41"/>
      <c r="KDQ16" s="41"/>
      <c r="KDR16" s="41"/>
      <c r="KDS16" s="41"/>
      <c r="KDT16" s="41"/>
      <c r="KDU16" s="41"/>
      <c r="KDV16" s="41"/>
      <c r="KDW16" s="41"/>
      <c r="KDX16" s="41"/>
      <c r="KDY16" s="41"/>
      <c r="KDZ16" s="41"/>
      <c r="KEA16" s="41"/>
      <c r="KEB16" s="41"/>
      <c r="KEC16" s="41"/>
      <c r="KED16" s="41"/>
      <c r="KEE16" s="41"/>
      <c r="KEF16" s="41"/>
      <c r="KEG16" s="41"/>
      <c r="KEH16" s="41"/>
      <c r="KEI16" s="41"/>
      <c r="KEJ16" s="41"/>
      <c r="KEK16" s="41"/>
      <c r="KEL16" s="41"/>
      <c r="KEM16" s="41"/>
      <c r="KEN16" s="41"/>
      <c r="KEO16" s="41"/>
      <c r="KEP16" s="41"/>
      <c r="KEQ16" s="41"/>
      <c r="KER16" s="41"/>
      <c r="KES16" s="41"/>
      <c r="KET16" s="41"/>
      <c r="KEU16" s="41"/>
      <c r="KEV16" s="41"/>
      <c r="KEW16" s="41"/>
      <c r="KEX16" s="41"/>
      <c r="KEY16" s="41"/>
      <c r="KEZ16" s="41"/>
      <c r="KFA16" s="41"/>
      <c r="KFB16" s="41"/>
      <c r="KFC16" s="41"/>
      <c r="KFD16" s="41"/>
      <c r="KFE16" s="41"/>
      <c r="KFF16" s="41"/>
      <c r="KFG16" s="41"/>
      <c r="KFH16" s="41"/>
      <c r="KFI16" s="41"/>
      <c r="KFJ16" s="41"/>
      <c r="KFK16" s="41"/>
      <c r="KFL16" s="41"/>
      <c r="KFM16" s="41"/>
      <c r="KFN16" s="41"/>
      <c r="KFO16" s="41"/>
      <c r="KFP16" s="41"/>
      <c r="KFQ16" s="41"/>
      <c r="KFR16" s="41"/>
      <c r="KFS16" s="41"/>
      <c r="KFT16" s="41"/>
      <c r="KFU16" s="41"/>
      <c r="KFV16" s="41"/>
      <c r="KFW16" s="41"/>
      <c r="KFX16" s="41"/>
      <c r="KFY16" s="41"/>
      <c r="KFZ16" s="41"/>
      <c r="KGA16" s="41"/>
      <c r="KGB16" s="41"/>
      <c r="KGC16" s="41"/>
      <c r="KGD16" s="41"/>
      <c r="KGE16" s="41"/>
      <c r="KGF16" s="41"/>
      <c r="KGG16" s="41"/>
      <c r="KGH16" s="41"/>
      <c r="KGI16" s="41"/>
      <c r="KGJ16" s="41"/>
      <c r="KGK16" s="41"/>
      <c r="KGL16" s="41"/>
      <c r="KGM16" s="41"/>
      <c r="KGN16" s="41"/>
      <c r="KGO16" s="41"/>
      <c r="KGP16" s="41"/>
      <c r="KGQ16" s="41"/>
      <c r="KGR16" s="41"/>
      <c r="KGS16" s="41"/>
      <c r="KGT16" s="41"/>
      <c r="KGU16" s="41"/>
      <c r="KGV16" s="41"/>
      <c r="KGW16" s="41"/>
      <c r="KGX16" s="41"/>
      <c r="KGY16" s="41"/>
      <c r="KGZ16" s="41"/>
      <c r="KHA16" s="41"/>
      <c r="KHB16" s="41"/>
      <c r="KHC16" s="41"/>
      <c r="KHD16" s="41"/>
      <c r="KHE16" s="41"/>
      <c r="KHF16" s="41"/>
      <c r="KHG16" s="41"/>
      <c r="KHH16" s="41"/>
      <c r="KHI16" s="41"/>
      <c r="KHJ16" s="41"/>
      <c r="KHK16" s="41"/>
      <c r="KHL16" s="41"/>
      <c r="KHM16" s="41"/>
      <c r="KHN16" s="41"/>
      <c r="KHO16" s="41"/>
      <c r="KHP16" s="41"/>
      <c r="KHQ16" s="41"/>
      <c r="KHR16" s="41"/>
      <c r="KHS16" s="41"/>
      <c r="KHT16" s="41"/>
      <c r="KHU16" s="41"/>
      <c r="KHV16" s="41"/>
      <c r="KHW16" s="41"/>
      <c r="KHX16" s="41"/>
      <c r="KHY16" s="41"/>
      <c r="KHZ16" s="41"/>
      <c r="KIA16" s="41"/>
      <c r="KIB16" s="41"/>
      <c r="KIC16" s="41"/>
      <c r="KID16" s="41"/>
      <c r="KIE16" s="41"/>
      <c r="KIF16" s="41"/>
      <c r="KIG16" s="41"/>
      <c r="KIH16" s="41"/>
      <c r="KII16" s="41"/>
      <c r="KIJ16" s="41"/>
      <c r="KIK16" s="41"/>
      <c r="KIL16" s="41"/>
      <c r="KIM16" s="41"/>
      <c r="KIN16" s="41"/>
      <c r="KIO16" s="41"/>
      <c r="KIP16" s="41"/>
      <c r="KIQ16" s="41"/>
      <c r="KIR16" s="41"/>
      <c r="KIS16" s="41"/>
      <c r="KIT16" s="41"/>
      <c r="KIU16" s="41"/>
      <c r="KIV16" s="41"/>
      <c r="KIW16" s="41"/>
      <c r="KIX16" s="41"/>
      <c r="KIY16" s="41"/>
      <c r="KIZ16" s="41"/>
      <c r="KJA16" s="41"/>
      <c r="KJB16" s="41"/>
      <c r="KJC16" s="41"/>
      <c r="KJD16" s="41"/>
      <c r="KJE16" s="41"/>
      <c r="KJF16" s="41"/>
      <c r="KJG16" s="41"/>
      <c r="KJH16" s="41"/>
      <c r="KJI16" s="41"/>
      <c r="KJJ16" s="41"/>
      <c r="KJK16" s="41"/>
      <c r="KJL16" s="41"/>
      <c r="KJM16" s="41"/>
      <c r="KJN16" s="41"/>
      <c r="KJO16" s="41"/>
      <c r="KJP16" s="41"/>
      <c r="KJQ16" s="41"/>
      <c r="KJR16" s="41"/>
      <c r="KJS16" s="41"/>
      <c r="KJT16" s="41"/>
      <c r="KJU16" s="41"/>
      <c r="KJV16" s="41"/>
      <c r="KJW16" s="41"/>
      <c r="KJX16" s="41"/>
      <c r="KJY16" s="41"/>
      <c r="KJZ16" s="41"/>
      <c r="KKA16" s="41"/>
      <c r="KKB16" s="41"/>
      <c r="KKC16" s="41"/>
      <c r="KKD16" s="41"/>
      <c r="KKE16" s="41"/>
      <c r="KKF16" s="41"/>
      <c r="KKG16" s="41"/>
      <c r="KKH16" s="41"/>
      <c r="KKI16" s="41"/>
      <c r="KKJ16" s="41"/>
      <c r="KKK16" s="41"/>
      <c r="KKL16" s="41"/>
      <c r="KKM16" s="41"/>
      <c r="KKN16" s="41"/>
      <c r="KKO16" s="41"/>
      <c r="KKP16" s="41"/>
      <c r="KKQ16" s="41"/>
      <c r="KKR16" s="41"/>
      <c r="KKS16" s="41"/>
      <c r="KKT16" s="41"/>
      <c r="KKU16" s="41"/>
      <c r="KKV16" s="41"/>
      <c r="KKW16" s="41"/>
      <c r="KKX16" s="41"/>
      <c r="KKY16" s="41"/>
      <c r="KKZ16" s="41"/>
      <c r="KLA16" s="41"/>
      <c r="KLB16" s="41"/>
      <c r="KLC16" s="41"/>
      <c r="KLD16" s="41"/>
      <c r="KLE16" s="41"/>
      <c r="KLF16" s="41"/>
      <c r="KLG16" s="41"/>
      <c r="KLH16" s="41"/>
      <c r="KLI16" s="41"/>
      <c r="KLJ16" s="41"/>
      <c r="KLK16" s="41"/>
      <c r="KLL16" s="41"/>
      <c r="KLM16" s="41"/>
      <c r="KLN16" s="41"/>
      <c r="KLO16" s="41"/>
      <c r="KLP16" s="41"/>
      <c r="KLQ16" s="41"/>
      <c r="KLR16" s="41"/>
      <c r="KLS16" s="41"/>
      <c r="KLT16" s="41"/>
      <c r="KLU16" s="41"/>
      <c r="KLV16" s="41"/>
      <c r="KLW16" s="41"/>
      <c r="KLX16" s="41"/>
      <c r="KLY16" s="41"/>
      <c r="KLZ16" s="41"/>
      <c r="KMA16" s="41"/>
      <c r="KMB16" s="41"/>
      <c r="KMC16" s="41"/>
      <c r="KMD16" s="41"/>
      <c r="KME16" s="41"/>
      <c r="KMF16" s="41"/>
      <c r="KMG16" s="41"/>
      <c r="KMH16" s="41"/>
      <c r="KMI16" s="41"/>
      <c r="KMJ16" s="41"/>
      <c r="KMK16" s="41"/>
      <c r="KML16" s="41"/>
      <c r="KMM16" s="41"/>
      <c r="KMN16" s="41"/>
      <c r="KMO16" s="41"/>
      <c r="KMP16" s="41"/>
      <c r="KMQ16" s="41"/>
      <c r="KMR16" s="41"/>
      <c r="KMS16" s="41"/>
      <c r="KMT16" s="41"/>
      <c r="KMU16" s="41"/>
      <c r="KMV16" s="41"/>
      <c r="KMW16" s="41"/>
      <c r="KMX16" s="41"/>
      <c r="KMY16" s="41"/>
      <c r="KMZ16" s="41"/>
      <c r="KNA16" s="41"/>
      <c r="KNB16" s="41"/>
      <c r="KNC16" s="41"/>
      <c r="KND16" s="41"/>
      <c r="KNE16" s="41"/>
      <c r="KNF16" s="41"/>
      <c r="KNG16" s="41"/>
      <c r="KNH16" s="41"/>
      <c r="KNI16" s="41"/>
      <c r="KNJ16" s="41"/>
      <c r="KNK16" s="41"/>
      <c r="KNL16" s="41"/>
      <c r="KNM16" s="41"/>
      <c r="KNN16" s="41"/>
      <c r="KNO16" s="41"/>
      <c r="KNP16" s="41"/>
      <c r="KNQ16" s="41"/>
      <c r="KNR16" s="41"/>
      <c r="KNS16" s="41"/>
      <c r="KNT16" s="41"/>
      <c r="KNU16" s="41"/>
      <c r="KNV16" s="41"/>
      <c r="KNW16" s="41"/>
      <c r="KNX16" s="41"/>
      <c r="KNY16" s="41"/>
      <c r="KNZ16" s="41"/>
      <c r="KOA16" s="41"/>
      <c r="KOB16" s="41"/>
      <c r="KOC16" s="41"/>
      <c r="KOD16" s="41"/>
      <c r="KOE16" s="41"/>
      <c r="KOF16" s="41"/>
      <c r="KOG16" s="41"/>
      <c r="KOH16" s="41"/>
      <c r="KOI16" s="41"/>
      <c r="KOJ16" s="41"/>
      <c r="KOK16" s="41"/>
      <c r="KOL16" s="41"/>
      <c r="KOM16" s="41"/>
      <c r="KON16" s="41"/>
      <c r="KOO16" s="41"/>
      <c r="KOP16" s="41"/>
      <c r="KOQ16" s="41"/>
      <c r="KOR16" s="41"/>
      <c r="KOS16" s="41"/>
      <c r="KOT16" s="41"/>
      <c r="KOU16" s="41"/>
      <c r="KOV16" s="41"/>
      <c r="KOW16" s="41"/>
      <c r="KOX16" s="41"/>
      <c r="KOY16" s="41"/>
      <c r="KOZ16" s="41"/>
      <c r="KPA16" s="41"/>
      <c r="KPB16" s="41"/>
      <c r="KPC16" s="41"/>
      <c r="KPD16" s="41"/>
      <c r="KPE16" s="41"/>
      <c r="KPF16" s="41"/>
      <c r="KPG16" s="41"/>
      <c r="KPH16" s="41"/>
      <c r="KPI16" s="41"/>
      <c r="KPJ16" s="41"/>
      <c r="KPK16" s="41"/>
      <c r="KPL16" s="41"/>
      <c r="KPM16" s="41"/>
      <c r="KPN16" s="41"/>
      <c r="KPO16" s="41"/>
      <c r="KPP16" s="41"/>
      <c r="KPQ16" s="41"/>
      <c r="KPR16" s="41"/>
      <c r="KPS16" s="41"/>
      <c r="KPT16" s="41"/>
      <c r="KPU16" s="41"/>
      <c r="KPV16" s="41"/>
      <c r="KPW16" s="41"/>
      <c r="KPX16" s="41"/>
      <c r="KPY16" s="41"/>
      <c r="KPZ16" s="41"/>
      <c r="KQA16" s="41"/>
      <c r="KQB16" s="41"/>
      <c r="KQC16" s="41"/>
      <c r="KQD16" s="41"/>
      <c r="KQE16" s="41"/>
      <c r="KQF16" s="41"/>
      <c r="KQG16" s="41"/>
      <c r="KQH16" s="41"/>
      <c r="KQI16" s="41"/>
      <c r="KQJ16" s="41"/>
      <c r="KQK16" s="41"/>
      <c r="KQL16" s="41"/>
      <c r="KQM16" s="41"/>
      <c r="KQN16" s="41"/>
      <c r="KQO16" s="41"/>
      <c r="KQP16" s="41"/>
      <c r="KQQ16" s="41"/>
      <c r="KQR16" s="41"/>
      <c r="KQS16" s="41"/>
      <c r="KQT16" s="41"/>
      <c r="KQU16" s="41"/>
      <c r="KQV16" s="41"/>
      <c r="KQW16" s="41"/>
      <c r="KQX16" s="41"/>
      <c r="KQY16" s="41"/>
      <c r="KQZ16" s="41"/>
      <c r="KRA16" s="41"/>
      <c r="KRB16" s="41"/>
      <c r="KRC16" s="41"/>
      <c r="KRD16" s="41"/>
      <c r="KRE16" s="41"/>
      <c r="KRF16" s="41"/>
      <c r="KRG16" s="41"/>
      <c r="KRH16" s="41"/>
      <c r="KRI16" s="41"/>
      <c r="KRJ16" s="41"/>
      <c r="KRK16" s="41"/>
      <c r="KRL16" s="41"/>
      <c r="KRM16" s="41"/>
      <c r="KRN16" s="41"/>
      <c r="KRO16" s="41"/>
      <c r="KRP16" s="41"/>
      <c r="KRQ16" s="41"/>
      <c r="KRR16" s="41"/>
      <c r="KRS16" s="41"/>
      <c r="KRT16" s="41"/>
      <c r="KRU16" s="41"/>
      <c r="KRV16" s="41"/>
      <c r="KRW16" s="41"/>
      <c r="KRX16" s="41"/>
      <c r="KRY16" s="41"/>
      <c r="KRZ16" s="41"/>
      <c r="KSA16" s="41"/>
      <c r="KSB16" s="41"/>
      <c r="KSC16" s="41"/>
      <c r="KSD16" s="41"/>
      <c r="KSE16" s="41"/>
      <c r="KSF16" s="41"/>
      <c r="KSG16" s="41"/>
      <c r="KSH16" s="41"/>
      <c r="KSI16" s="41"/>
      <c r="KSJ16" s="41"/>
      <c r="KSK16" s="41"/>
      <c r="KSL16" s="41"/>
      <c r="KSM16" s="41"/>
      <c r="KSN16" s="41"/>
      <c r="KSO16" s="41"/>
      <c r="KSP16" s="41"/>
      <c r="KSQ16" s="41"/>
      <c r="KSR16" s="41"/>
      <c r="KSS16" s="41"/>
      <c r="KST16" s="41"/>
      <c r="KSU16" s="41"/>
      <c r="KSV16" s="41"/>
      <c r="KSW16" s="41"/>
      <c r="KSX16" s="41"/>
      <c r="KSY16" s="41"/>
      <c r="KSZ16" s="41"/>
      <c r="KTA16" s="41"/>
      <c r="KTB16" s="41"/>
      <c r="KTC16" s="41"/>
      <c r="KTD16" s="41"/>
      <c r="KTE16" s="41"/>
      <c r="KTF16" s="41"/>
      <c r="KTG16" s="41"/>
      <c r="KTH16" s="41"/>
      <c r="KTI16" s="41"/>
      <c r="KTJ16" s="41"/>
      <c r="KTK16" s="41"/>
      <c r="KTL16" s="41"/>
      <c r="KTM16" s="41"/>
      <c r="KTN16" s="41"/>
      <c r="KTO16" s="41"/>
      <c r="KTP16" s="41"/>
      <c r="KTQ16" s="41"/>
      <c r="KTR16" s="41"/>
      <c r="KTS16" s="41"/>
      <c r="KTT16" s="41"/>
      <c r="KTU16" s="41"/>
      <c r="KTV16" s="41"/>
      <c r="KTW16" s="41"/>
      <c r="KTX16" s="41"/>
      <c r="KTY16" s="41"/>
      <c r="KTZ16" s="41"/>
      <c r="KUA16" s="41"/>
      <c r="KUB16" s="41"/>
      <c r="KUC16" s="41"/>
      <c r="KUD16" s="41"/>
      <c r="KUE16" s="41"/>
      <c r="KUF16" s="41"/>
      <c r="KUG16" s="41"/>
      <c r="KUH16" s="41"/>
      <c r="KUI16" s="41"/>
      <c r="KUJ16" s="41"/>
      <c r="KUK16" s="41"/>
      <c r="KUL16" s="41"/>
      <c r="KUM16" s="41"/>
      <c r="KUN16" s="41"/>
      <c r="KUO16" s="41"/>
      <c r="KUP16" s="41"/>
      <c r="KUQ16" s="41"/>
      <c r="KUR16" s="41"/>
      <c r="KUS16" s="41"/>
      <c r="KUT16" s="41"/>
      <c r="KUU16" s="41"/>
      <c r="KUV16" s="41"/>
      <c r="KUW16" s="41"/>
      <c r="KUX16" s="41"/>
      <c r="KUY16" s="41"/>
      <c r="KUZ16" s="41"/>
      <c r="KVA16" s="41"/>
      <c r="KVB16" s="41"/>
      <c r="KVC16" s="41"/>
      <c r="KVD16" s="41"/>
      <c r="KVE16" s="41"/>
      <c r="KVF16" s="41"/>
      <c r="KVG16" s="41"/>
      <c r="KVH16" s="41"/>
      <c r="KVI16" s="41"/>
      <c r="KVJ16" s="41"/>
      <c r="KVK16" s="41"/>
      <c r="KVL16" s="41"/>
      <c r="KVM16" s="41"/>
      <c r="KVN16" s="41"/>
      <c r="KVO16" s="41"/>
      <c r="KVP16" s="41"/>
      <c r="KVQ16" s="41"/>
      <c r="KVR16" s="41"/>
      <c r="KVS16" s="41"/>
      <c r="KVT16" s="41"/>
      <c r="KVU16" s="41"/>
      <c r="KVV16" s="41"/>
      <c r="KVW16" s="41"/>
      <c r="KVX16" s="41"/>
      <c r="KVY16" s="41"/>
      <c r="KVZ16" s="41"/>
      <c r="KWA16" s="41"/>
      <c r="KWB16" s="41"/>
      <c r="KWC16" s="41"/>
      <c r="KWD16" s="41"/>
      <c r="KWE16" s="41"/>
      <c r="KWF16" s="41"/>
      <c r="KWG16" s="41"/>
      <c r="KWH16" s="41"/>
      <c r="KWI16" s="41"/>
      <c r="KWJ16" s="41"/>
      <c r="KWK16" s="41"/>
      <c r="KWL16" s="41"/>
      <c r="KWM16" s="41"/>
      <c r="KWN16" s="41"/>
      <c r="KWO16" s="41"/>
      <c r="KWP16" s="41"/>
      <c r="KWQ16" s="41"/>
      <c r="KWR16" s="41"/>
      <c r="KWS16" s="41"/>
      <c r="KWT16" s="41"/>
      <c r="KWU16" s="41"/>
      <c r="KWV16" s="41"/>
      <c r="KWW16" s="41"/>
      <c r="KWX16" s="41"/>
      <c r="KWY16" s="41"/>
      <c r="KWZ16" s="41"/>
      <c r="KXA16" s="41"/>
      <c r="KXB16" s="41"/>
      <c r="KXC16" s="41"/>
      <c r="KXD16" s="41"/>
      <c r="KXE16" s="41"/>
      <c r="KXF16" s="41"/>
      <c r="KXG16" s="41"/>
      <c r="KXH16" s="41"/>
      <c r="KXI16" s="41"/>
      <c r="KXJ16" s="41"/>
      <c r="KXK16" s="41"/>
      <c r="KXL16" s="41"/>
      <c r="KXM16" s="41"/>
      <c r="KXN16" s="41"/>
      <c r="KXO16" s="41"/>
      <c r="KXP16" s="41"/>
      <c r="KXQ16" s="41"/>
      <c r="KXR16" s="41"/>
      <c r="KXS16" s="41"/>
      <c r="KXT16" s="41"/>
      <c r="KXU16" s="41"/>
      <c r="KXV16" s="41"/>
      <c r="KXW16" s="41"/>
      <c r="KXX16" s="41"/>
      <c r="KXY16" s="41"/>
      <c r="KXZ16" s="41"/>
      <c r="KYA16" s="41"/>
      <c r="KYB16" s="41"/>
      <c r="KYC16" s="41"/>
      <c r="KYD16" s="41"/>
      <c r="KYE16" s="41"/>
      <c r="KYF16" s="41"/>
      <c r="KYG16" s="41"/>
      <c r="KYH16" s="41"/>
      <c r="KYI16" s="41"/>
      <c r="KYJ16" s="41"/>
      <c r="KYK16" s="41"/>
      <c r="KYL16" s="41"/>
      <c r="KYM16" s="41"/>
      <c r="KYN16" s="41"/>
      <c r="KYO16" s="41"/>
      <c r="KYP16" s="41"/>
      <c r="KYQ16" s="41"/>
      <c r="KYR16" s="41"/>
      <c r="KYS16" s="41"/>
      <c r="KYT16" s="41"/>
      <c r="KYU16" s="41"/>
      <c r="KYV16" s="41"/>
      <c r="KYW16" s="41"/>
      <c r="KYX16" s="41"/>
      <c r="KYY16" s="41"/>
      <c r="KYZ16" s="41"/>
      <c r="KZA16" s="41"/>
      <c r="KZB16" s="41"/>
      <c r="KZC16" s="41"/>
      <c r="KZD16" s="41"/>
      <c r="KZE16" s="41"/>
      <c r="KZF16" s="41"/>
      <c r="KZG16" s="41"/>
      <c r="KZH16" s="41"/>
      <c r="KZI16" s="41"/>
      <c r="KZJ16" s="41"/>
      <c r="KZK16" s="41"/>
      <c r="KZL16" s="41"/>
      <c r="KZM16" s="41"/>
      <c r="KZN16" s="41"/>
      <c r="KZO16" s="41"/>
      <c r="KZP16" s="41"/>
      <c r="KZQ16" s="41"/>
      <c r="KZR16" s="41"/>
      <c r="KZS16" s="41"/>
      <c r="KZT16" s="41"/>
      <c r="KZU16" s="41"/>
      <c r="KZV16" s="41"/>
      <c r="KZW16" s="41"/>
      <c r="KZX16" s="41"/>
      <c r="KZY16" s="41"/>
      <c r="KZZ16" s="41"/>
      <c r="LAA16" s="41"/>
      <c r="LAB16" s="41"/>
      <c r="LAC16" s="41"/>
      <c r="LAD16" s="41"/>
      <c r="LAE16" s="41"/>
      <c r="LAF16" s="41"/>
      <c r="LAG16" s="41"/>
      <c r="LAH16" s="41"/>
      <c r="LAI16" s="41"/>
      <c r="LAJ16" s="41"/>
      <c r="LAK16" s="41"/>
      <c r="LAL16" s="41"/>
      <c r="LAM16" s="41"/>
      <c r="LAN16" s="41"/>
      <c r="LAO16" s="41"/>
      <c r="LAP16" s="41"/>
      <c r="LAQ16" s="41"/>
      <c r="LAR16" s="41"/>
      <c r="LAS16" s="41"/>
      <c r="LAT16" s="41"/>
      <c r="LAU16" s="41"/>
      <c r="LAV16" s="41"/>
      <c r="LAW16" s="41"/>
      <c r="LAX16" s="41"/>
      <c r="LAY16" s="41"/>
      <c r="LAZ16" s="41"/>
      <c r="LBA16" s="41"/>
      <c r="LBB16" s="41"/>
      <c r="LBC16" s="41"/>
      <c r="LBD16" s="41"/>
      <c r="LBE16" s="41"/>
      <c r="LBF16" s="41"/>
      <c r="LBG16" s="41"/>
      <c r="LBH16" s="41"/>
      <c r="LBI16" s="41"/>
      <c r="LBJ16" s="41"/>
      <c r="LBK16" s="41"/>
      <c r="LBL16" s="41"/>
      <c r="LBM16" s="41"/>
      <c r="LBN16" s="41"/>
      <c r="LBO16" s="41"/>
      <c r="LBP16" s="41"/>
      <c r="LBQ16" s="41"/>
      <c r="LBR16" s="41"/>
      <c r="LBS16" s="41"/>
      <c r="LBT16" s="41"/>
      <c r="LBU16" s="41"/>
      <c r="LBV16" s="41"/>
      <c r="LBW16" s="41"/>
      <c r="LBX16" s="41"/>
      <c r="LBY16" s="41"/>
      <c r="LBZ16" s="41"/>
      <c r="LCA16" s="41"/>
      <c r="LCB16" s="41"/>
      <c r="LCC16" s="41"/>
      <c r="LCD16" s="41"/>
      <c r="LCE16" s="41"/>
      <c r="LCF16" s="41"/>
      <c r="LCG16" s="41"/>
      <c r="LCH16" s="41"/>
      <c r="LCI16" s="41"/>
      <c r="LCJ16" s="41"/>
      <c r="LCK16" s="41"/>
      <c r="LCL16" s="41"/>
      <c r="LCM16" s="41"/>
      <c r="LCN16" s="41"/>
      <c r="LCO16" s="41"/>
      <c r="LCP16" s="41"/>
      <c r="LCQ16" s="41"/>
      <c r="LCR16" s="41"/>
      <c r="LCS16" s="41"/>
      <c r="LCT16" s="41"/>
      <c r="LCU16" s="41"/>
      <c r="LCV16" s="41"/>
      <c r="LCW16" s="41"/>
      <c r="LCX16" s="41"/>
      <c r="LCY16" s="41"/>
      <c r="LCZ16" s="41"/>
      <c r="LDA16" s="41"/>
      <c r="LDB16" s="41"/>
      <c r="LDC16" s="41"/>
      <c r="LDD16" s="41"/>
      <c r="LDE16" s="41"/>
      <c r="LDF16" s="41"/>
      <c r="LDG16" s="41"/>
      <c r="LDH16" s="41"/>
      <c r="LDI16" s="41"/>
      <c r="LDJ16" s="41"/>
      <c r="LDK16" s="41"/>
      <c r="LDL16" s="41"/>
      <c r="LDM16" s="41"/>
      <c r="LDN16" s="41"/>
      <c r="LDO16" s="41"/>
      <c r="LDP16" s="41"/>
      <c r="LDQ16" s="41"/>
      <c r="LDR16" s="41"/>
      <c r="LDS16" s="41"/>
      <c r="LDT16" s="41"/>
      <c r="LDU16" s="41"/>
      <c r="LDV16" s="41"/>
      <c r="LDW16" s="41"/>
      <c r="LDX16" s="41"/>
      <c r="LDY16" s="41"/>
      <c r="LDZ16" s="41"/>
      <c r="LEA16" s="41"/>
      <c r="LEB16" s="41"/>
      <c r="LEC16" s="41"/>
      <c r="LED16" s="41"/>
      <c r="LEE16" s="41"/>
      <c r="LEF16" s="41"/>
      <c r="LEG16" s="41"/>
      <c r="LEH16" s="41"/>
      <c r="LEI16" s="41"/>
      <c r="LEJ16" s="41"/>
      <c r="LEK16" s="41"/>
      <c r="LEL16" s="41"/>
      <c r="LEM16" s="41"/>
      <c r="LEN16" s="41"/>
      <c r="LEO16" s="41"/>
      <c r="LEP16" s="41"/>
      <c r="LEQ16" s="41"/>
      <c r="LER16" s="41"/>
      <c r="LES16" s="41"/>
      <c r="LET16" s="41"/>
      <c r="LEU16" s="41"/>
      <c r="LEV16" s="41"/>
      <c r="LEW16" s="41"/>
      <c r="LEX16" s="41"/>
      <c r="LEY16" s="41"/>
      <c r="LEZ16" s="41"/>
      <c r="LFA16" s="41"/>
      <c r="LFB16" s="41"/>
      <c r="LFC16" s="41"/>
      <c r="LFD16" s="41"/>
      <c r="LFE16" s="41"/>
      <c r="LFF16" s="41"/>
      <c r="LFG16" s="41"/>
      <c r="LFH16" s="41"/>
      <c r="LFI16" s="41"/>
      <c r="LFJ16" s="41"/>
      <c r="LFK16" s="41"/>
      <c r="LFL16" s="41"/>
      <c r="LFM16" s="41"/>
      <c r="LFN16" s="41"/>
      <c r="LFO16" s="41"/>
      <c r="LFP16" s="41"/>
      <c r="LFQ16" s="41"/>
      <c r="LFR16" s="41"/>
      <c r="LFS16" s="41"/>
      <c r="LFT16" s="41"/>
      <c r="LFU16" s="41"/>
      <c r="LFV16" s="41"/>
      <c r="LFW16" s="41"/>
      <c r="LFX16" s="41"/>
      <c r="LFY16" s="41"/>
      <c r="LFZ16" s="41"/>
      <c r="LGA16" s="41"/>
      <c r="LGB16" s="41"/>
      <c r="LGC16" s="41"/>
      <c r="LGD16" s="41"/>
      <c r="LGE16" s="41"/>
      <c r="LGF16" s="41"/>
      <c r="LGG16" s="41"/>
      <c r="LGH16" s="41"/>
      <c r="LGI16" s="41"/>
      <c r="LGJ16" s="41"/>
      <c r="LGK16" s="41"/>
      <c r="LGL16" s="41"/>
      <c r="LGM16" s="41"/>
      <c r="LGN16" s="41"/>
      <c r="LGO16" s="41"/>
      <c r="LGP16" s="41"/>
      <c r="LGQ16" s="41"/>
      <c r="LGR16" s="41"/>
      <c r="LGS16" s="41"/>
      <c r="LGT16" s="41"/>
      <c r="LGU16" s="41"/>
      <c r="LGV16" s="41"/>
      <c r="LGW16" s="41"/>
      <c r="LGX16" s="41"/>
      <c r="LGY16" s="41"/>
      <c r="LGZ16" s="41"/>
      <c r="LHA16" s="41"/>
      <c r="LHB16" s="41"/>
      <c r="LHC16" s="41"/>
      <c r="LHD16" s="41"/>
      <c r="LHE16" s="41"/>
      <c r="LHF16" s="41"/>
      <c r="LHG16" s="41"/>
      <c r="LHH16" s="41"/>
      <c r="LHI16" s="41"/>
      <c r="LHJ16" s="41"/>
      <c r="LHK16" s="41"/>
      <c r="LHL16" s="41"/>
      <c r="LHM16" s="41"/>
      <c r="LHN16" s="41"/>
      <c r="LHO16" s="41"/>
      <c r="LHP16" s="41"/>
      <c r="LHQ16" s="41"/>
      <c r="LHR16" s="41"/>
      <c r="LHS16" s="41"/>
      <c r="LHT16" s="41"/>
      <c r="LHU16" s="41"/>
      <c r="LHV16" s="41"/>
      <c r="LHW16" s="41"/>
      <c r="LHX16" s="41"/>
      <c r="LHY16" s="41"/>
      <c r="LHZ16" s="41"/>
      <c r="LIA16" s="41"/>
      <c r="LIB16" s="41"/>
      <c r="LIC16" s="41"/>
      <c r="LID16" s="41"/>
      <c r="LIE16" s="41"/>
      <c r="LIF16" s="41"/>
      <c r="LIG16" s="41"/>
      <c r="LIH16" s="41"/>
      <c r="LII16" s="41"/>
      <c r="LIJ16" s="41"/>
      <c r="LIK16" s="41"/>
      <c r="LIL16" s="41"/>
      <c r="LIM16" s="41"/>
      <c r="LIN16" s="41"/>
      <c r="LIO16" s="41"/>
      <c r="LIP16" s="41"/>
      <c r="LIQ16" s="41"/>
      <c r="LIR16" s="41"/>
      <c r="LIS16" s="41"/>
      <c r="LIT16" s="41"/>
      <c r="LIU16" s="41"/>
      <c r="LIV16" s="41"/>
      <c r="LIW16" s="41"/>
      <c r="LIX16" s="41"/>
      <c r="LIY16" s="41"/>
      <c r="LIZ16" s="41"/>
      <c r="LJA16" s="41"/>
      <c r="LJB16" s="41"/>
      <c r="LJC16" s="41"/>
      <c r="LJD16" s="41"/>
      <c r="LJE16" s="41"/>
      <c r="LJF16" s="41"/>
      <c r="LJG16" s="41"/>
      <c r="LJH16" s="41"/>
      <c r="LJI16" s="41"/>
      <c r="LJJ16" s="41"/>
      <c r="LJK16" s="41"/>
      <c r="LJL16" s="41"/>
      <c r="LJM16" s="41"/>
      <c r="LJN16" s="41"/>
      <c r="LJO16" s="41"/>
      <c r="LJP16" s="41"/>
      <c r="LJQ16" s="41"/>
      <c r="LJR16" s="41"/>
      <c r="LJS16" s="41"/>
      <c r="LJT16" s="41"/>
      <c r="LJU16" s="41"/>
      <c r="LJV16" s="41"/>
      <c r="LJW16" s="41"/>
      <c r="LJX16" s="41"/>
      <c r="LJY16" s="41"/>
      <c r="LJZ16" s="41"/>
      <c r="LKA16" s="41"/>
      <c r="LKB16" s="41"/>
      <c r="LKC16" s="41"/>
      <c r="LKD16" s="41"/>
      <c r="LKE16" s="41"/>
      <c r="LKF16" s="41"/>
      <c r="LKG16" s="41"/>
      <c r="LKH16" s="41"/>
      <c r="LKI16" s="41"/>
      <c r="LKJ16" s="41"/>
      <c r="LKK16" s="41"/>
      <c r="LKL16" s="41"/>
      <c r="LKM16" s="41"/>
      <c r="LKN16" s="41"/>
      <c r="LKO16" s="41"/>
      <c r="LKP16" s="41"/>
      <c r="LKQ16" s="41"/>
      <c r="LKR16" s="41"/>
      <c r="LKS16" s="41"/>
      <c r="LKT16" s="41"/>
      <c r="LKU16" s="41"/>
      <c r="LKV16" s="41"/>
      <c r="LKW16" s="41"/>
      <c r="LKX16" s="41"/>
      <c r="LKY16" s="41"/>
      <c r="LKZ16" s="41"/>
      <c r="LLA16" s="41"/>
      <c r="LLB16" s="41"/>
      <c r="LLC16" s="41"/>
      <c r="LLD16" s="41"/>
      <c r="LLE16" s="41"/>
      <c r="LLF16" s="41"/>
      <c r="LLG16" s="41"/>
      <c r="LLH16" s="41"/>
      <c r="LLI16" s="41"/>
      <c r="LLJ16" s="41"/>
      <c r="LLK16" s="41"/>
      <c r="LLL16" s="41"/>
      <c r="LLM16" s="41"/>
      <c r="LLN16" s="41"/>
      <c r="LLO16" s="41"/>
      <c r="LLP16" s="41"/>
      <c r="LLQ16" s="41"/>
      <c r="LLR16" s="41"/>
      <c r="LLS16" s="41"/>
      <c r="LLT16" s="41"/>
      <c r="LLU16" s="41"/>
      <c r="LLV16" s="41"/>
      <c r="LLW16" s="41"/>
      <c r="LLX16" s="41"/>
      <c r="LLY16" s="41"/>
      <c r="LLZ16" s="41"/>
      <c r="LMA16" s="41"/>
      <c r="LMB16" s="41"/>
      <c r="LMC16" s="41"/>
      <c r="LMD16" s="41"/>
      <c r="LME16" s="41"/>
      <c r="LMF16" s="41"/>
      <c r="LMG16" s="41"/>
      <c r="LMH16" s="41"/>
      <c r="LMI16" s="41"/>
      <c r="LMJ16" s="41"/>
      <c r="LMK16" s="41"/>
      <c r="LML16" s="41"/>
      <c r="LMM16" s="41"/>
      <c r="LMN16" s="41"/>
      <c r="LMO16" s="41"/>
      <c r="LMP16" s="41"/>
      <c r="LMQ16" s="41"/>
      <c r="LMR16" s="41"/>
      <c r="LMS16" s="41"/>
      <c r="LMT16" s="41"/>
      <c r="LMU16" s="41"/>
      <c r="LMV16" s="41"/>
      <c r="LMW16" s="41"/>
      <c r="LMX16" s="41"/>
      <c r="LMY16" s="41"/>
      <c r="LMZ16" s="41"/>
      <c r="LNA16" s="41"/>
      <c r="LNB16" s="41"/>
      <c r="LNC16" s="41"/>
      <c r="LND16" s="41"/>
      <c r="LNE16" s="41"/>
      <c r="LNF16" s="41"/>
      <c r="LNG16" s="41"/>
      <c r="LNH16" s="41"/>
      <c r="LNI16" s="41"/>
      <c r="LNJ16" s="41"/>
      <c r="LNK16" s="41"/>
      <c r="LNL16" s="41"/>
      <c r="LNM16" s="41"/>
      <c r="LNN16" s="41"/>
      <c r="LNO16" s="41"/>
      <c r="LNP16" s="41"/>
      <c r="LNQ16" s="41"/>
      <c r="LNR16" s="41"/>
      <c r="LNS16" s="41"/>
      <c r="LNT16" s="41"/>
      <c r="LNU16" s="41"/>
      <c r="LNV16" s="41"/>
      <c r="LNW16" s="41"/>
      <c r="LNX16" s="41"/>
      <c r="LNY16" s="41"/>
      <c r="LNZ16" s="41"/>
      <c r="LOA16" s="41"/>
      <c r="LOB16" s="41"/>
      <c r="LOC16" s="41"/>
      <c r="LOD16" s="41"/>
      <c r="LOE16" s="41"/>
      <c r="LOF16" s="41"/>
      <c r="LOG16" s="41"/>
      <c r="LOH16" s="41"/>
      <c r="LOI16" s="41"/>
      <c r="LOJ16" s="41"/>
      <c r="LOK16" s="41"/>
      <c r="LOL16" s="41"/>
      <c r="LOM16" s="41"/>
      <c r="LON16" s="41"/>
      <c r="LOO16" s="41"/>
      <c r="LOP16" s="41"/>
      <c r="LOQ16" s="41"/>
      <c r="LOR16" s="41"/>
      <c r="LOS16" s="41"/>
      <c r="LOT16" s="41"/>
      <c r="LOU16" s="41"/>
      <c r="LOV16" s="41"/>
      <c r="LOW16" s="41"/>
      <c r="LOX16" s="41"/>
      <c r="LOY16" s="41"/>
      <c r="LOZ16" s="41"/>
      <c r="LPA16" s="41"/>
      <c r="LPB16" s="41"/>
      <c r="LPC16" s="41"/>
      <c r="LPD16" s="41"/>
      <c r="LPE16" s="41"/>
      <c r="LPF16" s="41"/>
      <c r="LPG16" s="41"/>
      <c r="LPH16" s="41"/>
      <c r="LPI16" s="41"/>
      <c r="LPJ16" s="41"/>
      <c r="LPK16" s="41"/>
      <c r="LPL16" s="41"/>
      <c r="LPM16" s="41"/>
      <c r="LPN16" s="41"/>
      <c r="LPO16" s="41"/>
      <c r="LPP16" s="41"/>
      <c r="LPQ16" s="41"/>
      <c r="LPR16" s="41"/>
      <c r="LPS16" s="41"/>
      <c r="LPT16" s="41"/>
      <c r="LPU16" s="41"/>
      <c r="LPV16" s="41"/>
      <c r="LPW16" s="41"/>
      <c r="LPX16" s="41"/>
      <c r="LPY16" s="41"/>
      <c r="LPZ16" s="41"/>
      <c r="LQA16" s="41"/>
      <c r="LQB16" s="41"/>
      <c r="LQC16" s="41"/>
      <c r="LQD16" s="41"/>
      <c r="LQE16" s="41"/>
      <c r="LQF16" s="41"/>
      <c r="LQG16" s="41"/>
      <c r="LQH16" s="41"/>
      <c r="LQI16" s="41"/>
      <c r="LQJ16" s="41"/>
      <c r="LQK16" s="41"/>
      <c r="LQL16" s="41"/>
      <c r="LQM16" s="41"/>
      <c r="LQN16" s="41"/>
      <c r="LQO16" s="41"/>
      <c r="LQP16" s="41"/>
      <c r="LQQ16" s="41"/>
      <c r="LQR16" s="41"/>
      <c r="LQS16" s="41"/>
      <c r="LQT16" s="41"/>
      <c r="LQU16" s="41"/>
      <c r="LQV16" s="41"/>
      <c r="LQW16" s="41"/>
      <c r="LQX16" s="41"/>
      <c r="LQY16" s="41"/>
      <c r="LQZ16" s="41"/>
      <c r="LRA16" s="41"/>
      <c r="LRB16" s="41"/>
      <c r="LRC16" s="41"/>
      <c r="LRD16" s="41"/>
      <c r="LRE16" s="41"/>
      <c r="LRF16" s="41"/>
      <c r="LRG16" s="41"/>
      <c r="LRH16" s="41"/>
      <c r="LRI16" s="41"/>
      <c r="LRJ16" s="41"/>
      <c r="LRK16" s="41"/>
      <c r="LRL16" s="41"/>
      <c r="LRM16" s="41"/>
      <c r="LRN16" s="41"/>
      <c r="LRO16" s="41"/>
      <c r="LRP16" s="41"/>
      <c r="LRQ16" s="41"/>
      <c r="LRR16" s="41"/>
      <c r="LRS16" s="41"/>
      <c r="LRT16" s="41"/>
      <c r="LRU16" s="41"/>
      <c r="LRV16" s="41"/>
      <c r="LRW16" s="41"/>
      <c r="LRX16" s="41"/>
      <c r="LRY16" s="41"/>
      <c r="LRZ16" s="41"/>
      <c r="LSA16" s="41"/>
      <c r="LSB16" s="41"/>
      <c r="LSC16" s="41"/>
      <c r="LSD16" s="41"/>
      <c r="LSE16" s="41"/>
      <c r="LSF16" s="41"/>
      <c r="LSG16" s="41"/>
      <c r="LSH16" s="41"/>
      <c r="LSI16" s="41"/>
      <c r="LSJ16" s="41"/>
      <c r="LSK16" s="41"/>
      <c r="LSL16" s="41"/>
      <c r="LSM16" s="41"/>
      <c r="LSN16" s="41"/>
      <c r="LSO16" s="41"/>
      <c r="LSP16" s="41"/>
      <c r="LSQ16" s="41"/>
      <c r="LSR16" s="41"/>
      <c r="LSS16" s="41"/>
      <c r="LST16" s="41"/>
      <c r="LSU16" s="41"/>
      <c r="LSV16" s="41"/>
      <c r="LSW16" s="41"/>
      <c r="LSX16" s="41"/>
      <c r="LSY16" s="41"/>
      <c r="LSZ16" s="41"/>
      <c r="LTA16" s="41"/>
      <c r="LTB16" s="41"/>
      <c r="LTC16" s="41"/>
      <c r="LTD16" s="41"/>
      <c r="LTE16" s="41"/>
      <c r="LTF16" s="41"/>
      <c r="LTG16" s="41"/>
      <c r="LTH16" s="41"/>
      <c r="LTI16" s="41"/>
      <c r="LTJ16" s="41"/>
      <c r="LTK16" s="41"/>
      <c r="LTL16" s="41"/>
      <c r="LTM16" s="41"/>
      <c r="LTN16" s="41"/>
      <c r="LTO16" s="41"/>
      <c r="LTP16" s="41"/>
      <c r="LTQ16" s="41"/>
      <c r="LTR16" s="41"/>
      <c r="LTS16" s="41"/>
      <c r="LTT16" s="41"/>
      <c r="LTU16" s="41"/>
      <c r="LTV16" s="41"/>
      <c r="LTW16" s="41"/>
      <c r="LTX16" s="41"/>
      <c r="LTY16" s="41"/>
      <c r="LTZ16" s="41"/>
      <c r="LUA16" s="41"/>
      <c r="LUB16" s="41"/>
      <c r="LUC16" s="41"/>
      <c r="LUD16" s="41"/>
      <c r="LUE16" s="41"/>
      <c r="LUF16" s="41"/>
      <c r="LUG16" s="41"/>
      <c r="LUH16" s="41"/>
      <c r="LUI16" s="41"/>
      <c r="LUJ16" s="41"/>
      <c r="LUK16" s="41"/>
      <c r="LUL16" s="41"/>
      <c r="LUM16" s="41"/>
      <c r="LUN16" s="41"/>
      <c r="LUO16" s="41"/>
      <c r="LUP16" s="41"/>
      <c r="LUQ16" s="41"/>
      <c r="LUR16" s="41"/>
      <c r="LUS16" s="41"/>
      <c r="LUT16" s="41"/>
      <c r="LUU16" s="41"/>
      <c r="LUV16" s="41"/>
      <c r="LUW16" s="41"/>
      <c r="LUX16" s="41"/>
      <c r="LUY16" s="41"/>
      <c r="LUZ16" s="41"/>
      <c r="LVA16" s="41"/>
      <c r="LVB16" s="41"/>
      <c r="LVC16" s="41"/>
      <c r="LVD16" s="41"/>
      <c r="LVE16" s="41"/>
      <c r="LVF16" s="41"/>
      <c r="LVG16" s="41"/>
      <c r="LVH16" s="41"/>
      <c r="LVI16" s="41"/>
      <c r="LVJ16" s="41"/>
      <c r="LVK16" s="41"/>
      <c r="LVL16" s="41"/>
      <c r="LVM16" s="41"/>
      <c r="LVN16" s="41"/>
      <c r="LVO16" s="41"/>
      <c r="LVP16" s="41"/>
      <c r="LVQ16" s="41"/>
      <c r="LVR16" s="41"/>
      <c r="LVS16" s="41"/>
      <c r="LVT16" s="41"/>
      <c r="LVU16" s="41"/>
      <c r="LVV16" s="41"/>
      <c r="LVW16" s="41"/>
      <c r="LVX16" s="41"/>
      <c r="LVY16" s="41"/>
      <c r="LVZ16" s="41"/>
      <c r="LWA16" s="41"/>
      <c r="LWB16" s="41"/>
      <c r="LWC16" s="41"/>
      <c r="LWD16" s="41"/>
      <c r="LWE16" s="41"/>
      <c r="LWF16" s="41"/>
      <c r="LWG16" s="41"/>
      <c r="LWH16" s="41"/>
      <c r="LWI16" s="41"/>
      <c r="LWJ16" s="41"/>
      <c r="LWK16" s="41"/>
      <c r="LWL16" s="41"/>
      <c r="LWM16" s="41"/>
      <c r="LWN16" s="41"/>
      <c r="LWO16" s="41"/>
      <c r="LWP16" s="41"/>
      <c r="LWQ16" s="41"/>
      <c r="LWR16" s="41"/>
      <c r="LWS16" s="41"/>
      <c r="LWT16" s="41"/>
      <c r="LWU16" s="41"/>
      <c r="LWV16" s="41"/>
      <c r="LWW16" s="41"/>
      <c r="LWX16" s="41"/>
      <c r="LWY16" s="41"/>
      <c r="LWZ16" s="41"/>
      <c r="LXA16" s="41"/>
      <c r="LXB16" s="41"/>
      <c r="LXC16" s="41"/>
      <c r="LXD16" s="41"/>
      <c r="LXE16" s="41"/>
      <c r="LXF16" s="41"/>
      <c r="LXG16" s="41"/>
      <c r="LXH16" s="41"/>
      <c r="LXI16" s="41"/>
      <c r="LXJ16" s="41"/>
      <c r="LXK16" s="41"/>
      <c r="LXL16" s="41"/>
      <c r="LXM16" s="41"/>
      <c r="LXN16" s="41"/>
      <c r="LXO16" s="41"/>
      <c r="LXP16" s="41"/>
      <c r="LXQ16" s="41"/>
      <c r="LXR16" s="41"/>
      <c r="LXS16" s="41"/>
      <c r="LXT16" s="41"/>
      <c r="LXU16" s="41"/>
      <c r="LXV16" s="41"/>
      <c r="LXW16" s="41"/>
      <c r="LXX16" s="41"/>
      <c r="LXY16" s="41"/>
      <c r="LXZ16" s="41"/>
      <c r="LYA16" s="41"/>
      <c r="LYB16" s="41"/>
      <c r="LYC16" s="41"/>
      <c r="LYD16" s="41"/>
      <c r="LYE16" s="41"/>
      <c r="LYF16" s="41"/>
      <c r="LYG16" s="41"/>
      <c r="LYH16" s="41"/>
      <c r="LYI16" s="41"/>
      <c r="LYJ16" s="41"/>
      <c r="LYK16" s="41"/>
      <c r="LYL16" s="41"/>
      <c r="LYM16" s="41"/>
      <c r="LYN16" s="41"/>
      <c r="LYO16" s="41"/>
      <c r="LYP16" s="41"/>
      <c r="LYQ16" s="41"/>
      <c r="LYR16" s="41"/>
      <c r="LYS16" s="41"/>
      <c r="LYT16" s="41"/>
      <c r="LYU16" s="41"/>
      <c r="LYV16" s="41"/>
      <c r="LYW16" s="41"/>
      <c r="LYX16" s="41"/>
      <c r="LYY16" s="41"/>
      <c r="LYZ16" s="41"/>
      <c r="LZA16" s="41"/>
      <c r="LZB16" s="41"/>
      <c r="LZC16" s="41"/>
      <c r="LZD16" s="41"/>
      <c r="LZE16" s="41"/>
      <c r="LZF16" s="41"/>
      <c r="LZG16" s="41"/>
      <c r="LZH16" s="41"/>
      <c r="LZI16" s="41"/>
      <c r="LZJ16" s="41"/>
      <c r="LZK16" s="41"/>
      <c r="LZL16" s="41"/>
      <c r="LZM16" s="41"/>
      <c r="LZN16" s="41"/>
      <c r="LZO16" s="41"/>
      <c r="LZP16" s="41"/>
      <c r="LZQ16" s="41"/>
      <c r="LZR16" s="41"/>
      <c r="LZS16" s="41"/>
      <c r="LZT16" s="41"/>
      <c r="LZU16" s="41"/>
      <c r="LZV16" s="41"/>
      <c r="LZW16" s="41"/>
      <c r="LZX16" s="41"/>
      <c r="LZY16" s="41"/>
      <c r="LZZ16" s="41"/>
      <c r="MAA16" s="41"/>
      <c r="MAB16" s="41"/>
      <c r="MAC16" s="41"/>
      <c r="MAD16" s="41"/>
      <c r="MAE16" s="41"/>
      <c r="MAF16" s="41"/>
      <c r="MAG16" s="41"/>
      <c r="MAH16" s="41"/>
      <c r="MAI16" s="41"/>
      <c r="MAJ16" s="41"/>
      <c r="MAK16" s="41"/>
      <c r="MAL16" s="41"/>
      <c r="MAM16" s="41"/>
      <c r="MAN16" s="41"/>
      <c r="MAO16" s="41"/>
      <c r="MAP16" s="41"/>
      <c r="MAQ16" s="41"/>
      <c r="MAR16" s="41"/>
      <c r="MAS16" s="41"/>
      <c r="MAT16" s="41"/>
      <c r="MAU16" s="41"/>
      <c r="MAV16" s="41"/>
      <c r="MAW16" s="41"/>
      <c r="MAX16" s="41"/>
      <c r="MAY16" s="41"/>
      <c r="MAZ16" s="41"/>
      <c r="MBA16" s="41"/>
      <c r="MBB16" s="41"/>
      <c r="MBC16" s="41"/>
      <c r="MBD16" s="41"/>
      <c r="MBE16" s="41"/>
      <c r="MBF16" s="41"/>
      <c r="MBG16" s="41"/>
      <c r="MBH16" s="41"/>
      <c r="MBI16" s="41"/>
      <c r="MBJ16" s="41"/>
      <c r="MBK16" s="41"/>
      <c r="MBL16" s="41"/>
      <c r="MBM16" s="41"/>
      <c r="MBN16" s="41"/>
      <c r="MBO16" s="41"/>
      <c r="MBP16" s="41"/>
      <c r="MBQ16" s="41"/>
      <c r="MBR16" s="41"/>
      <c r="MBS16" s="41"/>
      <c r="MBT16" s="41"/>
      <c r="MBU16" s="41"/>
      <c r="MBV16" s="41"/>
      <c r="MBW16" s="41"/>
      <c r="MBX16" s="41"/>
      <c r="MBY16" s="41"/>
      <c r="MBZ16" s="41"/>
      <c r="MCA16" s="41"/>
      <c r="MCB16" s="41"/>
      <c r="MCC16" s="41"/>
      <c r="MCD16" s="41"/>
      <c r="MCE16" s="41"/>
      <c r="MCF16" s="41"/>
      <c r="MCG16" s="41"/>
      <c r="MCH16" s="41"/>
      <c r="MCI16" s="41"/>
      <c r="MCJ16" s="41"/>
      <c r="MCK16" s="41"/>
      <c r="MCL16" s="41"/>
      <c r="MCM16" s="41"/>
      <c r="MCN16" s="41"/>
      <c r="MCO16" s="41"/>
      <c r="MCP16" s="41"/>
      <c r="MCQ16" s="41"/>
      <c r="MCR16" s="41"/>
      <c r="MCS16" s="41"/>
      <c r="MCT16" s="41"/>
      <c r="MCU16" s="41"/>
      <c r="MCV16" s="41"/>
      <c r="MCW16" s="41"/>
      <c r="MCX16" s="41"/>
      <c r="MCY16" s="41"/>
      <c r="MCZ16" s="41"/>
      <c r="MDA16" s="41"/>
      <c r="MDB16" s="41"/>
      <c r="MDC16" s="41"/>
      <c r="MDD16" s="41"/>
      <c r="MDE16" s="41"/>
      <c r="MDF16" s="41"/>
      <c r="MDG16" s="41"/>
      <c r="MDH16" s="41"/>
      <c r="MDI16" s="41"/>
      <c r="MDJ16" s="41"/>
      <c r="MDK16" s="41"/>
      <c r="MDL16" s="41"/>
      <c r="MDM16" s="41"/>
      <c r="MDN16" s="41"/>
      <c r="MDO16" s="41"/>
      <c r="MDP16" s="41"/>
      <c r="MDQ16" s="41"/>
      <c r="MDR16" s="41"/>
      <c r="MDS16" s="41"/>
      <c r="MDT16" s="41"/>
      <c r="MDU16" s="41"/>
      <c r="MDV16" s="41"/>
      <c r="MDW16" s="41"/>
      <c r="MDX16" s="41"/>
      <c r="MDY16" s="41"/>
      <c r="MDZ16" s="41"/>
      <c r="MEA16" s="41"/>
      <c r="MEB16" s="41"/>
      <c r="MEC16" s="41"/>
      <c r="MED16" s="41"/>
      <c r="MEE16" s="41"/>
      <c r="MEF16" s="41"/>
      <c r="MEG16" s="41"/>
      <c r="MEH16" s="41"/>
      <c r="MEI16" s="41"/>
      <c r="MEJ16" s="41"/>
      <c r="MEK16" s="41"/>
      <c r="MEL16" s="41"/>
      <c r="MEM16" s="41"/>
      <c r="MEN16" s="41"/>
      <c r="MEO16" s="41"/>
      <c r="MEP16" s="41"/>
      <c r="MEQ16" s="41"/>
      <c r="MER16" s="41"/>
      <c r="MES16" s="41"/>
      <c r="MET16" s="41"/>
      <c r="MEU16" s="41"/>
      <c r="MEV16" s="41"/>
      <c r="MEW16" s="41"/>
      <c r="MEX16" s="41"/>
      <c r="MEY16" s="41"/>
      <c r="MEZ16" s="41"/>
      <c r="MFA16" s="41"/>
      <c r="MFB16" s="41"/>
      <c r="MFC16" s="41"/>
      <c r="MFD16" s="41"/>
      <c r="MFE16" s="41"/>
      <c r="MFF16" s="41"/>
      <c r="MFG16" s="41"/>
      <c r="MFH16" s="41"/>
      <c r="MFI16" s="41"/>
      <c r="MFJ16" s="41"/>
      <c r="MFK16" s="41"/>
      <c r="MFL16" s="41"/>
      <c r="MFM16" s="41"/>
      <c r="MFN16" s="41"/>
      <c r="MFO16" s="41"/>
      <c r="MFP16" s="41"/>
      <c r="MFQ16" s="41"/>
      <c r="MFR16" s="41"/>
      <c r="MFS16" s="41"/>
      <c r="MFT16" s="41"/>
      <c r="MFU16" s="41"/>
      <c r="MFV16" s="41"/>
      <c r="MFW16" s="41"/>
      <c r="MFX16" s="41"/>
      <c r="MFY16" s="41"/>
      <c r="MFZ16" s="41"/>
      <c r="MGA16" s="41"/>
      <c r="MGB16" s="41"/>
      <c r="MGC16" s="41"/>
      <c r="MGD16" s="41"/>
      <c r="MGE16" s="41"/>
      <c r="MGF16" s="41"/>
      <c r="MGG16" s="41"/>
      <c r="MGH16" s="41"/>
      <c r="MGI16" s="41"/>
      <c r="MGJ16" s="41"/>
      <c r="MGK16" s="41"/>
      <c r="MGL16" s="41"/>
      <c r="MGM16" s="41"/>
      <c r="MGN16" s="41"/>
      <c r="MGO16" s="41"/>
      <c r="MGP16" s="41"/>
      <c r="MGQ16" s="41"/>
      <c r="MGR16" s="41"/>
      <c r="MGS16" s="41"/>
      <c r="MGT16" s="41"/>
      <c r="MGU16" s="41"/>
      <c r="MGV16" s="41"/>
      <c r="MGW16" s="41"/>
      <c r="MGX16" s="41"/>
      <c r="MGY16" s="41"/>
      <c r="MGZ16" s="41"/>
      <c r="MHA16" s="41"/>
      <c r="MHB16" s="41"/>
      <c r="MHC16" s="41"/>
      <c r="MHD16" s="41"/>
      <c r="MHE16" s="41"/>
      <c r="MHF16" s="41"/>
      <c r="MHG16" s="41"/>
      <c r="MHH16" s="41"/>
      <c r="MHI16" s="41"/>
      <c r="MHJ16" s="41"/>
      <c r="MHK16" s="41"/>
      <c r="MHL16" s="41"/>
      <c r="MHM16" s="41"/>
      <c r="MHN16" s="41"/>
      <c r="MHO16" s="41"/>
      <c r="MHP16" s="41"/>
      <c r="MHQ16" s="41"/>
      <c r="MHR16" s="41"/>
      <c r="MHS16" s="41"/>
      <c r="MHT16" s="41"/>
      <c r="MHU16" s="41"/>
      <c r="MHV16" s="41"/>
      <c r="MHW16" s="41"/>
      <c r="MHX16" s="41"/>
      <c r="MHY16" s="41"/>
      <c r="MHZ16" s="41"/>
      <c r="MIA16" s="41"/>
      <c r="MIB16" s="41"/>
      <c r="MIC16" s="41"/>
      <c r="MID16" s="41"/>
      <c r="MIE16" s="41"/>
      <c r="MIF16" s="41"/>
      <c r="MIG16" s="41"/>
      <c r="MIH16" s="41"/>
      <c r="MII16" s="41"/>
      <c r="MIJ16" s="41"/>
      <c r="MIK16" s="41"/>
      <c r="MIL16" s="41"/>
      <c r="MIM16" s="41"/>
      <c r="MIN16" s="41"/>
      <c r="MIO16" s="41"/>
      <c r="MIP16" s="41"/>
      <c r="MIQ16" s="41"/>
      <c r="MIR16" s="41"/>
      <c r="MIS16" s="41"/>
      <c r="MIT16" s="41"/>
      <c r="MIU16" s="41"/>
      <c r="MIV16" s="41"/>
      <c r="MIW16" s="41"/>
      <c r="MIX16" s="41"/>
      <c r="MIY16" s="41"/>
      <c r="MIZ16" s="41"/>
      <c r="MJA16" s="41"/>
      <c r="MJB16" s="41"/>
      <c r="MJC16" s="41"/>
      <c r="MJD16" s="41"/>
      <c r="MJE16" s="41"/>
      <c r="MJF16" s="41"/>
      <c r="MJG16" s="41"/>
      <c r="MJH16" s="41"/>
      <c r="MJI16" s="41"/>
      <c r="MJJ16" s="41"/>
      <c r="MJK16" s="41"/>
      <c r="MJL16" s="41"/>
      <c r="MJM16" s="41"/>
      <c r="MJN16" s="41"/>
      <c r="MJO16" s="41"/>
      <c r="MJP16" s="41"/>
      <c r="MJQ16" s="41"/>
      <c r="MJR16" s="41"/>
      <c r="MJS16" s="41"/>
      <c r="MJT16" s="41"/>
      <c r="MJU16" s="41"/>
      <c r="MJV16" s="41"/>
      <c r="MJW16" s="41"/>
      <c r="MJX16" s="41"/>
      <c r="MJY16" s="41"/>
      <c r="MJZ16" s="41"/>
      <c r="MKA16" s="41"/>
      <c r="MKB16" s="41"/>
      <c r="MKC16" s="41"/>
      <c r="MKD16" s="41"/>
      <c r="MKE16" s="41"/>
      <c r="MKF16" s="41"/>
      <c r="MKG16" s="41"/>
      <c r="MKH16" s="41"/>
      <c r="MKI16" s="41"/>
      <c r="MKJ16" s="41"/>
      <c r="MKK16" s="41"/>
      <c r="MKL16" s="41"/>
      <c r="MKM16" s="41"/>
      <c r="MKN16" s="41"/>
      <c r="MKO16" s="41"/>
      <c r="MKP16" s="41"/>
      <c r="MKQ16" s="41"/>
      <c r="MKR16" s="41"/>
      <c r="MKS16" s="41"/>
      <c r="MKT16" s="41"/>
      <c r="MKU16" s="41"/>
      <c r="MKV16" s="41"/>
      <c r="MKW16" s="41"/>
      <c r="MKX16" s="41"/>
      <c r="MKY16" s="41"/>
      <c r="MKZ16" s="41"/>
      <c r="MLA16" s="41"/>
      <c r="MLB16" s="41"/>
      <c r="MLC16" s="41"/>
      <c r="MLD16" s="41"/>
      <c r="MLE16" s="41"/>
      <c r="MLF16" s="41"/>
      <c r="MLG16" s="41"/>
      <c r="MLH16" s="41"/>
      <c r="MLI16" s="41"/>
      <c r="MLJ16" s="41"/>
      <c r="MLK16" s="41"/>
      <c r="MLL16" s="41"/>
      <c r="MLM16" s="41"/>
      <c r="MLN16" s="41"/>
      <c r="MLO16" s="41"/>
      <c r="MLP16" s="41"/>
      <c r="MLQ16" s="41"/>
      <c r="MLR16" s="41"/>
      <c r="MLS16" s="41"/>
      <c r="MLT16" s="41"/>
      <c r="MLU16" s="41"/>
      <c r="MLV16" s="41"/>
      <c r="MLW16" s="41"/>
      <c r="MLX16" s="41"/>
      <c r="MLY16" s="41"/>
      <c r="MLZ16" s="41"/>
      <c r="MMA16" s="41"/>
      <c r="MMB16" s="41"/>
      <c r="MMC16" s="41"/>
      <c r="MMD16" s="41"/>
      <c r="MME16" s="41"/>
      <c r="MMF16" s="41"/>
      <c r="MMG16" s="41"/>
      <c r="MMH16" s="41"/>
      <c r="MMI16" s="41"/>
      <c r="MMJ16" s="41"/>
      <c r="MMK16" s="41"/>
      <c r="MML16" s="41"/>
      <c r="MMM16" s="41"/>
      <c r="MMN16" s="41"/>
      <c r="MMO16" s="41"/>
      <c r="MMP16" s="41"/>
      <c r="MMQ16" s="41"/>
      <c r="MMR16" s="41"/>
      <c r="MMS16" s="41"/>
      <c r="MMT16" s="41"/>
      <c r="MMU16" s="41"/>
      <c r="MMV16" s="41"/>
      <c r="MMW16" s="41"/>
      <c r="MMX16" s="41"/>
      <c r="MMY16" s="41"/>
      <c r="MMZ16" s="41"/>
      <c r="MNA16" s="41"/>
      <c r="MNB16" s="41"/>
      <c r="MNC16" s="41"/>
      <c r="MND16" s="41"/>
      <c r="MNE16" s="41"/>
      <c r="MNF16" s="41"/>
      <c r="MNG16" s="41"/>
      <c r="MNH16" s="41"/>
      <c r="MNI16" s="41"/>
      <c r="MNJ16" s="41"/>
      <c r="MNK16" s="41"/>
      <c r="MNL16" s="41"/>
      <c r="MNM16" s="41"/>
      <c r="MNN16" s="41"/>
      <c r="MNO16" s="41"/>
      <c r="MNP16" s="41"/>
      <c r="MNQ16" s="41"/>
      <c r="MNR16" s="41"/>
      <c r="MNS16" s="41"/>
      <c r="MNT16" s="41"/>
      <c r="MNU16" s="41"/>
      <c r="MNV16" s="41"/>
      <c r="MNW16" s="41"/>
      <c r="MNX16" s="41"/>
      <c r="MNY16" s="41"/>
      <c r="MNZ16" s="41"/>
      <c r="MOA16" s="41"/>
      <c r="MOB16" s="41"/>
      <c r="MOC16" s="41"/>
      <c r="MOD16" s="41"/>
      <c r="MOE16" s="41"/>
      <c r="MOF16" s="41"/>
      <c r="MOG16" s="41"/>
      <c r="MOH16" s="41"/>
      <c r="MOI16" s="41"/>
      <c r="MOJ16" s="41"/>
      <c r="MOK16" s="41"/>
      <c r="MOL16" s="41"/>
      <c r="MOM16" s="41"/>
      <c r="MON16" s="41"/>
      <c r="MOO16" s="41"/>
      <c r="MOP16" s="41"/>
      <c r="MOQ16" s="41"/>
      <c r="MOR16" s="41"/>
      <c r="MOS16" s="41"/>
      <c r="MOT16" s="41"/>
      <c r="MOU16" s="41"/>
      <c r="MOV16" s="41"/>
      <c r="MOW16" s="41"/>
      <c r="MOX16" s="41"/>
      <c r="MOY16" s="41"/>
      <c r="MOZ16" s="41"/>
      <c r="MPA16" s="41"/>
      <c r="MPB16" s="41"/>
      <c r="MPC16" s="41"/>
      <c r="MPD16" s="41"/>
      <c r="MPE16" s="41"/>
      <c r="MPF16" s="41"/>
      <c r="MPG16" s="41"/>
      <c r="MPH16" s="41"/>
      <c r="MPI16" s="41"/>
      <c r="MPJ16" s="41"/>
      <c r="MPK16" s="41"/>
      <c r="MPL16" s="41"/>
      <c r="MPM16" s="41"/>
      <c r="MPN16" s="41"/>
      <c r="MPO16" s="41"/>
      <c r="MPP16" s="41"/>
      <c r="MPQ16" s="41"/>
      <c r="MPR16" s="41"/>
      <c r="MPS16" s="41"/>
      <c r="MPT16" s="41"/>
      <c r="MPU16" s="41"/>
      <c r="MPV16" s="41"/>
      <c r="MPW16" s="41"/>
      <c r="MPX16" s="41"/>
      <c r="MPY16" s="41"/>
      <c r="MPZ16" s="41"/>
      <c r="MQA16" s="41"/>
      <c r="MQB16" s="41"/>
      <c r="MQC16" s="41"/>
      <c r="MQD16" s="41"/>
      <c r="MQE16" s="41"/>
      <c r="MQF16" s="41"/>
      <c r="MQG16" s="41"/>
      <c r="MQH16" s="41"/>
      <c r="MQI16" s="41"/>
      <c r="MQJ16" s="41"/>
      <c r="MQK16" s="41"/>
      <c r="MQL16" s="41"/>
      <c r="MQM16" s="41"/>
      <c r="MQN16" s="41"/>
      <c r="MQO16" s="41"/>
      <c r="MQP16" s="41"/>
      <c r="MQQ16" s="41"/>
      <c r="MQR16" s="41"/>
      <c r="MQS16" s="41"/>
      <c r="MQT16" s="41"/>
      <c r="MQU16" s="41"/>
      <c r="MQV16" s="41"/>
      <c r="MQW16" s="41"/>
      <c r="MQX16" s="41"/>
      <c r="MQY16" s="41"/>
      <c r="MQZ16" s="41"/>
      <c r="MRA16" s="41"/>
      <c r="MRB16" s="41"/>
      <c r="MRC16" s="41"/>
      <c r="MRD16" s="41"/>
      <c r="MRE16" s="41"/>
      <c r="MRF16" s="41"/>
      <c r="MRG16" s="41"/>
      <c r="MRH16" s="41"/>
      <c r="MRI16" s="41"/>
      <c r="MRJ16" s="41"/>
      <c r="MRK16" s="41"/>
      <c r="MRL16" s="41"/>
      <c r="MRM16" s="41"/>
      <c r="MRN16" s="41"/>
      <c r="MRO16" s="41"/>
      <c r="MRP16" s="41"/>
      <c r="MRQ16" s="41"/>
      <c r="MRR16" s="41"/>
      <c r="MRS16" s="41"/>
      <c r="MRT16" s="41"/>
      <c r="MRU16" s="41"/>
      <c r="MRV16" s="41"/>
      <c r="MRW16" s="41"/>
      <c r="MRX16" s="41"/>
      <c r="MRY16" s="41"/>
      <c r="MRZ16" s="41"/>
      <c r="MSA16" s="41"/>
      <c r="MSB16" s="41"/>
      <c r="MSC16" s="41"/>
      <c r="MSD16" s="41"/>
      <c r="MSE16" s="41"/>
      <c r="MSF16" s="41"/>
      <c r="MSG16" s="41"/>
      <c r="MSH16" s="41"/>
      <c r="MSI16" s="41"/>
      <c r="MSJ16" s="41"/>
      <c r="MSK16" s="41"/>
      <c r="MSL16" s="41"/>
      <c r="MSM16" s="41"/>
      <c r="MSN16" s="41"/>
      <c r="MSO16" s="41"/>
      <c r="MSP16" s="41"/>
      <c r="MSQ16" s="41"/>
      <c r="MSR16" s="41"/>
      <c r="MSS16" s="41"/>
      <c r="MST16" s="41"/>
      <c r="MSU16" s="41"/>
      <c r="MSV16" s="41"/>
      <c r="MSW16" s="41"/>
      <c r="MSX16" s="41"/>
      <c r="MSY16" s="41"/>
      <c r="MSZ16" s="41"/>
      <c r="MTA16" s="41"/>
      <c r="MTB16" s="41"/>
      <c r="MTC16" s="41"/>
      <c r="MTD16" s="41"/>
      <c r="MTE16" s="41"/>
      <c r="MTF16" s="41"/>
      <c r="MTG16" s="41"/>
      <c r="MTH16" s="41"/>
      <c r="MTI16" s="41"/>
      <c r="MTJ16" s="41"/>
      <c r="MTK16" s="41"/>
      <c r="MTL16" s="41"/>
      <c r="MTM16" s="41"/>
      <c r="MTN16" s="41"/>
      <c r="MTO16" s="41"/>
      <c r="MTP16" s="41"/>
      <c r="MTQ16" s="41"/>
      <c r="MTR16" s="41"/>
      <c r="MTS16" s="41"/>
      <c r="MTT16" s="41"/>
      <c r="MTU16" s="41"/>
      <c r="MTV16" s="41"/>
      <c r="MTW16" s="41"/>
      <c r="MTX16" s="41"/>
      <c r="MTY16" s="41"/>
      <c r="MTZ16" s="41"/>
      <c r="MUA16" s="41"/>
      <c r="MUB16" s="41"/>
      <c r="MUC16" s="41"/>
      <c r="MUD16" s="41"/>
      <c r="MUE16" s="41"/>
      <c r="MUF16" s="41"/>
      <c r="MUG16" s="41"/>
      <c r="MUH16" s="41"/>
      <c r="MUI16" s="41"/>
      <c r="MUJ16" s="41"/>
      <c r="MUK16" s="41"/>
      <c r="MUL16" s="41"/>
      <c r="MUM16" s="41"/>
      <c r="MUN16" s="41"/>
      <c r="MUO16" s="41"/>
      <c r="MUP16" s="41"/>
      <c r="MUQ16" s="41"/>
      <c r="MUR16" s="41"/>
      <c r="MUS16" s="41"/>
      <c r="MUT16" s="41"/>
      <c r="MUU16" s="41"/>
      <c r="MUV16" s="41"/>
      <c r="MUW16" s="41"/>
      <c r="MUX16" s="41"/>
      <c r="MUY16" s="41"/>
      <c r="MUZ16" s="41"/>
      <c r="MVA16" s="41"/>
      <c r="MVB16" s="41"/>
      <c r="MVC16" s="41"/>
      <c r="MVD16" s="41"/>
      <c r="MVE16" s="41"/>
      <c r="MVF16" s="41"/>
      <c r="MVG16" s="41"/>
      <c r="MVH16" s="41"/>
      <c r="MVI16" s="41"/>
      <c r="MVJ16" s="41"/>
      <c r="MVK16" s="41"/>
      <c r="MVL16" s="41"/>
      <c r="MVM16" s="41"/>
      <c r="MVN16" s="41"/>
      <c r="MVO16" s="41"/>
      <c r="MVP16" s="41"/>
      <c r="MVQ16" s="41"/>
      <c r="MVR16" s="41"/>
      <c r="MVS16" s="41"/>
      <c r="MVT16" s="41"/>
      <c r="MVU16" s="41"/>
      <c r="MVV16" s="41"/>
      <c r="MVW16" s="41"/>
      <c r="MVX16" s="41"/>
      <c r="MVY16" s="41"/>
      <c r="MVZ16" s="41"/>
      <c r="MWA16" s="41"/>
      <c r="MWB16" s="41"/>
      <c r="MWC16" s="41"/>
      <c r="MWD16" s="41"/>
      <c r="MWE16" s="41"/>
      <c r="MWF16" s="41"/>
      <c r="MWG16" s="41"/>
      <c r="MWH16" s="41"/>
      <c r="MWI16" s="41"/>
      <c r="MWJ16" s="41"/>
      <c r="MWK16" s="41"/>
      <c r="MWL16" s="41"/>
      <c r="MWM16" s="41"/>
      <c r="MWN16" s="41"/>
      <c r="MWO16" s="41"/>
      <c r="MWP16" s="41"/>
      <c r="MWQ16" s="41"/>
      <c r="MWR16" s="41"/>
      <c r="MWS16" s="41"/>
      <c r="MWT16" s="41"/>
      <c r="MWU16" s="41"/>
      <c r="MWV16" s="41"/>
      <c r="MWW16" s="41"/>
      <c r="MWX16" s="41"/>
      <c r="MWY16" s="41"/>
      <c r="MWZ16" s="41"/>
      <c r="MXA16" s="41"/>
      <c r="MXB16" s="41"/>
      <c r="MXC16" s="41"/>
      <c r="MXD16" s="41"/>
      <c r="MXE16" s="41"/>
      <c r="MXF16" s="41"/>
      <c r="MXG16" s="41"/>
      <c r="MXH16" s="41"/>
      <c r="MXI16" s="41"/>
      <c r="MXJ16" s="41"/>
      <c r="MXK16" s="41"/>
      <c r="MXL16" s="41"/>
      <c r="MXM16" s="41"/>
      <c r="MXN16" s="41"/>
      <c r="MXO16" s="41"/>
      <c r="MXP16" s="41"/>
      <c r="MXQ16" s="41"/>
      <c r="MXR16" s="41"/>
      <c r="MXS16" s="41"/>
      <c r="MXT16" s="41"/>
      <c r="MXU16" s="41"/>
      <c r="MXV16" s="41"/>
      <c r="MXW16" s="41"/>
      <c r="MXX16" s="41"/>
      <c r="MXY16" s="41"/>
      <c r="MXZ16" s="41"/>
      <c r="MYA16" s="41"/>
      <c r="MYB16" s="41"/>
      <c r="MYC16" s="41"/>
      <c r="MYD16" s="41"/>
      <c r="MYE16" s="41"/>
      <c r="MYF16" s="41"/>
      <c r="MYG16" s="41"/>
      <c r="MYH16" s="41"/>
      <c r="MYI16" s="41"/>
      <c r="MYJ16" s="41"/>
      <c r="MYK16" s="41"/>
      <c r="MYL16" s="41"/>
      <c r="MYM16" s="41"/>
      <c r="MYN16" s="41"/>
      <c r="MYO16" s="41"/>
      <c r="MYP16" s="41"/>
      <c r="MYQ16" s="41"/>
      <c r="MYR16" s="41"/>
      <c r="MYS16" s="41"/>
      <c r="MYT16" s="41"/>
      <c r="MYU16" s="41"/>
      <c r="MYV16" s="41"/>
      <c r="MYW16" s="41"/>
      <c r="MYX16" s="41"/>
      <c r="MYY16" s="41"/>
      <c r="MYZ16" s="41"/>
      <c r="MZA16" s="41"/>
      <c r="MZB16" s="41"/>
      <c r="MZC16" s="41"/>
      <c r="MZD16" s="41"/>
      <c r="MZE16" s="41"/>
      <c r="MZF16" s="41"/>
      <c r="MZG16" s="41"/>
      <c r="MZH16" s="41"/>
      <c r="MZI16" s="41"/>
      <c r="MZJ16" s="41"/>
      <c r="MZK16" s="41"/>
      <c r="MZL16" s="41"/>
      <c r="MZM16" s="41"/>
      <c r="MZN16" s="41"/>
      <c r="MZO16" s="41"/>
      <c r="MZP16" s="41"/>
      <c r="MZQ16" s="41"/>
      <c r="MZR16" s="41"/>
      <c r="MZS16" s="41"/>
      <c r="MZT16" s="41"/>
      <c r="MZU16" s="41"/>
      <c r="MZV16" s="41"/>
      <c r="MZW16" s="41"/>
      <c r="MZX16" s="41"/>
      <c r="MZY16" s="41"/>
      <c r="MZZ16" s="41"/>
      <c r="NAA16" s="41"/>
      <c r="NAB16" s="41"/>
      <c r="NAC16" s="41"/>
      <c r="NAD16" s="41"/>
      <c r="NAE16" s="41"/>
      <c r="NAF16" s="41"/>
      <c r="NAG16" s="41"/>
      <c r="NAH16" s="41"/>
      <c r="NAI16" s="41"/>
      <c r="NAJ16" s="41"/>
      <c r="NAK16" s="41"/>
      <c r="NAL16" s="41"/>
      <c r="NAM16" s="41"/>
      <c r="NAN16" s="41"/>
      <c r="NAO16" s="41"/>
      <c r="NAP16" s="41"/>
      <c r="NAQ16" s="41"/>
      <c r="NAR16" s="41"/>
      <c r="NAS16" s="41"/>
      <c r="NAT16" s="41"/>
      <c r="NAU16" s="41"/>
      <c r="NAV16" s="41"/>
      <c r="NAW16" s="41"/>
      <c r="NAX16" s="41"/>
      <c r="NAY16" s="41"/>
      <c r="NAZ16" s="41"/>
      <c r="NBA16" s="41"/>
      <c r="NBB16" s="41"/>
      <c r="NBC16" s="41"/>
      <c r="NBD16" s="41"/>
      <c r="NBE16" s="41"/>
      <c r="NBF16" s="41"/>
      <c r="NBG16" s="41"/>
      <c r="NBH16" s="41"/>
      <c r="NBI16" s="41"/>
      <c r="NBJ16" s="41"/>
      <c r="NBK16" s="41"/>
      <c r="NBL16" s="41"/>
      <c r="NBM16" s="41"/>
      <c r="NBN16" s="41"/>
      <c r="NBO16" s="41"/>
      <c r="NBP16" s="41"/>
      <c r="NBQ16" s="41"/>
      <c r="NBR16" s="41"/>
      <c r="NBS16" s="41"/>
      <c r="NBT16" s="41"/>
      <c r="NBU16" s="41"/>
      <c r="NBV16" s="41"/>
      <c r="NBW16" s="41"/>
      <c r="NBX16" s="41"/>
      <c r="NBY16" s="41"/>
      <c r="NBZ16" s="41"/>
      <c r="NCA16" s="41"/>
      <c r="NCB16" s="41"/>
      <c r="NCC16" s="41"/>
      <c r="NCD16" s="41"/>
      <c r="NCE16" s="41"/>
      <c r="NCF16" s="41"/>
      <c r="NCG16" s="41"/>
      <c r="NCH16" s="41"/>
      <c r="NCI16" s="41"/>
      <c r="NCJ16" s="41"/>
      <c r="NCK16" s="41"/>
      <c r="NCL16" s="41"/>
      <c r="NCM16" s="41"/>
      <c r="NCN16" s="41"/>
      <c r="NCO16" s="41"/>
      <c r="NCP16" s="41"/>
      <c r="NCQ16" s="41"/>
      <c r="NCR16" s="41"/>
      <c r="NCS16" s="41"/>
      <c r="NCT16" s="41"/>
      <c r="NCU16" s="41"/>
      <c r="NCV16" s="41"/>
      <c r="NCW16" s="41"/>
      <c r="NCX16" s="41"/>
      <c r="NCY16" s="41"/>
      <c r="NCZ16" s="41"/>
      <c r="NDA16" s="41"/>
      <c r="NDB16" s="41"/>
      <c r="NDC16" s="41"/>
      <c r="NDD16" s="41"/>
      <c r="NDE16" s="41"/>
      <c r="NDF16" s="41"/>
      <c r="NDG16" s="41"/>
      <c r="NDH16" s="41"/>
      <c r="NDI16" s="41"/>
      <c r="NDJ16" s="41"/>
      <c r="NDK16" s="41"/>
      <c r="NDL16" s="41"/>
      <c r="NDM16" s="41"/>
      <c r="NDN16" s="41"/>
      <c r="NDO16" s="41"/>
      <c r="NDP16" s="41"/>
      <c r="NDQ16" s="41"/>
      <c r="NDR16" s="41"/>
      <c r="NDS16" s="41"/>
      <c r="NDT16" s="41"/>
      <c r="NDU16" s="41"/>
      <c r="NDV16" s="41"/>
      <c r="NDW16" s="41"/>
      <c r="NDX16" s="41"/>
      <c r="NDY16" s="41"/>
      <c r="NDZ16" s="41"/>
      <c r="NEA16" s="41"/>
      <c r="NEB16" s="41"/>
      <c r="NEC16" s="41"/>
      <c r="NED16" s="41"/>
      <c r="NEE16" s="41"/>
      <c r="NEF16" s="41"/>
      <c r="NEG16" s="41"/>
      <c r="NEH16" s="41"/>
      <c r="NEI16" s="41"/>
      <c r="NEJ16" s="41"/>
      <c r="NEK16" s="41"/>
      <c r="NEL16" s="41"/>
      <c r="NEM16" s="41"/>
      <c r="NEN16" s="41"/>
      <c r="NEO16" s="41"/>
      <c r="NEP16" s="41"/>
      <c r="NEQ16" s="41"/>
      <c r="NER16" s="41"/>
      <c r="NES16" s="41"/>
      <c r="NET16" s="41"/>
      <c r="NEU16" s="41"/>
      <c r="NEV16" s="41"/>
      <c r="NEW16" s="41"/>
      <c r="NEX16" s="41"/>
      <c r="NEY16" s="41"/>
      <c r="NEZ16" s="41"/>
      <c r="NFA16" s="41"/>
      <c r="NFB16" s="41"/>
      <c r="NFC16" s="41"/>
      <c r="NFD16" s="41"/>
      <c r="NFE16" s="41"/>
      <c r="NFF16" s="41"/>
      <c r="NFG16" s="41"/>
      <c r="NFH16" s="41"/>
      <c r="NFI16" s="41"/>
      <c r="NFJ16" s="41"/>
      <c r="NFK16" s="41"/>
      <c r="NFL16" s="41"/>
      <c r="NFM16" s="41"/>
      <c r="NFN16" s="41"/>
      <c r="NFO16" s="41"/>
      <c r="NFP16" s="41"/>
      <c r="NFQ16" s="41"/>
      <c r="NFR16" s="41"/>
      <c r="NFS16" s="41"/>
      <c r="NFT16" s="41"/>
      <c r="NFU16" s="41"/>
      <c r="NFV16" s="41"/>
      <c r="NFW16" s="41"/>
      <c r="NFX16" s="41"/>
      <c r="NFY16" s="41"/>
      <c r="NFZ16" s="41"/>
      <c r="NGA16" s="41"/>
      <c r="NGB16" s="41"/>
      <c r="NGC16" s="41"/>
      <c r="NGD16" s="41"/>
      <c r="NGE16" s="41"/>
      <c r="NGF16" s="41"/>
      <c r="NGG16" s="41"/>
      <c r="NGH16" s="41"/>
      <c r="NGI16" s="41"/>
      <c r="NGJ16" s="41"/>
      <c r="NGK16" s="41"/>
      <c r="NGL16" s="41"/>
      <c r="NGM16" s="41"/>
      <c r="NGN16" s="41"/>
      <c r="NGO16" s="41"/>
      <c r="NGP16" s="41"/>
      <c r="NGQ16" s="41"/>
      <c r="NGR16" s="41"/>
      <c r="NGS16" s="41"/>
      <c r="NGT16" s="41"/>
      <c r="NGU16" s="41"/>
      <c r="NGV16" s="41"/>
      <c r="NGW16" s="41"/>
      <c r="NGX16" s="41"/>
      <c r="NGY16" s="41"/>
      <c r="NGZ16" s="41"/>
      <c r="NHA16" s="41"/>
      <c r="NHB16" s="41"/>
      <c r="NHC16" s="41"/>
      <c r="NHD16" s="41"/>
      <c r="NHE16" s="41"/>
      <c r="NHF16" s="41"/>
      <c r="NHG16" s="41"/>
      <c r="NHH16" s="41"/>
      <c r="NHI16" s="41"/>
      <c r="NHJ16" s="41"/>
      <c r="NHK16" s="41"/>
      <c r="NHL16" s="41"/>
      <c r="NHM16" s="41"/>
      <c r="NHN16" s="41"/>
      <c r="NHO16" s="41"/>
      <c r="NHP16" s="41"/>
      <c r="NHQ16" s="41"/>
      <c r="NHR16" s="41"/>
      <c r="NHS16" s="41"/>
      <c r="NHT16" s="41"/>
      <c r="NHU16" s="41"/>
      <c r="NHV16" s="41"/>
      <c r="NHW16" s="41"/>
      <c r="NHX16" s="41"/>
      <c r="NHY16" s="41"/>
      <c r="NHZ16" s="41"/>
      <c r="NIA16" s="41"/>
      <c r="NIB16" s="41"/>
      <c r="NIC16" s="41"/>
      <c r="NID16" s="41"/>
      <c r="NIE16" s="41"/>
      <c r="NIF16" s="41"/>
      <c r="NIG16" s="41"/>
      <c r="NIH16" s="41"/>
      <c r="NII16" s="41"/>
      <c r="NIJ16" s="41"/>
      <c r="NIK16" s="41"/>
      <c r="NIL16" s="41"/>
      <c r="NIM16" s="41"/>
      <c r="NIN16" s="41"/>
      <c r="NIO16" s="41"/>
      <c r="NIP16" s="41"/>
      <c r="NIQ16" s="41"/>
      <c r="NIR16" s="41"/>
      <c r="NIS16" s="41"/>
      <c r="NIT16" s="41"/>
      <c r="NIU16" s="41"/>
      <c r="NIV16" s="41"/>
      <c r="NIW16" s="41"/>
      <c r="NIX16" s="41"/>
      <c r="NIY16" s="41"/>
      <c r="NIZ16" s="41"/>
      <c r="NJA16" s="41"/>
      <c r="NJB16" s="41"/>
      <c r="NJC16" s="41"/>
      <c r="NJD16" s="41"/>
      <c r="NJE16" s="41"/>
      <c r="NJF16" s="41"/>
      <c r="NJG16" s="41"/>
      <c r="NJH16" s="41"/>
      <c r="NJI16" s="41"/>
      <c r="NJJ16" s="41"/>
      <c r="NJK16" s="41"/>
      <c r="NJL16" s="41"/>
      <c r="NJM16" s="41"/>
      <c r="NJN16" s="41"/>
      <c r="NJO16" s="41"/>
      <c r="NJP16" s="41"/>
      <c r="NJQ16" s="41"/>
      <c r="NJR16" s="41"/>
      <c r="NJS16" s="41"/>
      <c r="NJT16" s="41"/>
      <c r="NJU16" s="41"/>
      <c r="NJV16" s="41"/>
      <c r="NJW16" s="41"/>
      <c r="NJX16" s="41"/>
      <c r="NJY16" s="41"/>
      <c r="NJZ16" s="41"/>
      <c r="NKA16" s="41"/>
      <c r="NKB16" s="41"/>
      <c r="NKC16" s="41"/>
      <c r="NKD16" s="41"/>
      <c r="NKE16" s="41"/>
      <c r="NKF16" s="41"/>
      <c r="NKG16" s="41"/>
      <c r="NKH16" s="41"/>
      <c r="NKI16" s="41"/>
      <c r="NKJ16" s="41"/>
      <c r="NKK16" s="41"/>
      <c r="NKL16" s="41"/>
      <c r="NKM16" s="41"/>
      <c r="NKN16" s="41"/>
      <c r="NKO16" s="41"/>
      <c r="NKP16" s="41"/>
      <c r="NKQ16" s="41"/>
      <c r="NKR16" s="41"/>
      <c r="NKS16" s="41"/>
      <c r="NKT16" s="41"/>
      <c r="NKU16" s="41"/>
      <c r="NKV16" s="41"/>
      <c r="NKW16" s="41"/>
      <c r="NKX16" s="41"/>
      <c r="NKY16" s="41"/>
      <c r="NKZ16" s="41"/>
      <c r="NLA16" s="41"/>
      <c r="NLB16" s="41"/>
      <c r="NLC16" s="41"/>
      <c r="NLD16" s="41"/>
      <c r="NLE16" s="41"/>
      <c r="NLF16" s="41"/>
      <c r="NLG16" s="41"/>
      <c r="NLH16" s="41"/>
      <c r="NLI16" s="41"/>
      <c r="NLJ16" s="41"/>
      <c r="NLK16" s="41"/>
      <c r="NLL16" s="41"/>
      <c r="NLM16" s="41"/>
      <c r="NLN16" s="41"/>
      <c r="NLO16" s="41"/>
      <c r="NLP16" s="41"/>
      <c r="NLQ16" s="41"/>
      <c r="NLR16" s="41"/>
      <c r="NLS16" s="41"/>
      <c r="NLT16" s="41"/>
      <c r="NLU16" s="41"/>
      <c r="NLV16" s="41"/>
      <c r="NLW16" s="41"/>
      <c r="NLX16" s="41"/>
      <c r="NLY16" s="41"/>
      <c r="NLZ16" s="41"/>
      <c r="NMA16" s="41"/>
      <c r="NMB16" s="41"/>
      <c r="NMC16" s="41"/>
      <c r="NMD16" s="41"/>
      <c r="NME16" s="41"/>
      <c r="NMF16" s="41"/>
      <c r="NMG16" s="41"/>
      <c r="NMH16" s="41"/>
      <c r="NMI16" s="41"/>
      <c r="NMJ16" s="41"/>
      <c r="NMK16" s="41"/>
      <c r="NML16" s="41"/>
      <c r="NMM16" s="41"/>
      <c r="NMN16" s="41"/>
      <c r="NMO16" s="41"/>
      <c r="NMP16" s="41"/>
      <c r="NMQ16" s="41"/>
      <c r="NMR16" s="41"/>
      <c r="NMS16" s="41"/>
      <c r="NMT16" s="41"/>
      <c r="NMU16" s="41"/>
      <c r="NMV16" s="41"/>
      <c r="NMW16" s="41"/>
      <c r="NMX16" s="41"/>
      <c r="NMY16" s="41"/>
      <c r="NMZ16" s="41"/>
      <c r="NNA16" s="41"/>
      <c r="NNB16" s="41"/>
      <c r="NNC16" s="41"/>
      <c r="NND16" s="41"/>
      <c r="NNE16" s="41"/>
      <c r="NNF16" s="41"/>
      <c r="NNG16" s="41"/>
      <c r="NNH16" s="41"/>
      <c r="NNI16" s="41"/>
      <c r="NNJ16" s="41"/>
      <c r="NNK16" s="41"/>
      <c r="NNL16" s="41"/>
      <c r="NNM16" s="41"/>
      <c r="NNN16" s="41"/>
      <c r="NNO16" s="41"/>
      <c r="NNP16" s="41"/>
      <c r="NNQ16" s="41"/>
      <c r="NNR16" s="41"/>
      <c r="NNS16" s="41"/>
      <c r="NNT16" s="41"/>
      <c r="NNU16" s="41"/>
      <c r="NNV16" s="41"/>
      <c r="NNW16" s="41"/>
      <c r="NNX16" s="41"/>
      <c r="NNY16" s="41"/>
      <c r="NNZ16" s="41"/>
      <c r="NOA16" s="41"/>
      <c r="NOB16" s="41"/>
      <c r="NOC16" s="41"/>
      <c r="NOD16" s="41"/>
      <c r="NOE16" s="41"/>
      <c r="NOF16" s="41"/>
      <c r="NOG16" s="41"/>
      <c r="NOH16" s="41"/>
      <c r="NOI16" s="41"/>
      <c r="NOJ16" s="41"/>
      <c r="NOK16" s="41"/>
      <c r="NOL16" s="41"/>
      <c r="NOM16" s="41"/>
      <c r="NON16" s="41"/>
      <c r="NOO16" s="41"/>
      <c r="NOP16" s="41"/>
      <c r="NOQ16" s="41"/>
      <c r="NOR16" s="41"/>
      <c r="NOS16" s="41"/>
      <c r="NOT16" s="41"/>
      <c r="NOU16" s="41"/>
      <c r="NOV16" s="41"/>
      <c r="NOW16" s="41"/>
      <c r="NOX16" s="41"/>
      <c r="NOY16" s="41"/>
      <c r="NOZ16" s="41"/>
      <c r="NPA16" s="41"/>
      <c r="NPB16" s="41"/>
      <c r="NPC16" s="41"/>
      <c r="NPD16" s="41"/>
      <c r="NPE16" s="41"/>
      <c r="NPF16" s="41"/>
      <c r="NPG16" s="41"/>
      <c r="NPH16" s="41"/>
      <c r="NPI16" s="41"/>
      <c r="NPJ16" s="41"/>
      <c r="NPK16" s="41"/>
      <c r="NPL16" s="41"/>
      <c r="NPM16" s="41"/>
      <c r="NPN16" s="41"/>
      <c r="NPO16" s="41"/>
      <c r="NPP16" s="41"/>
      <c r="NPQ16" s="41"/>
      <c r="NPR16" s="41"/>
      <c r="NPS16" s="41"/>
      <c r="NPT16" s="41"/>
      <c r="NPU16" s="41"/>
      <c r="NPV16" s="41"/>
      <c r="NPW16" s="41"/>
      <c r="NPX16" s="41"/>
      <c r="NPY16" s="41"/>
      <c r="NPZ16" s="41"/>
      <c r="NQA16" s="41"/>
      <c r="NQB16" s="41"/>
      <c r="NQC16" s="41"/>
      <c r="NQD16" s="41"/>
      <c r="NQE16" s="41"/>
      <c r="NQF16" s="41"/>
      <c r="NQG16" s="41"/>
      <c r="NQH16" s="41"/>
      <c r="NQI16" s="41"/>
      <c r="NQJ16" s="41"/>
      <c r="NQK16" s="41"/>
      <c r="NQL16" s="41"/>
      <c r="NQM16" s="41"/>
      <c r="NQN16" s="41"/>
      <c r="NQO16" s="41"/>
      <c r="NQP16" s="41"/>
      <c r="NQQ16" s="41"/>
      <c r="NQR16" s="41"/>
      <c r="NQS16" s="41"/>
      <c r="NQT16" s="41"/>
      <c r="NQU16" s="41"/>
      <c r="NQV16" s="41"/>
      <c r="NQW16" s="41"/>
      <c r="NQX16" s="41"/>
      <c r="NQY16" s="41"/>
      <c r="NQZ16" s="41"/>
      <c r="NRA16" s="41"/>
      <c r="NRB16" s="41"/>
      <c r="NRC16" s="41"/>
      <c r="NRD16" s="41"/>
      <c r="NRE16" s="41"/>
      <c r="NRF16" s="41"/>
      <c r="NRG16" s="41"/>
      <c r="NRH16" s="41"/>
      <c r="NRI16" s="41"/>
      <c r="NRJ16" s="41"/>
      <c r="NRK16" s="41"/>
      <c r="NRL16" s="41"/>
      <c r="NRM16" s="41"/>
      <c r="NRN16" s="41"/>
      <c r="NRO16" s="41"/>
      <c r="NRP16" s="41"/>
      <c r="NRQ16" s="41"/>
      <c r="NRR16" s="41"/>
      <c r="NRS16" s="41"/>
      <c r="NRT16" s="41"/>
      <c r="NRU16" s="41"/>
      <c r="NRV16" s="41"/>
      <c r="NRW16" s="41"/>
      <c r="NRX16" s="41"/>
      <c r="NRY16" s="41"/>
      <c r="NRZ16" s="41"/>
      <c r="NSA16" s="41"/>
      <c r="NSB16" s="41"/>
      <c r="NSC16" s="41"/>
      <c r="NSD16" s="41"/>
      <c r="NSE16" s="41"/>
      <c r="NSF16" s="41"/>
      <c r="NSG16" s="41"/>
      <c r="NSH16" s="41"/>
      <c r="NSI16" s="41"/>
      <c r="NSJ16" s="41"/>
      <c r="NSK16" s="41"/>
      <c r="NSL16" s="41"/>
      <c r="NSM16" s="41"/>
      <c r="NSN16" s="41"/>
      <c r="NSO16" s="41"/>
      <c r="NSP16" s="41"/>
      <c r="NSQ16" s="41"/>
      <c r="NSR16" s="41"/>
      <c r="NSS16" s="41"/>
      <c r="NST16" s="41"/>
      <c r="NSU16" s="41"/>
      <c r="NSV16" s="41"/>
      <c r="NSW16" s="41"/>
      <c r="NSX16" s="41"/>
      <c r="NSY16" s="41"/>
      <c r="NSZ16" s="41"/>
      <c r="NTA16" s="41"/>
      <c r="NTB16" s="41"/>
      <c r="NTC16" s="41"/>
      <c r="NTD16" s="41"/>
      <c r="NTE16" s="41"/>
      <c r="NTF16" s="41"/>
      <c r="NTG16" s="41"/>
      <c r="NTH16" s="41"/>
      <c r="NTI16" s="41"/>
      <c r="NTJ16" s="41"/>
      <c r="NTK16" s="41"/>
      <c r="NTL16" s="41"/>
      <c r="NTM16" s="41"/>
      <c r="NTN16" s="41"/>
      <c r="NTO16" s="41"/>
      <c r="NTP16" s="41"/>
      <c r="NTQ16" s="41"/>
      <c r="NTR16" s="41"/>
      <c r="NTS16" s="41"/>
      <c r="NTT16" s="41"/>
      <c r="NTU16" s="41"/>
      <c r="NTV16" s="41"/>
      <c r="NTW16" s="41"/>
      <c r="NTX16" s="41"/>
      <c r="NTY16" s="41"/>
      <c r="NTZ16" s="41"/>
      <c r="NUA16" s="41"/>
      <c r="NUB16" s="41"/>
      <c r="NUC16" s="41"/>
      <c r="NUD16" s="41"/>
      <c r="NUE16" s="41"/>
      <c r="NUF16" s="41"/>
      <c r="NUG16" s="41"/>
      <c r="NUH16" s="41"/>
      <c r="NUI16" s="41"/>
      <c r="NUJ16" s="41"/>
      <c r="NUK16" s="41"/>
      <c r="NUL16" s="41"/>
      <c r="NUM16" s="41"/>
      <c r="NUN16" s="41"/>
      <c r="NUO16" s="41"/>
      <c r="NUP16" s="41"/>
      <c r="NUQ16" s="41"/>
      <c r="NUR16" s="41"/>
      <c r="NUS16" s="41"/>
      <c r="NUT16" s="41"/>
      <c r="NUU16" s="41"/>
      <c r="NUV16" s="41"/>
      <c r="NUW16" s="41"/>
      <c r="NUX16" s="41"/>
      <c r="NUY16" s="41"/>
      <c r="NUZ16" s="41"/>
      <c r="NVA16" s="41"/>
      <c r="NVB16" s="41"/>
      <c r="NVC16" s="41"/>
      <c r="NVD16" s="41"/>
      <c r="NVE16" s="41"/>
      <c r="NVF16" s="41"/>
      <c r="NVG16" s="41"/>
      <c r="NVH16" s="41"/>
      <c r="NVI16" s="41"/>
      <c r="NVJ16" s="41"/>
      <c r="NVK16" s="41"/>
      <c r="NVL16" s="41"/>
      <c r="NVM16" s="41"/>
      <c r="NVN16" s="41"/>
      <c r="NVO16" s="41"/>
      <c r="NVP16" s="41"/>
      <c r="NVQ16" s="41"/>
      <c r="NVR16" s="41"/>
      <c r="NVS16" s="41"/>
      <c r="NVT16" s="41"/>
      <c r="NVU16" s="41"/>
      <c r="NVV16" s="41"/>
      <c r="NVW16" s="41"/>
      <c r="NVX16" s="41"/>
      <c r="NVY16" s="41"/>
      <c r="NVZ16" s="41"/>
      <c r="NWA16" s="41"/>
      <c r="NWB16" s="41"/>
      <c r="NWC16" s="41"/>
      <c r="NWD16" s="41"/>
      <c r="NWE16" s="41"/>
      <c r="NWF16" s="41"/>
      <c r="NWG16" s="41"/>
      <c r="NWH16" s="41"/>
      <c r="NWI16" s="41"/>
      <c r="NWJ16" s="41"/>
      <c r="NWK16" s="41"/>
      <c r="NWL16" s="41"/>
      <c r="NWM16" s="41"/>
      <c r="NWN16" s="41"/>
      <c r="NWO16" s="41"/>
      <c r="NWP16" s="41"/>
      <c r="NWQ16" s="41"/>
      <c r="NWR16" s="41"/>
      <c r="NWS16" s="41"/>
      <c r="NWT16" s="41"/>
      <c r="NWU16" s="41"/>
      <c r="NWV16" s="41"/>
      <c r="NWW16" s="41"/>
      <c r="NWX16" s="41"/>
      <c r="NWY16" s="41"/>
      <c r="NWZ16" s="41"/>
      <c r="NXA16" s="41"/>
      <c r="NXB16" s="41"/>
      <c r="NXC16" s="41"/>
      <c r="NXD16" s="41"/>
      <c r="NXE16" s="41"/>
      <c r="NXF16" s="41"/>
      <c r="NXG16" s="41"/>
      <c r="NXH16" s="41"/>
      <c r="NXI16" s="41"/>
      <c r="NXJ16" s="41"/>
      <c r="NXK16" s="41"/>
      <c r="NXL16" s="41"/>
      <c r="NXM16" s="41"/>
      <c r="NXN16" s="41"/>
      <c r="NXO16" s="41"/>
      <c r="NXP16" s="41"/>
      <c r="NXQ16" s="41"/>
      <c r="NXR16" s="41"/>
      <c r="NXS16" s="41"/>
      <c r="NXT16" s="41"/>
      <c r="NXU16" s="41"/>
      <c r="NXV16" s="41"/>
      <c r="NXW16" s="41"/>
      <c r="NXX16" s="41"/>
      <c r="NXY16" s="41"/>
      <c r="NXZ16" s="41"/>
      <c r="NYA16" s="41"/>
      <c r="NYB16" s="41"/>
      <c r="NYC16" s="41"/>
      <c r="NYD16" s="41"/>
      <c r="NYE16" s="41"/>
      <c r="NYF16" s="41"/>
      <c r="NYG16" s="41"/>
      <c r="NYH16" s="41"/>
      <c r="NYI16" s="41"/>
      <c r="NYJ16" s="41"/>
      <c r="NYK16" s="41"/>
      <c r="NYL16" s="41"/>
      <c r="NYM16" s="41"/>
      <c r="NYN16" s="41"/>
      <c r="NYO16" s="41"/>
      <c r="NYP16" s="41"/>
      <c r="NYQ16" s="41"/>
      <c r="NYR16" s="41"/>
      <c r="NYS16" s="41"/>
      <c r="NYT16" s="41"/>
      <c r="NYU16" s="41"/>
      <c r="NYV16" s="41"/>
      <c r="NYW16" s="41"/>
      <c r="NYX16" s="41"/>
      <c r="NYY16" s="41"/>
      <c r="NYZ16" s="41"/>
      <c r="NZA16" s="41"/>
      <c r="NZB16" s="41"/>
      <c r="NZC16" s="41"/>
      <c r="NZD16" s="41"/>
      <c r="NZE16" s="41"/>
      <c r="NZF16" s="41"/>
      <c r="NZG16" s="41"/>
      <c r="NZH16" s="41"/>
      <c r="NZI16" s="41"/>
      <c r="NZJ16" s="41"/>
      <c r="NZK16" s="41"/>
      <c r="NZL16" s="41"/>
      <c r="NZM16" s="41"/>
      <c r="NZN16" s="41"/>
      <c r="NZO16" s="41"/>
      <c r="NZP16" s="41"/>
      <c r="NZQ16" s="41"/>
      <c r="NZR16" s="41"/>
      <c r="NZS16" s="41"/>
      <c r="NZT16" s="41"/>
      <c r="NZU16" s="41"/>
      <c r="NZV16" s="41"/>
      <c r="NZW16" s="41"/>
      <c r="NZX16" s="41"/>
      <c r="NZY16" s="41"/>
      <c r="NZZ16" s="41"/>
      <c r="OAA16" s="41"/>
      <c r="OAB16" s="41"/>
      <c r="OAC16" s="41"/>
      <c r="OAD16" s="41"/>
      <c r="OAE16" s="41"/>
      <c r="OAF16" s="41"/>
      <c r="OAG16" s="41"/>
      <c r="OAH16" s="41"/>
      <c r="OAI16" s="41"/>
      <c r="OAJ16" s="41"/>
      <c r="OAK16" s="41"/>
      <c r="OAL16" s="41"/>
      <c r="OAM16" s="41"/>
      <c r="OAN16" s="41"/>
      <c r="OAO16" s="41"/>
      <c r="OAP16" s="41"/>
      <c r="OAQ16" s="41"/>
      <c r="OAR16" s="41"/>
      <c r="OAS16" s="41"/>
      <c r="OAT16" s="41"/>
      <c r="OAU16" s="41"/>
      <c r="OAV16" s="41"/>
      <c r="OAW16" s="41"/>
      <c r="OAX16" s="41"/>
      <c r="OAY16" s="41"/>
      <c r="OAZ16" s="41"/>
      <c r="OBA16" s="41"/>
      <c r="OBB16" s="41"/>
      <c r="OBC16" s="41"/>
      <c r="OBD16" s="41"/>
      <c r="OBE16" s="41"/>
      <c r="OBF16" s="41"/>
      <c r="OBG16" s="41"/>
      <c r="OBH16" s="41"/>
      <c r="OBI16" s="41"/>
      <c r="OBJ16" s="41"/>
      <c r="OBK16" s="41"/>
      <c r="OBL16" s="41"/>
      <c r="OBM16" s="41"/>
      <c r="OBN16" s="41"/>
      <c r="OBO16" s="41"/>
      <c r="OBP16" s="41"/>
      <c r="OBQ16" s="41"/>
      <c r="OBR16" s="41"/>
      <c r="OBS16" s="41"/>
      <c r="OBT16" s="41"/>
      <c r="OBU16" s="41"/>
      <c r="OBV16" s="41"/>
      <c r="OBW16" s="41"/>
      <c r="OBX16" s="41"/>
      <c r="OBY16" s="41"/>
      <c r="OBZ16" s="41"/>
      <c r="OCA16" s="41"/>
      <c r="OCB16" s="41"/>
      <c r="OCC16" s="41"/>
      <c r="OCD16" s="41"/>
      <c r="OCE16" s="41"/>
      <c r="OCF16" s="41"/>
      <c r="OCG16" s="41"/>
      <c r="OCH16" s="41"/>
      <c r="OCI16" s="41"/>
      <c r="OCJ16" s="41"/>
      <c r="OCK16" s="41"/>
      <c r="OCL16" s="41"/>
      <c r="OCM16" s="41"/>
      <c r="OCN16" s="41"/>
      <c r="OCO16" s="41"/>
      <c r="OCP16" s="41"/>
      <c r="OCQ16" s="41"/>
      <c r="OCR16" s="41"/>
      <c r="OCS16" s="41"/>
      <c r="OCT16" s="41"/>
      <c r="OCU16" s="41"/>
      <c r="OCV16" s="41"/>
      <c r="OCW16" s="41"/>
      <c r="OCX16" s="41"/>
      <c r="OCY16" s="41"/>
      <c r="OCZ16" s="41"/>
      <c r="ODA16" s="41"/>
      <c r="ODB16" s="41"/>
      <c r="ODC16" s="41"/>
      <c r="ODD16" s="41"/>
      <c r="ODE16" s="41"/>
      <c r="ODF16" s="41"/>
      <c r="ODG16" s="41"/>
      <c r="ODH16" s="41"/>
      <c r="ODI16" s="41"/>
      <c r="ODJ16" s="41"/>
      <c r="ODK16" s="41"/>
      <c r="ODL16" s="41"/>
      <c r="ODM16" s="41"/>
      <c r="ODN16" s="41"/>
      <c r="ODO16" s="41"/>
      <c r="ODP16" s="41"/>
      <c r="ODQ16" s="41"/>
      <c r="ODR16" s="41"/>
      <c r="ODS16" s="41"/>
      <c r="ODT16" s="41"/>
      <c r="ODU16" s="41"/>
      <c r="ODV16" s="41"/>
      <c r="ODW16" s="41"/>
      <c r="ODX16" s="41"/>
      <c r="ODY16" s="41"/>
      <c r="ODZ16" s="41"/>
      <c r="OEA16" s="41"/>
      <c r="OEB16" s="41"/>
      <c r="OEC16" s="41"/>
      <c r="OED16" s="41"/>
      <c r="OEE16" s="41"/>
      <c r="OEF16" s="41"/>
      <c r="OEG16" s="41"/>
      <c r="OEH16" s="41"/>
      <c r="OEI16" s="41"/>
      <c r="OEJ16" s="41"/>
      <c r="OEK16" s="41"/>
      <c r="OEL16" s="41"/>
      <c r="OEM16" s="41"/>
      <c r="OEN16" s="41"/>
      <c r="OEO16" s="41"/>
      <c r="OEP16" s="41"/>
      <c r="OEQ16" s="41"/>
      <c r="OER16" s="41"/>
      <c r="OES16" s="41"/>
      <c r="OET16" s="41"/>
      <c r="OEU16" s="41"/>
      <c r="OEV16" s="41"/>
      <c r="OEW16" s="41"/>
      <c r="OEX16" s="41"/>
      <c r="OEY16" s="41"/>
      <c r="OEZ16" s="41"/>
      <c r="OFA16" s="41"/>
      <c r="OFB16" s="41"/>
      <c r="OFC16" s="41"/>
      <c r="OFD16" s="41"/>
      <c r="OFE16" s="41"/>
      <c r="OFF16" s="41"/>
      <c r="OFG16" s="41"/>
      <c r="OFH16" s="41"/>
      <c r="OFI16" s="41"/>
      <c r="OFJ16" s="41"/>
      <c r="OFK16" s="41"/>
      <c r="OFL16" s="41"/>
      <c r="OFM16" s="41"/>
      <c r="OFN16" s="41"/>
      <c r="OFO16" s="41"/>
      <c r="OFP16" s="41"/>
      <c r="OFQ16" s="41"/>
      <c r="OFR16" s="41"/>
      <c r="OFS16" s="41"/>
      <c r="OFT16" s="41"/>
      <c r="OFU16" s="41"/>
      <c r="OFV16" s="41"/>
      <c r="OFW16" s="41"/>
      <c r="OFX16" s="41"/>
      <c r="OFY16" s="41"/>
      <c r="OFZ16" s="41"/>
      <c r="OGA16" s="41"/>
      <c r="OGB16" s="41"/>
      <c r="OGC16" s="41"/>
      <c r="OGD16" s="41"/>
      <c r="OGE16" s="41"/>
      <c r="OGF16" s="41"/>
      <c r="OGG16" s="41"/>
      <c r="OGH16" s="41"/>
      <c r="OGI16" s="41"/>
      <c r="OGJ16" s="41"/>
      <c r="OGK16" s="41"/>
      <c r="OGL16" s="41"/>
      <c r="OGM16" s="41"/>
      <c r="OGN16" s="41"/>
      <c r="OGO16" s="41"/>
      <c r="OGP16" s="41"/>
      <c r="OGQ16" s="41"/>
      <c r="OGR16" s="41"/>
      <c r="OGS16" s="41"/>
      <c r="OGT16" s="41"/>
      <c r="OGU16" s="41"/>
      <c r="OGV16" s="41"/>
      <c r="OGW16" s="41"/>
      <c r="OGX16" s="41"/>
      <c r="OGY16" s="41"/>
      <c r="OGZ16" s="41"/>
      <c r="OHA16" s="41"/>
      <c r="OHB16" s="41"/>
      <c r="OHC16" s="41"/>
      <c r="OHD16" s="41"/>
      <c r="OHE16" s="41"/>
      <c r="OHF16" s="41"/>
      <c r="OHG16" s="41"/>
      <c r="OHH16" s="41"/>
      <c r="OHI16" s="41"/>
      <c r="OHJ16" s="41"/>
      <c r="OHK16" s="41"/>
      <c r="OHL16" s="41"/>
      <c r="OHM16" s="41"/>
      <c r="OHN16" s="41"/>
      <c r="OHO16" s="41"/>
      <c r="OHP16" s="41"/>
      <c r="OHQ16" s="41"/>
      <c r="OHR16" s="41"/>
      <c r="OHS16" s="41"/>
      <c r="OHT16" s="41"/>
      <c r="OHU16" s="41"/>
      <c r="OHV16" s="41"/>
      <c r="OHW16" s="41"/>
      <c r="OHX16" s="41"/>
      <c r="OHY16" s="41"/>
      <c r="OHZ16" s="41"/>
      <c r="OIA16" s="41"/>
      <c r="OIB16" s="41"/>
      <c r="OIC16" s="41"/>
      <c r="OID16" s="41"/>
      <c r="OIE16" s="41"/>
      <c r="OIF16" s="41"/>
      <c r="OIG16" s="41"/>
      <c r="OIH16" s="41"/>
      <c r="OII16" s="41"/>
      <c r="OIJ16" s="41"/>
      <c r="OIK16" s="41"/>
      <c r="OIL16" s="41"/>
      <c r="OIM16" s="41"/>
      <c r="OIN16" s="41"/>
      <c r="OIO16" s="41"/>
      <c r="OIP16" s="41"/>
      <c r="OIQ16" s="41"/>
      <c r="OIR16" s="41"/>
      <c r="OIS16" s="41"/>
      <c r="OIT16" s="41"/>
      <c r="OIU16" s="41"/>
      <c r="OIV16" s="41"/>
      <c r="OIW16" s="41"/>
      <c r="OIX16" s="41"/>
      <c r="OIY16" s="41"/>
      <c r="OIZ16" s="41"/>
      <c r="OJA16" s="41"/>
      <c r="OJB16" s="41"/>
      <c r="OJC16" s="41"/>
      <c r="OJD16" s="41"/>
      <c r="OJE16" s="41"/>
      <c r="OJF16" s="41"/>
      <c r="OJG16" s="41"/>
      <c r="OJH16" s="41"/>
      <c r="OJI16" s="41"/>
      <c r="OJJ16" s="41"/>
      <c r="OJK16" s="41"/>
      <c r="OJL16" s="41"/>
      <c r="OJM16" s="41"/>
      <c r="OJN16" s="41"/>
      <c r="OJO16" s="41"/>
      <c r="OJP16" s="41"/>
      <c r="OJQ16" s="41"/>
      <c r="OJR16" s="41"/>
      <c r="OJS16" s="41"/>
      <c r="OJT16" s="41"/>
      <c r="OJU16" s="41"/>
      <c r="OJV16" s="41"/>
      <c r="OJW16" s="41"/>
      <c r="OJX16" s="41"/>
      <c r="OJY16" s="41"/>
      <c r="OJZ16" s="41"/>
      <c r="OKA16" s="41"/>
      <c r="OKB16" s="41"/>
      <c r="OKC16" s="41"/>
      <c r="OKD16" s="41"/>
      <c r="OKE16" s="41"/>
      <c r="OKF16" s="41"/>
      <c r="OKG16" s="41"/>
      <c r="OKH16" s="41"/>
      <c r="OKI16" s="41"/>
      <c r="OKJ16" s="41"/>
      <c r="OKK16" s="41"/>
      <c r="OKL16" s="41"/>
      <c r="OKM16" s="41"/>
      <c r="OKN16" s="41"/>
      <c r="OKO16" s="41"/>
      <c r="OKP16" s="41"/>
      <c r="OKQ16" s="41"/>
      <c r="OKR16" s="41"/>
      <c r="OKS16" s="41"/>
      <c r="OKT16" s="41"/>
      <c r="OKU16" s="41"/>
      <c r="OKV16" s="41"/>
      <c r="OKW16" s="41"/>
      <c r="OKX16" s="41"/>
      <c r="OKY16" s="41"/>
      <c r="OKZ16" s="41"/>
      <c r="OLA16" s="41"/>
      <c r="OLB16" s="41"/>
      <c r="OLC16" s="41"/>
      <c r="OLD16" s="41"/>
      <c r="OLE16" s="41"/>
      <c r="OLF16" s="41"/>
      <c r="OLG16" s="41"/>
      <c r="OLH16" s="41"/>
      <c r="OLI16" s="41"/>
      <c r="OLJ16" s="41"/>
      <c r="OLK16" s="41"/>
      <c r="OLL16" s="41"/>
      <c r="OLM16" s="41"/>
      <c r="OLN16" s="41"/>
      <c r="OLO16" s="41"/>
      <c r="OLP16" s="41"/>
      <c r="OLQ16" s="41"/>
      <c r="OLR16" s="41"/>
      <c r="OLS16" s="41"/>
      <c r="OLT16" s="41"/>
      <c r="OLU16" s="41"/>
      <c r="OLV16" s="41"/>
      <c r="OLW16" s="41"/>
      <c r="OLX16" s="41"/>
      <c r="OLY16" s="41"/>
      <c r="OLZ16" s="41"/>
      <c r="OMA16" s="41"/>
      <c r="OMB16" s="41"/>
      <c r="OMC16" s="41"/>
      <c r="OMD16" s="41"/>
      <c r="OME16" s="41"/>
      <c r="OMF16" s="41"/>
      <c r="OMG16" s="41"/>
      <c r="OMH16" s="41"/>
      <c r="OMI16" s="41"/>
      <c r="OMJ16" s="41"/>
      <c r="OMK16" s="41"/>
      <c r="OML16" s="41"/>
      <c r="OMM16" s="41"/>
      <c r="OMN16" s="41"/>
      <c r="OMO16" s="41"/>
      <c r="OMP16" s="41"/>
      <c r="OMQ16" s="41"/>
      <c r="OMR16" s="41"/>
      <c r="OMS16" s="41"/>
      <c r="OMT16" s="41"/>
      <c r="OMU16" s="41"/>
      <c r="OMV16" s="41"/>
      <c r="OMW16" s="41"/>
      <c r="OMX16" s="41"/>
      <c r="OMY16" s="41"/>
      <c r="OMZ16" s="41"/>
      <c r="ONA16" s="41"/>
      <c r="ONB16" s="41"/>
      <c r="ONC16" s="41"/>
      <c r="OND16" s="41"/>
      <c r="ONE16" s="41"/>
      <c r="ONF16" s="41"/>
      <c r="ONG16" s="41"/>
      <c r="ONH16" s="41"/>
      <c r="ONI16" s="41"/>
      <c r="ONJ16" s="41"/>
      <c r="ONK16" s="41"/>
      <c r="ONL16" s="41"/>
      <c r="ONM16" s="41"/>
      <c r="ONN16" s="41"/>
      <c r="ONO16" s="41"/>
      <c r="ONP16" s="41"/>
      <c r="ONQ16" s="41"/>
      <c r="ONR16" s="41"/>
      <c r="ONS16" s="41"/>
      <c r="ONT16" s="41"/>
      <c r="ONU16" s="41"/>
      <c r="ONV16" s="41"/>
      <c r="ONW16" s="41"/>
      <c r="ONX16" s="41"/>
      <c r="ONY16" s="41"/>
      <c r="ONZ16" s="41"/>
      <c r="OOA16" s="41"/>
      <c r="OOB16" s="41"/>
      <c r="OOC16" s="41"/>
      <c r="OOD16" s="41"/>
      <c r="OOE16" s="41"/>
      <c r="OOF16" s="41"/>
      <c r="OOG16" s="41"/>
      <c r="OOH16" s="41"/>
      <c r="OOI16" s="41"/>
      <c r="OOJ16" s="41"/>
      <c r="OOK16" s="41"/>
      <c r="OOL16" s="41"/>
      <c r="OOM16" s="41"/>
      <c r="OON16" s="41"/>
      <c r="OOO16" s="41"/>
      <c r="OOP16" s="41"/>
      <c r="OOQ16" s="41"/>
      <c r="OOR16" s="41"/>
      <c r="OOS16" s="41"/>
      <c r="OOT16" s="41"/>
      <c r="OOU16" s="41"/>
      <c r="OOV16" s="41"/>
      <c r="OOW16" s="41"/>
      <c r="OOX16" s="41"/>
      <c r="OOY16" s="41"/>
      <c r="OOZ16" s="41"/>
      <c r="OPA16" s="41"/>
      <c r="OPB16" s="41"/>
      <c r="OPC16" s="41"/>
      <c r="OPD16" s="41"/>
      <c r="OPE16" s="41"/>
      <c r="OPF16" s="41"/>
      <c r="OPG16" s="41"/>
      <c r="OPH16" s="41"/>
      <c r="OPI16" s="41"/>
      <c r="OPJ16" s="41"/>
      <c r="OPK16" s="41"/>
      <c r="OPL16" s="41"/>
      <c r="OPM16" s="41"/>
      <c r="OPN16" s="41"/>
      <c r="OPO16" s="41"/>
      <c r="OPP16" s="41"/>
      <c r="OPQ16" s="41"/>
      <c r="OPR16" s="41"/>
      <c r="OPS16" s="41"/>
      <c r="OPT16" s="41"/>
      <c r="OPU16" s="41"/>
      <c r="OPV16" s="41"/>
      <c r="OPW16" s="41"/>
      <c r="OPX16" s="41"/>
      <c r="OPY16" s="41"/>
      <c r="OPZ16" s="41"/>
      <c r="OQA16" s="41"/>
      <c r="OQB16" s="41"/>
      <c r="OQC16" s="41"/>
      <c r="OQD16" s="41"/>
      <c r="OQE16" s="41"/>
      <c r="OQF16" s="41"/>
      <c r="OQG16" s="41"/>
      <c r="OQH16" s="41"/>
      <c r="OQI16" s="41"/>
      <c r="OQJ16" s="41"/>
      <c r="OQK16" s="41"/>
      <c r="OQL16" s="41"/>
      <c r="OQM16" s="41"/>
      <c r="OQN16" s="41"/>
      <c r="OQO16" s="41"/>
      <c r="OQP16" s="41"/>
      <c r="OQQ16" s="41"/>
      <c r="OQR16" s="41"/>
      <c r="OQS16" s="41"/>
      <c r="OQT16" s="41"/>
      <c r="OQU16" s="41"/>
      <c r="OQV16" s="41"/>
      <c r="OQW16" s="41"/>
      <c r="OQX16" s="41"/>
      <c r="OQY16" s="41"/>
      <c r="OQZ16" s="41"/>
      <c r="ORA16" s="41"/>
      <c r="ORB16" s="41"/>
      <c r="ORC16" s="41"/>
      <c r="ORD16" s="41"/>
      <c r="ORE16" s="41"/>
      <c r="ORF16" s="41"/>
      <c r="ORG16" s="41"/>
      <c r="ORH16" s="41"/>
      <c r="ORI16" s="41"/>
      <c r="ORJ16" s="41"/>
      <c r="ORK16" s="41"/>
      <c r="ORL16" s="41"/>
      <c r="ORM16" s="41"/>
      <c r="ORN16" s="41"/>
      <c r="ORO16" s="41"/>
      <c r="ORP16" s="41"/>
      <c r="ORQ16" s="41"/>
      <c r="ORR16" s="41"/>
      <c r="ORS16" s="41"/>
      <c r="ORT16" s="41"/>
      <c r="ORU16" s="41"/>
      <c r="ORV16" s="41"/>
      <c r="ORW16" s="41"/>
      <c r="ORX16" s="41"/>
      <c r="ORY16" s="41"/>
      <c r="ORZ16" s="41"/>
      <c r="OSA16" s="41"/>
      <c r="OSB16" s="41"/>
      <c r="OSC16" s="41"/>
      <c r="OSD16" s="41"/>
      <c r="OSE16" s="41"/>
      <c r="OSF16" s="41"/>
      <c r="OSG16" s="41"/>
      <c r="OSH16" s="41"/>
      <c r="OSI16" s="41"/>
      <c r="OSJ16" s="41"/>
      <c r="OSK16" s="41"/>
      <c r="OSL16" s="41"/>
      <c r="OSM16" s="41"/>
      <c r="OSN16" s="41"/>
      <c r="OSO16" s="41"/>
      <c r="OSP16" s="41"/>
      <c r="OSQ16" s="41"/>
      <c r="OSR16" s="41"/>
      <c r="OSS16" s="41"/>
      <c r="OST16" s="41"/>
      <c r="OSU16" s="41"/>
      <c r="OSV16" s="41"/>
      <c r="OSW16" s="41"/>
      <c r="OSX16" s="41"/>
      <c r="OSY16" s="41"/>
      <c r="OSZ16" s="41"/>
      <c r="OTA16" s="41"/>
      <c r="OTB16" s="41"/>
      <c r="OTC16" s="41"/>
      <c r="OTD16" s="41"/>
      <c r="OTE16" s="41"/>
      <c r="OTF16" s="41"/>
      <c r="OTG16" s="41"/>
      <c r="OTH16" s="41"/>
      <c r="OTI16" s="41"/>
      <c r="OTJ16" s="41"/>
      <c r="OTK16" s="41"/>
      <c r="OTL16" s="41"/>
      <c r="OTM16" s="41"/>
      <c r="OTN16" s="41"/>
      <c r="OTO16" s="41"/>
      <c r="OTP16" s="41"/>
      <c r="OTQ16" s="41"/>
      <c r="OTR16" s="41"/>
      <c r="OTS16" s="41"/>
      <c r="OTT16" s="41"/>
      <c r="OTU16" s="41"/>
      <c r="OTV16" s="41"/>
      <c r="OTW16" s="41"/>
      <c r="OTX16" s="41"/>
      <c r="OTY16" s="41"/>
      <c r="OTZ16" s="41"/>
      <c r="OUA16" s="41"/>
      <c r="OUB16" s="41"/>
      <c r="OUC16" s="41"/>
      <c r="OUD16" s="41"/>
      <c r="OUE16" s="41"/>
      <c r="OUF16" s="41"/>
      <c r="OUG16" s="41"/>
      <c r="OUH16" s="41"/>
      <c r="OUI16" s="41"/>
      <c r="OUJ16" s="41"/>
      <c r="OUK16" s="41"/>
      <c r="OUL16" s="41"/>
      <c r="OUM16" s="41"/>
      <c r="OUN16" s="41"/>
      <c r="OUO16" s="41"/>
      <c r="OUP16" s="41"/>
      <c r="OUQ16" s="41"/>
      <c r="OUR16" s="41"/>
      <c r="OUS16" s="41"/>
      <c r="OUT16" s="41"/>
      <c r="OUU16" s="41"/>
      <c r="OUV16" s="41"/>
      <c r="OUW16" s="41"/>
      <c r="OUX16" s="41"/>
      <c r="OUY16" s="41"/>
      <c r="OUZ16" s="41"/>
      <c r="OVA16" s="41"/>
      <c r="OVB16" s="41"/>
      <c r="OVC16" s="41"/>
      <c r="OVD16" s="41"/>
      <c r="OVE16" s="41"/>
      <c r="OVF16" s="41"/>
      <c r="OVG16" s="41"/>
      <c r="OVH16" s="41"/>
      <c r="OVI16" s="41"/>
      <c r="OVJ16" s="41"/>
      <c r="OVK16" s="41"/>
      <c r="OVL16" s="41"/>
      <c r="OVM16" s="41"/>
      <c r="OVN16" s="41"/>
      <c r="OVO16" s="41"/>
      <c r="OVP16" s="41"/>
      <c r="OVQ16" s="41"/>
      <c r="OVR16" s="41"/>
      <c r="OVS16" s="41"/>
      <c r="OVT16" s="41"/>
      <c r="OVU16" s="41"/>
      <c r="OVV16" s="41"/>
      <c r="OVW16" s="41"/>
      <c r="OVX16" s="41"/>
      <c r="OVY16" s="41"/>
      <c r="OVZ16" s="41"/>
      <c r="OWA16" s="41"/>
      <c r="OWB16" s="41"/>
      <c r="OWC16" s="41"/>
      <c r="OWD16" s="41"/>
      <c r="OWE16" s="41"/>
      <c r="OWF16" s="41"/>
      <c r="OWG16" s="41"/>
      <c r="OWH16" s="41"/>
      <c r="OWI16" s="41"/>
      <c r="OWJ16" s="41"/>
      <c r="OWK16" s="41"/>
      <c r="OWL16" s="41"/>
      <c r="OWM16" s="41"/>
      <c r="OWN16" s="41"/>
      <c r="OWO16" s="41"/>
      <c r="OWP16" s="41"/>
      <c r="OWQ16" s="41"/>
      <c r="OWR16" s="41"/>
      <c r="OWS16" s="41"/>
      <c r="OWT16" s="41"/>
      <c r="OWU16" s="41"/>
      <c r="OWV16" s="41"/>
      <c r="OWW16" s="41"/>
      <c r="OWX16" s="41"/>
      <c r="OWY16" s="41"/>
      <c r="OWZ16" s="41"/>
      <c r="OXA16" s="41"/>
      <c r="OXB16" s="41"/>
      <c r="OXC16" s="41"/>
      <c r="OXD16" s="41"/>
      <c r="OXE16" s="41"/>
      <c r="OXF16" s="41"/>
      <c r="OXG16" s="41"/>
      <c r="OXH16" s="41"/>
      <c r="OXI16" s="41"/>
      <c r="OXJ16" s="41"/>
      <c r="OXK16" s="41"/>
      <c r="OXL16" s="41"/>
      <c r="OXM16" s="41"/>
      <c r="OXN16" s="41"/>
      <c r="OXO16" s="41"/>
      <c r="OXP16" s="41"/>
      <c r="OXQ16" s="41"/>
      <c r="OXR16" s="41"/>
      <c r="OXS16" s="41"/>
      <c r="OXT16" s="41"/>
      <c r="OXU16" s="41"/>
      <c r="OXV16" s="41"/>
      <c r="OXW16" s="41"/>
      <c r="OXX16" s="41"/>
      <c r="OXY16" s="41"/>
      <c r="OXZ16" s="41"/>
      <c r="OYA16" s="41"/>
      <c r="OYB16" s="41"/>
      <c r="OYC16" s="41"/>
      <c r="OYD16" s="41"/>
      <c r="OYE16" s="41"/>
      <c r="OYF16" s="41"/>
      <c r="OYG16" s="41"/>
      <c r="OYH16" s="41"/>
      <c r="OYI16" s="41"/>
      <c r="OYJ16" s="41"/>
      <c r="OYK16" s="41"/>
      <c r="OYL16" s="41"/>
      <c r="OYM16" s="41"/>
      <c r="OYN16" s="41"/>
      <c r="OYO16" s="41"/>
      <c r="OYP16" s="41"/>
      <c r="OYQ16" s="41"/>
      <c r="OYR16" s="41"/>
      <c r="OYS16" s="41"/>
      <c r="OYT16" s="41"/>
      <c r="OYU16" s="41"/>
      <c r="OYV16" s="41"/>
      <c r="OYW16" s="41"/>
      <c r="OYX16" s="41"/>
      <c r="OYY16" s="41"/>
      <c r="OYZ16" s="41"/>
      <c r="OZA16" s="41"/>
      <c r="OZB16" s="41"/>
      <c r="OZC16" s="41"/>
      <c r="OZD16" s="41"/>
      <c r="OZE16" s="41"/>
      <c r="OZF16" s="41"/>
      <c r="OZG16" s="41"/>
      <c r="OZH16" s="41"/>
      <c r="OZI16" s="41"/>
      <c r="OZJ16" s="41"/>
      <c r="OZK16" s="41"/>
      <c r="OZL16" s="41"/>
      <c r="OZM16" s="41"/>
      <c r="OZN16" s="41"/>
      <c r="OZO16" s="41"/>
      <c r="OZP16" s="41"/>
      <c r="OZQ16" s="41"/>
      <c r="OZR16" s="41"/>
      <c r="OZS16" s="41"/>
      <c r="OZT16" s="41"/>
      <c r="OZU16" s="41"/>
      <c r="OZV16" s="41"/>
      <c r="OZW16" s="41"/>
      <c r="OZX16" s="41"/>
      <c r="OZY16" s="41"/>
      <c r="OZZ16" s="41"/>
      <c r="PAA16" s="41"/>
      <c r="PAB16" s="41"/>
      <c r="PAC16" s="41"/>
      <c r="PAD16" s="41"/>
      <c r="PAE16" s="41"/>
      <c r="PAF16" s="41"/>
      <c r="PAG16" s="41"/>
      <c r="PAH16" s="41"/>
      <c r="PAI16" s="41"/>
      <c r="PAJ16" s="41"/>
      <c r="PAK16" s="41"/>
      <c r="PAL16" s="41"/>
      <c r="PAM16" s="41"/>
      <c r="PAN16" s="41"/>
      <c r="PAO16" s="41"/>
      <c r="PAP16" s="41"/>
      <c r="PAQ16" s="41"/>
      <c r="PAR16" s="41"/>
      <c r="PAS16" s="41"/>
      <c r="PAT16" s="41"/>
      <c r="PAU16" s="41"/>
      <c r="PAV16" s="41"/>
      <c r="PAW16" s="41"/>
      <c r="PAX16" s="41"/>
      <c r="PAY16" s="41"/>
      <c r="PAZ16" s="41"/>
      <c r="PBA16" s="41"/>
      <c r="PBB16" s="41"/>
      <c r="PBC16" s="41"/>
      <c r="PBD16" s="41"/>
      <c r="PBE16" s="41"/>
      <c r="PBF16" s="41"/>
      <c r="PBG16" s="41"/>
      <c r="PBH16" s="41"/>
      <c r="PBI16" s="41"/>
      <c r="PBJ16" s="41"/>
      <c r="PBK16" s="41"/>
      <c r="PBL16" s="41"/>
      <c r="PBM16" s="41"/>
      <c r="PBN16" s="41"/>
      <c r="PBO16" s="41"/>
      <c r="PBP16" s="41"/>
      <c r="PBQ16" s="41"/>
      <c r="PBR16" s="41"/>
      <c r="PBS16" s="41"/>
      <c r="PBT16" s="41"/>
      <c r="PBU16" s="41"/>
      <c r="PBV16" s="41"/>
      <c r="PBW16" s="41"/>
      <c r="PBX16" s="41"/>
      <c r="PBY16" s="41"/>
      <c r="PBZ16" s="41"/>
      <c r="PCA16" s="41"/>
      <c r="PCB16" s="41"/>
      <c r="PCC16" s="41"/>
      <c r="PCD16" s="41"/>
      <c r="PCE16" s="41"/>
      <c r="PCF16" s="41"/>
      <c r="PCG16" s="41"/>
      <c r="PCH16" s="41"/>
      <c r="PCI16" s="41"/>
      <c r="PCJ16" s="41"/>
      <c r="PCK16" s="41"/>
      <c r="PCL16" s="41"/>
      <c r="PCM16" s="41"/>
      <c r="PCN16" s="41"/>
      <c r="PCO16" s="41"/>
      <c r="PCP16" s="41"/>
      <c r="PCQ16" s="41"/>
      <c r="PCR16" s="41"/>
      <c r="PCS16" s="41"/>
      <c r="PCT16" s="41"/>
      <c r="PCU16" s="41"/>
      <c r="PCV16" s="41"/>
      <c r="PCW16" s="41"/>
      <c r="PCX16" s="41"/>
      <c r="PCY16" s="41"/>
      <c r="PCZ16" s="41"/>
      <c r="PDA16" s="41"/>
      <c r="PDB16" s="41"/>
      <c r="PDC16" s="41"/>
      <c r="PDD16" s="41"/>
      <c r="PDE16" s="41"/>
      <c r="PDF16" s="41"/>
      <c r="PDG16" s="41"/>
      <c r="PDH16" s="41"/>
      <c r="PDI16" s="41"/>
      <c r="PDJ16" s="41"/>
      <c r="PDK16" s="41"/>
      <c r="PDL16" s="41"/>
      <c r="PDM16" s="41"/>
      <c r="PDN16" s="41"/>
      <c r="PDO16" s="41"/>
      <c r="PDP16" s="41"/>
      <c r="PDQ16" s="41"/>
      <c r="PDR16" s="41"/>
      <c r="PDS16" s="41"/>
      <c r="PDT16" s="41"/>
      <c r="PDU16" s="41"/>
      <c r="PDV16" s="41"/>
      <c r="PDW16" s="41"/>
      <c r="PDX16" s="41"/>
      <c r="PDY16" s="41"/>
      <c r="PDZ16" s="41"/>
      <c r="PEA16" s="41"/>
      <c r="PEB16" s="41"/>
      <c r="PEC16" s="41"/>
      <c r="PED16" s="41"/>
      <c r="PEE16" s="41"/>
      <c r="PEF16" s="41"/>
      <c r="PEG16" s="41"/>
      <c r="PEH16" s="41"/>
      <c r="PEI16" s="41"/>
      <c r="PEJ16" s="41"/>
      <c r="PEK16" s="41"/>
      <c r="PEL16" s="41"/>
      <c r="PEM16" s="41"/>
      <c r="PEN16" s="41"/>
      <c r="PEO16" s="41"/>
      <c r="PEP16" s="41"/>
      <c r="PEQ16" s="41"/>
      <c r="PER16" s="41"/>
      <c r="PES16" s="41"/>
      <c r="PET16" s="41"/>
      <c r="PEU16" s="41"/>
      <c r="PEV16" s="41"/>
      <c r="PEW16" s="41"/>
      <c r="PEX16" s="41"/>
      <c r="PEY16" s="41"/>
      <c r="PEZ16" s="41"/>
      <c r="PFA16" s="41"/>
      <c r="PFB16" s="41"/>
      <c r="PFC16" s="41"/>
      <c r="PFD16" s="41"/>
      <c r="PFE16" s="41"/>
      <c r="PFF16" s="41"/>
      <c r="PFG16" s="41"/>
      <c r="PFH16" s="41"/>
      <c r="PFI16" s="41"/>
      <c r="PFJ16" s="41"/>
      <c r="PFK16" s="41"/>
      <c r="PFL16" s="41"/>
      <c r="PFM16" s="41"/>
      <c r="PFN16" s="41"/>
      <c r="PFO16" s="41"/>
      <c r="PFP16" s="41"/>
      <c r="PFQ16" s="41"/>
      <c r="PFR16" s="41"/>
      <c r="PFS16" s="41"/>
      <c r="PFT16" s="41"/>
      <c r="PFU16" s="41"/>
      <c r="PFV16" s="41"/>
      <c r="PFW16" s="41"/>
      <c r="PFX16" s="41"/>
      <c r="PFY16" s="41"/>
      <c r="PFZ16" s="41"/>
      <c r="PGA16" s="41"/>
      <c r="PGB16" s="41"/>
      <c r="PGC16" s="41"/>
      <c r="PGD16" s="41"/>
      <c r="PGE16" s="41"/>
      <c r="PGF16" s="41"/>
      <c r="PGG16" s="41"/>
      <c r="PGH16" s="41"/>
      <c r="PGI16" s="41"/>
      <c r="PGJ16" s="41"/>
      <c r="PGK16" s="41"/>
      <c r="PGL16" s="41"/>
      <c r="PGM16" s="41"/>
      <c r="PGN16" s="41"/>
      <c r="PGO16" s="41"/>
      <c r="PGP16" s="41"/>
      <c r="PGQ16" s="41"/>
      <c r="PGR16" s="41"/>
      <c r="PGS16" s="41"/>
      <c r="PGT16" s="41"/>
      <c r="PGU16" s="41"/>
      <c r="PGV16" s="41"/>
      <c r="PGW16" s="41"/>
      <c r="PGX16" s="41"/>
      <c r="PGY16" s="41"/>
      <c r="PGZ16" s="41"/>
      <c r="PHA16" s="41"/>
      <c r="PHB16" s="41"/>
      <c r="PHC16" s="41"/>
      <c r="PHD16" s="41"/>
      <c r="PHE16" s="41"/>
      <c r="PHF16" s="41"/>
      <c r="PHG16" s="41"/>
      <c r="PHH16" s="41"/>
      <c r="PHI16" s="41"/>
      <c r="PHJ16" s="41"/>
      <c r="PHK16" s="41"/>
      <c r="PHL16" s="41"/>
      <c r="PHM16" s="41"/>
      <c r="PHN16" s="41"/>
      <c r="PHO16" s="41"/>
      <c r="PHP16" s="41"/>
      <c r="PHQ16" s="41"/>
      <c r="PHR16" s="41"/>
      <c r="PHS16" s="41"/>
      <c r="PHT16" s="41"/>
      <c r="PHU16" s="41"/>
      <c r="PHV16" s="41"/>
      <c r="PHW16" s="41"/>
      <c r="PHX16" s="41"/>
      <c r="PHY16" s="41"/>
      <c r="PHZ16" s="41"/>
      <c r="PIA16" s="41"/>
      <c r="PIB16" s="41"/>
      <c r="PIC16" s="41"/>
      <c r="PID16" s="41"/>
      <c r="PIE16" s="41"/>
      <c r="PIF16" s="41"/>
      <c r="PIG16" s="41"/>
      <c r="PIH16" s="41"/>
      <c r="PII16" s="41"/>
      <c r="PIJ16" s="41"/>
      <c r="PIK16" s="41"/>
      <c r="PIL16" s="41"/>
      <c r="PIM16" s="41"/>
      <c r="PIN16" s="41"/>
      <c r="PIO16" s="41"/>
      <c r="PIP16" s="41"/>
      <c r="PIQ16" s="41"/>
      <c r="PIR16" s="41"/>
      <c r="PIS16" s="41"/>
      <c r="PIT16" s="41"/>
      <c r="PIU16" s="41"/>
      <c r="PIV16" s="41"/>
      <c r="PIW16" s="41"/>
      <c r="PIX16" s="41"/>
      <c r="PIY16" s="41"/>
      <c r="PIZ16" s="41"/>
      <c r="PJA16" s="41"/>
      <c r="PJB16" s="41"/>
      <c r="PJC16" s="41"/>
      <c r="PJD16" s="41"/>
      <c r="PJE16" s="41"/>
      <c r="PJF16" s="41"/>
      <c r="PJG16" s="41"/>
      <c r="PJH16" s="41"/>
      <c r="PJI16" s="41"/>
      <c r="PJJ16" s="41"/>
      <c r="PJK16" s="41"/>
      <c r="PJL16" s="41"/>
      <c r="PJM16" s="41"/>
      <c r="PJN16" s="41"/>
      <c r="PJO16" s="41"/>
      <c r="PJP16" s="41"/>
      <c r="PJQ16" s="41"/>
      <c r="PJR16" s="41"/>
      <c r="PJS16" s="41"/>
      <c r="PJT16" s="41"/>
      <c r="PJU16" s="41"/>
      <c r="PJV16" s="41"/>
      <c r="PJW16" s="41"/>
      <c r="PJX16" s="41"/>
      <c r="PJY16" s="41"/>
      <c r="PJZ16" s="41"/>
      <c r="PKA16" s="41"/>
      <c r="PKB16" s="41"/>
      <c r="PKC16" s="41"/>
      <c r="PKD16" s="41"/>
      <c r="PKE16" s="41"/>
      <c r="PKF16" s="41"/>
      <c r="PKG16" s="41"/>
      <c r="PKH16" s="41"/>
      <c r="PKI16" s="41"/>
      <c r="PKJ16" s="41"/>
      <c r="PKK16" s="41"/>
      <c r="PKL16" s="41"/>
      <c r="PKM16" s="41"/>
      <c r="PKN16" s="41"/>
      <c r="PKO16" s="41"/>
      <c r="PKP16" s="41"/>
      <c r="PKQ16" s="41"/>
      <c r="PKR16" s="41"/>
      <c r="PKS16" s="41"/>
      <c r="PKT16" s="41"/>
      <c r="PKU16" s="41"/>
      <c r="PKV16" s="41"/>
      <c r="PKW16" s="41"/>
      <c r="PKX16" s="41"/>
      <c r="PKY16" s="41"/>
      <c r="PKZ16" s="41"/>
      <c r="PLA16" s="41"/>
      <c r="PLB16" s="41"/>
      <c r="PLC16" s="41"/>
      <c r="PLD16" s="41"/>
      <c r="PLE16" s="41"/>
      <c r="PLF16" s="41"/>
      <c r="PLG16" s="41"/>
      <c r="PLH16" s="41"/>
      <c r="PLI16" s="41"/>
      <c r="PLJ16" s="41"/>
      <c r="PLK16" s="41"/>
      <c r="PLL16" s="41"/>
      <c r="PLM16" s="41"/>
      <c r="PLN16" s="41"/>
      <c r="PLO16" s="41"/>
      <c r="PLP16" s="41"/>
      <c r="PLQ16" s="41"/>
      <c r="PLR16" s="41"/>
      <c r="PLS16" s="41"/>
      <c r="PLT16" s="41"/>
      <c r="PLU16" s="41"/>
      <c r="PLV16" s="41"/>
      <c r="PLW16" s="41"/>
      <c r="PLX16" s="41"/>
      <c r="PLY16" s="41"/>
      <c r="PLZ16" s="41"/>
      <c r="PMA16" s="41"/>
      <c r="PMB16" s="41"/>
      <c r="PMC16" s="41"/>
      <c r="PMD16" s="41"/>
      <c r="PME16" s="41"/>
      <c r="PMF16" s="41"/>
      <c r="PMG16" s="41"/>
      <c r="PMH16" s="41"/>
      <c r="PMI16" s="41"/>
      <c r="PMJ16" s="41"/>
      <c r="PMK16" s="41"/>
      <c r="PML16" s="41"/>
      <c r="PMM16" s="41"/>
      <c r="PMN16" s="41"/>
      <c r="PMO16" s="41"/>
      <c r="PMP16" s="41"/>
      <c r="PMQ16" s="41"/>
      <c r="PMR16" s="41"/>
      <c r="PMS16" s="41"/>
      <c r="PMT16" s="41"/>
      <c r="PMU16" s="41"/>
      <c r="PMV16" s="41"/>
      <c r="PMW16" s="41"/>
      <c r="PMX16" s="41"/>
      <c r="PMY16" s="41"/>
      <c r="PMZ16" s="41"/>
      <c r="PNA16" s="41"/>
      <c r="PNB16" s="41"/>
      <c r="PNC16" s="41"/>
      <c r="PND16" s="41"/>
      <c r="PNE16" s="41"/>
      <c r="PNF16" s="41"/>
      <c r="PNG16" s="41"/>
      <c r="PNH16" s="41"/>
      <c r="PNI16" s="41"/>
      <c r="PNJ16" s="41"/>
      <c r="PNK16" s="41"/>
      <c r="PNL16" s="41"/>
      <c r="PNM16" s="41"/>
      <c r="PNN16" s="41"/>
      <c r="PNO16" s="41"/>
      <c r="PNP16" s="41"/>
      <c r="PNQ16" s="41"/>
      <c r="PNR16" s="41"/>
      <c r="PNS16" s="41"/>
      <c r="PNT16" s="41"/>
      <c r="PNU16" s="41"/>
      <c r="PNV16" s="41"/>
      <c r="PNW16" s="41"/>
      <c r="PNX16" s="41"/>
      <c r="PNY16" s="41"/>
      <c r="PNZ16" s="41"/>
      <c r="POA16" s="41"/>
      <c r="POB16" s="41"/>
      <c r="POC16" s="41"/>
      <c r="POD16" s="41"/>
      <c r="POE16" s="41"/>
      <c r="POF16" s="41"/>
      <c r="POG16" s="41"/>
      <c r="POH16" s="41"/>
      <c r="POI16" s="41"/>
      <c r="POJ16" s="41"/>
      <c r="POK16" s="41"/>
      <c r="POL16" s="41"/>
      <c r="POM16" s="41"/>
      <c r="PON16" s="41"/>
      <c r="POO16" s="41"/>
      <c r="POP16" s="41"/>
      <c r="POQ16" s="41"/>
      <c r="POR16" s="41"/>
      <c r="POS16" s="41"/>
      <c r="POT16" s="41"/>
      <c r="POU16" s="41"/>
      <c r="POV16" s="41"/>
      <c r="POW16" s="41"/>
      <c r="POX16" s="41"/>
      <c r="POY16" s="41"/>
      <c r="POZ16" s="41"/>
      <c r="PPA16" s="41"/>
      <c r="PPB16" s="41"/>
      <c r="PPC16" s="41"/>
      <c r="PPD16" s="41"/>
      <c r="PPE16" s="41"/>
      <c r="PPF16" s="41"/>
      <c r="PPG16" s="41"/>
      <c r="PPH16" s="41"/>
      <c r="PPI16" s="41"/>
      <c r="PPJ16" s="41"/>
      <c r="PPK16" s="41"/>
      <c r="PPL16" s="41"/>
      <c r="PPM16" s="41"/>
      <c r="PPN16" s="41"/>
      <c r="PPO16" s="41"/>
      <c r="PPP16" s="41"/>
      <c r="PPQ16" s="41"/>
      <c r="PPR16" s="41"/>
      <c r="PPS16" s="41"/>
      <c r="PPT16" s="41"/>
      <c r="PPU16" s="41"/>
      <c r="PPV16" s="41"/>
      <c r="PPW16" s="41"/>
      <c r="PPX16" s="41"/>
      <c r="PPY16" s="41"/>
      <c r="PPZ16" s="41"/>
      <c r="PQA16" s="41"/>
      <c r="PQB16" s="41"/>
      <c r="PQC16" s="41"/>
      <c r="PQD16" s="41"/>
      <c r="PQE16" s="41"/>
      <c r="PQF16" s="41"/>
      <c r="PQG16" s="41"/>
      <c r="PQH16" s="41"/>
      <c r="PQI16" s="41"/>
      <c r="PQJ16" s="41"/>
      <c r="PQK16" s="41"/>
      <c r="PQL16" s="41"/>
      <c r="PQM16" s="41"/>
      <c r="PQN16" s="41"/>
      <c r="PQO16" s="41"/>
      <c r="PQP16" s="41"/>
      <c r="PQQ16" s="41"/>
      <c r="PQR16" s="41"/>
      <c r="PQS16" s="41"/>
      <c r="PQT16" s="41"/>
      <c r="PQU16" s="41"/>
      <c r="PQV16" s="41"/>
      <c r="PQW16" s="41"/>
      <c r="PQX16" s="41"/>
      <c r="PQY16" s="41"/>
      <c r="PQZ16" s="41"/>
      <c r="PRA16" s="41"/>
      <c r="PRB16" s="41"/>
      <c r="PRC16" s="41"/>
      <c r="PRD16" s="41"/>
      <c r="PRE16" s="41"/>
      <c r="PRF16" s="41"/>
      <c r="PRG16" s="41"/>
      <c r="PRH16" s="41"/>
      <c r="PRI16" s="41"/>
      <c r="PRJ16" s="41"/>
      <c r="PRK16" s="41"/>
      <c r="PRL16" s="41"/>
      <c r="PRM16" s="41"/>
      <c r="PRN16" s="41"/>
      <c r="PRO16" s="41"/>
      <c r="PRP16" s="41"/>
      <c r="PRQ16" s="41"/>
      <c r="PRR16" s="41"/>
      <c r="PRS16" s="41"/>
      <c r="PRT16" s="41"/>
      <c r="PRU16" s="41"/>
      <c r="PRV16" s="41"/>
      <c r="PRW16" s="41"/>
      <c r="PRX16" s="41"/>
      <c r="PRY16" s="41"/>
      <c r="PRZ16" s="41"/>
      <c r="PSA16" s="41"/>
      <c r="PSB16" s="41"/>
      <c r="PSC16" s="41"/>
      <c r="PSD16" s="41"/>
      <c r="PSE16" s="41"/>
      <c r="PSF16" s="41"/>
      <c r="PSG16" s="41"/>
      <c r="PSH16" s="41"/>
      <c r="PSI16" s="41"/>
      <c r="PSJ16" s="41"/>
      <c r="PSK16" s="41"/>
      <c r="PSL16" s="41"/>
      <c r="PSM16" s="41"/>
      <c r="PSN16" s="41"/>
      <c r="PSO16" s="41"/>
      <c r="PSP16" s="41"/>
      <c r="PSQ16" s="41"/>
      <c r="PSR16" s="41"/>
      <c r="PSS16" s="41"/>
      <c r="PST16" s="41"/>
      <c r="PSU16" s="41"/>
      <c r="PSV16" s="41"/>
      <c r="PSW16" s="41"/>
      <c r="PSX16" s="41"/>
      <c r="PSY16" s="41"/>
      <c r="PSZ16" s="41"/>
      <c r="PTA16" s="41"/>
      <c r="PTB16" s="41"/>
      <c r="PTC16" s="41"/>
      <c r="PTD16" s="41"/>
      <c r="PTE16" s="41"/>
      <c r="PTF16" s="41"/>
      <c r="PTG16" s="41"/>
      <c r="PTH16" s="41"/>
      <c r="PTI16" s="41"/>
      <c r="PTJ16" s="41"/>
      <c r="PTK16" s="41"/>
      <c r="PTL16" s="41"/>
      <c r="PTM16" s="41"/>
      <c r="PTN16" s="41"/>
      <c r="PTO16" s="41"/>
      <c r="PTP16" s="41"/>
      <c r="PTQ16" s="41"/>
      <c r="PTR16" s="41"/>
      <c r="PTS16" s="41"/>
      <c r="PTT16" s="41"/>
      <c r="PTU16" s="41"/>
      <c r="PTV16" s="41"/>
      <c r="PTW16" s="41"/>
      <c r="PTX16" s="41"/>
      <c r="PTY16" s="41"/>
      <c r="PTZ16" s="41"/>
      <c r="PUA16" s="41"/>
      <c r="PUB16" s="41"/>
      <c r="PUC16" s="41"/>
      <c r="PUD16" s="41"/>
      <c r="PUE16" s="41"/>
      <c r="PUF16" s="41"/>
      <c r="PUG16" s="41"/>
      <c r="PUH16" s="41"/>
      <c r="PUI16" s="41"/>
      <c r="PUJ16" s="41"/>
      <c r="PUK16" s="41"/>
      <c r="PUL16" s="41"/>
      <c r="PUM16" s="41"/>
      <c r="PUN16" s="41"/>
      <c r="PUO16" s="41"/>
      <c r="PUP16" s="41"/>
      <c r="PUQ16" s="41"/>
      <c r="PUR16" s="41"/>
      <c r="PUS16" s="41"/>
      <c r="PUT16" s="41"/>
      <c r="PUU16" s="41"/>
      <c r="PUV16" s="41"/>
      <c r="PUW16" s="41"/>
      <c r="PUX16" s="41"/>
      <c r="PUY16" s="41"/>
      <c r="PUZ16" s="41"/>
      <c r="PVA16" s="41"/>
      <c r="PVB16" s="41"/>
      <c r="PVC16" s="41"/>
      <c r="PVD16" s="41"/>
      <c r="PVE16" s="41"/>
      <c r="PVF16" s="41"/>
      <c r="PVG16" s="41"/>
      <c r="PVH16" s="41"/>
      <c r="PVI16" s="41"/>
      <c r="PVJ16" s="41"/>
      <c r="PVK16" s="41"/>
      <c r="PVL16" s="41"/>
      <c r="PVM16" s="41"/>
      <c r="PVN16" s="41"/>
      <c r="PVO16" s="41"/>
      <c r="PVP16" s="41"/>
      <c r="PVQ16" s="41"/>
      <c r="PVR16" s="41"/>
      <c r="PVS16" s="41"/>
      <c r="PVT16" s="41"/>
      <c r="PVU16" s="41"/>
      <c r="PVV16" s="41"/>
      <c r="PVW16" s="41"/>
      <c r="PVX16" s="41"/>
      <c r="PVY16" s="41"/>
      <c r="PVZ16" s="41"/>
      <c r="PWA16" s="41"/>
      <c r="PWB16" s="41"/>
      <c r="PWC16" s="41"/>
      <c r="PWD16" s="41"/>
      <c r="PWE16" s="41"/>
      <c r="PWF16" s="41"/>
      <c r="PWG16" s="41"/>
      <c r="PWH16" s="41"/>
      <c r="PWI16" s="41"/>
      <c r="PWJ16" s="41"/>
      <c r="PWK16" s="41"/>
      <c r="PWL16" s="41"/>
      <c r="PWM16" s="41"/>
      <c r="PWN16" s="41"/>
      <c r="PWO16" s="41"/>
      <c r="PWP16" s="41"/>
      <c r="PWQ16" s="41"/>
      <c r="PWR16" s="41"/>
      <c r="PWS16" s="41"/>
      <c r="PWT16" s="41"/>
      <c r="PWU16" s="41"/>
      <c r="PWV16" s="41"/>
      <c r="PWW16" s="41"/>
      <c r="PWX16" s="41"/>
      <c r="PWY16" s="41"/>
      <c r="PWZ16" s="41"/>
      <c r="PXA16" s="41"/>
      <c r="PXB16" s="41"/>
      <c r="PXC16" s="41"/>
      <c r="PXD16" s="41"/>
      <c r="PXE16" s="41"/>
      <c r="PXF16" s="41"/>
      <c r="PXG16" s="41"/>
      <c r="PXH16" s="41"/>
      <c r="PXI16" s="41"/>
      <c r="PXJ16" s="41"/>
      <c r="PXK16" s="41"/>
      <c r="PXL16" s="41"/>
      <c r="PXM16" s="41"/>
      <c r="PXN16" s="41"/>
      <c r="PXO16" s="41"/>
      <c r="PXP16" s="41"/>
      <c r="PXQ16" s="41"/>
      <c r="PXR16" s="41"/>
      <c r="PXS16" s="41"/>
      <c r="PXT16" s="41"/>
      <c r="PXU16" s="41"/>
      <c r="PXV16" s="41"/>
      <c r="PXW16" s="41"/>
      <c r="PXX16" s="41"/>
      <c r="PXY16" s="41"/>
      <c r="PXZ16" s="41"/>
      <c r="PYA16" s="41"/>
      <c r="PYB16" s="41"/>
      <c r="PYC16" s="41"/>
      <c r="PYD16" s="41"/>
      <c r="PYE16" s="41"/>
      <c r="PYF16" s="41"/>
      <c r="PYG16" s="41"/>
      <c r="PYH16" s="41"/>
      <c r="PYI16" s="41"/>
      <c r="PYJ16" s="41"/>
      <c r="PYK16" s="41"/>
      <c r="PYL16" s="41"/>
      <c r="PYM16" s="41"/>
      <c r="PYN16" s="41"/>
      <c r="PYO16" s="41"/>
      <c r="PYP16" s="41"/>
      <c r="PYQ16" s="41"/>
      <c r="PYR16" s="41"/>
      <c r="PYS16" s="41"/>
      <c r="PYT16" s="41"/>
      <c r="PYU16" s="41"/>
      <c r="PYV16" s="41"/>
      <c r="PYW16" s="41"/>
      <c r="PYX16" s="41"/>
      <c r="PYY16" s="41"/>
      <c r="PYZ16" s="41"/>
      <c r="PZA16" s="41"/>
      <c r="PZB16" s="41"/>
      <c r="PZC16" s="41"/>
      <c r="PZD16" s="41"/>
      <c r="PZE16" s="41"/>
      <c r="PZF16" s="41"/>
      <c r="PZG16" s="41"/>
      <c r="PZH16" s="41"/>
      <c r="PZI16" s="41"/>
      <c r="PZJ16" s="41"/>
      <c r="PZK16" s="41"/>
      <c r="PZL16" s="41"/>
      <c r="PZM16" s="41"/>
      <c r="PZN16" s="41"/>
      <c r="PZO16" s="41"/>
      <c r="PZP16" s="41"/>
      <c r="PZQ16" s="41"/>
      <c r="PZR16" s="41"/>
      <c r="PZS16" s="41"/>
      <c r="PZT16" s="41"/>
      <c r="PZU16" s="41"/>
      <c r="PZV16" s="41"/>
      <c r="PZW16" s="41"/>
      <c r="PZX16" s="41"/>
      <c r="PZY16" s="41"/>
      <c r="PZZ16" s="41"/>
      <c r="QAA16" s="41"/>
      <c r="QAB16" s="41"/>
      <c r="QAC16" s="41"/>
      <c r="QAD16" s="41"/>
      <c r="QAE16" s="41"/>
      <c r="QAF16" s="41"/>
      <c r="QAG16" s="41"/>
      <c r="QAH16" s="41"/>
      <c r="QAI16" s="41"/>
      <c r="QAJ16" s="41"/>
      <c r="QAK16" s="41"/>
      <c r="QAL16" s="41"/>
      <c r="QAM16" s="41"/>
      <c r="QAN16" s="41"/>
      <c r="QAO16" s="41"/>
      <c r="QAP16" s="41"/>
      <c r="QAQ16" s="41"/>
      <c r="QAR16" s="41"/>
      <c r="QAS16" s="41"/>
      <c r="QAT16" s="41"/>
      <c r="QAU16" s="41"/>
      <c r="QAV16" s="41"/>
      <c r="QAW16" s="41"/>
      <c r="QAX16" s="41"/>
      <c r="QAY16" s="41"/>
      <c r="QAZ16" s="41"/>
      <c r="QBA16" s="41"/>
      <c r="QBB16" s="41"/>
      <c r="QBC16" s="41"/>
      <c r="QBD16" s="41"/>
      <c r="QBE16" s="41"/>
      <c r="QBF16" s="41"/>
      <c r="QBG16" s="41"/>
      <c r="QBH16" s="41"/>
      <c r="QBI16" s="41"/>
      <c r="QBJ16" s="41"/>
      <c r="QBK16" s="41"/>
      <c r="QBL16" s="41"/>
      <c r="QBM16" s="41"/>
      <c r="QBN16" s="41"/>
      <c r="QBO16" s="41"/>
      <c r="QBP16" s="41"/>
      <c r="QBQ16" s="41"/>
      <c r="QBR16" s="41"/>
      <c r="QBS16" s="41"/>
      <c r="QBT16" s="41"/>
      <c r="QBU16" s="41"/>
      <c r="QBV16" s="41"/>
      <c r="QBW16" s="41"/>
      <c r="QBX16" s="41"/>
      <c r="QBY16" s="41"/>
      <c r="QBZ16" s="41"/>
      <c r="QCA16" s="41"/>
      <c r="QCB16" s="41"/>
      <c r="QCC16" s="41"/>
      <c r="QCD16" s="41"/>
      <c r="QCE16" s="41"/>
      <c r="QCF16" s="41"/>
      <c r="QCG16" s="41"/>
      <c r="QCH16" s="41"/>
      <c r="QCI16" s="41"/>
      <c r="QCJ16" s="41"/>
      <c r="QCK16" s="41"/>
      <c r="QCL16" s="41"/>
      <c r="QCM16" s="41"/>
      <c r="QCN16" s="41"/>
      <c r="QCO16" s="41"/>
      <c r="QCP16" s="41"/>
      <c r="QCQ16" s="41"/>
      <c r="QCR16" s="41"/>
      <c r="QCS16" s="41"/>
      <c r="QCT16" s="41"/>
      <c r="QCU16" s="41"/>
      <c r="QCV16" s="41"/>
      <c r="QCW16" s="41"/>
      <c r="QCX16" s="41"/>
      <c r="QCY16" s="41"/>
      <c r="QCZ16" s="41"/>
      <c r="QDA16" s="41"/>
      <c r="QDB16" s="41"/>
      <c r="QDC16" s="41"/>
      <c r="QDD16" s="41"/>
      <c r="QDE16" s="41"/>
      <c r="QDF16" s="41"/>
      <c r="QDG16" s="41"/>
      <c r="QDH16" s="41"/>
      <c r="QDI16" s="41"/>
      <c r="QDJ16" s="41"/>
      <c r="QDK16" s="41"/>
      <c r="QDL16" s="41"/>
      <c r="QDM16" s="41"/>
      <c r="QDN16" s="41"/>
      <c r="QDO16" s="41"/>
      <c r="QDP16" s="41"/>
      <c r="QDQ16" s="41"/>
      <c r="QDR16" s="41"/>
      <c r="QDS16" s="41"/>
      <c r="QDT16" s="41"/>
      <c r="QDU16" s="41"/>
      <c r="QDV16" s="41"/>
      <c r="QDW16" s="41"/>
      <c r="QDX16" s="41"/>
      <c r="QDY16" s="41"/>
      <c r="QDZ16" s="41"/>
      <c r="QEA16" s="41"/>
      <c r="QEB16" s="41"/>
      <c r="QEC16" s="41"/>
      <c r="QED16" s="41"/>
      <c r="QEE16" s="41"/>
      <c r="QEF16" s="41"/>
      <c r="QEG16" s="41"/>
      <c r="QEH16" s="41"/>
      <c r="QEI16" s="41"/>
      <c r="QEJ16" s="41"/>
      <c r="QEK16" s="41"/>
      <c r="QEL16" s="41"/>
      <c r="QEM16" s="41"/>
      <c r="QEN16" s="41"/>
      <c r="QEO16" s="41"/>
      <c r="QEP16" s="41"/>
      <c r="QEQ16" s="41"/>
      <c r="QER16" s="41"/>
      <c r="QES16" s="41"/>
      <c r="QET16" s="41"/>
      <c r="QEU16" s="41"/>
      <c r="QEV16" s="41"/>
      <c r="QEW16" s="41"/>
      <c r="QEX16" s="41"/>
      <c r="QEY16" s="41"/>
      <c r="QEZ16" s="41"/>
      <c r="QFA16" s="41"/>
      <c r="QFB16" s="41"/>
      <c r="QFC16" s="41"/>
      <c r="QFD16" s="41"/>
      <c r="QFE16" s="41"/>
      <c r="QFF16" s="41"/>
      <c r="QFG16" s="41"/>
      <c r="QFH16" s="41"/>
      <c r="QFI16" s="41"/>
      <c r="QFJ16" s="41"/>
      <c r="QFK16" s="41"/>
      <c r="QFL16" s="41"/>
      <c r="QFM16" s="41"/>
      <c r="QFN16" s="41"/>
      <c r="QFO16" s="41"/>
      <c r="QFP16" s="41"/>
      <c r="QFQ16" s="41"/>
      <c r="QFR16" s="41"/>
      <c r="QFS16" s="41"/>
      <c r="QFT16" s="41"/>
      <c r="QFU16" s="41"/>
      <c r="QFV16" s="41"/>
      <c r="QFW16" s="41"/>
      <c r="QFX16" s="41"/>
      <c r="QFY16" s="41"/>
      <c r="QFZ16" s="41"/>
      <c r="QGA16" s="41"/>
      <c r="QGB16" s="41"/>
      <c r="QGC16" s="41"/>
      <c r="QGD16" s="41"/>
      <c r="QGE16" s="41"/>
      <c r="QGF16" s="41"/>
      <c r="QGG16" s="41"/>
      <c r="QGH16" s="41"/>
      <c r="QGI16" s="41"/>
      <c r="QGJ16" s="41"/>
      <c r="QGK16" s="41"/>
      <c r="QGL16" s="41"/>
      <c r="QGM16" s="41"/>
      <c r="QGN16" s="41"/>
      <c r="QGO16" s="41"/>
      <c r="QGP16" s="41"/>
      <c r="QGQ16" s="41"/>
      <c r="QGR16" s="41"/>
      <c r="QGS16" s="41"/>
      <c r="QGT16" s="41"/>
      <c r="QGU16" s="41"/>
      <c r="QGV16" s="41"/>
      <c r="QGW16" s="41"/>
      <c r="QGX16" s="41"/>
      <c r="QGY16" s="41"/>
      <c r="QGZ16" s="41"/>
      <c r="QHA16" s="41"/>
      <c r="QHB16" s="41"/>
      <c r="QHC16" s="41"/>
      <c r="QHD16" s="41"/>
      <c r="QHE16" s="41"/>
      <c r="QHF16" s="41"/>
      <c r="QHG16" s="41"/>
      <c r="QHH16" s="41"/>
      <c r="QHI16" s="41"/>
      <c r="QHJ16" s="41"/>
      <c r="QHK16" s="41"/>
      <c r="QHL16" s="41"/>
      <c r="QHM16" s="41"/>
      <c r="QHN16" s="41"/>
      <c r="QHO16" s="41"/>
      <c r="QHP16" s="41"/>
      <c r="QHQ16" s="41"/>
      <c r="QHR16" s="41"/>
      <c r="QHS16" s="41"/>
      <c r="QHT16" s="41"/>
      <c r="QHU16" s="41"/>
      <c r="QHV16" s="41"/>
      <c r="QHW16" s="41"/>
      <c r="QHX16" s="41"/>
      <c r="QHY16" s="41"/>
      <c r="QHZ16" s="41"/>
      <c r="QIA16" s="41"/>
      <c r="QIB16" s="41"/>
      <c r="QIC16" s="41"/>
      <c r="QID16" s="41"/>
      <c r="QIE16" s="41"/>
      <c r="QIF16" s="41"/>
      <c r="QIG16" s="41"/>
      <c r="QIH16" s="41"/>
      <c r="QII16" s="41"/>
      <c r="QIJ16" s="41"/>
      <c r="QIK16" s="41"/>
      <c r="QIL16" s="41"/>
      <c r="QIM16" s="41"/>
      <c r="QIN16" s="41"/>
      <c r="QIO16" s="41"/>
      <c r="QIP16" s="41"/>
      <c r="QIQ16" s="41"/>
      <c r="QIR16" s="41"/>
      <c r="QIS16" s="41"/>
      <c r="QIT16" s="41"/>
      <c r="QIU16" s="41"/>
      <c r="QIV16" s="41"/>
      <c r="QIW16" s="41"/>
      <c r="QIX16" s="41"/>
      <c r="QIY16" s="41"/>
      <c r="QIZ16" s="41"/>
      <c r="QJA16" s="41"/>
      <c r="QJB16" s="41"/>
      <c r="QJC16" s="41"/>
      <c r="QJD16" s="41"/>
      <c r="QJE16" s="41"/>
      <c r="QJF16" s="41"/>
      <c r="QJG16" s="41"/>
      <c r="QJH16" s="41"/>
      <c r="QJI16" s="41"/>
      <c r="QJJ16" s="41"/>
      <c r="QJK16" s="41"/>
      <c r="QJL16" s="41"/>
      <c r="QJM16" s="41"/>
      <c r="QJN16" s="41"/>
      <c r="QJO16" s="41"/>
      <c r="QJP16" s="41"/>
      <c r="QJQ16" s="41"/>
      <c r="QJR16" s="41"/>
      <c r="QJS16" s="41"/>
      <c r="QJT16" s="41"/>
      <c r="QJU16" s="41"/>
      <c r="QJV16" s="41"/>
      <c r="QJW16" s="41"/>
      <c r="QJX16" s="41"/>
      <c r="QJY16" s="41"/>
      <c r="QJZ16" s="41"/>
      <c r="QKA16" s="41"/>
      <c r="QKB16" s="41"/>
      <c r="QKC16" s="41"/>
      <c r="QKD16" s="41"/>
      <c r="QKE16" s="41"/>
      <c r="QKF16" s="41"/>
      <c r="QKG16" s="41"/>
      <c r="QKH16" s="41"/>
      <c r="QKI16" s="41"/>
      <c r="QKJ16" s="41"/>
      <c r="QKK16" s="41"/>
      <c r="QKL16" s="41"/>
      <c r="QKM16" s="41"/>
      <c r="QKN16" s="41"/>
      <c r="QKO16" s="41"/>
      <c r="QKP16" s="41"/>
      <c r="QKQ16" s="41"/>
      <c r="QKR16" s="41"/>
      <c r="QKS16" s="41"/>
      <c r="QKT16" s="41"/>
      <c r="QKU16" s="41"/>
      <c r="QKV16" s="41"/>
      <c r="QKW16" s="41"/>
      <c r="QKX16" s="41"/>
      <c r="QKY16" s="41"/>
      <c r="QKZ16" s="41"/>
      <c r="QLA16" s="41"/>
      <c r="QLB16" s="41"/>
      <c r="QLC16" s="41"/>
      <c r="QLD16" s="41"/>
      <c r="QLE16" s="41"/>
      <c r="QLF16" s="41"/>
      <c r="QLG16" s="41"/>
      <c r="QLH16" s="41"/>
      <c r="QLI16" s="41"/>
      <c r="QLJ16" s="41"/>
      <c r="QLK16" s="41"/>
      <c r="QLL16" s="41"/>
      <c r="QLM16" s="41"/>
      <c r="QLN16" s="41"/>
      <c r="QLO16" s="41"/>
      <c r="QLP16" s="41"/>
      <c r="QLQ16" s="41"/>
      <c r="QLR16" s="41"/>
      <c r="QLS16" s="41"/>
      <c r="QLT16" s="41"/>
      <c r="QLU16" s="41"/>
      <c r="QLV16" s="41"/>
      <c r="QLW16" s="41"/>
      <c r="QLX16" s="41"/>
      <c r="QLY16" s="41"/>
      <c r="QLZ16" s="41"/>
      <c r="QMA16" s="41"/>
      <c r="QMB16" s="41"/>
      <c r="QMC16" s="41"/>
      <c r="QMD16" s="41"/>
      <c r="QME16" s="41"/>
      <c r="QMF16" s="41"/>
      <c r="QMG16" s="41"/>
      <c r="QMH16" s="41"/>
      <c r="QMI16" s="41"/>
      <c r="QMJ16" s="41"/>
      <c r="QMK16" s="41"/>
      <c r="QML16" s="41"/>
      <c r="QMM16" s="41"/>
      <c r="QMN16" s="41"/>
      <c r="QMO16" s="41"/>
      <c r="QMP16" s="41"/>
      <c r="QMQ16" s="41"/>
      <c r="QMR16" s="41"/>
      <c r="QMS16" s="41"/>
      <c r="QMT16" s="41"/>
      <c r="QMU16" s="41"/>
      <c r="QMV16" s="41"/>
      <c r="QMW16" s="41"/>
      <c r="QMX16" s="41"/>
      <c r="QMY16" s="41"/>
      <c r="QMZ16" s="41"/>
      <c r="QNA16" s="41"/>
      <c r="QNB16" s="41"/>
      <c r="QNC16" s="41"/>
      <c r="QND16" s="41"/>
      <c r="QNE16" s="41"/>
      <c r="QNF16" s="41"/>
      <c r="QNG16" s="41"/>
      <c r="QNH16" s="41"/>
      <c r="QNI16" s="41"/>
      <c r="QNJ16" s="41"/>
      <c r="QNK16" s="41"/>
      <c r="QNL16" s="41"/>
      <c r="QNM16" s="41"/>
      <c r="QNN16" s="41"/>
      <c r="QNO16" s="41"/>
      <c r="QNP16" s="41"/>
      <c r="QNQ16" s="41"/>
      <c r="QNR16" s="41"/>
      <c r="QNS16" s="41"/>
      <c r="QNT16" s="41"/>
      <c r="QNU16" s="41"/>
      <c r="QNV16" s="41"/>
      <c r="QNW16" s="41"/>
      <c r="QNX16" s="41"/>
      <c r="QNY16" s="41"/>
      <c r="QNZ16" s="41"/>
      <c r="QOA16" s="41"/>
      <c r="QOB16" s="41"/>
      <c r="QOC16" s="41"/>
      <c r="QOD16" s="41"/>
      <c r="QOE16" s="41"/>
      <c r="QOF16" s="41"/>
      <c r="QOG16" s="41"/>
      <c r="QOH16" s="41"/>
      <c r="QOI16" s="41"/>
      <c r="QOJ16" s="41"/>
      <c r="QOK16" s="41"/>
      <c r="QOL16" s="41"/>
      <c r="QOM16" s="41"/>
      <c r="QON16" s="41"/>
      <c r="QOO16" s="41"/>
      <c r="QOP16" s="41"/>
      <c r="QOQ16" s="41"/>
      <c r="QOR16" s="41"/>
      <c r="QOS16" s="41"/>
      <c r="QOT16" s="41"/>
      <c r="QOU16" s="41"/>
      <c r="QOV16" s="41"/>
      <c r="QOW16" s="41"/>
      <c r="QOX16" s="41"/>
      <c r="QOY16" s="41"/>
      <c r="QOZ16" s="41"/>
      <c r="QPA16" s="41"/>
      <c r="QPB16" s="41"/>
      <c r="QPC16" s="41"/>
      <c r="QPD16" s="41"/>
      <c r="QPE16" s="41"/>
      <c r="QPF16" s="41"/>
      <c r="QPG16" s="41"/>
      <c r="QPH16" s="41"/>
      <c r="QPI16" s="41"/>
      <c r="QPJ16" s="41"/>
      <c r="QPK16" s="41"/>
      <c r="QPL16" s="41"/>
      <c r="QPM16" s="41"/>
      <c r="QPN16" s="41"/>
      <c r="QPO16" s="41"/>
      <c r="QPP16" s="41"/>
      <c r="QPQ16" s="41"/>
      <c r="QPR16" s="41"/>
      <c r="QPS16" s="41"/>
      <c r="QPT16" s="41"/>
      <c r="QPU16" s="41"/>
      <c r="QPV16" s="41"/>
      <c r="QPW16" s="41"/>
      <c r="QPX16" s="41"/>
      <c r="QPY16" s="41"/>
      <c r="QPZ16" s="41"/>
      <c r="QQA16" s="41"/>
      <c r="QQB16" s="41"/>
      <c r="QQC16" s="41"/>
      <c r="QQD16" s="41"/>
      <c r="QQE16" s="41"/>
      <c r="QQF16" s="41"/>
      <c r="QQG16" s="41"/>
      <c r="QQH16" s="41"/>
      <c r="QQI16" s="41"/>
      <c r="QQJ16" s="41"/>
      <c r="QQK16" s="41"/>
      <c r="QQL16" s="41"/>
      <c r="QQM16" s="41"/>
      <c r="QQN16" s="41"/>
      <c r="QQO16" s="41"/>
      <c r="QQP16" s="41"/>
      <c r="QQQ16" s="41"/>
      <c r="QQR16" s="41"/>
      <c r="QQS16" s="41"/>
      <c r="QQT16" s="41"/>
      <c r="QQU16" s="41"/>
      <c r="QQV16" s="41"/>
      <c r="QQW16" s="41"/>
      <c r="QQX16" s="41"/>
      <c r="QQY16" s="41"/>
      <c r="QQZ16" s="41"/>
      <c r="QRA16" s="41"/>
      <c r="QRB16" s="41"/>
      <c r="QRC16" s="41"/>
      <c r="QRD16" s="41"/>
      <c r="QRE16" s="41"/>
      <c r="QRF16" s="41"/>
      <c r="QRG16" s="41"/>
      <c r="QRH16" s="41"/>
      <c r="QRI16" s="41"/>
      <c r="QRJ16" s="41"/>
      <c r="QRK16" s="41"/>
      <c r="QRL16" s="41"/>
      <c r="QRM16" s="41"/>
      <c r="QRN16" s="41"/>
      <c r="QRO16" s="41"/>
      <c r="QRP16" s="41"/>
      <c r="QRQ16" s="41"/>
      <c r="QRR16" s="41"/>
      <c r="QRS16" s="41"/>
      <c r="QRT16" s="41"/>
      <c r="QRU16" s="41"/>
      <c r="QRV16" s="41"/>
      <c r="QRW16" s="41"/>
      <c r="QRX16" s="41"/>
      <c r="QRY16" s="41"/>
      <c r="QRZ16" s="41"/>
      <c r="QSA16" s="41"/>
      <c r="QSB16" s="41"/>
      <c r="QSC16" s="41"/>
      <c r="QSD16" s="41"/>
      <c r="QSE16" s="41"/>
      <c r="QSF16" s="41"/>
      <c r="QSG16" s="41"/>
      <c r="QSH16" s="41"/>
      <c r="QSI16" s="41"/>
      <c r="QSJ16" s="41"/>
      <c r="QSK16" s="41"/>
      <c r="QSL16" s="41"/>
      <c r="QSM16" s="41"/>
      <c r="QSN16" s="41"/>
      <c r="QSO16" s="41"/>
      <c r="QSP16" s="41"/>
      <c r="QSQ16" s="41"/>
      <c r="QSR16" s="41"/>
      <c r="QSS16" s="41"/>
      <c r="QST16" s="41"/>
      <c r="QSU16" s="41"/>
      <c r="QSV16" s="41"/>
      <c r="QSW16" s="41"/>
      <c r="QSX16" s="41"/>
      <c r="QSY16" s="41"/>
      <c r="QSZ16" s="41"/>
      <c r="QTA16" s="41"/>
      <c r="QTB16" s="41"/>
      <c r="QTC16" s="41"/>
      <c r="QTD16" s="41"/>
      <c r="QTE16" s="41"/>
      <c r="QTF16" s="41"/>
      <c r="QTG16" s="41"/>
      <c r="QTH16" s="41"/>
      <c r="QTI16" s="41"/>
      <c r="QTJ16" s="41"/>
      <c r="QTK16" s="41"/>
      <c r="QTL16" s="41"/>
      <c r="QTM16" s="41"/>
      <c r="QTN16" s="41"/>
      <c r="QTO16" s="41"/>
      <c r="QTP16" s="41"/>
      <c r="QTQ16" s="41"/>
      <c r="QTR16" s="41"/>
      <c r="QTS16" s="41"/>
      <c r="QTT16" s="41"/>
      <c r="QTU16" s="41"/>
      <c r="QTV16" s="41"/>
      <c r="QTW16" s="41"/>
      <c r="QTX16" s="41"/>
      <c r="QTY16" s="41"/>
      <c r="QTZ16" s="41"/>
      <c r="QUA16" s="41"/>
      <c r="QUB16" s="41"/>
      <c r="QUC16" s="41"/>
      <c r="QUD16" s="41"/>
      <c r="QUE16" s="41"/>
      <c r="QUF16" s="41"/>
      <c r="QUG16" s="41"/>
      <c r="QUH16" s="41"/>
      <c r="QUI16" s="41"/>
      <c r="QUJ16" s="41"/>
      <c r="QUK16" s="41"/>
      <c r="QUL16" s="41"/>
      <c r="QUM16" s="41"/>
      <c r="QUN16" s="41"/>
      <c r="QUO16" s="41"/>
      <c r="QUP16" s="41"/>
      <c r="QUQ16" s="41"/>
      <c r="QUR16" s="41"/>
      <c r="QUS16" s="41"/>
      <c r="QUT16" s="41"/>
      <c r="QUU16" s="41"/>
      <c r="QUV16" s="41"/>
      <c r="QUW16" s="41"/>
      <c r="QUX16" s="41"/>
      <c r="QUY16" s="41"/>
      <c r="QUZ16" s="41"/>
      <c r="QVA16" s="41"/>
      <c r="QVB16" s="41"/>
      <c r="QVC16" s="41"/>
      <c r="QVD16" s="41"/>
      <c r="QVE16" s="41"/>
      <c r="QVF16" s="41"/>
      <c r="QVG16" s="41"/>
      <c r="QVH16" s="41"/>
      <c r="QVI16" s="41"/>
      <c r="QVJ16" s="41"/>
      <c r="QVK16" s="41"/>
      <c r="QVL16" s="41"/>
      <c r="QVM16" s="41"/>
      <c r="QVN16" s="41"/>
      <c r="QVO16" s="41"/>
      <c r="QVP16" s="41"/>
      <c r="QVQ16" s="41"/>
      <c r="QVR16" s="41"/>
      <c r="QVS16" s="41"/>
      <c r="QVT16" s="41"/>
      <c r="QVU16" s="41"/>
      <c r="QVV16" s="41"/>
      <c r="QVW16" s="41"/>
      <c r="QVX16" s="41"/>
      <c r="QVY16" s="41"/>
      <c r="QVZ16" s="41"/>
      <c r="QWA16" s="41"/>
      <c r="QWB16" s="41"/>
      <c r="QWC16" s="41"/>
      <c r="QWD16" s="41"/>
      <c r="QWE16" s="41"/>
      <c r="QWF16" s="41"/>
      <c r="QWG16" s="41"/>
      <c r="QWH16" s="41"/>
      <c r="QWI16" s="41"/>
      <c r="QWJ16" s="41"/>
      <c r="QWK16" s="41"/>
      <c r="QWL16" s="41"/>
      <c r="QWM16" s="41"/>
      <c r="QWN16" s="41"/>
      <c r="QWO16" s="41"/>
      <c r="QWP16" s="41"/>
      <c r="QWQ16" s="41"/>
      <c r="QWR16" s="41"/>
      <c r="QWS16" s="41"/>
      <c r="QWT16" s="41"/>
      <c r="QWU16" s="41"/>
      <c r="QWV16" s="41"/>
      <c r="QWW16" s="41"/>
      <c r="QWX16" s="41"/>
      <c r="QWY16" s="41"/>
      <c r="QWZ16" s="41"/>
      <c r="QXA16" s="41"/>
      <c r="QXB16" s="41"/>
      <c r="QXC16" s="41"/>
      <c r="QXD16" s="41"/>
      <c r="QXE16" s="41"/>
      <c r="QXF16" s="41"/>
      <c r="QXG16" s="41"/>
      <c r="QXH16" s="41"/>
      <c r="QXI16" s="41"/>
      <c r="QXJ16" s="41"/>
      <c r="QXK16" s="41"/>
      <c r="QXL16" s="41"/>
      <c r="QXM16" s="41"/>
      <c r="QXN16" s="41"/>
      <c r="QXO16" s="41"/>
      <c r="QXP16" s="41"/>
      <c r="QXQ16" s="41"/>
      <c r="QXR16" s="41"/>
      <c r="QXS16" s="41"/>
      <c r="QXT16" s="41"/>
      <c r="QXU16" s="41"/>
      <c r="QXV16" s="41"/>
      <c r="QXW16" s="41"/>
      <c r="QXX16" s="41"/>
      <c r="QXY16" s="41"/>
      <c r="QXZ16" s="41"/>
      <c r="QYA16" s="41"/>
      <c r="QYB16" s="41"/>
      <c r="QYC16" s="41"/>
      <c r="QYD16" s="41"/>
      <c r="QYE16" s="41"/>
      <c r="QYF16" s="41"/>
      <c r="QYG16" s="41"/>
      <c r="QYH16" s="41"/>
      <c r="QYI16" s="41"/>
      <c r="QYJ16" s="41"/>
      <c r="QYK16" s="41"/>
      <c r="QYL16" s="41"/>
      <c r="QYM16" s="41"/>
      <c r="QYN16" s="41"/>
      <c r="QYO16" s="41"/>
      <c r="QYP16" s="41"/>
      <c r="QYQ16" s="41"/>
      <c r="QYR16" s="41"/>
      <c r="QYS16" s="41"/>
      <c r="QYT16" s="41"/>
      <c r="QYU16" s="41"/>
      <c r="QYV16" s="41"/>
      <c r="QYW16" s="41"/>
      <c r="QYX16" s="41"/>
      <c r="QYY16" s="41"/>
      <c r="QYZ16" s="41"/>
      <c r="QZA16" s="41"/>
      <c r="QZB16" s="41"/>
      <c r="QZC16" s="41"/>
      <c r="QZD16" s="41"/>
      <c r="QZE16" s="41"/>
      <c r="QZF16" s="41"/>
      <c r="QZG16" s="41"/>
      <c r="QZH16" s="41"/>
      <c r="QZI16" s="41"/>
      <c r="QZJ16" s="41"/>
      <c r="QZK16" s="41"/>
      <c r="QZL16" s="41"/>
      <c r="QZM16" s="41"/>
      <c r="QZN16" s="41"/>
      <c r="QZO16" s="41"/>
      <c r="QZP16" s="41"/>
      <c r="QZQ16" s="41"/>
      <c r="QZR16" s="41"/>
      <c r="QZS16" s="41"/>
      <c r="QZT16" s="41"/>
      <c r="QZU16" s="41"/>
      <c r="QZV16" s="41"/>
      <c r="QZW16" s="41"/>
      <c r="QZX16" s="41"/>
      <c r="QZY16" s="41"/>
      <c r="QZZ16" s="41"/>
      <c r="RAA16" s="41"/>
      <c r="RAB16" s="41"/>
      <c r="RAC16" s="41"/>
      <c r="RAD16" s="41"/>
      <c r="RAE16" s="41"/>
      <c r="RAF16" s="41"/>
      <c r="RAG16" s="41"/>
      <c r="RAH16" s="41"/>
      <c r="RAI16" s="41"/>
      <c r="RAJ16" s="41"/>
      <c r="RAK16" s="41"/>
      <c r="RAL16" s="41"/>
      <c r="RAM16" s="41"/>
      <c r="RAN16" s="41"/>
      <c r="RAO16" s="41"/>
      <c r="RAP16" s="41"/>
      <c r="RAQ16" s="41"/>
      <c r="RAR16" s="41"/>
      <c r="RAS16" s="41"/>
      <c r="RAT16" s="41"/>
      <c r="RAU16" s="41"/>
      <c r="RAV16" s="41"/>
      <c r="RAW16" s="41"/>
      <c r="RAX16" s="41"/>
      <c r="RAY16" s="41"/>
      <c r="RAZ16" s="41"/>
      <c r="RBA16" s="41"/>
      <c r="RBB16" s="41"/>
      <c r="RBC16" s="41"/>
      <c r="RBD16" s="41"/>
      <c r="RBE16" s="41"/>
      <c r="RBF16" s="41"/>
      <c r="RBG16" s="41"/>
      <c r="RBH16" s="41"/>
      <c r="RBI16" s="41"/>
      <c r="RBJ16" s="41"/>
      <c r="RBK16" s="41"/>
      <c r="RBL16" s="41"/>
      <c r="RBM16" s="41"/>
      <c r="RBN16" s="41"/>
      <c r="RBO16" s="41"/>
      <c r="RBP16" s="41"/>
      <c r="RBQ16" s="41"/>
      <c r="RBR16" s="41"/>
      <c r="RBS16" s="41"/>
      <c r="RBT16" s="41"/>
      <c r="RBU16" s="41"/>
      <c r="RBV16" s="41"/>
      <c r="RBW16" s="41"/>
      <c r="RBX16" s="41"/>
      <c r="RBY16" s="41"/>
      <c r="RBZ16" s="41"/>
      <c r="RCA16" s="41"/>
      <c r="RCB16" s="41"/>
      <c r="RCC16" s="41"/>
      <c r="RCD16" s="41"/>
      <c r="RCE16" s="41"/>
      <c r="RCF16" s="41"/>
      <c r="RCG16" s="41"/>
      <c r="RCH16" s="41"/>
      <c r="RCI16" s="41"/>
      <c r="RCJ16" s="41"/>
      <c r="RCK16" s="41"/>
      <c r="RCL16" s="41"/>
      <c r="RCM16" s="41"/>
      <c r="RCN16" s="41"/>
      <c r="RCO16" s="41"/>
      <c r="RCP16" s="41"/>
      <c r="RCQ16" s="41"/>
      <c r="RCR16" s="41"/>
      <c r="RCS16" s="41"/>
      <c r="RCT16" s="41"/>
      <c r="RCU16" s="41"/>
      <c r="RCV16" s="41"/>
      <c r="RCW16" s="41"/>
      <c r="RCX16" s="41"/>
      <c r="RCY16" s="41"/>
      <c r="RCZ16" s="41"/>
      <c r="RDA16" s="41"/>
      <c r="RDB16" s="41"/>
      <c r="RDC16" s="41"/>
      <c r="RDD16" s="41"/>
      <c r="RDE16" s="41"/>
      <c r="RDF16" s="41"/>
      <c r="RDG16" s="41"/>
      <c r="RDH16" s="41"/>
      <c r="RDI16" s="41"/>
      <c r="RDJ16" s="41"/>
      <c r="RDK16" s="41"/>
      <c r="RDL16" s="41"/>
      <c r="RDM16" s="41"/>
      <c r="RDN16" s="41"/>
      <c r="RDO16" s="41"/>
      <c r="RDP16" s="41"/>
      <c r="RDQ16" s="41"/>
      <c r="RDR16" s="41"/>
      <c r="RDS16" s="41"/>
      <c r="RDT16" s="41"/>
      <c r="RDU16" s="41"/>
      <c r="RDV16" s="41"/>
      <c r="RDW16" s="41"/>
      <c r="RDX16" s="41"/>
      <c r="RDY16" s="41"/>
      <c r="RDZ16" s="41"/>
      <c r="REA16" s="41"/>
      <c r="REB16" s="41"/>
      <c r="REC16" s="41"/>
      <c r="RED16" s="41"/>
      <c r="REE16" s="41"/>
      <c r="REF16" s="41"/>
      <c r="REG16" s="41"/>
      <c r="REH16" s="41"/>
      <c r="REI16" s="41"/>
      <c r="REJ16" s="41"/>
      <c r="REK16" s="41"/>
      <c r="REL16" s="41"/>
      <c r="REM16" s="41"/>
      <c r="REN16" s="41"/>
      <c r="REO16" s="41"/>
      <c r="REP16" s="41"/>
      <c r="REQ16" s="41"/>
      <c r="RER16" s="41"/>
      <c r="RES16" s="41"/>
      <c r="RET16" s="41"/>
      <c r="REU16" s="41"/>
      <c r="REV16" s="41"/>
      <c r="REW16" s="41"/>
      <c r="REX16" s="41"/>
      <c r="REY16" s="41"/>
      <c r="REZ16" s="41"/>
      <c r="RFA16" s="41"/>
      <c r="RFB16" s="41"/>
      <c r="RFC16" s="41"/>
      <c r="RFD16" s="41"/>
      <c r="RFE16" s="41"/>
      <c r="RFF16" s="41"/>
      <c r="RFG16" s="41"/>
      <c r="RFH16" s="41"/>
      <c r="RFI16" s="41"/>
      <c r="RFJ16" s="41"/>
      <c r="RFK16" s="41"/>
      <c r="RFL16" s="41"/>
      <c r="RFM16" s="41"/>
      <c r="RFN16" s="41"/>
      <c r="RFO16" s="41"/>
      <c r="RFP16" s="41"/>
      <c r="RFQ16" s="41"/>
      <c r="RFR16" s="41"/>
      <c r="RFS16" s="41"/>
      <c r="RFT16" s="41"/>
      <c r="RFU16" s="41"/>
      <c r="RFV16" s="41"/>
      <c r="RFW16" s="41"/>
      <c r="RFX16" s="41"/>
      <c r="RFY16" s="41"/>
      <c r="RFZ16" s="41"/>
      <c r="RGA16" s="41"/>
      <c r="RGB16" s="41"/>
      <c r="RGC16" s="41"/>
      <c r="RGD16" s="41"/>
      <c r="RGE16" s="41"/>
      <c r="RGF16" s="41"/>
      <c r="RGG16" s="41"/>
      <c r="RGH16" s="41"/>
      <c r="RGI16" s="41"/>
      <c r="RGJ16" s="41"/>
      <c r="RGK16" s="41"/>
      <c r="RGL16" s="41"/>
      <c r="RGM16" s="41"/>
      <c r="RGN16" s="41"/>
      <c r="RGO16" s="41"/>
      <c r="RGP16" s="41"/>
      <c r="RGQ16" s="41"/>
      <c r="RGR16" s="41"/>
      <c r="RGS16" s="41"/>
      <c r="RGT16" s="41"/>
      <c r="RGU16" s="41"/>
      <c r="RGV16" s="41"/>
      <c r="RGW16" s="41"/>
      <c r="RGX16" s="41"/>
      <c r="RGY16" s="41"/>
      <c r="RGZ16" s="41"/>
      <c r="RHA16" s="41"/>
      <c r="RHB16" s="41"/>
      <c r="RHC16" s="41"/>
      <c r="RHD16" s="41"/>
      <c r="RHE16" s="41"/>
      <c r="RHF16" s="41"/>
      <c r="RHG16" s="41"/>
      <c r="RHH16" s="41"/>
      <c r="RHI16" s="41"/>
      <c r="RHJ16" s="41"/>
      <c r="RHK16" s="41"/>
      <c r="RHL16" s="41"/>
      <c r="RHM16" s="41"/>
      <c r="RHN16" s="41"/>
      <c r="RHO16" s="41"/>
      <c r="RHP16" s="41"/>
      <c r="RHQ16" s="41"/>
      <c r="RHR16" s="41"/>
      <c r="RHS16" s="41"/>
      <c r="RHT16" s="41"/>
      <c r="RHU16" s="41"/>
      <c r="RHV16" s="41"/>
      <c r="RHW16" s="41"/>
      <c r="RHX16" s="41"/>
      <c r="RHY16" s="41"/>
      <c r="RHZ16" s="41"/>
      <c r="RIA16" s="41"/>
      <c r="RIB16" s="41"/>
      <c r="RIC16" s="41"/>
      <c r="RID16" s="41"/>
      <c r="RIE16" s="41"/>
      <c r="RIF16" s="41"/>
      <c r="RIG16" s="41"/>
      <c r="RIH16" s="41"/>
      <c r="RII16" s="41"/>
      <c r="RIJ16" s="41"/>
      <c r="RIK16" s="41"/>
      <c r="RIL16" s="41"/>
      <c r="RIM16" s="41"/>
      <c r="RIN16" s="41"/>
      <c r="RIO16" s="41"/>
      <c r="RIP16" s="41"/>
      <c r="RIQ16" s="41"/>
      <c r="RIR16" s="41"/>
      <c r="RIS16" s="41"/>
      <c r="RIT16" s="41"/>
      <c r="RIU16" s="41"/>
      <c r="RIV16" s="41"/>
      <c r="RIW16" s="41"/>
      <c r="RIX16" s="41"/>
      <c r="RIY16" s="41"/>
      <c r="RIZ16" s="41"/>
      <c r="RJA16" s="41"/>
      <c r="RJB16" s="41"/>
      <c r="RJC16" s="41"/>
      <c r="RJD16" s="41"/>
      <c r="RJE16" s="41"/>
      <c r="RJF16" s="41"/>
      <c r="RJG16" s="41"/>
      <c r="RJH16" s="41"/>
      <c r="RJI16" s="41"/>
      <c r="RJJ16" s="41"/>
      <c r="RJK16" s="41"/>
      <c r="RJL16" s="41"/>
      <c r="RJM16" s="41"/>
      <c r="RJN16" s="41"/>
      <c r="RJO16" s="41"/>
      <c r="RJP16" s="41"/>
      <c r="RJQ16" s="41"/>
      <c r="RJR16" s="41"/>
      <c r="RJS16" s="41"/>
      <c r="RJT16" s="41"/>
      <c r="RJU16" s="41"/>
      <c r="RJV16" s="41"/>
      <c r="RJW16" s="41"/>
      <c r="RJX16" s="41"/>
      <c r="RJY16" s="41"/>
      <c r="RJZ16" s="41"/>
      <c r="RKA16" s="41"/>
      <c r="RKB16" s="41"/>
      <c r="RKC16" s="41"/>
      <c r="RKD16" s="41"/>
      <c r="RKE16" s="41"/>
      <c r="RKF16" s="41"/>
      <c r="RKG16" s="41"/>
      <c r="RKH16" s="41"/>
      <c r="RKI16" s="41"/>
      <c r="RKJ16" s="41"/>
      <c r="RKK16" s="41"/>
      <c r="RKL16" s="41"/>
      <c r="RKM16" s="41"/>
      <c r="RKN16" s="41"/>
      <c r="RKO16" s="41"/>
      <c r="RKP16" s="41"/>
      <c r="RKQ16" s="41"/>
      <c r="RKR16" s="41"/>
      <c r="RKS16" s="41"/>
      <c r="RKT16" s="41"/>
      <c r="RKU16" s="41"/>
      <c r="RKV16" s="41"/>
      <c r="RKW16" s="41"/>
      <c r="RKX16" s="41"/>
      <c r="RKY16" s="41"/>
      <c r="RKZ16" s="41"/>
      <c r="RLA16" s="41"/>
      <c r="RLB16" s="41"/>
      <c r="RLC16" s="41"/>
      <c r="RLD16" s="41"/>
      <c r="RLE16" s="41"/>
      <c r="RLF16" s="41"/>
      <c r="RLG16" s="41"/>
      <c r="RLH16" s="41"/>
      <c r="RLI16" s="41"/>
      <c r="RLJ16" s="41"/>
      <c r="RLK16" s="41"/>
      <c r="RLL16" s="41"/>
      <c r="RLM16" s="41"/>
      <c r="RLN16" s="41"/>
      <c r="RLO16" s="41"/>
      <c r="RLP16" s="41"/>
      <c r="RLQ16" s="41"/>
      <c r="RLR16" s="41"/>
      <c r="RLS16" s="41"/>
      <c r="RLT16" s="41"/>
      <c r="RLU16" s="41"/>
      <c r="RLV16" s="41"/>
      <c r="RLW16" s="41"/>
      <c r="RLX16" s="41"/>
      <c r="RLY16" s="41"/>
      <c r="RLZ16" s="41"/>
      <c r="RMA16" s="41"/>
      <c r="RMB16" s="41"/>
      <c r="RMC16" s="41"/>
      <c r="RMD16" s="41"/>
      <c r="RME16" s="41"/>
      <c r="RMF16" s="41"/>
      <c r="RMG16" s="41"/>
      <c r="RMH16" s="41"/>
      <c r="RMI16" s="41"/>
      <c r="RMJ16" s="41"/>
      <c r="RMK16" s="41"/>
      <c r="RML16" s="41"/>
      <c r="RMM16" s="41"/>
      <c r="RMN16" s="41"/>
      <c r="RMO16" s="41"/>
      <c r="RMP16" s="41"/>
      <c r="RMQ16" s="41"/>
      <c r="RMR16" s="41"/>
      <c r="RMS16" s="41"/>
      <c r="RMT16" s="41"/>
      <c r="RMU16" s="41"/>
      <c r="RMV16" s="41"/>
      <c r="RMW16" s="41"/>
      <c r="RMX16" s="41"/>
      <c r="RMY16" s="41"/>
      <c r="RMZ16" s="41"/>
      <c r="RNA16" s="41"/>
      <c r="RNB16" s="41"/>
      <c r="RNC16" s="41"/>
      <c r="RND16" s="41"/>
      <c r="RNE16" s="41"/>
      <c r="RNF16" s="41"/>
      <c r="RNG16" s="41"/>
      <c r="RNH16" s="41"/>
      <c r="RNI16" s="41"/>
      <c r="RNJ16" s="41"/>
      <c r="RNK16" s="41"/>
      <c r="RNL16" s="41"/>
      <c r="RNM16" s="41"/>
      <c r="RNN16" s="41"/>
      <c r="RNO16" s="41"/>
      <c r="RNP16" s="41"/>
      <c r="RNQ16" s="41"/>
      <c r="RNR16" s="41"/>
      <c r="RNS16" s="41"/>
      <c r="RNT16" s="41"/>
      <c r="RNU16" s="41"/>
      <c r="RNV16" s="41"/>
      <c r="RNW16" s="41"/>
      <c r="RNX16" s="41"/>
      <c r="RNY16" s="41"/>
      <c r="RNZ16" s="41"/>
      <c r="ROA16" s="41"/>
      <c r="ROB16" s="41"/>
      <c r="ROC16" s="41"/>
      <c r="ROD16" s="41"/>
      <c r="ROE16" s="41"/>
      <c r="ROF16" s="41"/>
      <c r="ROG16" s="41"/>
      <c r="ROH16" s="41"/>
      <c r="ROI16" s="41"/>
      <c r="ROJ16" s="41"/>
      <c r="ROK16" s="41"/>
      <c r="ROL16" s="41"/>
      <c r="ROM16" s="41"/>
      <c r="RON16" s="41"/>
      <c r="ROO16" s="41"/>
      <c r="ROP16" s="41"/>
      <c r="ROQ16" s="41"/>
      <c r="ROR16" s="41"/>
      <c r="ROS16" s="41"/>
      <c r="ROT16" s="41"/>
      <c r="ROU16" s="41"/>
      <c r="ROV16" s="41"/>
      <c r="ROW16" s="41"/>
      <c r="ROX16" s="41"/>
      <c r="ROY16" s="41"/>
      <c r="ROZ16" s="41"/>
      <c r="RPA16" s="41"/>
      <c r="RPB16" s="41"/>
      <c r="RPC16" s="41"/>
      <c r="RPD16" s="41"/>
      <c r="RPE16" s="41"/>
      <c r="RPF16" s="41"/>
      <c r="RPG16" s="41"/>
      <c r="RPH16" s="41"/>
      <c r="RPI16" s="41"/>
      <c r="RPJ16" s="41"/>
      <c r="RPK16" s="41"/>
      <c r="RPL16" s="41"/>
      <c r="RPM16" s="41"/>
      <c r="RPN16" s="41"/>
      <c r="RPO16" s="41"/>
      <c r="RPP16" s="41"/>
      <c r="RPQ16" s="41"/>
      <c r="RPR16" s="41"/>
      <c r="RPS16" s="41"/>
      <c r="RPT16" s="41"/>
      <c r="RPU16" s="41"/>
      <c r="RPV16" s="41"/>
      <c r="RPW16" s="41"/>
      <c r="RPX16" s="41"/>
      <c r="RPY16" s="41"/>
      <c r="RPZ16" s="41"/>
      <c r="RQA16" s="41"/>
      <c r="RQB16" s="41"/>
      <c r="RQC16" s="41"/>
      <c r="RQD16" s="41"/>
      <c r="RQE16" s="41"/>
      <c r="RQF16" s="41"/>
      <c r="RQG16" s="41"/>
      <c r="RQH16" s="41"/>
      <c r="RQI16" s="41"/>
      <c r="RQJ16" s="41"/>
      <c r="RQK16" s="41"/>
      <c r="RQL16" s="41"/>
      <c r="RQM16" s="41"/>
      <c r="RQN16" s="41"/>
      <c r="RQO16" s="41"/>
      <c r="RQP16" s="41"/>
      <c r="RQQ16" s="41"/>
      <c r="RQR16" s="41"/>
      <c r="RQS16" s="41"/>
      <c r="RQT16" s="41"/>
      <c r="RQU16" s="41"/>
      <c r="RQV16" s="41"/>
      <c r="RQW16" s="41"/>
      <c r="RQX16" s="41"/>
      <c r="RQY16" s="41"/>
      <c r="RQZ16" s="41"/>
      <c r="RRA16" s="41"/>
      <c r="RRB16" s="41"/>
      <c r="RRC16" s="41"/>
      <c r="RRD16" s="41"/>
      <c r="RRE16" s="41"/>
      <c r="RRF16" s="41"/>
      <c r="RRG16" s="41"/>
      <c r="RRH16" s="41"/>
      <c r="RRI16" s="41"/>
      <c r="RRJ16" s="41"/>
      <c r="RRK16" s="41"/>
      <c r="RRL16" s="41"/>
      <c r="RRM16" s="41"/>
      <c r="RRN16" s="41"/>
      <c r="RRO16" s="41"/>
      <c r="RRP16" s="41"/>
      <c r="RRQ16" s="41"/>
      <c r="RRR16" s="41"/>
      <c r="RRS16" s="41"/>
      <c r="RRT16" s="41"/>
      <c r="RRU16" s="41"/>
      <c r="RRV16" s="41"/>
      <c r="RRW16" s="41"/>
      <c r="RRX16" s="41"/>
      <c r="RRY16" s="41"/>
      <c r="RRZ16" s="41"/>
      <c r="RSA16" s="41"/>
      <c r="RSB16" s="41"/>
      <c r="RSC16" s="41"/>
      <c r="RSD16" s="41"/>
      <c r="RSE16" s="41"/>
      <c r="RSF16" s="41"/>
      <c r="RSG16" s="41"/>
      <c r="RSH16" s="41"/>
      <c r="RSI16" s="41"/>
      <c r="RSJ16" s="41"/>
      <c r="RSK16" s="41"/>
      <c r="RSL16" s="41"/>
      <c r="RSM16" s="41"/>
      <c r="RSN16" s="41"/>
      <c r="RSO16" s="41"/>
      <c r="RSP16" s="41"/>
      <c r="RSQ16" s="41"/>
      <c r="RSR16" s="41"/>
      <c r="RSS16" s="41"/>
      <c r="RST16" s="41"/>
      <c r="RSU16" s="41"/>
      <c r="RSV16" s="41"/>
      <c r="RSW16" s="41"/>
      <c r="RSX16" s="41"/>
      <c r="RSY16" s="41"/>
      <c r="RSZ16" s="41"/>
      <c r="RTA16" s="41"/>
      <c r="RTB16" s="41"/>
      <c r="RTC16" s="41"/>
      <c r="RTD16" s="41"/>
      <c r="RTE16" s="41"/>
      <c r="RTF16" s="41"/>
      <c r="RTG16" s="41"/>
      <c r="RTH16" s="41"/>
      <c r="RTI16" s="41"/>
      <c r="RTJ16" s="41"/>
      <c r="RTK16" s="41"/>
      <c r="RTL16" s="41"/>
      <c r="RTM16" s="41"/>
      <c r="RTN16" s="41"/>
      <c r="RTO16" s="41"/>
      <c r="RTP16" s="41"/>
      <c r="RTQ16" s="41"/>
      <c r="RTR16" s="41"/>
      <c r="RTS16" s="41"/>
      <c r="RTT16" s="41"/>
      <c r="RTU16" s="41"/>
      <c r="RTV16" s="41"/>
      <c r="RTW16" s="41"/>
      <c r="RTX16" s="41"/>
      <c r="RTY16" s="41"/>
      <c r="RTZ16" s="41"/>
      <c r="RUA16" s="41"/>
      <c r="RUB16" s="41"/>
      <c r="RUC16" s="41"/>
      <c r="RUD16" s="41"/>
      <c r="RUE16" s="41"/>
      <c r="RUF16" s="41"/>
      <c r="RUG16" s="41"/>
      <c r="RUH16" s="41"/>
      <c r="RUI16" s="41"/>
      <c r="RUJ16" s="41"/>
      <c r="RUK16" s="41"/>
      <c r="RUL16" s="41"/>
      <c r="RUM16" s="41"/>
      <c r="RUN16" s="41"/>
      <c r="RUO16" s="41"/>
      <c r="RUP16" s="41"/>
      <c r="RUQ16" s="41"/>
      <c r="RUR16" s="41"/>
      <c r="RUS16" s="41"/>
      <c r="RUT16" s="41"/>
      <c r="RUU16" s="41"/>
      <c r="RUV16" s="41"/>
      <c r="RUW16" s="41"/>
      <c r="RUX16" s="41"/>
      <c r="RUY16" s="41"/>
      <c r="RUZ16" s="41"/>
      <c r="RVA16" s="41"/>
      <c r="RVB16" s="41"/>
      <c r="RVC16" s="41"/>
      <c r="RVD16" s="41"/>
      <c r="RVE16" s="41"/>
      <c r="RVF16" s="41"/>
      <c r="RVG16" s="41"/>
      <c r="RVH16" s="41"/>
      <c r="RVI16" s="41"/>
      <c r="RVJ16" s="41"/>
      <c r="RVK16" s="41"/>
      <c r="RVL16" s="41"/>
      <c r="RVM16" s="41"/>
      <c r="RVN16" s="41"/>
      <c r="RVO16" s="41"/>
      <c r="RVP16" s="41"/>
      <c r="RVQ16" s="41"/>
      <c r="RVR16" s="41"/>
      <c r="RVS16" s="41"/>
      <c r="RVT16" s="41"/>
      <c r="RVU16" s="41"/>
      <c r="RVV16" s="41"/>
      <c r="RVW16" s="41"/>
      <c r="RVX16" s="41"/>
      <c r="RVY16" s="41"/>
      <c r="RVZ16" s="41"/>
      <c r="RWA16" s="41"/>
      <c r="RWB16" s="41"/>
      <c r="RWC16" s="41"/>
      <c r="RWD16" s="41"/>
      <c r="RWE16" s="41"/>
      <c r="RWF16" s="41"/>
      <c r="RWG16" s="41"/>
      <c r="RWH16" s="41"/>
      <c r="RWI16" s="41"/>
      <c r="RWJ16" s="41"/>
      <c r="RWK16" s="41"/>
      <c r="RWL16" s="41"/>
      <c r="RWM16" s="41"/>
      <c r="RWN16" s="41"/>
      <c r="RWO16" s="41"/>
      <c r="RWP16" s="41"/>
      <c r="RWQ16" s="41"/>
      <c r="RWR16" s="41"/>
      <c r="RWS16" s="41"/>
      <c r="RWT16" s="41"/>
      <c r="RWU16" s="41"/>
      <c r="RWV16" s="41"/>
      <c r="RWW16" s="41"/>
      <c r="RWX16" s="41"/>
      <c r="RWY16" s="41"/>
      <c r="RWZ16" s="41"/>
      <c r="RXA16" s="41"/>
      <c r="RXB16" s="41"/>
      <c r="RXC16" s="41"/>
      <c r="RXD16" s="41"/>
      <c r="RXE16" s="41"/>
      <c r="RXF16" s="41"/>
      <c r="RXG16" s="41"/>
      <c r="RXH16" s="41"/>
      <c r="RXI16" s="41"/>
      <c r="RXJ16" s="41"/>
      <c r="RXK16" s="41"/>
      <c r="RXL16" s="41"/>
      <c r="RXM16" s="41"/>
      <c r="RXN16" s="41"/>
      <c r="RXO16" s="41"/>
      <c r="RXP16" s="41"/>
      <c r="RXQ16" s="41"/>
      <c r="RXR16" s="41"/>
      <c r="RXS16" s="41"/>
      <c r="RXT16" s="41"/>
      <c r="RXU16" s="41"/>
      <c r="RXV16" s="41"/>
      <c r="RXW16" s="41"/>
      <c r="RXX16" s="41"/>
      <c r="RXY16" s="41"/>
      <c r="RXZ16" s="41"/>
      <c r="RYA16" s="41"/>
      <c r="RYB16" s="41"/>
      <c r="RYC16" s="41"/>
      <c r="RYD16" s="41"/>
      <c r="RYE16" s="41"/>
      <c r="RYF16" s="41"/>
      <c r="RYG16" s="41"/>
      <c r="RYH16" s="41"/>
      <c r="RYI16" s="41"/>
      <c r="RYJ16" s="41"/>
      <c r="RYK16" s="41"/>
      <c r="RYL16" s="41"/>
      <c r="RYM16" s="41"/>
      <c r="RYN16" s="41"/>
      <c r="RYO16" s="41"/>
      <c r="RYP16" s="41"/>
      <c r="RYQ16" s="41"/>
      <c r="RYR16" s="41"/>
      <c r="RYS16" s="41"/>
      <c r="RYT16" s="41"/>
      <c r="RYU16" s="41"/>
      <c r="RYV16" s="41"/>
      <c r="RYW16" s="41"/>
      <c r="RYX16" s="41"/>
      <c r="RYY16" s="41"/>
      <c r="RYZ16" s="41"/>
      <c r="RZA16" s="41"/>
      <c r="RZB16" s="41"/>
      <c r="RZC16" s="41"/>
      <c r="RZD16" s="41"/>
      <c r="RZE16" s="41"/>
      <c r="RZF16" s="41"/>
      <c r="RZG16" s="41"/>
      <c r="RZH16" s="41"/>
      <c r="RZI16" s="41"/>
      <c r="RZJ16" s="41"/>
      <c r="RZK16" s="41"/>
      <c r="RZL16" s="41"/>
      <c r="RZM16" s="41"/>
      <c r="RZN16" s="41"/>
      <c r="RZO16" s="41"/>
      <c r="RZP16" s="41"/>
      <c r="RZQ16" s="41"/>
      <c r="RZR16" s="41"/>
      <c r="RZS16" s="41"/>
      <c r="RZT16" s="41"/>
      <c r="RZU16" s="41"/>
      <c r="RZV16" s="41"/>
      <c r="RZW16" s="41"/>
      <c r="RZX16" s="41"/>
      <c r="RZY16" s="41"/>
      <c r="RZZ16" s="41"/>
      <c r="SAA16" s="41"/>
      <c r="SAB16" s="41"/>
      <c r="SAC16" s="41"/>
      <c r="SAD16" s="41"/>
      <c r="SAE16" s="41"/>
      <c r="SAF16" s="41"/>
      <c r="SAG16" s="41"/>
      <c r="SAH16" s="41"/>
      <c r="SAI16" s="41"/>
      <c r="SAJ16" s="41"/>
      <c r="SAK16" s="41"/>
      <c r="SAL16" s="41"/>
      <c r="SAM16" s="41"/>
      <c r="SAN16" s="41"/>
      <c r="SAO16" s="41"/>
      <c r="SAP16" s="41"/>
      <c r="SAQ16" s="41"/>
      <c r="SAR16" s="41"/>
      <c r="SAS16" s="41"/>
      <c r="SAT16" s="41"/>
      <c r="SAU16" s="41"/>
      <c r="SAV16" s="41"/>
      <c r="SAW16" s="41"/>
      <c r="SAX16" s="41"/>
      <c r="SAY16" s="41"/>
      <c r="SAZ16" s="41"/>
      <c r="SBA16" s="41"/>
      <c r="SBB16" s="41"/>
      <c r="SBC16" s="41"/>
      <c r="SBD16" s="41"/>
      <c r="SBE16" s="41"/>
      <c r="SBF16" s="41"/>
      <c r="SBG16" s="41"/>
      <c r="SBH16" s="41"/>
      <c r="SBI16" s="41"/>
      <c r="SBJ16" s="41"/>
      <c r="SBK16" s="41"/>
      <c r="SBL16" s="41"/>
      <c r="SBM16" s="41"/>
      <c r="SBN16" s="41"/>
      <c r="SBO16" s="41"/>
      <c r="SBP16" s="41"/>
      <c r="SBQ16" s="41"/>
      <c r="SBR16" s="41"/>
      <c r="SBS16" s="41"/>
      <c r="SBT16" s="41"/>
      <c r="SBU16" s="41"/>
      <c r="SBV16" s="41"/>
      <c r="SBW16" s="41"/>
      <c r="SBX16" s="41"/>
      <c r="SBY16" s="41"/>
      <c r="SBZ16" s="41"/>
      <c r="SCA16" s="41"/>
      <c r="SCB16" s="41"/>
      <c r="SCC16" s="41"/>
      <c r="SCD16" s="41"/>
      <c r="SCE16" s="41"/>
      <c r="SCF16" s="41"/>
      <c r="SCG16" s="41"/>
      <c r="SCH16" s="41"/>
      <c r="SCI16" s="41"/>
      <c r="SCJ16" s="41"/>
      <c r="SCK16" s="41"/>
      <c r="SCL16" s="41"/>
      <c r="SCM16" s="41"/>
      <c r="SCN16" s="41"/>
      <c r="SCO16" s="41"/>
      <c r="SCP16" s="41"/>
      <c r="SCQ16" s="41"/>
      <c r="SCR16" s="41"/>
      <c r="SCS16" s="41"/>
      <c r="SCT16" s="41"/>
      <c r="SCU16" s="41"/>
      <c r="SCV16" s="41"/>
      <c r="SCW16" s="41"/>
      <c r="SCX16" s="41"/>
      <c r="SCY16" s="41"/>
      <c r="SCZ16" s="41"/>
      <c r="SDA16" s="41"/>
      <c r="SDB16" s="41"/>
      <c r="SDC16" s="41"/>
      <c r="SDD16" s="41"/>
      <c r="SDE16" s="41"/>
      <c r="SDF16" s="41"/>
      <c r="SDG16" s="41"/>
      <c r="SDH16" s="41"/>
      <c r="SDI16" s="41"/>
      <c r="SDJ16" s="41"/>
      <c r="SDK16" s="41"/>
      <c r="SDL16" s="41"/>
      <c r="SDM16" s="41"/>
      <c r="SDN16" s="41"/>
      <c r="SDO16" s="41"/>
      <c r="SDP16" s="41"/>
      <c r="SDQ16" s="41"/>
      <c r="SDR16" s="41"/>
      <c r="SDS16" s="41"/>
      <c r="SDT16" s="41"/>
      <c r="SDU16" s="41"/>
      <c r="SDV16" s="41"/>
      <c r="SDW16" s="41"/>
      <c r="SDX16" s="41"/>
      <c r="SDY16" s="41"/>
      <c r="SDZ16" s="41"/>
      <c r="SEA16" s="41"/>
      <c r="SEB16" s="41"/>
      <c r="SEC16" s="41"/>
      <c r="SED16" s="41"/>
      <c r="SEE16" s="41"/>
      <c r="SEF16" s="41"/>
      <c r="SEG16" s="41"/>
      <c r="SEH16" s="41"/>
      <c r="SEI16" s="41"/>
      <c r="SEJ16" s="41"/>
      <c r="SEK16" s="41"/>
      <c r="SEL16" s="41"/>
      <c r="SEM16" s="41"/>
      <c r="SEN16" s="41"/>
      <c r="SEO16" s="41"/>
      <c r="SEP16" s="41"/>
      <c r="SEQ16" s="41"/>
      <c r="SER16" s="41"/>
      <c r="SES16" s="41"/>
      <c r="SET16" s="41"/>
      <c r="SEU16" s="41"/>
      <c r="SEV16" s="41"/>
      <c r="SEW16" s="41"/>
      <c r="SEX16" s="41"/>
      <c r="SEY16" s="41"/>
      <c r="SEZ16" s="41"/>
      <c r="SFA16" s="41"/>
      <c r="SFB16" s="41"/>
      <c r="SFC16" s="41"/>
      <c r="SFD16" s="41"/>
      <c r="SFE16" s="41"/>
      <c r="SFF16" s="41"/>
      <c r="SFG16" s="41"/>
      <c r="SFH16" s="41"/>
      <c r="SFI16" s="41"/>
      <c r="SFJ16" s="41"/>
      <c r="SFK16" s="41"/>
      <c r="SFL16" s="41"/>
      <c r="SFM16" s="41"/>
      <c r="SFN16" s="41"/>
      <c r="SFO16" s="41"/>
      <c r="SFP16" s="41"/>
      <c r="SFQ16" s="41"/>
      <c r="SFR16" s="41"/>
      <c r="SFS16" s="41"/>
      <c r="SFT16" s="41"/>
      <c r="SFU16" s="41"/>
      <c r="SFV16" s="41"/>
      <c r="SFW16" s="41"/>
      <c r="SFX16" s="41"/>
      <c r="SFY16" s="41"/>
      <c r="SFZ16" s="41"/>
      <c r="SGA16" s="41"/>
      <c r="SGB16" s="41"/>
      <c r="SGC16" s="41"/>
      <c r="SGD16" s="41"/>
      <c r="SGE16" s="41"/>
      <c r="SGF16" s="41"/>
      <c r="SGG16" s="41"/>
      <c r="SGH16" s="41"/>
      <c r="SGI16" s="41"/>
      <c r="SGJ16" s="41"/>
      <c r="SGK16" s="41"/>
      <c r="SGL16" s="41"/>
      <c r="SGM16" s="41"/>
      <c r="SGN16" s="41"/>
      <c r="SGO16" s="41"/>
      <c r="SGP16" s="41"/>
      <c r="SGQ16" s="41"/>
      <c r="SGR16" s="41"/>
      <c r="SGS16" s="41"/>
      <c r="SGT16" s="41"/>
      <c r="SGU16" s="41"/>
      <c r="SGV16" s="41"/>
      <c r="SGW16" s="41"/>
      <c r="SGX16" s="41"/>
      <c r="SGY16" s="41"/>
      <c r="SGZ16" s="41"/>
      <c r="SHA16" s="41"/>
      <c r="SHB16" s="41"/>
      <c r="SHC16" s="41"/>
      <c r="SHD16" s="41"/>
      <c r="SHE16" s="41"/>
      <c r="SHF16" s="41"/>
      <c r="SHG16" s="41"/>
      <c r="SHH16" s="41"/>
      <c r="SHI16" s="41"/>
      <c r="SHJ16" s="41"/>
      <c r="SHK16" s="41"/>
      <c r="SHL16" s="41"/>
      <c r="SHM16" s="41"/>
      <c r="SHN16" s="41"/>
      <c r="SHO16" s="41"/>
      <c r="SHP16" s="41"/>
      <c r="SHQ16" s="41"/>
      <c r="SHR16" s="41"/>
      <c r="SHS16" s="41"/>
      <c r="SHT16" s="41"/>
      <c r="SHU16" s="41"/>
      <c r="SHV16" s="41"/>
      <c r="SHW16" s="41"/>
      <c r="SHX16" s="41"/>
      <c r="SHY16" s="41"/>
      <c r="SHZ16" s="41"/>
      <c r="SIA16" s="41"/>
      <c r="SIB16" s="41"/>
      <c r="SIC16" s="41"/>
      <c r="SID16" s="41"/>
      <c r="SIE16" s="41"/>
      <c r="SIF16" s="41"/>
      <c r="SIG16" s="41"/>
      <c r="SIH16" s="41"/>
      <c r="SII16" s="41"/>
      <c r="SIJ16" s="41"/>
      <c r="SIK16" s="41"/>
      <c r="SIL16" s="41"/>
      <c r="SIM16" s="41"/>
      <c r="SIN16" s="41"/>
      <c r="SIO16" s="41"/>
      <c r="SIP16" s="41"/>
      <c r="SIQ16" s="41"/>
      <c r="SIR16" s="41"/>
      <c r="SIS16" s="41"/>
      <c r="SIT16" s="41"/>
      <c r="SIU16" s="41"/>
      <c r="SIV16" s="41"/>
      <c r="SIW16" s="41"/>
      <c r="SIX16" s="41"/>
      <c r="SIY16" s="41"/>
      <c r="SIZ16" s="41"/>
      <c r="SJA16" s="41"/>
      <c r="SJB16" s="41"/>
      <c r="SJC16" s="41"/>
      <c r="SJD16" s="41"/>
      <c r="SJE16" s="41"/>
      <c r="SJF16" s="41"/>
      <c r="SJG16" s="41"/>
      <c r="SJH16" s="41"/>
      <c r="SJI16" s="41"/>
      <c r="SJJ16" s="41"/>
      <c r="SJK16" s="41"/>
      <c r="SJL16" s="41"/>
      <c r="SJM16" s="41"/>
      <c r="SJN16" s="41"/>
      <c r="SJO16" s="41"/>
      <c r="SJP16" s="41"/>
      <c r="SJQ16" s="41"/>
      <c r="SJR16" s="41"/>
      <c r="SJS16" s="41"/>
      <c r="SJT16" s="41"/>
      <c r="SJU16" s="41"/>
      <c r="SJV16" s="41"/>
      <c r="SJW16" s="41"/>
      <c r="SJX16" s="41"/>
      <c r="SJY16" s="41"/>
      <c r="SJZ16" s="41"/>
      <c r="SKA16" s="41"/>
      <c r="SKB16" s="41"/>
      <c r="SKC16" s="41"/>
      <c r="SKD16" s="41"/>
      <c r="SKE16" s="41"/>
      <c r="SKF16" s="41"/>
      <c r="SKG16" s="41"/>
      <c r="SKH16" s="41"/>
      <c r="SKI16" s="41"/>
      <c r="SKJ16" s="41"/>
      <c r="SKK16" s="41"/>
      <c r="SKL16" s="41"/>
      <c r="SKM16" s="41"/>
      <c r="SKN16" s="41"/>
      <c r="SKO16" s="41"/>
      <c r="SKP16" s="41"/>
      <c r="SKQ16" s="41"/>
      <c r="SKR16" s="41"/>
      <c r="SKS16" s="41"/>
      <c r="SKT16" s="41"/>
      <c r="SKU16" s="41"/>
      <c r="SKV16" s="41"/>
      <c r="SKW16" s="41"/>
      <c r="SKX16" s="41"/>
      <c r="SKY16" s="41"/>
      <c r="SKZ16" s="41"/>
      <c r="SLA16" s="41"/>
      <c r="SLB16" s="41"/>
      <c r="SLC16" s="41"/>
      <c r="SLD16" s="41"/>
      <c r="SLE16" s="41"/>
      <c r="SLF16" s="41"/>
      <c r="SLG16" s="41"/>
      <c r="SLH16" s="41"/>
      <c r="SLI16" s="41"/>
      <c r="SLJ16" s="41"/>
      <c r="SLK16" s="41"/>
      <c r="SLL16" s="41"/>
      <c r="SLM16" s="41"/>
      <c r="SLN16" s="41"/>
      <c r="SLO16" s="41"/>
      <c r="SLP16" s="41"/>
      <c r="SLQ16" s="41"/>
      <c r="SLR16" s="41"/>
      <c r="SLS16" s="41"/>
      <c r="SLT16" s="41"/>
      <c r="SLU16" s="41"/>
      <c r="SLV16" s="41"/>
      <c r="SLW16" s="41"/>
      <c r="SLX16" s="41"/>
      <c r="SLY16" s="41"/>
      <c r="SLZ16" s="41"/>
      <c r="SMA16" s="41"/>
      <c r="SMB16" s="41"/>
      <c r="SMC16" s="41"/>
      <c r="SMD16" s="41"/>
      <c r="SME16" s="41"/>
      <c r="SMF16" s="41"/>
      <c r="SMG16" s="41"/>
      <c r="SMH16" s="41"/>
      <c r="SMI16" s="41"/>
      <c r="SMJ16" s="41"/>
      <c r="SMK16" s="41"/>
      <c r="SML16" s="41"/>
      <c r="SMM16" s="41"/>
      <c r="SMN16" s="41"/>
      <c r="SMO16" s="41"/>
      <c r="SMP16" s="41"/>
      <c r="SMQ16" s="41"/>
      <c r="SMR16" s="41"/>
      <c r="SMS16" s="41"/>
      <c r="SMT16" s="41"/>
      <c r="SMU16" s="41"/>
      <c r="SMV16" s="41"/>
      <c r="SMW16" s="41"/>
      <c r="SMX16" s="41"/>
      <c r="SMY16" s="41"/>
      <c r="SMZ16" s="41"/>
      <c r="SNA16" s="41"/>
      <c r="SNB16" s="41"/>
      <c r="SNC16" s="41"/>
      <c r="SND16" s="41"/>
      <c r="SNE16" s="41"/>
      <c r="SNF16" s="41"/>
      <c r="SNG16" s="41"/>
      <c r="SNH16" s="41"/>
      <c r="SNI16" s="41"/>
      <c r="SNJ16" s="41"/>
      <c r="SNK16" s="41"/>
      <c r="SNL16" s="41"/>
      <c r="SNM16" s="41"/>
      <c r="SNN16" s="41"/>
      <c r="SNO16" s="41"/>
      <c r="SNP16" s="41"/>
      <c r="SNQ16" s="41"/>
      <c r="SNR16" s="41"/>
      <c r="SNS16" s="41"/>
      <c r="SNT16" s="41"/>
      <c r="SNU16" s="41"/>
      <c r="SNV16" s="41"/>
      <c r="SNW16" s="41"/>
      <c r="SNX16" s="41"/>
      <c r="SNY16" s="41"/>
      <c r="SNZ16" s="41"/>
      <c r="SOA16" s="41"/>
      <c r="SOB16" s="41"/>
      <c r="SOC16" s="41"/>
      <c r="SOD16" s="41"/>
      <c r="SOE16" s="41"/>
      <c r="SOF16" s="41"/>
      <c r="SOG16" s="41"/>
      <c r="SOH16" s="41"/>
      <c r="SOI16" s="41"/>
      <c r="SOJ16" s="41"/>
      <c r="SOK16" s="41"/>
      <c r="SOL16" s="41"/>
      <c r="SOM16" s="41"/>
      <c r="SON16" s="41"/>
      <c r="SOO16" s="41"/>
      <c r="SOP16" s="41"/>
      <c r="SOQ16" s="41"/>
      <c r="SOR16" s="41"/>
      <c r="SOS16" s="41"/>
      <c r="SOT16" s="41"/>
      <c r="SOU16" s="41"/>
      <c r="SOV16" s="41"/>
      <c r="SOW16" s="41"/>
      <c r="SOX16" s="41"/>
      <c r="SOY16" s="41"/>
      <c r="SOZ16" s="41"/>
      <c r="SPA16" s="41"/>
      <c r="SPB16" s="41"/>
      <c r="SPC16" s="41"/>
      <c r="SPD16" s="41"/>
      <c r="SPE16" s="41"/>
      <c r="SPF16" s="41"/>
      <c r="SPG16" s="41"/>
      <c r="SPH16" s="41"/>
      <c r="SPI16" s="41"/>
      <c r="SPJ16" s="41"/>
      <c r="SPK16" s="41"/>
      <c r="SPL16" s="41"/>
      <c r="SPM16" s="41"/>
      <c r="SPN16" s="41"/>
      <c r="SPO16" s="41"/>
      <c r="SPP16" s="41"/>
      <c r="SPQ16" s="41"/>
      <c r="SPR16" s="41"/>
      <c r="SPS16" s="41"/>
      <c r="SPT16" s="41"/>
      <c r="SPU16" s="41"/>
      <c r="SPV16" s="41"/>
      <c r="SPW16" s="41"/>
      <c r="SPX16" s="41"/>
      <c r="SPY16" s="41"/>
      <c r="SPZ16" s="41"/>
      <c r="SQA16" s="41"/>
      <c r="SQB16" s="41"/>
      <c r="SQC16" s="41"/>
      <c r="SQD16" s="41"/>
      <c r="SQE16" s="41"/>
      <c r="SQF16" s="41"/>
      <c r="SQG16" s="41"/>
      <c r="SQH16" s="41"/>
      <c r="SQI16" s="41"/>
      <c r="SQJ16" s="41"/>
      <c r="SQK16" s="41"/>
      <c r="SQL16" s="41"/>
      <c r="SQM16" s="41"/>
      <c r="SQN16" s="41"/>
      <c r="SQO16" s="41"/>
      <c r="SQP16" s="41"/>
      <c r="SQQ16" s="41"/>
      <c r="SQR16" s="41"/>
      <c r="SQS16" s="41"/>
      <c r="SQT16" s="41"/>
      <c r="SQU16" s="41"/>
      <c r="SQV16" s="41"/>
      <c r="SQW16" s="41"/>
      <c r="SQX16" s="41"/>
      <c r="SQY16" s="41"/>
      <c r="SQZ16" s="41"/>
      <c r="SRA16" s="41"/>
      <c r="SRB16" s="41"/>
      <c r="SRC16" s="41"/>
      <c r="SRD16" s="41"/>
      <c r="SRE16" s="41"/>
      <c r="SRF16" s="41"/>
      <c r="SRG16" s="41"/>
      <c r="SRH16" s="41"/>
      <c r="SRI16" s="41"/>
      <c r="SRJ16" s="41"/>
      <c r="SRK16" s="41"/>
      <c r="SRL16" s="41"/>
      <c r="SRM16" s="41"/>
      <c r="SRN16" s="41"/>
      <c r="SRO16" s="41"/>
      <c r="SRP16" s="41"/>
      <c r="SRQ16" s="41"/>
      <c r="SRR16" s="41"/>
      <c r="SRS16" s="41"/>
      <c r="SRT16" s="41"/>
      <c r="SRU16" s="41"/>
      <c r="SRV16" s="41"/>
      <c r="SRW16" s="41"/>
      <c r="SRX16" s="41"/>
      <c r="SRY16" s="41"/>
      <c r="SRZ16" s="41"/>
      <c r="SSA16" s="41"/>
      <c r="SSB16" s="41"/>
      <c r="SSC16" s="41"/>
      <c r="SSD16" s="41"/>
      <c r="SSE16" s="41"/>
      <c r="SSF16" s="41"/>
      <c r="SSG16" s="41"/>
      <c r="SSH16" s="41"/>
      <c r="SSI16" s="41"/>
      <c r="SSJ16" s="41"/>
      <c r="SSK16" s="41"/>
      <c r="SSL16" s="41"/>
      <c r="SSM16" s="41"/>
      <c r="SSN16" s="41"/>
      <c r="SSO16" s="41"/>
      <c r="SSP16" s="41"/>
      <c r="SSQ16" s="41"/>
      <c r="SSR16" s="41"/>
      <c r="SSS16" s="41"/>
      <c r="SST16" s="41"/>
      <c r="SSU16" s="41"/>
      <c r="SSV16" s="41"/>
      <c r="SSW16" s="41"/>
      <c r="SSX16" s="41"/>
      <c r="SSY16" s="41"/>
      <c r="SSZ16" s="41"/>
      <c r="STA16" s="41"/>
      <c r="STB16" s="41"/>
      <c r="STC16" s="41"/>
      <c r="STD16" s="41"/>
      <c r="STE16" s="41"/>
      <c r="STF16" s="41"/>
      <c r="STG16" s="41"/>
      <c r="STH16" s="41"/>
      <c r="STI16" s="41"/>
      <c r="STJ16" s="41"/>
      <c r="STK16" s="41"/>
      <c r="STL16" s="41"/>
      <c r="STM16" s="41"/>
      <c r="STN16" s="41"/>
      <c r="STO16" s="41"/>
      <c r="STP16" s="41"/>
      <c r="STQ16" s="41"/>
      <c r="STR16" s="41"/>
      <c r="STS16" s="41"/>
      <c r="STT16" s="41"/>
      <c r="STU16" s="41"/>
      <c r="STV16" s="41"/>
      <c r="STW16" s="41"/>
      <c r="STX16" s="41"/>
      <c r="STY16" s="41"/>
      <c r="STZ16" s="41"/>
      <c r="SUA16" s="41"/>
      <c r="SUB16" s="41"/>
      <c r="SUC16" s="41"/>
      <c r="SUD16" s="41"/>
      <c r="SUE16" s="41"/>
      <c r="SUF16" s="41"/>
      <c r="SUG16" s="41"/>
      <c r="SUH16" s="41"/>
      <c r="SUI16" s="41"/>
      <c r="SUJ16" s="41"/>
      <c r="SUK16" s="41"/>
      <c r="SUL16" s="41"/>
      <c r="SUM16" s="41"/>
      <c r="SUN16" s="41"/>
      <c r="SUO16" s="41"/>
      <c r="SUP16" s="41"/>
      <c r="SUQ16" s="41"/>
      <c r="SUR16" s="41"/>
      <c r="SUS16" s="41"/>
      <c r="SUT16" s="41"/>
      <c r="SUU16" s="41"/>
      <c r="SUV16" s="41"/>
      <c r="SUW16" s="41"/>
      <c r="SUX16" s="41"/>
      <c r="SUY16" s="41"/>
      <c r="SUZ16" s="41"/>
      <c r="SVA16" s="41"/>
      <c r="SVB16" s="41"/>
      <c r="SVC16" s="41"/>
      <c r="SVD16" s="41"/>
      <c r="SVE16" s="41"/>
      <c r="SVF16" s="41"/>
      <c r="SVG16" s="41"/>
      <c r="SVH16" s="41"/>
      <c r="SVI16" s="41"/>
      <c r="SVJ16" s="41"/>
      <c r="SVK16" s="41"/>
      <c r="SVL16" s="41"/>
      <c r="SVM16" s="41"/>
      <c r="SVN16" s="41"/>
      <c r="SVO16" s="41"/>
      <c r="SVP16" s="41"/>
      <c r="SVQ16" s="41"/>
      <c r="SVR16" s="41"/>
      <c r="SVS16" s="41"/>
      <c r="SVT16" s="41"/>
      <c r="SVU16" s="41"/>
      <c r="SVV16" s="41"/>
      <c r="SVW16" s="41"/>
      <c r="SVX16" s="41"/>
      <c r="SVY16" s="41"/>
      <c r="SVZ16" s="41"/>
      <c r="SWA16" s="41"/>
      <c r="SWB16" s="41"/>
      <c r="SWC16" s="41"/>
      <c r="SWD16" s="41"/>
      <c r="SWE16" s="41"/>
      <c r="SWF16" s="41"/>
      <c r="SWG16" s="41"/>
      <c r="SWH16" s="41"/>
      <c r="SWI16" s="41"/>
      <c r="SWJ16" s="41"/>
      <c r="SWK16" s="41"/>
      <c r="SWL16" s="41"/>
      <c r="SWM16" s="41"/>
      <c r="SWN16" s="41"/>
      <c r="SWO16" s="41"/>
      <c r="SWP16" s="41"/>
      <c r="SWQ16" s="41"/>
      <c r="SWR16" s="41"/>
      <c r="SWS16" s="41"/>
      <c r="SWT16" s="41"/>
      <c r="SWU16" s="41"/>
      <c r="SWV16" s="41"/>
      <c r="SWW16" s="41"/>
      <c r="SWX16" s="41"/>
      <c r="SWY16" s="41"/>
      <c r="SWZ16" s="41"/>
      <c r="SXA16" s="41"/>
      <c r="SXB16" s="41"/>
      <c r="SXC16" s="41"/>
      <c r="SXD16" s="41"/>
      <c r="SXE16" s="41"/>
      <c r="SXF16" s="41"/>
      <c r="SXG16" s="41"/>
      <c r="SXH16" s="41"/>
      <c r="SXI16" s="41"/>
      <c r="SXJ16" s="41"/>
      <c r="SXK16" s="41"/>
      <c r="SXL16" s="41"/>
      <c r="SXM16" s="41"/>
      <c r="SXN16" s="41"/>
      <c r="SXO16" s="41"/>
      <c r="SXP16" s="41"/>
      <c r="SXQ16" s="41"/>
      <c r="SXR16" s="41"/>
      <c r="SXS16" s="41"/>
      <c r="SXT16" s="41"/>
      <c r="SXU16" s="41"/>
      <c r="SXV16" s="41"/>
      <c r="SXW16" s="41"/>
      <c r="SXX16" s="41"/>
      <c r="SXY16" s="41"/>
      <c r="SXZ16" s="41"/>
      <c r="SYA16" s="41"/>
      <c r="SYB16" s="41"/>
      <c r="SYC16" s="41"/>
      <c r="SYD16" s="41"/>
      <c r="SYE16" s="41"/>
      <c r="SYF16" s="41"/>
      <c r="SYG16" s="41"/>
      <c r="SYH16" s="41"/>
      <c r="SYI16" s="41"/>
      <c r="SYJ16" s="41"/>
      <c r="SYK16" s="41"/>
      <c r="SYL16" s="41"/>
      <c r="SYM16" s="41"/>
      <c r="SYN16" s="41"/>
      <c r="SYO16" s="41"/>
      <c r="SYP16" s="41"/>
      <c r="SYQ16" s="41"/>
      <c r="SYR16" s="41"/>
      <c r="SYS16" s="41"/>
      <c r="SYT16" s="41"/>
      <c r="SYU16" s="41"/>
      <c r="SYV16" s="41"/>
      <c r="SYW16" s="41"/>
      <c r="SYX16" s="41"/>
      <c r="SYY16" s="41"/>
      <c r="SYZ16" s="41"/>
      <c r="SZA16" s="41"/>
      <c r="SZB16" s="41"/>
      <c r="SZC16" s="41"/>
      <c r="SZD16" s="41"/>
      <c r="SZE16" s="41"/>
      <c r="SZF16" s="41"/>
      <c r="SZG16" s="41"/>
      <c r="SZH16" s="41"/>
      <c r="SZI16" s="41"/>
      <c r="SZJ16" s="41"/>
      <c r="SZK16" s="41"/>
      <c r="SZL16" s="41"/>
      <c r="SZM16" s="41"/>
      <c r="SZN16" s="41"/>
      <c r="SZO16" s="41"/>
      <c r="SZP16" s="41"/>
      <c r="SZQ16" s="41"/>
      <c r="SZR16" s="41"/>
      <c r="SZS16" s="41"/>
      <c r="SZT16" s="41"/>
      <c r="SZU16" s="41"/>
      <c r="SZV16" s="41"/>
      <c r="SZW16" s="41"/>
      <c r="SZX16" s="41"/>
      <c r="SZY16" s="41"/>
      <c r="SZZ16" s="41"/>
      <c r="TAA16" s="41"/>
      <c r="TAB16" s="41"/>
      <c r="TAC16" s="41"/>
      <c r="TAD16" s="41"/>
      <c r="TAE16" s="41"/>
      <c r="TAF16" s="41"/>
      <c r="TAG16" s="41"/>
      <c r="TAH16" s="41"/>
      <c r="TAI16" s="41"/>
      <c r="TAJ16" s="41"/>
      <c r="TAK16" s="41"/>
      <c r="TAL16" s="41"/>
      <c r="TAM16" s="41"/>
      <c r="TAN16" s="41"/>
      <c r="TAO16" s="41"/>
      <c r="TAP16" s="41"/>
      <c r="TAQ16" s="41"/>
      <c r="TAR16" s="41"/>
      <c r="TAS16" s="41"/>
      <c r="TAT16" s="41"/>
      <c r="TAU16" s="41"/>
      <c r="TAV16" s="41"/>
      <c r="TAW16" s="41"/>
      <c r="TAX16" s="41"/>
      <c r="TAY16" s="41"/>
      <c r="TAZ16" s="41"/>
      <c r="TBA16" s="41"/>
      <c r="TBB16" s="41"/>
      <c r="TBC16" s="41"/>
      <c r="TBD16" s="41"/>
      <c r="TBE16" s="41"/>
      <c r="TBF16" s="41"/>
      <c r="TBG16" s="41"/>
      <c r="TBH16" s="41"/>
      <c r="TBI16" s="41"/>
      <c r="TBJ16" s="41"/>
      <c r="TBK16" s="41"/>
      <c r="TBL16" s="41"/>
      <c r="TBM16" s="41"/>
      <c r="TBN16" s="41"/>
      <c r="TBO16" s="41"/>
      <c r="TBP16" s="41"/>
      <c r="TBQ16" s="41"/>
      <c r="TBR16" s="41"/>
      <c r="TBS16" s="41"/>
      <c r="TBT16" s="41"/>
      <c r="TBU16" s="41"/>
      <c r="TBV16" s="41"/>
      <c r="TBW16" s="41"/>
      <c r="TBX16" s="41"/>
      <c r="TBY16" s="41"/>
      <c r="TBZ16" s="41"/>
      <c r="TCA16" s="41"/>
      <c r="TCB16" s="41"/>
      <c r="TCC16" s="41"/>
      <c r="TCD16" s="41"/>
      <c r="TCE16" s="41"/>
      <c r="TCF16" s="41"/>
      <c r="TCG16" s="41"/>
      <c r="TCH16" s="41"/>
      <c r="TCI16" s="41"/>
      <c r="TCJ16" s="41"/>
      <c r="TCK16" s="41"/>
      <c r="TCL16" s="41"/>
      <c r="TCM16" s="41"/>
      <c r="TCN16" s="41"/>
      <c r="TCO16" s="41"/>
      <c r="TCP16" s="41"/>
      <c r="TCQ16" s="41"/>
      <c r="TCR16" s="41"/>
      <c r="TCS16" s="41"/>
      <c r="TCT16" s="41"/>
      <c r="TCU16" s="41"/>
      <c r="TCV16" s="41"/>
      <c r="TCW16" s="41"/>
      <c r="TCX16" s="41"/>
      <c r="TCY16" s="41"/>
      <c r="TCZ16" s="41"/>
      <c r="TDA16" s="41"/>
      <c r="TDB16" s="41"/>
      <c r="TDC16" s="41"/>
      <c r="TDD16" s="41"/>
      <c r="TDE16" s="41"/>
      <c r="TDF16" s="41"/>
      <c r="TDG16" s="41"/>
      <c r="TDH16" s="41"/>
      <c r="TDI16" s="41"/>
      <c r="TDJ16" s="41"/>
      <c r="TDK16" s="41"/>
      <c r="TDL16" s="41"/>
      <c r="TDM16" s="41"/>
      <c r="TDN16" s="41"/>
      <c r="TDO16" s="41"/>
      <c r="TDP16" s="41"/>
      <c r="TDQ16" s="41"/>
      <c r="TDR16" s="41"/>
      <c r="TDS16" s="41"/>
      <c r="TDT16" s="41"/>
      <c r="TDU16" s="41"/>
      <c r="TDV16" s="41"/>
      <c r="TDW16" s="41"/>
      <c r="TDX16" s="41"/>
      <c r="TDY16" s="41"/>
      <c r="TDZ16" s="41"/>
      <c r="TEA16" s="41"/>
      <c r="TEB16" s="41"/>
      <c r="TEC16" s="41"/>
      <c r="TED16" s="41"/>
      <c r="TEE16" s="41"/>
      <c r="TEF16" s="41"/>
      <c r="TEG16" s="41"/>
      <c r="TEH16" s="41"/>
      <c r="TEI16" s="41"/>
      <c r="TEJ16" s="41"/>
      <c r="TEK16" s="41"/>
      <c r="TEL16" s="41"/>
      <c r="TEM16" s="41"/>
      <c r="TEN16" s="41"/>
      <c r="TEO16" s="41"/>
      <c r="TEP16" s="41"/>
      <c r="TEQ16" s="41"/>
      <c r="TER16" s="41"/>
      <c r="TES16" s="41"/>
      <c r="TET16" s="41"/>
      <c r="TEU16" s="41"/>
      <c r="TEV16" s="41"/>
      <c r="TEW16" s="41"/>
      <c r="TEX16" s="41"/>
      <c r="TEY16" s="41"/>
      <c r="TEZ16" s="41"/>
      <c r="TFA16" s="41"/>
      <c r="TFB16" s="41"/>
      <c r="TFC16" s="41"/>
      <c r="TFD16" s="41"/>
      <c r="TFE16" s="41"/>
      <c r="TFF16" s="41"/>
      <c r="TFG16" s="41"/>
      <c r="TFH16" s="41"/>
      <c r="TFI16" s="41"/>
      <c r="TFJ16" s="41"/>
      <c r="TFK16" s="41"/>
      <c r="TFL16" s="41"/>
      <c r="TFM16" s="41"/>
      <c r="TFN16" s="41"/>
      <c r="TFO16" s="41"/>
      <c r="TFP16" s="41"/>
      <c r="TFQ16" s="41"/>
      <c r="TFR16" s="41"/>
      <c r="TFS16" s="41"/>
      <c r="TFT16" s="41"/>
      <c r="TFU16" s="41"/>
      <c r="TFV16" s="41"/>
      <c r="TFW16" s="41"/>
      <c r="TFX16" s="41"/>
      <c r="TFY16" s="41"/>
      <c r="TFZ16" s="41"/>
      <c r="TGA16" s="41"/>
      <c r="TGB16" s="41"/>
      <c r="TGC16" s="41"/>
      <c r="TGD16" s="41"/>
      <c r="TGE16" s="41"/>
      <c r="TGF16" s="41"/>
      <c r="TGG16" s="41"/>
      <c r="TGH16" s="41"/>
      <c r="TGI16" s="41"/>
      <c r="TGJ16" s="41"/>
      <c r="TGK16" s="41"/>
      <c r="TGL16" s="41"/>
      <c r="TGM16" s="41"/>
      <c r="TGN16" s="41"/>
      <c r="TGO16" s="41"/>
      <c r="TGP16" s="41"/>
      <c r="TGQ16" s="41"/>
      <c r="TGR16" s="41"/>
      <c r="TGS16" s="41"/>
      <c r="TGT16" s="41"/>
      <c r="TGU16" s="41"/>
      <c r="TGV16" s="41"/>
      <c r="TGW16" s="41"/>
      <c r="TGX16" s="41"/>
      <c r="TGY16" s="41"/>
      <c r="TGZ16" s="41"/>
      <c r="THA16" s="41"/>
      <c r="THB16" s="41"/>
      <c r="THC16" s="41"/>
      <c r="THD16" s="41"/>
      <c r="THE16" s="41"/>
      <c r="THF16" s="41"/>
      <c r="THG16" s="41"/>
      <c r="THH16" s="41"/>
      <c r="THI16" s="41"/>
      <c r="THJ16" s="41"/>
      <c r="THK16" s="41"/>
      <c r="THL16" s="41"/>
      <c r="THM16" s="41"/>
      <c r="THN16" s="41"/>
      <c r="THO16" s="41"/>
      <c r="THP16" s="41"/>
      <c r="THQ16" s="41"/>
      <c r="THR16" s="41"/>
      <c r="THS16" s="41"/>
      <c r="THT16" s="41"/>
      <c r="THU16" s="41"/>
      <c r="THV16" s="41"/>
      <c r="THW16" s="41"/>
      <c r="THX16" s="41"/>
      <c r="THY16" s="41"/>
      <c r="THZ16" s="41"/>
      <c r="TIA16" s="41"/>
      <c r="TIB16" s="41"/>
      <c r="TIC16" s="41"/>
      <c r="TID16" s="41"/>
      <c r="TIE16" s="41"/>
      <c r="TIF16" s="41"/>
      <c r="TIG16" s="41"/>
      <c r="TIH16" s="41"/>
      <c r="TII16" s="41"/>
      <c r="TIJ16" s="41"/>
      <c r="TIK16" s="41"/>
      <c r="TIL16" s="41"/>
      <c r="TIM16" s="41"/>
      <c r="TIN16" s="41"/>
      <c r="TIO16" s="41"/>
      <c r="TIP16" s="41"/>
      <c r="TIQ16" s="41"/>
      <c r="TIR16" s="41"/>
      <c r="TIS16" s="41"/>
      <c r="TIT16" s="41"/>
      <c r="TIU16" s="41"/>
      <c r="TIV16" s="41"/>
      <c r="TIW16" s="41"/>
      <c r="TIX16" s="41"/>
      <c r="TIY16" s="41"/>
      <c r="TIZ16" s="41"/>
      <c r="TJA16" s="41"/>
      <c r="TJB16" s="41"/>
      <c r="TJC16" s="41"/>
      <c r="TJD16" s="41"/>
      <c r="TJE16" s="41"/>
      <c r="TJF16" s="41"/>
      <c r="TJG16" s="41"/>
      <c r="TJH16" s="41"/>
      <c r="TJI16" s="41"/>
      <c r="TJJ16" s="41"/>
      <c r="TJK16" s="41"/>
      <c r="TJL16" s="41"/>
      <c r="TJM16" s="41"/>
      <c r="TJN16" s="41"/>
      <c r="TJO16" s="41"/>
      <c r="TJP16" s="41"/>
      <c r="TJQ16" s="41"/>
      <c r="TJR16" s="41"/>
      <c r="TJS16" s="41"/>
      <c r="TJT16" s="41"/>
      <c r="TJU16" s="41"/>
      <c r="TJV16" s="41"/>
      <c r="TJW16" s="41"/>
      <c r="TJX16" s="41"/>
      <c r="TJY16" s="41"/>
      <c r="TJZ16" s="41"/>
      <c r="TKA16" s="41"/>
      <c r="TKB16" s="41"/>
      <c r="TKC16" s="41"/>
      <c r="TKD16" s="41"/>
      <c r="TKE16" s="41"/>
      <c r="TKF16" s="41"/>
      <c r="TKG16" s="41"/>
      <c r="TKH16" s="41"/>
      <c r="TKI16" s="41"/>
      <c r="TKJ16" s="41"/>
      <c r="TKK16" s="41"/>
      <c r="TKL16" s="41"/>
      <c r="TKM16" s="41"/>
      <c r="TKN16" s="41"/>
      <c r="TKO16" s="41"/>
      <c r="TKP16" s="41"/>
      <c r="TKQ16" s="41"/>
      <c r="TKR16" s="41"/>
      <c r="TKS16" s="41"/>
      <c r="TKT16" s="41"/>
      <c r="TKU16" s="41"/>
      <c r="TKV16" s="41"/>
      <c r="TKW16" s="41"/>
      <c r="TKX16" s="41"/>
      <c r="TKY16" s="41"/>
      <c r="TKZ16" s="41"/>
      <c r="TLA16" s="41"/>
      <c r="TLB16" s="41"/>
      <c r="TLC16" s="41"/>
      <c r="TLD16" s="41"/>
      <c r="TLE16" s="41"/>
      <c r="TLF16" s="41"/>
      <c r="TLG16" s="41"/>
      <c r="TLH16" s="41"/>
      <c r="TLI16" s="41"/>
      <c r="TLJ16" s="41"/>
      <c r="TLK16" s="41"/>
      <c r="TLL16" s="41"/>
      <c r="TLM16" s="41"/>
      <c r="TLN16" s="41"/>
      <c r="TLO16" s="41"/>
      <c r="TLP16" s="41"/>
      <c r="TLQ16" s="41"/>
      <c r="TLR16" s="41"/>
      <c r="TLS16" s="41"/>
      <c r="TLT16" s="41"/>
      <c r="TLU16" s="41"/>
      <c r="TLV16" s="41"/>
      <c r="TLW16" s="41"/>
      <c r="TLX16" s="41"/>
      <c r="TLY16" s="41"/>
      <c r="TLZ16" s="41"/>
      <c r="TMA16" s="41"/>
      <c r="TMB16" s="41"/>
      <c r="TMC16" s="41"/>
      <c r="TMD16" s="41"/>
      <c r="TME16" s="41"/>
      <c r="TMF16" s="41"/>
      <c r="TMG16" s="41"/>
      <c r="TMH16" s="41"/>
      <c r="TMI16" s="41"/>
      <c r="TMJ16" s="41"/>
      <c r="TMK16" s="41"/>
      <c r="TML16" s="41"/>
      <c r="TMM16" s="41"/>
      <c r="TMN16" s="41"/>
      <c r="TMO16" s="41"/>
      <c r="TMP16" s="41"/>
      <c r="TMQ16" s="41"/>
      <c r="TMR16" s="41"/>
      <c r="TMS16" s="41"/>
      <c r="TMT16" s="41"/>
      <c r="TMU16" s="41"/>
      <c r="TMV16" s="41"/>
      <c r="TMW16" s="41"/>
      <c r="TMX16" s="41"/>
      <c r="TMY16" s="41"/>
      <c r="TMZ16" s="41"/>
      <c r="TNA16" s="41"/>
      <c r="TNB16" s="41"/>
      <c r="TNC16" s="41"/>
      <c r="TND16" s="41"/>
      <c r="TNE16" s="41"/>
      <c r="TNF16" s="41"/>
      <c r="TNG16" s="41"/>
      <c r="TNH16" s="41"/>
      <c r="TNI16" s="41"/>
      <c r="TNJ16" s="41"/>
      <c r="TNK16" s="41"/>
      <c r="TNL16" s="41"/>
      <c r="TNM16" s="41"/>
      <c r="TNN16" s="41"/>
      <c r="TNO16" s="41"/>
      <c r="TNP16" s="41"/>
      <c r="TNQ16" s="41"/>
      <c r="TNR16" s="41"/>
      <c r="TNS16" s="41"/>
      <c r="TNT16" s="41"/>
      <c r="TNU16" s="41"/>
      <c r="TNV16" s="41"/>
      <c r="TNW16" s="41"/>
      <c r="TNX16" s="41"/>
      <c r="TNY16" s="41"/>
      <c r="TNZ16" s="41"/>
      <c r="TOA16" s="41"/>
      <c r="TOB16" s="41"/>
      <c r="TOC16" s="41"/>
      <c r="TOD16" s="41"/>
      <c r="TOE16" s="41"/>
      <c r="TOF16" s="41"/>
      <c r="TOG16" s="41"/>
      <c r="TOH16" s="41"/>
      <c r="TOI16" s="41"/>
      <c r="TOJ16" s="41"/>
      <c r="TOK16" s="41"/>
      <c r="TOL16" s="41"/>
      <c r="TOM16" s="41"/>
      <c r="TON16" s="41"/>
      <c r="TOO16" s="41"/>
      <c r="TOP16" s="41"/>
      <c r="TOQ16" s="41"/>
      <c r="TOR16" s="41"/>
      <c r="TOS16" s="41"/>
      <c r="TOT16" s="41"/>
      <c r="TOU16" s="41"/>
      <c r="TOV16" s="41"/>
      <c r="TOW16" s="41"/>
      <c r="TOX16" s="41"/>
      <c r="TOY16" s="41"/>
      <c r="TOZ16" s="41"/>
      <c r="TPA16" s="41"/>
      <c r="TPB16" s="41"/>
      <c r="TPC16" s="41"/>
      <c r="TPD16" s="41"/>
      <c r="TPE16" s="41"/>
      <c r="TPF16" s="41"/>
      <c r="TPG16" s="41"/>
      <c r="TPH16" s="41"/>
      <c r="TPI16" s="41"/>
      <c r="TPJ16" s="41"/>
      <c r="TPK16" s="41"/>
      <c r="TPL16" s="41"/>
      <c r="TPM16" s="41"/>
      <c r="TPN16" s="41"/>
      <c r="TPO16" s="41"/>
      <c r="TPP16" s="41"/>
      <c r="TPQ16" s="41"/>
      <c r="TPR16" s="41"/>
      <c r="TPS16" s="41"/>
      <c r="TPT16" s="41"/>
      <c r="TPU16" s="41"/>
      <c r="TPV16" s="41"/>
      <c r="TPW16" s="41"/>
      <c r="TPX16" s="41"/>
      <c r="TPY16" s="41"/>
      <c r="TPZ16" s="41"/>
      <c r="TQA16" s="41"/>
      <c r="TQB16" s="41"/>
      <c r="TQC16" s="41"/>
      <c r="TQD16" s="41"/>
      <c r="TQE16" s="41"/>
      <c r="TQF16" s="41"/>
      <c r="TQG16" s="41"/>
      <c r="TQH16" s="41"/>
      <c r="TQI16" s="41"/>
      <c r="TQJ16" s="41"/>
      <c r="TQK16" s="41"/>
      <c r="TQL16" s="41"/>
      <c r="TQM16" s="41"/>
      <c r="TQN16" s="41"/>
      <c r="TQO16" s="41"/>
      <c r="TQP16" s="41"/>
      <c r="TQQ16" s="41"/>
      <c r="TQR16" s="41"/>
      <c r="TQS16" s="41"/>
      <c r="TQT16" s="41"/>
      <c r="TQU16" s="41"/>
      <c r="TQV16" s="41"/>
      <c r="TQW16" s="41"/>
      <c r="TQX16" s="41"/>
      <c r="TQY16" s="41"/>
      <c r="TQZ16" s="41"/>
      <c r="TRA16" s="41"/>
      <c r="TRB16" s="41"/>
      <c r="TRC16" s="41"/>
      <c r="TRD16" s="41"/>
      <c r="TRE16" s="41"/>
      <c r="TRF16" s="41"/>
      <c r="TRG16" s="41"/>
      <c r="TRH16" s="41"/>
      <c r="TRI16" s="41"/>
      <c r="TRJ16" s="41"/>
      <c r="TRK16" s="41"/>
      <c r="TRL16" s="41"/>
      <c r="TRM16" s="41"/>
      <c r="TRN16" s="41"/>
      <c r="TRO16" s="41"/>
      <c r="TRP16" s="41"/>
      <c r="TRQ16" s="41"/>
      <c r="TRR16" s="41"/>
      <c r="TRS16" s="41"/>
      <c r="TRT16" s="41"/>
      <c r="TRU16" s="41"/>
      <c r="TRV16" s="41"/>
      <c r="TRW16" s="41"/>
      <c r="TRX16" s="41"/>
      <c r="TRY16" s="41"/>
      <c r="TRZ16" s="41"/>
      <c r="TSA16" s="41"/>
      <c r="TSB16" s="41"/>
      <c r="TSC16" s="41"/>
      <c r="TSD16" s="41"/>
      <c r="TSE16" s="41"/>
      <c r="TSF16" s="41"/>
      <c r="TSG16" s="41"/>
      <c r="TSH16" s="41"/>
      <c r="TSI16" s="41"/>
      <c r="TSJ16" s="41"/>
      <c r="TSK16" s="41"/>
      <c r="TSL16" s="41"/>
      <c r="TSM16" s="41"/>
      <c r="TSN16" s="41"/>
      <c r="TSO16" s="41"/>
      <c r="TSP16" s="41"/>
      <c r="TSQ16" s="41"/>
      <c r="TSR16" s="41"/>
      <c r="TSS16" s="41"/>
      <c r="TST16" s="41"/>
      <c r="TSU16" s="41"/>
      <c r="TSV16" s="41"/>
      <c r="TSW16" s="41"/>
      <c r="TSX16" s="41"/>
      <c r="TSY16" s="41"/>
      <c r="TSZ16" s="41"/>
      <c r="TTA16" s="41"/>
      <c r="TTB16" s="41"/>
      <c r="TTC16" s="41"/>
      <c r="TTD16" s="41"/>
      <c r="TTE16" s="41"/>
      <c r="TTF16" s="41"/>
      <c r="TTG16" s="41"/>
      <c r="TTH16" s="41"/>
      <c r="TTI16" s="41"/>
      <c r="TTJ16" s="41"/>
      <c r="TTK16" s="41"/>
      <c r="TTL16" s="41"/>
      <c r="TTM16" s="41"/>
      <c r="TTN16" s="41"/>
      <c r="TTO16" s="41"/>
      <c r="TTP16" s="41"/>
      <c r="TTQ16" s="41"/>
      <c r="TTR16" s="41"/>
      <c r="TTS16" s="41"/>
      <c r="TTT16" s="41"/>
      <c r="TTU16" s="41"/>
      <c r="TTV16" s="41"/>
      <c r="TTW16" s="41"/>
      <c r="TTX16" s="41"/>
      <c r="TTY16" s="41"/>
      <c r="TTZ16" s="41"/>
      <c r="TUA16" s="41"/>
      <c r="TUB16" s="41"/>
      <c r="TUC16" s="41"/>
      <c r="TUD16" s="41"/>
      <c r="TUE16" s="41"/>
      <c r="TUF16" s="41"/>
      <c r="TUG16" s="41"/>
      <c r="TUH16" s="41"/>
      <c r="TUI16" s="41"/>
      <c r="TUJ16" s="41"/>
      <c r="TUK16" s="41"/>
      <c r="TUL16" s="41"/>
      <c r="TUM16" s="41"/>
      <c r="TUN16" s="41"/>
      <c r="TUO16" s="41"/>
      <c r="TUP16" s="41"/>
      <c r="TUQ16" s="41"/>
      <c r="TUR16" s="41"/>
      <c r="TUS16" s="41"/>
      <c r="TUT16" s="41"/>
      <c r="TUU16" s="41"/>
      <c r="TUV16" s="41"/>
      <c r="TUW16" s="41"/>
      <c r="TUX16" s="41"/>
      <c r="TUY16" s="41"/>
      <c r="TUZ16" s="41"/>
      <c r="TVA16" s="41"/>
      <c r="TVB16" s="41"/>
      <c r="TVC16" s="41"/>
      <c r="TVD16" s="41"/>
      <c r="TVE16" s="41"/>
      <c r="TVF16" s="41"/>
      <c r="TVG16" s="41"/>
      <c r="TVH16" s="41"/>
      <c r="TVI16" s="41"/>
      <c r="TVJ16" s="41"/>
      <c r="TVK16" s="41"/>
      <c r="TVL16" s="41"/>
      <c r="TVM16" s="41"/>
      <c r="TVN16" s="41"/>
      <c r="TVO16" s="41"/>
      <c r="TVP16" s="41"/>
      <c r="TVQ16" s="41"/>
      <c r="TVR16" s="41"/>
      <c r="TVS16" s="41"/>
      <c r="TVT16" s="41"/>
      <c r="TVU16" s="41"/>
      <c r="TVV16" s="41"/>
      <c r="TVW16" s="41"/>
      <c r="TVX16" s="41"/>
      <c r="TVY16" s="41"/>
      <c r="TVZ16" s="41"/>
      <c r="TWA16" s="41"/>
      <c r="TWB16" s="41"/>
      <c r="TWC16" s="41"/>
      <c r="TWD16" s="41"/>
      <c r="TWE16" s="41"/>
      <c r="TWF16" s="41"/>
      <c r="TWG16" s="41"/>
      <c r="TWH16" s="41"/>
      <c r="TWI16" s="41"/>
      <c r="TWJ16" s="41"/>
      <c r="TWK16" s="41"/>
      <c r="TWL16" s="41"/>
      <c r="TWM16" s="41"/>
      <c r="TWN16" s="41"/>
      <c r="TWO16" s="41"/>
      <c r="TWP16" s="41"/>
      <c r="TWQ16" s="41"/>
      <c r="TWR16" s="41"/>
      <c r="TWS16" s="41"/>
      <c r="TWT16" s="41"/>
      <c r="TWU16" s="41"/>
      <c r="TWV16" s="41"/>
      <c r="TWW16" s="41"/>
      <c r="TWX16" s="41"/>
      <c r="TWY16" s="41"/>
      <c r="TWZ16" s="41"/>
      <c r="TXA16" s="41"/>
      <c r="TXB16" s="41"/>
      <c r="TXC16" s="41"/>
      <c r="TXD16" s="41"/>
      <c r="TXE16" s="41"/>
      <c r="TXF16" s="41"/>
      <c r="TXG16" s="41"/>
      <c r="TXH16" s="41"/>
      <c r="TXI16" s="41"/>
      <c r="TXJ16" s="41"/>
      <c r="TXK16" s="41"/>
      <c r="TXL16" s="41"/>
      <c r="TXM16" s="41"/>
      <c r="TXN16" s="41"/>
      <c r="TXO16" s="41"/>
      <c r="TXP16" s="41"/>
      <c r="TXQ16" s="41"/>
      <c r="TXR16" s="41"/>
      <c r="TXS16" s="41"/>
      <c r="TXT16" s="41"/>
      <c r="TXU16" s="41"/>
      <c r="TXV16" s="41"/>
      <c r="TXW16" s="41"/>
      <c r="TXX16" s="41"/>
      <c r="TXY16" s="41"/>
      <c r="TXZ16" s="41"/>
      <c r="TYA16" s="41"/>
      <c r="TYB16" s="41"/>
      <c r="TYC16" s="41"/>
      <c r="TYD16" s="41"/>
      <c r="TYE16" s="41"/>
      <c r="TYF16" s="41"/>
      <c r="TYG16" s="41"/>
      <c r="TYH16" s="41"/>
      <c r="TYI16" s="41"/>
      <c r="TYJ16" s="41"/>
      <c r="TYK16" s="41"/>
      <c r="TYL16" s="41"/>
      <c r="TYM16" s="41"/>
      <c r="TYN16" s="41"/>
      <c r="TYO16" s="41"/>
      <c r="TYP16" s="41"/>
      <c r="TYQ16" s="41"/>
      <c r="TYR16" s="41"/>
      <c r="TYS16" s="41"/>
      <c r="TYT16" s="41"/>
      <c r="TYU16" s="41"/>
      <c r="TYV16" s="41"/>
      <c r="TYW16" s="41"/>
      <c r="TYX16" s="41"/>
      <c r="TYY16" s="41"/>
      <c r="TYZ16" s="41"/>
      <c r="TZA16" s="41"/>
      <c r="TZB16" s="41"/>
      <c r="TZC16" s="41"/>
      <c r="TZD16" s="41"/>
      <c r="TZE16" s="41"/>
      <c r="TZF16" s="41"/>
      <c r="TZG16" s="41"/>
      <c r="TZH16" s="41"/>
      <c r="TZI16" s="41"/>
      <c r="TZJ16" s="41"/>
      <c r="TZK16" s="41"/>
      <c r="TZL16" s="41"/>
      <c r="TZM16" s="41"/>
      <c r="TZN16" s="41"/>
      <c r="TZO16" s="41"/>
      <c r="TZP16" s="41"/>
      <c r="TZQ16" s="41"/>
      <c r="TZR16" s="41"/>
      <c r="TZS16" s="41"/>
      <c r="TZT16" s="41"/>
      <c r="TZU16" s="41"/>
      <c r="TZV16" s="41"/>
      <c r="TZW16" s="41"/>
      <c r="TZX16" s="41"/>
      <c r="TZY16" s="41"/>
      <c r="TZZ16" s="41"/>
      <c r="UAA16" s="41"/>
      <c r="UAB16" s="41"/>
      <c r="UAC16" s="41"/>
      <c r="UAD16" s="41"/>
      <c r="UAE16" s="41"/>
      <c r="UAF16" s="41"/>
      <c r="UAG16" s="41"/>
      <c r="UAH16" s="41"/>
      <c r="UAI16" s="41"/>
      <c r="UAJ16" s="41"/>
      <c r="UAK16" s="41"/>
      <c r="UAL16" s="41"/>
      <c r="UAM16" s="41"/>
      <c r="UAN16" s="41"/>
      <c r="UAO16" s="41"/>
      <c r="UAP16" s="41"/>
      <c r="UAQ16" s="41"/>
      <c r="UAR16" s="41"/>
      <c r="UAS16" s="41"/>
      <c r="UAT16" s="41"/>
      <c r="UAU16" s="41"/>
      <c r="UAV16" s="41"/>
      <c r="UAW16" s="41"/>
      <c r="UAX16" s="41"/>
      <c r="UAY16" s="41"/>
      <c r="UAZ16" s="41"/>
      <c r="UBA16" s="41"/>
      <c r="UBB16" s="41"/>
      <c r="UBC16" s="41"/>
      <c r="UBD16" s="41"/>
      <c r="UBE16" s="41"/>
      <c r="UBF16" s="41"/>
      <c r="UBG16" s="41"/>
      <c r="UBH16" s="41"/>
      <c r="UBI16" s="41"/>
      <c r="UBJ16" s="41"/>
      <c r="UBK16" s="41"/>
      <c r="UBL16" s="41"/>
      <c r="UBM16" s="41"/>
      <c r="UBN16" s="41"/>
      <c r="UBO16" s="41"/>
      <c r="UBP16" s="41"/>
      <c r="UBQ16" s="41"/>
      <c r="UBR16" s="41"/>
      <c r="UBS16" s="41"/>
      <c r="UBT16" s="41"/>
      <c r="UBU16" s="41"/>
      <c r="UBV16" s="41"/>
      <c r="UBW16" s="41"/>
      <c r="UBX16" s="41"/>
      <c r="UBY16" s="41"/>
      <c r="UBZ16" s="41"/>
      <c r="UCA16" s="41"/>
      <c r="UCB16" s="41"/>
      <c r="UCC16" s="41"/>
      <c r="UCD16" s="41"/>
      <c r="UCE16" s="41"/>
      <c r="UCF16" s="41"/>
      <c r="UCG16" s="41"/>
      <c r="UCH16" s="41"/>
      <c r="UCI16" s="41"/>
      <c r="UCJ16" s="41"/>
      <c r="UCK16" s="41"/>
      <c r="UCL16" s="41"/>
      <c r="UCM16" s="41"/>
      <c r="UCN16" s="41"/>
      <c r="UCO16" s="41"/>
      <c r="UCP16" s="41"/>
      <c r="UCQ16" s="41"/>
      <c r="UCR16" s="41"/>
      <c r="UCS16" s="41"/>
      <c r="UCT16" s="41"/>
      <c r="UCU16" s="41"/>
      <c r="UCV16" s="41"/>
      <c r="UCW16" s="41"/>
      <c r="UCX16" s="41"/>
      <c r="UCY16" s="41"/>
      <c r="UCZ16" s="41"/>
      <c r="UDA16" s="41"/>
      <c r="UDB16" s="41"/>
      <c r="UDC16" s="41"/>
      <c r="UDD16" s="41"/>
      <c r="UDE16" s="41"/>
      <c r="UDF16" s="41"/>
      <c r="UDG16" s="41"/>
      <c r="UDH16" s="41"/>
      <c r="UDI16" s="41"/>
      <c r="UDJ16" s="41"/>
      <c r="UDK16" s="41"/>
      <c r="UDL16" s="41"/>
      <c r="UDM16" s="41"/>
      <c r="UDN16" s="41"/>
      <c r="UDO16" s="41"/>
      <c r="UDP16" s="41"/>
      <c r="UDQ16" s="41"/>
      <c r="UDR16" s="41"/>
      <c r="UDS16" s="41"/>
      <c r="UDT16" s="41"/>
      <c r="UDU16" s="41"/>
      <c r="UDV16" s="41"/>
      <c r="UDW16" s="41"/>
      <c r="UDX16" s="41"/>
      <c r="UDY16" s="41"/>
      <c r="UDZ16" s="41"/>
      <c r="UEA16" s="41"/>
      <c r="UEB16" s="41"/>
      <c r="UEC16" s="41"/>
      <c r="UED16" s="41"/>
      <c r="UEE16" s="41"/>
      <c r="UEF16" s="41"/>
      <c r="UEG16" s="41"/>
      <c r="UEH16" s="41"/>
      <c r="UEI16" s="41"/>
      <c r="UEJ16" s="41"/>
      <c r="UEK16" s="41"/>
      <c r="UEL16" s="41"/>
      <c r="UEM16" s="41"/>
      <c r="UEN16" s="41"/>
      <c r="UEO16" s="41"/>
      <c r="UEP16" s="41"/>
      <c r="UEQ16" s="41"/>
      <c r="UER16" s="41"/>
      <c r="UES16" s="41"/>
      <c r="UET16" s="41"/>
      <c r="UEU16" s="41"/>
      <c r="UEV16" s="41"/>
      <c r="UEW16" s="41"/>
      <c r="UEX16" s="41"/>
      <c r="UEY16" s="41"/>
      <c r="UEZ16" s="41"/>
      <c r="UFA16" s="41"/>
      <c r="UFB16" s="41"/>
      <c r="UFC16" s="41"/>
      <c r="UFD16" s="41"/>
      <c r="UFE16" s="41"/>
      <c r="UFF16" s="41"/>
      <c r="UFG16" s="41"/>
      <c r="UFH16" s="41"/>
      <c r="UFI16" s="41"/>
      <c r="UFJ16" s="41"/>
      <c r="UFK16" s="41"/>
      <c r="UFL16" s="41"/>
      <c r="UFM16" s="41"/>
      <c r="UFN16" s="41"/>
      <c r="UFO16" s="41"/>
      <c r="UFP16" s="41"/>
      <c r="UFQ16" s="41"/>
      <c r="UFR16" s="41"/>
      <c r="UFS16" s="41"/>
      <c r="UFT16" s="41"/>
      <c r="UFU16" s="41"/>
      <c r="UFV16" s="41"/>
      <c r="UFW16" s="41"/>
      <c r="UFX16" s="41"/>
      <c r="UFY16" s="41"/>
      <c r="UFZ16" s="41"/>
      <c r="UGA16" s="41"/>
      <c r="UGB16" s="41"/>
      <c r="UGC16" s="41"/>
      <c r="UGD16" s="41"/>
      <c r="UGE16" s="41"/>
      <c r="UGF16" s="41"/>
      <c r="UGG16" s="41"/>
      <c r="UGH16" s="41"/>
      <c r="UGI16" s="41"/>
      <c r="UGJ16" s="41"/>
      <c r="UGK16" s="41"/>
      <c r="UGL16" s="41"/>
      <c r="UGM16" s="41"/>
      <c r="UGN16" s="41"/>
      <c r="UGO16" s="41"/>
      <c r="UGP16" s="41"/>
      <c r="UGQ16" s="41"/>
      <c r="UGR16" s="41"/>
      <c r="UGS16" s="41"/>
      <c r="UGT16" s="41"/>
      <c r="UGU16" s="41"/>
      <c r="UGV16" s="41"/>
      <c r="UGW16" s="41"/>
      <c r="UGX16" s="41"/>
      <c r="UGY16" s="41"/>
      <c r="UGZ16" s="41"/>
      <c r="UHA16" s="41"/>
      <c r="UHB16" s="41"/>
      <c r="UHC16" s="41"/>
      <c r="UHD16" s="41"/>
      <c r="UHE16" s="41"/>
      <c r="UHF16" s="41"/>
      <c r="UHG16" s="41"/>
      <c r="UHH16" s="41"/>
      <c r="UHI16" s="41"/>
      <c r="UHJ16" s="41"/>
      <c r="UHK16" s="41"/>
      <c r="UHL16" s="41"/>
      <c r="UHM16" s="41"/>
      <c r="UHN16" s="41"/>
      <c r="UHO16" s="41"/>
      <c r="UHP16" s="41"/>
      <c r="UHQ16" s="41"/>
      <c r="UHR16" s="41"/>
      <c r="UHS16" s="41"/>
      <c r="UHT16" s="41"/>
      <c r="UHU16" s="41"/>
      <c r="UHV16" s="41"/>
      <c r="UHW16" s="41"/>
      <c r="UHX16" s="41"/>
      <c r="UHY16" s="41"/>
      <c r="UHZ16" s="41"/>
      <c r="UIA16" s="41"/>
      <c r="UIB16" s="41"/>
      <c r="UIC16" s="41"/>
      <c r="UID16" s="41"/>
      <c r="UIE16" s="41"/>
      <c r="UIF16" s="41"/>
      <c r="UIG16" s="41"/>
      <c r="UIH16" s="41"/>
      <c r="UII16" s="41"/>
      <c r="UIJ16" s="41"/>
      <c r="UIK16" s="41"/>
      <c r="UIL16" s="41"/>
      <c r="UIM16" s="41"/>
      <c r="UIN16" s="41"/>
      <c r="UIO16" s="41"/>
      <c r="UIP16" s="41"/>
      <c r="UIQ16" s="41"/>
      <c r="UIR16" s="41"/>
      <c r="UIS16" s="41"/>
      <c r="UIT16" s="41"/>
      <c r="UIU16" s="41"/>
      <c r="UIV16" s="41"/>
      <c r="UIW16" s="41"/>
      <c r="UIX16" s="41"/>
      <c r="UIY16" s="41"/>
      <c r="UIZ16" s="41"/>
      <c r="UJA16" s="41"/>
      <c r="UJB16" s="41"/>
      <c r="UJC16" s="41"/>
      <c r="UJD16" s="41"/>
      <c r="UJE16" s="41"/>
      <c r="UJF16" s="41"/>
      <c r="UJG16" s="41"/>
      <c r="UJH16" s="41"/>
      <c r="UJI16" s="41"/>
      <c r="UJJ16" s="41"/>
      <c r="UJK16" s="41"/>
      <c r="UJL16" s="41"/>
      <c r="UJM16" s="41"/>
      <c r="UJN16" s="41"/>
      <c r="UJO16" s="41"/>
      <c r="UJP16" s="41"/>
      <c r="UJQ16" s="41"/>
      <c r="UJR16" s="41"/>
      <c r="UJS16" s="41"/>
      <c r="UJT16" s="41"/>
      <c r="UJU16" s="41"/>
      <c r="UJV16" s="41"/>
      <c r="UJW16" s="41"/>
      <c r="UJX16" s="41"/>
      <c r="UJY16" s="41"/>
      <c r="UJZ16" s="41"/>
      <c r="UKA16" s="41"/>
      <c r="UKB16" s="41"/>
      <c r="UKC16" s="41"/>
      <c r="UKD16" s="41"/>
      <c r="UKE16" s="41"/>
      <c r="UKF16" s="41"/>
      <c r="UKG16" s="41"/>
      <c r="UKH16" s="41"/>
      <c r="UKI16" s="41"/>
      <c r="UKJ16" s="41"/>
      <c r="UKK16" s="41"/>
      <c r="UKL16" s="41"/>
      <c r="UKM16" s="41"/>
      <c r="UKN16" s="41"/>
      <c r="UKO16" s="41"/>
      <c r="UKP16" s="41"/>
      <c r="UKQ16" s="41"/>
      <c r="UKR16" s="41"/>
      <c r="UKS16" s="41"/>
      <c r="UKT16" s="41"/>
      <c r="UKU16" s="41"/>
      <c r="UKV16" s="41"/>
      <c r="UKW16" s="41"/>
      <c r="UKX16" s="41"/>
      <c r="UKY16" s="41"/>
      <c r="UKZ16" s="41"/>
      <c r="ULA16" s="41"/>
      <c r="ULB16" s="41"/>
      <c r="ULC16" s="41"/>
      <c r="ULD16" s="41"/>
      <c r="ULE16" s="41"/>
      <c r="ULF16" s="41"/>
      <c r="ULG16" s="41"/>
      <c r="ULH16" s="41"/>
      <c r="ULI16" s="41"/>
      <c r="ULJ16" s="41"/>
      <c r="ULK16" s="41"/>
      <c r="ULL16" s="41"/>
      <c r="ULM16" s="41"/>
      <c r="ULN16" s="41"/>
      <c r="ULO16" s="41"/>
      <c r="ULP16" s="41"/>
      <c r="ULQ16" s="41"/>
      <c r="ULR16" s="41"/>
      <c r="ULS16" s="41"/>
      <c r="ULT16" s="41"/>
      <c r="ULU16" s="41"/>
      <c r="ULV16" s="41"/>
      <c r="ULW16" s="41"/>
      <c r="ULX16" s="41"/>
      <c r="ULY16" s="41"/>
      <c r="ULZ16" s="41"/>
      <c r="UMA16" s="41"/>
      <c r="UMB16" s="41"/>
      <c r="UMC16" s="41"/>
      <c r="UMD16" s="41"/>
      <c r="UME16" s="41"/>
      <c r="UMF16" s="41"/>
      <c r="UMG16" s="41"/>
      <c r="UMH16" s="41"/>
      <c r="UMI16" s="41"/>
      <c r="UMJ16" s="41"/>
      <c r="UMK16" s="41"/>
      <c r="UML16" s="41"/>
      <c r="UMM16" s="41"/>
      <c r="UMN16" s="41"/>
      <c r="UMO16" s="41"/>
      <c r="UMP16" s="41"/>
      <c r="UMQ16" s="41"/>
      <c r="UMR16" s="41"/>
      <c r="UMS16" s="41"/>
      <c r="UMT16" s="41"/>
      <c r="UMU16" s="41"/>
      <c r="UMV16" s="41"/>
      <c r="UMW16" s="41"/>
      <c r="UMX16" s="41"/>
      <c r="UMY16" s="41"/>
      <c r="UMZ16" s="41"/>
      <c r="UNA16" s="41"/>
      <c r="UNB16" s="41"/>
      <c r="UNC16" s="41"/>
      <c r="UND16" s="41"/>
      <c r="UNE16" s="41"/>
      <c r="UNF16" s="41"/>
      <c r="UNG16" s="41"/>
      <c r="UNH16" s="41"/>
      <c r="UNI16" s="41"/>
      <c r="UNJ16" s="41"/>
      <c r="UNK16" s="41"/>
      <c r="UNL16" s="41"/>
      <c r="UNM16" s="41"/>
      <c r="UNN16" s="41"/>
      <c r="UNO16" s="41"/>
      <c r="UNP16" s="41"/>
      <c r="UNQ16" s="41"/>
      <c r="UNR16" s="41"/>
      <c r="UNS16" s="41"/>
      <c r="UNT16" s="41"/>
      <c r="UNU16" s="41"/>
      <c r="UNV16" s="41"/>
      <c r="UNW16" s="41"/>
      <c r="UNX16" s="41"/>
      <c r="UNY16" s="41"/>
      <c r="UNZ16" s="41"/>
      <c r="UOA16" s="41"/>
      <c r="UOB16" s="41"/>
      <c r="UOC16" s="41"/>
      <c r="UOD16" s="41"/>
      <c r="UOE16" s="41"/>
      <c r="UOF16" s="41"/>
      <c r="UOG16" s="41"/>
      <c r="UOH16" s="41"/>
      <c r="UOI16" s="41"/>
      <c r="UOJ16" s="41"/>
      <c r="UOK16" s="41"/>
      <c r="UOL16" s="41"/>
      <c r="UOM16" s="41"/>
      <c r="UON16" s="41"/>
      <c r="UOO16" s="41"/>
      <c r="UOP16" s="41"/>
      <c r="UOQ16" s="41"/>
      <c r="UOR16" s="41"/>
      <c r="UOS16" s="41"/>
      <c r="UOT16" s="41"/>
      <c r="UOU16" s="41"/>
      <c r="UOV16" s="41"/>
      <c r="UOW16" s="41"/>
      <c r="UOX16" s="41"/>
      <c r="UOY16" s="41"/>
      <c r="UOZ16" s="41"/>
      <c r="UPA16" s="41"/>
      <c r="UPB16" s="41"/>
      <c r="UPC16" s="41"/>
      <c r="UPD16" s="41"/>
      <c r="UPE16" s="41"/>
      <c r="UPF16" s="41"/>
      <c r="UPG16" s="41"/>
      <c r="UPH16" s="41"/>
      <c r="UPI16" s="41"/>
      <c r="UPJ16" s="41"/>
      <c r="UPK16" s="41"/>
      <c r="UPL16" s="41"/>
      <c r="UPM16" s="41"/>
      <c r="UPN16" s="41"/>
      <c r="UPO16" s="41"/>
      <c r="UPP16" s="41"/>
      <c r="UPQ16" s="41"/>
      <c r="UPR16" s="41"/>
      <c r="UPS16" s="41"/>
      <c r="UPT16" s="41"/>
      <c r="UPU16" s="41"/>
      <c r="UPV16" s="41"/>
      <c r="UPW16" s="41"/>
      <c r="UPX16" s="41"/>
      <c r="UPY16" s="41"/>
      <c r="UPZ16" s="41"/>
      <c r="UQA16" s="41"/>
      <c r="UQB16" s="41"/>
      <c r="UQC16" s="41"/>
      <c r="UQD16" s="41"/>
      <c r="UQE16" s="41"/>
      <c r="UQF16" s="41"/>
      <c r="UQG16" s="41"/>
      <c r="UQH16" s="41"/>
      <c r="UQI16" s="41"/>
      <c r="UQJ16" s="41"/>
      <c r="UQK16" s="41"/>
      <c r="UQL16" s="41"/>
      <c r="UQM16" s="41"/>
      <c r="UQN16" s="41"/>
      <c r="UQO16" s="41"/>
      <c r="UQP16" s="41"/>
      <c r="UQQ16" s="41"/>
      <c r="UQR16" s="41"/>
      <c r="UQS16" s="41"/>
      <c r="UQT16" s="41"/>
      <c r="UQU16" s="41"/>
      <c r="UQV16" s="41"/>
      <c r="UQW16" s="41"/>
      <c r="UQX16" s="41"/>
      <c r="UQY16" s="41"/>
      <c r="UQZ16" s="41"/>
      <c r="URA16" s="41"/>
      <c r="URB16" s="41"/>
      <c r="URC16" s="41"/>
      <c r="URD16" s="41"/>
      <c r="URE16" s="41"/>
      <c r="URF16" s="41"/>
      <c r="URG16" s="41"/>
      <c r="URH16" s="41"/>
      <c r="URI16" s="41"/>
      <c r="URJ16" s="41"/>
      <c r="URK16" s="41"/>
      <c r="URL16" s="41"/>
      <c r="URM16" s="41"/>
      <c r="URN16" s="41"/>
      <c r="URO16" s="41"/>
      <c r="URP16" s="41"/>
      <c r="URQ16" s="41"/>
      <c r="URR16" s="41"/>
      <c r="URS16" s="41"/>
      <c r="URT16" s="41"/>
      <c r="URU16" s="41"/>
      <c r="URV16" s="41"/>
      <c r="URW16" s="41"/>
      <c r="URX16" s="41"/>
      <c r="URY16" s="41"/>
      <c r="URZ16" s="41"/>
      <c r="USA16" s="41"/>
      <c r="USB16" s="41"/>
      <c r="USC16" s="41"/>
      <c r="USD16" s="41"/>
      <c r="USE16" s="41"/>
      <c r="USF16" s="41"/>
      <c r="USG16" s="41"/>
      <c r="USH16" s="41"/>
      <c r="USI16" s="41"/>
      <c r="USJ16" s="41"/>
      <c r="USK16" s="41"/>
      <c r="USL16" s="41"/>
      <c r="USM16" s="41"/>
      <c r="USN16" s="41"/>
      <c r="USO16" s="41"/>
      <c r="USP16" s="41"/>
      <c r="USQ16" s="41"/>
      <c r="USR16" s="41"/>
      <c r="USS16" s="41"/>
      <c r="UST16" s="41"/>
      <c r="USU16" s="41"/>
      <c r="USV16" s="41"/>
      <c r="USW16" s="41"/>
      <c r="USX16" s="41"/>
      <c r="USY16" s="41"/>
      <c r="USZ16" s="41"/>
      <c r="UTA16" s="41"/>
      <c r="UTB16" s="41"/>
      <c r="UTC16" s="41"/>
      <c r="UTD16" s="41"/>
      <c r="UTE16" s="41"/>
      <c r="UTF16" s="41"/>
      <c r="UTG16" s="41"/>
      <c r="UTH16" s="41"/>
      <c r="UTI16" s="41"/>
      <c r="UTJ16" s="41"/>
      <c r="UTK16" s="41"/>
      <c r="UTL16" s="41"/>
      <c r="UTM16" s="41"/>
      <c r="UTN16" s="41"/>
      <c r="UTO16" s="41"/>
      <c r="UTP16" s="41"/>
      <c r="UTQ16" s="41"/>
      <c r="UTR16" s="41"/>
      <c r="UTS16" s="41"/>
      <c r="UTT16" s="41"/>
      <c r="UTU16" s="41"/>
      <c r="UTV16" s="41"/>
      <c r="UTW16" s="41"/>
      <c r="UTX16" s="41"/>
      <c r="UTY16" s="41"/>
      <c r="UTZ16" s="41"/>
      <c r="UUA16" s="41"/>
      <c r="UUB16" s="41"/>
      <c r="UUC16" s="41"/>
      <c r="UUD16" s="41"/>
      <c r="UUE16" s="41"/>
      <c r="UUF16" s="41"/>
      <c r="UUG16" s="41"/>
      <c r="UUH16" s="41"/>
      <c r="UUI16" s="41"/>
      <c r="UUJ16" s="41"/>
      <c r="UUK16" s="41"/>
      <c r="UUL16" s="41"/>
      <c r="UUM16" s="41"/>
      <c r="UUN16" s="41"/>
      <c r="UUO16" s="41"/>
      <c r="UUP16" s="41"/>
      <c r="UUQ16" s="41"/>
      <c r="UUR16" s="41"/>
      <c r="UUS16" s="41"/>
      <c r="UUT16" s="41"/>
      <c r="UUU16" s="41"/>
      <c r="UUV16" s="41"/>
      <c r="UUW16" s="41"/>
      <c r="UUX16" s="41"/>
      <c r="UUY16" s="41"/>
      <c r="UUZ16" s="41"/>
      <c r="UVA16" s="41"/>
      <c r="UVB16" s="41"/>
      <c r="UVC16" s="41"/>
      <c r="UVD16" s="41"/>
      <c r="UVE16" s="41"/>
      <c r="UVF16" s="41"/>
      <c r="UVG16" s="41"/>
      <c r="UVH16" s="41"/>
      <c r="UVI16" s="41"/>
      <c r="UVJ16" s="41"/>
      <c r="UVK16" s="41"/>
      <c r="UVL16" s="41"/>
      <c r="UVM16" s="41"/>
      <c r="UVN16" s="41"/>
      <c r="UVO16" s="41"/>
      <c r="UVP16" s="41"/>
      <c r="UVQ16" s="41"/>
      <c r="UVR16" s="41"/>
      <c r="UVS16" s="41"/>
      <c r="UVT16" s="41"/>
      <c r="UVU16" s="41"/>
      <c r="UVV16" s="41"/>
      <c r="UVW16" s="41"/>
      <c r="UVX16" s="41"/>
      <c r="UVY16" s="41"/>
      <c r="UVZ16" s="41"/>
      <c r="UWA16" s="41"/>
      <c r="UWB16" s="41"/>
      <c r="UWC16" s="41"/>
      <c r="UWD16" s="41"/>
      <c r="UWE16" s="41"/>
      <c r="UWF16" s="41"/>
      <c r="UWG16" s="41"/>
      <c r="UWH16" s="41"/>
      <c r="UWI16" s="41"/>
      <c r="UWJ16" s="41"/>
      <c r="UWK16" s="41"/>
      <c r="UWL16" s="41"/>
      <c r="UWM16" s="41"/>
      <c r="UWN16" s="41"/>
      <c r="UWO16" s="41"/>
      <c r="UWP16" s="41"/>
      <c r="UWQ16" s="41"/>
      <c r="UWR16" s="41"/>
      <c r="UWS16" s="41"/>
      <c r="UWT16" s="41"/>
      <c r="UWU16" s="41"/>
      <c r="UWV16" s="41"/>
      <c r="UWW16" s="41"/>
      <c r="UWX16" s="41"/>
      <c r="UWY16" s="41"/>
      <c r="UWZ16" s="41"/>
      <c r="UXA16" s="41"/>
      <c r="UXB16" s="41"/>
      <c r="UXC16" s="41"/>
      <c r="UXD16" s="41"/>
      <c r="UXE16" s="41"/>
      <c r="UXF16" s="41"/>
      <c r="UXG16" s="41"/>
      <c r="UXH16" s="41"/>
      <c r="UXI16" s="41"/>
      <c r="UXJ16" s="41"/>
      <c r="UXK16" s="41"/>
      <c r="UXL16" s="41"/>
      <c r="UXM16" s="41"/>
      <c r="UXN16" s="41"/>
      <c r="UXO16" s="41"/>
      <c r="UXP16" s="41"/>
      <c r="UXQ16" s="41"/>
      <c r="UXR16" s="41"/>
      <c r="UXS16" s="41"/>
      <c r="UXT16" s="41"/>
      <c r="UXU16" s="41"/>
      <c r="UXV16" s="41"/>
      <c r="UXW16" s="41"/>
      <c r="UXX16" s="41"/>
      <c r="UXY16" s="41"/>
      <c r="UXZ16" s="41"/>
      <c r="UYA16" s="41"/>
      <c r="UYB16" s="41"/>
      <c r="UYC16" s="41"/>
      <c r="UYD16" s="41"/>
      <c r="UYE16" s="41"/>
      <c r="UYF16" s="41"/>
      <c r="UYG16" s="41"/>
      <c r="UYH16" s="41"/>
      <c r="UYI16" s="41"/>
      <c r="UYJ16" s="41"/>
      <c r="UYK16" s="41"/>
      <c r="UYL16" s="41"/>
      <c r="UYM16" s="41"/>
      <c r="UYN16" s="41"/>
      <c r="UYO16" s="41"/>
      <c r="UYP16" s="41"/>
      <c r="UYQ16" s="41"/>
      <c r="UYR16" s="41"/>
      <c r="UYS16" s="41"/>
      <c r="UYT16" s="41"/>
      <c r="UYU16" s="41"/>
      <c r="UYV16" s="41"/>
      <c r="UYW16" s="41"/>
      <c r="UYX16" s="41"/>
      <c r="UYY16" s="41"/>
      <c r="UYZ16" s="41"/>
      <c r="UZA16" s="41"/>
      <c r="UZB16" s="41"/>
      <c r="UZC16" s="41"/>
      <c r="UZD16" s="41"/>
      <c r="UZE16" s="41"/>
      <c r="UZF16" s="41"/>
      <c r="UZG16" s="41"/>
      <c r="UZH16" s="41"/>
      <c r="UZI16" s="41"/>
      <c r="UZJ16" s="41"/>
      <c r="UZK16" s="41"/>
      <c r="UZL16" s="41"/>
      <c r="UZM16" s="41"/>
      <c r="UZN16" s="41"/>
      <c r="UZO16" s="41"/>
      <c r="UZP16" s="41"/>
      <c r="UZQ16" s="41"/>
      <c r="UZR16" s="41"/>
      <c r="UZS16" s="41"/>
      <c r="UZT16" s="41"/>
      <c r="UZU16" s="41"/>
      <c r="UZV16" s="41"/>
      <c r="UZW16" s="41"/>
      <c r="UZX16" s="41"/>
      <c r="UZY16" s="41"/>
      <c r="UZZ16" s="41"/>
      <c r="VAA16" s="41"/>
      <c r="VAB16" s="41"/>
      <c r="VAC16" s="41"/>
      <c r="VAD16" s="41"/>
      <c r="VAE16" s="41"/>
      <c r="VAF16" s="41"/>
      <c r="VAG16" s="41"/>
      <c r="VAH16" s="41"/>
      <c r="VAI16" s="41"/>
      <c r="VAJ16" s="41"/>
      <c r="VAK16" s="41"/>
      <c r="VAL16" s="41"/>
      <c r="VAM16" s="41"/>
      <c r="VAN16" s="41"/>
      <c r="VAO16" s="41"/>
      <c r="VAP16" s="41"/>
      <c r="VAQ16" s="41"/>
      <c r="VAR16" s="41"/>
      <c r="VAS16" s="41"/>
      <c r="VAT16" s="41"/>
      <c r="VAU16" s="41"/>
      <c r="VAV16" s="41"/>
      <c r="VAW16" s="41"/>
      <c r="VAX16" s="41"/>
      <c r="VAY16" s="41"/>
      <c r="VAZ16" s="41"/>
      <c r="VBA16" s="41"/>
      <c r="VBB16" s="41"/>
      <c r="VBC16" s="41"/>
      <c r="VBD16" s="41"/>
      <c r="VBE16" s="41"/>
      <c r="VBF16" s="41"/>
      <c r="VBG16" s="41"/>
      <c r="VBH16" s="41"/>
      <c r="VBI16" s="41"/>
      <c r="VBJ16" s="41"/>
      <c r="VBK16" s="41"/>
      <c r="VBL16" s="41"/>
      <c r="VBM16" s="41"/>
      <c r="VBN16" s="41"/>
      <c r="VBO16" s="41"/>
      <c r="VBP16" s="41"/>
      <c r="VBQ16" s="41"/>
      <c r="VBR16" s="41"/>
      <c r="VBS16" s="41"/>
      <c r="VBT16" s="41"/>
      <c r="VBU16" s="41"/>
      <c r="VBV16" s="41"/>
      <c r="VBW16" s="41"/>
      <c r="VBX16" s="41"/>
      <c r="VBY16" s="41"/>
      <c r="VBZ16" s="41"/>
      <c r="VCA16" s="41"/>
      <c r="VCB16" s="41"/>
      <c r="VCC16" s="41"/>
      <c r="VCD16" s="41"/>
      <c r="VCE16" s="41"/>
      <c r="VCF16" s="41"/>
      <c r="VCG16" s="41"/>
      <c r="VCH16" s="41"/>
      <c r="VCI16" s="41"/>
      <c r="VCJ16" s="41"/>
      <c r="VCK16" s="41"/>
      <c r="VCL16" s="41"/>
      <c r="VCM16" s="41"/>
      <c r="VCN16" s="41"/>
      <c r="VCO16" s="41"/>
      <c r="VCP16" s="41"/>
      <c r="VCQ16" s="41"/>
      <c r="VCR16" s="41"/>
      <c r="VCS16" s="41"/>
      <c r="VCT16" s="41"/>
      <c r="VCU16" s="41"/>
      <c r="VCV16" s="41"/>
      <c r="VCW16" s="41"/>
      <c r="VCX16" s="41"/>
      <c r="VCY16" s="41"/>
      <c r="VCZ16" s="41"/>
      <c r="VDA16" s="41"/>
      <c r="VDB16" s="41"/>
      <c r="VDC16" s="41"/>
      <c r="VDD16" s="41"/>
      <c r="VDE16" s="41"/>
      <c r="VDF16" s="41"/>
      <c r="VDG16" s="41"/>
      <c r="VDH16" s="41"/>
      <c r="VDI16" s="41"/>
      <c r="VDJ16" s="41"/>
      <c r="VDK16" s="41"/>
      <c r="VDL16" s="41"/>
      <c r="VDM16" s="41"/>
      <c r="VDN16" s="41"/>
      <c r="VDO16" s="41"/>
      <c r="VDP16" s="41"/>
      <c r="VDQ16" s="41"/>
      <c r="VDR16" s="41"/>
      <c r="VDS16" s="41"/>
      <c r="VDT16" s="41"/>
      <c r="VDU16" s="41"/>
      <c r="VDV16" s="41"/>
      <c r="VDW16" s="41"/>
      <c r="VDX16" s="41"/>
      <c r="VDY16" s="41"/>
      <c r="VDZ16" s="41"/>
      <c r="VEA16" s="41"/>
      <c r="VEB16" s="41"/>
      <c r="VEC16" s="41"/>
      <c r="VED16" s="41"/>
      <c r="VEE16" s="41"/>
      <c r="VEF16" s="41"/>
      <c r="VEG16" s="41"/>
      <c r="VEH16" s="41"/>
      <c r="VEI16" s="41"/>
      <c r="VEJ16" s="41"/>
      <c r="VEK16" s="41"/>
      <c r="VEL16" s="41"/>
      <c r="VEM16" s="41"/>
      <c r="VEN16" s="41"/>
      <c r="VEO16" s="41"/>
      <c r="VEP16" s="41"/>
      <c r="VEQ16" s="41"/>
      <c r="VER16" s="41"/>
      <c r="VES16" s="41"/>
      <c r="VET16" s="41"/>
      <c r="VEU16" s="41"/>
      <c r="VEV16" s="41"/>
      <c r="VEW16" s="41"/>
      <c r="VEX16" s="41"/>
      <c r="VEY16" s="41"/>
      <c r="VEZ16" s="41"/>
      <c r="VFA16" s="41"/>
      <c r="VFB16" s="41"/>
      <c r="VFC16" s="41"/>
      <c r="VFD16" s="41"/>
      <c r="VFE16" s="41"/>
      <c r="VFF16" s="41"/>
      <c r="VFG16" s="41"/>
      <c r="VFH16" s="41"/>
      <c r="VFI16" s="41"/>
      <c r="VFJ16" s="41"/>
      <c r="VFK16" s="41"/>
      <c r="VFL16" s="41"/>
      <c r="VFM16" s="41"/>
      <c r="VFN16" s="41"/>
      <c r="VFO16" s="41"/>
      <c r="VFP16" s="41"/>
      <c r="VFQ16" s="41"/>
      <c r="VFR16" s="41"/>
      <c r="VFS16" s="41"/>
      <c r="VFT16" s="41"/>
      <c r="VFU16" s="41"/>
      <c r="VFV16" s="41"/>
      <c r="VFW16" s="41"/>
      <c r="VFX16" s="41"/>
      <c r="VFY16" s="41"/>
      <c r="VFZ16" s="41"/>
      <c r="VGA16" s="41"/>
      <c r="VGB16" s="41"/>
      <c r="VGC16" s="41"/>
      <c r="VGD16" s="41"/>
      <c r="VGE16" s="41"/>
      <c r="VGF16" s="41"/>
      <c r="VGG16" s="41"/>
      <c r="VGH16" s="41"/>
      <c r="VGI16" s="41"/>
      <c r="VGJ16" s="41"/>
      <c r="VGK16" s="41"/>
      <c r="VGL16" s="41"/>
      <c r="VGM16" s="41"/>
      <c r="VGN16" s="41"/>
      <c r="VGO16" s="41"/>
      <c r="VGP16" s="41"/>
      <c r="VGQ16" s="41"/>
      <c r="VGR16" s="41"/>
      <c r="VGS16" s="41"/>
      <c r="VGT16" s="41"/>
      <c r="VGU16" s="41"/>
      <c r="VGV16" s="41"/>
      <c r="VGW16" s="41"/>
      <c r="VGX16" s="41"/>
      <c r="VGY16" s="41"/>
      <c r="VGZ16" s="41"/>
      <c r="VHA16" s="41"/>
      <c r="VHB16" s="41"/>
      <c r="VHC16" s="41"/>
      <c r="VHD16" s="41"/>
      <c r="VHE16" s="41"/>
      <c r="VHF16" s="41"/>
      <c r="VHG16" s="41"/>
      <c r="VHH16" s="41"/>
      <c r="VHI16" s="41"/>
      <c r="VHJ16" s="41"/>
      <c r="VHK16" s="41"/>
      <c r="VHL16" s="41"/>
      <c r="VHM16" s="41"/>
      <c r="VHN16" s="41"/>
      <c r="VHO16" s="41"/>
      <c r="VHP16" s="41"/>
      <c r="VHQ16" s="41"/>
      <c r="VHR16" s="41"/>
      <c r="VHS16" s="41"/>
      <c r="VHT16" s="41"/>
      <c r="VHU16" s="41"/>
      <c r="VHV16" s="41"/>
      <c r="VHW16" s="41"/>
      <c r="VHX16" s="41"/>
      <c r="VHY16" s="41"/>
      <c r="VHZ16" s="41"/>
      <c r="VIA16" s="41"/>
      <c r="VIB16" s="41"/>
      <c r="VIC16" s="41"/>
      <c r="VID16" s="41"/>
      <c r="VIE16" s="41"/>
      <c r="VIF16" s="41"/>
      <c r="VIG16" s="41"/>
      <c r="VIH16" s="41"/>
      <c r="VII16" s="41"/>
      <c r="VIJ16" s="41"/>
      <c r="VIK16" s="41"/>
      <c r="VIL16" s="41"/>
      <c r="VIM16" s="41"/>
      <c r="VIN16" s="41"/>
      <c r="VIO16" s="41"/>
      <c r="VIP16" s="41"/>
      <c r="VIQ16" s="41"/>
      <c r="VIR16" s="41"/>
      <c r="VIS16" s="41"/>
      <c r="VIT16" s="41"/>
      <c r="VIU16" s="41"/>
      <c r="VIV16" s="41"/>
      <c r="VIW16" s="41"/>
      <c r="VIX16" s="41"/>
      <c r="VIY16" s="41"/>
      <c r="VIZ16" s="41"/>
      <c r="VJA16" s="41"/>
      <c r="VJB16" s="41"/>
      <c r="VJC16" s="41"/>
      <c r="VJD16" s="41"/>
      <c r="VJE16" s="41"/>
      <c r="VJF16" s="41"/>
      <c r="VJG16" s="41"/>
      <c r="VJH16" s="41"/>
      <c r="VJI16" s="41"/>
      <c r="VJJ16" s="41"/>
      <c r="VJK16" s="41"/>
      <c r="VJL16" s="41"/>
      <c r="VJM16" s="41"/>
      <c r="VJN16" s="41"/>
      <c r="VJO16" s="41"/>
      <c r="VJP16" s="41"/>
      <c r="VJQ16" s="41"/>
      <c r="VJR16" s="41"/>
      <c r="VJS16" s="41"/>
      <c r="VJT16" s="41"/>
      <c r="VJU16" s="41"/>
      <c r="VJV16" s="41"/>
      <c r="VJW16" s="41"/>
      <c r="VJX16" s="41"/>
      <c r="VJY16" s="41"/>
      <c r="VJZ16" s="41"/>
      <c r="VKA16" s="41"/>
      <c r="VKB16" s="41"/>
      <c r="VKC16" s="41"/>
      <c r="VKD16" s="41"/>
      <c r="VKE16" s="41"/>
      <c r="VKF16" s="41"/>
      <c r="VKG16" s="41"/>
      <c r="VKH16" s="41"/>
      <c r="VKI16" s="41"/>
      <c r="VKJ16" s="41"/>
      <c r="VKK16" s="41"/>
      <c r="VKL16" s="41"/>
      <c r="VKM16" s="41"/>
      <c r="VKN16" s="41"/>
      <c r="VKO16" s="41"/>
      <c r="VKP16" s="41"/>
      <c r="VKQ16" s="41"/>
      <c r="VKR16" s="41"/>
      <c r="VKS16" s="41"/>
      <c r="VKT16" s="41"/>
      <c r="VKU16" s="41"/>
      <c r="VKV16" s="41"/>
      <c r="VKW16" s="41"/>
      <c r="VKX16" s="41"/>
      <c r="VKY16" s="41"/>
      <c r="VKZ16" s="41"/>
      <c r="VLA16" s="41"/>
      <c r="VLB16" s="41"/>
      <c r="VLC16" s="41"/>
      <c r="VLD16" s="41"/>
      <c r="VLE16" s="41"/>
      <c r="VLF16" s="41"/>
      <c r="VLG16" s="41"/>
      <c r="VLH16" s="41"/>
      <c r="VLI16" s="41"/>
      <c r="VLJ16" s="41"/>
      <c r="VLK16" s="41"/>
      <c r="VLL16" s="41"/>
      <c r="VLM16" s="41"/>
      <c r="VLN16" s="41"/>
      <c r="VLO16" s="41"/>
      <c r="VLP16" s="41"/>
      <c r="VLQ16" s="41"/>
      <c r="VLR16" s="41"/>
      <c r="VLS16" s="41"/>
      <c r="VLT16" s="41"/>
      <c r="VLU16" s="41"/>
      <c r="VLV16" s="41"/>
      <c r="VLW16" s="41"/>
      <c r="VLX16" s="41"/>
      <c r="VLY16" s="41"/>
      <c r="VLZ16" s="41"/>
      <c r="VMA16" s="41"/>
      <c r="VMB16" s="41"/>
      <c r="VMC16" s="41"/>
      <c r="VMD16" s="41"/>
      <c r="VME16" s="41"/>
      <c r="VMF16" s="41"/>
      <c r="VMG16" s="41"/>
      <c r="VMH16" s="41"/>
      <c r="VMI16" s="41"/>
      <c r="VMJ16" s="41"/>
      <c r="VMK16" s="41"/>
      <c r="VML16" s="41"/>
      <c r="VMM16" s="41"/>
      <c r="VMN16" s="41"/>
      <c r="VMO16" s="41"/>
      <c r="VMP16" s="41"/>
      <c r="VMQ16" s="41"/>
      <c r="VMR16" s="41"/>
      <c r="VMS16" s="41"/>
      <c r="VMT16" s="41"/>
      <c r="VMU16" s="41"/>
      <c r="VMV16" s="41"/>
      <c r="VMW16" s="41"/>
      <c r="VMX16" s="41"/>
      <c r="VMY16" s="41"/>
      <c r="VMZ16" s="41"/>
      <c r="VNA16" s="41"/>
      <c r="VNB16" s="41"/>
      <c r="VNC16" s="41"/>
      <c r="VND16" s="41"/>
      <c r="VNE16" s="41"/>
      <c r="VNF16" s="41"/>
      <c r="VNG16" s="41"/>
      <c r="VNH16" s="41"/>
      <c r="VNI16" s="41"/>
      <c r="VNJ16" s="41"/>
      <c r="VNK16" s="41"/>
      <c r="VNL16" s="41"/>
      <c r="VNM16" s="41"/>
      <c r="VNN16" s="41"/>
      <c r="VNO16" s="41"/>
      <c r="VNP16" s="41"/>
      <c r="VNQ16" s="41"/>
      <c r="VNR16" s="41"/>
      <c r="VNS16" s="41"/>
      <c r="VNT16" s="41"/>
      <c r="VNU16" s="41"/>
      <c r="VNV16" s="41"/>
      <c r="VNW16" s="41"/>
      <c r="VNX16" s="41"/>
      <c r="VNY16" s="41"/>
      <c r="VNZ16" s="41"/>
      <c r="VOA16" s="41"/>
      <c r="VOB16" s="41"/>
      <c r="VOC16" s="41"/>
      <c r="VOD16" s="41"/>
      <c r="VOE16" s="41"/>
      <c r="VOF16" s="41"/>
      <c r="VOG16" s="41"/>
      <c r="VOH16" s="41"/>
      <c r="VOI16" s="41"/>
      <c r="VOJ16" s="41"/>
      <c r="VOK16" s="41"/>
      <c r="VOL16" s="41"/>
      <c r="VOM16" s="41"/>
      <c r="VON16" s="41"/>
      <c r="VOO16" s="41"/>
      <c r="VOP16" s="41"/>
      <c r="VOQ16" s="41"/>
      <c r="VOR16" s="41"/>
      <c r="VOS16" s="41"/>
      <c r="VOT16" s="41"/>
      <c r="VOU16" s="41"/>
      <c r="VOV16" s="41"/>
      <c r="VOW16" s="41"/>
      <c r="VOX16" s="41"/>
      <c r="VOY16" s="41"/>
      <c r="VOZ16" s="41"/>
      <c r="VPA16" s="41"/>
      <c r="VPB16" s="41"/>
      <c r="VPC16" s="41"/>
      <c r="VPD16" s="41"/>
      <c r="VPE16" s="41"/>
      <c r="VPF16" s="41"/>
      <c r="VPG16" s="41"/>
      <c r="VPH16" s="41"/>
      <c r="VPI16" s="41"/>
      <c r="VPJ16" s="41"/>
      <c r="VPK16" s="41"/>
      <c r="VPL16" s="41"/>
      <c r="VPM16" s="41"/>
      <c r="VPN16" s="41"/>
      <c r="VPO16" s="41"/>
      <c r="VPP16" s="41"/>
      <c r="VPQ16" s="41"/>
      <c r="VPR16" s="41"/>
      <c r="VPS16" s="41"/>
      <c r="VPT16" s="41"/>
      <c r="VPU16" s="41"/>
      <c r="VPV16" s="41"/>
      <c r="VPW16" s="41"/>
      <c r="VPX16" s="41"/>
      <c r="VPY16" s="41"/>
      <c r="VPZ16" s="41"/>
      <c r="VQA16" s="41"/>
      <c r="VQB16" s="41"/>
      <c r="VQC16" s="41"/>
      <c r="VQD16" s="41"/>
      <c r="VQE16" s="41"/>
      <c r="VQF16" s="41"/>
      <c r="VQG16" s="41"/>
      <c r="VQH16" s="41"/>
      <c r="VQI16" s="41"/>
      <c r="VQJ16" s="41"/>
      <c r="VQK16" s="41"/>
      <c r="VQL16" s="41"/>
      <c r="VQM16" s="41"/>
      <c r="VQN16" s="41"/>
      <c r="VQO16" s="41"/>
      <c r="VQP16" s="41"/>
      <c r="VQQ16" s="41"/>
      <c r="VQR16" s="41"/>
      <c r="VQS16" s="41"/>
      <c r="VQT16" s="41"/>
      <c r="VQU16" s="41"/>
      <c r="VQV16" s="41"/>
      <c r="VQW16" s="41"/>
      <c r="VQX16" s="41"/>
      <c r="VQY16" s="41"/>
      <c r="VQZ16" s="41"/>
      <c r="VRA16" s="41"/>
      <c r="VRB16" s="41"/>
      <c r="VRC16" s="41"/>
      <c r="VRD16" s="41"/>
      <c r="VRE16" s="41"/>
      <c r="VRF16" s="41"/>
      <c r="VRG16" s="41"/>
      <c r="VRH16" s="41"/>
      <c r="VRI16" s="41"/>
      <c r="VRJ16" s="41"/>
      <c r="VRK16" s="41"/>
      <c r="VRL16" s="41"/>
      <c r="VRM16" s="41"/>
      <c r="VRN16" s="41"/>
      <c r="VRO16" s="41"/>
      <c r="VRP16" s="41"/>
      <c r="VRQ16" s="41"/>
      <c r="VRR16" s="41"/>
      <c r="VRS16" s="41"/>
      <c r="VRT16" s="41"/>
      <c r="VRU16" s="41"/>
      <c r="VRV16" s="41"/>
      <c r="VRW16" s="41"/>
      <c r="VRX16" s="41"/>
      <c r="VRY16" s="41"/>
      <c r="VRZ16" s="41"/>
      <c r="VSA16" s="41"/>
      <c r="VSB16" s="41"/>
      <c r="VSC16" s="41"/>
      <c r="VSD16" s="41"/>
      <c r="VSE16" s="41"/>
      <c r="VSF16" s="41"/>
      <c r="VSG16" s="41"/>
      <c r="VSH16" s="41"/>
      <c r="VSI16" s="41"/>
      <c r="VSJ16" s="41"/>
      <c r="VSK16" s="41"/>
      <c r="VSL16" s="41"/>
      <c r="VSM16" s="41"/>
      <c r="VSN16" s="41"/>
      <c r="VSO16" s="41"/>
      <c r="VSP16" s="41"/>
      <c r="VSQ16" s="41"/>
      <c r="VSR16" s="41"/>
      <c r="VSS16" s="41"/>
      <c r="VST16" s="41"/>
      <c r="VSU16" s="41"/>
      <c r="VSV16" s="41"/>
      <c r="VSW16" s="41"/>
      <c r="VSX16" s="41"/>
      <c r="VSY16" s="41"/>
      <c r="VSZ16" s="41"/>
      <c r="VTA16" s="41"/>
      <c r="VTB16" s="41"/>
      <c r="VTC16" s="41"/>
      <c r="VTD16" s="41"/>
      <c r="VTE16" s="41"/>
      <c r="VTF16" s="41"/>
      <c r="VTG16" s="41"/>
      <c r="VTH16" s="41"/>
      <c r="VTI16" s="41"/>
      <c r="VTJ16" s="41"/>
      <c r="VTK16" s="41"/>
      <c r="VTL16" s="41"/>
      <c r="VTM16" s="41"/>
      <c r="VTN16" s="41"/>
      <c r="VTO16" s="41"/>
      <c r="VTP16" s="41"/>
      <c r="VTQ16" s="41"/>
      <c r="VTR16" s="41"/>
      <c r="VTS16" s="41"/>
      <c r="VTT16" s="41"/>
      <c r="VTU16" s="41"/>
      <c r="VTV16" s="41"/>
      <c r="VTW16" s="41"/>
      <c r="VTX16" s="41"/>
      <c r="VTY16" s="41"/>
      <c r="VTZ16" s="41"/>
      <c r="VUA16" s="41"/>
      <c r="VUB16" s="41"/>
      <c r="VUC16" s="41"/>
      <c r="VUD16" s="41"/>
      <c r="VUE16" s="41"/>
      <c r="VUF16" s="41"/>
      <c r="VUG16" s="41"/>
      <c r="VUH16" s="41"/>
      <c r="VUI16" s="41"/>
      <c r="VUJ16" s="41"/>
      <c r="VUK16" s="41"/>
      <c r="VUL16" s="41"/>
      <c r="VUM16" s="41"/>
      <c r="VUN16" s="41"/>
      <c r="VUO16" s="41"/>
      <c r="VUP16" s="41"/>
      <c r="VUQ16" s="41"/>
      <c r="VUR16" s="41"/>
      <c r="VUS16" s="41"/>
      <c r="VUT16" s="41"/>
      <c r="VUU16" s="41"/>
      <c r="VUV16" s="41"/>
      <c r="VUW16" s="41"/>
      <c r="VUX16" s="41"/>
      <c r="VUY16" s="41"/>
      <c r="VUZ16" s="41"/>
      <c r="VVA16" s="41"/>
      <c r="VVB16" s="41"/>
      <c r="VVC16" s="41"/>
      <c r="VVD16" s="41"/>
      <c r="VVE16" s="41"/>
      <c r="VVF16" s="41"/>
      <c r="VVG16" s="41"/>
      <c r="VVH16" s="41"/>
      <c r="VVI16" s="41"/>
      <c r="VVJ16" s="41"/>
      <c r="VVK16" s="41"/>
      <c r="VVL16" s="41"/>
      <c r="VVM16" s="41"/>
      <c r="VVN16" s="41"/>
      <c r="VVO16" s="41"/>
      <c r="VVP16" s="41"/>
      <c r="VVQ16" s="41"/>
      <c r="VVR16" s="41"/>
      <c r="VVS16" s="41"/>
      <c r="VVT16" s="41"/>
      <c r="VVU16" s="41"/>
      <c r="VVV16" s="41"/>
      <c r="VVW16" s="41"/>
      <c r="VVX16" s="41"/>
      <c r="VVY16" s="41"/>
      <c r="VVZ16" s="41"/>
      <c r="VWA16" s="41"/>
      <c r="VWB16" s="41"/>
      <c r="VWC16" s="41"/>
      <c r="VWD16" s="41"/>
      <c r="VWE16" s="41"/>
      <c r="VWF16" s="41"/>
      <c r="VWG16" s="41"/>
      <c r="VWH16" s="41"/>
      <c r="VWI16" s="41"/>
      <c r="VWJ16" s="41"/>
      <c r="VWK16" s="41"/>
      <c r="VWL16" s="41"/>
      <c r="VWM16" s="41"/>
      <c r="VWN16" s="41"/>
      <c r="VWO16" s="41"/>
      <c r="VWP16" s="41"/>
      <c r="VWQ16" s="41"/>
      <c r="VWR16" s="41"/>
      <c r="VWS16" s="41"/>
      <c r="VWT16" s="41"/>
      <c r="VWU16" s="41"/>
      <c r="VWV16" s="41"/>
      <c r="VWW16" s="41"/>
      <c r="VWX16" s="41"/>
      <c r="VWY16" s="41"/>
      <c r="VWZ16" s="41"/>
      <c r="VXA16" s="41"/>
      <c r="VXB16" s="41"/>
      <c r="VXC16" s="41"/>
      <c r="VXD16" s="41"/>
      <c r="VXE16" s="41"/>
      <c r="VXF16" s="41"/>
      <c r="VXG16" s="41"/>
      <c r="VXH16" s="41"/>
      <c r="VXI16" s="41"/>
      <c r="VXJ16" s="41"/>
      <c r="VXK16" s="41"/>
      <c r="VXL16" s="41"/>
      <c r="VXM16" s="41"/>
      <c r="VXN16" s="41"/>
      <c r="VXO16" s="41"/>
      <c r="VXP16" s="41"/>
      <c r="VXQ16" s="41"/>
      <c r="VXR16" s="41"/>
      <c r="VXS16" s="41"/>
      <c r="VXT16" s="41"/>
      <c r="VXU16" s="41"/>
      <c r="VXV16" s="41"/>
      <c r="VXW16" s="41"/>
      <c r="VXX16" s="41"/>
      <c r="VXY16" s="41"/>
      <c r="VXZ16" s="41"/>
      <c r="VYA16" s="41"/>
      <c r="VYB16" s="41"/>
      <c r="VYC16" s="41"/>
      <c r="VYD16" s="41"/>
      <c r="VYE16" s="41"/>
      <c r="VYF16" s="41"/>
      <c r="VYG16" s="41"/>
      <c r="VYH16" s="41"/>
      <c r="VYI16" s="41"/>
      <c r="VYJ16" s="41"/>
      <c r="VYK16" s="41"/>
      <c r="VYL16" s="41"/>
      <c r="VYM16" s="41"/>
      <c r="VYN16" s="41"/>
      <c r="VYO16" s="41"/>
      <c r="VYP16" s="41"/>
      <c r="VYQ16" s="41"/>
      <c r="VYR16" s="41"/>
      <c r="VYS16" s="41"/>
      <c r="VYT16" s="41"/>
      <c r="VYU16" s="41"/>
      <c r="VYV16" s="41"/>
      <c r="VYW16" s="41"/>
      <c r="VYX16" s="41"/>
      <c r="VYY16" s="41"/>
      <c r="VYZ16" s="41"/>
      <c r="VZA16" s="41"/>
      <c r="VZB16" s="41"/>
      <c r="VZC16" s="41"/>
      <c r="VZD16" s="41"/>
      <c r="VZE16" s="41"/>
      <c r="VZF16" s="41"/>
      <c r="VZG16" s="41"/>
      <c r="VZH16" s="41"/>
      <c r="VZI16" s="41"/>
      <c r="VZJ16" s="41"/>
      <c r="VZK16" s="41"/>
      <c r="VZL16" s="41"/>
      <c r="VZM16" s="41"/>
      <c r="VZN16" s="41"/>
      <c r="VZO16" s="41"/>
      <c r="VZP16" s="41"/>
      <c r="VZQ16" s="41"/>
      <c r="VZR16" s="41"/>
      <c r="VZS16" s="41"/>
      <c r="VZT16" s="41"/>
      <c r="VZU16" s="41"/>
      <c r="VZV16" s="41"/>
      <c r="VZW16" s="41"/>
      <c r="VZX16" s="41"/>
      <c r="VZY16" s="41"/>
      <c r="VZZ16" s="41"/>
      <c r="WAA16" s="41"/>
      <c r="WAB16" s="41"/>
      <c r="WAC16" s="41"/>
      <c r="WAD16" s="41"/>
      <c r="WAE16" s="41"/>
      <c r="WAF16" s="41"/>
      <c r="WAG16" s="41"/>
      <c r="WAH16" s="41"/>
      <c r="WAI16" s="41"/>
      <c r="WAJ16" s="41"/>
      <c r="WAK16" s="41"/>
      <c r="WAL16" s="41"/>
      <c r="WAM16" s="41"/>
      <c r="WAN16" s="41"/>
      <c r="WAO16" s="41"/>
      <c r="WAP16" s="41"/>
      <c r="WAQ16" s="41"/>
      <c r="WAR16" s="41"/>
      <c r="WAS16" s="41"/>
      <c r="WAT16" s="41"/>
      <c r="WAU16" s="41"/>
      <c r="WAV16" s="41"/>
      <c r="WAW16" s="41"/>
      <c r="WAX16" s="41"/>
      <c r="WAY16" s="41"/>
      <c r="WAZ16" s="41"/>
      <c r="WBA16" s="41"/>
      <c r="WBB16" s="41"/>
      <c r="WBC16" s="41"/>
      <c r="WBD16" s="41"/>
      <c r="WBE16" s="41"/>
      <c r="WBF16" s="41"/>
      <c r="WBG16" s="41"/>
      <c r="WBH16" s="41"/>
      <c r="WBI16" s="41"/>
      <c r="WBJ16" s="41"/>
      <c r="WBK16" s="41"/>
      <c r="WBL16" s="41"/>
      <c r="WBM16" s="41"/>
      <c r="WBN16" s="41"/>
      <c r="WBO16" s="41"/>
      <c r="WBP16" s="41"/>
      <c r="WBQ16" s="41"/>
      <c r="WBR16" s="41"/>
      <c r="WBS16" s="41"/>
      <c r="WBT16" s="41"/>
      <c r="WBU16" s="41"/>
      <c r="WBV16" s="41"/>
      <c r="WBW16" s="41"/>
      <c r="WBX16" s="41"/>
      <c r="WBY16" s="41"/>
      <c r="WBZ16" s="41"/>
      <c r="WCA16" s="41"/>
      <c r="WCB16" s="41"/>
      <c r="WCC16" s="41"/>
      <c r="WCD16" s="41"/>
      <c r="WCE16" s="41"/>
      <c r="WCF16" s="41"/>
      <c r="WCG16" s="41"/>
      <c r="WCH16" s="41"/>
      <c r="WCI16" s="41"/>
      <c r="WCJ16" s="41"/>
      <c r="WCK16" s="41"/>
      <c r="WCL16" s="41"/>
      <c r="WCM16" s="41"/>
      <c r="WCN16" s="41"/>
      <c r="WCO16" s="41"/>
      <c r="WCP16" s="41"/>
      <c r="WCQ16" s="41"/>
      <c r="WCR16" s="41"/>
      <c r="WCS16" s="41"/>
      <c r="WCT16" s="41"/>
      <c r="WCU16" s="41"/>
      <c r="WCV16" s="41"/>
      <c r="WCW16" s="41"/>
      <c r="WCX16" s="41"/>
      <c r="WCY16" s="41"/>
      <c r="WCZ16" s="41"/>
      <c r="WDA16" s="41"/>
      <c r="WDB16" s="41"/>
      <c r="WDC16" s="41"/>
      <c r="WDD16" s="41"/>
      <c r="WDE16" s="41"/>
      <c r="WDF16" s="41"/>
      <c r="WDG16" s="41"/>
      <c r="WDH16" s="41"/>
      <c r="WDI16" s="41"/>
      <c r="WDJ16" s="41"/>
      <c r="WDK16" s="41"/>
      <c r="WDL16" s="41"/>
      <c r="WDM16" s="41"/>
      <c r="WDN16" s="41"/>
      <c r="WDO16" s="41"/>
      <c r="WDP16" s="41"/>
      <c r="WDQ16" s="41"/>
      <c r="WDR16" s="41"/>
      <c r="WDS16" s="41"/>
      <c r="WDT16" s="41"/>
      <c r="WDU16" s="41"/>
      <c r="WDV16" s="41"/>
      <c r="WDW16" s="41"/>
      <c r="WDX16" s="41"/>
      <c r="WDY16" s="41"/>
      <c r="WDZ16" s="41"/>
      <c r="WEA16" s="41"/>
      <c r="WEB16" s="41"/>
      <c r="WEC16" s="41"/>
      <c r="WED16" s="41"/>
      <c r="WEE16" s="41"/>
      <c r="WEF16" s="41"/>
      <c r="WEG16" s="41"/>
      <c r="WEH16" s="41"/>
      <c r="WEI16" s="41"/>
      <c r="WEJ16" s="41"/>
      <c r="WEK16" s="41"/>
      <c r="WEL16" s="41"/>
      <c r="WEM16" s="41"/>
      <c r="WEN16" s="41"/>
      <c r="WEO16" s="41"/>
      <c r="WEP16" s="41"/>
      <c r="WEQ16" s="41"/>
      <c r="WER16" s="41"/>
      <c r="WES16" s="41"/>
      <c r="WET16" s="41"/>
      <c r="WEU16" s="41"/>
      <c r="WEV16" s="41"/>
      <c r="WEW16" s="41"/>
      <c r="WEX16" s="41"/>
      <c r="WEY16" s="41"/>
      <c r="WEZ16" s="41"/>
      <c r="WFA16" s="41"/>
      <c r="WFB16" s="41"/>
      <c r="WFC16" s="41"/>
      <c r="WFD16" s="41"/>
      <c r="WFE16" s="41"/>
      <c r="WFF16" s="41"/>
      <c r="WFG16" s="41"/>
      <c r="WFH16" s="41"/>
      <c r="WFI16" s="41"/>
      <c r="WFJ16" s="41"/>
      <c r="WFK16" s="41"/>
      <c r="WFL16" s="41"/>
      <c r="WFM16" s="41"/>
      <c r="WFN16" s="41"/>
      <c r="WFO16" s="41"/>
      <c r="WFP16" s="41"/>
      <c r="WFQ16" s="41"/>
      <c r="WFR16" s="41"/>
      <c r="WFS16" s="41"/>
      <c r="WFT16" s="41"/>
      <c r="WFU16" s="41"/>
      <c r="WFV16" s="41"/>
      <c r="WFW16" s="41"/>
      <c r="WFX16" s="41"/>
      <c r="WFY16" s="41"/>
      <c r="WFZ16" s="41"/>
      <c r="WGA16" s="41"/>
      <c r="WGB16" s="41"/>
      <c r="WGC16" s="41"/>
      <c r="WGD16" s="41"/>
      <c r="WGE16" s="41"/>
      <c r="WGF16" s="41"/>
      <c r="WGG16" s="41"/>
      <c r="WGH16" s="41"/>
      <c r="WGI16" s="41"/>
      <c r="WGJ16" s="41"/>
      <c r="WGK16" s="41"/>
      <c r="WGL16" s="41"/>
      <c r="WGM16" s="41"/>
      <c r="WGN16" s="41"/>
      <c r="WGO16" s="41"/>
      <c r="WGP16" s="41"/>
      <c r="WGQ16" s="41"/>
      <c r="WGR16" s="41"/>
      <c r="WGS16" s="41"/>
      <c r="WGT16" s="41"/>
      <c r="WGU16" s="41"/>
      <c r="WGV16" s="41"/>
      <c r="WGW16" s="41"/>
      <c r="WGX16" s="41"/>
      <c r="WGY16" s="41"/>
      <c r="WGZ16" s="41"/>
      <c r="WHA16" s="41"/>
      <c r="WHB16" s="41"/>
      <c r="WHC16" s="41"/>
      <c r="WHD16" s="41"/>
      <c r="WHE16" s="41"/>
      <c r="WHF16" s="41"/>
      <c r="WHG16" s="41"/>
      <c r="WHH16" s="41"/>
      <c r="WHI16" s="41"/>
      <c r="WHJ16" s="41"/>
      <c r="WHK16" s="41"/>
      <c r="WHL16" s="41"/>
      <c r="WHM16" s="41"/>
      <c r="WHN16" s="41"/>
      <c r="WHO16" s="41"/>
      <c r="WHP16" s="41"/>
      <c r="WHQ16" s="41"/>
      <c r="WHR16" s="41"/>
      <c r="WHS16" s="41"/>
      <c r="WHT16" s="41"/>
      <c r="WHU16" s="41"/>
      <c r="WHV16" s="41"/>
      <c r="WHW16" s="41"/>
      <c r="WHX16" s="41"/>
      <c r="WHY16" s="41"/>
      <c r="WHZ16" s="41"/>
      <c r="WIA16" s="41"/>
      <c r="WIB16" s="41"/>
      <c r="WIC16" s="41"/>
      <c r="WID16" s="41"/>
      <c r="WIE16" s="41"/>
      <c r="WIF16" s="41"/>
      <c r="WIG16" s="41"/>
      <c r="WIH16" s="41"/>
      <c r="WII16" s="41"/>
      <c r="WIJ16" s="41"/>
      <c r="WIK16" s="41"/>
      <c r="WIL16" s="41"/>
      <c r="WIM16" s="41"/>
      <c r="WIN16" s="41"/>
      <c r="WIO16" s="41"/>
      <c r="WIP16" s="41"/>
      <c r="WIQ16" s="41"/>
      <c r="WIR16" s="41"/>
      <c r="WIS16" s="41"/>
      <c r="WIT16" s="41"/>
      <c r="WIU16" s="41"/>
      <c r="WIV16" s="41"/>
      <c r="WIW16" s="41"/>
      <c r="WIX16" s="41"/>
      <c r="WIY16" s="41"/>
      <c r="WIZ16" s="41"/>
      <c r="WJA16" s="41"/>
      <c r="WJB16" s="41"/>
      <c r="WJC16" s="41"/>
      <c r="WJD16" s="41"/>
      <c r="WJE16" s="41"/>
      <c r="WJF16" s="41"/>
      <c r="WJG16" s="41"/>
      <c r="WJH16" s="41"/>
      <c r="WJI16" s="41"/>
      <c r="WJJ16" s="41"/>
      <c r="WJK16" s="41"/>
      <c r="WJL16" s="41"/>
      <c r="WJM16" s="41"/>
      <c r="WJN16" s="41"/>
      <c r="WJO16" s="41"/>
      <c r="WJP16" s="41"/>
      <c r="WJQ16" s="41"/>
      <c r="WJR16" s="41"/>
      <c r="WJS16" s="41"/>
      <c r="WJT16" s="41"/>
      <c r="WJU16" s="41"/>
      <c r="WJV16" s="41"/>
      <c r="WJW16" s="41"/>
      <c r="WJX16" s="41"/>
      <c r="WJY16" s="41"/>
      <c r="WJZ16" s="41"/>
      <c r="WKA16" s="41"/>
      <c r="WKB16" s="41"/>
      <c r="WKC16" s="41"/>
      <c r="WKD16" s="41"/>
      <c r="WKE16" s="41"/>
      <c r="WKF16" s="41"/>
      <c r="WKG16" s="41"/>
      <c r="WKH16" s="41"/>
      <c r="WKI16" s="41"/>
      <c r="WKJ16" s="41"/>
      <c r="WKK16" s="41"/>
      <c r="WKL16" s="41"/>
      <c r="WKM16" s="41"/>
      <c r="WKN16" s="41"/>
      <c r="WKO16" s="41"/>
      <c r="WKP16" s="41"/>
      <c r="WKQ16" s="41"/>
      <c r="WKR16" s="41"/>
      <c r="WKS16" s="41"/>
      <c r="WKT16" s="41"/>
      <c r="WKU16" s="41"/>
      <c r="WKV16" s="41"/>
      <c r="WKW16" s="41"/>
      <c r="WKX16" s="41"/>
      <c r="WKY16" s="41"/>
      <c r="WKZ16" s="41"/>
      <c r="WLA16" s="41"/>
      <c r="WLB16" s="41"/>
      <c r="WLC16" s="41"/>
      <c r="WLD16" s="41"/>
      <c r="WLE16" s="41"/>
      <c r="WLF16" s="41"/>
      <c r="WLG16" s="41"/>
      <c r="WLH16" s="41"/>
      <c r="WLI16" s="41"/>
      <c r="WLJ16" s="41"/>
      <c r="WLK16" s="41"/>
      <c r="WLL16" s="41"/>
      <c r="WLM16" s="41"/>
      <c r="WLN16" s="41"/>
      <c r="WLO16" s="41"/>
      <c r="WLP16" s="41"/>
      <c r="WLQ16" s="41"/>
      <c r="WLR16" s="41"/>
      <c r="WLS16" s="41"/>
      <c r="WLT16" s="41"/>
      <c r="WLU16" s="41"/>
      <c r="WLV16" s="41"/>
      <c r="WLW16" s="41"/>
      <c r="WLX16" s="41"/>
      <c r="WLY16" s="41"/>
      <c r="WLZ16" s="41"/>
      <c r="WMA16" s="41"/>
      <c r="WMB16" s="41"/>
      <c r="WMC16" s="41"/>
      <c r="WMD16" s="41"/>
      <c r="WME16" s="41"/>
      <c r="WMF16" s="41"/>
      <c r="WMG16" s="41"/>
      <c r="WMH16" s="41"/>
      <c r="WMI16" s="41"/>
      <c r="WMJ16" s="41"/>
      <c r="WMK16" s="41"/>
      <c r="WML16" s="41"/>
      <c r="WMM16" s="41"/>
      <c r="WMN16" s="41"/>
      <c r="WMO16" s="41"/>
      <c r="WMP16" s="41"/>
      <c r="WMQ16" s="41"/>
      <c r="WMR16" s="41"/>
      <c r="WMS16" s="41"/>
      <c r="WMT16" s="41"/>
      <c r="WMU16" s="41"/>
      <c r="WMV16" s="41"/>
      <c r="WMW16" s="41"/>
      <c r="WMX16" s="41"/>
      <c r="WMY16" s="41"/>
      <c r="WMZ16" s="41"/>
      <c r="WNA16" s="41"/>
      <c r="WNB16" s="41"/>
      <c r="WNC16" s="41"/>
      <c r="WND16" s="41"/>
      <c r="WNE16" s="41"/>
      <c r="WNF16" s="41"/>
      <c r="WNG16" s="41"/>
      <c r="WNH16" s="41"/>
      <c r="WNI16" s="41"/>
      <c r="WNJ16" s="41"/>
      <c r="WNK16" s="41"/>
      <c r="WNL16" s="41"/>
      <c r="WNM16" s="41"/>
      <c r="WNN16" s="41"/>
      <c r="WNO16" s="41"/>
      <c r="WNP16" s="41"/>
      <c r="WNQ16" s="41"/>
      <c r="WNR16" s="41"/>
      <c r="WNS16" s="41"/>
      <c r="WNT16" s="41"/>
      <c r="WNU16" s="41"/>
      <c r="WNV16" s="41"/>
      <c r="WNW16" s="41"/>
      <c r="WNX16" s="41"/>
      <c r="WNY16" s="41"/>
      <c r="WNZ16" s="41"/>
      <c r="WOA16" s="41"/>
      <c r="WOB16" s="41"/>
      <c r="WOC16" s="41"/>
      <c r="WOD16" s="41"/>
      <c r="WOE16" s="41"/>
      <c r="WOF16" s="41"/>
      <c r="WOG16" s="41"/>
      <c r="WOH16" s="41"/>
      <c r="WOI16" s="41"/>
      <c r="WOJ16" s="41"/>
      <c r="WOK16" s="41"/>
      <c r="WOL16" s="41"/>
      <c r="WOM16" s="41"/>
      <c r="WON16" s="41"/>
      <c r="WOO16" s="41"/>
      <c r="WOP16" s="41"/>
      <c r="WOQ16" s="41"/>
      <c r="WOR16" s="41"/>
      <c r="WOS16" s="41"/>
      <c r="WOT16" s="41"/>
      <c r="WOU16" s="41"/>
      <c r="WOV16" s="41"/>
      <c r="WOW16" s="41"/>
      <c r="WOX16" s="41"/>
      <c r="WOY16" s="41"/>
      <c r="WOZ16" s="41"/>
      <c r="WPA16" s="41"/>
      <c r="WPB16" s="41"/>
      <c r="WPC16" s="41"/>
      <c r="WPD16" s="41"/>
      <c r="WPE16" s="41"/>
      <c r="WPF16" s="41"/>
      <c r="WPG16" s="41"/>
      <c r="WPH16" s="41"/>
      <c r="WPI16" s="41"/>
      <c r="WPJ16" s="41"/>
      <c r="WPK16" s="41"/>
      <c r="WPL16" s="41"/>
      <c r="WPM16" s="41"/>
      <c r="WPN16" s="41"/>
      <c r="WPO16" s="41"/>
      <c r="WPP16" s="41"/>
      <c r="WPQ16" s="41"/>
      <c r="WPR16" s="41"/>
      <c r="WPS16" s="41"/>
      <c r="WPT16" s="41"/>
      <c r="WPU16" s="41"/>
      <c r="WPV16" s="41"/>
      <c r="WPW16" s="41"/>
      <c r="WPX16" s="41"/>
      <c r="WPY16" s="41"/>
      <c r="WPZ16" s="41"/>
      <c r="WQA16" s="41"/>
      <c r="WQB16" s="41"/>
      <c r="WQC16" s="41"/>
      <c r="WQD16" s="41"/>
      <c r="WQE16" s="41"/>
      <c r="WQF16" s="41"/>
      <c r="WQG16" s="41"/>
      <c r="WQH16" s="41"/>
      <c r="WQI16" s="41"/>
      <c r="WQJ16" s="41"/>
      <c r="WQK16" s="41"/>
      <c r="WQL16" s="41"/>
      <c r="WQM16" s="41"/>
      <c r="WQN16" s="41"/>
      <c r="WQO16" s="41"/>
      <c r="WQP16" s="41"/>
      <c r="WQQ16" s="41"/>
      <c r="WQR16" s="41"/>
      <c r="WQS16" s="41"/>
      <c r="WQT16" s="41"/>
      <c r="WQU16" s="41"/>
      <c r="WQV16" s="41"/>
      <c r="WQW16" s="41"/>
      <c r="WQX16" s="41"/>
      <c r="WQY16" s="41"/>
      <c r="WQZ16" s="41"/>
      <c r="WRA16" s="41"/>
      <c r="WRB16" s="41"/>
      <c r="WRC16" s="41"/>
      <c r="WRD16" s="41"/>
      <c r="WRE16" s="41"/>
      <c r="WRF16" s="41"/>
      <c r="WRG16" s="41"/>
      <c r="WRH16" s="41"/>
      <c r="WRI16" s="41"/>
      <c r="WRJ16" s="41"/>
      <c r="WRK16" s="41"/>
      <c r="WRL16" s="41"/>
      <c r="WRM16" s="41"/>
      <c r="WRN16" s="41"/>
      <c r="WRO16" s="41"/>
      <c r="WRP16" s="41"/>
      <c r="WRQ16" s="41"/>
      <c r="WRR16" s="41"/>
      <c r="WRS16" s="41"/>
      <c r="WRT16" s="41"/>
      <c r="WRU16" s="41"/>
      <c r="WRV16" s="41"/>
      <c r="WRW16" s="41"/>
      <c r="WRX16" s="41"/>
      <c r="WRY16" s="41"/>
      <c r="WRZ16" s="41"/>
      <c r="WSA16" s="41"/>
      <c r="WSB16" s="41"/>
      <c r="WSC16" s="41"/>
      <c r="WSD16" s="41"/>
      <c r="WSE16" s="41"/>
      <c r="WSF16" s="41"/>
      <c r="WSG16" s="41"/>
      <c r="WSH16" s="41"/>
      <c r="WSI16" s="41"/>
      <c r="WSJ16" s="41"/>
      <c r="WSK16" s="41"/>
      <c r="WSL16" s="41"/>
      <c r="WSM16" s="41"/>
      <c r="WSN16" s="41"/>
      <c r="WSO16" s="41"/>
      <c r="WSP16" s="41"/>
      <c r="WSQ16" s="41"/>
      <c r="WSR16" s="41"/>
      <c r="WSS16" s="41"/>
      <c r="WST16" s="41"/>
      <c r="WSU16" s="41"/>
      <c r="WSV16" s="41"/>
      <c r="WSW16" s="41"/>
      <c r="WSX16" s="41"/>
      <c r="WSY16" s="41"/>
      <c r="WSZ16" s="41"/>
      <c r="WTA16" s="41"/>
      <c r="WTB16" s="41"/>
      <c r="WTC16" s="41"/>
      <c r="WTD16" s="41"/>
      <c r="WTE16" s="41"/>
      <c r="WTF16" s="41"/>
      <c r="WTG16" s="41"/>
      <c r="WTH16" s="41"/>
      <c r="WTI16" s="41"/>
      <c r="WTJ16" s="41"/>
      <c r="WTK16" s="41"/>
      <c r="WTL16" s="41"/>
      <c r="WTM16" s="41"/>
      <c r="WTN16" s="41"/>
      <c r="WTO16" s="41"/>
      <c r="WTP16" s="41"/>
      <c r="WTQ16" s="41"/>
      <c r="WTR16" s="41"/>
      <c r="WTS16" s="41"/>
      <c r="WTT16" s="41"/>
      <c r="WTU16" s="41"/>
      <c r="WTV16" s="41"/>
      <c r="WTW16" s="41"/>
      <c r="WTX16" s="41"/>
      <c r="WTY16" s="41"/>
      <c r="WTZ16" s="41"/>
      <c r="WUA16" s="41"/>
      <c r="WUB16" s="41"/>
      <c r="WUC16" s="41"/>
      <c r="WUD16" s="41"/>
      <c r="WUE16" s="41"/>
      <c r="WUF16" s="41"/>
      <c r="WUG16" s="41"/>
      <c r="WUH16" s="41"/>
      <c r="WUI16" s="41"/>
      <c r="WUJ16" s="41"/>
      <c r="WUK16" s="41"/>
      <c r="WUL16" s="41"/>
      <c r="WUM16" s="41"/>
      <c r="WUN16" s="41"/>
      <c r="WUO16" s="41"/>
      <c r="WUP16" s="41"/>
      <c r="WUQ16" s="41"/>
      <c r="WUR16" s="41"/>
      <c r="WUS16" s="41"/>
      <c r="WUT16" s="41"/>
      <c r="WUU16" s="41"/>
      <c r="WUV16" s="41"/>
      <c r="WUW16" s="41"/>
      <c r="WUX16" s="41"/>
      <c r="WUY16" s="41"/>
      <c r="WUZ16" s="41"/>
      <c r="WVA16" s="41"/>
      <c r="WVB16" s="41"/>
      <c r="WVC16" s="41"/>
      <c r="WVD16" s="41"/>
      <c r="WVE16" s="41"/>
      <c r="WVF16" s="41"/>
      <c r="WVG16" s="41"/>
      <c r="WVH16" s="41"/>
      <c r="WVI16" s="41"/>
      <c r="WVJ16" s="41"/>
      <c r="WVK16" s="41"/>
      <c r="WVL16" s="41"/>
      <c r="WVM16" s="41"/>
      <c r="WVN16" s="41"/>
      <c r="WVO16" s="41"/>
      <c r="WVP16" s="41"/>
      <c r="WVQ16" s="41"/>
      <c r="WVR16" s="41"/>
      <c r="WVS16" s="41"/>
      <c r="WVT16" s="41"/>
      <c r="WVU16" s="41"/>
      <c r="WVV16" s="41"/>
      <c r="WVW16" s="41"/>
      <c r="WVX16" s="41"/>
      <c r="WVY16" s="41"/>
      <c r="WVZ16" s="41"/>
      <c r="WWA16" s="41"/>
      <c r="WWB16" s="41"/>
      <c r="WWC16" s="41"/>
      <c r="WWD16" s="41"/>
      <c r="WWE16" s="41"/>
      <c r="WWF16" s="41"/>
      <c r="WWG16" s="41"/>
      <c r="WWH16" s="41"/>
      <c r="WWI16" s="41"/>
      <c r="WWJ16" s="41"/>
      <c r="WWK16" s="41"/>
      <c r="WWL16" s="41"/>
      <c r="WWM16" s="41"/>
      <c r="WWN16" s="41"/>
      <c r="WWO16" s="41"/>
      <c r="WWP16" s="41"/>
      <c r="WWQ16" s="41"/>
      <c r="WWR16" s="41"/>
      <c r="WWS16" s="41"/>
      <c r="WWT16" s="41"/>
      <c r="WWU16" s="41"/>
      <c r="WWV16" s="41"/>
      <c r="WWW16" s="41"/>
      <c r="WWX16" s="41"/>
      <c r="WWY16" s="41"/>
      <c r="WWZ16" s="41"/>
      <c r="WXA16" s="41"/>
      <c r="WXB16" s="41"/>
      <c r="WXC16" s="41"/>
      <c r="WXD16" s="41"/>
      <c r="WXE16" s="41"/>
      <c r="WXF16" s="41"/>
      <c r="WXG16" s="41"/>
      <c r="WXH16" s="41"/>
      <c r="WXI16" s="41"/>
      <c r="WXJ16" s="41"/>
      <c r="WXK16" s="41"/>
      <c r="WXL16" s="41"/>
      <c r="WXM16" s="41"/>
      <c r="WXN16" s="41"/>
      <c r="WXO16" s="41"/>
      <c r="WXP16" s="41"/>
      <c r="WXQ16" s="41"/>
      <c r="WXR16" s="41"/>
      <c r="WXS16" s="41"/>
      <c r="WXT16" s="41"/>
      <c r="WXU16" s="41"/>
      <c r="WXV16" s="41"/>
      <c r="WXW16" s="41"/>
      <c r="WXX16" s="41"/>
      <c r="WXY16" s="41"/>
      <c r="WXZ16" s="41"/>
      <c r="WYA16" s="41"/>
      <c r="WYB16" s="41"/>
      <c r="WYC16" s="41"/>
      <c r="WYD16" s="41"/>
      <c r="WYE16" s="41"/>
      <c r="WYF16" s="41"/>
      <c r="WYG16" s="41"/>
      <c r="WYH16" s="41"/>
      <c r="WYI16" s="41"/>
      <c r="WYJ16" s="41"/>
      <c r="WYK16" s="41"/>
      <c r="WYL16" s="41"/>
      <c r="WYM16" s="41"/>
      <c r="WYN16" s="41"/>
      <c r="WYO16" s="41"/>
      <c r="WYP16" s="41"/>
      <c r="WYQ16" s="41"/>
      <c r="WYR16" s="41"/>
      <c r="WYS16" s="41"/>
      <c r="WYT16" s="41"/>
      <c r="WYU16" s="41"/>
      <c r="WYV16" s="41"/>
      <c r="WYW16" s="41"/>
      <c r="WYX16" s="41"/>
      <c r="WYY16" s="41"/>
      <c r="WYZ16" s="41"/>
      <c r="WZA16" s="41"/>
      <c r="WZB16" s="41"/>
      <c r="WZC16" s="41"/>
      <c r="WZD16" s="41"/>
      <c r="WZE16" s="41"/>
      <c r="WZF16" s="41"/>
      <c r="WZG16" s="41"/>
      <c r="WZH16" s="41"/>
      <c r="WZI16" s="41"/>
      <c r="WZJ16" s="41"/>
      <c r="WZK16" s="41"/>
      <c r="WZL16" s="41"/>
      <c r="WZM16" s="41"/>
      <c r="WZN16" s="41"/>
      <c r="WZO16" s="41"/>
      <c r="WZP16" s="41"/>
      <c r="WZQ16" s="41"/>
      <c r="WZR16" s="41"/>
      <c r="WZS16" s="41"/>
      <c r="WZT16" s="41"/>
      <c r="WZU16" s="41"/>
      <c r="WZV16" s="41"/>
      <c r="WZW16" s="41"/>
      <c r="WZX16" s="41"/>
      <c r="WZY16" s="41"/>
      <c r="WZZ16" s="41"/>
      <c r="XAA16" s="41"/>
      <c r="XAB16" s="41"/>
      <c r="XAC16" s="41"/>
      <c r="XAD16" s="41"/>
      <c r="XAE16" s="41"/>
      <c r="XAF16" s="41"/>
      <c r="XAG16" s="41"/>
      <c r="XAH16" s="41"/>
      <c r="XAI16" s="41"/>
      <c r="XAJ16" s="41"/>
      <c r="XAK16" s="41"/>
      <c r="XAL16" s="41"/>
      <c r="XAM16" s="41"/>
      <c r="XAN16" s="41"/>
      <c r="XAO16" s="41"/>
      <c r="XAP16" s="41"/>
      <c r="XAQ16" s="41"/>
      <c r="XAR16" s="41"/>
      <c r="XAS16" s="41"/>
      <c r="XAT16" s="41"/>
      <c r="XAU16" s="41"/>
      <c r="XAV16" s="41"/>
      <c r="XAW16" s="41"/>
      <c r="XAX16" s="41"/>
      <c r="XAY16" s="41"/>
      <c r="XAZ16" s="41"/>
      <c r="XBA16" s="41"/>
      <c r="XBB16" s="41"/>
      <c r="XBC16" s="41"/>
      <c r="XBD16" s="41"/>
      <c r="XBE16" s="41"/>
      <c r="XBF16" s="41"/>
      <c r="XBG16" s="41"/>
      <c r="XBH16" s="41"/>
      <c r="XBI16" s="41"/>
      <c r="XBJ16" s="41"/>
      <c r="XBK16" s="41"/>
      <c r="XBL16" s="41"/>
      <c r="XBM16" s="41"/>
      <c r="XBN16" s="41"/>
      <c r="XBO16" s="41"/>
      <c r="XBP16" s="41"/>
      <c r="XBQ16" s="41"/>
      <c r="XBR16" s="41"/>
      <c r="XBS16" s="41"/>
      <c r="XBT16" s="41"/>
      <c r="XBU16" s="41"/>
      <c r="XBV16" s="41"/>
      <c r="XBW16" s="41"/>
      <c r="XBX16" s="41"/>
      <c r="XBY16" s="41"/>
      <c r="XBZ16" s="41"/>
      <c r="XCA16" s="41"/>
      <c r="XCB16" s="41"/>
      <c r="XCC16" s="41"/>
      <c r="XCD16" s="41"/>
      <c r="XCE16" s="41"/>
      <c r="XCF16" s="41"/>
      <c r="XCG16" s="41"/>
      <c r="XCH16" s="41"/>
      <c r="XCI16" s="41"/>
      <c r="XCJ16" s="41"/>
      <c r="XCK16" s="41"/>
      <c r="XCL16" s="41"/>
      <c r="XCM16" s="41"/>
      <c r="XCN16" s="41"/>
      <c r="XCO16" s="41"/>
      <c r="XCP16" s="41"/>
      <c r="XCQ16" s="41"/>
      <c r="XCR16" s="41"/>
      <c r="XCS16" s="41"/>
      <c r="XCT16" s="41"/>
      <c r="XCU16" s="41"/>
      <c r="XCV16" s="41"/>
      <c r="XCW16" s="41"/>
      <c r="XCX16" s="41"/>
      <c r="XCY16" s="41"/>
      <c r="XCZ16" s="41"/>
      <c r="XDA16" s="41"/>
      <c r="XDB16" s="41"/>
      <c r="XDC16" s="41"/>
      <c r="XDD16" s="41"/>
      <c r="XDE16" s="41"/>
      <c r="XDF16" s="41"/>
      <c r="XDG16" s="41"/>
      <c r="XDH16" s="41"/>
      <c r="XDI16" s="41"/>
      <c r="XDJ16" s="41"/>
      <c r="XDK16" s="41"/>
      <c r="XDL16" s="41"/>
      <c r="XDM16" s="41"/>
      <c r="XDN16" s="41"/>
      <c r="XDO16" s="41"/>
      <c r="XDP16" s="41"/>
      <c r="XDQ16" s="41"/>
      <c r="XDR16" s="41"/>
      <c r="XDS16" s="41"/>
      <c r="XDT16" s="41"/>
      <c r="XDU16" s="41"/>
      <c r="XDV16" s="41"/>
      <c r="XDW16" s="41"/>
      <c r="XDX16" s="41"/>
      <c r="XDY16" s="41"/>
      <c r="XDZ16" s="41"/>
      <c r="XEA16" s="41"/>
      <c r="XEB16" s="41"/>
      <c r="XEC16" s="41"/>
      <c r="XED16" s="41"/>
      <c r="XEE16" s="41"/>
      <c r="XEF16" s="41"/>
      <c r="XEG16" s="41"/>
      <c r="XEH16" s="41"/>
      <c r="XEI16" s="41"/>
      <c r="XEJ16" s="41"/>
      <c r="XEK16" s="41"/>
      <c r="XEL16" s="41"/>
      <c r="XEM16" s="41"/>
      <c r="XEN16" s="41"/>
      <c r="XEO16" s="41"/>
      <c r="XEP16" s="41"/>
      <c r="XEQ16" s="41"/>
      <c r="XER16" s="41"/>
      <c r="XES16" s="41"/>
      <c r="XET16" s="41"/>
      <c r="XEU16" s="41"/>
      <c r="XEV16" s="41"/>
      <c r="XEW16" s="41"/>
      <c r="XEX16" s="41"/>
      <c r="XEY16" s="41"/>
      <c r="XEZ16" s="41"/>
      <c r="XFA16" s="41"/>
      <c r="XFB16" s="41"/>
      <c r="XFC16" s="41"/>
      <c r="XFD16" s="41"/>
    </row>
    <row r="17" spans="2:16384" s="25" customFormat="1" ht="19.5" customHeight="1" x14ac:dyDescent="0.3">
      <c r="B17" s="42"/>
      <c r="C17" s="42"/>
      <c r="D17" s="42" t="s">
        <v>272</v>
      </c>
      <c r="E17" s="6"/>
      <c r="F17" s="125">
        <v>187500000</v>
      </c>
      <c r="G17" s="104"/>
      <c r="H17" s="112" t="s">
        <v>285</v>
      </c>
      <c r="I17" s="137">
        <v>0.05</v>
      </c>
      <c r="J17" s="7"/>
      <c r="K17" s="29"/>
      <c r="L17" s="29"/>
      <c r="M17" s="15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  <c r="AFJ17" s="41"/>
      <c r="AFK17" s="41"/>
      <c r="AFL17" s="41"/>
      <c r="AFM17" s="41"/>
      <c r="AFN17" s="41"/>
      <c r="AFO17" s="41"/>
      <c r="AFP17" s="41"/>
      <c r="AFQ17" s="41"/>
      <c r="AFR17" s="41"/>
      <c r="AFS17" s="41"/>
      <c r="AFT17" s="41"/>
      <c r="AFU17" s="41"/>
      <c r="AFV17" s="41"/>
      <c r="AFW17" s="41"/>
      <c r="AFX17" s="41"/>
      <c r="AFY17" s="41"/>
      <c r="AFZ17" s="41"/>
      <c r="AGA17" s="41"/>
      <c r="AGB17" s="41"/>
      <c r="AGC17" s="41"/>
      <c r="AGD17" s="41"/>
      <c r="AGE17" s="41"/>
      <c r="AGF17" s="41"/>
      <c r="AGG17" s="41"/>
      <c r="AGH17" s="41"/>
      <c r="AGI17" s="41"/>
      <c r="AGJ17" s="41"/>
      <c r="AGK17" s="41"/>
      <c r="AGL17" s="41"/>
      <c r="AGM17" s="41"/>
      <c r="AGN17" s="41"/>
      <c r="AGO17" s="41"/>
      <c r="AGP17" s="41"/>
      <c r="AGQ17" s="41"/>
      <c r="AGR17" s="41"/>
      <c r="AGS17" s="41"/>
      <c r="AGT17" s="41"/>
      <c r="AGU17" s="41"/>
      <c r="AGV17" s="41"/>
      <c r="AGW17" s="41"/>
      <c r="AGX17" s="41"/>
      <c r="AGY17" s="41"/>
      <c r="AGZ17" s="41"/>
      <c r="AHA17" s="41"/>
      <c r="AHB17" s="41"/>
      <c r="AHC17" s="41"/>
      <c r="AHD17" s="41"/>
      <c r="AHE17" s="41"/>
      <c r="AHF17" s="41"/>
      <c r="AHG17" s="41"/>
      <c r="AHH17" s="41"/>
      <c r="AHI17" s="41"/>
      <c r="AHJ17" s="41"/>
      <c r="AHK17" s="41"/>
      <c r="AHL17" s="41"/>
      <c r="AHM17" s="41"/>
      <c r="AHN17" s="41"/>
      <c r="AHO17" s="41"/>
      <c r="AHP17" s="41"/>
      <c r="AHQ17" s="41"/>
      <c r="AHR17" s="41"/>
      <c r="AHS17" s="41"/>
      <c r="AHT17" s="41"/>
      <c r="AHU17" s="41"/>
      <c r="AHV17" s="41"/>
      <c r="AHW17" s="41"/>
      <c r="AHX17" s="41"/>
      <c r="AHY17" s="41"/>
      <c r="AHZ17" s="41"/>
      <c r="AIA17" s="41"/>
      <c r="AIB17" s="41"/>
      <c r="AIC17" s="41"/>
      <c r="AID17" s="41"/>
      <c r="AIE17" s="41"/>
      <c r="AIF17" s="41"/>
      <c r="AIG17" s="41"/>
      <c r="AIH17" s="41"/>
      <c r="AII17" s="41"/>
      <c r="AIJ17" s="41"/>
      <c r="AIK17" s="41"/>
      <c r="AIL17" s="41"/>
      <c r="AIM17" s="41"/>
      <c r="AIN17" s="41"/>
      <c r="AIO17" s="41"/>
      <c r="AIP17" s="41"/>
      <c r="AIQ17" s="41"/>
      <c r="AIR17" s="41"/>
      <c r="AIS17" s="41"/>
      <c r="AIT17" s="41"/>
      <c r="AIU17" s="41"/>
      <c r="AIV17" s="41"/>
      <c r="AIW17" s="41"/>
      <c r="AIX17" s="41"/>
      <c r="AIY17" s="41"/>
      <c r="AIZ17" s="41"/>
      <c r="AJA17" s="41"/>
      <c r="AJB17" s="41"/>
      <c r="AJC17" s="41"/>
      <c r="AJD17" s="41"/>
      <c r="AJE17" s="41"/>
      <c r="AJF17" s="41"/>
      <c r="AJG17" s="41"/>
      <c r="AJH17" s="41"/>
      <c r="AJI17" s="41"/>
      <c r="AJJ17" s="41"/>
      <c r="AJK17" s="41"/>
      <c r="AJL17" s="41"/>
      <c r="AJM17" s="41"/>
      <c r="AJN17" s="41"/>
      <c r="AJO17" s="41"/>
      <c r="AJP17" s="41"/>
      <c r="AJQ17" s="41"/>
      <c r="AJR17" s="41"/>
      <c r="AJS17" s="41"/>
      <c r="AJT17" s="41"/>
      <c r="AJU17" s="41"/>
      <c r="AJV17" s="41"/>
      <c r="AJW17" s="41"/>
      <c r="AJX17" s="41"/>
      <c r="AJY17" s="41"/>
      <c r="AJZ17" s="41"/>
      <c r="AKA17" s="41"/>
      <c r="AKB17" s="41"/>
      <c r="AKC17" s="41"/>
      <c r="AKD17" s="41"/>
      <c r="AKE17" s="41"/>
      <c r="AKF17" s="41"/>
      <c r="AKG17" s="41"/>
      <c r="AKH17" s="41"/>
      <c r="AKI17" s="41"/>
      <c r="AKJ17" s="41"/>
      <c r="AKK17" s="41"/>
      <c r="AKL17" s="41"/>
      <c r="AKM17" s="41"/>
      <c r="AKN17" s="41"/>
      <c r="AKO17" s="41"/>
      <c r="AKP17" s="41"/>
      <c r="AKQ17" s="41"/>
      <c r="AKR17" s="41"/>
      <c r="AKS17" s="41"/>
      <c r="AKT17" s="41"/>
      <c r="AKU17" s="41"/>
      <c r="AKV17" s="41"/>
      <c r="AKW17" s="41"/>
      <c r="AKX17" s="41"/>
      <c r="AKY17" s="41"/>
      <c r="AKZ17" s="41"/>
      <c r="ALA17" s="41"/>
      <c r="ALB17" s="41"/>
      <c r="ALC17" s="41"/>
      <c r="ALD17" s="41"/>
      <c r="ALE17" s="41"/>
      <c r="ALF17" s="41"/>
      <c r="ALG17" s="41"/>
      <c r="ALH17" s="41"/>
      <c r="ALI17" s="41"/>
      <c r="ALJ17" s="41"/>
      <c r="ALK17" s="41"/>
      <c r="ALL17" s="41"/>
      <c r="ALM17" s="41"/>
      <c r="ALN17" s="41"/>
      <c r="ALO17" s="41"/>
      <c r="ALP17" s="41"/>
      <c r="ALQ17" s="41"/>
      <c r="ALR17" s="41"/>
      <c r="ALS17" s="41"/>
      <c r="ALT17" s="41"/>
      <c r="ALU17" s="41"/>
      <c r="ALV17" s="41"/>
      <c r="ALW17" s="41"/>
      <c r="ALX17" s="41"/>
      <c r="ALY17" s="41"/>
      <c r="ALZ17" s="41"/>
      <c r="AMA17" s="41"/>
      <c r="AMB17" s="41"/>
      <c r="AMC17" s="41"/>
      <c r="AMD17" s="41"/>
      <c r="AME17" s="41"/>
      <c r="AMF17" s="41"/>
      <c r="AMG17" s="41"/>
      <c r="AMH17" s="41"/>
      <c r="AMI17" s="41"/>
      <c r="AMJ17" s="41"/>
      <c r="AMK17" s="41"/>
      <c r="AML17" s="41"/>
      <c r="AMM17" s="41"/>
      <c r="AMN17" s="41"/>
      <c r="AMO17" s="41"/>
      <c r="AMP17" s="41"/>
      <c r="AMQ17" s="41"/>
      <c r="AMR17" s="41"/>
      <c r="AMS17" s="41"/>
      <c r="AMT17" s="41"/>
      <c r="AMU17" s="41"/>
      <c r="AMV17" s="41"/>
      <c r="AMW17" s="41"/>
      <c r="AMX17" s="41"/>
      <c r="AMY17" s="41"/>
      <c r="AMZ17" s="41"/>
      <c r="ANA17" s="41"/>
      <c r="ANB17" s="41"/>
      <c r="ANC17" s="41"/>
      <c r="AND17" s="41"/>
      <c r="ANE17" s="41"/>
      <c r="ANF17" s="41"/>
      <c r="ANG17" s="41"/>
      <c r="ANH17" s="41"/>
      <c r="ANI17" s="41"/>
      <c r="ANJ17" s="41"/>
      <c r="ANK17" s="41"/>
      <c r="ANL17" s="41"/>
      <c r="ANM17" s="41"/>
      <c r="ANN17" s="41"/>
      <c r="ANO17" s="41"/>
      <c r="ANP17" s="41"/>
      <c r="ANQ17" s="41"/>
      <c r="ANR17" s="41"/>
      <c r="ANS17" s="41"/>
      <c r="ANT17" s="41"/>
      <c r="ANU17" s="41"/>
      <c r="ANV17" s="41"/>
      <c r="ANW17" s="41"/>
      <c r="ANX17" s="41"/>
      <c r="ANY17" s="41"/>
      <c r="ANZ17" s="41"/>
      <c r="AOA17" s="41"/>
      <c r="AOB17" s="41"/>
      <c r="AOC17" s="41"/>
      <c r="AOD17" s="41"/>
      <c r="AOE17" s="41"/>
      <c r="AOF17" s="41"/>
      <c r="AOG17" s="41"/>
      <c r="AOH17" s="41"/>
      <c r="AOI17" s="41"/>
      <c r="AOJ17" s="41"/>
      <c r="AOK17" s="41"/>
      <c r="AOL17" s="41"/>
      <c r="AOM17" s="41"/>
      <c r="AON17" s="41"/>
      <c r="AOO17" s="41"/>
      <c r="AOP17" s="41"/>
      <c r="AOQ17" s="41"/>
      <c r="AOR17" s="41"/>
      <c r="AOS17" s="41"/>
      <c r="AOT17" s="41"/>
      <c r="AOU17" s="41"/>
      <c r="AOV17" s="41"/>
      <c r="AOW17" s="41"/>
      <c r="AOX17" s="41"/>
      <c r="AOY17" s="41"/>
      <c r="AOZ17" s="41"/>
      <c r="APA17" s="41"/>
      <c r="APB17" s="41"/>
      <c r="APC17" s="41"/>
      <c r="APD17" s="41"/>
      <c r="APE17" s="41"/>
      <c r="APF17" s="41"/>
      <c r="APG17" s="41"/>
      <c r="APH17" s="41"/>
      <c r="API17" s="41"/>
      <c r="APJ17" s="41"/>
      <c r="APK17" s="41"/>
      <c r="APL17" s="41"/>
      <c r="APM17" s="41"/>
      <c r="APN17" s="41"/>
      <c r="APO17" s="41"/>
      <c r="APP17" s="41"/>
      <c r="APQ17" s="41"/>
      <c r="APR17" s="41"/>
      <c r="APS17" s="41"/>
      <c r="APT17" s="41"/>
      <c r="APU17" s="41"/>
      <c r="APV17" s="41"/>
      <c r="APW17" s="41"/>
      <c r="APX17" s="41"/>
      <c r="APY17" s="41"/>
      <c r="APZ17" s="41"/>
      <c r="AQA17" s="41"/>
      <c r="AQB17" s="41"/>
      <c r="AQC17" s="41"/>
      <c r="AQD17" s="41"/>
      <c r="AQE17" s="41"/>
      <c r="AQF17" s="41"/>
      <c r="AQG17" s="41"/>
      <c r="AQH17" s="41"/>
      <c r="AQI17" s="41"/>
      <c r="AQJ17" s="41"/>
      <c r="AQK17" s="41"/>
      <c r="AQL17" s="41"/>
      <c r="AQM17" s="41"/>
      <c r="AQN17" s="41"/>
      <c r="AQO17" s="41"/>
      <c r="AQP17" s="41"/>
      <c r="AQQ17" s="41"/>
      <c r="AQR17" s="41"/>
      <c r="AQS17" s="41"/>
      <c r="AQT17" s="41"/>
      <c r="AQU17" s="41"/>
      <c r="AQV17" s="41"/>
      <c r="AQW17" s="41"/>
      <c r="AQX17" s="41"/>
      <c r="AQY17" s="41"/>
      <c r="AQZ17" s="41"/>
      <c r="ARA17" s="41"/>
      <c r="ARB17" s="41"/>
      <c r="ARC17" s="41"/>
      <c r="ARD17" s="41"/>
      <c r="ARE17" s="41"/>
      <c r="ARF17" s="41"/>
      <c r="ARG17" s="41"/>
      <c r="ARH17" s="41"/>
      <c r="ARI17" s="41"/>
      <c r="ARJ17" s="41"/>
      <c r="ARK17" s="41"/>
      <c r="ARL17" s="41"/>
      <c r="ARM17" s="41"/>
      <c r="ARN17" s="41"/>
      <c r="ARO17" s="41"/>
      <c r="ARP17" s="41"/>
      <c r="ARQ17" s="41"/>
      <c r="ARR17" s="41"/>
      <c r="ARS17" s="41"/>
      <c r="ART17" s="41"/>
      <c r="ARU17" s="41"/>
      <c r="ARV17" s="41"/>
      <c r="ARW17" s="41"/>
      <c r="ARX17" s="41"/>
      <c r="ARY17" s="41"/>
      <c r="ARZ17" s="41"/>
      <c r="ASA17" s="41"/>
      <c r="ASB17" s="41"/>
      <c r="ASC17" s="41"/>
      <c r="ASD17" s="41"/>
      <c r="ASE17" s="41"/>
      <c r="ASF17" s="41"/>
      <c r="ASG17" s="41"/>
      <c r="ASH17" s="41"/>
      <c r="ASI17" s="41"/>
      <c r="ASJ17" s="41"/>
      <c r="ASK17" s="41"/>
      <c r="ASL17" s="41"/>
      <c r="ASM17" s="41"/>
      <c r="ASN17" s="41"/>
      <c r="ASO17" s="41"/>
      <c r="ASP17" s="41"/>
      <c r="ASQ17" s="41"/>
      <c r="ASR17" s="41"/>
      <c r="ASS17" s="41"/>
      <c r="AST17" s="41"/>
      <c r="ASU17" s="41"/>
      <c r="ASV17" s="41"/>
      <c r="ASW17" s="41"/>
      <c r="ASX17" s="41"/>
      <c r="ASY17" s="41"/>
      <c r="ASZ17" s="41"/>
      <c r="ATA17" s="41"/>
      <c r="ATB17" s="41"/>
      <c r="ATC17" s="41"/>
      <c r="ATD17" s="41"/>
      <c r="ATE17" s="41"/>
      <c r="ATF17" s="41"/>
      <c r="ATG17" s="41"/>
      <c r="ATH17" s="41"/>
      <c r="ATI17" s="41"/>
      <c r="ATJ17" s="41"/>
      <c r="ATK17" s="41"/>
      <c r="ATL17" s="41"/>
      <c r="ATM17" s="41"/>
      <c r="ATN17" s="41"/>
      <c r="ATO17" s="41"/>
      <c r="ATP17" s="41"/>
      <c r="ATQ17" s="41"/>
      <c r="ATR17" s="41"/>
      <c r="ATS17" s="41"/>
      <c r="ATT17" s="41"/>
      <c r="ATU17" s="41"/>
      <c r="ATV17" s="41"/>
      <c r="ATW17" s="41"/>
      <c r="ATX17" s="41"/>
      <c r="ATY17" s="41"/>
      <c r="ATZ17" s="41"/>
      <c r="AUA17" s="41"/>
      <c r="AUB17" s="41"/>
      <c r="AUC17" s="41"/>
      <c r="AUD17" s="41"/>
      <c r="AUE17" s="41"/>
      <c r="AUF17" s="41"/>
      <c r="AUG17" s="41"/>
      <c r="AUH17" s="41"/>
      <c r="AUI17" s="41"/>
      <c r="AUJ17" s="41"/>
      <c r="AUK17" s="41"/>
      <c r="AUL17" s="41"/>
      <c r="AUM17" s="41"/>
      <c r="AUN17" s="41"/>
      <c r="AUO17" s="41"/>
      <c r="AUP17" s="41"/>
      <c r="AUQ17" s="41"/>
      <c r="AUR17" s="41"/>
      <c r="AUS17" s="41"/>
      <c r="AUT17" s="41"/>
      <c r="AUU17" s="41"/>
      <c r="AUV17" s="41"/>
      <c r="AUW17" s="41"/>
      <c r="AUX17" s="41"/>
      <c r="AUY17" s="41"/>
      <c r="AUZ17" s="41"/>
      <c r="AVA17" s="41"/>
      <c r="AVB17" s="41"/>
      <c r="AVC17" s="41"/>
      <c r="AVD17" s="41"/>
      <c r="AVE17" s="41"/>
      <c r="AVF17" s="41"/>
      <c r="AVG17" s="41"/>
      <c r="AVH17" s="41"/>
      <c r="AVI17" s="41"/>
      <c r="AVJ17" s="41"/>
      <c r="AVK17" s="41"/>
      <c r="AVL17" s="41"/>
      <c r="AVM17" s="41"/>
      <c r="AVN17" s="41"/>
      <c r="AVO17" s="41"/>
      <c r="AVP17" s="41"/>
      <c r="AVQ17" s="41"/>
      <c r="AVR17" s="41"/>
      <c r="AVS17" s="41"/>
      <c r="AVT17" s="41"/>
      <c r="AVU17" s="41"/>
      <c r="AVV17" s="41"/>
      <c r="AVW17" s="41"/>
      <c r="AVX17" s="41"/>
      <c r="AVY17" s="41"/>
      <c r="AVZ17" s="41"/>
      <c r="AWA17" s="41"/>
      <c r="AWB17" s="41"/>
      <c r="AWC17" s="41"/>
      <c r="AWD17" s="41"/>
      <c r="AWE17" s="41"/>
      <c r="AWF17" s="41"/>
      <c r="AWG17" s="41"/>
      <c r="AWH17" s="41"/>
      <c r="AWI17" s="41"/>
      <c r="AWJ17" s="41"/>
      <c r="AWK17" s="41"/>
      <c r="AWL17" s="41"/>
      <c r="AWM17" s="41"/>
      <c r="AWN17" s="41"/>
      <c r="AWO17" s="41"/>
      <c r="AWP17" s="41"/>
      <c r="AWQ17" s="41"/>
      <c r="AWR17" s="41"/>
      <c r="AWS17" s="41"/>
      <c r="AWT17" s="41"/>
      <c r="AWU17" s="41"/>
      <c r="AWV17" s="41"/>
      <c r="AWW17" s="41"/>
      <c r="AWX17" s="41"/>
      <c r="AWY17" s="41"/>
      <c r="AWZ17" s="41"/>
      <c r="AXA17" s="41"/>
      <c r="AXB17" s="41"/>
      <c r="AXC17" s="41"/>
      <c r="AXD17" s="41"/>
      <c r="AXE17" s="41"/>
      <c r="AXF17" s="41"/>
      <c r="AXG17" s="41"/>
      <c r="AXH17" s="41"/>
      <c r="AXI17" s="41"/>
      <c r="AXJ17" s="41"/>
      <c r="AXK17" s="41"/>
      <c r="AXL17" s="41"/>
      <c r="AXM17" s="41"/>
      <c r="AXN17" s="41"/>
      <c r="AXO17" s="41"/>
      <c r="AXP17" s="41"/>
      <c r="AXQ17" s="41"/>
      <c r="AXR17" s="41"/>
      <c r="AXS17" s="41"/>
      <c r="AXT17" s="41"/>
      <c r="AXU17" s="41"/>
      <c r="AXV17" s="41"/>
      <c r="AXW17" s="41"/>
      <c r="AXX17" s="41"/>
      <c r="AXY17" s="41"/>
      <c r="AXZ17" s="41"/>
      <c r="AYA17" s="41"/>
      <c r="AYB17" s="41"/>
      <c r="AYC17" s="41"/>
      <c r="AYD17" s="41"/>
      <c r="AYE17" s="41"/>
      <c r="AYF17" s="41"/>
      <c r="AYG17" s="41"/>
      <c r="AYH17" s="41"/>
      <c r="AYI17" s="41"/>
      <c r="AYJ17" s="41"/>
      <c r="AYK17" s="41"/>
      <c r="AYL17" s="41"/>
      <c r="AYM17" s="41"/>
      <c r="AYN17" s="41"/>
      <c r="AYO17" s="41"/>
      <c r="AYP17" s="41"/>
      <c r="AYQ17" s="41"/>
      <c r="AYR17" s="41"/>
      <c r="AYS17" s="41"/>
      <c r="AYT17" s="41"/>
      <c r="AYU17" s="41"/>
      <c r="AYV17" s="41"/>
      <c r="AYW17" s="41"/>
      <c r="AYX17" s="41"/>
      <c r="AYY17" s="41"/>
      <c r="AYZ17" s="41"/>
      <c r="AZA17" s="41"/>
      <c r="AZB17" s="41"/>
      <c r="AZC17" s="41"/>
      <c r="AZD17" s="41"/>
      <c r="AZE17" s="41"/>
      <c r="AZF17" s="41"/>
      <c r="AZG17" s="41"/>
      <c r="AZH17" s="41"/>
      <c r="AZI17" s="41"/>
      <c r="AZJ17" s="41"/>
      <c r="AZK17" s="41"/>
      <c r="AZL17" s="41"/>
      <c r="AZM17" s="41"/>
      <c r="AZN17" s="41"/>
      <c r="AZO17" s="41"/>
      <c r="AZP17" s="41"/>
      <c r="AZQ17" s="41"/>
      <c r="AZR17" s="41"/>
      <c r="AZS17" s="41"/>
      <c r="AZT17" s="41"/>
      <c r="AZU17" s="41"/>
      <c r="AZV17" s="41"/>
      <c r="AZW17" s="41"/>
      <c r="AZX17" s="41"/>
      <c r="AZY17" s="41"/>
      <c r="AZZ17" s="41"/>
      <c r="BAA17" s="41"/>
      <c r="BAB17" s="41"/>
      <c r="BAC17" s="41"/>
      <c r="BAD17" s="41"/>
      <c r="BAE17" s="41"/>
      <c r="BAF17" s="41"/>
      <c r="BAG17" s="41"/>
      <c r="BAH17" s="41"/>
      <c r="BAI17" s="41"/>
      <c r="BAJ17" s="41"/>
      <c r="BAK17" s="41"/>
      <c r="BAL17" s="41"/>
      <c r="BAM17" s="41"/>
      <c r="BAN17" s="41"/>
      <c r="BAO17" s="41"/>
      <c r="BAP17" s="41"/>
      <c r="BAQ17" s="41"/>
      <c r="BAR17" s="41"/>
      <c r="BAS17" s="41"/>
      <c r="BAT17" s="41"/>
      <c r="BAU17" s="41"/>
      <c r="BAV17" s="41"/>
      <c r="BAW17" s="41"/>
      <c r="BAX17" s="41"/>
      <c r="BAY17" s="41"/>
      <c r="BAZ17" s="41"/>
      <c r="BBA17" s="41"/>
      <c r="BBB17" s="41"/>
      <c r="BBC17" s="41"/>
      <c r="BBD17" s="41"/>
      <c r="BBE17" s="41"/>
      <c r="BBF17" s="41"/>
      <c r="BBG17" s="41"/>
      <c r="BBH17" s="41"/>
      <c r="BBI17" s="41"/>
      <c r="BBJ17" s="41"/>
      <c r="BBK17" s="41"/>
      <c r="BBL17" s="41"/>
      <c r="BBM17" s="41"/>
      <c r="BBN17" s="41"/>
      <c r="BBO17" s="41"/>
      <c r="BBP17" s="41"/>
      <c r="BBQ17" s="41"/>
      <c r="BBR17" s="41"/>
      <c r="BBS17" s="41"/>
      <c r="BBT17" s="41"/>
      <c r="BBU17" s="41"/>
      <c r="BBV17" s="41"/>
      <c r="BBW17" s="41"/>
      <c r="BBX17" s="41"/>
      <c r="BBY17" s="41"/>
      <c r="BBZ17" s="41"/>
      <c r="BCA17" s="41"/>
      <c r="BCB17" s="41"/>
      <c r="BCC17" s="41"/>
      <c r="BCD17" s="41"/>
      <c r="BCE17" s="41"/>
      <c r="BCF17" s="41"/>
      <c r="BCG17" s="41"/>
      <c r="BCH17" s="41"/>
      <c r="BCI17" s="41"/>
      <c r="BCJ17" s="41"/>
      <c r="BCK17" s="41"/>
      <c r="BCL17" s="41"/>
      <c r="BCM17" s="41"/>
      <c r="BCN17" s="41"/>
      <c r="BCO17" s="41"/>
      <c r="BCP17" s="41"/>
      <c r="BCQ17" s="41"/>
      <c r="BCR17" s="41"/>
      <c r="BCS17" s="41"/>
      <c r="BCT17" s="41"/>
      <c r="BCU17" s="41"/>
      <c r="BCV17" s="41"/>
      <c r="BCW17" s="41"/>
      <c r="BCX17" s="41"/>
      <c r="BCY17" s="41"/>
      <c r="BCZ17" s="41"/>
      <c r="BDA17" s="41"/>
      <c r="BDB17" s="41"/>
      <c r="BDC17" s="41"/>
      <c r="BDD17" s="41"/>
      <c r="BDE17" s="41"/>
      <c r="BDF17" s="41"/>
      <c r="BDG17" s="41"/>
      <c r="BDH17" s="41"/>
      <c r="BDI17" s="41"/>
      <c r="BDJ17" s="41"/>
      <c r="BDK17" s="41"/>
      <c r="BDL17" s="41"/>
      <c r="BDM17" s="41"/>
      <c r="BDN17" s="41"/>
      <c r="BDO17" s="41"/>
      <c r="BDP17" s="41"/>
      <c r="BDQ17" s="41"/>
      <c r="BDR17" s="41"/>
      <c r="BDS17" s="41"/>
      <c r="BDT17" s="41"/>
      <c r="BDU17" s="41"/>
      <c r="BDV17" s="41"/>
      <c r="BDW17" s="41"/>
      <c r="BDX17" s="41"/>
      <c r="BDY17" s="41"/>
      <c r="BDZ17" s="41"/>
      <c r="BEA17" s="41"/>
      <c r="BEB17" s="41"/>
      <c r="BEC17" s="41"/>
      <c r="BED17" s="41"/>
      <c r="BEE17" s="41"/>
      <c r="BEF17" s="41"/>
      <c r="BEG17" s="41"/>
      <c r="BEH17" s="41"/>
      <c r="BEI17" s="41"/>
      <c r="BEJ17" s="41"/>
      <c r="BEK17" s="41"/>
      <c r="BEL17" s="41"/>
      <c r="BEM17" s="41"/>
      <c r="BEN17" s="41"/>
      <c r="BEO17" s="41"/>
      <c r="BEP17" s="41"/>
      <c r="BEQ17" s="41"/>
      <c r="BER17" s="41"/>
      <c r="BES17" s="41"/>
      <c r="BET17" s="41"/>
      <c r="BEU17" s="41"/>
      <c r="BEV17" s="41"/>
      <c r="BEW17" s="41"/>
      <c r="BEX17" s="41"/>
      <c r="BEY17" s="41"/>
      <c r="BEZ17" s="41"/>
      <c r="BFA17" s="41"/>
      <c r="BFB17" s="41"/>
      <c r="BFC17" s="41"/>
      <c r="BFD17" s="41"/>
      <c r="BFE17" s="41"/>
      <c r="BFF17" s="41"/>
      <c r="BFG17" s="41"/>
      <c r="BFH17" s="41"/>
      <c r="BFI17" s="41"/>
      <c r="BFJ17" s="41"/>
      <c r="BFK17" s="41"/>
      <c r="BFL17" s="41"/>
      <c r="BFM17" s="41"/>
      <c r="BFN17" s="41"/>
      <c r="BFO17" s="41"/>
      <c r="BFP17" s="41"/>
      <c r="BFQ17" s="41"/>
      <c r="BFR17" s="41"/>
      <c r="BFS17" s="41"/>
      <c r="BFT17" s="41"/>
      <c r="BFU17" s="41"/>
      <c r="BFV17" s="41"/>
      <c r="BFW17" s="41"/>
      <c r="BFX17" s="41"/>
      <c r="BFY17" s="41"/>
      <c r="BFZ17" s="41"/>
      <c r="BGA17" s="41"/>
      <c r="BGB17" s="41"/>
      <c r="BGC17" s="41"/>
      <c r="BGD17" s="41"/>
      <c r="BGE17" s="41"/>
      <c r="BGF17" s="41"/>
      <c r="BGG17" s="41"/>
      <c r="BGH17" s="41"/>
      <c r="BGI17" s="41"/>
      <c r="BGJ17" s="41"/>
      <c r="BGK17" s="41"/>
      <c r="BGL17" s="41"/>
      <c r="BGM17" s="41"/>
      <c r="BGN17" s="41"/>
      <c r="BGO17" s="41"/>
      <c r="BGP17" s="41"/>
      <c r="BGQ17" s="41"/>
      <c r="BGR17" s="41"/>
      <c r="BGS17" s="41"/>
      <c r="BGT17" s="41"/>
      <c r="BGU17" s="41"/>
      <c r="BGV17" s="41"/>
      <c r="BGW17" s="41"/>
      <c r="BGX17" s="41"/>
      <c r="BGY17" s="41"/>
      <c r="BGZ17" s="41"/>
      <c r="BHA17" s="41"/>
      <c r="BHB17" s="41"/>
      <c r="BHC17" s="41"/>
      <c r="BHD17" s="41"/>
      <c r="BHE17" s="41"/>
      <c r="BHF17" s="41"/>
      <c r="BHG17" s="41"/>
      <c r="BHH17" s="41"/>
      <c r="BHI17" s="41"/>
      <c r="BHJ17" s="41"/>
      <c r="BHK17" s="41"/>
      <c r="BHL17" s="41"/>
      <c r="BHM17" s="41"/>
      <c r="BHN17" s="41"/>
      <c r="BHO17" s="41"/>
      <c r="BHP17" s="41"/>
      <c r="BHQ17" s="41"/>
      <c r="BHR17" s="41"/>
      <c r="BHS17" s="41"/>
      <c r="BHT17" s="41"/>
      <c r="BHU17" s="41"/>
      <c r="BHV17" s="41"/>
      <c r="BHW17" s="41"/>
      <c r="BHX17" s="41"/>
      <c r="BHY17" s="41"/>
      <c r="BHZ17" s="41"/>
      <c r="BIA17" s="41"/>
      <c r="BIB17" s="41"/>
      <c r="BIC17" s="41"/>
      <c r="BID17" s="41"/>
      <c r="BIE17" s="41"/>
      <c r="BIF17" s="41"/>
      <c r="BIG17" s="41"/>
      <c r="BIH17" s="41"/>
      <c r="BII17" s="41"/>
      <c r="BIJ17" s="41"/>
      <c r="BIK17" s="41"/>
      <c r="BIL17" s="41"/>
      <c r="BIM17" s="41"/>
      <c r="BIN17" s="41"/>
      <c r="BIO17" s="41"/>
      <c r="BIP17" s="41"/>
      <c r="BIQ17" s="41"/>
      <c r="BIR17" s="41"/>
      <c r="BIS17" s="41"/>
      <c r="BIT17" s="41"/>
      <c r="BIU17" s="41"/>
      <c r="BIV17" s="41"/>
      <c r="BIW17" s="41"/>
      <c r="BIX17" s="41"/>
      <c r="BIY17" s="41"/>
      <c r="BIZ17" s="41"/>
      <c r="BJA17" s="41"/>
      <c r="BJB17" s="41"/>
      <c r="BJC17" s="41"/>
      <c r="BJD17" s="41"/>
      <c r="BJE17" s="41"/>
      <c r="BJF17" s="41"/>
      <c r="BJG17" s="41"/>
      <c r="BJH17" s="41"/>
      <c r="BJI17" s="41"/>
      <c r="BJJ17" s="41"/>
      <c r="BJK17" s="41"/>
      <c r="BJL17" s="41"/>
      <c r="BJM17" s="41"/>
      <c r="BJN17" s="41"/>
      <c r="BJO17" s="41"/>
      <c r="BJP17" s="41"/>
      <c r="BJQ17" s="41"/>
      <c r="BJR17" s="41"/>
      <c r="BJS17" s="41"/>
      <c r="BJT17" s="41"/>
      <c r="BJU17" s="41"/>
      <c r="BJV17" s="41"/>
      <c r="BJW17" s="41"/>
      <c r="BJX17" s="41"/>
      <c r="BJY17" s="41"/>
      <c r="BJZ17" s="41"/>
      <c r="BKA17" s="41"/>
      <c r="BKB17" s="41"/>
      <c r="BKC17" s="41"/>
      <c r="BKD17" s="41"/>
      <c r="BKE17" s="41"/>
      <c r="BKF17" s="41"/>
      <c r="BKG17" s="41"/>
      <c r="BKH17" s="41"/>
      <c r="BKI17" s="41"/>
      <c r="BKJ17" s="41"/>
      <c r="BKK17" s="41"/>
      <c r="BKL17" s="41"/>
      <c r="BKM17" s="41"/>
      <c r="BKN17" s="41"/>
      <c r="BKO17" s="41"/>
      <c r="BKP17" s="41"/>
      <c r="BKQ17" s="41"/>
      <c r="BKR17" s="41"/>
      <c r="BKS17" s="41"/>
      <c r="BKT17" s="41"/>
      <c r="BKU17" s="41"/>
      <c r="BKV17" s="41"/>
      <c r="BKW17" s="41"/>
      <c r="BKX17" s="41"/>
      <c r="BKY17" s="41"/>
      <c r="BKZ17" s="41"/>
      <c r="BLA17" s="41"/>
      <c r="BLB17" s="41"/>
      <c r="BLC17" s="41"/>
      <c r="BLD17" s="41"/>
      <c r="BLE17" s="41"/>
      <c r="BLF17" s="41"/>
      <c r="BLG17" s="41"/>
      <c r="BLH17" s="41"/>
      <c r="BLI17" s="41"/>
      <c r="BLJ17" s="41"/>
      <c r="BLK17" s="41"/>
      <c r="BLL17" s="41"/>
      <c r="BLM17" s="41"/>
      <c r="BLN17" s="41"/>
      <c r="BLO17" s="41"/>
      <c r="BLP17" s="41"/>
      <c r="BLQ17" s="41"/>
      <c r="BLR17" s="41"/>
      <c r="BLS17" s="41"/>
      <c r="BLT17" s="41"/>
      <c r="BLU17" s="41"/>
      <c r="BLV17" s="41"/>
      <c r="BLW17" s="41"/>
      <c r="BLX17" s="41"/>
      <c r="BLY17" s="41"/>
      <c r="BLZ17" s="41"/>
      <c r="BMA17" s="41"/>
      <c r="BMB17" s="41"/>
      <c r="BMC17" s="41"/>
      <c r="BMD17" s="41"/>
      <c r="BME17" s="41"/>
      <c r="BMF17" s="41"/>
      <c r="BMG17" s="41"/>
      <c r="BMH17" s="41"/>
      <c r="BMI17" s="41"/>
      <c r="BMJ17" s="41"/>
      <c r="BMK17" s="41"/>
      <c r="BML17" s="41"/>
      <c r="BMM17" s="41"/>
      <c r="BMN17" s="41"/>
      <c r="BMO17" s="41"/>
      <c r="BMP17" s="41"/>
      <c r="BMQ17" s="41"/>
      <c r="BMR17" s="41"/>
      <c r="BMS17" s="41"/>
      <c r="BMT17" s="41"/>
      <c r="BMU17" s="41"/>
      <c r="BMV17" s="41"/>
      <c r="BMW17" s="41"/>
      <c r="BMX17" s="41"/>
      <c r="BMY17" s="41"/>
      <c r="BMZ17" s="41"/>
      <c r="BNA17" s="41"/>
      <c r="BNB17" s="41"/>
      <c r="BNC17" s="41"/>
      <c r="BND17" s="41"/>
      <c r="BNE17" s="41"/>
      <c r="BNF17" s="41"/>
      <c r="BNG17" s="41"/>
      <c r="BNH17" s="41"/>
      <c r="BNI17" s="41"/>
      <c r="BNJ17" s="41"/>
      <c r="BNK17" s="41"/>
      <c r="BNL17" s="41"/>
      <c r="BNM17" s="41"/>
      <c r="BNN17" s="41"/>
      <c r="BNO17" s="41"/>
      <c r="BNP17" s="41"/>
      <c r="BNQ17" s="41"/>
      <c r="BNR17" s="41"/>
      <c r="BNS17" s="41"/>
      <c r="BNT17" s="41"/>
      <c r="BNU17" s="41"/>
      <c r="BNV17" s="41"/>
      <c r="BNW17" s="41"/>
      <c r="BNX17" s="41"/>
      <c r="BNY17" s="41"/>
      <c r="BNZ17" s="41"/>
      <c r="BOA17" s="41"/>
      <c r="BOB17" s="41"/>
      <c r="BOC17" s="41"/>
      <c r="BOD17" s="41"/>
      <c r="BOE17" s="41"/>
      <c r="BOF17" s="41"/>
      <c r="BOG17" s="41"/>
      <c r="BOH17" s="41"/>
      <c r="BOI17" s="41"/>
      <c r="BOJ17" s="41"/>
      <c r="BOK17" s="41"/>
      <c r="BOL17" s="41"/>
      <c r="BOM17" s="41"/>
      <c r="BON17" s="41"/>
      <c r="BOO17" s="41"/>
      <c r="BOP17" s="41"/>
      <c r="BOQ17" s="41"/>
      <c r="BOR17" s="41"/>
      <c r="BOS17" s="41"/>
      <c r="BOT17" s="41"/>
      <c r="BOU17" s="41"/>
      <c r="BOV17" s="41"/>
      <c r="BOW17" s="41"/>
      <c r="BOX17" s="41"/>
      <c r="BOY17" s="41"/>
      <c r="BOZ17" s="41"/>
      <c r="BPA17" s="41"/>
      <c r="BPB17" s="41"/>
      <c r="BPC17" s="41"/>
      <c r="BPD17" s="41"/>
      <c r="BPE17" s="41"/>
      <c r="BPF17" s="41"/>
      <c r="BPG17" s="41"/>
      <c r="BPH17" s="41"/>
      <c r="BPI17" s="41"/>
      <c r="BPJ17" s="41"/>
      <c r="BPK17" s="41"/>
      <c r="BPL17" s="41"/>
      <c r="BPM17" s="41"/>
      <c r="BPN17" s="41"/>
      <c r="BPO17" s="41"/>
      <c r="BPP17" s="41"/>
      <c r="BPQ17" s="41"/>
      <c r="BPR17" s="41"/>
      <c r="BPS17" s="41"/>
      <c r="BPT17" s="41"/>
      <c r="BPU17" s="41"/>
      <c r="BPV17" s="41"/>
      <c r="BPW17" s="41"/>
      <c r="BPX17" s="41"/>
      <c r="BPY17" s="41"/>
      <c r="BPZ17" s="41"/>
      <c r="BQA17" s="41"/>
      <c r="BQB17" s="41"/>
      <c r="BQC17" s="41"/>
      <c r="BQD17" s="41"/>
      <c r="BQE17" s="41"/>
      <c r="BQF17" s="41"/>
      <c r="BQG17" s="41"/>
      <c r="BQH17" s="41"/>
      <c r="BQI17" s="41"/>
      <c r="BQJ17" s="41"/>
      <c r="BQK17" s="41"/>
      <c r="BQL17" s="41"/>
      <c r="BQM17" s="41"/>
      <c r="BQN17" s="41"/>
      <c r="BQO17" s="41"/>
      <c r="BQP17" s="41"/>
      <c r="BQQ17" s="41"/>
      <c r="BQR17" s="41"/>
      <c r="BQS17" s="41"/>
      <c r="BQT17" s="41"/>
      <c r="BQU17" s="41"/>
      <c r="BQV17" s="41"/>
      <c r="BQW17" s="41"/>
      <c r="BQX17" s="41"/>
      <c r="BQY17" s="41"/>
      <c r="BQZ17" s="41"/>
      <c r="BRA17" s="41"/>
      <c r="BRB17" s="41"/>
      <c r="BRC17" s="41"/>
      <c r="BRD17" s="41"/>
      <c r="BRE17" s="41"/>
      <c r="BRF17" s="41"/>
      <c r="BRG17" s="41"/>
      <c r="BRH17" s="41"/>
      <c r="BRI17" s="41"/>
      <c r="BRJ17" s="41"/>
      <c r="BRK17" s="41"/>
      <c r="BRL17" s="41"/>
      <c r="BRM17" s="41"/>
      <c r="BRN17" s="41"/>
      <c r="BRO17" s="41"/>
      <c r="BRP17" s="41"/>
      <c r="BRQ17" s="41"/>
      <c r="BRR17" s="41"/>
      <c r="BRS17" s="41"/>
      <c r="BRT17" s="41"/>
      <c r="BRU17" s="41"/>
      <c r="BRV17" s="41"/>
      <c r="BRW17" s="41"/>
      <c r="BRX17" s="41"/>
      <c r="BRY17" s="41"/>
      <c r="BRZ17" s="41"/>
      <c r="BSA17" s="41"/>
      <c r="BSB17" s="41"/>
      <c r="BSC17" s="41"/>
      <c r="BSD17" s="41"/>
      <c r="BSE17" s="41"/>
      <c r="BSF17" s="41"/>
      <c r="BSG17" s="41"/>
      <c r="BSH17" s="41"/>
      <c r="BSI17" s="41"/>
      <c r="BSJ17" s="41"/>
      <c r="BSK17" s="41"/>
      <c r="BSL17" s="41"/>
      <c r="BSM17" s="41"/>
      <c r="BSN17" s="41"/>
      <c r="BSO17" s="41"/>
      <c r="BSP17" s="41"/>
      <c r="BSQ17" s="41"/>
      <c r="BSR17" s="41"/>
      <c r="BSS17" s="41"/>
      <c r="BST17" s="41"/>
      <c r="BSU17" s="41"/>
      <c r="BSV17" s="41"/>
      <c r="BSW17" s="41"/>
      <c r="BSX17" s="41"/>
      <c r="BSY17" s="41"/>
      <c r="BSZ17" s="41"/>
      <c r="BTA17" s="41"/>
      <c r="BTB17" s="41"/>
      <c r="BTC17" s="41"/>
      <c r="BTD17" s="41"/>
      <c r="BTE17" s="41"/>
      <c r="BTF17" s="41"/>
      <c r="BTG17" s="41"/>
      <c r="BTH17" s="41"/>
      <c r="BTI17" s="41"/>
      <c r="BTJ17" s="41"/>
      <c r="BTK17" s="41"/>
      <c r="BTL17" s="41"/>
      <c r="BTM17" s="41"/>
      <c r="BTN17" s="41"/>
      <c r="BTO17" s="41"/>
      <c r="BTP17" s="41"/>
      <c r="BTQ17" s="41"/>
      <c r="BTR17" s="41"/>
      <c r="BTS17" s="41"/>
      <c r="BTT17" s="41"/>
      <c r="BTU17" s="41"/>
      <c r="BTV17" s="41"/>
      <c r="BTW17" s="41"/>
      <c r="BTX17" s="41"/>
      <c r="BTY17" s="41"/>
      <c r="BTZ17" s="41"/>
      <c r="BUA17" s="41"/>
      <c r="BUB17" s="41"/>
      <c r="BUC17" s="41"/>
      <c r="BUD17" s="41"/>
      <c r="BUE17" s="41"/>
      <c r="BUF17" s="41"/>
      <c r="BUG17" s="41"/>
      <c r="BUH17" s="41"/>
      <c r="BUI17" s="41"/>
      <c r="BUJ17" s="41"/>
      <c r="BUK17" s="41"/>
      <c r="BUL17" s="41"/>
      <c r="BUM17" s="41"/>
      <c r="BUN17" s="41"/>
      <c r="BUO17" s="41"/>
      <c r="BUP17" s="41"/>
      <c r="BUQ17" s="41"/>
      <c r="BUR17" s="41"/>
      <c r="BUS17" s="41"/>
      <c r="BUT17" s="41"/>
      <c r="BUU17" s="41"/>
      <c r="BUV17" s="41"/>
      <c r="BUW17" s="41"/>
      <c r="BUX17" s="41"/>
      <c r="BUY17" s="41"/>
      <c r="BUZ17" s="41"/>
      <c r="BVA17" s="41"/>
      <c r="BVB17" s="41"/>
      <c r="BVC17" s="41"/>
      <c r="BVD17" s="41"/>
      <c r="BVE17" s="41"/>
      <c r="BVF17" s="41"/>
      <c r="BVG17" s="41"/>
      <c r="BVH17" s="41"/>
      <c r="BVI17" s="41"/>
      <c r="BVJ17" s="41"/>
      <c r="BVK17" s="41"/>
      <c r="BVL17" s="41"/>
      <c r="BVM17" s="41"/>
      <c r="BVN17" s="41"/>
      <c r="BVO17" s="41"/>
      <c r="BVP17" s="41"/>
      <c r="BVQ17" s="41"/>
      <c r="BVR17" s="41"/>
      <c r="BVS17" s="41"/>
      <c r="BVT17" s="41"/>
      <c r="BVU17" s="41"/>
      <c r="BVV17" s="41"/>
      <c r="BVW17" s="41"/>
      <c r="BVX17" s="41"/>
      <c r="BVY17" s="41"/>
      <c r="BVZ17" s="41"/>
      <c r="BWA17" s="41"/>
      <c r="BWB17" s="41"/>
      <c r="BWC17" s="41"/>
      <c r="BWD17" s="41"/>
      <c r="BWE17" s="41"/>
      <c r="BWF17" s="41"/>
      <c r="BWG17" s="41"/>
      <c r="BWH17" s="41"/>
      <c r="BWI17" s="41"/>
      <c r="BWJ17" s="41"/>
      <c r="BWK17" s="41"/>
      <c r="BWL17" s="41"/>
      <c r="BWM17" s="41"/>
      <c r="BWN17" s="41"/>
      <c r="BWO17" s="41"/>
      <c r="BWP17" s="41"/>
      <c r="BWQ17" s="41"/>
      <c r="BWR17" s="41"/>
      <c r="BWS17" s="41"/>
      <c r="BWT17" s="41"/>
      <c r="BWU17" s="41"/>
      <c r="BWV17" s="41"/>
      <c r="BWW17" s="41"/>
      <c r="BWX17" s="41"/>
      <c r="BWY17" s="41"/>
      <c r="BWZ17" s="41"/>
      <c r="BXA17" s="41"/>
      <c r="BXB17" s="41"/>
      <c r="BXC17" s="41"/>
      <c r="BXD17" s="41"/>
      <c r="BXE17" s="41"/>
      <c r="BXF17" s="41"/>
      <c r="BXG17" s="41"/>
      <c r="BXH17" s="41"/>
      <c r="BXI17" s="41"/>
      <c r="BXJ17" s="41"/>
      <c r="BXK17" s="41"/>
      <c r="BXL17" s="41"/>
      <c r="BXM17" s="41"/>
      <c r="BXN17" s="41"/>
      <c r="BXO17" s="41"/>
      <c r="BXP17" s="41"/>
      <c r="BXQ17" s="41"/>
      <c r="BXR17" s="41"/>
      <c r="BXS17" s="41"/>
      <c r="BXT17" s="41"/>
      <c r="BXU17" s="41"/>
      <c r="BXV17" s="41"/>
      <c r="BXW17" s="41"/>
      <c r="BXX17" s="41"/>
      <c r="BXY17" s="41"/>
      <c r="BXZ17" s="41"/>
      <c r="BYA17" s="41"/>
      <c r="BYB17" s="41"/>
      <c r="BYC17" s="41"/>
      <c r="BYD17" s="41"/>
      <c r="BYE17" s="41"/>
      <c r="BYF17" s="41"/>
      <c r="BYG17" s="41"/>
      <c r="BYH17" s="41"/>
      <c r="BYI17" s="41"/>
      <c r="BYJ17" s="41"/>
      <c r="BYK17" s="41"/>
      <c r="BYL17" s="41"/>
      <c r="BYM17" s="41"/>
      <c r="BYN17" s="41"/>
      <c r="BYO17" s="41"/>
      <c r="BYP17" s="41"/>
      <c r="BYQ17" s="41"/>
      <c r="BYR17" s="41"/>
      <c r="BYS17" s="41"/>
      <c r="BYT17" s="41"/>
      <c r="BYU17" s="41"/>
      <c r="BYV17" s="41"/>
      <c r="BYW17" s="41"/>
      <c r="BYX17" s="41"/>
      <c r="BYY17" s="41"/>
      <c r="BYZ17" s="41"/>
      <c r="BZA17" s="41"/>
      <c r="BZB17" s="41"/>
      <c r="BZC17" s="41"/>
      <c r="BZD17" s="41"/>
      <c r="BZE17" s="41"/>
      <c r="BZF17" s="41"/>
      <c r="BZG17" s="41"/>
      <c r="BZH17" s="41"/>
      <c r="BZI17" s="41"/>
      <c r="BZJ17" s="41"/>
      <c r="BZK17" s="41"/>
      <c r="BZL17" s="41"/>
      <c r="BZM17" s="41"/>
      <c r="BZN17" s="41"/>
      <c r="BZO17" s="41"/>
      <c r="BZP17" s="41"/>
      <c r="BZQ17" s="41"/>
      <c r="BZR17" s="41"/>
      <c r="BZS17" s="41"/>
      <c r="BZT17" s="41"/>
      <c r="BZU17" s="41"/>
      <c r="BZV17" s="41"/>
      <c r="BZW17" s="41"/>
      <c r="BZX17" s="41"/>
      <c r="BZY17" s="41"/>
      <c r="BZZ17" s="41"/>
      <c r="CAA17" s="41"/>
      <c r="CAB17" s="41"/>
      <c r="CAC17" s="41"/>
      <c r="CAD17" s="41"/>
      <c r="CAE17" s="41"/>
      <c r="CAF17" s="41"/>
      <c r="CAG17" s="41"/>
      <c r="CAH17" s="41"/>
      <c r="CAI17" s="41"/>
      <c r="CAJ17" s="41"/>
      <c r="CAK17" s="41"/>
      <c r="CAL17" s="41"/>
      <c r="CAM17" s="41"/>
      <c r="CAN17" s="41"/>
      <c r="CAO17" s="41"/>
      <c r="CAP17" s="41"/>
      <c r="CAQ17" s="41"/>
      <c r="CAR17" s="41"/>
      <c r="CAS17" s="41"/>
      <c r="CAT17" s="41"/>
      <c r="CAU17" s="41"/>
      <c r="CAV17" s="41"/>
      <c r="CAW17" s="41"/>
      <c r="CAX17" s="41"/>
      <c r="CAY17" s="41"/>
      <c r="CAZ17" s="41"/>
      <c r="CBA17" s="41"/>
      <c r="CBB17" s="41"/>
      <c r="CBC17" s="41"/>
      <c r="CBD17" s="41"/>
      <c r="CBE17" s="41"/>
      <c r="CBF17" s="41"/>
      <c r="CBG17" s="41"/>
      <c r="CBH17" s="41"/>
      <c r="CBI17" s="41"/>
      <c r="CBJ17" s="41"/>
      <c r="CBK17" s="41"/>
      <c r="CBL17" s="41"/>
      <c r="CBM17" s="41"/>
      <c r="CBN17" s="41"/>
      <c r="CBO17" s="41"/>
      <c r="CBP17" s="41"/>
      <c r="CBQ17" s="41"/>
      <c r="CBR17" s="41"/>
      <c r="CBS17" s="41"/>
      <c r="CBT17" s="41"/>
      <c r="CBU17" s="41"/>
      <c r="CBV17" s="41"/>
      <c r="CBW17" s="41"/>
      <c r="CBX17" s="41"/>
      <c r="CBY17" s="41"/>
      <c r="CBZ17" s="41"/>
      <c r="CCA17" s="41"/>
      <c r="CCB17" s="41"/>
      <c r="CCC17" s="41"/>
      <c r="CCD17" s="41"/>
      <c r="CCE17" s="41"/>
      <c r="CCF17" s="41"/>
      <c r="CCG17" s="41"/>
      <c r="CCH17" s="41"/>
      <c r="CCI17" s="41"/>
      <c r="CCJ17" s="41"/>
      <c r="CCK17" s="41"/>
      <c r="CCL17" s="41"/>
      <c r="CCM17" s="41"/>
      <c r="CCN17" s="41"/>
      <c r="CCO17" s="41"/>
      <c r="CCP17" s="41"/>
      <c r="CCQ17" s="41"/>
      <c r="CCR17" s="41"/>
      <c r="CCS17" s="41"/>
      <c r="CCT17" s="41"/>
      <c r="CCU17" s="41"/>
      <c r="CCV17" s="41"/>
      <c r="CCW17" s="41"/>
      <c r="CCX17" s="41"/>
      <c r="CCY17" s="41"/>
      <c r="CCZ17" s="41"/>
      <c r="CDA17" s="41"/>
      <c r="CDB17" s="41"/>
      <c r="CDC17" s="41"/>
      <c r="CDD17" s="41"/>
      <c r="CDE17" s="41"/>
      <c r="CDF17" s="41"/>
      <c r="CDG17" s="41"/>
      <c r="CDH17" s="41"/>
      <c r="CDI17" s="41"/>
      <c r="CDJ17" s="41"/>
      <c r="CDK17" s="41"/>
      <c r="CDL17" s="41"/>
      <c r="CDM17" s="41"/>
      <c r="CDN17" s="41"/>
      <c r="CDO17" s="41"/>
      <c r="CDP17" s="41"/>
      <c r="CDQ17" s="41"/>
      <c r="CDR17" s="41"/>
      <c r="CDS17" s="41"/>
      <c r="CDT17" s="41"/>
      <c r="CDU17" s="41"/>
      <c r="CDV17" s="41"/>
      <c r="CDW17" s="41"/>
      <c r="CDX17" s="41"/>
      <c r="CDY17" s="41"/>
      <c r="CDZ17" s="41"/>
      <c r="CEA17" s="41"/>
      <c r="CEB17" s="41"/>
      <c r="CEC17" s="41"/>
      <c r="CED17" s="41"/>
      <c r="CEE17" s="41"/>
      <c r="CEF17" s="41"/>
      <c r="CEG17" s="41"/>
      <c r="CEH17" s="41"/>
      <c r="CEI17" s="41"/>
      <c r="CEJ17" s="41"/>
      <c r="CEK17" s="41"/>
      <c r="CEL17" s="41"/>
      <c r="CEM17" s="41"/>
      <c r="CEN17" s="41"/>
      <c r="CEO17" s="41"/>
      <c r="CEP17" s="41"/>
      <c r="CEQ17" s="41"/>
      <c r="CER17" s="41"/>
      <c r="CES17" s="41"/>
      <c r="CET17" s="41"/>
      <c r="CEU17" s="41"/>
      <c r="CEV17" s="41"/>
      <c r="CEW17" s="41"/>
      <c r="CEX17" s="41"/>
      <c r="CEY17" s="41"/>
      <c r="CEZ17" s="41"/>
      <c r="CFA17" s="41"/>
      <c r="CFB17" s="41"/>
      <c r="CFC17" s="41"/>
      <c r="CFD17" s="41"/>
      <c r="CFE17" s="41"/>
      <c r="CFF17" s="41"/>
      <c r="CFG17" s="41"/>
      <c r="CFH17" s="41"/>
      <c r="CFI17" s="41"/>
      <c r="CFJ17" s="41"/>
      <c r="CFK17" s="41"/>
      <c r="CFL17" s="41"/>
      <c r="CFM17" s="41"/>
      <c r="CFN17" s="41"/>
      <c r="CFO17" s="41"/>
      <c r="CFP17" s="41"/>
      <c r="CFQ17" s="41"/>
      <c r="CFR17" s="41"/>
      <c r="CFS17" s="41"/>
      <c r="CFT17" s="41"/>
      <c r="CFU17" s="41"/>
      <c r="CFV17" s="41"/>
      <c r="CFW17" s="41"/>
      <c r="CFX17" s="41"/>
      <c r="CFY17" s="41"/>
      <c r="CFZ17" s="41"/>
      <c r="CGA17" s="41"/>
      <c r="CGB17" s="41"/>
      <c r="CGC17" s="41"/>
      <c r="CGD17" s="41"/>
      <c r="CGE17" s="41"/>
      <c r="CGF17" s="41"/>
      <c r="CGG17" s="41"/>
      <c r="CGH17" s="41"/>
      <c r="CGI17" s="41"/>
      <c r="CGJ17" s="41"/>
      <c r="CGK17" s="41"/>
      <c r="CGL17" s="41"/>
      <c r="CGM17" s="41"/>
      <c r="CGN17" s="41"/>
      <c r="CGO17" s="41"/>
      <c r="CGP17" s="41"/>
      <c r="CGQ17" s="41"/>
      <c r="CGR17" s="41"/>
      <c r="CGS17" s="41"/>
      <c r="CGT17" s="41"/>
      <c r="CGU17" s="41"/>
      <c r="CGV17" s="41"/>
      <c r="CGW17" s="41"/>
      <c r="CGX17" s="41"/>
      <c r="CGY17" s="41"/>
      <c r="CGZ17" s="41"/>
      <c r="CHA17" s="41"/>
      <c r="CHB17" s="41"/>
      <c r="CHC17" s="41"/>
      <c r="CHD17" s="41"/>
      <c r="CHE17" s="41"/>
      <c r="CHF17" s="41"/>
      <c r="CHG17" s="41"/>
      <c r="CHH17" s="41"/>
      <c r="CHI17" s="41"/>
      <c r="CHJ17" s="41"/>
      <c r="CHK17" s="41"/>
      <c r="CHL17" s="41"/>
      <c r="CHM17" s="41"/>
      <c r="CHN17" s="41"/>
      <c r="CHO17" s="41"/>
      <c r="CHP17" s="41"/>
      <c r="CHQ17" s="41"/>
      <c r="CHR17" s="41"/>
      <c r="CHS17" s="41"/>
      <c r="CHT17" s="41"/>
      <c r="CHU17" s="41"/>
      <c r="CHV17" s="41"/>
      <c r="CHW17" s="41"/>
      <c r="CHX17" s="41"/>
      <c r="CHY17" s="41"/>
      <c r="CHZ17" s="41"/>
      <c r="CIA17" s="41"/>
      <c r="CIB17" s="41"/>
      <c r="CIC17" s="41"/>
      <c r="CID17" s="41"/>
      <c r="CIE17" s="41"/>
      <c r="CIF17" s="41"/>
      <c r="CIG17" s="41"/>
      <c r="CIH17" s="41"/>
      <c r="CII17" s="41"/>
      <c r="CIJ17" s="41"/>
      <c r="CIK17" s="41"/>
      <c r="CIL17" s="41"/>
      <c r="CIM17" s="41"/>
      <c r="CIN17" s="41"/>
      <c r="CIO17" s="41"/>
      <c r="CIP17" s="41"/>
      <c r="CIQ17" s="41"/>
      <c r="CIR17" s="41"/>
      <c r="CIS17" s="41"/>
      <c r="CIT17" s="41"/>
      <c r="CIU17" s="41"/>
      <c r="CIV17" s="41"/>
      <c r="CIW17" s="41"/>
      <c r="CIX17" s="41"/>
      <c r="CIY17" s="41"/>
      <c r="CIZ17" s="41"/>
      <c r="CJA17" s="41"/>
      <c r="CJB17" s="41"/>
      <c r="CJC17" s="41"/>
      <c r="CJD17" s="41"/>
      <c r="CJE17" s="41"/>
      <c r="CJF17" s="41"/>
      <c r="CJG17" s="41"/>
      <c r="CJH17" s="41"/>
      <c r="CJI17" s="41"/>
      <c r="CJJ17" s="41"/>
      <c r="CJK17" s="41"/>
      <c r="CJL17" s="41"/>
      <c r="CJM17" s="41"/>
      <c r="CJN17" s="41"/>
      <c r="CJO17" s="41"/>
      <c r="CJP17" s="41"/>
      <c r="CJQ17" s="41"/>
      <c r="CJR17" s="41"/>
      <c r="CJS17" s="41"/>
      <c r="CJT17" s="41"/>
      <c r="CJU17" s="41"/>
      <c r="CJV17" s="41"/>
      <c r="CJW17" s="41"/>
      <c r="CJX17" s="41"/>
      <c r="CJY17" s="41"/>
      <c r="CJZ17" s="41"/>
      <c r="CKA17" s="41"/>
      <c r="CKB17" s="41"/>
      <c r="CKC17" s="41"/>
      <c r="CKD17" s="41"/>
      <c r="CKE17" s="41"/>
      <c r="CKF17" s="41"/>
      <c r="CKG17" s="41"/>
      <c r="CKH17" s="41"/>
      <c r="CKI17" s="41"/>
      <c r="CKJ17" s="41"/>
      <c r="CKK17" s="41"/>
      <c r="CKL17" s="41"/>
      <c r="CKM17" s="41"/>
      <c r="CKN17" s="41"/>
      <c r="CKO17" s="41"/>
      <c r="CKP17" s="41"/>
      <c r="CKQ17" s="41"/>
      <c r="CKR17" s="41"/>
      <c r="CKS17" s="41"/>
      <c r="CKT17" s="41"/>
      <c r="CKU17" s="41"/>
      <c r="CKV17" s="41"/>
      <c r="CKW17" s="41"/>
      <c r="CKX17" s="41"/>
      <c r="CKY17" s="41"/>
      <c r="CKZ17" s="41"/>
      <c r="CLA17" s="41"/>
      <c r="CLB17" s="41"/>
      <c r="CLC17" s="41"/>
      <c r="CLD17" s="41"/>
      <c r="CLE17" s="41"/>
      <c r="CLF17" s="41"/>
      <c r="CLG17" s="41"/>
      <c r="CLH17" s="41"/>
      <c r="CLI17" s="41"/>
      <c r="CLJ17" s="41"/>
      <c r="CLK17" s="41"/>
      <c r="CLL17" s="41"/>
      <c r="CLM17" s="41"/>
      <c r="CLN17" s="41"/>
      <c r="CLO17" s="41"/>
      <c r="CLP17" s="41"/>
      <c r="CLQ17" s="41"/>
      <c r="CLR17" s="41"/>
      <c r="CLS17" s="41"/>
      <c r="CLT17" s="41"/>
      <c r="CLU17" s="41"/>
      <c r="CLV17" s="41"/>
      <c r="CLW17" s="41"/>
      <c r="CLX17" s="41"/>
      <c r="CLY17" s="41"/>
      <c r="CLZ17" s="41"/>
      <c r="CMA17" s="41"/>
      <c r="CMB17" s="41"/>
      <c r="CMC17" s="41"/>
      <c r="CMD17" s="41"/>
      <c r="CME17" s="41"/>
      <c r="CMF17" s="41"/>
      <c r="CMG17" s="41"/>
      <c r="CMH17" s="41"/>
      <c r="CMI17" s="41"/>
      <c r="CMJ17" s="41"/>
      <c r="CMK17" s="41"/>
      <c r="CML17" s="41"/>
      <c r="CMM17" s="41"/>
      <c r="CMN17" s="41"/>
      <c r="CMO17" s="41"/>
      <c r="CMP17" s="41"/>
      <c r="CMQ17" s="41"/>
      <c r="CMR17" s="41"/>
      <c r="CMS17" s="41"/>
      <c r="CMT17" s="41"/>
      <c r="CMU17" s="41"/>
      <c r="CMV17" s="41"/>
      <c r="CMW17" s="41"/>
      <c r="CMX17" s="41"/>
      <c r="CMY17" s="41"/>
      <c r="CMZ17" s="41"/>
      <c r="CNA17" s="41"/>
      <c r="CNB17" s="41"/>
      <c r="CNC17" s="41"/>
      <c r="CND17" s="41"/>
      <c r="CNE17" s="41"/>
      <c r="CNF17" s="41"/>
      <c r="CNG17" s="41"/>
      <c r="CNH17" s="41"/>
      <c r="CNI17" s="41"/>
      <c r="CNJ17" s="41"/>
      <c r="CNK17" s="41"/>
      <c r="CNL17" s="41"/>
      <c r="CNM17" s="41"/>
      <c r="CNN17" s="41"/>
      <c r="CNO17" s="41"/>
      <c r="CNP17" s="41"/>
      <c r="CNQ17" s="41"/>
      <c r="CNR17" s="41"/>
      <c r="CNS17" s="41"/>
      <c r="CNT17" s="41"/>
      <c r="CNU17" s="41"/>
      <c r="CNV17" s="41"/>
      <c r="CNW17" s="41"/>
      <c r="CNX17" s="41"/>
      <c r="CNY17" s="41"/>
      <c r="CNZ17" s="41"/>
      <c r="COA17" s="41"/>
      <c r="COB17" s="41"/>
      <c r="COC17" s="41"/>
      <c r="COD17" s="41"/>
      <c r="COE17" s="41"/>
      <c r="COF17" s="41"/>
      <c r="COG17" s="41"/>
      <c r="COH17" s="41"/>
      <c r="COI17" s="41"/>
      <c r="COJ17" s="41"/>
      <c r="COK17" s="41"/>
      <c r="COL17" s="41"/>
      <c r="COM17" s="41"/>
      <c r="CON17" s="41"/>
      <c r="COO17" s="41"/>
      <c r="COP17" s="41"/>
      <c r="COQ17" s="41"/>
      <c r="COR17" s="41"/>
      <c r="COS17" s="41"/>
      <c r="COT17" s="41"/>
      <c r="COU17" s="41"/>
      <c r="COV17" s="41"/>
      <c r="COW17" s="41"/>
      <c r="COX17" s="41"/>
      <c r="COY17" s="41"/>
      <c r="COZ17" s="41"/>
      <c r="CPA17" s="41"/>
      <c r="CPB17" s="41"/>
      <c r="CPC17" s="41"/>
      <c r="CPD17" s="41"/>
      <c r="CPE17" s="41"/>
      <c r="CPF17" s="41"/>
      <c r="CPG17" s="41"/>
      <c r="CPH17" s="41"/>
      <c r="CPI17" s="41"/>
      <c r="CPJ17" s="41"/>
      <c r="CPK17" s="41"/>
      <c r="CPL17" s="41"/>
      <c r="CPM17" s="41"/>
      <c r="CPN17" s="41"/>
      <c r="CPO17" s="41"/>
      <c r="CPP17" s="41"/>
      <c r="CPQ17" s="41"/>
      <c r="CPR17" s="41"/>
      <c r="CPS17" s="41"/>
      <c r="CPT17" s="41"/>
      <c r="CPU17" s="41"/>
      <c r="CPV17" s="41"/>
      <c r="CPW17" s="41"/>
      <c r="CPX17" s="41"/>
      <c r="CPY17" s="41"/>
      <c r="CPZ17" s="41"/>
      <c r="CQA17" s="41"/>
      <c r="CQB17" s="41"/>
      <c r="CQC17" s="41"/>
      <c r="CQD17" s="41"/>
      <c r="CQE17" s="41"/>
      <c r="CQF17" s="41"/>
      <c r="CQG17" s="41"/>
      <c r="CQH17" s="41"/>
      <c r="CQI17" s="41"/>
      <c r="CQJ17" s="41"/>
      <c r="CQK17" s="41"/>
      <c r="CQL17" s="41"/>
      <c r="CQM17" s="41"/>
      <c r="CQN17" s="41"/>
      <c r="CQO17" s="41"/>
      <c r="CQP17" s="41"/>
      <c r="CQQ17" s="41"/>
      <c r="CQR17" s="41"/>
      <c r="CQS17" s="41"/>
      <c r="CQT17" s="41"/>
      <c r="CQU17" s="41"/>
      <c r="CQV17" s="41"/>
      <c r="CQW17" s="41"/>
      <c r="CQX17" s="41"/>
      <c r="CQY17" s="41"/>
      <c r="CQZ17" s="41"/>
      <c r="CRA17" s="41"/>
      <c r="CRB17" s="41"/>
      <c r="CRC17" s="41"/>
      <c r="CRD17" s="41"/>
      <c r="CRE17" s="41"/>
      <c r="CRF17" s="41"/>
      <c r="CRG17" s="41"/>
      <c r="CRH17" s="41"/>
      <c r="CRI17" s="41"/>
      <c r="CRJ17" s="41"/>
      <c r="CRK17" s="41"/>
      <c r="CRL17" s="41"/>
      <c r="CRM17" s="41"/>
      <c r="CRN17" s="41"/>
      <c r="CRO17" s="41"/>
      <c r="CRP17" s="41"/>
      <c r="CRQ17" s="41"/>
      <c r="CRR17" s="41"/>
      <c r="CRS17" s="41"/>
      <c r="CRT17" s="41"/>
      <c r="CRU17" s="41"/>
      <c r="CRV17" s="41"/>
      <c r="CRW17" s="41"/>
      <c r="CRX17" s="41"/>
      <c r="CRY17" s="41"/>
      <c r="CRZ17" s="41"/>
      <c r="CSA17" s="41"/>
      <c r="CSB17" s="41"/>
      <c r="CSC17" s="41"/>
      <c r="CSD17" s="41"/>
      <c r="CSE17" s="41"/>
      <c r="CSF17" s="41"/>
      <c r="CSG17" s="41"/>
      <c r="CSH17" s="41"/>
      <c r="CSI17" s="41"/>
      <c r="CSJ17" s="41"/>
      <c r="CSK17" s="41"/>
      <c r="CSL17" s="41"/>
      <c r="CSM17" s="41"/>
      <c r="CSN17" s="41"/>
      <c r="CSO17" s="41"/>
      <c r="CSP17" s="41"/>
      <c r="CSQ17" s="41"/>
      <c r="CSR17" s="41"/>
      <c r="CSS17" s="41"/>
      <c r="CST17" s="41"/>
      <c r="CSU17" s="41"/>
      <c r="CSV17" s="41"/>
      <c r="CSW17" s="41"/>
      <c r="CSX17" s="41"/>
      <c r="CSY17" s="41"/>
      <c r="CSZ17" s="41"/>
      <c r="CTA17" s="41"/>
      <c r="CTB17" s="41"/>
      <c r="CTC17" s="41"/>
      <c r="CTD17" s="41"/>
      <c r="CTE17" s="41"/>
      <c r="CTF17" s="41"/>
      <c r="CTG17" s="41"/>
      <c r="CTH17" s="41"/>
      <c r="CTI17" s="41"/>
      <c r="CTJ17" s="41"/>
      <c r="CTK17" s="41"/>
      <c r="CTL17" s="41"/>
      <c r="CTM17" s="41"/>
      <c r="CTN17" s="41"/>
      <c r="CTO17" s="41"/>
      <c r="CTP17" s="41"/>
      <c r="CTQ17" s="41"/>
      <c r="CTR17" s="41"/>
      <c r="CTS17" s="41"/>
      <c r="CTT17" s="41"/>
      <c r="CTU17" s="41"/>
      <c r="CTV17" s="41"/>
      <c r="CTW17" s="41"/>
      <c r="CTX17" s="41"/>
      <c r="CTY17" s="41"/>
      <c r="CTZ17" s="41"/>
      <c r="CUA17" s="41"/>
      <c r="CUB17" s="41"/>
      <c r="CUC17" s="41"/>
      <c r="CUD17" s="41"/>
      <c r="CUE17" s="41"/>
      <c r="CUF17" s="41"/>
      <c r="CUG17" s="41"/>
      <c r="CUH17" s="41"/>
      <c r="CUI17" s="41"/>
      <c r="CUJ17" s="41"/>
      <c r="CUK17" s="41"/>
      <c r="CUL17" s="41"/>
      <c r="CUM17" s="41"/>
      <c r="CUN17" s="41"/>
      <c r="CUO17" s="41"/>
      <c r="CUP17" s="41"/>
      <c r="CUQ17" s="41"/>
      <c r="CUR17" s="41"/>
      <c r="CUS17" s="41"/>
      <c r="CUT17" s="41"/>
      <c r="CUU17" s="41"/>
      <c r="CUV17" s="41"/>
      <c r="CUW17" s="41"/>
      <c r="CUX17" s="41"/>
      <c r="CUY17" s="41"/>
      <c r="CUZ17" s="41"/>
      <c r="CVA17" s="41"/>
      <c r="CVB17" s="41"/>
      <c r="CVC17" s="41"/>
      <c r="CVD17" s="41"/>
      <c r="CVE17" s="41"/>
      <c r="CVF17" s="41"/>
      <c r="CVG17" s="41"/>
      <c r="CVH17" s="41"/>
      <c r="CVI17" s="41"/>
      <c r="CVJ17" s="41"/>
      <c r="CVK17" s="41"/>
      <c r="CVL17" s="41"/>
      <c r="CVM17" s="41"/>
      <c r="CVN17" s="41"/>
      <c r="CVO17" s="41"/>
      <c r="CVP17" s="41"/>
      <c r="CVQ17" s="41"/>
      <c r="CVR17" s="41"/>
      <c r="CVS17" s="41"/>
      <c r="CVT17" s="41"/>
      <c r="CVU17" s="41"/>
      <c r="CVV17" s="41"/>
      <c r="CVW17" s="41"/>
      <c r="CVX17" s="41"/>
      <c r="CVY17" s="41"/>
      <c r="CVZ17" s="41"/>
      <c r="CWA17" s="41"/>
      <c r="CWB17" s="41"/>
      <c r="CWC17" s="41"/>
      <c r="CWD17" s="41"/>
      <c r="CWE17" s="41"/>
      <c r="CWF17" s="41"/>
      <c r="CWG17" s="41"/>
      <c r="CWH17" s="41"/>
      <c r="CWI17" s="41"/>
      <c r="CWJ17" s="41"/>
      <c r="CWK17" s="41"/>
      <c r="CWL17" s="41"/>
      <c r="CWM17" s="41"/>
      <c r="CWN17" s="41"/>
      <c r="CWO17" s="41"/>
      <c r="CWP17" s="41"/>
      <c r="CWQ17" s="41"/>
      <c r="CWR17" s="41"/>
      <c r="CWS17" s="41"/>
      <c r="CWT17" s="41"/>
      <c r="CWU17" s="41"/>
      <c r="CWV17" s="41"/>
      <c r="CWW17" s="41"/>
      <c r="CWX17" s="41"/>
      <c r="CWY17" s="41"/>
      <c r="CWZ17" s="41"/>
      <c r="CXA17" s="41"/>
      <c r="CXB17" s="41"/>
      <c r="CXC17" s="41"/>
      <c r="CXD17" s="41"/>
      <c r="CXE17" s="41"/>
      <c r="CXF17" s="41"/>
      <c r="CXG17" s="41"/>
      <c r="CXH17" s="41"/>
      <c r="CXI17" s="41"/>
      <c r="CXJ17" s="41"/>
      <c r="CXK17" s="41"/>
      <c r="CXL17" s="41"/>
      <c r="CXM17" s="41"/>
      <c r="CXN17" s="41"/>
      <c r="CXO17" s="41"/>
      <c r="CXP17" s="41"/>
      <c r="CXQ17" s="41"/>
      <c r="CXR17" s="41"/>
      <c r="CXS17" s="41"/>
      <c r="CXT17" s="41"/>
      <c r="CXU17" s="41"/>
      <c r="CXV17" s="41"/>
      <c r="CXW17" s="41"/>
      <c r="CXX17" s="41"/>
      <c r="CXY17" s="41"/>
      <c r="CXZ17" s="41"/>
      <c r="CYA17" s="41"/>
      <c r="CYB17" s="41"/>
      <c r="CYC17" s="41"/>
      <c r="CYD17" s="41"/>
      <c r="CYE17" s="41"/>
      <c r="CYF17" s="41"/>
      <c r="CYG17" s="41"/>
      <c r="CYH17" s="41"/>
      <c r="CYI17" s="41"/>
      <c r="CYJ17" s="41"/>
      <c r="CYK17" s="41"/>
      <c r="CYL17" s="41"/>
      <c r="CYM17" s="41"/>
      <c r="CYN17" s="41"/>
      <c r="CYO17" s="41"/>
      <c r="CYP17" s="41"/>
      <c r="CYQ17" s="41"/>
      <c r="CYR17" s="41"/>
      <c r="CYS17" s="41"/>
      <c r="CYT17" s="41"/>
      <c r="CYU17" s="41"/>
      <c r="CYV17" s="41"/>
      <c r="CYW17" s="41"/>
      <c r="CYX17" s="41"/>
      <c r="CYY17" s="41"/>
      <c r="CYZ17" s="41"/>
      <c r="CZA17" s="41"/>
      <c r="CZB17" s="41"/>
      <c r="CZC17" s="41"/>
      <c r="CZD17" s="41"/>
      <c r="CZE17" s="41"/>
      <c r="CZF17" s="41"/>
      <c r="CZG17" s="41"/>
      <c r="CZH17" s="41"/>
      <c r="CZI17" s="41"/>
      <c r="CZJ17" s="41"/>
      <c r="CZK17" s="41"/>
      <c r="CZL17" s="41"/>
      <c r="CZM17" s="41"/>
      <c r="CZN17" s="41"/>
      <c r="CZO17" s="41"/>
      <c r="CZP17" s="41"/>
      <c r="CZQ17" s="41"/>
      <c r="CZR17" s="41"/>
      <c r="CZS17" s="41"/>
      <c r="CZT17" s="41"/>
      <c r="CZU17" s="41"/>
      <c r="CZV17" s="41"/>
      <c r="CZW17" s="41"/>
      <c r="CZX17" s="41"/>
      <c r="CZY17" s="41"/>
      <c r="CZZ17" s="41"/>
      <c r="DAA17" s="41"/>
      <c r="DAB17" s="41"/>
      <c r="DAC17" s="41"/>
      <c r="DAD17" s="41"/>
      <c r="DAE17" s="41"/>
      <c r="DAF17" s="41"/>
      <c r="DAG17" s="41"/>
      <c r="DAH17" s="41"/>
      <c r="DAI17" s="41"/>
      <c r="DAJ17" s="41"/>
      <c r="DAK17" s="41"/>
      <c r="DAL17" s="41"/>
      <c r="DAM17" s="41"/>
      <c r="DAN17" s="41"/>
      <c r="DAO17" s="41"/>
      <c r="DAP17" s="41"/>
      <c r="DAQ17" s="41"/>
      <c r="DAR17" s="41"/>
      <c r="DAS17" s="41"/>
      <c r="DAT17" s="41"/>
      <c r="DAU17" s="41"/>
      <c r="DAV17" s="41"/>
      <c r="DAW17" s="41"/>
      <c r="DAX17" s="41"/>
      <c r="DAY17" s="41"/>
      <c r="DAZ17" s="41"/>
      <c r="DBA17" s="41"/>
      <c r="DBB17" s="41"/>
      <c r="DBC17" s="41"/>
      <c r="DBD17" s="41"/>
      <c r="DBE17" s="41"/>
      <c r="DBF17" s="41"/>
      <c r="DBG17" s="41"/>
      <c r="DBH17" s="41"/>
      <c r="DBI17" s="41"/>
      <c r="DBJ17" s="41"/>
      <c r="DBK17" s="41"/>
      <c r="DBL17" s="41"/>
      <c r="DBM17" s="41"/>
      <c r="DBN17" s="41"/>
      <c r="DBO17" s="41"/>
      <c r="DBP17" s="41"/>
      <c r="DBQ17" s="41"/>
      <c r="DBR17" s="41"/>
      <c r="DBS17" s="41"/>
      <c r="DBT17" s="41"/>
      <c r="DBU17" s="41"/>
      <c r="DBV17" s="41"/>
      <c r="DBW17" s="41"/>
      <c r="DBX17" s="41"/>
      <c r="DBY17" s="41"/>
      <c r="DBZ17" s="41"/>
      <c r="DCA17" s="41"/>
      <c r="DCB17" s="41"/>
      <c r="DCC17" s="41"/>
      <c r="DCD17" s="41"/>
      <c r="DCE17" s="41"/>
      <c r="DCF17" s="41"/>
      <c r="DCG17" s="41"/>
      <c r="DCH17" s="41"/>
      <c r="DCI17" s="41"/>
      <c r="DCJ17" s="41"/>
      <c r="DCK17" s="41"/>
      <c r="DCL17" s="41"/>
      <c r="DCM17" s="41"/>
      <c r="DCN17" s="41"/>
      <c r="DCO17" s="41"/>
      <c r="DCP17" s="41"/>
      <c r="DCQ17" s="41"/>
      <c r="DCR17" s="41"/>
      <c r="DCS17" s="41"/>
      <c r="DCT17" s="41"/>
      <c r="DCU17" s="41"/>
      <c r="DCV17" s="41"/>
      <c r="DCW17" s="41"/>
      <c r="DCX17" s="41"/>
      <c r="DCY17" s="41"/>
      <c r="DCZ17" s="41"/>
      <c r="DDA17" s="41"/>
      <c r="DDB17" s="41"/>
      <c r="DDC17" s="41"/>
      <c r="DDD17" s="41"/>
      <c r="DDE17" s="41"/>
      <c r="DDF17" s="41"/>
      <c r="DDG17" s="41"/>
      <c r="DDH17" s="41"/>
      <c r="DDI17" s="41"/>
      <c r="DDJ17" s="41"/>
      <c r="DDK17" s="41"/>
      <c r="DDL17" s="41"/>
      <c r="DDM17" s="41"/>
      <c r="DDN17" s="41"/>
      <c r="DDO17" s="41"/>
      <c r="DDP17" s="41"/>
      <c r="DDQ17" s="41"/>
      <c r="DDR17" s="41"/>
      <c r="DDS17" s="41"/>
      <c r="DDT17" s="41"/>
      <c r="DDU17" s="41"/>
      <c r="DDV17" s="41"/>
      <c r="DDW17" s="41"/>
      <c r="DDX17" s="41"/>
      <c r="DDY17" s="41"/>
      <c r="DDZ17" s="41"/>
      <c r="DEA17" s="41"/>
      <c r="DEB17" s="41"/>
      <c r="DEC17" s="41"/>
      <c r="DED17" s="41"/>
      <c r="DEE17" s="41"/>
      <c r="DEF17" s="41"/>
      <c r="DEG17" s="41"/>
      <c r="DEH17" s="41"/>
      <c r="DEI17" s="41"/>
      <c r="DEJ17" s="41"/>
      <c r="DEK17" s="41"/>
      <c r="DEL17" s="41"/>
      <c r="DEM17" s="41"/>
      <c r="DEN17" s="41"/>
      <c r="DEO17" s="41"/>
      <c r="DEP17" s="41"/>
      <c r="DEQ17" s="41"/>
      <c r="DER17" s="41"/>
      <c r="DES17" s="41"/>
      <c r="DET17" s="41"/>
      <c r="DEU17" s="41"/>
      <c r="DEV17" s="41"/>
      <c r="DEW17" s="41"/>
      <c r="DEX17" s="41"/>
      <c r="DEY17" s="41"/>
      <c r="DEZ17" s="41"/>
      <c r="DFA17" s="41"/>
      <c r="DFB17" s="41"/>
      <c r="DFC17" s="41"/>
      <c r="DFD17" s="41"/>
      <c r="DFE17" s="41"/>
      <c r="DFF17" s="41"/>
      <c r="DFG17" s="41"/>
      <c r="DFH17" s="41"/>
      <c r="DFI17" s="41"/>
      <c r="DFJ17" s="41"/>
      <c r="DFK17" s="41"/>
      <c r="DFL17" s="41"/>
      <c r="DFM17" s="41"/>
      <c r="DFN17" s="41"/>
      <c r="DFO17" s="41"/>
      <c r="DFP17" s="41"/>
      <c r="DFQ17" s="41"/>
      <c r="DFR17" s="41"/>
      <c r="DFS17" s="41"/>
      <c r="DFT17" s="41"/>
      <c r="DFU17" s="41"/>
      <c r="DFV17" s="41"/>
      <c r="DFW17" s="41"/>
      <c r="DFX17" s="41"/>
      <c r="DFY17" s="41"/>
      <c r="DFZ17" s="41"/>
      <c r="DGA17" s="41"/>
      <c r="DGB17" s="41"/>
      <c r="DGC17" s="41"/>
      <c r="DGD17" s="41"/>
      <c r="DGE17" s="41"/>
      <c r="DGF17" s="41"/>
      <c r="DGG17" s="41"/>
      <c r="DGH17" s="41"/>
      <c r="DGI17" s="41"/>
      <c r="DGJ17" s="41"/>
      <c r="DGK17" s="41"/>
      <c r="DGL17" s="41"/>
      <c r="DGM17" s="41"/>
      <c r="DGN17" s="41"/>
      <c r="DGO17" s="41"/>
      <c r="DGP17" s="41"/>
      <c r="DGQ17" s="41"/>
      <c r="DGR17" s="41"/>
      <c r="DGS17" s="41"/>
      <c r="DGT17" s="41"/>
      <c r="DGU17" s="41"/>
      <c r="DGV17" s="41"/>
      <c r="DGW17" s="41"/>
      <c r="DGX17" s="41"/>
      <c r="DGY17" s="41"/>
      <c r="DGZ17" s="41"/>
      <c r="DHA17" s="41"/>
      <c r="DHB17" s="41"/>
      <c r="DHC17" s="41"/>
      <c r="DHD17" s="41"/>
      <c r="DHE17" s="41"/>
      <c r="DHF17" s="41"/>
      <c r="DHG17" s="41"/>
      <c r="DHH17" s="41"/>
      <c r="DHI17" s="41"/>
      <c r="DHJ17" s="41"/>
      <c r="DHK17" s="41"/>
      <c r="DHL17" s="41"/>
      <c r="DHM17" s="41"/>
      <c r="DHN17" s="41"/>
      <c r="DHO17" s="41"/>
      <c r="DHP17" s="41"/>
      <c r="DHQ17" s="41"/>
      <c r="DHR17" s="41"/>
      <c r="DHS17" s="41"/>
      <c r="DHT17" s="41"/>
      <c r="DHU17" s="41"/>
      <c r="DHV17" s="41"/>
      <c r="DHW17" s="41"/>
      <c r="DHX17" s="41"/>
      <c r="DHY17" s="41"/>
      <c r="DHZ17" s="41"/>
      <c r="DIA17" s="41"/>
      <c r="DIB17" s="41"/>
      <c r="DIC17" s="41"/>
      <c r="DID17" s="41"/>
      <c r="DIE17" s="41"/>
      <c r="DIF17" s="41"/>
      <c r="DIG17" s="41"/>
      <c r="DIH17" s="41"/>
      <c r="DII17" s="41"/>
      <c r="DIJ17" s="41"/>
      <c r="DIK17" s="41"/>
      <c r="DIL17" s="41"/>
      <c r="DIM17" s="41"/>
      <c r="DIN17" s="41"/>
      <c r="DIO17" s="41"/>
      <c r="DIP17" s="41"/>
      <c r="DIQ17" s="41"/>
      <c r="DIR17" s="41"/>
      <c r="DIS17" s="41"/>
      <c r="DIT17" s="41"/>
      <c r="DIU17" s="41"/>
      <c r="DIV17" s="41"/>
      <c r="DIW17" s="41"/>
      <c r="DIX17" s="41"/>
      <c r="DIY17" s="41"/>
      <c r="DIZ17" s="41"/>
      <c r="DJA17" s="41"/>
      <c r="DJB17" s="41"/>
      <c r="DJC17" s="41"/>
      <c r="DJD17" s="41"/>
      <c r="DJE17" s="41"/>
      <c r="DJF17" s="41"/>
      <c r="DJG17" s="41"/>
      <c r="DJH17" s="41"/>
      <c r="DJI17" s="41"/>
      <c r="DJJ17" s="41"/>
      <c r="DJK17" s="41"/>
      <c r="DJL17" s="41"/>
      <c r="DJM17" s="41"/>
      <c r="DJN17" s="41"/>
      <c r="DJO17" s="41"/>
      <c r="DJP17" s="41"/>
      <c r="DJQ17" s="41"/>
      <c r="DJR17" s="41"/>
      <c r="DJS17" s="41"/>
      <c r="DJT17" s="41"/>
      <c r="DJU17" s="41"/>
      <c r="DJV17" s="41"/>
      <c r="DJW17" s="41"/>
      <c r="DJX17" s="41"/>
      <c r="DJY17" s="41"/>
      <c r="DJZ17" s="41"/>
      <c r="DKA17" s="41"/>
      <c r="DKB17" s="41"/>
      <c r="DKC17" s="41"/>
      <c r="DKD17" s="41"/>
      <c r="DKE17" s="41"/>
      <c r="DKF17" s="41"/>
      <c r="DKG17" s="41"/>
      <c r="DKH17" s="41"/>
      <c r="DKI17" s="41"/>
      <c r="DKJ17" s="41"/>
      <c r="DKK17" s="41"/>
      <c r="DKL17" s="41"/>
      <c r="DKM17" s="41"/>
      <c r="DKN17" s="41"/>
      <c r="DKO17" s="41"/>
      <c r="DKP17" s="41"/>
      <c r="DKQ17" s="41"/>
      <c r="DKR17" s="41"/>
      <c r="DKS17" s="41"/>
      <c r="DKT17" s="41"/>
      <c r="DKU17" s="41"/>
      <c r="DKV17" s="41"/>
      <c r="DKW17" s="41"/>
      <c r="DKX17" s="41"/>
      <c r="DKY17" s="41"/>
      <c r="DKZ17" s="41"/>
      <c r="DLA17" s="41"/>
      <c r="DLB17" s="41"/>
      <c r="DLC17" s="41"/>
      <c r="DLD17" s="41"/>
      <c r="DLE17" s="41"/>
      <c r="DLF17" s="41"/>
      <c r="DLG17" s="41"/>
      <c r="DLH17" s="41"/>
      <c r="DLI17" s="41"/>
      <c r="DLJ17" s="41"/>
      <c r="DLK17" s="41"/>
      <c r="DLL17" s="41"/>
      <c r="DLM17" s="41"/>
      <c r="DLN17" s="41"/>
      <c r="DLO17" s="41"/>
      <c r="DLP17" s="41"/>
      <c r="DLQ17" s="41"/>
      <c r="DLR17" s="41"/>
      <c r="DLS17" s="41"/>
      <c r="DLT17" s="41"/>
      <c r="DLU17" s="41"/>
      <c r="DLV17" s="41"/>
      <c r="DLW17" s="41"/>
      <c r="DLX17" s="41"/>
      <c r="DLY17" s="41"/>
      <c r="DLZ17" s="41"/>
      <c r="DMA17" s="41"/>
      <c r="DMB17" s="41"/>
      <c r="DMC17" s="41"/>
      <c r="DMD17" s="41"/>
      <c r="DME17" s="41"/>
      <c r="DMF17" s="41"/>
      <c r="DMG17" s="41"/>
      <c r="DMH17" s="41"/>
      <c r="DMI17" s="41"/>
      <c r="DMJ17" s="41"/>
      <c r="DMK17" s="41"/>
      <c r="DML17" s="41"/>
      <c r="DMM17" s="41"/>
      <c r="DMN17" s="41"/>
      <c r="DMO17" s="41"/>
      <c r="DMP17" s="41"/>
      <c r="DMQ17" s="41"/>
      <c r="DMR17" s="41"/>
      <c r="DMS17" s="41"/>
      <c r="DMT17" s="41"/>
      <c r="DMU17" s="41"/>
      <c r="DMV17" s="41"/>
      <c r="DMW17" s="41"/>
      <c r="DMX17" s="41"/>
      <c r="DMY17" s="41"/>
      <c r="DMZ17" s="41"/>
      <c r="DNA17" s="41"/>
      <c r="DNB17" s="41"/>
      <c r="DNC17" s="41"/>
      <c r="DND17" s="41"/>
      <c r="DNE17" s="41"/>
      <c r="DNF17" s="41"/>
      <c r="DNG17" s="41"/>
      <c r="DNH17" s="41"/>
      <c r="DNI17" s="41"/>
      <c r="DNJ17" s="41"/>
      <c r="DNK17" s="41"/>
      <c r="DNL17" s="41"/>
      <c r="DNM17" s="41"/>
      <c r="DNN17" s="41"/>
      <c r="DNO17" s="41"/>
      <c r="DNP17" s="41"/>
      <c r="DNQ17" s="41"/>
      <c r="DNR17" s="41"/>
      <c r="DNS17" s="41"/>
      <c r="DNT17" s="41"/>
      <c r="DNU17" s="41"/>
      <c r="DNV17" s="41"/>
      <c r="DNW17" s="41"/>
      <c r="DNX17" s="41"/>
      <c r="DNY17" s="41"/>
      <c r="DNZ17" s="41"/>
      <c r="DOA17" s="41"/>
      <c r="DOB17" s="41"/>
      <c r="DOC17" s="41"/>
      <c r="DOD17" s="41"/>
      <c r="DOE17" s="41"/>
      <c r="DOF17" s="41"/>
      <c r="DOG17" s="41"/>
      <c r="DOH17" s="41"/>
      <c r="DOI17" s="41"/>
      <c r="DOJ17" s="41"/>
      <c r="DOK17" s="41"/>
      <c r="DOL17" s="41"/>
      <c r="DOM17" s="41"/>
      <c r="DON17" s="41"/>
      <c r="DOO17" s="41"/>
      <c r="DOP17" s="41"/>
      <c r="DOQ17" s="41"/>
      <c r="DOR17" s="41"/>
      <c r="DOS17" s="41"/>
      <c r="DOT17" s="41"/>
      <c r="DOU17" s="41"/>
      <c r="DOV17" s="41"/>
      <c r="DOW17" s="41"/>
      <c r="DOX17" s="41"/>
      <c r="DOY17" s="41"/>
      <c r="DOZ17" s="41"/>
      <c r="DPA17" s="41"/>
      <c r="DPB17" s="41"/>
      <c r="DPC17" s="41"/>
      <c r="DPD17" s="41"/>
      <c r="DPE17" s="41"/>
      <c r="DPF17" s="41"/>
      <c r="DPG17" s="41"/>
      <c r="DPH17" s="41"/>
      <c r="DPI17" s="41"/>
      <c r="DPJ17" s="41"/>
      <c r="DPK17" s="41"/>
      <c r="DPL17" s="41"/>
      <c r="DPM17" s="41"/>
      <c r="DPN17" s="41"/>
      <c r="DPO17" s="41"/>
      <c r="DPP17" s="41"/>
      <c r="DPQ17" s="41"/>
      <c r="DPR17" s="41"/>
      <c r="DPS17" s="41"/>
      <c r="DPT17" s="41"/>
      <c r="DPU17" s="41"/>
      <c r="DPV17" s="41"/>
      <c r="DPW17" s="41"/>
      <c r="DPX17" s="41"/>
      <c r="DPY17" s="41"/>
      <c r="DPZ17" s="41"/>
      <c r="DQA17" s="41"/>
      <c r="DQB17" s="41"/>
      <c r="DQC17" s="41"/>
      <c r="DQD17" s="41"/>
      <c r="DQE17" s="41"/>
      <c r="DQF17" s="41"/>
      <c r="DQG17" s="41"/>
      <c r="DQH17" s="41"/>
      <c r="DQI17" s="41"/>
      <c r="DQJ17" s="41"/>
      <c r="DQK17" s="41"/>
      <c r="DQL17" s="41"/>
      <c r="DQM17" s="41"/>
      <c r="DQN17" s="41"/>
      <c r="DQO17" s="41"/>
      <c r="DQP17" s="41"/>
      <c r="DQQ17" s="41"/>
      <c r="DQR17" s="41"/>
      <c r="DQS17" s="41"/>
      <c r="DQT17" s="41"/>
      <c r="DQU17" s="41"/>
      <c r="DQV17" s="41"/>
      <c r="DQW17" s="41"/>
      <c r="DQX17" s="41"/>
      <c r="DQY17" s="41"/>
      <c r="DQZ17" s="41"/>
      <c r="DRA17" s="41"/>
      <c r="DRB17" s="41"/>
      <c r="DRC17" s="41"/>
      <c r="DRD17" s="41"/>
      <c r="DRE17" s="41"/>
      <c r="DRF17" s="41"/>
      <c r="DRG17" s="41"/>
      <c r="DRH17" s="41"/>
      <c r="DRI17" s="41"/>
      <c r="DRJ17" s="41"/>
      <c r="DRK17" s="41"/>
      <c r="DRL17" s="41"/>
      <c r="DRM17" s="41"/>
      <c r="DRN17" s="41"/>
      <c r="DRO17" s="41"/>
      <c r="DRP17" s="41"/>
      <c r="DRQ17" s="41"/>
      <c r="DRR17" s="41"/>
      <c r="DRS17" s="41"/>
      <c r="DRT17" s="41"/>
      <c r="DRU17" s="41"/>
      <c r="DRV17" s="41"/>
      <c r="DRW17" s="41"/>
      <c r="DRX17" s="41"/>
      <c r="DRY17" s="41"/>
      <c r="DRZ17" s="41"/>
      <c r="DSA17" s="41"/>
      <c r="DSB17" s="41"/>
      <c r="DSC17" s="41"/>
      <c r="DSD17" s="41"/>
      <c r="DSE17" s="41"/>
      <c r="DSF17" s="41"/>
      <c r="DSG17" s="41"/>
      <c r="DSH17" s="41"/>
      <c r="DSI17" s="41"/>
      <c r="DSJ17" s="41"/>
      <c r="DSK17" s="41"/>
      <c r="DSL17" s="41"/>
      <c r="DSM17" s="41"/>
      <c r="DSN17" s="41"/>
      <c r="DSO17" s="41"/>
      <c r="DSP17" s="41"/>
      <c r="DSQ17" s="41"/>
      <c r="DSR17" s="41"/>
      <c r="DSS17" s="41"/>
      <c r="DST17" s="41"/>
      <c r="DSU17" s="41"/>
      <c r="DSV17" s="41"/>
      <c r="DSW17" s="41"/>
      <c r="DSX17" s="41"/>
      <c r="DSY17" s="41"/>
      <c r="DSZ17" s="41"/>
      <c r="DTA17" s="41"/>
      <c r="DTB17" s="41"/>
      <c r="DTC17" s="41"/>
      <c r="DTD17" s="41"/>
      <c r="DTE17" s="41"/>
      <c r="DTF17" s="41"/>
      <c r="DTG17" s="41"/>
      <c r="DTH17" s="41"/>
      <c r="DTI17" s="41"/>
      <c r="DTJ17" s="41"/>
      <c r="DTK17" s="41"/>
      <c r="DTL17" s="41"/>
      <c r="DTM17" s="41"/>
      <c r="DTN17" s="41"/>
      <c r="DTO17" s="41"/>
      <c r="DTP17" s="41"/>
      <c r="DTQ17" s="41"/>
      <c r="DTR17" s="41"/>
      <c r="DTS17" s="41"/>
      <c r="DTT17" s="41"/>
      <c r="DTU17" s="41"/>
      <c r="DTV17" s="41"/>
      <c r="DTW17" s="41"/>
      <c r="DTX17" s="41"/>
      <c r="DTY17" s="41"/>
      <c r="DTZ17" s="41"/>
      <c r="DUA17" s="41"/>
      <c r="DUB17" s="41"/>
      <c r="DUC17" s="41"/>
      <c r="DUD17" s="41"/>
      <c r="DUE17" s="41"/>
      <c r="DUF17" s="41"/>
      <c r="DUG17" s="41"/>
      <c r="DUH17" s="41"/>
      <c r="DUI17" s="41"/>
      <c r="DUJ17" s="41"/>
      <c r="DUK17" s="41"/>
      <c r="DUL17" s="41"/>
      <c r="DUM17" s="41"/>
      <c r="DUN17" s="41"/>
      <c r="DUO17" s="41"/>
      <c r="DUP17" s="41"/>
      <c r="DUQ17" s="41"/>
      <c r="DUR17" s="41"/>
      <c r="DUS17" s="41"/>
      <c r="DUT17" s="41"/>
      <c r="DUU17" s="41"/>
      <c r="DUV17" s="41"/>
      <c r="DUW17" s="41"/>
      <c r="DUX17" s="41"/>
      <c r="DUY17" s="41"/>
      <c r="DUZ17" s="41"/>
      <c r="DVA17" s="41"/>
      <c r="DVB17" s="41"/>
      <c r="DVC17" s="41"/>
      <c r="DVD17" s="41"/>
      <c r="DVE17" s="41"/>
      <c r="DVF17" s="41"/>
      <c r="DVG17" s="41"/>
      <c r="DVH17" s="41"/>
      <c r="DVI17" s="41"/>
      <c r="DVJ17" s="41"/>
      <c r="DVK17" s="41"/>
      <c r="DVL17" s="41"/>
      <c r="DVM17" s="41"/>
      <c r="DVN17" s="41"/>
      <c r="DVO17" s="41"/>
      <c r="DVP17" s="41"/>
      <c r="DVQ17" s="41"/>
      <c r="DVR17" s="41"/>
      <c r="DVS17" s="41"/>
      <c r="DVT17" s="41"/>
      <c r="DVU17" s="41"/>
      <c r="DVV17" s="41"/>
      <c r="DVW17" s="41"/>
      <c r="DVX17" s="41"/>
      <c r="DVY17" s="41"/>
      <c r="DVZ17" s="41"/>
      <c r="DWA17" s="41"/>
      <c r="DWB17" s="41"/>
      <c r="DWC17" s="41"/>
      <c r="DWD17" s="41"/>
      <c r="DWE17" s="41"/>
      <c r="DWF17" s="41"/>
      <c r="DWG17" s="41"/>
      <c r="DWH17" s="41"/>
      <c r="DWI17" s="41"/>
      <c r="DWJ17" s="41"/>
      <c r="DWK17" s="41"/>
      <c r="DWL17" s="41"/>
      <c r="DWM17" s="41"/>
      <c r="DWN17" s="41"/>
      <c r="DWO17" s="41"/>
      <c r="DWP17" s="41"/>
      <c r="DWQ17" s="41"/>
      <c r="DWR17" s="41"/>
      <c r="DWS17" s="41"/>
      <c r="DWT17" s="41"/>
      <c r="DWU17" s="41"/>
      <c r="DWV17" s="41"/>
      <c r="DWW17" s="41"/>
      <c r="DWX17" s="41"/>
      <c r="DWY17" s="41"/>
      <c r="DWZ17" s="41"/>
      <c r="DXA17" s="41"/>
      <c r="DXB17" s="41"/>
      <c r="DXC17" s="41"/>
      <c r="DXD17" s="41"/>
      <c r="DXE17" s="41"/>
      <c r="DXF17" s="41"/>
      <c r="DXG17" s="41"/>
      <c r="DXH17" s="41"/>
      <c r="DXI17" s="41"/>
      <c r="DXJ17" s="41"/>
      <c r="DXK17" s="41"/>
      <c r="DXL17" s="41"/>
      <c r="DXM17" s="41"/>
      <c r="DXN17" s="41"/>
      <c r="DXO17" s="41"/>
      <c r="DXP17" s="41"/>
      <c r="DXQ17" s="41"/>
      <c r="DXR17" s="41"/>
      <c r="DXS17" s="41"/>
      <c r="DXT17" s="41"/>
      <c r="DXU17" s="41"/>
      <c r="DXV17" s="41"/>
      <c r="DXW17" s="41"/>
      <c r="DXX17" s="41"/>
      <c r="DXY17" s="41"/>
      <c r="DXZ17" s="41"/>
      <c r="DYA17" s="41"/>
      <c r="DYB17" s="41"/>
      <c r="DYC17" s="41"/>
      <c r="DYD17" s="41"/>
      <c r="DYE17" s="41"/>
      <c r="DYF17" s="41"/>
      <c r="DYG17" s="41"/>
      <c r="DYH17" s="41"/>
      <c r="DYI17" s="41"/>
      <c r="DYJ17" s="41"/>
      <c r="DYK17" s="41"/>
      <c r="DYL17" s="41"/>
      <c r="DYM17" s="41"/>
      <c r="DYN17" s="41"/>
      <c r="DYO17" s="41"/>
      <c r="DYP17" s="41"/>
      <c r="DYQ17" s="41"/>
      <c r="DYR17" s="41"/>
      <c r="DYS17" s="41"/>
      <c r="DYT17" s="41"/>
      <c r="DYU17" s="41"/>
      <c r="DYV17" s="41"/>
      <c r="DYW17" s="41"/>
      <c r="DYX17" s="41"/>
      <c r="DYY17" s="41"/>
      <c r="DYZ17" s="41"/>
      <c r="DZA17" s="41"/>
      <c r="DZB17" s="41"/>
      <c r="DZC17" s="41"/>
      <c r="DZD17" s="41"/>
      <c r="DZE17" s="41"/>
      <c r="DZF17" s="41"/>
      <c r="DZG17" s="41"/>
      <c r="DZH17" s="41"/>
      <c r="DZI17" s="41"/>
      <c r="DZJ17" s="41"/>
      <c r="DZK17" s="41"/>
      <c r="DZL17" s="41"/>
      <c r="DZM17" s="41"/>
      <c r="DZN17" s="41"/>
      <c r="DZO17" s="41"/>
      <c r="DZP17" s="41"/>
      <c r="DZQ17" s="41"/>
      <c r="DZR17" s="41"/>
      <c r="DZS17" s="41"/>
      <c r="DZT17" s="41"/>
      <c r="DZU17" s="41"/>
      <c r="DZV17" s="41"/>
      <c r="DZW17" s="41"/>
      <c r="DZX17" s="41"/>
      <c r="DZY17" s="41"/>
      <c r="DZZ17" s="41"/>
      <c r="EAA17" s="41"/>
      <c r="EAB17" s="41"/>
      <c r="EAC17" s="41"/>
      <c r="EAD17" s="41"/>
      <c r="EAE17" s="41"/>
      <c r="EAF17" s="41"/>
      <c r="EAG17" s="41"/>
      <c r="EAH17" s="41"/>
      <c r="EAI17" s="41"/>
      <c r="EAJ17" s="41"/>
      <c r="EAK17" s="41"/>
      <c r="EAL17" s="41"/>
      <c r="EAM17" s="41"/>
      <c r="EAN17" s="41"/>
      <c r="EAO17" s="41"/>
      <c r="EAP17" s="41"/>
      <c r="EAQ17" s="41"/>
      <c r="EAR17" s="41"/>
      <c r="EAS17" s="41"/>
      <c r="EAT17" s="41"/>
      <c r="EAU17" s="41"/>
      <c r="EAV17" s="41"/>
      <c r="EAW17" s="41"/>
      <c r="EAX17" s="41"/>
      <c r="EAY17" s="41"/>
      <c r="EAZ17" s="41"/>
      <c r="EBA17" s="41"/>
      <c r="EBB17" s="41"/>
      <c r="EBC17" s="41"/>
      <c r="EBD17" s="41"/>
      <c r="EBE17" s="41"/>
      <c r="EBF17" s="41"/>
      <c r="EBG17" s="41"/>
      <c r="EBH17" s="41"/>
      <c r="EBI17" s="41"/>
      <c r="EBJ17" s="41"/>
      <c r="EBK17" s="41"/>
      <c r="EBL17" s="41"/>
      <c r="EBM17" s="41"/>
      <c r="EBN17" s="41"/>
      <c r="EBO17" s="41"/>
      <c r="EBP17" s="41"/>
      <c r="EBQ17" s="41"/>
      <c r="EBR17" s="41"/>
      <c r="EBS17" s="41"/>
      <c r="EBT17" s="41"/>
      <c r="EBU17" s="41"/>
      <c r="EBV17" s="41"/>
      <c r="EBW17" s="41"/>
      <c r="EBX17" s="41"/>
      <c r="EBY17" s="41"/>
      <c r="EBZ17" s="41"/>
      <c r="ECA17" s="41"/>
      <c r="ECB17" s="41"/>
      <c r="ECC17" s="41"/>
      <c r="ECD17" s="41"/>
      <c r="ECE17" s="41"/>
      <c r="ECF17" s="41"/>
      <c r="ECG17" s="41"/>
      <c r="ECH17" s="41"/>
      <c r="ECI17" s="41"/>
      <c r="ECJ17" s="41"/>
      <c r="ECK17" s="41"/>
      <c r="ECL17" s="41"/>
      <c r="ECM17" s="41"/>
      <c r="ECN17" s="41"/>
      <c r="ECO17" s="41"/>
      <c r="ECP17" s="41"/>
      <c r="ECQ17" s="41"/>
      <c r="ECR17" s="41"/>
      <c r="ECS17" s="41"/>
      <c r="ECT17" s="41"/>
      <c r="ECU17" s="41"/>
      <c r="ECV17" s="41"/>
      <c r="ECW17" s="41"/>
      <c r="ECX17" s="41"/>
      <c r="ECY17" s="41"/>
      <c r="ECZ17" s="41"/>
      <c r="EDA17" s="41"/>
      <c r="EDB17" s="41"/>
      <c r="EDC17" s="41"/>
      <c r="EDD17" s="41"/>
      <c r="EDE17" s="41"/>
      <c r="EDF17" s="41"/>
      <c r="EDG17" s="41"/>
      <c r="EDH17" s="41"/>
      <c r="EDI17" s="41"/>
      <c r="EDJ17" s="41"/>
      <c r="EDK17" s="41"/>
      <c r="EDL17" s="41"/>
      <c r="EDM17" s="41"/>
      <c r="EDN17" s="41"/>
      <c r="EDO17" s="41"/>
      <c r="EDP17" s="41"/>
      <c r="EDQ17" s="41"/>
      <c r="EDR17" s="41"/>
      <c r="EDS17" s="41"/>
      <c r="EDT17" s="41"/>
      <c r="EDU17" s="41"/>
      <c r="EDV17" s="41"/>
      <c r="EDW17" s="41"/>
      <c r="EDX17" s="41"/>
      <c r="EDY17" s="41"/>
      <c r="EDZ17" s="41"/>
      <c r="EEA17" s="41"/>
      <c r="EEB17" s="41"/>
      <c r="EEC17" s="41"/>
      <c r="EED17" s="41"/>
      <c r="EEE17" s="41"/>
      <c r="EEF17" s="41"/>
      <c r="EEG17" s="41"/>
      <c r="EEH17" s="41"/>
      <c r="EEI17" s="41"/>
      <c r="EEJ17" s="41"/>
      <c r="EEK17" s="41"/>
      <c r="EEL17" s="41"/>
      <c r="EEM17" s="41"/>
      <c r="EEN17" s="41"/>
      <c r="EEO17" s="41"/>
      <c r="EEP17" s="41"/>
      <c r="EEQ17" s="41"/>
      <c r="EER17" s="41"/>
      <c r="EES17" s="41"/>
      <c r="EET17" s="41"/>
      <c r="EEU17" s="41"/>
      <c r="EEV17" s="41"/>
      <c r="EEW17" s="41"/>
      <c r="EEX17" s="41"/>
      <c r="EEY17" s="41"/>
      <c r="EEZ17" s="41"/>
      <c r="EFA17" s="41"/>
      <c r="EFB17" s="41"/>
      <c r="EFC17" s="41"/>
      <c r="EFD17" s="41"/>
      <c r="EFE17" s="41"/>
      <c r="EFF17" s="41"/>
      <c r="EFG17" s="41"/>
      <c r="EFH17" s="41"/>
      <c r="EFI17" s="41"/>
      <c r="EFJ17" s="41"/>
      <c r="EFK17" s="41"/>
      <c r="EFL17" s="41"/>
      <c r="EFM17" s="41"/>
      <c r="EFN17" s="41"/>
      <c r="EFO17" s="41"/>
      <c r="EFP17" s="41"/>
      <c r="EFQ17" s="41"/>
      <c r="EFR17" s="41"/>
      <c r="EFS17" s="41"/>
      <c r="EFT17" s="41"/>
      <c r="EFU17" s="41"/>
      <c r="EFV17" s="41"/>
      <c r="EFW17" s="41"/>
      <c r="EFX17" s="41"/>
      <c r="EFY17" s="41"/>
      <c r="EFZ17" s="41"/>
      <c r="EGA17" s="41"/>
      <c r="EGB17" s="41"/>
      <c r="EGC17" s="41"/>
      <c r="EGD17" s="41"/>
      <c r="EGE17" s="41"/>
      <c r="EGF17" s="41"/>
      <c r="EGG17" s="41"/>
      <c r="EGH17" s="41"/>
      <c r="EGI17" s="41"/>
      <c r="EGJ17" s="41"/>
      <c r="EGK17" s="41"/>
      <c r="EGL17" s="41"/>
      <c r="EGM17" s="41"/>
      <c r="EGN17" s="41"/>
      <c r="EGO17" s="41"/>
      <c r="EGP17" s="41"/>
      <c r="EGQ17" s="41"/>
      <c r="EGR17" s="41"/>
      <c r="EGS17" s="41"/>
      <c r="EGT17" s="41"/>
      <c r="EGU17" s="41"/>
      <c r="EGV17" s="41"/>
      <c r="EGW17" s="41"/>
      <c r="EGX17" s="41"/>
      <c r="EGY17" s="41"/>
      <c r="EGZ17" s="41"/>
      <c r="EHA17" s="41"/>
      <c r="EHB17" s="41"/>
      <c r="EHC17" s="41"/>
      <c r="EHD17" s="41"/>
      <c r="EHE17" s="41"/>
      <c r="EHF17" s="41"/>
      <c r="EHG17" s="41"/>
      <c r="EHH17" s="41"/>
      <c r="EHI17" s="41"/>
      <c r="EHJ17" s="41"/>
      <c r="EHK17" s="41"/>
      <c r="EHL17" s="41"/>
      <c r="EHM17" s="41"/>
      <c r="EHN17" s="41"/>
      <c r="EHO17" s="41"/>
      <c r="EHP17" s="41"/>
      <c r="EHQ17" s="41"/>
      <c r="EHR17" s="41"/>
      <c r="EHS17" s="41"/>
      <c r="EHT17" s="41"/>
      <c r="EHU17" s="41"/>
      <c r="EHV17" s="41"/>
      <c r="EHW17" s="41"/>
      <c r="EHX17" s="41"/>
      <c r="EHY17" s="41"/>
      <c r="EHZ17" s="41"/>
      <c r="EIA17" s="41"/>
      <c r="EIB17" s="41"/>
      <c r="EIC17" s="41"/>
      <c r="EID17" s="41"/>
      <c r="EIE17" s="41"/>
      <c r="EIF17" s="41"/>
      <c r="EIG17" s="41"/>
      <c r="EIH17" s="41"/>
      <c r="EII17" s="41"/>
      <c r="EIJ17" s="41"/>
      <c r="EIK17" s="41"/>
      <c r="EIL17" s="41"/>
      <c r="EIM17" s="41"/>
      <c r="EIN17" s="41"/>
      <c r="EIO17" s="41"/>
      <c r="EIP17" s="41"/>
      <c r="EIQ17" s="41"/>
      <c r="EIR17" s="41"/>
      <c r="EIS17" s="41"/>
      <c r="EIT17" s="41"/>
      <c r="EIU17" s="41"/>
      <c r="EIV17" s="41"/>
      <c r="EIW17" s="41"/>
      <c r="EIX17" s="41"/>
      <c r="EIY17" s="41"/>
      <c r="EIZ17" s="41"/>
      <c r="EJA17" s="41"/>
      <c r="EJB17" s="41"/>
      <c r="EJC17" s="41"/>
      <c r="EJD17" s="41"/>
      <c r="EJE17" s="41"/>
      <c r="EJF17" s="41"/>
      <c r="EJG17" s="41"/>
      <c r="EJH17" s="41"/>
      <c r="EJI17" s="41"/>
      <c r="EJJ17" s="41"/>
      <c r="EJK17" s="41"/>
      <c r="EJL17" s="41"/>
      <c r="EJM17" s="41"/>
      <c r="EJN17" s="41"/>
      <c r="EJO17" s="41"/>
      <c r="EJP17" s="41"/>
      <c r="EJQ17" s="41"/>
      <c r="EJR17" s="41"/>
      <c r="EJS17" s="41"/>
      <c r="EJT17" s="41"/>
      <c r="EJU17" s="41"/>
      <c r="EJV17" s="41"/>
      <c r="EJW17" s="41"/>
      <c r="EJX17" s="41"/>
      <c r="EJY17" s="41"/>
      <c r="EJZ17" s="41"/>
      <c r="EKA17" s="41"/>
      <c r="EKB17" s="41"/>
      <c r="EKC17" s="41"/>
      <c r="EKD17" s="41"/>
      <c r="EKE17" s="41"/>
      <c r="EKF17" s="41"/>
      <c r="EKG17" s="41"/>
      <c r="EKH17" s="41"/>
      <c r="EKI17" s="41"/>
      <c r="EKJ17" s="41"/>
      <c r="EKK17" s="41"/>
      <c r="EKL17" s="41"/>
      <c r="EKM17" s="41"/>
      <c r="EKN17" s="41"/>
      <c r="EKO17" s="41"/>
      <c r="EKP17" s="41"/>
      <c r="EKQ17" s="41"/>
      <c r="EKR17" s="41"/>
      <c r="EKS17" s="41"/>
      <c r="EKT17" s="41"/>
      <c r="EKU17" s="41"/>
      <c r="EKV17" s="41"/>
      <c r="EKW17" s="41"/>
      <c r="EKX17" s="41"/>
      <c r="EKY17" s="41"/>
      <c r="EKZ17" s="41"/>
      <c r="ELA17" s="41"/>
      <c r="ELB17" s="41"/>
      <c r="ELC17" s="41"/>
      <c r="ELD17" s="41"/>
      <c r="ELE17" s="41"/>
      <c r="ELF17" s="41"/>
      <c r="ELG17" s="41"/>
      <c r="ELH17" s="41"/>
      <c r="ELI17" s="41"/>
      <c r="ELJ17" s="41"/>
      <c r="ELK17" s="41"/>
      <c r="ELL17" s="41"/>
      <c r="ELM17" s="41"/>
      <c r="ELN17" s="41"/>
      <c r="ELO17" s="41"/>
      <c r="ELP17" s="41"/>
      <c r="ELQ17" s="41"/>
      <c r="ELR17" s="41"/>
      <c r="ELS17" s="41"/>
      <c r="ELT17" s="41"/>
      <c r="ELU17" s="41"/>
      <c r="ELV17" s="41"/>
      <c r="ELW17" s="41"/>
      <c r="ELX17" s="41"/>
      <c r="ELY17" s="41"/>
      <c r="ELZ17" s="41"/>
      <c r="EMA17" s="41"/>
      <c r="EMB17" s="41"/>
      <c r="EMC17" s="41"/>
      <c r="EMD17" s="41"/>
      <c r="EME17" s="41"/>
      <c r="EMF17" s="41"/>
      <c r="EMG17" s="41"/>
      <c r="EMH17" s="41"/>
      <c r="EMI17" s="41"/>
      <c r="EMJ17" s="41"/>
      <c r="EMK17" s="41"/>
      <c r="EML17" s="41"/>
      <c r="EMM17" s="41"/>
      <c r="EMN17" s="41"/>
      <c r="EMO17" s="41"/>
      <c r="EMP17" s="41"/>
      <c r="EMQ17" s="41"/>
      <c r="EMR17" s="41"/>
      <c r="EMS17" s="41"/>
      <c r="EMT17" s="41"/>
      <c r="EMU17" s="41"/>
      <c r="EMV17" s="41"/>
      <c r="EMW17" s="41"/>
      <c r="EMX17" s="41"/>
      <c r="EMY17" s="41"/>
      <c r="EMZ17" s="41"/>
      <c r="ENA17" s="41"/>
      <c r="ENB17" s="41"/>
      <c r="ENC17" s="41"/>
      <c r="END17" s="41"/>
      <c r="ENE17" s="41"/>
      <c r="ENF17" s="41"/>
      <c r="ENG17" s="41"/>
      <c r="ENH17" s="41"/>
      <c r="ENI17" s="41"/>
      <c r="ENJ17" s="41"/>
      <c r="ENK17" s="41"/>
      <c r="ENL17" s="41"/>
      <c r="ENM17" s="41"/>
      <c r="ENN17" s="41"/>
      <c r="ENO17" s="41"/>
      <c r="ENP17" s="41"/>
      <c r="ENQ17" s="41"/>
      <c r="ENR17" s="41"/>
      <c r="ENS17" s="41"/>
      <c r="ENT17" s="41"/>
      <c r="ENU17" s="41"/>
      <c r="ENV17" s="41"/>
      <c r="ENW17" s="41"/>
      <c r="ENX17" s="41"/>
      <c r="ENY17" s="41"/>
      <c r="ENZ17" s="41"/>
      <c r="EOA17" s="41"/>
      <c r="EOB17" s="41"/>
      <c r="EOC17" s="41"/>
      <c r="EOD17" s="41"/>
      <c r="EOE17" s="41"/>
      <c r="EOF17" s="41"/>
      <c r="EOG17" s="41"/>
      <c r="EOH17" s="41"/>
      <c r="EOI17" s="41"/>
      <c r="EOJ17" s="41"/>
      <c r="EOK17" s="41"/>
      <c r="EOL17" s="41"/>
      <c r="EOM17" s="41"/>
      <c r="EON17" s="41"/>
      <c r="EOO17" s="41"/>
      <c r="EOP17" s="41"/>
      <c r="EOQ17" s="41"/>
      <c r="EOR17" s="41"/>
      <c r="EOS17" s="41"/>
      <c r="EOT17" s="41"/>
      <c r="EOU17" s="41"/>
      <c r="EOV17" s="41"/>
      <c r="EOW17" s="41"/>
      <c r="EOX17" s="41"/>
      <c r="EOY17" s="41"/>
      <c r="EOZ17" s="41"/>
      <c r="EPA17" s="41"/>
      <c r="EPB17" s="41"/>
      <c r="EPC17" s="41"/>
      <c r="EPD17" s="41"/>
      <c r="EPE17" s="41"/>
      <c r="EPF17" s="41"/>
      <c r="EPG17" s="41"/>
      <c r="EPH17" s="41"/>
      <c r="EPI17" s="41"/>
      <c r="EPJ17" s="41"/>
      <c r="EPK17" s="41"/>
      <c r="EPL17" s="41"/>
      <c r="EPM17" s="41"/>
      <c r="EPN17" s="41"/>
      <c r="EPO17" s="41"/>
      <c r="EPP17" s="41"/>
      <c r="EPQ17" s="41"/>
      <c r="EPR17" s="41"/>
      <c r="EPS17" s="41"/>
      <c r="EPT17" s="41"/>
      <c r="EPU17" s="41"/>
      <c r="EPV17" s="41"/>
      <c r="EPW17" s="41"/>
      <c r="EPX17" s="41"/>
      <c r="EPY17" s="41"/>
      <c r="EPZ17" s="41"/>
      <c r="EQA17" s="41"/>
      <c r="EQB17" s="41"/>
      <c r="EQC17" s="41"/>
      <c r="EQD17" s="41"/>
      <c r="EQE17" s="41"/>
      <c r="EQF17" s="41"/>
      <c r="EQG17" s="41"/>
      <c r="EQH17" s="41"/>
      <c r="EQI17" s="41"/>
      <c r="EQJ17" s="41"/>
      <c r="EQK17" s="41"/>
      <c r="EQL17" s="41"/>
      <c r="EQM17" s="41"/>
      <c r="EQN17" s="41"/>
      <c r="EQO17" s="41"/>
      <c r="EQP17" s="41"/>
      <c r="EQQ17" s="41"/>
      <c r="EQR17" s="41"/>
      <c r="EQS17" s="41"/>
      <c r="EQT17" s="41"/>
      <c r="EQU17" s="41"/>
      <c r="EQV17" s="41"/>
      <c r="EQW17" s="41"/>
      <c r="EQX17" s="41"/>
      <c r="EQY17" s="41"/>
      <c r="EQZ17" s="41"/>
      <c r="ERA17" s="41"/>
      <c r="ERB17" s="41"/>
      <c r="ERC17" s="41"/>
      <c r="ERD17" s="41"/>
      <c r="ERE17" s="41"/>
      <c r="ERF17" s="41"/>
      <c r="ERG17" s="41"/>
      <c r="ERH17" s="41"/>
      <c r="ERI17" s="41"/>
      <c r="ERJ17" s="41"/>
      <c r="ERK17" s="41"/>
      <c r="ERL17" s="41"/>
      <c r="ERM17" s="41"/>
      <c r="ERN17" s="41"/>
      <c r="ERO17" s="41"/>
      <c r="ERP17" s="41"/>
      <c r="ERQ17" s="41"/>
      <c r="ERR17" s="41"/>
      <c r="ERS17" s="41"/>
      <c r="ERT17" s="41"/>
      <c r="ERU17" s="41"/>
      <c r="ERV17" s="41"/>
      <c r="ERW17" s="41"/>
      <c r="ERX17" s="41"/>
      <c r="ERY17" s="41"/>
      <c r="ERZ17" s="41"/>
      <c r="ESA17" s="41"/>
      <c r="ESB17" s="41"/>
      <c r="ESC17" s="41"/>
      <c r="ESD17" s="41"/>
      <c r="ESE17" s="41"/>
      <c r="ESF17" s="41"/>
      <c r="ESG17" s="41"/>
      <c r="ESH17" s="41"/>
      <c r="ESI17" s="41"/>
      <c r="ESJ17" s="41"/>
      <c r="ESK17" s="41"/>
      <c r="ESL17" s="41"/>
      <c r="ESM17" s="41"/>
      <c r="ESN17" s="41"/>
      <c r="ESO17" s="41"/>
      <c r="ESP17" s="41"/>
      <c r="ESQ17" s="41"/>
      <c r="ESR17" s="41"/>
      <c r="ESS17" s="41"/>
      <c r="EST17" s="41"/>
      <c r="ESU17" s="41"/>
      <c r="ESV17" s="41"/>
      <c r="ESW17" s="41"/>
      <c r="ESX17" s="41"/>
      <c r="ESY17" s="41"/>
      <c r="ESZ17" s="41"/>
      <c r="ETA17" s="41"/>
      <c r="ETB17" s="41"/>
      <c r="ETC17" s="41"/>
      <c r="ETD17" s="41"/>
      <c r="ETE17" s="41"/>
      <c r="ETF17" s="41"/>
      <c r="ETG17" s="41"/>
      <c r="ETH17" s="41"/>
      <c r="ETI17" s="41"/>
      <c r="ETJ17" s="41"/>
      <c r="ETK17" s="41"/>
      <c r="ETL17" s="41"/>
      <c r="ETM17" s="41"/>
      <c r="ETN17" s="41"/>
      <c r="ETO17" s="41"/>
      <c r="ETP17" s="41"/>
      <c r="ETQ17" s="41"/>
      <c r="ETR17" s="41"/>
      <c r="ETS17" s="41"/>
      <c r="ETT17" s="41"/>
      <c r="ETU17" s="41"/>
      <c r="ETV17" s="41"/>
      <c r="ETW17" s="41"/>
      <c r="ETX17" s="41"/>
      <c r="ETY17" s="41"/>
      <c r="ETZ17" s="41"/>
      <c r="EUA17" s="41"/>
      <c r="EUB17" s="41"/>
      <c r="EUC17" s="41"/>
      <c r="EUD17" s="41"/>
      <c r="EUE17" s="41"/>
      <c r="EUF17" s="41"/>
      <c r="EUG17" s="41"/>
      <c r="EUH17" s="41"/>
      <c r="EUI17" s="41"/>
      <c r="EUJ17" s="41"/>
      <c r="EUK17" s="41"/>
      <c r="EUL17" s="41"/>
      <c r="EUM17" s="41"/>
      <c r="EUN17" s="41"/>
      <c r="EUO17" s="41"/>
      <c r="EUP17" s="41"/>
      <c r="EUQ17" s="41"/>
      <c r="EUR17" s="41"/>
      <c r="EUS17" s="41"/>
      <c r="EUT17" s="41"/>
      <c r="EUU17" s="41"/>
      <c r="EUV17" s="41"/>
      <c r="EUW17" s="41"/>
      <c r="EUX17" s="41"/>
      <c r="EUY17" s="41"/>
      <c r="EUZ17" s="41"/>
      <c r="EVA17" s="41"/>
      <c r="EVB17" s="41"/>
      <c r="EVC17" s="41"/>
      <c r="EVD17" s="41"/>
      <c r="EVE17" s="41"/>
      <c r="EVF17" s="41"/>
      <c r="EVG17" s="41"/>
      <c r="EVH17" s="41"/>
      <c r="EVI17" s="41"/>
      <c r="EVJ17" s="41"/>
      <c r="EVK17" s="41"/>
      <c r="EVL17" s="41"/>
      <c r="EVM17" s="41"/>
      <c r="EVN17" s="41"/>
      <c r="EVO17" s="41"/>
      <c r="EVP17" s="41"/>
      <c r="EVQ17" s="41"/>
      <c r="EVR17" s="41"/>
      <c r="EVS17" s="41"/>
      <c r="EVT17" s="41"/>
      <c r="EVU17" s="41"/>
      <c r="EVV17" s="41"/>
      <c r="EVW17" s="41"/>
      <c r="EVX17" s="41"/>
      <c r="EVY17" s="41"/>
      <c r="EVZ17" s="41"/>
      <c r="EWA17" s="41"/>
      <c r="EWB17" s="41"/>
      <c r="EWC17" s="41"/>
      <c r="EWD17" s="41"/>
      <c r="EWE17" s="41"/>
      <c r="EWF17" s="41"/>
      <c r="EWG17" s="41"/>
      <c r="EWH17" s="41"/>
      <c r="EWI17" s="41"/>
      <c r="EWJ17" s="41"/>
      <c r="EWK17" s="41"/>
      <c r="EWL17" s="41"/>
      <c r="EWM17" s="41"/>
      <c r="EWN17" s="41"/>
      <c r="EWO17" s="41"/>
      <c r="EWP17" s="41"/>
      <c r="EWQ17" s="41"/>
      <c r="EWR17" s="41"/>
      <c r="EWS17" s="41"/>
      <c r="EWT17" s="41"/>
      <c r="EWU17" s="41"/>
      <c r="EWV17" s="41"/>
      <c r="EWW17" s="41"/>
      <c r="EWX17" s="41"/>
      <c r="EWY17" s="41"/>
      <c r="EWZ17" s="41"/>
      <c r="EXA17" s="41"/>
      <c r="EXB17" s="41"/>
      <c r="EXC17" s="41"/>
      <c r="EXD17" s="41"/>
      <c r="EXE17" s="41"/>
      <c r="EXF17" s="41"/>
      <c r="EXG17" s="41"/>
      <c r="EXH17" s="41"/>
      <c r="EXI17" s="41"/>
      <c r="EXJ17" s="41"/>
      <c r="EXK17" s="41"/>
      <c r="EXL17" s="41"/>
      <c r="EXM17" s="41"/>
      <c r="EXN17" s="41"/>
      <c r="EXO17" s="41"/>
      <c r="EXP17" s="41"/>
      <c r="EXQ17" s="41"/>
      <c r="EXR17" s="41"/>
      <c r="EXS17" s="41"/>
      <c r="EXT17" s="41"/>
      <c r="EXU17" s="41"/>
      <c r="EXV17" s="41"/>
      <c r="EXW17" s="41"/>
      <c r="EXX17" s="41"/>
      <c r="EXY17" s="41"/>
      <c r="EXZ17" s="41"/>
      <c r="EYA17" s="41"/>
      <c r="EYB17" s="41"/>
      <c r="EYC17" s="41"/>
      <c r="EYD17" s="41"/>
      <c r="EYE17" s="41"/>
      <c r="EYF17" s="41"/>
      <c r="EYG17" s="41"/>
      <c r="EYH17" s="41"/>
      <c r="EYI17" s="41"/>
      <c r="EYJ17" s="41"/>
      <c r="EYK17" s="41"/>
      <c r="EYL17" s="41"/>
      <c r="EYM17" s="41"/>
      <c r="EYN17" s="41"/>
      <c r="EYO17" s="41"/>
      <c r="EYP17" s="41"/>
      <c r="EYQ17" s="41"/>
      <c r="EYR17" s="41"/>
      <c r="EYS17" s="41"/>
      <c r="EYT17" s="41"/>
      <c r="EYU17" s="41"/>
      <c r="EYV17" s="41"/>
      <c r="EYW17" s="41"/>
      <c r="EYX17" s="41"/>
      <c r="EYY17" s="41"/>
      <c r="EYZ17" s="41"/>
      <c r="EZA17" s="41"/>
      <c r="EZB17" s="41"/>
      <c r="EZC17" s="41"/>
      <c r="EZD17" s="41"/>
      <c r="EZE17" s="41"/>
      <c r="EZF17" s="41"/>
      <c r="EZG17" s="41"/>
      <c r="EZH17" s="41"/>
      <c r="EZI17" s="41"/>
      <c r="EZJ17" s="41"/>
      <c r="EZK17" s="41"/>
      <c r="EZL17" s="41"/>
      <c r="EZM17" s="41"/>
      <c r="EZN17" s="41"/>
      <c r="EZO17" s="41"/>
      <c r="EZP17" s="41"/>
      <c r="EZQ17" s="41"/>
      <c r="EZR17" s="41"/>
      <c r="EZS17" s="41"/>
      <c r="EZT17" s="41"/>
      <c r="EZU17" s="41"/>
      <c r="EZV17" s="41"/>
      <c r="EZW17" s="41"/>
      <c r="EZX17" s="41"/>
      <c r="EZY17" s="41"/>
      <c r="EZZ17" s="41"/>
      <c r="FAA17" s="41"/>
      <c r="FAB17" s="41"/>
      <c r="FAC17" s="41"/>
      <c r="FAD17" s="41"/>
      <c r="FAE17" s="41"/>
      <c r="FAF17" s="41"/>
      <c r="FAG17" s="41"/>
      <c r="FAH17" s="41"/>
      <c r="FAI17" s="41"/>
      <c r="FAJ17" s="41"/>
      <c r="FAK17" s="41"/>
      <c r="FAL17" s="41"/>
      <c r="FAM17" s="41"/>
      <c r="FAN17" s="41"/>
      <c r="FAO17" s="41"/>
      <c r="FAP17" s="41"/>
      <c r="FAQ17" s="41"/>
      <c r="FAR17" s="41"/>
      <c r="FAS17" s="41"/>
      <c r="FAT17" s="41"/>
      <c r="FAU17" s="41"/>
      <c r="FAV17" s="41"/>
      <c r="FAW17" s="41"/>
      <c r="FAX17" s="41"/>
      <c r="FAY17" s="41"/>
      <c r="FAZ17" s="41"/>
      <c r="FBA17" s="41"/>
      <c r="FBB17" s="41"/>
      <c r="FBC17" s="41"/>
      <c r="FBD17" s="41"/>
      <c r="FBE17" s="41"/>
      <c r="FBF17" s="41"/>
      <c r="FBG17" s="41"/>
      <c r="FBH17" s="41"/>
      <c r="FBI17" s="41"/>
      <c r="FBJ17" s="41"/>
      <c r="FBK17" s="41"/>
      <c r="FBL17" s="41"/>
      <c r="FBM17" s="41"/>
      <c r="FBN17" s="41"/>
      <c r="FBO17" s="41"/>
      <c r="FBP17" s="41"/>
      <c r="FBQ17" s="41"/>
      <c r="FBR17" s="41"/>
      <c r="FBS17" s="41"/>
      <c r="FBT17" s="41"/>
      <c r="FBU17" s="41"/>
      <c r="FBV17" s="41"/>
      <c r="FBW17" s="41"/>
      <c r="FBX17" s="41"/>
      <c r="FBY17" s="41"/>
      <c r="FBZ17" s="41"/>
      <c r="FCA17" s="41"/>
      <c r="FCB17" s="41"/>
      <c r="FCC17" s="41"/>
      <c r="FCD17" s="41"/>
      <c r="FCE17" s="41"/>
      <c r="FCF17" s="41"/>
      <c r="FCG17" s="41"/>
      <c r="FCH17" s="41"/>
      <c r="FCI17" s="41"/>
      <c r="FCJ17" s="41"/>
      <c r="FCK17" s="41"/>
      <c r="FCL17" s="41"/>
      <c r="FCM17" s="41"/>
      <c r="FCN17" s="41"/>
      <c r="FCO17" s="41"/>
      <c r="FCP17" s="41"/>
      <c r="FCQ17" s="41"/>
      <c r="FCR17" s="41"/>
      <c r="FCS17" s="41"/>
      <c r="FCT17" s="41"/>
      <c r="FCU17" s="41"/>
      <c r="FCV17" s="41"/>
      <c r="FCW17" s="41"/>
      <c r="FCX17" s="41"/>
      <c r="FCY17" s="41"/>
      <c r="FCZ17" s="41"/>
      <c r="FDA17" s="41"/>
      <c r="FDB17" s="41"/>
      <c r="FDC17" s="41"/>
      <c r="FDD17" s="41"/>
      <c r="FDE17" s="41"/>
      <c r="FDF17" s="41"/>
      <c r="FDG17" s="41"/>
      <c r="FDH17" s="41"/>
      <c r="FDI17" s="41"/>
      <c r="FDJ17" s="41"/>
      <c r="FDK17" s="41"/>
      <c r="FDL17" s="41"/>
      <c r="FDM17" s="41"/>
      <c r="FDN17" s="41"/>
      <c r="FDO17" s="41"/>
      <c r="FDP17" s="41"/>
      <c r="FDQ17" s="41"/>
      <c r="FDR17" s="41"/>
      <c r="FDS17" s="41"/>
      <c r="FDT17" s="41"/>
      <c r="FDU17" s="41"/>
      <c r="FDV17" s="41"/>
      <c r="FDW17" s="41"/>
      <c r="FDX17" s="41"/>
      <c r="FDY17" s="41"/>
      <c r="FDZ17" s="41"/>
      <c r="FEA17" s="41"/>
      <c r="FEB17" s="41"/>
      <c r="FEC17" s="41"/>
      <c r="FED17" s="41"/>
      <c r="FEE17" s="41"/>
      <c r="FEF17" s="41"/>
      <c r="FEG17" s="41"/>
      <c r="FEH17" s="41"/>
      <c r="FEI17" s="41"/>
      <c r="FEJ17" s="41"/>
      <c r="FEK17" s="41"/>
      <c r="FEL17" s="41"/>
      <c r="FEM17" s="41"/>
      <c r="FEN17" s="41"/>
      <c r="FEO17" s="41"/>
      <c r="FEP17" s="41"/>
      <c r="FEQ17" s="41"/>
      <c r="FER17" s="41"/>
      <c r="FES17" s="41"/>
      <c r="FET17" s="41"/>
      <c r="FEU17" s="41"/>
      <c r="FEV17" s="41"/>
      <c r="FEW17" s="41"/>
      <c r="FEX17" s="41"/>
      <c r="FEY17" s="41"/>
      <c r="FEZ17" s="41"/>
      <c r="FFA17" s="41"/>
      <c r="FFB17" s="41"/>
      <c r="FFC17" s="41"/>
      <c r="FFD17" s="41"/>
      <c r="FFE17" s="41"/>
      <c r="FFF17" s="41"/>
      <c r="FFG17" s="41"/>
      <c r="FFH17" s="41"/>
      <c r="FFI17" s="41"/>
      <c r="FFJ17" s="41"/>
      <c r="FFK17" s="41"/>
      <c r="FFL17" s="41"/>
      <c r="FFM17" s="41"/>
      <c r="FFN17" s="41"/>
      <c r="FFO17" s="41"/>
      <c r="FFP17" s="41"/>
      <c r="FFQ17" s="41"/>
      <c r="FFR17" s="41"/>
      <c r="FFS17" s="41"/>
      <c r="FFT17" s="41"/>
      <c r="FFU17" s="41"/>
      <c r="FFV17" s="41"/>
      <c r="FFW17" s="41"/>
      <c r="FFX17" s="41"/>
      <c r="FFY17" s="41"/>
      <c r="FFZ17" s="41"/>
      <c r="FGA17" s="41"/>
      <c r="FGB17" s="41"/>
      <c r="FGC17" s="41"/>
      <c r="FGD17" s="41"/>
      <c r="FGE17" s="41"/>
      <c r="FGF17" s="41"/>
      <c r="FGG17" s="41"/>
      <c r="FGH17" s="41"/>
      <c r="FGI17" s="41"/>
      <c r="FGJ17" s="41"/>
      <c r="FGK17" s="41"/>
      <c r="FGL17" s="41"/>
      <c r="FGM17" s="41"/>
      <c r="FGN17" s="41"/>
      <c r="FGO17" s="41"/>
      <c r="FGP17" s="41"/>
      <c r="FGQ17" s="41"/>
      <c r="FGR17" s="41"/>
      <c r="FGS17" s="41"/>
      <c r="FGT17" s="41"/>
      <c r="FGU17" s="41"/>
      <c r="FGV17" s="41"/>
      <c r="FGW17" s="41"/>
      <c r="FGX17" s="41"/>
      <c r="FGY17" s="41"/>
      <c r="FGZ17" s="41"/>
      <c r="FHA17" s="41"/>
      <c r="FHB17" s="41"/>
      <c r="FHC17" s="41"/>
      <c r="FHD17" s="41"/>
      <c r="FHE17" s="41"/>
      <c r="FHF17" s="41"/>
      <c r="FHG17" s="41"/>
      <c r="FHH17" s="41"/>
      <c r="FHI17" s="41"/>
      <c r="FHJ17" s="41"/>
      <c r="FHK17" s="41"/>
      <c r="FHL17" s="41"/>
      <c r="FHM17" s="41"/>
      <c r="FHN17" s="41"/>
      <c r="FHO17" s="41"/>
      <c r="FHP17" s="41"/>
      <c r="FHQ17" s="41"/>
      <c r="FHR17" s="41"/>
      <c r="FHS17" s="41"/>
      <c r="FHT17" s="41"/>
      <c r="FHU17" s="41"/>
      <c r="FHV17" s="41"/>
      <c r="FHW17" s="41"/>
      <c r="FHX17" s="41"/>
      <c r="FHY17" s="41"/>
      <c r="FHZ17" s="41"/>
      <c r="FIA17" s="41"/>
      <c r="FIB17" s="41"/>
      <c r="FIC17" s="41"/>
      <c r="FID17" s="41"/>
      <c r="FIE17" s="41"/>
      <c r="FIF17" s="41"/>
      <c r="FIG17" s="41"/>
      <c r="FIH17" s="41"/>
      <c r="FII17" s="41"/>
      <c r="FIJ17" s="41"/>
      <c r="FIK17" s="41"/>
      <c r="FIL17" s="41"/>
      <c r="FIM17" s="41"/>
      <c r="FIN17" s="41"/>
      <c r="FIO17" s="41"/>
      <c r="FIP17" s="41"/>
      <c r="FIQ17" s="41"/>
      <c r="FIR17" s="41"/>
      <c r="FIS17" s="41"/>
      <c r="FIT17" s="41"/>
      <c r="FIU17" s="41"/>
      <c r="FIV17" s="41"/>
      <c r="FIW17" s="41"/>
      <c r="FIX17" s="41"/>
      <c r="FIY17" s="41"/>
      <c r="FIZ17" s="41"/>
      <c r="FJA17" s="41"/>
      <c r="FJB17" s="41"/>
      <c r="FJC17" s="41"/>
      <c r="FJD17" s="41"/>
      <c r="FJE17" s="41"/>
      <c r="FJF17" s="41"/>
      <c r="FJG17" s="41"/>
      <c r="FJH17" s="41"/>
      <c r="FJI17" s="41"/>
      <c r="FJJ17" s="41"/>
      <c r="FJK17" s="41"/>
      <c r="FJL17" s="41"/>
      <c r="FJM17" s="41"/>
      <c r="FJN17" s="41"/>
      <c r="FJO17" s="41"/>
      <c r="FJP17" s="41"/>
      <c r="FJQ17" s="41"/>
      <c r="FJR17" s="41"/>
      <c r="FJS17" s="41"/>
      <c r="FJT17" s="41"/>
      <c r="FJU17" s="41"/>
      <c r="FJV17" s="41"/>
      <c r="FJW17" s="41"/>
      <c r="FJX17" s="41"/>
      <c r="FJY17" s="41"/>
      <c r="FJZ17" s="41"/>
      <c r="FKA17" s="41"/>
      <c r="FKB17" s="41"/>
      <c r="FKC17" s="41"/>
      <c r="FKD17" s="41"/>
      <c r="FKE17" s="41"/>
      <c r="FKF17" s="41"/>
      <c r="FKG17" s="41"/>
      <c r="FKH17" s="41"/>
      <c r="FKI17" s="41"/>
      <c r="FKJ17" s="41"/>
      <c r="FKK17" s="41"/>
      <c r="FKL17" s="41"/>
      <c r="FKM17" s="41"/>
      <c r="FKN17" s="41"/>
      <c r="FKO17" s="41"/>
      <c r="FKP17" s="41"/>
      <c r="FKQ17" s="41"/>
      <c r="FKR17" s="41"/>
      <c r="FKS17" s="41"/>
      <c r="FKT17" s="41"/>
      <c r="FKU17" s="41"/>
      <c r="FKV17" s="41"/>
      <c r="FKW17" s="41"/>
      <c r="FKX17" s="41"/>
      <c r="FKY17" s="41"/>
      <c r="FKZ17" s="41"/>
      <c r="FLA17" s="41"/>
      <c r="FLB17" s="41"/>
      <c r="FLC17" s="41"/>
      <c r="FLD17" s="41"/>
      <c r="FLE17" s="41"/>
      <c r="FLF17" s="41"/>
      <c r="FLG17" s="41"/>
      <c r="FLH17" s="41"/>
      <c r="FLI17" s="41"/>
      <c r="FLJ17" s="41"/>
      <c r="FLK17" s="41"/>
      <c r="FLL17" s="41"/>
      <c r="FLM17" s="41"/>
      <c r="FLN17" s="41"/>
      <c r="FLO17" s="41"/>
      <c r="FLP17" s="41"/>
      <c r="FLQ17" s="41"/>
      <c r="FLR17" s="41"/>
      <c r="FLS17" s="41"/>
      <c r="FLT17" s="41"/>
      <c r="FLU17" s="41"/>
      <c r="FLV17" s="41"/>
      <c r="FLW17" s="41"/>
      <c r="FLX17" s="41"/>
      <c r="FLY17" s="41"/>
      <c r="FLZ17" s="41"/>
      <c r="FMA17" s="41"/>
      <c r="FMB17" s="41"/>
      <c r="FMC17" s="41"/>
      <c r="FMD17" s="41"/>
      <c r="FME17" s="41"/>
      <c r="FMF17" s="41"/>
      <c r="FMG17" s="41"/>
      <c r="FMH17" s="41"/>
      <c r="FMI17" s="41"/>
      <c r="FMJ17" s="41"/>
      <c r="FMK17" s="41"/>
      <c r="FML17" s="41"/>
      <c r="FMM17" s="41"/>
      <c r="FMN17" s="41"/>
      <c r="FMO17" s="41"/>
      <c r="FMP17" s="41"/>
      <c r="FMQ17" s="41"/>
      <c r="FMR17" s="41"/>
      <c r="FMS17" s="41"/>
      <c r="FMT17" s="41"/>
      <c r="FMU17" s="41"/>
      <c r="FMV17" s="41"/>
      <c r="FMW17" s="41"/>
      <c r="FMX17" s="41"/>
      <c r="FMY17" s="41"/>
      <c r="FMZ17" s="41"/>
      <c r="FNA17" s="41"/>
      <c r="FNB17" s="41"/>
      <c r="FNC17" s="41"/>
      <c r="FND17" s="41"/>
      <c r="FNE17" s="41"/>
      <c r="FNF17" s="41"/>
      <c r="FNG17" s="41"/>
      <c r="FNH17" s="41"/>
      <c r="FNI17" s="41"/>
      <c r="FNJ17" s="41"/>
      <c r="FNK17" s="41"/>
      <c r="FNL17" s="41"/>
      <c r="FNM17" s="41"/>
      <c r="FNN17" s="41"/>
      <c r="FNO17" s="41"/>
      <c r="FNP17" s="41"/>
      <c r="FNQ17" s="41"/>
      <c r="FNR17" s="41"/>
      <c r="FNS17" s="41"/>
      <c r="FNT17" s="41"/>
      <c r="FNU17" s="41"/>
      <c r="FNV17" s="41"/>
      <c r="FNW17" s="41"/>
      <c r="FNX17" s="41"/>
      <c r="FNY17" s="41"/>
      <c r="FNZ17" s="41"/>
      <c r="FOA17" s="41"/>
      <c r="FOB17" s="41"/>
      <c r="FOC17" s="41"/>
      <c r="FOD17" s="41"/>
      <c r="FOE17" s="41"/>
      <c r="FOF17" s="41"/>
      <c r="FOG17" s="41"/>
      <c r="FOH17" s="41"/>
      <c r="FOI17" s="41"/>
      <c r="FOJ17" s="41"/>
      <c r="FOK17" s="41"/>
      <c r="FOL17" s="41"/>
      <c r="FOM17" s="41"/>
      <c r="FON17" s="41"/>
      <c r="FOO17" s="41"/>
      <c r="FOP17" s="41"/>
      <c r="FOQ17" s="41"/>
      <c r="FOR17" s="41"/>
      <c r="FOS17" s="41"/>
      <c r="FOT17" s="41"/>
      <c r="FOU17" s="41"/>
      <c r="FOV17" s="41"/>
      <c r="FOW17" s="41"/>
      <c r="FOX17" s="41"/>
      <c r="FOY17" s="41"/>
      <c r="FOZ17" s="41"/>
      <c r="FPA17" s="41"/>
      <c r="FPB17" s="41"/>
      <c r="FPC17" s="41"/>
      <c r="FPD17" s="41"/>
      <c r="FPE17" s="41"/>
      <c r="FPF17" s="41"/>
      <c r="FPG17" s="41"/>
      <c r="FPH17" s="41"/>
      <c r="FPI17" s="41"/>
      <c r="FPJ17" s="41"/>
      <c r="FPK17" s="41"/>
      <c r="FPL17" s="41"/>
      <c r="FPM17" s="41"/>
      <c r="FPN17" s="41"/>
      <c r="FPO17" s="41"/>
      <c r="FPP17" s="41"/>
      <c r="FPQ17" s="41"/>
      <c r="FPR17" s="41"/>
      <c r="FPS17" s="41"/>
      <c r="FPT17" s="41"/>
      <c r="FPU17" s="41"/>
      <c r="FPV17" s="41"/>
      <c r="FPW17" s="41"/>
      <c r="FPX17" s="41"/>
      <c r="FPY17" s="41"/>
      <c r="FPZ17" s="41"/>
      <c r="FQA17" s="41"/>
      <c r="FQB17" s="41"/>
      <c r="FQC17" s="41"/>
      <c r="FQD17" s="41"/>
      <c r="FQE17" s="41"/>
      <c r="FQF17" s="41"/>
      <c r="FQG17" s="41"/>
      <c r="FQH17" s="41"/>
      <c r="FQI17" s="41"/>
      <c r="FQJ17" s="41"/>
      <c r="FQK17" s="41"/>
      <c r="FQL17" s="41"/>
      <c r="FQM17" s="41"/>
      <c r="FQN17" s="41"/>
      <c r="FQO17" s="41"/>
      <c r="FQP17" s="41"/>
      <c r="FQQ17" s="41"/>
      <c r="FQR17" s="41"/>
      <c r="FQS17" s="41"/>
      <c r="FQT17" s="41"/>
      <c r="FQU17" s="41"/>
      <c r="FQV17" s="41"/>
      <c r="FQW17" s="41"/>
      <c r="FQX17" s="41"/>
      <c r="FQY17" s="41"/>
      <c r="FQZ17" s="41"/>
      <c r="FRA17" s="41"/>
      <c r="FRB17" s="41"/>
      <c r="FRC17" s="41"/>
      <c r="FRD17" s="41"/>
      <c r="FRE17" s="41"/>
      <c r="FRF17" s="41"/>
      <c r="FRG17" s="41"/>
      <c r="FRH17" s="41"/>
      <c r="FRI17" s="41"/>
      <c r="FRJ17" s="41"/>
      <c r="FRK17" s="41"/>
      <c r="FRL17" s="41"/>
      <c r="FRM17" s="41"/>
      <c r="FRN17" s="41"/>
      <c r="FRO17" s="41"/>
      <c r="FRP17" s="41"/>
      <c r="FRQ17" s="41"/>
      <c r="FRR17" s="41"/>
      <c r="FRS17" s="41"/>
      <c r="FRT17" s="41"/>
      <c r="FRU17" s="41"/>
      <c r="FRV17" s="41"/>
      <c r="FRW17" s="41"/>
      <c r="FRX17" s="41"/>
      <c r="FRY17" s="41"/>
      <c r="FRZ17" s="41"/>
      <c r="FSA17" s="41"/>
      <c r="FSB17" s="41"/>
      <c r="FSC17" s="41"/>
      <c r="FSD17" s="41"/>
      <c r="FSE17" s="41"/>
      <c r="FSF17" s="41"/>
      <c r="FSG17" s="41"/>
      <c r="FSH17" s="41"/>
      <c r="FSI17" s="41"/>
      <c r="FSJ17" s="41"/>
      <c r="FSK17" s="41"/>
      <c r="FSL17" s="41"/>
      <c r="FSM17" s="41"/>
      <c r="FSN17" s="41"/>
      <c r="FSO17" s="41"/>
      <c r="FSP17" s="41"/>
      <c r="FSQ17" s="41"/>
      <c r="FSR17" s="41"/>
      <c r="FSS17" s="41"/>
      <c r="FST17" s="41"/>
      <c r="FSU17" s="41"/>
      <c r="FSV17" s="41"/>
      <c r="FSW17" s="41"/>
      <c r="FSX17" s="41"/>
      <c r="FSY17" s="41"/>
      <c r="FSZ17" s="41"/>
      <c r="FTA17" s="41"/>
      <c r="FTB17" s="41"/>
      <c r="FTC17" s="41"/>
      <c r="FTD17" s="41"/>
      <c r="FTE17" s="41"/>
      <c r="FTF17" s="41"/>
      <c r="FTG17" s="41"/>
      <c r="FTH17" s="41"/>
      <c r="FTI17" s="41"/>
      <c r="FTJ17" s="41"/>
      <c r="FTK17" s="41"/>
      <c r="FTL17" s="41"/>
      <c r="FTM17" s="41"/>
      <c r="FTN17" s="41"/>
      <c r="FTO17" s="41"/>
      <c r="FTP17" s="41"/>
      <c r="FTQ17" s="41"/>
      <c r="FTR17" s="41"/>
      <c r="FTS17" s="41"/>
      <c r="FTT17" s="41"/>
      <c r="FTU17" s="41"/>
      <c r="FTV17" s="41"/>
      <c r="FTW17" s="41"/>
      <c r="FTX17" s="41"/>
      <c r="FTY17" s="41"/>
      <c r="FTZ17" s="41"/>
      <c r="FUA17" s="41"/>
      <c r="FUB17" s="41"/>
      <c r="FUC17" s="41"/>
      <c r="FUD17" s="41"/>
      <c r="FUE17" s="41"/>
      <c r="FUF17" s="41"/>
      <c r="FUG17" s="41"/>
      <c r="FUH17" s="41"/>
      <c r="FUI17" s="41"/>
      <c r="FUJ17" s="41"/>
      <c r="FUK17" s="41"/>
      <c r="FUL17" s="41"/>
      <c r="FUM17" s="41"/>
      <c r="FUN17" s="41"/>
      <c r="FUO17" s="41"/>
      <c r="FUP17" s="41"/>
      <c r="FUQ17" s="41"/>
      <c r="FUR17" s="41"/>
      <c r="FUS17" s="41"/>
      <c r="FUT17" s="41"/>
      <c r="FUU17" s="41"/>
      <c r="FUV17" s="41"/>
      <c r="FUW17" s="41"/>
      <c r="FUX17" s="41"/>
      <c r="FUY17" s="41"/>
      <c r="FUZ17" s="41"/>
      <c r="FVA17" s="41"/>
      <c r="FVB17" s="41"/>
      <c r="FVC17" s="41"/>
      <c r="FVD17" s="41"/>
      <c r="FVE17" s="41"/>
      <c r="FVF17" s="41"/>
      <c r="FVG17" s="41"/>
      <c r="FVH17" s="41"/>
      <c r="FVI17" s="41"/>
      <c r="FVJ17" s="41"/>
      <c r="FVK17" s="41"/>
      <c r="FVL17" s="41"/>
      <c r="FVM17" s="41"/>
      <c r="FVN17" s="41"/>
      <c r="FVO17" s="41"/>
      <c r="FVP17" s="41"/>
      <c r="FVQ17" s="41"/>
      <c r="FVR17" s="41"/>
      <c r="FVS17" s="41"/>
      <c r="FVT17" s="41"/>
      <c r="FVU17" s="41"/>
      <c r="FVV17" s="41"/>
      <c r="FVW17" s="41"/>
      <c r="FVX17" s="41"/>
      <c r="FVY17" s="41"/>
      <c r="FVZ17" s="41"/>
      <c r="FWA17" s="41"/>
      <c r="FWB17" s="41"/>
      <c r="FWC17" s="41"/>
      <c r="FWD17" s="41"/>
      <c r="FWE17" s="41"/>
      <c r="FWF17" s="41"/>
      <c r="FWG17" s="41"/>
      <c r="FWH17" s="41"/>
      <c r="FWI17" s="41"/>
      <c r="FWJ17" s="41"/>
      <c r="FWK17" s="41"/>
      <c r="FWL17" s="41"/>
      <c r="FWM17" s="41"/>
      <c r="FWN17" s="41"/>
      <c r="FWO17" s="41"/>
      <c r="FWP17" s="41"/>
      <c r="FWQ17" s="41"/>
      <c r="FWR17" s="41"/>
      <c r="FWS17" s="41"/>
      <c r="FWT17" s="41"/>
      <c r="FWU17" s="41"/>
      <c r="FWV17" s="41"/>
      <c r="FWW17" s="41"/>
      <c r="FWX17" s="41"/>
      <c r="FWY17" s="41"/>
      <c r="FWZ17" s="41"/>
      <c r="FXA17" s="41"/>
      <c r="FXB17" s="41"/>
      <c r="FXC17" s="41"/>
      <c r="FXD17" s="41"/>
      <c r="FXE17" s="41"/>
      <c r="FXF17" s="41"/>
      <c r="FXG17" s="41"/>
      <c r="FXH17" s="41"/>
      <c r="FXI17" s="41"/>
      <c r="FXJ17" s="41"/>
      <c r="FXK17" s="41"/>
      <c r="FXL17" s="41"/>
      <c r="FXM17" s="41"/>
      <c r="FXN17" s="41"/>
      <c r="FXO17" s="41"/>
      <c r="FXP17" s="41"/>
      <c r="FXQ17" s="41"/>
      <c r="FXR17" s="41"/>
      <c r="FXS17" s="41"/>
      <c r="FXT17" s="41"/>
      <c r="FXU17" s="41"/>
      <c r="FXV17" s="41"/>
      <c r="FXW17" s="41"/>
      <c r="FXX17" s="41"/>
      <c r="FXY17" s="41"/>
      <c r="FXZ17" s="41"/>
      <c r="FYA17" s="41"/>
      <c r="FYB17" s="41"/>
      <c r="FYC17" s="41"/>
      <c r="FYD17" s="41"/>
      <c r="FYE17" s="41"/>
      <c r="FYF17" s="41"/>
      <c r="FYG17" s="41"/>
      <c r="FYH17" s="41"/>
      <c r="FYI17" s="41"/>
      <c r="FYJ17" s="41"/>
      <c r="FYK17" s="41"/>
      <c r="FYL17" s="41"/>
      <c r="FYM17" s="41"/>
      <c r="FYN17" s="41"/>
      <c r="FYO17" s="41"/>
      <c r="FYP17" s="41"/>
      <c r="FYQ17" s="41"/>
      <c r="FYR17" s="41"/>
      <c r="FYS17" s="41"/>
      <c r="FYT17" s="41"/>
      <c r="FYU17" s="41"/>
      <c r="FYV17" s="41"/>
      <c r="FYW17" s="41"/>
      <c r="FYX17" s="41"/>
      <c r="FYY17" s="41"/>
      <c r="FYZ17" s="41"/>
      <c r="FZA17" s="41"/>
      <c r="FZB17" s="41"/>
      <c r="FZC17" s="41"/>
      <c r="FZD17" s="41"/>
      <c r="FZE17" s="41"/>
      <c r="FZF17" s="41"/>
      <c r="FZG17" s="41"/>
      <c r="FZH17" s="41"/>
      <c r="FZI17" s="41"/>
      <c r="FZJ17" s="41"/>
      <c r="FZK17" s="41"/>
      <c r="FZL17" s="41"/>
      <c r="FZM17" s="41"/>
      <c r="FZN17" s="41"/>
      <c r="FZO17" s="41"/>
      <c r="FZP17" s="41"/>
      <c r="FZQ17" s="41"/>
      <c r="FZR17" s="41"/>
      <c r="FZS17" s="41"/>
      <c r="FZT17" s="41"/>
      <c r="FZU17" s="41"/>
      <c r="FZV17" s="41"/>
      <c r="FZW17" s="41"/>
      <c r="FZX17" s="41"/>
      <c r="FZY17" s="41"/>
      <c r="FZZ17" s="41"/>
      <c r="GAA17" s="41"/>
      <c r="GAB17" s="41"/>
      <c r="GAC17" s="41"/>
      <c r="GAD17" s="41"/>
      <c r="GAE17" s="41"/>
      <c r="GAF17" s="41"/>
      <c r="GAG17" s="41"/>
      <c r="GAH17" s="41"/>
      <c r="GAI17" s="41"/>
      <c r="GAJ17" s="41"/>
      <c r="GAK17" s="41"/>
      <c r="GAL17" s="41"/>
      <c r="GAM17" s="41"/>
      <c r="GAN17" s="41"/>
      <c r="GAO17" s="41"/>
      <c r="GAP17" s="41"/>
      <c r="GAQ17" s="41"/>
      <c r="GAR17" s="41"/>
      <c r="GAS17" s="41"/>
      <c r="GAT17" s="41"/>
      <c r="GAU17" s="41"/>
      <c r="GAV17" s="41"/>
      <c r="GAW17" s="41"/>
      <c r="GAX17" s="41"/>
      <c r="GAY17" s="41"/>
      <c r="GAZ17" s="41"/>
      <c r="GBA17" s="41"/>
      <c r="GBB17" s="41"/>
      <c r="GBC17" s="41"/>
      <c r="GBD17" s="41"/>
      <c r="GBE17" s="41"/>
      <c r="GBF17" s="41"/>
      <c r="GBG17" s="41"/>
      <c r="GBH17" s="41"/>
      <c r="GBI17" s="41"/>
      <c r="GBJ17" s="41"/>
      <c r="GBK17" s="41"/>
      <c r="GBL17" s="41"/>
      <c r="GBM17" s="41"/>
      <c r="GBN17" s="41"/>
      <c r="GBO17" s="41"/>
      <c r="GBP17" s="41"/>
      <c r="GBQ17" s="41"/>
      <c r="GBR17" s="41"/>
      <c r="GBS17" s="41"/>
      <c r="GBT17" s="41"/>
      <c r="GBU17" s="41"/>
      <c r="GBV17" s="41"/>
      <c r="GBW17" s="41"/>
      <c r="GBX17" s="41"/>
      <c r="GBY17" s="41"/>
      <c r="GBZ17" s="41"/>
      <c r="GCA17" s="41"/>
      <c r="GCB17" s="41"/>
      <c r="GCC17" s="41"/>
      <c r="GCD17" s="41"/>
      <c r="GCE17" s="41"/>
      <c r="GCF17" s="41"/>
      <c r="GCG17" s="41"/>
      <c r="GCH17" s="41"/>
      <c r="GCI17" s="41"/>
      <c r="GCJ17" s="41"/>
      <c r="GCK17" s="41"/>
      <c r="GCL17" s="41"/>
      <c r="GCM17" s="41"/>
      <c r="GCN17" s="41"/>
      <c r="GCO17" s="41"/>
      <c r="GCP17" s="41"/>
      <c r="GCQ17" s="41"/>
      <c r="GCR17" s="41"/>
      <c r="GCS17" s="41"/>
      <c r="GCT17" s="41"/>
      <c r="GCU17" s="41"/>
      <c r="GCV17" s="41"/>
      <c r="GCW17" s="41"/>
      <c r="GCX17" s="41"/>
      <c r="GCY17" s="41"/>
      <c r="GCZ17" s="41"/>
      <c r="GDA17" s="41"/>
      <c r="GDB17" s="41"/>
      <c r="GDC17" s="41"/>
      <c r="GDD17" s="41"/>
      <c r="GDE17" s="41"/>
      <c r="GDF17" s="41"/>
      <c r="GDG17" s="41"/>
      <c r="GDH17" s="41"/>
      <c r="GDI17" s="41"/>
      <c r="GDJ17" s="41"/>
      <c r="GDK17" s="41"/>
      <c r="GDL17" s="41"/>
      <c r="GDM17" s="41"/>
      <c r="GDN17" s="41"/>
      <c r="GDO17" s="41"/>
      <c r="GDP17" s="41"/>
      <c r="GDQ17" s="41"/>
      <c r="GDR17" s="41"/>
      <c r="GDS17" s="41"/>
      <c r="GDT17" s="41"/>
      <c r="GDU17" s="41"/>
      <c r="GDV17" s="41"/>
      <c r="GDW17" s="41"/>
      <c r="GDX17" s="41"/>
      <c r="GDY17" s="41"/>
      <c r="GDZ17" s="41"/>
      <c r="GEA17" s="41"/>
      <c r="GEB17" s="41"/>
      <c r="GEC17" s="41"/>
      <c r="GED17" s="41"/>
      <c r="GEE17" s="41"/>
      <c r="GEF17" s="41"/>
      <c r="GEG17" s="41"/>
      <c r="GEH17" s="41"/>
      <c r="GEI17" s="41"/>
      <c r="GEJ17" s="41"/>
      <c r="GEK17" s="41"/>
      <c r="GEL17" s="41"/>
      <c r="GEM17" s="41"/>
      <c r="GEN17" s="41"/>
      <c r="GEO17" s="41"/>
      <c r="GEP17" s="41"/>
      <c r="GEQ17" s="41"/>
      <c r="GER17" s="41"/>
      <c r="GES17" s="41"/>
      <c r="GET17" s="41"/>
      <c r="GEU17" s="41"/>
      <c r="GEV17" s="41"/>
      <c r="GEW17" s="41"/>
      <c r="GEX17" s="41"/>
      <c r="GEY17" s="41"/>
      <c r="GEZ17" s="41"/>
      <c r="GFA17" s="41"/>
      <c r="GFB17" s="41"/>
      <c r="GFC17" s="41"/>
      <c r="GFD17" s="41"/>
      <c r="GFE17" s="41"/>
      <c r="GFF17" s="41"/>
      <c r="GFG17" s="41"/>
      <c r="GFH17" s="41"/>
      <c r="GFI17" s="41"/>
      <c r="GFJ17" s="41"/>
      <c r="GFK17" s="41"/>
      <c r="GFL17" s="41"/>
      <c r="GFM17" s="41"/>
      <c r="GFN17" s="41"/>
      <c r="GFO17" s="41"/>
      <c r="GFP17" s="41"/>
      <c r="GFQ17" s="41"/>
      <c r="GFR17" s="41"/>
      <c r="GFS17" s="41"/>
      <c r="GFT17" s="41"/>
      <c r="GFU17" s="41"/>
      <c r="GFV17" s="41"/>
      <c r="GFW17" s="41"/>
      <c r="GFX17" s="41"/>
      <c r="GFY17" s="41"/>
      <c r="GFZ17" s="41"/>
      <c r="GGA17" s="41"/>
      <c r="GGB17" s="41"/>
      <c r="GGC17" s="41"/>
      <c r="GGD17" s="41"/>
      <c r="GGE17" s="41"/>
      <c r="GGF17" s="41"/>
      <c r="GGG17" s="41"/>
      <c r="GGH17" s="41"/>
      <c r="GGI17" s="41"/>
      <c r="GGJ17" s="41"/>
      <c r="GGK17" s="41"/>
      <c r="GGL17" s="41"/>
      <c r="GGM17" s="41"/>
      <c r="GGN17" s="41"/>
      <c r="GGO17" s="41"/>
      <c r="GGP17" s="41"/>
      <c r="GGQ17" s="41"/>
      <c r="GGR17" s="41"/>
      <c r="GGS17" s="41"/>
      <c r="GGT17" s="41"/>
      <c r="GGU17" s="41"/>
      <c r="GGV17" s="41"/>
      <c r="GGW17" s="41"/>
      <c r="GGX17" s="41"/>
      <c r="GGY17" s="41"/>
      <c r="GGZ17" s="41"/>
      <c r="GHA17" s="41"/>
      <c r="GHB17" s="41"/>
      <c r="GHC17" s="41"/>
      <c r="GHD17" s="41"/>
      <c r="GHE17" s="41"/>
      <c r="GHF17" s="41"/>
      <c r="GHG17" s="41"/>
      <c r="GHH17" s="41"/>
      <c r="GHI17" s="41"/>
      <c r="GHJ17" s="41"/>
      <c r="GHK17" s="41"/>
      <c r="GHL17" s="41"/>
      <c r="GHM17" s="41"/>
      <c r="GHN17" s="41"/>
      <c r="GHO17" s="41"/>
      <c r="GHP17" s="41"/>
      <c r="GHQ17" s="41"/>
      <c r="GHR17" s="41"/>
      <c r="GHS17" s="41"/>
      <c r="GHT17" s="41"/>
      <c r="GHU17" s="41"/>
      <c r="GHV17" s="41"/>
      <c r="GHW17" s="41"/>
      <c r="GHX17" s="41"/>
      <c r="GHY17" s="41"/>
      <c r="GHZ17" s="41"/>
      <c r="GIA17" s="41"/>
      <c r="GIB17" s="41"/>
      <c r="GIC17" s="41"/>
      <c r="GID17" s="41"/>
      <c r="GIE17" s="41"/>
      <c r="GIF17" s="41"/>
      <c r="GIG17" s="41"/>
      <c r="GIH17" s="41"/>
      <c r="GII17" s="41"/>
      <c r="GIJ17" s="41"/>
      <c r="GIK17" s="41"/>
      <c r="GIL17" s="41"/>
      <c r="GIM17" s="41"/>
      <c r="GIN17" s="41"/>
      <c r="GIO17" s="41"/>
      <c r="GIP17" s="41"/>
      <c r="GIQ17" s="41"/>
      <c r="GIR17" s="41"/>
      <c r="GIS17" s="41"/>
      <c r="GIT17" s="41"/>
      <c r="GIU17" s="41"/>
      <c r="GIV17" s="41"/>
      <c r="GIW17" s="41"/>
      <c r="GIX17" s="41"/>
      <c r="GIY17" s="41"/>
      <c r="GIZ17" s="41"/>
      <c r="GJA17" s="41"/>
      <c r="GJB17" s="41"/>
      <c r="GJC17" s="41"/>
      <c r="GJD17" s="41"/>
      <c r="GJE17" s="41"/>
      <c r="GJF17" s="41"/>
      <c r="GJG17" s="41"/>
      <c r="GJH17" s="41"/>
      <c r="GJI17" s="41"/>
      <c r="GJJ17" s="41"/>
      <c r="GJK17" s="41"/>
      <c r="GJL17" s="41"/>
      <c r="GJM17" s="41"/>
      <c r="GJN17" s="41"/>
      <c r="GJO17" s="41"/>
      <c r="GJP17" s="41"/>
      <c r="GJQ17" s="41"/>
      <c r="GJR17" s="41"/>
      <c r="GJS17" s="41"/>
      <c r="GJT17" s="41"/>
      <c r="GJU17" s="41"/>
      <c r="GJV17" s="41"/>
      <c r="GJW17" s="41"/>
      <c r="GJX17" s="41"/>
      <c r="GJY17" s="41"/>
      <c r="GJZ17" s="41"/>
      <c r="GKA17" s="41"/>
      <c r="GKB17" s="41"/>
      <c r="GKC17" s="41"/>
      <c r="GKD17" s="41"/>
      <c r="GKE17" s="41"/>
      <c r="GKF17" s="41"/>
      <c r="GKG17" s="41"/>
      <c r="GKH17" s="41"/>
      <c r="GKI17" s="41"/>
      <c r="GKJ17" s="41"/>
      <c r="GKK17" s="41"/>
      <c r="GKL17" s="41"/>
      <c r="GKM17" s="41"/>
      <c r="GKN17" s="41"/>
      <c r="GKO17" s="41"/>
      <c r="GKP17" s="41"/>
      <c r="GKQ17" s="41"/>
      <c r="GKR17" s="41"/>
      <c r="GKS17" s="41"/>
      <c r="GKT17" s="41"/>
      <c r="GKU17" s="41"/>
      <c r="GKV17" s="41"/>
      <c r="GKW17" s="41"/>
      <c r="GKX17" s="41"/>
      <c r="GKY17" s="41"/>
      <c r="GKZ17" s="41"/>
      <c r="GLA17" s="41"/>
      <c r="GLB17" s="41"/>
      <c r="GLC17" s="41"/>
      <c r="GLD17" s="41"/>
      <c r="GLE17" s="41"/>
      <c r="GLF17" s="41"/>
      <c r="GLG17" s="41"/>
      <c r="GLH17" s="41"/>
      <c r="GLI17" s="41"/>
      <c r="GLJ17" s="41"/>
      <c r="GLK17" s="41"/>
      <c r="GLL17" s="41"/>
      <c r="GLM17" s="41"/>
      <c r="GLN17" s="41"/>
      <c r="GLO17" s="41"/>
      <c r="GLP17" s="41"/>
      <c r="GLQ17" s="41"/>
      <c r="GLR17" s="41"/>
      <c r="GLS17" s="41"/>
      <c r="GLT17" s="41"/>
      <c r="GLU17" s="41"/>
      <c r="GLV17" s="41"/>
      <c r="GLW17" s="41"/>
      <c r="GLX17" s="41"/>
      <c r="GLY17" s="41"/>
      <c r="GLZ17" s="41"/>
      <c r="GMA17" s="41"/>
      <c r="GMB17" s="41"/>
      <c r="GMC17" s="41"/>
      <c r="GMD17" s="41"/>
      <c r="GME17" s="41"/>
      <c r="GMF17" s="41"/>
      <c r="GMG17" s="41"/>
      <c r="GMH17" s="41"/>
      <c r="GMI17" s="41"/>
      <c r="GMJ17" s="41"/>
      <c r="GMK17" s="41"/>
      <c r="GML17" s="41"/>
      <c r="GMM17" s="41"/>
      <c r="GMN17" s="41"/>
      <c r="GMO17" s="41"/>
      <c r="GMP17" s="41"/>
      <c r="GMQ17" s="41"/>
      <c r="GMR17" s="41"/>
      <c r="GMS17" s="41"/>
      <c r="GMT17" s="41"/>
      <c r="GMU17" s="41"/>
      <c r="GMV17" s="41"/>
      <c r="GMW17" s="41"/>
      <c r="GMX17" s="41"/>
      <c r="GMY17" s="41"/>
      <c r="GMZ17" s="41"/>
      <c r="GNA17" s="41"/>
      <c r="GNB17" s="41"/>
      <c r="GNC17" s="41"/>
      <c r="GND17" s="41"/>
      <c r="GNE17" s="41"/>
      <c r="GNF17" s="41"/>
      <c r="GNG17" s="41"/>
      <c r="GNH17" s="41"/>
      <c r="GNI17" s="41"/>
      <c r="GNJ17" s="41"/>
      <c r="GNK17" s="41"/>
      <c r="GNL17" s="41"/>
      <c r="GNM17" s="41"/>
      <c r="GNN17" s="41"/>
      <c r="GNO17" s="41"/>
      <c r="GNP17" s="41"/>
      <c r="GNQ17" s="41"/>
      <c r="GNR17" s="41"/>
      <c r="GNS17" s="41"/>
      <c r="GNT17" s="41"/>
      <c r="GNU17" s="41"/>
      <c r="GNV17" s="41"/>
      <c r="GNW17" s="41"/>
      <c r="GNX17" s="41"/>
      <c r="GNY17" s="41"/>
      <c r="GNZ17" s="41"/>
      <c r="GOA17" s="41"/>
      <c r="GOB17" s="41"/>
      <c r="GOC17" s="41"/>
      <c r="GOD17" s="41"/>
      <c r="GOE17" s="41"/>
      <c r="GOF17" s="41"/>
      <c r="GOG17" s="41"/>
      <c r="GOH17" s="41"/>
      <c r="GOI17" s="41"/>
      <c r="GOJ17" s="41"/>
      <c r="GOK17" s="41"/>
      <c r="GOL17" s="41"/>
      <c r="GOM17" s="41"/>
      <c r="GON17" s="41"/>
      <c r="GOO17" s="41"/>
      <c r="GOP17" s="41"/>
      <c r="GOQ17" s="41"/>
      <c r="GOR17" s="41"/>
      <c r="GOS17" s="41"/>
      <c r="GOT17" s="41"/>
      <c r="GOU17" s="41"/>
      <c r="GOV17" s="41"/>
      <c r="GOW17" s="41"/>
      <c r="GOX17" s="41"/>
      <c r="GOY17" s="41"/>
      <c r="GOZ17" s="41"/>
      <c r="GPA17" s="41"/>
      <c r="GPB17" s="41"/>
      <c r="GPC17" s="41"/>
      <c r="GPD17" s="41"/>
      <c r="GPE17" s="41"/>
      <c r="GPF17" s="41"/>
      <c r="GPG17" s="41"/>
      <c r="GPH17" s="41"/>
      <c r="GPI17" s="41"/>
      <c r="GPJ17" s="41"/>
      <c r="GPK17" s="41"/>
      <c r="GPL17" s="41"/>
      <c r="GPM17" s="41"/>
      <c r="GPN17" s="41"/>
      <c r="GPO17" s="41"/>
      <c r="GPP17" s="41"/>
      <c r="GPQ17" s="41"/>
      <c r="GPR17" s="41"/>
      <c r="GPS17" s="41"/>
      <c r="GPT17" s="41"/>
      <c r="GPU17" s="41"/>
      <c r="GPV17" s="41"/>
      <c r="GPW17" s="41"/>
      <c r="GPX17" s="41"/>
      <c r="GPY17" s="41"/>
      <c r="GPZ17" s="41"/>
      <c r="GQA17" s="41"/>
      <c r="GQB17" s="41"/>
      <c r="GQC17" s="41"/>
      <c r="GQD17" s="41"/>
      <c r="GQE17" s="41"/>
      <c r="GQF17" s="41"/>
      <c r="GQG17" s="41"/>
      <c r="GQH17" s="41"/>
      <c r="GQI17" s="41"/>
      <c r="GQJ17" s="41"/>
      <c r="GQK17" s="41"/>
      <c r="GQL17" s="41"/>
      <c r="GQM17" s="41"/>
      <c r="GQN17" s="41"/>
      <c r="GQO17" s="41"/>
      <c r="GQP17" s="41"/>
      <c r="GQQ17" s="41"/>
      <c r="GQR17" s="41"/>
      <c r="GQS17" s="41"/>
      <c r="GQT17" s="41"/>
      <c r="GQU17" s="41"/>
      <c r="GQV17" s="41"/>
      <c r="GQW17" s="41"/>
      <c r="GQX17" s="41"/>
      <c r="GQY17" s="41"/>
      <c r="GQZ17" s="41"/>
      <c r="GRA17" s="41"/>
      <c r="GRB17" s="41"/>
      <c r="GRC17" s="41"/>
      <c r="GRD17" s="41"/>
      <c r="GRE17" s="41"/>
      <c r="GRF17" s="41"/>
      <c r="GRG17" s="41"/>
      <c r="GRH17" s="41"/>
      <c r="GRI17" s="41"/>
      <c r="GRJ17" s="41"/>
      <c r="GRK17" s="41"/>
      <c r="GRL17" s="41"/>
      <c r="GRM17" s="41"/>
      <c r="GRN17" s="41"/>
      <c r="GRO17" s="41"/>
      <c r="GRP17" s="41"/>
      <c r="GRQ17" s="41"/>
      <c r="GRR17" s="41"/>
      <c r="GRS17" s="41"/>
      <c r="GRT17" s="41"/>
      <c r="GRU17" s="41"/>
      <c r="GRV17" s="41"/>
      <c r="GRW17" s="41"/>
      <c r="GRX17" s="41"/>
      <c r="GRY17" s="41"/>
      <c r="GRZ17" s="41"/>
      <c r="GSA17" s="41"/>
      <c r="GSB17" s="41"/>
      <c r="GSC17" s="41"/>
      <c r="GSD17" s="41"/>
      <c r="GSE17" s="41"/>
      <c r="GSF17" s="41"/>
      <c r="GSG17" s="41"/>
      <c r="GSH17" s="41"/>
      <c r="GSI17" s="41"/>
      <c r="GSJ17" s="41"/>
      <c r="GSK17" s="41"/>
      <c r="GSL17" s="41"/>
      <c r="GSM17" s="41"/>
      <c r="GSN17" s="41"/>
      <c r="GSO17" s="41"/>
      <c r="GSP17" s="41"/>
      <c r="GSQ17" s="41"/>
      <c r="GSR17" s="41"/>
      <c r="GSS17" s="41"/>
      <c r="GST17" s="41"/>
      <c r="GSU17" s="41"/>
      <c r="GSV17" s="41"/>
      <c r="GSW17" s="41"/>
      <c r="GSX17" s="41"/>
      <c r="GSY17" s="41"/>
      <c r="GSZ17" s="41"/>
      <c r="GTA17" s="41"/>
      <c r="GTB17" s="41"/>
      <c r="GTC17" s="41"/>
      <c r="GTD17" s="41"/>
      <c r="GTE17" s="41"/>
      <c r="GTF17" s="41"/>
      <c r="GTG17" s="41"/>
      <c r="GTH17" s="41"/>
      <c r="GTI17" s="41"/>
      <c r="GTJ17" s="41"/>
      <c r="GTK17" s="41"/>
      <c r="GTL17" s="41"/>
      <c r="GTM17" s="41"/>
      <c r="GTN17" s="41"/>
      <c r="GTO17" s="41"/>
      <c r="GTP17" s="41"/>
      <c r="GTQ17" s="41"/>
      <c r="GTR17" s="41"/>
      <c r="GTS17" s="41"/>
      <c r="GTT17" s="41"/>
      <c r="GTU17" s="41"/>
      <c r="GTV17" s="41"/>
      <c r="GTW17" s="41"/>
      <c r="GTX17" s="41"/>
      <c r="GTY17" s="41"/>
      <c r="GTZ17" s="41"/>
      <c r="GUA17" s="41"/>
      <c r="GUB17" s="41"/>
      <c r="GUC17" s="41"/>
      <c r="GUD17" s="41"/>
      <c r="GUE17" s="41"/>
      <c r="GUF17" s="41"/>
      <c r="GUG17" s="41"/>
      <c r="GUH17" s="41"/>
      <c r="GUI17" s="41"/>
      <c r="GUJ17" s="41"/>
      <c r="GUK17" s="41"/>
      <c r="GUL17" s="41"/>
      <c r="GUM17" s="41"/>
      <c r="GUN17" s="41"/>
      <c r="GUO17" s="41"/>
      <c r="GUP17" s="41"/>
      <c r="GUQ17" s="41"/>
      <c r="GUR17" s="41"/>
      <c r="GUS17" s="41"/>
      <c r="GUT17" s="41"/>
      <c r="GUU17" s="41"/>
      <c r="GUV17" s="41"/>
      <c r="GUW17" s="41"/>
      <c r="GUX17" s="41"/>
      <c r="GUY17" s="41"/>
      <c r="GUZ17" s="41"/>
      <c r="GVA17" s="41"/>
      <c r="GVB17" s="41"/>
      <c r="GVC17" s="41"/>
      <c r="GVD17" s="41"/>
      <c r="GVE17" s="41"/>
      <c r="GVF17" s="41"/>
      <c r="GVG17" s="41"/>
      <c r="GVH17" s="41"/>
      <c r="GVI17" s="41"/>
      <c r="GVJ17" s="41"/>
      <c r="GVK17" s="41"/>
      <c r="GVL17" s="41"/>
      <c r="GVM17" s="41"/>
      <c r="GVN17" s="41"/>
      <c r="GVO17" s="41"/>
      <c r="GVP17" s="41"/>
      <c r="GVQ17" s="41"/>
      <c r="GVR17" s="41"/>
      <c r="GVS17" s="41"/>
      <c r="GVT17" s="41"/>
      <c r="GVU17" s="41"/>
      <c r="GVV17" s="41"/>
      <c r="GVW17" s="41"/>
      <c r="GVX17" s="41"/>
      <c r="GVY17" s="41"/>
      <c r="GVZ17" s="41"/>
      <c r="GWA17" s="41"/>
      <c r="GWB17" s="41"/>
      <c r="GWC17" s="41"/>
      <c r="GWD17" s="41"/>
      <c r="GWE17" s="41"/>
      <c r="GWF17" s="41"/>
      <c r="GWG17" s="41"/>
      <c r="GWH17" s="41"/>
      <c r="GWI17" s="41"/>
      <c r="GWJ17" s="41"/>
      <c r="GWK17" s="41"/>
      <c r="GWL17" s="41"/>
      <c r="GWM17" s="41"/>
      <c r="GWN17" s="41"/>
      <c r="GWO17" s="41"/>
      <c r="GWP17" s="41"/>
      <c r="GWQ17" s="41"/>
      <c r="GWR17" s="41"/>
      <c r="GWS17" s="41"/>
      <c r="GWT17" s="41"/>
      <c r="GWU17" s="41"/>
      <c r="GWV17" s="41"/>
      <c r="GWW17" s="41"/>
      <c r="GWX17" s="41"/>
      <c r="GWY17" s="41"/>
      <c r="GWZ17" s="41"/>
      <c r="GXA17" s="41"/>
      <c r="GXB17" s="41"/>
      <c r="GXC17" s="41"/>
      <c r="GXD17" s="41"/>
      <c r="GXE17" s="41"/>
      <c r="GXF17" s="41"/>
      <c r="GXG17" s="41"/>
      <c r="GXH17" s="41"/>
      <c r="GXI17" s="41"/>
      <c r="GXJ17" s="41"/>
      <c r="GXK17" s="41"/>
      <c r="GXL17" s="41"/>
      <c r="GXM17" s="41"/>
      <c r="GXN17" s="41"/>
      <c r="GXO17" s="41"/>
      <c r="GXP17" s="41"/>
      <c r="GXQ17" s="41"/>
      <c r="GXR17" s="41"/>
      <c r="GXS17" s="41"/>
      <c r="GXT17" s="41"/>
      <c r="GXU17" s="41"/>
      <c r="GXV17" s="41"/>
      <c r="GXW17" s="41"/>
      <c r="GXX17" s="41"/>
      <c r="GXY17" s="41"/>
      <c r="GXZ17" s="41"/>
      <c r="GYA17" s="41"/>
      <c r="GYB17" s="41"/>
      <c r="GYC17" s="41"/>
      <c r="GYD17" s="41"/>
      <c r="GYE17" s="41"/>
      <c r="GYF17" s="41"/>
      <c r="GYG17" s="41"/>
      <c r="GYH17" s="41"/>
      <c r="GYI17" s="41"/>
      <c r="GYJ17" s="41"/>
      <c r="GYK17" s="41"/>
      <c r="GYL17" s="41"/>
      <c r="GYM17" s="41"/>
      <c r="GYN17" s="41"/>
      <c r="GYO17" s="41"/>
      <c r="GYP17" s="41"/>
      <c r="GYQ17" s="41"/>
      <c r="GYR17" s="41"/>
      <c r="GYS17" s="41"/>
      <c r="GYT17" s="41"/>
      <c r="GYU17" s="41"/>
      <c r="GYV17" s="41"/>
      <c r="GYW17" s="41"/>
      <c r="GYX17" s="41"/>
      <c r="GYY17" s="41"/>
      <c r="GYZ17" s="41"/>
      <c r="GZA17" s="41"/>
      <c r="GZB17" s="41"/>
      <c r="GZC17" s="41"/>
      <c r="GZD17" s="41"/>
      <c r="GZE17" s="41"/>
      <c r="GZF17" s="41"/>
      <c r="GZG17" s="41"/>
      <c r="GZH17" s="41"/>
      <c r="GZI17" s="41"/>
      <c r="GZJ17" s="41"/>
      <c r="GZK17" s="41"/>
      <c r="GZL17" s="41"/>
      <c r="GZM17" s="41"/>
      <c r="GZN17" s="41"/>
      <c r="GZO17" s="41"/>
      <c r="GZP17" s="41"/>
      <c r="GZQ17" s="41"/>
      <c r="GZR17" s="41"/>
      <c r="GZS17" s="41"/>
      <c r="GZT17" s="41"/>
      <c r="GZU17" s="41"/>
      <c r="GZV17" s="41"/>
      <c r="GZW17" s="41"/>
      <c r="GZX17" s="41"/>
      <c r="GZY17" s="41"/>
      <c r="GZZ17" s="41"/>
      <c r="HAA17" s="41"/>
      <c r="HAB17" s="41"/>
      <c r="HAC17" s="41"/>
      <c r="HAD17" s="41"/>
      <c r="HAE17" s="41"/>
      <c r="HAF17" s="41"/>
      <c r="HAG17" s="41"/>
      <c r="HAH17" s="41"/>
      <c r="HAI17" s="41"/>
      <c r="HAJ17" s="41"/>
      <c r="HAK17" s="41"/>
      <c r="HAL17" s="41"/>
      <c r="HAM17" s="41"/>
      <c r="HAN17" s="41"/>
      <c r="HAO17" s="41"/>
      <c r="HAP17" s="41"/>
      <c r="HAQ17" s="41"/>
      <c r="HAR17" s="41"/>
      <c r="HAS17" s="41"/>
      <c r="HAT17" s="41"/>
      <c r="HAU17" s="41"/>
      <c r="HAV17" s="41"/>
      <c r="HAW17" s="41"/>
      <c r="HAX17" s="41"/>
      <c r="HAY17" s="41"/>
      <c r="HAZ17" s="41"/>
      <c r="HBA17" s="41"/>
      <c r="HBB17" s="41"/>
      <c r="HBC17" s="41"/>
      <c r="HBD17" s="41"/>
      <c r="HBE17" s="41"/>
      <c r="HBF17" s="41"/>
      <c r="HBG17" s="41"/>
      <c r="HBH17" s="41"/>
      <c r="HBI17" s="41"/>
      <c r="HBJ17" s="41"/>
      <c r="HBK17" s="41"/>
      <c r="HBL17" s="41"/>
      <c r="HBM17" s="41"/>
      <c r="HBN17" s="41"/>
      <c r="HBO17" s="41"/>
      <c r="HBP17" s="41"/>
      <c r="HBQ17" s="41"/>
      <c r="HBR17" s="41"/>
      <c r="HBS17" s="41"/>
      <c r="HBT17" s="41"/>
      <c r="HBU17" s="41"/>
      <c r="HBV17" s="41"/>
      <c r="HBW17" s="41"/>
      <c r="HBX17" s="41"/>
      <c r="HBY17" s="41"/>
      <c r="HBZ17" s="41"/>
      <c r="HCA17" s="41"/>
      <c r="HCB17" s="41"/>
      <c r="HCC17" s="41"/>
      <c r="HCD17" s="41"/>
      <c r="HCE17" s="41"/>
      <c r="HCF17" s="41"/>
      <c r="HCG17" s="41"/>
      <c r="HCH17" s="41"/>
      <c r="HCI17" s="41"/>
      <c r="HCJ17" s="41"/>
      <c r="HCK17" s="41"/>
      <c r="HCL17" s="41"/>
      <c r="HCM17" s="41"/>
      <c r="HCN17" s="41"/>
      <c r="HCO17" s="41"/>
      <c r="HCP17" s="41"/>
      <c r="HCQ17" s="41"/>
      <c r="HCR17" s="41"/>
      <c r="HCS17" s="41"/>
      <c r="HCT17" s="41"/>
      <c r="HCU17" s="41"/>
      <c r="HCV17" s="41"/>
      <c r="HCW17" s="41"/>
      <c r="HCX17" s="41"/>
      <c r="HCY17" s="41"/>
      <c r="HCZ17" s="41"/>
      <c r="HDA17" s="41"/>
      <c r="HDB17" s="41"/>
      <c r="HDC17" s="41"/>
      <c r="HDD17" s="41"/>
      <c r="HDE17" s="41"/>
      <c r="HDF17" s="41"/>
      <c r="HDG17" s="41"/>
      <c r="HDH17" s="41"/>
      <c r="HDI17" s="41"/>
      <c r="HDJ17" s="41"/>
      <c r="HDK17" s="41"/>
      <c r="HDL17" s="41"/>
      <c r="HDM17" s="41"/>
      <c r="HDN17" s="41"/>
      <c r="HDO17" s="41"/>
      <c r="HDP17" s="41"/>
      <c r="HDQ17" s="41"/>
      <c r="HDR17" s="41"/>
      <c r="HDS17" s="41"/>
      <c r="HDT17" s="41"/>
      <c r="HDU17" s="41"/>
      <c r="HDV17" s="41"/>
      <c r="HDW17" s="41"/>
      <c r="HDX17" s="41"/>
      <c r="HDY17" s="41"/>
      <c r="HDZ17" s="41"/>
      <c r="HEA17" s="41"/>
      <c r="HEB17" s="41"/>
      <c r="HEC17" s="41"/>
      <c r="HED17" s="41"/>
      <c r="HEE17" s="41"/>
      <c r="HEF17" s="41"/>
      <c r="HEG17" s="41"/>
      <c r="HEH17" s="41"/>
      <c r="HEI17" s="41"/>
      <c r="HEJ17" s="41"/>
      <c r="HEK17" s="41"/>
      <c r="HEL17" s="41"/>
      <c r="HEM17" s="41"/>
      <c r="HEN17" s="41"/>
      <c r="HEO17" s="41"/>
      <c r="HEP17" s="41"/>
      <c r="HEQ17" s="41"/>
      <c r="HER17" s="41"/>
      <c r="HES17" s="41"/>
      <c r="HET17" s="41"/>
      <c r="HEU17" s="41"/>
      <c r="HEV17" s="41"/>
      <c r="HEW17" s="41"/>
      <c r="HEX17" s="41"/>
      <c r="HEY17" s="41"/>
      <c r="HEZ17" s="41"/>
      <c r="HFA17" s="41"/>
      <c r="HFB17" s="41"/>
      <c r="HFC17" s="41"/>
      <c r="HFD17" s="41"/>
      <c r="HFE17" s="41"/>
      <c r="HFF17" s="41"/>
      <c r="HFG17" s="41"/>
      <c r="HFH17" s="41"/>
      <c r="HFI17" s="41"/>
      <c r="HFJ17" s="41"/>
      <c r="HFK17" s="41"/>
      <c r="HFL17" s="41"/>
      <c r="HFM17" s="41"/>
      <c r="HFN17" s="41"/>
      <c r="HFO17" s="41"/>
      <c r="HFP17" s="41"/>
      <c r="HFQ17" s="41"/>
      <c r="HFR17" s="41"/>
      <c r="HFS17" s="41"/>
      <c r="HFT17" s="41"/>
      <c r="HFU17" s="41"/>
      <c r="HFV17" s="41"/>
      <c r="HFW17" s="41"/>
      <c r="HFX17" s="41"/>
      <c r="HFY17" s="41"/>
      <c r="HFZ17" s="41"/>
      <c r="HGA17" s="41"/>
      <c r="HGB17" s="41"/>
      <c r="HGC17" s="41"/>
      <c r="HGD17" s="41"/>
      <c r="HGE17" s="41"/>
      <c r="HGF17" s="41"/>
      <c r="HGG17" s="41"/>
      <c r="HGH17" s="41"/>
      <c r="HGI17" s="41"/>
      <c r="HGJ17" s="41"/>
      <c r="HGK17" s="41"/>
      <c r="HGL17" s="41"/>
      <c r="HGM17" s="41"/>
      <c r="HGN17" s="41"/>
      <c r="HGO17" s="41"/>
      <c r="HGP17" s="41"/>
      <c r="HGQ17" s="41"/>
      <c r="HGR17" s="41"/>
      <c r="HGS17" s="41"/>
      <c r="HGT17" s="41"/>
      <c r="HGU17" s="41"/>
      <c r="HGV17" s="41"/>
      <c r="HGW17" s="41"/>
      <c r="HGX17" s="41"/>
      <c r="HGY17" s="41"/>
      <c r="HGZ17" s="41"/>
      <c r="HHA17" s="41"/>
      <c r="HHB17" s="41"/>
      <c r="HHC17" s="41"/>
      <c r="HHD17" s="41"/>
      <c r="HHE17" s="41"/>
      <c r="HHF17" s="41"/>
      <c r="HHG17" s="41"/>
      <c r="HHH17" s="41"/>
      <c r="HHI17" s="41"/>
      <c r="HHJ17" s="41"/>
      <c r="HHK17" s="41"/>
      <c r="HHL17" s="41"/>
      <c r="HHM17" s="41"/>
      <c r="HHN17" s="41"/>
      <c r="HHO17" s="41"/>
      <c r="HHP17" s="41"/>
      <c r="HHQ17" s="41"/>
      <c r="HHR17" s="41"/>
      <c r="HHS17" s="41"/>
      <c r="HHT17" s="41"/>
      <c r="HHU17" s="41"/>
      <c r="HHV17" s="41"/>
      <c r="HHW17" s="41"/>
      <c r="HHX17" s="41"/>
      <c r="HHY17" s="41"/>
      <c r="HHZ17" s="41"/>
      <c r="HIA17" s="41"/>
      <c r="HIB17" s="41"/>
      <c r="HIC17" s="41"/>
      <c r="HID17" s="41"/>
      <c r="HIE17" s="41"/>
      <c r="HIF17" s="41"/>
      <c r="HIG17" s="41"/>
      <c r="HIH17" s="41"/>
      <c r="HII17" s="41"/>
      <c r="HIJ17" s="41"/>
      <c r="HIK17" s="41"/>
      <c r="HIL17" s="41"/>
      <c r="HIM17" s="41"/>
      <c r="HIN17" s="41"/>
      <c r="HIO17" s="41"/>
      <c r="HIP17" s="41"/>
      <c r="HIQ17" s="41"/>
      <c r="HIR17" s="41"/>
      <c r="HIS17" s="41"/>
      <c r="HIT17" s="41"/>
      <c r="HIU17" s="41"/>
      <c r="HIV17" s="41"/>
      <c r="HIW17" s="41"/>
      <c r="HIX17" s="41"/>
      <c r="HIY17" s="41"/>
      <c r="HIZ17" s="41"/>
      <c r="HJA17" s="41"/>
      <c r="HJB17" s="41"/>
      <c r="HJC17" s="41"/>
      <c r="HJD17" s="41"/>
      <c r="HJE17" s="41"/>
      <c r="HJF17" s="41"/>
      <c r="HJG17" s="41"/>
      <c r="HJH17" s="41"/>
      <c r="HJI17" s="41"/>
      <c r="HJJ17" s="41"/>
      <c r="HJK17" s="41"/>
      <c r="HJL17" s="41"/>
      <c r="HJM17" s="41"/>
      <c r="HJN17" s="41"/>
      <c r="HJO17" s="41"/>
      <c r="HJP17" s="41"/>
      <c r="HJQ17" s="41"/>
      <c r="HJR17" s="41"/>
      <c r="HJS17" s="41"/>
      <c r="HJT17" s="41"/>
      <c r="HJU17" s="41"/>
      <c r="HJV17" s="41"/>
      <c r="HJW17" s="41"/>
      <c r="HJX17" s="41"/>
      <c r="HJY17" s="41"/>
      <c r="HJZ17" s="41"/>
      <c r="HKA17" s="41"/>
      <c r="HKB17" s="41"/>
      <c r="HKC17" s="41"/>
      <c r="HKD17" s="41"/>
      <c r="HKE17" s="41"/>
      <c r="HKF17" s="41"/>
      <c r="HKG17" s="41"/>
      <c r="HKH17" s="41"/>
      <c r="HKI17" s="41"/>
      <c r="HKJ17" s="41"/>
      <c r="HKK17" s="41"/>
      <c r="HKL17" s="41"/>
      <c r="HKM17" s="41"/>
      <c r="HKN17" s="41"/>
      <c r="HKO17" s="41"/>
      <c r="HKP17" s="41"/>
      <c r="HKQ17" s="41"/>
      <c r="HKR17" s="41"/>
      <c r="HKS17" s="41"/>
      <c r="HKT17" s="41"/>
      <c r="HKU17" s="41"/>
      <c r="HKV17" s="41"/>
      <c r="HKW17" s="41"/>
      <c r="HKX17" s="41"/>
      <c r="HKY17" s="41"/>
      <c r="HKZ17" s="41"/>
      <c r="HLA17" s="41"/>
      <c r="HLB17" s="41"/>
      <c r="HLC17" s="41"/>
      <c r="HLD17" s="41"/>
      <c r="HLE17" s="41"/>
      <c r="HLF17" s="41"/>
      <c r="HLG17" s="41"/>
      <c r="HLH17" s="41"/>
      <c r="HLI17" s="41"/>
      <c r="HLJ17" s="41"/>
      <c r="HLK17" s="41"/>
      <c r="HLL17" s="41"/>
      <c r="HLM17" s="41"/>
      <c r="HLN17" s="41"/>
      <c r="HLO17" s="41"/>
      <c r="HLP17" s="41"/>
      <c r="HLQ17" s="41"/>
      <c r="HLR17" s="41"/>
      <c r="HLS17" s="41"/>
      <c r="HLT17" s="41"/>
      <c r="HLU17" s="41"/>
      <c r="HLV17" s="41"/>
      <c r="HLW17" s="41"/>
      <c r="HLX17" s="41"/>
      <c r="HLY17" s="41"/>
      <c r="HLZ17" s="41"/>
      <c r="HMA17" s="41"/>
      <c r="HMB17" s="41"/>
      <c r="HMC17" s="41"/>
      <c r="HMD17" s="41"/>
      <c r="HME17" s="41"/>
      <c r="HMF17" s="41"/>
      <c r="HMG17" s="41"/>
      <c r="HMH17" s="41"/>
      <c r="HMI17" s="41"/>
      <c r="HMJ17" s="41"/>
      <c r="HMK17" s="41"/>
      <c r="HML17" s="41"/>
      <c r="HMM17" s="41"/>
      <c r="HMN17" s="41"/>
      <c r="HMO17" s="41"/>
      <c r="HMP17" s="41"/>
      <c r="HMQ17" s="41"/>
      <c r="HMR17" s="41"/>
      <c r="HMS17" s="41"/>
      <c r="HMT17" s="41"/>
      <c r="HMU17" s="41"/>
      <c r="HMV17" s="41"/>
      <c r="HMW17" s="41"/>
      <c r="HMX17" s="41"/>
      <c r="HMY17" s="41"/>
      <c r="HMZ17" s="41"/>
      <c r="HNA17" s="41"/>
      <c r="HNB17" s="41"/>
      <c r="HNC17" s="41"/>
      <c r="HND17" s="41"/>
      <c r="HNE17" s="41"/>
      <c r="HNF17" s="41"/>
      <c r="HNG17" s="41"/>
      <c r="HNH17" s="41"/>
      <c r="HNI17" s="41"/>
      <c r="HNJ17" s="41"/>
      <c r="HNK17" s="41"/>
      <c r="HNL17" s="41"/>
      <c r="HNM17" s="41"/>
      <c r="HNN17" s="41"/>
      <c r="HNO17" s="41"/>
      <c r="HNP17" s="41"/>
      <c r="HNQ17" s="41"/>
      <c r="HNR17" s="41"/>
      <c r="HNS17" s="41"/>
      <c r="HNT17" s="41"/>
      <c r="HNU17" s="41"/>
      <c r="HNV17" s="41"/>
      <c r="HNW17" s="41"/>
      <c r="HNX17" s="41"/>
      <c r="HNY17" s="41"/>
      <c r="HNZ17" s="41"/>
      <c r="HOA17" s="41"/>
      <c r="HOB17" s="41"/>
      <c r="HOC17" s="41"/>
      <c r="HOD17" s="41"/>
      <c r="HOE17" s="41"/>
      <c r="HOF17" s="41"/>
      <c r="HOG17" s="41"/>
      <c r="HOH17" s="41"/>
      <c r="HOI17" s="41"/>
      <c r="HOJ17" s="41"/>
      <c r="HOK17" s="41"/>
      <c r="HOL17" s="41"/>
      <c r="HOM17" s="41"/>
      <c r="HON17" s="41"/>
      <c r="HOO17" s="41"/>
      <c r="HOP17" s="41"/>
      <c r="HOQ17" s="41"/>
      <c r="HOR17" s="41"/>
      <c r="HOS17" s="41"/>
      <c r="HOT17" s="41"/>
      <c r="HOU17" s="41"/>
      <c r="HOV17" s="41"/>
      <c r="HOW17" s="41"/>
      <c r="HOX17" s="41"/>
      <c r="HOY17" s="41"/>
      <c r="HOZ17" s="41"/>
      <c r="HPA17" s="41"/>
      <c r="HPB17" s="41"/>
      <c r="HPC17" s="41"/>
      <c r="HPD17" s="41"/>
      <c r="HPE17" s="41"/>
      <c r="HPF17" s="41"/>
      <c r="HPG17" s="41"/>
      <c r="HPH17" s="41"/>
      <c r="HPI17" s="41"/>
      <c r="HPJ17" s="41"/>
      <c r="HPK17" s="41"/>
      <c r="HPL17" s="41"/>
      <c r="HPM17" s="41"/>
      <c r="HPN17" s="41"/>
      <c r="HPO17" s="41"/>
      <c r="HPP17" s="41"/>
      <c r="HPQ17" s="41"/>
      <c r="HPR17" s="41"/>
      <c r="HPS17" s="41"/>
      <c r="HPT17" s="41"/>
      <c r="HPU17" s="41"/>
      <c r="HPV17" s="41"/>
      <c r="HPW17" s="41"/>
      <c r="HPX17" s="41"/>
      <c r="HPY17" s="41"/>
      <c r="HPZ17" s="41"/>
      <c r="HQA17" s="41"/>
      <c r="HQB17" s="41"/>
      <c r="HQC17" s="41"/>
      <c r="HQD17" s="41"/>
      <c r="HQE17" s="41"/>
      <c r="HQF17" s="41"/>
      <c r="HQG17" s="41"/>
      <c r="HQH17" s="41"/>
      <c r="HQI17" s="41"/>
      <c r="HQJ17" s="41"/>
      <c r="HQK17" s="41"/>
      <c r="HQL17" s="41"/>
      <c r="HQM17" s="41"/>
      <c r="HQN17" s="41"/>
      <c r="HQO17" s="41"/>
      <c r="HQP17" s="41"/>
      <c r="HQQ17" s="41"/>
      <c r="HQR17" s="41"/>
      <c r="HQS17" s="41"/>
      <c r="HQT17" s="41"/>
      <c r="HQU17" s="41"/>
      <c r="HQV17" s="41"/>
      <c r="HQW17" s="41"/>
      <c r="HQX17" s="41"/>
      <c r="HQY17" s="41"/>
      <c r="HQZ17" s="41"/>
      <c r="HRA17" s="41"/>
      <c r="HRB17" s="41"/>
      <c r="HRC17" s="41"/>
      <c r="HRD17" s="41"/>
      <c r="HRE17" s="41"/>
      <c r="HRF17" s="41"/>
      <c r="HRG17" s="41"/>
      <c r="HRH17" s="41"/>
      <c r="HRI17" s="41"/>
      <c r="HRJ17" s="41"/>
      <c r="HRK17" s="41"/>
      <c r="HRL17" s="41"/>
      <c r="HRM17" s="41"/>
      <c r="HRN17" s="41"/>
      <c r="HRO17" s="41"/>
      <c r="HRP17" s="41"/>
      <c r="HRQ17" s="41"/>
      <c r="HRR17" s="41"/>
      <c r="HRS17" s="41"/>
      <c r="HRT17" s="41"/>
      <c r="HRU17" s="41"/>
      <c r="HRV17" s="41"/>
      <c r="HRW17" s="41"/>
      <c r="HRX17" s="41"/>
      <c r="HRY17" s="41"/>
      <c r="HRZ17" s="41"/>
      <c r="HSA17" s="41"/>
      <c r="HSB17" s="41"/>
      <c r="HSC17" s="41"/>
      <c r="HSD17" s="41"/>
      <c r="HSE17" s="41"/>
      <c r="HSF17" s="41"/>
      <c r="HSG17" s="41"/>
      <c r="HSH17" s="41"/>
      <c r="HSI17" s="41"/>
      <c r="HSJ17" s="41"/>
      <c r="HSK17" s="41"/>
      <c r="HSL17" s="41"/>
      <c r="HSM17" s="41"/>
      <c r="HSN17" s="41"/>
      <c r="HSO17" s="41"/>
      <c r="HSP17" s="41"/>
      <c r="HSQ17" s="41"/>
      <c r="HSR17" s="41"/>
      <c r="HSS17" s="41"/>
      <c r="HST17" s="41"/>
      <c r="HSU17" s="41"/>
      <c r="HSV17" s="41"/>
      <c r="HSW17" s="41"/>
      <c r="HSX17" s="41"/>
      <c r="HSY17" s="41"/>
      <c r="HSZ17" s="41"/>
      <c r="HTA17" s="41"/>
      <c r="HTB17" s="41"/>
      <c r="HTC17" s="41"/>
      <c r="HTD17" s="41"/>
      <c r="HTE17" s="41"/>
      <c r="HTF17" s="41"/>
      <c r="HTG17" s="41"/>
      <c r="HTH17" s="41"/>
      <c r="HTI17" s="41"/>
      <c r="HTJ17" s="41"/>
      <c r="HTK17" s="41"/>
      <c r="HTL17" s="41"/>
      <c r="HTM17" s="41"/>
      <c r="HTN17" s="41"/>
      <c r="HTO17" s="41"/>
      <c r="HTP17" s="41"/>
      <c r="HTQ17" s="41"/>
      <c r="HTR17" s="41"/>
      <c r="HTS17" s="41"/>
      <c r="HTT17" s="41"/>
      <c r="HTU17" s="41"/>
      <c r="HTV17" s="41"/>
      <c r="HTW17" s="41"/>
      <c r="HTX17" s="41"/>
      <c r="HTY17" s="41"/>
      <c r="HTZ17" s="41"/>
      <c r="HUA17" s="41"/>
      <c r="HUB17" s="41"/>
      <c r="HUC17" s="41"/>
      <c r="HUD17" s="41"/>
      <c r="HUE17" s="41"/>
      <c r="HUF17" s="41"/>
      <c r="HUG17" s="41"/>
      <c r="HUH17" s="41"/>
      <c r="HUI17" s="41"/>
      <c r="HUJ17" s="41"/>
      <c r="HUK17" s="41"/>
      <c r="HUL17" s="41"/>
      <c r="HUM17" s="41"/>
      <c r="HUN17" s="41"/>
      <c r="HUO17" s="41"/>
      <c r="HUP17" s="41"/>
      <c r="HUQ17" s="41"/>
      <c r="HUR17" s="41"/>
      <c r="HUS17" s="41"/>
      <c r="HUT17" s="41"/>
      <c r="HUU17" s="41"/>
      <c r="HUV17" s="41"/>
      <c r="HUW17" s="41"/>
      <c r="HUX17" s="41"/>
      <c r="HUY17" s="41"/>
      <c r="HUZ17" s="41"/>
      <c r="HVA17" s="41"/>
      <c r="HVB17" s="41"/>
      <c r="HVC17" s="41"/>
      <c r="HVD17" s="41"/>
      <c r="HVE17" s="41"/>
      <c r="HVF17" s="41"/>
      <c r="HVG17" s="41"/>
      <c r="HVH17" s="41"/>
      <c r="HVI17" s="41"/>
      <c r="HVJ17" s="41"/>
      <c r="HVK17" s="41"/>
      <c r="HVL17" s="41"/>
      <c r="HVM17" s="41"/>
      <c r="HVN17" s="41"/>
      <c r="HVO17" s="41"/>
      <c r="HVP17" s="41"/>
      <c r="HVQ17" s="41"/>
      <c r="HVR17" s="41"/>
      <c r="HVS17" s="41"/>
      <c r="HVT17" s="41"/>
      <c r="HVU17" s="41"/>
      <c r="HVV17" s="41"/>
      <c r="HVW17" s="41"/>
      <c r="HVX17" s="41"/>
      <c r="HVY17" s="41"/>
      <c r="HVZ17" s="41"/>
      <c r="HWA17" s="41"/>
      <c r="HWB17" s="41"/>
      <c r="HWC17" s="41"/>
      <c r="HWD17" s="41"/>
      <c r="HWE17" s="41"/>
      <c r="HWF17" s="41"/>
      <c r="HWG17" s="41"/>
      <c r="HWH17" s="41"/>
      <c r="HWI17" s="41"/>
      <c r="HWJ17" s="41"/>
      <c r="HWK17" s="41"/>
      <c r="HWL17" s="41"/>
      <c r="HWM17" s="41"/>
      <c r="HWN17" s="41"/>
      <c r="HWO17" s="41"/>
      <c r="HWP17" s="41"/>
      <c r="HWQ17" s="41"/>
      <c r="HWR17" s="41"/>
      <c r="HWS17" s="41"/>
      <c r="HWT17" s="41"/>
      <c r="HWU17" s="41"/>
      <c r="HWV17" s="41"/>
      <c r="HWW17" s="41"/>
      <c r="HWX17" s="41"/>
      <c r="HWY17" s="41"/>
      <c r="HWZ17" s="41"/>
      <c r="HXA17" s="41"/>
      <c r="HXB17" s="41"/>
      <c r="HXC17" s="41"/>
      <c r="HXD17" s="41"/>
      <c r="HXE17" s="41"/>
      <c r="HXF17" s="41"/>
      <c r="HXG17" s="41"/>
      <c r="HXH17" s="41"/>
      <c r="HXI17" s="41"/>
      <c r="HXJ17" s="41"/>
      <c r="HXK17" s="41"/>
      <c r="HXL17" s="41"/>
      <c r="HXM17" s="41"/>
      <c r="HXN17" s="41"/>
      <c r="HXO17" s="41"/>
      <c r="HXP17" s="41"/>
      <c r="HXQ17" s="41"/>
      <c r="HXR17" s="41"/>
      <c r="HXS17" s="41"/>
      <c r="HXT17" s="41"/>
      <c r="HXU17" s="41"/>
      <c r="HXV17" s="41"/>
      <c r="HXW17" s="41"/>
      <c r="HXX17" s="41"/>
      <c r="HXY17" s="41"/>
      <c r="HXZ17" s="41"/>
      <c r="HYA17" s="41"/>
      <c r="HYB17" s="41"/>
      <c r="HYC17" s="41"/>
      <c r="HYD17" s="41"/>
      <c r="HYE17" s="41"/>
      <c r="HYF17" s="41"/>
      <c r="HYG17" s="41"/>
      <c r="HYH17" s="41"/>
      <c r="HYI17" s="41"/>
      <c r="HYJ17" s="41"/>
      <c r="HYK17" s="41"/>
      <c r="HYL17" s="41"/>
      <c r="HYM17" s="41"/>
      <c r="HYN17" s="41"/>
      <c r="HYO17" s="41"/>
      <c r="HYP17" s="41"/>
      <c r="HYQ17" s="41"/>
      <c r="HYR17" s="41"/>
      <c r="HYS17" s="41"/>
      <c r="HYT17" s="41"/>
      <c r="HYU17" s="41"/>
      <c r="HYV17" s="41"/>
      <c r="HYW17" s="41"/>
      <c r="HYX17" s="41"/>
      <c r="HYY17" s="41"/>
      <c r="HYZ17" s="41"/>
      <c r="HZA17" s="41"/>
      <c r="HZB17" s="41"/>
      <c r="HZC17" s="41"/>
      <c r="HZD17" s="41"/>
      <c r="HZE17" s="41"/>
      <c r="HZF17" s="41"/>
      <c r="HZG17" s="41"/>
      <c r="HZH17" s="41"/>
      <c r="HZI17" s="41"/>
      <c r="HZJ17" s="41"/>
      <c r="HZK17" s="41"/>
      <c r="HZL17" s="41"/>
      <c r="HZM17" s="41"/>
      <c r="HZN17" s="41"/>
      <c r="HZO17" s="41"/>
      <c r="HZP17" s="41"/>
      <c r="HZQ17" s="41"/>
      <c r="HZR17" s="41"/>
      <c r="HZS17" s="41"/>
      <c r="HZT17" s="41"/>
      <c r="HZU17" s="41"/>
      <c r="HZV17" s="41"/>
      <c r="HZW17" s="41"/>
      <c r="HZX17" s="41"/>
      <c r="HZY17" s="41"/>
      <c r="HZZ17" s="41"/>
      <c r="IAA17" s="41"/>
      <c r="IAB17" s="41"/>
      <c r="IAC17" s="41"/>
      <c r="IAD17" s="41"/>
      <c r="IAE17" s="41"/>
      <c r="IAF17" s="41"/>
      <c r="IAG17" s="41"/>
      <c r="IAH17" s="41"/>
      <c r="IAI17" s="41"/>
      <c r="IAJ17" s="41"/>
      <c r="IAK17" s="41"/>
      <c r="IAL17" s="41"/>
      <c r="IAM17" s="41"/>
      <c r="IAN17" s="41"/>
      <c r="IAO17" s="41"/>
      <c r="IAP17" s="41"/>
      <c r="IAQ17" s="41"/>
      <c r="IAR17" s="41"/>
      <c r="IAS17" s="41"/>
      <c r="IAT17" s="41"/>
      <c r="IAU17" s="41"/>
      <c r="IAV17" s="41"/>
      <c r="IAW17" s="41"/>
      <c r="IAX17" s="41"/>
      <c r="IAY17" s="41"/>
      <c r="IAZ17" s="41"/>
      <c r="IBA17" s="41"/>
      <c r="IBB17" s="41"/>
      <c r="IBC17" s="41"/>
      <c r="IBD17" s="41"/>
      <c r="IBE17" s="41"/>
      <c r="IBF17" s="41"/>
      <c r="IBG17" s="41"/>
      <c r="IBH17" s="41"/>
      <c r="IBI17" s="41"/>
      <c r="IBJ17" s="41"/>
      <c r="IBK17" s="41"/>
      <c r="IBL17" s="41"/>
      <c r="IBM17" s="41"/>
      <c r="IBN17" s="41"/>
      <c r="IBO17" s="41"/>
      <c r="IBP17" s="41"/>
      <c r="IBQ17" s="41"/>
      <c r="IBR17" s="41"/>
      <c r="IBS17" s="41"/>
      <c r="IBT17" s="41"/>
      <c r="IBU17" s="41"/>
      <c r="IBV17" s="41"/>
      <c r="IBW17" s="41"/>
      <c r="IBX17" s="41"/>
      <c r="IBY17" s="41"/>
      <c r="IBZ17" s="41"/>
      <c r="ICA17" s="41"/>
      <c r="ICB17" s="41"/>
      <c r="ICC17" s="41"/>
      <c r="ICD17" s="41"/>
      <c r="ICE17" s="41"/>
      <c r="ICF17" s="41"/>
      <c r="ICG17" s="41"/>
      <c r="ICH17" s="41"/>
      <c r="ICI17" s="41"/>
      <c r="ICJ17" s="41"/>
      <c r="ICK17" s="41"/>
      <c r="ICL17" s="41"/>
      <c r="ICM17" s="41"/>
      <c r="ICN17" s="41"/>
      <c r="ICO17" s="41"/>
      <c r="ICP17" s="41"/>
      <c r="ICQ17" s="41"/>
      <c r="ICR17" s="41"/>
      <c r="ICS17" s="41"/>
      <c r="ICT17" s="41"/>
      <c r="ICU17" s="41"/>
      <c r="ICV17" s="41"/>
      <c r="ICW17" s="41"/>
      <c r="ICX17" s="41"/>
      <c r="ICY17" s="41"/>
      <c r="ICZ17" s="41"/>
      <c r="IDA17" s="41"/>
      <c r="IDB17" s="41"/>
      <c r="IDC17" s="41"/>
      <c r="IDD17" s="41"/>
      <c r="IDE17" s="41"/>
      <c r="IDF17" s="41"/>
      <c r="IDG17" s="41"/>
      <c r="IDH17" s="41"/>
      <c r="IDI17" s="41"/>
      <c r="IDJ17" s="41"/>
      <c r="IDK17" s="41"/>
      <c r="IDL17" s="41"/>
      <c r="IDM17" s="41"/>
      <c r="IDN17" s="41"/>
      <c r="IDO17" s="41"/>
      <c r="IDP17" s="41"/>
      <c r="IDQ17" s="41"/>
      <c r="IDR17" s="41"/>
      <c r="IDS17" s="41"/>
      <c r="IDT17" s="41"/>
      <c r="IDU17" s="41"/>
      <c r="IDV17" s="41"/>
      <c r="IDW17" s="41"/>
      <c r="IDX17" s="41"/>
      <c r="IDY17" s="41"/>
      <c r="IDZ17" s="41"/>
      <c r="IEA17" s="41"/>
      <c r="IEB17" s="41"/>
      <c r="IEC17" s="41"/>
      <c r="IED17" s="41"/>
      <c r="IEE17" s="41"/>
      <c r="IEF17" s="41"/>
      <c r="IEG17" s="41"/>
      <c r="IEH17" s="41"/>
      <c r="IEI17" s="41"/>
      <c r="IEJ17" s="41"/>
      <c r="IEK17" s="41"/>
      <c r="IEL17" s="41"/>
      <c r="IEM17" s="41"/>
      <c r="IEN17" s="41"/>
      <c r="IEO17" s="41"/>
      <c r="IEP17" s="41"/>
      <c r="IEQ17" s="41"/>
      <c r="IER17" s="41"/>
      <c r="IES17" s="41"/>
      <c r="IET17" s="41"/>
      <c r="IEU17" s="41"/>
      <c r="IEV17" s="41"/>
      <c r="IEW17" s="41"/>
      <c r="IEX17" s="41"/>
      <c r="IEY17" s="41"/>
      <c r="IEZ17" s="41"/>
      <c r="IFA17" s="41"/>
      <c r="IFB17" s="41"/>
      <c r="IFC17" s="41"/>
      <c r="IFD17" s="41"/>
      <c r="IFE17" s="41"/>
      <c r="IFF17" s="41"/>
      <c r="IFG17" s="41"/>
      <c r="IFH17" s="41"/>
      <c r="IFI17" s="41"/>
      <c r="IFJ17" s="41"/>
      <c r="IFK17" s="41"/>
      <c r="IFL17" s="41"/>
      <c r="IFM17" s="41"/>
      <c r="IFN17" s="41"/>
      <c r="IFO17" s="41"/>
      <c r="IFP17" s="41"/>
      <c r="IFQ17" s="41"/>
      <c r="IFR17" s="41"/>
      <c r="IFS17" s="41"/>
      <c r="IFT17" s="41"/>
      <c r="IFU17" s="41"/>
      <c r="IFV17" s="41"/>
      <c r="IFW17" s="41"/>
      <c r="IFX17" s="41"/>
      <c r="IFY17" s="41"/>
      <c r="IFZ17" s="41"/>
      <c r="IGA17" s="41"/>
      <c r="IGB17" s="41"/>
      <c r="IGC17" s="41"/>
      <c r="IGD17" s="41"/>
      <c r="IGE17" s="41"/>
      <c r="IGF17" s="41"/>
      <c r="IGG17" s="41"/>
      <c r="IGH17" s="41"/>
      <c r="IGI17" s="41"/>
      <c r="IGJ17" s="41"/>
      <c r="IGK17" s="41"/>
      <c r="IGL17" s="41"/>
      <c r="IGM17" s="41"/>
      <c r="IGN17" s="41"/>
      <c r="IGO17" s="41"/>
      <c r="IGP17" s="41"/>
      <c r="IGQ17" s="41"/>
      <c r="IGR17" s="41"/>
      <c r="IGS17" s="41"/>
      <c r="IGT17" s="41"/>
      <c r="IGU17" s="41"/>
      <c r="IGV17" s="41"/>
      <c r="IGW17" s="41"/>
      <c r="IGX17" s="41"/>
      <c r="IGY17" s="41"/>
      <c r="IGZ17" s="41"/>
      <c r="IHA17" s="41"/>
      <c r="IHB17" s="41"/>
      <c r="IHC17" s="41"/>
      <c r="IHD17" s="41"/>
      <c r="IHE17" s="41"/>
      <c r="IHF17" s="41"/>
      <c r="IHG17" s="41"/>
      <c r="IHH17" s="41"/>
      <c r="IHI17" s="41"/>
      <c r="IHJ17" s="41"/>
      <c r="IHK17" s="41"/>
      <c r="IHL17" s="41"/>
      <c r="IHM17" s="41"/>
      <c r="IHN17" s="41"/>
      <c r="IHO17" s="41"/>
      <c r="IHP17" s="41"/>
      <c r="IHQ17" s="41"/>
      <c r="IHR17" s="41"/>
      <c r="IHS17" s="41"/>
      <c r="IHT17" s="41"/>
      <c r="IHU17" s="41"/>
      <c r="IHV17" s="41"/>
      <c r="IHW17" s="41"/>
      <c r="IHX17" s="41"/>
      <c r="IHY17" s="41"/>
      <c r="IHZ17" s="41"/>
      <c r="IIA17" s="41"/>
      <c r="IIB17" s="41"/>
      <c r="IIC17" s="41"/>
      <c r="IID17" s="41"/>
      <c r="IIE17" s="41"/>
      <c r="IIF17" s="41"/>
      <c r="IIG17" s="41"/>
      <c r="IIH17" s="41"/>
      <c r="III17" s="41"/>
      <c r="IIJ17" s="41"/>
      <c r="IIK17" s="41"/>
      <c r="IIL17" s="41"/>
      <c r="IIM17" s="41"/>
      <c r="IIN17" s="41"/>
      <c r="IIO17" s="41"/>
      <c r="IIP17" s="41"/>
      <c r="IIQ17" s="41"/>
      <c r="IIR17" s="41"/>
      <c r="IIS17" s="41"/>
      <c r="IIT17" s="41"/>
      <c r="IIU17" s="41"/>
      <c r="IIV17" s="41"/>
      <c r="IIW17" s="41"/>
      <c r="IIX17" s="41"/>
      <c r="IIY17" s="41"/>
      <c r="IIZ17" s="41"/>
      <c r="IJA17" s="41"/>
      <c r="IJB17" s="41"/>
      <c r="IJC17" s="41"/>
      <c r="IJD17" s="41"/>
      <c r="IJE17" s="41"/>
      <c r="IJF17" s="41"/>
      <c r="IJG17" s="41"/>
      <c r="IJH17" s="41"/>
      <c r="IJI17" s="41"/>
      <c r="IJJ17" s="41"/>
      <c r="IJK17" s="41"/>
      <c r="IJL17" s="41"/>
      <c r="IJM17" s="41"/>
      <c r="IJN17" s="41"/>
      <c r="IJO17" s="41"/>
      <c r="IJP17" s="41"/>
      <c r="IJQ17" s="41"/>
      <c r="IJR17" s="41"/>
      <c r="IJS17" s="41"/>
      <c r="IJT17" s="41"/>
      <c r="IJU17" s="41"/>
      <c r="IJV17" s="41"/>
      <c r="IJW17" s="41"/>
      <c r="IJX17" s="41"/>
      <c r="IJY17" s="41"/>
      <c r="IJZ17" s="41"/>
      <c r="IKA17" s="41"/>
      <c r="IKB17" s="41"/>
      <c r="IKC17" s="41"/>
      <c r="IKD17" s="41"/>
      <c r="IKE17" s="41"/>
      <c r="IKF17" s="41"/>
      <c r="IKG17" s="41"/>
      <c r="IKH17" s="41"/>
      <c r="IKI17" s="41"/>
      <c r="IKJ17" s="41"/>
      <c r="IKK17" s="41"/>
      <c r="IKL17" s="41"/>
      <c r="IKM17" s="41"/>
      <c r="IKN17" s="41"/>
      <c r="IKO17" s="41"/>
      <c r="IKP17" s="41"/>
      <c r="IKQ17" s="41"/>
      <c r="IKR17" s="41"/>
      <c r="IKS17" s="41"/>
      <c r="IKT17" s="41"/>
      <c r="IKU17" s="41"/>
      <c r="IKV17" s="41"/>
      <c r="IKW17" s="41"/>
      <c r="IKX17" s="41"/>
      <c r="IKY17" s="41"/>
      <c r="IKZ17" s="41"/>
      <c r="ILA17" s="41"/>
      <c r="ILB17" s="41"/>
      <c r="ILC17" s="41"/>
      <c r="ILD17" s="41"/>
      <c r="ILE17" s="41"/>
      <c r="ILF17" s="41"/>
      <c r="ILG17" s="41"/>
      <c r="ILH17" s="41"/>
      <c r="ILI17" s="41"/>
      <c r="ILJ17" s="41"/>
      <c r="ILK17" s="41"/>
      <c r="ILL17" s="41"/>
      <c r="ILM17" s="41"/>
      <c r="ILN17" s="41"/>
      <c r="ILO17" s="41"/>
      <c r="ILP17" s="41"/>
      <c r="ILQ17" s="41"/>
      <c r="ILR17" s="41"/>
      <c r="ILS17" s="41"/>
      <c r="ILT17" s="41"/>
      <c r="ILU17" s="41"/>
      <c r="ILV17" s="41"/>
      <c r="ILW17" s="41"/>
      <c r="ILX17" s="41"/>
      <c r="ILY17" s="41"/>
      <c r="ILZ17" s="41"/>
      <c r="IMA17" s="41"/>
      <c r="IMB17" s="41"/>
      <c r="IMC17" s="41"/>
      <c r="IMD17" s="41"/>
      <c r="IME17" s="41"/>
      <c r="IMF17" s="41"/>
      <c r="IMG17" s="41"/>
      <c r="IMH17" s="41"/>
      <c r="IMI17" s="41"/>
      <c r="IMJ17" s="41"/>
      <c r="IMK17" s="41"/>
      <c r="IML17" s="41"/>
      <c r="IMM17" s="41"/>
      <c r="IMN17" s="41"/>
      <c r="IMO17" s="41"/>
      <c r="IMP17" s="41"/>
      <c r="IMQ17" s="41"/>
      <c r="IMR17" s="41"/>
      <c r="IMS17" s="41"/>
      <c r="IMT17" s="41"/>
      <c r="IMU17" s="41"/>
      <c r="IMV17" s="41"/>
      <c r="IMW17" s="41"/>
      <c r="IMX17" s="41"/>
      <c r="IMY17" s="41"/>
      <c r="IMZ17" s="41"/>
      <c r="INA17" s="41"/>
      <c r="INB17" s="41"/>
      <c r="INC17" s="41"/>
      <c r="IND17" s="41"/>
      <c r="INE17" s="41"/>
      <c r="INF17" s="41"/>
      <c r="ING17" s="41"/>
      <c r="INH17" s="41"/>
      <c r="INI17" s="41"/>
      <c r="INJ17" s="41"/>
      <c r="INK17" s="41"/>
      <c r="INL17" s="41"/>
      <c r="INM17" s="41"/>
      <c r="INN17" s="41"/>
      <c r="INO17" s="41"/>
      <c r="INP17" s="41"/>
      <c r="INQ17" s="41"/>
      <c r="INR17" s="41"/>
      <c r="INS17" s="41"/>
      <c r="INT17" s="41"/>
      <c r="INU17" s="41"/>
      <c r="INV17" s="41"/>
      <c r="INW17" s="41"/>
      <c r="INX17" s="41"/>
      <c r="INY17" s="41"/>
      <c r="INZ17" s="41"/>
      <c r="IOA17" s="41"/>
      <c r="IOB17" s="41"/>
      <c r="IOC17" s="41"/>
      <c r="IOD17" s="41"/>
      <c r="IOE17" s="41"/>
      <c r="IOF17" s="41"/>
      <c r="IOG17" s="41"/>
      <c r="IOH17" s="41"/>
      <c r="IOI17" s="41"/>
      <c r="IOJ17" s="41"/>
      <c r="IOK17" s="41"/>
      <c r="IOL17" s="41"/>
      <c r="IOM17" s="41"/>
      <c r="ION17" s="41"/>
      <c r="IOO17" s="41"/>
      <c r="IOP17" s="41"/>
      <c r="IOQ17" s="41"/>
      <c r="IOR17" s="41"/>
      <c r="IOS17" s="41"/>
      <c r="IOT17" s="41"/>
      <c r="IOU17" s="41"/>
      <c r="IOV17" s="41"/>
      <c r="IOW17" s="41"/>
      <c r="IOX17" s="41"/>
      <c r="IOY17" s="41"/>
      <c r="IOZ17" s="41"/>
      <c r="IPA17" s="41"/>
      <c r="IPB17" s="41"/>
      <c r="IPC17" s="41"/>
      <c r="IPD17" s="41"/>
      <c r="IPE17" s="41"/>
      <c r="IPF17" s="41"/>
      <c r="IPG17" s="41"/>
      <c r="IPH17" s="41"/>
      <c r="IPI17" s="41"/>
      <c r="IPJ17" s="41"/>
      <c r="IPK17" s="41"/>
      <c r="IPL17" s="41"/>
      <c r="IPM17" s="41"/>
      <c r="IPN17" s="41"/>
      <c r="IPO17" s="41"/>
      <c r="IPP17" s="41"/>
      <c r="IPQ17" s="41"/>
      <c r="IPR17" s="41"/>
      <c r="IPS17" s="41"/>
      <c r="IPT17" s="41"/>
      <c r="IPU17" s="41"/>
      <c r="IPV17" s="41"/>
      <c r="IPW17" s="41"/>
      <c r="IPX17" s="41"/>
      <c r="IPY17" s="41"/>
      <c r="IPZ17" s="41"/>
      <c r="IQA17" s="41"/>
      <c r="IQB17" s="41"/>
      <c r="IQC17" s="41"/>
      <c r="IQD17" s="41"/>
      <c r="IQE17" s="41"/>
      <c r="IQF17" s="41"/>
      <c r="IQG17" s="41"/>
      <c r="IQH17" s="41"/>
      <c r="IQI17" s="41"/>
      <c r="IQJ17" s="41"/>
      <c r="IQK17" s="41"/>
      <c r="IQL17" s="41"/>
      <c r="IQM17" s="41"/>
      <c r="IQN17" s="41"/>
      <c r="IQO17" s="41"/>
      <c r="IQP17" s="41"/>
      <c r="IQQ17" s="41"/>
      <c r="IQR17" s="41"/>
      <c r="IQS17" s="41"/>
      <c r="IQT17" s="41"/>
      <c r="IQU17" s="41"/>
      <c r="IQV17" s="41"/>
      <c r="IQW17" s="41"/>
      <c r="IQX17" s="41"/>
      <c r="IQY17" s="41"/>
      <c r="IQZ17" s="41"/>
      <c r="IRA17" s="41"/>
      <c r="IRB17" s="41"/>
      <c r="IRC17" s="41"/>
      <c r="IRD17" s="41"/>
      <c r="IRE17" s="41"/>
      <c r="IRF17" s="41"/>
      <c r="IRG17" s="41"/>
      <c r="IRH17" s="41"/>
      <c r="IRI17" s="41"/>
      <c r="IRJ17" s="41"/>
      <c r="IRK17" s="41"/>
      <c r="IRL17" s="41"/>
      <c r="IRM17" s="41"/>
      <c r="IRN17" s="41"/>
      <c r="IRO17" s="41"/>
      <c r="IRP17" s="41"/>
      <c r="IRQ17" s="41"/>
      <c r="IRR17" s="41"/>
      <c r="IRS17" s="41"/>
      <c r="IRT17" s="41"/>
      <c r="IRU17" s="41"/>
      <c r="IRV17" s="41"/>
      <c r="IRW17" s="41"/>
      <c r="IRX17" s="41"/>
      <c r="IRY17" s="41"/>
      <c r="IRZ17" s="41"/>
      <c r="ISA17" s="41"/>
      <c r="ISB17" s="41"/>
      <c r="ISC17" s="41"/>
      <c r="ISD17" s="41"/>
      <c r="ISE17" s="41"/>
      <c r="ISF17" s="41"/>
      <c r="ISG17" s="41"/>
      <c r="ISH17" s="41"/>
      <c r="ISI17" s="41"/>
      <c r="ISJ17" s="41"/>
      <c r="ISK17" s="41"/>
      <c r="ISL17" s="41"/>
      <c r="ISM17" s="41"/>
      <c r="ISN17" s="41"/>
      <c r="ISO17" s="41"/>
      <c r="ISP17" s="41"/>
      <c r="ISQ17" s="41"/>
      <c r="ISR17" s="41"/>
      <c r="ISS17" s="41"/>
      <c r="IST17" s="41"/>
      <c r="ISU17" s="41"/>
      <c r="ISV17" s="41"/>
      <c r="ISW17" s="41"/>
      <c r="ISX17" s="41"/>
      <c r="ISY17" s="41"/>
      <c r="ISZ17" s="41"/>
      <c r="ITA17" s="41"/>
      <c r="ITB17" s="41"/>
      <c r="ITC17" s="41"/>
      <c r="ITD17" s="41"/>
      <c r="ITE17" s="41"/>
      <c r="ITF17" s="41"/>
      <c r="ITG17" s="41"/>
      <c r="ITH17" s="41"/>
      <c r="ITI17" s="41"/>
      <c r="ITJ17" s="41"/>
      <c r="ITK17" s="41"/>
      <c r="ITL17" s="41"/>
      <c r="ITM17" s="41"/>
      <c r="ITN17" s="41"/>
      <c r="ITO17" s="41"/>
      <c r="ITP17" s="41"/>
      <c r="ITQ17" s="41"/>
      <c r="ITR17" s="41"/>
      <c r="ITS17" s="41"/>
      <c r="ITT17" s="41"/>
      <c r="ITU17" s="41"/>
      <c r="ITV17" s="41"/>
      <c r="ITW17" s="41"/>
      <c r="ITX17" s="41"/>
      <c r="ITY17" s="41"/>
      <c r="ITZ17" s="41"/>
      <c r="IUA17" s="41"/>
      <c r="IUB17" s="41"/>
      <c r="IUC17" s="41"/>
      <c r="IUD17" s="41"/>
      <c r="IUE17" s="41"/>
      <c r="IUF17" s="41"/>
      <c r="IUG17" s="41"/>
      <c r="IUH17" s="41"/>
      <c r="IUI17" s="41"/>
      <c r="IUJ17" s="41"/>
      <c r="IUK17" s="41"/>
      <c r="IUL17" s="41"/>
      <c r="IUM17" s="41"/>
      <c r="IUN17" s="41"/>
      <c r="IUO17" s="41"/>
      <c r="IUP17" s="41"/>
      <c r="IUQ17" s="41"/>
      <c r="IUR17" s="41"/>
      <c r="IUS17" s="41"/>
      <c r="IUT17" s="41"/>
      <c r="IUU17" s="41"/>
      <c r="IUV17" s="41"/>
      <c r="IUW17" s="41"/>
      <c r="IUX17" s="41"/>
      <c r="IUY17" s="41"/>
      <c r="IUZ17" s="41"/>
      <c r="IVA17" s="41"/>
      <c r="IVB17" s="41"/>
      <c r="IVC17" s="41"/>
      <c r="IVD17" s="41"/>
      <c r="IVE17" s="41"/>
      <c r="IVF17" s="41"/>
      <c r="IVG17" s="41"/>
      <c r="IVH17" s="41"/>
      <c r="IVI17" s="41"/>
      <c r="IVJ17" s="41"/>
      <c r="IVK17" s="41"/>
      <c r="IVL17" s="41"/>
      <c r="IVM17" s="41"/>
      <c r="IVN17" s="41"/>
      <c r="IVO17" s="41"/>
      <c r="IVP17" s="41"/>
      <c r="IVQ17" s="41"/>
      <c r="IVR17" s="41"/>
      <c r="IVS17" s="41"/>
      <c r="IVT17" s="41"/>
      <c r="IVU17" s="41"/>
      <c r="IVV17" s="41"/>
      <c r="IVW17" s="41"/>
      <c r="IVX17" s="41"/>
      <c r="IVY17" s="41"/>
      <c r="IVZ17" s="41"/>
      <c r="IWA17" s="41"/>
      <c r="IWB17" s="41"/>
      <c r="IWC17" s="41"/>
      <c r="IWD17" s="41"/>
      <c r="IWE17" s="41"/>
      <c r="IWF17" s="41"/>
      <c r="IWG17" s="41"/>
      <c r="IWH17" s="41"/>
      <c r="IWI17" s="41"/>
      <c r="IWJ17" s="41"/>
      <c r="IWK17" s="41"/>
      <c r="IWL17" s="41"/>
      <c r="IWM17" s="41"/>
      <c r="IWN17" s="41"/>
      <c r="IWO17" s="41"/>
      <c r="IWP17" s="41"/>
      <c r="IWQ17" s="41"/>
      <c r="IWR17" s="41"/>
      <c r="IWS17" s="41"/>
      <c r="IWT17" s="41"/>
      <c r="IWU17" s="41"/>
      <c r="IWV17" s="41"/>
      <c r="IWW17" s="41"/>
      <c r="IWX17" s="41"/>
      <c r="IWY17" s="41"/>
      <c r="IWZ17" s="41"/>
      <c r="IXA17" s="41"/>
      <c r="IXB17" s="41"/>
      <c r="IXC17" s="41"/>
      <c r="IXD17" s="41"/>
      <c r="IXE17" s="41"/>
      <c r="IXF17" s="41"/>
      <c r="IXG17" s="41"/>
      <c r="IXH17" s="41"/>
      <c r="IXI17" s="41"/>
      <c r="IXJ17" s="41"/>
      <c r="IXK17" s="41"/>
      <c r="IXL17" s="41"/>
      <c r="IXM17" s="41"/>
      <c r="IXN17" s="41"/>
      <c r="IXO17" s="41"/>
      <c r="IXP17" s="41"/>
      <c r="IXQ17" s="41"/>
      <c r="IXR17" s="41"/>
      <c r="IXS17" s="41"/>
      <c r="IXT17" s="41"/>
      <c r="IXU17" s="41"/>
      <c r="IXV17" s="41"/>
      <c r="IXW17" s="41"/>
      <c r="IXX17" s="41"/>
      <c r="IXY17" s="41"/>
      <c r="IXZ17" s="41"/>
      <c r="IYA17" s="41"/>
      <c r="IYB17" s="41"/>
      <c r="IYC17" s="41"/>
      <c r="IYD17" s="41"/>
      <c r="IYE17" s="41"/>
      <c r="IYF17" s="41"/>
      <c r="IYG17" s="41"/>
      <c r="IYH17" s="41"/>
      <c r="IYI17" s="41"/>
      <c r="IYJ17" s="41"/>
      <c r="IYK17" s="41"/>
      <c r="IYL17" s="41"/>
      <c r="IYM17" s="41"/>
      <c r="IYN17" s="41"/>
      <c r="IYO17" s="41"/>
      <c r="IYP17" s="41"/>
      <c r="IYQ17" s="41"/>
      <c r="IYR17" s="41"/>
      <c r="IYS17" s="41"/>
      <c r="IYT17" s="41"/>
      <c r="IYU17" s="41"/>
      <c r="IYV17" s="41"/>
      <c r="IYW17" s="41"/>
      <c r="IYX17" s="41"/>
      <c r="IYY17" s="41"/>
      <c r="IYZ17" s="41"/>
      <c r="IZA17" s="41"/>
      <c r="IZB17" s="41"/>
      <c r="IZC17" s="41"/>
      <c r="IZD17" s="41"/>
      <c r="IZE17" s="41"/>
      <c r="IZF17" s="41"/>
      <c r="IZG17" s="41"/>
      <c r="IZH17" s="41"/>
      <c r="IZI17" s="41"/>
      <c r="IZJ17" s="41"/>
      <c r="IZK17" s="41"/>
      <c r="IZL17" s="41"/>
      <c r="IZM17" s="41"/>
      <c r="IZN17" s="41"/>
      <c r="IZO17" s="41"/>
      <c r="IZP17" s="41"/>
      <c r="IZQ17" s="41"/>
      <c r="IZR17" s="41"/>
      <c r="IZS17" s="41"/>
      <c r="IZT17" s="41"/>
      <c r="IZU17" s="41"/>
      <c r="IZV17" s="41"/>
      <c r="IZW17" s="41"/>
      <c r="IZX17" s="41"/>
      <c r="IZY17" s="41"/>
      <c r="IZZ17" s="41"/>
      <c r="JAA17" s="41"/>
      <c r="JAB17" s="41"/>
      <c r="JAC17" s="41"/>
      <c r="JAD17" s="41"/>
      <c r="JAE17" s="41"/>
      <c r="JAF17" s="41"/>
      <c r="JAG17" s="41"/>
      <c r="JAH17" s="41"/>
      <c r="JAI17" s="41"/>
      <c r="JAJ17" s="41"/>
      <c r="JAK17" s="41"/>
      <c r="JAL17" s="41"/>
      <c r="JAM17" s="41"/>
      <c r="JAN17" s="41"/>
      <c r="JAO17" s="41"/>
      <c r="JAP17" s="41"/>
      <c r="JAQ17" s="41"/>
      <c r="JAR17" s="41"/>
      <c r="JAS17" s="41"/>
      <c r="JAT17" s="41"/>
      <c r="JAU17" s="41"/>
      <c r="JAV17" s="41"/>
      <c r="JAW17" s="41"/>
      <c r="JAX17" s="41"/>
      <c r="JAY17" s="41"/>
      <c r="JAZ17" s="41"/>
      <c r="JBA17" s="41"/>
      <c r="JBB17" s="41"/>
      <c r="JBC17" s="41"/>
      <c r="JBD17" s="41"/>
      <c r="JBE17" s="41"/>
      <c r="JBF17" s="41"/>
      <c r="JBG17" s="41"/>
      <c r="JBH17" s="41"/>
      <c r="JBI17" s="41"/>
      <c r="JBJ17" s="41"/>
      <c r="JBK17" s="41"/>
      <c r="JBL17" s="41"/>
      <c r="JBM17" s="41"/>
      <c r="JBN17" s="41"/>
      <c r="JBO17" s="41"/>
      <c r="JBP17" s="41"/>
      <c r="JBQ17" s="41"/>
      <c r="JBR17" s="41"/>
      <c r="JBS17" s="41"/>
      <c r="JBT17" s="41"/>
      <c r="JBU17" s="41"/>
      <c r="JBV17" s="41"/>
      <c r="JBW17" s="41"/>
      <c r="JBX17" s="41"/>
      <c r="JBY17" s="41"/>
      <c r="JBZ17" s="41"/>
      <c r="JCA17" s="41"/>
      <c r="JCB17" s="41"/>
      <c r="JCC17" s="41"/>
      <c r="JCD17" s="41"/>
      <c r="JCE17" s="41"/>
      <c r="JCF17" s="41"/>
      <c r="JCG17" s="41"/>
      <c r="JCH17" s="41"/>
      <c r="JCI17" s="41"/>
      <c r="JCJ17" s="41"/>
      <c r="JCK17" s="41"/>
      <c r="JCL17" s="41"/>
      <c r="JCM17" s="41"/>
      <c r="JCN17" s="41"/>
      <c r="JCO17" s="41"/>
      <c r="JCP17" s="41"/>
      <c r="JCQ17" s="41"/>
      <c r="JCR17" s="41"/>
      <c r="JCS17" s="41"/>
      <c r="JCT17" s="41"/>
      <c r="JCU17" s="41"/>
      <c r="JCV17" s="41"/>
      <c r="JCW17" s="41"/>
      <c r="JCX17" s="41"/>
      <c r="JCY17" s="41"/>
      <c r="JCZ17" s="41"/>
      <c r="JDA17" s="41"/>
      <c r="JDB17" s="41"/>
      <c r="JDC17" s="41"/>
      <c r="JDD17" s="41"/>
      <c r="JDE17" s="41"/>
      <c r="JDF17" s="41"/>
      <c r="JDG17" s="41"/>
      <c r="JDH17" s="41"/>
      <c r="JDI17" s="41"/>
      <c r="JDJ17" s="41"/>
      <c r="JDK17" s="41"/>
      <c r="JDL17" s="41"/>
      <c r="JDM17" s="41"/>
      <c r="JDN17" s="41"/>
      <c r="JDO17" s="41"/>
      <c r="JDP17" s="41"/>
      <c r="JDQ17" s="41"/>
      <c r="JDR17" s="41"/>
      <c r="JDS17" s="41"/>
      <c r="JDT17" s="41"/>
      <c r="JDU17" s="41"/>
      <c r="JDV17" s="41"/>
      <c r="JDW17" s="41"/>
      <c r="JDX17" s="41"/>
      <c r="JDY17" s="41"/>
      <c r="JDZ17" s="41"/>
      <c r="JEA17" s="41"/>
      <c r="JEB17" s="41"/>
      <c r="JEC17" s="41"/>
      <c r="JED17" s="41"/>
      <c r="JEE17" s="41"/>
      <c r="JEF17" s="41"/>
      <c r="JEG17" s="41"/>
      <c r="JEH17" s="41"/>
      <c r="JEI17" s="41"/>
      <c r="JEJ17" s="41"/>
      <c r="JEK17" s="41"/>
      <c r="JEL17" s="41"/>
      <c r="JEM17" s="41"/>
      <c r="JEN17" s="41"/>
      <c r="JEO17" s="41"/>
      <c r="JEP17" s="41"/>
      <c r="JEQ17" s="41"/>
      <c r="JER17" s="41"/>
      <c r="JES17" s="41"/>
      <c r="JET17" s="41"/>
      <c r="JEU17" s="41"/>
      <c r="JEV17" s="41"/>
      <c r="JEW17" s="41"/>
      <c r="JEX17" s="41"/>
      <c r="JEY17" s="41"/>
      <c r="JEZ17" s="41"/>
      <c r="JFA17" s="41"/>
      <c r="JFB17" s="41"/>
      <c r="JFC17" s="41"/>
      <c r="JFD17" s="41"/>
      <c r="JFE17" s="41"/>
      <c r="JFF17" s="41"/>
      <c r="JFG17" s="41"/>
      <c r="JFH17" s="41"/>
      <c r="JFI17" s="41"/>
      <c r="JFJ17" s="41"/>
      <c r="JFK17" s="41"/>
      <c r="JFL17" s="41"/>
      <c r="JFM17" s="41"/>
      <c r="JFN17" s="41"/>
      <c r="JFO17" s="41"/>
      <c r="JFP17" s="41"/>
      <c r="JFQ17" s="41"/>
      <c r="JFR17" s="41"/>
      <c r="JFS17" s="41"/>
      <c r="JFT17" s="41"/>
      <c r="JFU17" s="41"/>
      <c r="JFV17" s="41"/>
      <c r="JFW17" s="41"/>
      <c r="JFX17" s="41"/>
      <c r="JFY17" s="41"/>
      <c r="JFZ17" s="41"/>
      <c r="JGA17" s="41"/>
      <c r="JGB17" s="41"/>
      <c r="JGC17" s="41"/>
      <c r="JGD17" s="41"/>
      <c r="JGE17" s="41"/>
      <c r="JGF17" s="41"/>
      <c r="JGG17" s="41"/>
      <c r="JGH17" s="41"/>
      <c r="JGI17" s="41"/>
      <c r="JGJ17" s="41"/>
      <c r="JGK17" s="41"/>
      <c r="JGL17" s="41"/>
      <c r="JGM17" s="41"/>
      <c r="JGN17" s="41"/>
      <c r="JGO17" s="41"/>
      <c r="JGP17" s="41"/>
      <c r="JGQ17" s="41"/>
      <c r="JGR17" s="41"/>
      <c r="JGS17" s="41"/>
      <c r="JGT17" s="41"/>
      <c r="JGU17" s="41"/>
      <c r="JGV17" s="41"/>
      <c r="JGW17" s="41"/>
      <c r="JGX17" s="41"/>
      <c r="JGY17" s="41"/>
      <c r="JGZ17" s="41"/>
      <c r="JHA17" s="41"/>
      <c r="JHB17" s="41"/>
      <c r="JHC17" s="41"/>
      <c r="JHD17" s="41"/>
      <c r="JHE17" s="41"/>
      <c r="JHF17" s="41"/>
      <c r="JHG17" s="41"/>
      <c r="JHH17" s="41"/>
      <c r="JHI17" s="41"/>
      <c r="JHJ17" s="41"/>
      <c r="JHK17" s="41"/>
      <c r="JHL17" s="41"/>
      <c r="JHM17" s="41"/>
      <c r="JHN17" s="41"/>
      <c r="JHO17" s="41"/>
      <c r="JHP17" s="41"/>
      <c r="JHQ17" s="41"/>
      <c r="JHR17" s="41"/>
      <c r="JHS17" s="41"/>
      <c r="JHT17" s="41"/>
      <c r="JHU17" s="41"/>
      <c r="JHV17" s="41"/>
      <c r="JHW17" s="41"/>
      <c r="JHX17" s="41"/>
      <c r="JHY17" s="41"/>
      <c r="JHZ17" s="41"/>
      <c r="JIA17" s="41"/>
      <c r="JIB17" s="41"/>
      <c r="JIC17" s="41"/>
      <c r="JID17" s="41"/>
      <c r="JIE17" s="41"/>
      <c r="JIF17" s="41"/>
      <c r="JIG17" s="41"/>
      <c r="JIH17" s="41"/>
      <c r="JII17" s="41"/>
      <c r="JIJ17" s="41"/>
      <c r="JIK17" s="41"/>
      <c r="JIL17" s="41"/>
      <c r="JIM17" s="41"/>
      <c r="JIN17" s="41"/>
      <c r="JIO17" s="41"/>
      <c r="JIP17" s="41"/>
      <c r="JIQ17" s="41"/>
      <c r="JIR17" s="41"/>
      <c r="JIS17" s="41"/>
      <c r="JIT17" s="41"/>
      <c r="JIU17" s="41"/>
      <c r="JIV17" s="41"/>
      <c r="JIW17" s="41"/>
      <c r="JIX17" s="41"/>
      <c r="JIY17" s="41"/>
      <c r="JIZ17" s="41"/>
      <c r="JJA17" s="41"/>
      <c r="JJB17" s="41"/>
      <c r="JJC17" s="41"/>
      <c r="JJD17" s="41"/>
      <c r="JJE17" s="41"/>
      <c r="JJF17" s="41"/>
      <c r="JJG17" s="41"/>
      <c r="JJH17" s="41"/>
      <c r="JJI17" s="41"/>
      <c r="JJJ17" s="41"/>
      <c r="JJK17" s="41"/>
      <c r="JJL17" s="41"/>
      <c r="JJM17" s="41"/>
      <c r="JJN17" s="41"/>
      <c r="JJO17" s="41"/>
      <c r="JJP17" s="41"/>
      <c r="JJQ17" s="41"/>
      <c r="JJR17" s="41"/>
      <c r="JJS17" s="41"/>
      <c r="JJT17" s="41"/>
      <c r="JJU17" s="41"/>
      <c r="JJV17" s="41"/>
      <c r="JJW17" s="41"/>
      <c r="JJX17" s="41"/>
      <c r="JJY17" s="41"/>
      <c r="JJZ17" s="41"/>
      <c r="JKA17" s="41"/>
      <c r="JKB17" s="41"/>
      <c r="JKC17" s="41"/>
      <c r="JKD17" s="41"/>
      <c r="JKE17" s="41"/>
      <c r="JKF17" s="41"/>
      <c r="JKG17" s="41"/>
      <c r="JKH17" s="41"/>
      <c r="JKI17" s="41"/>
      <c r="JKJ17" s="41"/>
      <c r="JKK17" s="41"/>
      <c r="JKL17" s="41"/>
      <c r="JKM17" s="41"/>
      <c r="JKN17" s="41"/>
      <c r="JKO17" s="41"/>
      <c r="JKP17" s="41"/>
      <c r="JKQ17" s="41"/>
      <c r="JKR17" s="41"/>
      <c r="JKS17" s="41"/>
      <c r="JKT17" s="41"/>
      <c r="JKU17" s="41"/>
      <c r="JKV17" s="41"/>
      <c r="JKW17" s="41"/>
      <c r="JKX17" s="41"/>
      <c r="JKY17" s="41"/>
      <c r="JKZ17" s="41"/>
      <c r="JLA17" s="41"/>
      <c r="JLB17" s="41"/>
      <c r="JLC17" s="41"/>
      <c r="JLD17" s="41"/>
      <c r="JLE17" s="41"/>
      <c r="JLF17" s="41"/>
      <c r="JLG17" s="41"/>
      <c r="JLH17" s="41"/>
      <c r="JLI17" s="41"/>
      <c r="JLJ17" s="41"/>
      <c r="JLK17" s="41"/>
      <c r="JLL17" s="41"/>
      <c r="JLM17" s="41"/>
      <c r="JLN17" s="41"/>
      <c r="JLO17" s="41"/>
      <c r="JLP17" s="41"/>
      <c r="JLQ17" s="41"/>
      <c r="JLR17" s="41"/>
      <c r="JLS17" s="41"/>
      <c r="JLT17" s="41"/>
      <c r="JLU17" s="41"/>
      <c r="JLV17" s="41"/>
      <c r="JLW17" s="41"/>
      <c r="JLX17" s="41"/>
      <c r="JLY17" s="41"/>
      <c r="JLZ17" s="41"/>
      <c r="JMA17" s="41"/>
      <c r="JMB17" s="41"/>
      <c r="JMC17" s="41"/>
      <c r="JMD17" s="41"/>
      <c r="JME17" s="41"/>
      <c r="JMF17" s="41"/>
      <c r="JMG17" s="41"/>
      <c r="JMH17" s="41"/>
      <c r="JMI17" s="41"/>
      <c r="JMJ17" s="41"/>
      <c r="JMK17" s="41"/>
      <c r="JML17" s="41"/>
      <c r="JMM17" s="41"/>
      <c r="JMN17" s="41"/>
      <c r="JMO17" s="41"/>
      <c r="JMP17" s="41"/>
      <c r="JMQ17" s="41"/>
      <c r="JMR17" s="41"/>
      <c r="JMS17" s="41"/>
      <c r="JMT17" s="41"/>
      <c r="JMU17" s="41"/>
      <c r="JMV17" s="41"/>
      <c r="JMW17" s="41"/>
      <c r="JMX17" s="41"/>
      <c r="JMY17" s="41"/>
      <c r="JMZ17" s="41"/>
      <c r="JNA17" s="41"/>
      <c r="JNB17" s="41"/>
      <c r="JNC17" s="41"/>
      <c r="JND17" s="41"/>
      <c r="JNE17" s="41"/>
      <c r="JNF17" s="41"/>
      <c r="JNG17" s="41"/>
      <c r="JNH17" s="41"/>
      <c r="JNI17" s="41"/>
      <c r="JNJ17" s="41"/>
      <c r="JNK17" s="41"/>
      <c r="JNL17" s="41"/>
      <c r="JNM17" s="41"/>
      <c r="JNN17" s="41"/>
      <c r="JNO17" s="41"/>
      <c r="JNP17" s="41"/>
      <c r="JNQ17" s="41"/>
      <c r="JNR17" s="41"/>
      <c r="JNS17" s="41"/>
      <c r="JNT17" s="41"/>
      <c r="JNU17" s="41"/>
      <c r="JNV17" s="41"/>
      <c r="JNW17" s="41"/>
      <c r="JNX17" s="41"/>
      <c r="JNY17" s="41"/>
      <c r="JNZ17" s="41"/>
      <c r="JOA17" s="41"/>
      <c r="JOB17" s="41"/>
      <c r="JOC17" s="41"/>
      <c r="JOD17" s="41"/>
      <c r="JOE17" s="41"/>
      <c r="JOF17" s="41"/>
      <c r="JOG17" s="41"/>
      <c r="JOH17" s="41"/>
      <c r="JOI17" s="41"/>
      <c r="JOJ17" s="41"/>
      <c r="JOK17" s="41"/>
      <c r="JOL17" s="41"/>
      <c r="JOM17" s="41"/>
      <c r="JON17" s="41"/>
      <c r="JOO17" s="41"/>
      <c r="JOP17" s="41"/>
      <c r="JOQ17" s="41"/>
      <c r="JOR17" s="41"/>
      <c r="JOS17" s="41"/>
      <c r="JOT17" s="41"/>
      <c r="JOU17" s="41"/>
      <c r="JOV17" s="41"/>
      <c r="JOW17" s="41"/>
      <c r="JOX17" s="41"/>
      <c r="JOY17" s="41"/>
      <c r="JOZ17" s="41"/>
      <c r="JPA17" s="41"/>
      <c r="JPB17" s="41"/>
      <c r="JPC17" s="41"/>
      <c r="JPD17" s="41"/>
      <c r="JPE17" s="41"/>
      <c r="JPF17" s="41"/>
      <c r="JPG17" s="41"/>
      <c r="JPH17" s="41"/>
      <c r="JPI17" s="41"/>
      <c r="JPJ17" s="41"/>
      <c r="JPK17" s="41"/>
      <c r="JPL17" s="41"/>
      <c r="JPM17" s="41"/>
      <c r="JPN17" s="41"/>
      <c r="JPO17" s="41"/>
      <c r="JPP17" s="41"/>
      <c r="JPQ17" s="41"/>
      <c r="JPR17" s="41"/>
      <c r="JPS17" s="41"/>
      <c r="JPT17" s="41"/>
      <c r="JPU17" s="41"/>
      <c r="JPV17" s="41"/>
      <c r="JPW17" s="41"/>
      <c r="JPX17" s="41"/>
      <c r="JPY17" s="41"/>
      <c r="JPZ17" s="41"/>
      <c r="JQA17" s="41"/>
      <c r="JQB17" s="41"/>
      <c r="JQC17" s="41"/>
      <c r="JQD17" s="41"/>
      <c r="JQE17" s="41"/>
      <c r="JQF17" s="41"/>
      <c r="JQG17" s="41"/>
      <c r="JQH17" s="41"/>
      <c r="JQI17" s="41"/>
      <c r="JQJ17" s="41"/>
      <c r="JQK17" s="41"/>
      <c r="JQL17" s="41"/>
      <c r="JQM17" s="41"/>
      <c r="JQN17" s="41"/>
      <c r="JQO17" s="41"/>
      <c r="JQP17" s="41"/>
      <c r="JQQ17" s="41"/>
      <c r="JQR17" s="41"/>
      <c r="JQS17" s="41"/>
      <c r="JQT17" s="41"/>
      <c r="JQU17" s="41"/>
      <c r="JQV17" s="41"/>
      <c r="JQW17" s="41"/>
      <c r="JQX17" s="41"/>
      <c r="JQY17" s="41"/>
      <c r="JQZ17" s="41"/>
      <c r="JRA17" s="41"/>
      <c r="JRB17" s="41"/>
      <c r="JRC17" s="41"/>
      <c r="JRD17" s="41"/>
      <c r="JRE17" s="41"/>
      <c r="JRF17" s="41"/>
      <c r="JRG17" s="41"/>
      <c r="JRH17" s="41"/>
      <c r="JRI17" s="41"/>
      <c r="JRJ17" s="41"/>
      <c r="JRK17" s="41"/>
      <c r="JRL17" s="41"/>
      <c r="JRM17" s="41"/>
      <c r="JRN17" s="41"/>
      <c r="JRO17" s="41"/>
      <c r="JRP17" s="41"/>
      <c r="JRQ17" s="41"/>
      <c r="JRR17" s="41"/>
      <c r="JRS17" s="41"/>
      <c r="JRT17" s="41"/>
      <c r="JRU17" s="41"/>
      <c r="JRV17" s="41"/>
      <c r="JRW17" s="41"/>
      <c r="JRX17" s="41"/>
      <c r="JRY17" s="41"/>
      <c r="JRZ17" s="41"/>
      <c r="JSA17" s="41"/>
      <c r="JSB17" s="41"/>
      <c r="JSC17" s="41"/>
      <c r="JSD17" s="41"/>
      <c r="JSE17" s="41"/>
      <c r="JSF17" s="41"/>
      <c r="JSG17" s="41"/>
      <c r="JSH17" s="41"/>
      <c r="JSI17" s="41"/>
      <c r="JSJ17" s="41"/>
      <c r="JSK17" s="41"/>
      <c r="JSL17" s="41"/>
      <c r="JSM17" s="41"/>
      <c r="JSN17" s="41"/>
      <c r="JSO17" s="41"/>
      <c r="JSP17" s="41"/>
      <c r="JSQ17" s="41"/>
      <c r="JSR17" s="41"/>
      <c r="JSS17" s="41"/>
      <c r="JST17" s="41"/>
      <c r="JSU17" s="41"/>
      <c r="JSV17" s="41"/>
      <c r="JSW17" s="41"/>
      <c r="JSX17" s="41"/>
      <c r="JSY17" s="41"/>
      <c r="JSZ17" s="41"/>
      <c r="JTA17" s="41"/>
      <c r="JTB17" s="41"/>
      <c r="JTC17" s="41"/>
      <c r="JTD17" s="41"/>
      <c r="JTE17" s="41"/>
      <c r="JTF17" s="41"/>
      <c r="JTG17" s="41"/>
      <c r="JTH17" s="41"/>
      <c r="JTI17" s="41"/>
      <c r="JTJ17" s="41"/>
      <c r="JTK17" s="41"/>
      <c r="JTL17" s="41"/>
      <c r="JTM17" s="41"/>
      <c r="JTN17" s="41"/>
      <c r="JTO17" s="41"/>
      <c r="JTP17" s="41"/>
      <c r="JTQ17" s="41"/>
      <c r="JTR17" s="41"/>
      <c r="JTS17" s="41"/>
      <c r="JTT17" s="41"/>
      <c r="JTU17" s="41"/>
      <c r="JTV17" s="41"/>
      <c r="JTW17" s="41"/>
      <c r="JTX17" s="41"/>
      <c r="JTY17" s="41"/>
      <c r="JTZ17" s="41"/>
      <c r="JUA17" s="41"/>
      <c r="JUB17" s="41"/>
      <c r="JUC17" s="41"/>
      <c r="JUD17" s="41"/>
      <c r="JUE17" s="41"/>
      <c r="JUF17" s="41"/>
      <c r="JUG17" s="41"/>
      <c r="JUH17" s="41"/>
      <c r="JUI17" s="41"/>
      <c r="JUJ17" s="41"/>
      <c r="JUK17" s="41"/>
      <c r="JUL17" s="41"/>
      <c r="JUM17" s="41"/>
      <c r="JUN17" s="41"/>
      <c r="JUO17" s="41"/>
      <c r="JUP17" s="41"/>
      <c r="JUQ17" s="41"/>
      <c r="JUR17" s="41"/>
      <c r="JUS17" s="41"/>
      <c r="JUT17" s="41"/>
      <c r="JUU17" s="41"/>
      <c r="JUV17" s="41"/>
      <c r="JUW17" s="41"/>
      <c r="JUX17" s="41"/>
      <c r="JUY17" s="41"/>
      <c r="JUZ17" s="41"/>
      <c r="JVA17" s="41"/>
      <c r="JVB17" s="41"/>
      <c r="JVC17" s="41"/>
      <c r="JVD17" s="41"/>
      <c r="JVE17" s="41"/>
      <c r="JVF17" s="41"/>
      <c r="JVG17" s="41"/>
      <c r="JVH17" s="41"/>
      <c r="JVI17" s="41"/>
      <c r="JVJ17" s="41"/>
      <c r="JVK17" s="41"/>
      <c r="JVL17" s="41"/>
      <c r="JVM17" s="41"/>
      <c r="JVN17" s="41"/>
      <c r="JVO17" s="41"/>
      <c r="JVP17" s="41"/>
      <c r="JVQ17" s="41"/>
      <c r="JVR17" s="41"/>
      <c r="JVS17" s="41"/>
      <c r="JVT17" s="41"/>
      <c r="JVU17" s="41"/>
      <c r="JVV17" s="41"/>
      <c r="JVW17" s="41"/>
      <c r="JVX17" s="41"/>
      <c r="JVY17" s="41"/>
      <c r="JVZ17" s="41"/>
      <c r="JWA17" s="41"/>
      <c r="JWB17" s="41"/>
      <c r="JWC17" s="41"/>
      <c r="JWD17" s="41"/>
      <c r="JWE17" s="41"/>
      <c r="JWF17" s="41"/>
      <c r="JWG17" s="41"/>
      <c r="JWH17" s="41"/>
      <c r="JWI17" s="41"/>
      <c r="JWJ17" s="41"/>
      <c r="JWK17" s="41"/>
      <c r="JWL17" s="41"/>
      <c r="JWM17" s="41"/>
      <c r="JWN17" s="41"/>
      <c r="JWO17" s="41"/>
      <c r="JWP17" s="41"/>
      <c r="JWQ17" s="41"/>
      <c r="JWR17" s="41"/>
      <c r="JWS17" s="41"/>
      <c r="JWT17" s="41"/>
      <c r="JWU17" s="41"/>
      <c r="JWV17" s="41"/>
      <c r="JWW17" s="41"/>
      <c r="JWX17" s="41"/>
      <c r="JWY17" s="41"/>
      <c r="JWZ17" s="41"/>
      <c r="JXA17" s="41"/>
      <c r="JXB17" s="41"/>
      <c r="JXC17" s="41"/>
      <c r="JXD17" s="41"/>
      <c r="JXE17" s="41"/>
      <c r="JXF17" s="41"/>
      <c r="JXG17" s="41"/>
      <c r="JXH17" s="41"/>
      <c r="JXI17" s="41"/>
      <c r="JXJ17" s="41"/>
      <c r="JXK17" s="41"/>
      <c r="JXL17" s="41"/>
      <c r="JXM17" s="41"/>
      <c r="JXN17" s="41"/>
      <c r="JXO17" s="41"/>
      <c r="JXP17" s="41"/>
      <c r="JXQ17" s="41"/>
      <c r="JXR17" s="41"/>
      <c r="JXS17" s="41"/>
      <c r="JXT17" s="41"/>
      <c r="JXU17" s="41"/>
      <c r="JXV17" s="41"/>
      <c r="JXW17" s="41"/>
      <c r="JXX17" s="41"/>
      <c r="JXY17" s="41"/>
      <c r="JXZ17" s="41"/>
      <c r="JYA17" s="41"/>
      <c r="JYB17" s="41"/>
      <c r="JYC17" s="41"/>
      <c r="JYD17" s="41"/>
      <c r="JYE17" s="41"/>
      <c r="JYF17" s="41"/>
      <c r="JYG17" s="41"/>
      <c r="JYH17" s="41"/>
      <c r="JYI17" s="41"/>
      <c r="JYJ17" s="41"/>
      <c r="JYK17" s="41"/>
      <c r="JYL17" s="41"/>
      <c r="JYM17" s="41"/>
      <c r="JYN17" s="41"/>
      <c r="JYO17" s="41"/>
      <c r="JYP17" s="41"/>
      <c r="JYQ17" s="41"/>
      <c r="JYR17" s="41"/>
      <c r="JYS17" s="41"/>
      <c r="JYT17" s="41"/>
      <c r="JYU17" s="41"/>
      <c r="JYV17" s="41"/>
      <c r="JYW17" s="41"/>
      <c r="JYX17" s="41"/>
      <c r="JYY17" s="41"/>
      <c r="JYZ17" s="41"/>
      <c r="JZA17" s="41"/>
      <c r="JZB17" s="41"/>
      <c r="JZC17" s="41"/>
      <c r="JZD17" s="41"/>
      <c r="JZE17" s="41"/>
      <c r="JZF17" s="41"/>
      <c r="JZG17" s="41"/>
      <c r="JZH17" s="41"/>
      <c r="JZI17" s="41"/>
      <c r="JZJ17" s="41"/>
      <c r="JZK17" s="41"/>
      <c r="JZL17" s="41"/>
      <c r="JZM17" s="41"/>
      <c r="JZN17" s="41"/>
      <c r="JZO17" s="41"/>
      <c r="JZP17" s="41"/>
      <c r="JZQ17" s="41"/>
      <c r="JZR17" s="41"/>
      <c r="JZS17" s="41"/>
      <c r="JZT17" s="41"/>
      <c r="JZU17" s="41"/>
      <c r="JZV17" s="41"/>
      <c r="JZW17" s="41"/>
      <c r="JZX17" s="41"/>
      <c r="JZY17" s="41"/>
      <c r="JZZ17" s="41"/>
      <c r="KAA17" s="41"/>
      <c r="KAB17" s="41"/>
      <c r="KAC17" s="41"/>
      <c r="KAD17" s="41"/>
      <c r="KAE17" s="41"/>
      <c r="KAF17" s="41"/>
      <c r="KAG17" s="41"/>
      <c r="KAH17" s="41"/>
      <c r="KAI17" s="41"/>
      <c r="KAJ17" s="41"/>
      <c r="KAK17" s="41"/>
      <c r="KAL17" s="41"/>
      <c r="KAM17" s="41"/>
      <c r="KAN17" s="41"/>
      <c r="KAO17" s="41"/>
      <c r="KAP17" s="41"/>
      <c r="KAQ17" s="41"/>
      <c r="KAR17" s="41"/>
      <c r="KAS17" s="41"/>
      <c r="KAT17" s="41"/>
      <c r="KAU17" s="41"/>
      <c r="KAV17" s="41"/>
      <c r="KAW17" s="41"/>
      <c r="KAX17" s="41"/>
      <c r="KAY17" s="41"/>
      <c r="KAZ17" s="41"/>
      <c r="KBA17" s="41"/>
      <c r="KBB17" s="41"/>
      <c r="KBC17" s="41"/>
      <c r="KBD17" s="41"/>
      <c r="KBE17" s="41"/>
      <c r="KBF17" s="41"/>
      <c r="KBG17" s="41"/>
      <c r="KBH17" s="41"/>
      <c r="KBI17" s="41"/>
      <c r="KBJ17" s="41"/>
      <c r="KBK17" s="41"/>
      <c r="KBL17" s="41"/>
      <c r="KBM17" s="41"/>
      <c r="KBN17" s="41"/>
      <c r="KBO17" s="41"/>
      <c r="KBP17" s="41"/>
      <c r="KBQ17" s="41"/>
      <c r="KBR17" s="41"/>
      <c r="KBS17" s="41"/>
      <c r="KBT17" s="41"/>
      <c r="KBU17" s="41"/>
      <c r="KBV17" s="41"/>
      <c r="KBW17" s="41"/>
      <c r="KBX17" s="41"/>
      <c r="KBY17" s="41"/>
      <c r="KBZ17" s="41"/>
      <c r="KCA17" s="41"/>
      <c r="KCB17" s="41"/>
      <c r="KCC17" s="41"/>
      <c r="KCD17" s="41"/>
      <c r="KCE17" s="41"/>
      <c r="KCF17" s="41"/>
      <c r="KCG17" s="41"/>
      <c r="KCH17" s="41"/>
      <c r="KCI17" s="41"/>
      <c r="KCJ17" s="41"/>
      <c r="KCK17" s="41"/>
      <c r="KCL17" s="41"/>
      <c r="KCM17" s="41"/>
      <c r="KCN17" s="41"/>
      <c r="KCO17" s="41"/>
      <c r="KCP17" s="41"/>
      <c r="KCQ17" s="41"/>
      <c r="KCR17" s="41"/>
      <c r="KCS17" s="41"/>
      <c r="KCT17" s="41"/>
      <c r="KCU17" s="41"/>
      <c r="KCV17" s="41"/>
      <c r="KCW17" s="41"/>
      <c r="KCX17" s="41"/>
      <c r="KCY17" s="41"/>
      <c r="KCZ17" s="41"/>
      <c r="KDA17" s="41"/>
      <c r="KDB17" s="41"/>
      <c r="KDC17" s="41"/>
      <c r="KDD17" s="41"/>
      <c r="KDE17" s="41"/>
      <c r="KDF17" s="41"/>
      <c r="KDG17" s="41"/>
      <c r="KDH17" s="41"/>
      <c r="KDI17" s="41"/>
      <c r="KDJ17" s="41"/>
      <c r="KDK17" s="41"/>
      <c r="KDL17" s="41"/>
      <c r="KDM17" s="41"/>
      <c r="KDN17" s="41"/>
      <c r="KDO17" s="41"/>
      <c r="KDP17" s="41"/>
      <c r="KDQ17" s="41"/>
      <c r="KDR17" s="41"/>
      <c r="KDS17" s="41"/>
      <c r="KDT17" s="41"/>
      <c r="KDU17" s="41"/>
      <c r="KDV17" s="41"/>
      <c r="KDW17" s="41"/>
      <c r="KDX17" s="41"/>
      <c r="KDY17" s="41"/>
      <c r="KDZ17" s="41"/>
      <c r="KEA17" s="41"/>
      <c r="KEB17" s="41"/>
      <c r="KEC17" s="41"/>
      <c r="KED17" s="41"/>
      <c r="KEE17" s="41"/>
      <c r="KEF17" s="41"/>
      <c r="KEG17" s="41"/>
      <c r="KEH17" s="41"/>
      <c r="KEI17" s="41"/>
      <c r="KEJ17" s="41"/>
      <c r="KEK17" s="41"/>
      <c r="KEL17" s="41"/>
      <c r="KEM17" s="41"/>
      <c r="KEN17" s="41"/>
      <c r="KEO17" s="41"/>
      <c r="KEP17" s="41"/>
      <c r="KEQ17" s="41"/>
      <c r="KER17" s="41"/>
      <c r="KES17" s="41"/>
      <c r="KET17" s="41"/>
      <c r="KEU17" s="41"/>
      <c r="KEV17" s="41"/>
      <c r="KEW17" s="41"/>
      <c r="KEX17" s="41"/>
      <c r="KEY17" s="41"/>
      <c r="KEZ17" s="41"/>
      <c r="KFA17" s="41"/>
      <c r="KFB17" s="41"/>
      <c r="KFC17" s="41"/>
      <c r="KFD17" s="41"/>
      <c r="KFE17" s="41"/>
      <c r="KFF17" s="41"/>
      <c r="KFG17" s="41"/>
      <c r="KFH17" s="41"/>
      <c r="KFI17" s="41"/>
      <c r="KFJ17" s="41"/>
      <c r="KFK17" s="41"/>
      <c r="KFL17" s="41"/>
      <c r="KFM17" s="41"/>
      <c r="KFN17" s="41"/>
      <c r="KFO17" s="41"/>
      <c r="KFP17" s="41"/>
      <c r="KFQ17" s="41"/>
      <c r="KFR17" s="41"/>
      <c r="KFS17" s="41"/>
      <c r="KFT17" s="41"/>
      <c r="KFU17" s="41"/>
      <c r="KFV17" s="41"/>
      <c r="KFW17" s="41"/>
      <c r="KFX17" s="41"/>
      <c r="KFY17" s="41"/>
      <c r="KFZ17" s="41"/>
      <c r="KGA17" s="41"/>
      <c r="KGB17" s="41"/>
      <c r="KGC17" s="41"/>
      <c r="KGD17" s="41"/>
      <c r="KGE17" s="41"/>
      <c r="KGF17" s="41"/>
      <c r="KGG17" s="41"/>
      <c r="KGH17" s="41"/>
      <c r="KGI17" s="41"/>
      <c r="KGJ17" s="41"/>
      <c r="KGK17" s="41"/>
      <c r="KGL17" s="41"/>
      <c r="KGM17" s="41"/>
      <c r="KGN17" s="41"/>
      <c r="KGO17" s="41"/>
      <c r="KGP17" s="41"/>
      <c r="KGQ17" s="41"/>
      <c r="KGR17" s="41"/>
      <c r="KGS17" s="41"/>
      <c r="KGT17" s="41"/>
      <c r="KGU17" s="41"/>
      <c r="KGV17" s="41"/>
      <c r="KGW17" s="41"/>
      <c r="KGX17" s="41"/>
      <c r="KGY17" s="41"/>
      <c r="KGZ17" s="41"/>
      <c r="KHA17" s="41"/>
      <c r="KHB17" s="41"/>
      <c r="KHC17" s="41"/>
      <c r="KHD17" s="41"/>
      <c r="KHE17" s="41"/>
      <c r="KHF17" s="41"/>
      <c r="KHG17" s="41"/>
      <c r="KHH17" s="41"/>
      <c r="KHI17" s="41"/>
      <c r="KHJ17" s="41"/>
      <c r="KHK17" s="41"/>
      <c r="KHL17" s="41"/>
      <c r="KHM17" s="41"/>
      <c r="KHN17" s="41"/>
      <c r="KHO17" s="41"/>
      <c r="KHP17" s="41"/>
      <c r="KHQ17" s="41"/>
      <c r="KHR17" s="41"/>
      <c r="KHS17" s="41"/>
      <c r="KHT17" s="41"/>
      <c r="KHU17" s="41"/>
      <c r="KHV17" s="41"/>
      <c r="KHW17" s="41"/>
      <c r="KHX17" s="41"/>
      <c r="KHY17" s="41"/>
      <c r="KHZ17" s="41"/>
      <c r="KIA17" s="41"/>
      <c r="KIB17" s="41"/>
      <c r="KIC17" s="41"/>
      <c r="KID17" s="41"/>
      <c r="KIE17" s="41"/>
      <c r="KIF17" s="41"/>
      <c r="KIG17" s="41"/>
      <c r="KIH17" s="41"/>
      <c r="KII17" s="41"/>
      <c r="KIJ17" s="41"/>
      <c r="KIK17" s="41"/>
      <c r="KIL17" s="41"/>
      <c r="KIM17" s="41"/>
      <c r="KIN17" s="41"/>
      <c r="KIO17" s="41"/>
      <c r="KIP17" s="41"/>
      <c r="KIQ17" s="41"/>
      <c r="KIR17" s="41"/>
      <c r="KIS17" s="41"/>
      <c r="KIT17" s="41"/>
      <c r="KIU17" s="41"/>
      <c r="KIV17" s="41"/>
      <c r="KIW17" s="41"/>
      <c r="KIX17" s="41"/>
      <c r="KIY17" s="41"/>
      <c r="KIZ17" s="41"/>
      <c r="KJA17" s="41"/>
      <c r="KJB17" s="41"/>
      <c r="KJC17" s="41"/>
      <c r="KJD17" s="41"/>
      <c r="KJE17" s="41"/>
      <c r="KJF17" s="41"/>
      <c r="KJG17" s="41"/>
      <c r="KJH17" s="41"/>
      <c r="KJI17" s="41"/>
      <c r="KJJ17" s="41"/>
      <c r="KJK17" s="41"/>
      <c r="KJL17" s="41"/>
      <c r="KJM17" s="41"/>
      <c r="KJN17" s="41"/>
      <c r="KJO17" s="41"/>
      <c r="KJP17" s="41"/>
      <c r="KJQ17" s="41"/>
      <c r="KJR17" s="41"/>
      <c r="KJS17" s="41"/>
      <c r="KJT17" s="41"/>
      <c r="KJU17" s="41"/>
      <c r="KJV17" s="41"/>
      <c r="KJW17" s="41"/>
      <c r="KJX17" s="41"/>
      <c r="KJY17" s="41"/>
      <c r="KJZ17" s="41"/>
      <c r="KKA17" s="41"/>
      <c r="KKB17" s="41"/>
      <c r="KKC17" s="41"/>
      <c r="KKD17" s="41"/>
      <c r="KKE17" s="41"/>
      <c r="KKF17" s="41"/>
      <c r="KKG17" s="41"/>
      <c r="KKH17" s="41"/>
      <c r="KKI17" s="41"/>
      <c r="KKJ17" s="41"/>
      <c r="KKK17" s="41"/>
      <c r="KKL17" s="41"/>
      <c r="KKM17" s="41"/>
      <c r="KKN17" s="41"/>
      <c r="KKO17" s="41"/>
      <c r="KKP17" s="41"/>
      <c r="KKQ17" s="41"/>
      <c r="KKR17" s="41"/>
      <c r="KKS17" s="41"/>
      <c r="KKT17" s="41"/>
      <c r="KKU17" s="41"/>
      <c r="KKV17" s="41"/>
      <c r="KKW17" s="41"/>
      <c r="KKX17" s="41"/>
      <c r="KKY17" s="41"/>
      <c r="KKZ17" s="41"/>
      <c r="KLA17" s="41"/>
      <c r="KLB17" s="41"/>
      <c r="KLC17" s="41"/>
      <c r="KLD17" s="41"/>
      <c r="KLE17" s="41"/>
      <c r="KLF17" s="41"/>
      <c r="KLG17" s="41"/>
      <c r="KLH17" s="41"/>
      <c r="KLI17" s="41"/>
      <c r="KLJ17" s="41"/>
      <c r="KLK17" s="41"/>
      <c r="KLL17" s="41"/>
      <c r="KLM17" s="41"/>
      <c r="KLN17" s="41"/>
      <c r="KLO17" s="41"/>
      <c r="KLP17" s="41"/>
      <c r="KLQ17" s="41"/>
      <c r="KLR17" s="41"/>
      <c r="KLS17" s="41"/>
      <c r="KLT17" s="41"/>
      <c r="KLU17" s="41"/>
      <c r="KLV17" s="41"/>
      <c r="KLW17" s="41"/>
      <c r="KLX17" s="41"/>
      <c r="KLY17" s="41"/>
      <c r="KLZ17" s="41"/>
      <c r="KMA17" s="41"/>
      <c r="KMB17" s="41"/>
      <c r="KMC17" s="41"/>
      <c r="KMD17" s="41"/>
      <c r="KME17" s="41"/>
      <c r="KMF17" s="41"/>
      <c r="KMG17" s="41"/>
      <c r="KMH17" s="41"/>
      <c r="KMI17" s="41"/>
      <c r="KMJ17" s="41"/>
      <c r="KMK17" s="41"/>
      <c r="KML17" s="41"/>
      <c r="KMM17" s="41"/>
      <c r="KMN17" s="41"/>
      <c r="KMO17" s="41"/>
      <c r="KMP17" s="41"/>
      <c r="KMQ17" s="41"/>
      <c r="KMR17" s="41"/>
      <c r="KMS17" s="41"/>
      <c r="KMT17" s="41"/>
      <c r="KMU17" s="41"/>
      <c r="KMV17" s="41"/>
      <c r="KMW17" s="41"/>
      <c r="KMX17" s="41"/>
      <c r="KMY17" s="41"/>
      <c r="KMZ17" s="41"/>
      <c r="KNA17" s="41"/>
      <c r="KNB17" s="41"/>
      <c r="KNC17" s="41"/>
      <c r="KND17" s="41"/>
      <c r="KNE17" s="41"/>
      <c r="KNF17" s="41"/>
      <c r="KNG17" s="41"/>
      <c r="KNH17" s="41"/>
      <c r="KNI17" s="41"/>
      <c r="KNJ17" s="41"/>
      <c r="KNK17" s="41"/>
      <c r="KNL17" s="41"/>
      <c r="KNM17" s="41"/>
      <c r="KNN17" s="41"/>
      <c r="KNO17" s="41"/>
      <c r="KNP17" s="41"/>
      <c r="KNQ17" s="41"/>
      <c r="KNR17" s="41"/>
      <c r="KNS17" s="41"/>
      <c r="KNT17" s="41"/>
      <c r="KNU17" s="41"/>
      <c r="KNV17" s="41"/>
      <c r="KNW17" s="41"/>
      <c r="KNX17" s="41"/>
      <c r="KNY17" s="41"/>
      <c r="KNZ17" s="41"/>
      <c r="KOA17" s="41"/>
      <c r="KOB17" s="41"/>
      <c r="KOC17" s="41"/>
      <c r="KOD17" s="41"/>
      <c r="KOE17" s="41"/>
      <c r="KOF17" s="41"/>
      <c r="KOG17" s="41"/>
      <c r="KOH17" s="41"/>
      <c r="KOI17" s="41"/>
      <c r="KOJ17" s="41"/>
      <c r="KOK17" s="41"/>
      <c r="KOL17" s="41"/>
      <c r="KOM17" s="41"/>
      <c r="KON17" s="41"/>
      <c r="KOO17" s="41"/>
      <c r="KOP17" s="41"/>
      <c r="KOQ17" s="41"/>
      <c r="KOR17" s="41"/>
      <c r="KOS17" s="41"/>
      <c r="KOT17" s="41"/>
      <c r="KOU17" s="41"/>
      <c r="KOV17" s="41"/>
      <c r="KOW17" s="41"/>
      <c r="KOX17" s="41"/>
      <c r="KOY17" s="41"/>
      <c r="KOZ17" s="41"/>
      <c r="KPA17" s="41"/>
      <c r="KPB17" s="41"/>
      <c r="KPC17" s="41"/>
      <c r="KPD17" s="41"/>
      <c r="KPE17" s="41"/>
      <c r="KPF17" s="41"/>
      <c r="KPG17" s="41"/>
      <c r="KPH17" s="41"/>
      <c r="KPI17" s="41"/>
      <c r="KPJ17" s="41"/>
      <c r="KPK17" s="41"/>
      <c r="KPL17" s="41"/>
      <c r="KPM17" s="41"/>
      <c r="KPN17" s="41"/>
      <c r="KPO17" s="41"/>
      <c r="KPP17" s="41"/>
      <c r="KPQ17" s="41"/>
      <c r="KPR17" s="41"/>
      <c r="KPS17" s="41"/>
      <c r="KPT17" s="41"/>
      <c r="KPU17" s="41"/>
      <c r="KPV17" s="41"/>
      <c r="KPW17" s="41"/>
      <c r="KPX17" s="41"/>
      <c r="KPY17" s="41"/>
      <c r="KPZ17" s="41"/>
      <c r="KQA17" s="41"/>
      <c r="KQB17" s="41"/>
      <c r="KQC17" s="41"/>
      <c r="KQD17" s="41"/>
      <c r="KQE17" s="41"/>
      <c r="KQF17" s="41"/>
      <c r="KQG17" s="41"/>
      <c r="KQH17" s="41"/>
      <c r="KQI17" s="41"/>
      <c r="KQJ17" s="41"/>
      <c r="KQK17" s="41"/>
      <c r="KQL17" s="41"/>
      <c r="KQM17" s="41"/>
      <c r="KQN17" s="41"/>
      <c r="KQO17" s="41"/>
      <c r="KQP17" s="41"/>
      <c r="KQQ17" s="41"/>
      <c r="KQR17" s="41"/>
      <c r="KQS17" s="41"/>
      <c r="KQT17" s="41"/>
      <c r="KQU17" s="41"/>
      <c r="KQV17" s="41"/>
      <c r="KQW17" s="41"/>
      <c r="KQX17" s="41"/>
      <c r="KQY17" s="41"/>
      <c r="KQZ17" s="41"/>
      <c r="KRA17" s="41"/>
      <c r="KRB17" s="41"/>
      <c r="KRC17" s="41"/>
      <c r="KRD17" s="41"/>
      <c r="KRE17" s="41"/>
      <c r="KRF17" s="41"/>
      <c r="KRG17" s="41"/>
      <c r="KRH17" s="41"/>
      <c r="KRI17" s="41"/>
      <c r="KRJ17" s="41"/>
      <c r="KRK17" s="41"/>
      <c r="KRL17" s="41"/>
      <c r="KRM17" s="41"/>
      <c r="KRN17" s="41"/>
      <c r="KRO17" s="41"/>
      <c r="KRP17" s="41"/>
      <c r="KRQ17" s="41"/>
      <c r="KRR17" s="41"/>
      <c r="KRS17" s="41"/>
      <c r="KRT17" s="41"/>
      <c r="KRU17" s="41"/>
      <c r="KRV17" s="41"/>
      <c r="KRW17" s="41"/>
      <c r="KRX17" s="41"/>
      <c r="KRY17" s="41"/>
      <c r="KRZ17" s="41"/>
      <c r="KSA17" s="41"/>
      <c r="KSB17" s="41"/>
      <c r="KSC17" s="41"/>
      <c r="KSD17" s="41"/>
      <c r="KSE17" s="41"/>
      <c r="KSF17" s="41"/>
      <c r="KSG17" s="41"/>
      <c r="KSH17" s="41"/>
      <c r="KSI17" s="41"/>
      <c r="KSJ17" s="41"/>
      <c r="KSK17" s="41"/>
      <c r="KSL17" s="41"/>
      <c r="KSM17" s="41"/>
      <c r="KSN17" s="41"/>
      <c r="KSO17" s="41"/>
      <c r="KSP17" s="41"/>
      <c r="KSQ17" s="41"/>
      <c r="KSR17" s="41"/>
      <c r="KSS17" s="41"/>
      <c r="KST17" s="41"/>
      <c r="KSU17" s="41"/>
      <c r="KSV17" s="41"/>
      <c r="KSW17" s="41"/>
      <c r="KSX17" s="41"/>
      <c r="KSY17" s="41"/>
      <c r="KSZ17" s="41"/>
      <c r="KTA17" s="41"/>
      <c r="KTB17" s="41"/>
      <c r="KTC17" s="41"/>
      <c r="KTD17" s="41"/>
      <c r="KTE17" s="41"/>
      <c r="KTF17" s="41"/>
      <c r="KTG17" s="41"/>
      <c r="KTH17" s="41"/>
      <c r="KTI17" s="41"/>
      <c r="KTJ17" s="41"/>
      <c r="KTK17" s="41"/>
      <c r="KTL17" s="41"/>
      <c r="KTM17" s="41"/>
      <c r="KTN17" s="41"/>
      <c r="KTO17" s="41"/>
      <c r="KTP17" s="41"/>
      <c r="KTQ17" s="41"/>
      <c r="KTR17" s="41"/>
      <c r="KTS17" s="41"/>
      <c r="KTT17" s="41"/>
      <c r="KTU17" s="41"/>
      <c r="KTV17" s="41"/>
      <c r="KTW17" s="41"/>
      <c r="KTX17" s="41"/>
      <c r="KTY17" s="41"/>
      <c r="KTZ17" s="41"/>
      <c r="KUA17" s="41"/>
      <c r="KUB17" s="41"/>
      <c r="KUC17" s="41"/>
      <c r="KUD17" s="41"/>
      <c r="KUE17" s="41"/>
      <c r="KUF17" s="41"/>
      <c r="KUG17" s="41"/>
      <c r="KUH17" s="41"/>
      <c r="KUI17" s="41"/>
      <c r="KUJ17" s="41"/>
      <c r="KUK17" s="41"/>
      <c r="KUL17" s="41"/>
      <c r="KUM17" s="41"/>
      <c r="KUN17" s="41"/>
      <c r="KUO17" s="41"/>
      <c r="KUP17" s="41"/>
      <c r="KUQ17" s="41"/>
      <c r="KUR17" s="41"/>
      <c r="KUS17" s="41"/>
      <c r="KUT17" s="41"/>
      <c r="KUU17" s="41"/>
      <c r="KUV17" s="41"/>
      <c r="KUW17" s="41"/>
      <c r="KUX17" s="41"/>
      <c r="KUY17" s="41"/>
      <c r="KUZ17" s="41"/>
      <c r="KVA17" s="41"/>
      <c r="KVB17" s="41"/>
      <c r="KVC17" s="41"/>
      <c r="KVD17" s="41"/>
      <c r="KVE17" s="41"/>
      <c r="KVF17" s="41"/>
      <c r="KVG17" s="41"/>
      <c r="KVH17" s="41"/>
      <c r="KVI17" s="41"/>
      <c r="KVJ17" s="41"/>
      <c r="KVK17" s="41"/>
      <c r="KVL17" s="41"/>
      <c r="KVM17" s="41"/>
      <c r="KVN17" s="41"/>
      <c r="KVO17" s="41"/>
      <c r="KVP17" s="41"/>
      <c r="KVQ17" s="41"/>
      <c r="KVR17" s="41"/>
      <c r="KVS17" s="41"/>
      <c r="KVT17" s="41"/>
      <c r="KVU17" s="41"/>
      <c r="KVV17" s="41"/>
      <c r="KVW17" s="41"/>
      <c r="KVX17" s="41"/>
      <c r="KVY17" s="41"/>
      <c r="KVZ17" s="41"/>
      <c r="KWA17" s="41"/>
      <c r="KWB17" s="41"/>
      <c r="KWC17" s="41"/>
      <c r="KWD17" s="41"/>
      <c r="KWE17" s="41"/>
      <c r="KWF17" s="41"/>
      <c r="KWG17" s="41"/>
      <c r="KWH17" s="41"/>
      <c r="KWI17" s="41"/>
      <c r="KWJ17" s="41"/>
      <c r="KWK17" s="41"/>
      <c r="KWL17" s="41"/>
      <c r="KWM17" s="41"/>
      <c r="KWN17" s="41"/>
      <c r="KWO17" s="41"/>
      <c r="KWP17" s="41"/>
      <c r="KWQ17" s="41"/>
      <c r="KWR17" s="41"/>
      <c r="KWS17" s="41"/>
      <c r="KWT17" s="41"/>
      <c r="KWU17" s="41"/>
      <c r="KWV17" s="41"/>
      <c r="KWW17" s="41"/>
      <c r="KWX17" s="41"/>
      <c r="KWY17" s="41"/>
      <c r="KWZ17" s="41"/>
      <c r="KXA17" s="41"/>
      <c r="KXB17" s="41"/>
      <c r="KXC17" s="41"/>
      <c r="KXD17" s="41"/>
      <c r="KXE17" s="41"/>
      <c r="KXF17" s="41"/>
      <c r="KXG17" s="41"/>
      <c r="KXH17" s="41"/>
      <c r="KXI17" s="41"/>
      <c r="KXJ17" s="41"/>
      <c r="KXK17" s="41"/>
      <c r="KXL17" s="41"/>
      <c r="KXM17" s="41"/>
      <c r="KXN17" s="41"/>
      <c r="KXO17" s="41"/>
      <c r="KXP17" s="41"/>
      <c r="KXQ17" s="41"/>
      <c r="KXR17" s="41"/>
      <c r="KXS17" s="41"/>
      <c r="KXT17" s="41"/>
      <c r="KXU17" s="41"/>
      <c r="KXV17" s="41"/>
      <c r="KXW17" s="41"/>
      <c r="KXX17" s="41"/>
      <c r="KXY17" s="41"/>
      <c r="KXZ17" s="41"/>
      <c r="KYA17" s="41"/>
      <c r="KYB17" s="41"/>
      <c r="KYC17" s="41"/>
      <c r="KYD17" s="41"/>
      <c r="KYE17" s="41"/>
      <c r="KYF17" s="41"/>
      <c r="KYG17" s="41"/>
      <c r="KYH17" s="41"/>
      <c r="KYI17" s="41"/>
      <c r="KYJ17" s="41"/>
      <c r="KYK17" s="41"/>
      <c r="KYL17" s="41"/>
      <c r="KYM17" s="41"/>
      <c r="KYN17" s="41"/>
      <c r="KYO17" s="41"/>
      <c r="KYP17" s="41"/>
      <c r="KYQ17" s="41"/>
      <c r="KYR17" s="41"/>
      <c r="KYS17" s="41"/>
      <c r="KYT17" s="41"/>
      <c r="KYU17" s="41"/>
      <c r="KYV17" s="41"/>
      <c r="KYW17" s="41"/>
      <c r="KYX17" s="41"/>
      <c r="KYY17" s="41"/>
      <c r="KYZ17" s="41"/>
      <c r="KZA17" s="41"/>
      <c r="KZB17" s="41"/>
      <c r="KZC17" s="41"/>
      <c r="KZD17" s="41"/>
      <c r="KZE17" s="41"/>
      <c r="KZF17" s="41"/>
      <c r="KZG17" s="41"/>
      <c r="KZH17" s="41"/>
      <c r="KZI17" s="41"/>
      <c r="KZJ17" s="41"/>
      <c r="KZK17" s="41"/>
      <c r="KZL17" s="41"/>
      <c r="KZM17" s="41"/>
      <c r="KZN17" s="41"/>
      <c r="KZO17" s="41"/>
      <c r="KZP17" s="41"/>
      <c r="KZQ17" s="41"/>
      <c r="KZR17" s="41"/>
      <c r="KZS17" s="41"/>
      <c r="KZT17" s="41"/>
      <c r="KZU17" s="41"/>
      <c r="KZV17" s="41"/>
      <c r="KZW17" s="41"/>
      <c r="KZX17" s="41"/>
      <c r="KZY17" s="41"/>
      <c r="KZZ17" s="41"/>
      <c r="LAA17" s="41"/>
      <c r="LAB17" s="41"/>
      <c r="LAC17" s="41"/>
      <c r="LAD17" s="41"/>
      <c r="LAE17" s="41"/>
      <c r="LAF17" s="41"/>
      <c r="LAG17" s="41"/>
      <c r="LAH17" s="41"/>
      <c r="LAI17" s="41"/>
      <c r="LAJ17" s="41"/>
      <c r="LAK17" s="41"/>
      <c r="LAL17" s="41"/>
      <c r="LAM17" s="41"/>
      <c r="LAN17" s="41"/>
      <c r="LAO17" s="41"/>
      <c r="LAP17" s="41"/>
      <c r="LAQ17" s="41"/>
      <c r="LAR17" s="41"/>
      <c r="LAS17" s="41"/>
      <c r="LAT17" s="41"/>
      <c r="LAU17" s="41"/>
      <c r="LAV17" s="41"/>
      <c r="LAW17" s="41"/>
      <c r="LAX17" s="41"/>
      <c r="LAY17" s="41"/>
      <c r="LAZ17" s="41"/>
      <c r="LBA17" s="41"/>
      <c r="LBB17" s="41"/>
      <c r="LBC17" s="41"/>
      <c r="LBD17" s="41"/>
      <c r="LBE17" s="41"/>
      <c r="LBF17" s="41"/>
      <c r="LBG17" s="41"/>
      <c r="LBH17" s="41"/>
      <c r="LBI17" s="41"/>
      <c r="LBJ17" s="41"/>
      <c r="LBK17" s="41"/>
      <c r="LBL17" s="41"/>
      <c r="LBM17" s="41"/>
      <c r="LBN17" s="41"/>
      <c r="LBO17" s="41"/>
      <c r="LBP17" s="41"/>
      <c r="LBQ17" s="41"/>
      <c r="LBR17" s="41"/>
      <c r="LBS17" s="41"/>
      <c r="LBT17" s="41"/>
      <c r="LBU17" s="41"/>
      <c r="LBV17" s="41"/>
      <c r="LBW17" s="41"/>
      <c r="LBX17" s="41"/>
      <c r="LBY17" s="41"/>
      <c r="LBZ17" s="41"/>
      <c r="LCA17" s="41"/>
      <c r="LCB17" s="41"/>
      <c r="LCC17" s="41"/>
      <c r="LCD17" s="41"/>
      <c r="LCE17" s="41"/>
      <c r="LCF17" s="41"/>
      <c r="LCG17" s="41"/>
      <c r="LCH17" s="41"/>
      <c r="LCI17" s="41"/>
      <c r="LCJ17" s="41"/>
      <c r="LCK17" s="41"/>
      <c r="LCL17" s="41"/>
      <c r="LCM17" s="41"/>
      <c r="LCN17" s="41"/>
      <c r="LCO17" s="41"/>
      <c r="LCP17" s="41"/>
      <c r="LCQ17" s="41"/>
      <c r="LCR17" s="41"/>
      <c r="LCS17" s="41"/>
      <c r="LCT17" s="41"/>
      <c r="LCU17" s="41"/>
      <c r="LCV17" s="41"/>
      <c r="LCW17" s="41"/>
      <c r="LCX17" s="41"/>
      <c r="LCY17" s="41"/>
      <c r="LCZ17" s="41"/>
      <c r="LDA17" s="41"/>
      <c r="LDB17" s="41"/>
      <c r="LDC17" s="41"/>
      <c r="LDD17" s="41"/>
      <c r="LDE17" s="41"/>
      <c r="LDF17" s="41"/>
      <c r="LDG17" s="41"/>
      <c r="LDH17" s="41"/>
      <c r="LDI17" s="41"/>
      <c r="LDJ17" s="41"/>
      <c r="LDK17" s="41"/>
      <c r="LDL17" s="41"/>
      <c r="LDM17" s="41"/>
      <c r="LDN17" s="41"/>
      <c r="LDO17" s="41"/>
      <c r="LDP17" s="41"/>
      <c r="LDQ17" s="41"/>
      <c r="LDR17" s="41"/>
      <c r="LDS17" s="41"/>
      <c r="LDT17" s="41"/>
      <c r="LDU17" s="41"/>
      <c r="LDV17" s="41"/>
      <c r="LDW17" s="41"/>
      <c r="LDX17" s="41"/>
      <c r="LDY17" s="41"/>
      <c r="LDZ17" s="41"/>
      <c r="LEA17" s="41"/>
      <c r="LEB17" s="41"/>
      <c r="LEC17" s="41"/>
      <c r="LED17" s="41"/>
      <c r="LEE17" s="41"/>
      <c r="LEF17" s="41"/>
      <c r="LEG17" s="41"/>
      <c r="LEH17" s="41"/>
      <c r="LEI17" s="41"/>
      <c r="LEJ17" s="41"/>
      <c r="LEK17" s="41"/>
      <c r="LEL17" s="41"/>
      <c r="LEM17" s="41"/>
      <c r="LEN17" s="41"/>
      <c r="LEO17" s="41"/>
      <c r="LEP17" s="41"/>
      <c r="LEQ17" s="41"/>
      <c r="LER17" s="41"/>
      <c r="LES17" s="41"/>
      <c r="LET17" s="41"/>
      <c r="LEU17" s="41"/>
      <c r="LEV17" s="41"/>
      <c r="LEW17" s="41"/>
      <c r="LEX17" s="41"/>
      <c r="LEY17" s="41"/>
      <c r="LEZ17" s="41"/>
      <c r="LFA17" s="41"/>
      <c r="LFB17" s="41"/>
      <c r="LFC17" s="41"/>
      <c r="LFD17" s="41"/>
      <c r="LFE17" s="41"/>
      <c r="LFF17" s="41"/>
      <c r="LFG17" s="41"/>
      <c r="LFH17" s="41"/>
      <c r="LFI17" s="41"/>
      <c r="LFJ17" s="41"/>
      <c r="LFK17" s="41"/>
      <c r="LFL17" s="41"/>
      <c r="LFM17" s="41"/>
      <c r="LFN17" s="41"/>
      <c r="LFO17" s="41"/>
      <c r="LFP17" s="41"/>
      <c r="LFQ17" s="41"/>
      <c r="LFR17" s="41"/>
      <c r="LFS17" s="41"/>
      <c r="LFT17" s="41"/>
      <c r="LFU17" s="41"/>
      <c r="LFV17" s="41"/>
      <c r="LFW17" s="41"/>
      <c r="LFX17" s="41"/>
      <c r="LFY17" s="41"/>
      <c r="LFZ17" s="41"/>
      <c r="LGA17" s="41"/>
      <c r="LGB17" s="41"/>
      <c r="LGC17" s="41"/>
      <c r="LGD17" s="41"/>
      <c r="LGE17" s="41"/>
      <c r="LGF17" s="41"/>
      <c r="LGG17" s="41"/>
      <c r="LGH17" s="41"/>
      <c r="LGI17" s="41"/>
      <c r="LGJ17" s="41"/>
      <c r="LGK17" s="41"/>
      <c r="LGL17" s="41"/>
      <c r="LGM17" s="41"/>
      <c r="LGN17" s="41"/>
      <c r="LGO17" s="41"/>
      <c r="LGP17" s="41"/>
      <c r="LGQ17" s="41"/>
      <c r="LGR17" s="41"/>
      <c r="LGS17" s="41"/>
      <c r="LGT17" s="41"/>
      <c r="LGU17" s="41"/>
      <c r="LGV17" s="41"/>
      <c r="LGW17" s="41"/>
      <c r="LGX17" s="41"/>
      <c r="LGY17" s="41"/>
      <c r="LGZ17" s="41"/>
      <c r="LHA17" s="41"/>
      <c r="LHB17" s="41"/>
      <c r="LHC17" s="41"/>
      <c r="LHD17" s="41"/>
      <c r="LHE17" s="41"/>
      <c r="LHF17" s="41"/>
      <c r="LHG17" s="41"/>
      <c r="LHH17" s="41"/>
      <c r="LHI17" s="41"/>
      <c r="LHJ17" s="41"/>
      <c r="LHK17" s="41"/>
      <c r="LHL17" s="41"/>
      <c r="LHM17" s="41"/>
      <c r="LHN17" s="41"/>
      <c r="LHO17" s="41"/>
      <c r="LHP17" s="41"/>
      <c r="LHQ17" s="41"/>
      <c r="LHR17" s="41"/>
      <c r="LHS17" s="41"/>
      <c r="LHT17" s="41"/>
      <c r="LHU17" s="41"/>
      <c r="LHV17" s="41"/>
      <c r="LHW17" s="41"/>
      <c r="LHX17" s="41"/>
      <c r="LHY17" s="41"/>
      <c r="LHZ17" s="41"/>
      <c r="LIA17" s="41"/>
      <c r="LIB17" s="41"/>
      <c r="LIC17" s="41"/>
      <c r="LID17" s="41"/>
      <c r="LIE17" s="41"/>
      <c r="LIF17" s="41"/>
      <c r="LIG17" s="41"/>
      <c r="LIH17" s="41"/>
      <c r="LII17" s="41"/>
      <c r="LIJ17" s="41"/>
      <c r="LIK17" s="41"/>
      <c r="LIL17" s="41"/>
      <c r="LIM17" s="41"/>
      <c r="LIN17" s="41"/>
      <c r="LIO17" s="41"/>
      <c r="LIP17" s="41"/>
      <c r="LIQ17" s="41"/>
      <c r="LIR17" s="41"/>
      <c r="LIS17" s="41"/>
      <c r="LIT17" s="41"/>
      <c r="LIU17" s="41"/>
      <c r="LIV17" s="41"/>
      <c r="LIW17" s="41"/>
      <c r="LIX17" s="41"/>
      <c r="LIY17" s="41"/>
      <c r="LIZ17" s="41"/>
      <c r="LJA17" s="41"/>
      <c r="LJB17" s="41"/>
      <c r="LJC17" s="41"/>
      <c r="LJD17" s="41"/>
      <c r="LJE17" s="41"/>
      <c r="LJF17" s="41"/>
      <c r="LJG17" s="41"/>
      <c r="LJH17" s="41"/>
      <c r="LJI17" s="41"/>
      <c r="LJJ17" s="41"/>
      <c r="LJK17" s="41"/>
      <c r="LJL17" s="41"/>
      <c r="LJM17" s="41"/>
      <c r="LJN17" s="41"/>
      <c r="LJO17" s="41"/>
      <c r="LJP17" s="41"/>
      <c r="LJQ17" s="41"/>
      <c r="LJR17" s="41"/>
      <c r="LJS17" s="41"/>
      <c r="LJT17" s="41"/>
      <c r="LJU17" s="41"/>
      <c r="LJV17" s="41"/>
      <c r="LJW17" s="41"/>
      <c r="LJX17" s="41"/>
      <c r="LJY17" s="41"/>
      <c r="LJZ17" s="41"/>
      <c r="LKA17" s="41"/>
      <c r="LKB17" s="41"/>
      <c r="LKC17" s="41"/>
      <c r="LKD17" s="41"/>
      <c r="LKE17" s="41"/>
      <c r="LKF17" s="41"/>
      <c r="LKG17" s="41"/>
      <c r="LKH17" s="41"/>
      <c r="LKI17" s="41"/>
      <c r="LKJ17" s="41"/>
      <c r="LKK17" s="41"/>
      <c r="LKL17" s="41"/>
      <c r="LKM17" s="41"/>
      <c r="LKN17" s="41"/>
      <c r="LKO17" s="41"/>
      <c r="LKP17" s="41"/>
      <c r="LKQ17" s="41"/>
      <c r="LKR17" s="41"/>
      <c r="LKS17" s="41"/>
      <c r="LKT17" s="41"/>
      <c r="LKU17" s="41"/>
      <c r="LKV17" s="41"/>
      <c r="LKW17" s="41"/>
      <c r="LKX17" s="41"/>
      <c r="LKY17" s="41"/>
      <c r="LKZ17" s="41"/>
      <c r="LLA17" s="41"/>
      <c r="LLB17" s="41"/>
      <c r="LLC17" s="41"/>
      <c r="LLD17" s="41"/>
      <c r="LLE17" s="41"/>
      <c r="LLF17" s="41"/>
      <c r="LLG17" s="41"/>
      <c r="LLH17" s="41"/>
      <c r="LLI17" s="41"/>
      <c r="LLJ17" s="41"/>
      <c r="LLK17" s="41"/>
      <c r="LLL17" s="41"/>
      <c r="LLM17" s="41"/>
      <c r="LLN17" s="41"/>
      <c r="LLO17" s="41"/>
      <c r="LLP17" s="41"/>
      <c r="LLQ17" s="41"/>
      <c r="LLR17" s="41"/>
      <c r="LLS17" s="41"/>
      <c r="LLT17" s="41"/>
      <c r="LLU17" s="41"/>
      <c r="LLV17" s="41"/>
      <c r="LLW17" s="41"/>
      <c r="LLX17" s="41"/>
      <c r="LLY17" s="41"/>
      <c r="LLZ17" s="41"/>
      <c r="LMA17" s="41"/>
      <c r="LMB17" s="41"/>
      <c r="LMC17" s="41"/>
      <c r="LMD17" s="41"/>
      <c r="LME17" s="41"/>
      <c r="LMF17" s="41"/>
      <c r="LMG17" s="41"/>
      <c r="LMH17" s="41"/>
      <c r="LMI17" s="41"/>
      <c r="LMJ17" s="41"/>
      <c r="LMK17" s="41"/>
      <c r="LML17" s="41"/>
      <c r="LMM17" s="41"/>
      <c r="LMN17" s="41"/>
      <c r="LMO17" s="41"/>
      <c r="LMP17" s="41"/>
      <c r="LMQ17" s="41"/>
      <c r="LMR17" s="41"/>
      <c r="LMS17" s="41"/>
      <c r="LMT17" s="41"/>
      <c r="LMU17" s="41"/>
      <c r="LMV17" s="41"/>
      <c r="LMW17" s="41"/>
      <c r="LMX17" s="41"/>
      <c r="LMY17" s="41"/>
      <c r="LMZ17" s="41"/>
      <c r="LNA17" s="41"/>
      <c r="LNB17" s="41"/>
      <c r="LNC17" s="41"/>
      <c r="LND17" s="41"/>
      <c r="LNE17" s="41"/>
      <c r="LNF17" s="41"/>
      <c r="LNG17" s="41"/>
      <c r="LNH17" s="41"/>
      <c r="LNI17" s="41"/>
      <c r="LNJ17" s="41"/>
      <c r="LNK17" s="41"/>
      <c r="LNL17" s="41"/>
      <c r="LNM17" s="41"/>
      <c r="LNN17" s="41"/>
      <c r="LNO17" s="41"/>
      <c r="LNP17" s="41"/>
      <c r="LNQ17" s="41"/>
      <c r="LNR17" s="41"/>
      <c r="LNS17" s="41"/>
      <c r="LNT17" s="41"/>
      <c r="LNU17" s="41"/>
      <c r="LNV17" s="41"/>
      <c r="LNW17" s="41"/>
      <c r="LNX17" s="41"/>
      <c r="LNY17" s="41"/>
      <c r="LNZ17" s="41"/>
      <c r="LOA17" s="41"/>
      <c r="LOB17" s="41"/>
      <c r="LOC17" s="41"/>
      <c r="LOD17" s="41"/>
      <c r="LOE17" s="41"/>
      <c r="LOF17" s="41"/>
      <c r="LOG17" s="41"/>
      <c r="LOH17" s="41"/>
      <c r="LOI17" s="41"/>
      <c r="LOJ17" s="41"/>
      <c r="LOK17" s="41"/>
      <c r="LOL17" s="41"/>
      <c r="LOM17" s="41"/>
      <c r="LON17" s="41"/>
      <c r="LOO17" s="41"/>
      <c r="LOP17" s="41"/>
      <c r="LOQ17" s="41"/>
      <c r="LOR17" s="41"/>
      <c r="LOS17" s="41"/>
      <c r="LOT17" s="41"/>
      <c r="LOU17" s="41"/>
      <c r="LOV17" s="41"/>
      <c r="LOW17" s="41"/>
      <c r="LOX17" s="41"/>
      <c r="LOY17" s="41"/>
      <c r="LOZ17" s="41"/>
      <c r="LPA17" s="41"/>
      <c r="LPB17" s="41"/>
      <c r="LPC17" s="41"/>
      <c r="LPD17" s="41"/>
      <c r="LPE17" s="41"/>
      <c r="LPF17" s="41"/>
      <c r="LPG17" s="41"/>
      <c r="LPH17" s="41"/>
      <c r="LPI17" s="41"/>
      <c r="LPJ17" s="41"/>
      <c r="LPK17" s="41"/>
      <c r="LPL17" s="41"/>
      <c r="LPM17" s="41"/>
      <c r="LPN17" s="41"/>
      <c r="LPO17" s="41"/>
      <c r="LPP17" s="41"/>
      <c r="LPQ17" s="41"/>
      <c r="LPR17" s="41"/>
      <c r="LPS17" s="41"/>
      <c r="LPT17" s="41"/>
      <c r="LPU17" s="41"/>
      <c r="LPV17" s="41"/>
      <c r="LPW17" s="41"/>
      <c r="LPX17" s="41"/>
      <c r="LPY17" s="41"/>
      <c r="LPZ17" s="41"/>
      <c r="LQA17" s="41"/>
      <c r="LQB17" s="41"/>
      <c r="LQC17" s="41"/>
      <c r="LQD17" s="41"/>
      <c r="LQE17" s="41"/>
      <c r="LQF17" s="41"/>
      <c r="LQG17" s="41"/>
      <c r="LQH17" s="41"/>
      <c r="LQI17" s="41"/>
      <c r="LQJ17" s="41"/>
      <c r="LQK17" s="41"/>
      <c r="LQL17" s="41"/>
      <c r="LQM17" s="41"/>
      <c r="LQN17" s="41"/>
      <c r="LQO17" s="41"/>
      <c r="LQP17" s="41"/>
      <c r="LQQ17" s="41"/>
      <c r="LQR17" s="41"/>
      <c r="LQS17" s="41"/>
      <c r="LQT17" s="41"/>
      <c r="LQU17" s="41"/>
      <c r="LQV17" s="41"/>
      <c r="LQW17" s="41"/>
      <c r="LQX17" s="41"/>
      <c r="LQY17" s="41"/>
      <c r="LQZ17" s="41"/>
      <c r="LRA17" s="41"/>
      <c r="LRB17" s="41"/>
      <c r="LRC17" s="41"/>
      <c r="LRD17" s="41"/>
      <c r="LRE17" s="41"/>
      <c r="LRF17" s="41"/>
      <c r="LRG17" s="41"/>
      <c r="LRH17" s="41"/>
      <c r="LRI17" s="41"/>
      <c r="LRJ17" s="41"/>
      <c r="LRK17" s="41"/>
      <c r="LRL17" s="41"/>
      <c r="LRM17" s="41"/>
      <c r="LRN17" s="41"/>
      <c r="LRO17" s="41"/>
      <c r="LRP17" s="41"/>
      <c r="LRQ17" s="41"/>
      <c r="LRR17" s="41"/>
      <c r="LRS17" s="41"/>
      <c r="LRT17" s="41"/>
      <c r="LRU17" s="41"/>
      <c r="LRV17" s="41"/>
      <c r="LRW17" s="41"/>
      <c r="LRX17" s="41"/>
      <c r="LRY17" s="41"/>
      <c r="LRZ17" s="41"/>
      <c r="LSA17" s="41"/>
      <c r="LSB17" s="41"/>
      <c r="LSC17" s="41"/>
      <c r="LSD17" s="41"/>
      <c r="LSE17" s="41"/>
      <c r="LSF17" s="41"/>
      <c r="LSG17" s="41"/>
      <c r="LSH17" s="41"/>
      <c r="LSI17" s="41"/>
      <c r="LSJ17" s="41"/>
      <c r="LSK17" s="41"/>
      <c r="LSL17" s="41"/>
      <c r="LSM17" s="41"/>
      <c r="LSN17" s="41"/>
      <c r="LSO17" s="41"/>
      <c r="LSP17" s="41"/>
      <c r="LSQ17" s="41"/>
      <c r="LSR17" s="41"/>
      <c r="LSS17" s="41"/>
      <c r="LST17" s="41"/>
      <c r="LSU17" s="41"/>
      <c r="LSV17" s="41"/>
      <c r="LSW17" s="41"/>
      <c r="LSX17" s="41"/>
      <c r="LSY17" s="41"/>
      <c r="LSZ17" s="41"/>
      <c r="LTA17" s="41"/>
      <c r="LTB17" s="41"/>
      <c r="LTC17" s="41"/>
      <c r="LTD17" s="41"/>
      <c r="LTE17" s="41"/>
      <c r="LTF17" s="41"/>
      <c r="LTG17" s="41"/>
      <c r="LTH17" s="41"/>
      <c r="LTI17" s="41"/>
      <c r="LTJ17" s="41"/>
      <c r="LTK17" s="41"/>
      <c r="LTL17" s="41"/>
      <c r="LTM17" s="41"/>
      <c r="LTN17" s="41"/>
      <c r="LTO17" s="41"/>
      <c r="LTP17" s="41"/>
      <c r="LTQ17" s="41"/>
      <c r="LTR17" s="41"/>
      <c r="LTS17" s="41"/>
      <c r="LTT17" s="41"/>
      <c r="LTU17" s="41"/>
      <c r="LTV17" s="41"/>
      <c r="LTW17" s="41"/>
      <c r="LTX17" s="41"/>
      <c r="LTY17" s="41"/>
      <c r="LTZ17" s="41"/>
      <c r="LUA17" s="41"/>
      <c r="LUB17" s="41"/>
      <c r="LUC17" s="41"/>
      <c r="LUD17" s="41"/>
      <c r="LUE17" s="41"/>
      <c r="LUF17" s="41"/>
      <c r="LUG17" s="41"/>
      <c r="LUH17" s="41"/>
      <c r="LUI17" s="41"/>
      <c r="LUJ17" s="41"/>
      <c r="LUK17" s="41"/>
      <c r="LUL17" s="41"/>
      <c r="LUM17" s="41"/>
      <c r="LUN17" s="41"/>
      <c r="LUO17" s="41"/>
      <c r="LUP17" s="41"/>
      <c r="LUQ17" s="41"/>
      <c r="LUR17" s="41"/>
      <c r="LUS17" s="41"/>
      <c r="LUT17" s="41"/>
      <c r="LUU17" s="41"/>
      <c r="LUV17" s="41"/>
      <c r="LUW17" s="41"/>
      <c r="LUX17" s="41"/>
      <c r="LUY17" s="41"/>
      <c r="LUZ17" s="41"/>
      <c r="LVA17" s="41"/>
      <c r="LVB17" s="41"/>
      <c r="LVC17" s="41"/>
      <c r="LVD17" s="41"/>
      <c r="LVE17" s="41"/>
      <c r="LVF17" s="41"/>
      <c r="LVG17" s="41"/>
      <c r="LVH17" s="41"/>
      <c r="LVI17" s="41"/>
      <c r="LVJ17" s="41"/>
      <c r="LVK17" s="41"/>
      <c r="LVL17" s="41"/>
      <c r="LVM17" s="41"/>
      <c r="LVN17" s="41"/>
      <c r="LVO17" s="41"/>
      <c r="LVP17" s="41"/>
      <c r="LVQ17" s="41"/>
      <c r="LVR17" s="41"/>
      <c r="LVS17" s="41"/>
      <c r="LVT17" s="41"/>
      <c r="LVU17" s="41"/>
      <c r="LVV17" s="41"/>
      <c r="LVW17" s="41"/>
      <c r="LVX17" s="41"/>
      <c r="LVY17" s="41"/>
      <c r="LVZ17" s="41"/>
      <c r="LWA17" s="41"/>
      <c r="LWB17" s="41"/>
      <c r="LWC17" s="41"/>
      <c r="LWD17" s="41"/>
      <c r="LWE17" s="41"/>
      <c r="LWF17" s="41"/>
      <c r="LWG17" s="41"/>
      <c r="LWH17" s="41"/>
      <c r="LWI17" s="41"/>
      <c r="LWJ17" s="41"/>
      <c r="LWK17" s="41"/>
      <c r="LWL17" s="41"/>
      <c r="LWM17" s="41"/>
      <c r="LWN17" s="41"/>
      <c r="LWO17" s="41"/>
      <c r="LWP17" s="41"/>
      <c r="LWQ17" s="41"/>
      <c r="LWR17" s="41"/>
      <c r="LWS17" s="41"/>
      <c r="LWT17" s="41"/>
      <c r="LWU17" s="41"/>
      <c r="LWV17" s="41"/>
      <c r="LWW17" s="41"/>
      <c r="LWX17" s="41"/>
      <c r="LWY17" s="41"/>
      <c r="LWZ17" s="41"/>
      <c r="LXA17" s="41"/>
      <c r="LXB17" s="41"/>
      <c r="LXC17" s="41"/>
      <c r="LXD17" s="41"/>
      <c r="LXE17" s="41"/>
      <c r="LXF17" s="41"/>
      <c r="LXG17" s="41"/>
      <c r="LXH17" s="41"/>
      <c r="LXI17" s="41"/>
      <c r="LXJ17" s="41"/>
      <c r="LXK17" s="41"/>
      <c r="LXL17" s="41"/>
      <c r="LXM17" s="41"/>
      <c r="LXN17" s="41"/>
      <c r="LXO17" s="41"/>
      <c r="LXP17" s="41"/>
      <c r="LXQ17" s="41"/>
      <c r="LXR17" s="41"/>
      <c r="LXS17" s="41"/>
      <c r="LXT17" s="41"/>
      <c r="LXU17" s="41"/>
      <c r="LXV17" s="41"/>
      <c r="LXW17" s="41"/>
      <c r="LXX17" s="41"/>
      <c r="LXY17" s="41"/>
      <c r="LXZ17" s="41"/>
      <c r="LYA17" s="41"/>
      <c r="LYB17" s="41"/>
      <c r="LYC17" s="41"/>
      <c r="LYD17" s="41"/>
      <c r="LYE17" s="41"/>
      <c r="LYF17" s="41"/>
      <c r="LYG17" s="41"/>
      <c r="LYH17" s="41"/>
      <c r="LYI17" s="41"/>
      <c r="LYJ17" s="41"/>
      <c r="LYK17" s="41"/>
      <c r="LYL17" s="41"/>
      <c r="LYM17" s="41"/>
      <c r="LYN17" s="41"/>
      <c r="LYO17" s="41"/>
      <c r="LYP17" s="41"/>
      <c r="LYQ17" s="41"/>
      <c r="LYR17" s="41"/>
      <c r="LYS17" s="41"/>
      <c r="LYT17" s="41"/>
      <c r="LYU17" s="41"/>
      <c r="LYV17" s="41"/>
      <c r="LYW17" s="41"/>
      <c r="LYX17" s="41"/>
      <c r="LYY17" s="41"/>
      <c r="LYZ17" s="41"/>
      <c r="LZA17" s="41"/>
      <c r="LZB17" s="41"/>
      <c r="LZC17" s="41"/>
      <c r="LZD17" s="41"/>
      <c r="LZE17" s="41"/>
      <c r="LZF17" s="41"/>
      <c r="LZG17" s="41"/>
      <c r="LZH17" s="41"/>
      <c r="LZI17" s="41"/>
      <c r="LZJ17" s="41"/>
      <c r="LZK17" s="41"/>
      <c r="LZL17" s="41"/>
      <c r="LZM17" s="41"/>
      <c r="LZN17" s="41"/>
      <c r="LZO17" s="41"/>
      <c r="LZP17" s="41"/>
      <c r="LZQ17" s="41"/>
      <c r="LZR17" s="41"/>
      <c r="LZS17" s="41"/>
      <c r="LZT17" s="41"/>
      <c r="LZU17" s="41"/>
      <c r="LZV17" s="41"/>
      <c r="LZW17" s="41"/>
      <c r="LZX17" s="41"/>
      <c r="LZY17" s="41"/>
      <c r="LZZ17" s="41"/>
      <c r="MAA17" s="41"/>
      <c r="MAB17" s="41"/>
      <c r="MAC17" s="41"/>
      <c r="MAD17" s="41"/>
      <c r="MAE17" s="41"/>
      <c r="MAF17" s="41"/>
      <c r="MAG17" s="41"/>
      <c r="MAH17" s="41"/>
      <c r="MAI17" s="41"/>
      <c r="MAJ17" s="41"/>
      <c r="MAK17" s="41"/>
      <c r="MAL17" s="41"/>
      <c r="MAM17" s="41"/>
      <c r="MAN17" s="41"/>
      <c r="MAO17" s="41"/>
      <c r="MAP17" s="41"/>
      <c r="MAQ17" s="41"/>
      <c r="MAR17" s="41"/>
      <c r="MAS17" s="41"/>
      <c r="MAT17" s="41"/>
      <c r="MAU17" s="41"/>
      <c r="MAV17" s="41"/>
      <c r="MAW17" s="41"/>
      <c r="MAX17" s="41"/>
      <c r="MAY17" s="41"/>
      <c r="MAZ17" s="41"/>
      <c r="MBA17" s="41"/>
      <c r="MBB17" s="41"/>
      <c r="MBC17" s="41"/>
      <c r="MBD17" s="41"/>
      <c r="MBE17" s="41"/>
      <c r="MBF17" s="41"/>
      <c r="MBG17" s="41"/>
      <c r="MBH17" s="41"/>
      <c r="MBI17" s="41"/>
      <c r="MBJ17" s="41"/>
      <c r="MBK17" s="41"/>
      <c r="MBL17" s="41"/>
      <c r="MBM17" s="41"/>
      <c r="MBN17" s="41"/>
      <c r="MBO17" s="41"/>
      <c r="MBP17" s="41"/>
      <c r="MBQ17" s="41"/>
      <c r="MBR17" s="41"/>
      <c r="MBS17" s="41"/>
      <c r="MBT17" s="41"/>
      <c r="MBU17" s="41"/>
      <c r="MBV17" s="41"/>
      <c r="MBW17" s="41"/>
      <c r="MBX17" s="41"/>
      <c r="MBY17" s="41"/>
      <c r="MBZ17" s="41"/>
      <c r="MCA17" s="41"/>
      <c r="MCB17" s="41"/>
      <c r="MCC17" s="41"/>
      <c r="MCD17" s="41"/>
      <c r="MCE17" s="41"/>
      <c r="MCF17" s="41"/>
      <c r="MCG17" s="41"/>
      <c r="MCH17" s="41"/>
      <c r="MCI17" s="41"/>
      <c r="MCJ17" s="41"/>
      <c r="MCK17" s="41"/>
      <c r="MCL17" s="41"/>
      <c r="MCM17" s="41"/>
      <c r="MCN17" s="41"/>
      <c r="MCO17" s="41"/>
      <c r="MCP17" s="41"/>
      <c r="MCQ17" s="41"/>
      <c r="MCR17" s="41"/>
      <c r="MCS17" s="41"/>
      <c r="MCT17" s="41"/>
      <c r="MCU17" s="41"/>
      <c r="MCV17" s="41"/>
      <c r="MCW17" s="41"/>
      <c r="MCX17" s="41"/>
      <c r="MCY17" s="41"/>
      <c r="MCZ17" s="41"/>
      <c r="MDA17" s="41"/>
      <c r="MDB17" s="41"/>
      <c r="MDC17" s="41"/>
      <c r="MDD17" s="41"/>
      <c r="MDE17" s="41"/>
      <c r="MDF17" s="41"/>
      <c r="MDG17" s="41"/>
      <c r="MDH17" s="41"/>
      <c r="MDI17" s="41"/>
      <c r="MDJ17" s="41"/>
      <c r="MDK17" s="41"/>
      <c r="MDL17" s="41"/>
      <c r="MDM17" s="41"/>
      <c r="MDN17" s="41"/>
      <c r="MDO17" s="41"/>
      <c r="MDP17" s="41"/>
      <c r="MDQ17" s="41"/>
      <c r="MDR17" s="41"/>
      <c r="MDS17" s="41"/>
      <c r="MDT17" s="41"/>
      <c r="MDU17" s="41"/>
      <c r="MDV17" s="41"/>
      <c r="MDW17" s="41"/>
      <c r="MDX17" s="41"/>
      <c r="MDY17" s="41"/>
      <c r="MDZ17" s="41"/>
      <c r="MEA17" s="41"/>
      <c r="MEB17" s="41"/>
      <c r="MEC17" s="41"/>
      <c r="MED17" s="41"/>
      <c r="MEE17" s="41"/>
      <c r="MEF17" s="41"/>
      <c r="MEG17" s="41"/>
      <c r="MEH17" s="41"/>
      <c r="MEI17" s="41"/>
      <c r="MEJ17" s="41"/>
      <c r="MEK17" s="41"/>
      <c r="MEL17" s="41"/>
      <c r="MEM17" s="41"/>
      <c r="MEN17" s="41"/>
      <c r="MEO17" s="41"/>
      <c r="MEP17" s="41"/>
      <c r="MEQ17" s="41"/>
      <c r="MER17" s="41"/>
      <c r="MES17" s="41"/>
      <c r="MET17" s="41"/>
      <c r="MEU17" s="41"/>
      <c r="MEV17" s="41"/>
      <c r="MEW17" s="41"/>
      <c r="MEX17" s="41"/>
      <c r="MEY17" s="41"/>
      <c r="MEZ17" s="41"/>
      <c r="MFA17" s="41"/>
      <c r="MFB17" s="41"/>
      <c r="MFC17" s="41"/>
      <c r="MFD17" s="41"/>
      <c r="MFE17" s="41"/>
      <c r="MFF17" s="41"/>
      <c r="MFG17" s="41"/>
      <c r="MFH17" s="41"/>
      <c r="MFI17" s="41"/>
      <c r="MFJ17" s="41"/>
      <c r="MFK17" s="41"/>
      <c r="MFL17" s="41"/>
      <c r="MFM17" s="41"/>
      <c r="MFN17" s="41"/>
      <c r="MFO17" s="41"/>
      <c r="MFP17" s="41"/>
      <c r="MFQ17" s="41"/>
      <c r="MFR17" s="41"/>
      <c r="MFS17" s="41"/>
      <c r="MFT17" s="41"/>
      <c r="MFU17" s="41"/>
      <c r="MFV17" s="41"/>
      <c r="MFW17" s="41"/>
      <c r="MFX17" s="41"/>
      <c r="MFY17" s="41"/>
      <c r="MFZ17" s="41"/>
      <c r="MGA17" s="41"/>
      <c r="MGB17" s="41"/>
      <c r="MGC17" s="41"/>
      <c r="MGD17" s="41"/>
      <c r="MGE17" s="41"/>
      <c r="MGF17" s="41"/>
      <c r="MGG17" s="41"/>
      <c r="MGH17" s="41"/>
      <c r="MGI17" s="41"/>
      <c r="MGJ17" s="41"/>
      <c r="MGK17" s="41"/>
      <c r="MGL17" s="41"/>
      <c r="MGM17" s="41"/>
      <c r="MGN17" s="41"/>
      <c r="MGO17" s="41"/>
      <c r="MGP17" s="41"/>
      <c r="MGQ17" s="41"/>
      <c r="MGR17" s="41"/>
      <c r="MGS17" s="41"/>
      <c r="MGT17" s="41"/>
      <c r="MGU17" s="41"/>
      <c r="MGV17" s="41"/>
      <c r="MGW17" s="41"/>
      <c r="MGX17" s="41"/>
      <c r="MGY17" s="41"/>
      <c r="MGZ17" s="41"/>
      <c r="MHA17" s="41"/>
      <c r="MHB17" s="41"/>
      <c r="MHC17" s="41"/>
      <c r="MHD17" s="41"/>
      <c r="MHE17" s="41"/>
      <c r="MHF17" s="41"/>
      <c r="MHG17" s="41"/>
      <c r="MHH17" s="41"/>
      <c r="MHI17" s="41"/>
      <c r="MHJ17" s="41"/>
      <c r="MHK17" s="41"/>
      <c r="MHL17" s="41"/>
      <c r="MHM17" s="41"/>
      <c r="MHN17" s="41"/>
      <c r="MHO17" s="41"/>
      <c r="MHP17" s="41"/>
      <c r="MHQ17" s="41"/>
      <c r="MHR17" s="41"/>
      <c r="MHS17" s="41"/>
      <c r="MHT17" s="41"/>
      <c r="MHU17" s="41"/>
      <c r="MHV17" s="41"/>
      <c r="MHW17" s="41"/>
      <c r="MHX17" s="41"/>
      <c r="MHY17" s="41"/>
      <c r="MHZ17" s="41"/>
      <c r="MIA17" s="41"/>
      <c r="MIB17" s="41"/>
      <c r="MIC17" s="41"/>
      <c r="MID17" s="41"/>
      <c r="MIE17" s="41"/>
      <c r="MIF17" s="41"/>
      <c r="MIG17" s="41"/>
      <c r="MIH17" s="41"/>
      <c r="MII17" s="41"/>
      <c r="MIJ17" s="41"/>
      <c r="MIK17" s="41"/>
      <c r="MIL17" s="41"/>
      <c r="MIM17" s="41"/>
      <c r="MIN17" s="41"/>
      <c r="MIO17" s="41"/>
      <c r="MIP17" s="41"/>
      <c r="MIQ17" s="41"/>
      <c r="MIR17" s="41"/>
      <c r="MIS17" s="41"/>
      <c r="MIT17" s="41"/>
      <c r="MIU17" s="41"/>
      <c r="MIV17" s="41"/>
      <c r="MIW17" s="41"/>
      <c r="MIX17" s="41"/>
      <c r="MIY17" s="41"/>
      <c r="MIZ17" s="41"/>
      <c r="MJA17" s="41"/>
      <c r="MJB17" s="41"/>
      <c r="MJC17" s="41"/>
      <c r="MJD17" s="41"/>
      <c r="MJE17" s="41"/>
      <c r="MJF17" s="41"/>
      <c r="MJG17" s="41"/>
      <c r="MJH17" s="41"/>
      <c r="MJI17" s="41"/>
      <c r="MJJ17" s="41"/>
      <c r="MJK17" s="41"/>
      <c r="MJL17" s="41"/>
      <c r="MJM17" s="41"/>
      <c r="MJN17" s="41"/>
      <c r="MJO17" s="41"/>
      <c r="MJP17" s="41"/>
      <c r="MJQ17" s="41"/>
      <c r="MJR17" s="41"/>
      <c r="MJS17" s="41"/>
      <c r="MJT17" s="41"/>
      <c r="MJU17" s="41"/>
      <c r="MJV17" s="41"/>
      <c r="MJW17" s="41"/>
      <c r="MJX17" s="41"/>
      <c r="MJY17" s="41"/>
      <c r="MJZ17" s="41"/>
      <c r="MKA17" s="41"/>
      <c r="MKB17" s="41"/>
      <c r="MKC17" s="41"/>
      <c r="MKD17" s="41"/>
      <c r="MKE17" s="41"/>
      <c r="MKF17" s="41"/>
      <c r="MKG17" s="41"/>
      <c r="MKH17" s="41"/>
      <c r="MKI17" s="41"/>
      <c r="MKJ17" s="41"/>
      <c r="MKK17" s="41"/>
      <c r="MKL17" s="41"/>
      <c r="MKM17" s="41"/>
      <c r="MKN17" s="41"/>
      <c r="MKO17" s="41"/>
      <c r="MKP17" s="41"/>
      <c r="MKQ17" s="41"/>
      <c r="MKR17" s="41"/>
      <c r="MKS17" s="41"/>
      <c r="MKT17" s="41"/>
      <c r="MKU17" s="41"/>
      <c r="MKV17" s="41"/>
      <c r="MKW17" s="41"/>
      <c r="MKX17" s="41"/>
      <c r="MKY17" s="41"/>
      <c r="MKZ17" s="41"/>
      <c r="MLA17" s="41"/>
      <c r="MLB17" s="41"/>
      <c r="MLC17" s="41"/>
      <c r="MLD17" s="41"/>
      <c r="MLE17" s="41"/>
      <c r="MLF17" s="41"/>
      <c r="MLG17" s="41"/>
      <c r="MLH17" s="41"/>
      <c r="MLI17" s="41"/>
      <c r="MLJ17" s="41"/>
      <c r="MLK17" s="41"/>
      <c r="MLL17" s="41"/>
      <c r="MLM17" s="41"/>
      <c r="MLN17" s="41"/>
      <c r="MLO17" s="41"/>
      <c r="MLP17" s="41"/>
      <c r="MLQ17" s="41"/>
      <c r="MLR17" s="41"/>
      <c r="MLS17" s="41"/>
      <c r="MLT17" s="41"/>
      <c r="MLU17" s="41"/>
      <c r="MLV17" s="41"/>
      <c r="MLW17" s="41"/>
      <c r="MLX17" s="41"/>
      <c r="MLY17" s="41"/>
      <c r="MLZ17" s="41"/>
      <c r="MMA17" s="41"/>
      <c r="MMB17" s="41"/>
      <c r="MMC17" s="41"/>
      <c r="MMD17" s="41"/>
      <c r="MME17" s="41"/>
      <c r="MMF17" s="41"/>
      <c r="MMG17" s="41"/>
      <c r="MMH17" s="41"/>
      <c r="MMI17" s="41"/>
      <c r="MMJ17" s="41"/>
      <c r="MMK17" s="41"/>
      <c r="MML17" s="41"/>
      <c r="MMM17" s="41"/>
      <c r="MMN17" s="41"/>
      <c r="MMO17" s="41"/>
      <c r="MMP17" s="41"/>
      <c r="MMQ17" s="41"/>
      <c r="MMR17" s="41"/>
      <c r="MMS17" s="41"/>
      <c r="MMT17" s="41"/>
      <c r="MMU17" s="41"/>
      <c r="MMV17" s="41"/>
      <c r="MMW17" s="41"/>
      <c r="MMX17" s="41"/>
      <c r="MMY17" s="41"/>
      <c r="MMZ17" s="41"/>
      <c r="MNA17" s="41"/>
      <c r="MNB17" s="41"/>
      <c r="MNC17" s="41"/>
      <c r="MND17" s="41"/>
      <c r="MNE17" s="41"/>
      <c r="MNF17" s="41"/>
      <c r="MNG17" s="41"/>
      <c r="MNH17" s="41"/>
      <c r="MNI17" s="41"/>
      <c r="MNJ17" s="41"/>
      <c r="MNK17" s="41"/>
      <c r="MNL17" s="41"/>
      <c r="MNM17" s="41"/>
      <c r="MNN17" s="41"/>
      <c r="MNO17" s="41"/>
      <c r="MNP17" s="41"/>
      <c r="MNQ17" s="41"/>
      <c r="MNR17" s="41"/>
      <c r="MNS17" s="41"/>
      <c r="MNT17" s="41"/>
      <c r="MNU17" s="41"/>
      <c r="MNV17" s="41"/>
      <c r="MNW17" s="41"/>
      <c r="MNX17" s="41"/>
      <c r="MNY17" s="41"/>
      <c r="MNZ17" s="41"/>
      <c r="MOA17" s="41"/>
      <c r="MOB17" s="41"/>
      <c r="MOC17" s="41"/>
      <c r="MOD17" s="41"/>
      <c r="MOE17" s="41"/>
      <c r="MOF17" s="41"/>
      <c r="MOG17" s="41"/>
      <c r="MOH17" s="41"/>
      <c r="MOI17" s="41"/>
      <c r="MOJ17" s="41"/>
      <c r="MOK17" s="41"/>
      <c r="MOL17" s="41"/>
      <c r="MOM17" s="41"/>
      <c r="MON17" s="41"/>
      <c r="MOO17" s="41"/>
      <c r="MOP17" s="41"/>
      <c r="MOQ17" s="41"/>
      <c r="MOR17" s="41"/>
      <c r="MOS17" s="41"/>
      <c r="MOT17" s="41"/>
      <c r="MOU17" s="41"/>
      <c r="MOV17" s="41"/>
      <c r="MOW17" s="41"/>
      <c r="MOX17" s="41"/>
      <c r="MOY17" s="41"/>
      <c r="MOZ17" s="41"/>
      <c r="MPA17" s="41"/>
      <c r="MPB17" s="41"/>
      <c r="MPC17" s="41"/>
      <c r="MPD17" s="41"/>
      <c r="MPE17" s="41"/>
      <c r="MPF17" s="41"/>
      <c r="MPG17" s="41"/>
      <c r="MPH17" s="41"/>
      <c r="MPI17" s="41"/>
      <c r="MPJ17" s="41"/>
      <c r="MPK17" s="41"/>
      <c r="MPL17" s="41"/>
      <c r="MPM17" s="41"/>
      <c r="MPN17" s="41"/>
      <c r="MPO17" s="41"/>
      <c r="MPP17" s="41"/>
      <c r="MPQ17" s="41"/>
      <c r="MPR17" s="41"/>
      <c r="MPS17" s="41"/>
      <c r="MPT17" s="41"/>
      <c r="MPU17" s="41"/>
      <c r="MPV17" s="41"/>
      <c r="MPW17" s="41"/>
      <c r="MPX17" s="41"/>
      <c r="MPY17" s="41"/>
      <c r="MPZ17" s="41"/>
      <c r="MQA17" s="41"/>
      <c r="MQB17" s="41"/>
      <c r="MQC17" s="41"/>
      <c r="MQD17" s="41"/>
      <c r="MQE17" s="41"/>
      <c r="MQF17" s="41"/>
      <c r="MQG17" s="41"/>
      <c r="MQH17" s="41"/>
      <c r="MQI17" s="41"/>
      <c r="MQJ17" s="41"/>
      <c r="MQK17" s="41"/>
      <c r="MQL17" s="41"/>
      <c r="MQM17" s="41"/>
      <c r="MQN17" s="41"/>
      <c r="MQO17" s="41"/>
      <c r="MQP17" s="41"/>
      <c r="MQQ17" s="41"/>
      <c r="MQR17" s="41"/>
      <c r="MQS17" s="41"/>
      <c r="MQT17" s="41"/>
      <c r="MQU17" s="41"/>
      <c r="MQV17" s="41"/>
      <c r="MQW17" s="41"/>
      <c r="MQX17" s="41"/>
      <c r="MQY17" s="41"/>
      <c r="MQZ17" s="41"/>
      <c r="MRA17" s="41"/>
      <c r="MRB17" s="41"/>
      <c r="MRC17" s="41"/>
      <c r="MRD17" s="41"/>
      <c r="MRE17" s="41"/>
      <c r="MRF17" s="41"/>
      <c r="MRG17" s="41"/>
      <c r="MRH17" s="41"/>
      <c r="MRI17" s="41"/>
      <c r="MRJ17" s="41"/>
      <c r="MRK17" s="41"/>
      <c r="MRL17" s="41"/>
      <c r="MRM17" s="41"/>
      <c r="MRN17" s="41"/>
      <c r="MRO17" s="41"/>
      <c r="MRP17" s="41"/>
      <c r="MRQ17" s="41"/>
      <c r="MRR17" s="41"/>
      <c r="MRS17" s="41"/>
      <c r="MRT17" s="41"/>
      <c r="MRU17" s="41"/>
      <c r="MRV17" s="41"/>
      <c r="MRW17" s="41"/>
      <c r="MRX17" s="41"/>
      <c r="MRY17" s="41"/>
      <c r="MRZ17" s="41"/>
      <c r="MSA17" s="41"/>
      <c r="MSB17" s="41"/>
      <c r="MSC17" s="41"/>
      <c r="MSD17" s="41"/>
      <c r="MSE17" s="41"/>
      <c r="MSF17" s="41"/>
      <c r="MSG17" s="41"/>
      <c r="MSH17" s="41"/>
      <c r="MSI17" s="41"/>
      <c r="MSJ17" s="41"/>
      <c r="MSK17" s="41"/>
      <c r="MSL17" s="41"/>
      <c r="MSM17" s="41"/>
      <c r="MSN17" s="41"/>
      <c r="MSO17" s="41"/>
      <c r="MSP17" s="41"/>
      <c r="MSQ17" s="41"/>
      <c r="MSR17" s="41"/>
      <c r="MSS17" s="41"/>
      <c r="MST17" s="41"/>
      <c r="MSU17" s="41"/>
      <c r="MSV17" s="41"/>
      <c r="MSW17" s="41"/>
      <c r="MSX17" s="41"/>
      <c r="MSY17" s="41"/>
      <c r="MSZ17" s="41"/>
      <c r="MTA17" s="41"/>
      <c r="MTB17" s="41"/>
      <c r="MTC17" s="41"/>
      <c r="MTD17" s="41"/>
      <c r="MTE17" s="41"/>
      <c r="MTF17" s="41"/>
      <c r="MTG17" s="41"/>
      <c r="MTH17" s="41"/>
      <c r="MTI17" s="41"/>
      <c r="MTJ17" s="41"/>
      <c r="MTK17" s="41"/>
      <c r="MTL17" s="41"/>
      <c r="MTM17" s="41"/>
      <c r="MTN17" s="41"/>
      <c r="MTO17" s="41"/>
      <c r="MTP17" s="41"/>
      <c r="MTQ17" s="41"/>
      <c r="MTR17" s="41"/>
      <c r="MTS17" s="41"/>
      <c r="MTT17" s="41"/>
      <c r="MTU17" s="41"/>
      <c r="MTV17" s="41"/>
      <c r="MTW17" s="41"/>
      <c r="MTX17" s="41"/>
      <c r="MTY17" s="41"/>
      <c r="MTZ17" s="41"/>
      <c r="MUA17" s="41"/>
      <c r="MUB17" s="41"/>
      <c r="MUC17" s="41"/>
      <c r="MUD17" s="41"/>
      <c r="MUE17" s="41"/>
      <c r="MUF17" s="41"/>
      <c r="MUG17" s="41"/>
      <c r="MUH17" s="41"/>
      <c r="MUI17" s="41"/>
      <c r="MUJ17" s="41"/>
      <c r="MUK17" s="41"/>
      <c r="MUL17" s="41"/>
      <c r="MUM17" s="41"/>
      <c r="MUN17" s="41"/>
      <c r="MUO17" s="41"/>
      <c r="MUP17" s="41"/>
      <c r="MUQ17" s="41"/>
      <c r="MUR17" s="41"/>
      <c r="MUS17" s="41"/>
      <c r="MUT17" s="41"/>
      <c r="MUU17" s="41"/>
      <c r="MUV17" s="41"/>
      <c r="MUW17" s="41"/>
      <c r="MUX17" s="41"/>
      <c r="MUY17" s="41"/>
      <c r="MUZ17" s="41"/>
      <c r="MVA17" s="41"/>
      <c r="MVB17" s="41"/>
      <c r="MVC17" s="41"/>
      <c r="MVD17" s="41"/>
      <c r="MVE17" s="41"/>
      <c r="MVF17" s="41"/>
      <c r="MVG17" s="41"/>
      <c r="MVH17" s="41"/>
      <c r="MVI17" s="41"/>
      <c r="MVJ17" s="41"/>
      <c r="MVK17" s="41"/>
      <c r="MVL17" s="41"/>
      <c r="MVM17" s="41"/>
      <c r="MVN17" s="41"/>
      <c r="MVO17" s="41"/>
      <c r="MVP17" s="41"/>
      <c r="MVQ17" s="41"/>
      <c r="MVR17" s="41"/>
      <c r="MVS17" s="41"/>
      <c r="MVT17" s="41"/>
      <c r="MVU17" s="41"/>
      <c r="MVV17" s="41"/>
      <c r="MVW17" s="41"/>
      <c r="MVX17" s="41"/>
      <c r="MVY17" s="41"/>
      <c r="MVZ17" s="41"/>
      <c r="MWA17" s="41"/>
      <c r="MWB17" s="41"/>
      <c r="MWC17" s="41"/>
      <c r="MWD17" s="41"/>
      <c r="MWE17" s="41"/>
      <c r="MWF17" s="41"/>
      <c r="MWG17" s="41"/>
      <c r="MWH17" s="41"/>
      <c r="MWI17" s="41"/>
      <c r="MWJ17" s="41"/>
      <c r="MWK17" s="41"/>
      <c r="MWL17" s="41"/>
      <c r="MWM17" s="41"/>
      <c r="MWN17" s="41"/>
      <c r="MWO17" s="41"/>
      <c r="MWP17" s="41"/>
      <c r="MWQ17" s="41"/>
      <c r="MWR17" s="41"/>
      <c r="MWS17" s="41"/>
      <c r="MWT17" s="41"/>
      <c r="MWU17" s="41"/>
      <c r="MWV17" s="41"/>
      <c r="MWW17" s="41"/>
      <c r="MWX17" s="41"/>
      <c r="MWY17" s="41"/>
      <c r="MWZ17" s="41"/>
      <c r="MXA17" s="41"/>
      <c r="MXB17" s="41"/>
      <c r="MXC17" s="41"/>
      <c r="MXD17" s="41"/>
      <c r="MXE17" s="41"/>
      <c r="MXF17" s="41"/>
      <c r="MXG17" s="41"/>
      <c r="MXH17" s="41"/>
      <c r="MXI17" s="41"/>
      <c r="MXJ17" s="41"/>
      <c r="MXK17" s="41"/>
      <c r="MXL17" s="41"/>
      <c r="MXM17" s="41"/>
      <c r="MXN17" s="41"/>
      <c r="MXO17" s="41"/>
      <c r="MXP17" s="41"/>
      <c r="MXQ17" s="41"/>
      <c r="MXR17" s="41"/>
      <c r="MXS17" s="41"/>
      <c r="MXT17" s="41"/>
      <c r="MXU17" s="41"/>
      <c r="MXV17" s="41"/>
      <c r="MXW17" s="41"/>
      <c r="MXX17" s="41"/>
      <c r="MXY17" s="41"/>
      <c r="MXZ17" s="41"/>
      <c r="MYA17" s="41"/>
      <c r="MYB17" s="41"/>
      <c r="MYC17" s="41"/>
      <c r="MYD17" s="41"/>
      <c r="MYE17" s="41"/>
      <c r="MYF17" s="41"/>
      <c r="MYG17" s="41"/>
      <c r="MYH17" s="41"/>
      <c r="MYI17" s="41"/>
      <c r="MYJ17" s="41"/>
      <c r="MYK17" s="41"/>
      <c r="MYL17" s="41"/>
      <c r="MYM17" s="41"/>
      <c r="MYN17" s="41"/>
      <c r="MYO17" s="41"/>
      <c r="MYP17" s="41"/>
      <c r="MYQ17" s="41"/>
      <c r="MYR17" s="41"/>
      <c r="MYS17" s="41"/>
      <c r="MYT17" s="41"/>
      <c r="MYU17" s="41"/>
      <c r="MYV17" s="41"/>
      <c r="MYW17" s="41"/>
      <c r="MYX17" s="41"/>
      <c r="MYY17" s="41"/>
      <c r="MYZ17" s="41"/>
      <c r="MZA17" s="41"/>
      <c r="MZB17" s="41"/>
      <c r="MZC17" s="41"/>
      <c r="MZD17" s="41"/>
      <c r="MZE17" s="41"/>
      <c r="MZF17" s="41"/>
      <c r="MZG17" s="41"/>
      <c r="MZH17" s="41"/>
      <c r="MZI17" s="41"/>
      <c r="MZJ17" s="41"/>
      <c r="MZK17" s="41"/>
      <c r="MZL17" s="41"/>
      <c r="MZM17" s="41"/>
      <c r="MZN17" s="41"/>
      <c r="MZO17" s="41"/>
      <c r="MZP17" s="41"/>
      <c r="MZQ17" s="41"/>
      <c r="MZR17" s="41"/>
      <c r="MZS17" s="41"/>
      <c r="MZT17" s="41"/>
      <c r="MZU17" s="41"/>
      <c r="MZV17" s="41"/>
      <c r="MZW17" s="41"/>
      <c r="MZX17" s="41"/>
      <c r="MZY17" s="41"/>
      <c r="MZZ17" s="41"/>
      <c r="NAA17" s="41"/>
      <c r="NAB17" s="41"/>
      <c r="NAC17" s="41"/>
      <c r="NAD17" s="41"/>
      <c r="NAE17" s="41"/>
      <c r="NAF17" s="41"/>
      <c r="NAG17" s="41"/>
      <c r="NAH17" s="41"/>
      <c r="NAI17" s="41"/>
      <c r="NAJ17" s="41"/>
      <c r="NAK17" s="41"/>
      <c r="NAL17" s="41"/>
      <c r="NAM17" s="41"/>
      <c r="NAN17" s="41"/>
      <c r="NAO17" s="41"/>
      <c r="NAP17" s="41"/>
      <c r="NAQ17" s="41"/>
      <c r="NAR17" s="41"/>
      <c r="NAS17" s="41"/>
      <c r="NAT17" s="41"/>
      <c r="NAU17" s="41"/>
      <c r="NAV17" s="41"/>
      <c r="NAW17" s="41"/>
      <c r="NAX17" s="41"/>
      <c r="NAY17" s="41"/>
      <c r="NAZ17" s="41"/>
      <c r="NBA17" s="41"/>
      <c r="NBB17" s="41"/>
      <c r="NBC17" s="41"/>
      <c r="NBD17" s="41"/>
      <c r="NBE17" s="41"/>
      <c r="NBF17" s="41"/>
      <c r="NBG17" s="41"/>
      <c r="NBH17" s="41"/>
      <c r="NBI17" s="41"/>
      <c r="NBJ17" s="41"/>
      <c r="NBK17" s="41"/>
      <c r="NBL17" s="41"/>
      <c r="NBM17" s="41"/>
      <c r="NBN17" s="41"/>
      <c r="NBO17" s="41"/>
      <c r="NBP17" s="41"/>
      <c r="NBQ17" s="41"/>
      <c r="NBR17" s="41"/>
      <c r="NBS17" s="41"/>
      <c r="NBT17" s="41"/>
      <c r="NBU17" s="41"/>
      <c r="NBV17" s="41"/>
      <c r="NBW17" s="41"/>
      <c r="NBX17" s="41"/>
      <c r="NBY17" s="41"/>
      <c r="NBZ17" s="41"/>
      <c r="NCA17" s="41"/>
      <c r="NCB17" s="41"/>
      <c r="NCC17" s="41"/>
      <c r="NCD17" s="41"/>
      <c r="NCE17" s="41"/>
      <c r="NCF17" s="41"/>
      <c r="NCG17" s="41"/>
      <c r="NCH17" s="41"/>
      <c r="NCI17" s="41"/>
      <c r="NCJ17" s="41"/>
      <c r="NCK17" s="41"/>
      <c r="NCL17" s="41"/>
      <c r="NCM17" s="41"/>
      <c r="NCN17" s="41"/>
      <c r="NCO17" s="41"/>
      <c r="NCP17" s="41"/>
      <c r="NCQ17" s="41"/>
      <c r="NCR17" s="41"/>
      <c r="NCS17" s="41"/>
      <c r="NCT17" s="41"/>
      <c r="NCU17" s="41"/>
      <c r="NCV17" s="41"/>
      <c r="NCW17" s="41"/>
      <c r="NCX17" s="41"/>
      <c r="NCY17" s="41"/>
      <c r="NCZ17" s="41"/>
      <c r="NDA17" s="41"/>
      <c r="NDB17" s="41"/>
      <c r="NDC17" s="41"/>
      <c r="NDD17" s="41"/>
      <c r="NDE17" s="41"/>
      <c r="NDF17" s="41"/>
      <c r="NDG17" s="41"/>
      <c r="NDH17" s="41"/>
      <c r="NDI17" s="41"/>
      <c r="NDJ17" s="41"/>
      <c r="NDK17" s="41"/>
      <c r="NDL17" s="41"/>
      <c r="NDM17" s="41"/>
      <c r="NDN17" s="41"/>
      <c r="NDO17" s="41"/>
      <c r="NDP17" s="41"/>
      <c r="NDQ17" s="41"/>
      <c r="NDR17" s="41"/>
      <c r="NDS17" s="41"/>
      <c r="NDT17" s="41"/>
      <c r="NDU17" s="41"/>
      <c r="NDV17" s="41"/>
      <c r="NDW17" s="41"/>
      <c r="NDX17" s="41"/>
      <c r="NDY17" s="41"/>
      <c r="NDZ17" s="41"/>
      <c r="NEA17" s="41"/>
      <c r="NEB17" s="41"/>
      <c r="NEC17" s="41"/>
      <c r="NED17" s="41"/>
      <c r="NEE17" s="41"/>
      <c r="NEF17" s="41"/>
      <c r="NEG17" s="41"/>
      <c r="NEH17" s="41"/>
      <c r="NEI17" s="41"/>
      <c r="NEJ17" s="41"/>
      <c r="NEK17" s="41"/>
      <c r="NEL17" s="41"/>
      <c r="NEM17" s="41"/>
      <c r="NEN17" s="41"/>
      <c r="NEO17" s="41"/>
      <c r="NEP17" s="41"/>
      <c r="NEQ17" s="41"/>
      <c r="NER17" s="41"/>
      <c r="NES17" s="41"/>
      <c r="NET17" s="41"/>
      <c r="NEU17" s="41"/>
      <c r="NEV17" s="41"/>
      <c r="NEW17" s="41"/>
      <c r="NEX17" s="41"/>
      <c r="NEY17" s="41"/>
      <c r="NEZ17" s="41"/>
      <c r="NFA17" s="41"/>
      <c r="NFB17" s="41"/>
      <c r="NFC17" s="41"/>
      <c r="NFD17" s="41"/>
      <c r="NFE17" s="41"/>
      <c r="NFF17" s="41"/>
      <c r="NFG17" s="41"/>
      <c r="NFH17" s="41"/>
      <c r="NFI17" s="41"/>
      <c r="NFJ17" s="41"/>
      <c r="NFK17" s="41"/>
      <c r="NFL17" s="41"/>
      <c r="NFM17" s="41"/>
      <c r="NFN17" s="41"/>
      <c r="NFO17" s="41"/>
      <c r="NFP17" s="41"/>
      <c r="NFQ17" s="41"/>
      <c r="NFR17" s="41"/>
      <c r="NFS17" s="41"/>
      <c r="NFT17" s="41"/>
      <c r="NFU17" s="41"/>
      <c r="NFV17" s="41"/>
      <c r="NFW17" s="41"/>
      <c r="NFX17" s="41"/>
      <c r="NFY17" s="41"/>
      <c r="NFZ17" s="41"/>
      <c r="NGA17" s="41"/>
      <c r="NGB17" s="41"/>
      <c r="NGC17" s="41"/>
      <c r="NGD17" s="41"/>
      <c r="NGE17" s="41"/>
      <c r="NGF17" s="41"/>
      <c r="NGG17" s="41"/>
      <c r="NGH17" s="41"/>
      <c r="NGI17" s="41"/>
      <c r="NGJ17" s="41"/>
      <c r="NGK17" s="41"/>
      <c r="NGL17" s="41"/>
      <c r="NGM17" s="41"/>
      <c r="NGN17" s="41"/>
      <c r="NGO17" s="41"/>
      <c r="NGP17" s="41"/>
      <c r="NGQ17" s="41"/>
      <c r="NGR17" s="41"/>
      <c r="NGS17" s="41"/>
      <c r="NGT17" s="41"/>
      <c r="NGU17" s="41"/>
      <c r="NGV17" s="41"/>
      <c r="NGW17" s="41"/>
      <c r="NGX17" s="41"/>
      <c r="NGY17" s="41"/>
      <c r="NGZ17" s="41"/>
      <c r="NHA17" s="41"/>
      <c r="NHB17" s="41"/>
      <c r="NHC17" s="41"/>
      <c r="NHD17" s="41"/>
      <c r="NHE17" s="41"/>
      <c r="NHF17" s="41"/>
      <c r="NHG17" s="41"/>
      <c r="NHH17" s="41"/>
      <c r="NHI17" s="41"/>
      <c r="NHJ17" s="41"/>
      <c r="NHK17" s="41"/>
      <c r="NHL17" s="41"/>
      <c r="NHM17" s="41"/>
      <c r="NHN17" s="41"/>
      <c r="NHO17" s="41"/>
      <c r="NHP17" s="41"/>
      <c r="NHQ17" s="41"/>
      <c r="NHR17" s="41"/>
      <c r="NHS17" s="41"/>
      <c r="NHT17" s="41"/>
      <c r="NHU17" s="41"/>
      <c r="NHV17" s="41"/>
      <c r="NHW17" s="41"/>
      <c r="NHX17" s="41"/>
      <c r="NHY17" s="41"/>
      <c r="NHZ17" s="41"/>
      <c r="NIA17" s="41"/>
      <c r="NIB17" s="41"/>
      <c r="NIC17" s="41"/>
      <c r="NID17" s="41"/>
      <c r="NIE17" s="41"/>
      <c r="NIF17" s="41"/>
      <c r="NIG17" s="41"/>
      <c r="NIH17" s="41"/>
      <c r="NII17" s="41"/>
      <c r="NIJ17" s="41"/>
      <c r="NIK17" s="41"/>
      <c r="NIL17" s="41"/>
      <c r="NIM17" s="41"/>
      <c r="NIN17" s="41"/>
      <c r="NIO17" s="41"/>
      <c r="NIP17" s="41"/>
      <c r="NIQ17" s="41"/>
      <c r="NIR17" s="41"/>
      <c r="NIS17" s="41"/>
      <c r="NIT17" s="41"/>
      <c r="NIU17" s="41"/>
      <c r="NIV17" s="41"/>
      <c r="NIW17" s="41"/>
      <c r="NIX17" s="41"/>
      <c r="NIY17" s="41"/>
      <c r="NIZ17" s="41"/>
      <c r="NJA17" s="41"/>
      <c r="NJB17" s="41"/>
      <c r="NJC17" s="41"/>
      <c r="NJD17" s="41"/>
      <c r="NJE17" s="41"/>
      <c r="NJF17" s="41"/>
      <c r="NJG17" s="41"/>
      <c r="NJH17" s="41"/>
      <c r="NJI17" s="41"/>
      <c r="NJJ17" s="41"/>
      <c r="NJK17" s="41"/>
      <c r="NJL17" s="41"/>
      <c r="NJM17" s="41"/>
      <c r="NJN17" s="41"/>
      <c r="NJO17" s="41"/>
      <c r="NJP17" s="41"/>
      <c r="NJQ17" s="41"/>
      <c r="NJR17" s="41"/>
      <c r="NJS17" s="41"/>
      <c r="NJT17" s="41"/>
      <c r="NJU17" s="41"/>
      <c r="NJV17" s="41"/>
      <c r="NJW17" s="41"/>
      <c r="NJX17" s="41"/>
      <c r="NJY17" s="41"/>
      <c r="NJZ17" s="41"/>
      <c r="NKA17" s="41"/>
      <c r="NKB17" s="41"/>
      <c r="NKC17" s="41"/>
      <c r="NKD17" s="41"/>
      <c r="NKE17" s="41"/>
      <c r="NKF17" s="41"/>
      <c r="NKG17" s="41"/>
      <c r="NKH17" s="41"/>
      <c r="NKI17" s="41"/>
      <c r="NKJ17" s="41"/>
      <c r="NKK17" s="41"/>
      <c r="NKL17" s="41"/>
      <c r="NKM17" s="41"/>
      <c r="NKN17" s="41"/>
      <c r="NKO17" s="41"/>
      <c r="NKP17" s="41"/>
      <c r="NKQ17" s="41"/>
      <c r="NKR17" s="41"/>
      <c r="NKS17" s="41"/>
      <c r="NKT17" s="41"/>
      <c r="NKU17" s="41"/>
      <c r="NKV17" s="41"/>
      <c r="NKW17" s="41"/>
      <c r="NKX17" s="41"/>
      <c r="NKY17" s="41"/>
      <c r="NKZ17" s="41"/>
      <c r="NLA17" s="41"/>
      <c r="NLB17" s="41"/>
      <c r="NLC17" s="41"/>
      <c r="NLD17" s="41"/>
      <c r="NLE17" s="41"/>
      <c r="NLF17" s="41"/>
      <c r="NLG17" s="41"/>
      <c r="NLH17" s="41"/>
      <c r="NLI17" s="41"/>
      <c r="NLJ17" s="41"/>
      <c r="NLK17" s="41"/>
      <c r="NLL17" s="41"/>
      <c r="NLM17" s="41"/>
      <c r="NLN17" s="41"/>
      <c r="NLO17" s="41"/>
      <c r="NLP17" s="41"/>
      <c r="NLQ17" s="41"/>
      <c r="NLR17" s="41"/>
      <c r="NLS17" s="41"/>
      <c r="NLT17" s="41"/>
      <c r="NLU17" s="41"/>
      <c r="NLV17" s="41"/>
      <c r="NLW17" s="41"/>
      <c r="NLX17" s="41"/>
      <c r="NLY17" s="41"/>
      <c r="NLZ17" s="41"/>
      <c r="NMA17" s="41"/>
      <c r="NMB17" s="41"/>
      <c r="NMC17" s="41"/>
      <c r="NMD17" s="41"/>
      <c r="NME17" s="41"/>
      <c r="NMF17" s="41"/>
      <c r="NMG17" s="41"/>
      <c r="NMH17" s="41"/>
      <c r="NMI17" s="41"/>
      <c r="NMJ17" s="41"/>
      <c r="NMK17" s="41"/>
      <c r="NML17" s="41"/>
      <c r="NMM17" s="41"/>
      <c r="NMN17" s="41"/>
      <c r="NMO17" s="41"/>
      <c r="NMP17" s="41"/>
      <c r="NMQ17" s="41"/>
      <c r="NMR17" s="41"/>
      <c r="NMS17" s="41"/>
      <c r="NMT17" s="41"/>
      <c r="NMU17" s="41"/>
      <c r="NMV17" s="41"/>
      <c r="NMW17" s="41"/>
      <c r="NMX17" s="41"/>
      <c r="NMY17" s="41"/>
      <c r="NMZ17" s="41"/>
      <c r="NNA17" s="41"/>
      <c r="NNB17" s="41"/>
      <c r="NNC17" s="41"/>
      <c r="NND17" s="41"/>
      <c r="NNE17" s="41"/>
      <c r="NNF17" s="41"/>
      <c r="NNG17" s="41"/>
      <c r="NNH17" s="41"/>
      <c r="NNI17" s="41"/>
      <c r="NNJ17" s="41"/>
      <c r="NNK17" s="41"/>
      <c r="NNL17" s="41"/>
      <c r="NNM17" s="41"/>
      <c r="NNN17" s="41"/>
      <c r="NNO17" s="41"/>
      <c r="NNP17" s="41"/>
      <c r="NNQ17" s="41"/>
      <c r="NNR17" s="41"/>
      <c r="NNS17" s="41"/>
      <c r="NNT17" s="41"/>
      <c r="NNU17" s="41"/>
      <c r="NNV17" s="41"/>
      <c r="NNW17" s="41"/>
      <c r="NNX17" s="41"/>
      <c r="NNY17" s="41"/>
      <c r="NNZ17" s="41"/>
      <c r="NOA17" s="41"/>
      <c r="NOB17" s="41"/>
      <c r="NOC17" s="41"/>
      <c r="NOD17" s="41"/>
      <c r="NOE17" s="41"/>
      <c r="NOF17" s="41"/>
      <c r="NOG17" s="41"/>
      <c r="NOH17" s="41"/>
      <c r="NOI17" s="41"/>
      <c r="NOJ17" s="41"/>
      <c r="NOK17" s="41"/>
      <c r="NOL17" s="41"/>
      <c r="NOM17" s="41"/>
      <c r="NON17" s="41"/>
      <c r="NOO17" s="41"/>
      <c r="NOP17" s="41"/>
      <c r="NOQ17" s="41"/>
      <c r="NOR17" s="41"/>
      <c r="NOS17" s="41"/>
      <c r="NOT17" s="41"/>
      <c r="NOU17" s="41"/>
      <c r="NOV17" s="41"/>
      <c r="NOW17" s="41"/>
      <c r="NOX17" s="41"/>
      <c r="NOY17" s="41"/>
      <c r="NOZ17" s="41"/>
      <c r="NPA17" s="41"/>
      <c r="NPB17" s="41"/>
      <c r="NPC17" s="41"/>
      <c r="NPD17" s="41"/>
      <c r="NPE17" s="41"/>
      <c r="NPF17" s="41"/>
      <c r="NPG17" s="41"/>
      <c r="NPH17" s="41"/>
      <c r="NPI17" s="41"/>
      <c r="NPJ17" s="41"/>
      <c r="NPK17" s="41"/>
      <c r="NPL17" s="41"/>
      <c r="NPM17" s="41"/>
      <c r="NPN17" s="41"/>
      <c r="NPO17" s="41"/>
      <c r="NPP17" s="41"/>
      <c r="NPQ17" s="41"/>
      <c r="NPR17" s="41"/>
      <c r="NPS17" s="41"/>
      <c r="NPT17" s="41"/>
      <c r="NPU17" s="41"/>
      <c r="NPV17" s="41"/>
      <c r="NPW17" s="41"/>
      <c r="NPX17" s="41"/>
      <c r="NPY17" s="41"/>
      <c r="NPZ17" s="41"/>
      <c r="NQA17" s="41"/>
      <c r="NQB17" s="41"/>
      <c r="NQC17" s="41"/>
      <c r="NQD17" s="41"/>
      <c r="NQE17" s="41"/>
      <c r="NQF17" s="41"/>
      <c r="NQG17" s="41"/>
      <c r="NQH17" s="41"/>
      <c r="NQI17" s="41"/>
      <c r="NQJ17" s="41"/>
      <c r="NQK17" s="41"/>
      <c r="NQL17" s="41"/>
      <c r="NQM17" s="41"/>
      <c r="NQN17" s="41"/>
      <c r="NQO17" s="41"/>
      <c r="NQP17" s="41"/>
      <c r="NQQ17" s="41"/>
      <c r="NQR17" s="41"/>
      <c r="NQS17" s="41"/>
      <c r="NQT17" s="41"/>
      <c r="NQU17" s="41"/>
      <c r="NQV17" s="41"/>
      <c r="NQW17" s="41"/>
      <c r="NQX17" s="41"/>
      <c r="NQY17" s="41"/>
      <c r="NQZ17" s="41"/>
      <c r="NRA17" s="41"/>
      <c r="NRB17" s="41"/>
      <c r="NRC17" s="41"/>
      <c r="NRD17" s="41"/>
      <c r="NRE17" s="41"/>
      <c r="NRF17" s="41"/>
      <c r="NRG17" s="41"/>
      <c r="NRH17" s="41"/>
      <c r="NRI17" s="41"/>
      <c r="NRJ17" s="41"/>
      <c r="NRK17" s="41"/>
      <c r="NRL17" s="41"/>
      <c r="NRM17" s="41"/>
      <c r="NRN17" s="41"/>
      <c r="NRO17" s="41"/>
      <c r="NRP17" s="41"/>
      <c r="NRQ17" s="41"/>
      <c r="NRR17" s="41"/>
      <c r="NRS17" s="41"/>
      <c r="NRT17" s="41"/>
      <c r="NRU17" s="41"/>
      <c r="NRV17" s="41"/>
      <c r="NRW17" s="41"/>
      <c r="NRX17" s="41"/>
      <c r="NRY17" s="41"/>
      <c r="NRZ17" s="41"/>
      <c r="NSA17" s="41"/>
      <c r="NSB17" s="41"/>
      <c r="NSC17" s="41"/>
      <c r="NSD17" s="41"/>
      <c r="NSE17" s="41"/>
      <c r="NSF17" s="41"/>
      <c r="NSG17" s="41"/>
      <c r="NSH17" s="41"/>
      <c r="NSI17" s="41"/>
      <c r="NSJ17" s="41"/>
      <c r="NSK17" s="41"/>
      <c r="NSL17" s="41"/>
      <c r="NSM17" s="41"/>
      <c r="NSN17" s="41"/>
      <c r="NSO17" s="41"/>
      <c r="NSP17" s="41"/>
      <c r="NSQ17" s="41"/>
      <c r="NSR17" s="41"/>
      <c r="NSS17" s="41"/>
      <c r="NST17" s="41"/>
      <c r="NSU17" s="41"/>
      <c r="NSV17" s="41"/>
      <c r="NSW17" s="41"/>
      <c r="NSX17" s="41"/>
      <c r="NSY17" s="41"/>
      <c r="NSZ17" s="41"/>
      <c r="NTA17" s="41"/>
      <c r="NTB17" s="41"/>
      <c r="NTC17" s="41"/>
      <c r="NTD17" s="41"/>
      <c r="NTE17" s="41"/>
      <c r="NTF17" s="41"/>
      <c r="NTG17" s="41"/>
      <c r="NTH17" s="41"/>
      <c r="NTI17" s="41"/>
      <c r="NTJ17" s="41"/>
      <c r="NTK17" s="41"/>
      <c r="NTL17" s="41"/>
      <c r="NTM17" s="41"/>
      <c r="NTN17" s="41"/>
      <c r="NTO17" s="41"/>
      <c r="NTP17" s="41"/>
      <c r="NTQ17" s="41"/>
      <c r="NTR17" s="41"/>
      <c r="NTS17" s="41"/>
      <c r="NTT17" s="41"/>
      <c r="NTU17" s="41"/>
      <c r="NTV17" s="41"/>
      <c r="NTW17" s="41"/>
      <c r="NTX17" s="41"/>
      <c r="NTY17" s="41"/>
      <c r="NTZ17" s="41"/>
      <c r="NUA17" s="41"/>
      <c r="NUB17" s="41"/>
      <c r="NUC17" s="41"/>
      <c r="NUD17" s="41"/>
      <c r="NUE17" s="41"/>
      <c r="NUF17" s="41"/>
      <c r="NUG17" s="41"/>
      <c r="NUH17" s="41"/>
      <c r="NUI17" s="41"/>
      <c r="NUJ17" s="41"/>
      <c r="NUK17" s="41"/>
      <c r="NUL17" s="41"/>
      <c r="NUM17" s="41"/>
      <c r="NUN17" s="41"/>
      <c r="NUO17" s="41"/>
      <c r="NUP17" s="41"/>
      <c r="NUQ17" s="41"/>
      <c r="NUR17" s="41"/>
      <c r="NUS17" s="41"/>
      <c r="NUT17" s="41"/>
      <c r="NUU17" s="41"/>
      <c r="NUV17" s="41"/>
      <c r="NUW17" s="41"/>
      <c r="NUX17" s="41"/>
      <c r="NUY17" s="41"/>
      <c r="NUZ17" s="41"/>
      <c r="NVA17" s="41"/>
      <c r="NVB17" s="41"/>
      <c r="NVC17" s="41"/>
      <c r="NVD17" s="41"/>
      <c r="NVE17" s="41"/>
      <c r="NVF17" s="41"/>
      <c r="NVG17" s="41"/>
      <c r="NVH17" s="41"/>
      <c r="NVI17" s="41"/>
      <c r="NVJ17" s="41"/>
      <c r="NVK17" s="41"/>
      <c r="NVL17" s="41"/>
      <c r="NVM17" s="41"/>
      <c r="NVN17" s="41"/>
      <c r="NVO17" s="41"/>
      <c r="NVP17" s="41"/>
      <c r="NVQ17" s="41"/>
      <c r="NVR17" s="41"/>
      <c r="NVS17" s="41"/>
      <c r="NVT17" s="41"/>
      <c r="NVU17" s="41"/>
      <c r="NVV17" s="41"/>
      <c r="NVW17" s="41"/>
      <c r="NVX17" s="41"/>
      <c r="NVY17" s="41"/>
      <c r="NVZ17" s="41"/>
      <c r="NWA17" s="41"/>
      <c r="NWB17" s="41"/>
      <c r="NWC17" s="41"/>
      <c r="NWD17" s="41"/>
      <c r="NWE17" s="41"/>
      <c r="NWF17" s="41"/>
      <c r="NWG17" s="41"/>
      <c r="NWH17" s="41"/>
      <c r="NWI17" s="41"/>
      <c r="NWJ17" s="41"/>
      <c r="NWK17" s="41"/>
      <c r="NWL17" s="41"/>
      <c r="NWM17" s="41"/>
      <c r="NWN17" s="41"/>
      <c r="NWO17" s="41"/>
      <c r="NWP17" s="41"/>
      <c r="NWQ17" s="41"/>
      <c r="NWR17" s="41"/>
      <c r="NWS17" s="41"/>
      <c r="NWT17" s="41"/>
      <c r="NWU17" s="41"/>
      <c r="NWV17" s="41"/>
      <c r="NWW17" s="41"/>
      <c r="NWX17" s="41"/>
      <c r="NWY17" s="41"/>
      <c r="NWZ17" s="41"/>
      <c r="NXA17" s="41"/>
      <c r="NXB17" s="41"/>
      <c r="NXC17" s="41"/>
      <c r="NXD17" s="41"/>
      <c r="NXE17" s="41"/>
      <c r="NXF17" s="41"/>
      <c r="NXG17" s="41"/>
      <c r="NXH17" s="41"/>
      <c r="NXI17" s="41"/>
      <c r="NXJ17" s="41"/>
      <c r="NXK17" s="41"/>
      <c r="NXL17" s="41"/>
      <c r="NXM17" s="41"/>
      <c r="NXN17" s="41"/>
      <c r="NXO17" s="41"/>
      <c r="NXP17" s="41"/>
      <c r="NXQ17" s="41"/>
      <c r="NXR17" s="41"/>
      <c r="NXS17" s="41"/>
      <c r="NXT17" s="41"/>
      <c r="NXU17" s="41"/>
      <c r="NXV17" s="41"/>
      <c r="NXW17" s="41"/>
      <c r="NXX17" s="41"/>
      <c r="NXY17" s="41"/>
      <c r="NXZ17" s="41"/>
      <c r="NYA17" s="41"/>
      <c r="NYB17" s="41"/>
      <c r="NYC17" s="41"/>
      <c r="NYD17" s="41"/>
      <c r="NYE17" s="41"/>
      <c r="NYF17" s="41"/>
      <c r="NYG17" s="41"/>
      <c r="NYH17" s="41"/>
      <c r="NYI17" s="41"/>
      <c r="NYJ17" s="41"/>
      <c r="NYK17" s="41"/>
      <c r="NYL17" s="41"/>
      <c r="NYM17" s="41"/>
      <c r="NYN17" s="41"/>
      <c r="NYO17" s="41"/>
      <c r="NYP17" s="41"/>
      <c r="NYQ17" s="41"/>
      <c r="NYR17" s="41"/>
      <c r="NYS17" s="41"/>
      <c r="NYT17" s="41"/>
      <c r="NYU17" s="41"/>
      <c r="NYV17" s="41"/>
      <c r="NYW17" s="41"/>
      <c r="NYX17" s="41"/>
      <c r="NYY17" s="41"/>
      <c r="NYZ17" s="41"/>
      <c r="NZA17" s="41"/>
      <c r="NZB17" s="41"/>
      <c r="NZC17" s="41"/>
      <c r="NZD17" s="41"/>
      <c r="NZE17" s="41"/>
      <c r="NZF17" s="41"/>
      <c r="NZG17" s="41"/>
      <c r="NZH17" s="41"/>
      <c r="NZI17" s="41"/>
      <c r="NZJ17" s="41"/>
      <c r="NZK17" s="41"/>
      <c r="NZL17" s="41"/>
      <c r="NZM17" s="41"/>
      <c r="NZN17" s="41"/>
      <c r="NZO17" s="41"/>
      <c r="NZP17" s="41"/>
      <c r="NZQ17" s="41"/>
      <c r="NZR17" s="41"/>
      <c r="NZS17" s="41"/>
      <c r="NZT17" s="41"/>
      <c r="NZU17" s="41"/>
      <c r="NZV17" s="41"/>
      <c r="NZW17" s="41"/>
      <c r="NZX17" s="41"/>
      <c r="NZY17" s="41"/>
      <c r="NZZ17" s="41"/>
      <c r="OAA17" s="41"/>
      <c r="OAB17" s="41"/>
      <c r="OAC17" s="41"/>
      <c r="OAD17" s="41"/>
      <c r="OAE17" s="41"/>
      <c r="OAF17" s="41"/>
      <c r="OAG17" s="41"/>
      <c r="OAH17" s="41"/>
      <c r="OAI17" s="41"/>
      <c r="OAJ17" s="41"/>
      <c r="OAK17" s="41"/>
      <c r="OAL17" s="41"/>
      <c r="OAM17" s="41"/>
      <c r="OAN17" s="41"/>
      <c r="OAO17" s="41"/>
      <c r="OAP17" s="41"/>
      <c r="OAQ17" s="41"/>
      <c r="OAR17" s="41"/>
      <c r="OAS17" s="41"/>
      <c r="OAT17" s="41"/>
      <c r="OAU17" s="41"/>
      <c r="OAV17" s="41"/>
      <c r="OAW17" s="41"/>
      <c r="OAX17" s="41"/>
      <c r="OAY17" s="41"/>
      <c r="OAZ17" s="41"/>
      <c r="OBA17" s="41"/>
      <c r="OBB17" s="41"/>
      <c r="OBC17" s="41"/>
      <c r="OBD17" s="41"/>
      <c r="OBE17" s="41"/>
      <c r="OBF17" s="41"/>
      <c r="OBG17" s="41"/>
      <c r="OBH17" s="41"/>
      <c r="OBI17" s="41"/>
      <c r="OBJ17" s="41"/>
      <c r="OBK17" s="41"/>
      <c r="OBL17" s="41"/>
      <c r="OBM17" s="41"/>
      <c r="OBN17" s="41"/>
      <c r="OBO17" s="41"/>
      <c r="OBP17" s="41"/>
      <c r="OBQ17" s="41"/>
      <c r="OBR17" s="41"/>
      <c r="OBS17" s="41"/>
      <c r="OBT17" s="41"/>
      <c r="OBU17" s="41"/>
      <c r="OBV17" s="41"/>
      <c r="OBW17" s="41"/>
      <c r="OBX17" s="41"/>
      <c r="OBY17" s="41"/>
      <c r="OBZ17" s="41"/>
      <c r="OCA17" s="41"/>
      <c r="OCB17" s="41"/>
      <c r="OCC17" s="41"/>
      <c r="OCD17" s="41"/>
      <c r="OCE17" s="41"/>
      <c r="OCF17" s="41"/>
      <c r="OCG17" s="41"/>
      <c r="OCH17" s="41"/>
      <c r="OCI17" s="41"/>
      <c r="OCJ17" s="41"/>
      <c r="OCK17" s="41"/>
      <c r="OCL17" s="41"/>
      <c r="OCM17" s="41"/>
      <c r="OCN17" s="41"/>
      <c r="OCO17" s="41"/>
      <c r="OCP17" s="41"/>
      <c r="OCQ17" s="41"/>
      <c r="OCR17" s="41"/>
      <c r="OCS17" s="41"/>
      <c r="OCT17" s="41"/>
      <c r="OCU17" s="41"/>
      <c r="OCV17" s="41"/>
      <c r="OCW17" s="41"/>
      <c r="OCX17" s="41"/>
      <c r="OCY17" s="41"/>
      <c r="OCZ17" s="41"/>
      <c r="ODA17" s="41"/>
      <c r="ODB17" s="41"/>
      <c r="ODC17" s="41"/>
      <c r="ODD17" s="41"/>
      <c r="ODE17" s="41"/>
      <c r="ODF17" s="41"/>
      <c r="ODG17" s="41"/>
      <c r="ODH17" s="41"/>
      <c r="ODI17" s="41"/>
      <c r="ODJ17" s="41"/>
      <c r="ODK17" s="41"/>
      <c r="ODL17" s="41"/>
      <c r="ODM17" s="41"/>
      <c r="ODN17" s="41"/>
      <c r="ODO17" s="41"/>
      <c r="ODP17" s="41"/>
      <c r="ODQ17" s="41"/>
      <c r="ODR17" s="41"/>
      <c r="ODS17" s="41"/>
      <c r="ODT17" s="41"/>
      <c r="ODU17" s="41"/>
      <c r="ODV17" s="41"/>
      <c r="ODW17" s="41"/>
      <c r="ODX17" s="41"/>
      <c r="ODY17" s="41"/>
      <c r="ODZ17" s="41"/>
      <c r="OEA17" s="41"/>
      <c r="OEB17" s="41"/>
      <c r="OEC17" s="41"/>
      <c r="OED17" s="41"/>
      <c r="OEE17" s="41"/>
      <c r="OEF17" s="41"/>
      <c r="OEG17" s="41"/>
      <c r="OEH17" s="41"/>
      <c r="OEI17" s="41"/>
      <c r="OEJ17" s="41"/>
      <c r="OEK17" s="41"/>
      <c r="OEL17" s="41"/>
      <c r="OEM17" s="41"/>
      <c r="OEN17" s="41"/>
      <c r="OEO17" s="41"/>
      <c r="OEP17" s="41"/>
      <c r="OEQ17" s="41"/>
      <c r="OER17" s="41"/>
      <c r="OES17" s="41"/>
      <c r="OET17" s="41"/>
      <c r="OEU17" s="41"/>
      <c r="OEV17" s="41"/>
      <c r="OEW17" s="41"/>
      <c r="OEX17" s="41"/>
      <c r="OEY17" s="41"/>
      <c r="OEZ17" s="41"/>
      <c r="OFA17" s="41"/>
      <c r="OFB17" s="41"/>
      <c r="OFC17" s="41"/>
      <c r="OFD17" s="41"/>
      <c r="OFE17" s="41"/>
      <c r="OFF17" s="41"/>
      <c r="OFG17" s="41"/>
      <c r="OFH17" s="41"/>
      <c r="OFI17" s="41"/>
      <c r="OFJ17" s="41"/>
      <c r="OFK17" s="41"/>
      <c r="OFL17" s="41"/>
      <c r="OFM17" s="41"/>
      <c r="OFN17" s="41"/>
      <c r="OFO17" s="41"/>
      <c r="OFP17" s="41"/>
      <c r="OFQ17" s="41"/>
      <c r="OFR17" s="41"/>
      <c r="OFS17" s="41"/>
      <c r="OFT17" s="41"/>
      <c r="OFU17" s="41"/>
      <c r="OFV17" s="41"/>
      <c r="OFW17" s="41"/>
      <c r="OFX17" s="41"/>
      <c r="OFY17" s="41"/>
      <c r="OFZ17" s="41"/>
      <c r="OGA17" s="41"/>
      <c r="OGB17" s="41"/>
      <c r="OGC17" s="41"/>
      <c r="OGD17" s="41"/>
      <c r="OGE17" s="41"/>
      <c r="OGF17" s="41"/>
      <c r="OGG17" s="41"/>
      <c r="OGH17" s="41"/>
      <c r="OGI17" s="41"/>
      <c r="OGJ17" s="41"/>
      <c r="OGK17" s="41"/>
      <c r="OGL17" s="41"/>
      <c r="OGM17" s="41"/>
      <c r="OGN17" s="41"/>
      <c r="OGO17" s="41"/>
      <c r="OGP17" s="41"/>
      <c r="OGQ17" s="41"/>
      <c r="OGR17" s="41"/>
      <c r="OGS17" s="41"/>
      <c r="OGT17" s="41"/>
      <c r="OGU17" s="41"/>
      <c r="OGV17" s="41"/>
      <c r="OGW17" s="41"/>
      <c r="OGX17" s="41"/>
      <c r="OGY17" s="41"/>
      <c r="OGZ17" s="41"/>
      <c r="OHA17" s="41"/>
      <c r="OHB17" s="41"/>
      <c r="OHC17" s="41"/>
      <c r="OHD17" s="41"/>
      <c r="OHE17" s="41"/>
      <c r="OHF17" s="41"/>
      <c r="OHG17" s="41"/>
      <c r="OHH17" s="41"/>
      <c r="OHI17" s="41"/>
      <c r="OHJ17" s="41"/>
      <c r="OHK17" s="41"/>
      <c r="OHL17" s="41"/>
      <c r="OHM17" s="41"/>
      <c r="OHN17" s="41"/>
      <c r="OHO17" s="41"/>
      <c r="OHP17" s="41"/>
      <c r="OHQ17" s="41"/>
      <c r="OHR17" s="41"/>
      <c r="OHS17" s="41"/>
      <c r="OHT17" s="41"/>
      <c r="OHU17" s="41"/>
      <c r="OHV17" s="41"/>
      <c r="OHW17" s="41"/>
      <c r="OHX17" s="41"/>
      <c r="OHY17" s="41"/>
      <c r="OHZ17" s="41"/>
      <c r="OIA17" s="41"/>
      <c r="OIB17" s="41"/>
      <c r="OIC17" s="41"/>
      <c r="OID17" s="41"/>
      <c r="OIE17" s="41"/>
      <c r="OIF17" s="41"/>
      <c r="OIG17" s="41"/>
      <c r="OIH17" s="41"/>
      <c r="OII17" s="41"/>
      <c r="OIJ17" s="41"/>
      <c r="OIK17" s="41"/>
      <c r="OIL17" s="41"/>
      <c r="OIM17" s="41"/>
      <c r="OIN17" s="41"/>
      <c r="OIO17" s="41"/>
      <c r="OIP17" s="41"/>
      <c r="OIQ17" s="41"/>
      <c r="OIR17" s="41"/>
      <c r="OIS17" s="41"/>
      <c r="OIT17" s="41"/>
      <c r="OIU17" s="41"/>
      <c r="OIV17" s="41"/>
      <c r="OIW17" s="41"/>
      <c r="OIX17" s="41"/>
      <c r="OIY17" s="41"/>
      <c r="OIZ17" s="41"/>
      <c r="OJA17" s="41"/>
      <c r="OJB17" s="41"/>
      <c r="OJC17" s="41"/>
      <c r="OJD17" s="41"/>
      <c r="OJE17" s="41"/>
      <c r="OJF17" s="41"/>
      <c r="OJG17" s="41"/>
      <c r="OJH17" s="41"/>
      <c r="OJI17" s="41"/>
      <c r="OJJ17" s="41"/>
      <c r="OJK17" s="41"/>
      <c r="OJL17" s="41"/>
      <c r="OJM17" s="41"/>
      <c r="OJN17" s="41"/>
      <c r="OJO17" s="41"/>
      <c r="OJP17" s="41"/>
      <c r="OJQ17" s="41"/>
      <c r="OJR17" s="41"/>
      <c r="OJS17" s="41"/>
      <c r="OJT17" s="41"/>
      <c r="OJU17" s="41"/>
      <c r="OJV17" s="41"/>
      <c r="OJW17" s="41"/>
      <c r="OJX17" s="41"/>
      <c r="OJY17" s="41"/>
      <c r="OJZ17" s="41"/>
      <c r="OKA17" s="41"/>
      <c r="OKB17" s="41"/>
      <c r="OKC17" s="41"/>
      <c r="OKD17" s="41"/>
      <c r="OKE17" s="41"/>
      <c r="OKF17" s="41"/>
      <c r="OKG17" s="41"/>
      <c r="OKH17" s="41"/>
      <c r="OKI17" s="41"/>
      <c r="OKJ17" s="41"/>
      <c r="OKK17" s="41"/>
      <c r="OKL17" s="41"/>
      <c r="OKM17" s="41"/>
      <c r="OKN17" s="41"/>
      <c r="OKO17" s="41"/>
      <c r="OKP17" s="41"/>
      <c r="OKQ17" s="41"/>
      <c r="OKR17" s="41"/>
      <c r="OKS17" s="41"/>
      <c r="OKT17" s="41"/>
      <c r="OKU17" s="41"/>
      <c r="OKV17" s="41"/>
      <c r="OKW17" s="41"/>
      <c r="OKX17" s="41"/>
      <c r="OKY17" s="41"/>
      <c r="OKZ17" s="41"/>
      <c r="OLA17" s="41"/>
      <c r="OLB17" s="41"/>
      <c r="OLC17" s="41"/>
      <c r="OLD17" s="41"/>
      <c r="OLE17" s="41"/>
      <c r="OLF17" s="41"/>
      <c r="OLG17" s="41"/>
      <c r="OLH17" s="41"/>
      <c r="OLI17" s="41"/>
      <c r="OLJ17" s="41"/>
      <c r="OLK17" s="41"/>
      <c r="OLL17" s="41"/>
      <c r="OLM17" s="41"/>
      <c r="OLN17" s="41"/>
      <c r="OLO17" s="41"/>
      <c r="OLP17" s="41"/>
      <c r="OLQ17" s="41"/>
      <c r="OLR17" s="41"/>
      <c r="OLS17" s="41"/>
      <c r="OLT17" s="41"/>
      <c r="OLU17" s="41"/>
      <c r="OLV17" s="41"/>
      <c r="OLW17" s="41"/>
      <c r="OLX17" s="41"/>
      <c r="OLY17" s="41"/>
      <c r="OLZ17" s="41"/>
      <c r="OMA17" s="41"/>
      <c r="OMB17" s="41"/>
      <c r="OMC17" s="41"/>
      <c r="OMD17" s="41"/>
      <c r="OME17" s="41"/>
      <c r="OMF17" s="41"/>
      <c r="OMG17" s="41"/>
      <c r="OMH17" s="41"/>
      <c r="OMI17" s="41"/>
      <c r="OMJ17" s="41"/>
      <c r="OMK17" s="41"/>
      <c r="OML17" s="41"/>
      <c r="OMM17" s="41"/>
      <c r="OMN17" s="41"/>
      <c r="OMO17" s="41"/>
      <c r="OMP17" s="41"/>
      <c r="OMQ17" s="41"/>
      <c r="OMR17" s="41"/>
      <c r="OMS17" s="41"/>
      <c r="OMT17" s="41"/>
      <c r="OMU17" s="41"/>
      <c r="OMV17" s="41"/>
      <c r="OMW17" s="41"/>
      <c r="OMX17" s="41"/>
      <c r="OMY17" s="41"/>
      <c r="OMZ17" s="41"/>
      <c r="ONA17" s="41"/>
      <c r="ONB17" s="41"/>
      <c r="ONC17" s="41"/>
      <c r="OND17" s="41"/>
      <c r="ONE17" s="41"/>
      <c r="ONF17" s="41"/>
      <c r="ONG17" s="41"/>
      <c r="ONH17" s="41"/>
      <c r="ONI17" s="41"/>
      <c r="ONJ17" s="41"/>
      <c r="ONK17" s="41"/>
      <c r="ONL17" s="41"/>
      <c r="ONM17" s="41"/>
      <c r="ONN17" s="41"/>
      <c r="ONO17" s="41"/>
      <c r="ONP17" s="41"/>
      <c r="ONQ17" s="41"/>
      <c r="ONR17" s="41"/>
      <c r="ONS17" s="41"/>
      <c r="ONT17" s="41"/>
      <c r="ONU17" s="41"/>
      <c r="ONV17" s="41"/>
      <c r="ONW17" s="41"/>
      <c r="ONX17" s="41"/>
      <c r="ONY17" s="41"/>
      <c r="ONZ17" s="41"/>
      <c r="OOA17" s="41"/>
      <c r="OOB17" s="41"/>
      <c r="OOC17" s="41"/>
      <c r="OOD17" s="41"/>
      <c r="OOE17" s="41"/>
      <c r="OOF17" s="41"/>
      <c r="OOG17" s="41"/>
      <c r="OOH17" s="41"/>
      <c r="OOI17" s="41"/>
      <c r="OOJ17" s="41"/>
      <c r="OOK17" s="41"/>
      <c r="OOL17" s="41"/>
      <c r="OOM17" s="41"/>
      <c r="OON17" s="41"/>
      <c r="OOO17" s="41"/>
      <c r="OOP17" s="41"/>
      <c r="OOQ17" s="41"/>
      <c r="OOR17" s="41"/>
      <c r="OOS17" s="41"/>
      <c r="OOT17" s="41"/>
      <c r="OOU17" s="41"/>
      <c r="OOV17" s="41"/>
      <c r="OOW17" s="41"/>
      <c r="OOX17" s="41"/>
      <c r="OOY17" s="41"/>
      <c r="OOZ17" s="41"/>
      <c r="OPA17" s="41"/>
      <c r="OPB17" s="41"/>
      <c r="OPC17" s="41"/>
      <c r="OPD17" s="41"/>
      <c r="OPE17" s="41"/>
      <c r="OPF17" s="41"/>
      <c r="OPG17" s="41"/>
      <c r="OPH17" s="41"/>
      <c r="OPI17" s="41"/>
      <c r="OPJ17" s="41"/>
      <c r="OPK17" s="41"/>
      <c r="OPL17" s="41"/>
      <c r="OPM17" s="41"/>
      <c r="OPN17" s="41"/>
      <c r="OPO17" s="41"/>
      <c r="OPP17" s="41"/>
      <c r="OPQ17" s="41"/>
      <c r="OPR17" s="41"/>
      <c r="OPS17" s="41"/>
      <c r="OPT17" s="41"/>
      <c r="OPU17" s="41"/>
      <c r="OPV17" s="41"/>
      <c r="OPW17" s="41"/>
      <c r="OPX17" s="41"/>
      <c r="OPY17" s="41"/>
      <c r="OPZ17" s="41"/>
      <c r="OQA17" s="41"/>
      <c r="OQB17" s="41"/>
      <c r="OQC17" s="41"/>
      <c r="OQD17" s="41"/>
      <c r="OQE17" s="41"/>
      <c r="OQF17" s="41"/>
      <c r="OQG17" s="41"/>
      <c r="OQH17" s="41"/>
      <c r="OQI17" s="41"/>
      <c r="OQJ17" s="41"/>
      <c r="OQK17" s="41"/>
      <c r="OQL17" s="41"/>
      <c r="OQM17" s="41"/>
      <c r="OQN17" s="41"/>
      <c r="OQO17" s="41"/>
      <c r="OQP17" s="41"/>
      <c r="OQQ17" s="41"/>
      <c r="OQR17" s="41"/>
      <c r="OQS17" s="41"/>
      <c r="OQT17" s="41"/>
      <c r="OQU17" s="41"/>
      <c r="OQV17" s="41"/>
      <c r="OQW17" s="41"/>
      <c r="OQX17" s="41"/>
      <c r="OQY17" s="41"/>
      <c r="OQZ17" s="41"/>
      <c r="ORA17" s="41"/>
      <c r="ORB17" s="41"/>
      <c r="ORC17" s="41"/>
      <c r="ORD17" s="41"/>
      <c r="ORE17" s="41"/>
      <c r="ORF17" s="41"/>
      <c r="ORG17" s="41"/>
      <c r="ORH17" s="41"/>
      <c r="ORI17" s="41"/>
      <c r="ORJ17" s="41"/>
      <c r="ORK17" s="41"/>
      <c r="ORL17" s="41"/>
      <c r="ORM17" s="41"/>
      <c r="ORN17" s="41"/>
      <c r="ORO17" s="41"/>
      <c r="ORP17" s="41"/>
      <c r="ORQ17" s="41"/>
      <c r="ORR17" s="41"/>
      <c r="ORS17" s="41"/>
      <c r="ORT17" s="41"/>
      <c r="ORU17" s="41"/>
      <c r="ORV17" s="41"/>
      <c r="ORW17" s="41"/>
      <c r="ORX17" s="41"/>
      <c r="ORY17" s="41"/>
      <c r="ORZ17" s="41"/>
      <c r="OSA17" s="41"/>
      <c r="OSB17" s="41"/>
      <c r="OSC17" s="41"/>
      <c r="OSD17" s="41"/>
      <c r="OSE17" s="41"/>
      <c r="OSF17" s="41"/>
      <c r="OSG17" s="41"/>
      <c r="OSH17" s="41"/>
      <c r="OSI17" s="41"/>
      <c r="OSJ17" s="41"/>
      <c r="OSK17" s="41"/>
      <c r="OSL17" s="41"/>
      <c r="OSM17" s="41"/>
      <c r="OSN17" s="41"/>
      <c r="OSO17" s="41"/>
      <c r="OSP17" s="41"/>
      <c r="OSQ17" s="41"/>
      <c r="OSR17" s="41"/>
      <c r="OSS17" s="41"/>
      <c r="OST17" s="41"/>
      <c r="OSU17" s="41"/>
      <c r="OSV17" s="41"/>
      <c r="OSW17" s="41"/>
      <c r="OSX17" s="41"/>
      <c r="OSY17" s="41"/>
      <c r="OSZ17" s="41"/>
      <c r="OTA17" s="41"/>
      <c r="OTB17" s="41"/>
      <c r="OTC17" s="41"/>
      <c r="OTD17" s="41"/>
      <c r="OTE17" s="41"/>
      <c r="OTF17" s="41"/>
      <c r="OTG17" s="41"/>
      <c r="OTH17" s="41"/>
      <c r="OTI17" s="41"/>
      <c r="OTJ17" s="41"/>
      <c r="OTK17" s="41"/>
      <c r="OTL17" s="41"/>
      <c r="OTM17" s="41"/>
      <c r="OTN17" s="41"/>
      <c r="OTO17" s="41"/>
      <c r="OTP17" s="41"/>
      <c r="OTQ17" s="41"/>
      <c r="OTR17" s="41"/>
      <c r="OTS17" s="41"/>
      <c r="OTT17" s="41"/>
      <c r="OTU17" s="41"/>
      <c r="OTV17" s="41"/>
      <c r="OTW17" s="41"/>
      <c r="OTX17" s="41"/>
      <c r="OTY17" s="41"/>
      <c r="OTZ17" s="41"/>
      <c r="OUA17" s="41"/>
      <c r="OUB17" s="41"/>
      <c r="OUC17" s="41"/>
      <c r="OUD17" s="41"/>
      <c r="OUE17" s="41"/>
      <c r="OUF17" s="41"/>
      <c r="OUG17" s="41"/>
      <c r="OUH17" s="41"/>
      <c r="OUI17" s="41"/>
      <c r="OUJ17" s="41"/>
      <c r="OUK17" s="41"/>
      <c r="OUL17" s="41"/>
      <c r="OUM17" s="41"/>
      <c r="OUN17" s="41"/>
      <c r="OUO17" s="41"/>
      <c r="OUP17" s="41"/>
      <c r="OUQ17" s="41"/>
      <c r="OUR17" s="41"/>
      <c r="OUS17" s="41"/>
      <c r="OUT17" s="41"/>
      <c r="OUU17" s="41"/>
      <c r="OUV17" s="41"/>
      <c r="OUW17" s="41"/>
      <c r="OUX17" s="41"/>
      <c r="OUY17" s="41"/>
      <c r="OUZ17" s="41"/>
      <c r="OVA17" s="41"/>
      <c r="OVB17" s="41"/>
      <c r="OVC17" s="41"/>
      <c r="OVD17" s="41"/>
      <c r="OVE17" s="41"/>
      <c r="OVF17" s="41"/>
      <c r="OVG17" s="41"/>
      <c r="OVH17" s="41"/>
      <c r="OVI17" s="41"/>
      <c r="OVJ17" s="41"/>
      <c r="OVK17" s="41"/>
      <c r="OVL17" s="41"/>
      <c r="OVM17" s="41"/>
      <c r="OVN17" s="41"/>
      <c r="OVO17" s="41"/>
      <c r="OVP17" s="41"/>
      <c r="OVQ17" s="41"/>
      <c r="OVR17" s="41"/>
      <c r="OVS17" s="41"/>
      <c r="OVT17" s="41"/>
      <c r="OVU17" s="41"/>
      <c r="OVV17" s="41"/>
      <c r="OVW17" s="41"/>
      <c r="OVX17" s="41"/>
      <c r="OVY17" s="41"/>
      <c r="OVZ17" s="41"/>
      <c r="OWA17" s="41"/>
      <c r="OWB17" s="41"/>
      <c r="OWC17" s="41"/>
      <c r="OWD17" s="41"/>
      <c r="OWE17" s="41"/>
      <c r="OWF17" s="41"/>
      <c r="OWG17" s="41"/>
      <c r="OWH17" s="41"/>
      <c r="OWI17" s="41"/>
      <c r="OWJ17" s="41"/>
      <c r="OWK17" s="41"/>
      <c r="OWL17" s="41"/>
      <c r="OWM17" s="41"/>
      <c r="OWN17" s="41"/>
      <c r="OWO17" s="41"/>
      <c r="OWP17" s="41"/>
      <c r="OWQ17" s="41"/>
      <c r="OWR17" s="41"/>
      <c r="OWS17" s="41"/>
      <c r="OWT17" s="41"/>
      <c r="OWU17" s="41"/>
      <c r="OWV17" s="41"/>
      <c r="OWW17" s="41"/>
      <c r="OWX17" s="41"/>
      <c r="OWY17" s="41"/>
      <c r="OWZ17" s="41"/>
      <c r="OXA17" s="41"/>
      <c r="OXB17" s="41"/>
      <c r="OXC17" s="41"/>
      <c r="OXD17" s="41"/>
      <c r="OXE17" s="41"/>
      <c r="OXF17" s="41"/>
      <c r="OXG17" s="41"/>
      <c r="OXH17" s="41"/>
      <c r="OXI17" s="41"/>
      <c r="OXJ17" s="41"/>
      <c r="OXK17" s="41"/>
      <c r="OXL17" s="41"/>
      <c r="OXM17" s="41"/>
      <c r="OXN17" s="41"/>
      <c r="OXO17" s="41"/>
      <c r="OXP17" s="41"/>
      <c r="OXQ17" s="41"/>
      <c r="OXR17" s="41"/>
      <c r="OXS17" s="41"/>
      <c r="OXT17" s="41"/>
      <c r="OXU17" s="41"/>
      <c r="OXV17" s="41"/>
      <c r="OXW17" s="41"/>
      <c r="OXX17" s="41"/>
      <c r="OXY17" s="41"/>
      <c r="OXZ17" s="41"/>
      <c r="OYA17" s="41"/>
      <c r="OYB17" s="41"/>
      <c r="OYC17" s="41"/>
      <c r="OYD17" s="41"/>
      <c r="OYE17" s="41"/>
      <c r="OYF17" s="41"/>
      <c r="OYG17" s="41"/>
      <c r="OYH17" s="41"/>
      <c r="OYI17" s="41"/>
      <c r="OYJ17" s="41"/>
      <c r="OYK17" s="41"/>
      <c r="OYL17" s="41"/>
      <c r="OYM17" s="41"/>
      <c r="OYN17" s="41"/>
      <c r="OYO17" s="41"/>
      <c r="OYP17" s="41"/>
      <c r="OYQ17" s="41"/>
      <c r="OYR17" s="41"/>
      <c r="OYS17" s="41"/>
      <c r="OYT17" s="41"/>
      <c r="OYU17" s="41"/>
      <c r="OYV17" s="41"/>
      <c r="OYW17" s="41"/>
      <c r="OYX17" s="41"/>
      <c r="OYY17" s="41"/>
      <c r="OYZ17" s="41"/>
      <c r="OZA17" s="41"/>
      <c r="OZB17" s="41"/>
      <c r="OZC17" s="41"/>
      <c r="OZD17" s="41"/>
      <c r="OZE17" s="41"/>
      <c r="OZF17" s="41"/>
      <c r="OZG17" s="41"/>
      <c r="OZH17" s="41"/>
      <c r="OZI17" s="41"/>
      <c r="OZJ17" s="41"/>
      <c r="OZK17" s="41"/>
      <c r="OZL17" s="41"/>
      <c r="OZM17" s="41"/>
      <c r="OZN17" s="41"/>
      <c r="OZO17" s="41"/>
      <c r="OZP17" s="41"/>
      <c r="OZQ17" s="41"/>
      <c r="OZR17" s="41"/>
      <c r="OZS17" s="41"/>
      <c r="OZT17" s="41"/>
      <c r="OZU17" s="41"/>
      <c r="OZV17" s="41"/>
      <c r="OZW17" s="41"/>
      <c r="OZX17" s="41"/>
      <c r="OZY17" s="41"/>
      <c r="OZZ17" s="41"/>
      <c r="PAA17" s="41"/>
      <c r="PAB17" s="41"/>
      <c r="PAC17" s="41"/>
      <c r="PAD17" s="41"/>
      <c r="PAE17" s="41"/>
      <c r="PAF17" s="41"/>
      <c r="PAG17" s="41"/>
      <c r="PAH17" s="41"/>
      <c r="PAI17" s="41"/>
      <c r="PAJ17" s="41"/>
      <c r="PAK17" s="41"/>
      <c r="PAL17" s="41"/>
      <c r="PAM17" s="41"/>
      <c r="PAN17" s="41"/>
      <c r="PAO17" s="41"/>
      <c r="PAP17" s="41"/>
      <c r="PAQ17" s="41"/>
      <c r="PAR17" s="41"/>
      <c r="PAS17" s="41"/>
      <c r="PAT17" s="41"/>
      <c r="PAU17" s="41"/>
      <c r="PAV17" s="41"/>
      <c r="PAW17" s="41"/>
      <c r="PAX17" s="41"/>
      <c r="PAY17" s="41"/>
      <c r="PAZ17" s="41"/>
      <c r="PBA17" s="41"/>
      <c r="PBB17" s="41"/>
      <c r="PBC17" s="41"/>
      <c r="PBD17" s="41"/>
      <c r="PBE17" s="41"/>
      <c r="PBF17" s="41"/>
      <c r="PBG17" s="41"/>
      <c r="PBH17" s="41"/>
      <c r="PBI17" s="41"/>
      <c r="PBJ17" s="41"/>
      <c r="PBK17" s="41"/>
      <c r="PBL17" s="41"/>
      <c r="PBM17" s="41"/>
      <c r="PBN17" s="41"/>
      <c r="PBO17" s="41"/>
      <c r="PBP17" s="41"/>
      <c r="PBQ17" s="41"/>
      <c r="PBR17" s="41"/>
      <c r="PBS17" s="41"/>
      <c r="PBT17" s="41"/>
      <c r="PBU17" s="41"/>
      <c r="PBV17" s="41"/>
      <c r="PBW17" s="41"/>
      <c r="PBX17" s="41"/>
      <c r="PBY17" s="41"/>
      <c r="PBZ17" s="41"/>
      <c r="PCA17" s="41"/>
      <c r="PCB17" s="41"/>
      <c r="PCC17" s="41"/>
      <c r="PCD17" s="41"/>
      <c r="PCE17" s="41"/>
      <c r="PCF17" s="41"/>
      <c r="PCG17" s="41"/>
      <c r="PCH17" s="41"/>
      <c r="PCI17" s="41"/>
      <c r="PCJ17" s="41"/>
      <c r="PCK17" s="41"/>
      <c r="PCL17" s="41"/>
      <c r="PCM17" s="41"/>
      <c r="PCN17" s="41"/>
      <c r="PCO17" s="41"/>
      <c r="PCP17" s="41"/>
      <c r="PCQ17" s="41"/>
      <c r="PCR17" s="41"/>
      <c r="PCS17" s="41"/>
      <c r="PCT17" s="41"/>
      <c r="PCU17" s="41"/>
      <c r="PCV17" s="41"/>
      <c r="PCW17" s="41"/>
      <c r="PCX17" s="41"/>
      <c r="PCY17" s="41"/>
      <c r="PCZ17" s="41"/>
      <c r="PDA17" s="41"/>
      <c r="PDB17" s="41"/>
      <c r="PDC17" s="41"/>
      <c r="PDD17" s="41"/>
      <c r="PDE17" s="41"/>
      <c r="PDF17" s="41"/>
      <c r="PDG17" s="41"/>
      <c r="PDH17" s="41"/>
      <c r="PDI17" s="41"/>
      <c r="PDJ17" s="41"/>
      <c r="PDK17" s="41"/>
      <c r="PDL17" s="41"/>
      <c r="PDM17" s="41"/>
      <c r="PDN17" s="41"/>
      <c r="PDO17" s="41"/>
      <c r="PDP17" s="41"/>
      <c r="PDQ17" s="41"/>
      <c r="PDR17" s="41"/>
      <c r="PDS17" s="41"/>
      <c r="PDT17" s="41"/>
      <c r="PDU17" s="41"/>
      <c r="PDV17" s="41"/>
      <c r="PDW17" s="41"/>
      <c r="PDX17" s="41"/>
      <c r="PDY17" s="41"/>
      <c r="PDZ17" s="41"/>
      <c r="PEA17" s="41"/>
      <c r="PEB17" s="41"/>
      <c r="PEC17" s="41"/>
      <c r="PED17" s="41"/>
      <c r="PEE17" s="41"/>
      <c r="PEF17" s="41"/>
      <c r="PEG17" s="41"/>
      <c r="PEH17" s="41"/>
      <c r="PEI17" s="41"/>
      <c r="PEJ17" s="41"/>
      <c r="PEK17" s="41"/>
      <c r="PEL17" s="41"/>
      <c r="PEM17" s="41"/>
      <c r="PEN17" s="41"/>
      <c r="PEO17" s="41"/>
      <c r="PEP17" s="41"/>
      <c r="PEQ17" s="41"/>
      <c r="PER17" s="41"/>
      <c r="PES17" s="41"/>
      <c r="PET17" s="41"/>
      <c r="PEU17" s="41"/>
      <c r="PEV17" s="41"/>
      <c r="PEW17" s="41"/>
      <c r="PEX17" s="41"/>
      <c r="PEY17" s="41"/>
      <c r="PEZ17" s="41"/>
      <c r="PFA17" s="41"/>
      <c r="PFB17" s="41"/>
      <c r="PFC17" s="41"/>
      <c r="PFD17" s="41"/>
      <c r="PFE17" s="41"/>
      <c r="PFF17" s="41"/>
      <c r="PFG17" s="41"/>
      <c r="PFH17" s="41"/>
      <c r="PFI17" s="41"/>
      <c r="PFJ17" s="41"/>
      <c r="PFK17" s="41"/>
      <c r="PFL17" s="41"/>
      <c r="PFM17" s="41"/>
      <c r="PFN17" s="41"/>
      <c r="PFO17" s="41"/>
      <c r="PFP17" s="41"/>
      <c r="PFQ17" s="41"/>
      <c r="PFR17" s="41"/>
      <c r="PFS17" s="41"/>
      <c r="PFT17" s="41"/>
      <c r="PFU17" s="41"/>
      <c r="PFV17" s="41"/>
      <c r="PFW17" s="41"/>
      <c r="PFX17" s="41"/>
      <c r="PFY17" s="41"/>
      <c r="PFZ17" s="41"/>
      <c r="PGA17" s="41"/>
      <c r="PGB17" s="41"/>
      <c r="PGC17" s="41"/>
      <c r="PGD17" s="41"/>
      <c r="PGE17" s="41"/>
      <c r="PGF17" s="41"/>
      <c r="PGG17" s="41"/>
      <c r="PGH17" s="41"/>
      <c r="PGI17" s="41"/>
      <c r="PGJ17" s="41"/>
      <c r="PGK17" s="41"/>
      <c r="PGL17" s="41"/>
      <c r="PGM17" s="41"/>
      <c r="PGN17" s="41"/>
      <c r="PGO17" s="41"/>
      <c r="PGP17" s="41"/>
      <c r="PGQ17" s="41"/>
      <c r="PGR17" s="41"/>
      <c r="PGS17" s="41"/>
      <c r="PGT17" s="41"/>
      <c r="PGU17" s="41"/>
      <c r="PGV17" s="41"/>
      <c r="PGW17" s="41"/>
      <c r="PGX17" s="41"/>
      <c r="PGY17" s="41"/>
      <c r="PGZ17" s="41"/>
      <c r="PHA17" s="41"/>
      <c r="PHB17" s="41"/>
      <c r="PHC17" s="41"/>
      <c r="PHD17" s="41"/>
      <c r="PHE17" s="41"/>
      <c r="PHF17" s="41"/>
      <c r="PHG17" s="41"/>
      <c r="PHH17" s="41"/>
      <c r="PHI17" s="41"/>
      <c r="PHJ17" s="41"/>
      <c r="PHK17" s="41"/>
      <c r="PHL17" s="41"/>
      <c r="PHM17" s="41"/>
      <c r="PHN17" s="41"/>
      <c r="PHO17" s="41"/>
      <c r="PHP17" s="41"/>
      <c r="PHQ17" s="41"/>
      <c r="PHR17" s="41"/>
      <c r="PHS17" s="41"/>
      <c r="PHT17" s="41"/>
      <c r="PHU17" s="41"/>
      <c r="PHV17" s="41"/>
      <c r="PHW17" s="41"/>
      <c r="PHX17" s="41"/>
      <c r="PHY17" s="41"/>
      <c r="PHZ17" s="41"/>
      <c r="PIA17" s="41"/>
      <c r="PIB17" s="41"/>
      <c r="PIC17" s="41"/>
      <c r="PID17" s="41"/>
      <c r="PIE17" s="41"/>
      <c r="PIF17" s="41"/>
      <c r="PIG17" s="41"/>
      <c r="PIH17" s="41"/>
      <c r="PII17" s="41"/>
      <c r="PIJ17" s="41"/>
      <c r="PIK17" s="41"/>
      <c r="PIL17" s="41"/>
      <c r="PIM17" s="41"/>
      <c r="PIN17" s="41"/>
      <c r="PIO17" s="41"/>
      <c r="PIP17" s="41"/>
      <c r="PIQ17" s="41"/>
      <c r="PIR17" s="41"/>
      <c r="PIS17" s="41"/>
      <c r="PIT17" s="41"/>
      <c r="PIU17" s="41"/>
      <c r="PIV17" s="41"/>
      <c r="PIW17" s="41"/>
      <c r="PIX17" s="41"/>
      <c r="PIY17" s="41"/>
      <c r="PIZ17" s="41"/>
      <c r="PJA17" s="41"/>
      <c r="PJB17" s="41"/>
      <c r="PJC17" s="41"/>
      <c r="PJD17" s="41"/>
      <c r="PJE17" s="41"/>
      <c r="PJF17" s="41"/>
      <c r="PJG17" s="41"/>
      <c r="PJH17" s="41"/>
      <c r="PJI17" s="41"/>
      <c r="PJJ17" s="41"/>
      <c r="PJK17" s="41"/>
      <c r="PJL17" s="41"/>
      <c r="PJM17" s="41"/>
      <c r="PJN17" s="41"/>
      <c r="PJO17" s="41"/>
      <c r="PJP17" s="41"/>
      <c r="PJQ17" s="41"/>
      <c r="PJR17" s="41"/>
      <c r="PJS17" s="41"/>
      <c r="PJT17" s="41"/>
      <c r="PJU17" s="41"/>
      <c r="PJV17" s="41"/>
      <c r="PJW17" s="41"/>
      <c r="PJX17" s="41"/>
      <c r="PJY17" s="41"/>
      <c r="PJZ17" s="41"/>
      <c r="PKA17" s="41"/>
      <c r="PKB17" s="41"/>
      <c r="PKC17" s="41"/>
      <c r="PKD17" s="41"/>
      <c r="PKE17" s="41"/>
      <c r="PKF17" s="41"/>
      <c r="PKG17" s="41"/>
      <c r="PKH17" s="41"/>
      <c r="PKI17" s="41"/>
      <c r="PKJ17" s="41"/>
      <c r="PKK17" s="41"/>
      <c r="PKL17" s="41"/>
      <c r="PKM17" s="41"/>
      <c r="PKN17" s="41"/>
      <c r="PKO17" s="41"/>
      <c r="PKP17" s="41"/>
      <c r="PKQ17" s="41"/>
      <c r="PKR17" s="41"/>
      <c r="PKS17" s="41"/>
      <c r="PKT17" s="41"/>
      <c r="PKU17" s="41"/>
      <c r="PKV17" s="41"/>
      <c r="PKW17" s="41"/>
      <c r="PKX17" s="41"/>
      <c r="PKY17" s="41"/>
      <c r="PKZ17" s="41"/>
      <c r="PLA17" s="41"/>
      <c r="PLB17" s="41"/>
      <c r="PLC17" s="41"/>
      <c r="PLD17" s="41"/>
      <c r="PLE17" s="41"/>
      <c r="PLF17" s="41"/>
      <c r="PLG17" s="41"/>
      <c r="PLH17" s="41"/>
      <c r="PLI17" s="41"/>
      <c r="PLJ17" s="41"/>
      <c r="PLK17" s="41"/>
      <c r="PLL17" s="41"/>
      <c r="PLM17" s="41"/>
      <c r="PLN17" s="41"/>
      <c r="PLO17" s="41"/>
      <c r="PLP17" s="41"/>
      <c r="PLQ17" s="41"/>
      <c r="PLR17" s="41"/>
      <c r="PLS17" s="41"/>
      <c r="PLT17" s="41"/>
      <c r="PLU17" s="41"/>
      <c r="PLV17" s="41"/>
      <c r="PLW17" s="41"/>
      <c r="PLX17" s="41"/>
      <c r="PLY17" s="41"/>
      <c r="PLZ17" s="41"/>
      <c r="PMA17" s="41"/>
      <c r="PMB17" s="41"/>
      <c r="PMC17" s="41"/>
      <c r="PMD17" s="41"/>
      <c r="PME17" s="41"/>
      <c r="PMF17" s="41"/>
      <c r="PMG17" s="41"/>
      <c r="PMH17" s="41"/>
      <c r="PMI17" s="41"/>
      <c r="PMJ17" s="41"/>
      <c r="PMK17" s="41"/>
      <c r="PML17" s="41"/>
      <c r="PMM17" s="41"/>
      <c r="PMN17" s="41"/>
      <c r="PMO17" s="41"/>
      <c r="PMP17" s="41"/>
      <c r="PMQ17" s="41"/>
      <c r="PMR17" s="41"/>
      <c r="PMS17" s="41"/>
      <c r="PMT17" s="41"/>
      <c r="PMU17" s="41"/>
      <c r="PMV17" s="41"/>
      <c r="PMW17" s="41"/>
      <c r="PMX17" s="41"/>
      <c r="PMY17" s="41"/>
      <c r="PMZ17" s="41"/>
      <c r="PNA17" s="41"/>
      <c r="PNB17" s="41"/>
      <c r="PNC17" s="41"/>
      <c r="PND17" s="41"/>
      <c r="PNE17" s="41"/>
      <c r="PNF17" s="41"/>
      <c r="PNG17" s="41"/>
      <c r="PNH17" s="41"/>
      <c r="PNI17" s="41"/>
      <c r="PNJ17" s="41"/>
      <c r="PNK17" s="41"/>
      <c r="PNL17" s="41"/>
      <c r="PNM17" s="41"/>
      <c r="PNN17" s="41"/>
      <c r="PNO17" s="41"/>
      <c r="PNP17" s="41"/>
      <c r="PNQ17" s="41"/>
      <c r="PNR17" s="41"/>
      <c r="PNS17" s="41"/>
      <c r="PNT17" s="41"/>
      <c r="PNU17" s="41"/>
      <c r="PNV17" s="41"/>
      <c r="PNW17" s="41"/>
      <c r="PNX17" s="41"/>
      <c r="PNY17" s="41"/>
      <c r="PNZ17" s="41"/>
      <c r="POA17" s="41"/>
      <c r="POB17" s="41"/>
      <c r="POC17" s="41"/>
      <c r="POD17" s="41"/>
      <c r="POE17" s="41"/>
      <c r="POF17" s="41"/>
      <c r="POG17" s="41"/>
      <c r="POH17" s="41"/>
      <c r="POI17" s="41"/>
      <c r="POJ17" s="41"/>
      <c r="POK17" s="41"/>
      <c r="POL17" s="41"/>
      <c r="POM17" s="41"/>
      <c r="PON17" s="41"/>
      <c r="POO17" s="41"/>
      <c r="POP17" s="41"/>
      <c r="POQ17" s="41"/>
      <c r="POR17" s="41"/>
      <c r="POS17" s="41"/>
      <c r="POT17" s="41"/>
      <c r="POU17" s="41"/>
      <c r="POV17" s="41"/>
      <c r="POW17" s="41"/>
      <c r="POX17" s="41"/>
      <c r="POY17" s="41"/>
      <c r="POZ17" s="41"/>
      <c r="PPA17" s="41"/>
      <c r="PPB17" s="41"/>
      <c r="PPC17" s="41"/>
      <c r="PPD17" s="41"/>
      <c r="PPE17" s="41"/>
      <c r="PPF17" s="41"/>
      <c r="PPG17" s="41"/>
      <c r="PPH17" s="41"/>
      <c r="PPI17" s="41"/>
      <c r="PPJ17" s="41"/>
      <c r="PPK17" s="41"/>
      <c r="PPL17" s="41"/>
      <c r="PPM17" s="41"/>
      <c r="PPN17" s="41"/>
      <c r="PPO17" s="41"/>
      <c r="PPP17" s="41"/>
      <c r="PPQ17" s="41"/>
      <c r="PPR17" s="41"/>
      <c r="PPS17" s="41"/>
      <c r="PPT17" s="41"/>
      <c r="PPU17" s="41"/>
      <c r="PPV17" s="41"/>
      <c r="PPW17" s="41"/>
      <c r="PPX17" s="41"/>
      <c r="PPY17" s="41"/>
      <c r="PPZ17" s="41"/>
      <c r="PQA17" s="41"/>
      <c r="PQB17" s="41"/>
      <c r="PQC17" s="41"/>
      <c r="PQD17" s="41"/>
      <c r="PQE17" s="41"/>
      <c r="PQF17" s="41"/>
      <c r="PQG17" s="41"/>
      <c r="PQH17" s="41"/>
      <c r="PQI17" s="41"/>
      <c r="PQJ17" s="41"/>
      <c r="PQK17" s="41"/>
      <c r="PQL17" s="41"/>
      <c r="PQM17" s="41"/>
      <c r="PQN17" s="41"/>
      <c r="PQO17" s="41"/>
      <c r="PQP17" s="41"/>
      <c r="PQQ17" s="41"/>
      <c r="PQR17" s="41"/>
      <c r="PQS17" s="41"/>
      <c r="PQT17" s="41"/>
      <c r="PQU17" s="41"/>
      <c r="PQV17" s="41"/>
      <c r="PQW17" s="41"/>
      <c r="PQX17" s="41"/>
      <c r="PQY17" s="41"/>
      <c r="PQZ17" s="41"/>
      <c r="PRA17" s="41"/>
      <c r="PRB17" s="41"/>
      <c r="PRC17" s="41"/>
      <c r="PRD17" s="41"/>
      <c r="PRE17" s="41"/>
      <c r="PRF17" s="41"/>
      <c r="PRG17" s="41"/>
      <c r="PRH17" s="41"/>
      <c r="PRI17" s="41"/>
      <c r="PRJ17" s="41"/>
      <c r="PRK17" s="41"/>
      <c r="PRL17" s="41"/>
      <c r="PRM17" s="41"/>
      <c r="PRN17" s="41"/>
      <c r="PRO17" s="41"/>
      <c r="PRP17" s="41"/>
      <c r="PRQ17" s="41"/>
      <c r="PRR17" s="41"/>
      <c r="PRS17" s="41"/>
      <c r="PRT17" s="41"/>
      <c r="PRU17" s="41"/>
      <c r="PRV17" s="41"/>
      <c r="PRW17" s="41"/>
      <c r="PRX17" s="41"/>
      <c r="PRY17" s="41"/>
      <c r="PRZ17" s="41"/>
      <c r="PSA17" s="41"/>
      <c r="PSB17" s="41"/>
      <c r="PSC17" s="41"/>
      <c r="PSD17" s="41"/>
      <c r="PSE17" s="41"/>
      <c r="PSF17" s="41"/>
      <c r="PSG17" s="41"/>
      <c r="PSH17" s="41"/>
      <c r="PSI17" s="41"/>
      <c r="PSJ17" s="41"/>
      <c r="PSK17" s="41"/>
      <c r="PSL17" s="41"/>
      <c r="PSM17" s="41"/>
      <c r="PSN17" s="41"/>
      <c r="PSO17" s="41"/>
      <c r="PSP17" s="41"/>
      <c r="PSQ17" s="41"/>
      <c r="PSR17" s="41"/>
      <c r="PSS17" s="41"/>
      <c r="PST17" s="41"/>
      <c r="PSU17" s="41"/>
      <c r="PSV17" s="41"/>
      <c r="PSW17" s="41"/>
      <c r="PSX17" s="41"/>
      <c r="PSY17" s="41"/>
      <c r="PSZ17" s="41"/>
      <c r="PTA17" s="41"/>
      <c r="PTB17" s="41"/>
      <c r="PTC17" s="41"/>
      <c r="PTD17" s="41"/>
      <c r="PTE17" s="41"/>
      <c r="PTF17" s="41"/>
      <c r="PTG17" s="41"/>
      <c r="PTH17" s="41"/>
      <c r="PTI17" s="41"/>
      <c r="PTJ17" s="41"/>
      <c r="PTK17" s="41"/>
      <c r="PTL17" s="41"/>
      <c r="PTM17" s="41"/>
      <c r="PTN17" s="41"/>
      <c r="PTO17" s="41"/>
      <c r="PTP17" s="41"/>
      <c r="PTQ17" s="41"/>
      <c r="PTR17" s="41"/>
      <c r="PTS17" s="41"/>
      <c r="PTT17" s="41"/>
      <c r="PTU17" s="41"/>
      <c r="PTV17" s="41"/>
      <c r="PTW17" s="41"/>
      <c r="PTX17" s="41"/>
      <c r="PTY17" s="41"/>
      <c r="PTZ17" s="41"/>
      <c r="PUA17" s="41"/>
      <c r="PUB17" s="41"/>
      <c r="PUC17" s="41"/>
      <c r="PUD17" s="41"/>
      <c r="PUE17" s="41"/>
      <c r="PUF17" s="41"/>
      <c r="PUG17" s="41"/>
      <c r="PUH17" s="41"/>
      <c r="PUI17" s="41"/>
      <c r="PUJ17" s="41"/>
      <c r="PUK17" s="41"/>
      <c r="PUL17" s="41"/>
      <c r="PUM17" s="41"/>
      <c r="PUN17" s="41"/>
      <c r="PUO17" s="41"/>
      <c r="PUP17" s="41"/>
      <c r="PUQ17" s="41"/>
      <c r="PUR17" s="41"/>
      <c r="PUS17" s="41"/>
      <c r="PUT17" s="41"/>
      <c r="PUU17" s="41"/>
      <c r="PUV17" s="41"/>
      <c r="PUW17" s="41"/>
      <c r="PUX17" s="41"/>
      <c r="PUY17" s="41"/>
      <c r="PUZ17" s="41"/>
      <c r="PVA17" s="41"/>
      <c r="PVB17" s="41"/>
      <c r="PVC17" s="41"/>
      <c r="PVD17" s="41"/>
      <c r="PVE17" s="41"/>
      <c r="PVF17" s="41"/>
      <c r="PVG17" s="41"/>
      <c r="PVH17" s="41"/>
      <c r="PVI17" s="41"/>
      <c r="PVJ17" s="41"/>
      <c r="PVK17" s="41"/>
      <c r="PVL17" s="41"/>
      <c r="PVM17" s="41"/>
      <c r="PVN17" s="41"/>
      <c r="PVO17" s="41"/>
      <c r="PVP17" s="41"/>
      <c r="PVQ17" s="41"/>
      <c r="PVR17" s="41"/>
      <c r="PVS17" s="41"/>
      <c r="PVT17" s="41"/>
      <c r="PVU17" s="41"/>
      <c r="PVV17" s="41"/>
      <c r="PVW17" s="41"/>
      <c r="PVX17" s="41"/>
      <c r="PVY17" s="41"/>
      <c r="PVZ17" s="41"/>
      <c r="PWA17" s="41"/>
      <c r="PWB17" s="41"/>
      <c r="PWC17" s="41"/>
      <c r="PWD17" s="41"/>
      <c r="PWE17" s="41"/>
      <c r="PWF17" s="41"/>
      <c r="PWG17" s="41"/>
      <c r="PWH17" s="41"/>
      <c r="PWI17" s="41"/>
      <c r="PWJ17" s="41"/>
      <c r="PWK17" s="41"/>
      <c r="PWL17" s="41"/>
      <c r="PWM17" s="41"/>
      <c r="PWN17" s="41"/>
      <c r="PWO17" s="41"/>
      <c r="PWP17" s="41"/>
      <c r="PWQ17" s="41"/>
      <c r="PWR17" s="41"/>
      <c r="PWS17" s="41"/>
      <c r="PWT17" s="41"/>
      <c r="PWU17" s="41"/>
      <c r="PWV17" s="41"/>
      <c r="PWW17" s="41"/>
      <c r="PWX17" s="41"/>
      <c r="PWY17" s="41"/>
      <c r="PWZ17" s="41"/>
      <c r="PXA17" s="41"/>
      <c r="PXB17" s="41"/>
      <c r="PXC17" s="41"/>
      <c r="PXD17" s="41"/>
      <c r="PXE17" s="41"/>
      <c r="PXF17" s="41"/>
      <c r="PXG17" s="41"/>
      <c r="PXH17" s="41"/>
      <c r="PXI17" s="41"/>
      <c r="PXJ17" s="41"/>
      <c r="PXK17" s="41"/>
      <c r="PXL17" s="41"/>
      <c r="PXM17" s="41"/>
      <c r="PXN17" s="41"/>
      <c r="PXO17" s="41"/>
      <c r="PXP17" s="41"/>
      <c r="PXQ17" s="41"/>
      <c r="PXR17" s="41"/>
      <c r="PXS17" s="41"/>
      <c r="PXT17" s="41"/>
      <c r="PXU17" s="41"/>
      <c r="PXV17" s="41"/>
      <c r="PXW17" s="41"/>
      <c r="PXX17" s="41"/>
      <c r="PXY17" s="41"/>
      <c r="PXZ17" s="41"/>
      <c r="PYA17" s="41"/>
      <c r="PYB17" s="41"/>
      <c r="PYC17" s="41"/>
      <c r="PYD17" s="41"/>
      <c r="PYE17" s="41"/>
      <c r="PYF17" s="41"/>
      <c r="PYG17" s="41"/>
      <c r="PYH17" s="41"/>
      <c r="PYI17" s="41"/>
      <c r="PYJ17" s="41"/>
      <c r="PYK17" s="41"/>
      <c r="PYL17" s="41"/>
      <c r="PYM17" s="41"/>
      <c r="PYN17" s="41"/>
      <c r="PYO17" s="41"/>
      <c r="PYP17" s="41"/>
      <c r="PYQ17" s="41"/>
      <c r="PYR17" s="41"/>
      <c r="PYS17" s="41"/>
      <c r="PYT17" s="41"/>
      <c r="PYU17" s="41"/>
      <c r="PYV17" s="41"/>
      <c r="PYW17" s="41"/>
      <c r="PYX17" s="41"/>
      <c r="PYY17" s="41"/>
      <c r="PYZ17" s="41"/>
      <c r="PZA17" s="41"/>
      <c r="PZB17" s="41"/>
      <c r="PZC17" s="41"/>
      <c r="PZD17" s="41"/>
      <c r="PZE17" s="41"/>
      <c r="PZF17" s="41"/>
      <c r="PZG17" s="41"/>
      <c r="PZH17" s="41"/>
      <c r="PZI17" s="41"/>
      <c r="PZJ17" s="41"/>
      <c r="PZK17" s="41"/>
      <c r="PZL17" s="41"/>
      <c r="PZM17" s="41"/>
      <c r="PZN17" s="41"/>
      <c r="PZO17" s="41"/>
      <c r="PZP17" s="41"/>
      <c r="PZQ17" s="41"/>
      <c r="PZR17" s="41"/>
      <c r="PZS17" s="41"/>
      <c r="PZT17" s="41"/>
      <c r="PZU17" s="41"/>
      <c r="PZV17" s="41"/>
      <c r="PZW17" s="41"/>
      <c r="PZX17" s="41"/>
      <c r="PZY17" s="41"/>
      <c r="PZZ17" s="41"/>
      <c r="QAA17" s="41"/>
      <c r="QAB17" s="41"/>
      <c r="QAC17" s="41"/>
      <c r="QAD17" s="41"/>
      <c r="QAE17" s="41"/>
      <c r="QAF17" s="41"/>
      <c r="QAG17" s="41"/>
      <c r="QAH17" s="41"/>
      <c r="QAI17" s="41"/>
      <c r="QAJ17" s="41"/>
      <c r="QAK17" s="41"/>
      <c r="QAL17" s="41"/>
      <c r="QAM17" s="41"/>
      <c r="QAN17" s="41"/>
      <c r="QAO17" s="41"/>
      <c r="QAP17" s="41"/>
      <c r="QAQ17" s="41"/>
      <c r="QAR17" s="41"/>
      <c r="QAS17" s="41"/>
      <c r="QAT17" s="41"/>
      <c r="QAU17" s="41"/>
      <c r="QAV17" s="41"/>
      <c r="QAW17" s="41"/>
      <c r="QAX17" s="41"/>
      <c r="QAY17" s="41"/>
      <c r="QAZ17" s="41"/>
      <c r="QBA17" s="41"/>
      <c r="QBB17" s="41"/>
      <c r="QBC17" s="41"/>
      <c r="QBD17" s="41"/>
      <c r="QBE17" s="41"/>
      <c r="QBF17" s="41"/>
      <c r="QBG17" s="41"/>
      <c r="QBH17" s="41"/>
      <c r="QBI17" s="41"/>
      <c r="QBJ17" s="41"/>
      <c r="QBK17" s="41"/>
      <c r="QBL17" s="41"/>
      <c r="QBM17" s="41"/>
      <c r="QBN17" s="41"/>
      <c r="QBO17" s="41"/>
      <c r="QBP17" s="41"/>
      <c r="QBQ17" s="41"/>
      <c r="QBR17" s="41"/>
      <c r="QBS17" s="41"/>
      <c r="QBT17" s="41"/>
      <c r="QBU17" s="41"/>
      <c r="QBV17" s="41"/>
      <c r="QBW17" s="41"/>
      <c r="QBX17" s="41"/>
      <c r="QBY17" s="41"/>
      <c r="QBZ17" s="41"/>
      <c r="QCA17" s="41"/>
      <c r="QCB17" s="41"/>
      <c r="QCC17" s="41"/>
      <c r="QCD17" s="41"/>
      <c r="QCE17" s="41"/>
      <c r="QCF17" s="41"/>
      <c r="QCG17" s="41"/>
      <c r="QCH17" s="41"/>
      <c r="QCI17" s="41"/>
      <c r="QCJ17" s="41"/>
      <c r="QCK17" s="41"/>
      <c r="QCL17" s="41"/>
      <c r="QCM17" s="41"/>
      <c r="QCN17" s="41"/>
      <c r="QCO17" s="41"/>
      <c r="QCP17" s="41"/>
      <c r="QCQ17" s="41"/>
      <c r="QCR17" s="41"/>
      <c r="QCS17" s="41"/>
      <c r="QCT17" s="41"/>
      <c r="QCU17" s="41"/>
      <c r="QCV17" s="41"/>
      <c r="QCW17" s="41"/>
      <c r="QCX17" s="41"/>
      <c r="QCY17" s="41"/>
      <c r="QCZ17" s="41"/>
      <c r="QDA17" s="41"/>
      <c r="QDB17" s="41"/>
      <c r="QDC17" s="41"/>
      <c r="QDD17" s="41"/>
      <c r="QDE17" s="41"/>
      <c r="QDF17" s="41"/>
      <c r="QDG17" s="41"/>
      <c r="QDH17" s="41"/>
      <c r="QDI17" s="41"/>
      <c r="QDJ17" s="41"/>
      <c r="QDK17" s="41"/>
      <c r="QDL17" s="41"/>
      <c r="QDM17" s="41"/>
      <c r="QDN17" s="41"/>
      <c r="QDO17" s="41"/>
      <c r="QDP17" s="41"/>
      <c r="QDQ17" s="41"/>
      <c r="QDR17" s="41"/>
      <c r="QDS17" s="41"/>
      <c r="QDT17" s="41"/>
      <c r="QDU17" s="41"/>
      <c r="QDV17" s="41"/>
      <c r="QDW17" s="41"/>
      <c r="QDX17" s="41"/>
      <c r="QDY17" s="41"/>
      <c r="QDZ17" s="41"/>
      <c r="QEA17" s="41"/>
      <c r="QEB17" s="41"/>
      <c r="QEC17" s="41"/>
      <c r="QED17" s="41"/>
      <c r="QEE17" s="41"/>
      <c r="QEF17" s="41"/>
      <c r="QEG17" s="41"/>
      <c r="QEH17" s="41"/>
      <c r="QEI17" s="41"/>
      <c r="QEJ17" s="41"/>
      <c r="QEK17" s="41"/>
      <c r="QEL17" s="41"/>
      <c r="QEM17" s="41"/>
      <c r="QEN17" s="41"/>
      <c r="QEO17" s="41"/>
      <c r="QEP17" s="41"/>
      <c r="QEQ17" s="41"/>
      <c r="QER17" s="41"/>
      <c r="QES17" s="41"/>
      <c r="QET17" s="41"/>
      <c r="QEU17" s="41"/>
      <c r="QEV17" s="41"/>
      <c r="QEW17" s="41"/>
      <c r="QEX17" s="41"/>
      <c r="QEY17" s="41"/>
      <c r="QEZ17" s="41"/>
      <c r="QFA17" s="41"/>
      <c r="QFB17" s="41"/>
      <c r="QFC17" s="41"/>
      <c r="QFD17" s="41"/>
      <c r="QFE17" s="41"/>
      <c r="QFF17" s="41"/>
      <c r="QFG17" s="41"/>
      <c r="QFH17" s="41"/>
      <c r="QFI17" s="41"/>
      <c r="QFJ17" s="41"/>
      <c r="QFK17" s="41"/>
      <c r="QFL17" s="41"/>
      <c r="QFM17" s="41"/>
      <c r="QFN17" s="41"/>
      <c r="QFO17" s="41"/>
      <c r="QFP17" s="41"/>
      <c r="QFQ17" s="41"/>
      <c r="QFR17" s="41"/>
      <c r="QFS17" s="41"/>
      <c r="QFT17" s="41"/>
      <c r="QFU17" s="41"/>
      <c r="QFV17" s="41"/>
      <c r="QFW17" s="41"/>
      <c r="QFX17" s="41"/>
      <c r="QFY17" s="41"/>
      <c r="QFZ17" s="41"/>
      <c r="QGA17" s="41"/>
      <c r="QGB17" s="41"/>
      <c r="QGC17" s="41"/>
      <c r="QGD17" s="41"/>
      <c r="QGE17" s="41"/>
      <c r="QGF17" s="41"/>
      <c r="QGG17" s="41"/>
      <c r="QGH17" s="41"/>
      <c r="QGI17" s="41"/>
      <c r="QGJ17" s="41"/>
      <c r="QGK17" s="41"/>
      <c r="QGL17" s="41"/>
      <c r="QGM17" s="41"/>
      <c r="QGN17" s="41"/>
      <c r="QGO17" s="41"/>
      <c r="QGP17" s="41"/>
      <c r="QGQ17" s="41"/>
      <c r="QGR17" s="41"/>
      <c r="QGS17" s="41"/>
      <c r="QGT17" s="41"/>
      <c r="QGU17" s="41"/>
      <c r="QGV17" s="41"/>
      <c r="QGW17" s="41"/>
      <c r="QGX17" s="41"/>
      <c r="QGY17" s="41"/>
      <c r="QGZ17" s="41"/>
      <c r="QHA17" s="41"/>
      <c r="QHB17" s="41"/>
      <c r="QHC17" s="41"/>
      <c r="QHD17" s="41"/>
      <c r="QHE17" s="41"/>
      <c r="QHF17" s="41"/>
      <c r="QHG17" s="41"/>
      <c r="QHH17" s="41"/>
      <c r="QHI17" s="41"/>
      <c r="QHJ17" s="41"/>
      <c r="QHK17" s="41"/>
      <c r="QHL17" s="41"/>
      <c r="QHM17" s="41"/>
      <c r="QHN17" s="41"/>
      <c r="QHO17" s="41"/>
      <c r="QHP17" s="41"/>
      <c r="QHQ17" s="41"/>
      <c r="QHR17" s="41"/>
      <c r="QHS17" s="41"/>
      <c r="QHT17" s="41"/>
      <c r="QHU17" s="41"/>
      <c r="QHV17" s="41"/>
      <c r="QHW17" s="41"/>
      <c r="QHX17" s="41"/>
      <c r="QHY17" s="41"/>
      <c r="QHZ17" s="41"/>
      <c r="QIA17" s="41"/>
      <c r="QIB17" s="41"/>
      <c r="QIC17" s="41"/>
      <c r="QID17" s="41"/>
      <c r="QIE17" s="41"/>
      <c r="QIF17" s="41"/>
      <c r="QIG17" s="41"/>
      <c r="QIH17" s="41"/>
      <c r="QII17" s="41"/>
      <c r="QIJ17" s="41"/>
      <c r="QIK17" s="41"/>
      <c r="QIL17" s="41"/>
      <c r="QIM17" s="41"/>
      <c r="QIN17" s="41"/>
      <c r="QIO17" s="41"/>
      <c r="QIP17" s="41"/>
      <c r="QIQ17" s="41"/>
      <c r="QIR17" s="41"/>
      <c r="QIS17" s="41"/>
      <c r="QIT17" s="41"/>
      <c r="QIU17" s="41"/>
      <c r="QIV17" s="41"/>
      <c r="QIW17" s="41"/>
      <c r="QIX17" s="41"/>
      <c r="QIY17" s="41"/>
      <c r="QIZ17" s="41"/>
      <c r="QJA17" s="41"/>
      <c r="QJB17" s="41"/>
      <c r="QJC17" s="41"/>
      <c r="QJD17" s="41"/>
      <c r="QJE17" s="41"/>
      <c r="QJF17" s="41"/>
      <c r="QJG17" s="41"/>
      <c r="QJH17" s="41"/>
      <c r="QJI17" s="41"/>
      <c r="QJJ17" s="41"/>
      <c r="QJK17" s="41"/>
      <c r="QJL17" s="41"/>
      <c r="QJM17" s="41"/>
      <c r="QJN17" s="41"/>
      <c r="QJO17" s="41"/>
      <c r="QJP17" s="41"/>
      <c r="QJQ17" s="41"/>
      <c r="QJR17" s="41"/>
      <c r="QJS17" s="41"/>
      <c r="QJT17" s="41"/>
      <c r="QJU17" s="41"/>
      <c r="QJV17" s="41"/>
      <c r="QJW17" s="41"/>
      <c r="QJX17" s="41"/>
      <c r="QJY17" s="41"/>
      <c r="QJZ17" s="41"/>
      <c r="QKA17" s="41"/>
      <c r="QKB17" s="41"/>
      <c r="QKC17" s="41"/>
      <c r="QKD17" s="41"/>
      <c r="QKE17" s="41"/>
      <c r="QKF17" s="41"/>
      <c r="QKG17" s="41"/>
      <c r="QKH17" s="41"/>
      <c r="QKI17" s="41"/>
      <c r="QKJ17" s="41"/>
      <c r="QKK17" s="41"/>
      <c r="QKL17" s="41"/>
      <c r="QKM17" s="41"/>
      <c r="QKN17" s="41"/>
      <c r="QKO17" s="41"/>
      <c r="QKP17" s="41"/>
      <c r="QKQ17" s="41"/>
      <c r="QKR17" s="41"/>
      <c r="QKS17" s="41"/>
      <c r="QKT17" s="41"/>
      <c r="QKU17" s="41"/>
      <c r="QKV17" s="41"/>
      <c r="QKW17" s="41"/>
      <c r="QKX17" s="41"/>
      <c r="QKY17" s="41"/>
      <c r="QKZ17" s="41"/>
      <c r="QLA17" s="41"/>
      <c r="QLB17" s="41"/>
      <c r="QLC17" s="41"/>
      <c r="QLD17" s="41"/>
      <c r="QLE17" s="41"/>
      <c r="QLF17" s="41"/>
      <c r="QLG17" s="41"/>
      <c r="QLH17" s="41"/>
      <c r="QLI17" s="41"/>
      <c r="QLJ17" s="41"/>
      <c r="QLK17" s="41"/>
      <c r="QLL17" s="41"/>
      <c r="QLM17" s="41"/>
      <c r="QLN17" s="41"/>
      <c r="QLO17" s="41"/>
      <c r="QLP17" s="41"/>
      <c r="QLQ17" s="41"/>
      <c r="QLR17" s="41"/>
      <c r="QLS17" s="41"/>
      <c r="QLT17" s="41"/>
      <c r="QLU17" s="41"/>
      <c r="QLV17" s="41"/>
      <c r="QLW17" s="41"/>
      <c r="QLX17" s="41"/>
      <c r="QLY17" s="41"/>
      <c r="QLZ17" s="41"/>
      <c r="QMA17" s="41"/>
      <c r="QMB17" s="41"/>
      <c r="QMC17" s="41"/>
      <c r="QMD17" s="41"/>
      <c r="QME17" s="41"/>
      <c r="QMF17" s="41"/>
      <c r="QMG17" s="41"/>
      <c r="QMH17" s="41"/>
      <c r="QMI17" s="41"/>
      <c r="QMJ17" s="41"/>
      <c r="QMK17" s="41"/>
      <c r="QML17" s="41"/>
      <c r="QMM17" s="41"/>
      <c r="QMN17" s="41"/>
      <c r="QMO17" s="41"/>
      <c r="QMP17" s="41"/>
      <c r="QMQ17" s="41"/>
      <c r="QMR17" s="41"/>
      <c r="QMS17" s="41"/>
      <c r="QMT17" s="41"/>
      <c r="QMU17" s="41"/>
      <c r="QMV17" s="41"/>
      <c r="QMW17" s="41"/>
      <c r="QMX17" s="41"/>
      <c r="QMY17" s="41"/>
      <c r="QMZ17" s="41"/>
      <c r="QNA17" s="41"/>
      <c r="QNB17" s="41"/>
      <c r="QNC17" s="41"/>
      <c r="QND17" s="41"/>
      <c r="QNE17" s="41"/>
      <c r="QNF17" s="41"/>
      <c r="QNG17" s="41"/>
      <c r="QNH17" s="41"/>
      <c r="QNI17" s="41"/>
      <c r="QNJ17" s="41"/>
      <c r="QNK17" s="41"/>
      <c r="QNL17" s="41"/>
      <c r="QNM17" s="41"/>
      <c r="QNN17" s="41"/>
      <c r="QNO17" s="41"/>
      <c r="QNP17" s="41"/>
      <c r="QNQ17" s="41"/>
      <c r="QNR17" s="41"/>
      <c r="QNS17" s="41"/>
      <c r="QNT17" s="41"/>
      <c r="QNU17" s="41"/>
      <c r="QNV17" s="41"/>
      <c r="QNW17" s="41"/>
      <c r="QNX17" s="41"/>
      <c r="QNY17" s="41"/>
      <c r="QNZ17" s="41"/>
      <c r="QOA17" s="41"/>
      <c r="QOB17" s="41"/>
      <c r="QOC17" s="41"/>
      <c r="QOD17" s="41"/>
      <c r="QOE17" s="41"/>
      <c r="QOF17" s="41"/>
      <c r="QOG17" s="41"/>
      <c r="QOH17" s="41"/>
      <c r="QOI17" s="41"/>
      <c r="QOJ17" s="41"/>
      <c r="QOK17" s="41"/>
      <c r="QOL17" s="41"/>
      <c r="QOM17" s="41"/>
      <c r="QON17" s="41"/>
      <c r="QOO17" s="41"/>
      <c r="QOP17" s="41"/>
      <c r="QOQ17" s="41"/>
      <c r="QOR17" s="41"/>
      <c r="QOS17" s="41"/>
      <c r="QOT17" s="41"/>
      <c r="QOU17" s="41"/>
      <c r="QOV17" s="41"/>
      <c r="QOW17" s="41"/>
      <c r="QOX17" s="41"/>
      <c r="QOY17" s="41"/>
      <c r="QOZ17" s="41"/>
      <c r="QPA17" s="41"/>
      <c r="QPB17" s="41"/>
      <c r="QPC17" s="41"/>
      <c r="QPD17" s="41"/>
      <c r="QPE17" s="41"/>
      <c r="QPF17" s="41"/>
      <c r="QPG17" s="41"/>
      <c r="QPH17" s="41"/>
      <c r="QPI17" s="41"/>
      <c r="QPJ17" s="41"/>
      <c r="QPK17" s="41"/>
      <c r="QPL17" s="41"/>
      <c r="QPM17" s="41"/>
      <c r="QPN17" s="41"/>
      <c r="QPO17" s="41"/>
      <c r="QPP17" s="41"/>
      <c r="QPQ17" s="41"/>
      <c r="QPR17" s="41"/>
      <c r="QPS17" s="41"/>
      <c r="QPT17" s="41"/>
      <c r="QPU17" s="41"/>
      <c r="QPV17" s="41"/>
      <c r="QPW17" s="41"/>
      <c r="QPX17" s="41"/>
      <c r="QPY17" s="41"/>
      <c r="QPZ17" s="41"/>
      <c r="QQA17" s="41"/>
      <c r="QQB17" s="41"/>
      <c r="QQC17" s="41"/>
      <c r="QQD17" s="41"/>
      <c r="QQE17" s="41"/>
      <c r="QQF17" s="41"/>
      <c r="QQG17" s="41"/>
      <c r="QQH17" s="41"/>
      <c r="QQI17" s="41"/>
      <c r="QQJ17" s="41"/>
      <c r="QQK17" s="41"/>
      <c r="QQL17" s="41"/>
      <c r="QQM17" s="41"/>
      <c r="QQN17" s="41"/>
      <c r="QQO17" s="41"/>
      <c r="QQP17" s="41"/>
      <c r="QQQ17" s="41"/>
      <c r="QQR17" s="41"/>
      <c r="QQS17" s="41"/>
      <c r="QQT17" s="41"/>
      <c r="QQU17" s="41"/>
      <c r="QQV17" s="41"/>
      <c r="QQW17" s="41"/>
      <c r="QQX17" s="41"/>
      <c r="QQY17" s="41"/>
      <c r="QQZ17" s="41"/>
      <c r="QRA17" s="41"/>
      <c r="QRB17" s="41"/>
      <c r="QRC17" s="41"/>
      <c r="QRD17" s="41"/>
      <c r="QRE17" s="41"/>
      <c r="QRF17" s="41"/>
      <c r="QRG17" s="41"/>
      <c r="QRH17" s="41"/>
      <c r="QRI17" s="41"/>
      <c r="QRJ17" s="41"/>
      <c r="QRK17" s="41"/>
      <c r="QRL17" s="41"/>
      <c r="QRM17" s="41"/>
      <c r="QRN17" s="41"/>
      <c r="QRO17" s="41"/>
      <c r="QRP17" s="41"/>
      <c r="QRQ17" s="41"/>
      <c r="QRR17" s="41"/>
      <c r="QRS17" s="41"/>
      <c r="QRT17" s="41"/>
      <c r="QRU17" s="41"/>
      <c r="QRV17" s="41"/>
      <c r="QRW17" s="41"/>
      <c r="QRX17" s="41"/>
      <c r="QRY17" s="41"/>
      <c r="QRZ17" s="41"/>
      <c r="QSA17" s="41"/>
      <c r="QSB17" s="41"/>
      <c r="QSC17" s="41"/>
      <c r="QSD17" s="41"/>
      <c r="QSE17" s="41"/>
      <c r="QSF17" s="41"/>
      <c r="QSG17" s="41"/>
      <c r="QSH17" s="41"/>
      <c r="QSI17" s="41"/>
      <c r="QSJ17" s="41"/>
      <c r="QSK17" s="41"/>
      <c r="QSL17" s="41"/>
      <c r="QSM17" s="41"/>
      <c r="QSN17" s="41"/>
      <c r="QSO17" s="41"/>
      <c r="QSP17" s="41"/>
      <c r="QSQ17" s="41"/>
      <c r="QSR17" s="41"/>
      <c r="QSS17" s="41"/>
      <c r="QST17" s="41"/>
      <c r="QSU17" s="41"/>
      <c r="QSV17" s="41"/>
      <c r="QSW17" s="41"/>
      <c r="QSX17" s="41"/>
      <c r="QSY17" s="41"/>
      <c r="QSZ17" s="41"/>
      <c r="QTA17" s="41"/>
      <c r="QTB17" s="41"/>
      <c r="QTC17" s="41"/>
      <c r="QTD17" s="41"/>
      <c r="QTE17" s="41"/>
      <c r="QTF17" s="41"/>
      <c r="QTG17" s="41"/>
      <c r="QTH17" s="41"/>
      <c r="QTI17" s="41"/>
      <c r="QTJ17" s="41"/>
      <c r="QTK17" s="41"/>
      <c r="QTL17" s="41"/>
      <c r="QTM17" s="41"/>
      <c r="QTN17" s="41"/>
      <c r="QTO17" s="41"/>
      <c r="QTP17" s="41"/>
      <c r="QTQ17" s="41"/>
      <c r="QTR17" s="41"/>
      <c r="QTS17" s="41"/>
      <c r="QTT17" s="41"/>
      <c r="QTU17" s="41"/>
      <c r="QTV17" s="41"/>
      <c r="QTW17" s="41"/>
      <c r="QTX17" s="41"/>
      <c r="QTY17" s="41"/>
      <c r="QTZ17" s="41"/>
      <c r="QUA17" s="41"/>
      <c r="QUB17" s="41"/>
      <c r="QUC17" s="41"/>
      <c r="QUD17" s="41"/>
      <c r="QUE17" s="41"/>
      <c r="QUF17" s="41"/>
      <c r="QUG17" s="41"/>
      <c r="QUH17" s="41"/>
      <c r="QUI17" s="41"/>
      <c r="QUJ17" s="41"/>
      <c r="QUK17" s="41"/>
      <c r="QUL17" s="41"/>
      <c r="QUM17" s="41"/>
      <c r="QUN17" s="41"/>
      <c r="QUO17" s="41"/>
      <c r="QUP17" s="41"/>
      <c r="QUQ17" s="41"/>
      <c r="QUR17" s="41"/>
      <c r="QUS17" s="41"/>
      <c r="QUT17" s="41"/>
      <c r="QUU17" s="41"/>
      <c r="QUV17" s="41"/>
      <c r="QUW17" s="41"/>
      <c r="QUX17" s="41"/>
      <c r="QUY17" s="41"/>
      <c r="QUZ17" s="41"/>
      <c r="QVA17" s="41"/>
      <c r="QVB17" s="41"/>
      <c r="QVC17" s="41"/>
      <c r="QVD17" s="41"/>
      <c r="QVE17" s="41"/>
      <c r="QVF17" s="41"/>
      <c r="QVG17" s="41"/>
      <c r="QVH17" s="41"/>
      <c r="QVI17" s="41"/>
      <c r="QVJ17" s="41"/>
      <c r="QVK17" s="41"/>
      <c r="QVL17" s="41"/>
      <c r="QVM17" s="41"/>
      <c r="QVN17" s="41"/>
      <c r="QVO17" s="41"/>
      <c r="QVP17" s="41"/>
      <c r="QVQ17" s="41"/>
      <c r="QVR17" s="41"/>
      <c r="QVS17" s="41"/>
      <c r="QVT17" s="41"/>
      <c r="QVU17" s="41"/>
      <c r="QVV17" s="41"/>
      <c r="QVW17" s="41"/>
      <c r="QVX17" s="41"/>
      <c r="QVY17" s="41"/>
      <c r="QVZ17" s="41"/>
      <c r="QWA17" s="41"/>
      <c r="QWB17" s="41"/>
      <c r="QWC17" s="41"/>
      <c r="QWD17" s="41"/>
      <c r="QWE17" s="41"/>
      <c r="QWF17" s="41"/>
      <c r="QWG17" s="41"/>
      <c r="QWH17" s="41"/>
      <c r="QWI17" s="41"/>
      <c r="QWJ17" s="41"/>
      <c r="QWK17" s="41"/>
      <c r="QWL17" s="41"/>
      <c r="QWM17" s="41"/>
      <c r="QWN17" s="41"/>
      <c r="QWO17" s="41"/>
      <c r="QWP17" s="41"/>
      <c r="QWQ17" s="41"/>
      <c r="QWR17" s="41"/>
      <c r="QWS17" s="41"/>
      <c r="QWT17" s="41"/>
      <c r="QWU17" s="41"/>
      <c r="QWV17" s="41"/>
      <c r="QWW17" s="41"/>
      <c r="QWX17" s="41"/>
      <c r="QWY17" s="41"/>
      <c r="QWZ17" s="41"/>
      <c r="QXA17" s="41"/>
      <c r="QXB17" s="41"/>
      <c r="QXC17" s="41"/>
      <c r="QXD17" s="41"/>
      <c r="QXE17" s="41"/>
      <c r="QXF17" s="41"/>
      <c r="QXG17" s="41"/>
      <c r="QXH17" s="41"/>
      <c r="QXI17" s="41"/>
      <c r="QXJ17" s="41"/>
      <c r="QXK17" s="41"/>
      <c r="QXL17" s="41"/>
      <c r="QXM17" s="41"/>
      <c r="QXN17" s="41"/>
      <c r="QXO17" s="41"/>
      <c r="QXP17" s="41"/>
      <c r="QXQ17" s="41"/>
      <c r="QXR17" s="41"/>
      <c r="QXS17" s="41"/>
      <c r="QXT17" s="41"/>
      <c r="QXU17" s="41"/>
      <c r="QXV17" s="41"/>
      <c r="QXW17" s="41"/>
      <c r="QXX17" s="41"/>
      <c r="QXY17" s="41"/>
      <c r="QXZ17" s="41"/>
      <c r="QYA17" s="41"/>
      <c r="QYB17" s="41"/>
      <c r="QYC17" s="41"/>
      <c r="QYD17" s="41"/>
      <c r="QYE17" s="41"/>
      <c r="QYF17" s="41"/>
      <c r="QYG17" s="41"/>
      <c r="QYH17" s="41"/>
      <c r="QYI17" s="41"/>
      <c r="QYJ17" s="41"/>
      <c r="QYK17" s="41"/>
      <c r="QYL17" s="41"/>
      <c r="QYM17" s="41"/>
      <c r="QYN17" s="41"/>
      <c r="QYO17" s="41"/>
      <c r="QYP17" s="41"/>
      <c r="QYQ17" s="41"/>
      <c r="QYR17" s="41"/>
      <c r="QYS17" s="41"/>
      <c r="QYT17" s="41"/>
      <c r="QYU17" s="41"/>
      <c r="QYV17" s="41"/>
      <c r="QYW17" s="41"/>
      <c r="QYX17" s="41"/>
      <c r="QYY17" s="41"/>
      <c r="QYZ17" s="41"/>
      <c r="QZA17" s="41"/>
      <c r="QZB17" s="41"/>
      <c r="QZC17" s="41"/>
      <c r="QZD17" s="41"/>
      <c r="QZE17" s="41"/>
      <c r="QZF17" s="41"/>
      <c r="QZG17" s="41"/>
      <c r="QZH17" s="41"/>
      <c r="QZI17" s="41"/>
      <c r="QZJ17" s="41"/>
      <c r="QZK17" s="41"/>
      <c r="QZL17" s="41"/>
      <c r="QZM17" s="41"/>
      <c r="QZN17" s="41"/>
      <c r="QZO17" s="41"/>
      <c r="QZP17" s="41"/>
      <c r="QZQ17" s="41"/>
      <c r="QZR17" s="41"/>
      <c r="QZS17" s="41"/>
      <c r="QZT17" s="41"/>
      <c r="QZU17" s="41"/>
      <c r="QZV17" s="41"/>
      <c r="QZW17" s="41"/>
      <c r="QZX17" s="41"/>
      <c r="QZY17" s="41"/>
      <c r="QZZ17" s="41"/>
      <c r="RAA17" s="41"/>
      <c r="RAB17" s="41"/>
      <c r="RAC17" s="41"/>
      <c r="RAD17" s="41"/>
      <c r="RAE17" s="41"/>
      <c r="RAF17" s="41"/>
      <c r="RAG17" s="41"/>
      <c r="RAH17" s="41"/>
      <c r="RAI17" s="41"/>
      <c r="RAJ17" s="41"/>
      <c r="RAK17" s="41"/>
      <c r="RAL17" s="41"/>
      <c r="RAM17" s="41"/>
      <c r="RAN17" s="41"/>
      <c r="RAO17" s="41"/>
      <c r="RAP17" s="41"/>
      <c r="RAQ17" s="41"/>
      <c r="RAR17" s="41"/>
      <c r="RAS17" s="41"/>
      <c r="RAT17" s="41"/>
      <c r="RAU17" s="41"/>
      <c r="RAV17" s="41"/>
      <c r="RAW17" s="41"/>
      <c r="RAX17" s="41"/>
      <c r="RAY17" s="41"/>
      <c r="RAZ17" s="41"/>
      <c r="RBA17" s="41"/>
      <c r="RBB17" s="41"/>
      <c r="RBC17" s="41"/>
      <c r="RBD17" s="41"/>
      <c r="RBE17" s="41"/>
      <c r="RBF17" s="41"/>
      <c r="RBG17" s="41"/>
      <c r="RBH17" s="41"/>
      <c r="RBI17" s="41"/>
      <c r="RBJ17" s="41"/>
      <c r="RBK17" s="41"/>
      <c r="RBL17" s="41"/>
      <c r="RBM17" s="41"/>
      <c r="RBN17" s="41"/>
      <c r="RBO17" s="41"/>
      <c r="RBP17" s="41"/>
      <c r="RBQ17" s="41"/>
      <c r="RBR17" s="41"/>
      <c r="RBS17" s="41"/>
      <c r="RBT17" s="41"/>
      <c r="RBU17" s="41"/>
      <c r="RBV17" s="41"/>
      <c r="RBW17" s="41"/>
      <c r="RBX17" s="41"/>
      <c r="RBY17" s="41"/>
      <c r="RBZ17" s="41"/>
      <c r="RCA17" s="41"/>
      <c r="RCB17" s="41"/>
      <c r="RCC17" s="41"/>
      <c r="RCD17" s="41"/>
      <c r="RCE17" s="41"/>
      <c r="RCF17" s="41"/>
      <c r="RCG17" s="41"/>
      <c r="RCH17" s="41"/>
      <c r="RCI17" s="41"/>
      <c r="RCJ17" s="41"/>
      <c r="RCK17" s="41"/>
      <c r="RCL17" s="41"/>
      <c r="RCM17" s="41"/>
      <c r="RCN17" s="41"/>
      <c r="RCO17" s="41"/>
      <c r="RCP17" s="41"/>
      <c r="RCQ17" s="41"/>
      <c r="RCR17" s="41"/>
      <c r="RCS17" s="41"/>
      <c r="RCT17" s="41"/>
      <c r="RCU17" s="41"/>
      <c r="RCV17" s="41"/>
      <c r="RCW17" s="41"/>
      <c r="RCX17" s="41"/>
      <c r="RCY17" s="41"/>
      <c r="RCZ17" s="41"/>
      <c r="RDA17" s="41"/>
      <c r="RDB17" s="41"/>
      <c r="RDC17" s="41"/>
      <c r="RDD17" s="41"/>
      <c r="RDE17" s="41"/>
      <c r="RDF17" s="41"/>
      <c r="RDG17" s="41"/>
      <c r="RDH17" s="41"/>
      <c r="RDI17" s="41"/>
      <c r="RDJ17" s="41"/>
      <c r="RDK17" s="41"/>
      <c r="RDL17" s="41"/>
      <c r="RDM17" s="41"/>
      <c r="RDN17" s="41"/>
      <c r="RDO17" s="41"/>
      <c r="RDP17" s="41"/>
      <c r="RDQ17" s="41"/>
      <c r="RDR17" s="41"/>
      <c r="RDS17" s="41"/>
      <c r="RDT17" s="41"/>
      <c r="RDU17" s="41"/>
      <c r="RDV17" s="41"/>
      <c r="RDW17" s="41"/>
      <c r="RDX17" s="41"/>
      <c r="RDY17" s="41"/>
      <c r="RDZ17" s="41"/>
      <c r="REA17" s="41"/>
      <c r="REB17" s="41"/>
      <c r="REC17" s="41"/>
      <c r="RED17" s="41"/>
      <c r="REE17" s="41"/>
      <c r="REF17" s="41"/>
      <c r="REG17" s="41"/>
      <c r="REH17" s="41"/>
      <c r="REI17" s="41"/>
      <c r="REJ17" s="41"/>
      <c r="REK17" s="41"/>
      <c r="REL17" s="41"/>
      <c r="REM17" s="41"/>
      <c r="REN17" s="41"/>
      <c r="REO17" s="41"/>
      <c r="REP17" s="41"/>
      <c r="REQ17" s="41"/>
      <c r="RER17" s="41"/>
      <c r="RES17" s="41"/>
      <c r="RET17" s="41"/>
      <c r="REU17" s="41"/>
      <c r="REV17" s="41"/>
      <c r="REW17" s="41"/>
      <c r="REX17" s="41"/>
      <c r="REY17" s="41"/>
      <c r="REZ17" s="41"/>
      <c r="RFA17" s="41"/>
      <c r="RFB17" s="41"/>
      <c r="RFC17" s="41"/>
      <c r="RFD17" s="41"/>
      <c r="RFE17" s="41"/>
      <c r="RFF17" s="41"/>
      <c r="RFG17" s="41"/>
      <c r="RFH17" s="41"/>
      <c r="RFI17" s="41"/>
      <c r="RFJ17" s="41"/>
      <c r="RFK17" s="41"/>
      <c r="RFL17" s="41"/>
      <c r="RFM17" s="41"/>
      <c r="RFN17" s="41"/>
      <c r="RFO17" s="41"/>
      <c r="RFP17" s="41"/>
      <c r="RFQ17" s="41"/>
      <c r="RFR17" s="41"/>
      <c r="RFS17" s="41"/>
      <c r="RFT17" s="41"/>
      <c r="RFU17" s="41"/>
      <c r="RFV17" s="41"/>
      <c r="RFW17" s="41"/>
      <c r="RFX17" s="41"/>
      <c r="RFY17" s="41"/>
      <c r="RFZ17" s="41"/>
      <c r="RGA17" s="41"/>
      <c r="RGB17" s="41"/>
      <c r="RGC17" s="41"/>
      <c r="RGD17" s="41"/>
      <c r="RGE17" s="41"/>
      <c r="RGF17" s="41"/>
      <c r="RGG17" s="41"/>
      <c r="RGH17" s="41"/>
      <c r="RGI17" s="41"/>
      <c r="RGJ17" s="41"/>
      <c r="RGK17" s="41"/>
      <c r="RGL17" s="41"/>
      <c r="RGM17" s="41"/>
      <c r="RGN17" s="41"/>
      <c r="RGO17" s="41"/>
      <c r="RGP17" s="41"/>
      <c r="RGQ17" s="41"/>
      <c r="RGR17" s="41"/>
      <c r="RGS17" s="41"/>
      <c r="RGT17" s="41"/>
      <c r="RGU17" s="41"/>
      <c r="RGV17" s="41"/>
      <c r="RGW17" s="41"/>
      <c r="RGX17" s="41"/>
      <c r="RGY17" s="41"/>
      <c r="RGZ17" s="41"/>
      <c r="RHA17" s="41"/>
      <c r="RHB17" s="41"/>
      <c r="RHC17" s="41"/>
      <c r="RHD17" s="41"/>
      <c r="RHE17" s="41"/>
      <c r="RHF17" s="41"/>
      <c r="RHG17" s="41"/>
      <c r="RHH17" s="41"/>
      <c r="RHI17" s="41"/>
      <c r="RHJ17" s="41"/>
      <c r="RHK17" s="41"/>
      <c r="RHL17" s="41"/>
      <c r="RHM17" s="41"/>
      <c r="RHN17" s="41"/>
      <c r="RHO17" s="41"/>
      <c r="RHP17" s="41"/>
      <c r="RHQ17" s="41"/>
      <c r="RHR17" s="41"/>
      <c r="RHS17" s="41"/>
      <c r="RHT17" s="41"/>
      <c r="RHU17" s="41"/>
      <c r="RHV17" s="41"/>
      <c r="RHW17" s="41"/>
      <c r="RHX17" s="41"/>
      <c r="RHY17" s="41"/>
      <c r="RHZ17" s="41"/>
      <c r="RIA17" s="41"/>
      <c r="RIB17" s="41"/>
      <c r="RIC17" s="41"/>
      <c r="RID17" s="41"/>
      <c r="RIE17" s="41"/>
      <c r="RIF17" s="41"/>
      <c r="RIG17" s="41"/>
      <c r="RIH17" s="41"/>
      <c r="RII17" s="41"/>
      <c r="RIJ17" s="41"/>
      <c r="RIK17" s="41"/>
      <c r="RIL17" s="41"/>
      <c r="RIM17" s="41"/>
      <c r="RIN17" s="41"/>
      <c r="RIO17" s="41"/>
      <c r="RIP17" s="41"/>
      <c r="RIQ17" s="41"/>
      <c r="RIR17" s="41"/>
      <c r="RIS17" s="41"/>
      <c r="RIT17" s="41"/>
      <c r="RIU17" s="41"/>
      <c r="RIV17" s="41"/>
      <c r="RIW17" s="41"/>
      <c r="RIX17" s="41"/>
      <c r="RIY17" s="41"/>
      <c r="RIZ17" s="41"/>
      <c r="RJA17" s="41"/>
      <c r="RJB17" s="41"/>
      <c r="RJC17" s="41"/>
      <c r="RJD17" s="41"/>
      <c r="RJE17" s="41"/>
      <c r="RJF17" s="41"/>
      <c r="RJG17" s="41"/>
      <c r="RJH17" s="41"/>
      <c r="RJI17" s="41"/>
      <c r="RJJ17" s="41"/>
      <c r="RJK17" s="41"/>
      <c r="RJL17" s="41"/>
      <c r="RJM17" s="41"/>
      <c r="RJN17" s="41"/>
      <c r="RJO17" s="41"/>
      <c r="RJP17" s="41"/>
      <c r="RJQ17" s="41"/>
      <c r="RJR17" s="41"/>
      <c r="RJS17" s="41"/>
      <c r="RJT17" s="41"/>
      <c r="RJU17" s="41"/>
      <c r="RJV17" s="41"/>
      <c r="RJW17" s="41"/>
      <c r="RJX17" s="41"/>
      <c r="RJY17" s="41"/>
      <c r="RJZ17" s="41"/>
      <c r="RKA17" s="41"/>
      <c r="RKB17" s="41"/>
      <c r="RKC17" s="41"/>
      <c r="RKD17" s="41"/>
      <c r="RKE17" s="41"/>
      <c r="RKF17" s="41"/>
      <c r="RKG17" s="41"/>
      <c r="RKH17" s="41"/>
      <c r="RKI17" s="41"/>
      <c r="RKJ17" s="41"/>
      <c r="RKK17" s="41"/>
      <c r="RKL17" s="41"/>
      <c r="RKM17" s="41"/>
      <c r="RKN17" s="41"/>
      <c r="RKO17" s="41"/>
      <c r="RKP17" s="41"/>
      <c r="RKQ17" s="41"/>
      <c r="RKR17" s="41"/>
      <c r="RKS17" s="41"/>
      <c r="RKT17" s="41"/>
      <c r="RKU17" s="41"/>
      <c r="RKV17" s="41"/>
      <c r="RKW17" s="41"/>
      <c r="RKX17" s="41"/>
      <c r="RKY17" s="41"/>
      <c r="RKZ17" s="41"/>
      <c r="RLA17" s="41"/>
      <c r="RLB17" s="41"/>
      <c r="RLC17" s="41"/>
      <c r="RLD17" s="41"/>
      <c r="RLE17" s="41"/>
      <c r="RLF17" s="41"/>
      <c r="RLG17" s="41"/>
      <c r="RLH17" s="41"/>
      <c r="RLI17" s="41"/>
      <c r="RLJ17" s="41"/>
      <c r="RLK17" s="41"/>
      <c r="RLL17" s="41"/>
      <c r="RLM17" s="41"/>
      <c r="RLN17" s="41"/>
      <c r="RLO17" s="41"/>
      <c r="RLP17" s="41"/>
      <c r="RLQ17" s="41"/>
      <c r="RLR17" s="41"/>
      <c r="RLS17" s="41"/>
      <c r="RLT17" s="41"/>
      <c r="RLU17" s="41"/>
      <c r="RLV17" s="41"/>
      <c r="RLW17" s="41"/>
      <c r="RLX17" s="41"/>
      <c r="RLY17" s="41"/>
      <c r="RLZ17" s="41"/>
      <c r="RMA17" s="41"/>
      <c r="RMB17" s="41"/>
      <c r="RMC17" s="41"/>
      <c r="RMD17" s="41"/>
      <c r="RME17" s="41"/>
      <c r="RMF17" s="41"/>
      <c r="RMG17" s="41"/>
      <c r="RMH17" s="41"/>
      <c r="RMI17" s="41"/>
      <c r="RMJ17" s="41"/>
      <c r="RMK17" s="41"/>
      <c r="RML17" s="41"/>
      <c r="RMM17" s="41"/>
      <c r="RMN17" s="41"/>
      <c r="RMO17" s="41"/>
      <c r="RMP17" s="41"/>
      <c r="RMQ17" s="41"/>
      <c r="RMR17" s="41"/>
      <c r="RMS17" s="41"/>
      <c r="RMT17" s="41"/>
      <c r="RMU17" s="41"/>
      <c r="RMV17" s="41"/>
      <c r="RMW17" s="41"/>
      <c r="RMX17" s="41"/>
      <c r="RMY17" s="41"/>
      <c r="RMZ17" s="41"/>
      <c r="RNA17" s="41"/>
      <c r="RNB17" s="41"/>
      <c r="RNC17" s="41"/>
      <c r="RND17" s="41"/>
      <c r="RNE17" s="41"/>
      <c r="RNF17" s="41"/>
      <c r="RNG17" s="41"/>
      <c r="RNH17" s="41"/>
      <c r="RNI17" s="41"/>
      <c r="RNJ17" s="41"/>
      <c r="RNK17" s="41"/>
      <c r="RNL17" s="41"/>
      <c r="RNM17" s="41"/>
      <c r="RNN17" s="41"/>
      <c r="RNO17" s="41"/>
      <c r="RNP17" s="41"/>
      <c r="RNQ17" s="41"/>
      <c r="RNR17" s="41"/>
      <c r="RNS17" s="41"/>
      <c r="RNT17" s="41"/>
      <c r="RNU17" s="41"/>
      <c r="RNV17" s="41"/>
      <c r="RNW17" s="41"/>
      <c r="RNX17" s="41"/>
      <c r="RNY17" s="41"/>
      <c r="RNZ17" s="41"/>
      <c r="ROA17" s="41"/>
      <c r="ROB17" s="41"/>
      <c r="ROC17" s="41"/>
      <c r="ROD17" s="41"/>
      <c r="ROE17" s="41"/>
      <c r="ROF17" s="41"/>
      <c r="ROG17" s="41"/>
      <c r="ROH17" s="41"/>
      <c r="ROI17" s="41"/>
      <c r="ROJ17" s="41"/>
      <c r="ROK17" s="41"/>
      <c r="ROL17" s="41"/>
      <c r="ROM17" s="41"/>
      <c r="RON17" s="41"/>
      <c r="ROO17" s="41"/>
      <c r="ROP17" s="41"/>
      <c r="ROQ17" s="41"/>
      <c r="ROR17" s="41"/>
      <c r="ROS17" s="41"/>
      <c r="ROT17" s="41"/>
      <c r="ROU17" s="41"/>
      <c r="ROV17" s="41"/>
      <c r="ROW17" s="41"/>
      <c r="ROX17" s="41"/>
      <c r="ROY17" s="41"/>
      <c r="ROZ17" s="41"/>
      <c r="RPA17" s="41"/>
      <c r="RPB17" s="41"/>
      <c r="RPC17" s="41"/>
      <c r="RPD17" s="41"/>
      <c r="RPE17" s="41"/>
      <c r="RPF17" s="41"/>
      <c r="RPG17" s="41"/>
      <c r="RPH17" s="41"/>
      <c r="RPI17" s="41"/>
      <c r="RPJ17" s="41"/>
      <c r="RPK17" s="41"/>
      <c r="RPL17" s="41"/>
      <c r="RPM17" s="41"/>
      <c r="RPN17" s="41"/>
      <c r="RPO17" s="41"/>
      <c r="RPP17" s="41"/>
      <c r="RPQ17" s="41"/>
      <c r="RPR17" s="41"/>
      <c r="RPS17" s="41"/>
      <c r="RPT17" s="41"/>
      <c r="RPU17" s="41"/>
      <c r="RPV17" s="41"/>
      <c r="RPW17" s="41"/>
      <c r="RPX17" s="41"/>
      <c r="RPY17" s="41"/>
      <c r="RPZ17" s="41"/>
      <c r="RQA17" s="41"/>
      <c r="RQB17" s="41"/>
      <c r="RQC17" s="41"/>
      <c r="RQD17" s="41"/>
      <c r="RQE17" s="41"/>
      <c r="RQF17" s="41"/>
      <c r="RQG17" s="41"/>
      <c r="RQH17" s="41"/>
      <c r="RQI17" s="41"/>
      <c r="RQJ17" s="41"/>
      <c r="RQK17" s="41"/>
      <c r="RQL17" s="41"/>
      <c r="RQM17" s="41"/>
      <c r="RQN17" s="41"/>
      <c r="RQO17" s="41"/>
      <c r="RQP17" s="41"/>
      <c r="RQQ17" s="41"/>
      <c r="RQR17" s="41"/>
      <c r="RQS17" s="41"/>
      <c r="RQT17" s="41"/>
      <c r="RQU17" s="41"/>
      <c r="RQV17" s="41"/>
      <c r="RQW17" s="41"/>
      <c r="RQX17" s="41"/>
      <c r="RQY17" s="41"/>
      <c r="RQZ17" s="41"/>
      <c r="RRA17" s="41"/>
      <c r="RRB17" s="41"/>
      <c r="RRC17" s="41"/>
      <c r="RRD17" s="41"/>
      <c r="RRE17" s="41"/>
      <c r="RRF17" s="41"/>
      <c r="RRG17" s="41"/>
      <c r="RRH17" s="41"/>
      <c r="RRI17" s="41"/>
      <c r="RRJ17" s="41"/>
      <c r="RRK17" s="41"/>
      <c r="RRL17" s="41"/>
      <c r="RRM17" s="41"/>
      <c r="RRN17" s="41"/>
      <c r="RRO17" s="41"/>
      <c r="RRP17" s="41"/>
      <c r="RRQ17" s="41"/>
      <c r="RRR17" s="41"/>
      <c r="RRS17" s="41"/>
      <c r="RRT17" s="41"/>
      <c r="RRU17" s="41"/>
      <c r="RRV17" s="41"/>
      <c r="RRW17" s="41"/>
      <c r="RRX17" s="41"/>
      <c r="RRY17" s="41"/>
      <c r="RRZ17" s="41"/>
      <c r="RSA17" s="41"/>
      <c r="RSB17" s="41"/>
      <c r="RSC17" s="41"/>
      <c r="RSD17" s="41"/>
      <c r="RSE17" s="41"/>
      <c r="RSF17" s="41"/>
      <c r="RSG17" s="41"/>
      <c r="RSH17" s="41"/>
      <c r="RSI17" s="41"/>
      <c r="RSJ17" s="41"/>
      <c r="RSK17" s="41"/>
      <c r="RSL17" s="41"/>
      <c r="RSM17" s="41"/>
      <c r="RSN17" s="41"/>
      <c r="RSO17" s="41"/>
      <c r="RSP17" s="41"/>
      <c r="RSQ17" s="41"/>
      <c r="RSR17" s="41"/>
      <c r="RSS17" s="41"/>
      <c r="RST17" s="41"/>
      <c r="RSU17" s="41"/>
      <c r="RSV17" s="41"/>
      <c r="RSW17" s="41"/>
      <c r="RSX17" s="41"/>
      <c r="RSY17" s="41"/>
      <c r="RSZ17" s="41"/>
      <c r="RTA17" s="41"/>
      <c r="RTB17" s="41"/>
      <c r="RTC17" s="41"/>
      <c r="RTD17" s="41"/>
      <c r="RTE17" s="41"/>
      <c r="RTF17" s="41"/>
      <c r="RTG17" s="41"/>
      <c r="RTH17" s="41"/>
      <c r="RTI17" s="41"/>
      <c r="RTJ17" s="41"/>
      <c r="RTK17" s="41"/>
      <c r="RTL17" s="41"/>
      <c r="RTM17" s="41"/>
      <c r="RTN17" s="41"/>
      <c r="RTO17" s="41"/>
      <c r="RTP17" s="41"/>
      <c r="RTQ17" s="41"/>
      <c r="RTR17" s="41"/>
      <c r="RTS17" s="41"/>
      <c r="RTT17" s="41"/>
      <c r="RTU17" s="41"/>
      <c r="RTV17" s="41"/>
      <c r="RTW17" s="41"/>
      <c r="RTX17" s="41"/>
      <c r="RTY17" s="41"/>
      <c r="RTZ17" s="41"/>
      <c r="RUA17" s="41"/>
      <c r="RUB17" s="41"/>
      <c r="RUC17" s="41"/>
      <c r="RUD17" s="41"/>
      <c r="RUE17" s="41"/>
      <c r="RUF17" s="41"/>
      <c r="RUG17" s="41"/>
      <c r="RUH17" s="41"/>
      <c r="RUI17" s="41"/>
      <c r="RUJ17" s="41"/>
      <c r="RUK17" s="41"/>
      <c r="RUL17" s="41"/>
      <c r="RUM17" s="41"/>
      <c r="RUN17" s="41"/>
      <c r="RUO17" s="41"/>
      <c r="RUP17" s="41"/>
      <c r="RUQ17" s="41"/>
      <c r="RUR17" s="41"/>
      <c r="RUS17" s="41"/>
      <c r="RUT17" s="41"/>
      <c r="RUU17" s="41"/>
      <c r="RUV17" s="41"/>
      <c r="RUW17" s="41"/>
      <c r="RUX17" s="41"/>
      <c r="RUY17" s="41"/>
      <c r="RUZ17" s="41"/>
      <c r="RVA17" s="41"/>
      <c r="RVB17" s="41"/>
      <c r="RVC17" s="41"/>
      <c r="RVD17" s="41"/>
      <c r="RVE17" s="41"/>
      <c r="RVF17" s="41"/>
      <c r="RVG17" s="41"/>
      <c r="RVH17" s="41"/>
      <c r="RVI17" s="41"/>
      <c r="RVJ17" s="41"/>
      <c r="RVK17" s="41"/>
      <c r="RVL17" s="41"/>
      <c r="RVM17" s="41"/>
      <c r="RVN17" s="41"/>
      <c r="RVO17" s="41"/>
      <c r="RVP17" s="41"/>
      <c r="RVQ17" s="41"/>
      <c r="RVR17" s="41"/>
      <c r="RVS17" s="41"/>
      <c r="RVT17" s="41"/>
      <c r="RVU17" s="41"/>
      <c r="RVV17" s="41"/>
      <c r="RVW17" s="41"/>
      <c r="RVX17" s="41"/>
      <c r="RVY17" s="41"/>
      <c r="RVZ17" s="41"/>
      <c r="RWA17" s="41"/>
      <c r="RWB17" s="41"/>
      <c r="RWC17" s="41"/>
      <c r="RWD17" s="41"/>
      <c r="RWE17" s="41"/>
      <c r="RWF17" s="41"/>
      <c r="RWG17" s="41"/>
      <c r="RWH17" s="41"/>
      <c r="RWI17" s="41"/>
      <c r="RWJ17" s="41"/>
      <c r="RWK17" s="41"/>
      <c r="RWL17" s="41"/>
      <c r="RWM17" s="41"/>
      <c r="RWN17" s="41"/>
      <c r="RWO17" s="41"/>
      <c r="RWP17" s="41"/>
      <c r="RWQ17" s="41"/>
      <c r="RWR17" s="41"/>
      <c r="RWS17" s="41"/>
      <c r="RWT17" s="41"/>
      <c r="RWU17" s="41"/>
      <c r="RWV17" s="41"/>
      <c r="RWW17" s="41"/>
      <c r="RWX17" s="41"/>
      <c r="RWY17" s="41"/>
      <c r="RWZ17" s="41"/>
      <c r="RXA17" s="41"/>
      <c r="RXB17" s="41"/>
      <c r="RXC17" s="41"/>
      <c r="RXD17" s="41"/>
      <c r="RXE17" s="41"/>
      <c r="RXF17" s="41"/>
      <c r="RXG17" s="41"/>
      <c r="RXH17" s="41"/>
      <c r="RXI17" s="41"/>
      <c r="RXJ17" s="41"/>
      <c r="RXK17" s="41"/>
      <c r="RXL17" s="41"/>
      <c r="RXM17" s="41"/>
      <c r="RXN17" s="41"/>
      <c r="RXO17" s="41"/>
      <c r="RXP17" s="41"/>
      <c r="RXQ17" s="41"/>
      <c r="RXR17" s="41"/>
      <c r="RXS17" s="41"/>
      <c r="RXT17" s="41"/>
      <c r="RXU17" s="41"/>
      <c r="RXV17" s="41"/>
      <c r="RXW17" s="41"/>
      <c r="RXX17" s="41"/>
      <c r="RXY17" s="41"/>
      <c r="RXZ17" s="41"/>
      <c r="RYA17" s="41"/>
      <c r="RYB17" s="41"/>
      <c r="RYC17" s="41"/>
      <c r="RYD17" s="41"/>
      <c r="RYE17" s="41"/>
      <c r="RYF17" s="41"/>
      <c r="RYG17" s="41"/>
      <c r="RYH17" s="41"/>
      <c r="RYI17" s="41"/>
      <c r="RYJ17" s="41"/>
      <c r="RYK17" s="41"/>
      <c r="RYL17" s="41"/>
      <c r="RYM17" s="41"/>
      <c r="RYN17" s="41"/>
      <c r="RYO17" s="41"/>
      <c r="RYP17" s="41"/>
      <c r="RYQ17" s="41"/>
      <c r="RYR17" s="41"/>
      <c r="RYS17" s="41"/>
      <c r="RYT17" s="41"/>
      <c r="RYU17" s="41"/>
      <c r="RYV17" s="41"/>
      <c r="RYW17" s="41"/>
      <c r="RYX17" s="41"/>
      <c r="RYY17" s="41"/>
      <c r="RYZ17" s="41"/>
      <c r="RZA17" s="41"/>
      <c r="RZB17" s="41"/>
      <c r="RZC17" s="41"/>
      <c r="RZD17" s="41"/>
      <c r="RZE17" s="41"/>
      <c r="RZF17" s="41"/>
      <c r="RZG17" s="41"/>
      <c r="RZH17" s="41"/>
      <c r="RZI17" s="41"/>
      <c r="RZJ17" s="41"/>
      <c r="RZK17" s="41"/>
      <c r="RZL17" s="41"/>
      <c r="RZM17" s="41"/>
      <c r="RZN17" s="41"/>
      <c r="RZO17" s="41"/>
      <c r="RZP17" s="41"/>
      <c r="RZQ17" s="41"/>
      <c r="RZR17" s="41"/>
      <c r="RZS17" s="41"/>
      <c r="RZT17" s="41"/>
      <c r="RZU17" s="41"/>
      <c r="RZV17" s="41"/>
      <c r="RZW17" s="41"/>
      <c r="RZX17" s="41"/>
      <c r="RZY17" s="41"/>
      <c r="RZZ17" s="41"/>
      <c r="SAA17" s="41"/>
      <c r="SAB17" s="41"/>
      <c r="SAC17" s="41"/>
      <c r="SAD17" s="41"/>
      <c r="SAE17" s="41"/>
      <c r="SAF17" s="41"/>
      <c r="SAG17" s="41"/>
      <c r="SAH17" s="41"/>
      <c r="SAI17" s="41"/>
      <c r="SAJ17" s="41"/>
      <c r="SAK17" s="41"/>
      <c r="SAL17" s="41"/>
      <c r="SAM17" s="41"/>
      <c r="SAN17" s="41"/>
      <c r="SAO17" s="41"/>
      <c r="SAP17" s="41"/>
      <c r="SAQ17" s="41"/>
      <c r="SAR17" s="41"/>
      <c r="SAS17" s="41"/>
      <c r="SAT17" s="41"/>
      <c r="SAU17" s="41"/>
      <c r="SAV17" s="41"/>
      <c r="SAW17" s="41"/>
      <c r="SAX17" s="41"/>
      <c r="SAY17" s="41"/>
      <c r="SAZ17" s="41"/>
      <c r="SBA17" s="41"/>
      <c r="SBB17" s="41"/>
      <c r="SBC17" s="41"/>
      <c r="SBD17" s="41"/>
      <c r="SBE17" s="41"/>
      <c r="SBF17" s="41"/>
      <c r="SBG17" s="41"/>
      <c r="SBH17" s="41"/>
      <c r="SBI17" s="41"/>
      <c r="SBJ17" s="41"/>
      <c r="SBK17" s="41"/>
      <c r="SBL17" s="41"/>
      <c r="SBM17" s="41"/>
      <c r="SBN17" s="41"/>
      <c r="SBO17" s="41"/>
      <c r="SBP17" s="41"/>
      <c r="SBQ17" s="41"/>
      <c r="SBR17" s="41"/>
      <c r="SBS17" s="41"/>
      <c r="SBT17" s="41"/>
      <c r="SBU17" s="41"/>
      <c r="SBV17" s="41"/>
      <c r="SBW17" s="41"/>
      <c r="SBX17" s="41"/>
      <c r="SBY17" s="41"/>
      <c r="SBZ17" s="41"/>
      <c r="SCA17" s="41"/>
      <c r="SCB17" s="41"/>
      <c r="SCC17" s="41"/>
      <c r="SCD17" s="41"/>
      <c r="SCE17" s="41"/>
      <c r="SCF17" s="41"/>
      <c r="SCG17" s="41"/>
      <c r="SCH17" s="41"/>
      <c r="SCI17" s="41"/>
      <c r="SCJ17" s="41"/>
      <c r="SCK17" s="41"/>
      <c r="SCL17" s="41"/>
      <c r="SCM17" s="41"/>
      <c r="SCN17" s="41"/>
      <c r="SCO17" s="41"/>
      <c r="SCP17" s="41"/>
      <c r="SCQ17" s="41"/>
      <c r="SCR17" s="41"/>
      <c r="SCS17" s="41"/>
      <c r="SCT17" s="41"/>
      <c r="SCU17" s="41"/>
      <c r="SCV17" s="41"/>
      <c r="SCW17" s="41"/>
      <c r="SCX17" s="41"/>
      <c r="SCY17" s="41"/>
      <c r="SCZ17" s="41"/>
      <c r="SDA17" s="41"/>
      <c r="SDB17" s="41"/>
      <c r="SDC17" s="41"/>
      <c r="SDD17" s="41"/>
      <c r="SDE17" s="41"/>
      <c r="SDF17" s="41"/>
      <c r="SDG17" s="41"/>
      <c r="SDH17" s="41"/>
      <c r="SDI17" s="41"/>
      <c r="SDJ17" s="41"/>
      <c r="SDK17" s="41"/>
      <c r="SDL17" s="41"/>
      <c r="SDM17" s="41"/>
      <c r="SDN17" s="41"/>
      <c r="SDO17" s="41"/>
      <c r="SDP17" s="41"/>
      <c r="SDQ17" s="41"/>
      <c r="SDR17" s="41"/>
      <c r="SDS17" s="41"/>
      <c r="SDT17" s="41"/>
      <c r="SDU17" s="41"/>
      <c r="SDV17" s="41"/>
      <c r="SDW17" s="41"/>
      <c r="SDX17" s="41"/>
      <c r="SDY17" s="41"/>
      <c r="SDZ17" s="41"/>
      <c r="SEA17" s="41"/>
      <c r="SEB17" s="41"/>
      <c r="SEC17" s="41"/>
      <c r="SED17" s="41"/>
      <c r="SEE17" s="41"/>
      <c r="SEF17" s="41"/>
      <c r="SEG17" s="41"/>
      <c r="SEH17" s="41"/>
      <c r="SEI17" s="41"/>
      <c r="SEJ17" s="41"/>
      <c r="SEK17" s="41"/>
      <c r="SEL17" s="41"/>
      <c r="SEM17" s="41"/>
      <c r="SEN17" s="41"/>
      <c r="SEO17" s="41"/>
      <c r="SEP17" s="41"/>
      <c r="SEQ17" s="41"/>
      <c r="SER17" s="41"/>
      <c r="SES17" s="41"/>
      <c r="SET17" s="41"/>
      <c r="SEU17" s="41"/>
      <c r="SEV17" s="41"/>
      <c r="SEW17" s="41"/>
      <c r="SEX17" s="41"/>
      <c r="SEY17" s="41"/>
      <c r="SEZ17" s="41"/>
      <c r="SFA17" s="41"/>
      <c r="SFB17" s="41"/>
      <c r="SFC17" s="41"/>
      <c r="SFD17" s="41"/>
      <c r="SFE17" s="41"/>
      <c r="SFF17" s="41"/>
      <c r="SFG17" s="41"/>
      <c r="SFH17" s="41"/>
      <c r="SFI17" s="41"/>
      <c r="SFJ17" s="41"/>
      <c r="SFK17" s="41"/>
      <c r="SFL17" s="41"/>
      <c r="SFM17" s="41"/>
      <c r="SFN17" s="41"/>
      <c r="SFO17" s="41"/>
      <c r="SFP17" s="41"/>
      <c r="SFQ17" s="41"/>
      <c r="SFR17" s="41"/>
      <c r="SFS17" s="41"/>
      <c r="SFT17" s="41"/>
      <c r="SFU17" s="41"/>
      <c r="SFV17" s="41"/>
      <c r="SFW17" s="41"/>
      <c r="SFX17" s="41"/>
      <c r="SFY17" s="41"/>
      <c r="SFZ17" s="41"/>
      <c r="SGA17" s="41"/>
      <c r="SGB17" s="41"/>
      <c r="SGC17" s="41"/>
      <c r="SGD17" s="41"/>
      <c r="SGE17" s="41"/>
      <c r="SGF17" s="41"/>
      <c r="SGG17" s="41"/>
      <c r="SGH17" s="41"/>
      <c r="SGI17" s="41"/>
      <c r="SGJ17" s="41"/>
      <c r="SGK17" s="41"/>
      <c r="SGL17" s="41"/>
      <c r="SGM17" s="41"/>
      <c r="SGN17" s="41"/>
      <c r="SGO17" s="41"/>
      <c r="SGP17" s="41"/>
      <c r="SGQ17" s="41"/>
      <c r="SGR17" s="41"/>
      <c r="SGS17" s="41"/>
      <c r="SGT17" s="41"/>
      <c r="SGU17" s="41"/>
      <c r="SGV17" s="41"/>
      <c r="SGW17" s="41"/>
      <c r="SGX17" s="41"/>
      <c r="SGY17" s="41"/>
      <c r="SGZ17" s="41"/>
      <c r="SHA17" s="41"/>
      <c r="SHB17" s="41"/>
      <c r="SHC17" s="41"/>
      <c r="SHD17" s="41"/>
      <c r="SHE17" s="41"/>
      <c r="SHF17" s="41"/>
      <c r="SHG17" s="41"/>
      <c r="SHH17" s="41"/>
      <c r="SHI17" s="41"/>
      <c r="SHJ17" s="41"/>
      <c r="SHK17" s="41"/>
      <c r="SHL17" s="41"/>
      <c r="SHM17" s="41"/>
      <c r="SHN17" s="41"/>
      <c r="SHO17" s="41"/>
      <c r="SHP17" s="41"/>
      <c r="SHQ17" s="41"/>
      <c r="SHR17" s="41"/>
      <c r="SHS17" s="41"/>
      <c r="SHT17" s="41"/>
      <c r="SHU17" s="41"/>
      <c r="SHV17" s="41"/>
      <c r="SHW17" s="41"/>
      <c r="SHX17" s="41"/>
      <c r="SHY17" s="41"/>
      <c r="SHZ17" s="41"/>
      <c r="SIA17" s="41"/>
      <c r="SIB17" s="41"/>
      <c r="SIC17" s="41"/>
      <c r="SID17" s="41"/>
      <c r="SIE17" s="41"/>
      <c r="SIF17" s="41"/>
      <c r="SIG17" s="41"/>
      <c r="SIH17" s="41"/>
      <c r="SII17" s="41"/>
      <c r="SIJ17" s="41"/>
      <c r="SIK17" s="41"/>
      <c r="SIL17" s="41"/>
      <c r="SIM17" s="41"/>
      <c r="SIN17" s="41"/>
      <c r="SIO17" s="41"/>
      <c r="SIP17" s="41"/>
      <c r="SIQ17" s="41"/>
      <c r="SIR17" s="41"/>
      <c r="SIS17" s="41"/>
      <c r="SIT17" s="41"/>
      <c r="SIU17" s="41"/>
      <c r="SIV17" s="41"/>
      <c r="SIW17" s="41"/>
      <c r="SIX17" s="41"/>
      <c r="SIY17" s="41"/>
      <c r="SIZ17" s="41"/>
      <c r="SJA17" s="41"/>
      <c r="SJB17" s="41"/>
      <c r="SJC17" s="41"/>
      <c r="SJD17" s="41"/>
      <c r="SJE17" s="41"/>
      <c r="SJF17" s="41"/>
      <c r="SJG17" s="41"/>
      <c r="SJH17" s="41"/>
      <c r="SJI17" s="41"/>
      <c r="SJJ17" s="41"/>
      <c r="SJK17" s="41"/>
      <c r="SJL17" s="41"/>
      <c r="SJM17" s="41"/>
      <c r="SJN17" s="41"/>
      <c r="SJO17" s="41"/>
      <c r="SJP17" s="41"/>
      <c r="SJQ17" s="41"/>
      <c r="SJR17" s="41"/>
      <c r="SJS17" s="41"/>
      <c r="SJT17" s="41"/>
      <c r="SJU17" s="41"/>
      <c r="SJV17" s="41"/>
      <c r="SJW17" s="41"/>
      <c r="SJX17" s="41"/>
      <c r="SJY17" s="41"/>
      <c r="SJZ17" s="41"/>
      <c r="SKA17" s="41"/>
      <c r="SKB17" s="41"/>
      <c r="SKC17" s="41"/>
      <c r="SKD17" s="41"/>
      <c r="SKE17" s="41"/>
      <c r="SKF17" s="41"/>
      <c r="SKG17" s="41"/>
      <c r="SKH17" s="41"/>
      <c r="SKI17" s="41"/>
      <c r="SKJ17" s="41"/>
      <c r="SKK17" s="41"/>
      <c r="SKL17" s="41"/>
      <c r="SKM17" s="41"/>
      <c r="SKN17" s="41"/>
      <c r="SKO17" s="41"/>
      <c r="SKP17" s="41"/>
      <c r="SKQ17" s="41"/>
      <c r="SKR17" s="41"/>
      <c r="SKS17" s="41"/>
      <c r="SKT17" s="41"/>
      <c r="SKU17" s="41"/>
      <c r="SKV17" s="41"/>
      <c r="SKW17" s="41"/>
      <c r="SKX17" s="41"/>
      <c r="SKY17" s="41"/>
      <c r="SKZ17" s="41"/>
      <c r="SLA17" s="41"/>
      <c r="SLB17" s="41"/>
      <c r="SLC17" s="41"/>
      <c r="SLD17" s="41"/>
      <c r="SLE17" s="41"/>
      <c r="SLF17" s="41"/>
      <c r="SLG17" s="41"/>
      <c r="SLH17" s="41"/>
      <c r="SLI17" s="41"/>
      <c r="SLJ17" s="41"/>
      <c r="SLK17" s="41"/>
      <c r="SLL17" s="41"/>
      <c r="SLM17" s="41"/>
      <c r="SLN17" s="41"/>
      <c r="SLO17" s="41"/>
      <c r="SLP17" s="41"/>
      <c r="SLQ17" s="41"/>
      <c r="SLR17" s="41"/>
      <c r="SLS17" s="41"/>
      <c r="SLT17" s="41"/>
      <c r="SLU17" s="41"/>
      <c r="SLV17" s="41"/>
      <c r="SLW17" s="41"/>
      <c r="SLX17" s="41"/>
      <c r="SLY17" s="41"/>
      <c r="SLZ17" s="41"/>
      <c r="SMA17" s="41"/>
      <c r="SMB17" s="41"/>
      <c r="SMC17" s="41"/>
      <c r="SMD17" s="41"/>
      <c r="SME17" s="41"/>
      <c r="SMF17" s="41"/>
      <c r="SMG17" s="41"/>
      <c r="SMH17" s="41"/>
      <c r="SMI17" s="41"/>
      <c r="SMJ17" s="41"/>
      <c r="SMK17" s="41"/>
      <c r="SML17" s="41"/>
      <c r="SMM17" s="41"/>
      <c r="SMN17" s="41"/>
      <c r="SMO17" s="41"/>
      <c r="SMP17" s="41"/>
      <c r="SMQ17" s="41"/>
      <c r="SMR17" s="41"/>
      <c r="SMS17" s="41"/>
      <c r="SMT17" s="41"/>
      <c r="SMU17" s="41"/>
      <c r="SMV17" s="41"/>
      <c r="SMW17" s="41"/>
      <c r="SMX17" s="41"/>
      <c r="SMY17" s="41"/>
      <c r="SMZ17" s="41"/>
      <c r="SNA17" s="41"/>
      <c r="SNB17" s="41"/>
      <c r="SNC17" s="41"/>
      <c r="SND17" s="41"/>
      <c r="SNE17" s="41"/>
      <c r="SNF17" s="41"/>
      <c r="SNG17" s="41"/>
      <c r="SNH17" s="41"/>
      <c r="SNI17" s="41"/>
      <c r="SNJ17" s="41"/>
      <c r="SNK17" s="41"/>
      <c r="SNL17" s="41"/>
      <c r="SNM17" s="41"/>
      <c r="SNN17" s="41"/>
      <c r="SNO17" s="41"/>
      <c r="SNP17" s="41"/>
      <c r="SNQ17" s="41"/>
      <c r="SNR17" s="41"/>
      <c r="SNS17" s="41"/>
      <c r="SNT17" s="41"/>
      <c r="SNU17" s="41"/>
      <c r="SNV17" s="41"/>
      <c r="SNW17" s="41"/>
      <c r="SNX17" s="41"/>
      <c r="SNY17" s="41"/>
      <c r="SNZ17" s="41"/>
      <c r="SOA17" s="41"/>
      <c r="SOB17" s="41"/>
      <c r="SOC17" s="41"/>
      <c r="SOD17" s="41"/>
      <c r="SOE17" s="41"/>
      <c r="SOF17" s="41"/>
      <c r="SOG17" s="41"/>
      <c r="SOH17" s="41"/>
      <c r="SOI17" s="41"/>
      <c r="SOJ17" s="41"/>
      <c r="SOK17" s="41"/>
      <c r="SOL17" s="41"/>
      <c r="SOM17" s="41"/>
      <c r="SON17" s="41"/>
      <c r="SOO17" s="41"/>
      <c r="SOP17" s="41"/>
      <c r="SOQ17" s="41"/>
      <c r="SOR17" s="41"/>
      <c r="SOS17" s="41"/>
      <c r="SOT17" s="41"/>
      <c r="SOU17" s="41"/>
      <c r="SOV17" s="41"/>
      <c r="SOW17" s="41"/>
      <c r="SOX17" s="41"/>
      <c r="SOY17" s="41"/>
      <c r="SOZ17" s="41"/>
      <c r="SPA17" s="41"/>
      <c r="SPB17" s="41"/>
      <c r="SPC17" s="41"/>
      <c r="SPD17" s="41"/>
      <c r="SPE17" s="41"/>
      <c r="SPF17" s="41"/>
      <c r="SPG17" s="41"/>
      <c r="SPH17" s="41"/>
      <c r="SPI17" s="41"/>
      <c r="SPJ17" s="41"/>
      <c r="SPK17" s="41"/>
      <c r="SPL17" s="41"/>
      <c r="SPM17" s="41"/>
      <c r="SPN17" s="41"/>
      <c r="SPO17" s="41"/>
      <c r="SPP17" s="41"/>
      <c r="SPQ17" s="41"/>
      <c r="SPR17" s="41"/>
      <c r="SPS17" s="41"/>
      <c r="SPT17" s="41"/>
      <c r="SPU17" s="41"/>
      <c r="SPV17" s="41"/>
      <c r="SPW17" s="41"/>
      <c r="SPX17" s="41"/>
      <c r="SPY17" s="41"/>
      <c r="SPZ17" s="41"/>
      <c r="SQA17" s="41"/>
      <c r="SQB17" s="41"/>
      <c r="SQC17" s="41"/>
      <c r="SQD17" s="41"/>
      <c r="SQE17" s="41"/>
      <c r="SQF17" s="41"/>
      <c r="SQG17" s="41"/>
      <c r="SQH17" s="41"/>
      <c r="SQI17" s="41"/>
      <c r="SQJ17" s="41"/>
      <c r="SQK17" s="41"/>
      <c r="SQL17" s="41"/>
      <c r="SQM17" s="41"/>
      <c r="SQN17" s="41"/>
      <c r="SQO17" s="41"/>
      <c r="SQP17" s="41"/>
      <c r="SQQ17" s="41"/>
      <c r="SQR17" s="41"/>
      <c r="SQS17" s="41"/>
      <c r="SQT17" s="41"/>
      <c r="SQU17" s="41"/>
      <c r="SQV17" s="41"/>
      <c r="SQW17" s="41"/>
      <c r="SQX17" s="41"/>
      <c r="SQY17" s="41"/>
      <c r="SQZ17" s="41"/>
      <c r="SRA17" s="41"/>
      <c r="SRB17" s="41"/>
      <c r="SRC17" s="41"/>
      <c r="SRD17" s="41"/>
      <c r="SRE17" s="41"/>
      <c r="SRF17" s="41"/>
      <c r="SRG17" s="41"/>
      <c r="SRH17" s="41"/>
      <c r="SRI17" s="41"/>
      <c r="SRJ17" s="41"/>
      <c r="SRK17" s="41"/>
      <c r="SRL17" s="41"/>
      <c r="SRM17" s="41"/>
      <c r="SRN17" s="41"/>
      <c r="SRO17" s="41"/>
      <c r="SRP17" s="41"/>
      <c r="SRQ17" s="41"/>
      <c r="SRR17" s="41"/>
      <c r="SRS17" s="41"/>
      <c r="SRT17" s="41"/>
      <c r="SRU17" s="41"/>
      <c r="SRV17" s="41"/>
      <c r="SRW17" s="41"/>
      <c r="SRX17" s="41"/>
      <c r="SRY17" s="41"/>
      <c r="SRZ17" s="41"/>
      <c r="SSA17" s="41"/>
      <c r="SSB17" s="41"/>
      <c r="SSC17" s="41"/>
      <c r="SSD17" s="41"/>
      <c r="SSE17" s="41"/>
      <c r="SSF17" s="41"/>
      <c r="SSG17" s="41"/>
      <c r="SSH17" s="41"/>
      <c r="SSI17" s="41"/>
      <c r="SSJ17" s="41"/>
      <c r="SSK17" s="41"/>
      <c r="SSL17" s="41"/>
      <c r="SSM17" s="41"/>
      <c r="SSN17" s="41"/>
      <c r="SSO17" s="41"/>
      <c r="SSP17" s="41"/>
      <c r="SSQ17" s="41"/>
      <c r="SSR17" s="41"/>
      <c r="SSS17" s="41"/>
      <c r="SST17" s="41"/>
      <c r="SSU17" s="41"/>
      <c r="SSV17" s="41"/>
      <c r="SSW17" s="41"/>
      <c r="SSX17" s="41"/>
      <c r="SSY17" s="41"/>
      <c r="SSZ17" s="41"/>
      <c r="STA17" s="41"/>
      <c r="STB17" s="41"/>
      <c r="STC17" s="41"/>
      <c r="STD17" s="41"/>
      <c r="STE17" s="41"/>
      <c r="STF17" s="41"/>
      <c r="STG17" s="41"/>
      <c r="STH17" s="41"/>
      <c r="STI17" s="41"/>
      <c r="STJ17" s="41"/>
      <c r="STK17" s="41"/>
      <c r="STL17" s="41"/>
      <c r="STM17" s="41"/>
      <c r="STN17" s="41"/>
      <c r="STO17" s="41"/>
      <c r="STP17" s="41"/>
      <c r="STQ17" s="41"/>
      <c r="STR17" s="41"/>
      <c r="STS17" s="41"/>
      <c r="STT17" s="41"/>
      <c r="STU17" s="41"/>
      <c r="STV17" s="41"/>
      <c r="STW17" s="41"/>
      <c r="STX17" s="41"/>
      <c r="STY17" s="41"/>
      <c r="STZ17" s="41"/>
      <c r="SUA17" s="41"/>
      <c r="SUB17" s="41"/>
      <c r="SUC17" s="41"/>
      <c r="SUD17" s="41"/>
      <c r="SUE17" s="41"/>
      <c r="SUF17" s="41"/>
      <c r="SUG17" s="41"/>
      <c r="SUH17" s="41"/>
      <c r="SUI17" s="41"/>
      <c r="SUJ17" s="41"/>
      <c r="SUK17" s="41"/>
      <c r="SUL17" s="41"/>
      <c r="SUM17" s="41"/>
      <c r="SUN17" s="41"/>
      <c r="SUO17" s="41"/>
      <c r="SUP17" s="41"/>
      <c r="SUQ17" s="41"/>
      <c r="SUR17" s="41"/>
      <c r="SUS17" s="41"/>
      <c r="SUT17" s="41"/>
      <c r="SUU17" s="41"/>
      <c r="SUV17" s="41"/>
      <c r="SUW17" s="41"/>
      <c r="SUX17" s="41"/>
      <c r="SUY17" s="41"/>
      <c r="SUZ17" s="41"/>
      <c r="SVA17" s="41"/>
      <c r="SVB17" s="41"/>
      <c r="SVC17" s="41"/>
      <c r="SVD17" s="41"/>
      <c r="SVE17" s="41"/>
      <c r="SVF17" s="41"/>
      <c r="SVG17" s="41"/>
      <c r="SVH17" s="41"/>
      <c r="SVI17" s="41"/>
      <c r="SVJ17" s="41"/>
      <c r="SVK17" s="41"/>
      <c r="SVL17" s="41"/>
      <c r="SVM17" s="41"/>
      <c r="SVN17" s="41"/>
      <c r="SVO17" s="41"/>
      <c r="SVP17" s="41"/>
      <c r="SVQ17" s="41"/>
      <c r="SVR17" s="41"/>
      <c r="SVS17" s="41"/>
      <c r="SVT17" s="41"/>
      <c r="SVU17" s="41"/>
      <c r="SVV17" s="41"/>
      <c r="SVW17" s="41"/>
      <c r="SVX17" s="41"/>
      <c r="SVY17" s="41"/>
      <c r="SVZ17" s="41"/>
      <c r="SWA17" s="41"/>
      <c r="SWB17" s="41"/>
      <c r="SWC17" s="41"/>
      <c r="SWD17" s="41"/>
      <c r="SWE17" s="41"/>
      <c r="SWF17" s="41"/>
      <c r="SWG17" s="41"/>
      <c r="SWH17" s="41"/>
      <c r="SWI17" s="41"/>
      <c r="SWJ17" s="41"/>
      <c r="SWK17" s="41"/>
      <c r="SWL17" s="41"/>
      <c r="SWM17" s="41"/>
      <c r="SWN17" s="41"/>
      <c r="SWO17" s="41"/>
      <c r="SWP17" s="41"/>
      <c r="SWQ17" s="41"/>
      <c r="SWR17" s="41"/>
      <c r="SWS17" s="41"/>
      <c r="SWT17" s="41"/>
      <c r="SWU17" s="41"/>
      <c r="SWV17" s="41"/>
      <c r="SWW17" s="41"/>
      <c r="SWX17" s="41"/>
      <c r="SWY17" s="41"/>
      <c r="SWZ17" s="41"/>
      <c r="SXA17" s="41"/>
      <c r="SXB17" s="41"/>
      <c r="SXC17" s="41"/>
      <c r="SXD17" s="41"/>
      <c r="SXE17" s="41"/>
      <c r="SXF17" s="41"/>
      <c r="SXG17" s="41"/>
      <c r="SXH17" s="41"/>
      <c r="SXI17" s="41"/>
      <c r="SXJ17" s="41"/>
      <c r="SXK17" s="41"/>
      <c r="SXL17" s="41"/>
      <c r="SXM17" s="41"/>
      <c r="SXN17" s="41"/>
      <c r="SXO17" s="41"/>
      <c r="SXP17" s="41"/>
      <c r="SXQ17" s="41"/>
      <c r="SXR17" s="41"/>
      <c r="SXS17" s="41"/>
      <c r="SXT17" s="41"/>
      <c r="SXU17" s="41"/>
      <c r="SXV17" s="41"/>
      <c r="SXW17" s="41"/>
      <c r="SXX17" s="41"/>
      <c r="SXY17" s="41"/>
      <c r="SXZ17" s="41"/>
      <c r="SYA17" s="41"/>
      <c r="SYB17" s="41"/>
      <c r="SYC17" s="41"/>
      <c r="SYD17" s="41"/>
      <c r="SYE17" s="41"/>
      <c r="SYF17" s="41"/>
      <c r="SYG17" s="41"/>
      <c r="SYH17" s="41"/>
      <c r="SYI17" s="41"/>
      <c r="SYJ17" s="41"/>
      <c r="SYK17" s="41"/>
      <c r="SYL17" s="41"/>
      <c r="SYM17" s="41"/>
      <c r="SYN17" s="41"/>
      <c r="SYO17" s="41"/>
      <c r="SYP17" s="41"/>
      <c r="SYQ17" s="41"/>
      <c r="SYR17" s="41"/>
      <c r="SYS17" s="41"/>
      <c r="SYT17" s="41"/>
      <c r="SYU17" s="41"/>
      <c r="SYV17" s="41"/>
      <c r="SYW17" s="41"/>
      <c r="SYX17" s="41"/>
      <c r="SYY17" s="41"/>
      <c r="SYZ17" s="41"/>
      <c r="SZA17" s="41"/>
      <c r="SZB17" s="41"/>
      <c r="SZC17" s="41"/>
      <c r="SZD17" s="41"/>
      <c r="SZE17" s="41"/>
      <c r="SZF17" s="41"/>
      <c r="SZG17" s="41"/>
      <c r="SZH17" s="41"/>
      <c r="SZI17" s="41"/>
      <c r="SZJ17" s="41"/>
      <c r="SZK17" s="41"/>
      <c r="SZL17" s="41"/>
      <c r="SZM17" s="41"/>
      <c r="SZN17" s="41"/>
      <c r="SZO17" s="41"/>
      <c r="SZP17" s="41"/>
      <c r="SZQ17" s="41"/>
      <c r="SZR17" s="41"/>
      <c r="SZS17" s="41"/>
      <c r="SZT17" s="41"/>
      <c r="SZU17" s="41"/>
      <c r="SZV17" s="41"/>
      <c r="SZW17" s="41"/>
      <c r="SZX17" s="41"/>
      <c r="SZY17" s="41"/>
      <c r="SZZ17" s="41"/>
      <c r="TAA17" s="41"/>
      <c r="TAB17" s="41"/>
      <c r="TAC17" s="41"/>
      <c r="TAD17" s="41"/>
      <c r="TAE17" s="41"/>
      <c r="TAF17" s="41"/>
      <c r="TAG17" s="41"/>
      <c r="TAH17" s="41"/>
      <c r="TAI17" s="41"/>
      <c r="TAJ17" s="41"/>
      <c r="TAK17" s="41"/>
      <c r="TAL17" s="41"/>
      <c r="TAM17" s="41"/>
      <c r="TAN17" s="41"/>
      <c r="TAO17" s="41"/>
      <c r="TAP17" s="41"/>
      <c r="TAQ17" s="41"/>
      <c r="TAR17" s="41"/>
      <c r="TAS17" s="41"/>
      <c r="TAT17" s="41"/>
      <c r="TAU17" s="41"/>
      <c r="TAV17" s="41"/>
      <c r="TAW17" s="41"/>
      <c r="TAX17" s="41"/>
      <c r="TAY17" s="41"/>
      <c r="TAZ17" s="41"/>
      <c r="TBA17" s="41"/>
      <c r="TBB17" s="41"/>
      <c r="TBC17" s="41"/>
      <c r="TBD17" s="41"/>
      <c r="TBE17" s="41"/>
      <c r="TBF17" s="41"/>
      <c r="TBG17" s="41"/>
      <c r="TBH17" s="41"/>
      <c r="TBI17" s="41"/>
      <c r="TBJ17" s="41"/>
      <c r="TBK17" s="41"/>
      <c r="TBL17" s="41"/>
      <c r="TBM17" s="41"/>
      <c r="TBN17" s="41"/>
      <c r="TBO17" s="41"/>
      <c r="TBP17" s="41"/>
      <c r="TBQ17" s="41"/>
      <c r="TBR17" s="41"/>
      <c r="TBS17" s="41"/>
      <c r="TBT17" s="41"/>
      <c r="TBU17" s="41"/>
      <c r="TBV17" s="41"/>
      <c r="TBW17" s="41"/>
      <c r="TBX17" s="41"/>
      <c r="TBY17" s="41"/>
      <c r="TBZ17" s="41"/>
      <c r="TCA17" s="41"/>
      <c r="TCB17" s="41"/>
      <c r="TCC17" s="41"/>
      <c r="TCD17" s="41"/>
      <c r="TCE17" s="41"/>
      <c r="TCF17" s="41"/>
      <c r="TCG17" s="41"/>
      <c r="TCH17" s="41"/>
      <c r="TCI17" s="41"/>
      <c r="TCJ17" s="41"/>
      <c r="TCK17" s="41"/>
      <c r="TCL17" s="41"/>
      <c r="TCM17" s="41"/>
      <c r="TCN17" s="41"/>
      <c r="TCO17" s="41"/>
      <c r="TCP17" s="41"/>
      <c r="TCQ17" s="41"/>
      <c r="TCR17" s="41"/>
      <c r="TCS17" s="41"/>
      <c r="TCT17" s="41"/>
      <c r="TCU17" s="41"/>
      <c r="TCV17" s="41"/>
      <c r="TCW17" s="41"/>
      <c r="TCX17" s="41"/>
      <c r="TCY17" s="41"/>
      <c r="TCZ17" s="41"/>
      <c r="TDA17" s="41"/>
      <c r="TDB17" s="41"/>
      <c r="TDC17" s="41"/>
      <c r="TDD17" s="41"/>
      <c r="TDE17" s="41"/>
      <c r="TDF17" s="41"/>
      <c r="TDG17" s="41"/>
      <c r="TDH17" s="41"/>
      <c r="TDI17" s="41"/>
      <c r="TDJ17" s="41"/>
      <c r="TDK17" s="41"/>
      <c r="TDL17" s="41"/>
      <c r="TDM17" s="41"/>
      <c r="TDN17" s="41"/>
      <c r="TDO17" s="41"/>
      <c r="TDP17" s="41"/>
      <c r="TDQ17" s="41"/>
      <c r="TDR17" s="41"/>
      <c r="TDS17" s="41"/>
      <c r="TDT17" s="41"/>
      <c r="TDU17" s="41"/>
      <c r="TDV17" s="41"/>
      <c r="TDW17" s="41"/>
      <c r="TDX17" s="41"/>
      <c r="TDY17" s="41"/>
      <c r="TDZ17" s="41"/>
      <c r="TEA17" s="41"/>
      <c r="TEB17" s="41"/>
      <c r="TEC17" s="41"/>
      <c r="TED17" s="41"/>
      <c r="TEE17" s="41"/>
      <c r="TEF17" s="41"/>
      <c r="TEG17" s="41"/>
      <c r="TEH17" s="41"/>
      <c r="TEI17" s="41"/>
      <c r="TEJ17" s="41"/>
      <c r="TEK17" s="41"/>
      <c r="TEL17" s="41"/>
      <c r="TEM17" s="41"/>
      <c r="TEN17" s="41"/>
      <c r="TEO17" s="41"/>
      <c r="TEP17" s="41"/>
      <c r="TEQ17" s="41"/>
      <c r="TER17" s="41"/>
      <c r="TES17" s="41"/>
      <c r="TET17" s="41"/>
      <c r="TEU17" s="41"/>
      <c r="TEV17" s="41"/>
      <c r="TEW17" s="41"/>
      <c r="TEX17" s="41"/>
      <c r="TEY17" s="41"/>
      <c r="TEZ17" s="41"/>
      <c r="TFA17" s="41"/>
      <c r="TFB17" s="41"/>
      <c r="TFC17" s="41"/>
      <c r="TFD17" s="41"/>
      <c r="TFE17" s="41"/>
      <c r="TFF17" s="41"/>
      <c r="TFG17" s="41"/>
      <c r="TFH17" s="41"/>
      <c r="TFI17" s="41"/>
      <c r="TFJ17" s="41"/>
      <c r="TFK17" s="41"/>
      <c r="TFL17" s="41"/>
      <c r="TFM17" s="41"/>
      <c r="TFN17" s="41"/>
      <c r="TFO17" s="41"/>
      <c r="TFP17" s="41"/>
      <c r="TFQ17" s="41"/>
      <c r="TFR17" s="41"/>
      <c r="TFS17" s="41"/>
      <c r="TFT17" s="41"/>
      <c r="TFU17" s="41"/>
      <c r="TFV17" s="41"/>
      <c r="TFW17" s="41"/>
      <c r="TFX17" s="41"/>
      <c r="TFY17" s="41"/>
      <c r="TFZ17" s="41"/>
      <c r="TGA17" s="41"/>
      <c r="TGB17" s="41"/>
      <c r="TGC17" s="41"/>
      <c r="TGD17" s="41"/>
      <c r="TGE17" s="41"/>
      <c r="TGF17" s="41"/>
      <c r="TGG17" s="41"/>
      <c r="TGH17" s="41"/>
      <c r="TGI17" s="41"/>
      <c r="TGJ17" s="41"/>
      <c r="TGK17" s="41"/>
      <c r="TGL17" s="41"/>
      <c r="TGM17" s="41"/>
      <c r="TGN17" s="41"/>
      <c r="TGO17" s="41"/>
      <c r="TGP17" s="41"/>
      <c r="TGQ17" s="41"/>
      <c r="TGR17" s="41"/>
      <c r="TGS17" s="41"/>
      <c r="TGT17" s="41"/>
      <c r="TGU17" s="41"/>
      <c r="TGV17" s="41"/>
      <c r="TGW17" s="41"/>
      <c r="TGX17" s="41"/>
      <c r="TGY17" s="41"/>
      <c r="TGZ17" s="41"/>
      <c r="THA17" s="41"/>
      <c r="THB17" s="41"/>
      <c r="THC17" s="41"/>
      <c r="THD17" s="41"/>
      <c r="THE17" s="41"/>
      <c r="THF17" s="41"/>
      <c r="THG17" s="41"/>
      <c r="THH17" s="41"/>
      <c r="THI17" s="41"/>
      <c r="THJ17" s="41"/>
      <c r="THK17" s="41"/>
      <c r="THL17" s="41"/>
      <c r="THM17" s="41"/>
      <c r="THN17" s="41"/>
      <c r="THO17" s="41"/>
      <c r="THP17" s="41"/>
      <c r="THQ17" s="41"/>
      <c r="THR17" s="41"/>
      <c r="THS17" s="41"/>
      <c r="THT17" s="41"/>
      <c r="THU17" s="41"/>
      <c r="THV17" s="41"/>
      <c r="THW17" s="41"/>
      <c r="THX17" s="41"/>
      <c r="THY17" s="41"/>
      <c r="THZ17" s="41"/>
      <c r="TIA17" s="41"/>
      <c r="TIB17" s="41"/>
      <c r="TIC17" s="41"/>
      <c r="TID17" s="41"/>
      <c r="TIE17" s="41"/>
      <c r="TIF17" s="41"/>
      <c r="TIG17" s="41"/>
      <c r="TIH17" s="41"/>
      <c r="TII17" s="41"/>
      <c r="TIJ17" s="41"/>
      <c r="TIK17" s="41"/>
      <c r="TIL17" s="41"/>
      <c r="TIM17" s="41"/>
      <c r="TIN17" s="41"/>
      <c r="TIO17" s="41"/>
      <c r="TIP17" s="41"/>
      <c r="TIQ17" s="41"/>
      <c r="TIR17" s="41"/>
      <c r="TIS17" s="41"/>
      <c r="TIT17" s="41"/>
      <c r="TIU17" s="41"/>
      <c r="TIV17" s="41"/>
      <c r="TIW17" s="41"/>
      <c r="TIX17" s="41"/>
      <c r="TIY17" s="41"/>
      <c r="TIZ17" s="41"/>
      <c r="TJA17" s="41"/>
      <c r="TJB17" s="41"/>
      <c r="TJC17" s="41"/>
      <c r="TJD17" s="41"/>
      <c r="TJE17" s="41"/>
      <c r="TJF17" s="41"/>
      <c r="TJG17" s="41"/>
      <c r="TJH17" s="41"/>
      <c r="TJI17" s="41"/>
      <c r="TJJ17" s="41"/>
      <c r="TJK17" s="41"/>
      <c r="TJL17" s="41"/>
      <c r="TJM17" s="41"/>
      <c r="TJN17" s="41"/>
      <c r="TJO17" s="41"/>
      <c r="TJP17" s="41"/>
      <c r="TJQ17" s="41"/>
      <c r="TJR17" s="41"/>
      <c r="TJS17" s="41"/>
      <c r="TJT17" s="41"/>
      <c r="TJU17" s="41"/>
      <c r="TJV17" s="41"/>
      <c r="TJW17" s="41"/>
      <c r="TJX17" s="41"/>
      <c r="TJY17" s="41"/>
      <c r="TJZ17" s="41"/>
      <c r="TKA17" s="41"/>
      <c r="TKB17" s="41"/>
      <c r="TKC17" s="41"/>
      <c r="TKD17" s="41"/>
      <c r="TKE17" s="41"/>
      <c r="TKF17" s="41"/>
      <c r="TKG17" s="41"/>
      <c r="TKH17" s="41"/>
      <c r="TKI17" s="41"/>
      <c r="TKJ17" s="41"/>
      <c r="TKK17" s="41"/>
      <c r="TKL17" s="41"/>
      <c r="TKM17" s="41"/>
      <c r="TKN17" s="41"/>
      <c r="TKO17" s="41"/>
      <c r="TKP17" s="41"/>
      <c r="TKQ17" s="41"/>
      <c r="TKR17" s="41"/>
      <c r="TKS17" s="41"/>
      <c r="TKT17" s="41"/>
      <c r="TKU17" s="41"/>
      <c r="TKV17" s="41"/>
      <c r="TKW17" s="41"/>
      <c r="TKX17" s="41"/>
      <c r="TKY17" s="41"/>
      <c r="TKZ17" s="41"/>
      <c r="TLA17" s="41"/>
      <c r="TLB17" s="41"/>
      <c r="TLC17" s="41"/>
      <c r="TLD17" s="41"/>
      <c r="TLE17" s="41"/>
      <c r="TLF17" s="41"/>
      <c r="TLG17" s="41"/>
      <c r="TLH17" s="41"/>
      <c r="TLI17" s="41"/>
      <c r="TLJ17" s="41"/>
      <c r="TLK17" s="41"/>
      <c r="TLL17" s="41"/>
      <c r="TLM17" s="41"/>
      <c r="TLN17" s="41"/>
      <c r="TLO17" s="41"/>
      <c r="TLP17" s="41"/>
      <c r="TLQ17" s="41"/>
      <c r="TLR17" s="41"/>
      <c r="TLS17" s="41"/>
      <c r="TLT17" s="41"/>
      <c r="TLU17" s="41"/>
      <c r="TLV17" s="41"/>
      <c r="TLW17" s="41"/>
      <c r="TLX17" s="41"/>
      <c r="TLY17" s="41"/>
      <c r="TLZ17" s="41"/>
      <c r="TMA17" s="41"/>
      <c r="TMB17" s="41"/>
      <c r="TMC17" s="41"/>
      <c r="TMD17" s="41"/>
      <c r="TME17" s="41"/>
      <c r="TMF17" s="41"/>
      <c r="TMG17" s="41"/>
      <c r="TMH17" s="41"/>
      <c r="TMI17" s="41"/>
      <c r="TMJ17" s="41"/>
      <c r="TMK17" s="41"/>
      <c r="TML17" s="41"/>
      <c r="TMM17" s="41"/>
      <c r="TMN17" s="41"/>
      <c r="TMO17" s="41"/>
      <c r="TMP17" s="41"/>
      <c r="TMQ17" s="41"/>
      <c r="TMR17" s="41"/>
      <c r="TMS17" s="41"/>
      <c r="TMT17" s="41"/>
      <c r="TMU17" s="41"/>
      <c r="TMV17" s="41"/>
      <c r="TMW17" s="41"/>
      <c r="TMX17" s="41"/>
      <c r="TMY17" s="41"/>
      <c r="TMZ17" s="41"/>
      <c r="TNA17" s="41"/>
      <c r="TNB17" s="41"/>
      <c r="TNC17" s="41"/>
      <c r="TND17" s="41"/>
      <c r="TNE17" s="41"/>
      <c r="TNF17" s="41"/>
      <c r="TNG17" s="41"/>
      <c r="TNH17" s="41"/>
      <c r="TNI17" s="41"/>
      <c r="TNJ17" s="41"/>
      <c r="TNK17" s="41"/>
      <c r="TNL17" s="41"/>
      <c r="TNM17" s="41"/>
      <c r="TNN17" s="41"/>
      <c r="TNO17" s="41"/>
      <c r="TNP17" s="41"/>
      <c r="TNQ17" s="41"/>
      <c r="TNR17" s="41"/>
      <c r="TNS17" s="41"/>
      <c r="TNT17" s="41"/>
      <c r="TNU17" s="41"/>
      <c r="TNV17" s="41"/>
      <c r="TNW17" s="41"/>
      <c r="TNX17" s="41"/>
      <c r="TNY17" s="41"/>
      <c r="TNZ17" s="41"/>
      <c r="TOA17" s="41"/>
      <c r="TOB17" s="41"/>
      <c r="TOC17" s="41"/>
      <c r="TOD17" s="41"/>
      <c r="TOE17" s="41"/>
      <c r="TOF17" s="41"/>
      <c r="TOG17" s="41"/>
      <c r="TOH17" s="41"/>
      <c r="TOI17" s="41"/>
      <c r="TOJ17" s="41"/>
      <c r="TOK17" s="41"/>
      <c r="TOL17" s="41"/>
      <c r="TOM17" s="41"/>
      <c r="TON17" s="41"/>
      <c r="TOO17" s="41"/>
      <c r="TOP17" s="41"/>
      <c r="TOQ17" s="41"/>
      <c r="TOR17" s="41"/>
      <c r="TOS17" s="41"/>
      <c r="TOT17" s="41"/>
      <c r="TOU17" s="41"/>
      <c r="TOV17" s="41"/>
      <c r="TOW17" s="41"/>
      <c r="TOX17" s="41"/>
      <c r="TOY17" s="41"/>
      <c r="TOZ17" s="41"/>
      <c r="TPA17" s="41"/>
      <c r="TPB17" s="41"/>
      <c r="TPC17" s="41"/>
      <c r="TPD17" s="41"/>
      <c r="TPE17" s="41"/>
      <c r="TPF17" s="41"/>
      <c r="TPG17" s="41"/>
      <c r="TPH17" s="41"/>
      <c r="TPI17" s="41"/>
      <c r="TPJ17" s="41"/>
      <c r="TPK17" s="41"/>
      <c r="TPL17" s="41"/>
      <c r="TPM17" s="41"/>
      <c r="TPN17" s="41"/>
      <c r="TPO17" s="41"/>
      <c r="TPP17" s="41"/>
      <c r="TPQ17" s="41"/>
      <c r="TPR17" s="41"/>
      <c r="TPS17" s="41"/>
      <c r="TPT17" s="41"/>
      <c r="TPU17" s="41"/>
      <c r="TPV17" s="41"/>
      <c r="TPW17" s="41"/>
      <c r="TPX17" s="41"/>
      <c r="TPY17" s="41"/>
      <c r="TPZ17" s="41"/>
      <c r="TQA17" s="41"/>
      <c r="TQB17" s="41"/>
      <c r="TQC17" s="41"/>
      <c r="TQD17" s="41"/>
      <c r="TQE17" s="41"/>
      <c r="TQF17" s="41"/>
      <c r="TQG17" s="41"/>
      <c r="TQH17" s="41"/>
      <c r="TQI17" s="41"/>
      <c r="TQJ17" s="41"/>
      <c r="TQK17" s="41"/>
      <c r="TQL17" s="41"/>
      <c r="TQM17" s="41"/>
      <c r="TQN17" s="41"/>
      <c r="TQO17" s="41"/>
      <c r="TQP17" s="41"/>
      <c r="TQQ17" s="41"/>
      <c r="TQR17" s="41"/>
      <c r="TQS17" s="41"/>
      <c r="TQT17" s="41"/>
      <c r="TQU17" s="41"/>
      <c r="TQV17" s="41"/>
      <c r="TQW17" s="41"/>
      <c r="TQX17" s="41"/>
      <c r="TQY17" s="41"/>
      <c r="TQZ17" s="41"/>
      <c r="TRA17" s="41"/>
      <c r="TRB17" s="41"/>
      <c r="TRC17" s="41"/>
      <c r="TRD17" s="41"/>
      <c r="TRE17" s="41"/>
      <c r="TRF17" s="41"/>
      <c r="TRG17" s="41"/>
      <c r="TRH17" s="41"/>
      <c r="TRI17" s="41"/>
      <c r="TRJ17" s="41"/>
      <c r="TRK17" s="41"/>
      <c r="TRL17" s="41"/>
      <c r="TRM17" s="41"/>
      <c r="TRN17" s="41"/>
      <c r="TRO17" s="41"/>
      <c r="TRP17" s="41"/>
      <c r="TRQ17" s="41"/>
      <c r="TRR17" s="41"/>
      <c r="TRS17" s="41"/>
      <c r="TRT17" s="41"/>
      <c r="TRU17" s="41"/>
      <c r="TRV17" s="41"/>
      <c r="TRW17" s="41"/>
      <c r="TRX17" s="41"/>
      <c r="TRY17" s="41"/>
      <c r="TRZ17" s="41"/>
      <c r="TSA17" s="41"/>
      <c r="TSB17" s="41"/>
      <c r="TSC17" s="41"/>
      <c r="TSD17" s="41"/>
      <c r="TSE17" s="41"/>
      <c r="TSF17" s="41"/>
      <c r="TSG17" s="41"/>
      <c r="TSH17" s="41"/>
      <c r="TSI17" s="41"/>
      <c r="TSJ17" s="41"/>
      <c r="TSK17" s="41"/>
      <c r="TSL17" s="41"/>
      <c r="TSM17" s="41"/>
      <c r="TSN17" s="41"/>
      <c r="TSO17" s="41"/>
      <c r="TSP17" s="41"/>
      <c r="TSQ17" s="41"/>
      <c r="TSR17" s="41"/>
      <c r="TSS17" s="41"/>
      <c r="TST17" s="41"/>
      <c r="TSU17" s="41"/>
      <c r="TSV17" s="41"/>
      <c r="TSW17" s="41"/>
      <c r="TSX17" s="41"/>
      <c r="TSY17" s="41"/>
      <c r="TSZ17" s="41"/>
      <c r="TTA17" s="41"/>
      <c r="TTB17" s="41"/>
      <c r="TTC17" s="41"/>
      <c r="TTD17" s="41"/>
      <c r="TTE17" s="41"/>
      <c r="TTF17" s="41"/>
      <c r="TTG17" s="41"/>
      <c r="TTH17" s="41"/>
      <c r="TTI17" s="41"/>
      <c r="TTJ17" s="41"/>
      <c r="TTK17" s="41"/>
      <c r="TTL17" s="41"/>
      <c r="TTM17" s="41"/>
      <c r="TTN17" s="41"/>
      <c r="TTO17" s="41"/>
      <c r="TTP17" s="41"/>
      <c r="TTQ17" s="41"/>
      <c r="TTR17" s="41"/>
      <c r="TTS17" s="41"/>
      <c r="TTT17" s="41"/>
      <c r="TTU17" s="41"/>
      <c r="TTV17" s="41"/>
      <c r="TTW17" s="41"/>
      <c r="TTX17" s="41"/>
      <c r="TTY17" s="41"/>
      <c r="TTZ17" s="41"/>
      <c r="TUA17" s="41"/>
      <c r="TUB17" s="41"/>
      <c r="TUC17" s="41"/>
      <c r="TUD17" s="41"/>
      <c r="TUE17" s="41"/>
      <c r="TUF17" s="41"/>
      <c r="TUG17" s="41"/>
      <c r="TUH17" s="41"/>
      <c r="TUI17" s="41"/>
      <c r="TUJ17" s="41"/>
      <c r="TUK17" s="41"/>
      <c r="TUL17" s="41"/>
      <c r="TUM17" s="41"/>
      <c r="TUN17" s="41"/>
      <c r="TUO17" s="41"/>
      <c r="TUP17" s="41"/>
      <c r="TUQ17" s="41"/>
      <c r="TUR17" s="41"/>
      <c r="TUS17" s="41"/>
      <c r="TUT17" s="41"/>
      <c r="TUU17" s="41"/>
      <c r="TUV17" s="41"/>
      <c r="TUW17" s="41"/>
      <c r="TUX17" s="41"/>
      <c r="TUY17" s="41"/>
      <c r="TUZ17" s="41"/>
      <c r="TVA17" s="41"/>
      <c r="TVB17" s="41"/>
      <c r="TVC17" s="41"/>
      <c r="TVD17" s="41"/>
      <c r="TVE17" s="41"/>
      <c r="TVF17" s="41"/>
      <c r="TVG17" s="41"/>
      <c r="TVH17" s="41"/>
      <c r="TVI17" s="41"/>
      <c r="TVJ17" s="41"/>
      <c r="TVK17" s="41"/>
      <c r="TVL17" s="41"/>
      <c r="TVM17" s="41"/>
      <c r="TVN17" s="41"/>
      <c r="TVO17" s="41"/>
      <c r="TVP17" s="41"/>
      <c r="TVQ17" s="41"/>
      <c r="TVR17" s="41"/>
      <c r="TVS17" s="41"/>
      <c r="TVT17" s="41"/>
      <c r="TVU17" s="41"/>
      <c r="TVV17" s="41"/>
      <c r="TVW17" s="41"/>
      <c r="TVX17" s="41"/>
      <c r="TVY17" s="41"/>
      <c r="TVZ17" s="41"/>
      <c r="TWA17" s="41"/>
      <c r="TWB17" s="41"/>
      <c r="TWC17" s="41"/>
      <c r="TWD17" s="41"/>
      <c r="TWE17" s="41"/>
      <c r="TWF17" s="41"/>
      <c r="TWG17" s="41"/>
      <c r="TWH17" s="41"/>
      <c r="TWI17" s="41"/>
      <c r="TWJ17" s="41"/>
      <c r="TWK17" s="41"/>
      <c r="TWL17" s="41"/>
      <c r="TWM17" s="41"/>
      <c r="TWN17" s="41"/>
      <c r="TWO17" s="41"/>
      <c r="TWP17" s="41"/>
      <c r="TWQ17" s="41"/>
      <c r="TWR17" s="41"/>
      <c r="TWS17" s="41"/>
      <c r="TWT17" s="41"/>
      <c r="TWU17" s="41"/>
      <c r="TWV17" s="41"/>
      <c r="TWW17" s="41"/>
      <c r="TWX17" s="41"/>
      <c r="TWY17" s="41"/>
      <c r="TWZ17" s="41"/>
      <c r="TXA17" s="41"/>
      <c r="TXB17" s="41"/>
      <c r="TXC17" s="41"/>
      <c r="TXD17" s="41"/>
      <c r="TXE17" s="41"/>
      <c r="TXF17" s="41"/>
      <c r="TXG17" s="41"/>
      <c r="TXH17" s="41"/>
      <c r="TXI17" s="41"/>
      <c r="TXJ17" s="41"/>
      <c r="TXK17" s="41"/>
      <c r="TXL17" s="41"/>
      <c r="TXM17" s="41"/>
      <c r="TXN17" s="41"/>
      <c r="TXO17" s="41"/>
      <c r="TXP17" s="41"/>
      <c r="TXQ17" s="41"/>
      <c r="TXR17" s="41"/>
      <c r="TXS17" s="41"/>
      <c r="TXT17" s="41"/>
      <c r="TXU17" s="41"/>
      <c r="TXV17" s="41"/>
      <c r="TXW17" s="41"/>
      <c r="TXX17" s="41"/>
      <c r="TXY17" s="41"/>
      <c r="TXZ17" s="41"/>
      <c r="TYA17" s="41"/>
      <c r="TYB17" s="41"/>
      <c r="TYC17" s="41"/>
      <c r="TYD17" s="41"/>
      <c r="TYE17" s="41"/>
      <c r="TYF17" s="41"/>
      <c r="TYG17" s="41"/>
      <c r="TYH17" s="41"/>
      <c r="TYI17" s="41"/>
      <c r="TYJ17" s="41"/>
      <c r="TYK17" s="41"/>
      <c r="TYL17" s="41"/>
      <c r="TYM17" s="41"/>
      <c r="TYN17" s="41"/>
      <c r="TYO17" s="41"/>
      <c r="TYP17" s="41"/>
      <c r="TYQ17" s="41"/>
      <c r="TYR17" s="41"/>
      <c r="TYS17" s="41"/>
      <c r="TYT17" s="41"/>
      <c r="TYU17" s="41"/>
      <c r="TYV17" s="41"/>
      <c r="TYW17" s="41"/>
      <c r="TYX17" s="41"/>
      <c r="TYY17" s="41"/>
      <c r="TYZ17" s="41"/>
      <c r="TZA17" s="41"/>
      <c r="TZB17" s="41"/>
      <c r="TZC17" s="41"/>
      <c r="TZD17" s="41"/>
      <c r="TZE17" s="41"/>
      <c r="TZF17" s="41"/>
      <c r="TZG17" s="41"/>
      <c r="TZH17" s="41"/>
      <c r="TZI17" s="41"/>
      <c r="TZJ17" s="41"/>
      <c r="TZK17" s="41"/>
      <c r="TZL17" s="41"/>
      <c r="TZM17" s="41"/>
      <c r="TZN17" s="41"/>
      <c r="TZO17" s="41"/>
      <c r="TZP17" s="41"/>
      <c r="TZQ17" s="41"/>
      <c r="TZR17" s="41"/>
      <c r="TZS17" s="41"/>
      <c r="TZT17" s="41"/>
      <c r="TZU17" s="41"/>
      <c r="TZV17" s="41"/>
      <c r="TZW17" s="41"/>
      <c r="TZX17" s="41"/>
      <c r="TZY17" s="41"/>
      <c r="TZZ17" s="41"/>
      <c r="UAA17" s="41"/>
      <c r="UAB17" s="41"/>
      <c r="UAC17" s="41"/>
      <c r="UAD17" s="41"/>
      <c r="UAE17" s="41"/>
      <c r="UAF17" s="41"/>
      <c r="UAG17" s="41"/>
      <c r="UAH17" s="41"/>
      <c r="UAI17" s="41"/>
      <c r="UAJ17" s="41"/>
      <c r="UAK17" s="41"/>
      <c r="UAL17" s="41"/>
      <c r="UAM17" s="41"/>
      <c r="UAN17" s="41"/>
      <c r="UAO17" s="41"/>
      <c r="UAP17" s="41"/>
      <c r="UAQ17" s="41"/>
      <c r="UAR17" s="41"/>
      <c r="UAS17" s="41"/>
      <c r="UAT17" s="41"/>
      <c r="UAU17" s="41"/>
      <c r="UAV17" s="41"/>
      <c r="UAW17" s="41"/>
      <c r="UAX17" s="41"/>
      <c r="UAY17" s="41"/>
      <c r="UAZ17" s="41"/>
      <c r="UBA17" s="41"/>
      <c r="UBB17" s="41"/>
      <c r="UBC17" s="41"/>
      <c r="UBD17" s="41"/>
      <c r="UBE17" s="41"/>
      <c r="UBF17" s="41"/>
      <c r="UBG17" s="41"/>
      <c r="UBH17" s="41"/>
      <c r="UBI17" s="41"/>
      <c r="UBJ17" s="41"/>
      <c r="UBK17" s="41"/>
      <c r="UBL17" s="41"/>
      <c r="UBM17" s="41"/>
      <c r="UBN17" s="41"/>
      <c r="UBO17" s="41"/>
      <c r="UBP17" s="41"/>
      <c r="UBQ17" s="41"/>
      <c r="UBR17" s="41"/>
      <c r="UBS17" s="41"/>
      <c r="UBT17" s="41"/>
      <c r="UBU17" s="41"/>
      <c r="UBV17" s="41"/>
      <c r="UBW17" s="41"/>
      <c r="UBX17" s="41"/>
      <c r="UBY17" s="41"/>
      <c r="UBZ17" s="41"/>
      <c r="UCA17" s="41"/>
      <c r="UCB17" s="41"/>
      <c r="UCC17" s="41"/>
      <c r="UCD17" s="41"/>
      <c r="UCE17" s="41"/>
      <c r="UCF17" s="41"/>
      <c r="UCG17" s="41"/>
      <c r="UCH17" s="41"/>
      <c r="UCI17" s="41"/>
      <c r="UCJ17" s="41"/>
      <c r="UCK17" s="41"/>
      <c r="UCL17" s="41"/>
      <c r="UCM17" s="41"/>
      <c r="UCN17" s="41"/>
      <c r="UCO17" s="41"/>
      <c r="UCP17" s="41"/>
      <c r="UCQ17" s="41"/>
      <c r="UCR17" s="41"/>
      <c r="UCS17" s="41"/>
      <c r="UCT17" s="41"/>
      <c r="UCU17" s="41"/>
      <c r="UCV17" s="41"/>
      <c r="UCW17" s="41"/>
      <c r="UCX17" s="41"/>
      <c r="UCY17" s="41"/>
      <c r="UCZ17" s="41"/>
      <c r="UDA17" s="41"/>
      <c r="UDB17" s="41"/>
      <c r="UDC17" s="41"/>
      <c r="UDD17" s="41"/>
      <c r="UDE17" s="41"/>
      <c r="UDF17" s="41"/>
      <c r="UDG17" s="41"/>
      <c r="UDH17" s="41"/>
      <c r="UDI17" s="41"/>
      <c r="UDJ17" s="41"/>
      <c r="UDK17" s="41"/>
      <c r="UDL17" s="41"/>
      <c r="UDM17" s="41"/>
      <c r="UDN17" s="41"/>
      <c r="UDO17" s="41"/>
      <c r="UDP17" s="41"/>
      <c r="UDQ17" s="41"/>
      <c r="UDR17" s="41"/>
      <c r="UDS17" s="41"/>
      <c r="UDT17" s="41"/>
      <c r="UDU17" s="41"/>
      <c r="UDV17" s="41"/>
      <c r="UDW17" s="41"/>
      <c r="UDX17" s="41"/>
      <c r="UDY17" s="41"/>
      <c r="UDZ17" s="41"/>
      <c r="UEA17" s="41"/>
      <c r="UEB17" s="41"/>
      <c r="UEC17" s="41"/>
      <c r="UED17" s="41"/>
      <c r="UEE17" s="41"/>
      <c r="UEF17" s="41"/>
      <c r="UEG17" s="41"/>
      <c r="UEH17" s="41"/>
      <c r="UEI17" s="41"/>
      <c r="UEJ17" s="41"/>
      <c r="UEK17" s="41"/>
      <c r="UEL17" s="41"/>
      <c r="UEM17" s="41"/>
      <c r="UEN17" s="41"/>
      <c r="UEO17" s="41"/>
      <c r="UEP17" s="41"/>
      <c r="UEQ17" s="41"/>
      <c r="UER17" s="41"/>
      <c r="UES17" s="41"/>
      <c r="UET17" s="41"/>
      <c r="UEU17" s="41"/>
      <c r="UEV17" s="41"/>
      <c r="UEW17" s="41"/>
      <c r="UEX17" s="41"/>
      <c r="UEY17" s="41"/>
      <c r="UEZ17" s="41"/>
      <c r="UFA17" s="41"/>
      <c r="UFB17" s="41"/>
      <c r="UFC17" s="41"/>
      <c r="UFD17" s="41"/>
      <c r="UFE17" s="41"/>
      <c r="UFF17" s="41"/>
      <c r="UFG17" s="41"/>
      <c r="UFH17" s="41"/>
      <c r="UFI17" s="41"/>
      <c r="UFJ17" s="41"/>
      <c r="UFK17" s="41"/>
      <c r="UFL17" s="41"/>
      <c r="UFM17" s="41"/>
      <c r="UFN17" s="41"/>
      <c r="UFO17" s="41"/>
      <c r="UFP17" s="41"/>
      <c r="UFQ17" s="41"/>
      <c r="UFR17" s="41"/>
      <c r="UFS17" s="41"/>
      <c r="UFT17" s="41"/>
      <c r="UFU17" s="41"/>
      <c r="UFV17" s="41"/>
      <c r="UFW17" s="41"/>
      <c r="UFX17" s="41"/>
      <c r="UFY17" s="41"/>
      <c r="UFZ17" s="41"/>
      <c r="UGA17" s="41"/>
      <c r="UGB17" s="41"/>
      <c r="UGC17" s="41"/>
      <c r="UGD17" s="41"/>
      <c r="UGE17" s="41"/>
      <c r="UGF17" s="41"/>
      <c r="UGG17" s="41"/>
      <c r="UGH17" s="41"/>
      <c r="UGI17" s="41"/>
      <c r="UGJ17" s="41"/>
      <c r="UGK17" s="41"/>
      <c r="UGL17" s="41"/>
      <c r="UGM17" s="41"/>
      <c r="UGN17" s="41"/>
      <c r="UGO17" s="41"/>
      <c r="UGP17" s="41"/>
      <c r="UGQ17" s="41"/>
      <c r="UGR17" s="41"/>
      <c r="UGS17" s="41"/>
      <c r="UGT17" s="41"/>
      <c r="UGU17" s="41"/>
      <c r="UGV17" s="41"/>
      <c r="UGW17" s="41"/>
      <c r="UGX17" s="41"/>
      <c r="UGY17" s="41"/>
      <c r="UGZ17" s="41"/>
      <c r="UHA17" s="41"/>
      <c r="UHB17" s="41"/>
      <c r="UHC17" s="41"/>
      <c r="UHD17" s="41"/>
      <c r="UHE17" s="41"/>
      <c r="UHF17" s="41"/>
      <c r="UHG17" s="41"/>
      <c r="UHH17" s="41"/>
      <c r="UHI17" s="41"/>
      <c r="UHJ17" s="41"/>
      <c r="UHK17" s="41"/>
      <c r="UHL17" s="41"/>
      <c r="UHM17" s="41"/>
      <c r="UHN17" s="41"/>
      <c r="UHO17" s="41"/>
      <c r="UHP17" s="41"/>
      <c r="UHQ17" s="41"/>
      <c r="UHR17" s="41"/>
      <c r="UHS17" s="41"/>
      <c r="UHT17" s="41"/>
      <c r="UHU17" s="41"/>
      <c r="UHV17" s="41"/>
      <c r="UHW17" s="41"/>
      <c r="UHX17" s="41"/>
      <c r="UHY17" s="41"/>
      <c r="UHZ17" s="41"/>
      <c r="UIA17" s="41"/>
      <c r="UIB17" s="41"/>
      <c r="UIC17" s="41"/>
      <c r="UID17" s="41"/>
      <c r="UIE17" s="41"/>
      <c r="UIF17" s="41"/>
      <c r="UIG17" s="41"/>
      <c r="UIH17" s="41"/>
      <c r="UII17" s="41"/>
      <c r="UIJ17" s="41"/>
      <c r="UIK17" s="41"/>
      <c r="UIL17" s="41"/>
      <c r="UIM17" s="41"/>
      <c r="UIN17" s="41"/>
      <c r="UIO17" s="41"/>
      <c r="UIP17" s="41"/>
      <c r="UIQ17" s="41"/>
      <c r="UIR17" s="41"/>
      <c r="UIS17" s="41"/>
      <c r="UIT17" s="41"/>
      <c r="UIU17" s="41"/>
      <c r="UIV17" s="41"/>
      <c r="UIW17" s="41"/>
      <c r="UIX17" s="41"/>
      <c r="UIY17" s="41"/>
      <c r="UIZ17" s="41"/>
      <c r="UJA17" s="41"/>
      <c r="UJB17" s="41"/>
      <c r="UJC17" s="41"/>
      <c r="UJD17" s="41"/>
      <c r="UJE17" s="41"/>
      <c r="UJF17" s="41"/>
      <c r="UJG17" s="41"/>
      <c r="UJH17" s="41"/>
      <c r="UJI17" s="41"/>
      <c r="UJJ17" s="41"/>
      <c r="UJK17" s="41"/>
      <c r="UJL17" s="41"/>
      <c r="UJM17" s="41"/>
      <c r="UJN17" s="41"/>
      <c r="UJO17" s="41"/>
      <c r="UJP17" s="41"/>
      <c r="UJQ17" s="41"/>
      <c r="UJR17" s="41"/>
      <c r="UJS17" s="41"/>
      <c r="UJT17" s="41"/>
      <c r="UJU17" s="41"/>
      <c r="UJV17" s="41"/>
      <c r="UJW17" s="41"/>
      <c r="UJX17" s="41"/>
      <c r="UJY17" s="41"/>
      <c r="UJZ17" s="41"/>
      <c r="UKA17" s="41"/>
      <c r="UKB17" s="41"/>
      <c r="UKC17" s="41"/>
      <c r="UKD17" s="41"/>
      <c r="UKE17" s="41"/>
      <c r="UKF17" s="41"/>
      <c r="UKG17" s="41"/>
      <c r="UKH17" s="41"/>
      <c r="UKI17" s="41"/>
      <c r="UKJ17" s="41"/>
      <c r="UKK17" s="41"/>
      <c r="UKL17" s="41"/>
      <c r="UKM17" s="41"/>
      <c r="UKN17" s="41"/>
      <c r="UKO17" s="41"/>
      <c r="UKP17" s="41"/>
      <c r="UKQ17" s="41"/>
      <c r="UKR17" s="41"/>
      <c r="UKS17" s="41"/>
      <c r="UKT17" s="41"/>
      <c r="UKU17" s="41"/>
      <c r="UKV17" s="41"/>
      <c r="UKW17" s="41"/>
      <c r="UKX17" s="41"/>
      <c r="UKY17" s="41"/>
      <c r="UKZ17" s="41"/>
      <c r="ULA17" s="41"/>
      <c r="ULB17" s="41"/>
      <c r="ULC17" s="41"/>
      <c r="ULD17" s="41"/>
      <c r="ULE17" s="41"/>
      <c r="ULF17" s="41"/>
      <c r="ULG17" s="41"/>
      <c r="ULH17" s="41"/>
      <c r="ULI17" s="41"/>
      <c r="ULJ17" s="41"/>
      <c r="ULK17" s="41"/>
      <c r="ULL17" s="41"/>
      <c r="ULM17" s="41"/>
      <c r="ULN17" s="41"/>
      <c r="ULO17" s="41"/>
      <c r="ULP17" s="41"/>
      <c r="ULQ17" s="41"/>
      <c r="ULR17" s="41"/>
      <c r="ULS17" s="41"/>
      <c r="ULT17" s="41"/>
      <c r="ULU17" s="41"/>
      <c r="ULV17" s="41"/>
      <c r="ULW17" s="41"/>
      <c r="ULX17" s="41"/>
      <c r="ULY17" s="41"/>
      <c r="ULZ17" s="41"/>
      <c r="UMA17" s="41"/>
      <c r="UMB17" s="41"/>
      <c r="UMC17" s="41"/>
      <c r="UMD17" s="41"/>
      <c r="UME17" s="41"/>
      <c r="UMF17" s="41"/>
      <c r="UMG17" s="41"/>
      <c r="UMH17" s="41"/>
      <c r="UMI17" s="41"/>
      <c r="UMJ17" s="41"/>
      <c r="UMK17" s="41"/>
      <c r="UML17" s="41"/>
      <c r="UMM17" s="41"/>
      <c r="UMN17" s="41"/>
      <c r="UMO17" s="41"/>
      <c r="UMP17" s="41"/>
      <c r="UMQ17" s="41"/>
      <c r="UMR17" s="41"/>
      <c r="UMS17" s="41"/>
      <c r="UMT17" s="41"/>
      <c r="UMU17" s="41"/>
      <c r="UMV17" s="41"/>
      <c r="UMW17" s="41"/>
      <c r="UMX17" s="41"/>
      <c r="UMY17" s="41"/>
      <c r="UMZ17" s="41"/>
      <c r="UNA17" s="41"/>
      <c r="UNB17" s="41"/>
      <c r="UNC17" s="41"/>
      <c r="UND17" s="41"/>
      <c r="UNE17" s="41"/>
      <c r="UNF17" s="41"/>
      <c r="UNG17" s="41"/>
      <c r="UNH17" s="41"/>
      <c r="UNI17" s="41"/>
      <c r="UNJ17" s="41"/>
      <c r="UNK17" s="41"/>
      <c r="UNL17" s="41"/>
      <c r="UNM17" s="41"/>
      <c r="UNN17" s="41"/>
      <c r="UNO17" s="41"/>
      <c r="UNP17" s="41"/>
      <c r="UNQ17" s="41"/>
      <c r="UNR17" s="41"/>
      <c r="UNS17" s="41"/>
      <c r="UNT17" s="41"/>
      <c r="UNU17" s="41"/>
      <c r="UNV17" s="41"/>
      <c r="UNW17" s="41"/>
      <c r="UNX17" s="41"/>
      <c r="UNY17" s="41"/>
      <c r="UNZ17" s="41"/>
      <c r="UOA17" s="41"/>
      <c r="UOB17" s="41"/>
      <c r="UOC17" s="41"/>
      <c r="UOD17" s="41"/>
      <c r="UOE17" s="41"/>
      <c r="UOF17" s="41"/>
      <c r="UOG17" s="41"/>
      <c r="UOH17" s="41"/>
      <c r="UOI17" s="41"/>
      <c r="UOJ17" s="41"/>
      <c r="UOK17" s="41"/>
      <c r="UOL17" s="41"/>
      <c r="UOM17" s="41"/>
      <c r="UON17" s="41"/>
      <c r="UOO17" s="41"/>
      <c r="UOP17" s="41"/>
      <c r="UOQ17" s="41"/>
      <c r="UOR17" s="41"/>
      <c r="UOS17" s="41"/>
      <c r="UOT17" s="41"/>
      <c r="UOU17" s="41"/>
      <c r="UOV17" s="41"/>
      <c r="UOW17" s="41"/>
      <c r="UOX17" s="41"/>
      <c r="UOY17" s="41"/>
      <c r="UOZ17" s="41"/>
      <c r="UPA17" s="41"/>
      <c r="UPB17" s="41"/>
      <c r="UPC17" s="41"/>
      <c r="UPD17" s="41"/>
      <c r="UPE17" s="41"/>
      <c r="UPF17" s="41"/>
      <c r="UPG17" s="41"/>
      <c r="UPH17" s="41"/>
      <c r="UPI17" s="41"/>
      <c r="UPJ17" s="41"/>
      <c r="UPK17" s="41"/>
      <c r="UPL17" s="41"/>
      <c r="UPM17" s="41"/>
      <c r="UPN17" s="41"/>
      <c r="UPO17" s="41"/>
      <c r="UPP17" s="41"/>
      <c r="UPQ17" s="41"/>
      <c r="UPR17" s="41"/>
      <c r="UPS17" s="41"/>
      <c r="UPT17" s="41"/>
      <c r="UPU17" s="41"/>
      <c r="UPV17" s="41"/>
      <c r="UPW17" s="41"/>
      <c r="UPX17" s="41"/>
      <c r="UPY17" s="41"/>
      <c r="UPZ17" s="41"/>
      <c r="UQA17" s="41"/>
      <c r="UQB17" s="41"/>
      <c r="UQC17" s="41"/>
      <c r="UQD17" s="41"/>
      <c r="UQE17" s="41"/>
      <c r="UQF17" s="41"/>
      <c r="UQG17" s="41"/>
      <c r="UQH17" s="41"/>
      <c r="UQI17" s="41"/>
      <c r="UQJ17" s="41"/>
      <c r="UQK17" s="41"/>
      <c r="UQL17" s="41"/>
      <c r="UQM17" s="41"/>
      <c r="UQN17" s="41"/>
      <c r="UQO17" s="41"/>
      <c r="UQP17" s="41"/>
      <c r="UQQ17" s="41"/>
      <c r="UQR17" s="41"/>
      <c r="UQS17" s="41"/>
      <c r="UQT17" s="41"/>
      <c r="UQU17" s="41"/>
      <c r="UQV17" s="41"/>
      <c r="UQW17" s="41"/>
      <c r="UQX17" s="41"/>
      <c r="UQY17" s="41"/>
      <c r="UQZ17" s="41"/>
      <c r="URA17" s="41"/>
      <c r="URB17" s="41"/>
      <c r="URC17" s="41"/>
      <c r="URD17" s="41"/>
      <c r="URE17" s="41"/>
      <c r="URF17" s="41"/>
      <c r="URG17" s="41"/>
      <c r="URH17" s="41"/>
      <c r="URI17" s="41"/>
      <c r="URJ17" s="41"/>
      <c r="URK17" s="41"/>
      <c r="URL17" s="41"/>
      <c r="URM17" s="41"/>
      <c r="URN17" s="41"/>
      <c r="URO17" s="41"/>
      <c r="URP17" s="41"/>
      <c r="URQ17" s="41"/>
      <c r="URR17" s="41"/>
      <c r="URS17" s="41"/>
      <c r="URT17" s="41"/>
      <c r="URU17" s="41"/>
      <c r="URV17" s="41"/>
      <c r="URW17" s="41"/>
      <c r="URX17" s="41"/>
      <c r="URY17" s="41"/>
      <c r="URZ17" s="41"/>
      <c r="USA17" s="41"/>
      <c r="USB17" s="41"/>
      <c r="USC17" s="41"/>
      <c r="USD17" s="41"/>
      <c r="USE17" s="41"/>
      <c r="USF17" s="41"/>
      <c r="USG17" s="41"/>
      <c r="USH17" s="41"/>
      <c r="USI17" s="41"/>
      <c r="USJ17" s="41"/>
      <c r="USK17" s="41"/>
      <c r="USL17" s="41"/>
      <c r="USM17" s="41"/>
      <c r="USN17" s="41"/>
      <c r="USO17" s="41"/>
      <c r="USP17" s="41"/>
      <c r="USQ17" s="41"/>
      <c r="USR17" s="41"/>
      <c r="USS17" s="41"/>
      <c r="UST17" s="41"/>
      <c r="USU17" s="41"/>
      <c r="USV17" s="41"/>
      <c r="USW17" s="41"/>
      <c r="USX17" s="41"/>
      <c r="USY17" s="41"/>
      <c r="USZ17" s="41"/>
      <c r="UTA17" s="41"/>
      <c r="UTB17" s="41"/>
      <c r="UTC17" s="41"/>
      <c r="UTD17" s="41"/>
      <c r="UTE17" s="41"/>
      <c r="UTF17" s="41"/>
      <c r="UTG17" s="41"/>
      <c r="UTH17" s="41"/>
      <c r="UTI17" s="41"/>
      <c r="UTJ17" s="41"/>
      <c r="UTK17" s="41"/>
      <c r="UTL17" s="41"/>
      <c r="UTM17" s="41"/>
      <c r="UTN17" s="41"/>
      <c r="UTO17" s="41"/>
      <c r="UTP17" s="41"/>
      <c r="UTQ17" s="41"/>
      <c r="UTR17" s="41"/>
      <c r="UTS17" s="41"/>
      <c r="UTT17" s="41"/>
      <c r="UTU17" s="41"/>
      <c r="UTV17" s="41"/>
      <c r="UTW17" s="41"/>
      <c r="UTX17" s="41"/>
      <c r="UTY17" s="41"/>
      <c r="UTZ17" s="41"/>
      <c r="UUA17" s="41"/>
      <c r="UUB17" s="41"/>
      <c r="UUC17" s="41"/>
      <c r="UUD17" s="41"/>
      <c r="UUE17" s="41"/>
      <c r="UUF17" s="41"/>
      <c r="UUG17" s="41"/>
      <c r="UUH17" s="41"/>
      <c r="UUI17" s="41"/>
      <c r="UUJ17" s="41"/>
      <c r="UUK17" s="41"/>
      <c r="UUL17" s="41"/>
      <c r="UUM17" s="41"/>
      <c r="UUN17" s="41"/>
      <c r="UUO17" s="41"/>
      <c r="UUP17" s="41"/>
      <c r="UUQ17" s="41"/>
      <c r="UUR17" s="41"/>
      <c r="UUS17" s="41"/>
      <c r="UUT17" s="41"/>
      <c r="UUU17" s="41"/>
      <c r="UUV17" s="41"/>
      <c r="UUW17" s="41"/>
      <c r="UUX17" s="41"/>
      <c r="UUY17" s="41"/>
      <c r="UUZ17" s="41"/>
      <c r="UVA17" s="41"/>
      <c r="UVB17" s="41"/>
      <c r="UVC17" s="41"/>
      <c r="UVD17" s="41"/>
      <c r="UVE17" s="41"/>
      <c r="UVF17" s="41"/>
      <c r="UVG17" s="41"/>
      <c r="UVH17" s="41"/>
      <c r="UVI17" s="41"/>
      <c r="UVJ17" s="41"/>
      <c r="UVK17" s="41"/>
      <c r="UVL17" s="41"/>
      <c r="UVM17" s="41"/>
      <c r="UVN17" s="41"/>
      <c r="UVO17" s="41"/>
      <c r="UVP17" s="41"/>
      <c r="UVQ17" s="41"/>
      <c r="UVR17" s="41"/>
      <c r="UVS17" s="41"/>
      <c r="UVT17" s="41"/>
      <c r="UVU17" s="41"/>
      <c r="UVV17" s="41"/>
      <c r="UVW17" s="41"/>
      <c r="UVX17" s="41"/>
      <c r="UVY17" s="41"/>
      <c r="UVZ17" s="41"/>
      <c r="UWA17" s="41"/>
      <c r="UWB17" s="41"/>
      <c r="UWC17" s="41"/>
      <c r="UWD17" s="41"/>
      <c r="UWE17" s="41"/>
      <c r="UWF17" s="41"/>
      <c r="UWG17" s="41"/>
      <c r="UWH17" s="41"/>
      <c r="UWI17" s="41"/>
      <c r="UWJ17" s="41"/>
      <c r="UWK17" s="41"/>
      <c r="UWL17" s="41"/>
      <c r="UWM17" s="41"/>
      <c r="UWN17" s="41"/>
      <c r="UWO17" s="41"/>
      <c r="UWP17" s="41"/>
      <c r="UWQ17" s="41"/>
      <c r="UWR17" s="41"/>
      <c r="UWS17" s="41"/>
      <c r="UWT17" s="41"/>
      <c r="UWU17" s="41"/>
      <c r="UWV17" s="41"/>
      <c r="UWW17" s="41"/>
      <c r="UWX17" s="41"/>
      <c r="UWY17" s="41"/>
      <c r="UWZ17" s="41"/>
      <c r="UXA17" s="41"/>
      <c r="UXB17" s="41"/>
      <c r="UXC17" s="41"/>
      <c r="UXD17" s="41"/>
      <c r="UXE17" s="41"/>
      <c r="UXF17" s="41"/>
      <c r="UXG17" s="41"/>
      <c r="UXH17" s="41"/>
      <c r="UXI17" s="41"/>
      <c r="UXJ17" s="41"/>
      <c r="UXK17" s="41"/>
      <c r="UXL17" s="41"/>
      <c r="UXM17" s="41"/>
      <c r="UXN17" s="41"/>
      <c r="UXO17" s="41"/>
      <c r="UXP17" s="41"/>
      <c r="UXQ17" s="41"/>
      <c r="UXR17" s="41"/>
      <c r="UXS17" s="41"/>
      <c r="UXT17" s="41"/>
      <c r="UXU17" s="41"/>
      <c r="UXV17" s="41"/>
      <c r="UXW17" s="41"/>
      <c r="UXX17" s="41"/>
      <c r="UXY17" s="41"/>
      <c r="UXZ17" s="41"/>
      <c r="UYA17" s="41"/>
      <c r="UYB17" s="41"/>
      <c r="UYC17" s="41"/>
      <c r="UYD17" s="41"/>
      <c r="UYE17" s="41"/>
      <c r="UYF17" s="41"/>
      <c r="UYG17" s="41"/>
      <c r="UYH17" s="41"/>
      <c r="UYI17" s="41"/>
      <c r="UYJ17" s="41"/>
      <c r="UYK17" s="41"/>
      <c r="UYL17" s="41"/>
      <c r="UYM17" s="41"/>
      <c r="UYN17" s="41"/>
      <c r="UYO17" s="41"/>
      <c r="UYP17" s="41"/>
      <c r="UYQ17" s="41"/>
      <c r="UYR17" s="41"/>
      <c r="UYS17" s="41"/>
      <c r="UYT17" s="41"/>
      <c r="UYU17" s="41"/>
      <c r="UYV17" s="41"/>
      <c r="UYW17" s="41"/>
      <c r="UYX17" s="41"/>
      <c r="UYY17" s="41"/>
      <c r="UYZ17" s="41"/>
      <c r="UZA17" s="41"/>
      <c r="UZB17" s="41"/>
      <c r="UZC17" s="41"/>
      <c r="UZD17" s="41"/>
      <c r="UZE17" s="41"/>
      <c r="UZF17" s="41"/>
      <c r="UZG17" s="41"/>
      <c r="UZH17" s="41"/>
      <c r="UZI17" s="41"/>
      <c r="UZJ17" s="41"/>
      <c r="UZK17" s="41"/>
      <c r="UZL17" s="41"/>
      <c r="UZM17" s="41"/>
      <c r="UZN17" s="41"/>
      <c r="UZO17" s="41"/>
      <c r="UZP17" s="41"/>
      <c r="UZQ17" s="41"/>
      <c r="UZR17" s="41"/>
      <c r="UZS17" s="41"/>
      <c r="UZT17" s="41"/>
      <c r="UZU17" s="41"/>
      <c r="UZV17" s="41"/>
      <c r="UZW17" s="41"/>
      <c r="UZX17" s="41"/>
      <c r="UZY17" s="41"/>
      <c r="UZZ17" s="41"/>
      <c r="VAA17" s="41"/>
      <c r="VAB17" s="41"/>
      <c r="VAC17" s="41"/>
      <c r="VAD17" s="41"/>
      <c r="VAE17" s="41"/>
      <c r="VAF17" s="41"/>
      <c r="VAG17" s="41"/>
      <c r="VAH17" s="41"/>
      <c r="VAI17" s="41"/>
      <c r="VAJ17" s="41"/>
      <c r="VAK17" s="41"/>
      <c r="VAL17" s="41"/>
      <c r="VAM17" s="41"/>
      <c r="VAN17" s="41"/>
      <c r="VAO17" s="41"/>
      <c r="VAP17" s="41"/>
      <c r="VAQ17" s="41"/>
      <c r="VAR17" s="41"/>
      <c r="VAS17" s="41"/>
      <c r="VAT17" s="41"/>
      <c r="VAU17" s="41"/>
      <c r="VAV17" s="41"/>
      <c r="VAW17" s="41"/>
      <c r="VAX17" s="41"/>
      <c r="VAY17" s="41"/>
      <c r="VAZ17" s="41"/>
      <c r="VBA17" s="41"/>
      <c r="VBB17" s="41"/>
      <c r="VBC17" s="41"/>
      <c r="VBD17" s="41"/>
      <c r="VBE17" s="41"/>
      <c r="VBF17" s="41"/>
      <c r="VBG17" s="41"/>
      <c r="VBH17" s="41"/>
      <c r="VBI17" s="41"/>
      <c r="VBJ17" s="41"/>
      <c r="VBK17" s="41"/>
      <c r="VBL17" s="41"/>
      <c r="VBM17" s="41"/>
      <c r="VBN17" s="41"/>
      <c r="VBO17" s="41"/>
      <c r="VBP17" s="41"/>
      <c r="VBQ17" s="41"/>
      <c r="VBR17" s="41"/>
      <c r="VBS17" s="41"/>
      <c r="VBT17" s="41"/>
      <c r="VBU17" s="41"/>
      <c r="VBV17" s="41"/>
      <c r="VBW17" s="41"/>
      <c r="VBX17" s="41"/>
      <c r="VBY17" s="41"/>
      <c r="VBZ17" s="41"/>
      <c r="VCA17" s="41"/>
      <c r="VCB17" s="41"/>
      <c r="VCC17" s="41"/>
      <c r="VCD17" s="41"/>
      <c r="VCE17" s="41"/>
      <c r="VCF17" s="41"/>
      <c r="VCG17" s="41"/>
      <c r="VCH17" s="41"/>
      <c r="VCI17" s="41"/>
      <c r="VCJ17" s="41"/>
      <c r="VCK17" s="41"/>
      <c r="VCL17" s="41"/>
      <c r="VCM17" s="41"/>
      <c r="VCN17" s="41"/>
      <c r="VCO17" s="41"/>
      <c r="VCP17" s="41"/>
      <c r="VCQ17" s="41"/>
      <c r="VCR17" s="41"/>
      <c r="VCS17" s="41"/>
      <c r="VCT17" s="41"/>
      <c r="VCU17" s="41"/>
      <c r="VCV17" s="41"/>
      <c r="VCW17" s="41"/>
      <c r="VCX17" s="41"/>
      <c r="VCY17" s="41"/>
      <c r="VCZ17" s="41"/>
      <c r="VDA17" s="41"/>
      <c r="VDB17" s="41"/>
      <c r="VDC17" s="41"/>
      <c r="VDD17" s="41"/>
      <c r="VDE17" s="41"/>
      <c r="VDF17" s="41"/>
      <c r="VDG17" s="41"/>
      <c r="VDH17" s="41"/>
      <c r="VDI17" s="41"/>
      <c r="VDJ17" s="41"/>
      <c r="VDK17" s="41"/>
      <c r="VDL17" s="41"/>
      <c r="VDM17" s="41"/>
      <c r="VDN17" s="41"/>
      <c r="VDO17" s="41"/>
      <c r="VDP17" s="41"/>
      <c r="VDQ17" s="41"/>
      <c r="VDR17" s="41"/>
      <c r="VDS17" s="41"/>
      <c r="VDT17" s="41"/>
      <c r="VDU17" s="41"/>
      <c r="VDV17" s="41"/>
      <c r="VDW17" s="41"/>
      <c r="VDX17" s="41"/>
      <c r="VDY17" s="41"/>
      <c r="VDZ17" s="41"/>
      <c r="VEA17" s="41"/>
      <c r="VEB17" s="41"/>
      <c r="VEC17" s="41"/>
      <c r="VED17" s="41"/>
      <c r="VEE17" s="41"/>
      <c r="VEF17" s="41"/>
      <c r="VEG17" s="41"/>
      <c r="VEH17" s="41"/>
      <c r="VEI17" s="41"/>
      <c r="VEJ17" s="41"/>
      <c r="VEK17" s="41"/>
      <c r="VEL17" s="41"/>
      <c r="VEM17" s="41"/>
      <c r="VEN17" s="41"/>
      <c r="VEO17" s="41"/>
      <c r="VEP17" s="41"/>
      <c r="VEQ17" s="41"/>
      <c r="VER17" s="41"/>
      <c r="VES17" s="41"/>
      <c r="VET17" s="41"/>
      <c r="VEU17" s="41"/>
      <c r="VEV17" s="41"/>
      <c r="VEW17" s="41"/>
      <c r="VEX17" s="41"/>
      <c r="VEY17" s="41"/>
      <c r="VEZ17" s="41"/>
      <c r="VFA17" s="41"/>
      <c r="VFB17" s="41"/>
      <c r="VFC17" s="41"/>
      <c r="VFD17" s="41"/>
      <c r="VFE17" s="41"/>
      <c r="VFF17" s="41"/>
      <c r="VFG17" s="41"/>
      <c r="VFH17" s="41"/>
      <c r="VFI17" s="41"/>
      <c r="VFJ17" s="41"/>
      <c r="VFK17" s="41"/>
      <c r="VFL17" s="41"/>
      <c r="VFM17" s="41"/>
      <c r="VFN17" s="41"/>
      <c r="VFO17" s="41"/>
      <c r="VFP17" s="41"/>
      <c r="VFQ17" s="41"/>
      <c r="VFR17" s="41"/>
      <c r="VFS17" s="41"/>
      <c r="VFT17" s="41"/>
      <c r="VFU17" s="41"/>
      <c r="VFV17" s="41"/>
      <c r="VFW17" s="41"/>
      <c r="VFX17" s="41"/>
      <c r="VFY17" s="41"/>
      <c r="VFZ17" s="41"/>
      <c r="VGA17" s="41"/>
      <c r="VGB17" s="41"/>
      <c r="VGC17" s="41"/>
      <c r="VGD17" s="41"/>
      <c r="VGE17" s="41"/>
      <c r="VGF17" s="41"/>
      <c r="VGG17" s="41"/>
      <c r="VGH17" s="41"/>
      <c r="VGI17" s="41"/>
      <c r="VGJ17" s="41"/>
      <c r="VGK17" s="41"/>
      <c r="VGL17" s="41"/>
      <c r="VGM17" s="41"/>
      <c r="VGN17" s="41"/>
      <c r="VGO17" s="41"/>
      <c r="VGP17" s="41"/>
      <c r="VGQ17" s="41"/>
      <c r="VGR17" s="41"/>
      <c r="VGS17" s="41"/>
      <c r="VGT17" s="41"/>
      <c r="VGU17" s="41"/>
      <c r="VGV17" s="41"/>
      <c r="VGW17" s="41"/>
      <c r="VGX17" s="41"/>
      <c r="VGY17" s="41"/>
      <c r="VGZ17" s="41"/>
      <c r="VHA17" s="41"/>
      <c r="VHB17" s="41"/>
      <c r="VHC17" s="41"/>
      <c r="VHD17" s="41"/>
      <c r="VHE17" s="41"/>
      <c r="VHF17" s="41"/>
      <c r="VHG17" s="41"/>
      <c r="VHH17" s="41"/>
      <c r="VHI17" s="41"/>
      <c r="VHJ17" s="41"/>
      <c r="VHK17" s="41"/>
      <c r="VHL17" s="41"/>
      <c r="VHM17" s="41"/>
      <c r="VHN17" s="41"/>
      <c r="VHO17" s="41"/>
      <c r="VHP17" s="41"/>
      <c r="VHQ17" s="41"/>
      <c r="VHR17" s="41"/>
      <c r="VHS17" s="41"/>
      <c r="VHT17" s="41"/>
      <c r="VHU17" s="41"/>
      <c r="VHV17" s="41"/>
      <c r="VHW17" s="41"/>
      <c r="VHX17" s="41"/>
      <c r="VHY17" s="41"/>
      <c r="VHZ17" s="41"/>
      <c r="VIA17" s="41"/>
      <c r="VIB17" s="41"/>
      <c r="VIC17" s="41"/>
      <c r="VID17" s="41"/>
      <c r="VIE17" s="41"/>
      <c r="VIF17" s="41"/>
      <c r="VIG17" s="41"/>
      <c r="VIH17" s="41"/>
      <c r="VII17" s="41"/>
      <c r="VIJ17" s="41"/>
      <c r="VIK17" s="41"/>
      <c r="VIL17" s="41"/>
      <c r="VIM17" s="41"/>
      <c r="VIN17" s="41"/>
      <c r="VIO17" s="41"/>
      <c r="VIP17" s="41"/>
      <c r="VIQ17" s="41"/>
      <c r="VIR17" s="41"/>
      <c r="VIS17" s="41"/>
      <c r="VIT17" s="41"/>
      <c r="VIU17" s="41"/>
      <c r="VIV17" s="41"/>
      <c r="VIW17" s="41"/>
      <c r="VIX17" s="41"/>
      <c r="VIY17" s="41"/>
      <c r="VIZ17" s="41"/>
      <c r="VJA17" s="41"/>
      <c r="VJB17" s="41"/>
      <c r="VJC17" s="41"/>
      <c r="VJD17" s="41"/>
      <c r="VJE17" s="41"/>
      <c r="VJF17" s="41"/>
      <c r="VJG17" s="41"/>
      <c r="VJH17" s="41"/>
      <c r="VJI17" s="41"/>
      <c r="VJJ17" s="41"/>
      <c r="VJK17" s="41"/>
      <c r="VJL17" s="41"/>
      <c r="VJM17" s="41"/>
      <c r="VJN17" s="41"/>
      <c r="VJO17" s="41"/>
      <c r="VJP17" s="41"/>
      <c r="VJQ17" s="41"/>
      <c r="VJR17" s="41"/>
      <c r="VJS17" s="41"/>
      <c r="VJT17" s="41"/>
      <c r="VJU17" s="41"/>
      <c r="VJV17" s="41"/>
      <c r="VJW17" s="41"/>
      <c r="VJX17" s="41"/>
      <c r="VJY17" s="41"/>
      <c r="VJZ17" s="41"/>
      <c r="VKA17" s="41"/>
      <c r="VKB17" s="41"/>
      <c r="VKC17" s="41"/>
      <c r="VKD17" s="41"/>
      <c r="VKE17" s="41"/>
      <c r="VKF17" s="41"/>
      <c r="VKG17" s="41"/>
      <c r="VKH17" s="41"/>
      <c r="VKI17" s="41"/>
      <c r="VKJ17" s="41"/>
      <c r="VKK17" s="41"/>
      <c r="VKL17" s="41"/>
      <c r="VKM17" s="41"/>
      <c r="VKN17" s="41"/>
      <c r="VKO17" s="41"/>
      <c r="VKP17" s="41"/>
      <c r="VKQ17" s="41"/>
      <c r="VKR17" s="41"/>
      <c r="VKS17" s="41"/>
      <c r="VKT17" s="41"/>
      <c r="VKU17" s="41"/>
      <c r="VKV17" s="41"/>
      <c r="VKW17" s="41"/>
      <c r="VKX17" s="41"/>
      <c r="VKY17" s="41"/>
      <c r="VKZ17" s="41"/>
      <c r="VLA17" s="41"/>
      <c r="VLB17" s="41"/>
      <c r="VLC17" s="41"/>
      <c r="VLD17" s="41"/>
      <c r="VLE17" s="41"/>
      <c r="VLF17" s="41"/>
      <c r="VLG17" s="41"/>
      <c r="VLH17" s="41"/>
      <c r="VLI17" s="41"/>
      <c r="VLJ17" s="41"/>
      <c r="VLK17" s="41"/>
      <c r="VLL17" s="41"/>
      <c r="VLM17" s="41"/>
      <c r="VLN17" s="41"/>
      <c r="VLO17" s="41"/>
      <c r="VLP17" s="41"/>
      <c r="VLQ17" s="41"/>
      <c r="VLR17" s="41"/>
      <c r="VLS17" s="41"/>
      <c r="VLT17" s="41"/>
      <c r="VLU17" s="41"/>
      <c r="VLV17" s="41"/>
      <c r="VLW17" s="41"/>
      <c r="VLX17" s="41"/>
      <c r="VLY17" s="41"/>
      <c r="VLZ17" s="41"/>
      <c r="VMA17" s="41"/>
      <c r="VMB17" s="41"/>
      <c r="VMC17" s="41"/>
      <c r="VMD17" s="41"/>
      <c r="VME17" s="41"/>
      <c r="VMF17" s="41"/>
      <c r="VMG17" s="41"/>
      <c r="VMH17" s="41"/>
      <c r="VMI17" s="41"/>
      <c r="VMJ17" s="41"/>
      <c r="VMK17" s="41"/>
      <c r="VML17" s="41"/>
      <c r="VMM17" s="41"/>
      <c r="VMN17" s="41"/>
      <c r="VMO17" s="41"/>
      <c r="VMP17" s="41"/>
      <c r="VMQ17" s="41"/>
      <c r="VMR17" s="41"/>
      <c r="VMS17" s="41"/>
      <c r="VMT17" s="41"/>
      <c r="VMU17" s="41"/>
      <c r="VMV17" s="41"/>
      <c r="VMW17" s="41"/>
      <c r="VMX17" s="41"/>
      <c r="VMY17" s="41"/>
      <c r="VMZ17" s="41"/>
      <c r="VNA17" s="41"/>
      <c r="VNB17" s="41"/>
      <c r="VNC17" s="41"/>
      <c r="VND17" s="41"/>
      <c r="VNE17" s="41"/>
      <c r="VNF17" s="41"/>
      <c r="VNG17" s="41"/>
      <c r="VNH17" s="41"/>
      <c r="VNI17" s="41"/>
      <c r="VNJ17" s="41"/>
      <c r="VNK17" s="41"/>
      <c r="VNL17" s="41"/>
      <c r="VNM17" s="41"/>
      <c r="VNN17" s="41"/>
      <c r="VNO17" s="41"/>
      <c r="VNP17" s="41"/>
      <c r="VNQ17" s="41"/>
      <c r="VNR17" s="41"/>
      <c r="VNS17" s="41"/>
      <c r="VNT17" s="41"/>
      <c r="VNU17" s="41"/>
      <c r="VNV17" s="41"/>
      <c r="VNW17" s="41"/>
      <c r="VNX17" s="41"/>
      <c r="VNY17" s="41"/>
      <c r="VNZ17" s="41"/>
      <c r="VOA17" s="41"/>
      <c r="VOB17" s="41"/>
      <c r="VOC17" s="41"/>
      <c r="VOD17" s="41"/>
      <c r="VOE17" s="41"/>
      <c r="VOF17" s="41"/>
      <c r="VOG17" s="41"/>
      <c r="VOH17" s="41"/>
      <c r="VOI17" s="41"/>
      <c r="VOJ17" s="41"/>
      <c r="VOK17" s="41"/>
      <c r="VOL17" s="41"/>
      <c r="VOM17" s="41"/>
      <c r="VON17" s="41"/>
      <c r="VOO17" s="41"/>
      <c r="VOP17" s="41"/>
      <c r="VOQ17" s="41"/>
      <c r="VOR17" s="41"/>
      <c r="VOS17" s="41"/>
      <c r="VOT17" s="41"/>
      <c r="VOU17" s="41"/>
      <c r="VOV17" s="41"/>
      <c r="VOW17" s="41"/>
      <c r="VOX17" s="41"/>
      <c r="VOY17" s="41"/>
      <c r="VOZ17" s="41"/>
      <c r="VPA17" s="41"/>
      <c r="VPB17" s="41"/>
      <c r="VPC17" s="41"/>
      <c r="VPD17" s="41"/>
      <c r="VPE17" s="41"/>
      <c r="VPF17" s="41"/>
      <c r="VPG17" s="41"/>
      <c r="VPH17" s="41"/>
      <c r="VPI17" s="41"/>
      <c r="VPJ17" s="41"/>
      <c r="VPK17" s="41"/>
      <c r="VPL17" s="41"/>
      <c r="VPM17" s="41"/>
      <c r="VPN17" s="41"/>
      <c r="VPO17" s="41"/>
      <c r="VPP17" s="41"/>
      <c r="VPQ17" s="41"/>
      <c r="VPR17" s="41"/>
      <c r="VPS17" s="41"/>
      <c r="VPT17" s="41"/>
      <c r="VPU17" s="41"/>
      <c r="VPV17" s="41"/>
      <c r="VPW17" s="41"/>
      <c r="VPX17" s="41"/>
      <c r="VPY17" s="41"/>
      <c r="VPZ17" s="41"/>
      <c r="VQA17" s="41"/>
      <c r="VQB17" s="41"/>
      <c r="VQC17" s="41"/>
      <c r="VQD17" s="41"/>
      <c r="VQE17" s="41"/>
      <c r="VQF17" s="41"/>
      <c r="VQG17" s="41"/>
      <c r="VQH17" s="41"/>
      <c r="VQI17" s="41"/>
      <c r="VQJ17" s="41"/>
      <c r="VQK17" s="41"/>
      <c r="VQL17" s="41"/>
      <c r="VQM17" s="41"/>
      <c r="VQN17" s="41"/>
      <c r="VQO17" s="41"/>
      <c r="VQP17" s="41"/>
      <c r="VQQ17" s="41"/>
      <c r="VQR17" s="41"/>
      <c r="VQS17" s="41"/>
      <c r="VQT17" s="41"/>
      <c r="VQU17" s="41"/>
      <c r="VQV17" s="41"/>
      <c r="VQW17" s="41"/>
      <c r="VQX17" s="41"/>
      <c r="VQY17" s="41"/>
      <c r="VQZ17" s="41"/>
      <c r="VRA17" s="41"/>
      <c r="VRB17" s="41"/>
      <c r="VRC17" s="41"/>
      <c r="VRD17" s="41"/>
      <c r="VRE17" s="41"/>
      <c r="VRF17" s="41"/>
      <c r="VRG17" s="41"/>
      <c r="VRH17" s="41"/>
      <c r="VRI17" s="41"/>
      <c r="VRJ17" s="41"/>
      <c r="VRK17" s="41"/>
      <c r="VRL17" s="41"/>
      <c r="VRM17" s="41"/>
      <c r="VRN17" s="41"/>
      <c r="VRO17" s="41"/>
      <c r="VRP17" s="41"/>
      <c r="VRQ17" s="41"/>
      <c r="VRR17" s="41"/>
      <c r="VRS17" s="41"/>
      <c r="VRT17" s="41"/>
      <c r="VRU17" s="41"/>
      <c r="VRV17" s="41"/>
      <c r="VRW17" s="41"/>
      <c r="VRX17" s="41"/>
      <c r="VRY17" s="41"/>
      <c r="VRZ17" s="41"/>
      <c r="VSA17" s="41"/>
      <c r="VSB17" s="41"/>
      <c r="VSC17" s="41"/>
      <c r="VSD17" s="41"/>
      <c r="VSE17" s="41"/>
      <c r="VSF17" s="41"/>
      <c r="VSG17" s="41"/>
      <c r="VSH17" s="41"/>
      <c r="VSI17" s="41"/>
      <c r="VSJ17" s="41"/>
      <c r="VSK17" s="41"/>
      <c r="VSL17" s="41"/>
      <c r="VSM17" s="41"/>
      <c r="VSN17" s="41"/>
      <c r="VSO17" s="41"/>
      <c r="VSP17" s="41"/>
      <c r="VSQ17" s="41"/>
      <c r="VSR17" s="41"/>
      <c r="VSS17" s="41"/>
      <c r="VST17" s="41"/>
      <c r="VSU17" s="41"/>
      <c r="VSV17" s="41"/>
      <c r="VSW17" s="41"/>
      <c r="VSX17" s="41"/>
      <c r="VSY17" s="41"/>
      <c r="VSZ17" s="41"/>
      <c r="VTA17" s="41"/>
      <c r="VTB17" s="41"/>
      <c r="VTC17" s="41"/>
      <c r="VTD17" s="41"/>
      <c r="VTE17" s="41"/>
      <c r="VTF17" s="41"/>
      <c r="VTG17" s="41"/>
      <c r="VTH17" s="41"/>
      <c r="VTI17" s="41"/>
      <c r="VTJ17" s="41"/>
      <c r="VTK17" s="41"/>
      <c r="VTL17" s="41"/>
      <c r="VTM17" s="41"/>
      <c r="VTN17" s="41"/>
      <c r="VTO17" s="41"/>
      <c r="VTP17" s="41"/>
      <c r="VTQ17" s="41"/>
      <c r="VTR17" s="41"/>
      <c r="VTS17" s="41"/>
      <c r="VTT17" s="41"/>
      <c r="VTU17" s="41"/>
      <c r="VTV17" s="41"/>
      <c r="VTW17" s="41"/>
      <c r="VTX17" s="41"/>
      <c r="VTY17" s="41"/>
      <c r="VTZ17" s="41"/>
      <c r="VUA17" s="41"/>
      <c r="VUB17" s="41"/>
      <c r="VUC17" s="41"/>
      <c r="VUD17" s="41"/>
      <c r="VUE17" s="41"/>
      <c r="VUF17" s="41"/>
      <c r="VUG17" s="41"/>
      <c r="VUH17" s="41"/>
      <c r="VUI17" s="41"/>
      <c r="VUJ17" s="41"/>
      <c r="VUK17" s="41"/>
      <c r="VUL17" s="41"/>
      <c r="VUM17" s="41"/>
      <c r="VUN17" s="41"/>
      <c r="VUO17" s="41"/>
      <c r="VUP17" s="41"/>
      <c r="VUQ17" s="41"/>
      <c r="VUR17" s="41"/>
      <c r="VUS17" s="41"/>
      <c r="VUT17" s="41"/>
      <c r="VUU17" s="41"/>
      <c r="VUV17" s="41"/>
      <c r="VUW17" s="41"/>
      <c r="VUX17" s="41"/>
      <c r="VUY17" s="41"/>
      <c r="VUZ17" s="41"/>
      <c r="VVA17" s="41"/>
      <c r="VVB17" s="41"/>
      <c r="VVC17" s="41"/>
      <c r="VVD17" s="41"/>
      <c r="VVE17" s="41"/>
      <c r="VVF17" s="41"/>
      <c r="VVG17" s="41"/>
      <c r="VVH17" s="41"/>
      <c r="VVI17" s="41"/>
      <c r="VVJ17" s="41"/>
      <c r="VVK17" s="41"/>
      <c r="VVL17" s="41"/>
      <c r="VVM17" s="41"/>
      <c r="VVN17" s="41"/>
      <c r="VVO17" s="41"/>
      <c r="VVP17" s="41"/>
      <c r="VVQ17" s="41"/>
      <c r="VVR17" s="41"/>
      <c r="VVS17" s="41"/>
      <c r="VVT17" s="41"/>
      <c r="VVU17" s="41"/>
      <c r="VVV17" s="41"/>
      <c r="VVW17" s="41"/>
      <c r="VVX17" s="41"/>
      <c r="VVY17" s="41"/>
      <c r="VVZ17" s="41"/>
      <c r="VWA17" s="41"/>
      <c r="VWB17" s="41"/>
      <c r="VWC17" s="41"/>
      <c r="VWD17" s="41"/>
      <c r="VWE17" s="41"/>
      <c r="VWF17" s="41"/>
      <c r="VWG17" s="41"/>
      <c r="VWH17" s="41"/>
      <c r="VWI17" s="41"/>
      <c r="VWJ17" s="41"/>
      <c r="VWK17" s="41"/>
      <c r="VWL17" s="41"/>
      <c r="VWM17" s="41"/>
      <c r="VWN17" s="41"/>
      <c r="VWO17" s="41"/>
      <c r="VWP17" s="41"/>
      <c r="VWQ17" s="41"/>
      <c r="VWR17" s="41"/>
      <c r="VWS17" s="41"/>
      <c r="VWT17" s="41"/>
      <c r="VWU17" s="41"/>
      <c r="VWV17" s="41"/>
      <c r="VWW17" s="41"/>
      <c r="VWX17" s="41"/>
      <c r="VWY17" s="41"/>
      <c r="VWZ17" s="41"/>
      <c r="VXA17" s="41"/>
      <c r="VXB17" s="41"/>
      <c r="VXC17" s="41"/>
      <c r="VXD17" s="41"/>
      <c r="VXE17" s="41"/>
      <c r="VXF17" s="41"/>
      <c r="VXG17" s="41"/>
      <c r="VXH17" s="41"/>
      <c r="VXI17" s="41"/>
      <c r="VXJ17" s="41"/>
      <c r="VXK17" s="41"/>
      <c r="VXL17" s="41"/>
      <c r="VXM17" s="41"/>
      <c r="VXN17" s="41"/>
      <c r="VXO17" s="41"/>
      <c r="VXP17" s="41"/>
      <c r="VXQ17" s="41"/>
      <c r="VXR17" s="41"/>
      <c r="VXS17" s="41"/>
      <c r="VXT17" s="41"/>
      <c r="VXU17" s="41"/>
      <c r="VXV17" s="41"/>
      <c r="VXW17" s="41"/>
      <c r="VXX17" s="41"/>
      <c r="VXY17" s="41"/>
      <c r="VXZ17" s="41"/>
      <c r="VYA17" s="41"/>
      <c r="VYB17" s="41"/>
      <c r="VYC17" s="41"/>
      <c r="VYD17" s="41"/>
      <c r="VYE17" s="41"/>
      <c r="VYF17" s="41"/>
      <c r="VYG17" s="41"/>
      <c r="VYH17" s="41"/>
      <c r="VYI17" s="41"/>
      <c r="VYJ17" s="41"/>
      <c r="VYK17" s="41"/>
      <c r="VYL17" s="41"/>
      <c r="VYM17" s="41"/>
      <c r="VYN17" s="41"/>
      <c r="VYO17" s="41"/>
      <c r="VYP17" s="41"/>
      <c r="VYQ17" s="41"/>
      <c r="VYR17" s="41"/>
      <c r="VYS17" s="41"/>
      <c r="VYT17" s="41"/>
      <c r="VYU17" s="41"/>
      <c r="VYV17" s="41"/>
      <c r="VYW17" s="41"/>
      <c r="VYX17" s="41"/>
      <c r="VYY17" s="41"/>
      <c r="VYZ17" s="41"/>
      <c r="VZA17" s="41"/>
      <c r="VZB17" s="41"/>
      <c r="VZC17" s="41"/>
      <c r="VZD17" s="41"/>
      <c r="VZE17" s="41"/>
      <c r="VZF17" s="41"/>
      <c r="VZG17" s="41"/>
      <c r="VZH17" s="41"/>
      <c r="VZI17" s="41"/>
      <c r="VZJ17" s="41"/>
      <c r="VZK17" s="41"/>
      <c r="VZL17" s="41"/>
      <c r="VZM17" s="41"/>
      <c r="VZN17" s="41"/>
      <c r="VZO17" s="41"/>
      <c r="VZP17" s="41"/>
      <c r="VZQ17" s="41"/>
      <c r="VZR17" s="41"/>
      <c r="VZS17" s="41"/>
      <c r="VZT17" s="41"/>
      <c r="VZU17" s="41"/>
      <c r="VZV17" s="41"/>
      <c r="VZW17" s="41"/>
      <c r="VZX17" s="41"/>
      <c r="VZY17" s="41"/>
      <c r="VZZ17" s="41"/>
      <c r="WAA17" s="41"/>
      <c r="WAB17" s="41"/>
      <c r="WAC17" s="41"/>
      <c r="WAD17" s="41"/>
      <c r="WAE17" s="41"/>
      <c r="WAF17" s="41"/>
      <c r="WAG17" s="41"/>
      <c r="WAH17" s="41"/>
      <c r="WAI17" s="41"/>
      <c r="WAJ17" s="41"/>
      <c r="WAK17" s="41"/>
      <c r="WAL17" s="41"/>
      <c r="WAM17" s="41"/>
      <c r="WAN17" s="41"/>
      <c r="WAO17" s="41"/>
      <c r="WAP17" s="41"/>
      <c r="WAQ17" s="41"/>
      <c r="WAR17" s="41"/>
      <c r="WAS17" s="41"/>
      <c r="WAT17" s="41"/>
      <c r="WAU17" s="41"/>
      <c r="WAV17" s="41"/>
      <c r="WAW17" s="41"/>
      <c r="WAX17" s="41"/>
      <c r="WAY17" s="41"/>
      <c r="WAZ17" s="41"/>
      <c r="WBA17" s="41"/>
      <c r="WBB17" s="41"/>
      <c r="WBC17" s="41"/>
      <c r="WBD17" s="41"/>
      <c r="WBE17" s="41"/>
      <c r="WBF17" s="41"/>
      <c r="WBG17" s="41"/>
      <c r="WBH17" s="41"/>
      <c r="WBI17" s="41"/>
      <c r="WBJ17" s="41"/>
      <c r="WBK17" s="41"/>
      <c r="WBL17" s="41"/>
      <c r="WBM17" s="41"/>
      <c r="WBN17" s="41"/>
      <c r="WBO17" s="41"/>
      <c r="WBP17" s="41"/>
      <c r="WBQ17" s="41"/>
      <c r="WBR17" s="41"/>
      <c r="WBS17" s="41"/>
      <c r="WBT17" s="41"/>
      <c r="WBU17" s="41"/>
      <c r="WBV17" s="41"/>
      <c r="WBW17" s="41"/>
      <c r="WBX17" s="41"/>
      <c r="WBY17" s="41"/>
      <c r="WBZ17" s="41"/>
      <c r="WCA17" s="41"/>
      <c r="WCB17" s="41"/>
      <c r="WCC17" s="41"/>
      <c r="WCD17" s="41"/>
      <c r="WCE17" s="41"/>
      <c r="WCF17" s="41"/>
      <c r="WCG17" s="41"/>
      <c r="WCH17" s="41"/>
      <c r="WCI17" s="41"/>
      <c r="WCJ17" s="41"/>
      <c r="WCK17" s="41"/>
      <c r="WCL17" s="41"/>
      <c r="WCM17" s="41"/>
      <c r="WCN17" s="41"/>
      <c r="WCO17" s="41"/>
      <c r="WCP17" s="41"/>
      <c r="WCQ17" s="41"/>
      <c r="WCR17" s="41"/>
      <c r="WCS17" s="41"/>
      <c r="WCT17" s="41"/>
      <c r="WCU17" s="41"/>
      <c r="WCV17" s="41"/>
      <c r="WCW17" s="41"/>
      <c r="WCX17" s="41"/>
      <c r="WCY17" s="41"/>
      <c r="WCZ17" s="41"/>
      <c r="WDA17" s="41"/>
      <c r="WDB17" s="41"/>
      <c r="WDC17" s="41"/>
      <c r="WDD17" s="41"/>
      <c r="WDE17" s="41"/>
      <c r="WDF17" s="41"/>
      <c r="WDG17" s="41"/>
      <c r="WDH17" s="41"/>
      <c r="WDI17" s="41"/>
      <c r="WDJ17" s="41"/>
      <c r="WDK17" s="41"/>
      <c r="WDL17" s="41"/>
      <c r="WDM17" s="41"/>
      <c r="WDN17" s="41"/>
      <c r="WDO17" s="41"/>
      <c r="WDP17" s="41"/>
      <c r="WDQ17" s="41"/>
      <c r="WDR17" s="41"/>
      <c r="WDS17" s="41"/>
      <c r="WDT17" s="41"/>
      <c r="WDU17" s="41"/>
      <c r="WDV17" s="41"/>
      <c r="WDW17" s="41"/>
      <c r="WDX17" s="41"/>
      <c r="WDY17" s="41"/>
      <c r="WDZ17" s="41"/>
      <c r="WEA17" s="41"/>
      <c r="WEB17" s="41"/>
      <c r="WEC17" s="41"/>
      <c r="WED17" s="41"/>
      <c r="WEE17" s="41"/>
      <c r="WEF17" s="41"/>
      <c r="WEG17" s="41"/>
      <c r="WEH17" s="41"/>
      <c r="WEI17" s="41"/>
      <c r="WEJ17" s="41"/>
      <c r="WEK17" s="41"/>
      <c r="WEL17" s="41"/>
      <c r="WEM17" s="41"/>
      <c r="WEN17" s="41"/>
      <c r="WEO17" s="41"/>
      <c r="WEP17" s="41"/>
      <c r="WEQ17" s="41"/>
      <c r="WER17" s="41"/>
      <c r="WES17" s="41"/>
      <c r="WET17" s="41"/>
      <c r="WEU17" s="41"/>
      <c r="WEV17" s="41"/>
      <c r="WEW17" s="41"/>
      <c r="WEX17" s="41"/>
      <c r="WEY17" s="41"/>
      <c r="WEZ17" s="41"/>
      <c r="WFA17" s="41"/>
      <c r="WFB17" s="41"/>
      <c r="WFC17" s="41"/>
      <c r="WFD17" s="41"/>
      <c r="WFE17" s="41"/>
      <c r="WFF17" s="41"/>
      <c r="WFG17" s="41"/>
      <c r="WFH17" s="41"/>
      <c r="WFI17" s="41"/>
      <c r="WFJ17" s="41"/>
      <c r="WFK17" s="41"/>
      <c r="WFL17" s="41"/>
      <c r="WFM17" s="41"/>
      <c r="WFN17" s="41"/>
      <c r="WFO17" s="41"/>
      <c r="WFP17" s="41"/>
      <c r="WFQ17" s="41"/>
      <c r="WFR17" s="41"/>
      <c r="WFS17" s="41"/>
      <c r="WFT17" s="41"/>
      <c r="WFU17" s="41"/>
      <c r="WFV17" s="41"/>
      <c r="WFW17" s="41"/>
      <c r="WFX17" s="41"/>
      <c r="WFY17" s="41"/>
      <c r="WFZ17" s="41"/>
      <c r="WGA17" s="41"/>
      <c r="WGB17" s="41"/>
      <c r="WGC17" s="41"/>
      <c r="WGD17" s="41"/>
      <c r="WGE17" s="41"/>
      <c r="WGF17" s="41"/>
      <c r="WGG17" s="41"/>
      <c r="WGH17" s="41"/>
      <c r="WGI17" s="41"/>
      <c r="WGJ17" s="41"/>
      <c r="WGK17" s="41"/>
      <c r="WGL17" s="41"/>
      <c r="WGM17" s="41"/>
      <c r="WGN17" s="41"/>
      <c r="WGO17" s="41"/>
      <c r="WGP17" s="41"/>
      <c r="WGQ17" s="41"/>
      <c r="WGR17" s="41"/>
      <c r="WGS17" s="41"/>
      <c r="WGT17" s="41"/>
      <c r="WGU17" s="41"/>
      <c r="WGV17" s="41"/>
      <c r="WGW17" s="41"/>
      <c r="WGX17" s="41"/>
      <c r="WGY17" s="41"/>
      <c r="WGZ17" s="41"/>
      <c r="WHA17" s="41"/>
      <c r="WHB17" s="41"/>
      <c r="WHC17" s="41"/>
      <c r="WHD17" s="41"/>
      <c r="WHE17" s="41"/>
      <c r="WHF17" s="41"/>
      <c r="WHG17" s="41"/>
      <c r="WHH17" s="41"/>
      <c r="WHI17" s="41"/>
      <c r="WHJ17" s="41"/>
      <c r="WHK17" s="41"/>
      <c r="WHL17" s="41"/>
      <c r="WHM17" s="41"/>
      <c r="WHN17" s="41"/>
      <c r="WHO17" s="41"/>
      <c r="WHP17" s="41"/>
      <c r="WHQ17" s="41"/>
      <c r="WHR17" s="41"/>
      <c r="WHS17" s="41"/>
      <c r="WHT17" s="41"/>
      <c r="WHU17" s="41"/>
      <c r="WHV17" s="41"/>
      <c r="WHW17" s="41"/>
      <c r="WHX17" s="41"/>
      <c r="WHY17" s="41"/>
      <c r="WHZ17" s="41"/>
      <c r="WIA17" s="41"/>
      <c r="WIB17" s="41"/>
      <c r="WIC17" s="41"/>
      <c r="WID17" s="41"/>
      <c r="WIE17" s="41"/>
      <c r="WIF17" s="41"/>
      <c r="WIG17" s="41"/>
      <c r="WIH17" s="41"/>
      <c r="WII17" s="41"/>
      <c r="WIJ17" s="41"/>
      <c r="WIK17" s="41"/>
      <c r="WIL17" s="41"/>
      <c r="WIM17" s="41"/>
      <c r="WIN17" s="41"/>
      <c r="WIO17" s="41"/>
      <c r="WIP17" s="41"/>
      <c r="WIQ17" s="41"/>
      <c r="WIR17" s="41"/>
      <c r="WIS17" s="41"/>
      <c r="WIT17" s="41"/>
      <c r="WIU17" s="41"/>
      <c r="WIV17" s="41"/>
      <c r="WIW17" s="41"/>
      <c r="WIX17" s="41"/>
      <c r="WIY17" s="41"/>
      <c r="WIZ17" s="41"/>
      <c r="WJA17" s="41"/>
      <c r="WJB17" s="41"/>
      <c r="WJC17" s="41"/>
      <c r="WJD17" s="41"/>
      <c r="WJE17" s="41"/>
      <c r="WJF17" s="41"/>
      <c r="WJG17" s="41"/>
      <c r="WJH17" s="41"/>
      <c r="WJI17" s="41"/>
      <c r="WJJ17" s="41"/>
      <c r="WJK17" s="41"/>
      <c r="WJL17" s="41"/>
      <c r="WJM17" s="41"/>
      <c r="WJN17" s="41"/>
      <c r="WJO17" s="41"/>
      <c r="WJP17" s="41"/>
      <c r="WJQ17" s="41"/>
      <c r="WJR17" s="41"/>
      <c r="WJS17" s="41"/>
      <c r="WJT17" s="41"/>
      <c r="WJU17" s="41"/>
      <c r="WJV17" s="41"/>
      <c r="WJW17" s="41"/>
      <c r="WJX17" s="41"/>
      <c r="WJY17" s="41"/>
      <c r="WJZ17" s="41"/>
      <c r="WKA17" s="41"/>
      <c r="WKB17" s="41"/>
      <c r="WKC17" s="41"/>
      <c r="WKD17" s="41"/>
      <c r="WKE17" s="41"/>
      <c r="WKF17" s="41"/>
      <c r="WKG17" s="41"/>
      <c r="WKH17" s="41"/>
      <c r="WKI17" s="41"/>
      <c r="WKJ17" s="41"/>
      <c r="WKK17" s="41"/>
      <c r="WKL17" s="41"/>
      <c r="WKM17" s="41"/>
      <c r="WKN17" s="41"/>
      <c r="WKO17" s="41"/>
      <c r="WKP17" s="41"/>
      <c r="WKQ17" s="41"/>
      <c r="WKR17" s="41"/>
      <c r="WKS17" s="41"/>
      <c r="WKT17" s="41"/>
      <c r="WKU17" s="41"/>
      <c r="WKV17" s="41"/>
      <c r="WKW17" s="41"/>
      <c r="WKX17" s="41"/>
      <c r="WKY17" s="41"/>
      <c r="WKZ17" s="41"/>
      <c r="WLA17" s="41"/>
      <c r="WLB17" s="41"/>
      <c r="WLC17" s="41"/>
      <c r="WLD17" s="41"/>
      <c r="WLE17" s="41"/>
      <c r="WLF17" s="41"/>
      <c r="WLG17" s="41"/>
      <c r="WLH17" s="41"/>
      <c r="WLI17" s="41"/>
      <c r="WLJ17" s="41"/>
      <c r="WLK17" s="41"/>
      <c r="WLL17" s="41"/>
      <c r="WLM17" s="41"/>
      <c r="WLN17" s="41"/>
      <c r="WLO17" s="41"/>
      <c r="WLP17" s="41"/>
      <c r="WLQ17" s="41"/>
      <c r="WLR17" s="41"/>
      <c r="WLS17" s="41"/>
      <c r="WLT17" s="41"/>
      <c r="WLU17" s="41"/>
      <c r="WLV17" s="41"/>
      <c r="WLW17" s="41"/>
      <c r="WLX17" s="41"/>
      <c r="WLY17" s="41"/>
      <c r="WLZ17" s="41"/>
      <c r="WMA17" s="41"/>
      <c r="WMB17" s="41"/>
      <c r="WMC17" s="41"/>
      <c r="WMD17" s="41"/>
      <c r="WME17" s="41"/>
      <c r="WMF17" s="41"/>
      <c r="WMG17" s="41"/>
      <c r="WMH17" s="41"/>
      <c r="WMI17" s="41"/>
      <c r="WMJ17" s="41"/>
      <c r="WMK17" s="41"/>
      <c r="WML17" s="41"/>
      <c r="WMM17" s="41"/>
      <c r="WMN17" s="41"/>
      <c r="WMO17" s="41"/>
      <c r="WMP17" s="41"/>
      <c r="WMQ17" s="41"/>
      <c r="WMR17" s="41"/>
      <c r="WMS17" s="41"/>
      <c r="WMT17" s="41"/>
      <c r="WMU17" s="41"/>
      <c r="WMV17" s="41"/>
      <c r="WMW17" s="41"/>
      <c r="WMX17" s="41"/>
      <c r="WMY17" s="41"/>
      <c r="WMZ17" s="41"/>
      <c r="WNA17" s="41"/>
      <c r="WNB17" s="41"/>
      <c r="WNC17" s="41"/>
      <c r="WND17" s="41"/>
      <c r="WNE17" s="41"/>
      <c r="WNF17" s="41"/>
      <c r="WNG17" s="41"/>
      <c r="WNH17" s="41"/>
      <c r="WNI17" s="41"/>
      <c r="WNJ17" s="41"/>
      <c r="WNK17" s="41"/>
      <c r="WNL17" s="41"/>
      <c r="WNM17" s="41"/>
      <c r="WNN17" s="41"/>
      <c r="WNO17" s="41"/>
      <c r="WNP17" s="41"/>
      <c r="WNQ17" s="41"/>
      <c r="WNR17" s="41"/>
      <c r="WNS17" s="41"/>
      <c r="WNT17" s="41"/>
      <c r="WNU17" s="41"/>
      <c r="WNV17" s="41"/>
      <c r="WNW17" s="41"/>
      <c r="WNX17" s="41"/>
      <c r="WNY17" s="41"/>
      <c r="WNZ17" s="41"/>
      <c r="WOA17" s="41"/>
      <c r="WOB17" s="41"/>
      <c r="WOC17" s="41"/>
      <c r="WOD17" s="41"/>
      <c r="WOE17" s="41"/>
      <c r="WOF17" s="41"/>
      <c r="WOG17" s="41"/>
      <c r="WOH17" s="41"/>
      <c r="WOI17" s="41"/>
      <c r="WOJ17" s="41"/>
      <c r="WOK17" s="41"/>
      <c r="WOL17" s="41"/>
      <c r="WOM17" s="41"/>
      <c r="WON17" s="41"/>
      <c r="WOO17" s="41"/>
      <c r="WOP17" s="41"/>
      <c r="WOQ17" s="41"/>
      <c r="WOR17" s="41"/>
      <c r="WOS17" s="41"/>
      <c r="WOT17" s="41"/>
      <c r="WOU17" s="41"/>
      <c r="WOV17" s="41"/>
      <c r="WOW17" s="41"/>
      <c r="WOX17" s="41"/>
      <c r="WOY17" s="41"/>
      <c r="WOZ17" s="41"/>
      <c r="WPA17" s="41"/>
      <c r="WPB17" s="41"/>
      <c r="WPC17" s="41"/>
      <c r="WPD17" s="41"/>
      <c r="WPE17" s="41"/>
      <c r="WPF17" s="41"/>
      <c r="WPG17" s="41"/>
      <c r="WPH17" s="41"/>
      <c r="WPI17" s="41"/>
      <c r="WPJ17" s="41"/>
      <c r="WPK17" s="41"/>
      <c r="WPL17" s="41"/>
      <c r="WPM17" s="41"/>
      <c r="WPN17" s="41"/>
      <c r="WPO17" s="41"/>
      <c r="WPP17" s="41"/>
      <c r="WPQ17" s="41"/>
      <c r="WPR17" s="41"/>
      <c r="WPS17" s="41"/>
      <c r="WPT17" s="41"/>
      <c r="WPU17" s="41"/>
      <c r="WPV17" s="41"/>
      <c r="WPW17" s="41"/>
      <c r="WPX17" s="41"/>
      <c r="WPY17" s="41"/>
      <c r="WPZ17" s="41"/>
      <c r="WQA17" s="41"/>
      <c r="WQB17" s="41"/>
      <c r="WQC17" s="41"/>
      <c r="WQD17" s="41"/>
      <c r="WQE17" s="41"/>
      <c r="WQF17" s="41"/>
      <c r="WQG17" s="41"/>
      <c r="WQH17" s="41"/>
      <c r="WQI17" s="41"/>
      <c r="WQJ17" s="41"/>
      <c r="WQK17" s="41"/>
      <c r="WQL17" s="41"/>
      <c r="WQM17" s="41"/>
      <c r="WQN17" s="41"/>
      <c r="WQO17" s="41"/>
      <c r="WQP17" s="41"/>
      <c r="WQQ17" s="41"/>
      <c r="WQR17" s="41"/>
      <c r="WQS17" s="41"/>
      <c r="WQT17" s="41"/>
      <c r="WQU17" s="41"/>
      <c r="WQV17" s="41"/>
      <c r="WQW17" s="41"/>
      <c r="WQX17" s="41"/>
      <c r="WQY17" s="41"/>
      <c r="WQZ17" s="41"/>
      <c r="WRA17" s="41"/>
      <c r="WRB17" s="41"/>
      <c r="WRC17" s="41"/>
      <c r="WRD17" s="41"/>
      <c r="WRE17" s="41"/>
      <c r="WRF17" s="41"/>
      <c r="WRG17" s="41"/>
      <c r="WRH17" s="41"/>
      <c r="WRI17" s="41"/>
      <c r="WRJ17" s="41"/>
      <c r="WRK17" s="41"/>
      <c r="WRL17" s="41"/>
      <c r="WRM17" s="41"/>
      <c r="WRN17" s="41"/>
      <c r="WRO17" s="41"/>
      <c r="WRP17" s="41"/>
      <c r="WRQ17" s="41"/>
      <c r="WRR17" s="41"/>
      <c r="WRS17" s="41"/>
      <c r="WRT17" s="41"/>
      <c r="WRU17" s="41"/>
      <c r="WRV17" s="41"/>
      <c r="WRW17" s="41"/>
      <c r="WRX17" s="41"/>
      <c r="WRY17" s="41"/>
      <c r="WRZ17" s="41"/>
      <c r="WSA17" s="41"/>
      <c r="WSB17" s="41"/>
      <c r="WSC17" s="41"/>
      <c r="WSD17" s="41"/>
      <c r="WSE17" s="41"/>
      <c r="WSF17" s="41"/>
      <c r="WSG17" s="41"/>
      <c r="WSH17" s="41"/>
      <c r="WSI17" s="41"/>
      <c r="WSJ17" s="41"/>
      <c r="WSK17" s="41"/>
      <c r="WSL17" s="41"/>
      <c r="WSM17" s="41"/>
      <c r="WSN17" s="41"/>
      <c r="WSO17" s="41"/>
      <c r="WSP17" s="41"/>
      <c r="WSQ17" s="41"/>
      <c r="WSR17" s="41"/>
      <c r="WSS17" s="41"/>
      <c r="WST17" s="41"/>
      <c r="WSU17" s="41"/>
      <c r="WSV17" s="41"/>
      <c r="WSW17" s="41"/>
      <c r="WSX17" s="41"/>
      <c r="WSY17" s="41"/>
      <c r="WSZ17" s="41"/>
      <c r="WTA17" s="41"/>
      <c r="WTB17" s="41"/>
      <c r="WTC17" s="41"/>
      <c r="WTD17" s="41"/>
      <c r="WTE17" s="41"/>
      <c r="WTF17" s="41"/>
      <c r="WTG17" s="41"/>
      <c r="WTH17" s="41"/>
      <c r="WTI17" s="41"/>
      <c r="WTJ17" s="41"/>
      <c r="WTK17" s="41"/>
      <c r="WTL17" s="41"/>
      <c r="WTM17" s="41"/>
      <c r="WTN17" s="41"/>
      <c r="WTO17" s="41"/>
      <c r="WTP17" s="41"/>
      <c r="WTQ17" s="41"/>
      <c r="WTR17" s="41"/>
      <c r="WTS17" s="41"/>
      <c r="WTT17" s="41"/>
      <c r="WTU17" s="41"/>
      <c r="WTV17" s="41"/>
      <c r="WTW17" s="41"/>
      <c r="WTX17" s="41"/>
      <c r="WTY17" s="41"/>
      <c r="WTZ17" s="41"/>
      <c r="WUA17" s="41"/>
      <c r="WUB17" s="41"/>
      <c r="WUC17" s="41"/>
      <c r="WUD17" s="41"/>
      <c r="WUE17" s="41"/>
      <c r="WUF17" s="41"/>
      <c r="WUG17" s="41"/>
      <c r="WUH17" s="41"/>
      <c r="WUI17" s="41"/>
      <c r="WUJ17" s="41"/>
      <c r="WUK17" s="41"/>
      <c r="WUL17" s="41"/>
      <c r="WUM17" s="41"/>
      <c r="WUN17" s="41"/>
      <c r="WUO17" s="41"/>
      <c r="WUP17" s="41"/>
      <c r="WUQ17" s="41"/>
      <c r="WUR17" s="41"/>
      <c r="WUS17" s="41"/>
      <c r="WUT17" s="41"/>
      <c r="WUU17" s="41"/>
      <c r="WUV17" s="41"/>
      <c r="WUW17" s="41"/>
      <c r="WUX17" s="41"/>
      <c r="WUY17" s="41"/>
      <c r="WUZ17" s="41"/>
      <c r="WVA17" s="41"/>
      <c r="WVB17" s="41"/>
      <c r="WVC17" s="41"/>
      <c r="WVD17" s="41"/>
      <c r="WVE17" s="41"/>
      <c r="WVF17" s="41"/>
      <c r="WVG17" s="41"/>
      <c r="WVH17" s="41"/>
      <c r="WVI17" s="41"/>
      <c r="WVJ17" s="41"/>
      <c r="WVK17" s="41"/>
      <c r="WVL17" s="41"/>
      <c r="WVM17" s="41"/>
      <c r="WVN17" s="41"/>
      <c r="WVO17" s="41"/>
      <c r="WVP17" s="41"/>
      <c r="WVQ17" s="41"/>
      <c r="WVR17" s="41"/>
      <c r="WVS17" s="41"/>
      <c r="WVT17" s="41"/>
      <c r="WVU17" s="41"/>
      <c r="WVV17" s="41"/>
      <c r="WVW17" s="41"/>
      <c r="WVX17" s="41"/>
      <c r="WVY17" s="41"/>
      <c r="WVZ17" s="41"/>
      <c r="WWA17" s="41"/>
      <c r="WWB17" s="41"/>
      <c r="WWC17" s="41"/>
      <c r="WWD17" s="41"/>
      <c r="WWE17" s="41"/>
      <c r="WWF17" s="41"/>
      <c r="WWG17" s="41"/>
      <c r="WWH17" s="41"/>
      <c r="WWI17" s="41"/>
      <c r="WWJ17" s="41"/>
      <c r="WWK17" s="41"/>
      <c r="WWL17" s="41"/>
      <c r="WWM17" s="41"/>
      <c r="WWN17" s="41"/>
      <c r="WWO17" s="41"/>
      <c r="WWP17" s="41"/>
      <c r="WWQ17" s="41"/>
      <c r="WWR17" s="41"/>
      <c r="WWS17" s="41"/>
      <c r="WWT17" s="41"/>
      <c r="WWU17" s="41"/>
      <c r="WWV17" s="41"/>
      <c r="WWW17" s="41"/>
      <c r="WWX17" s="41"/>
      <c r="WWY17" s="41"/>
      <c r="WWZ17" s="41"/>
      <c r="WXA17" s="41"/>
      <c r="WXB17" s="41"/>
      <c r="WXC17" s="41"/>
      <c r="WXD17" s="41"/>
      <c r="WXE17" s="41"/>
      <c r="WXF17" s="41"/>
      <c r="WXG17" s="41"/>
      <c r="WXH17" s="41"/>
      <c r="WXI17" s="41"/>
      <c r="WXJ17" s="41"/>
      <c r="WXK17" s="41"/>
      <c r="WXL17" s="41"/>
      <c r="WXM17" s="41"/>
      <c r="WXN17" s="41"/>
      <c r="WXO17" s="41"/>
      <c r="WXP17" s="41"/>
      <c r="WXQ17" s="41"/>
      <c r="WXR17" s="41"/>
      <c r="WXS17" s="41"/>
      <c r="WXT17" s="41"/>
      <c r="WXU17" s="41"/>
      <c r="WXV17" s="41"/>
      <c r="WXW17" s="41"/>
      <c r="WXX17" s="41"/>
      <c r="WXY17" s="41"/>
      <c r="WXZ17" s="41"/>
      <c r="WYA17" s="41"/>
      <c r="WYB17" s="41"/>
      <c r="WYC17" s="41"/>
      <c r="WYD17" s="41"/>
      <c r="WYE17" s="41"/>
      <c r="WYF17" s="41"/>
      <c r="WYG17" s="41"/>
      <c r="WYH17" s="41"/>
      <c r="WYI17" s="41"/>
      <c r="WYJ17" s="41"/>
      <c r="WYK17" s="41"/>
      <c r="WYL17" s="41"/>
      <c r="WYM17" s="41"/>
      <c r="WYN17" s="41"/>
      <c r="WYO17" s="41"/>
      <c r="WYP17" s="41"/>
      <c r="WYQ17" s="41"/>
      <c r="WYR17" s="41"/>
      <c r="WYS17" s="41"/>
      <c r="WYT17" s="41"/>
      <c r="WYU17" s="41"/>
      <c r="WYV17" s="41"/>
      <c r="WYW17" s="41"/>
      <c r="WYX17" s="41"/>
      <c r="WYY17" s="41"/>
      <c r="WYZ17" s="41"/>
      <c r="WZA17" s="41"/>
      <c r="WZB17" s="41"/>
      <c r="WZC17" s="41"/>
      <c r="WZD17" s="41"/>
      <c r="WZE17" s="41"/>
      <c r="WZF17" s="41"/>
      <c r="WZG17" s="41"/>
      <c r="WZH17" s="41"/>
      <c r="WZI17" s="41"/>
      <c r="WZJ17" s="41"/>
      <c r="WZK17" s="41"/>
      <c r="WZL17" s="41"/>
      <c r="WZM17" s="41"/>
      <c r="WZN17" s="41"/>
      <c r="WZO17" s="41"/>
      <c r="WZP17" s="41"/>
      <c r="WZQ17" s="41"/>
      <c r="WZR17" s="41"/>
      <c r="WZS17" s="41"/>
      <c r="WZT17" s="41"/>
      <c r="WZU17" s="41"/>
      <c r="WZV17" s="41"/>
      <c r="WZW17" s="41"/>
      <c r="WZX17" s="41"/>
      <c r="WZY17" s="41"/>
      <c r="WZZ17" s="41"/>
      <c r="XAA17" s="41"/>
      <c r="XAB17" s="41"/>
      <c r="XAC17" s="41"/>
      <c r="XAD17" s="41"/>
      <c r="XAE17" s="41"/>
      <c r="XAF17" s="41"/>
      <c r="XAG17" s="41"/>
      <c r="XAH17" s="41"/>
      <c r="XAI17" s="41"/>
      <c r="XAJ17" s="41"/>
      <c r="XAK17" s="41"/>
      <c r="XAL17" s="41"/>
      <c r="XAM17" s="41"/>
      <c r="XAN17" s="41"/>
      <c r="XAO17" s="41"/>
      <c r="XAP17" s="41"/>
      <c r="XAQ17" s="41"/>
      <c r="XAR17" s="41"/>
      <c r="XAS17" s="41"/>
      <c r="XAT17" s="41"/>
      <c r="XAU17" s="41"/>
      <c r="XAV17" s="41"/>
      <c r="XAW17" s="41"/>
      <c r="XAX17" s="41"/>
      <c r="XAY17" s="41"/>
      <c r="XAZ17" s="41"/>
      <c r="XBA17" s="41"/>
      <c r="XBB17" s="41"/>
      <c r="XBC17" s="41"/>
      <c r="XBD17" s="41"/>
      <c r="XBE17" s="41"/>
      <c r="XBF17" s="41"/>
      <c r="XBG17" s="41"/>
      <c r="XBH17" s="41"/>
      <c r="XBI17" s="41"/>
      <c r="XBJ17" s="41"/>
      <c r="XBK17" s="41"/>
      <c r="XBL17" s="41"/>
      <c r="XBM17" s="41"/>
      <c r="XBN17" s="41"/>
      <c r="XBO17" s="41"/>
      <c r="XBP17" s="41"/>
      <c r="XBQ17" s="41"/>
      <c r="XBR17" s="41"/>
      <c r="XBS17" s="41"/>
      <c r="XBT17" s="41"/>
      <c r="XBU17" s="41"/>
      <c r="XBV17" s="41"/>
      <c r="XBW17" s="41"/>
      <c r="XBX17" s="41"/>
      <c r="XBY17" s="41"/>
      <c r="XBZ17" s="41"/>
      <c r="XCA17" s="41"/>
      <c r="XCB17" s="41"/>
      <c r="XCC17" s="41"/>
      <c r="XCD17" s="41"/>
      <c r="XCE17" s="41"/>
      <c r="XCF17" s="41"/>
      <c r="XCG17" s="41"/>
      <c r="XCH17" s="41"/>
      <c r="XCI17" s="41"/>
      <c r="XCJ17" s="41"/>
      <c r="XCK17" s="41"/>
      <c r="XCL17" s="41"/>
      <c r="XCM17" s="41"/>
      <c r="XCN17" s="41"/>
      <c r="XCO17" s="41"/>
      <c r="XCP17" s="41"/>
      <c r="XCQ17" s="41"/>
      <c r="XCR17" s="41"/>
      <c r="XCS17" s="41"/>
      <c r="XCT17" s="41"/>
      <c r="XCU17" s="41"/>
      <c r="XCV17" s="41"/>
      <c r="XCW17" s="41"/>
      <c r="XCX17" s="41"/>
      <c r="XCY17" s="41"/>
      <c r="XCZ17" s="41"/>
      <c r="XDA17" s="41"/>
      <c r="XDB17" s="41"/>
      <c r="XDC17" s="41"/>
      <c r="XDD17" s="41"/>
      <c r="XDE17" s="41"/>
      <c r="XDF17" s="41"/>
      <c r="XDG17" s="41"/>
      <c r="XDH17" s="41"/>
      <c r="XDI17" s="41"/>
      <c r="XDJ17" s="41"/>
      <c r="XDK17" s="41"/>
      <c r="XDL17" s="41"/>
      <c r="XDM17" s="41"/>
      <c r="XDN17" s="41"/>
      <c r="XDO17" s="41"/>
      <c r="XDP17" s="41"/>
      <c r="XDQ17" s="41"/>
      <c r="XDR17" s="41"/>
      <c r="XDS17" s="41"/>
      <c r="XDT17" s="41"/>
      <c r="XDU17" s="41"/>
      <c r="XDV17" s="41"/>
      <c r="XDW17" s="41"/>
      <c r="XDX17" s="41"/>
      <c r="XDY17" s="41"/>
      <c r="XDZ17" s="41"/>
      <c r="XEA17" s="41"/>
      <c r="XEB17" s="41"/>
      <c r="XEC17" s="41"/>
      <c r="XED17" s="41"/>
      <c r="XEE17" s="41"/>
      <c r="XEF17" s="41"/>
      <c r="XEG17" s="41"/>
      <c r="XEH17" s="41"/>
      <c r="XEI17" s="41"/>
      <c r="XEJ17" s="41"/>
      <c r="XEK17" s="41"/>
      <c r="XEL17" s="41"/>
      <c r="XEM17" s="41"/>
      <c r="XEN17" s="41"/>
      <c r="XEO17" s="41"/>
      <c r="XEP17" s="41"/>
      <c r="XEQ17" s="41"/>
      <c r="XER17" s="41"/>
      <c r="XES17" s="41"/>
      <c r="XET17" s="41"/>
      <c r="XEU17" s="41"/>
      <c r="XEV17" s="41"/>
      <c r="XEW17" s="41"/>
      <c r="XEX17" s="41"/>
      <c r="XEY17" s="41"/>
      <c r="XEZ17" s="41"/>
      <c r="XFA17" s="41"/>
      <c r="XFB17" s="41"/>
      <c r="XFC17" s="41"/>
      <c r="XFD17" s="41"/>
    </row>
    <row r="18" spans="2:16384" s="25" customFormat="1" ht="19.5" customHeight="1" thickBot="1" x14ac:dyDescent="0.35">
      <c r="B18" s="115"/>
      <c r="C18" s="115"/>
      <c r="D18" s="116" t="s">
        <v>30</v>
      </c>
      <c r="E18" s="6"/>
      <c r="F18" s="120">
        <f>SUM(F13:F17)</f>
        <v>10687500000</v>
      </c>
      <c r="G18" s="104"/>
      <c r="H18" s="124"/>
      <c r="I18" s="121"/>
      <c r="J18" s="7"/>
      <c r="K18" s="26"/>
      <c r="L18" s="26"/>
      <c r="M18" s="15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  <c r="AFJ18" s="41"/>
      <c r="AFK18" s="41"/>
      <c r="AFL18" s="41"/>
      <c r="AFM18" s="41"/>
      <c r="AFN18" s="41"/>
      <c r="AFO18" s="41"/>
      <c r="AFP18" s="41"/>
      <c r="AFQ18" s="41"/>
      <c r="AFR18" s="41"/>
      <c r="AFS18" s="41"/>
      <c r="AFT18" s="41"/>
      <c r="AFU18" s="41"/>
      <c r="AFV18" s="41"/>
      <c r="AFW18" s="41"/>
      <c r="AFX18" s="41"/>
      <c r="AFY18" s="41"/>
      <c r="AFZ18" s="41"/>
      <c r="AGA18" s="41"/>
      <c r="AGB18" s="41"/>
      <c r="AGC18" s="41"/>
      <c r="AGD18" s="41"/>
      <c r="AGE18" s="41"/>
      <c r="AGF18" s="41"/>
      <c r="AGG18" s="41"/>
      <c r="AGH18" s="41"/>
      <c r="AGI18" s="41"/>
      <c r="AGJ18" s="41"/>
      <c r="AGK18" s="41"/>
      <c r="AGL18" s="41"/>
      <c r="AGM18" s="41"/>
      <c r="AGN18" s="41"/>
      <c r="AGO18" s="41"/>
      <c r="AGP18" s="41"/>
      <c r="AGQ18" s="41"/>
      <c r="AGR18" s="41"/>
      <c r="AGS18" s="41"/>
      <c r="AGT18" s="41"/>
      <c r="AGU18" s="41"/>
      <c r="AGV18" s="41"/>
      <c r="AGW18" s="41"/>
      <c r="AGX18" s="41"/>
      <c r="AGY18" s="41"/>
      <c r="AGZ18" s="41"/>
      <c r="AHA18" s="41"/>
      <c r="AHB18" s="41"/>
      <c r="AHC18" s="41"/>
      <c r="AHD18" s="41"/>
      <c r="AHE18" s="41"/>
      <c r="AHF18" s="41"/>
      <c r="AHG18" s="41"/>
      <c r="AHH18" s="41"/>
      <c r="AHI18" s="41"/>
      <c r="AHJ18" s="41"/>
      <c r="AHK18" s="41"/>
      <c r="AHL18" s="41"/>
      <c r="AHM18" s="41"/>
      <c r="AHN18" s="41"/>
      <c r="AHO18" s="41"/>
      <c r="AHP18" s="41"/>
      <c r="AHQ18" s="41"/>
      <c r="AHR18" s="41"/>
      <c r="AHS18" s="41"/>
      <c r="AHT18" s="41"/>
      <c r="AHU18" s="41"/>
      <c r="AHV18" s="41"/>
      <c r="AHW18" s="41"/>
      <c r="AHX18" s="41"/>
      <c r="AHY18" s="41"/>
      <c r="AHZ18" s="41"/>
      <c r="AIA18" s="41"/>
      <c r="AIB18" s="41"/>
      <c r="AIC18" s="41"/>
      <c r="AID18" s="41"/>
      <c r="AIE18" s="41"/>
      <c r="AIF18" s="41"/>
      <c r="AIG18" s="41"/>
      <c r="AIH18" s="41"/>
      <c r="AII18" s="41"/>
      <c r="AIJ18" s="41"/>
      <c r="AIK18" s="41"/>
      <c r="AIL18" s="41"/>
      <c r="AIM18" s="41"/>
      <c r="AIN18" s="41"/>
      <c r="AIO18" s="41"/>
      <c r="AIP18" s="41"/>
      <c r="AIQ18" s="41"/>
      <c r="AIR18" s="41"/>
      <c r="AIS18" s="41"/>
      <c r="AIT18" s="41"/>
      <c r="AIU18" s="41"/>
      <c r="AIV18" s="41"/>
      <c r="AIW18" s="41"/>
      <c r="AIX18" s="41"/>
      <c r="AIY18" s="41"/>
      <c r="AIZ18" s="41"/>
      <c r="AJA18" s="41"/>
      <c r="AJB18" s="41"/>
      <c r="AJC18" s="41"/>
      <c r="AJD18" s="41"/>
      <c r="AJE18" s="41"/>
      <c r="AJF18" s="41"/>
      <c r="AJG18" s="41"/>
      <c r="AJH18" s="41"/>
      <c r="AJI18" s="41"/>
      <c r="AJJ18" s="41"/>
      <c r="AJK18" s="41"/>
      <c r="AJL18" s="41"/>
      <c r="AJM18" s="41"/>
      <c r="AJN18" s="41"/>
      <c r="AJO18" s="41"/>
      <c r="AJP18" s="41"/>
      <c r="AJQ18" s="41"/>
      <c r="AJR18" s="41"/>
      <c r="AJS18" s="41"/>
      <c r="AJT18" s="41"/>
      <c r="AJU18" s="41"/>
      <c r="AJV18" s="41"/>
      <c r="AJW18" s="41"/>
      <c r="AJX18" s="41"/>
      <c r="AJY18" s="41"/>
      <c r="AJZ18" s="41"/>
      <c r="AKA18" s="41"/>
      <c r="AKB18" s="41"/>
      <c r="AKC18" s="41"/>
      <c r="AKD18" s="41"/>
      <c r="AKE18" s="41"/>
      <c r="AKF18" s="41"/>
      <c r="AKG18" s="41"/>
      <c r="AKH18" s="41"/>
      <c r="AKI18" s="41"/>
      <c r="AKJ18" s="41"/>
      <c r="AKK18" s="41"/>
      <c r="AKL18" s="41"/>
      <c r="AKM18" s="41"/>
      <c r="AKN18" s="41"/>
      <c r="AKO18" s="41"/>
      <c r="AKP18" s="41"/>
      <c r="AKQ18" s="41"/>
      <c r="AKR18" s="41"/>
      <c r="AKS18" s="41"/>
      <c r="AKT18" s="41"/>
      <c r="AKU18" s="41"/>
      <c r="AKV18" s="41"/>
      <c r="AKW18" s="41"/>
      <c r="AKX18" s="41"/>
      <c r="AKY18" s="41"/>
      <c r="AKZ18" s="41"/>
      <c r="ALA18" s="41"/>
      <c r="ALB18" s="41"/>
      <c r="ALC18" s="41"/>
      <c r="ALD18" s="41"/>
      <c r="ALE18" s="41"/>
      <c r="ALF18" s="41"/>
      <c r="ALG18" s="41"/>
      <c r="ALH18" s="41"/>
      <c r="ALI18" s="41"/>
      <c r="ALJ18" s="41"/>
      <c r="ALK18" s="41"/>
      <c r="ALL18" s="41"/>
      <c r="ALM18" s="41"/>
      <c r="ALN18" s="41"/>
      <c r="ALO18" s="41"/>
      <c r="ALP18" s="41"/>
      <c r="ALQ18" s="41"/>
      <c r="ALR18" s="41"/>
      <c r="ALS18" s="41"/>
      <c r="ALT18" s="41"/>
      <c r="ALU18" s="41"/>
      <c r="ALV18" s="41"/>
      <c r="ALW18" s="41"/>
      <c r="ALX18" s="41"/>
      <c r="ALY18" s="41"/>
      <c r="ALZ18" s="41"/>
      <c r="AMA18" s="41"/>
      <c r="AMB18" s="41"/>
      <c r="AMC18" s="41"/>
      <c r="AMD18" s="41"/>
      <c r="AME18" s="41"/>
      <c r="AMF18" s="41"/>
      <c r="AMG18" s="41"/>
      <c r="AMH18" s="41"/>
      <c r="AMI18" s="41"/>
      <c r="AMJ18" s="41"/>
      <c r="AMK18" s="41"/>
      <c r="AML18" s="41"/>
      <c r="AMM18" s="41"/>
      <c r="AMN18" s="41"/>
      <c r="AMO18" s="41"/>
      <c r="AMP18" s="41"/>
      <c r="AMQ18" s="41"/>
      <c r="AMR18" s="41"/>
      <c r="AMS18" s="41"/>
      <c r="AMT18" s="41"/>
      <c r="AMU18" s="41"/>
      <c r="AMV18" s="41"/>
      <c r="AMW18" s="41"/>
      <c r="AMX18" s="41"/>
      <c r="AMY18" s="41"/>
      <c r="AMZ18" s="41"/>
      <c r="ANA18" s="41"/>
      <c r="ANB18" s="41"/>
      <c r="ANC18" s="41"/>
      <c r="AND18" s="41"/>
      <c r="ANE18" s="41"/>
      <c r="ANF18" s="41"/>
      <c r="ANG18" s="41"/>
      <c r="ANH18" s="41"/>
      <c r="ANI18" s="41"/>
      <c r="ANJ18" s="41"/>
      <c r="ANK18" s="41"/>
      <c r="ANL18" s="41"/>
      <c r="ANM18" s="41"/>
      <c r="ANN18" s="41"/>
      <c r="ANO18" s="41"/>
      <c r="ANP18" s="41"/>
      <c r="ANQ18" s="41"/>
      <c r="ANR18" s="41"/>
      <c r="ANS18" s="41"/>
      <c r="ANT18" s="41"/>
      <c r="ANU18" s="41"/>
      <c r="ANV18" s="41"/>
      <c r="ANW18" s="41"/>
      <c r="ANX18" s="41"/>
      <c r="ANY18" s="41"/>
      <c r="ANZ18" s="41"/>
      <c r="AOA18" s="41"/>
      <c r="AOB18" s="41"/>
      <c r="AOC18" s="41"/>
      <c r="AOD18" s="41"/>
      <c r="AOE18" s="41"/>
      <c r="AOF18" s="41"/>
      <c r="AOG18" s="41"/>
      <c r="AOH18" s="41"/>
      <c r="AOI18" s="41"/>
      <c r="AOJ18" s="41"/>
      <c r="AOK18" s="41"/>
      <c r="AOL18" s="41"/>
      <c r="AOM18" s="41"/>
      <c r="AON18" s="41"/>
      <c r="AOO18" s="41"/>
      <c r="AOP18" s="41"/>
      <c r="AOQ18" s="41"/>
      <c r="AOR18" s="41"/>
      <c r="AOS18" s="41"/>
      <c r="AOT18" s="41"/>
      <c r="AOU18" s="41"/>
      <c r="AOV18" s="41"/>
      <c r="AOW18" s="41"/>
      <c r="AOX18" s="41"/>
      <c r="AOY18" s="41"/>
      <c r="AOZ18" s="41"/>
      <c r="APA18" s="41"/>
      <c r="APB18" s="41"/>
      <c r="APC18" s="41"/>
      <c r="APD18" s="41"/>
      <c r="APE18" s="41"/>
      <c r="APF18" s="41"/>
      <c r="APG18" s="41"/>
      <c r="APH18" s="41"/>
      <c r="API18" s="41"/>
      <c r="APJ18" s="41"/>
      <c r="APK18" s="41"/>
      <c r="APL18" s="41"/>
      <c r="APM18" s="41"/>
      <c r="APN18" s="41"/>
      <c r="APO18" s="41"/>
      <c r="APP18" s="41"/>
      <c r="APQ18" s="41"/>
      <c r="APR18" s="41"/>
      <c r="APS18" s="41"/>
      <c r="APT18" s="41"/>
      <c r="APU18" s="41"/>
      <c r="APV18" s="41"/>
      <c r="APW18" s="41"/>
      <c r="APX18" s="41"/>
      <c r="APY18" s="41"/>
      <c r="APZ18" s="41"/>
      <c r="AQA18" s="41"/>
      <c r="AQB18" s="41"/>
      <c r="AQC18" s="41"/>
      <c r="AQD18" s="41"/>
      <c r="AQE18" s="41"/>
      <c r="AQF18" s="41"/>
      <c r="AQG18" s="41"/>
      <c r="AQH18" s="41"/>
      <c r="AQI18" s="41"/>
      <c r="AQJ18" s="41"/>
      <c r="AQK18" s="41"/>
      <c r="AQL18" s="41"/>
      <c r="AQM18" s="41"/>
      <c r="AQN18" s="41"/>
      <c r="AQO18" s="41"/>
      <c r="AQP18" s="41"/>
      <c r="AQQ18" s="41"/>
      <c r="AQR18" s="41"/>
      <c r="AQS18" s="41"/>
      <c r="AQT18" s="41"/>
      <c r="AQU18" s="41"/>
      <c r="AQV18" s="41"/>
      <c r="AQW18" s="41"/>
      <c r="AQX18" s="41"/>
      <c r="AQY18" s="41"/>
      <c r="AQZ18" s="41"/>
      <c r="ARA18" s="41"/>
      <c r="ARB18" s="41"/>
      <c r="ARC18" s="41"/>
      <c r="ARD18" s="41"/>
      <c r="ARE18" s="41"/>
      <c r="ARF18" s="41"/>
      <c r="ARG18" s="41"/>
      <c r="ARH18" s="41"/>
      <c r="ARI18" s="41"/>
      <c r="ARJ18" s="41"/>
      <c r="ARK18" s="41"/>
      <c r="ARL18" s="41"/>
      <c r="ARM18" s="41"/>
      <c r="ARN18" s="41"/>
      <c r="ARO18" s="41"/>
      <c r="ARP18" s="41"/>
      <c r="ARQ18" s="41"/>
      <c r="ARR18" s="41"/>
      <c r="ARS18" s="41"/>
      <c r="ART18" s="41"/>
      <c r="ARU18" s="41"/>
      <c r="ARV18" s="41"/>
      <c r="ARW18" s="41"/>
      <c r="ARX18" s="41"/>
      <c r="ARY18" s="41"/>
      <c r="ARZ18" s="41"/>
      <c r="ASA18" s="41"/>
      <c r="ASB18" s="41"/>
      <c r="ASC18" s="41"/>
      <c r="ASD18" s="41"/>
      <c r="ASE18" s="41"/>
      <c r="ASF18" s="41"/>
      <c r="ASG18" s="41"/>
      <c r="ASH18" s="41"/>
      <c r="ASI18" s="41"/>
      <c r="ASJ18" s="41"/>
      <c r="ASK18" s="41"/>
      <c r="ASL18" s="41"/>
      <c r="ASM18" s="41"/>
      <c r="ASN18" s="41"/>
      <c r="ASO18" s="41"/>
      <c r="ASP18" s="41"/>
      <c r="ASQ18" s="41"/>
      <c r="ASR18" s="41"/>
      <c r="ASS18" s="41"/>
      <c r="AST18" s="41"/>
      <c r="ASU18" s="41"/>
      <c r="ASV18" s="41"/>
      <c r="ASW18" s="41"/>
      <c r="ASX18" s="41"/>
      <c r="ASY18" s="41"/>
      <c r="ASZ18" s="41"/>
      <c r="ATA18" s="41"/>
      <c r="ATB18" s="41"/>
      <c r="ATC18" s="41"/>
      <c r="ATD18" s="41"/>
      <c r="ATE18" s="41"/>
      <c r="ATF18" s="41"/>
      <c r="ATG18" s="41"/>
      <c r="ATH18" s="41"/>
      <c r="ATI18" s="41"/>
      <c r="ATJ18" s="41"/>
      <c r="ATK18" s="41"/>
      <c r="ATL18" s="41"/>
      <c r="ATM18" s="41"/>
      <c r="ATN18" s="41"/>
      <c r="ATO18" s="41"/>
      <c r="ATP18" s="41"/>
      <c r="ATQ18" s="41"/>
      <c r="ATR18" s="41"/>
      <c r="ATS18" s="41"/>
      <c r="ATT18" s="41"/>
      <c r="ATU18" s="41"/>
      <c r="ATV18" s="41"/>
      <c r="ATW18" s="41"/>
      <c r="ATX18" s="41"/>
      <c r="ATY18" s="41"/>
      <c r="ATZ18" s="41"/>
      <c r="AUA18" s="41"/>
      <c r="AUB18" s="41"/>
      <c r="AUC18" s="41"/>
      <c r="AUD18" s="41"/>
      <c r="AUE18" s="41"/>
      <c r="AUF18" s="41"/>
      <c r="AUG18" s="41"/>
      <c r="AUH18" s="41"/>
      <c r="AUI18" s="41"/>
      <c r="AUJ18" s="41"/>
      <c r="AUK18" s="41"/>
      <c r="AUL18" s="41"/>
      <c r="AUM18" s="41"/>
      <c r="AUN18" s="41"/>
      <c r="AUO18" s="41"/>
      <c r="AUP18" s="41"/>
      <c r="AUQ18" s="41"/>
      <c r="AUR18" s="41"/>
      <c r="AUS18" s="41"/>
      <c r="AUT18" s="41"/>
      <c r="AUU18" s="41"/>
      <c r="AUV18" s="41"/>
      <c r="AUW18" s="41"/>
      <c r="AUX18" s="41"/>
      <c r="AUY18" s="41"/>
      <c r="AUZ18" s="41"/>
      <c r="AVA18" s="41"/>
      <c r="AVB18" s="41"/>
      <c r="AVC18" s="41"/>
      <c r="AVD18" s="41"/>
      <c r="AVE18" s="41"/>
      <c r="AVF18" s="41"/>
      <c r="AVG18" s="41"/>
      <c r="AVH18" s="41"/>
      <c r="AVI18" s="41"/>
      <c r="AVJ18" s="41"/>
      <c r="AVK18" s="41"/>
      <c r="AVL18" s="41"/>
      <c r="AVM18" s="41"/>
      <c r="AVN18" s="41"/>
      <c r="AVO18" s="41"/>
      <c r="AVP18" s="41"/>
      <c r="AVQ18" s="41"/>
      <c r="AVR18" s="41"/>
      <c r="AVS18" s="41"/>
      <c r="AVT18" s="41"/>
      <c r="AVU18" s="41"/>
      <c r="AVV18" s="41"/>
      <c r="AVW18" s="41"/>
      <c r="AVX18" s="41"/>
      <c r="AVY18" s="41"/>
      <c r="AVZ18" s="41"/>
      <c r="AWA18" s="41"/>
      <c r="AWB18" s="41"/>
      <c r="AWC18" s="41"/>
      <c r="AWD18" s="41"/>
      <c r="AWE18" s="41"/>
      <c r="AWF18" s="41"/>
      <c r="AWG18" s="41"/>
      <c r="AWH18" s="41"/>
      <c r="AWI18" s="41"/>
      <c r="AWJ18" s="41"/>
      <c r="AWK18" s="41"/>
      <c r="AWL18" s="41"/>
      <c r="AWM18" s="41"/>
      <c r="AWN18" s="41"/>
      <c r="AWO18" s="41"/>
      <c r="AWP18" s="41"/>
      <c r="AWQ18" s="41"/>
      <c r="AWR18" s="41"/>
      <c r="AWS18" s="41"/>
      <c r="AWT18" s="41"/>
      <c r="AWU18" s="41"/>
      <c r="AWV18" s="41"/>
      <c r="AWW18" s="41"/>
      <c r="AWX18" s="41"/>
      <c r="AWY18" s="41"/>
      <c r="AWZ18" s="41"/>
      <c r="AXA18" s="41"/>
      <c r="AXB18" s="41"/>
      <c r="AXC18" s="41"/>
      <c r="AXD18" s="41"/>
      <c r="AXE18" s="41"/>
      <c r="AXF18" s="41"/>
      <c r="AXG18" s="41"/>
      <c r="AXH18" s="41"/>
      <c r="AXI18" s="41"/>
      <c r="AXJ18" s="41"/>
      <c r="AXK18" s="41"/>
      <c r="AXL18" s="41"/>
      <c r="AXM18" s="41"/>
      <c r="AXN18" s="41"/>
      <c r="AXO18" s="41"/>
      <c r="AXP18" s="41"/>
      <c r="AXQ18" s="41"/>
      <c r="AXR18" s="41"/>
      <c r="AXS18" s="41"/>
      <c r="AXT18" s="41"/>
      <c r="AXU18" s="41"/>
      <c r="AXV18" s="41"/>
      <c r="AXW18" s="41"/>
      <c r="AXX18" s="41"/>
      <c r="AXY18" s="41"/>
      <c r="AXZ18" s="41"/>
      <c r="AYA18" s="41"/>
      <c r="AYB18" s="41"/>
      <c r="AYC18" s="41"/>
      <c r="AYD18" s="41"/>
      <c r="AYE18" s="41"/>
      <c r="AYF18" s="41"/>
      <c r="AYG18" s="41"/>
      <c r="AYH18" s="41"/>
      <c r="AYI18" s="41"/>
      <c r="AYJ18" s="41"/>
      <c r="AYK18" s="41"/>
      <c r="AYL18" s="41"/>
      <c r="AYM18" s="41"/>
      <c r="AYN18" s="41"/>
      <c r="AYO18" s="41"/>
      <c r="AYP18" s="41"/>
      <c r="AYQ18" s="41"/>
      <c r="AYR18" s="41"/>
      <c r="AYS18" s="41"/>
      <c r="AYT18" s="41"/>
      <c r="AYU18" s="41"/>
      <c r="AYV18" s="41"/>
      <c r="AYW18" s="41"/>
      <c r="AYX18" s="41"/>
      <c r="AYY18" s="41"/>
      <c r="AYZ18" s="41"/>
      <c r="AZA18" s="41"/>
      <c r="AZB18" s="41"/>
      <c r="AZC18" s="41"/>
      <c r="AZD18" s="41"/>
      <c r="AZE18" s="41"/>
      <c r="AZF18" s="41"/>
      <c r="AZG18" s="41"/>
      <c r="AZH18" s="41"/>
      <c r="AZI18" s="41"/>
      <c r="AZJ18" s="41"/>
      <c r="AZK18" s="41"/>
      <c r="AZL18" s="41"/>
      <c r="AZM18" s="41"/>
      <c r="AZN18" s="41"/>
      <c r="AZO18" s="41"/>
      <c r="AZP18" s="41"/>
      <c r="AZQ18" s="41"/>
      <c r="AZR18" s="41"/>
      <c r="AZS18" s="41"/>
      <c r="AZT18" s="41"/>
      <c r="AZU18" s="41"/>
      <c r="AZV18" s="41"/>
      <c r="AZW18" s="41"/>
      <c r="AZX18" s="41"/>
      <c r="AZY18" s="41"/>
      <c r="AZZ18" s="41"/>
      <c r="BAA18" s="41"/>
      <c r="BAB18" s="41"/>
      <c r="BAC18" s="41"/>
      <c r="BAD18" s="41"/>
      <c r="BAE18" s="41"/>
      <c r="BAF18" s="41"/>
      <c r="BAG18" s="41"/>
      <c r="BAH18" s="41"/>
      <c r="BAI18" s="41"/>
      <c r="BAJ18" s="41"/>
      <c r="BAK18" s="41"/>
      <c r="BAL18" s="41"/>
      <c r="BAM18" s="41"/>
      <c r="BAN18" s="41"/>
      <c r="BAO18" s="41"/>
      <c r="BAP18" s="41"/>
      <c r="BAQ18" s="41"/>
      <c r="BAR18" s="41"/>
      <c r="BAS18" s="41"/>
      <c r="BAT18" s="41"/>
      <c r="BAU18" s="41"/>
      <c r="BAV18" s="41"/>
      <c r="BAW18" s="41"/>
      <c r="BAX18" s="41"/>
      <c r="BAY18" s="41"/>
      <c r="BAZ18" s="41"/>
      <c r="BBA18" s="41"/>
      <c r="BBB18" s="41"/>
      <c r="BBC18" s="41"/>
      <c r="BBD18" s="41"/>
      <c r="BBE18" s="41"/>
      <c r="BBF18" s="41"/>
      <c r="BBG18" s="41"/>
      <c r="BBH18" s="41"/>
      <c r="BBI18" s="41"/>
      <c r="BBJ18" s="41"/>
      <c r="BBK18" s="41"/>
      <c r="BBL18" s="41"/>
      <c r="BBM18" s="41"/>
      <c r="BBN18" s="41"/>
      <c r="BBO18" s="41"/>
      <c r="BBP18" s="41"/>
      <c r="BBQ18" s="41"/>
      <c r="BBR18" s="41"/>
      <c r="BBS18" s="41"/>
      <c r="BBT18" s="41"/>
      <c r="BBU18" s="41"/>
      <c r="BBV18" s="41"/>
      <c r="BBW18" s="41"/>
      <c r="BBX18" s="41"/>
      <c r="BBY18" s="41"/>
      <c r="BBZ18" s="41"/>
      <c r="BCA18" s="41"/>
      <c r="BCB18" s="41"/>
      <c r="BCC18" s="41"/>
      <c r="BCD18" s="41"/>
      <c r="BCE18" s="41"/>
      <c r="BCF18" s="41"/>
      <c r="BCG18" s="41"/>
      <c r="BCH18" s="41"/>
      <c r="BCI18" s="41"/>
      <c r="BCJ18" s="41"/>
      <c r="BCK18" s="41"/>
      <c r="BCL18" s="41"/>
      <c r="BCM18" s="41"/>
      <c r="BCN18" s="41"/>
      <c r="BCO18" s="41"/>
      <c r="BCP18" s="41"/>
      <c r="BCQ18" s="41"/>
      <c r="BCR18" s="41"/>
      <c r="BCS18" s="41"/>
      <c r="BCT18" s="41"/>
      <c r="BCU18" s="41"/>
      <c r="BCV18" s="41"/>
      <c r="BCW18" s="41"/>
      <c r="BCX18" s="41"/>
      <c r="BCY18" s="41"/>
      <c r="BCZ18" s="41"/>
      <c r="BDA18" s="41"/>
      <c r="BDB18" s="41"/>
      <c r="BDC18" s="41"/>
      <c r="BDD18" s="41"/>
      <c r="BDE18" s="41"/>
      <c r="BDF18" s="41"/>
      <c r="BDG18" s="41"/>
      <c r="BDH18" s="41"/>
      <c r="BDI18" s="41"/>
      <c r="BDJ18" s="41"/>
      <c r="BDK18" s="41"/>
      <c r="BDL18" s="41"/>
      <c r="BDM18" s="41"/>
      <c r="BDN18" s="41"/>
      <c r="BDO18" s="41"/>
      <c r="BDP18" s="41"/>
      <c r="BDQ18" s="41"/>
      <c r="BDR18" s="41"/>
      <c r="BDS18" s="41"/>
      <c r="BDT18" s="41"/>
      <c r="BDU18" s="41"/>
      <c r="BDV18" s="41"/>
      <c r="BDW18" s="41"/>
      <c r="BDX18" s="41"/>
      <c r="BDY18" s="41"/>
      <c r="BDZ18" s="41"/>
      <c r="BEA18" s="41"/>
      <c r="BEB18" s="41"/>
      <c r="BEC18" s="41"/>
      <c r="BED18" s="41"/>
      <c r="BEE18" s="41"/>
      <c r="BEF18" s="41"/>
      <c r="BEG18" s="41"/>
      <c r="BEH18" s="41"/>
      <c r="BEI18" s="41"/>
      <c r="BEJ18" s="41"/>
      <c r="BEK18" s="41"/>
      <c r="BEL18" s="41"/>
      <c r="BEM18" s="41"/>
      <c r="BEN18" s="41"/>
      <c r="BEO18" s="41"/>
      <c r="BEP18" s="41"/>
      <c r="BEQ18" s="41"/>
      <c r="BER18" s="41"/>
      <c r="BES18" s="41"/>
      <c r="BET18" s="41"/>
      <c r="BEU18" s="41"/>
      <c r="BEV18" s="41"/>
      <c r="BEW18" s="41"/>
      <c r="BEX18" s="41"/>
      <c r="BEY18" s="41"/>
      <c r="BEZ18" s="41"/>
      <c r="BFA18" s="41"/>
      <c r="BFB18" s="41"/>
      <c r="BFC18" s="41"/>
      <c r="BFD18" s="41"/>
      <c r="BFE18" s="41"/>
      <c r="BFF18" s="41"/>
      <c r="BFG18" s="41"/>
      <c r="BFH18" s="41"/>
      <c r="BFI18" s="41"/>
      <c r="BFJ18" s="41"/>
      <c r="BFK18" s="41"/>
      <c r="BFL18" s="41"/>
      <c r="BFM18" s="41"/>
      <c r="BFN18" s="41"/>
      <c r="BFO18" s="41"/>
      <c r="BFP18" s="41"/>
      <c r="BFQ18" s="41"/>
      <c r="BFR18" s="41"/>
      <c r="BFS18" s="41"/>
      <c r="BFT18" s="41"/>
      <c r="BFU18" s="41"/>
      <c r="BFV18" s="41"/>
      <c r="BFW18" s="41"/>
      <c r="BFX18" s="41"/>
      <c r="BFY18" s="41"/>
      <c r="BFZ18" s="41"/>
      <c r="BGA18" s="41"/>
      <c r="BGB18" s="41"/>
      <c r="BGC18" s="41"/>
      <c r="BGD18" s="41"/>
      <c r="BGE18" s="41"/>
      <c r="BGF18" s="41"/>
      <c r="BGG18" s="41"/>
      <c r="BGH18" s="41"/>
      <c r="BGI18" s="41"/>
      <c r="BGJ18" s="41"/>
      <c r="BGK18" s="41"/>
      <c r="BGL18" s="41"/>
      <c r="BGM18" s="41"/>
      <c r="BGN18" s="41"/>
      <c r="BGO18" s="41"/>
      <c r="BGP18" s="41"/>
      <c r="BGQ18" s="41"/>
      <c r="BGR18" s="41"/>
      <c r="BGS18" s="41"/>
      <c r="BGT18" s="41"/>
      <c r="BGU18" s="41"/>
      <c r="BGV18" s="41"/>
      <c r="BGW18" s="41"/>
      <c r="BGX18" s="41"/>
      <c r="BGY18" s="41"/>
      <c r="BGZ18" s="41"/>
      <c r="BHA18" s="41"/>
      <c r="BHB18" s="41"/>
      <c r="BHC18" s="41"/>
      <c r="BHD18" s="41"/>
      <c r="BHE18" s="41"/>
      <c r="BHF18" s="41"/>
      <c r="BHG18" s="41"/>
      <c r="BHH18" s="41"/>
      <c r="BHI18" s="41"/>
      <c r="BHJ18" s="41"/>
      <c r="BHK18" s="41"/>
      <c r="BHL18" s="41"/>
      <c r="BHM18" s="41"/>
      <c r="BHN18" s="41"/>
      <c r="BHO18" s="41"/>
      <c r="BHP18" s="41"/>
      <c r="BHQ18" s="41"/>
      <c r="BHR18" s="41"/>
      <c r="BHS18" s="41"/>
      <c r="BHT18" s="41"/>
      <c r="BHU18" s="41"/>
      <c r="BHV18" s="41"/>
      <c r="BHW18" s="41"/>
      <c r="BHX18" s="41"/>
      <c r="BHY18" s="41"/>
      <c r="BHZ18" s="41"/>
      <c r="BIA18" s="41"/>
      <c r="BIB18" s="41"/>
      <c r="BIC18" s="41"/>
      <c r="BID18" s="41"/>
      <c r="BIE18" s="41"/>
      <c r="BIF18" s="41"/>
      <c r="BIG18" s="41"/>
      <c r="BIH18" s="41"/>
      <c r="BII18" s="41"/>
      <c r="BIJ18" s="41"/>
      <c r="BIK18" s="41"/>
      <c r="BIL18" s="41"/>
      <c r="BIM18" s="41"/>
      <c r="BIN18" s="41"/>
      <c r="BIO18" s="41"/>
      <c r="BIP18" s="41"/>
      <c r="BIQ18" s="41"/>
      <c r="BIR18" s="41"/>
      <c r="BIS18" s="41"/>
      <c r="BIT18" s="41"/>
      <c r="BIU18" s="41"/>
      <c r="BIV18" s="41"/>
      <c r="BIW18" s="41"/>
      <c r="BIX18" s="41"/>
      <c r="BIY18" s="41"/>
      <c r="BIZ18" s="41"/>
      <c r="BJA18" s="41"/>
      <c r="BJB18" s="41"/>
      <c r="BJC18" s="41"/>
      <c r="BJD18" s="41"/>
      <c r="BJE18" s="41"/>
      <c r="BJF18" s="41"/>
      <c r="BJG18" s="41"/>
      <c r="BJH18" s="41"/>
      <c r="BJI18" s="41"/>
      <c r="BJJ18" s="41"/>
      <c r="BJK18" s="41"/>
      <c r="BJL18" s="41"/>
      <c r="BJM18" s="41"/>
      <c r="BJN18" s="41"/>
      <c r="BJO18" s="41"/>
      <c r="BJP18" s="41"/>
      <c r="BJQ18" s="41"/>
      <c r="BJR18" s="41"/>
      <c r="BJS18" s="41"/>
      <c r="BJT18" s="41"/>
      <c r="BJU18" s="41"/>
      <c r="BJV18" s="41"/>
      <c r="BJW18" s="41"/>
      <c r="BJX18" s="41"/>
      <c r="BJY18" s="41"/>
      <c r="BJZ18" s="41"/>
      <c r="BKA18" s="41"/>
      <c r="BKB18" s="41"/>
      <c r="BKC18" s="41"/>
      <c r="BKD18" s="41"/>
      <c r="BKE18" s="41"/>
      <c r="BKF18" s="41"/>
      <c r="BKG18" s="41"/>
      <c r="BKH18" s="41"/>
      <c r="BKI18" s="41"/>
      <c r="BKJ18" s="41"/>
      <c r="BKK18" s="41"/>
      <c r="BKL18" s="41"/>
      <c r="BKM18" s="41"/>
      <c r="BKN18" s="41"/>
      <c r="BKO18" s="41"/>
      <c r="BKP18" s="41"/>
      <c r="BKQ18" s="41"/>
      <c r="BKR18" s="41"/>
      <c r="BKS18" s="41"/>
      <c r="BKT18" s="41"/>
      <c r="BKU18" s="41"/>
      <c r="BKV18" s="41"/>
      <c r="BKW18" s="41"/>
      <c r="BKX18" s="41"/>
      <c r="BKY18" s="41"/>
      <c r="BKZ18" s="41"/>
      <c r="BLA18" s="41"/>
      <c r="BLB18" s="41"/>
      <c r="BLC18" s="41"/>
      <c r="BLD18" s="41"/>
      <c r="BLE18" s="41"/>
      <c r="BLF18" s="41"/>
      <c r="BLG18" s="41"/>
      <c r="BLH18" s="41"/>
      <c r="BLI18" s="41"/>
      <c r="BLJ18" s="41"/>
      <c r="BLK18" s="41"/>
      <c r="BLL18" s="41"/>
      <c r="BLM18" s="41"/>
      <c r="BLN18" s="41"/>
      <c r="BLO18" s="41"/>
      <c r="BLP18" s="41"/>
      <c r="BLQ18" s="41"/>
      <c r="BLR18" s="41"/>
      <c r="BLS18" s="41"/>
      <c r="BLT18" s="41"/>
      <c r="BLU18" s="41"/>
      <c r="BLV18" s="41"/>
      <c r="BLW18" s="41"/>
      <c r="BLX18" s="41"/>
      <c r="BLY18" s="41"/>
      <c r="BLZ18" s="41"/>
      <c r="BMA18" s="41"/>
      <c r="BMB18" s="41"/>
      <c r="BMC18" s="41"/>
      <c r="BMD18" s="41"/>
      <c r="BME18" s="41"/>
      <c r="BMF18" s="41"/>
      <c r="BMG18" s="41"/>
      <c r="BMH18" s="41"/>
      <c r="BMI18" s="41"/>
      <c r="BMJ18" s="41"/>
      <c r="BMK18" s="41"/>
      <c r="BML18" s="41"/>
      <c r="BMM18" s="41"/>
      <c r="BMN18" s="41"/>
      <c r="BMO18" s="41"/>
      <c r="BMP18" s="41"/>
      <c r="BMQ18" s="41"/>
      <c r="BMR18" s="41"/>
      <c r="BMS18" s="41"/>
      <c r="BMT18" s="41"/>
      <c r="BMU18" s="41"/>
      <c r="BMV18" s="41"/>
      <c r="BMW18" s="41"/>
      <c r="BMX18" s="41"/>
      <c r="BMY18" s="41"/>
      <c r="BMZ18" s="41"/>
      <c r="BNA18" s="41"/>
      <c r="BNB18" s="41"/>
      <c r="BNC18" s="41"/>
      <c r="BND18" s="41"/>
      <c r="BNE18" s="41"/>
      <c r="BNF18" s="41"/>
      <c r="BNG18" s="41"/>
      <c r="BNH18" s="41"/>
      <c r="BNI18" s="41"/>
      <c r="BNJ18" s="41"/>
      <c r="BNK18" s="41"/>
      <c r="BNL18" s="41"/>
      <c r="BNM18" s="41"/>
      <c r="BNN18" s="41"/>
      <c r="BNO18" s="41"/>
      <c r="BNP18" s="41"/>
      <c r="BNQ18" s="41"/>
      <c r="BNR18" s="41"/>
      <c r="BNS18" s="41"/>
      <c r="BNT18" s="41"/>
      <c r="BNU18" s="41"/>
      <c r="BNV18" s="41"/>
      <c r="BNW18" s="41"/>
      <c r="BNX18" s="41"/>
      <c r="BNY18" s="41"/>
      <c r="BNZ18" s="41"/>
      <c r="BOA18" s="41"/>
      <c r="BOB18" s="41"/>
      <c r="BOC18" s="41"/>
      <c r="BOD18" s="41"/>
      <c r="BOE18" s="41"/>
      <c r="BOF18" s="41"/>
      <c r="BOG18" s="41"/>
      <c r="BOH18" s="41"/>
      <c r="BOI18" s="41"/>
      <c r="BOJ18" s="41"/>
      <c r="BOK18" s="41"/>
      <c r="BOL18" s="41"/>
      <c r="BOM18" s="41"/>
      <c r="BON18" s="41"/>
      <c r="BOO18" s="41"/>
      <c r="BOP18" s="41"/>
      <c r="BOQ18" s="41"/>
      <c r="BOR18" s="41"/>
      <c r="BOS18" s="41"/>
      <c r="BOT18" s="41"/>
      <c r="BOU18" s="41"/>
      <c r="BOV18" s="41"/>
      <c r="BOW18" s="41"/>
      <c r="BOX18" s="41"/>
      <c r="BOY18" s="41"/>
      <c r="BOZ18" s="41"/>
      <c r="BPA18" s="41"/>
      <c r="BPB18" s="41"/>
      <c r="BPC18" s="41"/>
      <c r="BPD18" s="41"/>
      <c r="BPE18" s="41"/>
      <c r="BPF18" s="41"/>
      <c r="BPG18" s="41"/>
      <c r="BPH18" s="41"/>
      <c r="BPI18" s="41"/>
      <c r="BPJ18" s="41"/>
      <c r="BPK18" s="41"/>
      <c r="BPL18" s="41"/>
      <c r="BPM18" s="41"/>
      <c r="BPN18" s="41"/>
      <c r="BPO18" s="41"/>
      <c r="BPP18" s="41"/>
      <c r="BPQ18" s="41"/>
      <c r="BPR18" s="41"/>
      <c r="BPS18" s="41"/>
      <c r="BPT18" s="41"/>
      <c r="BPU18" s="41"/>
      <c r="BPV18" s="41"/>
      <c r="BPW18" s="41"/>
      <c r="BPX18" s="41"/>
      <c r="BPY18" s="41"/>
      <c r="BPZ18" s="41"/>
      <c r="BQA18" s="41"/>
      <c r="BQB18" s="41"/>
      <c r="BQC18" s="41"/>
      <c r="BQD18" s="41"/>
      <c r="BQE18" s="41"/>
      <c r="BQF18" s="41"/>
      <c r="BQG18" s="41"/>
      <c r="BQH18" s="41"/>
      <c r="BQI18" s="41"/>
      <c r="BQJ18" s="41"/>
      <c r="BQK18" s="41"/>
      <c r="BQL18" s="41"/>
      <c r="BQM18" s="41"/>
      <c r="BQN18" s="41"/>
      <c r="BQO18" s="41"/>
      <c r="BQP18" s="41"/>
      <c r="BQQ18" s="41"/>
      <c r="BQR18" s="41"/>
      <c r="BQS18" s="41"/>
      <c r="BQT18" s="41"/>
      <c r="BQU18" s="41"/>
      <c r="BQV18" s="41"/>
      <c r="BQW18" s="41"/>
      <c r="BQX18" s="41"/>
      <c r="BQY18" s="41"/>
      <c r="BQZ18" s="41"/>
      <c r="BRA18" s="41"/>
      <c r="BRB18" s="41"/>
      <c r="BRC18" s="41"/>
      <c r="BRD18" s="41"/>
      <c r="BRE18" s="41"/>
      <c r="BRF18" s="41"/>
      <c r="BRG18" s="41"/>
      <c r="BRH18" s="41"/>
      <c r="BRI18" s="41"/>
      <c r="BRJ18" s="41"/>
      <c r="BRK18" s="41"/>
      <c r="BRL18" s="41"/>
      <c r="BRM18" s="41"/>
      <c r="BRN18" s="41"/>
      <c r="BRO18" s="41"/>
      <c r="BRP18" s="41"/>
      <c r="BRQ18" s="41"/>
      <c r="BRR18" s="41"/>
      <c r="BRS18" s="41"/>
      <c r="BRT18" s="41"/>
      <c r="BRU18" s="41"/>
      <c r="BRV18" s="41"/>
      <c r="BRW18" s="41"/>
      <c r="BRX18" s="41"/>
      <c r="BRY18" s="41"/>
      <c r="BRZ18" s="41"/>
      <c r="BSA18" s="41"/>
      <c r="BSB18" s="41"/>
      <c r="BSC18" s="41"/>
      <c r="BSD18" s="41"/>
      <c r="BSE18" s="41"/>
      <c r="BSF18" s="41"/>
      <c r="BSG18" s="41"/>
      <c r="BSH18" s="41"/>
      <c r="BSI18" s="41"/>
      <c r="BSJ18" s="41"/>
      <c r="BSK18" s="41"/>
      <c r="BSL18" s="41"/>
      <c r="BSM18" s="41"/>
      <c r="BSN18" s="41"/>
      <c r="BSO18" s="41"/>
      <c r="BSP18" s="41"/>
      <c r="BSQ18" s="41"/>
      <c r="BSR18" s="41"/>
      <c r="BSS18" s="41"/>
      <c r="BST18" s="41"/>
      <c r="BSU18" s="41"/>
      <c r="BSV18" s="41"/>
      <c r="BSW18" s="41"/>
      <c r="BSX18" s="41"/>
      <c r="BSY18" s="41"/>
      <c r="BSZ18" s="41"/>
      <c r="BTA18" s="41"/>
      <c r="BTB18" s="41"/>
      <c r="BTC18" s="41"/>
      <c r="BTD18" s="41"/>
      <c r="BTE18" s="41"/>
      <c r="BTF18" s="41"/>
      <c r="BTG18" s="41"/>
      <c r="BTH18" s="41"/>
      <c r="BTI18" s="41"/>
      <c r="BTJ18" s="41"/>
      <c r="BTK18" s="41"/>
      <c r="BTL18" s="41"/>
      <c r="BTM18" s="41"/>
      <c r="BTN18" s="41"/>
      <c r="BTO18" s="41"/>
      <c r="BTP18" s="41"/>
      <c r="BTQ18" s="41"/>
      <c r="BTR18" s="41"/>
      <c r="BTS18" s="41"/>
      <c r="BTT18" s="41"/>
      <c r="BTU18" s="41"/>
      <c r="BTV18" s="41"/>
      <c r="BTW18" s="41"/>
      <c r="BTX18" s="41"/>
      <c r="BTY18" s="41"/>
      <c r="BTZ18" s="41"/>
      <c r="BUA18" s="41"/>
      <c r="BUB18" s="41"/>
      <c r="BUC18" s="41"/>
      <c r="BUD18" s="41"/>
      <c r="BUE18" s="41"/>
      <c r="BUF18" s="41"/>
      <c r="BUG18" s="41"/>
      <c r="BUH18" s="41"/>
      <c r="BUI18" s="41"/>
      <c r="BUJ18" s="41"/>
      <c r="BUK18" s="41"/>
      <c r="BUL18" s="41"/>
      <c r="BUM18" s="41"/>
      <c r="BUN18" s="41"/>
      <c r="BUO18" s="41"/>
      <c r="BUP18" s="41"/>
      <c r="BUQ18" s="41"/>
      <c r="BUR18" s="41"/>
      <c r="BUS18" s="41"/>
      <c r="BUT18" s="41"/>
      <c r="BUU18" s="41"/>
      <c r="BUV18" s="41"/>
      <c r="BUW18" s="41"/>
      <c r="BUX18" s="41"/>
      <c r="BUY18" s="41"/>
      <c r="BUZ18" s="41"/>
      <c r="BVA18" s="41"/>
      <c r="BVB18" s="41"/>
      <c r="BVC18" s="41"/>
      <c r="BVD18" s="41"/>
      <c r="BVE18" s="41"/>
      <c r="BVF18" s="41"/>
      <c r="BVG18" s="41"/>
      <c r="BVH18" s="41"/>
      <c r="BVI18" s="41"/>
      <c r="BVJ18" s="41"/>
      <c r="BVK18" s="41"/>
      <c r="BVL18" s="41"/>
      <c r="BVM18" s="41"/>
      <c r="BVN18" s="41"/>
      <c r="BVO18" s="41"/>
      <c r="BVP18" s="41"/>
      <c r="BVQ18" s="41"/>
      <c r="BVR18" s="41"/>
      <c r="BVS18" s="41"/>
      <c r="BVT18" s="41"/>
      <c r="BVU18" s="41"/>
      <c r="BVV18" s="41"/>
      <c r="BVW18" s="41"/>
      <c r="BVX18" s="41"/>
      <c r="BVY18" s="41"/>
      <c r="BVZ18" s="41"/>
      <c r="BWA18" s="41"/>
      <c r="BWB18" s="41"/>
      <c r="BWC18" s="41"/>
      <c r="BWD18" s="41"/>
      <c r="BWE18" s="41"/>
      <c r="BWF18" s="41"/>
      <c r="BWG18" s="41"/>
      <c r="BWH18" s="41"/>
      <c r="BWI18" s="41"/>
      <c r="BWJ18" s="41"/>
      <c r="BWK18" s="41"/>
      <c r="BWL18" s="41"/>
      <c r="BWM18" s="41"/>
      <c r="BWN18" s="41"/>
      <c r="BWO18" s="41"/>
      <c r="BWP18" s="41"/>
      <c r="BWQ18" s="41"/>
      <c r="BWR18" s="41"/>
      <c r="BWS18" s="41"/>
      <c r="BWT18" s="41"/>
      <c r="BWU18" s="41"/>
      <c r="BWV18" s="41"/>
      <c r="BWW18" s="41"/>
      <c r="BWX18" s="41"/>
      <c r="BWY18" s="41"/>
      <c r="BWZ18" s="41"/>
      <c r="BXA18" s="41"/>
      <c r="BXB18" s="41"/>
      <c r="BXC18" s="41"/>
      <c r="BXD18" s="41"/>
      <c r="BXE18" s="41"/>
      <c r="BXF18" s="41"/>
      <c r="BXG18" s="41"/>
      <c r="BXH18" s="41"/>
      <c r="BXI18" s="41"/>
      <c r="BXJ18" s="41"/>
      <c r="BXK18" s="41"/>
      <c r="BXL18" s="41"/>
      <c r="BXM18" s="41"/>
      <c r="BXN18" s="41"/>
      <c r="BXO18" s="41"/>
      <c r="BXP18" s="41"/>
      <c r="BXQ18" s="41"/>
      <c r="BXR18" s="41"/>
      <c r="BXS18" s="41"/>
      <c r="BXT18" s="41"/>
      <c r="BXU18" s="41"/>
      <c r="BXV18" s="41"/>
      <c r="BXW18" s="41"/>
      <c r="BXX18" s="41"/>
      <c r="BXY18" s="41"/>
      <c r="BXZ18" s="41"/>
      <c r="BYA18" s="41"/>
      <c r="BYB18" s="41"/>
      <c r="BYC18" s="41"/>
      <c r="BYD18" s="41"/>
      <c r="BYE18" s="41"/>
      <c r="BYF18" s="41"/>
      <c r="BYG18" s="41"/>
      <c r="BYH18" s="41"/>
      <c r="BYI18" s="41"/>
      <c r="BYJ18" s="41"/>
      <c r="BYK18" s="41"/>
      <c r="BYL18" s="41"/>
      <c r="BYM18" s="41"/>
      <c r="BYN18" s="41"/>
      <c r="BYO18" s="41"/>
      <c r="BYP18" s="41"/>
      <c r="BYQ18" s="41"/>
      <c r="BYR18" s="41"/>
      <c r="BYS18" s="41"/>
      <c r="BYT18" s="41"/>
      <c r="BYU18" s="41"/>
      <c r="BYV18" s="41"/>
      <c r="BYW18" s="41"/>
      <c r="BYX18" s="41"/>
      <c r="BYY18" s="41"/>
      <c r="BYZ18" s="41"/>
      <c r="BZA18" s="41"/>
      <c r="BZB18" s="41"/>
      <c r="BZC18" s="41"/>
      <c r="BZD18" s="41"/>
      <c r="BZE18" s="41"/>
      <c r="BZF18" s="41"/>
      <c r="BZG18" s="41"/>
      <c r="BZH18" s="41"/>
      <c r="BZI18" s="41"/>
      <c r="BZJ18" s="41"/>
      <c r="BZK18" s="41"/>
      <c r="BZL18" s="41"/>
      <c r="BZM18" s="41"/>
      <c r="BZN18" s="41"/>
      <c r="BZO18" s="41"/>
      <c r="BZP18" s="41"/>
      <c r="BZQ18" s="41"/>
      <c r="BZR18" s="41"/>
      <c r="BZS18" s="41"/>
      <c r="BZT18" s="41"/>
      <c r="BZU18" s="41"/>
      <c r="BZV18" s="41"/>
      <c r="BZW18" s="41"/>
      <c r="BZX18" s="41"/>
      <c r="BZY18" s="41"/>
      <c r="BZZ18" s="41"/>
      <c r="CAA18" s="41"/>
      <c r="CAB18" s="41"/>
      <c r="CAC18" s="41"/>
      <c r="CAD18" s="41"/>
      <c r="CAE18" s="41"/>
      <c r="CAF18" s="41"/>
      <c r="CAG18" s="41"/>
      <c r="CAH18" s="41"/>
      <c r="CAI18" s="41"/>
      <c r="CAJ18" s="41"/>
      <c r="CAK18" s="41"/>
      <c r="CAL18" s="41"/>
      <c r="CAM18" s="41"/>
      <c r="CAN18" s="41"/>
      <c r="CAO18" s="41"/>
      <c r="CAP18" s="41"/>
      <c r="CAQ18" s="41"/>
      <c r="CAR18" s="41"/>
      <c r="CAS18" s="41"/>
      <c r="CAT18" s="41"/>
      <c r="CAU18" s="41"/>
      <c r="CAV18" s="41"/>
      <c r="CAW18" s="41"/>
      <c r="CAX18" s="41"/>
      <c r="CAY18" s="41"/>
      <c r="CAZ18" s="41"/>
      <c r="CBA18" s="41"/>
      <c r="CBB18" s="41"/>
      <c r="CBC18" s="41"/>
      <c r="CBD18" s="41"/>
      <c r="CBE18" s="41"/>
      <c r="CBF18" s="41"/>
      <c r="CBG18" s="41"/>
      <c r="CBH18" s="41"/>
      <c r="CBI18" s="41"/>
      <c r="CBJ18" s="41"/>
      <c r="CBK18" s="41"/>
      <c r="CBL18" s="41"/>
      <c r="CBM18" s="41"/>
      <c r="CBN18" s="41"/>
      <c r="CBO18" s="41"/>
      <c r="CBP18" s="41"/>
      <c r="CBQ18" s="41"/>
      <c r="CBR18" s="41"/>
      <c r="CBS18" s="41"/>
      <c r="CBT18" s="41"/>
      <c r="CBU18" s="41"/>
      <c r="CBV18" s="41"/>
      <c r="CBW18" s="41"/>
      <c r="CBX18" s="41"/>
      <c r="CBY18" s="41"/>
      <c r="CBZ18" s="41"/>
      <c r="CCA18" s="41"/>
      <c r="CCB18" s="41"/>
      <c r="CCC18" s="41"/>
      <c r="CCD18" s="41"/>
      <c r="CCE18" s="41"/>
      <c r="CCF18" s="41"/>
      <c r="CCG18" s="41"/>
      <c r="CCH18" s="41"/>
      <c r="CCI18" s="41"/>
      <c r="CCJ18" s="41"/>
      <c r="CCK18" s="41"/>
      <c r="CCL18" s="41"/>
      <c r="CCM18" s="41"/>
      <c r="CCN18" s="41"/>
      <c r="CCO18" s="41"/>
      <c r="CCP18" s="41"/>
      <c r="CCQ18" s="41"/>
      <c r="CCR18" s="41"/>
      <c r="CCS18" s="41"/>
      <c r="CCT18" s="41"/>
      <c r="CCU18" s="41"/>
      <c r="CCV18" s="41"/>
      <c r="CCW18" s="41"/>
      <c r="CCX18" s="41"/>
      <c r="CCY18" s="41"/>
      <c r="CCZ18" s="41"/>
      <c r="CDA18" s="41"/>
      <c r="CDB18" s="41"/>
      <c r="CDC18" s="41"/>
      <c r="CDD18" s="41"/>
      <c r="CDE18" s="41"/>
      <c r="CDF18" s="41"/>
      <c r="CDG18" s="41"/>
      <c r="CDH18" s="41"/>
      <c r="CDI18" s="41"/>
      <c r="CDJ18" s="41"/>
      <c r="CDK18" s="41"/>
      <c r="CDL18" s="41"/>
      <c r="CDM18" s="41"/>
      <c r="CDN18" s="41"/>
      <c r="CDO18" s="41"/>
      <c r="CDP18" s="41"/>
      <c r="CDQ18" s="41"/>
      <c r="CDR18" s="41"/>
      <c r="CDS18" s="41"/>
      <c r="CDT18" s="41"/>
      <c r="CDU18" s="41"/>
      <c r="CDV18" s="41"/>
      <c r="CDW18" s="41"/>
      <c r="CDX18" s="41"/>
      <c r="CDY18" s="41"/>
      <c r="CDZ18" s="41"/>
      <c r="CEA18" s="41"/>
      <c r="CEB18" s="41"/>
      <c r="CEC18" s="41"/>
      <c r="CED18" s="41"/>
      <c r="CEE18" s="41"/>
      <c r="CEF18" s="41"/>
      <c r="CEG18" s="41"/>
      <c r="CEH18" s="41"/>
      <c r="CEI18" s="41"/>
      <c r="CEJ18" s="41"/>
      <c r="CEK18" s="41"/>
      <c r="CEL18" s="41"/>
      <c r="CEM18" s="41"/>
      <c r="CEN18" s="41"/>
      <c r="CEO18" s="41"/>
      <c r="CEP18" s="41"/>
      <c r="CEQ18" s="41"/>
      <c r="CER18" s="41"/>
      <c r="CES18" s="41"/>
      <c r="CET18" s="41"/>
      <c r="CEU18" s="41"/>
      <c r="CEV18" s="41"/>
      <c r="CEW18" s="41"/>
      <c r="CEX18" s="41"/>
      <c r="CEY18" s="41"/>
      <c r="CEZ18" s="41"/>
      <c r="CFA18" s="41"/>
      <c r="CFB18" s="41"/>
      <c r="CFC18" s="41"/>
      <c r="CFD18" s="41"/>
      <c r="CFE18" s="41"/>
      <c r="CFF18" s="41"/>
      <c r="CFG18" s="41"/>
      <c r="CFH18" s="41"/>
      <c r="CFI18" s="41"/>
      <c r="CFJ18" s="41"/>
      <c r="CFK18" s="41"/>
      <c r="CFL18" s="41"/>
      <c r="CFM18" s="41"/>
      <c r="CFN18" s="41"/>
      <c r="CFO18" s="41"/>
      <c r="CFP18" s="41"/>
      <c r="CFQ18" s="41"/>
      <c r="CFR18" s="41"/>
      <c r="CFS18" s="41"/>
      <c r="CFT18" s="41"/>
      <c r="CFU18" s="41"/>
      <c r="CFV18" s="41"/>
      <c r="CFW18" s="41"/>
      <c r="CFX18" s="41"/>
      <c r="CFY18" s="41"/>
      <c r="CFZ18" s="41"/>
      <c r="CGA18" s="41"/>
      <c r="CGB18" s="41"/>
      <c r="CGC18" s="41"/>
      <c r="CGD18" s="41"/>
      <c r="CGE18" s="41"/>
      <c r="CGF18" s="41"/>
      <c r="CGG18" s="41"/>
      <c r="CGH18" s="41"/>
      <c r="CGI18" s="41"/>
      <c r="CGJ18" s="41"/>
      <c r="CGK18" s="41"/>
      <c r="CGL18" s="41"/>
      <c r="CGM18" s="41"/>
      <c r="CGN18" s="41"/>
      <c r="CGO18" s="41"/>
      <c r="CGP18" s="41"/>
      <c r="CGQ18" s="41"/>
      <c r="CGR18" s="41"/>
      <c r="CGS18" s="41"/>
      <c r="CGT18" s="41"/>
      <c r="CGU18" s="41"/>
      <c r="CGV18" s="41"/>
      <c r="CGW18" s="41"/>
      <c r="CGX18" s="41"/>
      <c r="CGY18" s="41"/>
      <c r="CGZ18" s="41"/>
      <c r="CHA18" s="41"/>
      <c r="CHB18" s="41"/>
      <c r="CHC18" s="41"/>
      <c r="CHD18" s="41"/>
      <c r="CHE18" s="41"/>
      <c r="CHF18" s="41"/>
      <c r="CHG18" s="41"/>
      <c r="CHH18" s="41"/>
      <c r="CHI18" s="41"/>
      <c r="CHJ18" s="41"/>
      <c r="CHK18" s="41"/>
      <c r="CHL18" s="41"/>
      <c r="CHM18" s="41"/>
      <c r="CHN18" s="41"/>
      <c r="CHO18" s="41"/>
      <c r="CHP18" s="41"/>
      <c r="CHQ18" s="41"/>
      <c r="CHR18" s="41"/>
      <c r="CHS18" s="41"/>
      <c r="CHT18" s="41"/>
      <c r="CHU18" s="41"/>
      <c r="CHV18" s="41"/>
      <c r="CHW18" s="41"/>
      <c r="CHX18" s="41"/>
      <c r="CHY18" s="41"/>
      <c r="CHZ18" s="41"/>
      <c r="CIA18" s="41"/>
      <c r="CIB18" s="41"/>
      <c r="CIC18" s="41"/>
      <c r="CID18" s="41"/>
      <c r="CIE18" s="41"/>
      <c r="CIF18" s="41"/>
      <c r="CIG18" s="41"/>
      <c r="CIH18" s="41"/>
      <c r="CII18" s="41"/>
      <c r="CIJ18" s="41"/>
      <c r="CIK18" s="41"/>
      <c r="CIL18" s="41"/>
      <c r="CIM18" s="41"/>
      <c r="CIN18" s="41"/>
      <c r="CIO18" s="41"/>
      <c r="CIP18" s="41"/>
      <c r="CIQ18" s="41"/>
      <c r="CIR18" s="41"/>
      <c r="CIS18" s="41"/>
      <c r="CIT18" s="41"/>
      <c r="CIU18" s="41"/>
      <c r="CIV18" s="41"/>
      <c r="CIW18" s="41"/>
      <c r="CIX18" s="41"/>
      <c r="CIY18" s="41"/>
      <c r="CIZ18" s="41"/>
      <c r="CJA18" s="41"/>
      <c r="CJB18" s="41"/>
      <c r="CJC18" s="41"/>
      <c r="CJD18" s="41"/>
      <c r="CJE18" s="41"/>
      <c r="CJF18" s="41"/>
      <c r="CJG18" s="41"/>
      <c r="CJH18" s="41"/>
      <c r="CJI18" s="41"/>
      <c r="CJJ18" s="41"/>
      <c r="CJK18" s="41"/>
      <c r="CJL18" s="41"/>
      <c r="CJM18" s="41"/>
      <c r="CJN18" s="41"/>
      <c r="CJO18" s="41"/>
      <c r="CJP18" s="41"/>
      <c r="CJQ18" s="41"/>
      <c r="CJR18" s="41"/>
      <c r="CJS18" s="41"/>
      <c r="CJT18" s="41"/>
      <c r="CJU18" s="41"/>
      <c r="CJV18" s="41"/>
      <c r="CJW18" s="41"/>
      <c r="CJX18" s="41"/>
      <c r="CJY18" s="41"/>
      <c r="CJZ18" s="41"/>
      <c r="CKA18" s="41"/>
      <c r="CKB18" s="41"/>
      <c r="CKC18" s="41"/>
      <c r="CKD18" s="41"/>
      <c r="CKE18" s="41"/>
      <c r="CKF18" s="41"/>
      <c r="CKG18" s="41"/>
      <c r="CKH18" s="41"/>
      <c r="CKI18" s="41"/>
      <c r="CKJ18" s="41"/>
      <c r="CKK18" s="41"/>
      <c r="CKL18" s="41"/>
      <c r="CKM18" s="41"/>
      <c r="CKN18" s="41"/>
      <c r="CKO18" s="41"/>
      <c r="CKP18" s="41"/>
      <c r="CKQ18" s="41"/>
      <c r="CKR18" s="41"/>
      <c r="CKS18" s="41"/>
      <c r="CKT18" s="41"/>
      <c r="CKU18" s="41"/>
      <c r="CKV18" s="41"/>
      <c r="CKW18" s="41"/>
      <c r="CKX18" s="41"/>
      <c r="CKY18" s="41"/>
      <c r="CKZ18" s="41"/>
      <c r="CLA18" s="41"/>
      <c r="CLB18" s="41"/>
      <c r="CLC18" s="41"/>
      <c r="CLD18" s="41"/>
      <c r="CLE18" s="41"/>
      <c r="CLF18" s="41"/>
      <c r="CLG18" s="41"/>
      <c r="CLH18" s="41"/>
      <c r="CLI18" s="41"/>
      <c r="CLJ18" s="41"/>
      <c r="CLK18" s="41"/>
      <c r="CLL18" s="41"/>
      <c r="CLM18" s="41"/>
      <c r="CLN18" s="41"/>
      <c r="CLO18" s="41"/>
      <c r="CLP18" s="41"/>
      <c r="CLQ18" s="41"/>
      <c r="CLR18" s="41"/>
      <c r="CLS18" s="41"/>
      <c r="CLT18" s="41"/>
      <c r="CLU18" s="41"/>
      <c r="CLV18" s="41"/>
      <c r="CLW18" s="41"/>
      <c r="CLX18" s="41"/>
      <c r="CLY18" s="41"/>
      <c r="CLZ18" s="41"/>
      <c r="CMA18" s="41"/>
      <c r="CMB18" s="41"/>
      <c r="CMC18" s="41"/>
      <c r="CMD18" s="41"/>
      <c r="CME18" s="41"/>
      <c r="CMF18" s="41"/>
      <c r="CMG18" s="41"/>
      <c r="CMH18" s="41"/>
      <c r="CMI18" s="41"/>
      <c r="CMJ18" s="41"/>
      <c r="CMK18" s="41"/>
      <c r="CML18" s="41"/>
      <c r="CMM18" s="41"/>
      <c r="CMN18" s="41"/>
      <c r="CMO18" s="41"/>
      <c r="CMP18" s="41"/>
      <c r="CMQ18" s="41"/>
      <c r="CMR18" s="41"/>
      <c r="CMS18" s="41"/>
      <c r="CMT18" s="41"/>
      <c r="CMU18" s="41"/>
      <c r="CMV18" s="41"/>
      <c r="CMW18" s="41"/>
      <c r="CMX18" s="41"/>
      <c r="CMY18" s="41"/>
      <c r="CMZ18" s="41"/>
      <c r="CNA18" s="41"/>
      <c r="CNB18" s="41"/>
      <c r="CNC18" s="41"/>
      <c r="CND18" s="41"/>
      <c r="CNE18" s="41"/>
      <c r="CNF18" s="41"/>
      <c r="CNG18" s="41"/>
      <c r="CNH18" s="41"/>
      <c r="CNI18" s="41"/>
      <c r="CNJ18" s="41"/>
      <c r="CNK18" s="41"/>
      <c r="CNL18" s="41"/>
      <c r="CNM18" s="41"/>
      <c r="CNN18" s="41"/>
      <c r="CNO18" s="41"/>
      <c r="CNP18" s="41"/>
      <c r="CNQ18" s="41"/>
      <c r="CNR18" s="41"/>
      <c r="CNS18" s="41"/>
      <c r="CNT18" s="41"/>
      <c r="CNU18" s="41"/>
      <c r="CNV18" s="41"/>
      <c r="CNW18" s="41"/>
      <c r="CNX18" s="41"/>
      <c r="CNY18" s="41"/>
      <c r="CNZ18" s="41"/>
      <c r="COA18" s="41"/>
      <c r="COB18" s="41"/>
      <c r="COC18" s="41"/>
      <c r="COD18" s="41"/>
      <c r="COE18" s="41"/>
      <c r="COF18" s="41"/>
      <c r="COG18" s="41"/>
      <c r="COH18" s="41"/>
      <c r="COI18" s="41"/>
      <c r="COJ18" s="41"/>
      <c r="COK18" s="41"/>
      <c r="COL18" s="41"/>
      <c r="COM18" s="41"/>
      <c r="CON18" s="41"/>
      <c r="COO18" s="41"/>
      <c r="COP18" s="41"/>
      <c r="COQ18" s="41"/>
      <c r="COR18" s="41"/>
      <c r="COS18" s="41"/>
      <c r="COT18" s="41"/>
      <c r="COU18" s="41"/>
      <c r="COV18" s="41"/>
      <c r="COW18" s="41"/>
      <c r="COX18" s="41"/>
      <c r="COY18" s="41"/>
      <c r="COZ18" s="41"/>
      <c r="CPA18" s="41"/>
      <c r="CPB18" s="41"/>
      <c r="CPC18" s="41"/>
      <c r="CPD18" s="41"/>
      <c r="CPE18" s="41"/>
      <c r="CPF18" s="41"/>
      <c r="CPG18" s="41"/>
      <c r="CPH18" s="41"/>
      <c r="CPI18" s="41"/>
      <c r="CPJ18" s="41"/>
      <c r="CPK18" s="41"/>
      <c r="CPL18" s="41"/>
      <c r="CPM18" s="41"/>
      <c r="CPN18" s="41"/>
      <c r="CPO18" s="41"/>
      <c r="CPP18" s="41"/>
      <c r="CPQ18" s="41"/>
      <c r="CPR18" s="41"/>
      <c r="CPS18" s="41"/>
      <c r="CPT18" s="41"/>
      <c r="CPU18" s="41"/>
      <c r="CPV18" s="41"/>
      <c r="CPW18" s="41"/>
      <c r="CPX18" s="41"/>
      <c r="CPY18" s="41"/>
      <c r="CPZ18" s="41"/>
      <c r="CQA18" s="41"/>
      <c r="CQB18" s="41"/>
      <c r="CQC18" s="41"/>
      <c r="CQD18" s="41"/>
      <c r="CQE18" s="41"/>
      <c r="CQF18" s="41"/>
      <c r="CQG18" s="41"/>
      <c r="CQH18" s="41"/>
      <c r="CQI18" s="41"/>
      <c r="CQJ18" s="41"/>
      <c r="CQK18" s="41"/>
      <c r="CQL18" s="41"/>
      <c r="CQM18" s="41"/>
      <c r="CQN18" s="41"/>
      <c r="CQO18" s="41"/>
      <c r="CQP18" s="41"/>
      <c r="CQQ18" s="41"/>
      <c r="CQR18" s="41"/>
      <c r="CQS18" s="41"/>
      <c r="CQT18" s="41"/>
      <c r="CQU18" s="41"/>
      <c r="CQV18" s="41"/>
      <c r="CQW18" s="41"/>
      <c r="CQX18" s="41"/>
      <c r="CQY18" s="41"/>
      <c r="CQZ18" s="41"/>
      <c r="CRA18" s="41"/>
      <c r="CRB18" s="41"/>
      <c r="CRC18" s="41"/>
      <c r="CRD18" s="41"/>
      <c r="CRE18" s="41"/>
      <c r="CRF18" s="41"/>
      <c r="CRG18" s="41"/>
      <c r="CRH18" s="41"/>
      <c r="CRI18" s="41"/>
      <c r="CRJ18" s="41"/>
      <c r="CRK18" s="41"/>
      <c r="CRL18" s="41"/>
      <c r="CRM18" s="41"/>
      <c r="CRN18" s="41"/>
      <c r="CRO18" s="41"/>
      <c r="CRP18" s="41"/>
      <c r="CRQ18" s="41"/>
      <c r="CRR18" s="41"/>
      <c r="CRS18" s="41"/>
      <c r="CRT18" s="41"/>
      <c r="CRU18" s="41"/>
      <c r="CRV18" s="41"/>
      <c r="CRW18" s="41"/>
      <c r="CRX18" s="41"/>
      <c r="CRY18" s="41"/>
      <c r="CRZ18" s="41"/>
      <c r="CSA18" s="41"/>
      <c r="CSB18" s="41"/>
      <c r="CSC18" s="41"/>
      <c r="CSD18" s="41"/>
      <c r="CSE18" s="41"/>
      <c r="CSF18" s="41"/>
      <c r="CSG18" s="41"/>
      <c r="CSH18" s="41"/>
      <c r="CSI18" s="41"/>
      <c r="CSJ18" s="41"/>
      <c r="CSK18" s="41"/>
      <c r="CSL18" s="41"/>
      <c r="CSM18" s="41"/>
      <c r="CSN18" s="41"/>
      <c r="CSO18" s="41"/>
      <c r="CSP18" s="41"/>
      <c r="CSQ18" s="41"/>
      <c r="CSR18" s="41"/>
      <c r="CSS18" s="41"/>
      <c r="CST18" s="41"/>
      <c r="CSU18" s="41"/>
      <c r="CSV18" s="41"/>
      <c r="CSW18" s="41"/>
      <c r="CSX18" s="41"/>
      <c r="CSY18" s="41"/>
      <c r="CSZ18" s="41"/>
      <c r="CTA18" s="41"/>
      <c r="CTB18" s="41"/>
      <c r="CTC18" s="41"/>
      <c r="CTD18" s="41"/>
      <c r="CTE18" s="41"/>
      <c r="CTF18" s="41"/>
      <c r="CTG18" s="41"/>
      <c r="CTH18" s="41"/>
      <c r="CTI18" s="41"/>
      <c r="CTJ18" s="41"/>
      <c r="CTK18" s="41"/>
      <c r="CTL18" s="41"/>
      <c r="CTM18" s="41"/>
      <c r="CTN18" s="41"/>
      <c r="CTO18" s="41"/>
      <c r="CTP18" s="41"/>
      <c r="CTQ18" s="41"/>
      <c r="CTR18" s="41"/>
      <c r="CTS18" s="41"/>
      <c r="CTT18" s="41"/>
      <c r="CTU18" s="41"/>
      <c r="CTV18" s="41"/>
      <c r="CTW18" s="41"/>
      <c r="CTX18" s="41"/>
      <c r="CTY18" s="41"/>
      <c r="CTZ18" s="41"/>
      <c r="CUA18" s="41"/>
      <c r="CUB18" s="41"/>
      <c r="CUC18" s="41"/>
      <c r="CUD18" s="41"/>
      <c r="CUE18" s="41"/>
      <c r="CUF18" s="41"/>
      <c r="CUG18" s="41"/>
      <c r="CUH18" s="41"/>
      <c r="CUI18" s="41"/>
      <c r="CUJ18" s="41"/>
      <c r="CUK18" s="41"/>
      <c r="CUL18" s="41"/>
      <c r="CUM18" s="41"/>
      <c r="CUN18" s="41"/>
      <c r="CUO18" s="41"/>
      <c r="CUP18" s="41"/>
      <c r="CUQ18" s="41"/>
      <c r="CUR18" s="41"/>
      <c r="CUS18" s="41"/>
      <c r="CUT18" s="41"/>
      <c r="CUU18" s="41"/>
      <c r="CUV18" s="41"/>
      <c r="CUW18" s="41"/>
      <c r="CUX18" s="41"/>
      <c r="CUY18" s="41"/>
      <c r="CUZ18" s="41"/>
      <c r="CVA18" s="41"/>
      <c r="CVB18" s="41"/>
      <c r="CVC18" s="41"/>
      <c r="CVD18" s="41"/>
      <c r="CVE18" s="41"/>
      <c r="CVF18" s="41"/>
      <c r="CVG18" s="41"/>
      <c r="CVH18" s="41"/>
      <c r="CVI18" s="41"/>
      <c r="CVJ18" s="41"/>
      <c r="CVK18" s="41"/>
      <c r="CVL18" s="41"/>
      <c r="CVM18" s="41"/>
      <c r="CVN18" s="41"/>
      <c r="CVO18" s="41"/>
      <c r="CVP18" s="41"/>
      <c r="CVQ18" s="41"/>
      <c r="CVR18" s="41"/>
      <c r="CVS18" s="41"/>
      <c r="CVT18" s="41"/>
      <c r="CVU18" s="41"/>
      <c r="CVV18" s="41"/>
      <c r="CVW18" s="41"/>
      <c r="CVX18" s="41"/>
      <c r="CVY18" s="41"/>
      <c r="CVZ18" s="41"/>
      <c r="CWA18" s="41"/>
      <c r="CWB18" s="41"/>
      <c r="CWC18" s="41"/>
      <c r="CWD18" s="41"/>
      <c r="CWE18" s="41"/>
      <c r="CWF18" s="41"/>
      <c r="CWG18" s="41"/>
      <c r="CWH18" s="41"/>
      <c r="CWI18" s="41"/>
      <c r="CWJ18" s="41"/>
      <c r="CWK18" s="41"/>
      <c r="CWL18" s="41"/>
      <c r="CWM18" s="41"/>
      <c r="CWN18" s="41"/>
      <c r="CWO18" s="41"/>
      <c r="CWP18" s="41"/>
      <c r="CWQ18" s="41"/>
      <c r="CWR18" s="41"/>
      <c r="CWS18" s="41"/>
      <c r="CWT18" s="41"/>
      <c r="CWU18" s="41"/>
      <c r="CWV18" s="41"/>
      <c r="CWW18" s="41"/>
      <c r="CWX18" s="41"/>
      <c r="CWY18" s="41"/>
      <c r="CWZ18" s="41"/>
      <c r="CXA18" s="41"/>
      <c r="CXB18" s="41"/>
      <c r="CXC18" s="41"/>
      <c r="CXD18" s="41"/>
      <c r="CXE18" s="41"/>
      <c r="CXF18" s="41"/>
      <c r="CXG18" s="41"/>
      <c r="CXH18" s="41"/>
      <c r="CXI18" s="41"/>
      <c r="CXJ18" s="41"/>
      <c r="CXK18" s="41"/>
      <c r="CXL18" s="41"/>
      <c r="CXM18" s="41"/>
      <c r="CXN18" s="41"/>
      <c r="CXO18" s="41"/>
      <c r="CXP18" s="41"/>
      <c r="CXQ18" s="41"/>
      <c r="CXR18" s="41"/>
      <c r="CXS18" s="41"/>
      <c r="CXT18" s="41"/>
      <c r="CXU18" s="41"/>
      <c r="CXV18" s="41"/>
      <c r="CXW18" s="41"/>
      <c r="CXX18" s="41"/>
      <c r="CXY18" s="41"/>
      <c r="CXZ18" s="41"/>
      <c r="CYA18" s="41"/>
      <c r="CYB18" s="41"/>
      <c r="CYC18" s="41"/>
      <c r="CYD18" s="41"/>
      <c r="CYE18" s="41"/>
      <c r="CYF18" s="41"/>
      <c r="CYG18" s="41"/>
      <c r="CYH18" s="41"/>
      <c r="CYI18" s="41"/>
      <c r="CYJ18" s="41"/>
      <c r="CYK18" s="41"/>
      <c r="CYL18" s="41"/>
      <c r="CYM18" s="41"/>
      <c r="CYN18" s="41"/>
      <c r="CYO18" s="41"/>
      <c r="CYP18" s="41"/>
      <c r="CYQ18" s="41"/>
      <c r="CYR18" s="41"/>
      <c r="CYS18" s="41"/>
      <c r="CYT18" s="41"/>
      <c r="CYU18" s="41"/>
      <c r="CYV18" s="41"/>
      <c r="CYW18" s="41"/>
      <c r="CYX18" s="41"/>
      <c r="CYY18" s="41"/>
      <c r="CYZ18" s="41"/>
      <c r="CZA18" s="41"/>
      <c r="CZB18" s="41"/>
      <c r="CZC18" s="41"/>
      <c r="CZD18" s="41"/>
      <c r="CZE18" s="41"/>
      <c r="CZF18" s="41"/>
      <c r="CZG18" s="41"/>
      <c r="CZH18" s="41"/>
      <c r="CZI18" s="41"/>
      <c r="CZJ18" s="41"/>
      <c r="CZK18" s="41"/>
      <c r="CZL18" s="41"/>
      <c r="CZM18" s="41"/>
      <c r="CZN18" s="41"/>
      <c r="CZO18" s="41"/>
      <c r="CZP18" s="41"/>
      <c r="CZQ18" s="41"/>
      <c r="CZR18" s="41"/>
      <c r="CZS18" s="41"/>
      <c r="CZT18" s="41"/>
      <c r="CZU18" s="41"/>
      <c r="CZV18" s="41"/>
      <c r="CZW18" s="41"/>
      <c r="CZX18" s="41"/>
      <c r="CZY18" s="41"/>
      <c r="CZZ18" s="41"/>
      <c r="DAA18" s="41"/>
      <c r="DAB18" s="41"/>
      <c r="DAC18" s="41"/>
      <c r="DAD18" s="41"/>
      <c r="DAE18" s="41"/>
      <c r="DAF18" s="41"/>
      <c r="DAG18" s="41"/>
      <c r="DAH18" s="41"/>
      <c r="DAI18" s="41"/>
      <c r="DAJ18" s="41"/>
      <c r="DAK18" s="41"/>
      <c r="DAL18" s="41"/>
      <c r="DAM18" s="41"/>
      <c r="DAN18" s="41"/>
      <c r="DAO18" s="41"/>
      <c r="DAP18" s="41"/>
      <c r="DAQ18" s="41"/>
      <c r="DAR18" s="41"/>
      <c r="DAS18" s="41"/>
      <c r="DAT18" s="41"/>
      <c r="DAU18" s="41"/>
      <c r="DAV18" s="41"/>
      <c r="DAW18" s="41"/>
      <c r="DAX18" s="41"/>
      <c r="DAY18" s="41"/>
      <c r="DAZ18" s="41"/>
      <c r="DBA18" s="41"/>
      <c r="DBB18" s="41"/>
      <c r="DBC18" s="41"/>
      <c r="DBD18" s="41"/>
      <c r="DBE18" s="41"/>
      <c r="DBF18" s="41"/>
      <c r="DBG18" s="41"/>
      <c r="DBH18" s="41"/>
      <c r="DBI18" s="41"/>
      <c r="DBJ18" s="41"/>
      <c r="DBK18" s="41"/>
      <c r="DBL18" s="41"/>
      <c r="DBM18" s="41"/>
      <c r="DBN18" s="41"/>
      <c r="DBO18" s="41"/>
      <c r="DBP18" s="41"/>
      <c r="DBQ18" s="41"/>
      <c r="DBR18" s="41"/>
      <c r="DBS18" s="41"/>
      <c r="DBT18" s="41"/>
      <c r="DBU18" s="41"/>
      <c r="DBV18" s="41"/>
      <c r="DBW18" s="41"/>
      <c r="DBX18" s="41"/>
      <c r="DBY18" s="41"/>
      <c r="DBZ18" s="41"/>
      <c r="DCA18" s="41"/>
      <c r="DCB18" s="41"/>
      <c r="DCC18" s="41"/>
      <c r="DCD18" s="41"/>
      <c r="DCE18" s="41"/>
      <c r="DCF18" s="41"/>
      <c r="DCG18" s="41"/>
      <c r="DCH18" s="41"/>
      <c r="DCI18" s="41"/>
      <c r="DCJ18" s="41"/>
      <c r="DCK18" s="41"/>
      <c r="DCL18" s="41"/>
      <c r="DCM18" s="41"/>
      <c r="DCN18" s="41"/>
      <c r="DCO18" s="41"/>
      <c r="DCP18" s="41"/>
      <c r="DCQ18" s="41"/>
      <c r="DCR18" s="41"/>
      <c r="DCS18" s="41"/>
      <c r="DCT18" s="41"/>
      <c r="DCU18" s="41"/>
      <c r="DCV18" s="41"/>
      <c r="DCW18" s="41"/>
      <c r="DCX18" s="41"/>
      <c r="DCY18" s="41"/>
      <c r="DCZ18" s="41"/>
      <c r="DDA18" s="41"/>
      <c r="DDB18" s="41"/>
      <c r="DDC18" s="41"/>
      <c r="DDD18" s="41"/>
      <c r="DDE18" s="41"/>
      <c r="DDF18" s="41"/>
      <c r="DDG18" s="41"/>
      <c r="DDH18" s="41"/>
      <c r="DDI18" s="41"/>
      <c r="DDJ18" s="41"/>
      <c r="DDK18" s="41"/>
      <c r="DDL18" s="41"/>
      <c r="DDM18" s="41"/>
      <c r="DDN18" s="41"/>
      <c r="DDO18" s="41"/>
      <c r="DDP18" s="41"/>
      <c r="DDQ18" s="41"/>
      <c r="DDR18" s="41"/>
      <c r="DDS18" s="41"/>
      <c r="DDT18" s="41"/>
      <c r="DDU18" s="41"/>
      <c r="DDV18" s="41"/>
      <c r="DDW18" s="41"/>
      <c r="DDX18" s="41"/>
      <c r="DDY18" s="41"/>
      <c r="DDZ18" s="41"/>
      <c r="DEA18" s="41"/>
      <c r="DEB18" s="41"/>
      <c r="DEC18" s="41"/>
      <c r="DED18" s="41"/>
      <c r="DEE18" s="41"/>
      <c r="DEF18" s="41"/>
      <c r="DEG18" s="41"/>
      <c r="DEH18" s="41"/>
      <c r="DEI18" s="41"/>
      <c r="DEJ18" s="41"/>
      <c r="DEK18" s="41"/>
      <c r="DEL18" s="41"/>
      <c r="DEM18" s="41"/>
      <c r="DEN18" s="41"/>
      <c r="DEO18" s="41"/>
      <c r="DEP18" s="41"/>
      <c r="DEQ18" s="41"/>
      <c r="DER18" s="41"/>
      <c r="DES18" s="41"/>
      <c r="DET18" s="41"/>
      <c r="DEU18" s="41"/>
      <c r="DEV18" s="41"/>
      <c r="DEW18" s="41"/>
      <c r="DEX18" s="41"/>
      <c r="DEY18" s="41"/>
      <c r="DEZ18" s="41"/>
      <c r="DFA18" s="41"/>
      <c r="DFB18" s="41"/>
      <c r="DFC18" s="41"/>
      <c r="DFD18" s="41"/>
      <c r="DFE18" s="41"/>
      <c r="DFF18" s="41"/>
      <c r="DFG18" s="41"/>
      <c r="DFH18" s="41"/>
      <c r="DFI18" s="41"/>
      <c r="DFJ18" s="41"/>
      <c r="DFK18" s="41"/>
      <c r="DFL18" s="41"/>
      <c r="DFM18" s="41"/>
      <c r="DFN18" s="41"/>
      <c r="DFO18" s="41"/>
      <c r="DFP18" s="41"/>
      <c r="DFQ18" s="41"/>
      <c r="DFR18" s="41"/>
      <c r="DFS18" s="41"/>
      <c r="DFT18" s="41"/>
      <c r="DFU18" s="41"/>
      <c r="DFV18" s="41"/>
      <c r="DFW18" s="41"/>
      <c r="DFX18" s="41"/>
      <c r="DFY18" s="41"/>
      <c r="DFZ18" s="41"/>
      <c r="DGA18" s="41"/>
      <c r="DGB18" s="41"/>
      <c r="DGC18" s="41"/>
      <c r="DGD18" s="41"/>
      <c r="DGE18" s="41"/>
      <c r="DGF18" s="41"/>
      <c r="DGG18" s="41"/>
      <c r="DGH18" s="41"/>
      <c r="DGI18" s="41"/>
      <c r="DGJ18" s="41"/>
      <c r="DGK18" s="41"/>
      <c r="DGL18" s="41"/>
      <c r="DGM18" s="41"/>
      <c r="DGN18" s="41"/>
      <c r="DGO18" s="41"/>
      <c r="DGP18" s="41"/>
      <c r="DGQ18" s="41"/>
      <c r="DGR18" s="41"/>
      <c r="DGS18" s="41"/>
      <c r="DGT18" s="41"/>
      <c r="DGU18" s="41"/>
      <c r="DGV18" s="41"/>
      <c r="DGW18" s="41"/>
      <c r="DGX18" s="41"/>
      <c r="DGY18" s="41"/>
      <c r="DGZ18" s="41"/>
      <c r="DHA18" s="41"/>
      <c r="DHB18" s="41"/>
      <c r="DHC18" s="41"/>
      <c r="DHD18" s="41"/>
      <c r="DHE18" s="41"/>
      <c r="DHF18" s="41"/>
      <c r="DHG18" s="41"/>
      <c r="DHH18" s="41"/>
      <c r="DHI18" s="41"/>
      <c r="DHJ18" s="41"/>
      <c r="DHK18" s="41"/>
      <c r="DHL18" s="41"/>
      <c r="DHM18" s="41"/>
      <c r="DHN18" s="41"/>
      <c r="DHO18" s="41"/>
      <c r="DHP18" s="41"/>
      <c r="DHQ18" s="41"/>
      <c r="DHR18" s="41"/>
      <c r="DHS18" s="41"/>
      <c r="DHT18" s="41"/>
      <c r="DHU18" s="41"/>
      <c r="DHV18" s="41"/>
      <c r="DHW18" s="41"/>
      <c r="DHX18" s="41"/>
      <c r="DHY18" s="41"/>
      <c r="DHZ18" s="41"/>
      <c r="DIA18" s="41"/>
      <c r="DIB18" s="41"/>
      <c r="DIC18" s="41"/>
      <c r="DID18" s="41"/>
      <c r="DIE18" s="41"/>
      <c r="DIF18" s="41"/>
      <c r="DIG18" s="41"/>
      <c r="DIH18" s="41"/>
      <c r="DII18" s="41"/>
      <c r="DIJ18" s="41"/>
      <c r="DIK18" s="41"/>
      <c r="DIL18" s="41"/>
      <c r="DIM18" s="41"/>
      <c r="DIN18" s="41"/>
      <c r="DIO18" s="41"/>
      <c r="DIP18" s="41"/>
      <c r="DIQ18" s="41"/>
      <c r="DIR18" s="41"/>
      <c r="DIS18" s="41"/>
      <c r="DIT18" s="41"/>
      <c r="DIU18" s="41"/>
      <c r="DIV18" s="41"/>
      <c r="DIW18" s="41"/>
      <c r="DIX18" s="41"/>
      <c r="DIY18" s="41"/>
      <c r="DIZ18" s="41"/>
      <c r="DJA18" s="41"/>
      <c r="DJB18" s="41"/>
      <c r="DJC18" s="41"/>
      <c r="DJD18" s="41"/>
      <c r="DJE18" s="41"/>
      <c r="DJF18" s="41"/>
      <c r="DJG18" s="41"/>
      <c r="DJH18" s="41"/>
      <c r="DJI18" s="41"/>
      <c r="DJJ18" s="41"/>
      <c r="DJK18" s="41"/>
      <c r="DJL18" s="41"/>
      <c r="DJM18" s="41"/>
      <c r="DJN18" s="41"/>
      <c r="DJO18" s="41"/>
      <c r="DJP18" s="41"/>
      <c r="DJQ18" s="41"/>
      <c r="DJR18" s="41"/>
      <c r="DJS18" s="41"/>
      <c r="DJT18" s="41"/>
      <c r="DJU18" s="41"/>
      <c r="DJV18" s="41"/>
      <c r="DJW18" s="41"/>
      <c r="DJX18" s="41"/>
      <c r="DJY18" s="41"/>
      <c r="DJZ18" s="41"/>
      <c r="DKA18" s="41"/>
      <c r="DKB18" s="41"/>
      <c r="DKC18" s="41"/>
      <c r="DKD18" s="41"/>
      <c r="DKE18" s="41"/>
      <c r="DKF18" s="41"/>
      <c r="DKG18" s="41"/>
      <c r="DKH18" s="41"/>
      <c r="DKI18" s="41"/>
      <c r="DKJ18" s="41"/>
      <c r="DKK18" s="41"/>
      <c r="DKL18" s="41"/>
      <c r="DKM18" s="41"/>
      <c r="DKN18" s="41"/>
      <c r="DKO18" s="41"/>
      <c r="DKP18" s="41"/>
      <c r="DKQ18" s="41"/>
      <c r="DKR18" s="41"/>
      <c r="DKS18" s="41"/>
      <c r="DKT18" s="41"/>
      <c r="DKU18" s="41"/>
      <c r="DKV18" s="41"/>
      <c r="DKW18" s="41"/>
      <c r="DKX18" s="41"/>
      <c r="DKY18" s="41"/>
      <c r="DKZ18" s="41"/>
      <c r="DLA18" s="41"/>
      <c r="DLB18" s="41"/>
      <c r="DLC18" s="41"/>
      <c r="DLD18" s="41"/>
      <c r="DLE18" s="41"/>
      <c r="DLF18" s="41"/>
      <c r="DLG18" s="41"/>
      <c r="DLH18" s="41"/>
      <c r="DLI18" s="41"/>
      <c r="DLJ18" s="41"/>
      <c r="DLK18" s="41"/>
      <c r="DLL18" s="41"/>
      <c r="DLM18" s="41"/>
      <c r="DLN18" s="41"/>
      <c r="DLO18" s="41"/>
      <c r="DLP18" s="41"/>
      <c r="DLQ18" s="41"/>
      <c r="DLR18" s="41"/>
      <c r="DLS18" s="41"/>
      <c r="DLT18" s="41"/>
      <c r="DLU18" s="41"/>
      <c r="DLV18" s="41"/>
      <c r="DLW18" s="41"/>
      <c r="DLX18" s="41"/>
      <c r="DLY18" s="41"/>
      <c r="DLZ18" s="41"/>
      <c r="DMA18" s="41"/>
      <c r="DMB18" s="41"/>
      <c r="DMC18" s="41"/>
      <c r="DMD18" s="41"/>
      <c r="DME18" s="41"/>
      <c r="DMF18" s="41"/>
      <c r="DMG18" s="41"/>
      <c r="DMH18" s="41"/>
      <c r="DMI18" s="41"/>
      <c r="DMJ18" s="41"/>
      <c r="DMK18" s="41"/>
      <c r="DML18" s="41"/>
      <c r="DMM18" s="41"/>
      <c r="DMN18" s="41"/>
      <c r="DMO18" s="41"/>
      <c r="DMP18" s="41"/>
      <c r="DMQ18" s="41"/>
      <c r="DMR18" s="41"/>
      <c r="DMS18" s="41"/>
      <c r="DMT18" s="41"/>
      <c r="DMU18" s="41"/>
      <c r="DMV18" s="41"/>
      <c r="DMW18" s="41"/>
      <c r="DMX18" s="41"/>
      <c r="DMY18" s="41"/>
      <c r="DMZ18" s="41"/>
      <c r="DNA18" s="41"/>
      <c r="DNB18" s="41"/>
      <c r="DNC18" s="41"/>
      <c r="DND18" s="41"/>
      <c r="DNE18" s="41"/>
      <c r="DNF18" s="41"/>
      <c r="DNG18" s="41"/>
      <c r="DNH18" s="41"/>
      <c r="DNI18" s="41"/>
      <c r="DNJ18" s="41"/>
      <c r="DNK18" s="41"/>
      <c r="DNL18" s="41"/>
      <c r="DNM18" s="41"/>
      <c r="DNN18" s="41"/>
      <c r="DNO18" s="41"/>
      <c r="DNP18" s="41"/>
      <c r="DNQ18" s="41"/>
      <c r="DNR18" s="41"/>
      <c r="DNS18" s="41"/>
      <c r="DNT18" s="41"/>
      <c r="DNU18" s="41"/>
      <c r="DNV18" s="41"/>
      <c r="DNW18" s="41"/>
      <c r="DNX18" s="41"/>
      <c r="DNY18" s="41"/>
      <c r="DNZ18" s="41"/>
      <c r="DOA18" s="41"/>
      <c r="DOB18" s="41"/>
      <c r="DOC18" s="41"/>
      <c r="DOD18" s="41"/>
      <c r="DOE18" s="41"/>
      <c r="DOF18" s="41"/>
      <c r="DOG18" s="41"/>
      <c r="DOH18" s="41"/>
      <c r="DOI18" s="41"/>
      <c r="DOJ18" s="41"/>
      <c r="DOK18" s="41"/>
      <c r="DOL18" s="41"/>
      <c r="DOM18" s="41"/>
      <c r="DON18" s="41"/>
      <c r="DOO18" s="41"/>
      <c r="DOP18" s="41"/>
      <c r="DOQ18" s="41"/>
      <c r="DOR18" s="41"/>
      <c r="DOS18" s="41"/>
      <c r="DOT18" s="41"/>
      <c r="DOU18" s="41"/>
      <c r="DOV18" s="41"/>
      <c r="DOW18" s="41"/>
      <c r="DOX18" s="41"/>
      <c r="DOY18" s="41"/>
      <c r="DOZ18" s="41"/>
      <c r="DPA18" s="41"/>
      <c r="DPB18" s="41"/>
      <c r="DPC18" s="41"/>
      <c r="DPD18" s="41"/>
      <c r="DPE18" s="41"/>
      <c r="DPF18" s="41"/>
      <c r="DPG18" s="41"/>
      <c r="DPH18" s="41"/>
      <c r="DPI18" s="41"/>
      <c r="DPJ18" s="41"/>
      <c r="DPK18" s="41"/>
      <c r="DPL18" s="41"/>
      <c r="DPM18" s="41"/>
      <c r="DPN18" s="41"/>
      <c r="DPO18" s="41"/>
      <c r="DPP18" s="41"/>
      <c r="DPQ18" s="41"/>
      <c r="DPR18" s="41"/>
      <c r="DPS18" s="41"/>
      <c r="DPT18" s="41"/>
      <c r="DPU18" s="41"/>
      <c r="DPV18" s="41"/>
      <c r="DPW18" s="41"/>
      <c r="DPX18" s="41"/>
      <c r="DPY18" s="41"/>
      <c r="DPZ18" s="41"/>
      <c r="DQA18" s="41"/>
      <c r="DQB18" s="41"/>
      <c r="DQC18" s="41"/>
      <c r="DQD18" s="41"/>
      <c r="DQE18" s="41"/>
      <c r="DQF18" s="41"/>
      <c r="DQG18" s="41"/>
      <c r="DQH18" s="41"/>
      <c r="DQI18" s="41"/>
      <c r="DQJ18" s="41"/>
      <c r="DQK18" s="41"/>
      <c r="DQL18" s="41"/>
      <c r="DQM18" s="41"/>
      <c r="DQN18" s="41"/>
      <c r="DQO18" s="41"/>
      <c r="DQP18" s="41"/>
      <c r="DQQ18" s="41"/>
      <c r="DQR18" s="41"/>
      <c r="DQS18" s="41"/>
      <c r="DQT18" s="41"/>
      <c r="DQU18" s="41"/>
      <c r="DQV18" s="41"/>
      <c r="DQW18" s="41"/>
      <c r="DQX18" s="41"/>
      <c r="DQY18" s="41"/>
      <c r="DQZ18" s="41"/>
      <c r="DRA18" s="41"/>
      <c r="DRB18" s="41"/>
      <c r="DRC18" s="41"/>
      <c r="DRD18" s="41"/>
      <c r="DRE18" s="41"/>
      <c r="DRF18" s="41"/>
      <c r="DRG18" s="41"/>
      <c r="DRH18" s="41"/>
      <c r="DRI18" s="41"/>
      <c r="DRJ18" s="41"/>
      <c r="DRK18" s="41"/>
      <c r="DRL18" s="41"/>
      <c r="DRM18" s="41"/>
      <c r="DRN18" s="41"/>
      <c r="DRO18" s="41"/>
      <c r="DRP18" s="41"/>
      <c r="DRQ18" s="41"/>
      <c r="DRR18" s="41"/>
      <c r="DRS18" s="41"/>
      <c r="DRT18" s="41"/>
      <c r="DRU18" s="41"/>
      <c r="DRV18" s="41"/>
      <c r="DRW18" s="41"/>
      <c r="DRX18" s="41"/>
      <c r="DRY18" s="41"/>
      <c r="DRZ18" s="41"/>
      <c r="DSA18" s="41"/>
      <c r="DSB18" s="41"/>
      <c r="DSC18" s="41"/>
      <c r="DSD18" s="41"/>
      <c r="DSE18" s="41"/>
      <c r="DSF18" s="41"/>
      <c r="DSG18" s="41"/>
      <c r="DSH18" s="41"/>
      <c r="DSI18" s="41"/>
      <c r="DSJ18" s="41"/>
      <c r="DSK18" s="41"/>
      <c r="DSL18" s="41"/>
      <c r="DSM18" s="41"/>
      <c r="DSN18" s="41"/>
      <c r="DSO18" s="41"/>
      <c r="DSP18" s="41"/>
      <c r="DSQ18" s="41"/>
      <c r="DSR18" s="41"/>
      <c r="DSS18" s="41"/>
      <c r="DST18" s="41"/>
      <c r="DSU18" s="41"/>
      <c r="DSV18" s="41"/>
      <c r="DSW18" s="41"/>
      <c r="DSX18" s="41"/>
      <c r="DSY18" s="41"/>
      <c r="DSZ18" s="41"/>
      <c r="DTA18" s="41"/>
      <c r="DTB18" s="41"/>
      <c r="DTC18" s="41"/>
      <c r="DTD18" s="41"/>
      <c r="DTE18" s="41"/>
      <c r="DTF18" s="41"/>
      <c r="DTG18" s="41"/>
      <c r="DTH18" s="41"/>
      <c r="DTI18" s="41"/>
      <c r="DTJ18" s="41"/>
      <c r="DTK18" s="41"/>
      <c r="DTL18" s="41"/>
      <c r="DTM18" s="41"/>
      <c r="DTN18" s="41"/>
      <c r="DTO18" s="41"/>
      <c r="DTP18" s="41"/>
      <c r="DTQ18" s="41"/>
      <c r="DTR18" s="41"/>
      <c r="DTS18" s="41"/>
      <c r="DTT18" s="41"/>
      <c r="DTU18" s="41"/>
      <c r="DTV18" s="41"/>
      <c r="DTW18" s="41"/>
      <c r="DTX18" s="41"/>
      <c r="DTY18" s="41"/>
      <c r="DTZ18" s="41"/>
      <c r="DUA18" s="41"/>
      <c r="DUB18" s="41"/>
      <c r="DUC18" s="41"/>
      <c r="DUD18" s="41"/>
      <c r="DUE18" s="41"/>
      <c r="DUF18" s="41"/>
      <c r="DUG18" s="41"/>
      <c r="DUH18" s="41"/>
      <c r="DUI18" s="41"/>
      <c r="DUJ18" s="41"/>
      <c r="DUK18" s="41"/>
      <c r="DUL18" s="41"/>
      <c r="DUM18" s="41"/>
      <c r="DUN18" s="41"/>
      <c r="DUO18" s="41"/>
      <c r="DUP18" s="41"/>
      <c r="DUQ18" s="41"/>
      <c r="DUR18" s="41"/>
      <c r="DUS18" s="41"/>
      <c r="DUT18" s="41"/>
      <c r="DUU18" s="41"/>
      <c r="DUV18" s="41"/>
      <c r="DUW18" s="41"/>
      <c r="DUX18" s="41"/>
      <c r="DUY18" s="41"/>
      <c r="DUZ18" s="41"/>
      <c r="DVA18" s="41"/>
      <c r="DVB18" s="41"/>
      <c r="DVC18" s="41"/>
      <c r="DVD18" s="41"/>
      <c r="DVE18" s="41"/>
      <c r="DVF18" s="41"/>
      <c r="DVG18" s="41"/>
      <c r="DVH18" s="41"/>
      <c r="DVI18" s="41"/>
      <c r="DVJ18" s="41"/>
      <c r="DVK18" s="41"/>
      <c r="DVL18" s="41"/>
      <c r="DVM18" s="41"/>
      <c r="DVN18" s="41"/>
      <c r="DVO18" s="41"/>
      <c r="DVP18" s="41"/>
      <c r="DVQ18" s="41"/>
      <c r="DVR18" s="41"/>
      <c r="DVS18" s="41"/>
      <c r="DVT18" s="41"/>
      <c r="DVU18" s="41"/>
      <c r="DVV18" s="41"/>
      <c r="DVW18" s="41"/>
      <c r="DVX18" s="41"/>
      <c r="DVY18" s="41"/>
      <c r="DVZ18" s="41"/>
      <c r="DWA18" s="41"/>
      <c r="DWB18" s="41"/>
      <c r="DWC18" s="41"/>
      <c r="DWD18" s="41"/>
      <c r="DWE18" s="41"/>
      <c r="DWF18" s="41"/>
      <c r="DWG18" s="41"/>
      <c r="DWH18" s="41"/>
      <c r="DWI18" s="41"/>
      <c r="DWJ18" s="41"/>
      <c r="DWK18" s="41"/>
      <c r="DWL18" s="41"/>
      <c r="DWM18" s="41"/>
      <c r="DWN18" s="41"/>
      <c r="DWO18" s="41"/>
      <c r="DWP18" s="41"/>
      <c r="DWQ18" s="41"/>
      <c r="DWR18" s="41"/>
      <c r="DWS18" s="41"/>
      <c r="DWT18" s="41"/>
      <c r="DWU18" s="41"/>
      <c r="DWV18" s="41"/>
      <c r="DWW18" s="41"/>
      <c r="DWX18" s="41"/>
      <c r="DWY18" s="41"/>
      <c r="DWZ18" s="41"/>
      <c r="DXA18" s="41"/>
      <c r="DXB18" s="41"/>
      <c r="DXC18" s="41"/>
      <c r="DXD18" s="41"/>
      <c r="DXE18" s="41"/>
      <c r="DXF18" s="41"/>
      <c r="DXG18" s="41"/>
      <c r="DXH18" s="41"/>
      <c r="DXI18" s="41"/>
      <c r="DXJ18" s="41"/>
      <c r="DXK18" s="41"/>
      <c r="DXL18" s="41"/>
      <c r="DXM18" s="41"/>
      <c r="DXN18" s="41"/>
      <c r="DXO18" s="41"/>
      <c r="DXP18" s="41"/>
      <c r="DXQ18" s="41"/>
      <c r="DXR18" s="41"/>
      <c r="DXS18" s="41"/>
      <c r="DXT18" s="41"/>
      <c r="DXU18" s="41"/>
      <c r="DXV18" s="41"/>
      <c r="DXW18" s="41"/>
      <c r="DXX18" s="41"/>
      <c r="DXY18" s="41"/>
      <c r="DXZ18" s="41"/>
      <c r="DYA18" s="41"/>
      <c r="DYB18" s="41"/>
      <c r="DYC18" s="41"/>
      <c r="DYD18" s="41"/>
      <c r="DYE18" s="41"/>
      <c r="DYF18" s="41"/>
      <c r="DYG18" s="41"/>
      <c r="DYH18" s="41"/>
      <c r="DYI18" s="41"/>
      <c r="DYJ18" s="41"/>
      <c r="DYK18" s="41"/>
      <c r="DYL18" s="41"/>
      <c r="DYM18" s="41"/>
      <c r="DYN18" s="41"/>
      <c r="DYO18" s="41"/>
      <c r="DYP18" s="41"/>
      <c r="DYQ18" s="41"/>
      <c r="DYR18" s="41"/>
      <c r="DYS18" s="41"/>
      <c r="DYT18" s="41"/>
      <c r="DYU18" s="41"/>
      <c r="DYV18" s="41"/>
      <c r="DYW18" s="41"/>
      <c r="DYX18" s="41"/>
      <c r="DYY18" s="41"/>
      <c r="DYZ18" s="41"/>
      <c r="DZA18" s="41"/>
      <c r="DZB18" s="41"/>
      <c r="DZC18" s="41"/>
      <c r="DZD18" s="41"/>
      <c r="DZE18" s="41"/>
      <c r="DZF18" s="41"/>
      <c r="DZG18" s="41"/>
      <c r="DZH18" s="41"/>
      <c r="DZI18" s="41"/>
      <c r="DZJ18" s="41"/>
      <c r="DZK18" s="41"/>
      <c r="DZL18" s="41"/>
      <c r="DZM18" s="41"/>
      <c r="DZN18" s="41"/>
      <c r="DZO18" s="41"/>
      <c r="DZP18" s="41"/>
      <c r="DZQ18" s="41"/>
      <c r="DZR18" s="41"/>
      <c r="DZS18" s="41"/>
      <c r="DZT18" s="41"/>
      <c r="DZU18" s="41"/>
      <c r="DZV18" s="41"/>
      <c r="DZW18" s="41"/>
      <c r="DZX18" s="41"/>
      <c r="DZY18" s="41"/>
      <c r="DZZ18" s="41"/>
      <c r="EAA18" s="41"/>
      <c r="EAB18" s="41"/>
      <c r="EAC18" s="41"/>
      <c r="EAD18" s="41"/>
      <c r="EAE18" s="41"/>
      <c r="EAF18" s="41"/>
      <c r="EAG18" s="41"/>
      <c r="EAH18" s="41"/>
      <c r="EAI18" s="41"/>
      <c r="EAJ18" s="41"/>
      <c r="EAK18" s="41"/>
      <c r="EAL18" s="41"/>
      <c r="EAM18" s="41"/>
      <c r="EAN18" s="41"/>
      <c r="EAO18" s="41"/>
      <c r="EAP18" s="41"/>
      <c r="EAQ18" s="41"/>
      <c r="EAR18" s="41"/>
      <c r="EAS18" s="41"/>
      <c r="EAT18" s="41"/>
      <c r="EAU18" s="41"/>
      <c r="EAV18" s="41"/>
      <c r="EAW18" s="41"/>
      <c r="EAX18" s="41"/>
      <c r="EAY18" s="41"/>
      <c r="EAZ18" s="41"/>
      <c r="EBA18" s="41"/>
      <c r="EBB18" s="41"/>
      <c r="EBC18" s="41"/>
      <c r="EBD18" s="41"/>
      <c r="EBE18" s="41"/>
      <c r="EBF18" s="41"/>
      <c r="EBG18" s="41"/>
      <c r="EBH18" s="41"/>
      <c r="EBI18" s="41"/>
      <c r="EBJ18" s="41"/>
      <c r="EBK18" s="41"/>
      <c r="EBL18" s="41"/>
      <c r="EBM18" s="41"/>
      <c r="EBN18" s="41"/>
      <c r="EBO18" s="41"/>
      <c r="EBP18" s="41"/>
      <c r="EBQ18" s="41"/>
      <c r="EBR18" s="41"/>
      <c r="EBS18" s="41"/>
      <c r="EBT18" s="41"/>
      <c r="EBU18" s="41"/>
      <c r="EBV18" s="41"/>
      <c r="EBW18" s="41"/>
      <c r="EBX18" s="41"/>
      <c r="EBY18" s="41"/>
      <c r="EBZ18" s="41"/>
      <c r="ECA18" s="41"/>
      <c r="ECB18" s="41"/>
      <c r="ECC18" s="41"/>
      <c r="ECD18" s="41"/>
      <c r="ECE18" s="41"/>
      <c r="ECF18" s="41"/>
      <c r="ECG18" s="41"/>
      <c r="ECH18" s="41"/>
      <c r="ECI18" s="41"/>
      <c r="ECJ18" s="41"/>
      <c r="ECK18" s="41"/>
      <c r="ECL18" s="41"/>
      <c r="ECM18" s="41"/>
      <c r="ECN18" s="41"/>
      <c r="ECO18" s="41"/>
      <c r="ECP18" s="41"/>
      <c r="ECQ18" s="41"/>
      <c r="ECR18" s="41"/>
      <c r="ECS18" s="41"/>
      <c r="ECT18" s="41"/>
      <c r="ECU18" s="41"/>
      <c r="ECV18" s="41"/>
      <c r="ECW18" s="41"/>
      <c r="ECX18" s="41"/>
      <c r="ECY18" s="41"/>
      <c r="ECZ18" s="41"/>
      <c r="EDA18" s="41"/>
      <c r="EDB18" s="41"/>
      <c r="EDC18" s="41"/>
      <c r="EDD18" s="41"/>
      <c r="EDE18" s="41"/>
      <c r="EDF18" s="41"/>
      <c r="EDG18" s="41"/>
      <c r="EDH18" s="41"/>
      <c r="EDI18" s="41"/>
      <c r="EDJ18" s="41"/>
      <c r="EDK18" s="41"/>
      <c r="EDL18" s="41"/>
      <c r="EDM18" s="41"/>
      <c r="EDN18" s="41"/>
      <c r="EDO18" s="41"/>
      <c r="EDP18" s="41"/>
      <c r="EDQ18" s="41"/>
      <c r="EDR18" s="41"/>
      <c r="EDS18" s="41"/>
      <c r="EDT18" s="41"/>
      <c r="EDU18" s="41"/>
      <c r="EDV18" s="41"/>
      <c r="EDW18" s="41"/>
      <c r="EDX18" s="41"/>
      <c r="EDY18" s="41"/>
      <c r="EDZ18" s="41"/>
      <c r="EEA18" s="41"/>
      <c r="EEB18" s="41"/>
      <c r="EEC18" s="41"/>
      <c r="EED18" s="41"/>
      <c r="EEE18" s="41"/>
      <c r="EEF18" s="41"/>
      <c r="EEG18" s="41"/>
      <c r="EEH18" s="41"/>
      <c r="EEI18" s="41"/>
      <c r="EEJ18" s="41"/>
      <c r="EEK18" s="41"/>
      <c r="EEL18" s="41"/>
      <c r="EEM18" s="41"/>
      <c r="EEN18" s="41"/>
      <c r="EEO18" s="41"/>
      <c r="EEP18" s="41"/>
      <c r="EEQ18" s="41"/>
      <c r="EER18" s="41"/>
      <c r="EES18" s="41"/>
      <c r="EET18" s="41"/>
      <c r="EEU18" s="41"/>
      <c r="EEV18" s="41"/>
      <c r="EEW18" s="41"/>
      <c r="EEX18" s="41"/>
      <c r="EEY18" s="41"/>
      <c r="EEZ18" s="41"/>
      <c r="EFA18" s="41"/>
      <c r="EFB18" s="41"/>
      <c r="EFC18" s="41"/>
      <c r="EFD18" s="41"/>
      <c r="EFE18" s="41"/>
      <c r="EFF18" s="41"/>
      <c r="EFG18" s="41"/>
      <c r="EFH18" s="41"/>
      <c r="EFI18" s="41"/>
      <c r="EFJ18" s="41"/>
      <c r="EFK18" s="41"/>
      <c r="EFL18" s="41"/>
      <c r="EFM18" s="41"/>
      <c r="EFN18" s="41"/>
      <c r="EFO18" s="41"/>
      <c r="EFP18" s="41"/>
      <c r="EFQ18" s="41"/>
      <c r="EFR18" s="41"/>
      <c r="EFS18" s="41"/>
      <c r="EFT18" s="41"/>
      <c r="EFU18" s="41"/>
      <c r="EFV18" s="41"/>
      <c r="EFW18" s="41"/>
      <c r="EFX18" s="41"/>
      <c r="EFY18" s="41"/>
      <c r="EFZ18" s="41"/>
      <c r="EGA18" s="41"/>
      <c r="EGB18" s="41"/>
      <c r="EGC18" s="41"/>
      <c r="EGD18" s="41"/>
      <c r="EGE18" s="41"/>
      <c r="EGF18" s="41"/>
      <c r="EGG18" s="41"/>
      <c r="EGH18" s="41"/>
      <c r="EGI18" s="41"/>
      <c r="EGJ18" s="41"/>
      <c r="EGK18" s="41"/>
      <c r="EGL18" s="41"/>
      <c r="EGM18" s="41"/>
      <c r="EGN18" s="41"/>
      <c r="EGO18" s="41"/>
      <c r="EGP18" s="41"/>
      <c r="EGQ18" s="41"/>
      <c r="EGR18" s="41"/>
      <c r="EGS18" s="41"/>
      <c r="EGT18" s="41"/>
      <c r="EGU18" s="41"/>
      <c r="EGV18" s="41"/>
      <c r="EGW18" s="41"/>
      <c r="EGX18" s="41"/>
      <c r="EGY18" s="41"/>
      <c r="EGZ18" s="41"/>
      <c r="EHA18" s="41"/>
      <c r="EHB18" s="41"/>
      <c r="EHC18" s="41"/>
      <c r="EHD18" s="41"/>
      <c r="EHE18" s="41"/>
      <c r="EHF18" s="41"/>
      <c r="EHG18" s="41"/>
      <c r="EHH18" s="41"/>
      <c r="EHI18" s="41"/>
      <c r="EHJ18" s="41"/>
      <c r="EHK18" s="41"/>
      <c r="EHL18" s="41"/>
      <c r="EHM18" s="41"/>
      <c r="EHN18" s="41"/>
      <c r="EHO18" s="41"/>
      <c r="EHP18" s="41"/>
      <c r="EHQ18" s="41"/>
      <c r="EHR18" s="41"/>
      <c r="EHS18" s="41"/>
      <c r="EHT18" s="41"/>
      <c r="EHU18" s="41"/>
      <c r="EHV18" s="41"/>
      <c r="EHW18" s="41"/>
      <c r="EHX18" s="41"/>
      <c r="EHY18" s="41"/>
      <c r="EHZ18" s="41"/>
      <c r="EIA18" s="41"/>
      <c r="EIB18" s="41"/>
      <c r="EIC18" s="41"/>
      <c r="EID18" s="41"/>
      <c r="EIE18" s="41"/>
      <c r="EIF18" s="41"/>
      <c r="EIG18" s="41"/>
      <c r="EIH18" s="41"/>
      <c r="EII18" s="41"/>
      <c r="EIJ18" s="41"/>
      <c r="EIK18" s="41"/>
      <c r="EIL18" s="41"/>
      <c r="EIM18" s="41"/>
      <c r="EIN18" s="41"/>
      <c r="EIO18" s="41"/>
      <c r="EIP18" s="41"/>
      <c r="EIQ18" s="41"/>
      <c r="EIR18" s="41"/>
      <c r="EIS18" s="41"/>
      <c r="EIT18" s="41"/>
      <c r="EIU18" s="41"/>
      <c r="EIV18" s="41"/>
      <c r="EIW18" s="41"/>
      <c r="EIX18" s="41"/>
      <c r="EIY18" s="41"/>
      <c r="EIZ18" s="41"/>
      <c r="EJA18" s="41"/>
      <c r="EJB18" s="41"/>
      <c r="EJC18" s="41"/>
      <c r="EJD18" s="41"/>
      <c r="EJE18" s="41"/>
      <c r="EJF18" s="41"/>
      <c r="EJG18" s="41"/>
      <c r="EJH18" s="41"/>
      <c r="EJI18" s="41"/>
      <c r="EJJ18" s="41"/>
      <c r="EJK18" s="41"/>
      <c r="EJL18" s="41"/>
      <c r="EJM18" s="41"/>
      <c r="EJN18" s="41"/>
      <c r="EJO18" s="41"/>
      <c r="EJP18" s="41"/>
      <c r="EJQ18" s="41"/>
      <c r="EJR18" s="41"/>
      <c r="EJS18" s="41"/>
      <c r="EJT18" s="41"/>
      <c r="EJU18" s="41"/>
      <c r="EJV18" s="41"/>
      <c r="EJW18" s="41"/>
      <c r="EJX18" s="41"/>
      <c r="EJY18" s="41"/>
      <c r="EJZ18" s="41"/>
      <c r="EKA18" s="41"/>
      <c r="EKB18" s="41"/>
      <c r="EKC18" s="41"/>
      <c r="EKD18" s="41"/>
      <c r="EKE18" s="41"/>
      <c r="EKF18" s="41"/>
      <c r="EKG18" s="41"/>
      <c r="EKH18" s="41"/>
      <c r="EKI18" s="41"/>
      <c r="EKJ18" s="41"/>
      <c r="EKK18" s="41"/>
      <c r="EKL18" s="41"/>
      <c r="EKM18" s="41"/>
      <c r="EKN18" s="41"/>
      <c r="EKO18" s="41"/>
      <c r="EKP18" s="41"/>
      <c r="EKQ18" s="41"/>
      <c r="EKR18" s="41"/>
      <c r="EKS18" s="41"/>
      <c r="EKT18" s="41"/>
      <c r="EKU18" s="41"/>
      <c r="EKV18" s="41"/>
      <c r="EKW18" s="41"/>
      <c r="EKX18" s="41"/>
      <c r="EKY18" s="41"/>
      <c r="EKZ18" s="41"/>
      <c r="ELA18" s="41"/>
      <c r="ELB18" s="41"/>
      <c r="ELC18" s="41"/>
      <c r="ELD18" s="41"/>
      <c r="ELE18" s="41"/>
      <c r="ELF18" s="41"/>
      <c r="ELG18" s="41"/>
      <c r="ELH18" s="41"/>
      <c r="ELI18" s="41"/>
      <c r="ELJ18" s="41"/>
      <c r="ELK18" s="41"/>
      <c r="ELL18" s="41"/>
      <c r="ELM18" s="41"/>
      <c r="ELN18" s="41"/>
      <c r="ELO18" s="41"/>
      <c r="ELP18" s="41"/>
      <c r="ELQ18" s="41"/>
      <c r="ELR18" s="41"/>
      <c r="ELS18" s="41"/>
      <c r="ELT18" s="41"/>
      <c r="ELU18" s="41"/>
      <c r="ELV18" s="41"/>
      <c r="ELW18" s="41"/>
      <c r="ELX18" s="41"/>
      <c r="ELY18" s="41"/>
      <c r="ELZ18" s="41"/>
      <c r="EMA18" s="41"/>
      <c r="EMB18" s="41"/>
      <c r="EMC18" s="41"/>
      <c r="EMD18" s="41"/>
      <c r="EME18" s="41"/>
      <c r="EMF18" s="41"/>
      <c r="EMG18" s="41"/>
      <c r="EMH18" s="41"/>
      <c r="EMI18" s="41"/>
      <c r="EMJ18" s="41"/>
      <c r="EMK18" s="41"/>
      <c r="EML18" s="41"/>
      <c r="EMM18" s="41"/>
      <c r="EMN18" s="41"/>
      <c r="EMO18" s="41"/>
      <c r="EMP18" s="41"/>
      <c r="EMQ18" s="41"/>
      <c r="EMR18" s="41"/>
      <c r="EMS18" s="41"/>
      <c r="EMT18" s="41"/>
      <c r="EMU18" s="41"/>
      <c r="EMV18" s="41"/>
      <c r="EMW18" s="41"/>
      <c r="EMX18" s="41"/>
      <c r="EMY18" s="41"/>
      <c r="EMZ18" s="41"/>
      <c r="ENA18" s="41"/>
      <c r="ENB18" s="41"/>
      <c r="ENC18" s="41"/>
      <c r="END18" s="41"/>
      <c r="ENE18" s="41"/>
      <c r="ENF18" s="41"/>
      <c r="ENG18" s="41"/>
      <c r="ENH18" s="41"/>
      <c r="ENI18" s="41"/>
      <c r="ENJ18" s="41"/>
      <c r="ENK18" s="41"/>
      <c r="ENL18" s="41"/>
      <c r="ENM18" s="41"/>
      <c r="ENN18" s="41"/>
      <c r="ENO18" s="41"/>
      <c r="ENP18" s="41"/>
      <c r="ENQ18" s="41"/>
      <c r="ENR18" s="41"/>
      <c r="ENS18" s="41"/>
      <c r="ENT18" s="41"/>
      <c r="ENU18" s="41"/>
      <c r="ENV18" s="41"/>
      <c r="ENW18" s="41"/>
      <c r="ENX18" s="41"/>
      <c r="ENY18" s="41"/>
      <c r="ENZ18" s="41"/>
      <c r="EOA18" s="41"/>
      <c r="EOB18" s="41"/>
      <c r="EOC18" s="41"/>
      <c r="EOD18" s="41"/>
      <c r="EOE18" s="41"/>
      <c r="EOF18" s="41"/>
      <c r="EOG18" s="41"/>
      <c r="EOH18" s="41"/>
      <c r="EOI18" s="41"/>
      <c r="EOJ18" s="41"/>
      <c r="EOK18" s="41"/>
      <c r="EOL18" s="41"/>
      <c r="EOM18" s="41"/>
      <c r="EON18" s="41"/>
      <c r="EOO18" s="41"/>
      <c r="EOP18" s="41"/>
      <c r="EOQ18" s="41"/>
      <c r="EOR18" s="41"/>
      <c r="EOS18" s="41"/>
      <c r="EOT18" s="41"/>
      <c r="EOU18" s="41"/>
      <c r="EOV18" s="41"/>
      <c r="EOW18" s="41"/>
      <c r="EOX18" s="41"/>
      <c r="EOY18" s="41"/>
      <c r="EOZ18" s="41"/>
      <c r="EPA18" s="41"/>
      <c r="EPB18" s="41"/>
      <c r="EPC18" s="41"/>
      <c r="EPD18" s="41"/>
      <c r="EPE18" s="41"/>
      <c r="EPF18" s="41"/>
      <c r="EPG18" s="41"/>
      <c r="EPH18" s="41"/>
      <c r="EPI18" s="41"/>
      <c r="EPJ18" s="41"/>
      <c r="EPK18" s="41"/>
      <c r="EPL18" s="41"/>
      <c r="EPM18" s="41"/>
      <c r="EPN18" s="41"/>
      <c r="EPO18" s="41"/>
      <c r="EPP18" s="41"/>
      <c r="EPQ18" s="41"/>
      <c r="EPR18" s="41"/>
      <c r="EPS18" s="41"/>
      <c r="EPT18" s="41"/>
      <c r="EPU18" s="41"/>
      <c r="EPV18" s="41"/>
      <c r="EPW18" s="41"/>
      <c r="EPX18" s="41"/>
      <c r="EPY18" s="41"/>
      <c r="EPZ18" s="41"/>
      <c r="EQA18" s="41"/>
      <c r="EQB18" s="41"/>
      <c r="EQC18" s="41"/>
      <c r="EQD18" s="41"/>
      <c r="EQE18" s="41"/>
      <c r="EQF18" s="41"/>
      <c r="EQG18" s="41"/>
      <c r="EQH18" s="41"/>
      <c r="EQI18" s="41"/>
      <c r="EQJ18" s="41"/>
      <c r="EQK18" s="41"/>
      <c r="EQL18" s="41"/>
      <c r="EQM18" s="41"/>
      <c r="EQN18" s="41"/>
      <c r="EQO18" s="41"/>
      <c r="EQP18" s="41"/>
      <c r="EQQ18" s="41"/>
      <c r="EQR18" s="41"/>
      <c r="EQS18" s="41"/>
      <c r="EQT18" s="41"/>
      <c r="EQU18" s="41"/>
      <c r="EQV18" s="41"/>
      <c r="EQW18" s="41"/>
      <c r="EQX18" s="41"/>
      <c r="EQY18" s="41"/>
      <c r="EQZ18" s="41"/>
      <c r="ERA18" s="41"/>
      <c r="ERB18" s="41"/>
      <c r="ERC18" s="41"/>
      <c r="ERD18" s="41"/>
      <c r="ERE18" s="41"/>
      <c r="ERF18" s="41"/>
      <c r="ERG18" s="41"/>
      <c r="ERH18" s="41"/>
      <c r="ERI18" s="41"/>
      <c r="ERJ18" s="41"/>
      <c r="ERK18" s="41"/>
      <c r="ERL18" s="41"/>
      <c r="ERM18" s="41"/>
      <c r="ERN18" s="41"/>
      <c r="ERO18" s="41"/>
      <c r="ERP18" s="41"/>
      <c r="ERQ18" s="41"/>
      <c r="ERR18" s="41"/>
      <c r="ERS18" s="41"/>
      <c r="ERT18" s="41"/>
      <c r="ERU18" s="41"/>
      <c r="ERV18" s="41"/>
      <c r="ERW18" s="41"/>
      <c r="ERX18" s="41"/>
      <c r="ERY18" s="41"/>
      <c r="ERZ18" s="41"/>
      <c r="ESA18" s="41"/>
      <c r="ESB18" s="41"/>
      <c r="ESC18" s="41"/>
      <c r="ESD18" s="41"/>
      <c r="ESE18" s="41"/>
      <c r="ESF18" s="41"/>
      <c r="ESG18" s="41"/>
      <c r="ESH18" s="41"/>
      <c r="ESI18" s="41"/>
      <c r="ESJ18" s="41"/>
      <c r="ESK18" s="41"/>
      <c r="ESL18" s="41"/>
      <c r="ESM18" s="41"/>
      <c r="ESN18" s="41"/>
      <c r="ESO18" s="41"/>
      <c r="ESP18" s="41"/>
      <c r="ESQ18" s="41"/>
      <c r="ESR18" s="41"/>
      <c r="ESS18" s="41"/>
      <c r="EST18" s="41"/>
      <c r="ESU18" s="41"/>
      <c r="ESV18" s="41"/>
      <c r="ESW18" s="41"/>
      <c r="ESX18" s="41"/>
      <c r="ESY18" s="41"/>
      <c r="ESZ18" s="41"/>
      <c r="ETA18" s="41"/>
      <c r="ETB18" s="41"/>
      <c r="ETC18" s="41"/>
      <c r="ETD18" s="41"/>
      <c r="ETE18" s="41"/>
      <c r="ETF18" s="41"/>
      <c r="ETG18" s="41"/>
      <c r="ETH18" s="41"/>
      <c r="ETI18" s="41"/>
      <c r="ETJ18" s="41"/>
      <c r="ETK18" s="41"/>
      <c r="ETL18" s="41"/>
      <c r="ETM18" s="41"/>
      <c r="ETN18" s="41"/>
      <c r="ETO18" s="41"/>
      <c r="ETP18" s="41"/>
      <c r="ETQ18" s="41"/>
      <c r="ETR18" s="41"/>
      <c r="ETS18" s="41"/>
      <c r="ETT18" s="41"/>
      <c r="ETU18" s="41"/>
      <c r="ETV18" s="41"/>
      <c r="ETW18" s="41"/>
      <c r="ETX18" s="41"/>
      <c r="ETY18" s="41"/>
      <c r="ETZ18" s="41"/>
      <c r="EUA18" s="41"/>
      <c r="EUB18" s="41"/>
      <c r="EUC18" s="41"/>
      <c r="EUD18" s="41"/>
      <c r="EUE18" s="41"/>
      <c r="EUF18" s="41"/>
      <c r="EUG18" s="41"/>
      <c r="EUH18" s="41"/>
      <c r="EUI18" s="41"/>
      <c r="EUJ18" s="41"/>
      <c r="EUK18" s="41"/>
      <c r="EUL18" s="41"/>
      <c r="EUM18" s="41"/>
      <c r="EUN18" s="41"/>
      <c r="EUO18" s="41"/>
      <c r="EUP18" s="41"/>
      <c r="EUQ18" s="41"/>
      <c r="EUR18" s="41"/>
      <c r="EUS18" s="41"/>
      <c r="EUT18" s="41"/>
      <c r="EUU18" s="41"/>
      <c r="EUV18" s="41"/>
      <c r="EUW18" s="41"/>
      <c r="EUX18" s="41"/>
      <c r="EUY18" s="41"/>
      <c r="EUZ18" s="41"/>
      <c r="EVA18" s="41"/>
      <c r="EVB18" s="41"/>
      <c r="EVC18" s="41"/>
      <c r="EVD18" s="41"/>
      <c r="EVE18" s="41"/>
      <c r="EVF18" s="41"/>
      <c r="EVG18" s="41"/>
      <c r="EVH18" s="41"/>
      <c r="EVI18" s="41"/>
      <c r="EVJ18" s="41"/>
      <c r="EVK18" s="41"/>
      <c r="EVL18" s="41"/>
      <c r="EVM18" s="41"/>
      <c r="EVN18" s="41"/>
      <c r="EVO18" s="41"/>
      <c r="EVP18" s="41"/>
      <c r="EVQ18" s="41"/>
      <c r="EVR18" s="41"/>
      <c r="EVS18" s="41"/>
      <c r="EVT18" s="41"/>
      <c r="EVU18" s="41"/>
      <c r="EVV18" s="41"/>
      <c r="EVW18" s="41"/>
      <c r="EVX18" s="41"/>
      <c r="EVY18" s="41"/>
      <c r="EVZ18" s="41"/>
      <c r="EWA18" s="41"/>
      <c r="EWB18" s="41"/>
      <c r="EWC18" s="41"/>
      <c r="EWD18" s="41"/>
      <c r="EWE18" s="41"/>
      <c r="EWF18" s="41"/>
      <c r="EWG18" s="41"/>
      <c r="EWH18" s="41"/>
      <c r="EWI18" s="41"/>
      <c r="EWJ18" s="41"/>
      <c r="EWK18" s="41"/>
      <c r="EWL18" s="41"/>
      <c r="EWM18" s="41"/>
      <c r="EWN18" s="41"/>
      <c r="EWO18" s="41"/>
      <c r="EWP18" s="41"/>
      <c r="EWQ18" s="41"/>
      <c r="EWR18" s="41"/>
      <c r="EWS18" s="41"/>
      <c r="EWT18" s="41"/>
      <c r="EWU18" s="41"/>
      <c r="EWV18" s="41"/>
      <c r="EWW18" s="41"/>
      <c r="EWX18" s="41"/>
      <c r="EWY18" s="41"/>
      <c r="EWZ18" s="41"/>
      <c r="EXA18" s="41"/>
      <c r="EXB18" s="41"/>
      <c r="EXC18" s="41"/>
      <c r="EXD18" s="41"/>
      <c r="EXE18" s="41"/>
      <c r="EXF18" s="41"/>
      <c r="EXG18" s="41"/>
      <c r="EXH18" s="41"/>
      <c r="EXI18" s="41"/>
      <c r="EXJ18" s="41"/>
      <c r="EXK18" s="41"/>
      <c r="EXL18" s="41"/>
      <c r="EXM18" s="41"/>
      <c r="EXN18" s="41"/>
      <c r="EXO18" s="41"/>
      <c r="EXP18" s="41"/>
      <c r="EXQ18" s="41"/>
      <c r="EXR18" s="41"/>
      <c r="EXS18" s="41"/>
      <c r="EXT18" s="41"/>
      <c r="EXU18" s="41"/>
      <c r="EXV18" s="41"/>
      <c r="EXW18" s="41"/>
      <c r="EXX18" s="41"/>
      <c r="EXY18" s="41"/>
      <c r="EXZ18" s="41"/>
      <c r="EYA18" s="41"/>
      <c r="EYB18" s="41"/>
      <c r="EYC18" s="41"/>
      <c r="EYD18" s="41"/>
      <c r="EYE18" s="41"/>
      <c r="EYF18" s="41"/>
      <c r="EYG18" s="41"/>
      <c r="EYH18" s="41"/>
      <c r="EYI18" s="41"/>
      <c r="EYJ18" s="41"/>
      <c r="EYK18" s="41"/>
      <c r="EYL18" s="41"/>
      <c r="EYM18" s="41"/>
      <c r="EYN18" s="41"/>
      <c r="EYO18" s="41"/>
      <c r="EYP18" s="41"/>
      <c r="EYQ18" s="41"/>
      <c r="EYR18" s="41"/>
      <c r="EYS18" s="41"/>
      <c r="EYT18" s="41"/>
      <c r="EYU18" s="41"/>
      <c r="EYV18" s="41"/>
      <c r="EYW18" s="41"/>
      <c r="EYX18" s="41"/>
      <c r="EYY18" s="41"/>
      <c r="EYZ18" s="41"/>
      <c r="EZA18" s="41"/>
      <c r="EZB18" s="41"/>
      <c r="EZC18" s="41"/>
      <c r="EZD18" s="41"/>
      <c r="EZE18" s="41"/>
      <c r="EZF18" s="41"/>
      <c r="EZG18" s="41"/>
      <c r="EZH18" s="41"/>
      <c r="EZI18" s="41"/>
      <c r="EZJ18" s="41"/>
      <c r="EZK18" s="41"/>
      <c r="EZL18" s="41"/>
      <c r="EZM18" s="41"/>
      <c r="EZN18" s="41"/>
      <c r="EZO18" s="41"/>
      <c r="EZP18" s="41"/>
      <c r="EZQ18" s="41"/>
      <c r="EZR18" s="41"/>
      <c r="EZS18" s="41"/>
      <c r="EZT18" s="41"/>
      <c r="EZU18" s="41"/>
      <c r="EZV18" s="41"/>
      <c r="EZW18" s="41"/>
      <c r="EZX18" s="41"/>
      <c r="EZY18" s="41"/>
      <c r="EZZ18" s="41"/>
      <c r="FAA18" s="41"/>
      <c r="FAB18" s="41"/>
      <c r="FAC18" s="41"/>
      <c r="FAD18" s="41"/>
      <c r="FAE18" s="41"/>
      <c r="FAF18" s="41"/>
      <c r="FAG18" s="41"/>
      <c r="FAH18" s="41"/>
      <c r="FAI18" s="41"/>
      <c r="FAJ18" s="41"/>
      <c r="FAK18" s="41"/>
      <c r="FAL18" s="41"/>
      <c r="FAM18" s="41"/>
      <c r="FAN18" s="41"/>
      <c r="FAO18" s="41"/>
      <c r="FAP18" s="41"/>
      <c r="FAQ18" s="41"/>
      <c r="FAR18" s="41"/>
      <c r="FAS18" s="41"/>
      <c r="FAT18" s="41"/>
      <c r="FAU18" s="41"/>
      <c r="FAV18" s="41"/>
      <c r="FAW18" s="41"/>
      <c r="FAX18" s="41"/>
      <c r="FAY18" s="41"/>
      <c r="FAZ18" s="41"/>
      <c r="FBA18" s="41"/>
      <c r="FBB18" s="41"/>
      <c r="FBC18" s="41"/>
      <c r="FBD18" s="41"/>
      <c r="FBE18" s="41"/>
      <c r="FBF18" s="41"/>
      <c r="FBG18" s="41"/>
      <c r="FBH18" s="41"/>
      <c r="FBI18" s="41"/>
      <c r="FBJ18" s="41"/>
      <c r="FBK18" s="41"/>
      <c r="FBL18" s="41"/>
      <c r="FBM18" s="41"/>
      <c r="FBN18" s="41"/>
      <c r="FBO18" s="41"/>
      <c r="FBP18" s="41"/>
      <c r="FBQ18" s="41"/>
      <c r="FBR18" s="41"/>
      <c r="FBS18" s="41"/>
      <c r="FBT18" s="41"/>
      <c r="FBU18" s="41"/>
      <c r="FBV18" s="41"/>
      <c r="FBW18" s="41"/>
      <c r="FBX18" s="41"/>
      <c r="FBY18" s="41"/>
      <c r="FBZ18" s="41"/>
      <c r="FCA18" s="41"/>
      <c r="FCB18" s="41"/>
      <c r="FCC18" s="41"/>
      <c r="FCD18" s="41"/>
      <c r="FCE18" s="41"/>
      <c r="FCF18" s="41"/>
      <c r="FCG18" s="41"/>
      <c r="FCH18" s="41"/>
      <c r="FCI18" s="41"/>
      <c r="FCJ18" s="41"/>
      <c r="FCK18" s="41"/>
      <c r="FCL18" s="41"/>
      <c r="FCM18" s="41"/>
      <c r="FCN18" s="41"/>
      <c r="FCO18" s="41"/>
      <c r="FCP18" s="41"/>
      <c r="FCQ18" s="41"/>
      <c r="FCR18" s="41"/>
      <c r="FCS18" s="41"/>
      <c r="FCT18" s="41"/>
      <c r="FCU18" s="41"/>
      <c r="FCV18" s="41"/>
      <c r="FCW18" s="41"/>
      <c r="FCX18" s="41"/>
      <c r="FCY18" s="41"/>
      <c r="FCZ18" s="41"/>
      <c r="FDA18" s="41"/>
      <c r="FDB18" s="41"/>
      <c r="FDC18" s="41"/>
      <c r="FDD18" s="41"/>
      <c r="FDE18" s="41"/>
      <c r="FDF18" s="41"/>
      <c r="FDG18" s="41"/>
      <c r="FDH18" s="41"/>
      <c r="FDI18" s="41"/>
      <c r="FDJ18" s="41"/>
      <c r="FDK18" s="41"/>
      <c r="FDL18" s="41"/>
      <c r="FDM18" s="41"/>
      <c r="FDN18" s="41"/>
      <c r="FDO18" s="41"/>
      <c r="FDP18" s="41"/>
      <c r="FDQ18" s="41"/>
      <c r="FDR18" s="41"/>
      <c r="FDS18" s="41"/>
      <c r="FDT18" s="41"/>
      <c r="FDU18" s="41"/>
      <c r="FDV18" s="41"/>
      <c r="FDW18" s="41"/>
      <c r="FDX18" s="41"/>
      <c r="FDY18" s="41"/>
      <c r="FDZ18" s="41"/>
      <c r="FEA18" s="41"/>
      <c r="FEB18" s="41"/>
      <c r="FEC18" s="41"/>
      <c r="FED18" s="41"/>
      <c r="FEE18" s="41"/>
      <c r="FEF18" s="41"/>
      <c r="FEG18" s="41"/>
      <c r="FEH18" s="41"/>
      <c r="FEI18" s="41"/>
      <c r="FEJ18" s="41"/>
      <c r="FEK18" s="41"/>
      <c r="FEL18" s="41"/>
      <c r="FEM18" s="41"/>
      <c r="FEN18" s="41"/>
      <c r="FEO18" s="41"/>
      <c r="FEP18" s="41"/>
      <c r="FEQ18" s="41"/>
      <c r="FER18" s="41"/>
      <c r="FES18" s="41"/>
      <c r="FET18" s="41"/>
      <c r="FEU18" s="41"/>
      <c r="FEV18" s="41"/>
      <c r="FEW18" s="41"/>
      <c r="FEX18" s="41"/>
      <c r="FEY18" s="41"/>
      <c r="FEZ18" s="41"/>
      <c r="FFA18" s="41"/>
      <c r="FFB18" s="41"/>
      <c r="FFC18" s="41"/>
      <c r="FFD18" s="41"/>
      <c r="FFE18" s="41"/>
      <c r="FFF18" s="41"/>
      <c r="FFG18" s="41"/>
      <c r="FFH18" s="41"/>
      <c r="FFI18" s="41"/>
      <c r="FFJ18" s="41"/>
      <c r="FFK18" s="41"/>
      <c r="FFL18" s="41"/>
      <c r="FFM18" s="41"/>
      <c r="FFN18" s="41"/>
      <c r="FFO18" s="41"/>
      <c r="FFP18" s="41"/>
      <c r="FFQ18" s="41"/>
      <c r="FFR18" s="41"/>
      <c r="FFS18" s="41"/>
      <c r="FFT18" s="41"/>
      <c r="FFU18" s="41"/>
      <c r="FFV18" s="41"/>
      <c r="FFW18" s="41"/>
      <c r="FFX18" s="41"/>
      <c r="FFY18" s="41"/>
      <c r="FFZ18" s="41"/>
      <c r="FGA18" s="41"/>
      <c r="FGB18" s="41"/>
      <c r="FGC18" s="41"/>
      <c r="FGD18" s="41"/>
      <c r="FGE18" s="41"/>
      <c r="FGF18" s="41"/>
      <c r="FGG18" s="41"/>
      <c r="FGH18" s="41"/>
      <c r="FGI18" s="41"/>
      <c r="FGJ18" s="41"/>
      <c r="FGK18" s="41"/>
      <c r="FGL18" s="41"/>
      <c r="FGM18" s="41"/>
      <c r="FGN18" s="41"/>
      <c r="FGO18" s="41"/>
      <c r="FGP18" s="41"/>
      <c r="FGQ18" s="41"/>
      <c r="FGR18" s="41"/>
      <c r="FGS18" s="41"/>
      <c r="FGT18" s="41"/>
      <c r="FGU18" s="41"/>
      <c r="FGV18" s="41"/>
      <c r="FGW18" s="41"/>
      <c r="FGX18" s="41"/>
      <c r="FGY18" s="41"/>
      <c r="FGZ18" s="41"/>
      <c r="FHA18" s="41"/>
      <c r="FHB18" s="41"/>
      <c r="FHC18" s="41"/>
      <c r="FHD18" s="41"/>
      <c r="FHE18" s="41"/>
      <c r="FHF18" s="41"/>
      <c r="FHG18" s="41"/>
      <c r="FHH18" s="41"/>
      <c r="FHI18" s="41"/>
      <c r="FHJ18" s="41"/>
      <c r="FHK18" s="41"/>
      <c r="FHL18" s="41"/>
      <c r="FHM18" s="41"/>
      <c r="FHN18" s="41"/>
      <c r="FHO18" s="41"/>
      <c r="FHP18" s="41"/>
      <c r="FHQ18" s="41"/>
      <c r="FHR18" s="41"/>
      <c r="FHS18" s="41"/>
      <c r="FHT18" s="41"/>
      <c r="FHU18" s="41"/>
      <c r="FHV18" s="41"/>
      <c r="FHW18" s="41"/>
      <c r="FHX18" s="41"/>
      <c r="FHY18" s="41"/>
      <c r="FHZ18" s="41"/>
      <c r="FIA18" s="41"/>
      <c r="FIB18" s="41"/>
      <c r="FIC18" s="41"/>
      <c r="FID18" s="41"/>
      <c r="FIE18" s="41"/>
      <c r="FIF18" s="41"/>
      <c r="FIG18" s="41"/>
      <c r="FIH18" s="41"/>
      <c r="FII18" s="41"/>
      <c r="FIJ18" s="41"/>
      <c r="FIK18" s="41"/>
      <c r="FIL18" s="41"/>
      <c r="FIM18" s="41"/>
      <c r="FIN18" s="41"/>
      <c r="FIO18" s="41"/>
      <c r="FIP18" s="41"/>
      <c r="FIQ18" s="41"/>
      <c r="FIR18" s="41"/>
      <c r="FIS18" s="41"/>
      <c r="FIT18" s="41"/>
      <c r="FIU18" s="41"/>
      <c r="FIV18" s="41"/>
      <c r="FIW18" s="41"/>
      <c r="FIX18" s="41"/>
      <c r="FIY18" s="41"/>
      <c r="FIZ18" s="41"/>
      <c r="FJA18" s="41"/>
      <c r="FJB18" s="41"/>
      <c r="FJC18" s="41"/>
      <c r="FJD18" s="41"/>
      <c r="FJE18" s="41"/>
      <c r="FJF18" s="41"/>
      <c r="FJG18" s="41"/>
      <c r="FJH18" s="41"/>
      <c r="FJI18" s="41"/>
      <c r="FJJ18" s="41"/>
      <c r="FJK18" s="41"/>
      <c r="FJL18" s="41"/>
      <c r="FJM18" s="41"/>
      <c r="FJN18" s="41"/>
      <c r="FJO18" s="41"/>
      <c r="FJP18" s="41"/>
      <c r="FJQ18" s="41"/>
      <c r="FJR18" s="41"/>
      <c r="FJS18" s="41"/>
      <c r="FJT18" s="41"/>
      <c r="FJU18" s="41"/>
      <c r="FJV18" s="41"/>
      <c r="FJW18" s="41"/>
      <c r="FJX18" s="41"/>
      <c r="FJY18" s="41"/>
      <c r="FJZ18" s="41"/>
      <c r="FKA18" s="41"/>
      <c r="FKB18" s="41"/>
      <c r="FKC18" s="41"/>
      <c r="FKD18" s="41"/>
      <c r="FKE18" s="41"/>
      <c r="FKF18" s="41"/>
      <c r="FKG18" s="41"/>
      <c r="FKH18" s="41"/>
      <c r="FKI18" s="41"/>
      <c r="FKJ18" s="41"/>
      <c r="FKK18" s="41"/>
      <c r="FKL18" s="41"/>
      <c r="FKM18" s="41"/>
      <c r="FKN18" s="41"/>
      <c r="FKO18" s="41"/>
      <c r="FKP18" s="41"/>
      <c r="FKQ18" s="41"/>
      <c r="FKR18" s="41"/>
      <c r="FKS18" s="41"/>
      <c r="FKT18" s="41"/>
      <c r="FKU18" s="41"/>
      <c r="FKV18" s="41"/>
      <c r="FKW18" s="41"/>
      <c r="FKX18" s="41"/>
      <c r="FKY18" s="41"/>
      <c r="FKZ18" s="41"/>
      <c r="FLA18" s="41"/>
      <c r="FLB18" s="41"/>
      <c r="FLC18" s="41"/>
      <c r="FLD18" s="41"/>
      <c r="FLE18" s="41"/>
      <c r="FLF18" s="41"/>
      <c r="FLG18" s="41"/>
      <c r="FLH18" s="41"/>
      <c r="FLI18" s="41"/>
      <c r="FLJ18" s="41"/>
      <c r="FLK18" s="41"/>
      <c r="FLL18" s="41"/>
      <c r="FLM18" s="41"/>
      <c r="FLN18" s="41"/>
      <c r="FLO18" s="41"/>
      <c r="FLP18" s="41"/>
      <c r="FLQ18" s="41"/>
      <c r="FLR18" s="41"/>
      <c r="FLS18" s="41"/>
      <c r="FLT18" s="41"/>
      <c r="FLU18" s="41"/>
      <c r="FLV18" s="41"/>
      <c r="FLW18" s="41"/>
      <c r="FLX18" s="41"/>
      <c r="FLY18" s="41"/>
      <c r="FLZ18" s="41"/>
      <c r="FMA18" s="41"/>
      <c r="FMB18" s="41"/>
      <c r="FMC18" s="41"/>
      <c r="FMD18" s="41"/>
      <c r="FME18" s="41"/>
      <c r="FMF18" s="41"/>
      <c r="FMG18" s="41"/>
      <c r="FMH18" s="41"/>
      <c r="FMI18" s="41"/>
      <c r="FMJ18" s="41"/>
      <c r="FMK18" s="41"/>
      <c r="FML18" s="41"/>
      <c r="FMM18" s="41"/>
      <c r="FMN18" s="41"/>
      <c r="FMO18" s="41"/>
      <c r="FMP18" s="41"/>
      <c r="FMQ18" s="41"/>
      <c r="FMR18" s="41"/>
      <c r="FMS18" s="41"/>
      <c r="FMT18" s="41"/>
      <c r="FMU18" s="41"/>
      <c r="FMV18" s="41"/>
      <c r="FMW18" s="41"/>
      <c r="FMX18" s="41"/>
      <c r="FMY18" s="41"/>
      <c r="FMZ18" s="41"/>
      <c r="FNA18" s="41"/>
      <c r="FNB18" s="41"/>
      <c r="FNC18" s="41"/>
      <c r="FND18" s="41"/>
      <c r="FNE18" s="41"/>
      <c r="FNF18" s="41"/>
      <c r="FNG18" s="41"/>
      <c r="FNH18" s="41"/>
      <c r="FNI18" s="41"/>
      <c r="FNJ18" s="41"/>
      <c r="FNK18" s="41"/>
      <c r="FNL18" s="41"/>
      <c r="FNM18" s="41"/>
      <c r="FNN18" s="41"/>
      <c r="FNO18" s="41"/>
      <c r="FNP18" s="41"/>
      <c r="FNQ18" s="41"/>
      <c r="FNR18" s="41"/>
      <c r="FNS18" s="41"/>
      <c r="FNT18" s="41"/>
      <c r="FNU18" s="41"/>
      <c r="FNV18" s="41"/>
      <c r="FNW18" s="41"/>
      <c r="FNX18" s="41"/>
      <c r="FNY18" s="41"/>
      <c r="FNZ18" s="41"/>
      <c r="FOA18" s="41"/>
      <c r="FOB18" s="41"/>
      <c r="FOC18" s="41"/>
      <c r="FOD18" s="41"/>
      <c r="FOE18" s="41"/>
      <c r="FOF18" s="41"/>
      <c r="FOG18" s="41"/>
      <c r="FOH18" s="41"/>
      <c r="FOI18" s="41"/>
      <c r="FOJ18" s="41"/>
      <c r="FOK18" s="41"/>
      <c r="FOL18" s="41"/>
      <c r="FOM18" s="41"/>
      <c r="FON18" s="41"/>
      <c r="FOO18" s="41"/>
      <c r="FOP18" s="41"/>
      <c r="FOQ18" s="41"/>
      <c r="FOR18" s="41"/>
      <c r="FOS18" s="41"/>
      <c r="FOT18" s="41"/>
      <c r="FOU18" s="41"/>
      <c r="FOV18" s="41"/>
      <c r="FOW18" s="41"/>
      <c r="FOX18" s="41"/>
      <c r="FOY18" s="41"/>
      <c r="FOZ18" s="41"/>
      <c r="FPA18" s="41"/>
      <c r="FPB18" s="41"/>
      <c r="FPC18" s="41"/>
      <c r="FPD18" s="41"/>
      <c r="FPE18" s="41"/>
      <c r="FPF18" s="41"/>
      <c r="FPG18" s="41"/>
      <c r="FPH18" s="41"/>
      <c r="FPI18" s="41"/>
      <c r="FPJ18" s="41"/>
      <c r="FPK18" s="41"/>
      <c r="FPL18" s="41"/>
      <c r="FPM18" s="41"/>
      <c r="FPN18" s="41"/>
      <c r="FPO18" s="41"/>
      <c r="FPP18" s="41"/>
      <c r="FPQ18" s="41"/>
      <c r="FPR18" s="41"/>
      <c r="FPS18" s="41"/>
      <c r="FPT18" s="41"/>
      <c r="FPU18" s="41"/>
      <c r="FPV18" s="41"/>
      <c r="FPW18" s="41"/>
      <c r="FPX18" s="41"/>
      <c r="FPY18" s="41"/>
      <c r="FPZ18" s="41"/>
      <c r="FQA18" s="41"/>
      <c r="FQB18" s="41"/>
      <c r="FQC18" s="41"/>
      <c r="FQD18" s="41"/>
      <c r="FQE18" s="41"/>
      <c r="FQF18" s="41"/>
      <c r="FQG18" s="41"/>
      <c r="FQH18" s="41"/>
      <c r="FQI18" s="41"/>
      <c r="FQJ18" s="41"/>
      <c r="FQK18" s="41"/>
      <c r="FQL18" s="41"/>
      <c r="FQM18" s="41"/>
      <c r="FQN18" s="41"/>
      <c r="FQO18" s="41"/>
      <c r="FQP18" s="41"/>
      <c r="FQQ18" s="41"/>
      <c r="FQR18" s="41"/>
      <c r="FQS18" s="41"/>
      <c r="FQT18" s="41"/>
      <c r="FQU18" s="41"/>
      <c r="FQV18" s="41"/>
      <c r="FQW18" s="41"/>
      <c r="FQX18" s="41"/>
      <c r="FQY18" s="41"/>
      <c r="FQZ18" s="41"/>
      <c r="FRA18" s="41"/>
      <c r="FRB18" s="41"/>
      <c r="FRC18" s="41"/>
      <c r="FRD18" s="41"/>
      <c r="FRE18" s="41"/>
      <c r="FRF18" s="41"/>
      <c r="FRG18" s="41"/>
      <c r="FRH18" s="41"/>
      <c r="FRI18" s="41"/>
      <c r="FRJ18" s="41"/>
      <c r="FRK18" s="41"/>
      <c r="FRL18" s="41"/>
      <c r="FRM18" s="41"/>
      <c r="FRN18" s="41"/>
      <c r="FRO18" s="41"/>
      <c r="FRP18" s="41"/>
      <c r="FRQ18" s="41"/>
      <c r="FRR18" s="41"/>
      <c r="FRS18" s="41"/>
      <c r="FRT18" s="41"/>
      <c r="FRU18" s="41"/>
      <c r="FRV18" s="41"/>
      <c r="FRW18" s="41"/>
      <c r="FRX18" s="41"/>
      <c r="FRY18" s="41"/>
      <c r="FRZ18" s="41"/>
      <c r="FSA18" s="41"/>
      <c r="FSB18" s="41"/>
      <c r="FSC18" s="41"/>
      <c r="FSD18" s="41"/>
      <c r="FSE18" s="41"/>
      <c r="FSF18" s="41"/>
      <c r="FSG18" s="41"/>
      <c r="FSH18" s="41"/>
      <c r="FSI18" s="41"/>
      <c r="FSJ18" s="41"/>
      <c r="FSK18" s="41"/>
      <c r="FSL18" s="41"/>
      <c r="FSM18" s="41"/>
      <c r="FSN18" s="41"/>
      <c r="FSO18" s="41"/>
      <c r="FSP18" s="41"/>
      <c r="FSQ18" s="41"/>
      <c r="FSR18" s="41"/>
      <c r="FSS18" s="41"/>
      <c r="FST18" s="41"/>
      <c r="FSU18" s="41"/>
      <c r="FSV18" s="41"/>
      <c r="FSW18" s="41"/>
      <c r="FSX18" s="41"/>
      <c r="FSY18" s="41"/>
      <c r="FSZ18" s="41"/>
      <c r="FTA18" s="41"/>
      <c r="FTB18" s="41"/>
      <c r="FTC18" s="41"/>
      <c r="FTD18" s="41"/>
      <c r="FTE18" s="41"/>
      <c r="FTF18" s="41"/>
      <c r="FTG18" s="41"/>
      <c r="FTH18" s="41"/>
      <c r="FTI18" s="41"/>
      <c r="FTJ18" s="41"/>
      <c r="FTK18" s="41"/>
      <c r="FTL18" s="41"/>
      <c r="FTM18" s="41"/>
      <c r="FTN18" s="41"/>
      <c r="FTO18" s="41"/>
      <c r="FTP18" s="41"/>
      <c r="FTQ18" s="41"/>
      <c r="FTR18" s="41"/>
      <c r="FTS18" s="41"/>
      <c r="FTT18" s="41"/>
      <c r="FTU18" s="41"/>
      <c r="FTV18" s="41"/>
      <c r="FTW18" s="41"/>
      <c r="FTX18" s="41"/>
      <c r="FTY18" s="41"/>
      <c r="FTZ18" s="41"/>
      <c r="FUA18" s="41"/>
      <c r="FUB18" s="41"/>
      <c r="FUC18" s="41"/>
      <c r="FUD18" s="41"/>
      <c r="FUE18" s="41"/>
      <c r="FUF18" s="41"/>
      <c r="FUG18" s="41"/>
      <c r="FUH18" s="41"/>
      <c r="FUI18" s="41"/>
      <c r="FUJ18" s="41"/>
      <c r="FUK18" s="41"/>
      <c r="FUL18" s="41"/>
      <c r="FUM18" s="41"/>
      <c r="FUN18" s="41"/>
      <c r="FUO18" s="41"/>
      <c r="FUP18" s="41"/>
      <c r="FUQ18" s="41"/>
      <c r="FUR18" s="41"/>
      <c r="FUS18" s="41"/>
      <c r="FUT18" s="41"/>
      <c r="FUU18" s="41"/>
      <c r="FUV18" s="41"/>
      <c r="FUW18" s="41"/>
      <c r="FUX18" s="41"/>
      <c r="FUY18" s="41"/>
      <c r="FUZ18" s="41"/>
      <c r="FVA18" s="41"/>
      <c r="FVB18" s="41"/>
      <c r="FVC18" s="41"/>
      <c r="FVD18" s="41"/>
      <c r="FVE18" s="41"/>
      <c r="FVF18" s="41"/>
      <c r="FVG18" s="41"/>
      <c r="FVH18" s="41"/>
      <c r="FVI18" s="41"/>
      <c r="FVJ18" s="41"/>
      <c r="FVK18" s="41"/>
      <c r="FVL18" s="41"/>
      <c r="FVM18" s="41"/>
      <c r="FVN18" s="41"/>
      <c r="FVO18" s="41"/>
      <c r="FVP18" s="41"/>
      <c r="FVQ18" s="41"/>
      <c r="FVR18" s="41"/>
      <c r="FVS18" s="41"/>
      <c r="FVT18" s="41"/>
      <c r="FVU18" s="41"/>
      <c r="FVV18" s="41"/>
      <c r="FVW18" s="41"/>
      <c r="FVX18" s="41"/>
      <c r="FVY18" s="41"/>
      <c r="FVZ18" s="41"/>
      <c r="FWA18" s="41"/>
      <c r="FWB18" s="41"/>
      <c r="FWC18" s="41"/>
      <c r="FWD18" s="41"/>
      <c r="FWE18" s="41"/>
      <c r="FWF18" s="41"/>
      <c r="FWG18" s="41"/>
      <c r="FWH18" s="41"/>
      <c r="FWI18" s="41"/>
      <c r="FWJ18" s="41"/>
      <c r="FWK18" s="41"/>
      <c r="FWL18" s="41"/>
      <c r="FWM18" s="41"/>
      <c r="FWN18" s="41"/>
      <c r="FWO18" s="41"/>
      <c r="FWP18" s="41"/>
      <c r="FWQ18" s="41"/>
      <c r="FWR18" s="41"/>
      <c r="FWS18" s="41"/>
      <c r="FWT18" s="41"/>
      <c r="FWU18" s="41"/>
      <c r="FWV18" s="41"/>
      <c r="FWW18" s="41"/>
      <c r="FWX18" s="41"/>
      <c r="FWY18" s="41"/>
      <c r="FWZ18" s="41"/>
      <c r="FXA18" s="41"/>
      <c r="FXB18" s="41"/>
      <c r="FXC18" s="41"/>
      <c r="FXD18" s="41"/>
      <c r="FXE18" s="41"/>
      <c r="FXF18" s="41"/>
      <c r="FXG18" s="41"/>
      <c r="FXH18" s="41"/>
      <c r="FXI18" s="41"/>
      <c r="FXJ18" s="41"/>
      <c r="FXK18" s="41"/>
      <c r="FXL18" s="41"/>
      <c r="FXM18" s="41"/>
      <c r="FXN18" s="41"/>
      <c r="FXO18" s="41"/>
      <c r="FXP18" s="41"/>
      <c r="FXQ18" s="41"/>
      <c r="FXR18" s="41"/>
      <c r="FXS18" s="41"/>
      <c r="FXT18" s="41"/>
      <c r="FXU18" s="41"/>
      <c r="FXV18" s="41"/>
      <c r="FXW18" s="41"/>
      <c r="FXX18" s="41"/>
      <c r="FXY18" s="41"/>
      <c r="FXZ18" s="41"/>
      <c r="FYA18" s="41"/>
      <c r="FYB18" s="41"/>
      <c r="FYC18" s="41"/>
      <c r="FYD18" s="41"/>
      <c r="FYE18" s="41"/>
      <c r="FYF18" s="41"/>
      <c r="FYG18" s="41"/>
      <c r="FYH18" s="41"/>
      <c r="FYI18" s="41"/>
      <c r="FYJ18" s="41"/>
      <c r="FYK18" s="41"/>
      <c r="FYL18" s="41"/>
      <c r="FYM18" s="41"/>
      <c r="FYN18" s="41"/>
      <c r="FYO18" s="41"/>
      <c r="FYP18" s="41"/>
      <c r="FYQ18" s="41"/>
      <c r="FYR18" s="41"/>
      <c r="FYS18" s="41"/>
      <c r="FYT18" s="41"/>
      <c r="FYU18" s="41"/>
      <c r="FYV18" s="41"/>
      <c r="FYW18" s="41"/>
      <c r="FYX18" s="41"/>
      <c r="FYY18" s="41"/>
      <c r="FYZ18" s="41"/>
      <c r="FZA18" s="41"/>
      <c r="FZB18" s="41"/>
      <c r="FZC18" s="41"/>
      <c r="FZD18" s="41"/>
      <c r="FZE18" s="41"/>
      <c r="FZF18" s="41"/>
      <c r="FZG18" s="41"/>
      <c r="FZH18" s="41"/>
      <c r="FZI18" s="41"/>
      <c r="FZJ18" s="41"/>
      <c r="FZK18" s="41"/>
      <c r="FZL18" s="41"/>
      <c r="FZM18" s="41"/>
      <c r="FZN18" s="41"/>
      <c r="FZO18" s="41"/>
      <c r="FZP18" s="41"/>
      <c r="FZQ18" s="41"/>
      <c r="FZR18" s="41"/>
      <c r="FZS18" s="41"/>
      <c r="FZT18" s="41"/>
      <c r="FZU18" s="41"/>
      <c r="FZV18" s="41"/>
      <c r="FZW18" s="41"/>
      <c r="FZX18" s="41"/>
      <c r="FZY18" s="41"/>
      <c r="FZZ18" s="41"/>
      <c r="GAA18" s="41"/>
      <c r="GAB18" s="41"/>
      <c r="GAC18" s="41"/>
      <c r="GAD18" s="41"/>
      <c r="GAE18" s="41"/>
      <c r="GAF18" s="41"/>
      <c r="GAG18" s="41"/>
      <c r="GAH18" s="41"/>
      <c r="GAI18" s="41"/>
      <c r="GAJ18" s="41"/>
      <c r="GAK18" s="41"/>
      <c r="GAL18" s="41"/>
      <c r="GAM18" s="41"/>
      <c r="GAN18" s="41"/>
      <c r="GAO18" s="41"/>
      <c r="GAP18" s="41"/>
      <c r="GAQ18" s="41"/>
      <c r="GAR18" s="41"/>
      <c r="GAS18" s="41"/>
      <c r="GAT18" s="41"/>
      <c r="GAU18" s="41"/>
      <c r="GAV18" s="41"/>
      <c r="GAW18" s="41"/>
      <c r="GAX18" s="41"/>
      <c r="GAY18" s="41"/>
      <c r="GAZ18" s="41"/>
      <c r="GBA18" s="41"/>
      <c r="GBB18" s="41"/>
      <c r="GBC18" s="41"/>
      <c r="GBD18" s="41"/>
      <c r="GBE18" s="41"/>
      <c r="GBF18" s="41"/>
      <c r="GBG18" s="41"/>
      <c r="GBH18" s="41"/>
      <c r="GBI18" s="41"/>
      <c r="GBJ18" s="41"/>
      <c r="GBK18" s="41"/>
      <c r="GBL18" s="41"/>
      <c r="GBM18" s="41"/>
      <c r="GBN18" s="41"/>
      <c r="GBO18" s="41"/>
      <c r="GBP18" s="41"/>
      <c r="GBQ18" s="41"/>
      <c r="GBR18" s="41"/>
      <c r="GBS18" s="41"/>
      <c r="GBT18" s="41"/>
      <c r="GBU18" s="41"/>
      <c r="GBV18" s="41"/>
      <c r="GBW18" s="41"/>
      <c r="GBX18" s="41"/>
      <c r="GBY18" s="41"/>
      <c r="GBZ18" s="41"/>
      <c r="GCA18" s="41"/>
      <c r="GCB18" s="41"/>
      <c r="GCC18" s="41"/>
      <c r="GCD18" s="41"/>
      <c r="GCE18" s="41"/>
      <c r="GCF18" s="41"/>
      <c r="GCG18" s="41"/>
      <c r="GCH18" s="41"/>
      <c r="GCI18" s="41"/>
      <c r="GCJ18" s="41"/>
      <c r="GCK18" s="41"/>
      <c r="GCL18" s="41"/>
      <c r="GCM18" s="41"/>
      <c r="GCN18" s="41"/>
      <c r="GCO18" s="41"/>
      <c r="GCP18" s="41"/>
      <c r="GCQ18" s="41"/>
      <c r="GCR18" s="41"/>
      <c r="GCS18" s="41"/>
      <c r="GCT18" s="41"/>
      <c r="GCU18" s="41"/>
      <c r="GCV18" s="41"/>
      <c r="GCW18" s="41"/>
      <c r="GCX18" s="41"/>
      <c r="GCY18" s="41"/>
      <c r="GCZ18" s="41"/>
      <c r="GDA18" s="41"/>
      <c r="GDB18" s="41"/>
      <c r="GDC18" s="41"/>
      <c r="GDD18" s="41"/>
      <c r="GDE18" s="41"/>
      <c r="GDF18" s="41"/>
      <c r="GDG18" s="41"/>
      <c r="GDH18" s="41"/>
      <c r="GDI18" s="41"/>
      <c r="GDJ18" s="41"/>
      <c r="GDK18" s="41"/>
      <c r="GDL18" s="41"/>
      <c r="GDM18" s="41"/>
      <c r="GDN18" s="41"/>
      <c r="GDO18" s="41"/>
      <c r="GDP18" s="41"/>
      <c r="GDQ18" s="41"/>
      <c r="GDR18" s="41"/>
      <c r="GDS18" s="41"/>
      <c r="GDT18" s="41"/>
      <c r="GDU18" s="41"/>
      <c r="GDV18" s="41"/>
      <c r="GDW18" s="41"/>
      <c r="GDX18" s="41"/>
      <c r="GDY18" s="41"/>
      <c r="GDZ18" s="41"/>
      <c r="GEA18" s="41"/>
      <c r="GEB18" s="41"/>
      <c r="GEC18" s="41"/>
      <c r="GED18" s="41"/>
      <c r="GEE18" s="41"/>
      <c r="GEF18" s="41"/>
      <c r="GEG18" s="41"/>
      <c r="GEH18" s="41"/>
      <c r="GEI18" s="41"/>
      <c r="GEJ18" s="41"/>
      <c r="GEK18" s="41"/>
      <c r="GEL18" s="41"/>
      <c r="GEM18" s="41"/>
      <c r="GEN18" s="41"/>
      <c r="GEO18" s="41"/>
      <c r="GEP18" s="41"/>
      <c r="GEQ18" s="41"/>
      <c r="GER18" s="41"/>
      <c r="GES18" s="41"/>
      <c r="GET18" s="41"/>
      <c r="GEU18" s="41"/>
      <c r="GEV18" s="41"/>
      <c r="GEW18" s="41"/>
      <c r="GEX18" s="41"/>
      <c r="GEY18" s="41"/>
      <c r="GEZ18" s="41"/>
      <c r="GFA18" s="41"/>
      <c r="GFB18" s="41"/>
      <c r="GFC18" s="41"/>
      <c r="GFD18" s="41"/>
      <c r="GFE18" s="41"/>
      <c r="GFF18" s="41"/>
      <c r="GFG18" s="41"/>
      <c r="GFH18" s="41"/>
      <c r="GFI18" s="41"/>
      <c r="GFJ18" s="41"/>
      <c r="GFK18" s="41"/>
      <c r="GFL18" s="41"/>
      <c r="GFM18" s="41"/>
      <c r="GFN18" s="41"/>
      <c r="GFO18" s="41"/>
      <c r="GFP18" s="41"/>
      <c r="GFQ18" s="41"/>
      <c r="GFR18" s="41"/>
      <c r="GFS18" s="41"/>
      <c r="GFT18" s="41"/>
      <c r="GFU18" s="41"/>
      <c r="GFV18" s="41"/>
      <c r="GFW18" s="41"/>
      <c r="GFX18" s="41"/>
      <c r="GFY18" s="41"/>
      <c r="GFZ18" s="41"/>
      <c r="GGA18" s="41"/>
      <c r="GGB18" s="41"/>
      <c r="GGC18" s="41"/>
      <c r="GGD18" s="41"/>
      <c r="GGE18" s="41"/>
      <c r="GGF18" s="41"/>
      <c r="GGG18" s="41"/>
      <c r="GGH18" s="41"/>
      <c r="GGI18" s="41"/>
      <c r="GGJ18" s="41"/>
      <c r="GGK18" s="41"/>
      <c r="GGL18" s="41"/>
      <c r="GGM18" s="41"/>
      <c r="GGN18" s="41"/>
      <c r="GGO18" s="41"/>
      <c r="GGP18" s="41"/>
      <c r="GGQ18" s="41"/>
      <c r="GGR18" s="41"/>
      <c r="GGS18" s="41"/>
      <c r="GGT18" s="41"/>
      <c r="GGU18" s="41"/>
      <c r="GGV18" s="41"/>
      <c r="GGW18" s="41"/>
      <c r="GGX18" s="41"/>
      <c r="GGY18" s="41"/>
      <c r="GGZ18" s="41"/>
      <c r="GHA18" s="41"/>
      <c r="GHB18" s="41"/>
      <c r="GHC18" s="41"/>
      <c r="GHD18" s="41"/>
      <c r="GHE18" s="41"/>
      <c r="GHF18" s="41"/>
      <c r="GHG18" s="41"/>
      <c r="GHH18" s="41"/>
      <c r="GHI18" s="41"/>
      <c r="GHJ18" s="41"/>
      <c r="GHK18" s="41"/>
      <c r="GHL18" s="41"/>
      <c r="GHM18" s="41"/>
      <c r="GHN18" s="41"/>
      <c r="GHO18" s="41"/>
      <c r="GHP18" s="41"/>
      <c r="GHQ18" s="41"/>
      <c r="GHR18" s="41"/>
      <c r="GHS18" s="41"/>
      <c r="GHT18" s="41"/>
      <c r="GHU18" s="41"/>
      <c r="GHV18" s="41"/>
      <c r="GHW18" s="41"/>
      <c r="GHX18" s="41"/>
      <c r="GHY18" s="41"/>
      <c r="GHZ18" s="41"/>
      <c r="GIA18" s="41"/>
      <c r="GIB18" s="41"/>
      <c r="GIC18" s="41"/>
      <c r="GID18" s="41"/>
      <c r="GIE18" s="41"/>
      <c r="GIF18" s="41"/>
      <c r="GIG18" s="41"/>
      <c r="GIH18" s="41"/>
      <c r="GII18" s="41"/>
      <c r="GIJ18" s="41"/>
      <c r="GIK18" s="41"/>
      <c r="GIL18" s="41"/>
      <c r="GIM18" s="41"/>
      <c r="GIN18" s="41"/>
      <c r="GIO18" s="41"/>
      <c r="GIP18" s="41"/>
      <c r="GIQ18" s="41"/>
      <c r="GIR18" s="41"/>
      <c r="GIS18" s="41"/>
      <c r="GIT18" s="41"/>
      <c r="GIU18" s="41"/>
      <c r="GIV18" s="41"/>
      <c r="GIW18" s="41"/>
      <c r="GIX18" s="41"/>
      <c r="GIY18" s="41"/>
      <c r="GIZ18" s="41"/>
      <c r="GJA18" s="41"/>
      <c r="GJB18" s="41"/>
      <c r="GJC18" s="41"/>
      <c r="GJD18" s="41"/>
      <c r="GJE18" s="41"/>
      <c r="GJF18" s="41"/>
      <c r="GJG18" s="41"/>
      <c r="GJH18" s="41"/>
      <c r="GJI18" s="41"/>
      <c r="GJJ18" s="41"/>
      <c r="GJK18" s="41"/>
      <c r="GJL18" s="41"/>
      <c r="GJM18" s="41"/>
      <c r="GJN18" s="41"/>
      <c r="GJO18" s="41"/>
      <c r="GJP18" s="41"/>
      <c r="GJQ18" s="41"/>
      <c r="GJR18" s="41"/>
      <c r="GJS18" s="41"/>
      <c r="GJT18" s="41"/>
      <c r="GJU18" s="41"/>
      <c r="GJV18" s="41"/>
      <c r="GJW18" s="41"/>
      <c r="GJX18" s="41"/>
      <c r="GJY18" s="41"/>
      <c r="GJZ18" s="41"/>
      <c r="GKA18" s="41"/>
      <c r="GKB18" s="41"/>
      <c r="GKC18" s="41"/>
      <c r="GKD18" s="41"/>
      <c r="GKE18" s="41"/>
      <c r="GKF18" s="41"/>
      <c r="GKG18" s="41"/>
      <c r="GKH18" s="41"/>
      <c r="GKI18" s="41"/>
      <c r="GKJ18" s="41"/>
      <c r="GKK18" s="41"/>
      <c r="GKL18" s="41"/>
      <c r="GKM18" s="41"/>
      <c r="GKN18" s="41"/>
      <c r="GKO18" s="41"/>
      <c r="GKP18" s="41"/>
      <c r="GKQ18" s="41"/>
      <c r="GKR18" s="41"/>
      <c r="GKS18" s="41"/>
      <c r="GKT18" s="41"/>
      <c r="GKU18" s="41"/>
      <c r="GKV18" s="41"/>
      <c r="GKW18" s="41"/>
      <c r="GKX18" s="41"/>
      <c r="GKY18" s="41"/>
      <c r="GKZ18" s="41"/>
      <c r="GLA18" s="41"/>
      <c r="GLB18" s="41"/>
      <c r="GLC18" s="41"/>
      <c r="GLD18" s="41"/>
      <c r="GLE18" s="41"/>
      <c r="GLF18" s="41"/>
      <c r="GLG18" s="41"/>
      <c r="GLH18" s="41"/>
      <c r="GLI18" s="41"/>
      <c r="GLJ18" s="41"/>
      <c r="GLK18" s="41"/>
      <c r="GLL18" s="41"/>
      <c r="GLM18" s="41"/>
      <c r="GLN18" s="41"/>
      <c r="GLO18" s="41"/>
      <c r="GLP18" s="41"/>
      <c r="GLQ18" s="41"/>
      <c r="GLR18" s="41"/>
      <c r="GLS18" s="41"/>
      <c r="GLT18" s="41"/>
      <c r="GLU18" s="41"/>
      <c r="GLV18" s="41"/>
      <c r="GLW18" s="41"/>
      <c r="GLX18" s="41"/>
      <c r="GLY18" s="41"/>
      <c r="GLZ18" s="41"/>
      <c r="GMA18" s="41"/>
      <c r="GMB18" s="41"/>
      <c r="GMC18" s="41"/>
      <c r="GMD18" s="41"/>
      <c r="GME18" s="41"/>
      <c r="GMF18" s="41"/>
      <c r="GMG18" s="41"/>
      <c r="GMH18" s="41"/>
      <c r="GMI18" s="41"/>
      <c r="GMJ18" s="41"/>
      <c r="GMK18" s="41"/>
      <c r="GML18" s="41"/>
      <c r="GMM18" s="41"/>
      <c r="GMN18" s="41"/>
      <c r="GMO18" s="41"/>
      <c r="GMP18" s="41"/>
      <c r="GMQ18" s="41"/>
      <c r="GMR18" s="41"/>
      <c r="GMS18" s="41"/>
      <c r="GMT18" s="41"/>
      <c r="GMU18" s="41"/>
      <c r="GMV18" s="41"/>
      <c r="GMW18" s="41"/>
      <c r="GMX18" s="41"/>
      <c r="GMY18" s="41"/>
      <c r="GMZ18" s="41"/>
      <c r="GNA18" s="41"/>
      <c r="GNB18" s="41"/>
      <c r="GNC18" s="41"/>
      <c r="GND18" s="41"/>
      <c r="GNE18" s="41"/>
      <c r="GNF18" s="41"/>
      <c r="GNG18" s="41"/>
      <c r="GNH18" s="41"/>
      <c r="GNI18" s="41"/>
      <c r="GNJ18" s="41"/>
      <c r="GNK18" s="41"/>
      <c r="GNL18" s="41"/>
      <c r="GNM18" s="41"/>
      <c r="GNN18" s="41"/>
      <c r="GNO18" s="41"/>
      <c r="GNP18" s="41"/>
      <c r="GNQ18" s="41"/>
      <c r="GNR18" s="41"/>
      <c r="GNS18" s="41"/>
      <c r="GNT18" s="41"/>
      <c r="GNU18" s="41"/>
      <c r="GNV18" s="41"/>
      <c r="GNW18" s="41"/>
      <c r="GNX18" s="41"/>
      <c r="GNY18" s="41"/>
      <c r="GNZ18" s="41"/>
      <c r="GOA18" s="41"/>
      <c r="GOB18" s="41"/>
      <c r="GOC18" s="41"/>
      <c r="GOD18" s="41"/>
      <c r="GOE18" s="41"/>
      <c r="GOF18" s="41"/>
      <c r="GOG18" s="41"/>
      <c r="GOH18" s="41"/>
      <c r="GOI18" s="41"/>
      <c r="GOJ18" s="41"/>
      <c r="GOK18" s="41"/>
      <c r="GOL18" s="41"/>
      <c r="GOM18" s="41"/>
      <c r="GON18" s="41"/>
      <c r="GOO18" s="41"/>
      <c r="GOP18" s="41"/>
      <c r="GOQ18" s="41"/>
      <c r="GOR18" s="41"/>
      <c r="GOS18" s="41"/>
      <c r="GOT18" s="41"/>
      <c r="GOU18" s="41"/>
      <c r="GOV18" s="41"/>
      <c r="GOW18" s="41"/>
      <c r="GOX18" s="41"/>
      <c r="GOY18" s="41"/>
      <c r="GOZ18" s="41"/>
      <c r="GPA18" s="41"/>
      <c r="GPB18" s="41"/>
      <c r="GPC18" s="41"/>
      <c r="GPD18" s="41"/>
      <c r="GPE18" s="41"/>
      <c r="GPF18" s="41"/>
      <c r="GPG18" s="41"/>
      <c r="GPH18" s="41"/>
      <c r="GPI18" s="41"/>
      <c r="GPJ18" s="41"/>
      <c r="GPK18" s="41"/>
      <c r="GPL18" s="41"/>
      <c r="GPM18" s="41"/>
      <c r="GPN18" s="41"/>
      <c r="GPO18" s="41"/>
      <c r="GPP18" s="41"/>
      <c r="GPQ18" s="41"/>
      <c r="GPR18" s="41"/>
      <c r="GPS18" s="41"/>
      <c r="GPT18" s="41"/>
      <c r="GPU18" s="41"/>
      <c r="GPV18" s="41"/>
      <c r="GPW18" s="41"/>
      <c r="GPX18" s="41"/>
      <c r="GPY18" s="41"/>
      <c r="GPZ18" s="41"/>
      <c r="GQA18" s="41"/>
      <c r="GQB18" s="41"/>
      <c r="GQC18" s="41"/>
      <c r="GQD18" s="41"/>
      <c r="GQE18" s="41"/>
      <c r="GQF18" s="41"/>
      <c r="GQG18" s="41"/>
      <c r="GQH18" s="41"/>
      <c r="GQI18" s="41"/>
      <c r="GQJ18" s="41"/>
      <c r="GQK18" s="41"/>
      <c r="GQL18" s="41"/>
      <c r="GQM18" s="41"/>
      <c r="GQN18" s="41"/>
      <c r="GQO18" s="41"/>
      <c r="GQP18" s="41"/>
      <c r="GQQ18" s="41"/>
      <c r="GQR18" s="41"/>
      <c r="GQS18" s="41"/>
      <c r="GQT18" s="41"/>
      <c r="GQU18" s="41"/>
      <c r="GQV18" s="41"/>
      <c r="GQW18" s="41"/>
      <c r="GQX18" s="41"/>
      <c r="GQY18" s="41"/>
      <c r="GQZ18" s="41"/>
      <c r="GRA18" s="41"/>
      <c r="GRB18" s="41"/>
      <c r="GRC18" s="41"/>
      <c r="GRD18" s="41"/>
      <c r="GRE18" s="41"/>
      <c r="GRF18" s="41"/>
      <c r="GRG18" s="41"/>
      <c r="GRH18" s="41"/>
      <c r="GRI18" s="41"/>
      <c r="GRJ18" s="41"/>
      <c r="GRK18" s="41"/>
      <c r="GRL18" s="41"/>
      <c r="GRM18" s="41"/>
      <c r="GRN18" s="41"/>
      <c r="GRO18" s="41"/>
      <c r="GRP18" s="41"/>
      <c r="GRQ18" s="41"/>
      <c r="GRR18" s="41"/>
      <c r="GRS18" s="41"/>
      <c r="GRT18" s="41"/>
      <c r="GRU18" s="41"/>
      <c r="GRV18" s="41"/>
      <c r="GRW18" s="41"/>
      <c r="GRX18" s="41"/>
      <c r="GRY18" s="41"/>
      <c r="GRZ18" s="41"/>
      <c r="GSA18" s="41"/>
      <c r="GSB18" s="41"/>
      <c r="GSC18" s="41"/>
      <c r="GSD18" s="41"/>
      <c r="GSE18" s="41"/>
      <c r="GSF18" s="41"/>
      <c r="GSG18" s="41"/>
      <c r="GSH18" s="41"/>
      <c r="GSI18" s="41"/>
      <c r="GSJ18" s="41"/>
      <c r="GSK18" s="41"/>
      <c r="GSL18" s="41"/>
      <c r="GSM18" s="41"/>
      <c r="GSN18" s="41"/>
      <c r="GSO18" s="41"/>
      <c r="GSP18" s="41"/>
      <c r="GSQ18" s="41"/>
      <c r="GSR18" s="41"/>
      <c r="GSS18" s="41"/>
      <c r="GST18" s="41"/>
      <c r="GSU18" s="41"/>
      <c r="GSV18" s="41"/>
      <c r="GSW18" s="41"/>
      <c r="GSX18" s="41"/>
      <c r="GSY18" s="41"/>
      <c r="GSZ18" s="41"/>
      <c r="GTA18" s="41"/>
      <c r="GTB18" s="41"/>
      <c r="GTC18" s="41"/>
      <c r="GTD18" s="41"/>
      <c r="GTE18" s="41"/>
      <c r="GTF18" s="41"/>
      <c r="GTG18" s="41"/>
      <c r="GTH18" s="41"/>
      <c r="GTI18" s="41"/>
      <c r="GTJ18" s="41"/>
      <c r="GTK18" s="41"/>
      <c r="GTL18" s="41"/>
      <c r="GTM18" s="41"/>
      <c r="GTN18" s="41"/>
      <c r="GTO18" s="41"/>
      <c r="GTP18" s="41"/>
      <c r="GTQ18" s="41"/>
      <c r="GTR18" s="41"/>
      <c r="GTS18" s="41"/>
      <c r="GTT18" s="41"/>
      <c r="GTU18" s="41"/>
      <c r="GTV18" s="41"/>
      <c r="GTW18" s="41"/>
      <c r="GTX18" s="41"/>
      <c r="GTY18" s="41"/>
      <c r="GTZ18" s="41"/>
      <c r="GUA18" s="41"/>
      <c r="GUB18" s="41"/>
      <c r="GUC18" s="41"/>
      <c r="GUD18" s="41"/>
      <c r="GUE18" s="41"/>
      <c r="GUF18" s="41"/>
      <c r="GUG18" s="41"/>
      <c r="GUH18" s="41"/>
      <c r="GUI18" s="41"/>
      <c r="GUJ18" s="41"/>
      <c r="GUK18" s="41"/>
      <c r="GUL18" s="41"/>
      <c r="GUM18" s="41"/>
      <c r="GUN18" s="41"/>
      <c r="GUO18" s="41"/>
      <c r="GUP18" s="41"/>
      <c r="GUQ18" s="41"/>
      <c r="GUR18" s="41"/>
      <c r="GUS18" s="41"/>
      <c r="GUT18" s="41"/>
      <c r="GUU18" s="41"/>
      <c r="GUV18" s="41"/>
      <c r="GUW18" s="41"/>
      <c r="GUX18" s="41"/>
      <c r="GUY18" s="41"/>
      <c r="GUZ18" s="41"/>
      <c r="GVA18" s="41"/>
      <c r="GVB18" s="41"/>
      <c r="GVC18" s="41"/>
      <c r="GVD18" s="41"/>
      <c r="GVE18" s="41"/>
      <c r="GVF18" s="41"/>
      <c r="GVG18" s="41"/>
      <c r="GVH18" s="41"/>
      <c r="GVI18" s="41"/>
      <c r="GVJ18" s="41"/>
      <c r="GVK18" s="41"/>
      <c r="GVL18" s="41"/>
      <c r="GVM18" s="41"/>
      <c r="GVN18" s="41"/>
      <c r="GVO18" s="41"/>
      <c r="GVP18" s="41"/>
      <c r="GVQ18" s="41"/>
      <c r="GVR18" s="41"/>
      <c r="GVS18" s="41"/>
      <c r="GVT18" s="41"/>
      <c r="GVU18" s="41"/>
      <c r="GVV18" s="41"/>
      <c r="GVW18" s="41"/>
      <c r="GVX18" s="41"/>
      <c r="GVY18" s="41"/>
      <c r="GVZ18" s="41"/>
      <c r="GWA18" s="41"/>
      <c r="GWB18" s="41"/>
      <c r="GWC18" s="41"/>
      <c r="GWD18" s="41"/>
      <c r="GWE18" s="41"/>
      <c r="GWF18" s="41"/>
      <c r="GWG18" s="41"/>
      <c r="GWH18" s="41"/>
      <c r="GWI18" s="41"/>
      <c r="GWJ18" s="41"/>
      <c r="GWK18" s="41"/>
      <c r="GWL18" s="41"/>
      <c r="GWM18" s="41"/>
      <c r="GWN18" s="41"/>
      <c r="GWO18" s="41"/>
      <c r="GWP18" s="41"/>
      <c r="GWQ18" s="41"/>
      <c r="GWR18" s="41"/>
      <c r="GWS18" s="41"/>
      <c r="GWT18" s="41"/>
      <c r="GWU18" s="41"/>
      <c r="GWV18" s="41"/>
      <c r="GWW18" s="41"/>
      <c r="GWX18" s="41"/>
      <c r="GWY18" s="41"/>
      <c r="GWZ18" s="41"/>
      <c r="GXA18" s="41"/>
      <c r="GXB18" s="41"/>
      <c r="GXC18" s="41"/>
      <c r="GXD18" s="41"/>
      <c r="GXE18" s="41"/>
      <c r="GXF18" s="41"/>
      <c r="GXG18" s="41"/>
      <c r="GXH18" s="41"/>
      <c r="GXI18" s="41"/>
      <c r="GXJ18" s="41"/>
      <c r="GXK18" s="41"/>
      <c r="GXL18" s="41"/>
      <c r="GXM18" s="41"/>
      <c r="GXN18" s="41"/>
      <c r="GXO18" s="41"/>
      <c r="GXP18" s="41"/>
      <c r="GXQ18" s="41"/>
      <c r="GXR18" s="41"/>
      <c r="GXS18" s="41"/>
      <c r="GXT18" s="41"/>
      <c r="GXU18" s="41"/>
      <c r="GXV18" s="41"/>
      <c r="GXW18" s="41"/>
      <c r="GXX18" s="41"/>
      <c r="GXY18" s="41"/>
      <c r="GXZ18" s="41"/>
      <c r="GYA18" s="41"/>
      <c r="GYB18" s="41"/>
      <c r="GYC18" s="41"/>
      <c r="GYD18" s="41"/>
      <c r="GYE18" s="41"/>
      <c r="GYF18" s="41"/>
      <c r="GYG18" s="41"/>
      <c r="GYH18" s="41"/>
      <c r="GYI18" s="41"/>
      <c r="GYJ18" s="41"/>
      <c r="GYK18" s="41"/>
      <c r="GYL18" s="41"/>
      <c r="GYM18" s="41"/>
      <c r="GYN18" s="41"/>
      <c r="GYO18" s="41"/>
      <c r="GYP18" s="41"/>
      <c r="GYQ18" s="41"/>
      <c r="GYR18" s="41"/>
      <c r="GYS18" s="41"/>
      <c r="GYT18" s="41"/>
      <c r="GYU18" s="41"/>
      <c r="GYV18" s="41"/>
      <c r="GYW18" s="41"/>
      <c r="GYX18" s="41"/>
      <c r="GYY18" s="41"/>
      <c r="GYZ18" s="41"/>
      <c r="GZA18" s="41"/>
      <c r="GZB18" s="41"/>
      <c r="GZC18" s="41"/>
      <c r="GZD18" s="41"/>
      <c r="GZE18" s="41"/>
      <c r="GZF18" s="41"/>
      <c r="GZG18" s="41"/>
      <c r="GZH18" s="41"/>
      <c r="GZI18" s="41"/>
      <c r="GZJ18" s="41"/>
      <c r="GZK18" s="41"/>
      <c r="GZL18" s="41"/>
      <c r="GZM18" s="41"/>
      <c r="GZN18" s="41"/>
      <c r="GZO18" s="41"/>
      <c r="GZP18" s="41"/>
      <c r="GZQ18" s="41"/>
      <c r="GZR18" s="41"/>
      <c r="GZS18" s="41"/>
      <c r="GZT18" s="41"/>
      <c r="GZU18" s="41"/>
      <c r="GZV18" s="41"/>
      <c r="GZW18" s="41"/>
      <c r="GZX18" s="41"/>
      <c r="GZY18" s="41"/>
      <c r="GZZ18" s="41"/>
      <c r="HAA18" s="41"/>
      <c r="HAB18" s="41"/>
      <c r="HAC18" s="41"/>
      <c r="HAD18" s="41"/>
      <c r="HAE18" s="41"/>
      <c r="HAF18" s="41"/>
      <c r="HAG18" s="41"/>
      <c r="HAH18" s="41"/>
      <c r="HAI18" s="41"/>
      <c r="HAJ18" s="41"/>
      <c r="HAK18" s="41"/>
      <c r="HAL18" s="41"/>
      <c r="HAM18" s="41"/>
      <c r="HAN18" s="41"/>
      <c r="HAO18" s="41"/>
      <c r="HAP18" s="41"/>
      <c r="HAQ18" s="41"/>
      <c r="HAR18" s="41"/>
      <c r="HAS18" s="41"/>
      <c r="HAT18" s="41"/>
      <c r="HAU18" s="41"/>
      <c r="HAV18" s="41"/>
      <c r="HAW18" s="41"/>
      <c r="HAX18" s="41"/>
      <c r="HAY18" s="41"/>
      <c r="HAZ18" s="41"/>
      <c r="HBA18" s="41"/>
      <c r="HBB18" s="41"/>
      <c r="HBC18" s="41"/>
      <c r="HBD18" s="41"/>
      <c r="HBE18" s="41"/>
      <c r="HBF18" s="41"/>
      <c r="HBG18" s="41"/>
      <c r="HBH18" s="41"/>
      <c r="HBI18" s="41"/>
      <c r="HBJ18" s="41"/>
      <c r="HBK18" s="41"/>
      <c r="HBL18" s="41"/>
      <c r="HBM18" s="41"/>
      <c r="HBN18" s="41"/>
      <c r="HBO18" s="41"/>
      <c r="HBP18" s="41"/>
      <c r="HBQ18" s="41"/>
      <c r="HBR18" s="41"/>
      <c r="HBS18" s="41"/>
      <c r="HBT18" s="41"/>
      <c r="HBU18" s="41"/>
      <c r="HBV18" s="41"/>
      <c r="HBW18" s="41"/>
      <c r="HBX18" s="41"/>
      <c r="HBY18" s="41"/>
      <c r="HBZ18" s="41"/>
      <c r="HCA18" s="41"/>
      <c r="HCB18" s="41"/>
      <c r="HCC18" s="41"/>
      <c r="HCD18" s="41"/>
      <c r="HCE18" s="41"/>
      <c r="HCF18" s="41"/>
      <c r="HCG18" s="41"/>
      <c r="HCH18" s="41"/>
      <c r="HCI18" s="41"/>
      <c r="HCJ18" s="41"/>
      <c r="HCK18" s="41"/>
      <c r="HCL18" s="41"/>
      <c r="HCM18" s="41"/>
      <c r="HCN18" s="41"/>
      <c r="HCO18" s="41"/>
      <c r="HCP18" s="41"/>
      <c r="HCQ18" s="41"/>
      <c r="HCR18" s="41"/>
      <c r="HCS18" s="41"/>
      <c r="HCT18" s="41"/>
      <c r="HCU18" s="41"/>
      <c r="HCV18" s="41"/>
      <c r="HCW18" s="41"/>
      <c r="HCX18" s="41"/>
      <c r="HCY18" s="41"/>
      <c r="HCZ18" s="41"/>
      <c r="HDA18" s="41"/>
      <c r="HDB18" s="41"/>
      <c r="HDC18" s="41"/>
      <c r="HDD18" s="41"/>
      <c r="HDE18" s="41"/>
      <c r="HDF18" s="41"/>
      <c r="HDG18" s="41"/>
      <c r="HDH18" s="41"/>
      <c r="HDI18" s="41"/>
      <c r="HDJ18" s="41"/>
      <c r="HDK18" s="41"/>
      <c r="HDL18" s="41"/>
      <c r="HDM18" s="41"/>
      <c r="HDN18" s="41"/>
      <c r="HDO18" s="41"/>
      <c r="HDP18" s="41"/>
      <c r="HDQ18" s="41"/>
      <c r="HDR18" s="41"/>
      <c r="HDS18" s="41"/>
      <c r="HDT18" s="41"/>
      <c r="HDU18" s="41"/>
      <c r="HDV18" s="41"/>
      <c r="HDW18" s="41"/>
      <c r="HDX18" s="41"/>
      <c r="HDY18" s="41"/>
      <c r="HDZ18" s="41"/>
      <c r="HEA18" s="41"/>
      <c r="HEB18" s="41"/>
      <c r="HEC18" s="41"/>
      <c r="HED18" s="41"/>
      <c r="HEE18" s="41"/>
      <c r="HEF18" s="41"/>
      <c r="HEG18" s="41"/>
      <c r="HEH18" s="41"/>
      <c r="HEI18" s="41"/>
      <c r="HEJ18" s="41"/>
      <c r="HEK18" s="41"/>
      <c r="HEL18" s="41"/>
      <c r="HEM18" s="41"/>
      <c r="HEN18" s="41"/>
      <c r="HEO18" s="41"/>
      <c r="HEP18" s="41"/>
      <c r="HEQ18" s="41"/>
      <c r="HER18" s="41"/>
      <c r="HES18" s="41"/>
      <c r="HET18" s="41"/>
      <c r="HEU18" s="41"/>
      <c r="HEV18" s="41"/>
      <c r="HEW18" s="41"/>
      <c r="HEX18" s="41"/>
      <c r="HEY18" s="41"/>
      <c r="HEZ18" s="41"/>
      <c r="HFA18" s="41"/>
      <c r="HFB18" s="41"/>
      <c r="HFC18" s="41"/>
      <c r="HFD18" s="41"/>
      <c r="HFE18" s="41"/>
      <c r="HFF18" s="41"/>
      <c r="HFG18" s="41"/>
      <c r="HFH18" s="41"/>
      <c r="HFI18" s="41"/>
      <c r="HFJ18" s="41"/>
      <c r="HFK18" s="41"/>
      <c r="HFL18" s="41"/>
      <c r="HFM18" s="41"/>
      <c r="HFN18" s="41"/>
      <c r="HFO18" s="41"/>
      <c r="HFP18" s="41"/>
      <c r="HFQ18" s="41"/>
      <c r="HFR18" s="41"/>
      <c r="HFS18" s="41"/>
      <c r="HFT18" s="41"/>
      <c r="HFU18" s="41"/>
      <c r="HFV18" s="41"/>
      <c r="HFW18" s="41"/>
      <c r="HFX18" s="41"/>
      <c r="HFY18" s="41"/>
      <c r="HFZ18" s="41"/>
      <c r="HGA18" s="41"/>
      <c r="HGB18" s="41"/>
      <c r="HGC18" s="41"/>
      <c r="HGD18" s="41"/>
      <c r="HGE18" s="41"/>
      <c r="HGF18" s="41"/>
      <c r="HGG18" s="41"/>
      <c r="HGH18" s="41"/>
      <c r="HGI18" s="41"/>
      <c r="HGJ18" s="41"/>
      <c r="HGK18" s="41"/>
      <c r="HGL18" s="41"/>
      <c r="HGM18" s="41"/>
      <c r="HGN18" s="41"/>
      <c r="HGO18" s="41"/>
      <c r="HGP18" s="41"/>
      <c r="HGQ18" s="41"/>
      <c r="HGR18" s="41"/>
      <c r="HGS18" s="41"/>
      <c r="HGT18" s="41"/>
      <c r="HGU18" s="41"/>
      <c r="HGV18" s="41"/>
      <c r="HGW18" s="41"/>
      <c r="HGX18" s="41"/>
      <c r="HGY18" s="41"/>
      <c r="HGZ18" s="41"/>
      <c r="HHA18" s="41"/>
      <c r="HHB18" s="41"/>
      <c r="HHC18" s="41"/>
      <c r="HHD18" s="41"/>
      <c r="HHE18" s="41"/>
      <c r="HHF18" s="41"/>
      <c r="HHG18" s="41"/>
      <c r="HHH18" s="41"/>
      <c r="HHI18" s="41"/>
      <c r="HHJ18" s="41"/>
      <c r="HHK18" s="41"/>
      <c r="HHL18" s="41"/>
      <c r="HHM18" s="41"/>
      <c r="HHN18" s="41"/>
      <c r="HHO18" s="41"/>
      <c r="HHP18" s="41"/>
      <c r="HHQ18" s="41"/>
      <c r="HHR18" s="41"/>
      <c r="HHS18" s="41"/>
      <c r="HHT18" s="41"/>
      <c r="HHU18" s="41"/>
      <c r="HHV18" s="41"/>
      <c r="HHW18" s="41"/>
      <c r="HHX18" s="41"/>
      <c r="HHY18" s="41"/>
      <c r="HHZ18" s="41"/>
      <c r="HIA18" s="41"/>
      <c r="HIB18" s="41"/>
      <c r="HIC18" s="41"/>
      <c r="HID18" s="41"/>
      <c r="HIE18" s="41"/>
      <c r="HIF18" s="41"/>
      <c r="HIG18" s="41"/>
      <c r="HIH18" s="41"/>
      <c r="HII18" s="41"/>
      <c r="HIJ18" s="41"/>
      <c r="HIK18" s="41"/>
      <c r="HIL18" s="41"/>
      <c r="HIM18" s="41"/>
      <c r="HIN18" s="41"/>
      <c r="HIO18" s="41"/>
      <c r="HIP18" s="41"/>
      <c r="HIQ18" s="41"/>
      <c r="HIR18" s="41"/>
      <c r="HIS18" s="41"/>
      <c r="HIT18" s="41"/>
      <c r="HIU18" s="41"/>
      <c r="HIV18" s="41"/>
      <c r="HIW18" s="41"/>
      <c r="HIX18" s="41"/>
      <c r="HIY18" s="41"/>
      <c r="HIZ18" s="41"/>
      <c r="HJA18" s="41"/>
      <c r="HJB18" s="41"/>
      <c r="HJC18" s="41"/>
      <c r="HJD18" s="41"/>
      <c r="HJE18" s="41"/>
      <c r="HJF18" s="41"/>
      <c r="HJG18" s="41"/>
      <c r="HJH18" s="41"/>
      <c r="HJI18" s="41"/>
      <c r="HJJ18" s="41"/>
      <c r="HJK18" s="41"/>
      <c r="HJL18" s="41"/>
      <c r="HJM18" s="41"/>
      <c r="HJN18" s="41"/>
      <c r="HJO18" s="41"/>
      <c r="HJP18" s="41"/>
      <c r="HJQ18" s="41"/>
      <c r="HJR18" s="41"/>
      <c r="HJS18" s="41"/>
      <c r="HJT18" s="41"/>
      <c r="HJU18" s="41"/>
      <c r="HJV18" s="41"/>
      <c r="HJW18" s="41"/>
      <c r="HJX18" s="41"/>
      <c r="HJY18" s="41"/>
      <c r="HJZ18" s="41"/>
      <c r="HKA18" s="41"/>
      <c r="HKB18" s="41"/>
      <c r="HKC18" s="41"/>
      <c r="HKD18" s="41"/>
      <c r="HKE18" s="41"/>
      <c r="HKF18" s="41"/>
      <c r="HKG18" s="41"/>
      <c r="HKH18" s="41"/>
      <c r="HKI18" s="41"/>
      <c r="HKJ18" s="41"/>
      <c r="HKK18" s="41"/>
      <c r="HKL18" s="41"/>
      <c r="HKM18" s="41"/>
      <c r="HKN18" s="41"/>
      <c r="HKO18" s="41"/>
      <c r="HKP18" s="41"/>
      <c r="HKQ18" s="41"/>
      <c r="HKR18" s="41"/>
      <c r="HKS18" s="41"/>
      <c r="HKT18" s="41"/>
      <c r="HKU18" s="41"/>
      <c r="HKV18" s="41"/>
      <c r="HKW18" s="41"/>
      <c r="HKX18" s="41"/>
      <c r="HKY18" s="41"/>
      <c r="HKZ18" s="41"/>
      <c r="HLA18" s="41"/>
      <c r="HLB18" s="41"/>
      <c r="HLC18" s="41"/>
      <c r="HLD18" s="41"/>
      <c r="HLE18" s="41"/>
      <c r="HLF18" s="41"/>
      <c r="HLG18" s="41"/>
      <c r="HLH18" s="41"/>
      <c r="HLI18" s="41"/>
      <c r="HLJ18" s="41"/>
      <c r="HLK18" s="41"/>
      <c r="HLL18" s="41"/>
      <c r="HLM18" s="41"/>
      <c r="HLN18" s="41"/>
      <c r="HLO18" s="41"/>
      <c r="HLP18" s="41"/>
      <c r="HLQ18" s="41"/>
      <c r="HLR18" s="41"/>
      <c r="HLS18" s="41"/>
      <c r="HLT18" s="41"/>
      <c r="HLU18" s="41"/>
      <c r="HLV18" s="41"/>
      <c r="HLW18" s="41"/>
      <c r="HLX18" s="41"/>
      <c r="HLY18" s="41"/>
      <c r="HLZ18" s="41"/>
      <c r="HMA18" s="41"/>
      <c r="HMB18" s="41"/>
      <c r="HMC18" s="41"/>
      <c r="HMD18" s="41"/>
      <c r="HME18" s="41"/>
      <c r="HMF18" s="41"/>
      <c r="HMG18" s="41"/>
      <c r="HMH18" s="41"/>
      <c r="HMI18" s="41"/>
      <c r="HMJ18" s="41"/>
      <c r="HMK18" s="41"/>
      <c r="HML18" s="41"/>
      <c r="HMM18" s="41"/>
      <c r="HMN18" s="41"/>
      <c r="HMO18" s="41"/>
      <c r="HMP18" s="41"/>
      <c r="HMQ18" s="41"/>
      <c r="HMR18" s="41"/>
      <c r="HMS18" s="41"/>
      <c r="HMT18" s="41"/>
      <c r="HMU18" s="41"/>
      <c r="HMV18" s="41"/>
      <c r="HMW18" s="41"/>
      <c r="HMX18" s="41"/>
      <c r="HMY18" s="41"/>
      <c r="HMZ18" s="41"/>
      <c r="HNA18" s="41"/>
      <c r="HNB18" s="41"/>
      <c r="HNC18" s="41"/>
      <c r="HND18" s="41"/>
      <c r="HNE18" s="41"/>
      <c r="HNF18" s="41"/>
      <c r="HNG18" s="41"/>
      <c r="HNH18" s="41"/>
      <c r="HNI18" s="41"/>
      <c r="HNJ18" s="41"/>
      <c r="HNK18" s="41"/>
      <c r="HNL18" s="41"/>
      <c r="HNM18" s="41"/>
      <c r="HNN18" s="41"/>
      <c r="HNO18" s="41"/>
      <c r="HNP18" s="41"/>
      <c r="HNQ18" s="41"/>
      <c r="HNR18" s="41"/>
      <c r="HNS18" s="41"/>
      <c r="HNT18" s="41"/>
      <c r="HNU18" s="41"/>
      <c r="HNV18" s="41"/>
      <c r="HNW18" s="41"/>
      <c r="HNX18" s="41"/>
      <c r="HNY18" s="41"/>
      <c r="HNZ18" s="41"/>
      <c r="HOA18" s="41"/>
      <c r="HOB18" s="41"/>
      <c r="HOC18" s="41"/>
      <c r="HOD18" s="41"/>
      <c r="HOE18" s="41"/>
      <c r="HOF18" s="41"/>
      <c r="HOG18" s="41"/>
      <c r="HOH18" s="41"/>
      <c r="HOI18" s="41"/>
      <c r="HOJ18" s="41"/>
      <c r="HOK18" s="41"/>
      <c r="HOL18" s="41"/>
      <c r="HOM18" s="41"/>
      <c r="HON18" s="41"/>
      <c r="HOO18" s="41"/>
      <c r="HOP18" s="41"/>
      <c r="HOQ18" s="41"/>
      <c r="HOR18" s="41"/>
      <c r="HOS18" s="41"/>
      <c r="HOT18" s="41"/>
      <c r="HOU18" s="41"/>
      <c r="HOV18" s="41"/>
      <c r="HOW18" s="41"/>
      <c r="HOX18" s="41"/>
      <c r="HOY18" s="41"/>
      <c r="HOZ18" s="41"/>
      <c r="HPA18" s="41"/>
      <c r="HPB18" s="41"/>
      <c r="HPC18" s="41"/>
      <c r="HPD18" s="41"/>
      <c r="HPE18" s="41"/>
      <c r="HPF18" s="41"/>
      <c r="HPG18" s="41"/>
      <c r="HPH18" s="41"/>
      <c r="HPI18" s="41"/>
      <c r="HPJ18" s="41"/>
      <c r="HPK18" s="41"/>
      <c r="HPL18" s="41"/>
      <c r="HPM18" s="41"/>
      <c r="HPN18" s="41"/>
      <c r="HPO18" s="41"/>
      <c r="HPP18" s="41"/>
      <c r="HPQ18" s="41"/>
      <c r="HPR18" s="41"/>
      <c r="HPS18" s="41"/>
      <c r="HPT18" s="41"/>
      <c r="HPU18" s="41"/>
      <c r="HPV18" s="41"/>
      <c r="HPW18" s="41"/>
      <c r="HPX18" s="41"/>
      <c r="HPY18" s="41"/>
      <c r="HPZ18" s="41"/>
      <c r="HQA18" s="41"/>
      <c r="HQB18" s="41"/>
      <c r="HQC18" s="41"/>
      <c r="HQD18" s="41"/>
      <c r="HQE18" s="41"/>
      <c r="HQF18" s="41"/>
      <c r="HQG18" s="41"/>
      <c r="HQH18" s="41"/>
      <c r="HQI18" s="41"/>
      <c r="HQJ18" s="41"/>
      <c r="HQK18" s="41"/>
      <c r="HQL18" s="41"/>
      <c r="HQM18" s="41"/>
      <c r="HQN18" s="41"/>
      <c r="HQO18" s="41"/>
      <c r="HQP18" s="41"/>
      <c r="HQQ18" s="41"/>
      <c r="HQR18" s="41"/>
      <c r="HQS18" s="41"/>
      <c r="HQT18" s="41"/>
      <c r="HQU18" s="41"/>
      <c r="HQV18" s="41"/>
      <c r="HQW18" s="41"/>
      <c r="HQX18" s="41"/>
      <c r="HQY18" s="41"/>
      <c r="HQZ18" s="41"/>
      <c r="HRA18" s="41"/>
      <c r="HRB18" s="41"/>
      <c r="HRC18" s="41"/>
      <c r="HRD18" s="41"/>
      <c r="HRE18" s="41"/>
      <c r="HRF18" s="41"/>
      <c r="HRG18" s="41"/>
      <c r="HRH18" s="41"/>
      <c r="HRI18" s="41"/>
      <c r="HRJ18" s="41"/>
      <c r="HRK18" s="41"/>
      <c r="HRL18" s="41"/>
      <c r="HRM18" s="41"/>
      <c r="HRN18" s="41"/>
      <c r="HRO18" s="41"/>
      <c r="HRP18" s="41"/>
      <c r="HRQ18" s="41"/>
      <c r="HRR18" s="41"/>
      <c r="HRS18" s="41"/>
      <c r="HRT18" s="41"/>
      <c r="HRU18" s="41"/>
      <c r="HRV18" s="41"/>
      <c r="HRW18" s="41"/>
      <c r="HRX18" s="41"/>
      <c r="HRY18" s="41"/>
      <c r="HRZ18" s="41"/>
      <c r="HSA18" s="41"/>
      <c r="HSB18" s="41"/>
      <c r="HSC18" s="41"/>
      <c r="HSD18" s="41"/>
      <c r="HSE18" s="41"/>
      <c r="HSF18" s="41"/>
      <c r="HSG18" s="41"/>
      <c r="HSH18" s="41"/>
      <c r="HSI18" s="41"/>
      <c r="HSJ18" s="41"/>
      <c r="HSK18" s="41"/>
      <c r="HSL18" s="41"/>
      <c r="HSM18" s="41"/>
      <c r="HSN18" s="41"/>
      <c r="HSO18" s="41"/>
      <c r="HSP18" s="41"/>
      <c r="HSQ18" s="41"/>
      <c r="HSR18" s="41"/>
      <c r="HSS18" s="41"/>
      <c r="HST18" s="41"/>
      <c r="HSU18" s="41"/>
      <c r="HSV18" s="41"/>
      <c r="HSW18" s="41"/>
      <c r="HSX18" s="41"/>
      <c r="HSY18" s="41"/>
      <c r="HSZ18" s="41"/>
      <c r="HTA18" s="41"/>
      <c r="HTB18" s="41"/>
      <c r="HTC18" s="41"/>
      <c r="HTD18" s="41"/>
      <c r="HTE18" s="41"/>
      <c r="HTF18" s="41"/>
      <c r="HTG18" s="41"/>
      <c r="HTH18" s="41"/>
      <c r="HTI18" s="41"/>
      <c r="HTJ18" s="41"/>
      <c r="HTK18" s="41"/>
      <c r="HTL18" s="41"/>
      <c r="HTM18" s="41"/>
      <c r="HTN18" s="41"/>
      <c r="HTO18" s="41"/>
      <c r="HTP18" s="41"/>
      <c r="HTQ18" s="41"/>
      <c r="HTR18" s="41"/>
      <c r="HTS18" s="41"/>
      <c r="HTT18" s="41"/>
      <c r="HTU18" s="41"/>
      <c r="HTV18" s="41"/>
      <c r="HTW18" s="41"/>
      <c r="HTX18" s="41"/>
      <c r="HTY18" s="41"/>
      <c r="HTZ18" s="41"/>
      <c r="HUA18" s="41"/>
      <c r="HUB18" s="41"/>
      <c r="HUC18" s="41"/>
      <c r="HUD18" s="41"/>
      <c r="HUE18" s="41"/>
      <c r="HUF18" s="41"/>
      <c r="HUG18" s="41"/>
      <c r="HUH18" s="41"/>
      <c r="HUI18" s="41"/>
      <c r="HUJ18" s="41"/>
      <c r="HUK18" s="41"/>
      <c r="HUL18" s="41"/>
      <c r="HUM18" s="41"/>
      <c r="HUN18" s="41"/>
      <c r="HUO18" s="41"/>
      <c r="HUP18" s="41"/>
      <c r="HUQ18" s="41"/>
      <c r="HUR18" s="41"/>
      <c r="HUS18" s="41"/>
      <c r="HUT18" s="41"/>
      <c r="HUU18" s="41"/>
      <c r="HUV18" s="41"/>
      <c r="HUW18" s="41"/>
      <c r="HUX18" s="41"/>
      <c r="HUY18" s="41"/>
      <c r="HUZ18" s="41"/>
      <c r="HVA18" s="41"/>
      <c r="HVB18" s="41"/>
      <c r="HVC18" s="41"/>
      <c r="HVD18" s="41"/>
      <c r="HVE18" s="41"/>
      <c r="HVF18" s="41"/>
      <c r="HVG18" s="41"/>
      <c r="HVH18" s="41"/>
      <c r="HVI18" s="41"/>
      <c r="HVJ18" s="41"/>
      <c r="HVK18" s="41"/>
      <c r="HVL18" s="41"/>
      <c r="HVM18" s="41"/>
      <c r="HVN18" s="41"/>
      <c r="HVO18" s="41"/>
      <c r="HVP18" s="41"/>
      <c r="HVQ18" s="41"/>
      <c r="HVR18" s="41"/>
      <c r="HVS18" s="41"/>
      <c r="HVT18" s="41"/>
      <c r="HVU18" s="41"/>
      <c r="HVV18" s="41"/>
      <c r="HVW18" s="41"/>
      <c r="HVX18" s="41"/>
      <c r="HVY18" s="41"/>
      <c r="HVZ18" s="41"/>
      <c r="HWA18" s="41"/>
      <c r="HWB18" s="41"/>
      <c r="HWC18" s="41"/>
      <c r="HWD18" s="41"/>
      <c r="HWE18" s="41"/>
      <c r="HWF18" s="41"/>
      <c r="HWG18" s="41"/>
      <c r="HWH18" s="41"/>
      <c r="HWI18" s="41"/>
      <c r="HWJ18" s="41"/>
      <c r="HWK18" s="41"/>
      <c r="HWL18" s="41"/>
      <c r="HWM18" s="41"/>
      <c r="HWN18" s="41"/>
      <c r="HWO18" s="41"/>
      <c r="HWP18" s="41"/>
      <c r="HWQ18" s="41"/>
      <c r="HWR18" s="41"/>
      <c r="HWS18" s="41"/>
      <c r="HWT18" s="41"/>
      <c r="HWU18" s="41"/>
      <c r="HWV18" s="41"/>
      <c r="HWW18" s="41"/>
      <c r="HWX18" s="41"/>
      <c r="HWY18" s="41"/>
      <c r="HWZ18" s="41"/>
      <c r="HXA18" s="41"/>
      <c r="HXB18" s="41"/>
      <c r="HXC18" s="41"/>
      <c r="HXD18" s="41"/>
      <c r="HXE18" s="41"/>
      <c r="HXF18" s="41"/>
      <c r="HXG18" s="41"/>
      <c r="HXH18" s="41"/>
      <c r="HXI18" s="41"/>
      <c r="HXJ18" s="41"/>
      <c r="HXK18" s="41"/>
      <c r="HXL18" s="41"/>
      <c r="HXM18" s="41"/>
      <c r="HXN18" s="41"/>
      <c r="HXO18" s="41"/>
      <c r="HXP18" s="41"/>
      <c r="HXQ18" s="41"/>
      <c r="HXR18" s="41"/>
      <c r="HXS18" s="41"/>
      <c r="HXT18" s="41"/>
      <c r="HXU18" s="41"/>
      <c r="HXV18" s="41"/>
      <c r="HXW18" s="41"/>
      <c r="HXX18" s="41"/>
      <c r="HXY18" s="41"/>
      <c r="HXZ18" s="41"/>
      <c r="HYA18" s="41"/>
      <c r="HYB18" s="41"/>
      <c r="HYC18" s="41"/>
      <c r="HYD18" s="41"/>
      <c r="HYE18" s="41"/>
      <c r="HYF18" s="41"/>
      <c r="HYG18" s="41"/>
      <c r="HYH18" s="41"/>
      <c r="HYI18" s="41"/>
      <c r="HYJ18" s="41"/>
      <c r="HYK18" s="41"/>
      <c r="HYL18" s="41"/>
      <c r="HYM18" s="41"/>
      <c r="HYN18" s="41"/>
      <c r="HYO18" s="41"/>
      <c r="HYP18" s="41"/>
      <c r="HYQ18" s="41"/>
      <c r="HYR18" s="41"/>
      <c r="HYS18" s="41"/>
      <c r="HYT18" s="41"/>
      <c r="HYU18" s="41"/>
      <c r="HYV18" s="41"/>
      <c r="HYW18" s="41"/>
      <c r="HYX18" s="41"/>
      <c r="HYY18" s="41"/>
      <c r="HYZ18" s="41"/>
      <c r="HZA18" s="41"/>
      <c r="HZB18" s="41"/>
      <c r="HZC18" s="41"/>
      <c r="HZD18" s="41"/>
      <c r="HZE18" s="41"/>
      <c r="HZF18" s="41"/>
      <c r="HZG18" s="41"/>
      <c r="HZH18" s="41"/>
      <c r="HZI18" s="41"/>
      <c r="HZJ18" s="41"/>
      <c r="HZK18" s="41"/>
      <c r="HZL18" s="41"/>
      <c r="HZM18" s="41"/>
      <c r="HZN18" s="41"/>
      <c r="HZO18" s="41"/>
      <c r="HZP18" s="41"/>
      <c r="HZQ18" s="41"/>
      <c r="HZR18" s="41"/>
      <c r="HZS18" s="41"/>
      <c r="HZT18" s="41"/>
      <c r="HZU18" s="41"/>
      <c r="HZV18" s="41"/>
      <c r="HZW18" s="41"/>
      <c r="HZX18" s="41"/>
      <c r="HZY18" s="41"/>
      <c r="HZZ18" s="41"/>
      <c r="IAA18" s="41"/>
      <c r="IAB18" s="41"/>
      <c r="IAC18" s="41"/>
      <c r="IAD18" s="41"/>
      <c r="IAE18" s="41"/>
      <c r="IAF18" s="41"/>
      <c r="IAG18" s="41"/>
      <c r="IAH18" s="41"/>
      <c r="IAI18" s="41"/>
      <c r="IAJ18" s="41"/>
      <c r="IAK18" s="41"/>
      <c r="IAL18" s="41"/>
      <c r="IAM18" s="41"/>
      <c r="IAN18" s="41"/>
      <c r="IAO18" s="41"/>
      <c r="IAP18" s="41"/>
      <c r="IAQ18" s="41"/>
      <c r="IAR18" s="41"/>
      <c r="IAS18" s="41"/>
      <c r="IAT18" s="41"/>
      <c r="IAU18" s="41"/>
      <c r="IAV18" s="41"/>
      <c r="IAW18" s="41"/>
      <c r="IAX18" s="41"/>
      <c r="IAY18" s="41"/>
      <c r="IAZ18" s="41"/>
      <c r="IBA18" s="41"/>
      <c r="IBB18" s="41"/>
      <c r="IBC18" s="41"/>
      <c r="IBD18" s="41"/>
      <c r="IBE18" s="41"/>
      <c r="IBF18" s="41"/>
      <c r="IBG18" s="41"/>
      <c r="IBH18" s="41"/>
      <c r="IBI18" s="41"/>
      <c r="IBJ18" s="41"/>
      <c r="IBK18" s="41"/>
      <c r="IBL18" s="41"/>
      <c r="IBM18" s="41"/>
      <c r="IBN18" s="41"/>
      <c r="IBO18" s="41"/>
      <c r="IBP18" s="41"/>
      <c r="IBQ18" s="41"/>
      <c r="IBR18" s="41"/>
      <c r="IBS18" s="41"/>
      <c r="IBT18" s="41"/>
      <c r="IBU18" s="41"/>
      <c r="IBV18" s="41"/>
      <c r="IBW18" s="41"/>
      <c r="IBX18" s="41"/>
      <c r="IBY18" s="41"/>
      <c r="IBZ18" s="41"/>
      <c r="ICA18" s="41"/>
      <c r="ICB18" s="41"/>
      <c r="ICC18" s="41"/>
      <c r="ICD18" s="41"/>
      <c r="ICE18" s="41"/>
      <c r="ICF18" s="41"/>
      <c r="ICG18" s="41"/>
      <c r="ICH18" s="41"/>
      <c r="ICI18" s="41"/>
      <c r="ICJ18" s="41"/>
      <c r="ICK18" s="41"/>
      <c r="ICL18" s="41"/>
      <c r="ICM18" s="41"/>
      <c r="ICN18" s="41"/>
      <c r="ICO18" s="41"/>
      <c r="ICP18" s="41"/>
      <c r="ICQ18" s="41"/>
      <c r="ICR18" s="41"/>
      <c r="ICS18" s="41"/>
      <c r="ICT18" s="41"/>
      <c r="ICU18" s="41"/>
      <c r="ICV18" s="41"/>
      <c r="ICW18" s="41"/>
      <c r="ICX18" s="41"/>
      <c r="ICY18" s="41"/>
      <c r="ICZ18" s="41"/>
      <c r="IDA18" s="41"/>
      <c r="IDB18" s="41"/>
      <c r="IDC18" s="41"/>
      <c r="IDD18" s="41"/>
      <c r="IDE18" s="41"/>
      <c r="IDF18" s="41"/>
      <c r="IDG18" s="41"/>
      <c r="IDH18" s="41"/>
      <c r="IDI18" s="41"/>
      <c r="IDJ18" s="41"/>
      <c r="IDK18" s="41"/>
      <c r="IDL18" s="41"/>
      <c r="IDM18" s="41"/>
      <c r="IDN18" s="41"/>
      <c r="IDO18" s="41"/>
      <c r="IDP18" s="41"/>
      <c r="IDQ18" s="41"/>
      <c r="IDR18" s="41"/>
      <c r="IDS18" s="41"/>
      <c r="IDT18" s="41"/>
      <c r="IDU18" s="41"/>
      <c r="IDV18" s="41"/>
      <c r="IDW18" s="41"/>
      <c r="IDX18" s="41"/>
      <c r="IDY18" s="41"/>
      <c r="IDZ18" s="41"/>
      <c r="IEA18" s="41"/>
      <c r="IEB18" s="41"/>
      <c r="IEC18" s="41"/>
      <c r="IED18" s="41"/>
      <c r="IEE18" s="41"/>
      <c r="IEF18" s="41"/>
      <c r="IEG18" s="41"/>
      <c r="IEH18" s="41"/>
      <c r="IEI18" s="41"/>
      <c r="IEJ18" s="41"/>
      <c r="IEK18" s="41"/>
      <c r="IEL18" s="41"/>
      <c r="IEM18" s="41"/>
      <c r="IEN18" s="41"/>
      <c r="IEO18" s="41"/>
      <c r="IEP18" s="41"/>
      <c r="IEQ18" s="41"/>
      <c r="IER18" s="41"/>
      <c r="IES18" s="41"/>
      <c r="IET18" s="41"/>
      <c r="IEU18" s="41"/>
      <c r="IEV18" s="41"/>
      <c r="IEW18" s="41"/>
      <c r="IEX18" s="41"/>
      <c r="IEY18" s="41"/>
      <c r="IEZ18" s="41"/>
      <c r="IFA18" s="41"/>
      <c r="IFB18" s="41"/>
      <c r="IFC18" s="41"/>
      <c r="IFD18" s="41"/>
      <c r="IFE18" s="41"/>
      <c r="IFF18" s="41"/>
      <c r="IFG18" s="41"/>
      <c r="IFH18" s="41"/>
      <c r="IFI18" s="41"/>
      <c r="IFJ18" s="41"/>
      <c r="IFK18" s="41"/>
      <c r="IFL18" s="41"/>
      <c r="IFM18" s="41"/>
      <c r="IFN18" s="41"/>
      <c r="IFO18" s="41"/>
      <c r="IFP18" s="41"/>
      <c r="IFQ18" s="41"/>
      <c r="IFR18" s="41"/>
      <c r="IFS18" s="41"/>
      <c r="IFT18" s="41"/>
      <c r="IFU18" s="41"/>
      <c r="IFV18" s="41"/>
      <c r="IFW18" s="41"/>
      <c r="IFX18" s="41"/>
      <c r="IFY18" s="41"/>
      <c r="IFZ18" s="41"/>
      <c r="IGA18" s="41"/>
      <c r="IGB18" s="41"/>
      <c r="IGC18" s="41"/>
      <c r="IGD18" s="41"/>
      <c r="IGE18" s="41"/>
      <c r="IGF18" s="41"/>
      <c r="IGG18" s="41"/>
      <c r="IGH18" s="41"/>
      <c r="IGI18" s="41"/>
      <c r="IGJ18" s="41"/>
      <c r="IGK18" s="41"/>
      <c r="IGL18" s="41"/>
      <c r="IGM18" s="41"/>
      <c r="IGN18" s="41"/>
      <c r="IGO18" s="41"/>
      <c r="IGP18" s="41"/>
      <c r="IGQ18" s="41"/>
      <c r="IGR18" s="41"/>
      <c r="IGS18" s="41"/>
      <c r="IGT18" s="41"/>
      <c r="IGU18" s="41"/>
      <c r="IGV18" s="41"/>
      <c r="IGW18" s="41"/>
      <c r="IGX18" s="41"/>
      <c r="IGY18" s="41"/>
      <c r="IGZ18" s="41"/>
      <c r="IHA18" s="41"/>
      <c r="IHB18" s="41"/>
      <c r="IHC18" s="41"/>
      <c r="IHD18" s="41"/>
      <c r="IHE18" s="41"/>
      <c r="IHF18" s="41"/>
      <c r="IHG18" s="41"/>
      <c r="IHH18" s="41"/>
      <c r="IHI18" s="41"/>
      <c r="IHJ18" s="41"/>
      <c r="IHK18" s="41"/>
      <c r="IHL18" s="41"/>
      <c r="IHM18" s="41"/>
      <c r="IHN18" s="41"/>
      <c r="IHO18" s="41"/>
      <c r="IHP18" s="41"/>
      <c r="IHQ18" s="41"/>
      <c r="IHR18" s="41"/>
      <c r="IHS18" s="41"/>
      <c r="IHT18" s="41"/>
      <c r="IHU18" s="41"/>
      <c r="IHV18" s="41"/>
      <c r="IHW18" s="41"/>
      <c r="IHX18" s="41"/>
      <c r="IHY18" s="41"/>
      <c r="IHZ18" s="41"/>
      <c r="IIA18" s="41"/>
      <c r="IIB18" s="41"/>
      <c r="IIC18" s="41"/>
      <c r="IID18" s="41"/>
      <c r="IIE18" s="41"/>
      <c r="IIF18" s="41"/>
      <c r="IIG18" s="41"/>
      <c r="IIH18" s="41"/>
      <c r="III18" s="41"/>
      <c r="IIJ18" s="41"/>
      <c r="IIK18" s="41"/>
      <c r="IIL18" s="41"/>
      <c r="IIM18" s="41"/>
      <c r="IIN18" s="41"/>
      <c r="IIO18" s="41"/>
      <c r="IIP18" s="41"/>
      <c r="IIQ18" s="41"/>
      <c r="IIR18" s="41"/>
      <c r="IIS18" s="41"/>
      <c r="IIT18" s="41"/>
      <c r="IIU18" s="41"/>
      <c r="IIV18" s="41"/>
      <c r="IIW18" s="41"/>
      <c r="IIX18" s="41"/>
      <c r="IIY18" s="41"/>
      <c r="IIZ18" s="41"/>
      <c r="IJA18" s="41"/>
      <c r="IJB18" s="41"/>
      <c r="IJC18" s="41"/>
      <c r="IJD18" s="41"/>
      <c r="IJE18" s="41"/>
      <c r="IJF18" s="41"/>
      <c r="IJG18" s="41"/>
      <c r="IJH18" s="41"/>
      <c r="IJI18" s="41"/>
      <c r="IJJ18" s="41"/>
      <c r="IJK18" s="41"/>
      <c r="IJL18" s="41"/>
      <c r="IJM18" s="41"/>
      <c r="IJN18" s="41"/>
      <c r="IJO18" s="41"/>
      <c r="IJP18" s="41"/>
      <c r="IJQ18" s="41"/>
      <c r="IJR18" s="41"/>
      <c r="IJS18" s="41"/>
      <c r="IJT18" s="41"/>
      <c r="IJU18" s="41"/>
      <c r="IJV18" s="41"/>
      <c r="IJW18" s="41"/>
      <c r="IJX18" s="41"/>
      <c r="IJY18" s="41"/>
      <c r="IJZ18" s="41"/>
      <c r="IKA18" s="41"/>
      <c r="IKB18" s="41"/>
      <c r="IKC18" s="41"/>
      <c r="IKD18" s="41"/>
      <c r="IKE18" s="41"/>
      <c r="IKF18" s="41"/>
      <c r="IKG18" s="41"/>
      <c r="IKH18" s="41"/>
      <c r="IKI18" s="41"/>
      <c r="IKJ18" s="41"/>
      <c r="IKK18" s="41"/>
      <c r="IKL18" s="41"/>
      <c r="IKM18" s="41"/>
      <c r="IKN18" s="41"/>
      <c r="IKO18" s="41"/>
      <c r="IKP18" s="41"/>
      <c r="IKQ18" s="41"/>
      <c r="IKR18" s="41"/>
      <c r="IKS18" s="41"/>
      <c r="IKT18" s="41"/>
      <c r="IKU18" s="41"/>
      <c r="IKV18" s="41"/>
      <c r="IKW18" s="41"/>
      <c r="IKX18" s="41"/>
      <c r="IKY18" s="41"/>
      <c r="IKZ18" s="41"/>
      <c r="ILA18" s="41"/>
      <c r="ILB18" s="41"/>
      <c r="ILC18" s="41"/>
      <c r="ILD18" s="41"/>
      <c r="ILE18" s="41"/>
      <c r="ILF18" s="41"/>
      <c r="ILG18" s="41"/>
      <c r="ILH18" s="41"/>
      <c r="ILI18" s="41"/>
      <c r="ILJ18" s="41"/>
      <c r="ILK18" s="41"/>
      <c r="ILL18" s="41"/>
      <c r="ILM18" s="41"/>
      <c r="ILN18" s="41"/>
      <c r="ILO18" s="41"/>
      <c r="ILP18" s="41"/>
      <c r="ILQ18" s="41"/>
      <c r="ILR18" s="41"/>
      <c r="ILS18" s="41"/>
      <c r="ILT18" s="41"/>
      <c r="ILU18" s="41"/>
      <c r="ILV18" s="41"/>
      <c r="ILW18" s="41"/>
      <c r="ILX18" s="41"/>
      <c r="ILY18" s="41"/>
      <c r="ILZ18" s="41"/>
      <c r="IMA18" s="41"/>
      <c r="IMB18" s="41"/>
      <c r="IMC18" s="41"/>
      <c r="IMD18" s="41"/>
      <c r="IME18" s="41"/>
      <c r="IMF18" s="41"/>
      <c r="IMG18" s="41"/>
      <c r="IMH18" s="41"/>
      <c r="IMI18" s="41"/>
      <c r="IMJ18" s="41"/>
      <c r="IMK18" s="41"/>
      <c r="IML18" s="41"/>
      <c r="IMM18" s="41"/>
      <c r="IMN18" s="41"/>
      <c r="IMO18" s="41"/>
      <c r="IMP18" s="41"/>
      <c r="IMQ18" s="41"/>
      <c r="IMR18" s="41"/>
      <c r="IMS18" s="41"/>
      <c r="IMT18" s="41"/>
      <c r="IMU18" s="41"/>
      <c r="IMV18" s="41"/>
      <c r="IMW18" s="41"/>
      <c r="IMX18" s="41"/>
      <c r="IMY18" s="41"/>
      <c r="IMZ18" s="41"/>
      <c r="INA18" s="41"/>
      <c r="INB18" s="41"/>
      <c r="INC18" s="41"/>
      <c r="IND18" s="41"/>
      <c r="INE18" s="41"/>
      <c r="INF18" s="41"/>
      <c r="ING18" s="41"/>
      <c r="INH18" s="41"/>
      <c r="INI18" s="41"/>
      <c r="INJ18" s="41"/>
      <c r="INK18" s="41"/>
      <c r="INL18" s="41"/>
      <c r="INM18" s="41"/>
      <c r="INN18" s="41"/>
      <c r="INO18" s="41"/>
      <c r="INP18" s="41"/>
      <c r="INQ18" s="41"/>
      <c r="INR18" s="41"/>
      <c r="INS18" s="41"/>
      <c r="INT18" s="41"/>
      <c r="INU18" s="41"/>
      <c r="INV18" s="41"/>
      <c r="INW18" s="41"/>
      <c r="INX18" s="41"/>
      <c r="INY18" s="41"/>
      <c r="INZ18" s="41"/>
      <c r="IOA18" s="41"/>
      <c r="IOB18" s="41"/>
      <c r="IOC18" s="41"/>
      <c r="IOD18" s="41"/>
      <c r="IOE18" s="41"/>
      <c r="IOF18" s="41"/>
      <c r="IOG18" s="41"/>
      <c r="IOH18" s="41"/>
      <c r="IOI18" s="41"/>
      <c r="IOJ18" s="41"/>
      <c r="IOK18" s="41"/>
      <c r="IOL18" s="41"/>
      <c r="IOM18" s="41"/>
      <c r="ION18" s="41"/>
      <c r="IOO18" s="41"/>
      <c r="IOP18" s="41"/>
      <c r="IOQ18" s="41"/>
      <c r="IOR18" s="41"/>
      <c r="IOS18" s="41"/>
      <c r="IOT18" s="41"/>
      <c r="IOU18" s="41"/>
      <c r="IOV18" s="41"/>
      <c r="IOW18" s="41"/>
      <c r="IOX18" s="41"/>
      <c r="IOY18" s="41"/>
      <c r="IOZ18" s="41"/>
      <c r="IPA18" s="41"/>
      <c r="IPB18" s="41"/>
      <c r="IPC18" s="41"/>
      <c r="IPD18" s="41"/>
      <c r="IPE18" s="41"/>
      <c r="IPF18" s="41"/>
      <c r="IPG18" s="41"/>
      <c r="IPH18" s="41"/>
      <c r="IPI18" s="41"/>
      <c r="IPJ18" s="41"/>
      <c r="IPK18" s="41"/>
      <c r="IPL18" s="41"/>
      <c r="IPM18" s="41"/>
      <c r="IPN18" s="41"/>
      <c r="IPO18" s="41"/>
      <c r="IPP18" s="41"/>
      <c r="IPQ18" s="41"/>
      <c r="IPR18" s="41"/>
      <c r="IPS18" s="41"/>
      <c r="IPT18" s="41"/>
      <c r="IPU18" s="41"/>
      <c r="IPV18" s="41"/>
      <c r="IPW18" s="41"/>
      <c r="IPX18" s="41"/>
      <c r="IPY18" s="41"/>
      <c r="IPZ18" s="41"/>
      <c r="IQA18" s="41"/>
      <c r="IQB18" s="41"/>
      <c r="IQC18" s="41"/>
      <c r="IQD18" s="41"/>
      <c r="IQE18" s="41"/>
      <c r="IQF18" s="41"/>
      <c r="IQG18" s="41"/>
      <c r="IQH18" s="41"/>
      <c r="IQI18" s="41"/>
      <c r="IQJ18" s="41"/>
      <c r="IQK18" s="41"/>
      <c r="IQL18" s="41"/>
      <c r="IQM18" s="41"/>
      <c r="IQN18" s="41"/>
      <c r="IQO18" s="41"/>
      <c r="IQP18" s="41"/>
      <c r="IQQ18" s="41"/>
      <c r="IQR18" s="41"/>
      <c r="IQS18" s="41"/>
      <c r="IQT18" s="41"/>
      <c r="IQU18" s="41"/>
      <c r="IQV18" s="41"/>
      <c r="IQW18" s="41"/>
      <c r="IQX18" s="41"/>
      <c r="IQY18" s="41"/>
      <c r="IQZ18" s="41"/>
      <c r="IRA18" s="41"/>
      <c r="IRB18" s="41"/>
      <c r="IRC18" s="41"/>
      <c r="IRD18" s="41"/>
      <c r="IRE18" s="41"/>
      <c r="IRF18" s="41"/>
      <c r="IRG18" s="41"/>
      <c r="IRH18" s="41"/>
      <c r="IRI18" s="41"/>
      <c r="IRJ18" s="41"/>
      <c r="IRK18" s="41"/>
      <c r="IRL18" s="41"/>
      <c r="IRM18" s="41"/>
      <c r="IRN18" s="41"/>
      <c r="IRO18" s="41"/>
      <c r="IRP18" s="41"/>
      <c r="IRQ18" s="41"/>
      <c r="IRR18" s="41"/>
      <c r="IRS18" s="41"/>
      <c r="IRT18" s="41"/>
      <c r="IRU18" s="41"/>
      <c r="IRV18" s="41"/>
      <c r="IRW18" s="41"/>
      <c r="IRX18" s="41"/>
      <c r="IRY18" s="41"/>
      <c r="IRZ18" s="41"/>
      <c r="ISA18" s="41"/>
      <c r="ISB18" s="41"/>
      <c r="ISC18" s="41"/>
      <c r="ISD18" s="41"/>
      <c r="ISE18" s="41"/>
      <c r="ISF18" s="41"/>
      <c r="ISG18" s="41"/>
      <c r="ISH18" s="41"/>
      <c r="ISI18" s="41"/>
      <c r="ISJ18" s="41"/>
      <c r="ISK18" s="41"/>
      <c r="ISL18" s="41"/>
      <c r="ISM18" s="41"/>
      <c r="ISN18" s="41"/>
      <c r="ISO18" s="41"/>
      <c r="ISP18" s="41"/>
      <c r="ISQ18" s="41"/>
      <c r="ISR18" s="41"/>
      <c r="ISS18" s="41"/>
      <c r="IST18" s="41"/>
      <c r="ISU18" s="41"/>
      <c r="ISV18" s="41"/>
      <c r="ISW18" s="41"/>
      <c r="ISX18" s="41"/>
      <c r="ISY18" s="41"/>
      <c r="ISZ18" s="41"/>
      <c r="ITA18" s="41"/>
      <c r="ITB18" s="41"/>
      <c r="ITC18" s="41"/>
      <c r="ITD18" s="41"/>
      <c r="ITE18" s="41"/>
      <c r="ITF18" s="41"/>
      <c r="ITG18" s="41"/>
      <c r="ITH18" s="41"/>
      <c r="ITI18" s="41"/>
      <c r="ITJ18" s="41"/>
      <c r="ITK18" s="41"/>
      <c r="ITL18" s="41"/>
      <c r="ITM18" s="41"/>
      <c r="ITN18" s="41"/>
      <c r="ITO18" s="41"/>
      <c r="ITP18" s="41"/>
      <c r="ITQ18" s="41"/>
      <c r="ITR18" s="41"/>
      <c r="ITS18" s="41"/>
      <c r="ITT18" s="41"/>
      <c r="ITU18" s="41"/>
      <c r="ITV18" s="41"/>
      <c r="ITW18" s="41"/>
      <c r="ITX18" s="41"/>
      <c r="ITY18" s="41"/>
      <c r="ITZ18" s="41"/>
      <c r="IUA18" s="41"/>
      <c r="IUB18" s="41"/>
      <c r="IUC18" s="41"/>
      <c r="IUD18" s="41"/>
      <c r="IUE18" s="41"/>
      <c r="IUF18" s="41"/>
      <c r="IUG18" s="41"/>
      <c r="IUH18" s="41"/>
      <c r="IUI18" s="41"/>
      <c r="IUJ18" s="41"/>
      <c r="IUK18" s="41"/>
      <c r="IUL18" s="41"/>
      <c r="IUM18" s="41"/>
      <c r="IUN18" s="41"/>
      <c r="IUO18" s="41"/>
      <c r="IUP18" s="41"/>
      <c r="IUQ18" s="41"/>
      <c r="IUR18" s="41"/>
      <c r="IUS18" s="41"/>
      <c r="IUT18" s="41"/>
      <c r="IUU18" s="41"/>
      <c r="IUV18" s="41"/>
      <c r="IUW18" s="41"/>
      <c r="IUX18" s="41"/>
      <c r="IUY18" s="41"/>
      <c r="IUZ18" s="41"/>
      <c r="IVA18" s="41"/>
      <c r="IVB18" s="41"/>
      <c r="IVC18" s="41"/>
      <c r="IVD18" s="41"/>
      <c r="IVE18" s="41"/>
      <c r="IVF18" s="41"/>
      <c r="IVG18" s="41"/>
      <c r="IVH18" s="41"/>
      <c r="IVI18" s="41"/>
      <c r="IVJ18" s="41"/>
      <c r="IVK18" s="41"/>
      <c r="IVL18" s="41"/>
      <c r="IVM18" s="41"/>
      <c r="IVN18" s="41"/>
      <c r="IVO18" s="41"/>
      <c r="IVP18" s="41"/>
      <c r="IVQ18" s="41"/>
      <c r="IVR18" s="41"/>
      <c r="IVS18" s="41"/>
      <c r="IVT18" s="41"/>
      <c r="IVU18" s="41"/>
      <c r="IVV18" s="41"/>
      <c r="IVW18" s="41"/>
      <c r="IVX18" s="41"/>
      <c r="IVY18" s="41"/>
      <c r="IVZ18" s="41"/>
      <c r="IWA18" s="41"/>
      <c r="IWB18" s="41"/>
      <c r="IWC18" s="41"/>
      <c r="IWD18" s="41"/>
      <c r="IWE18" s="41"/>
      <c r="IWF18" s="41"/>
      <c r="IWG18" s="41"/>
      <c r="IWH18" s="41"/>
      <c r="IWI18" s="41"/>
      <c r="IWJ18" s="41"/>
      <c r="IWK18" s="41"/>
      <c r="IWL18" s="41"/>
      <c r="IWM18" s="41"/>
      <c r="IWN18" s="41"/>
      <c r="IWO18" s="41"/>
      <c r="IWP18" s="41"/>
      <c r="IWQ18" s="41"/>
      <c r="IWR18" s="41"/>
      <c r="IWS18" s="41"/>
      <c r="IWT18" s="41"/>
      <c r="IWU18" s="41"/>
      <c r="IWV18" s="41"/>
      <c r="IWW18" s="41"/>
      <c r="IWX18" s="41"/>
      <c r="IWY18" s="41"/>
      <c r="IWZ18" s="41"/>
      <c r="IXA18" s="41"/>
      <c r="IXB18" s="41"/>
      <c r="IXC18" s="41"/>
      <c r="IXD18" s="41"/>
      <c r="IXE18" s="41"/>
      <c r="IXF18" s="41"/>
      <c r="IXG18" s="41"/>
      <c r="IXH18" s="41"/>
      <c r="IXI18" s="41"/>
      <c r="IXJ18" s="41"/>
      <c r="IXK18" s="41"/>
      <c r="IXL18" s="41"/>
      <c r="IXM18" s="41"/>
      <c r="IXN18" s="41"/>
      <c r="IXO18" s="41"/>
      <c r="IXP18" s="41"/>
      <c r="IXQ18" s="41"/>
      <c r="IXR18" s="41"/>
      <c r="IXS18" s="41"/>
      <c r="IXT18" s="41"/>
      <c r="IXU18" s="41"/>
      <c r="IXV18" s="41"/>
      <c r="IXW18" s="41"/>
      <c r="IXX18" s="41"/>
      <c r="IXY18" s="41"/>
      <c r="IXZ18" s="41"/>
      <c r="IYA18" s="41"/>
      <c r="IYB18" s="41"/>
      <c r="IYC18" s="41"/>
      <c r="IYD18" s="41"/>
      <c r="IYE18" s="41"/>
      <c r="IYF18" s="41"/>
      <c r="IYG18" s="41"/>
      <c r="IYH18" s="41"/>
      <c r="IYI18" s="41"/>
      <c r="IYJ18" s="41"/>
      <c r="IYK18" s="41"/>
      <c r="IYL18" s="41"/>
      <c r="IYM18" s="41"/>
      <c r="IYN18" s="41"/>
      <c r="IYO18" s="41"/>
      <c r="IYP18" s="41"/>
      <c r="IYQ18" s="41"/>
      <c r="IYR18" s="41"/>
      <c r="IYS18" s="41"/>
      <c r="IYT18" s="41"/>
      <c r="IYU18" s="41"/>
      <c r="IYV18" s="41"/>
      <c r="IYW18" s="41"/>
      <c r="IYX18" s="41"/>
      <c r="IYY18" s="41"/>
      <c r="IYZ18" s="41"/>
      <c r="IZA18" s="41"/>
      <c r="IZB18" s="41"/>
      <c r="IZC18" s="41"/>
      <c r="IZD18" s="41"/>
      <c r="IZE18" s="41"/>
      <c r="IZF18" s="41"/>
      <c r="IZG18" s="41"/>
      <c r="IZH18" s="41"/>
      <c r="IZI18" s="41"/>
      <c r="IZJ18" s="41"/>
      <c r="IZK18" s="41"/>
      <c r="IZL18" s="41"/>
      <c r="IZM18" s="41"/>
      <c r="IZN18" s="41"/>
      <c r="IZO18" s="41"/>
      <c r="IZP18" s="41"/>
      <c r="IZQ18" s="41"/>
      <c r="IZR18" s="41"/>
      <c r="IZS18" s="41"/>
      <c r="IZT18" s="41"/>
      <c r="IZU18" s="41"/>
      <c r="IZV18" s="41"/>
      <c r="IZW18" s="41"/>
      <c r="IZX18" s="41"/>
      <c r="IZY18" s="41"/>
      <c r="IZZ18" s="41"/>
      <c r="JAA18" s="41"/>
      <c r="JAB18" s="41"/>
      <c r="JAC18" s="41"/>
      <c r="JAD18" s="41"/>
      <c r="JAE18" s="41"/>
      <c r="JAF18" s="41"/>
      <c r="JAG18" s="41"/>
      <c r="JAH18" s="41"/>
      <c r="JAI18" s="41"/>
      <c r="JAJ18" s="41"/>
      <c r="JAK18" s="41"/>
      <c r="JAL18" s="41"/>
      <c r="JAM18" s="41"/>
      <c r="JAN18" s="41"/>
      <c r="JAO18" s="41"/>
      <c r="JAP18" s="41"/>
      <c r="JAQ18" s="41"/>
      <c r="JAR18" s="41"/>
      <c r="JAS18" s="41"/>
      <c r="JAT18" s="41"/>
      <c r="JAU18" s="41"/>
      <c r="JAV18" s="41"/>
      <c r="JAW18" s="41"/>
      <c r="JAX18" s="41"/>
      <c r="JAY18" s="41"/>
      <c r="JAZ18" s="41"/>
      <c r="JBA18" s="41"/>
      <c r="JBB18" s="41"/>
      <c r="JBC18" s="41"/>
      <c r="JBD18" s="41"/>
      <c r="JBE18" s="41"/>
      <c r="JBF18" s="41"/>
      <c r="JBG18" s="41"/>
      <c r="JBH18" s="41"/>
      <c r="JBI18" s="41"/>
      <c r="JBJ18" s="41"/>
      <c r="JBK18" s="41"/>
      <c r="JBL18" s="41"/>
      <c r="JBM18" s="41"/>
      <c r="JBN18" s="41"/>
      <c r="JBO18" s="41"/>
      <c r="JBP18" s="41"/>
      <c r="JBQ18" s="41"/>
      <c r="JBR18" s="41"/>
      <c r="JBS18" s="41"/>
      <c r="JBT18" s="41"/>
      <c r="JBU18" s="41"/>
      <c r="JBV18" s="41"/>
      <c r="JBW18" s="41"/>
      <c r="JBX18" s="41"/>
      <c r="JBY18" s="41"/>
      <c r="JBZ18" s="41"/>
      <c r="JCA18" s="41"/>
      <c r="JCB18" s="41"/>
      <c r="JCC18" s="41"/>
      <c r="JCD18" s="41"/>
      <c r="JCE18" s="41"/>
      <c r="JCF18" s="41"/>
      <c r="JCG18" s="41"/>
      <c r="JCH18" s="41"/>
      <c r="JCI18" s="41"/>
      <c r="JCJ18" s="41"/>
      <c r="JCK18" s="41"/>
      <c r="JCL18" s="41"/>
      <c r="JCM18" s="41"/>
      <c r="JCN18" s="41"/>
      <c r="JCO18" s="41"/>
      <c r="JCP18" s="41"/>
      <c r="JCQ18" s="41"/>
      <c r="JCR18" s="41"/>
      <c r="JCS18" s="41"/>
      <c r="JCT18" s="41"/>
      <c r="JCU18" s="41"/>
      <c r="JCV18" s="41"/>
      <c r="JCW18" s="41"/>
      <c r="JCX18" s="41"/>
      <c r="JCY18" s="41"/>
      <c r="JCZ18" s="41"/>
      <c r="JDA18" s="41"/>
      <c r="JDB18" s="41"/>
      <c r="JDC18" s="41"/>
      <c r="JDD18" s="41"/>
      <c r="JDE18" s="41"/>
      <c r="JDF18" s="41"/>
      <c r="JDG18" s="41"/>
      <c r="JDH18" s="41"/>
      <c r="JDI18" s="41"/>
      <c r="JDJ18" s="41"/>
      <c r="JDK18" s="41"/>
      <c r="JDL18" s="41"/>
      <c r="JDM18" s="41"/>
      <c r="JDN18" s="41"/>
      <c r="JDO18" s="41"/>
      <c r="JDP18" s="41"/>
      <c r="JDQ18" s="41"/>
      <c r="JDR18" s="41"/>
      <c r="JDS18" s="41"/>
      <c r="JDT18" s="41"/>
      <c r="JDU18" s="41"/>
      <c r="JDV18" s="41"/>
      <c r="JDW18" s="41"/>
      <c r="JDX18" s="41"/>
      <c r="JDY18" s="41"/>
      <c r="JDZ18" s="41"/>
      <c r="JEA18" s="41"/>
      <c r="JEB18" s="41"/>
      <c r="JEC18" s="41"/>
      <c r="JED18" s="41"/>
      <c r="JEE18" s="41"/>
      <c r="JEF18" s="41"/>
      <c r="JEG18" s="41"/>
      <c r="JEH18" s="41"/>
      <c r="JEI18" s="41"/>
      <c r="JEJ18" s="41"/>
      <c r="JEK18" s="41"/>
      <c r="JEL18" s="41"/>
      <c r="JEM18" s="41"/>
      <c r="JEN18" s="41"/>
      <c r="JEO18" s="41"/>
      <c r="JEP18" s="41"/>
      <c r="JEQ18" s="41"/>
      <c r="JER18" s="41"/>
      <c r="JES18" s="41"/>
      <c r="JET18" s="41"/>
      <c r="JEU18" s="41"/>
      <c r="JEV18" s="41"/>
      <c r="JEW18" s="41"/>
      <c r="JEX18" s="41"/>
      <c r="JEY18" s="41"/>
      <c r="JEZ18" s="41"/>
      <c r="JFA18" s="41"/>
      <c r="JFB18" s="41"/>
      <c r="JFC18" s="41"/>
      <c r="JFD18" s="41"/>
      <c r="JFE18" s="41"/>
      <c r="JFF18" s="41"/>
      <c r="JFG18" s="41"/>
      <c r="JFH18" s="41"/>
      <c r="JFI18" s="41"/>
      <c r="JFJ18" s="41"/>
      <c r="JFK18" s="41"/>
      <c r="JFL18" s="41"/>
      <c r="JFM18" s="41"/>
      <c r="JFN18" s="41"/>
      <c r="JFO18" s="41"/>
      <c r="JFP18" s="41"/>
      <c r="JFQ18" s="41"/>
      <c r="JFR18" s="41"/>
      <c r="JFS18" s="41"/>
      <c r="JFT18" s="41"/>
      <c r="JFU18" s="41"/>
      <c r="JFV18" s="41"/>
      <c r="JFW18" s="41"/>
      <c r="JFX18" s="41"/>
      <c r="JFY18" s="41"/>
      <c r="JFZ18" s="41"/>
      <c r="JGA18" s="41"/>
      <c r="JGB18" s="41"/>
      <c r="JGC18" s="41"/>
      <c r="JGD18" s="41"/>
      <c r="JGE18" s="41"/>
      <c r="JGF18" s="41"/>
      <c r="JGG18" s="41"/>
      <c r="JGH18" s="41"/>
      <c r="JGI18" s="41"/>
      <c r="JGJ18" s="41"/>
      <c r="JGK18" s="41"/>
      <c r="JGL18" s="41"/>
      <c r="JGM18" s="41"/>
      <c r="JGN18" s="41"/>
      <c r="JGO18" s="41"/>
      <c r="JGP18" s="41"/>
      <c r="JGQ18" s="41"/>
      <c r="JGR18" s="41"/>
      <c r="JGS18" s="41"/>
      <c r="JGT18" s="41"/>
      <c r="JGU18" s="41"/>
      <c r="JGV18" s="41"/>
      <c r="JGW18" s="41"/>
      <c r="JGX18" s="41"/>
      <c r="JGY18" s="41"/>
      <c r="JGZ18" s="41"/>
      <c r="JHA18" s="41"/>
      <c r="JHB18" s="41"/>
      <c r="JHC18" s="41"/>
      <c r="JHD18" s="41"/>
      <c r="JHE18" s="41"/>
      <c r="JHF18" s="41"/>
      <c r="JHG18" s="41"/>
      <c r="JHH18" s="41"/>
      <c r="JHI18" s="41"/>
      <c r="JHJ18" s="41"/>
      <c r="JHK18" s="41"/>
      <c r="JHL18" s="41"/>
      <c r="JHM18" s="41"/>
      <c r="JHN18" s="41"/>
      <c r="JHO18" s="41"/>
      <c r="JHP18" s="41"/>
      <c r="JHQ18" s="41"/>
      <c r="JHR18" s="41"/>
      <c r="JHS18" s="41"/>
      <c r="JHT18" s="41"/>
      <c r="JHU18" s="41"/>
      <c r="JHV18" s="41"/>
      <c r="JHW18" s="41"/>
      <c r="JHX18" s="41"/>
      <c r="JHY18" s="41"/>
      <c r="JHZ18" s="41"/>
      <c r="JIA18" s="41"/>
      <c r="JIB18" s="41"/>
      <c r="JIC18" s="41"/>
      <c r="JID18" s="41"/>
      <c r="JIE18" s="41"/>
      <c r="JIF18" s="41"/>
      <c r="JIG18" s="41"/>
      <c r="JIH18" s="41"/>
      <c r="JII18" s="41"/>
      <c r="JIJ18" s="41"/>
      <c r="JIK18" s="41"/>
      <c r="JIL18" s="41"/>
      <c r="JIM18" s="41"/>
      <c r="JIN18" s="41"/>
      <c r="JIO18" s="41"/>
      <c r="JIP18" s="41"/>
      <c r="JIQ18" s="41"/>
      <c r="JIR18" s="41"/>
      <c r="JIS18" s="41"/>
      <c r="JIT18" s="41"/>
      <c r="JIU18" s="41"/>
      <c r="JIV18" s="41"/>
      <c r="JIW18" s="41"/>
      <c r="JIX18" s="41"/>
      <c r="JIY18" s="41"/>
      <c r="JIZ18" s="41"/>
      <c r="JJA18" s="41"/>
      <c r="JJB18" s="41"/>
      <c r="JJC18" s="41"/>
      <c r="JJD18" s="41"/>
      <c r="JJE18" s="41"/>
      <c r="JJF18" s="41"/>
      <c r="JJG18" s="41"/>
      <c r="JJH18" s="41"/>
      <c r="JJI18" s="41"/>
      <c r="JJJ18" s="41"/>
      <c r="JJK18" s="41"/>
      <c r="JJL18" s="41"/>
      <c r="JJM18" s="41"/>
      <c r="JJN18" s="41"/>
      <c r="JJO18" s="41"/>
      <c r="JJP18" s="41"/>
      <c r="JJQ18" s="41"/>
      <c r="JJR18" s="41"/>
      <c r="JJS18" s="41"/>
      <c r="JJT18" s="41"/>
      <c r="JJU18" s="41"/>
      <c r="JJV18" s="41"/>
      <c r="JJW18" s="41"/>
      <c r="JJX18" s="41"/>
      <c r="JJY18" s="41"/>
      <c r="JJZ18" s="41"/>
      <c r="JKA18" s="41"/>
      <c r="JKB18" s="41"/>
      <c r="JKC18" s="41"/>
      <c r="JKD18" s="41"/>
      <c r="JKE18" s="41"/>
      <c r="JKF18" s="41"/>
      <c r="JKG18" s="41"/>
      <c r="JKH18" s="41"/>
      <c r="JKI18" s="41"/>
      <c r="JKJ18" s="41"/>
      <c r="JKK18" s="41"/>
      <c r="JKL18" s="41"/>
      <c r="JKM18" s="41"/>
      <c r="JKN18" s="41"/>
      <c r="JKO18" s="41"/>
      <c r="JKP18" s="41"/>
      <c r="JKQ18" s="41"/>
      <c r="JKR18" s="41"/>
      <c r="JKS18" s="41"/>
      <c r="JKT18" s="41"/>
      <c r="JKU18" s="41"/>
      <c r="JKV18" s="41"/>
      <c r="JKW18" s="41"/>
      <c r="JKX18" s="41"/>
      <c r="JKY18" s="41"/>
      <c r="JKZ18" s="41"/>
      <c r="JLA18" s="41"/>
      <c r="JLB18" s="41"/>
      <c r="JLC18" s="41"/>
      <c r="JLD18" s="41"/>
      <c r="JLE18" s="41"/>
      <c r="JLF18" s="41"/>
      <c r="JLG18" s="41"/>
      <c r="JLH18" s="41"/>
      <c r="JLI18" s="41"/>
      <c r="JLJ18" s="41"/>
      <c r="JLK18" s="41"/>
      <c r="JLL18" s="41"/>
      <c r="JLM18" s="41"/>
      <c r="JLN18" s="41"/>
      <c r="JLO18" s="41"/>
      <c r="JLP18" s="41"/>
      <c r="JLQ18" s="41"/>
      <c r="JLR18" s="41"/>
      <c r="JLS18" s="41"/>
      <c r="JLT18" s="41"/>
      <c r="JLU18" s="41"/>
      <c r="JLV18" s="41"/>
      <c r="JLW18" s="41"/>
      <c r="JLX18" s="41"/>
      <c r="JLY18" s="41"/>
      <c r="JLZ18" s="41"/>
      <c r="JMA18" s="41"/>
      <c r="JMB18" s="41"/>
      <c r="JMC18" s="41"/>
      <c r="JMD18" s="41"/>
      <c r="JME18" s="41"/>
      <c r="JMF18" s="41"/>
      <c r="JMG18" s="41"/>
      <c r="JMH18" s="41"/>
      <c r="JMI18" s="41"/>
      <c r="JMJ18" s="41"/>
      <c r="JMK18" s="41"/>
      <c r="JML18" s="41"/>
      <c r="JMM18" s="41"/>
      <c r="JMN18" s="41"/>
      <c r="JMO18" s="41"/>
      <c r="JMP18" s="41"/>
      <c r="JMQ18" s="41"/>
      <c r="JMR18" s="41"/>
      <c r="JMS18" s="41"/>
      <c r="JMT18" s="41"/>
      <c r="JMU18" s="41"/>
      <c r="JMV18" s="41"/>
      <c r="JMW18" s="41"/>
      <c r="JMX18" s="41"/>
      <c r="JMY18" s="41"/>
      <c r="JMZ18" s="41"/>
      <c r="JNA18" s="41"/>
      <c r="JNB18" s="41"/>
      <c r="JNC18" s="41"/>
      <c r="JND18" s="41"/>
      <c r="JNE18" s="41"/>
      <c r="JNF18" s="41"/>
      <c r="JNG18" s="41"/>
      <c r="JNH18" s="41"/>
      <c r="JNI18" s="41"/>
      <c r="JNJ18" s="41"/>
      <c r="JNK18" s="41"/>
      <c r="JNL18" s="41"/>
      <c r="JNM18" s="41"/>
      <c r="JNN18" s="41"/>
      <c r="JNO18" s="41"/>
      <c r="JNP18" s="41"/>
      <c r="JNQ18" s="41"/>
      <c r="JNR18" s="41"/>
      <c r="JNS18" s="41"/>
      <c r="JNT18" s="41"/>
      <c r="JNU18" s="41"/>
      <c r="JNV18" s="41"/>
      <c r="JNW18" s="41"/>
      <c r="JNX18" s="41"/>
      <c r="JNY18" s="41"/>
      <c r="JNZ18" s="41"/>
      <c r="JOA18" s="41"/>
      <c r="JOB18" s="41"/>
      <c r="JOC18" s="41"/>
      <c r="JOD18" s="41"/>
      <c r="JOE18" s="41"/>
      <c r="JOF18" s="41"/>
      <c r="JOG18" s="41"/>
      <c r="JOH18" s="41"/>
      <c r="JOI18" s="41"/>
      <c r="JOJ18" s="41"/>
      <c r="JOK18" s="41"/>
      <c r="JOL18" s="41"/>
      <c r="JOM18" s="41"/>
      <c r="JON18" s="41"/>
      <c r="JOO18" s="41"/>
      <c r="JOP18" s="41"/>
      <c r="JOQ18" s="41"/>
      <c r="JOR18" s="41"/>
      <c r="JOS18" s="41"/>
      <c r="JOT18" s="41"/>
      <c r="JOU18" s="41"/>
      <c r="JOV18" s="41"/>
      <c r="JOW18" s="41"/>
      <c r="JOX18" s="41"/>
      <c r="JOY18" s="41"/>
      <c r="JOZ18" s="41"/>
      <c r="JPA18" s="41"/>
      <c r="JPB18" s="41"/>
      <c r="JPC18" s="41"/>
      <c r="JPD18" s="41"/>
      <c r="JPE18" s="41"/>
      <c r="JPF18" s="41"/>
      <c r="JPG18" s="41"/>
      <c r="JPH18" s="41"/>
      <c r="JPI18" s="41"/>
      <c r="JPJ18" s="41"/>
      <c r="JPK18" s="41"/>
      <c r="JPL18" s="41"/>
      <c r="JPM18" s="41"/>
      <c r="JPN18" s="41"/>
      <c r="JPO18" s="41"/>
      <c r="JPP18" s="41"/>
      <c r="JPQ18" s="41"/>
      <c r="JPR18" s="41"/>
      <c r="JPS18" s="41"/>
      <c r="JPT18" s="41"/>
      <c r="JPU18" s="41"/>
      <c r="JPV18" s="41"/>
      <c r="JPW18" s="41"/>
      <c r="JPX18" s="41"/>
      <c r="JPY18" s="41"/>
      <c r="JPZ18" s="41"/>
      <c r="JQA18" s="41"/>
      <c r="JQB18" s="41"/>
      <c r="JQC18" s="41"/>
      <c r="JQD18" s="41"/>
      <c r="JQE18" s="41"/>
      <c r="JQF18" s="41"/>
      <c r="JQG18" s="41"/>
      <c r="JQH18" s="41"/>
      <c r="JQI18" s="41"/>
      <c r="JQJ18" s="41"/>
      <c r="JQK18" s="41"/>
      <c r="JQL18" s="41"/>
      <c r="JQM18" s="41"/>
      <c r="JQN18" s="41"/>
      <c r="JQO18" s="41"/>
      <c r="JQP18" s="41"/>
      <c r="JQQ18" s="41"/>
      <c r="JQR18" s="41"/>
      <c r="JQS18" s="41"/>
      <c r="JQT18" s="41"/>
      <c r="JQU18" s="41"/>
      <c r="JQV18" s="41"/>
      <c r="JQW18" s="41"/>
      <c r="JQX18" s="41"/>
      <c r="JQY18" s="41"/>
      <c r="JQZ18" s="41"/>
      <c r="JRA18" s="41"/>
      <c r="JRB18" s="41"/>
      <c r="JRC18" s="41"/>
      <c r="JRD18" s="41"/>
      <c r="JRE18" s="41"/>
      <c r="JRF18" s="41"/>
      <c r="JRG18" s="41"/>
      <c r="JRH18" s="41"/>
      <c r="JRI18" s="41"/>
      <c r="JRJ18" s="41"/>
      <c r="JRK18" s="41"/>
      <c r="JRL18" s="41"/>
      <c r="JRM18" s="41"/>
      <c r="JRN18" s="41"/>
      <c r="JRO18" s="41"/>
      <c r="JRP18" s="41"/>
      <c r="JRQ18" s="41"/>
      <c r="JRR18" s="41"/>
      <c r="JRS18" s="41"/>
      <c r="JRT18" s="41"/>
      <c r="JRU18" s="41"/>
      <c r="JRV18" s="41"/>
      <c r="JRW18" s="41"/>
      <c r="JRX18" s="41"/>
      <c r="JRY18" s="41"/>
      <c r="JRZ18" s="41"/>
      <c r="JSA18" s="41"/>
      <c r="JSB18" s="41"/>
      <c r="JSC18" s="41"/>
      <c r="JSD18" s="41"/>
      <c r="JSE18" s="41"/>
      <c r="JSF18" s="41"/>
      <c r="JSG18" s="41"/>
      <c r="JSH18" s="41"/>
      <c r="JSI18" s="41"/>
      <c r="JSJ18" s="41"/>
      <c r="JSK18" s="41"/>
      <c r="JSL18" s="41"/>
      <c r="JSM18" s="41"/>
      <c r="JSN18" s="41"/>
      <c r="JSO18" s="41"/>
      <c r="JSP18" s="41"/>
      <c r="JSQ18" s="41"/>
      <c r="JSR18" s="41"/>
      <c r="JSS18" s="41"/>
      <c r="JST18" s="41"/>
      <c r="JSU18" s="41"/>
      <c r="JSV18" s="41"/>
      <c r="JSW18" s="41"/>
      <c r="JSX18" s="41"/>
      <c r="JSY18" s="41"/>
      <c r="JSZ18" s="41"/>
      <c r="JTA18" s="41"/>
      <c r="JTB18" s="41"/>
      <c r="JTC18" s="41"/>
      <c r="JTD18" s="41"/>
      <c r="JTE18" s="41"/>
      <c r="JTF18" s="41"/>
      <c r="JTG18" s="41"/>
      <c r="JTH18" s="41"/>
      <c r="JTI18" s="41"/>
      <c r="JTJ18" s="41"/>
      <c r="JTK18" s="41"/>
      <c r="JTL18" s="41"/>
      <c r="JTM18" s="41"/>
      <c r="JTN18" s="41"/>
      <c r="JTO18" s="41"/>
      <c r="JTP18" s="41"/>
      <c r="JTQ18" s="41"/>
      <c r="JTR18" s="41"/>
      <c r="JTS18" s="41"/>
      <c r="JTT18" s="41"/>
      <c r="JTU18" s="41"/>
      <c r="JTV18" s="41"/>
      <c r="JTW18" s="41"/>
      <c r="JTX18" s="41"/>
      <c r="JTY18" s="41"/>
      <c r="JTZ18" s="41"/>
      <c r="JUA18" s="41"/>
      <c r="JUB18" s="41"/>
      <c r="JUC18" s="41"/>
      <c r="JUD18" s="41"/>
      <c r="JUE18" s="41"/>
      <c r="JUF18" s="41"/>
      <c r="JUG18" s="41"/>
      <c r="JUH18" s="41"/>
      <c r="JUI18" s="41"/>
      <c r="JUJ18" s="41"/>
      <c r="JUK18" s="41"/>
      <c r="JUL18" s="41"/>
      <c r="JUM18" s="41"/>
      <c r="JUN18" s="41"/>
      <c r="JUO18" s="41"/>
      <c r="JUP18" s="41"/>
      <c r="JUQ18" s="41"/>
      <c r="JUR18" s="41"/>
      <c r="JUS18" s="41"/>
      <c r="JUT18" s="41"/>
      <c r="JUU18" s="41"/>
      <c r="JUV18" s="41"/>
      <c r="JUW18" s="41"/>
      <c r="JUX18" s="41"/>
      <c r="JUY18" s="41"/>
      <c r="JUZ18" s="41"/>
      <c r="JVA18" s="41"/>
      <c r="JVB18" s="41"/>
      <c r="JVC18" s="41"/>
      <c r="JVD18" s="41"/>
      <c r="JVE18" s="41"/>
      <c r="JVF18" s="41"/>
      <c r="JVG18" s="41"/>
      <c r="JVH18" s="41"/>
      <c r="JVI18" s="41"/>
      <c r="JVJ18" s="41"/>
      <c r="JVK18" s="41"/>
      <c r="JVL18" s="41"/>
      <c r="JVM18" s="41"/>
      <c r="JVN18" s="41"/>
      <c r="JVO18" s="41"/>
      <c r="JVP18" s="41"/>
      <c r="JVQ18" s="41"/>
      <c r="JVR18" s="41"/>
      <c r="JVS18" s="41"/>
      <c r="JVT18" s="41"/>
      <c r="JVU18" s="41"/>
      <c r="JVV18" s="41"/>
      <c r="JVW18" s="41"/>
      <c r="JVX18" s="41"/>
      <c r="JVY18" s="41"/>
      <c r="JVZ18" s="41"/>
      <c r="JWA18" s="41"/>
      <c r="JWB18" s="41"/>
      <c r="JWC18" s="41"/>
      <c r="JWD18" s="41"/>
      <c r="JWE18" s="41"/>
      <c r="JWF18" s="41"/>
      <c r="JWG18" s="41"/>
      <c r="JWH18" s="41"/>
      <c r="JWI18" s="41"/>
      <c r="JWJ18" s="41"/>
      <c r="JWK18" s="41"/>
      <c r="JWL18" s="41"/>
      <c r="JWM18" s="41"/>
      <c r="JWN18" s="41"/>
      <c r="JWO18" s="41"/>
      <c r="JWP18" s="41"/>
      <c r="JWQ18" s="41"/>
      <c r="JWR18" s="41"/>
      <c r="JWS18" s="41"/>
      <c r="JWT18" s="41"/>
      <c r="JWU18" s="41"/>
      <c r="JWV18" s="41"/>
      <c r="JWW18" s="41"/>
      <c r="JWX18" s="41"/>
      <c r="JWY18" s="41"/>
      <c r="JWZ18" s="41"/>
      <c r="JXA18" s="41"/>
      <c r="JXB18" s="41"/>
      <c r="JXC18" s="41"/>
      <c r="JXD18" s="41"/>
      <c r="JXE18" s="41"/>
      <c r="JXF18" s="41"/>
      <c r="JXG18" s="41"/>
      <c r="JXH18" s="41"/>
      <c r="JXI18" s="41"/>
      <c r="JXJ18" s="41"/>
      <c r="JXK18" s="41"/>
      <c r="JXL18" s="41"/>
      <c r="JXM18" s="41"/>
      <c r="JXN18" s="41"/>
      <c r="JXO18" s="41"/>
      <c r="JXP18" s="41"/>
      <c r="JXQ18" s="41"/>
      <c r="JXR18" s="41"/>
      <c r="JXS18" s="41"/>
      <c r="JXT18" s="41"/>
      <c r="JXU18" s="41"/>
      <c r="JXV18" s="41"/>
      <c r="JXW18" s="41"/>
      <c r="JXX18" s="41"/>
      <c r="JXY18" s="41"/>
      <c r="JXZ18" s="41"/>
      <c r="JYA18" s="41"/>
      <c r="JYB18" s="41"/>
      <c r="JYC18" s="41"/>
      <c r="JYD18" s="41"/>
      <c r="JYE18" s="41"/>
      <c r="JYF18" s="41"/>
      <c r="JYG18" s="41"/>
      <c r="JYH18" s="41"/>
      <c r="JYI18" s="41"/>
      <c r="JYJ18" s="41"/>
      <c r="JYK18" s="41"/>
      <c r="JYL18" s="41"/>
      <c r="JYM18" s="41"/>
      <c r="JYN18" s="41"/>
      <c r="JYO18" s="41"/>
      <c r="JYP18" s="41"/>
      <c r="JYQ18" s="41"/>
      <c r="JYR18" s="41"/>
      <c r="JYS18" s="41"/>
      <c r="JYT18" s="41"/>
      <c r="JYU18" s="41"/>
      <c r="JYV18" s="41"/>
      <c r="JYW18" s="41"/>
      <c r="JYX18" s="41"/>
      <c r="JYY18" s="41"/>
      <c r="JYZ18" s="41"/>
      <c r="JZA18" s="41"/>
      <c r="JZB18" s="41"/>
      <c r="JZC18" s="41"/>
      <c r="JZD18" s="41"/>
      <c r="JZE18" s="41"/>
      <c r="JZF18" s="41"/>
      <c r="JZG18" s="41"/>
      <c r="JZH18" s="41"/>
      <c r="JZI18" s="41"/>
      <c r="JZJ18" s="41"/>
      <c r="JZK18" s="41"/>
      <c r="JZL18" s="41"/>
      <c r="JZM18" s="41"/>
      <c r="JZN18" s="41"/>
      <c r="JZO18" s="41"/>
      <c r="JZP18" s="41"/>
      <c r="JZQ18" s="41"/>
      <c r="JZR18" s="41"/>
      <c r="JZS18" s="41"/>
      <c r="JZT18" s="41"/>
      <c r="JZU18" s="41"/>
      <c r="JZV18" s="41"/>
      <c r="JZW18" s="41"/>
      <c r="JZX18" s="41"/>
      <c r="JZY18" s="41"/>
      <c r="JZZ18" s="41"/>
      <c r="KAA18" s="41"/>
      <c r="KAB18" s="41"/>
      <c r="KAC18" s="41"/>
      <c r="KAD18" s="41"/>
      <c r="KAE18" s="41"/>
      <c r="KAF18" s="41"/>
      <c r="KAG18" s="41"/>
      <c r="KAH18" s="41"/>
      <c r="KAI18" s="41"/>
      <c r="KAJ18" s="41"/>
      <c r="KAK18" s="41"/>
      <c r="KAL18" s="41"/>
      <c r="KAM18" s="41"/>
      <c r="KAN18" s="41"/>
      <c r="KAO18" s="41"/>
      <c r="KAP18" s="41"/>
      <c r="KAQ18" s="41"/>
      <c r="KAR18" s="41"/>
      <c r="KAS18" s="41"/>
      <c r="KAT18" s="41"/>
      <c r="KAU18" s="41"/>
      <c r="KAV18" s="41"/>
      <c r="KAW18" s="41"/>
      <c r="KAX18" s="41"/>
      <c r="KAY18" s="41"/>
      <c r="KAZ18" s="41"/>
      <c r="KBA18" s="41"/>
      <c r="KBB18" s="41"/>
      <c r="KBC18" s="41"/>
      <c r="KBD18" s="41"/>
      <c r="KBE18" s="41"/>
      <c r="KBF18" s="41"/>
      <c r="KBG18" s="41"/>
      <c r="KBH18" s="41"/>
      <c r="KBI18" s="41"/>
      <c r="KBJ18" s="41"/>
      <c r="KBK18" s="41"/>
      <c r="KBL18" s="41"/>
      <c r="KBM18" s="41"/>
      <c r="KBN18" s="41"/>
      <c r="KBO18" s="41"/>
      <c r="KBP18" s="41"/>
      <c r="KBQ18" s="41"/>
      <c r="KBR18" s="41"/>
      <c r="KBS18" s="41"/>
      <c r="KBT18" s="41"/>
      <c r="KBU18" s="41"/>
      <c r="KBV18" s="41"/>
      <c r="KBW18" s="41"/>
      <c r="KBX18" s="41"/>
      <c r="KBY18" s="41"/>
      <c r="KBZ18" s="41"/>
      <c r="KCA18" s="41"/>
      <c r="KCB18" s="41"/>
      <c r="KCC18" s="41"/>
      <c r="KCD18" s="41"/>
      <c r="KCE18" s="41"/>
      <c r="KCF18" s="41"/>
      <c r="KCG18" s="41"/>
      <c r="KCH18" s="41"/>
      <c r="KCI18" s="41"/>
      <c r="KCJ18" s="41"/>
      <c r="KCK18" s="41"/>
      <c r="KCL18" s="41"/>
      <c r="KCM18" s="41"/>
      <c r="KCN18" s="41"/>
      <c r="KCO18" s="41"/>
      <c r="KCP18" s="41"/>
      <c r="KCQ18" s="41"/>
      <c r="KCR18" s="41"/>
      <c r="KCS18" s="41"/>
      <c r="KCT18" s="41"/>
      <c r="KCU18" s="41"/>
      <c r="KCV18" s="41"/>
      <c r="KCW18" s="41"/>
      <c r="KCX18" s="41"/>
      <c r="KCY18" s="41"/>
      <c r="KCZ18" s="41"/>
      <c r="KDA18" s="41"/>
      <c r="KDB18" s="41"/>
      <c r="KDC18" s="41"/>
      <c r="KDD18" s="41"/>
      <c r="KDE18" s="41"/>
      <c r="KDF18" s="41"/>
      <c r="KDG18" s="41"/>
      <c r="KDH18" s="41"/>
      <c r="KDI18" s="41"/>
      <c r="KDJ18" s="41"/>
      <c r="KDK18" s="41"/>
      <c r="KDL18" s="41"/>
      <c r="KDM18" s="41"/>
      <c r="KDN18" s="41"/>
      <c r="KDO18" s="41"/>
      <c r="KDP18" s="41"/>
      <c r="KDQ18" s="41"/>
      <c r="KDR18" s="41"/>
      <c r="KDS18" s="41"/>
      <c r="KDT18" s="41"/>
      <c r="KDU18" s="41"/>
      <c r="KDV18" s="41"/>
      <c r="KDW18" s="41"/>
      <c r="KDX18" s="41"/>
      <c r="KDY18" s="41"/>
      <c r="KDZ18" s="41"/>
      <c r="KEA18" s="41"/>
      <c r="KEB18" s="41"/>
      <c r="KEC18" s="41"/>
      <c r="KED18" s="41"/>
      <c r="KEE18" s="41"/>
      <c r="KEF18" s="41"/>
      <c r="KEG18" s="41"/>
      <c r="KEH18" s="41"/>
      <c r="KEI18" s="41"/>
      <c r="KEJ18" s="41"/>
      <c r="KEK18" s="41"/>
      <c r="KEL18" s="41"/>
      <c r="KEM18" s="41"/>
      <c r="KEN18" s="41"/>
      <c r="KEO18" s="41"/>
      <c r="KEP18" s="41"/>
      <c r="KEQ18" s="41"/>
      <c r="KER18" s="41"/>
      <c r="KES18" s="41"/>
      <c r="KET18" s="41"/>
      <c r="KEU18" s="41"/>
      <c r="KEV18" s="41"/>
      <c r="KEW18" s="41"/>
      <c r="KEX18" s="41"/>
      <c r="KEY18" s="41"/>
      <c r="KEZ18" s="41"/>
      <c r="KFA18" s="41"/>
      <c r="KFB18" s="41"/>
      <c r="KFC18" s="41"/>
      <c r="KFD18" s="41"/>
      <c r="KFE18" s="41"/>
      <c r="KFF18" s="41"/>
      <c r="KFG18" s="41"/>
      <c r="KFH18" s="41"/>
      <c r="KFI18" s="41"/>
      <c r="KFJ18" s="41"/>
      <c r="KFK18" s="41"/>
      <c r="KFL18" s="41"/>
      <c r="KFM18" s="41"/>
      <c r="KFN18" s="41"/>
      <c r="KFO18" s="41"/>
      <c r="KFP18" s="41"/>
      <c r="KFQ18" s="41"/>
      <c r="KFR18" s="41"/>
      <c r="KFS18" s="41"/>
      <c r="KFT18" s="41"/>
      <c r="KFU18" s="41"/>
      <c r="KFV18" s="41"/>
      <c r="KFW18" s="41"/>
      <c r="KFX18" s="41"/>
      <c r="KFY18" s="41"/>
      <c r="KFZ18" s="41"/>
      <c r="KGA18" s="41"/>
      <c r="KGB18" s="41"/>
      <c r="KGC18" s="41"/>
      <c r="KGD18" s="41"/>
      <c r="KGE18" s="41"/>
      <c r="KGF18" s="41"/>
      <c r="KGG18" s="41"/>
      <c r="KGH18" s="41"/>
      <c r="KGI18" s="41"/>
      <c r="KGJ18" s="41"/>
      <c r="KGK18" s="41"/>
      <c r="KGL18" s="41"/>
      <c r="KGM18" s="41"/>
      <c r="KGN18" s="41"/>
      <c r="KGO18" s="41"/>
      <c r="KGP18" s="41"/>
      <c r="KGQ18" s="41"/>
      <c r="KGR18" s="41"/>
      <c r="KGS18" s="41"/>
      <c r="KGT18" s="41"/>
      <c r="KGU18" s="41"/>
      <c r="KGV18" s="41"/>
      <c r="KGW18" s="41"/>
      <c r="KGX18" s="41"/>
      <c r="KGY18" s="41"/>
      <c r="KGZ18" s="41"/>
      <c r="KHA18" s="41"/>
      <c r="KHB18" s="41"/>
      <c r="KHC18" s="41"/>
      <c r="KHD18" s="41"/>
      <c r="KHE18" s="41"/>
      <c r="KHF18" s="41"/>
      <c r="KHG18" s="41"/>
      <c r="KHH18" s="41"/>
      <c r="KHI18" s="41"/>
      <c r="KHJ18" s="41"/>
      <c r="KHK18" s="41"/>
      <c r="KHL18" s="41"/>
      <c r="KHM18" s="41"/>
      <c r="KHN18" s="41"/>
      <c r="KHO18" s="41"/>
      <c r="KHP18" s="41"/>
      <c r="KHQ18" s="41"/>
      <c r="KHR18" s="41"/>
      <c r="KHS18" s="41"/>
      <c r="KHT18" s="41"/>
      <c r="KHU18" s="41"/>
      <c r="KHV18" s="41"/>
      <c r="KHW18" s="41"/>
      <c r="KHX18" s="41"/>
      <c r="KHY18" s="41"/>
      <c r="KHZ18" s="41"/>
      <c r="KIA18" s="41"/>
      <c r="KIB18" s="41"/>
      <c r="KIC18" s="41"/>
      <c r="KID18" s="41"/>
      <c r="KIE18" s="41"/>
      <c r="KIF18" s="41"/>
      <c r="KIG18" s="41"/>
      <c r="KIH18" s="41"/>
      <c r="KII18" s="41"/>
      <c r="KIJ18" s="41"/>
      <c r="KIK18" s="41"/>
      <c r="KIL18" s="41"/>
      <c r="KIM18" s="41"/>
      <c r="KIN18" s="41"/>
      <c r="KIO18" s="41"/>
      <c r="KIP18" s="41"/>
      <c r="KIQ18" s="41"/>
      <c r="KIR18" s="41"/>
      <c r="KIS18" s="41"/>
      <c r="KIT18" s="41"/>
      <c r="KIU18" s="41"/>
      <c r="KIV18" s="41"/>
      <c r="KIW18" s="41"/>
      <c r="KIX18" s="41"/>
      <c r="KIY18" s="41"/>
      <c r="KIZ18" s="41"/>
      <c r="KJA18" s="41"/>
      <c r="KJB18" s="41"/>
      <c r="KJC18" s="41"/>
      <c r="KJD18" s="41"/>
      <c r="KJE18" s="41"/>
      <c r="KJF18" s="41"/>
      <c r="KJG18" s="41"/>
      <c r="KJH18" s="41"/>
      <c r="KJI18" s="41"/>
      <c r="KJJ18" s="41"/>
      <c r="KJK18" s="41"/>
      <c r="KJL18" s="41"/>
      <c r="KJM18" s="41"/>
      <c r="KJN18" s="41"/>
      <c r="KJO18" s="41"/>
      <c r="KJP18" s="41"/>
      <c r="KJQ18" s="41"/>
      <c r="KJR18" s="41"/>
      <c r="KJS18" s="41"/>
      <c r="KJT18" s="41"/>
      <c r="KJU18" s="41"/>
      <c r="KJV18" s="41"/>
      <c r="KJW18" s="41"/>
      <c r="KJX18" s="41"/>
      <c r="KJY18" s="41"/>
      <c r="KJZ18" s="41"/>
      <c r="KKA18" s="41"/>
      <c r="KKB18" s="41"/>
      <c r="KKC18" s="41"/>
      <c r="KKD18" s="41"/>
      <c r="KKE18" s="41"/>
      <c r="KKF18" s="41"/>
      <c r="KKG18" s="41"/>
      <c r="KKH18" s="41"/>
      <c r="KKI18" s="41"/>
      <c r="KKJ18" s="41"/>
      <c r="KKK18" s="41"/>
      <c r="KKL18" s="41"/>
      <c r="KKM18" s="41"/>
      <c r="KKN18" s="41"/>
      <c r="KKO18" s="41"/>
      <c r="KKP18" s="41"/>
      <c r="KKQ18" s="41"/>
      <c r="KKR18" s="41"/>
      <c r="KKS18" s="41"/>
      <c r="KKT18" s="41"/>
      <c r="KKU18" s="41"/>
      <c r="KKV18" s="41"/>
      <c r="KKW18" s="41"/>
      <c r="KKX18" s="41"/>
      <c r="KKY18" s="41"/>
      <c r="KKZ18" s="41"/>
      <c r="KLA18" s="41"/>
      <c r="KLB18" s="41"/>
      <c r="KLC18" s="41"/>
      <c r="KLD18" s="41"/>
      <c r="KLE18" s="41"/>
      <c r="KLF18" s="41"/>
      <c r="KLG18" s="41"/>
      <c r="KLH18" s="41"/>
      <c r="KLI18" s="41"/>
      <c r="KLJ18" s="41"/>
      <c r="KLK18" s="41"/>
      <c r="KLL18" s="41"/>
      <c r="KLM18" s="41"/>
      <c r="KLN18" s="41"/>
      <c r="KLO18" s="41"/>
      <c r="KLP18" s="41"/>
      <c r="KLQ18" s="41"/>
      <c r="KLR18" s="41"/>
      <c r="KLS18" s="41"/>
      <c r="KLT18" s="41"/>
      <c r="KLU18" s="41"/>
      <c r="KLV18" s="41"/>
      <c r="KLW18" s="41"/>
      <c r="KLX18" s="41"/>
      <c r="KLY18" s="41"/>
      <c r="KLZ18" s="41"/>
      <c r="KMA18" s="41"/>
      <c r="KMB18" s="41"/>
      <c r="KMC18" s="41"/>
      <c r="KMD18" s="41"/>
      <c r="KME18" s="41"/>
      <c r="KMF18" s="41"/>
      <c r="KMG18" s="41"/>
      <c r="KMH18" s="41"/>
      <c r="KMI18" s="41"/>
      <c r="KMJ18" s="41"/>
      <c r="KMK18" s="41"/>
      <c r="KML18" s="41"/>
      <c r="KMM18" s="41"/>
      <c r="KMN18" s="41"/>
      <c r="KMO18" s="41"/>
      <c r="KMP18" s="41"/>
      <c r="KMQ18" s="41"/>
      <c r="KMR18" s="41"/>
      <c r="KMS18" s="41"/>
      <c r="KMT18" s="41"/>
      <c r="KMU18" s="41"/>
      <c r="KMV18" s="41"/>
      <c r="KMW18" s="41"/>
      <c r="KMX18" s="41"/>
      <c r="KMY18" s="41"/>
      <c r="KMZ18" s="41"/>
      <c r="KNA18" s="41"/>
      <c r="KNB18" s="41"/>
      <c r="KNC18" s="41"/>
      <c r="KND18" s="41"/>
      <c r="KNE18" s="41"/>
      <c r="KNF18" s="41"/>
      <c r="KNG18" s="41"/>
      <c r="KNH18" s="41"/>
      <c r="KNI18" s="41"/>
      <c r="KNJ18" s="41"/>
      <c r="KNK18" s="41"/>
      <c r="KNL18" s="41"/>
      <c r="KNM18" s="41"/>
      <c r="KNN18" s="41"/>
      <c r="KNO18" s="41"/>
      <c r="KNP18" s="41"/>
      <c r="KNQ18" s="41"/>
      <c r="KNR18" s="41"/>
      <c r="KNS18" s="41"/>
      <c r="KNT18" s="41"/>
      <c r="KNU18" s="41"/>
      <c r="KNV18" s="41"/>
      <c r="KNW18" s="41"/>
      <c r="KNX18" s="41"/>
      <c r="KNY18" s="41"/>
      <c r="KNZ18" s="41"/>
      <c r="KOA18" s="41"/>
      <c r="KOB18" s="41"/>
      <c r="KOC18" s="41"/>
      <c r="KOD18" s="41"/>
      <c r="KOE18" s="41"/>
      <c r="KOF18" s="41"/>
      <c r="KOG18" s="41"/>
      <c r="KOH18" s="41"/>
      <c r="KOI18" s="41"/>
      <c r="KOJ18" s="41"/>
      <c r="KOK18" s="41"/>
      <c r="KOL18" s="41"/>
      <c r="KOM18" s="41"/>
      <c r="KON18" s="41"/>
      <c r="KOO18" s="41"/>
      <c r="KOP18" s="41"/>
      <c r="KOQ18" s="41"/>
      <c r="KOR18" s="41"/>
      <c r="KOS18" s="41"/>
      <c r="KOT18" s="41"/>
      <c r="KOU18" s="41"/>
      <c r="KOV18" s="41"/>
      <c r="KOW18" s="41"/>
      <c r="KOX18" s="41"/>
      <c r="KOY18" s="41"/>
      <c r="KOZ18" s="41"/>
      <c r="KPA18" s="41"/>
      <c r="KPB18" s="41"/>
      <c r="KPC18" s="41"/>
      <c r="KPD18" s="41"/>
      <c r="KPE18" s="41"/>
      <c r="KPF18" s="41"/>
      <c r="KPG18" s="41"/>
      <c r="KPH18" s="41"/>
      <c r="KPI18" s="41"/>
      <c r="KPJ18" s="41"/>
      <c r="KPK18" s="41"/>
      <c r="KPL18" s="41"/>
      <c r="KPM18" s="41"/>
      <c r="KPN18" s="41"/>
      <c r="KPO18" s="41"/>
      <c r="KPP18" s="41"/>
      <c r="KPQ18" s="41"/>
      <c r="KPR18" s="41"/>
      <c r="KPS18" s="41"/>
      <c r="KPT18" s="41"/>
      <c r="KPU18" s="41"/>
      <c r="KPV18" s="41"/>
      <c r="KPW18" s="41"/>
      <c r="KPX18" s="41"/>
      <c r="KPY18" s="41"/>
      <c r="KPZ18" s="41"/>
      <c r="KQA18" s="41"/>
      <c r="KQB18" s="41"/>
      <c r="KQC18" s="41"/>
      <c r="KQD18" s="41"/>
      <c r="KQE18" s="41"/>
      <c r="KQF18" s="41"/>
      <c r="KQG18" s="41"/>
      <c r="KQH18" s="41"/>
      <c r="KQI18" s="41"/>
      <c r="KQJ18" s="41"/>
      <c r="KQK18" s="41"/>
      <c r="KQL18" s="41"/>
      <c r="KQM18" s="41"/>
      <c r="KQN18" s="41"/>
      <c r="KQO18" s="41"/>
      <c r="KQP18" s="41"/>
      <c r="KQQ18" s="41"/>
      <c r="KQR18" s="41"/>
      <c r="KQS18" s="41"/>
      <c r="KQT18" s="41"/>
      <c r="KQU18" s="41"/>
      <c r="KQV18" s="41"/>
      <c r="KQW18" s="41"/>
      <c r="KQX18" s="41"/>
      <c r="KQY18" s="41"/>
      <c r="KQZ18" s="41"/>
      <c r="KRA18" s="41"/>
      <c r="KRB18" s="41"/>
      <c r="KRC18" s="41"/>
      <c r="KRD18" s="41"/>
      <c r="KRE18" s="41"/>
      <c r="KRF18" s="41"/>
      <c r="KRG18" s="41"/>
      <c r="KRH18" s="41"/>
      <c r="KRI18" s="41"/>
      <c r="KRJ18" s="41"/>
      <c r="KRK18" s="41"/>
      <c r="KRL18" s="41"/>
      <c r="KRM18" s="41"/>
      <c r="KRN18" s="41"/>
      <c r="KRO18" s="41"/>
      <c r="KRP18" s="41"/>
      <c r="KRQ18" s="41"/>
      <c r="KRR18" s="41"/>
      <c r="KRS18" s="41"/>
      <c r="KRT18" s="41"/>
      <c r="KRU18" s="41"/>
      <c r="KRV18" s="41"/>
      <c r="KRW18" s="41"/>
      <c r="KRX18" s="41"/>
      <c r="KRY18" s="41"/>
      <c r="KRZ18" s="41"/>
      <c r="KSA18" s="41"/>
      <c r="KSB18" s="41"/>
      <c r="KSC18" s="41"/>
      <c r="KSD18" s="41"/>
      <c r="KSE18" s="41"/>
      <c r="KSF18" s="41"/>
      <c r="KSG18" s="41"/>
      <c r="KSH18" s="41"/>
      <c r="KSI18" s="41"/>
      <c r="KSJ18" s="41"/>
      <c r="KSK18" s="41"/>
      <c r="KSL18" s="41"/>
      <c r="KSM18" s="41"/>
      <c r="KSN18" s="41"/>
      <c r="KSO18" s="41"/>
      <c r="KSP18" s="41"/>
      <c r="KSQ18" s="41"/>
      <c r="KSR18" s="41"/>
      <c r="KSS18" s="41"/>
      <c r="KST18" s="41"/>
      <c r="KSU18" s="41"/>
      <c r="KSV18" s="41"/>
      <c r="KSW18" s="41"/>
      <c r="KSX18" s="41"/>
      <c r="KSY18" s="41"/>
      <c r="KSZ18" s="41"/>
      <c r="KTA18" s="41"/>
      <c r="KTB18" s="41"/>
      <c r="KTC18" s="41"/>
      <c r="KTD18" s="41"/>
      <c r="KTE18" s="41"/>
      <c r="KTF18" s="41"/>
      <c r="KTG18" s="41"/>
      <c r="KTH18" s="41"/>
      <c r="KTI18" s="41"/>
      <c r="KTJ18" s="41"/>
      <c r="KTK18" s="41"/>
      <c r="KTL18" s="41"/>
      <c r="KTM18" s="41"/>
      <c r="KTN18" s="41"/>
      <c r="KTO18" s="41"/>
      <c r="KTP18" s="41"/>
      <c r="KTQ18" s="41"/>
      <c r="KTR18" s="41"/>
      <c r="KTS18" s="41"/>
      <c r="KTT18" s="41"/>
      <c r="KTU18" s="41"/>
      <c r="KTV18" s="41"/>
      <c r="KTW18" s="41"/>
      <c r="KTX18" s="41"/>
      <c r="KTY18" s="41"/>
      <c r="KTZ18" s="41"/>
      <c r="KUA18" s="41"/>
      <c r="KUB18" s="41"/>
      <c r="KUC18" s="41"/>
      <c r="KUD18" s="41"/>
      <c r="KUE18" s="41"/>
      <c r="KUF18" s="41"/>
      <c r="KUG18" s="41"/>
      <c r="KUH18" s="41"/>
      <c r="KUI18" s="41"/>
      <c r="KUJ18" s="41"/>
      <c r="KUK18" s="41"/>
      <c r="KUL18" s="41"/>
      <c r="KUM18" s="41"/>
      <c r="KUN18" s="41"/>
      <c r="KUO18" s="41"/>
      <c r="KUP18" s="41"/>
      <c r="KUQ18" s="41"/>
      <c r="KUR18" s="41"/>
      <c r="KUS18" s="41"/>
      <c r="KUT18" s="41"/>
      <c r="KUU18" s="41"/>
      <c r="KUV18" s="41"/>
      <c r="KUW18" s="41"/>
      <c r="KUX18" s="41"/>
      <c r="KUY18" s="41"/>
      <c r="KUZ18" s="41"/>
      <c r="KVA18" s="41"/>
      <c r="KVB18" s="41"/>
      <c r="KVC18" s="41"/>
      <c r="KVD18" s="41"/>
      <c r="KVE18" s="41"/>
      <c r="KVF18" s="41"/>
      <c r="KVG18" s="41"/>
      <c r="KVH18" s="41"/>
      <c r="KVI18" s="41"/>
      <c r="KVJ18" s="41"/>
      <c r="KVK18" s="41"/>
      <c r="KVL18" s="41"/>
      <c r="KVM18" s="41"/>
      <c r="KVN18" s="41"/>
      <c r="KVO18" s="41"/>
      <c r="KVP18" s="41"/>
      <c r="KVQ18" s="41"/>
      <c r="KVR18" s="41"/>
      <c r="KVS18" s="41"/>
      <c r="KVT18" s="41"/>
      <c r="KVU18" s="41"/>
      <c r="KVV18" s="41"/>
      <c r="KVW18" s="41"/>
      <c r="KVX18" s="41"/>
      <c r="KVY18" s="41"/>
      <c r="KVZ18" s="41"/>
      <c r="KWA18" s="41"/>
      <c r="KWB18" s="41"/>
      <c r="KWC18" s="41"/>
      <c r="KWD18" s="41"/>
      <c r="KWE18" s="41"/>
      <c r="KWF18" s="41"/>
      <c r="KWG18" s="41"/>
      <c r="KWH18" s="41"/>
      <c r="KWI18" s="41"/>
      <c r="KWJ18" s="41"/>
      <c r="KWK18" s="41"/>
      <c r="KWL18" s="41"/>
      <c r="KWM18" s="41"/>
      <c r="KWN18" s="41"/>
      <c r="KWO18" s="41"/>
      <c r="KWP18" s="41"/>
      <c r="KWQ18" s="41"/>
      <c r="KWR18" s="41"/>
      <c r="KWS18" s="41"/>
      <c r="KWT18" s="41"/>
      <c r="KWU18" s="41"/>
      <c r="KWV18" s="41"/>
      <c r="KWW18" s="41"/>
      <c r="KWX18" s="41"/>
      <c r="KWY18" s="41"/>
      <c r="KWZ18" s="41"/>
      <c r="KXA18" s="41"/>
      <c r="KXB18" s="41"/>
      <c r="KXC18" s="41"/>
      <c r="KXD18" s="41"/>
      <c r="KXE18" s="41"/>
      <c r="KXF18" s="41"/>
      <c r="KXG18" s="41"/>
      <c r="KXH18" s="41"/>
      <c r="KXI18" s="41"/>
      <c r="KXJ18" s="41"/>
      <c r="KXK18" s="41"/>
      <c r="KXL18" s="41"/>
      <c r="KXM18" s="41"/>
      <c r="KXN18" s="41"/>
      <c r="KXO18" s="41"/>
      <c r="KXP18" s="41"/>
      <c r="KXQ18" s="41"/>
      <c r="KXR18" s="41"/>
      <c r="KXS18" s="41"/>
      <c r="KXT18" s="41"/>
      <c r="KXU18" s="41"/>
      <c r="KXV18" s="41"/>
      <c r="KXW18" s="41"/>
      <c r="KXX18" s="41"/>
      <c r="KXY18" s="41"/>
      <c r="KXZ18" s="41"/>
      <c r="KYA18" s="41"/>
      <c r="KYB18" s="41"/>
      <c r="KYC18" s="41"/>
      <c r="KYD18" s="41"/>
      <c r="KYE18" s="41"/>
      <c r="KYF18" s="41"/>
      <c r="KYG18" s="41"/>
      <c r="KYH18" s="41"/>
      <c r="KYI18" s="41"/>
      <c r="KYJ18" s="41"/>
      <c r="KYK18" s="41"/>
      <c r="KYL18" s="41"/>
      <c r="KYM18" s="41"/>
      <c r="KYN18" s="41"/>
      <c r="KYO18" s="41"/>
      <c r="KYP18" s="41"/>
      <c r="KYQ18" s="41"/>
      <c r="KYR18" s="41"/>
      <c r="KYS18" s="41"/>
      <c r="KYT18" s="41"/>
      <c r="KYU18" s="41"/>
      <c r="KYV18" s="41"/>
      <c r="KYW18" s="41"/>
      <c r="KYX18" s="41"/>
      <c r="KYY18" s="41"/>
      <c r="KYZ18" s="41"/>
      <c r="KZA18" s="41"/>
      <c r="KZB18" s="41"/>
      <c r="KZC18" s="41"/>
      <c r="KZD18" s="41"/>
      <c r="KZE18" s="41"/>
      <c r="KZF18" s="41"/>
      <c r="KZG18" s="41"/>
      <c r="KZH18" s="41"/>
      <c r="KZI18" s="41"/>
      <c r="KZJ18" s="41"/>
      <c r="KZK18" s="41"/>
      <c r="KZL18" s="41"/>
      <c r="KZM18" s="41"/>
      <c r="KZN18" s="41"/>
      <c r="KZO18" s="41"/>
      <c r="KZP18" s="41"/>
      <c r="KZQ18" s="41"/>
      <c r="KZR18" s="41"/>
      <c r="KZS18" s="41"/>
      <c r="KZT18" s="41"/>
      <c r="KZU18" s="41"/>
      <c r="KZV18" s="41"/>
      <c r="KZW18" s="41"/>
      <c r="KZX18" s="41"/>
      <c r="KZY18" s="41"/>
      <c r="KZZ18" s="41"/>
      <c r="LAA18" s="41"/>
      <c r="LAB18" s="41"/>
      <c r="LAC18" s="41"/>
      <c r="LAD18" s="41"/>
      <c r="LAE18" s="41"/>
      <c r="LAF18" s="41"/>
      <c r="LAG18" s="41"/>
      <c r="LAH18" s="41"/>
      <c r="LAI18" s="41"/>
      <c r="LAJ18" s="41"/>
      <c r="LAK18" s="41"/>
      <c r="LAL18" s="41"/>
      <c r="LAM18" s="41"/>
      <c r="LAN18" s="41"/>
      <c r="LAO18" s="41"/>
      <c r="LAP18" s="41"/>
      <c r="LAQ18" s="41"/>
      <c r="LAR18" s="41"/>
      <c r="LAS18" s="41"/>
      <c r="LAT18" s="41"/>
      <c r="LAU18" s="41"/>
      <c r="LAV18" s="41"/>
      <c r="LAW18" s="41"/>
      <c r="LAX18" s="41"/>
      <c r="LAY18" s="41"/>
      <c r="LAZ18" s="41"/>
      <c r="LBA18" s="41"/>
      <c r="LBB18" s="41"/>
      <c r="LBC18" s="41"/>
      <c r="LBD18" s="41"/>
      <c r="LBE18" s="41"/>
      <c r="LBF18" s="41"/>
      <c r="LBG18" s="41"/>
      <c r="LBH18" s="41"/>
      <c r="LBI18" s="41"/>
      <c r="LBJ18" s="41"/>
      <c r="LBK18" s="41"/>
      <c r="LBL18" s="41"/>
      <c r="LBM18" s="41"/>
      <c r="LBN18" s="41"/>
      <c r="LBO18" s="41"/>
      <c r="LBP18" s="41"/>
      <c r="LBQ18" s="41"/>
      <c r="LBR18" s="41"/>
      <c r="LBS18" s="41"/>
      <c r="LBT18" s="41"/>
      <c r="LBU18" s="41"/>
      <c r="LBV18" s="41"/>
      <c r="LBW18" s="41"/>
      <c r="LBX18" s="41"/>
      <c r="LBY18" s="41"/>
      <c r="LBZ18" s="41"/>
      <c r="LCA18" s="41"/>
      <c r="LCB18" s="41"/>
      <c r="LCC18" s="41"/>
      <c r="LCD18" s="41"/>
      <c r="LCE18" s="41"/>
      <c r="LCF18" s="41"/>
      <c r="LCG18" s="41"/>
      <c r="LCH18" s="41"/>
      <c r="LCI18" s="41"/>
      <c r="LCJ18" s="41"/>
      <c r="LCK18" s="41"/>
      <c r="LCL18" s="41"/>
      <c r="LCM18" s="41"/>
      <c r="LCN18" s="41"/>
      <c r="LCO18" s="41"/>
      <c r="LCP18" s="41"/>
      <c r="LCQ18" s="41"/>
      <c r="LCR18" s="41"/>
      <c r="LCS18" s="41"/>
      <c r="LCT18" s="41"/>
      <c r="LCU18" s="41"/>
      <c r="LCV18" s="41"/>
      <c r="LCW18" s="41"/>
      <c r="LCX18" s="41"/>
      <c r="LCY18" s="41"/>
      <c r="LCZ18" s="41"/>
      <c r="LDA18" s="41"/>
      <c r="LDB18" s="41"/>
      <c r="LDC18" s="41"/>
      <c r="LDD18" s="41"/>
      <c r="LDE18" s="41"/>
      <c r="LDF18" s="41"/>
      <c r="LDG18" s="41"/>
      <c r="LDH18" s="41"/>
      <c r="LDI18" s="41"/>
      <c r="LDJ18" s="41"/>
      <c r="LDK18" s="41"/>
      <c r="LDL18" s="41"/>
      <c r="LDM18" s="41"/>
      <c r="LDN18" s="41"/>
      <c r="LDO18" s="41"/>
      <c r="LDP18" s="41"/>
      <c r="LDQ18" s="41"/>
      <c r="LDR18" s="41"/>
      <c r="LDS18" s="41"/>
      <c r="LDT18" s="41"/>
      <c r="LDU18" s="41"/>
      <c r="LDV18" s="41"/>
      <c r="LDW18" s="41"/>
      <c r="LDX18" s="41"/>
      <c r="LDY18" s="41"/>
      <c r="LDZ18" s="41"/>
      <c r="LEA18" s="41"/>
      <c r="LEB18" s="41"/>
      <c r="LEC18" s="41"/>
      <c r="LED18" s="41"/>
      <c r="LEE18" s="41"/>
      <c r="LEF18" s="41"/>
      <c r="LEG18" s="41"/>
      <c r="LEH18" s="41"/>
      <c r="LEI18" s="41"/>
      <c r="LEJ18" s="41"/>
      <c r="LEK18" s="41"/>
      <c r="LEL18" s="41"/>
      <c r="LEM18" s="41"/>
      <c r="LEN18" s="41"/>
      <c r="LEO18" s="41"/>
      <c r="LEP18" s="41"/>
      <c r="LEQ18" s="41"/>
      <c r="LER18" s="41"/>
      <c r="LES18" s="41"/>
      <c r="LET18" s="41"/>
      <c r="LEU18" s="41"/>
      <c r="LEV18" s="41"/>
      <c r="LEW18" s="41"/>
      <c r="LEX18" s="41"/>
      <c r="LEY18" s="41"/>
      <c r="LEZ18" s="41"/>
      <c r="LFA18" s="41"/>
      <c r="LFB18" s="41"/>
      <c r="LFC18" s="41"/>
      <c r="LFD18" s="41"/>
      <c r="LFE18" s="41"/>
      <c r="LFF18" s="41"/>
      <c r="LFG18" s="41"/>
      <c r="LFH18" s="41"/>
      <c r="LFI18" s="41"/>
      <c r="LFJ18" s="41"/>
      <c r="LFK18" s="41"/>
      <c r="LFL18" s="41"/>
      <c r="LFM18" s="41"/>
      <c r="LFN18" s="41"/>
      <c r="LFO18" s="41"/>
      <c r="LFP18" s="41"/>
      <c r="LFQ18" s="41"/>
      <c r="LFR18" s="41"/>
      <c r="LFS18" s="41"/>
      <c r="LFT18" s="41"/>
      <c r="LFU18" s="41"/>
      <c r="LFV18" s="41"/>
      <c r="LFW18" s="41"/>
      <c r="LFX18" s="41"/>
      <c r="LFY18" s="41"/>
      <c r="LFZ18" s="41"/>
      <c r="LGA18" s="41"/>
      <c r="LGB18" s="41"/>
      <c r="LGC18" s="41"/>
      <c r="LGD18" s="41"/>
      <c r="LGE18" s="41"/>
      <c r="LGF18" s="41"/>
      <c r="LGG18" s="41"/>
      <c r="LGH18" s="41"/>
      <c r="LGI18" s="41"/>
      <c r="LGJ18" s="41"/>
      <c r="LGK18" s="41"/>
      <c r="LGL18" s="41"/>
      <c r="LGM18" s="41"/>
      <c r="LGN18" s="41"/>
      <c r="LGO18" s="41"/>
      <c r="LGP18" s="41"/>
      <c r="LGQ18" s="41"/>
      <c r="LGR18" s="41"/>
      <c r="LGS18" s="41"/>
      <c r="LGT18" s="41"/>
      <c r="LGU18" s="41"/>
      <c r="LGV18" s="41"/>
      <c r="LGW18" s="41"/>
      <c r="LGX18" s="41"/>
      <c r="LGY18" s="41"/>
      <c r="LGZ18" s="41"/>
      <c r="LHA18" s="41"/>
      <c r="LHB18" s="41"/>
      <c r="LHC18" s="41"/>
      <c r="LHD18" s="41"/>
      <c r="LHE18" s="41"/>
      <c r="LHF18" s="41"/>
      <c r="LHG18" s="41"/>
      <c r="LHH18" s="41"/>
      <c r="LHI18" s="41"/>
      <c r="LHJ18" s="41"/>
      <c r="LHK18" s="41"/>
      <c r="LHL18" s="41"/>
      <c r="LHM18" s="41"/>
      <c r="LHN18" s="41"/>
      <c r="LHO18" s="41"/>
      <c r="LHP18" s="41"/>
      <c r="LHQ18" s="41"/>
      <c r="LHR18" s="41"/>
      <c r="LHS18" s="41"/>
      <c r="LHT18" s="41"/>
      <c r="LHU18" s="41"/>
      <c r="LHV18" s="41"/>
      <c r="LHW18" s="41"/>
      <c r="LHX18" s="41"/>
      <c r="LHY18" s="41"/>
      <c r="LHZ18" s="41"/>
      <c r="LIA18" s="41"/>
      <c r="LIB18" s="41"/>
      <c r="LIC18" s="41"/>
      <c r="LID18" s="41"/>
      <c r="LIE18" s="41"/>
      <c r="LIF18" s="41"/>
      <c r="LIG18" s="41"/>
      <c r="LIH18" s="41"/>
      <c r="LII18" s="41"/>
      <c r="LIJ18" s="41"/>
      <c r="LIK18" s="41"/>
      <c r="LIL18" s="41"/>
      <c r="LIM18" s="41"/>
      <c r="LIN18" s="41"/>
      <c r="LIO18" s="41"/>
      <c r="LIP18" s="41"/>
      <c r="LIQ18" s="41"/>
      <c r="LIR18" s="41"/>
      <c r="LIS18" s="41"/>
      <c r="LIT18" s="41"/>
      <c r="LIU18" s="41"/>
      <c r="LIV18" s="41"/>
      <c r="LIW18" s="41"/>
      <c r="LIX18" s="41"/>
      <c r="LIY18" s="41"/>
      <c r="LIZ18" s="41"/>
      <c r="LJA18" s="41"/>
      <c r="LJB18" s="41"/>
      <c r="LJC18" s="41"/>
      <c r="LJD18" s="41"/>
      <c r="LJE18" s="41"/>
      <c r="LJF18" s="41"/>
      <c r="LJG18" s="41"/>
      <c r="LJH18" s="41"/>
      <c r="LJI18" s="41"/>
      <c r="LJJ18" s="41"/>
      <c r="LJK18" s="41"/>
      <c r="LJL18" s="41"/>
      <c r="LJM18" s="41"/>
      <c r="LJN18" s="41"/>
      <c r="LJO18" s="41"/>
      <c r="LJP18" s="41"/>
      <c r="LJQ18" s="41"/>
      <c r="LJR18" s="41"/>
      <c r="LJS18" s="41"/>
      <c r="LJT18" s="41"/>
      <c r="LJU18" s="41"/>
      <c r="LJV18" s="41"/>
      <c r="LJW18" s="41"/>
      <c r="LJX18" s="41"/>
      <c r="LJY18" s="41"/>
      <c r="LJZ18" s="41"/>
      <c r="LKA18" s="41"/>
      <c r="LKB18" s="41"/>
      <c r="LKC18" s="41"/>
      <c r="LKD18" s="41"/>
      <c r="LKE18" s="41"/>
      <c r="LKF18" s="41"/>
      <c r="LKG18" s="41"/>
      <c r="LKH18" s="41"/>
      <c r="LKI18" s="41"/>
      <c r="LKJ18" s="41"/>
      <c r="LKK18" s="41"/>
      <c r="LKL18" s="41"/>
      <c r="LKM18" s="41"/>
      <c r="LKN18" s="41"/>
      <c r="LKO18" s="41"/>
      <c r="LKP18" s="41"/>
      <c r="LKQ18" s="41"/>
      <c r="LKR18" s="41"/>
      <c r="LKS18" s="41"/>
      <c r="LKT18" s="41"/>
      <c r="LKU18" s="41"/>
      <c r="LKV18" s="41"/>
      <c r="LKW18" s="41"/>
      <c r="LKX18" s="41"/>
      <c r="LKY18" s="41"/>
      <c r="LKZ18" s="41"/>
      <c r="LLA18" s="41"/>
      <c r="LLB18" s="41"/>
      <c r="LLC18" s="41"/>
      <c r="LLD18" s="41"/>
      <c r="LLE18" s="41"/>
      <c r="LLF18" s="41"/>
      <c r="LLG18" s="41"/>
      <c r="LLH18" s="41"/>
      <c r="LLI18" s="41"/>
      <c r="LLJ18" s="41"/>
      <c r="LLK18" s="41"/>
      <c r="LLL18" s="41"/>
      <c r="LLM18" s="41"/>
      <c r="LLN18" s="41"/>
      <c r="LLO18" s="41"/>
      <c r="LLP18" s="41"/>
      <c r="LLQ18" s="41"/>
      <c r="LLR18" s="41"/>
      <c r="LLS18" s="41"/>
      <c r="LLT18" s="41"/>
      <c r="LLU18" s="41"/>
      <c r="LLV18" s="41"/>
      <c r="LLW18" s="41"/>
      <c r="LLX18" s="41"/>
      <c r="LLY18" s="41"/>
      <c r="LLZ18" s="41"/>
      <c r="LMA18" s="41"/>
      <c r="LMB18" s="41"/>
      <c r="LMC18" s="41"/>
      <c r="LMD18" s="41"/>
      <c r="LME18" s="41"/>
      <c r="LMF18" s="41"/>
      <c r="LMG18" s="41"/>
      <c r="LMH18" s="41"/>
      <c r="LMI18" s="41"/>
      <c r="LMJ18" s="41"/>
      <c r="LMK18" s="41"/>
      <c r="LML18" s="41"/>
      <c r="LMM18" s="41"/>
      <c r="LMN18" s="41"/>
      <c r="LMO18" s="41"/>
      <c r="LMP18" s="41"/>
      <c r="LMQ18" s="41"/>
      <c r="LMR18" s="41"/>
      <c r="LMS18" s="41"/>
      <c r="LMT18" s="41"/>
      <c r="LMU18" s="41"/>
      <c r="LMV18" s="41"/>
      <c r="LMW18" s="41"/>
      <c r="LMX18" s="41"/>
      <c r="LMY18" s="41"/>
      <c r="LMZ18" s="41"/>
      <c r="LNA18" s="41"/>
      <c r="LNB18" s="41"/>
      <c r="LNC18" s="41"/>
      <c r="LND18" s="41"/>
      <c r="LNE18" s="41"/>
      <c r="LNF18" s="41"/>
      <c r="LNG18" s="41"/>
      <c r="LNH18" s="41"/>
      <c r="LNI18" s="41"/>
      <c r="LNJ18" s="41"/>
      <c r="LNK18" s="41"/>
      <c r="LNL18" s="41"/>
      <c r="LNM18" s="41"/>
      <c r="LNN18" s="41"/>
      <c r="LNO18" s="41"/>
      <c r="LNP18" s="41"/>
      <c r="LNQ18" s="41"/>
      <c r="LNR18" s="41"/>
      <c r="LNS18" s="41"/>
      <c r="LNT18" s="41"/>
      <c r="LNU18" s="41"/>
      <c r="LNV18" s="41"/>
      <c r="LNW18" s="41"/>
      <c r="LNX18" s="41"/>
      <c r="LNY18" s="41"/>
      <c r="LNZ18" s="41"/>
      <c r="LOA18" s="41"/>
      <c r="LOB18" s="41"/>
      <c r="LOC18" s="41"/>
      <c r="LOD18" s="41"/>
      <c r="LOE18" s="41"/>
      <c r="LOF18" s="41"/>
      <c r="LOG18" s="41"/>
      <c r="LOH18" s="41"/>
      <c r="LOI18" s="41"/>
      <c r="LOJ18" s="41"/>
      <c r="LOK18" s="41"/>
      <c r="LOL18" s="41"/>
      <c r="LOM18" s="41"/>
      <c r="LON18" s="41"/>
      <c r="LOO18" s="41"/>
      <c r="LOP18" s="41"/>
      <c r="LOQ18" s="41"/>
      <c r="LOR18" s="41"/>
      <c r="LOS18" s="41"/>
      <c r="LOT18" s="41"/>
      <c r="LOU18" s="41"/>
      <c r="LOV18" s="41"/>
      <c r="LOW18" s="41"/>
      <c r="LOX18" s="41"/>
      <c r="LOY18" s="41"/>
      <c r="LOZ18" s="41"/>
      <c r="LPA18" s="41"/>
      <c r="LPB18" s="41"/>
      <c r="LPC18" s="41"/>
      <c r="LPD18" s="41"/>
      <c r="LPE18" s="41"/>
      <c r="LPF18" s="41"/>
      <c r="LPG18" s="41"/>
      <c r="LPH18" s="41"/>
      <c r="LPI18" s="41"/>
      <c r="LPJ18" s="41"/>
      <c r="LPK18" s="41"/>
      <c r="LPL18" s="41"/>
      <c r="LPM18" s="41"/>
      <c r="LPN18" s="41"/>
      <c r="LPO18" s="41"/>
      <c r="LPP18" s="41"/>
      <c r="LPQ18" s="41"/>
      <c r="LPR18" s="41"/>
      <c r="LPS18" s="41"/>
      <c r="LPT18" s="41"/>
      <c r="LPU18" s="41"/>
      <c r="LPV18" s="41"/>
      <c r="LPW18" s="41"/>
      <c r="LPX18" s="41"/>
      <c r="LPY18" s="41"/>
      <c r="LPZ18" s="41"/>
      <c r="LQA18" s="41"/>
      <c r="LQB18" s="41"/>
      <c r="LQC18" s="41"/>
      <c r="LQD18" s="41"/>
      <c r="LQE18" s="41"/>
      <c r="LQF18" s="41"/>
      <c r="LQG18" s="41"/>
      <c r="LQH18" s="41"/>
      <c r="LQI18" s="41"/>
      <c r="LQJ18" s="41"/>
      <c r="LQK18" s="41"/>
      <c r="LQL18" s="41"/>
      <c r="LQM18" s="41"/>
      <c r="LQN18" s="41"/>
      <c r="LQO18" s="41"/>
      <c r="LQP18" s="41"/>
      <c r="LQQ18" s="41"/>
      <c r="LQR18" s="41"/>
      <c r="LQS18" s="41"/>
      <c r="LQT18" s="41"/>
      <c r="LQU18" s="41"/>
      <c r="LQV18" s="41"/>
      <c r="LQW18" s="41"/>
      <c r="LQX18" s="41"/>
      <c r="LQY18" s="41"/>
      <c r="LQZ18" s="41"/>
      <c r="LRA18" s="41"/>
      <c r="LRB18" s="41"/>
      <c r="LRC18" s="41"/>
      <c r="LRD18" s="41"/>
      <c r="LRE18" s="41"/>
      <c r="LRF18" s="41"/>
      <c r="LRG18" s="41"/>
      <c r="LRH18" s="41"/>
      <c r="LRI18" s="41"/>
      <c r="LRJ18" s="41"/>
      <c r="LRK18" s="41"/>
      <c r="LRL18" s="41"/>
      <c r="LRM18" s="41"/>
      <c r="LRN18" s="41"/>
      <c r="LRO18" s="41"/>
      <c r="LRP18" s="41"/>
      <c r="LRQ18" s="41"/>
      <c r="LRR18" s="41"/>
      <c r="LRS18" s="41"/>
      <c r="LRT18" s="41"/>
      <c r="LRU18" s="41"/>
      <c r="LRV18" s="41"/>
      <c r="LRW18" s="41"/>
      <c r="LRX18" s="41"/>
      <c r="LRY18" s="41"/>
      <c r="LRZ18" s="41"/>
      <c r="LSA18" s="41"/>
      <c r="LSB18" s="41"/>
      <c r="LSC18" s="41"/>
      <c r="LSD18" s="41"/>
      <c r="LSE18" s="41"/>
      <c r="LSF18" s="41"/>
      <c r="LSG18" s="41"/>
      <c r="LSH18" s="41"/>
      <c r="LSI18" s="41"/>
      <c r="LSJ18" s="41"/>
      <c r="LSK18" s="41"/>
      <c r="LSL18" s="41"/>
      <c r="LSM18" s="41"/>
      <c r="LSN18" s="41"/>
      <c r="LSO18" s="41"/>
      <c r="LSP18" s="41"/>
      <c r="LSQ18" s="41"/>
      <c r="LSR18" s="41"/>
      <c r="LSS18" s="41"/>
      <c r="LST18" s="41"/>
      <c r="LSU18" s="41"/>
      <c r="LSV18" s="41"/>
      <c r="LSW18" s="41"/>
      <c r="LSX18" s="41"/>
      <c r="LSY18" s="41"/>
      <c r="LSZ18" s="41"/>
      <c r="LTA18" s="41"/>
      <c r="LTB18" s="41"/>
      <c r="LTC18" s="41"/>
      <c r="LTD18" s="41"/>
      <c r="LTE18" s="41"/>
      <c r="LTF18" s="41"/>
      <c r="LTG18" s="41"/>
      <c r="LTH18" s="41"/>
      <c r="LTI18" s="41"/>
      <c r="LTJ18" s="41"/>
      <c r="LTK18" s="41"/>
      <c r="LTL18" s="41"/>
      <c r="LTM18" s="41"/>
      <c r="LTN18" s="41"/>
      <c r="LTO18" s="41"/>
      <c r="LTP18" s="41"/>
      <c r="LTQ18" s="41"/>
      <c r="LTR18" s="41"/>
      <c r="LTS18" s="41"/>
      <c r="LTT18" s="41"/>
      <c r="LTU18" s="41"/>
      <c r="LTV18" s="41"/>
      <c r="LTW18" s="41"/>
      <c r="LTX18" s="41"/>
      <c r="LTY18" s="41"/>
      <c r="LTZ18" s="41"/>
      <c r="LUA18" s="41"/>
      <c r="LUB18" s="41"/>
      <c r="LUC18" s="41"/>
      <c r="LUD18" s="41"/>
      <c r="LUE18" s="41"/>
      <c r="LUF18" s="41"/>
      <c r="LUG18" s="41"/>
      <c r="LUH18" s="41"/>
      <c r="LUI18" s="41"/>
      <c r="LUJ18" s="41"/>
      <c r="LUK18" s="41"/>
      <c r="LUL18" s="41"/>
      <c r="LUM18" s="41"/>
      <c r="LUN18" s="41"/>
      <c r="LUO18" s="41"/>
      <c r="LUP18" s="41"/>
      <c r="LUQ18" s="41"/>
      <c r="LUR18" s="41"/>
      <c r="LUS18" s="41"/>
      <c r="LUT18" s="41"/>
      <c r="LUU18" s="41"/>
      <c r="LUV18" s="41"/>
      <c r="LUW18" s="41"/>
      <c r="LUX18" s="41"/>
      <c r="LUY18" s="41"/>
      <c r="LUZ18" s="41"/>
      <c r="LVA18" s="41"/>
      <c r="LVB18" s="41"/>
      <c r="LVC18" s="41"/>
      <c r="LVD18" s="41"/>
      <c r="LVE18" s="41"/>
      <c r="LVF18" s="41"/>
      <c r="LVG18" s="41"/>
      <c r="LVH18" s="41"/>
      <c r="LVI18" s="41"/>
      <c r="LVJ18" s="41"/>
      <c r="LVK18" s="41"/>
      <c r="LVL18" s="41"/>
      <c r="LVM18" s="41"/>
      <c r="LVN18" s="41"/>
      <c r="LVO18" s="41"/>
      <c r="LVP18" s="41"/>
      <c r="LVQ18" s="41"/>
      <c r="LVR18" s="41"/>
      <c r="LVS18" s="41"/>
      <c r="LVT18" s="41"/>
      <c r="LVU18" s="41"/>
      <c r="LVV18" s="41"/>
      <c r="LVW18" s="41"/>
      <c r="LVX18" s="41"/>
      <c r="LVY18" s="41"/>
      <c r="LVZ18" s="41"/>
      <c r="LWA18" s="41"/>
      <c r="LWB18" s="41"/>
      <c r="LWC18" s="41"/>
      <c r="LWD18" s="41"/>
      <c r="LWE18" s="41"/>
      <c r="LWF18" s="41"/>
      <c r="LWG18" s="41"/>
      <c r="LWH18" s="41"/>
      <c r="LWI18" s="41"/>
      <c r="LWJ18" s="41"/>
      <c r="LWK18" s="41"/>
      <c r="LWL18" s="41"/>
      <c r="LWM18" s="41"/>
      <c r="LWN18" s="41"/>
      <c r="LWO18" s="41"/>
      <c r="LWP18" s="41"/>
      <c r="LWQ18" s="41"/>
      <c r="LWR18" s="41"/>
      <c r="LWS18" s="41"/>
      <c r="LWT18" s="41"/>
      <c r="LWU18" s="41"/>
      <c r="LWV18" s="41"/>
      <c r="LWW18" s="41"/>
      <c r="LWX18" s="41"/>
      <c r="LWY18" s="41"/>
      <c r="LWZ18" s="41"/>
      <c r="LXA18" s="41"/>
      <c r="LXB18" s="41"/>
      <c r="LXC18" s="41"/>
      <c r="LXD18" s="41"/>
      <c r="LXE18" s="41"/>
      <c r="LXF18" s="41"/>
      <c r="LXG18" s="41"/>
      <c r="LXH18" s="41"/>
      <c r="LXI18" s="41"/>
      <c r="LXJ18" s="41"/>
      <c r="LXK18" s="41"/>
      <c r="LXL18" s="41"/>
      <c r="LXM18" s="41"/>
      <c r="LXN18" s="41"/>
      <c r="LXO18" s="41"/>
      <c r="LXP18" s="41"/>
      <c r="LXQ18" s="41"/>
      <c r="LXR18" s="41"/>
      <c r="LXS18" s="41"/>
      <c r="LXT18" s="41"/>
      <c r="LXU18" s="41"/>
      <c r="LXV18" s="41"/>
      <c r="LXW18" s="41"/>
      <c r="LXX18" s="41"/>
      <c r="LXY18" s="41"/>
      <c r="LXZ18" s="41"/>
      <c r="LYA18" s="41"/>
      <c r="LYB18" s="41"/>
      <c r="LYC18" s="41"/>
      <c r="LYD18" s="41"/>
      <c r="LYE18" s="41"/>
      <c r="LYF18" s="41"/>
      <c r="LYG18" s="41"/>
      <c r="LYH18" s="41"/>
      <c r="LYI18" s="41"/>
      <c r="LYJ18" s="41"/>
      <c r="LYK18" s="41"/>
      <c r="LYL18" s="41"/>
      <c r="LYM18" s="41"/>
      <c r="LYN18" s="41"/>
      <c r="LYO18" s="41"/>
      <c r="LYP18" s="41"/>
      <c r="LYQ18" s="41"/>
      <c r="LYR18" s="41"/>
      <c r="LYS18" s="41"/>
      <c r="LYT18" s="41"/>
      <c r="LYU18" s="41"/>
      <c r="LYV18" s="41"/>
      <c r="LYW18" s="41"/>
      <c r="LYX18" s="41"/>
      <c r="LYY18" s="41"/>
      <c r="LYZ18" s="41"/>
      <c r="LZA18" s="41"/>
      <c r="LZB18" s="41"/>
      <c r="LZC18" s="41"/>
      <c r="LZD18" s="41"/>
      <c r="LZE18" s="41"/>
      <c r="LZF18" s="41"/>
      <c r="LZG18" s="41"/>
      <c r="LZH18" s="41"/>
      <c r="LZI18" s="41"/>
      <c r="LZJ18" s="41"/>
      <c r="LZK18" s="41"/>
      <c r="LZL18" s="41"/>
      <c r="LZM18" s="41"/>
      <c r="LZN18" s="41"/>
      <c r="LZO18" s="41"/>
      <c r="LZP18" s="41"/>
      <c r="LZQ18" s="41"/>
      <c r="LZR18" s="41"/>
      <c r="LZS18" s="41"/>
      <c r="LZT18" s="41"/>
      <c r="LZU18" s="41"/>
      <c r="LZV18" s="41"/>
      <c r="LZW18" s="41"/>
      <c r="LZX18" s="41"/>
      <c r="LZY18" s="41"/>
      <c r="LZZ18" s="41"/>
      <c r="MAA18" s="41"/>
      <c r="MAB18" s="41"/>
      <c r="MAC18" s="41"/>
      <c r="MAD18" s="41"/>
      <c r="MAE18" s="41"/>
      <c r="MAF18" s="41"/>
      <c r="MAG18" s="41"/>
      <c r="MAH18" s="41"/>
      <c r="MAI18" s="41"/>
      <c r="MAJ18" s="41"/>
      <c r="MAK18" s="41"/>
      <c r="MAL18" s="41"/>
      <c r="MAM18" s="41"/>
      <c r="MAN18" s="41"/>
      <c r="MAO18" s="41"/>
      <c r="MAP18" s="41"/>
      <c r="MAQ18" s="41"/>
      <c r="MAR18" s="41"/>
      <c r="MAS18" s="41"/>
      <c r="MAT18" s="41"/>
      <c r="MAU18" s="41"/>
      <c r="MAV18" s="41"/>
      <c r="MAW18" s="41"/>
      <c r="MAX18" s="41"/>
      <c r="MAY18" s="41"/>
      <c r="MAZ18" s="41"/>
      <c r="MBA18" s="41"/>
      <c r="MBB18" s="41"/>
      <c r="MBC18" s="41"/>
      <c r="MBD18" s="41"/>
      <c r="MBE18" s="41"/>
      <c r="MBF18" s="41"/>
      <c r="MBG18" s="41"/>
      <c r="MBH18" s="41"/>
      <c r="MBI18" s="41"/>
      <c r="MBJ18" s="41"/>
      <c r="MBK18" s="41"/>
      <c r="MBL18" s="41"/>
      <c r="MBM18" s="41"/>
      <c r="MBN18" s="41"/>
      <c r="MBO18" s="41"/>
      <c r="MBP18" s="41"/>
      <c r="MBQ18" s="41"/>
      <c r="MBR18" s="41"/>
      <c r="MBS18" s="41"/>
      <c r="MBT18" s="41"/>
      <c r="MBU18" s="41"/>
      <c r="MBV18" s="41"/>
      <c r="MBW18" s="41"/>
      <c r="MBX18" s="41"/>
      <c r="MBY18" s="41"/>
      <c r="MBZ18" s="41"/>
      <c r="MCA18" s="41"/>
      <c r="MCB18" s="41"/>
      <c r="MCC18" s="41"/>
      <c r="MCD18" s="41"/>
      <c r="MCE18" s="41"/>
      <c r="MCF18" s="41"/>
      <c r="MCG18" s="41"/>
      <c r="MCH18" s="41"/>
      <c r="MCI18" s="41"/>
      <c r="MCJ18" s="41"/>
      <c r="MCK18" s="41"/>
      <c r="MCL18" s="41"/>
      <c r="MCM18" s="41"/>
      <c r="MCN18" s="41"/>
      <c r="MCO18" s="41"/>
      <c r="MCP18" s="41"/>
      <c r="MCQ18" s="41"/>
      <c r="MCR18" s="41"/>
      <c r="MCS18" s="41"/>
      <c r="MCT18" s="41"/>
      <c r="MCU18" s="41"/>
      <c r="MCV18" s="41"/>
      <c r="MCW18" s="41"/>
      <c r="MCX18" s="41"/>
      <c r="MCY18" s="41"/>
      <c r="MCZ18" s="41"/>
      <c r="MDA18" s="41"/>
      <c r="MDB18" s="41"/>
      <c r="MDC18" s="41"/>
      <c r="MDD18" s="41"/>
      <c r="MDE18" s="41"/>
      <c r="MDF18" s="41"/>
      <c r="MDG18" s="41"/>
      <c r="MDH18" s="41"/>
      <c r="MDI18" s="41"/>
      <c r="MDJ18" s="41"/>
      <c r="MDK18" s="41"/>
      <c r="MDL18" s="41"/>
      <c r="MDM18" s="41"/>
      <c r="MDN18" s="41"/>
      <c r="MDO18" s="41"/>
      <c r="MDP18" s="41"/>
      <c r="MDQ18" s="41"/>
      <c r="MDR18" s="41"/>
      <c r="MDS18" s="41"/>
      <c r="MDT18" s="41"/>
      <c r="MDU18" s="41"/>
      <c r="MDV18" s="41"/>
      <c r="MDW18" s="41"/>
      <c r="MDX18" s="41"/>
      <c r="MDY18" s="41"/>
      <c r="MDZ18" s="41"/>
      <c r="MEA18" s="41"/>
      <c r="MEB18" s="41"/>
      <c r="MEC18" s="41"/>
      <c r="MED18" s="41"/>
      <c r="MEE18" s="41"/>
      <c r="MEF18" s="41"/>
      <c r="MEG18" s="41"/>
      <c r="MEH18" s="41"/>
      <c r="MEI18" s="41"/>
      <c r="MEJ18" s="41"/>
      <c r="MEK18" s="41"/>
      <c r="MEL18" s="41"/>
      <c r="MEM18" s="41"/>
      <c r="MEN18" s="41"/>
      <c r="MEO18" s="41"/>
      <c r="MEP18" s="41"/>
      <c r="MEQ18" s="41"/>
      <c r="MER18" s="41"/>
      <c r="MES18" s="41"/>
      <c r="MET18" s="41"/>
      <c r="MEU18" s="41"/>
      <c r="MEV18" s="41"/>
      <c r="MEW18" s="41"/>
      <c r="MEX18" s="41"/>
      <c r="MEY18" s="41"/>
      <c r="MEZ18" s="41"/>
      <c r="MFA18" s="41"/>
      <c r="MFB18" s="41"/>
      <c r="MFC18" s="41"/>
      <c r="MFD18" s="41"/>
      <c r="MFE18" s="41"/>
      <c r="MFF18" s="41"/>
      <c r="MFG18" s="41"/>
      <c r="MFH18" s="41"/>
      <c r="MFI18" s="41"/>
      <c r="MFJ18" s="41"/>
      <c r="MFK18" s="41"/>
      <c r="MFL18" s="41"/>
      <c r="MFM18" s="41"/>
      <c r="MFN18" s="41"/>
      <c r="MFO18" s="41"/>
      <c r="MFP18" s="41"/>
      <c r="MFQ18" s="41"/>
      <c r="MFR18" s="41"/>
      <c r="MFS18" s="41"/>
      <c r="MFT18" s="41"/>
      <c r="MFU18" s="41"/>
      <c r="MFV18" s="41"/>
      <c r="MFW18" s="41"/>
      <c r="MFX18" s="41"/>
      <c r="MFY18" s="41"/>
      <c r="MFZ18" s="41"/>
      <c r="MGA18" s="41"/>
      <c r="MGB18" s="41"/>
      <c r="MGC18" s="41"/>
      <c r="MGD18" s="41"/>
      <c r="MGE18" s="41"/>
      <c r="MGF18" s="41"/>
      <c r="MGG18" s="41"/>
      <c r="MGH18" s="41"/>
      <c r="MGI18" s="41"/>
      <c r="MGJ18" s="41"/>
      <c r="MGK18" s="41"/>
      <c r="MGL18" s="41"/>
      <c r="MGM18" s="41"/>
      <c r="MGN18" s="41"/>
      <c r="MGO18" s="41"/>
      <c r="MGP18" s="41"/>
      <c r="MGQ18" s="41"/>
      <c r="MGR18" s="41"/>
      <c r="MGS18" s="41"/>
      <c r="MGT18" s="41"/>
      <c r="MGU18" s="41"/>
      <c r="MGV18" s="41"/>
      <c r="MGW18" s="41"/>
      <c r="MGX18" s="41"/>
      <c r="MGY18" s="41"/>
      <c r="MGZ18" s="41"/>
      <c r="MHA18" s="41"/>
      <c r="MHB18" s="41"/>
      <c r="MHC18" s="41"/>
      <c r="MHD18" s="41"/>
      <c r="MHE18" s="41"/>
      <c r="MHF18" s="41"/>
      <c r="MHG18" s="41"/>
      <c r="MHH18" s="41"/>
      <c r="MHI18" s="41"/>
      <c r="MHJ18" s="41"/>
      <c r="MHK18" s="41"/>
      <c r="MHL18" s="41"/>
      <c r="MHM18" s="41"/>
      <c r="MHN18" s="41"/>
      <c r="MHO18" s="41"/>
      <c r="MHP18" s="41"/>
      <c r="MHQ18" s="41"/>
      <c r="MHR18" s="41"/>
      <c r="MHS18" s="41"/>
      <c r="MHT18" s="41"/>
      <c r="MHU18" s="41"/>
      <c r="MHV18" s="41"/>
      <c r="MHW18" s="41"/>
      <c r="MHX18" s="41"/>
      <c r="MHY18" s="41"/>
      <c r="MHZ18" s="41"/>
      <c r="MIA18" s="41"/>
      <c r="MIB18" s="41"/>
      <c r="MIC18" s="41"/>
      <c r="MID18" s="41"/>
      <c r="MIE18" s="41"/>
      <c r="MIF18" s="41"/>
      <c r="MIG18" s="41"/>
      <c r="MIH18" s="41"/>
      <c r="MII18" s="41"/>
      <c r="MIJ18" s="41"/>
      <c r="MIK18" s="41"/>
      <c r="MIL18" s="41"/>
      <c r="MIM18" s="41"/>
      <c r="MIN18" s="41"/>
      <c r="MIO18" s="41"/>
      <c r="MIP18" s="41"/>
      <c r="MIQ18" s="41"/>
      <c r="MIR18" s="41"/>
      <c r="MIS18" s="41"/>
      <c r="MIT18" s="41"/>
      <c r="MIU18" s="41"/>
      <c r="MIV18" s="41"/>
      <c r="MIW18" s="41"/>
      <c r="MIX18" s="41"/>
      <c r="MIY18" s="41"/>
      <c r="MIZ18" s="41"/>
      <c r="MJA18" s="41"/>
      <c r="MJB18" s="41"/>
      <c r="MJC18" s="41"/>
      <c r="MJD18" s="41"/>
      <c r="MJE18" s="41"/>
      <c r="MJF18" s="41"/>
      <c r="MJG18" s="41"/>
      <c r="MJH18" s="41"/>
      <c r="MJI18" s="41"/>
      <c r="MJJ18" s="41"/>
      <c r="MJK18" s="41"/>
      <c r="MJL18" s="41"/>
      <c r="MJM18" s="41"/>
      <c r="MJN18" s="41"/>
      <c r="MJO18" s="41"/>
      <c r="MJP18" s="41"/>
      <c r="MJQ18" s="41"/>
      <c r="MJR18" s="41"/>
      <c r="MJS18" s="41"/>
      <c r="MJT18" s="41"/>
      <c r="MJU18" s="41"/>
      <c r="MJV18" s="41"/>
      <c r="MJW18" s="41"/>
      <c r="MJX18" s="41"/>
      <c r="MJY18" s="41"/>
      <c r="MJZ18" s="41"/>
      <c r="MKA18" s="41"/>
      <c r="MKB18" s="41"/>
      <c r="MKC18" s="41"/>
      <c r="MKD18" s="41"/>
      <c r="MKE18" s="41"/>
      <c r="MKF18" s="41"/>
      <c r="MKG18" s="41"/>
      <c r="MKH18" s="41"/>
      <c r="MKI18" s="41"/>
      <c r="MKJ18" s="41"/>
      <c r="MKK18" s="41"/>
      <c r="MKL18" s="41"/>
      <c r="MKM18" s="41"/>
      <c r="MKN18" s="41"/>
      <c r="MKO18" s="41"/>
      <c r="MKP18" s="41"/>
      <c r="MKQ18" s="41"/>
      <c r="MKR18" s="41"/>
      <c r="MKS18" s="41"/>
      <c r="MKT18" s="41"/>
      <c r="MKU18" s="41"/>
      <c r="MKV18" s="41"/>
      <c r="MKW18" s="41"/>
      <c r="MKX18" s="41"/>
      <c r="MKY18" s="41"/>
      <c r="MKZ18" s="41"/>
      <c r="MLA18" s="41"/>
      <c r="MLB18" s="41"/>
      <c r="MLC18" s="41"/>
      <c r="MLD18" s="41"/>
      <c r="MLE18" s="41"/>
      <c r="MLF18" s="41"/>
      <c r="MLG18" s="41"/>
      <c r="MLH18" s="41"/>
      <c r="MLI18" s="41"/>
      <c r="MLJ18" s="41"/>
      <c r="MLK18" s="41"/>
      <c r="MLL18" s="41"/>
      <c r="MLM18" s="41"/>
      <c r="MLN18" s="41"/>
      <c r="MLO18" s="41"/>
      <c r="MLP18" s="41"/>
      <c r="MLQ18" s="41"/>
      <c r="MLR18" s="41"/>
      <c r="MLS18" s="41"/>
      <c r="MLT18" s="41"/>
      <c r="MLU18" s="41"/>
      <c r="MLV18" s="41"/>
      <c r="MLW18" s="41"/>
      <c r="MLX18" s="41"/>
      <c r="MLY18" s="41"/>
      <c r="MLZ18" s="41"/>
      <c r="MMA18" s="41"/>
      <c r="MMB18" s="41"/>
      <c r="MMC18" s="41"/>
      <c r="MMD18" s="41"/>
      <c r="MME18" s="41"/>
      <c r="MMF18" s="41"/>
      <c r="MMG18" s="41"/>
      <c r="MMH18" s="41"/>
      <c r="MMI18" s="41"/>
      <c r="MMJ18" s="41"/>
      <c r="MMK18" s="41"/>
      <c r="MML18" s="41"/>
      <c r="MMM18" s="41"/>
      <c r="MMN18" s="41"/>
      <c r="MMO18" s="41"/>
      <c r="MMP18" s="41"/>
      <c r="MMQ18" s="41"/>
      <c r="MMR18" s="41"/>
      <c r="MMS18" s="41"/>
      <c r="MMT18" s="41"/>
      <c r="MMU18" s="41"/>
      <c r="MMV18" s="41"/>
      <c r="MMW18" s="41"/>
      <c r="MMX18" s="41"/>
      <c r="MMY18" s="41"/>
      <c r="MMZ18" s="41"/>
      <c r="MNA18" s="41"/>
      <c r="MNB18" s="41"/>
      <c r="MNC18" s="41"/>
      <c r="MND18" s="41"/>
      <c r="MNE18" s="41"/>
      <c r="MNF18" s="41"/>
      <c r="MNG18" s="41"/>
      <c r="MNH18" s="41"/>
      <c r="MNI18" s="41"/>
      <c r="MNJ18" s="41"/>
      <c r="MNK18" s="41"/>
      <c r="MNL18" s="41"/>
      <c r="MNM18" s="41"/>
      <c r="MNN18" s="41"/>
      <c r="MNO18" s="41"/>
      <c r="MNP18" s="41"/>
      <c r="MNQ18" s="41"/>
      <c r="MNR18" s="41"/>
      <c r="MNS18" s="41"/>
      <c r="MNT18" s="41"/>
      <c r="MNU18" s="41"/>
      <c r="MNV18" s="41"/>
      <c r="MNW18" s="41"/>
      <c r="MNX18" s="41"/>
      <c r="MNY18" s="41"/>
      <c r="MNZ18" s="41"/>
      <c r="MOA18" s="41"/>
      <c r="MOB18" s="41"/>
      <c r="MOC18" s="41"/>
      <c r="MOD18" s="41"/>
      <c r="MOE18" s="41"/>
      <c r="MOF18" s="41"/>
      <c r="MOG18" s="41"/>
      <c r="MOH18" s="41"/>
      <c r="MOI18" s="41"/>
      <c r="MOJ18" s="41"/>
      <c r="MOK18" s="41"/>
      <c r="MOL18" s="41"/>
      <c r="MOM18" s="41"/>
      <c r="MON18" s="41"/>
      <c r="MOO18" s="41"/>
      <c r="MOP18" s="41"/>
      <c r="MOQ18" s="41"/>
      <c r="MOR18" s="41"/>
      <c r="MOS18" s="41"/>
      <c r="MOT18" s="41"/>
      <c r="MOU18" s="41"/>
      <c r="MOV18" s="41"/>
      <c r="MOW18" s="41"/>
      <c r="MOX18" s="41"/>
      <c r="MOY18" s="41"/>
      <c r="MOZ18" s="41"/>
      <c r="MPA18" s="41"/>
      <c r="MPB18" s="41"/>
      <c r="MPC18" s="41"/>
      <c r="MPD18" s="41"/>
      <c r="MPE18" s="41"/>
      <c r="MPF18" s="41"/>
      <c r="MPG18" s="41"/>
      <c r="MPH18" s="41"/>
      <c r="MPI18" s="41"/>
      <c r="MPJ18" s="41"/>
      <c r="MPK18" s="41"/>
      <c r="MPL18" s="41"/>
      <c r="MPM18" s="41"/>
      <c r="MPN18" s="41"/>
      <c r="MPO18" s="41"/>
      <c r="MPP18" s="41"/>
      <c r="MPQ18" s="41"/>
      <c r="MPR18" s="41"/>
      <c r="MPS18" s="41"/>
      <c r="MPT18" s="41"/>
      <c r="MPU18" s="41"/>
      <c r="MPV18" s="41"/>
      <c r="MPW18" s="41"/>
      <c r="MPX18" s="41"/>
      <c r="MPY18" s="41"/>
      <c r="MPZ18" s="41"/>
      <c r="MQA18" s="41"/>
      <c r="MQB18" s="41"/>
      <c r="MQC18" s="41"/>
      <c r="MQD18" s="41"/>
      <c r="MQE18" s="41"/>
      <c r="MQF18" s="41"/>
      <c r="MQG18" s="41"/>
      <c r="MQH18" s="41"/>
      <c r="MQI18" s="41"/>
      <c r="MQJ18" s="41"/>
      <c r="MQK18" s="41"/>
      <c r="MQL18" s="41"/>
      <c r="MQM18" s="41"/>
      <c r="MQN18" s="41"/>
      <c r="MQO18" s="41"/>
      <c r="MQP18" s="41"/>
      <c r="MQQ18" s="41"/>
      <c r="MQR18" s="41"/>
      <c r="MQS18" s="41"/>
      <c r="MQT18" s="41"/>
      <c r="MQU18" s="41"/>
      <c r="MQV18" s="41"/>
      <c r="MQW18" s="41"/>
      <c r="MQX18" s="41"/>
      <c r="MQY18" s="41"/>
      <c r="MQZ18" s="41"/>
      <c r="MRA18" s="41"/>
      <c r="MRB18" s="41"/>
      <c r="MRC18" s="41"/>
      <c r="MRD18" s="41"/>
      <c r="MRE18" s="41"/>
      <c r="MRF18" s="41"/>
      <c r="MRG18" s="41"/>
      <c r="MRH18" s="41"/>
      <c r="MRI18" s="41"/>
      <c r="MRJ18" s="41"/>
      <c r="MRK18" s="41"/>
      <c r="MRL18" s="41"/>
      <c r="MRM18" s="41"/>
      <c r="MRN18" s="41"/>
      <c r="MRO18" s="41"/>
      <c r="MRP18" s="41"/>
      <c r="MRQ18" s="41"/>
      <c r="MRR18" s="41"/>
      <c r="MRS18" s="41"/>
      <c r="MRT18" s="41"/>
      <c r="MRU18" s="41"/>
      <c r="MRV18" s="41"/>
      <c r="MRW18" s="41"/>
      <c r="MRX18" s="41"/>
      <c r="MRY18" s="41"/>
      <c r="MRZ18" s="41"/>
      <c r="MSA18" s="41"/>
      <c r="MSB18" s="41"/>
      <c r="MSC18" s="41"/>
      <c r="MSD18" s="41"/>
      <c r="MSE18" s="41"/>
      <c r="MSF18" s="41"/>
      <c r="MSG18" s="41"/>
      <c r="MSH18" s="41"/>
      <c r="MSI18" s="41"/>
      <c r="MSJ18" s="41"/>
      <c r="MSK18" s="41"/>
      <c r="MSL18" s="41"/>
      <c r="MSM18" s="41"/>
      <c r="MSN18" s="41"/>
      <c r="MSO18" s="41"/>
      <c r="MSP18" s="41"/>
      <c r="MSQ18" s="41"/>
      <c r="MSR18" s="41"/>
      <c r="MSS18" s="41"/>
      <c r="MST18" s="41"/>
      <c r="MSU18" s="41"/>
      <c r="MSV18" s="41"/>
      <c r="MSW18" s="41"/>
      <c r="MSX18" s="41"/>
      <c r="MSY18" s="41"/>
      <c r="MSZ18" s="41"/>
      <c r="MTA18" s="41"/>
      <c r="MTB18" s="41"/>
      <c r="MTC18" s="41"/>
      <c r="MTD18" s="41"/>
      <c r="MTE18" s="41"/>
      <c r="MTF18" s="41"/>
      <c r="MTG18" s="41"/>
      <c r="MTH18" s="41"/>
      <c r="MTI18" s="41"/>
      <c r="MTJ18" s="41"/>
      <c r="MTK18" s="41"/>
      <c r="MTL18" s="41"/>
      <c r="MTM18" s="41"/>
      <c r="MTN18" s="41"/>
      <c r="MTO18" s="41"/>
      <c r="MTP18" s="41"/>
      <c r="MTQ18" s="41"/>
      <c r="MTR18" s="41"/>
      <c r="MTS18" s="41"/>
      <c r="MTT18" s="41"/>
      <c r="MTU18" s="41"/>
      <c r="MTV18" s="41"/>
      <c r="MTW18" s="41"/>
      <c r="MTX18" s="41"/>
      <c r="MTY18" s="41"/>
      <c r="MTZ18" s="41"/>
      <c r="MUA18" s="41"/>
      <c r="MUB18" s="41"/>
      <c r="MUC18" s="41"/>
      <c r="MUD18" s="41"/>
      <c r="MUE18" s="41"/>
      <c r="MUF18" s="41"/>
      <c r="MUG18" s="41"/>
      <c r="MUH18" s="41"/>
      <c r="MUI18" s="41"/>
      <c r="MUJ18" s="41"/>
      <c r="MUK18" s="41"/>
      <c r="MUL18" s="41"/>
      <c r="MUM18" s="41"/>
      <c r="MUN18" s="41"/>
      <c r="MUO18" s="41"/>
      <c r="MUP18" s="41"/>
      <c r="MUQ18" s="41"/>
      <c r="MUR18" s="41"/>
      <c r="MUS18" s="41"/>
      <c r="MUT18" s="41"/>
      <c r="MUU18" s="41"/>
      <c r="MUV18" s="41"/>
      <c r="MUW18" s="41"/>
      <c r="MUX18" s="41"/>
      <c r="MUY18" s="41"/>
      <c r="MUZ18" s="41"/>
      <c r="MVA18" s="41"/>
      <c r="MVB18" s="41"/>
      <c r="MVC18" s="41"/>
      <c r="MVD18" s="41"/>
      <c r="MVE18" s="41"/>
      <c r="MVF18" s="41"/>
      <c r="MVG18" s="41"/>
      <c r="MVH18" s="41"/>
      <c r="MVI18" s="41"/>
      <c r="MVJ18" s="41"/>
      <c r="MVK18" s="41"/>
      <c r="MVL18" s="41"/>
      <c r="MVM18" s="41"/>
      <c r="MVN18" s="41"/>
      <c r="MVO18" s="41"/>
      <c r="MVP18" s="41"/>
      <c r="MVQ18" s="41"/>
      <c r="MVR18" s="41"/>
      <c r="MVS18" s="41"/>
      <c r="MVT18" s="41"/>
      <c r="MVU18" s="41"/>
      <c r="MVV18" s="41"/>
      <c r="MVW18" s="41"/>
      <c r="MVX18" s="41"/>
      <c r="MVY18" s="41"/>
      <c r="MVZ18" s="41"/>
      <c r="MWA18" s="41"/>
      <c r="MWB18" s="41"/>
      <c r="MWC18" s="41"/>
      <c r="MWD18" s="41"/>
      <c r="MWE18" s="41"/>
      <c r="MWF18" s="41"/>
      <c r="MWG18" s="41"/>
      <c r="MWH18" s="41"/>
      <c r="MWI18" s="41"/>
      <c r="MWJ18" s="41"/>
      <c r="MWK18" s="41"/>
      <c r="MWL18" s="41"/>
      <c r="MWM18" s="41"/>
      <c r="MWN18" s="41"/>
      <c r="MWO18" s="41"/>
      <c r="MWP18" s="41"/>
      <c r="MWQ18" s="41"/>
      <c r="MWR18" s="41"/>
      <c r="MWS18" s="41"/>
      <c r="MWT18" s="41"/>
      <c r="MWU18" s="41"/>
      <c r="MWV18" s="41"/>
      <c r="MWW18" s="41"/>
      <c r="MWX18" s="41"/>
      <c r="MWY18" s="41"/>
      <c r="MWZ18" s="41"/>
      <c r="MXA18" s="41"/>
      <c r="MXB18" s="41"/>
      <c r="MXC18" s="41"/>
      <c r="MXD18" s="41"/>
      <c r="MXE18" s="41"/>
      <c r="MXF18" s="41"/>
      <c r="MXG18" s="41"/>
      <c r="MXH18" s="41"/>
      <c r="MXI18" s="41"/>
      <c r="MXJ18" s="41"/>
      <c r="MXK18" s="41"/>
      <c r="MXL18" s="41"/>
      <c r="MXM18" s="41"/>
      <c r="MXN18" s="41"/>
      <c r="MXO18" s="41"/>
      <c r="MXP18" s="41"/>
      <c r="MXQ18" s="41"/>
      <c r="MXR18" s="41"/>
      <c r="MXS18" s="41"/>
      <c r="MXT18" s="41"/>
      <c r="MXU18" s="41"/>
      <c r="MXV18" s="41"/>
      <c r="MXW18" s="41"/>
      <c r="MXX18" s="41"/>
      <c r="MXY18" s="41"/>
      <c r="MXZ18" s="41"/>
      <c r="MYA18" s="41"/>
      <c r="MYB18" s="41"/>
      <c r="MYC18" s="41"/>
      <c r="MYD18" s="41"/>
      <c r="MYE18" s="41"/>
      <c r="MYF18" s="41"/>
      <c r="MYG18" s="41"/>
      <c r="MYH18" s="41"/>
      <c r="MYI18" s="41"/>
      <c r="MYJ18" s="41"/>
      <c r="MYK18" s="41"/>
      <c r="MYL18" s="41"/>
      <c r="MYM18" s="41"/>
      <c r="MYN18" s="41"/>
      <c r="MYO18" s="41"/>
      <c r="MYP18" s="41"/>
      <c r="MYQ18" s="41"/>
      <c r="MYR18" s="41"/>
      <c r="MYS18" s="41"/>
      <c r="MYT18" s="41"/>
      <c r="MYU18" s="41"/>
      <c r="MYV18" s="41"/>
      <c r="MYW18" s="41"/>
      <c r="MYX18" s="41"/>
      <c r="MYY18" s="41"/>
      <c r="MYZ18" s="41"/>
      <c r="MZA18" s="41"/>
      <c r="MZB18" s="41"/>
      <c r="MZC18" s="41"/>
      <c r="MZD18" s="41"/>
      <c r="MZE18" s="41"/>
      <c r="MZF18" s="41"/>
      <c r="MZG18" s="41"/>
      <c r="MZH18" s="41"/>
      <c r="MZI18" s="41"/>
      <c r="MZJ18" s="41"/>
      <c r="MZK18" s="41"/>
      <c r="MZL18" s="41"/>
      <c r="MZM18" s="41"/>
      <c r="MZN18" s="41"/>
      <c r="MZO18" s="41"/>
      <c r="MZP18" s="41"/>
      <c r="MZQ18" s="41"/>
      <c r="MZR18" s="41"/>
      <c r="MZS18" s="41"/>
      <c r="MZT18" s="41"/>
      <c r="MZU18" s="41"/>
      <c r="MZV18" s="41"/>
      <c r="MZW18" s="41"/>
      <c r="MZX18" s="41"/>
      <c r="MZY18" s="41"/>
      <c r="MZZ18" s="41"/>
      <c r="NAA18" s="41"/>
      <c r="NAB18" s="41"/>
      <c r="NAC18" s="41"/>
      <c r="NAD18" s="41"/>
      <c r="NAE18" s="41"/>
      <c r="NAF18" s="41"/>
      <c r="NAG18" s="41"/>
      <c r="NAH18" s="41"/>
      <c r="NAI18" s="41"/>
      <c r="NAJ18" s="41"/>
      <c r="NAK18" s="41"/>
      <c r="NAL18" s="41"/>
      <c r="NAM18" s="41"/>
      <c r="NAN18" s="41"/>
      <c r="NAO18" s="41"/>
      <c r="NAP18" s="41"/>
      <c r="NAQ18" s="41"/>
      <c r="NAR18" s="41"/>
      <c r="NAS18" s="41"/>
      <c r="NAT18" s="41"/>
      <c r="NAU18" s="41"/>
      <c r="NAV18" s="41"/>
      <c r="NAW18" s="41"/>
      <c r="NAX18" s="41"/>
      <c r="NAY18" s="41"/>
      <c r="NAZ18" s="41"/>
      <c r="NBA18" s="41"/>
      <c r="NBB18" s="41"/>
      <c r="NBC18" s="41"/>
      <c r="NBD18" s="41"/>
      <c r="NBE18" s="41"/>
      <c r="NBF18" s="41"/>
      <c r="NBG18" s="41"/>
      <c r="NBH18" s="41"/>
      <c r="NBI18" s="41"/>
      <c r="NBJ18" s="41"/>
      <c r="NBK18" s="41"/>
      <c r="NBL18" s="41"/>
      <c r="NBM18" s="41"/>
      <c r="NBN18" s="41"/>
      <c r="NBO18" s="41"/>
      <c r="NBP18" s="41"/>
      <c r="NBQ18" s="41"/>
      <c r="NBR18" s="41"/>
      <c r="NBS18" s="41"/>
      <c r="NBT18" s="41"/>
      <c r="NBU18" s="41"/>
      <c r="NBV18" s="41"/>
      <c r="NBW18" s="41"/>
      <c r="NBX18" s="41"/>
      <c r="NBY18" s="41"/>
      <c r="NBZ18" s="41"/>
      <c r="NCA18" s="41"/>
      <c r="NCB18" s="41"/>
      <c r="NCC18" s="41"/>
      <c r="NCD18" s="41"/>
      <c r="NCE18" s="41"/>
      <c r="NCF18" s="41"/>
      <c r="NCG18" s="41"/>
      <c r="NCH18" s="41"/>
      <c r="NCI18" s="41"/>
      <c r="NCJ18" s="41"/>
      <c r="NCK18" s="41"/>
      <c r="NCL18" s="41"/>
      <c r="NCM18" s="41"/>
      <c r="NCN18" s="41"/>
      <c r="NCO18" s="41"/>
      <c r="NCP18" s="41"/>
      <c r="NCQ18" s="41"/>
      <c r="NCR18" s="41"/>
      <c r="NCS18" s="41"/>
      <c r="NCT18" s="41"/>
      <c r="NCU18" s="41"/>
      <c r="NCV18" s="41"/>
      <c r="NCW18" s="41"/>
      <c r="NCX18" s="41"/>
      <c r="NCY18" s="41"/>
      <c r="NCZ18" s="41"/>
      <c r="NDA18" s="41"/>
      <c r="NDB18" s="41"/>
      <c r="NDC18" s="41"/>
      <c r="NDD18" s="41"/>
      <c r="NDE18" s="41"/>
      <c r="NDF18" s="41"/>
      <c r="NDG18" s="41"/>
      <c r="NDH18" s="41"/>
      <c r="NDI18" s="41"/>
      <c r="NDJ18" s="41"/>
      <c r="NDK18" s="41"/>
      <c r="NDL18" s="41"/>
      <c r="NDM18" s="41"/>
      <c r="NDN18" s="41"/>
      <c r="NDO18" s="41"/>
      <c r="NDP18" s="41"/>
      <c r="NDQ18" s="41"/>
      <c r="NDR18" s="41"/>
      <c r="NDS18" s="41"/>
      <c r="NDT18" s="41"/>
      <c r="NDU18" s="41"/>
      <c r="NDV18" s="41"/>
      <c r="NDW18" s="41"/>
      <c r="NDX18" s="41"/>
      <c r="NDY18" s="41"/>
      <c r="NDZ18" s="41"/>
      <c r="NEA18" s="41"/>
      <c r="NEB18" s="41"/>
      <c r="NEC18" s="41"/>
      <c r="NED18" s="41"/>
      <c r="NEE18" s="41"/>
      <c r="NEF18" s="41"/>
      <c r="NEG18" s="41"/>
      <c r="NEH18" s="41"/>
      <c r="NEI18" s="41"/>
      <c r="NEJ18" s="41"/>
      <c r="NEK18" s="41"/>
      <c r="NEL18" s="41"/>
      <c r="NEM18" s="41"/>
      <c r="NEN18" s="41"/>
      <c r="NEO18" s="41"/>
      <c r="NEP18" s="41"/>
      <c r="NEQ18" s="41"/>
      <c r="NER18" s="41"/>
      <c r="NES18" s="41"/>
      <c r="NET18" s="41"/>
      <c r="NEU18" s="41"/>
      <c r="NEV18" s="41"/>
      <c r="NEW18" s="41"/>
      <c r="NEX18" s="41"/>
      <c r="NEY18" s="41"/>
      <c r="NEZ18" s="41"/>
      <c r="NFA18" s="41"/>
      <c r="NFB18" s="41"/>
      <c r="NFC18" s="41"/>
      <c r="NFD18" s="41"/>
      <c r="NFE18" s="41"/>
      <c r="NFF18" s="41"/>
      <c r="NFG18" s="41"/>
      <c r="NFH18" s="41"/>
      <c r="NFI18" s="41"/>
      <c r="NFJ18" s="41"/>
      <c r="NFK18" s="41"/>
      <c r="NFL18" s="41"/>
      <c r="NFM18" s="41"/>
      <c r="NFN18" s="41"/>
      <c r="NFO18" s="41"/>
      <c r="NFP18" s="41"/>
      <c r="NFQ18" s="41"/>
      <c r="NFR18" s="41"/>
      <c r="NFS18" s="41"/>
      <c r="NFT18" s="41"/>
      <c r="NFU18" s="41"/>
      <c r="NFV18" s="41"/>
      <c r="NFW18" s="41"/>
      <c r="NFX18" s="41"/>
      <c r="NFY18" s="41"/>
      <c r="NFZ18" s="41"/>
      <c r="NGA18" s="41"/>
      <c r="NGB18" s="41"/>
      <c r="NGC18" s="41"/>
      <c r="NGD18" s="41"/>
      <c r="NGE18" s="41"/>
      <c r="NGF18" s="41"/>
      <c r="NGG18" s="41"/>
      <c r="NGH18" s="41"/>
      <c r="NGI18" s="41"/>
      <c r="NGJ18" s="41"/>
      <c r="NGK18" s="41"/>
      <c r="NGL18" s="41"/>
      <c r="NGM18" s="41"/>
      <c r="NGN18" s="41"/>
      <c r="NGO18" s="41"/>
      <c r="NGP18" s="41"/>
      <c r="NGQ18" s="41"/>
      <c r="NGR18" s="41"/>
      <c r="NGS18" s="41"/>
      <c r="NGT18" s="41"/>
      <c r="NGU18" s="41"/>
      <c r="NGV18" s="41"/>
      <c r="NGW18" s="41"/>
      <c r="NGX18" s="41"/>
      <c r="NGY18" s="41"/>
      <c r="NGZ18" s="41"/>
      <c r="NHA18" s="41"/>
      <c r="NHB18" s="41"/>
      <c r="NHC18" s="41"/>
      <c r="NHD18" s="41"/>
      <c r="NHE18" s="41"/>
      <c r="NHF18" s="41"/>
      <c r="NHG18" s="41"/>
      <c r="NHH18" s="41"/>
      <c r="NHI18" s="41"/>
      <c r="NHJ18" s="41"/>
      <c r="NHK18" s="41"/>
      <c r="NHL18" s="41"/>
      <c r="NHM18" s="41"/>
      <c r="NHN18" s="41"/>
      <c r="NHO18" s="41"/>
      <c r="NHP18" s="41"/>
      <c r="NHQ18" s="41"/>
      <c r="NHR18" s="41"/>
      <c r="NHS18" s="41"/>
      <c r="NHT18" s="41"/>
      <c r="NHU18" s="41"/>
      <c r="NHV18" s="41"/>
      <c r="NHW18" s="41"/>
      <c r="NHX18" s="41"/>
      <c r="NHY18" s="41"/>
      <c r="NHZ18" s="41"/>
      <c r="NIA18" s="41"/>
      <c r="NIB18" s="41"/>
      <c r="NIC18" s="41"/>
      <c r="NID18" s="41"/>
      <c r="NIE18" s="41"/>
      <c r="NIF18" s="41"/>
      <c r="NIG18" s="41"/>
      <c r="NIH18" s="41"/>
      <c r="NII18" s="41"/>
      <c r="NIJ18" s="41"/>
      <c r="NIK18" s="41"/>
      <c r="NIL18" s="41"/>
      <c r="NIM18" s="41"/>
      <c r="NIN18" s="41"/>
      <c r="NIO18" s="41"/>
      <c r="NIP18" s="41"/>
      <c r="NIQ18" s="41"/>
      <c r="NIR18" s="41"/>
      <c r="NIS18" s="41"/>
      <c r="NIT18" s="41"/>
      <c r="NIU18" s="41"/>
      <c r="NIV18" s="41"/>
      <c r="NIW18" s="41"/>
      <c r="NIX18" s="41"/>
      <c r="NIY18" s="41"/>
      <c r="NIZ18" s="41"/>
      <c r="NJA18" s="41"/>
      <c r="NJB18" s="41"/>
      <c r="NJC18" s="41"/>
      <c r="NJD18" s="41"/>
      <c r="NJE18" s="41"/>
      <c r="NJF18" s="41"/>
      <c r="NJG18" s="41"/>
      <c r="NJH18" s="41"/>
      <c r="NJI18" s="41"/>
      <c r="NJJ18" s="41"/>
      <c r="NJK18" s="41"/>
      <c r="NJL18" s="41"/>
      <c r="NJM18" s="41"/>
      <c r="NJN18" s="41"/>
      <c r="NJO18" s="41"/>
      <c r="NJP18" s="41"/>
      <c r="NJQ18" s="41"/>
      <c r="NJR18" s="41"/>
      <c r="NJS18" s="41"/>
      <c r="NJT18" s="41"/>
      <c r="NJU18" s="41"/>
      <c r="NJV18" s="41"/>
      <c r="NJW18" s="41"/>
      <c r="NJX18" s="41"/>
      <c r="NJY18" s="41"/>
      <c r="NJZ18" s="41"/>
      <c r="NKA18" s="41"/>
      <c r="NKB18" s="41"/>
      <c r="NKC18" s="41"/>
      <c r="NKD18" s="41"/>
      <c r="NKE18" s="41"/>
      <c r="NKF18" s="41"/>
      <c r="NKG18" s="41"/>
      <c r="NKH18" s="41"/>
      <c r="NKI18" s="41"/>
      <c r="NKJ18" s="41"/>
      <c r="NKK18" s="41"/>
      <c r="NKL18" s="41"/>
      <c r="NKM18" s="41"/>
      <c r="NKN18" s="41"/>
      <c r="NKO18" s="41"/>
      <c r="NKP18" s="41"/>
      <c r="NKQ18" s="41"/>
      <c r="NKR18" s="41"/>
      <c r="NKS18" s="41"/>
      <c r="NKT18" s="41"/>
      <c r="NKU18" s="41"/>
      <c r="NKV18" s="41"/>
      <c r="NKW18" s="41"/>
      <c r="NKX18" s="41"/>
      <c r="NKY18" s="41"/>
      <c r="NKZ18" s="41"/>
      <c r="NLA18" s="41"/>
      <c r="NLB18" s="41"/>
      <c r="NLC18" s="41"/>
      <c r="NLD18" s="41"/>
      <c r="NLE18" s="41"/>
      <c r="NLF18" s="41"/>
      <c r="NLG18" s="41"/>
      <c r="NLH18" s="41"/>
      <c r="NLI18" s="41"/>
      <c r="NLJ18" s="41"/>
      <c r="NLK18" s="41"/>
      <c r="NLL18" s="41"/>
      <c r="NLM18" s="41"/>
      <c r="NLN18" s="41"/>
      <c r="NLO18" s="41"/>
      <c r="NLP18" s="41"/>
      <c r="NLQ18" s="41"/>
      <c r="NLR18" s="41"/>
      <c r="NLS18" s="41"/>
      <c r="NLT18" s="41"/>
      <c r="NLU18" s="41"/>
      <c r="NLV18" s="41"/>
      <c r="NLW18" s="41"/>
      <c r="NLX18" s="41"/>
      <c r="NLY18" s="41"/>
      <c r="NLZ18" s="41"/>
      <c r="NMA18" s="41"/>
      <c r="NMB18" s="41"/>
      <c r="NMC18" s="41"/>
      <c r="NMD18" s="41"/>
      <c r="NME18" s="41"/>
      <c r="NMF18" s="41"/>
      <c r="NMG18" s="41"/>
      <c r="NMH18" s="41"/>
      <c r="NMI18" s="41"/>
      <c r="NMJ18" s="41"/>
      <c r="NMK18" s="41"/>
      <c r="NML18" s="41"/>
      <c r="NMM18" s="41"/>
      <c r="NMN18" s="41"/>
      <c r="NMO18" s="41"/>
      <c r="NMP18" s="41"/>
      <c r="NMQ18" s="41"/>
      <c r="NMR18" s="41"/>
      <c r="NMS18" s="41"/>
      <c r="NMT18" s="41"/>
      <c r="NMU18" s="41"/>
      <c r="NMV18" s="41"/>
      <c r="NMW18" s="41"/>
      <c r="NMX18" s="41"/>
      <c r="NMY18" s="41"/>
      <c r="NMZ18" s="41"/>
      <c r="NNA18" s="41"/>
      <c r="NNB18" s="41"/>
      <c r="NNC18" s="41"/>
      <c r="NND18" s="41"/>
      <c r="NNE18" s="41"/>
      <c r="NNF18" s="41"/>
      <c r="NNG18" s="41"/>
      <c r="NNH18" s="41"/>
      <c r="NNI18" s="41"/>
      <c r="NNJ18" s="41"/>
      <c r="NNK18" s="41"/>
      <c r="NNL18" s="41"/>
      <c r="NNM18" s="41"/>
      <c r="NNN18" s="41"/>
      <c r="NNO18" s="41"/>
      <c r="NNP18" s="41"/>
      <c r="NNQ18" s="41"/>
      <c r="NNR18" s="41"/>
      <c r="NNS18" s="41"/>
      <c r="NNT18" s="41"/>
      <c r="NNU18" s="41"/>
      <c r="NNV18" s="41"/>
      <c r="NNW18" s="41"/>
      <c r="NNX18" s="41"/>
      <c r="NNY18" s="41"/>
      <c r="NNZ18" s="41"/>
      <c r="NOA18" s="41"/>
      <c r="NOB18" s="41"/>
      <c r="NOC18" s="41"/>
      <c r="NOD18" s="41"/>
      <c r="NOE18" s="41"/>
      <c r="NOF18" s="41"/>
      <c r="NOG18" s="41"/>
      <c r="NOH18" s="41"/>
      <c r="NOI18" s="41"/>
      <c r="NOJ18" s="41"/>
      <c r="NOK18" s="41"/>
      <c r="NOL18" s="41"/>
      <c r="NOM18" s="41"/>
      <c r="NON18" s="41"/>
      <c r="NOO18" s="41"/>
      <c r="NOP18" s="41"/>
      <c r="NOQ18" s="41"/>
      <c r="NOR18" s="41"/>
      <c r="NOS18" s="41"/>
      <c r="NOT18" s="41"/>
      <c r="NOU18" s="41"/>
      <c r="NOV18" s="41"/>
      <c r="NOW18" s="41"/>
      <c r="NOX18" s="41"/>
      <c r="NOY18" s="41"/>
      <c r="NOZ18" s="41"/>
      <c r="NPA18" s="41"/>
      <c r="NPB18" s="41"/>
      <c r="NPC18" s="41"/>
      <c r="NPD18" s="41"/>
      <c r="NPE18" s="41"/>
      <c r="NPF18" s="41"/>
      <c r="NPG18" s="41"/>
      <c r="NPH18" s="41"/>
      <c r="NPI18" s="41"/>
      <c r="NPJ18" s="41"/>
      <c r="NPK18" s="41"/>
      <c r="NPL18" s="41"/>
      <c r="NPM18" s="41"/>
      <c r="NPN18" s="41"/>
      <c r="NPO18" s="41"/>
      <c r="NPP18" s="41"/>
      <c r="NPQ18" s="41"/>
      <c r="NPR18" s="41"/>
      <c r="NPS18" s="41"/>
      <c r="NPT18" s="41"/>
      <c r="NPU18" s="41"/>
      <c r="NPV18" s="41"/>
      <c r="NPW18" s="41"/>
      <c r="NPX18" s="41"/>
      <c r="NPY18" s="41"/>
      <c r="NPZ18" s="41"/>
      <c r="NQA18" s="41"/>
      <c r="NQB18" s="41"/>
      <c r="NQC18" s="41"/>
      <c r="NQD18" s="41"/>
      <c r="NQE18" s="41"/>
      <c r="NQF18" s="41"/>
      <c r="NQG18" s="41"/>
      <c r="NQH18" s="41"/>
      <c r="NQI18" s="41"/>
      <c r="NQJ18" s="41"/>
      <c r="NQK18" s="41"/>
      <c r="NQL18" s="41"/>
      <c r="NQM18" s="41"/>
      <c r="NQN18" s="41"/>
      <c r="NQO18" s="41"/>
      <c r="NQP18" s="41"/>
      <c r="NQQ18" s="41"/>
      <c r="NQR18" s="41"/>
      <c r="NQS18" s="41"/>
      <c r="NQT18" s="41"/>
      <c r="NQU18" s="41"/>
      <c r="NQV18" s="41"/>
      <c r="NQW18" s="41"/>
      <c r="NQX18" s="41"/>
      <c r="NQY18" s="41"/>
      <c r="NQZ18" s="41"/>
      <c r="NRA18" s="41"/>
      <c r="NRB18" s="41"/>
      <c r="NRC18" s="41"/>
      <c r="NRD18" s="41"/>
      <c r="NRE18" s="41"/>
      <c r="NRF18" s="41"/>
      <c r="NRG18" s="41"/>
      <c r="NRH18" s="41"/>
      <c r="NRI18" s="41"/>
      <c r="NRJ18" s="41"/>
      <c r="NRK18" s="41"/>
      <c r="NRL18" s="41"/>
      <c r="NRM18" s="41"/>
      <c r="NRN18" s="41"/>
      <c r="NRO18" s="41"/>
      <c r="NRP18" s="41"/>
      <c r="NRQ18" s="41"/>
      <c r="NRR18" s="41"/>
      <c r="NRS18" s="41"/>
      <c r="NRT18" s="41"/>
      <c r="NRU18" s="41"/>
      <c r="NRV18" s="41"/>
      <c r="NRW18" s="41"/>
      <c r="NRX18" s="41"/>
      <c r="NRY18" s="41"/>
      <c r="NRZ18" s="41"/>
      <c r="NSA18" s="41"/>
      <c r="NSB18" s="41"/>
      <c r="NSC18" s="41"/>
      <c r="NSD18" s="41"/>
      <c r="NSE18" s="41"/>
      <c r="NSF18" s="41"/>
      <c r="NSG18" s="41"/>
      <c r="NSH18" s="41"/>
      <c r="NSI18" s="41"/>
      <c r="NSJ18" s="41"/>
      <c r="NSK18" s="41"/>
      <c r="NSL18" s="41"/>
      <c r="NSM18" s="41"/>
      <c r="NSN18" s="41"/>
      <c r="NSO18" s="41"/>
      <c r="NSP18" s="41"/>
      <c r="NSQ18" s="41"/>
      <c r="NSR18" s="41"/>
      <c r="NSS18" s="41"/>
      <c r="NST18" s="41"/>
      <c r="NSU18" s="41"/>
      <c r="NSV18" s="41"/>
      <c r="NSW18" s="41"/>
      <c r="NSX18" s="41"/>
      <c r="NSY18" s="41"/>
      <c r="NSZ18" s="41"/>
      <c r="NTA18" s="41"/>
      <c r="NTB18" s="41"/>
      <c r="NTC18" s="41"/>
      <c r="NTD18" s="41"/>
      <c r="NTE18" s="41"/>
      <c r="NTF18" s="41"/>
      <c r="NTG18" s="41"/>
      <c r="NTH18" s="41"/>
      <c r="NTI18" s="41"/>
      <c r="NTJ18" s="41"/>
      <c r="NTK18" s="41"/>
      <c r="NTL18" s="41"/>
      <c r="NTM18" s="41"/>
      <c r="NTN18" s="41"/>
      <c r="NTO18" s="41"/>
      <c r="NTP18" s="41"/>
      <c r="NTQ18" s="41"/>
      <c r="NTR18" s="41"/>
      <c r="NTS18" s="41"/>
      <c r="NTT18" s="41"/>
      <c r="NTU18" s="41"/>
      <c r="NTV18" s="41"/>
      <c r="NTW18" s="41"/>
      <c r="NTX18" s="41"/>
      <c r="NTY18" s="41"/>
      <c r="NTZ18" s="41"/>
      <c r="NUA18" s="41"/>
      <c r="NUB18" s="41"/>
      <c r="NUC18" s="41"/>
      <c r="NUD18" s="41"/>
      <c r="NUE18" s="41"/>
      <c r="NUF18" s="41"/>
      <c r="NUG18" s="41"/>
      <c r="NUH18" s="41"/>
      <c r="NUI18" s="41"/>
      <c r="NUJ18" s="41"/>
      <c r="NUK18" s="41"/>
      <c r="NUL18" s="41"/>
      <c r="NUM18" s="41"/>
      <c r="NUN18" s="41"/>
      <c r="NUO18" s="41"/>
      <c r="NUP18" s="41"/>
      <c r="NUQ18" s="41"/>
      <c r="NUR18" s="41"/>
      <c r="NUS18" s="41"/>
      <c r="NUT18" s="41"/>
      <c r="NUU18" s="41"/>
      <c r="NUV18" s="41"/>
      <c r="NUW18" s="41"/>
      <c r="NUX18" s="41"/>
      <c r="NUY18" s="41"/>
      <c r="NUZ18" s="41"/>
      <c r="NVA18" s="41"/>
      <c r="NVB18" s="41"/>
      <c r="NVC18" s="41"/>
      <c r="NVD18" s="41"/>
      <c r="NVE18" s="41"/>
      <c r="NVF18" s="41"/>
      <c r="NVG18" s="41"/>
      <c r="NVH18" s="41"/>
      <c r="NVI18" s="41"/>
      <c r="NVJ18" s="41"/>
      <c r="NVK18" s="41"/>
      <c r="NVL18" s="41"/>
      <c r="NVM18" s="41"/>
      <c r="NVN18" s="41"/>
      <c r="NVO18" s="41"/>
      <c r="NVP18" s="41"/>
      <c r="NVQ18" s="41"/>
      <c r="NVR18" s="41"/>
      <c r="NVS18" s="41"/>
      <c r="NVT18" s="41"/>
      <c r="NVU18" s="41"/>
      <c r="NVV18" s="41"/>
      <c r="NVW18" s="41"/>
      <c r="NVX18" s="41"/>
      <c r="NVY18" s="41"/>
      <c r="NVZ18" s="41"/>
      <c r="NWA18" s="41"/>
      <c r="NWB18" s="41"/>
      <c r="NWC18" s="41"/>
      <c r="NWD18" s="41"/>
      <c r="NWE18" s="41"/>
      <c r="NWF18" s="41"/>
      <c r="NWG18" s="41"/>
      <c r="NWH18" s="41"/>
      <c r="NWI18" s="41"/>
      <c r="NWJ18" s="41"/>
      <c r="NWK18" s="41"/>
      <c r="NWL18" s="41"/>
      <c r="NWM18" s="41"/>
      <c r="NWN18" s="41"/>
      <c r="NWO18" s="41"/>
      <c r="NWP18" s="41"/>
      <c r="NWQ18" s="41"/>
      <c r="NWR18" s="41"/>
      <c r="NWS18" s="41"/>
      <c r="NWT18" s="41"/>
      <c r="NWU18" s="41"/>
      <c r="NWV18" s="41"/>
      <c r="NWW18" s="41"/>
      <c r="NWX18" s="41"/>
      <c r="NWY18" s="41"/>
      <c r="NWZ18" s="41"/>
      <c r="NXA18" s="41"/>
      <c r="NXB18" s="41"/>
      <c r="NXC18" s="41"/>
      <c r="NXD18" s="41"/>
      <c r="NXE18" s="41"/>
      <c r="NXF18" s="41"/>
      <c r="NXG18" s="41"/>
      <c r="NXH18" s="41"/>
      <c r="NXI18" s="41"/>
      <c r="NXJ18" s="41"/>
      <c r="NXK18" s="41"/>
      <c r="NXL18" s="41"/>
      <c r="NXM18" s="41"/>
      <c r="NXN18" s="41"/>
      <c r="NXO18" s="41"/>
      <c r="NXP18" s="41"/>
      <c r="NXQ18" s="41"/>
      <c r="NXR18" s="41"/>
      <c r="NXS18" s="41"/>
      <c r="NXT18" s="41"/>
      <c r="NXU18" s="41"/>
      <c r="NXV18" s="41"/>
      <c r="NXW18" s="41"/>
      <c r="NXX18" s="41"/>
      <c r="NXY18" s="41"/>
      <c r="NXZ18" s="41"/>
      <c r="NYA18" s="41"/>
      <c r="NYB18" s="41"/>
      <c r="NYC18" s="41"/>
      <c r="NYD18" s="41"/>
      <c r="NYE18" s="41"/>
      <c r="NYF18" s="41"/>
      <c r="NYG18" s="41"/>
      <c r="NYH18" s="41"/>
      <c r="NYI18" s="41"/>
      <c r="NYJ18" s="41"/>
      <c r="NYK18" s="41"/>
      <c r="NYL18" s="41"/>
      <c r="NYM18" s="41"/>
      <c r="NYN18" s="41"/>
      <c r="NYO18" s="41"/>
      <c r="NYP18" s="41"/>
      <c r="NYQ18" s="41"/>
      <c r="NYR18" s="41"/>
      <c r="NYS18" s="41"/>
      <c r="NYT18" s="41"/>
      <c r="NYU18" s="41"/>
      <c r="NYV18" s="41"/>
      <c r="NYW18" s="41"/>
      <c r="NYX18" s="41"/>
      <c r="NYY18" s="41"/>
      <c r="NYZ18" s="41"/>
      <c r="NZA18" s="41"/>
      <c r="NZB18" s="41"/>
      <c r="NZC18" s="41"/>
      <c r="NZD18" s="41"/>
      <c r="NZE18" s="41"/>
      <c r="NZF18" s="41"/>
      <c r="NZG18" s="41"/>
      <c r="NZH18" s="41"/>
      <c r="NZI18" s="41"/>
      <c r="NZJ18" s="41"/>
      <c r="NZK18" s="41"/>
      <c r="NZL18" s="41"/>
      <c r="NZM18" s="41"/>
      <c r="NZN18" s="41"/>
      <c r="NZO18" s="41"/>
      <c r="NZP18" s="41"/>
      <c r="NZQ18" s="41"/>
      <c r="NZR18" s="41"/>
      <c r="NZS18" s="41"/>
      <c r="NZT18" s="41"/>
      <c r="NZU18" s="41"/>
      <c r="NZV18" s="41"/>
      <c r="NZW18" s="41"/>
      <c r="NZX18" s="41"/>
      <c r="NZY18" s="41"/>
      <c r="NZZ18" s="41"/>
      <c r="OAA18" s="41"/>
      <c r="OAB18" s="41"/>
      <c r="OAC18" s="41"/>
      <c r="OAD18" s="41"/>
      <c r="OAE18" s="41"/>
      <c r="OAF18" s="41"/>
      <c r="OAG18" s="41"/>
      <c r="OAH18" s="41"/>
      <c r="OAI18" s="41"/>
      <c r="OAJ18" s="41"/>
      <c r="OAK18" s="41"/>
      <c r="OAL18" s="41"/>
      <c r="OAM18" s="41"/>
      <c r="OAN18" s="41"/>
      <c r="OAO18" s="41"/>
      <c r="OAP18" s="41"/>
      <c r="OAQ18" s="41"/>
      <c r="OAR18" s="41"/>
      <c r="OAS18" s="41"/>
      <c r="OAT18" s="41"/>
      <c r="OAU18" s="41"/>
      <c r="OAV18" s="41"/>
      <c r="OAW18" s="41"/>
      <c r="OAX18" s="41"/>
      <c r="OAY18" s="41"/>
      <c r="OAZ18" s="41"/>
      <c r="OBA18" s="41"/>
      <c r="OBB18" s="41"/>
      <c r="OBC18" s="41"/>
      <c r="OBD18" s="41"/>
      <c r="OBE18" s="41"/>
      <c r="OBF18" s="41"/>
      <c r="OBG18" s="41"/>
      <c r="OBH18" s="41"/>
      <c r="OBI18" s="41"/>
      <c r="OBJ18" s="41"/>
      <c r="OBK18" s="41"/>
      <c r="OBL18" s="41"/>
      <c r="OBM18" s="41"/>
      <c r="OBN18" s="41"/>
      <c r="OBO18" s="41"/>
      <c r="OBP18" s="41"/>
      <c r="OBQ18" s="41"/>
      <c r="OBR18" s="41"/>
      <c r="OBS18" s="41"/>
      <c r="OBT18" s="41"/>
      <c r="OBU18" s="41"/>
      <c r="OBV18" s="41"/>
      <c r="OBW18" s="41"/>
      <c r="OBX18" s="41"/>
      <c r="OBY18" s="41"/>
      <c r="OBZ18" s="41"/>
      <c r="OCA18" s="41"/>
      <c r="OCB18" s="41"/>
      <c r="OCC18" s="41"/>
      <c r="OCD18" s="41"/>
      <c r="OCE18" s="41"/>
      <c r="OCF18" s="41"/>
      <c r="OCG18" s="41"/>
      <c r="OCH18" s="41"/>
      <c r="OCI18" s="41"/>
      <c r="OCJ18" s="41"/>
      <c r="OCK18" s="41"/>
      <c r="OCL18" s="41"/>
      <c r="OCM18" s="41"/>
      <c r="OCN18" s="41"/>
      <c r="OCO18" s="41"/>
      <c r="OCP18" s="41"/>
      <c r="OCQ18" s="41"/>
      <c r="OCR18" s="41"/>
      <c r="OCS18" s="41"/>
      <c r="OCT18" s="41"/>
      <c r="OCU18" s="41"/>
      <c r="OCV18" s="41"/>
      <c r="OCW18" s="41"/>
      <c r="OCX18" s="41"/>
      <c r="OCY18" s="41"/>
      <c r="OCZ18" s="41"/>
      <c r="ODA18" s="41"/>
      <c r="ODB18" s="41"/>
      <c r="ODC18" s="41"/>
      <c r="ODD18" s="41"/>
      <c r="ODE18" s="41"/>
      <c r="ODF18" s="41"/>
      <c r="ODG18" s="41"/>
      <c r="ODH18" s="41"/>
      <c r="ODI18" s="41"/>
      <c r="ODJ18" s="41"/>
      <c r="ODK18" s="41"/>
      <c r="ODL18" s="41"/>
      <c r="ODM18" s="41"/>
      <c r="ODN18" s="41"/>
      <c r="ODO18" s="41"/>
      <c r="ODP18" s="41"/>
      <c r="ODQ18" s="41"/>
      <c r="ODR18" s="41"/>
      <c r="ODS18" s="41"/>
      <c r="ODT18" s="41"/>
      <c r="ODU18" s="41"/>
      <c r="ODV18" s="41"/>
      <c r="ODW18" s="41"/>
      <c r="ODX18" s="41"/>
      <c r="ODY18" s="41"/>
      <c r="ODZ18" s="41"/>
      <c r="OEA18" s="41"/>
      <c r="OEB18" s="41"/>
      <c r="OEC18" s="41"/>
      <c r="OED18" s="41"/>
      <c r="OEE18" s="41"/>
      <c r="OEF18" s="41"/>
      <c r="OEG18" s="41"/>
      <c r="OEH18" s="41"/>
      <c r="OEI18" s="41"/>
      <c r="OEJ18" s="41"/>
      <c r="OEK18" s="41"/>
      <c r="OEL18" s="41"/>
      <c r="OEM18" s="41"/>
      <c r="OEN18" s="41"/>
      <c r="OEO18" s="41"/>
      <c r="OEP18" s="41"/>
      <c r="OEQ18" s="41"/>
      <c r="OER18" s="41"/>
      <c r="OES18" s="41"/>
      <c r="OET18" s="41"/>
      <c r="OEU18" s="41"/>
      <c r="OEV18" s="41"/>
      <c r="OEW18" s="41"/>
      <c r="OEX18" s="41"/>
      <c r="OEY18" s="41"/>
      <c r="OEZ18" s="41"/>
      <c r="OFA18" s="41"/>
      <c r="OFB18" s="41"/>
      <c r="OFC18" s="41"/>
      <c r="OFD18" s="41"/>
      <c r="OFE18" s="41"/>
      <c r="OFF18" s="41"/>
      <c r="OFG18" s="41"/>
      <c r="OFH18" s="41"/>
      <c r="OFI18" s="41"/>
      <c r="OFJ18" s="41"/>
      <c r="OFK18" s="41"/>
      <c r="OFL18" s="41"/>
      <c r="OFM18" s="41"/>
      <c r="OFN18" s="41"/>
      <c r="OFO18" s="41"/>
      <c r="OFP18" s="41"/>
      <c r="OFQ18" s="41"/>
      <c r="OFR18" s="41"/>
      <c r="OFS18" s="41"/>
      <c r="OFT18" s="41"/>
      <c r="OFU18" s="41"/>
      <c r="OFV18" s="41"/>
      <c r="OFW18" s="41"/>
      <c r="OFX18" s="41"/>
      <c r="OFY18" s="41"/>
      <c r="OFZ18" s="41"/>
      <c r="OGA18" s="41"/>
      <c r="OGB18" s="41"/>
      <c r="OGC18" s="41"/>
      <c r="OGD18" s="41"/>
      <c r="OGE18" s="41"/>
      <c r="OGF18" s="41"/>
      <c r="OGG18" s="41"/>
      <c r="OGH18" s="41"/>
      <c r="OGI18" s="41"/>
      <c r="OGJ18" s="41"/>
      <c r="OGK18" s="41"/>
      <c r="OGL18" s="41"/>
      <c r="OGM18" s="41"/>
      <c r="OGN18" s="41"/>
      <c r="OGO18" s="41"/>
      <c r="OGP18" s="41"/>
      <c r="OGQ18" s="41"/>
      <c r="OGR18" s="41"/>
      <c r="OGS18" s="41"/>
      <c r="OGT18" s="41"/>
      <c r="OGU18" s="41"/>
      <c r="OGV18" s="41"/>
      <c r="OGW18" s="41"/>
      <c r="OGX18" s="41"/>
      <c r="OGY18" s="41"/>
      <c r="OGZ18" s="41"/>
      <c r="OHA18" s="41"/>
      <c r="OHB18" s="41"/>
      <c r="OHC18" s="41"/>
      <c r="OHD18" s="41"/>
      <c r="OHE18" s="41"/>
      <c r="OHF18" s="41"/>
      <c r="OHG18" s="41"/>
      <c r="OHH18" s="41"/>
      <c r="OHI18" s="41"/>
      <c r="OHJ18" s="41"/>
      <c r="OHK18" s="41"/>
      <c r="OHL18" s="41"/>
      <c r="OHM18" s="41"/>
      <c r="OHN18" s="41"/>
      <c r="OHO18" s="41"/>
      <c r="OHP18" s="41"/>
      <c r="OHQ18" s="41"/>
      <c r="OHR18" s="41"/>
      <c r="OHS18" s="41"/>
      <c r="OHT18" s="41"/>
      <c r="OHU18" s="41"/>
      <c r="OHV18" s="41"/>
      <c r="OHW18" s="41"/>
      <c r="OHX18" s="41"/>
      <c r="OHY18" s="41"/>
      <c r="OHZ18" s="41"/>
      <c r="OIA18" s="41"/>
      <c r="OIB18" s="41"/>
      <c r="OIC18" s="41"/>
      <c r="OID18" s="41"/>
      <c r="OIE18" s="41"/>
      <c r="OIF18" s="41"/>
      <c r="OIG18" s="41"/>
      <c r="OIH18" s="41"/>
      <c r="OII18" s="41"/>
      <c r="OIJ18" s="41"/>
      <c r="OIK18" s="41"/>
      <c r="OIL18" s="41"/>
      <c r="OIM18" s="41"/>
      <c r="OIN18" s="41"/>
      <c r="OIO18" s="41"/>
      <c r="OIP18" s="41"/>
      <c r="OIQ18" s="41"/>
      <c r="OIR18" s="41"/>
      <c r="OIS18" s="41"/>
      <c r="OIT18" s="41"/>
      <c r="OIU18" s="41"/>
      <c r="OIV18" s="41"/>
      <c r="OIW18" s="41"/>
      <c r="OIX18" s="41"/>
      <c r="OIY18" s="41"/>
      <c r="OIZ18" s="41"/>
      <c r="OJA18" s="41"/>
      <c r="OJB18" s="41"/>
      <c r="OJC18" s="41"/>
      <c r="OJD18" s="41"/>
      <c r="OJE18" s="41"/>
      <c r="OJF18" s="41"/>
      <c r="OJG18" s="41"/>
      <c r="OJH18" s="41"/>
      <c r="OJI18" s="41"/>
      <c r="OJJ18" s="41"/>
      <c r="OJK18" s="41"/>
      <c r="OJL18" s="41"/>
      <c r="OJM18" s="41"/>
      <c r="OJN18" s="41"/>
      <c r="OJO18" s="41"/>
      <c r="OJP18" s="41"/>
      <c r="OJQ18" s="41"/>
      <c r="OJR18" s="41"/>
      <c r="OJS18" s="41"/>
      <c r="OJT18" s="41"/>
      <c r="OJU18" s="41"/>
      <c r="OJV18" s="41"/>
      <c r="OJW18" s="41"/>
      <c r="OJX18" s="41"/>
      <c r="OJY18" s="41"/>
      <c r="OJZ18" s="41"/>
      <c r="OKA18" s="41"/>
      <c r="OKB18" s="41"/>
      <c r="OKC18" s="41"/>
      <c r="OKD18" s="41"/>
      <c r="OKE18" s="41"/>
      <c r="OKF18" s="41"/>
      <c r="OKG18" s="41"/>
      <c r="OKH18" s="41"/>
      <c r="OKI18" s="41"/>
      <c r="OKJ18" s="41"/>
      <c r="OKK18" s="41"/>
      <c r="OKL18" s="41"/>
      <c r="OKM18" s="41"/>
      <c r="OKN18" s="41"/>
      <c r="OKO18" s="41"/>
      <c r="OKP18" s="41"/>
      <c r="OKQ18" s="41"/>
      <c r="OKR18" s="41"/>
      <c r="OKS18" s="41"/>
      <c r="OKT18" s="41"/>
      <c r="OKU18" s="41"/>
      <c r="OKV18" s="41"/>
      <c r="OKW18" s="41"/>
      <c r="OKX18" s="41"/>
      <c r="OKY18" s="41"/>
      <c r="OKZ18" s="41"/>
      <c r="OLA18" s="41"/>
      <c r="OLB18" s="41"/>
      <c r="OLC18" s="41"/>
      <c r="OLD18" s="41"/>
      <c r="OLE18" s="41"/>
      <c r="OLF18" s="41"/>
      <c r="OLG18" s="41"/>
      <c r="OLH18" s="41"/>
      <c r="OLI18" s="41"/>
      <c r="OLJ18" s="41"/>
      <c r="OLK18" s="41"/>
      <c r="OLL18" s="41"/>
      <c r="OLM18" s="41"/>
      <c r="OLN18" s="41"/>
      <c r="OLO18" s="41"/>
      <c r="OLP18" s="41"/>
      <c r="OLQ18" s="41"/>
      <c r="OLR18" s="41"/>
      <c r="OLS18" s="41"/>
      <c r="OLT18" s="41"/>
      <c r="OLU18" s="41"/>
      <c r="OLV18" s="41"/>
      <c r="OLW18" s="41"/>
      <c r="OLX18" s="41"/>
      <c r="OLY18" s="41"/>
      <c r="OLZ18" s="41"/>
      <c r="OMA18" s="41"/>
      <c r="OMB18" s="41"/>
      <c r="OMC18" s="41"/>
      <c r="OMD18" s="41"/>
      <c r="OME18" s="41"/>
      <c r="OMF18" s="41"/>
      <c r="OMG18" s="41"/>
      <c r="OMH18" s="41"/>
      <c r="OMI18" s="41"/>
      <c r="OMJ18" s="41"/>
      <c r="OMK18" s="41"/>
      <c r="OML18" s="41"/>
      <c r="OMM18" s="41"/>
      <c r="OMN18" s="41"/>
      <c r="OMO18" s="41"/>
      <c r="OMP18" s="41"/>
      <c r="OMQ18" s="41"/>
      <c r="OMR18" s="41"/>
      <c r="OMS18" s="41"/>
      <c r="OMT18" s="41"/>
      <c r="OMU18" s="41"/>
      <c r="OMV18" s="41"/>
      <c r="OMW18" s="41"/>
      <c r="OMX18" s="41"/>
      <c r="OMY18" s="41"/>
      <c r="OMZ18" s="41"/>
      <c r="ONA18" s="41"/>
      <c r="ONB18" s="41"/>
      <c r="ONC18" s="41"/>
      <c r="OND18" s="41"/>
      <c r="ONE18" s="41"/>
      <c r="ONF18" s="41"/>
      <c r="ONG18" s="41"/>
      <c r="ONH18" s="41"/>
      <c r="ONI18" s="41"/>
      <c r="ONJ18" s="41"/>
      <c r="ONK18" s="41"/>
      <c r="ONL18" s="41"/>
      <c r="ONM18" s="41"/>
      <c r="ONN18" s="41"/>
      <c r="ONO18" s="41"/>
      <c r="ONP18" s="41"/>
      <c r="ONQ18" s="41"/>
      <c r="ONR18" s="41"/>
      <c r="ONS18" s="41"/>
      <c r="ONT18" s="41"/>
      <c r="ONU18" s="41"/>
      <c r="ONV18" s="41"/>
      <c r="ONW18" s="41"/>
      <c r="ONX18" s="41"/>
      <c r="ONY18" s="41"/>
      <c r="ONZ18" s="41"/>
      <c r="OOA18" s="41"/>
      <c r="OOB18" s="41"/>
      <c r="OOC18" s="41"/>
      <c r="OOD18" s="41"/>
      <c r="OOE18" s="41"/>
      <c r="OOF18" s="41"/>
      <c r="OOG18" s="41"/>
      <c r="OOH18" s="41"/>
      <c r="OOI18" s="41"/>
      <c r="OOJ18" s="41"/>
      <c r="OOK18" s="41"/>
      <c r="OOL18" s="41"/>
      <c r="OOM18" s="41"/>
      <c r="OON18" s="41"/>
      <c r="OOO18" s="41"/>
      <c r="OOP18" s="41"/>
      <c r="OOQ18" s="41"/>
      <c r="OOR18" s="41"/>
      <c r="OOS18" s="41"/>
      <c r="OOT18" s="41"/>
      <c r="OOU18" s="41"/>
      <c r="OOV18" s="41"/>
      <c r="OOW18" s="41"/>
      <c r="OOX18" s="41"/>
      <c r="OOY18" s="41"/>
      <c r="OOZ18" s="41"/>
      <c r="OPA18" s="41"/>
      <c r="OPB18" s="41"/>
      <c r="OPC18" s="41"/>
      <c r="OPD18" s="41"/>
      <c r="OPE18" s="41"/>
      <c r="OPF18" s="41"/>
      <c r="OPG18" s="41"/>
      <c r="OPH18" s="41"/>
      <c r="OPI18" s="41"/>
      <c r="OPJ18" s="41"/>
      <c r="OPK18" s="41"/>
      <c r="OPL18" s="41"/>
      <c r="OPM18" s="41"/>
      <c r="OPN18" s="41"/>
      <c r="OPO18" s="41"/>
      <c r="OPP18" s="41"/>
      <c r="OPQ18" s="41"/>
      <c r="OPR18" s="41"/>
      <c r="OPS18" s="41"/>
      <c r="OPT18" s="41"/>
      <c r="OPU18" s="41"/>
      <c r="OPV18" s="41"/>
      <c r="OPW18" s="41"/>
      <c r="OPX18" s="41"/>
      <c r="OPY18" s="41"/>
      <c r="OPZ18" s="41"/>
      <c r="OQA18" s="41"/>
      <c r="OQB18" s="41"/>
      <c r="OQC18" s="41"/>
      <c r="OQD18" s="41"/>
      <c r="OQE18" s="41"/>
      <c r="OQF18" s="41"/>
      <c r="OQG18" s="41"/>
      <c r="OQH18" s="41"/>
      <c r="OQI18" s="41"/>
      <c r="OQJ18" s="41"/>
      <c r="OQK18" s="41"/>
      <c r="OQL18" s="41"/>
      <c r="OQM18" s="41"/>
      <c r="OQN18" s="41"/>
      <c r="OQO18" s="41"/>
      <c r="OQP18" s="41"/>
      <c r="OQQ18" s="41"/>
      <c r="OQR18" s="41"/>
      <c r="OQS18" s="41"/>
      <c r="OQT18" s="41"/>
      <c r="OQU18" s="41"/>
      <c r="OQV18" s="41"/>
      <c r="OQW18" s="41"/>
      <c r="OQX18" s="41"/>
      <c r="OQY18" s="41"/>
      <c r="OQZ18" s="41"/>
      <c r="ORA18" s="41"/>
      <c r="ORB18" s="41"/>
      <c r="ORC18" s="41"/>
      <c r="ORD18" s="41"/>
      <c r="ORE18" s="41"/>
      <c r="ORF18" s="41"/>
      <c r="ORG18" s="41"/>
      <c r="ORH18" s="41"/>
      <c r="ORI18" s="41"/>
      <c r="ORJ18" s="41"/>
      <c r="ORK18" s="41"/>
      <c r="ORL18" s="41"/>
      <c r="ORM18" s="41"/>
      <c r="ORN18" s="41"/>
      <c r="ORO18" s="41"/>
      <c r="ORP18" s="41"/>
      <c r="ORQ18" s="41"/>
      <c r="ORR18" s="41"/>
      <c r="ORS18" s="41"/>
      <c r="ORT18" s="41"/>
      <c r="ORU18" s="41"/>
      <c r="ORV18" s="41"/>
      <c r="ORW18" s="41"/>
      <c r="ORX18" s="41"/>
      <c r="ORY18" s="41"/>
      <c r="ORZ18" s="41"/>
      <c r="OSA18" s="41"/>
      <c r="OSB18" s="41"/>
      <c r="OSC18" s="41"/>
      <c r="OSD18" s="41"/>
      <c r="OSE18" s="41"/>
      <c r="OSF18" s="41"/>
      <c r="OSG18" s="41"/>
      <c r="OSH18" s="41"/>
      <c r="OSI18" s="41"/>
      <c r="OSJ18" s="41"/>
      <c r="OSK18" s="41"/>
      <c r="OSL18" s="41"/>
      <c r="OSM18" s="41"/>
      <c r="OSN18" s="41"/>
      <c r="OSO18" s="41"/>
      <c r="OSP18" s="41"/>
      <c r="OSQ18" s="41"/>
      <c r="OSR18" s="41"/>
      <c r="OSS18" s="41"/>
      <c r="OST18" s="41"/>
      <c r="OSU18" s="41"/>
      <c r="OSV18" s="41"/>
      <c r="OSW18" s="41"/>
      <c r="OSX18" s="41"/>
      <c r="OSY18" s="41"/>
      <c r="OSZ18" s="41"/>
      <c r="OTA18" s="41"/>
      <c r="OTB18" s="41"/>
      <c r="OTC18" s="41"/>
      <c r="OTD18" s="41"/>
      <c r="OTE18" s="41"/>
      <c r="OTF18" s="41"/>
      <c r="OTG18" s="41"/>
      <c r="OTH18" s="41"/>
      <c r="OTI18" s="41"/>
      <c r="OTJ18" s="41"/>
      <c r="OTK18" s="41"/>
      <c r="OTL18" s="41"/>
      <c r="OTM18" s="41"/>
      <c r="OTN18" s="41"/>
      <c r="OTO18" s="41"/>
      <c r="OTP18" s="41"/>
      <c r="OTQ18" s="41"/>
      <c r="OTR18" s="41"/>
      <c r="OTS18" s="41"/>
      <c r="OTT18" s="41"/>
      <c r="OTU18" s="41"/>
      <c r="OTV18" s="41"/>
      <c r="OTW18" s="41"/>
      <c r="OTX18" s="41"/>
      <c r="OTY18" s="41"/>
      <c r="OTZ18" s="41"/>
      <c r="OUA18" s="41"/>
      <c r="OUB18" s="41"/>
      <c r="OUC18" s="41"/>
      <c r="OUD18" s="41"/>
      <c r="OUE18" s="41"/>
      <c r="OUF18" s="41"/>
      <c r="OUG18" s="41"/>
      <c r="OUH18" s="41"/>
      <c r="OUI18" s="41"/>
      <c r="OUJ18" s="41"/>
      <c r="OUK18" s="41"/>
      <c r="OUL18" s="41"/>
      <c r="OUM18" s="41"/>
      <c r="OUN18" s="41"/>
      <c r="OUO18" s="41"/>
      <c r="OUP18" s="41"/>
      <c r="OUQ18" s="41"/>
      <c r="OUR18" s="41"/>
      <c r="OUS18" s="41"/>
      <c r="OUT18" s="41"/>
      <c r="OUU18" s="41"/>
      <c r="OUV18" s="41"/>
      <c r="OUW18" s="41"/>
      <c r="OUX18" s="41"/>
      <c r="OUY18" s="41"/>
      <c r="OUZ18" s="41"/>
      <c r="OVA18" s="41"/>
      <c r="OVB18" s="41"/>
      <c r="OVC18" s="41"/>
      <c r="OVD18" s="41"/>
      <c r="OVE18" s="41"/>
      <c r="OVF18" s="41"/>
      <c r="OVG18" s="41"/>
      <c r="OVH18" s="41"/>
      <c r="OVI18" s="41"/>
      <c r="OVJ18" s="41"/>
      <c r="OVK18" s="41"/>
      <c r="OVL18" s="41"/>
      <c r="OVM18" s="41"/>
      <c r="OVN18" s="41"/>
      <c r="OVO18" s="41"/>
      <c r="OVP18" s="41"/>
      <c r="OVQ18" s="41"/>
      <c r="OVR18" s="41"/>
      <c r="OVS18" s="41"/>
      <c r="OVT18" s="41"/>
      <c r="OVU18" s="41"/>
      <c r="OVV18" s="41"/>
      <c r="OVW18" s="41"/>
      <c r="OVX18" s="41"/>
      <c r="OVY18" s="41"/>
      <c r="OVZ18" s="41"/>
      <c r="OWA18" s="41"/>
      <c r="OWB18" s="41"/>
      <c r="OWC18" s="41"/>
      <c r="OWD18" s="41"/>
      <c r="OWE18" s="41"/>
      <c r="OWF18" s="41"/>
      <c r="OWG18" s="41"/>
      <c r="OWH18" s="41"/>
      <c r="OWI18" s="41"/>
      <c r="OWJ18" s="41"/>
      <c r="OWK18" s="41"/>
      <c r="OWL18" s="41"/>
      <c r="OWM18" s="41"/>
      <c r="OWN18" s="41"/>
      <c r="OWO18" s="41"/>
      <c r="OWP18" s="41"/>
      <c r="OWQ18" s="41"/>
      <c r="OWR18" s="41"/>
      <c r="OWS18" s="41"/>
      <c r="OWT18" s="41"/>
      <c r="OWU18" s="41"/>
      <c r="OWV18" s="41"/>
      <c r="OWW18" s="41"/>
      <c r="OWX18" s="41"/>
      <c r="OWY18" s="41"/>
      <c r="OWZ18" s="41"/>
      <c r="OXA18" s="41"/>
      <c r="OXB18" s="41"/>
      <c r="OXC18" s="41"/>
      <c r="OXD18" s="41"/>
      <c r="OXE18" s="41"/>
      <c r="OXF18" s="41"/>
      <c r="OXG18" s="41"/>
      <c r="OXH18" s="41"/>
      <c r="OXI18" s="41"/>
      <c r="OXJ18" s="41"/>
      <c r="OXK18" s="41"/>
      <c r="OXL18" s="41"/>
      <c r="OXM18" s="41"/>
      <c r="OXN18" s="41"/>
      <c r="OXO18" s="41"/>
      <c r="OXP18" s="41"/>
      <c r="OXQ18" s="41"/>
      <c r="OXR18" s="41"/>
      <c r="OXS18" s="41"/>
      <c r="OXT18" s="41"/>
      <c r="OXU18" s="41"/>
      <c r="OXV18" s="41"/>
      <c r="OXW18" s="41"/>
      <c r="OXX18" s="41"/>
      <c r="OXY18" s="41"/>
      <c r="OXZ18" s="41"/>
      <c r="OYA18" s="41"/>
      <c r="OYB18" s="41"/>
      <c r="OYC18" s="41"/>
      <c r="OYD18" s="41"/>
      <c r="OYE18" s="41"/>
      <c r="OYF18" s="41"/>
      <c r="OYG18" s="41"/>
      <c r="OYH18" s="41"/>
      <c r="OYI18" s="41"/>
      <c r="OYJ18" s="41"/>
      <c r="OYK18" s="41"/>
      <c r="OYL18" s="41"/>
      <c r="OYM18" s="41"/>
      <c r="OYN18" s="41"/>
      <c r="OYO18" s="41"/>
      <c r="OYP18" s="41"/>
      <c r="OYQ18" s="41"/>
      <c r="OYR18" s="41"/>
      <c r="OYS18" s="41"/>
      <c r="OYT18" s="41"/>
      <c r="OYU18" s="41"/>
      <c r="OYV18" s="41"/>
      <c r="OYW18" s="41"/>
      <c r="OYX18" s="41"/>
      <c r="OYY18" s="41"/>
      <c r="OYZ18" s="41"/>
      <c r="OZA18" s="41"/>
      <c r="OZB18" s="41"/>
      <c r="OZC18" s="41"/>
      <c r="OZD18" s="41"/>
      <c r="OZE18" s="41"/>
      <c r="OZF18" s="41"/>
      <c r="OZG18" s="41"/>
      <c r="OZH18" s="41"/>
      <c r="OZI18" s="41"/>
      <c r="OZJ18" s="41"/>
      <c r="OZK18" s="41"/>
      <c r="OZL18" s="41"/>
      <c r="OZM18" s="41"/>
      <c r="OZN18" s="41"/>
      <c r="OZO18" s="41"/>
      <c r="OZP18" s="41"/>
      <c r="OZQ18" s="41"/>
      <c r="OZR18" s="41"/>
      <c r="OZS18" s="41"/>
      <c r="OZT18" s="41"/>
      <c r="OZU18" s="41"/>
      <c r="OZV18" s="41"/>
      <c r="OZW18" s="41"/>
      <c r="OZX18" s="41"/>
      <c r="OZY18" s="41"/>
      <c r="OZZ18" s="41"/>
      <c r="PAA18" s="41"/>
      <c r="PAB18" s="41"/>
      <c r="PAC18" s="41"/>
      <c r="PAD18" s="41"/>
      <c r="PAE18" s="41"/>
      <c r="PAF18" s="41"/>
      <c r="PAG18" s="41"/>
      <c r="PAH18" s="41"/>
      <c r="PAI18" s="41"/>
      <c r="PAJ18" s="41"/>
      <c r="PAK18" s="41"/>
      <c r="PAL18" s="41"/>
      <c r="PAM18" s="41"/>
      <c r="PAN18" s="41"/>
      <c r="PAO18" s="41"/>
      <c r="PAP18" s="41"/>
      <c r="PAQ18" s="41"/>
      <c r="PAR18" s="41"/>
      <c r="PAS18" s="41"/>
      <c r="PAT18" s="41"/>
      <c r="PAU18" s="41"/>
      <c r="PAV18" s="41"/>
      <c r="PAW18" s="41"/>
      <c r="PAX18" s="41"/>
      <c r="PAY18" s="41"/>
      <c r="PAZ18" s="41"/>
      <c r="PBA18" s="41"/>
      <c r="PBB18" s="41"/>
      <c r="PBC18" s="41"/>
      <c r="PBD18" s="41"/>
      <c r="PBE18" s="41"/>
      <c r="PBF18" s="41"/>
      <c r="PBG18" s="41"/>
      <c r="PBH18" s="41"/>
      <c r="PBI18" s="41"/>
      <c r="PBJ18" s="41"/>
      <c r="PBK18" s="41"/>
      <c r="PBL18" s="41"/>
      <c r="PBM18" s="41"/>
      <c r="PBN18" s="41"/>
      <c r="PBO18" s="41"/>
      <c r="PBP18" s="41"/>
      <c r="PBQ18" s="41"/>
      <c r="PBR18" s="41"/>
      <c r="PBS18" s="41"/>
      <c r="PBT18" s="41"/>
      <c r="PBU18" s="41"/>
      <c r="PBV18" s="41"/>
      <c r="PBW18" s="41"/>
      <c r="PBX18" s="41"/>
      <c r="PBY18" s="41"/>
      <c r="PBZ18" s="41"/>
      <c r="PCA18" s="41"/>
      <c r="PCB18" s="41"/>
      <c r="PCC18" s="41"/>
      <c r="PCD18" s="41"/>
      <c r="PCE18" s="41"/>
      <c r="PCF18" s="41"/>
      <c r="PCG18" s="41"/>
      <c r="PCH18" s="41"/>
      <c r="PCI18" s="41"/>
      <c r="PCJ18" s="41"/>
      <c r="PCK18" s="41"/>
      <c r="PCL18" s="41"/>
      <c r="PCM18" s="41"/>
      <c r="PCN18" s="41"/>
      <c r="PCO18" s="41"/>
      <c r="PCP18" s="41"/>
      <c r="PCQ18" s="41"/>
      <c r="PCR18" s="41"/>
      <c r="PCS18" s="41"/>
      <c r="PCT18" s="41"/>
      <c r="PCU18" s="41"/>
      <c r="PCV18" s="41"/>
      <c r="PCW18" s="41"/>
      <c r="PCX18" s="41"/>
      <c r="PCY18" s="41"/>
      <c r="PCZ18" s="41"/>
      <c r="PDA18" s="41"/>
      <c r="PDB18" s="41"/>
      <c r="PDC18" s="41"/>
      <c r="PDD18" s="41"/>
      <c r="PDE18" s="41"/>
      <c r="PDF18" s="41"/>
      <c r="PDG18" s="41"/>
      <c r="PDH18" s="41"/>
      <c r="PDI18" s="41"/>
      <c r="PDJ18" s="41"/>
      <c r="PDK18" s="41"/>
      <c r="PDL18" s="41"/>
      <c r="PDM18" s="41"/>
      <c r="PDN18" s="41"/>
      <c r="PDO18" s="41"/>
      <c r="PDP18" s="41"/>
      <c r="PDQ18" s="41"/>
      <c r="PDR18" s="41"/>
      <c r="PDS18" s="41"/>
      <c r="PDT18" s="41"/>
      <c r="PDU18" s="41"/>
      <c r="PDV18" s="41"/>
      <c r="PDW18" s="41"/>
      <c r="PDX18" s="41"/>
      <c r="PDY18" s="41"/>
      <c r="PDZ18" s="41"/>
      <c r="PEA18" s="41"/>
      <c r="PEB18" s="41"/>
      <c r="PEC18" s="41"/>
      <c r="PED18" s="41"/>
      <c r="PEE18" s="41"/>
      <c r="PEF18" s="41"/>
      <c r="PEG18" s="41"/>
      <c r="PEH18" s="41"/>
      <c r="PEI18" s="41"/>
      <c r="PEJ18" s="41"/>
      <c r="PEK18" s="41"/>
      <c r="PEL18" s="41"/>
      <c r="PEM18" s="41"/>
      <c r="PEN18" s="41"/>
      <c r="PEO18" s="41"/>
      <c r="PEP18" s="41"/>
      <c r="PEQ18" s="41"/>
      <c r="PER18" s="41"/>
      <c r="PES18" s="41"/>
      <c r="PET18" s="41"/>
      <c r="PEU18" s="41"/>
      <c r="PEV18" s="41"/>
      <c r="PEW18" s="41"/>
      <c r="PEX18" s="41"/>
      <c r="PEY18" s="41"/>
      <c r="PEZ18" s="41"/>
      <c r="PFA18" s="41"/>
      <c r="PFB18" s="41"/>
      <c r="PFC18" s="41"/>
      <c r="PFD18" s="41"/>
      <c r="PFE18" s="41"/>
      <c r="PFF18" s="41"/>
      <c r="PFG18" s="41"/>
      <c r="PFH18" s="41"/>
      <c r="PFI18" s="41"/>
      <c r="PFJ18" s="41"/>
      <c r="PFK18" s="41"/>
      <c r="PFL18" s="41"/>
      <c r="PFM18" s="41"/>
      <c r="PFN18" s="41"/>
      <c r="PFO18" s="41"/>
      <c r="PFP18" s="41"/>
      <c r="PFQ18" s="41"/>
      <c r="PFR18" s="41"/>
      <c r="PFS18" s="41"/>
      <c r="PFT18" s="41"/>
      <c r="PFU18" s="41"/>
      <c r="PFV18" s="41"/>
      <c r="PFW18" s="41"/>
      <c r="PFX18" s="41"/>
      <c r="PFY18" s="41"/>
      <c r="PFZ18" s="41"/>
      <c r="PGA18" s="41"/>
      <c r="PGB18" s="41"/>
      <c r="PGC18" s="41"/>
      <c r="PGD18" s="41"/>
      <c r="PGE18" s="41"/>
      <c r="PGF18" s="41"/>
      <c r="PGG18" s="41"/>
      <c r="PGH18" s="41"/>
      <c r="PGI18" s="41"/>
      <c r="PGJ18" s="41"/>
      <c r="PGK18" s="41"/>
      <c r="PGL18" s="41"/>
      <c r="PGM18" s="41"/>
      <c r="PGN18" s="41"/>
      <c r="PGO18" s="41"/>
      <c r="PGP18" s="41"/>
      <c r="PGQ18" s="41"/>
      <c r="PGR18" s="41"/>
      <c r="PGS18" s="41"/>
      <c r="PGT18" s="41"/>
      <c r="PGU18" s="41"/>
      <c r="PGV18" s="41"/>
      <c r="PGW18" s="41"/>
      <c r="PGX18" s="41"/>
      <c r="PGY18" s="41"/>
      <c r="PGZ18" s="41"/>
      <c r="PHA18" s="41"/>
      <c r="PHB18" s="41"/>
      <c r="PHC18" s="41"/>
      <c r="PHD18" s="41"/>
      <c r="PHE18" s="41"/>
      <c r="PHF18" s="41"/>
      <c r="PHG18" s="41"/>
      <c r="PHH18" s="41"/>
      <c r="PHI18" s="41"/>
      <c r="PHJ18" s="41"/>
      <c r="PHK18" s="41"/>
      <c r="PHL18" s="41"/>
      <c r="PHM18" s="41"/>
      <c r="PHN18" s="41"/>
      <c r="PHO18" s="41"/>
      <c r="PHP18" s="41"/>
      <c r="PHQ18" s="41"/>
      <c r="PHR18" s="41"/>
      <c r="PHS18" s="41"/>
      <c r="PHT18" s="41"/>
      <c r="PHU18" s="41"/>
      <c r="PHV18" s="41"/>
      <c r="PHW18" s="41"/>
      <c r="PHX18" s="41"/>
      <c r="PHY18" s="41"/>
      <c r="PHZ18" s="41"/>
      <c r="PIA18" s="41"/>
      <c r="PIB18" s="41"/>
      <c r="PIC18" s="41"/>
      <c r="PID18" s="41"/>
      <c r="PIE18" s="41"/>
      <c r="PIF18" s="41"/>
      <c r="PIG18" s="41"/>
      <c r="PIH18" s="41"/>
      <c r="PII18" s="41"/>
      <c r="PIJ18" s="41"/>
      <c r="PIK18" s="41"/>
      <c r="PIL18" s="41"/>
      <c r="PIM18" s="41"/>
      <c r="PIN18" s="41"/>
      <c r="PIO18" s="41"/>
      <c r="PIP18" s="41"/>
      <c r="PIQ18" s="41"/>
      <c r="PIR18" s="41"/>
      <c r="PIS18" s="41"/>
      <c r="PIT18" s="41"/>
      <c r="PIU18" s="41"/>
      <c r="PIV18" s="41"/>
      <c r="PIW18" s="41"/>
      <c r="PIX18" s="41"/>
      <c r="PIY18" s="41"/>
      <c r="PIZ18" s="41"/>
      <c r="PJA18" s="41"/>
      <c r="PJB18" s="41"/>
      <c r="PJC18" s="41"/>
      <c r="PJD18" s="41"/>
      <c r="PJE18" s="41"/>
      <c r="PJF18" s="41"/>
      <c r="PJG18" s="41"/>
      <c r="PJH18" s="41"/>
      <c r="PJI18" s="41"/>
      <c r="PJJ18" s="41"/>
      <c r="PJK18" s="41"/>
      <c r="PJL18" s="41"/>
      <c r="PJM18" s="41"/>
      <c r="PJN18" s="41"/>
      <c r="PJO18" s="41"/>
      <c r="PJP18" s="41"/>
      <c r="PJQ18" s="41"/>
      <c r="PJR18" s="41"/>
      <c r="PJS18" s="41"/>
      <c r="PJT18" s="41"/>
      <c r="PJU18" s="41"/>
      <c r="PJV18" s="41"/>
      <c r="PJW18" s="41"/>
      <c r="PJX18" s="41"/>
      <c r="PJY18" s="41"/>
      <c r="PJZ18" s="41"/>
      <c r="PKA18" s="41"/>
      <c r="PKB18" s="41"/>
      <c r="PKC18" s="41"/>
      <c r="PKD18" s="41"/>
      <c r="PKE18" s="41"/>
      <c r="PKF18" s="41"/>
      <c r="PKG18" s="41"/>
      <c r="PKH18" s="41"/>
      <c r="PKI18" s="41"/>
      <c r="PKJ18" s="41"/>
      <c r="PKK18" s="41"/>
      <c r="PKL18" s="41"/>
      <c r="PKM18" s="41"/>
      <c r="PKN18" s="41"/>
      <c r="PKO18" s="41"/>
      <c r="PKP18" s="41"/>
      <c r="PKQ18" s="41"/>
      <c r="PKR18" s="41"/>
      <c r="PKS18" s="41"/>
      <c r="PKT18" s="41"/>
      <c r="PKU18" s="41"/>
      <c r="PKV18" s="41"/>
      <c r="PKW18" s="41"/>
      <c r="PKX18" s="41"/>
      <c r="PKY18" s="41"/>
      <c r="PKZ18" s="41"/>
      <c r="PLA18" s="41"/>
      <c r="PLB18" s="41"/>
      <c r="PLC18" s="41"/>
      <c r="PLD18" s="41"/>
      <c r="PLE18" s="41"/>
      <c r="PLF18" s="41"/>
      <c r="PLG18" s="41"/>
      <c r="PLH18" s="41"/>
      <c r="PLI18" s="41"/>
      <c r="PLJ18" s="41"/>
      <c r="PLK18" s="41"/>
      <c r="PLL18" s="41"/>
      <c r="PLM18" s="41"/>
      <c r="PLN18" s="41"/>
      <c r="PLO18" s="41"/>
      <c r="PLP18" s="41"/>
      <c r="PLQ18" s="41"/>
      <c r="PLR18" s="41"/>
      <c r="PLS18" s="41"/>
      <c r="PLT18" s="41"/>
      <c r="PLU18" s="41"/>
      <c r="PLV18" s="41"/>
      <c r="PLW18" s="41"/>
      <c r="PLX18" s="41"/>
      <c r="PLY18" s="41"/>
      <c r="PLZ18" s="41"/>
      <c r="PMA18" s="41"/>
      <c r="PMB18" s="41"/>
      <c r="PMC18" s="41"/>
      <c r="PMD18" s="41"/>
      <c r="PME18" s="41"/>
      <c r="PMF18" s="41"/>
      <c r="PMG18" s="41"/>
      <c r="PMH18" s="41"/>
      <c r="PMI18" s="41"/>
      <c r="PMJ18" s="41"/>
      <c r="PMK18" s="41"/>
      <c r="PML18" s="41"/>
      <c r="PMM18" s="41"/>
      <c r="PMN18" s="41"/>
      <c r="PMO18" s="41"/>
      <c r="PMP18" s="41"/>
      <c r="PMQ18" s="41"/>
      <c r="PMR18" s="41"/>
      <c r="PMS18" s="41"/>
      <c r="PMT18" s="41"/>
      <c r="PMU18" s="41"/>
      <c r="PMV18" s="41"/>
      <c r="PMW18" s="41"/>
      <c r="PMX18" s="41"/>
      <c r="PMY18" s="41"/>
      <c r="PMZ18" s="41"/>
      <c r="PNA18" s="41"/>
      <c r="PNB18" s="41"/>
      <c r="PNC18" s="41"/>
      <c r="PND18" s="41"/>
      <c r="PNE18" s="41"/>
      <c r="PNF18" s="41"/>
      <c r="PNG18" s="41"/>
      <c r="PNH18" s="41"/>
      <c r="PNI18" s="41"/>
      <c r="PNJ18" s="41"/>
      <c r="PNK18" s="41"/>
      <c r="PNL18" s="41"/>
      <c r="PNM18" s="41"/>
      <c r="PNN18" s="41"/>
      <c r="PNO18" s="41"/>
      <c r="PNP18" s="41"/>
      <c r="PNQ18" s="41"/>
      <c r="PNR18" s="41"/>
      <c r="PNS18" s="41"/>
      <c r="PNT18" s="41"/>
      <c r="PNU18" s="41"/>
      <c r="PNV18" s="41"/>
      <c r="PNW18" s="41"/>
      <c r="PNX18" s="41"/>
      <c r="PNY18" s="41"/>
      <c r="PNZ18" s="41"/>
      <c r="POA18" s="41"/>
      <c r="POB18" s="41"/>
      <c r="POC18" s="41"/>
      <c r="POD18" s="41"/>
      <c r="POE18" s="41"/>
      <c r="POF18" s="41"/>
      <c r="POG18" s="41"/>
      <c r="POH18" s="41"/>
      <c r="POI18" s="41"/>
      <c r="POJ18" s="41"/>
      <c r="POK18" s="41"/>
      <c r="POL18" s="41"/>
      <c r="POM18" s="41"/>
      <c r="PON18" s="41"/>
      <c r="POO18" s="41"/>
      <c r="POP18" s="41"/>
      <c r="POQ18" s="41"/>
      <c r="POR18" s="41"/>
      <c r="POS18" s="41"/>
      <c r="POT18" s="41"/>
      <c r="POU18" s="41"/>
      <c r="POV18" s="41"/>
      <c r="POW18" s="41"/>
      <c r="POX18" s="41"/>
      <c r="POY18" s="41"/>
      <c r="POZ18" s="41"/>
      <c r="PPA18" s="41"/>
      <c r="PPB18" s="41"/>
      <c r="PPC18" s="41"/>
      <c r="PPD18" s="41"/>
      <c r="PPE18" s="41"/>
      <c r="PPF18" s="41"/>
      <c r="PPG18" s="41"/>
      <c r="PPH18" s="41"/>
      <c r="PPI18" s="41"/>
      <c r="PPJ18" s="41"/>
      <c r="PPK18" s="41"/>
      <c r="PPL18" s="41"/>
      <c r="PPM18" s="41"/>
      <c r="PPN18" s="41"/>
      <c r="PPO18" s="41"/>
      <c r="PPP18" s="41"/>
      <c r="PPQ18" s="41"/>
      <c r="PPR18" s="41"/>
      <c r="PPS18" s="41"/>
      <c r="PPT18" s="41"/>
      <c r="PPU18" s="41"/>
      <c r="PPV18" s="41"/>
      <c r="PPW18" s="41"/>
      <c r="PPX18" s="41"/>
      <c r="PPY18" s="41"/>
      <c r="PPZ18" s="41"/>
      <c r="PQA18" s="41"/>
      <c r="PQB18" s="41"/>
      <c r="PQC18" s="41"/>
      <c r="PQD18" s="41"/>
      <c r="PQE18" s="41"/>
      <c r="PQF18" s="41"/>
      <c r="PQG18" s="41"/>
      <c r="PQH18" s="41"/>
      <c r="PQI18" s="41"/>
      <c r="PQJ18" s="41"/>
      <c r="PQK18" s="41"/>
      <c r="PQL18" s="41"/>
      <c r="PQM18" s="41"/>
      <c r="PQN18" s="41"/>
      <c r="PQO18" s="41"/>
      <c r="PQP18" s="41"/>
      <c r="PQQ18" s="41"/>
      <c r="PQR18" s="41"/>
      <c r="PQS18" s="41"/>
      <c r="PQT18" s="41"/>
      <c r="PQU18" s="41"/>
      <c r="PQV18" s="41"/>
      <c r="PQW18" s="41"/>
      <c r="PQX18" s="41"/>
      <c r="PQY18" s="41"/>
      <c r="PQZ18" s="41"/>
      <c r="PRA18" s="41"/>
      <c r="PRB18" s="41"/>
      <c r="PRC18" s="41"/>
      <c r="PRD18" s="41"/>
      <c r="PRE18" s="41"/>
      <c r="PRF18" s="41"/>
      <c r="PRG18" s="41"/>
      <c r="PRH18" s="41"/>
      <c r="PRI18" s="41"/>
      <c r="PRJ18" s="41"/>
      <c r="PRK18" s="41"/>
      <c r="PRL18" s="41"/>
      <c r="PRM18" s="41"/>
      <c r="PRN18" s="41"/>
      <c r="PRO18" s="41"/>
      <c r="PRP18" s="41"/>
      <c r="PRQ18" s="41"/>
      <c r="PRR18" s="41"/>
      <c r="PRS18" s="41"/>
      <c r="PRT18" s="41"/>
      <c r="PRU18" s="41"/>
      <c r="PRV18" s="41"/>
      <c r="PRW18" s="41"/>
      <c r="PRX18" s="41"/>
      <c r="PRY18" s="41"/>
      <c r="PRZ18" s="41"/>
      <c r="PSA18" s="41"/>
      <c r="PSB18" s="41"/>
      <c r="PSC18" s="41"/>
      <c r="PSD18" s="41"/>
      <c r="PSE18" s="41"/>
      <c r="PSF18" s="41"/>
      <c r="PSG18" s="41"/>
      <c r="PSH18" s="41"/>
      <c r="PSI18" s="41"/>
      <c r="PSJ18" s="41"/>
      <c r="PSK18" s="41"/>
      <c r="PSL18" s="41"/>
      <c r="PSM18" s="41"/>
      <c r="PSN18" s="41"/>
      <c r="PSO18" s="41"/>
      <c r="PSP18" s="41"/>
      <c r="PSQ18" s="41"/>
      <c r="PSR18" s="41"/>
      <c r="PSS18" s="41"/>
      <c r="PST18" s="41"/>
      <c r="PSU18" s="41"/>
      <c r="PSV18" s="41"/>
      <c r="PSW18" s="41"/>
      <c r="PSX18" s="41"/>
      <c r="PSY18" s="41"/>
      <c r="PSZ18" s="41"/>
      <c r="PTA18" s="41"/>
      <c r="PTB18" s="41"/>
      <c r="PTC18" s="41"/>
      <c r="PTD18" s="41"/>
      <c r="PTE18" s="41"/>
      <c r="PTF18" s="41"/>
      <c r="PTG18" s="41"/>
      <c r="PTH18" s="41"/>
      <c r="PTI18" s="41"/>
      <c r="PTJ18" s="41"/>
      <c r="PTK18" s="41"/>
      <c r="PTL18" s="41"/>
      <c r="PTM18" s="41"/>
      <c r="PTN18" s="41"/>
      <c r="PTO18" s="41"/>
      <c r="PTP18" s="41"/>
      <c r="PTQ18" s="41"/>
      <c r="PTR18" s="41"/>
      <c r="PTS18" s="41"/>
      <c r="PTT18" s="41"/>
      <c r="PTU18" s="41"/>
      <c r="PTV18" s="41"/>
      <c r="PTW18" s="41"/>
      <c r="PTX18" s="41"/>
      <c r="PTY18" s="41"/>
      <c r="PTZ18" s="41"/>
      <c r="PUA18" s="41"/>
      <c r="PUB18" s="41"/>
      <c r="PUC18" s="41"/>
      <c r="PUD18" s="41"/>
      <c r="PUE18" s="41"/>
      <c r="PUF18" s="41"/>
      <c r="PUG18" s="41"/>
      <c r="PUH18" s="41"/>
      <c r="PUI18" s="41"/>
      <c r="PUJ18" s="41"/>
      <c r="PUK18" s="41"/>
      <c r="PUL18" s="41"/>
      <c r="PUM18" s="41"/>
      <c r="PUN18" s="41"/>
      <c r="PUO18" s="41"/>
      <c r="PUP18" s="41"/>
      <c r="PUQ18" s="41"/>
      <c r="PUR18" s="41"/>
      <c r="PUS18" s="41"/>
      <c r="PUT18" s="41"/>
      <c r="PUU18" s="41"/>
      <c r="PUV18" s="41"/>
      <c r="PUW18" s="41"/>
      <c r="PUX18" s="41"/>
      <c r="PUY18" s="41"/>
      <c r="PUZ18" s="41"/>
      <c r="PVA18" s="41"/>
      <c r="PVB18" s="41"/>
      <c r="PVC18" s="41"/>
      <c r="PVD18" s="41"/>
      <c r="PVE18" s="41"/>
      <c r="PVF18" s="41"/>
      <c r="PVG18" s="41"/>
      <c r="PVH18" s="41"/>
      <c r="PVI18" s="41"/>
      <c r="PVJ18" s="41"/>
      <c r="PVK18" s="41"/>
      <c r="PVL18" s="41"/>
      <c r="PVM18" s="41"/>
      <c r="PVN18" s="41"/>
      <c r="PVO18" s="41"/>
      <c r="PVP18" s="41"/>
      <c r="PVQ18" s="41"/>
      <c r="PVR18" s="41"/>
      <c r="PVS18" s="41"/>
      <c r="PVT18" s="41"/>
      <c r="PVU18" s="41"/>
      <c r="PVV18" s="41"/>
      <c r="PVW18" s="41"/>
      <c r="PVX18" s="41"/>
      <c r="PVY18" s="41"/>
      <c r="PVZ18" s="41"/>
      <c r="PWA18" s="41"/>
      <c r="PWB18" s="41"/>
      <c r="PWC18" s="41"/>
      <c r="PWD18" s="41"/>
      <c r="PWE18" s="41"/>
      <c r="PWF18" s="41"/>
      <c r="PWG18" s="41"/>
      <c r="PWH18" s="41"/>
      <c r="PWI18" s="41"/>
      <c r="PWJ18" s="41"/>
      <c r="PWK18" s="41"/>
      <c r="PWL18" s="41"/>
      <c r="PWM18" s="41"/>
      <c r="PWN18" s="41"/>
      <c r="PWO18" s="41"/>
      <c r="PWP18" s="41"/>
      <c r="PWQ18" s="41"/>
      <c r="PWR18" s="41"/>
      <c r="PWS18" s="41"/>
      <c r="PWT18" s="41"/>
      <c r="PWU18" s="41"/>
      <c r="PWV18" s="41"/>
      <c r="PWW18" s="41"/>
      <c r="PWX18" s="41"/>
      <c r="PWY18" s="41"/>
      <c r="PWZ18" s="41"/>
      <c r="PXA18" s="41"/>
      <c r="PXB18" s="41"/>
      <c r="PXC18" s="41"/>
      <c r="PXD18" s="41"/>
      <c r="PXE18" s="41"/>
      <c r="PXF18" s="41"/>
      <c r="PXG18" s="41"/>
      <c r="PXH18" s="41"/>
      <c r="PXI18" s="41"/>
      <c r="PXJ18" s="41"/>
      <c r="PXK18" s="41"/>
      <c r="PXL18" s="41"/>
      <c r="PXM18" s="41"/>
      <c r="PXN18" s="41"/>
      <c r="PXO18" s="41"/>
      <c r="PXP18" s="41"/>
      <c r="PXQ18" s="41"/>
      <c r="PXR18" s="41"/>
      <c r="PXS18" s="41"/>
      <c r="PXT18" s="41"/>
      <c r="PXU18" s="41"/>
      <c r="PXV18" s="41"/>
      <c r="PXW18" s="41"/>
      <c r="PXX18" s="41"/>
      <c r="PXY18" s="41"/>
      <c r="PXZ18" s="41"/>
      <c r="PYA18" s="41"/>
      <c r="PYB18" s="41"/>
      <c r="PYC18" s="41"/>
      <c r="PYD18" s="41"/>
      <c r="PYE18" s="41"/>
      <c r="PYF18" s="41"/>
      <c r="PYG18" s="41"/>
      <c r="PYH18" s="41"/>
      <c r="PYI18" s="41"/>
      <c r="PYJ18" s="41"/>
      <c r="PYK18" s="41"/>
      <c r="PYL18" s="41"/>
      <c r="PYM18" s="41"/>
      <c r="PYN18" s="41"/>
      <c r="PYO18" s="41"/>
      <c r="PYP18" s="41"/>
      <c r="PYQ18" s="41"/>
      <c r="PYR18" s="41"/>
      <c r="PYS18" s="41"/>
      <c r="PYT18" s="41"/>
      <c r="PYU18" s="41"/>
      <c r="PYV18" s="41"/>
      <c r="PYW18" s="41"/>
      <c r="PYX18" s="41"/>
      <c r="PYY18" s="41"/>
      <c r="PYZ18" s="41"/>
      <c r="PZA18" s="41"/>
      <c r="PZB18" s="41"/>
      <c r="PZC18" s="41"/>
      <c r="PZD18" s="41"/>
      <c r="PZE18" s="41"/>
      <c r="PZF18" s="41"/>
      <c r="PZG18" s="41"/>
      <c r="PZH18" s="41"/>
      <c r="PZI18" s="41"/>
      <c r="PZJ18" s="41"/>
      <c r="PZK18" s="41"/>
      <c r="PZL18" s="41"/>
      <c r="PZM18" s="41"/>
      <c r="PZN18" s="41"/>
      <c r="PZO18" s="41"/>
      <c r="PZP18" s="41"/>
      <c r="PZQ18" s="41"/>
      <c r="PZR18" s="41"/>
      <c r="PZS18" s="41"/>
      <c r="PZT18" s="41"/>
      <c r="PZU18" s="41"/>
      <c r="PZV18" s="41"/>
      <c r="PZW18" s="41"/>
      <c r="PZX18" s="41"/>
      <c r="PZY18" s="41"/>
      <c r="PZZ18" s="41"/>
      <c r="QAA18" s="41"/>
      <c r="QAB18" s="41"/>
      <c r="QAC18" s="41"/>
      <c r="QAD18" s="41"/>
      <c r="QAE18" s="41"/>
      <c r="QAF18" s="41"/>
      <c r="QAG18" s="41"/>
      <c r="QAH18" s="41"/>
      <c r="QAI18" s="41"/>
      <c r="QAJ18" s="41"/>
      <c r="QAK18" s="41"/>
      <c r="QAL18" s="41"/>
      <c r="QAM18" s="41"/>
      <c r="QAN18" s="41"/>
      <c r="QAO18" s="41"/>
      <c r="QAP18" s="41"/>
      <c r="QAQ18" s="41"/>
      <c r="QAR18" s="41"/>
      <c r="QAS18" s="41"/>
      <c r="QAT18" s="41"/>
      <c r="QAU18" s="41"/>
      <c r="QAV18" s="41"/>
      <c r="QAW18" s="41"/>
      <c r="QAX18" s="41"/>
      <c r="QAY18" s="41"/>
      <c r="QAZ18" s="41"/>
      <c r="QBA18" s="41"/>
      <c r="QBB18" s="41"/>
      <c r="QBC18" s="41"/>
      <c r="QBD18" s="41"/>
      <c r="QBE18" s="41"/>
      <c r="QBF18" s="41"/>
      <c r="QBG18" s="41"/>
      <c r="QBH18" s="41"/>
      <c r="QBI18" s="41"/>
      <c r="QBJ18" s="41"/>
      <c r="QBK18" s="41"/>
      <c r="QBL18" s="41"/>
      <c r="QBM18" s="41"/>
      <c r="QBN18" s="41"/>
      <c r="QBO18" s="41"/>
      <c r="QBP18" s="41"/>
      <c r="QBQ18" s="41"/>
      <c r="QBR18" s="41"/>
      <c r="QBS18" s="41"/>
      <c r="QBT18" s="41"/>
      <c r="QBU18" s="41"/>
      <c r="QBV18" s="41"/>
      <c r="QBW18" s="41"/>
      <c r="QBX18" s="41"/>
      <c r="QBY18" s="41"/>
      <c r="QBZ18" s="41"/>
      <c r="QCA18" s="41"/>
      <c r="QCB18" s="41"/>
      <c r="QCC18" s="41"/>
      <c r="QCD18" s="41"/>
      <c r="QCE18" s="41"/>
      <c r="QCF18" s="41"/>
      <c r="QCG18" s="41"/>
      <c r="QCH18" s="41"/>
      <c r="QCI18" s="41"/>
      <c r="QCJ18" s="41"/>
      <c r="QCK18" s="41"/>
      <c r="QCL18" s="41"/>
      <c r="QCM18" s="41"/>
      <c r="QCN18" s="41"/>
      <c r="QCO18" s="41"/>
      <c r="QCP18" s="41"/>
      <c r="QCQ18" s="41"/>
      <c r="QCR18" s="41"/>
      <c r="QCS18" s="41"/>
      <c r="QCT18" s="41"/>
      <c r="QCU18" s="41"/>
      <c r="QCV18" s="41"/>
      <c r="QCW18" s="41"/>
      <c r="QCX18" s="41"/>
      <c r="QCY18" s="41"/>
      <c r="QCZ18" s="41"/>
      <c r="QDA18" s="41"/>
      <c r="QDB18" s="41"/>
      <c r="QDC18" s="41"/>
      <c r="QDD18" s="41"/>
      <c r="QDE18" s="41"/>
      <c r="QDF18" s="41"/>
      <c r="QDG18" s="41"/>
      <c r="QDH18" s="41"/>
      <c r="QDI18" s="41"/>
      <c r="QDJ18" s="41"/>
      <c r="QDK18" s="41"/>
      <c r="QDL18" s="41"/>
      <c r="QDM18" s="41"/>
      <c r="QDN18" s="41"/>
      <c r="QDO18" s="41"/>
      <c r="QDP18" s="41"/>
      <c r="QDQ18" s="41"/>
      <c r="QDR18" s="41"/>
      <c r="QDS18" s="41"/>
      <c r="QDT18" s="41"/>
      <c r="QDU18" s="41"/>
      <c r="QDV18" s="41"/>
      <c r="QDW18" s="41"/>
      <c r="QDX18" s="41"/>
      <c r="QDY18" s="41"/>
      <c r="QDZ18" s="41"/>
      <c r="QEA18" s="41"/>
      <c r="QEB18" s="41"/>
      <c r="QEC18" s="41"/>
      <c r="QED18" s="41"/>
      <c r="QEE18" s="41"/>
      <c r="QEF18" s="41"/>
      <c r="QEG18" s="41"/>
      <c r="QEH18" s="41"/>
      <c r="QEI18" s="41"/>
      <c r="QEJ18" s="41"/>
      <c r="QEK18" s="41"/>
      <c r="QEL18" s="41"/>
      <c r="QEM18" s="41"/>
      <c r="QEN18" s="41"/>
      <c r="QEO18" s="41"/>
      <c r="QEP18" s="41"/>
      <c r="QEQ18" s="41"/>
      <c r="QER18" s="41"/>
      <c r="QES18" s="41"/>
      <c r="QET18" s="41"/>
      <c r="QEU18" s="41"/>
      <c r="QEV18" s="41"/>
      <c r="QEW18" s="41"/>
      <c r="QEX18" s="41"/>
      <c r="QEY18" s="41"/>
      <c r="QEZ18" s="41"/>
      <c r="QFA18" s="41"/>
      <c r="QFB18" s="41"/>
      <c r="QFC18" s="41"/>
      <c r="QFD18" s="41"/>
      <c r="QFE18" s="41"/>
      <c r="QFF18" s="41"/>
      <c r="QFG18" s="41"/>
      <c r="QFH18" s="41"/>
      <c r="QFI18" s="41"/>
      <c r="QFJ18" s="41"/>
      <c r="QFK18" s="41"/>
      <c r="QFL18" s="41"/>
      <c r="QFM18" s="41"/>
      <c r="QFN18" s="41"/>
      <c r="QFO18" s="41"/>
      <c r="QFP18" s="41"/>
      <c r="QFQ18" s="41"/>
      <c r="QFR18" s="41"/>
      <c r="QFS18" s="41"/>
      <c r="QFT18" s="41"/>
      <c r="QFU18" s="41"/>
      <c r="QFV18" s="41"/>
      <c r="QFW18" s="41"/>
      <c r="QFX18" s="41"/>
      <c r="QFY18" s="41"/>
      <c r="QFZ18" s="41"/>
      <c r="QGA18" s="41"/>
      <c r="QGB18" s="41"/>
      <c r="QGC18" s="41"/>
      <c r="QGD18" s="41"/>
      <c r="QGE18" s="41"/>
      <c r="QGF18" s="41"/>
      <c r="QGG18" s="41"/>
      <c r="QGH18" s="41"/>
      <c r="QGI18" s="41"/>
      <c r="QGJ18" s="41"/>
      <c r="QGK18" s="41"/>
      <c r="QGL18" s="41"/>
      <c r="QGM18" s="41"/>
      <c r="QGN18" s="41"/>
      <c r="QGO18" s="41"/>
      <c r="QGP18" s="41"/>
      <c r="QGQ18" s="41"/>
      <c r="QGR18" s="41"/>
      <c r="QGS18" s="41"/>
      <c r="QGT18" s="41"/>
      <c r="QGU18" s="41"/>
      <c r="QGV18" s="41"/>
      <c r="QGW18" s="41"/>
      <c r="QGX18" s="41"/>
      <c r="QGY18" s="41"/>
      <c r="QGZ18" s="41"/>
      <c r="QHA18" s="41"/>
      <c r="QHB18" s="41"/>
      <c r="QHC18" s="41"/>
      <c r="QHD18" s="41"/>
      <c r="QHE18" s="41"/>
      <c r="QHF18" s="41"/>
      <c r="QHG18" s="41"/>
      <c r="QHH18" s="41"/>
      <c r="QHI18" s="41"/>
      <c r="QHJ18" s="41"/>
      <c r="QHK18" s="41"/>
      <c r="QHL18" s="41"/>
      <c r="QHM18" s="41"/>
      <c r="QHN18" s="41"/>
      <c r="QHO18" s="41"/>
      <c r="QHP18" s="41"/>
      <c r="QHQ18" s="41"/>
      <c r="QHR18" s="41"/>
      <c r="QHS18" s="41"/>
      <c r="QHT18" s="41"/>
      <c r="QHU18" s="41"/>
      <c r="QHV18" s="41"/>
      <c r="QHW18" s="41"/>
      <c r="QHX18" s="41"/>
      <c r="QHY18" s="41"/>
      <c r="QHZ18" s="41"/>
      <c r="QIA18" s="41"/>
      <c r="QIB18" s="41"/>
      <c r="QIC18" s="41"/>
      <c r="QID18" s="41"/>
      <c r="QIE18" s="41"/>
      <c r="QIF18" s="41"/>
      <c r="QIG18" s="41"/>
      <c r="QIH18" s="41"/>
      <c r="QII18" s="41"/>
      <c r="QIJ18" s="41"/>
      <c r="QIK18" s="41"/>
      <c r="QIL18" s="41"/>
      <c r="QIM18" s="41"/>
      <c r="QIN18" s="41"/>
      <c r="QIO18" s="41"/>
      <c r="QIP18" s="41"/>
      <c r="QIQ18" s="41"/>
      <c r="QIR18" s="41"/>
      <c r="QIS18" s="41"/>
      <c r="QIT18" s="41"/>
      <c r="QIU18" s="41"/>
      <c r="QIV18" s="41"/>
      <c r="QIW18" s="41"/>
      <c r="QIX18" s="41"/>
      <c r="QIY18" s="41"/>
      <c r="QIZ18" s="41"/>
      <c r="QJA18" s="41"/>
      <c r="QJB18" s="41"/>
      <c r="QJC18" s="41"/>
      <c r="QJD18" s="41"/>
      <c r="QJE18" s="41"/>
      <c r="QJF18" s="41"/>
      <c r="QJG18" s="41"/>
      <c r="QJH18" s="41"/>
      <c r="QJI18" s="41"/>
      <c r="QJJ18" s="41"/>
      <c r="QJK18" s="41"/>
      <c r="QJL18" s="41"/>
      <c r="QJM18" s="41"/>
      <c r="QJN18" s="41"/>
      <c r="QJO18" s="41"/>
      <c r="QJP18" s="41"/>
      <c r="QJQ18" s="41"/>
      <c r="QJR18" s="41"/>
      <c r="QJS18" s="41"/>
      <c r="QJT18" s="41"/>
      <c r="QJU18" s="41"/>
      <c r="QJV18" s="41"/>
      <c r="QJW18" s="41"/>
      <c r="QJX18" s="41"/>
      <c r="QJY18" s="41"/>
      <c r="QJZ18" s="41"/>
      <c r="QKA18" s="41"/>
      <c r="QKB18" s="41"/>
      <c r="QKC18" s="41"/>
      <c r="QKD18" s="41"/>
      <c r="QKE18" s="41"/>
      <c r="QKF18" s="41"/>
      <c r="QKG18" s="41"/>
      <c r="QKH18" s="41"/>
      <c r="QKI18" s="41"/>
      <c r="QKJ18" s="41"/>
      <c r="QKK18" s="41"/>
      <c r="QKL18" s="41"/>
      <c r="QKM18" s="41"/>
      <c r="QKN18" s="41"/>
      <c r="QKO18" s="41"/>
      <c r="QKP18" s="41"/>
      <c r="QKQ18" s="41"/>
      <c r="QKR18" s="41"/>
      <c r="QKS18" s="41"/>
      <c r="QKT18" s="41"/>
      <c r="QKU18" s="41"/>
      <c r="QKV18" s="41"/>
      <c r="QKW18" s="41"/>
      <c r="QKX18" s="41"/>
      <c r="QKY18" s="41"/>
      <c r="QKZ18" s="41"/>
      <c r="QLA18" s="41"/>
      <c r="QLB18" s="41"/>
      <c r="QLC18" s="41"/>
      <c r="QLD18" s="41"/>
      <c r="QLE18" s="41"/>
      <c r="QLF18" s="41"/>
      <c r="QLG18" s="41"/>
      <c r="QLH18" s="41"/>
      <c r="QLI18" s="41"/>
      <c r="QLJ18" s="41"/>
      <c r="QLK18" s="41"/>
      <c r="QLL18" s="41"/>
      <c r="QLM18" s="41"/>
      <c r="QLN18" s="41"/>
      <c r="QLO18" s="41"/>
      <c r="QLP18" s="41"/>
      <c r="QLQ18" s="41"/>
      <c r="QLR18" s="41"/>
      <c r="QLS18" s="41"/>
      <c r="QLT18" s="41"/>
      <c r="QLU18" s="41"/>
      <c r="QLV18" s="41"/>
      <c r="QLW18" s="41"/>
      <c r="QLX18" s="41"/>
      <c r="QLY18" s="41"/>
      <c r="QLZ18" s="41"/>
      <c r="QMA18" s="41"/>
      <c r="QMB18" s="41"/>
      <c r="QMC18" s="41"/>
      <c r="QMD18" s="41"/>
      <c r="QME18" s="41"/>
      <c r="QMF18" s="41"/>
      <c r="QMG18" s="41"/>
      <c r="QMH18" s="41"/>
      <c r="QMI18" s="41"/>
      <c r="QMJ18" s="41"/>
      <c r="QMK18" s="41"/>
      <c r="QML18" s="41"/>
      <c r="QMM18" s="41"/>
      <c r="QMN18" s="41"/>
      <c r="QMO18" s="41"/>
      <c r="QMP18" s="41"/>
      <c r="QMQ18" s="41"/>
      <c r="QMR18" s="41"/>
      <c r="QMS18" s="41"/>
      <c r="QMT18" s="41"/>
      <c r="QMU18" s="41"/>
      <c r="QMV18" s="41"/>
      <c r="QMW18" s="41"/>
      <c r="QMX18" s="41"/>
      <c r="QMY18" s="41"/>
      <c r="QMZ18" s="41"/>
      <c r="QNA18" s="41"/>
      <c r="QNB18" s="41"/>
      <c r="QNC18" s="41"/>
      <c r="QND18" s="41"/>
      <c r="QNE18" s="41"/>
      <c r="QNF18" s="41"/>
      <c r="QNG18" s="41"/>
      <c r="QNH18" s="41"/>
      <c r="QNI18" s="41"/>
      <c r="QNJ18" s="41"/>
      <c r="QNK18" s="41"/>
      <c r="QNL18" s="41"/>
      <c r="QNM18" s="41"/>
      <c r="QNN18" s="41"/>
      <c r="QNO18" s="41"/>
      <c r="QNP18" s="41"/>
      <c r="QNQ18" s="41"/>
      <c r="QNR18" s="41"/>
      <c r="QNS18" s="41"/>
      <c r="QNT18" s="41"/>
      <c r="QNU18" s="41"/>
      <c r="QNV18" s="41"/>
      <c r="QNW18" s="41"/>
      <c r="QNX18" s="41"/>
      <c r="QNY18" s="41"/>
      <c r="QNZ18" s="41"/>
      <c r="QOA18" s="41"/>
      <c r="QOB18" s="41"/>
      <c r="QOC18" s="41"/>
      <c r="QOD18" s="41"/>
      <c r="QOE18" s="41"/>
      <c r="QOF18" s="41"/>
      <c r="QOG18" s="41"/>
      <c r="QOH18" s="41"/>
      <c r="QOI18" s="41"/>
      <c r="QOJ18" s="41"/>
      <c r="QOK18" s="41"/>
      <c r="QOL18" s="41"/>
      <c r="QOM18" s="41"/>
      <c r="QON18" s="41"/>
      <c r="QOO18" s="41"/>
      <c r="QOP18" s="41"/>
      <c r="QOQ18" s="41"/>
      <c r="QOR18" s="41"/>
      <c r="QOS18" s="41"/>
      <c r="QOT18" s="41"/>
      <c r="QOU18" s="41"/>
      <c r="QOV18" s="41"/>
      <c r="QOW18" s="41"/>
      <c r="QOX18" s="41"/>
      <c r="QOY18" s="41"/>
      <c r="QOZ18" s="41"/>
      <c r="QPA18" s="41"/>
      <c r="QPB18" s="41"/>
      <c r="QPC18" s="41"/>
      <c r="QPD18" s="41"/>
      <c r="QPE18" s="41"/>
      <c r="QPF18" s="41"/>
      <c r="QPG18" s="41"/>
      <c r="QPH18" s="41"/>
      <c r="QPI18" s="41"/>
      <c r="QPJ18" s="41"/>
      <c r="QPK18" s="41"/>
      <c r="QPL18" s="41"/>
      <c r="QPM18" s="41"/>
      <c r="QPN18" s="41"/>
      <c r="QPO18" s="41"/>
      <c r="QPP18" s="41"/>
      <c r="QPQ18" s="41"/>
      <c r="QPR18" s="41"/>
      <c r="QPS18" s="41"/>
      <c r="QPT18" s="41"/>
      <c r="QPU18" s="41"/>
      <c r="QPV18" s="41"/>
      <c r="QPW18" s="41"/>
      <c r="QPX18" s="41"/>
      <c r="QPY18" s="41"/>
      <c r="QPZ18" s="41"/>
      <c r="QQA18" s="41"/>
      <c r="QQB18" s="41"/>
      <c r="QQC18" s="41"/>
      <c r="QQD18" s="41"/>
      <c r="QQE18" s="41"/>
      <c r="QQF18" s="41"/>
      <c r="QQG18" s="41"/>
      <c r="QQH18" s="41"/>
      <c r="QQI18" s="41"/>
      <c r="QQJ18" s="41"/>
      <c r="QQK18" s="41"/>
      <c r="QQL18" s="41"/>
      <c r="QQM18" s="41"/>
      <c r="QQN18" s="41"/>
      <c r="QQO18" s="41"/>
      <c r="QQP18" s="41"/>
      <c r="QQQ18" s="41"/>
      <c r="QQR18" s="41"/>
      <c r="QQS18" s="41"/>
      <c r="QQT18" s="41"/>
      <c r="QQU18" s="41"/>
      <c r="QQV18" s="41"/>
      <c r="QQW18" s="41"/>
      <c r="QQX18" s="41"/>
      <c r="QQY18" s="41"/>
      <c r="QQZ18" s="41"/>
      <c r="QRA18" s="41"/>
      <c r="QRB18" s="41"/>
      <c r="QRC18" s="41"/>
      <c r="QRD18" s="41"/>
      <c r="QRE18" s="41"/>
      <c r="QRF18" s="41"/>
      <c r="QRG18" s="41"/>
      <c r="QRH18" s="41"/>
      <c r="QRI18" s="41"/>
      <c r="QRJ18" s="41"/>
      <c r="QRK18" s="41"/>
      <c r="QRL18" s="41"/>
      <c r="QRM18" s="41"/>
      <c r="QRN18" s="41"/>
      <c r="QRO18" s="41"/>
      <c r="QRP18" s="41"/>
      <c r="QRQ18" s="41"/>
      <c r="QRR18" s="41"/>
      <c r="QRS18" s="41"/>
      <c r="QRT18" s="41"/>
      <c r="QRU18" s="41"/>
      <c r="QRV18" s="41"/>
      <c r="QRW18" s="41"/>
      <c r="QRX18" s="41"/>
      <c r="QRY18" s="41"/>
      <c r="QRZ18" s="41"/>
      <c r="QSA18" s="41"/>
      <c r="QSB18" s="41"/>
      <c r="QSC18" s="41"/>
      <c r="QSD18" s="41"/>
      <c r="QSE18" s="41"/>
      <c r="QSF18" s="41"/>
      <c r="QSG18" s="41"/>
      <c r="QSH18" s="41"/>
      <c r="QSI18" s="41"/>
      <c r="QSJ18" s="41"/>
      <c r="QSK18" s="41"/>
      <c r="QSL18" s="41"/>
      <c r="QSM18" s="41"/>
      <c r="QSN18" s="41"/>
      <c r="QSO18" s="41"/>
      <c r="QSP18" s="41"/>
      <c r="QSQ18" s="41"/>
      <c r="QSR18" s="41"/>
      <c r="QSS18" s="41"/>
      <c r="QST18" s="41"/>
      <c r="QSU18" s="41"/>
      <c r="QSV18" s="41"/>
      <c r="QSW18" s="41"/>
      <c r="QSX18" s="41"/>
      <c r="QSY18" s="41"/>
      <c r="QSZ18" s="41"/>
      <c r="QTA18" s="41"/>
      <c r="QTB18" s="41"/>
      <c r="QTC18" s="41"/>
      <c r="QTD18" s="41"/>
      <c r="QTE18" s="41"/>
      <c r="QTF18" s="41"/>
      <c r="QTG18" s="41"/>
      <c r="QTH18" s="41"/>
      <c r="QTI18" s="41"/>
      <c r="QTJ18" s="41"/>
      <c r="QTK18" s="41"/>
      <c r="QTL18" s="41"/>
      <c r="QTM18" s="41"/>
      <c r="QTN18" s="41"/>
      <c r="QTO18" s="41"/>
      <c r="QTP18" s="41"/>
      <c r="QTQ18" s="41"/>
      <c r="QTR18" s="41"/>
      <c r="QTS18" s="41"/>
      <c r="QTT18" s="41"/>
      <c r="QTU18" s="41"/>
      <c r="QTV18" s="41"/>
      <c r="QTW18" s="41"/>
      <c r="QTX18" s="41"/>
      <c r="QTY18" s="41"/>
      <c r="QTZ18" s="41"/>
      <c r="QUA18" s="41"/>
      <c r="QUB18" s="41"/>
      <c r="QUC18" s="41"/>
      <c r="QUD18" s="41"/>
      <c r="QUE18" s="41"/>
      <c r="QUF18" s="41"/>
      <c r="QUG18" s="41"/>
      <c r="QUH18" s="41"/>
      <c r="QUI18" s="41"/>
      <c r="QUJ18" s="41"/>
      <c r="QUK18" s="41"/>
      <c r="QUL18" s="41"/>
      <c r="QUM18" s="41"/>
      <c r="QUN18" s="41"/>
      <c r="QUO18" s="41"/>
      <c r="QUP18" s="41"/>
      <c r="QUQ18" s="41"/>
      <c r="QUR18" s="41"/>
      <c r="QUS18" s="41"/>
      <c r="QUT18" s="41"/>
      <c r="QUU18" s="41"/>
      <c r="QUV18" s="41"/>
      <c r="QUW18" s="41"/>
      <c r="QUX18" s="41"/>
      <c r="QUY18" s="41"/>
      <c r="QUZ18" s="41"/>
      <c r="QVA18" s="41"/>
      <c r="QVB18" s="41"/>
      <c r="QVC18" s="41"/>
      <c r="QVD18" s="41"/>
      <c r="QVE18" s="41"/>
      <c r="QVF18" s="41"/>
      <c r="QVG18" s="41"/>
      <c r="QVH18" s="41"/>
      <c r="QVI18" s="41"/>
      <c r="QVJ18" s="41"/>
      <c r="QVK18" s="41"/>
      <c r="QVL18" s="41"/>
      <c r="QVM18" s="41"/>
      <c r="QVN18" s="41"/>
      <c r="QVO18" s="41"/>
      <c r="QVP18" s="41"/>
      <c r="QVQ18" s="41"/>
      <c r="QVR18" s="41"/>
      <c r="QVS18" s="41"/>
      <c r="QVT18" s="41"/>
      <c r="QVU18" s="41"/>
      <c r="QVV18" s="41"/>
      <c r="QVW18" s="41"/>
      <c r="QVX18" s="41"/>
      <c r="QVY18" s="41"/>
      <c r="QVZ18" s="41"/>
      <c r="QWA18" s="41"/>
      <c r="QWB18" s="41"/>
      <c r="QWC18" s="41"/>
      <c r="QWD18" s="41"/>
      <c r="QWE18" s="41"/>
      <c r="QWF18" s="41"/>
      <c r="QWG18" s="41"/>
      <c r="QWH18" s="41"/>
      <c r="QWI18" s="41"/>
      <c r="QWJ18" s="41"/>
      <c r="QWK18" s="41"/>
      <c r="QWL18" s="41"/>
      <c r="QWM18" s="41"/>
      <c r="QWN18" s="41"/>
      <c r="QWO18" s="41"/>
      <c r="QWP18" s="41"/>
      <c r="QWQ18" s="41"/>
      <c r="QWR18" s="41"/>
      <c r="QWS18" s="41"/>
      <c r="QWT18" s="41"/>
      <c r="QWU18" s="41"/>
      <c r="QWV18" s="41"/>
      <c r="QWW18" s="41"/>
      <c r="QWX18" s="41"/>
      <c r="QWY18" s="41"/>
      <c r="QWZ18" s="41"/>
      <c r="QXA18" s="41"/>
      <c r="QXB18" s="41"/>
      <c r="QXC18" s="41"/>
      <c r="QXD18" s="41"/>
      <c r="QXE18" s="41"/>
      <c r="QXF18" s="41"/>
      <c r="QXG18" s="41"/>
      <c r="QXH18" s="41"/>
      <c r="QXI18" s="41"/>
      <c r="QXJ18" s="41"/>
      <c r="QXK18" s="41"/>
      <c r="QXL18" s="41"/>
      <c r="QXM18" s="41"/>
      <c r="QXN18" s="41"/>
      <c r="QXO18" s="41"/>
      <c r="QXP18" s="41"/>
      <c r="QXQ18" s="41"/>
      <c r="QXR18" s="41"/>
      <c r="QXS18" s="41"/>
      <c r="QXT18" s="41"/>
      <c r="QXU18" s="41"/>
      <c r="QXV18" s="41"/>
      <c r="QXW18" s="41"/>
      <c r="QXX18" s="41"/>
      <c r="QXY18" s="41"/>
      <c r="QXZ18" s="41"/>
      <c r="QYA18" s="41"/>
      <c r="QYB18" s="41"/>
      <c r="QYC18" s="41"/>
      <c r="QYD18" s="41"/>
      <c r="QYE18" s="41"/>
      <c r="QYF18" s="41"/>
      <c r="QYG18" s="41"/>
      <c r="QYH18" s="41"/>
      <c r="QYI18" s="41"/>
      <c r="QYJ18" s="41"/>
      <c r="QYK18" s="41"/>
      <c r="QYL18" s="41"/>
      <c r="QYM18" s="41"/>
      <c r="QYN18" s="41"/>
      <c r="QYO18" s="41"/>
      <c r="QYP18" s="41"/>
      <c r="QYQ18" s="41"/>
      <c r="QYR18" s="41"/>
      <c r="QYS18" s="41"/>
      <c r="QYT18" s="41"/>
      <c r="QYU18" s="41"/>
      <c r="QYV18" s="41"/>
      <c r="QYW18" s="41"/>
      <c r="QYX18" s="41"/>
      <c r="QYY18" s="41"/>
      <c r="QYZ18" s="41"/>
      <c r="QZA18" s="41"/>
      <c r="QZB18" s="41"/>
      <c r="QZC18" s="41"/>
      <c r="QZD18" s="41"/>
      <c r="QZE18" s="41"/>
      <c r="QZF18" s="41"/>
      <c r="QZG18" s="41"/>
      <c r="QZH18" s="41"/>
      <c r="QZI18" s="41"/>
      <c r="QZJ18" s="41"/>
      <c r="QZK18" s="41"/>
      <c r="QZL18" s="41"/>
      <c r="QZM18" s="41"/>
      <c r="QZN18" s="41"/>
      <c r="QZO18" s="41"/>
      <c r="QZP18" s="41"/>
      <c r="QZQ18" s="41"/>
      <c r="QZR18" s="41"/>
      <c r="QZS18" s="41"/>
      <c r="QZT18" s="41"/>
      <c r="QZU18" s="41"/>
      <c r="QZV18" s="41"/>
      <c r="QZW18" s="41"/>
      <c r="QZX18" s="41"/>
      <c r="QZY18" s="41"/>
      <c r="QZZ18" s="41"/>
      <c r="RAA18" s="41"/>
      <c r="RAB18" s="41"/>
      <c r="RAC18" s="41"/>
      <c r="RAD18" s="41"/>
      <c r="RAE18" s="41"/>
      <c r="RAF18" s="41"/>
      <c r="RAG18" s="41"/>
      <c r="RAH18" s="41"/>
      <c r="RAI18" s="41"/>
      <c r="RAJ18" s="41"/>
      <c r="RAK18" s="41"/>
      <c r="RAL18" s="41"/>
      <c r="RAM18" s="41"/>
      <c r="RAN18" s="41"/>
      <c r="RAO18" s="41"/>
      <c r="RAP18" s="41"/>
      <c r="RAQ18" s="41"/>
      <c r="RAR18" s="41"/>
      <c r="RAS18" s="41"/>
      <c r="RAT18" s="41"/>
      <c r="RAU18" s="41"/>
      <c r="RAV18" s="41"/>
      <c r="RAW18" s="41"/>
      <c r="RAX18" s="41"/>
      <c r="RAY18" s="41"/>
      <c r="RAZ18" s="41"/>
      <c r="RBA18" s="41"/>
      <c r="RBB18" s="41"/>
      <c r="RBC18" s="41"/>
      <c r="RBD18" s="41"/>
      <c r="RBE18" s="41"/>
      <c r="RBF18" s="41"/>
      <c r="RBG18" s="41"/>
      <c r="RBH18" s="41"/>
      <c r="RBI18" s="41"/>
      <c r="RBJ18" s="41"/>
      <c r="RBK18" s="41"/>
      <c r="RBL18" s="41"/>
      <c r="RBM18" s="41"/>
      <c r="RBN18" s="41"/>
      <c r="RBO18" s="41"/>
      <c r="RBP18" s="41"/>
      <c r="RBQ18" s="41"/>
      <c r="RBR18" s="41"/>
      <c r="RBS18" s="41"/>
      <c r="RBT18" s="41"/>
      <c r="RBU18" s="41"/>
      <c r="RBV18" s="41"/>
      <c r="RBW18" s="41"/>
      <c r="RBX18" s="41"/>
      <c r="RBY18" s="41"/>
      <c r="RBZ18" s="41"/>
      <c r="RCA18" s="41"/>
      <c r="RCB18" s="41"/>
      <c r="RCC18" s="41"/>
      <c r="RCD18" s="41"/>
      <c r="RCE18" s="41"/>
      <c r="RCF18" s="41"/>
      <c r="RCG18" s="41"/>
      <c r="RCH18" s="41"/>
      <c r="RCI18" s="41"/>
      <c r="RCJ18" s="41"/>
      <c r="RCK18" s="41"/>
      <c r="RCL18" s="41"/>
      <c r="RCM18" s="41"/>
      <c r="RCN18" s="41"/>
      <c r="RCO18" s="41"/>
      <c r="RCP18" s="41"/>
      <c r="RCQ18" s="41"/>
      <c r="RCR18" s="41"/>
      <c r="RCS18" s="41"/>
      <c r="RCT18" s="41"/>
      <c r="RCU18" s="41"/>
      <c r="RCV18" s="41"/>
      <c r="RCW18" s="41"/>
      <c r="RCX18" s="41"/>
      <c r="RCY18" s="41"/>
      <c r="RCZ18" s="41"/>
      <c r="RDA18" s="41"/>
      <c r="RDB18" s="41"/>
      <c r="RDC18" s="41"/>
      <c r="RDD18" s="41"/>
      <c r="RDE18" s="41"/>
      <c r="RDF18" s="41"/>
      <c r="RDG18" s="41"/>
      <c r="RDH18" s="41"/>
      <c r="RDI18" s="41"/>
      <c r="RDJ18" s="41"/>
      <c r="RDK18" s="41"/>
      <c r="RDL18" s="41"/>
      <c r="RDM18" s="41"/>
      <c r="RDN18" s="41"/>
      <c r="RDO18" s="41"/>
      <c r="RDP18" s="41"/>
      <c r="RDQ18" s="41"/>
      <c r="RDR18" s="41"/>
      <c r="RDS18" s="41"/>
      <c r="RDT18" s="41"/>
      <c r="RDU18" s="41"/>
      <c r="RDV18" s="41"/>
      <c r="RDW18" s="41"/>
      <c r="RDX18" s="41"/>
      <c r="RDY18" s="41"/>
      <c r="RDZ18" s="41"/>
      <c r="REA18" s="41"/>
      <c r="REB18" s="41"/>
      <c r="REC18" s="41"/>
      <c r="RED18" s="41"/>
      <c r="REE18" s="41"/>
      <c r="REF18" s="41"/>
      <c r="REG18" s="41"/>
      <c r="REH18" s="41"/>
      <c r="REI18" s="41"/>
      <c r="REJ18" s="41"/>
      <c r="REK18" s="41"/>
      <c r="REL18" s="41"/>
      <c r="REM18" s="41"/>
      <c r="REN18" s="41"/>
      <c r="REO18" s="41"/>
      <c r="REP18" s="41"/>
      <c r="REQ18" s="41"/>
      <c r="RER18" s="41"/>
      <c r="RES18" s="41"/>
      <c r="RET18" s="41"/>
      <c r="REU18" s="41"/>
      <c r="REV18" s="41"/>
      <c r="REW18" s="41"/>
      <c r="REX18" s="41"/>
      <c r="REY18" s="41"/>
      <c r="REZ18" s="41"/>
      <c r="RFA18" s="41"/>
      <c r="RFB18" s="41"/>
      <c r="RFC18" s="41"/>
      <c r="RFD18" s="41"/>
      <c r="RFE18" s="41"/>
      <c r="RFF18" s="41"/>
      <c r="RFG18" s="41"/>
      <c r="RFH18" s="41"/>
      <c r="RFI18" s="41"/>
      <c r="RFJ18" s="41"/>
      <c r="RFK18" s="41"/>
      <c r="RFL18" s="41"/>
      <c r="RFM18" s="41"/>
      <c r="RFN18" s="41"/>
      <c r="RFO18" s="41"/>
      <c r="RFP18" s="41"/>
      <c r="RFQ18" s="41"/>
      <c r="RFR18" s="41"/>
      <c r="RFS18" s="41"/>
      <c r="RFT18" s="41"/>
      <c r="RFU18" s="41"/>
      <c r="RFV18" s="41"/>
      <c r="RFW18" s="41"/>
      <c r="RFX18" s="41"/>
      <c r="RFY18" s="41"/>
      <c r="RFZ18" s="41"/>
      <c r="RGA18" s="41"/>
      <c r="RGB18" s="41"/>
      <c r="RGC18" s="41"/>
      <c r="RGD18" s="41"/>
      <c r="RGE18" s="41"/>
      <c r="RGF18" s="41"/>
      <c r="RGG18" s="41"/>
      <c r="RGH18" s="41"/>
      <c r="RGI18" s="41"/>
      <c r="RGJ18" s="41"/>
      <c r="RGK18" s="41"/>
      <c r="RGL18" s="41"/>
      <c r="RGM18" s="41"/>
      <c r="RGN18" s="41"/>
      <c r="RGO18" s="41"/>
      <c r="RGP18" s="41"/>
      <c r="RGQ18" s="41"/>
      <c r="RGR18" s="41"/>
      <c r="RGS18" s="41"/>
      <c r="RGT18" s="41"/>
      <c r="RGU18" s="41"/>
      <c r="RGV18" s="41"/>
      <c r="RGW18" s="41"/>
      <c r="RGX18" s="41"/>
      <c r="RGY18" s="41"/>
      <c r="RGZ18" s="41"/>
      <c r="RHA18" s="41"/>
      <c r="RHB18" s="41"/>
      <c r="RHC18" s="41"/>
      <c r="RHD18" s="41"/>
      <c r="RHE18" s="41"/>
      <c r="RHF18" s="41"/>
      <c r="RHG18" s="41"/>
      <c r="RHH18" s="41"/>
      <c r="RHI18" s="41"/>
      <c r="RHJ18" s="41"/>
      <c r="RHK18" s="41"/>
      <c r="RHL18" s="41"/>
      <c r="RHM18" s="41"/>
      <c r="RHN18" s="41"/>
      <c r="RHO18" s="41"/>
      <c r="RHP18" s="41"/>
      <c r="RHQ18" s="41"/>
      <c r="RHR18" s="41"/>
      <c r="RHS18" s="41"/>
      <c r="RHT18" s="41"/>
      <c r="RHU18" s="41"/>
      <c r="RHV18" s="41"/>
      <c r="RHW18" s="41"/>
      <c r="RHX18" s="41"/>
      <c r="RHY18" s="41"/>
      <c r="RHZ18" s="41"/>
      <c r="RIA18" s="41"/>
      <c r="RIB18" s="41"/>
      <c r="RIC18" s="41"/>
      <c r="RID18" s="41"/>
      <c r="RIE18" s="41"/>
      <c r="RIF18" s="41"/>
      <c r="RIG18" s="41"/>
      <c r="RIH18" s="41"/>
      <c r="RII18" s="41"/>
      <c r="RIJ18" s="41"/>
      <c r="RIK18" s="41"/>
      <c r="RIL18" s="41"/>
      <c r="RIM18" s="41"/>
      <c r="RIN18" s="41"/>
      <c r="RIO18" s="41"/>
      <c r="RIP18" s="41"/>
      <c r="RIQ18" s="41"/>
      <c r="RIR18" s="41"/>
      <c r="RIS18" s="41"/>
      <c r="RIT18" s="41"/>
      <c r="RIU18" s="41"/>
      <c r="RIV18" s="41"/>
      <c r="RIW18" s="41"/>
      <c r="RIX18" s="41"/>
      <c r="RIY18" s="41"/>
      <c r="RIZ18" s="41"/>
      <c r="RJA18" s="41"/>
      <c r="RJB18" s="41"/>
      <c r="RJC18" s="41"/>
      <c r="RJD18" s="41"/>
      <c r="RJE18" s="41"/>
      <c r="RJF18" s="41"/>
      <c r="RJG18" s="41"/>
      <c r="RJH18" s="41"/>
      <c r="RJI18" s="41"/>
      <c r="RJJ18" s="41"/>
      <c r="RJK18" s="41"/>
      <c r="RJL18" s="41"/>
      <c r="RJM18" s="41"/>
      <c r="RJN18" s="41"/>
      <c r="RJO18" s="41"/>
      <c r="RJP18" s="41"/>
      <c r="RJQ18" s="41"/>
      <c r="RJR18" s="41"/>
      <c r="RJS18" s="41"/>
      <c r="RJT18" s="41"/>
      <c r="RJU18" s="41"/>
      <c r="RJV18" s="41"/>
      <c r="RJW18" s="41"/>
      <c r="RJX18" s="41"/>
      <c r="RJY18" s="41"/>
      <c r="RJZ18" s="41"/>
      <c r="RKA18" s="41"/>
      <c r="RKB18" s="41"/>
      <c r="RKC18" s="41"/>
      <c r="RKD18" s="41"/>
      <c r="RKE18" s="41"/>
      <c r="RKF18" s="41"/>
      <c r="RKG18" s="41"/>
      <c r="RKH18" s="41"/>
      <c r="RKI18" s="41"/>
      <c r="RKJ18" s="41"/>
      <c r="RKK18" s="41"/>
      <c r="RKL18" s="41"/>
      <c r="RKM18" s="41"/>
      <c r="RKN18" s="41"/>
      <c r="RKO18" s="41"/>
      <c r="RKP18" s="41"/>
      <c r="RKQ18" s="41"/>
      <c r="RKR18" s="41"/>
      <c r="RKS18" s="41"/>
      <c r="RKT18" s="41"/>
      <c r="RKU18" s="41"/>
      <c r="RKV18" s="41"/>
      <c r="RKW18" s="41"/>
      <c r="RKX18" s="41"/>
      <c r="RKY18" s="41"/>
      <c r="RKZ18" s="41"/>
      <c r="RLA18" s="41"/>
      <c r="RLB18" s="41"/>
      <c r="RLC18" s="41"/>
      <c r="RLD18" s="41"/>
      <c r="RLE18" s="41"/>
      <c r="RLF18" s="41"/>
      <c r="RLG18" s="41"/>
      <c r="RLH18" s="41"/>
      <c r="RLI18" s="41"/>
      <c r="RLJ18" s="41"/>
      <c r="RLK18" s="41"/>
      <c r="RLL18" s="41"/>
      <c r="RLM18" s="41"/>
      <c r="RLN18" s="41"/>
      <c r="RLO18" s="41"/>
      <c r="RLP18" s="41"/>
      <c r="RLQ18" s="41"/>
      <c r="RLR18" s="41"/>
      <c r="RLS18" s="41"/>
      <c r="RLT18" s="41"/>
      <c r="RLU18" s="41"/>
      <c r="RLV18" s="41"/>
      <c r="RLW18" s="41"/>
      <c r="RLX18" s="41"/>
      <c r="RLY18" s="41"/>
      <c r="RLZ18" s="41"/>
      <c r="RMA18" s="41"/>
      <c r="RMB18" s="41"/>
      <c r="RMC18" s="41"/>
      <c r="RMD18" s="41"/>
      <c r="RME18" s="41"/>
      <c r="RMF18" s="41"/>
      <c r="RMG18" s="41"/>
      <c r="RMH18" s="41"/>
      <c r="RMI18" s="41"/>
      <c r="RMJ18" s="41"/>
      <c r="RMK18" s="41"/>
      <c r="RML18" s="41"/>
      <c r="RMM18" s="41"/>
      <c r="RMN18" s="41"/>
      <c r="RMO18" s="41"/>
      <c r="RMP18" s="41"/>
      <c r="RMQ18" s="41"/>
      <c r="RMR18" s="41"/>
      <c r="RMS18" s="41"/>
      <c r="RMT18" s="41"/>
      <c r="RMU18" s="41"/>
      <c r="RMV18" s="41"/>
      <c r="RMW18" s="41"/>
      <c r="RMX18" s="41"/>
      <c r="RMY18" s="41"/>
      <c r="RMZ18" s="41"/>
      <c r="RNA18" s="41"/>
      <c r="RNB18" s="41"/>
      <c r="RNC18" s="41"/>
      <c r="RND18" s="41"/>
      <c r="RNE18" s="41"/>
      <c r="RNF18" s="41"/>
      <c r="RNG18" s="41"/>
      <c r="RNH18" s="41"/>
      <c r="RNI18" s="41"/>
      <c r="RNJ18" s="41"/>
      <c r="RNK18" s="41"/>
      <c r="RNL18" s="41"/>
      <c r="RNM18" s="41"/>
      <c r="RNN18" s="41"/>
      <c r="RNO18" s="41"/>
      <c r="RNP18" s="41"/>
      <c r="RNQ18" s="41"/>
      <c r="RNR18" s="41"/>
      <c r="RNS18" s="41"/>
      <c r="RNT18" s="41"/>
      <c r="RNU18" s="41"/>
      <c r="RNV18" s="41"/>
      <c r="RNW18" s="41"/>
      <c r="RNX18" s="41"/>
      <c r="RNY18" s="41"/>
      <c r="RNZ18" s="41"/>
      <c r="ROA18" s="41"/>
      <c r="ROB18" s="41"/>
      <c r="ROC18" s="41"/>
      <c r="ROD18" s="41"/>
      <c r="ROE18" s="41"/>
      <c r="ROF18" s="41"/>
      <c r="ROG18" s="41"/>
      <c r="ROH18" s="41"/>
      <c r="ROI18" s="41"/>
      <c r="ROJ18" s="41"/>
      <c r="ROK18" s="41"/>
      <c r="ROL18" s="41"/>
      <c r="ROM18" s="41"/>
      <c r="RON18" s="41"/>
      <c r="ROO18" s="41"/>
      <c r="ROP18" s="41"/>
      <c r="ROQ18" s="41"/>
      <c r="ROR18" s="41"/>
      <c r="ROS18" s="41"/>
      <c r="ROT18" s="41"/>
      <c r="ROU18" s="41"/>
      <c r="ROV18" s="41"/>
      <c r="ROW18" s="41"/>
      <c r="ROX18" s="41"/>
      <c r="ROY18" s="41"/>
      <c r="ROZ18" s="41"/>
      <c r="RPA18" s="41"/>
      <c r="RPB18" s="41"/>
      <c r="RPC18" s="41"/>
      <c r="RPD18" s="41"/>
      <c r="RPE18" s="41"/>
      <c r="RPF18" s="41"/>
      <c r="RPG18" s="41"/>
      <c r="RPH18" s="41"/>
      <c r="RPI18" s="41"/>
      <c r="RPJ18" s="41"/>
      <c r="RPK18" s="41"/>
      <c r="RPL18" s="41"/>
      <c r="RPM18" s="41"/>
      <c r="RPN18" s="41"/>
      <c r="RPO18" s="41"/>
      <c r="RPP18" s="41"/>
      <c r="RPQ18" s="41"/>
      <c r="RPR18" s="41"/>
      <c r="RPS18" s="41"/>
      <c r="RPT18" s="41"/>
      <c r="RPU18" s="41"/>
      <c r="RPV18" s="41"/>
      <c r="RPW18" s="41"/>
      <c r="RPX18" s="41"/>
      <c r="RPY18" s="41"/>
      <c r="RPZ18" s="41"/>
      <c r="RQA18" s="41"/>
      <c r="RQB18" s="41"/>
      <c r="RQC18" s="41"/>
      <c r="RQD18" s="41"/>
      <c r="RQE18" s="41"/>
      <c r="RQF18" s="41"/>
      <c r="RQG18" s="41"/>
      <c r="RQH18" s="41"/>
      <c r="RQI18" s="41"/>
      <c r="RQJ18" s="41"/>
      <c r="RQK18" s="41"/>
      <c r="RQL18" s="41"/>
      <c r="RQM18" s="41"/>
      <c r="RQN18" s="41"/>
      <c r="RQO18" s="41"/>
      <c r="RQP18" s="41"/>
      <c r="RQQ18" s="41"/>
      <c r="RQR18" s="41"/>
      <c r="RQS18" s="41"/>
      <c r="RQT18" s="41"/>
      <c r="RQU18" s="41"/>
      <c r="RQV18" s="41"/>
      <c r="RQW18" s="41"/>
      <c r="RQX18" s="41"/>
      <c r="RQY18" s="41"/>
      <c r="RQZ18" s="41"/>
      <c r="RRA18" s="41"/>
      <c r="RRB18" s="41"/>
      <c r="RRC18" s="41"/>
      <c r="RRD18" s="41"/>
      <c r="RRE18" s="41"/>
      <c r="RRF18" s="41"/>
      <c r="RRG18" s="41"/>
      <c r="RRH18" s="41"/>
      <c r="RRI18" s="41"/>
      <c r="RRJ18" s="41"/>
      <c r="RRK18" s="41"/>
      <c r="RRL18" s="41"/>
      <c r="RRM18" s="41"/>
      <c r="RRN18" s="41"/>
      <c r="RRO18" s="41"/>
      <c r="RRP18" s="41"/>
      <c r="RRQ18" s="41"/>
      <c r="RRR18" s="41"/>
      <c r="RRS18" s="41"/>
      <c r="RRT18" s="41"/>
      <c r="RRU18" s="41"/>
      <c r="RRV18" s="41"/>
      <c r="RRW18" s="41"/>
      <c r="RRX18" s="41"/>
      <c r="RRY18" s="41"/>
      <c r="RRZ18" s="41"/>
      <c r="RSA18" s="41"/>
      <c r="RSB18" s="41"/>
      <c r="RSC18" s="41"/>
      <c r="RSD18" s="41"/>
      <c r="RSE18" s="41"/>
      <c r="RSF18" s="41"/>
      <c r="RSG18" s="41"/>
      <c r="RSH18" s="41"/>
      <c r="RSI18" s="41"/>
      <c r="RSJ18" s="41"/>
      <c r="RSK18" s="41"/>
      <c r="RSL18" s="41"/>
      <c r="RSM18" s="41"/>
      <c r="RSN18" s="41"/>
      <c r="RSO18" s="41"/>
      <c r="RSP18" s="41"/>
      <c r="RSQ18" s="41"/>
      <c r="RSR18" s="41"/>
      <c r="RSS18" s="41"/>
      <c r="RST18" s="41"/>
      <c r="RSU18" s="41"/>
      <c r="RSV18" s="41"/>
      <c r="RSW18" s="41"/>
      <c r="RSX18" s="41"/>
      <c r="RSY18" s="41"/>
      <c r="RSZ18" s="41"/>
      <c r="RTA18" s="41"/>
      <c r="RTB18" s="41"/>
      <c r="RTC18" s="41"/>
      <c r="RTD18" s="41"/>
      <c r="RTE18" s="41"/>
      <c r="RTF18" s="41"/>
      <c r="RTG18" s="41"/>
      <c r="RTH18" s="41"/>
      <c r="RTI18" s="41"/>
      <c r="RTJ18" s="41"/>
      <c r="RTK18" s="41"/>
      <c r="RTL18" s="41"/>
      <c r="RTM18" s="41"/>
      <c r="RTN18" s="41"/>
      <c r="RTO18" s="41"/>
      <c r="RTP18" s="41"/>
      <c r="RTQ18" s="41"/>
      <c r="RTR18" s="41"/>
      <c r="RTS18" s="41"/>
      <c r="RTT18" s="41"/>
      <c r="RTU18" s="41"/>
      <c r="RTV18" s="41"/>
      <c r="RTW18" s="41"/>
      <c r="RTX18" s="41"/>
      <c r="RTY18" s="41"/>
      <c r="RTZ18" s="41"/>
      <c r="RUA18" s="41"/>
      <c r="RUB18" s="41"/>
      <c r="RUC18" s="41"/>
      <c r="RUD18" s="41"/>
      <c r="RUE18" s="41"/>
      <c r="RUF18" s="41"/>
      <c r="RUG18" s="41"/>
      <c r="RUH18" s="41"/>
      <c r="RUI18" s="41"/>
      <c r="RUJ18" s="41"/>
      <c r="RUK18" s="41"/>
      <c r="RUL18" s="41"/>
      <c r="RUM18" s="41"/>
      <c r="RUN18" s="41"/>
      <c r="RUO18" s="41"/>
      <c r="RUP18" s="41"/>
      <c r="RUQ18" s="41"/>
      <c r="RUR18" s="41"/>
      <c r="RUS18" s="41"/>
      <c r="RUT18" s="41"/>
      <c r="RUU18" s="41"/>
      <c r="RUV18" s="41"/>
      <c r="RUW18" s="41"/>
      <c r="RUX18" s="41"/>
      <c r="RUY18" s="41"/>
      <c r="RUZ18" s="41"/>
      <c r="RVA18" s="41"/>
      <c r="RVB18" s="41"/>
      <c r="RVC18" s="41"/>
      <c r="RVD18" s="41"/>
      <c r="RVE18" s="41"/>
      <c r="RVF18" s="41"/>
      <c r="RVG18" s="41"/>
      <c r="RVH18" s="41"/>
      <c r="RVI18" s="41"/>
      <c r="RVJ18" s="41"/>
      <c r="RVK18" s="41"/>
      <c r="RVL18" s="41"/>
      <c r="RVM18" s="41"/>
      <c r="RVN18" s="41"/>
      <c r="RVO18" s="41"/>
      <c r="RVP18" s="41"/>
      <c r="RVQ18" s="41"/>
      <c r="RVR18" s="41"/>
      <c r="RVS18" s="41"/>
      <c r="RVT18" s="41"/>
      <c r="RVU18" s="41"/>
      <c r="RVV18" s="41"/>
      <c r="RVW18" s="41"/>
      <c r="RVX18" s="41"/>
      <c r="RVY18" s="41"/>
      <c r="RVZ18" s="41"/>
      <c r="RWA18" s="41"/>
      <c r="RWB18" s="41"/>
      <c r="RWC18" s="41"/>
      <c r="RWD18" s="41"/>
      <c r="RWE18" s="41"/>
      <c r="RWF18" s="41"/>
      <c r="RWG18" s="41"/>
      <c r="RWH18" s="41"/>
      <c r="RWI18" s="41"/>
      <c r="RWJ18" s="41"/>
      <c r="RWK18" s="41"/>
      <c r="RWL18" s="41"/>
      <c r="RWM18" s="41"/>
      <c r="RWN18" s="41"/>
      <c r="RWO18" s="41"/>
      <c r="RWP18" s="41"/>
      <c r="RWQ18" s="41"/>
      <c r="RWR18" s="41"/>
      <c r="RWS18" s="41"/>
      <c r="RWT18" s="41"/>
      <c r="RWU18" s="41"/>
      <c r="RWV18" s="41"/>
      <c r="RWW18" s="41"/>
      <c r="RWX18" s="41"/>
      <c r="RWY18" s="41"/>
      <c r="RWZ18" s="41"/>
      <c r="RXA18" s="41"/>
      <c r="RXB18" s="41"/>
      <c r="RXC18" s="41"/>
      <c r="RXD18" s="41"/>
      <c r="RXE18" s="41"/>
      <c r="RXF18" s="41"/>
      <c r="RXG18" s="41"/>
      <c r="RXH18" s="41"/>
      <c r="RXI18" s="41"/>
      <c r="RXJ18" s="41"/>
      <c r="RXK18" s="41"/>
      <c r="RXL18" s="41"/>
      <c r="RXM18" s="41"/>
      <c r="RXN18" s="41"/>
      <c r="RXO18" s="41"/>
      <c r="RXP18" s="41"/>
      <c r="RXQ18" s="41"/>
      <c r="RXR18" s="41"/>
      <c r="RXS18" s="41"/>
      <c r="RXT18" s="41"/>
      <c r="RXU18" s="41"/>
      <c r="RXV18" s="41"/>
      <c r="RXW18" s="41"/>
      <c r="RXX18" s="41"/>
      <c r="RXY18" s="41"/>
      <c r="RXZ18" s="41"/>
      <c r="RYA18" s="41"/>
      <c r="RYB18" s="41"/>
      <c r="RYC18" s="41"/>
      <c r="RYD18" s="41"/>
      <c r="RYE18" s="41"/>
      <c r="RYF18" s="41"/>
      <c r="RYG18" s="41"/>
      <c r="RYH18" s="41"/>
      <c r="RYI18" s="41"/>
      <c r="RYJ18" s="41"/>
      <c r="RYK18" s="41"/>
      <c r="RYL18" s="41"/>
      <c r="RYM18" s="41"/>
      <c r="RYN18" s="41"/>
      <c r="RYO18" s="41"/>
      <c r="RYP18" s="41"/>
      <c r="RYQ18" s="41"/>
      <c r="RYR18" s="41"/>
      <c r="RYS18" s="41"/>
      <c r="RYT18" s="41"/>
      <c r="RYU18" s="41"/>
      <c r="RYV18" s="41"/>
      <c r="RYW18" s="41"/>
      <c r="RYX18" s="41"/>
      <c r="RYY18" s="41"/>
      <c r="RYZ18" s="41"/>
      <c r="RZA18" s="41"/>
      <c r="RZB18" s="41"/>
      <c r="RZC18" s="41"/>
      <c r="RZD18" s="41"/>
      <c r="RZE18" s="41"/>
      <c r="RZF18" s="41"/>
      <c r="RZG18" s="41"/>
      <c r="RZH18" s="41"/>
      <c r="RZI18" s="41"/>
      <c r="RZJ18" s="41"/>
      <c r="RZK18" s="41"/>
      <c r="RZL18" s="41"/>
      <c r="RZM18" s="41"/>
      <c r="RZN18" s="41"/>
      <c r="RZO18" s="41"/>
      <c r="RZP18" s="41"/>
      <c r="RZQ18" s="41"/>
      <c r="RZR18" s="41"/>
      <c r="RZS18" s="41"/>
      <c r="RZT18" s="41"/>
      <c r="RZU18" s="41"/>
      <c r="RZV18" s="41"/>
      <c r="RZW18" s="41"/>
      <c r="RZX18" s="41"/>
      <c r="RZY18" s="41"/>
      <c r="RZZ18" s="41"/>
      <c r="SAA18" s="41"/>
      <c r="SAB18" s="41"/>
      <c r="SAC18" s="41"/>
      <c r="SAD18" s="41"/>
      <c r="SAE18" s="41"/>
      <c r="SAF18" s="41"/>
      <c r="SAG18" s="41"/>
      <c r="SAH18" s="41"/>
      <c r="SAI18" s="41"/>
      <c r="SAJ18" s="41"/>
      <c r="SAK18" s="41"/>
      <c r="SAL18" s="41"/>
      <c r="SAM18" s="41"/>
      <c r="SAN18" s="41"/>
      <c r="SAO18" s="41"/>
      <c r="SAP18" s="41"/>
      <c r="SAQ18" s="41"/>
      <c r="SAR18" s="41"/>
      <c r="SAS18" s="41"/>
      <c r="SAT18" s="41"/>
      <c r="SAU18" s="41"/>
      <c r="SAV18" s="41"/>
      <c r="SAW18" s="41"/>
      <c r="SAX18" s="41"/>
      <c r="SAY18" s="41"/>
      <c r="SAZ18" s="41"/>
      <c r="SBA18" s="41"/>
      <c r="SBB18" s="41"/>
      <c r="SBC18" s="41"/>
      <c r="SBD18" s="41"/>
      <c r="SBE18" s="41"/>
      <c r="SBF18" s="41"/>
      <c r="SBG18" s="41"/>
      <c r="SBH18" s="41"/>
      <c r="SBI18" s="41"/>
      <c r="SBJ18" s="41"/>
      <c r="SBK18" s="41"/>
      <c r="SBL18" s="41"/>
      <c r="SBM18" s="41"/>
      <c r="SBN18" s="41"/>
      <c r="SBO18" s="41"/>
      <c r="SBP18" s="41"/>
      <c r="SBQ18" s="41"/>
      <c r="SBR18" s="41"/>
      <c r="SBS18" s="41"/>
      <c r="SBT18" s="41"/>
      <c r="SBU18" s="41"/>
      <c r="SBV18" s="41"/>
      <c r="SBW18" s="41"/>
      <c r="SBX18" s="41"/>
      <c r="SBY18" s="41"/>
      <c r="SBZ18" s="41"/>
      <c r="SCA18" s="41"/>
      <c r="SCB18" s="41"/>
      <c r="SCC18" s="41"/>
      <c r="SCD18" s="41"/>
      <c r="SCE18" s="41"/>
      <c r="SCF18" s="41"/>
      <c r="SCG18" s="41"/>
      <c r="SCH18" s="41"/>
      <c r="SCI18" s="41"/>
      <c r="SCJ18" s="41"/>
      <c r="SCK18" s="41"/>
      <c r="SCL18" s="41"/>
      <c r="SCM18" s="41"/>
      <c r="SCN18" s="41"/>
      <c r="SCO18" s="41"/>
      <c r="SCP18" s="41"/>
      <c r="SCQ18" s="41"/>
      <c r="SCR18" s="41"/>
      <c r="SCS18" s="41"/>
      <c r="SCT18" s="41"/>
      <c r="SCU18" s="41"/>
      <c r="SCV18" s="41"/>
      <c r="SCW18" s="41"/>
      <c r="SCX18" s="41"/>
      <c r="SCY18" s="41"/>
      <c r="SCZ18" s="41"/>
      <c r="SDA18" s="41"/>
      <c r="SDB18" s="41"/>
      <c r="SDC18" s="41"/>
      <c r="SDD18" s="41"/>
      <c r="SDE18" s="41"/>
      <c r="SDF18" s="41"/>
      <c r="SDG18" s="41"/>
      <c r="SDH18" s="41"/>
      <c r="SDI18" s="41"/>
      <c r="SDJ18" s="41"/>
      <c r="SDK18" s="41"/>
      <c r="SDL18" s="41"/>
      <c r="SDM18" s="41"/>
      <c r="SDN18" s="41"/>
      <c r="SDO18" s="41"/>
      <c r="SDP18" s="41"/>
      <c r="SDQ18" s="41"/>
      <c r="SDR18" s="41"/>
      <c r="SDS18" s="41"/>
      <c r="SDT18" s="41"/>
      <c r="SDU18" s="41"/>
      <c r="SDV18" s="41"/>
      <c r="SDW18" s="41"/>
      <c r="SDX18" s="41"/>
      <c r="SDY18" s="41"/>
      <c r="SDZ18" s="41"/>
      <c r="SEA18" s="41"/>
      <c r="SEB18" s="41"/>
      <c r="SEC18" s="41"/>
      <c r="SED18" s="41"/>
      <c r="SEE18" s="41"/>
      <c r="SEF18" s="41"/>
      <c r="SEG18" s="41"/>
      <c r="SEH18" s="41"/>
      <c r="SEI18" s="41"/>
      <c r="SEJ18" s="41"/>
      <c r="SEK18" s="41"/>
      <c r="SEL18" s="41"/>
      <c r="SEM18" s="41"/>
      <c r="SEN18" s="41"/>
      <c r="SEO18" s="41"/>
      <c r="SEP18" s="41"/>
      <c r="SEQ18" s="41"/>
      <c r="SER18" s="41"/>
      <c r="SES18" s="41"/>
      <c r="SET18" s="41"/>
      <c r="SEU18" s="41"/>
      <c r="SEV18" s="41"/>
      <c r="SEW18" s="41"/>
      <c r="SEX18" s="41"/>
      <c r="SEY18" s="41"/>
      <c r="SEZ18" s="41"/>
      <c r="SFA18" s="41"/>
      <c r="SFB18" s="41"/>
      <c r="SFC18" s="41"/>
      <c r="SFD18" s="41"/>
      <c r="SFE18" s="41"/>
      <c r="SFF18" s="41"/>
      <c r="SFG18" s="41"/>
      <c r="SFH18" s="41"/>
      <c r="SFI18" s="41"/>
      <c r="SFJ18" s="41"/>
      <c r="SFK18" s="41"/>
      <c r="SFL18" s="41"/>
      <c r="SFM18" s="41"/>
      <c r="SFN18" s="41"/>
      <c r="SFO18" s="41"/>
      <c r="SFP18" s="41"/>
      <c r="SFQ18" s="41"/>
      <c r="SFR18" s="41"/>
      <c r="SFS18" s="41"/>
      <c r="SFT18" s="41"/>
      <c r="SFU18" s="41"/>
      <c r="SFV18" s="41"/>
      <c r="SFW18" s="41"/>
      <c r="SFX18" s="41"/>
      <c r="SFY18" s="41"/>
      <c r="SFZ18" s="41"/>
      <c r="SGA18" s="41"/>
      <c r="SGB18" s="41"/>
      <c r="SGC18" s="41"/>
      <c r="SGD18" s="41"/>
      <c r="SGE18" s="41"/>
      <c r="SGF18" s="41"/>
      <c r="SGG18" s="41"/>
      <c r="SGH18" s="41"/>
      <c r="SGI18" s="41"/>
      <c r="SGJ18" s="41"/>
      <c r="SGK18" s="41"/>
      <c r="SGL18" s="41"/>
      <c r="SGM18" s="41"/>
      <c r="SGN18" s="41"/>
      <c r="SGO18" s="41"/>
      <c r="SGP18" s="41"/>
      <c r="SGQ18" s="41"/>
      <c r="SGR18" s="41"/>
      <c r="SGS18" s="41"/>
      <c r="SGT18" s="41"/>
      <c r="SGU18" s="41"/>
      <c r="SGV18" s="41"/>
      <c r="SGW18" s="41"/>
      <c r="SGX18" s="41"/>
      <c r="SGY18" s="41"/>
      <c r="SGZ18" s="41"/>
      <c r="SHA18" s="41"/>
      <c r="SHB18" s="41"/>
      <c r="SHC18" s="41"/>
      <c r="SHD18" s="41"/>
      <c r="SHE18" s="41"/>
      <c r="SHF18" s="41"/>
      <c r="SHG18" s="41"/>
      <c r="SHH18" s="41"/>
      <c r="SHI18" s="41"/>
      <c r="SHJ18" s="41"/>
      <c r="SHK18" s="41"/>
      <c r="SHL18" s="41"/>
      <c r="SHM18" s="41"/>
      <c r="SHN18" s="41"/>
      <c r="SHO18" s="41"/>
      <c r="SHP18" s="41"/>
      <c r="SHQ18" s="41"/>
      <c r="SHR18" s="41"/>
      <c r="SHS18" s="41"/>
      <c r="SHT18" s="41"/>
      <c r="SHU18" s="41"/>
      <c r="SHV18" s="41"/>
      <c r="SHW18" s="41"/>
      <c r="SHX18" s="41"/>
      <c r="SHY18" s="41"/>
      <c r="SHZ18" s="41"/>
      <c r="SIA18" s="41"/>
      <c r="SIB18" s="41"/>
      <c r="SIC18" s="41"/>
      <c r="SID18" s="41"/>
      <c r="SIE18" s="41"/>
      <c r="SIF18" s="41"/>
      <c r="SIG18" s="41"/>
      <c r="SIH18" s="41"/>
      <c r="SII18" s="41"/>
      <c r="SIJ18" s="41"/>
      <c r="SIK18" s="41"/>
      <c r="SIL18" s="41"/>
      <c r="SIM18" s="41"/>
      <c r="SIN18" s="41"/>
      <c r="SIO18" s="41"/>
      <c r="SIP18" s="41"/>
      <c r="SIQ18" s="41"/>
      <c r="SIR18" s="41"/>
      <c r="SIS18" s="41"/>
      <c r="SIT18" s="41"/>
      <c r="SIU18" s="41"/>
      <c r="SIV18" s="41"/>
      <c r="SIW18" s="41"/>
      <c r="SIX18" s="41"/>
      <c r="SIY18" s="41"/>
      <c r="SIZ18" s="41"/>
      <c r="SJA18" s="41"/>
      <c r="SJB18" s="41"/>
      <c r="SJC18" s="41"/>
      <c r="SJD18" s="41"/>
      <c r="SJE18" s="41"/>
      <c r="SJF18" s="41"/>
      <c r="SJG18" s="41"/>
      <c r="SJH18" s="41"/>
      <c r="SJI18" s="41"/>
      <c r="SJJ18" s="41"/>
      <c r="SJK18" s="41"/>
      <c r="SJL18" s="41"/>
      <c r="SJM18" s="41"/>
      <c r="SJN18" s="41"/>
      <c r="SJO18" s="41"/>
      <c r="SJP18" s="41"/>
      <c r="SJQ18" s="41"/>
      <c r="SJR18" s="41"/>
      <c r="SJS18" s="41"/>
      <c r="SJT18" s="41"/>
      <c r="SJU18" s="41"/>
      <c r="SJV18" s="41"/>
      <c r="SJW18" s="41"/>
      <c r="SJX18" s="41"/>
      <c r="SJY18" s="41"/>
      <c r="SJZ18" s="41"/>
      <c r="SKA18" s="41"/>
      <c r="SKB18" s="41"/>
      <c r="SKC18" s="41"/>
      <c r="SKD18" s="41"/>
      <c r="SKE18" s="41"/>
      <c r="SKF18" s="41"/>
      <c r="SKG18" s="41"/>
      <c r="SKH18" s="41"/>
      <c r="SKI18" s="41"/>
      <c r="SKJ18" s="41"/>
      <c r="SKK18" s="41"/>
      <c r="SKL18" s="41"/>
      <c r="SKM18" s="41"/>
      <c r="SKN18" s="41"/>
      <c r="SKO18" s="41"/>
      <c r="SKP18" s="41"/>
      <c r="SKQ18" s="41"/>
      <c r="SKR18" s="41"/>
      <c r="SKS18" s="41"/>
      <c r="SKT18" s="41"/>
      <c r="SKU18" s="41"/>
      <c r="SKV18" s="41"/>
      <c r="SKW18" s="41"/>
      <c r="SKX18" s="41"/>
      <c r="SKY18" s="41"/>
      <c r="SKZ18" s="41"/>
      <c r="SLA18" s="41"/>
      <c r="SLB18" s="41"/>
      <c r="SLC18" s="41"/>
      <c r="SLD18" s="41"/>
      <c r="SLE18" s="41"/>
      <c r="SLF18" s="41"/>
      <c r="SLG18" s="41"/>
      <c r="SLH18" s="41"/>
      <c r="SLI18" s="41"/>
      <c r="SLJ18" s="41"/>
      <c r="SLK18" s="41"/>
      <c r="SLL18" s="41"/>
      <c r="SLM18" s="41"/>
      <c r="SLN18" s="41"/>
      <c r="SLO18" s="41"/>
      <c r="SLP18" s="41"/>
      <c r="SLQ18" s="41"/>
      <c r="SLR18" s="41"/>
      <c r="SLS18" s="41"/>
      <c r="SLT18" s="41"/>
      <c r="SLU18" s="41"/>
      <c r="SLV18" s="41"/>
      <c r="SLW18" s="41"/>
      <c r="SLX18" s="41"/>
      <c r="SLY18" s="41"/>
      <c r="SLZ18" s="41"/>
      <c r="SMA18" s="41"/>
      <c r="SMB18" s="41"/>
      <c r="SMC18" s="41"/>
      <c r="SMD18" s="41"/>
      <c r="SME18" s="41"/>
      <c r="SMF18" s="41"/>
      <c r="SMG18" s="41"/>
      <c r="SMH18" s="41"/>
      <c r="SMI18" s="41"/>
      <c r="SMJ18" s="41"/>
      <c r="SMK18" s="41"/>
      <c r="SML18" s="41"/>
      <c r="SMM18" s="41"/>
      <c r="SMN18" s="41"/>
      <c r="SMO18" s="41"/>
      <c r="SMP18" s="41"/>
      <c r="SMQ18" s="41"/>
      <c r="SMR18" s="41"/>
      <c r="SMS18" s="41"/>
      <c r="SMT18" s="41"/>
      <c r="SMU18" s="41"/>
      <c r="SMV18" s="41"/>
      <c r="SMW18" s="41"/>
      <c r="SMX18" s="41"/>
      <c r="SMY18" s="41"/>
      <c r="SMZ18" s="41"/>
      <c r="SNA18" s="41"/>
      <c r="SNB18" s="41"/>
      <c r="SNC18" s="41"/>
      <c r="SND18" s="41"/>
      <c r="SNE18" s="41"/>
      <c r="SNF18" s="41"/>
      <c r="SNG18" s="41"/>
      <c r="SNH18" s="41"/>
      <c r="SNI18" s="41"/>
      <c r="SNJ18" s="41"/>
      <c r="SNK18" s="41"/>
      <c r="SNL18" s="41"/>
      <c r="SNM18" s="41"/>
      <c r="SNN18" s="41"/>
      <c r="SNO18" s="41"/>
      <c r="SNP18" s="41"/>
      <c r="SNQ18" s="41"/>
      <c r="SNR18" s="41"/>
      <c r="SNS18" s="41"/>
      <c r="SNT18" s="41"/>
      <c r="SNU18" s="41"/>
      <c r="SNV18" s="41"/>
      <c r="SNW18" s="41"/>
      <c r="SNX18" s="41"/>
      <c r="SNY18" s="41"/>
      <c r="SNZ18" s="41"/>
      <c r="SOA18" s="41"/>
      <c r="SOB18" s="41"/>
      <c r="SOC18" s="41"/>
      <c r="SOD18" s="41"/>
      <c r="SOE18" s="41"/>
      <c r="SOF18" s="41"/>
      <c r="SOG18" s="41"/>
      <c r="SOH18" s="41"/>
      <c r="SOI18" s="41"/>
      <c r="SOJ18" s="41"/>
      <c r="SOK18" s="41"/>
      <c r="SOL18" s="41"/>
      <c r="SOM18" s="41"/>
      <c r="SON18" s="41"/>
      <c r="SOO18" s="41"/>
      <c r="SOP18" s="41"/>
      <c r="SOQ18" s="41"/>
      <c r="SOR18" s="41"/>
      <c r="SOS18" s="41"/>
      <c r="SOT18" s="41"/>
      <c r="SOU18" s="41"/>
      <c r="SOV18" s="41"/>
      <c r="SOW18" s="41"/>
      <c r="SOX18" s="41"/>
      <c r="SOY18" s="41"/>
      <c r="SOZ18" s="41"/>
      <c r="SPA18" s="41"/>
      <c r="SPB18" s="41"/>
      <c r="SPC18" s="41"/>
      <c r="SPD18" s="41"/>
      <c r="SPE18" s="41"/>
      <c r="SPF18" s="41"/>
      <c r="SPG18" s="41"/>
      <c r="SPH18" s="41"/>
      <c r="SPI18" s="41"/>
      <c r="SPJ18" s="41"/>
      <c r="SPK18" s="41"/>
      <c r="SPL18" s="41"/>
      <c r="SPM18" s="41"/>
      <c r="SPN18" s="41"/>
      <c r="SPO18" s="41"/>
      <c r="SPP18" s="41"/>
      <c r="SPQ18" s="41"/>
      <c r="SPR18" s="41"/>
      <c r="SPS18" s="41"/>
      <c r="SPT18" s="41"/>
      <c r="SPU18" s="41"/>
      <c r="SPV18" s="41"/>
      <c r="SPW18" s="41"/>
      <c r="SPX18" s="41"/>
      <c r="SPY18" s="41"/>
      <c r="SPZ18" s="41"/>
      <c r="SQA18" s="41"/>
      <c r="SQB18" s="41"/>
      <c r="SQC18" s="41"/>
      <c r="SQD18" s="41"/>
      <c r="SQE18" s="41"/>
      <c r="SQF18" s="41"/>
      <c r="SQG18" s="41"/>
      <c r="SQH18" s="41"/>
      <c r="SQI18" s="41"/>
      <c r="SQJ18" s="41"/>
      <c r="SQK18" s="41"/>
      <c r="SQL18" s="41"/>
      <c r="SQM18" s="41"/>
      <c r="SQN18" s="41"/>
      <c r="SQO18" s="41"/>
      <c r="SQP18" s="41"/>
      <c r="SQQ18" s="41"/>
      <c r="SQR18" s="41"/>
      <c r="SQS18" s="41"/>
      <c r="SQT18" s="41"/>
      <c r="SQU18" s="41"/>
      <c r="SQV18" s="41"/>
      <c r="SQW18" s="41"/>
      <c r="SQX18" s="41"/>
      <c r="SQY18" s="41"/>
      <c r="SQZ18" s="41"/>
      <c r="SRA18" s="41"/>
      <c r="SRB18" s="41"/>
      <c r="SRC18" s="41"/>
      <c r="SRD18" s="41"/>
      <c r="SRE18" s="41"/>
      <c r="SRF18" s="41"/>
      <c r="SRG18" s="41"/>
      <c r="SRH18" s="41"/>
      <c r="SRI18" s="41"/>
      <c r="SRJ18" s="41"/>
      <c r="SRK18" s="41"/>
      <c r="SRL18" s="41"/>
      <c r="SRM18" s="41"/>
      <c r="SRN18" s="41"/>
      <c r="SRO18" s="41"/>
      <c r="SRP18" s="41"/>
      <c r="SRQ18" s="41"/>
      <c r="SRR18" s="41"/>
      <c r="SRS18" s="41"/>
      <c r="SRT18" s="41"/>
      <c r="SRU18" s="41"/>
      <c r="SRV18" s="41"/>
      <c r="SRW18" s="41"/>
      <c r="SRX18" s="41"/>
      <c r="SRY18" s="41"/>
      <c r="SRZ18" s="41"/>
      <c r="SSA18" s="41"/>
      <c r="SSB18" s="41"/>
      <c r="SSC18" s="41"/>
      <c r="SSD18" s="41"/>
      <c r="SSE18" s="41"/>
      <c r="SSF18" s="41"/>
      <c r="SSG18" s="41"/>
      <c r="SSH18" s="41"/>
      <c r="SSI18" s="41"/>
      <c r="SSJ18" s="41"/>
      <c r="SSK18" s="41"/>
      <c r="SSL18" s="41"/>
      <c r="SSM18" s="41"/>
      <c r="SSN18" s="41"/>
      <c r="SSO18" s="41"/>
      <c r="SSP18" s="41"/>
      <c r="SSQ18" s="41"/>
      <c r="SSR18" s="41"/>
      <c r="SSS18" s="41"/>
      <c r="SST18" s="41"/>
      <c r="SSU18" s="41"/>
      <c r="SSV18" s="41"/>
      <c r="SSW18" s="41"/>
      <c r="SSX18" s="41"/>
      <c r="SSY18" s="41"/>
      <c r="SSZ18" s="41"/>
      <c r="STA18" s="41"/>
      <c r="STB18" s="41"/>
      <c r="STC18" s="41"/>
      <c r="STD18" s="41"/>
      <c r="STE18" s="41"/>
      <c r="STF18" s="41"/>
      <c r="STG18" s="41"/>
      <c r="STH18" s="41"/>
      <c r="STI18" s="41"/>
      <c r="STJ18" s="41"/>
      <c r="STK18" s="41"/>
      <c r="STL18" s="41"/>
      <c r="STM18" s="41"/>
      <c r="STN18" s="41"/>
      <c r="STO18" s="41"/>
      <c r="STP18" s="41"/>
      <c r="STQ18" s="41"/>
      <c r="STR18" s="41"/>
      <c r="STS18" s="41"/>
      <c r="STT18" s="41"/>
      <c r="STU18" s="41"/>
      <c r="STV18" s="41"/>
      <c r="STW18" s="41"/>
      <c r="STX18" s="41"/>
      <c r="STY18" s="41"/>
      <c r="STZ18" s="41"/>
      <c r="SUA18" s="41"/>
      <c r="SUB18" s="41"/>
      <c r="SUC18" s="41"/>
      <c r="SUD18" s="41"/>
      <c r="SUE18" s="41"/>
      <c r="SUF18" s="41"/>
      <c r="SUG18" s="41"/>
      <c r="SUH18" s="41"/>
      <c r="SUI18" s="41"/>
      <c r="SUJ18" s="41"/>
      <c r="SUK18" s="41"/>
      <c r="SUL18" s="41"/>
      <c r="SUM18" s="41"/>
      <c r="SUN18" s="41"/>
      <c r="SUO18" s="41"/>
      <c r="SUP18" s="41"/>
      <c r="SUQ18" s="41"/>
      <c r="SUR18" s="41"/>
      <c r="SUS18" s="41"/>
      <c r="SUT18" s="41"/>
      <c r="SUU18" s="41"/>
      <c r="SUV18" s="41"/>
      <c r="SUW18" s="41"/>
      <c r="SUX18" s="41"/>
      <c r="SUY18" s="41"/>
      <c r="SUZ18" s="41"/>
      <c r="SVA18" s="41"/>
      <c r="SVB18" s="41"/>
      <c r="SVC18" s="41"/>
      <c r="SVD18" s="41"/>
      <c r="SVE18" s="41"/>
      <c r="SVF18" s="41"/>
      <c r="SVG18" s="41"/>
      <c r="SVH18" s="41"/>
      <c r="SVI18" s="41"/>
      <c r="SVJ18" s="41"/>
      <c r="SVK18" s="41"/>
      <c r="SVL18" s="41"/>
      <c r="SVM18" s="41"/>
      <c r="SVN18" s="41"/>
      <c r="SVO18" s="41"/>
      <c r="SVP18" s="41"/>
      <c r="SVQ18" s="41"/>
      <c r="SVR18" s="41"/>
      <c r="SVS18" s="41"/>
      <c r="SVT18" s="41"/>
      <c r="SVU18" s="41"/>
      <c r="SVV18" s="41"/>
      <c r="SVW18" s="41"/>
      <c r="SVX18" s="41"/>
      <c r="SVY18" s="41"/>
      <c r="SVZ18" s="41"/>
      <c r="SWA18" s="41"/>
      <c r="SWB18" s="41"/>
      <c r="SWC18" s="41"/>
      <c r="SWD18" s="41"/>
      <c r="SWE18" s="41"/>
      <c r="SWF18" s="41"/>
      <c r="SWG18" s="41"/>
      <c r="SWH18" s="41"/>
      <c r="SWI18" s="41"/>
      <c r="SWJ18" s="41"/>
      <c r="SWK18" s="41"/>
      <c r="SWL18" s="41"/>
      <c r="SWM18" s="41"/>
      <c r="SWN18" s="41"/>
      <c r="SWO18" s="41"/>
      <c r="SWP18" s="41"/>
      <c r="SWQ18" s="41"/>
      <c r="SWR18" s="41"/>
      <c r="SWS18" s="41"/>
      <c r="SWT18" s="41"/>
      <c r="SWU18" s="41"/>
      <c r="SWV18" s="41"/>
      <c r="SWW18" s="41"/>
      <c r="SWX18" s="41"/>
      <c r="SWY18" s="41"/>
      <c r="SWZ18" s="41"/>
      <c r="SXA18" s="41"/>
      <c r="SXB18" s="41"/>
      <c r="SXC18" s="41"/>
      <c r="SXD18" s="41"/>
      <c r="SXE18" s="41"/>
      <c r="SXF18" s="41"/>
      <c r="SXG18" s="41"/>
      <c r="SXH18" s="41"/>
      <c r="SXI18" s="41"/>
      <c r="SXJ18" s="41"/>
      <c r="SXK18" s="41"/>
      <c r="SXL18" s="41"/>
      <c r="SXM18" s="41"/>
      <c r="SXN18" s="41"/>
      <c r="SXO18" s="41"/>
      <c r="SXP18" s="41"/>
      <c r="SXQ18" s="41"/>
      <c r="SXR18" s="41"/>
      <c r="SXS18" s="41"/>
      <c r="SXT18" s="41"/>
      <c r="SXU18" s="41"/>
      <c r="SXV18" s="41"/>
      <c r="SXW18" s="41"/>
      <c r="SXX18" s="41"/>
      <c r="SXY18" s="41"/>
      <c r="SXZ18" s="41"/>
      <c r="SYA18" s="41"/>
      <c r="SYB18" s="41"/>
      <c r="SYC18" s="41"/>
      <c r="SYD18" s="41"/>
      <c r="SYE18" s="41"/>
      <c r="SYF18" s="41"/>
      <c r="SYG18" s="41"/>
      <c r="SYH18" s="41"/>
      <c r="SYI18" s="41"/>
      <c r="SYJ18" s="41"/>
      <c r="SYK18" s="41"/>
      <c r="SYL18" s="41"/>
      <c r="SYM18" s="41"/>
      <c r="SYN18" s="41"/>
      <c r="SYO18" s="41"/>
      <c r="SYP18" s="41"/>
      <c r="SYQ18" s="41"/>
      <c r="SYR18" s="41"/>
      <c r="SYS18" s="41"/>
      <c r="SYT18" s="41"/>
      <c r="SYU18" s="41"/>
      <c r="SYV18" s="41"/>
      <c r="SYW18" s="41"/>
      <c r="SYX18" s="41"/>
      <c r="SYY18" s="41"/>
      <c r="SYZ18" s="41"/>
      <c r="SZA18" s="41"/>
      <c r="SZB18" s="41"/>
      <c r="SZC18" s="41"/>
      <c r="SZD18" s="41"/>
      <c r="SZE18" s="41"/>
      <c r="SZF18" s="41"/>
      <c r="SZG18" s="41"/>
      <c r="SZH18" s="41"/>
      <c r="SZI18" s="41"/>
      <c r="SZJ18" s="41"/>
      <c r="SZK18" s="41"/>
      <c r="SZL18" s="41"/>
      <c r="SZM18" s="41"/>
      <c r="SZN18" s="41"/>
      <c r="SZO18" s="41"/>
      <c r="SZP18" s="41"/>
      <c r="SZQ18" s="41"/>
      <c r="SZR18" s="41"/>
      <c r="SZS18" s="41"/>
      <c r="SZT18" s="41"/>
      <c r="SZU18" s="41"/>
      <c r="SZV18" s="41"/>
      <c r="SZW18" s="41"/>
      <c r="SZX18" s="41"/>
      <c r="SZY18" s="41"/>
      <c r="SZZ18" s="41"/>
      <c r="TAA18" s="41"/>
      <c r="TAB18" s="41"/>
      <c r="TAC18" s="41"/>
      <c r="TAD18" s="41"/>
      <c r="TAE18" s="41"/>
      <c r="TAF18" s="41"/>
      <c r="TAG18" s="41"/>
      <c r="TAH18" s="41"/>
      <c r="TAI18" s="41"/>
      <c r="TAJ18" s="41"/>
      <c r="TAK18" s="41"/>
      <c r="TAL18" s="41"/>
      <c r="TAM18" s="41"/>
      <c r="TAN18" s="41"/>
      <c r="TAO18" s="41"/>
      <c r="TAP18" s="41"/>
      <c r="TAQ18" s="41"/>
      <c r="TAR18" s="41"/>
      <c r="TAS18" s="41"/>
      <c r="TAT18" s="41"/>
      <c r="TAU18" s="41"/>
      <c r="TAV18" s="41"/>
      <c r="TAW18" s="41"/>
      <c r="TAX18" s="41"/>
      <c r="TAY18" s="41"/>
      <c r="TAZ18" s="41"/>
      <c r="TBA18" s="41"/>
      <c r="TBB18" s="41"/>
      <c r="TBC18" s="41"/>
      <c r="TBD18" s="41"/>
      <c r="TBE18" s="41"/>
      <c r="TBF18" s="41"/>
      <c r="TBG18" s="41"/>
      <c r="TBH18" s="41"/>
      <c r="TBI18" s="41"/>
      <c r="TBJ18" s="41"/>
      <c r="TBK18" s="41"/>
      <c r="TBL18" s="41"/>
      <c r="TBM18" s="41"/>
      <c r="TBN18" s="41"/>
      <c r="TBO18" s="41"/>
      <c r="TBP18" s="41"/>
      <c r="TBQ18" s="41"/>
      <c r="TBR18" s="41"/>
      <c r="TBS18" s="41"/>
      <c r="TBT18" s="41"/>
      <c r="TBU18" s="41"/>
      <c r="TBV18" s="41"/>
      <c r="TBW18" s="41"/>
      <c r="TBX18" s="41"/>
      <c r="TBY18" s="41"/>
      <c r="TBZ18" s="41"/>
      <c r="TCA18" s="41"/>
      <c r="TCB18" s="41"/>
      <c r="TCC18" s="41"/>
      <c r="TCD18" s="41"/>
      <c r="TCE18" s="41"/>
      <c r="TCF18" s="41"/>
      <c r="TCG18" s="41"/>
      <c r="TCH18" s="41"/>
      <c r="TCI18" s="41"/>
      <c r="TCJ18" s="41"/>
      <c r="TCK18" s="41"/>
      <c r="TCL18" s="41"/>
      <c r="TCM18" s="41"/>
      <c r="TCN18" s="41"/>
      <c r="TCO18" s="41"/>
      <c r="TCP18" s="41"/>
      <c r="TCQ18" s="41"/>
      <c r="TCR18" s="41"/>
      <c r="TCS18" s="41"/>
      <c r="TCT18" s="41"/>
      <c r="TCU18" s="41"/>
      <c r="TCV18" s="41"/>
      <c r="TCW18" s="41"/>
      <c r="TCX18" s="41"/>
      <c r="TCY18" s="41"/>
      <c r="TCZ18" s="41"/>
      <c r="TDA18" s="41"/>
      <c r="TDB18" s="41"/>
      <c r="TDC18" s="41"/>
      <c r="TDD18" s="41"/>
      <c r="TDE18" s="41"/>
      <c r="TDF18" s="41"/>
      <c r="TDG18" s="41"/>
      <c r="TDH18" s="41"/>
      <c r="TDI18" s="41"/>
      <c r="TDJ18" s="41"/>
      <c r="TDK18" s="41"/>
      <c r="TDL18" s="41"/>
      <c r="TDM18" s="41"/>
      <c r="TDN18" s="41"/>
      <c r="TDO18" s="41"/>
      <c r="TDP18" s="41"/>
      <c r="TDQ18" s="41"/>
      <c r="TDR18" s="41"/>
      <c r="TDS18" s="41"/>
      <c r="TDT18" s="41"/>
      <c r="TDU18" s="41"/>
      <c r="TDV18" s="41"/>
      <c r="TDW18" s="41"/>
      <c r="TDX18" s="41"/>
      <c r="TDY18" s="41"/>
      <c r="TDZ18" s="41"/>
      <c r="TEA18" s="41"/>
      <c r="TEB18" s="41"/>
      <c r="TEC18" s="41"/>
      <c r="TED18" s="41"/>
      <c r="TEE18" s="41"/>
      <c r="TEF18" s="41"/>
      <c r="TEG18" s="41"/>
      <c r="TEH18" s="41"/>
      <c r="TEI18" s="41"/>
      <c r="TEJ18" s="41"/>
      <c r="TEK18" s="41"/>
      <c r="TEL18" s="41"/>
      <c r="TEM18" s="41"/>
      <c r="TEN18" s="41"/>
      <c r="TEO18" s="41"/>
      <c r="TEP18" s="41"/>
      <c r="TEQ18" s="41"/>
      <c r="TER18" s="41"/>
      <c r="TES18" s="41"/>
      <c r="TET18" s="41"/>
      <c r="TEU18" s="41"/>
      <c r="TEV18" s="41"/>
      <c r="TEW18" s="41"/>
      <c r="TEX18" s="41"/>
      <c r="TEY18" s="41"/>
      <c r="TEZ18" s="41"/>
      <c r="TFA18" s="41"/>
      <c r="TFB18" s="41"/>
      <c r="TFC18" s="41"/>
      <c r="TFD18" s="41"/>
      <c r="TFE18" s="41"/>
      <c r="TFF18" s="41"/>
      <c r="TFG18" s="41"/>
      <c r="TFH18" s="41"/>
      <c r="TFI18" s="41"/>
      <c r="TFJ18" s="41"/>
      <c r="TFK18" s="41"/>
      <c r="TFL18" s="41"/>
      <c r="TFM18" s="41"/>
      <c r="TFN18" s="41"/>
      <c r="TFO18" s="41"/>
      <c r="TFP18" s="41"/>
      <c r="TFQ18" s="41"/>
      <c r="TFR18" s="41"/>
      <c r="TFS18" s="41"/>
      <c r="TFT18" s="41"/>
      <c r="TFU18" s="41"/>
      <c r="TFV18" s="41"/>
      <c r="TFW18" s="41"/>
      <c r="TFX18" s="41"/>
      <c r="TFY18" s="41"/>
      <c r="TFZ18" s="41"/>
      <c r="TGA18" s="41"/>
      <c r="TGB18" s="41"/>
      <c r="TGC18" s="41"/>
      <c r="TGD18" s="41"/>
      <c r="TGE18" s="41"/>
      <c r="TGF18" s="41"/>
      <c r="TGG18" s="41"/>
      <c r="TGH18" s="41"/>
      <c r="TGI18" s="41"/>
      <c r="TGJ18" s="41"/>
      <c r="TGK18" s="41"/>
      <c r="TGL18" s="41"/>
      <c r="TGM18" s="41"/>
      <c r="TGN18" s="41"/>
      <c r="TGO18" s="41"/>
      <c r="TGP18" s="41"/>
      <c r="TGQ18" s="41"/>
      <c r="TGR18" s="41"/>
      <c r="TGS18" s="41"/>
      <c r="TGT18" s="41"/>
      <c r="TGU18" s="41"/>
      <c r="TGV18" s="41"/>
      <c r="TGW18" s="41"/>
      <c r="TGX18" s="41"/>
      <c r="TGY18" s="41"/>
      <c r="TGZ18" s="41"/>
      <c r="THA18" s="41"/>
      <c r="THB18" s="41"/>
      <c r="THC18" s="41"/>
      <c r="THD18" s="41"/>
      <c r="THE18" s="41"/>
      <c r="THF18" s="41"/>
      <c r="THG18" s="41"/>
      <c r="THH18" s="41"/>
      <c r="THI18" s="41"/>
      <c r="THJ18" s="41"/>
      <c r="THK18" s="41"/>
      <c r="THL18" s="41"/>
      <c r="THM18" s="41"/>
      <c r="THN18" s="41"/>
      <c r="THO18" s="41"/>
      <c r="THP18" s="41"/>
      <c r="THQ18" s="41"/>
      <c r="THR18" s="41"/>
      <c r="THS18" s="41"/>
      <c r="THT18" s="41"/>
      <c r="THU18" s="41"/>
      <c r="THV18" s="41"/>
      <c r="THW18" s="41"/>
      <c r="THX18" s="41"/>
      <c r="THY18" s="41"/>
      <c r="THZ18" s="41"/>
      <c r="TIA18" s="41"/>
      <c r="TIB18" s="41"/>
      <c r="TIC18" s="41"/>
      <c r="TID18" s="41"/>
      <c r="TIE18" s="41"/>
      <c r="TIF18" s="41"/>
      <c r="TIG18" s="41"/>
      <c r="TIH18" s="41"/>
      <c r="TII18" s="41"/>
      <c r="TIJ18" s="41"/>
      <c r="TIK18" s="41"/>
      <c r="TIL18" s="41"/>
      <c r="TIM18" s="41"/>
      <c r="TIN18" s="41"/>
      <c r="TIO18" s="41"/>
      <c r="TIP18" s="41"/>
      <c r="TIQ18" s="41"/>
      <c r="TIR18" s="41"/>
      <c r="TIS18" s="41"/>
      <c r="TIT18" s="41"/>
      <c r="TIU18" s="41"/>
      <c r="TIV18" s="41"/>
      <c r="TIW18" s="41"/>
      <c r="TIX18" s="41"/>
      <c r="TIY18" s="41"/>
      <c r="TIZ18" s="41"/>
      <c r="TJA18" s="41"/>
      <c r="TJB18" s="41"/>
      <c r="TJC18" s="41"/>
      <c r="TJD18" s="41"/>
      <c r="TJE18" s="41"/>
      <c r="TJF18" s="41"/>
      <c r="TJG18" s="41"/>
      <c r="TJH18" s="41"/>
      <c r="TJI18" s="41"/>
      <c r="TJJ18" s="41"/>
      <c r="TJK18" s="41"/>
      <c r="TJL18" s="41"/>
      <c r="TJM18" s="41"/>
      <c r="TJN18" s="41"/>
      <c r="TJO18" s="41"/>
      <c r="TJP18" s="41"/>
      <c r="TJQ18" s="41"/>
      <c r="TJR18" s="41"/>
      <c r="TJS18" s="41"/>
      <c r="TJT18" s="41"/>
      <c r="TJU18" s="41"/>
      <c r="TJV18" s="41"/>
      <c r="TJW18" s="41"/>
      <c r="TJX18" s="41"/>
      <c r="TJY18" s="41"/>
      <c r="TJZ18" s="41"/>
      <c r="TKA18" s="41"/>
      <c r="TKB18" s="41"/>
      <c r="TKC18" s="41"/>
      <c r="TKD18" s="41"/>
      <c r="TKE18" s="41"/>
      <c r="TKF18" s="41"/>
      <c r="TKG18" s="41"/>
      <c r="TKH18" s="41"/>
      <c r="TKI18" s="41"/>
      <c r="TKJ18" s="41"/>
      <c r="TKK18" s="41"/>
      <c r="TKL18" s="41"/>
      <c r="TKM18" s="41"/>
      <c r="TKN18" s="41"/>
      <c r="TKO18" s="41"/>
      <c r="TKP18" s="41"/>
      <c r="TKQ18" s="41"/>
      <c r="TKR18" s="41"/>
      <c r="TKS18" s="41"/>
      <c r="TKT18" s="41"/>
      <c r="TKU18" s="41"/>
      <c r="TKV18" s="41"/>
      <c r="TKW18" s="41"/>
      <c r="TKX18" s="41"/>
      <c r="TKY18" s="41"/>
      <c r="TKZ18" s="41"/>
      <c r="TLA18" s="41"/>
      <c r="TLB18" s="41"/>
      <c r="TLC18" s="41"/>
      <c r="TLD18" s="41"/>
      <c r="TLE18" s="41"/>
      <c r="TLF18" s="41"/>
      <c r="TLG18" s="41"/>
      <c r="TLH18" s="41"/>
      <c r="TLI18" s="41"/>
      <c r="TLJ18" s="41"/>
      <c r="TLK18" s="41"/>
      <c r="TLL18" s="41"/>
      <c r="TLM18" s="41"/>
      <c r="TLN18" s="41"/>
      <c r="TLO18" s="41"/>
      <c r="TLP18" s="41"/>
      <c r="TLQ18" s="41"/>
      <c r="TLR18" s="41"/>
      <c r="TLS18" s="41"/>
      <c r="TLT18" s="41"/>
      <c r="TLU18" s="41"/>
      <c r="TLV18" s="41"/>
      <c r="TLW18" s="41"/>
      <c r="TLX18" s="41"/>
      <c r="TLY18" s="41"/>
      <c r="TLZ18" s="41"/>
      <c r="TMA18" s="41"/>
      <c r="TMB18" s="41"/>
      <c r="TMC18" s="41"/>
      <c r="TMD18" s="41"/>
      <c r="TME18" s="41"/>
      <c r="TMF18" s="41"/>
      <c r="TMG18" s="41"/>
      <c r="TMH18" s="41"/>
      <c r="TMI18" s="41"/>
      <c r="TMJ18" s="41"/>
      <c r="TMK18" s="41"/>
      <c r="TML18" s="41"/>
      <c r="TMM18" s="41"/>
      <c r="TMN18" s="41"/>
      <c r="TMO18" s="41"/>
      <c r="TMP18" s="41"/>
      <c r="TMQ18" s="41"/>
      <c r="TMR18" s="41"/>
      <c r="TMS18" s="41"/>
      <c r="TMT18" s="41"/>
      <c r="TMU18" s="41"/>
      <c r="TMV18" s="41"/>
      <c r="TMW18" s="41"/>
      <c r="TMX18" s="41"/>
      <c r="TMY18" s="41"/>
      <c r="TMZ18" s="41"/>
      <c r="TNA18" s="41"/>
      <c r="TNB18" s="41"/>
      <c r="TNC18" s="41"/>
      <c r="TND18" s="41"/>
      <c r="TNE18" s="41"/>
      <c r="TNF18" s="41"/>
      <c r="TNG18" s="41"/>
      <c r="TNH18" s="41"/>
      <c r="TNI18" s="41"/>
      <c r="TNJ18" s="41"/>
      <c r="TNK18" s="41"/>
      <c r="TNL18" s="41"/>
      <c r="TNM18" s="41"/>
      <c r="TNN18" s="41"/>
      <c r="TNO18" s="41"/>
      <c r="TNP18" s="41"/>
      <c r="TNQ18" s="41"/>
      <c r="TNR18" s="41"/>
      <c r="TNS18" s="41"/>
      <c r="TNT18" s="41"/>
      <c r="TNU18" s="41"/>
      <c r="TNV18" s="41"/>
      <c r="TNW18" s="41"/>
      <c r="TNX18" s="41"/>
      <c r="TNY18" s="41"/>
      <c r="TNZ18" s="41"/>
      <c r="TOA18" s="41"/>
      <c r="TOB18" s="41"/>
      <c r="TOC18" s="41"/>
      <c r="TOD18" s="41"/>
      <c r="TOE18" s="41"/>
      <c r="TOF18" s="41"/>
      <c r="TOG18" s="41"/>
      <c r="TOH18" s="41"/>
      <c r="TOI18" s="41"/>
      <c r="TOJ18" s="41"/>
      <c r="TOK18" s="41"/>
      <c r="TOL18" s="41"/>
      <c r="TOM18" s="41"/>
      <c r="TON18" s="41"/>
      <c r="TOO18" s="41"/>
      <c r="TOP18" s="41"/>
      <c r="TOQ18" s="41"/>
      <c r="TOR18" s="41"/>
      <c r="TOS18" s="41"/>
      <c r="TOT18" s="41"/>
      <c r="TOU18" s="41"/>
      <c r="TOV18" s="41"/>
      <c r="TOW18" s="41"/>
      <c r="TOX18" s="41"/>
      <c r="TOY18" s="41"/>
      <c r="TOZ18" s="41"/>
      <c r="TPA18" s="41"/>
      <c r="TPB18" s="41"/>
      <c r="TPC18" s="41"/>
      <c r="TPD18" s="41"/>
      <c r="TPE18" s="41"/>
      <c r="TPF18" s="41"/>
      <c r="TPG18" s="41"/>
      <c r="TPH18" s="41"/>
      <c r="TPI18" s="41"/>
      <c r="TPJ18" s="41"/>
      <c r="TPK18" s="41"/>
      <c r="TPL18" s="41"/>
      <c r="TPM18" s="41"/>
      <c r="TPN18" s="41"/>
      <c r="TPO18" s="41"/>
      <c r="TPP18" s="41"/>
      <c r="TPQ18" s="41"/>
      <c r="TPR18" s="41"/>
      <c r="TPS18" s="41"/>
      <c r="TPT18" s="41"/>
      <c r="TPU18" s="41"/>
      <c r="TPV18" s="41"/>
      <c r="TPW18" s="41"/>
      <c r="TPX18" s="41"/>
      <c r="TPY18" s="41"/>
      <c r="TPZ18" s="41"/>
      <c r="TQA18" s="41"/>
      <c r="TQB18" s="41"/>
      <c r="TQC18" s="41"/>
      <c r="TQD18" s="41"/>
      <c r="TQE18" s="41"/>
      <c r="TQF18" s="41"/>
      <c r="TQG18" s="41"/>
      <c r="TQH18" s="41"/>
      <c r="TQI18" s="41"/>
      <c r="TQJ18" s="41"/>
      <c r="TQK18" s="41"/>
      <c r="TQL18" s="41"/>
      <c r="TQM18" s="41"/>
      <c r="TQN18" s="41"/>
      <c r="TQO18" s="41"/>
      <c r="TQP18" s="41"/>
      <c r="TQQ18" s="41"/>
      <c r="TQR18" s="41"/>
      <c r="TQS18" s="41"/>
      <c r="TQT18" s="41"/>
      <c r="TQU18" s="41"/>
      <c r="TQV18" s="41"/>
      <c r="TQW18" s="41"/>
      <c r="TQX18" s="41"/>
      <c r="TQY18" s="41"/>
      <c r="TQZ18" s="41"/>
      <c r="TRA18" s="41"/>
      <c r="TRB18" s="41"/>
      <c r="TRC18" s="41"/>
      <c r="TRD18" s="41"/>
      <c r="TRE18" s="41"/>
      <c r="TRF18" s="41"/>
      <c r="TRG18" s="41"/>
      <c r="TRH18" s="41"/>
      <c r="TRI18" s="41"/>
      <c r="TRJ18" s="41"/>
      <c r="TRK18" s="41"/>
      <c r="TRL18" s="41"/>
      <c r="TRM18" s="41"/>
      <c r="TRN18" s="41"/>
      <c r="TRO18" s="41"/>
      <c r="TRP18" s="41"/>
      <c r="TRQ18" s="41"/>
      <c r="TRR18" s="41"/>
      <c r="TRS18" s="41"/>
      <c r="TRT18" s="41"/>
      <c r="TRU18" s="41"/>
      <c r="TRV18" s="41"/>
      <c r="TRW18" s="41"/>
      <c r="TRX18" s="41"/>
      <c r="TRY18" s="41"/>
      <c r="TRZ18" s="41"/>
      <c r="TSA18" s="41"/>
      <c r="TSB18" s="41"/>
      <c r="TSC18" s="41"/>
      <c r="TSD18" s="41"/>
      <c r="TSE18" s="41"/>
      <c r="TSF18" s="41"/>
      <c r="TSG18" s="41"/>
      <c r="TSH18" s="41"/>
      <c r="TSI18" s="41"/>
      <c r="TSJ18" s="41"/>
      <c r="TSK18" s="41"/>
      <c r="TSL18" s="41"/>
      <c r="TSM18" s="41"/>
      <c r="TSN18" s="41"/>
      <c r="TSO18" s="41"/>
      <c r="TSP18" s="41"/>
      <c r="TSQ18" s="41"/>
      <c r="TSR18" s="41"/>
      <c r="TSS18" s="41"/>
      <c r="TST18" s="41"/>
      <c r="TSU18" s="41"/>
      <c r="TSV18" s="41"/>
      <c r="TSW18" s="41"/>
      <c r="TSX18" s="41"/>
      <c r="TSY18" s="41"/>
      <c r="TSZ18" s="41"/>
      <c r="TTA18" s="41"/>
      <c r="TTB18" s="41"/>
      <c r="TTC18" s="41"/>
      <c r="TTD18" s="41"/>
      <c r="TTE18" s="41"/>
      <c r="TTF18" s="41"/>
      <c r="TTG18" s="41"/>
      <c r="TTH18" s="41"/>
      <c r="TTI18" s="41"/>
      <c r="TTJ18" s="41"/>
      <c r="TTK18" s="41"/>
      <c r="TTL18" s="41"/>
      <c r="TTM18" s="41"/>
      <c r="TTN18" s="41"/>
      <c r="TTO18" s="41"/>
      <c r="TTP18" s="41"/>
      <c r="TTQ18" s="41"/>
      <c r="TTR18" s="41"/>
      <c r="TTS18" s="41"/>
      <c r="TTT18" s="41"/>
      <c r="TTU18" s="41"/>
      <c r="TTV18" s="41"/>
      <c r="TTW18" s="41"/>
      <c r="TTX18" s="41"/>
      <c r="TTY18" s="41"/>
      <c r="TTZ18" s="41"/>
      <c r="TUA18" s="41"/>
      <c r="TUB18" s="41"/>
      <c r="TUC18" s="41"/>
      <c r="TUD18" s="41"/>
      <c r="TUE18" s="41"/>
      <c r="TUF18" s="41"/>
      <c r="TUG18" s="41"/>
      <c r="TUH18" s="41"/>
      <c r="TUI18" s="41"/>
      <c r="TUJ18" s="41"/>
      <c r="TUK18" s="41"/>
      <c r="TUL18" s="41"/>
      <c r="TUM18" s="41"/>
      <c r="TUN18" s="41"/>
      <c r="TUO18" s="41"/>
      <c r="TUP18" s="41"/>
      <c r="TUQ18" s="41"/>
      <c r="TUR18" s="41"/>
      <c r="TUS18" s="41"/>
      <c r="TUT18" s="41"/>
      <c r="TUU18" s="41"/>
      <c r="TUV18" s="41"/>
      <c r="TUW18" s="41"/>
      <c r="TUX18" s="41"/>
      <c r="TUY18" s="41"/>
      <c r="TUZ18" s="41"/>
      <c r="TVA18" s="41"/>
      <c r="TVB18" s="41"/>
      <c r="TVC18" s="41"/>
      <c r="TVD18" s="41"/>
      <c r="TVE18" s="41"/>
      <c r="TVF18" s="41"/>
      <c r="TVG18" s="41"/>
      <c r="TVH18" s="41"/>
      <c r="TVI18" s="41"/>
      <c r="TVJ18" s="41"/>
      <c r="TVK18" s="41"/>
      <c r="TVL18" s="41"/>
      <c r="TVM18" s="41"/>
      <c r="TVN18" s="41"/>
      <c r="TVO18" s="41"/>
      <c r="TVP18" s="41"/>
      <c r="TVQ18" s="41"/>
      <c r="TVR18" s="41"/>
      <c r="TVS18" s="41"/>
      <c r="TVT18" s="41"/>
      <c r="TVU18" s="41"/>
      <c r="TVV18" s="41"/>
      <c r="TVW18" s="41"/>
      <c r="TVX18" s="41"/>
      <c r="TVY18" s="41"/>
      <c r="TVZ18" s="41"/>
      <c r="TWA18" s="41"/>
      <c r="TWB18" s="41"/>
      <c r="TWC18" s="41"/>
      <c r="TWD18" s="41"/>
      <c r="TWE18" s="41"/>
      <c r="TWF18" s="41"/>
      <c r="TWG18" s="41"/>
      <c r="TWH18" s="41"/>
      <c r="TWI18" s="41"/>
      <c r="TWJ18" s="41"/>
      <c r="TWK18" s="41"/>
      <c r="TWL18" s="41"/>
      <c r="TWM18" s="41"/>
      <c r="TWN18" s="41"/>
      <c r="TWO18" s="41"/>
      <c r="TWP18" s="41"/>
      <c r="TWQ18" s="41"/>
      <c r="TWR18" s="41"/>
      <c r="TWS18" s="41"/>
      <c r="TWT18" s="41"/>
      <c r="TWU18" s="41"/>
      <c r="TWV18" s="41"/>
      <c r="TWW18" s="41"/>
      <c r="TWX18" s="41"/>
      <c r="TWY18" s="41"/>
      <c r="TWZ18" s="41"/>
      <c r="TXA18" s="41"/>
      <c r="TXB18" s="41"/>
      <c r="TXC18" s="41"/>
      <c r="TXD18" s="41"/>
      <c r="TXE18" s="41"/>
      <c r="TXF18" s="41"/>
      <c r="TXG18" s="41"/>
      <c r="TXH18" s="41"/>
      <c r="TXI18" s="41"/>
      <c r="TXJ18" s="41"/>
      <c r="TXK18" s="41"/>
      <c r="TXL18" s="41"/>
      <c r="TXM18" s="41"/>
      <c r="TXN18" s="41"/>
      <c r="TXO18" s="41"/>
      <c r="TXP18" s="41"/>
      <c r="TXQ18" s="41"/>
      <c r="TXR18" s="41"/>
      <c r="TXS18" s="41"/>
      <c r="TXT18" s="41"/>
      <c r="TXU18" s="41"/>
      <c r="TXV18" s="41"/>
      <c r="TXW18" s="41"/>
      <c r="TXX18" s="41"/>
      <c r="TXY18" s="41"/>
      <c r="TXZ18" s="41"/>
      <c r="TYA18" s="41"/>
      <c r="TYB18" s="41"/>
      <c r="TYC18" s="41"/>
      <c r="TYD18" s="41"/>
      <c r="TYE18" s="41"/>
      <c r="TYF18" s="41"/>
      <c r="TYG18" s="41"/>
      <c r="TYH18" s="41"/>
      <c r="TYI18" s="41"/>
      <c r="TYJ18" s="41"/>
      <c r="TYK18" s="41"/>
      <c r="TYL18" s="41"/>
      <c r="TYM18" s="41"/>
      <c r="TYN18" s="41"/>
      <c r="TYO18" s="41"/>
      <c r="TYP18" s="41"/>
      <c r="TYQ18" s="41"/>
      <c r="TYR18" s="41"/>
      <c r="TYS18" s="41"/>
      <c r="TYT18" s="41"/>
      <c r="TYU18" s="41"/>
      <c r="TYV18" s="41"/>
      <c r="TYW18" s="41"/>
      <c r="TYX18" s="41"/>
      <c r="TYY18" s="41"/>
      <c r="TYZ18" s="41"/>
      <c r="TZA18" s="41"/>
      <c r="TZB18" s="41"/>
      <c r="TZC18" s="41"/>
      <c r="TZD18" s="41"/>
      <c r="TZE18" s="41"/>
      <c r="TZF18" s="41"/>
      <c r="TZG18" s="41"/>
      <c r="TZH18" s="41"/>
      <c r="TZI18" s="41"/>
      <c r="TZJ18" s="41"/>
      <c r="TZK18" s="41"/>
      <c r="TZL18" s="41"/>
      <c r="TZM18" s="41"/>
      <c r="TZN18" s="41"/>
      <c r="TZO18" s="41"/>
      <c r="TZP18" s="41"/>
      <c r="TZQ18" s="41"/>
      <c r="TZR18" s="41"/>
      <c r="TZS18" s="41"/>
      <c r="TZT18" s="41"/>
      <c r="TZU18" s="41"/>
      <c r="TZV18" s="41"/>
      <c r="TZW18" s="41"/>
      <c r="TZX18" s="41"/>
      <c r="TZY18" s="41"/>
      <c r="TZZ18" s="41"/>
      <c r="UAA18" s="41"/>
      <c r="UAB18" s="41"/>
      <c r="UAC18" s="41"/>
      <c r="UAD18" s="41"/>
      <c r="UAE18" s="41"/>
      <c r="UAF18" s="41"/>
      <c r="UAG18" s="41"/>
      <c r="UAH18" s="41"/>
      <c r="UAI18" s="41"/>
      <c r="UAJ18" s="41"/>
      <c r="UAK18" s="41"/>
      <c r="UAL18" s="41"/>
      <c r="UAM18" s="41"/>
      <c r="UAN18" s="41"/>
      <c r="UAO18" s="41"/>
      <c r="UAP18" s="41"/>
      <c r="UAQ18" s="41"/>
      <c r="UAR18" s="41"/>
      <c r="UAS18" s="41"/>
      <c r="UAT18" s="41"/>
      <c r="UAU18" s="41"/>
      <c r="UAV18" s="41"/>
      <c r="UAW18" s="41"/>
      <c r="UAX18" s="41"/>
      <c r="UAY18" s="41"/>
      <c r="UAZ18" s="41"/>
      <c r="UBA18" s="41"/>
      <c r="UBB18" s="41"/>
      <c r="UBC18" s="41"/>
      <c r="UBD18" s="41"/>
      <c r="UBE18" s="41"/>
      <c r="UBF18" s="41"/>
      <c r="UBG18" s="41"/>
      <c r="UBH18" s="41"/>
      <c r="UBI18" s="41"/>
      <c r="UBJ18" s="41"/>
      <c r="UBK18" s="41"/>
      <c r="UBL18" s="41"/>
      <c r="UBM18" s="41"/>
      <c r="UBN18" s="41"/>
      <c r="UBO18" s="41"/>
      <c r="UBP18" s="41"/>
      <c r="UBQ18" s="41"/>
      <c r="UBR18" s="41"/>
      <c r="UBS18" s="41"/>
      <c r="UBT18" s="41"/>
      <c r="UBU18" s="41"/>
      <c r="UBV18" s="41"/>
      <c r="UBW18" s="41"/>
      <c r="UBX18" s="41"/>
      <c r="UBY18" s="41"/>
      <c r="UBZ18" s="41"/>
      <c r="UCA18" s="41"/>
      <c r="UCB18" s="41"/>
      <c r="UCC18" s="41"/>
      <c r="UCD18" s="41"/>
      <c r="UCE18" s="41"/>
      <c r="UCF18" s="41"/>
      <c r="UCG18" s="41"/>
      <c r="UCH18" s="41"/>
      <c r="UCI18" s="41"/>
      <c r="UCJ18" s="41"/>
      <c r="UCK18" s="41"/>
      <c r="UCL18" s="41"/>
      <c r="UCM18" s="41"/>
      <c r="UCN18" s="41"/>
      <c r="UCO18" s="41"/>
      <c r="UCP18" s="41"/>
      <c r="UCQ18" s="41"/>
      <c r="UCR18" s="41"/>
      <c r="UCS18" s="41"/>
      <c r="UCT18" s="41"/>
      <c r="UCU18" s="41"/>
      <c r="UCV18" s="41"/>
      <c r="UCW18" s="41"/>
      <c r="UCX18" s="41"/>
      <c r="UCY18" s="41"/>
      <c r="UCZ18" s="41"/>
      <c r="UDA18" s="41"/>
      <c r="UDB18" s="41"/>
      <c r="UDC18" s="41"/>
      <c r="UDD18" s="41"/>
      <c r="UDE18" s="41"/>
      <c r="UDF18" s="41"/>
      <c r="UDG18" s="41"/>
      <c r="UDH18" s="41"/>
      <c r="UDI18" s="41"/>
      <c r="UDJ18" s="41"/>
      <c r="UDK18" s="41"/>
      <c r="UDL18" s="41"/>
      <c r="UDM18" s="41"/>
      <c r="UDN18" s="41"/>
      <c r="UDO18" s="41"/>
      <c r="UDP18" s="41"/>
      <c r="UDQ18" s="41"/>
      <c r="UDR18" s="41"/>
      <c r="UDS18" s="41"/>
      <c r="UDT18" s="41"/>
      <c r="UDU18" s="41"/>
      <c r="UDV18" s="41"/>
      <c r="UDW18" s="41"/>
      <c r="UDX18" s="41"/>
      <c r="UDY18" s="41"/>
      <c r="UDZ18" s="41"/>
      <c r="UEA18" s="41"/>
      <c r="UEB18" s="41"/>
      <c r="UEC18" s="41"/>
      <c r="UED18" s="41"/>
      <c r="UEE18" s="41"/>
      <c r="UEF18" s="41"/>
      <c r="UEG18" s="41"/>
      <c r="UEH18" s="41"/>
      <c r="UEI18" s="41"/>
      <c r="UEJ18" s="41"/>
      <c r="UEK18" s="41"/>
      <c r="UEL18" s="41"/>
      <c r="UEM18" s="41"/>
      <c r="UEN18" s="41"/>
      <c r="UEO18" s="41"/>
      <c r="UEP18" s="41"/>
      <c r="UEQ18" s="41"/>
      <c r="UER18" s="41"/>
      <c r="UES18" s="41"/>
      <c r="UET18" s="41"/>
      <c r="UEU18" s="41"/>
      <c r="UEV18" s="41"/>
      <c r="UEW18" s="41"/>
      <c r="UEX18" s="41"/>
      <c r="UEY18" s="41"/>
      <c r="UEZ18" s="41"/>
      <c r="UFA18" s="41"/>
      <c r="UFB18" s="41"/>
      <c r="UFC18" s="41"/>
      <c r="UFD18" s="41"/>
      <c r="UFE18" s="41"/>
      <c r="UFF18" s="41"/>
      <c r="UFG18" s="41"/>
      <c r="UFH18" s="41"/>
      <c r="UFI18" s="41"/>
      <c r="UFJ18" s="41"/>
      <c r="UFK18" s="41"/>
      <c r="UFL18" s="41"/>
      <c r="UFM18" s="41"/>
      <c r="UFN18" s="41"/>
      <c r="UFO18" s="41"/>
      <c r="UFP18" s="41"/>
      <c r="UFQ18" s="41"/>
      <c r="UFR18" s="41"/>
      <c r="UFS18" s="41"/>
      <c r="UFT18" s="41"/>
      <c r="UFU18" s="41"/>
      <c r="UFV18" s="41"/>
      <c r="UFW18" s="41"/>
      <c r="UFX18" s="41"/>
      <c r="UFY18" s="41"/>
      <c r="UFZ18" s="41"/>
      <c r="UGA18" s="41"/>
      <c r="UGB18" s="41"/>
      <c r="UGC18" s="41"/>
      <c r="UGD18" s="41"/>
      <c r="UGE18" s="41"/>
      <c r="UGF18" s="41"/>
      <c r="UGG18" s="41"/>
      <c r="UGH18" s="41"/>
      <c r="UGI18" s="41"/>
      <c r="UGJ18" s="41"/>
      <c r="UGK18" s="41"/>
      <c r="UGL18" s="41"/>
      <c r="UGM18" s="41"/>
      <c r="UGN18" s="41"/>
      <c r="UGO18" s="41"/>
      <c r="UGP18" s="41"/>
      <c r="UGQ18" s="41"/>
      <c r="UGR18" s="41"/>
      <c r="UGS18" s="41"/>
      <c r="UGT18" s="41"/>
      <c r="UGU18" s="41"/>
      <c r="UGV18" s="41"/>
      <c r="UGW18" s="41"/>
      <c r="UGX18" s="41"/>
      <c r="UGY18" s="41"/>
      <c r="UGZ18" s="41"/>
      <c r="UHA18" s="41"/>
      <c r="UHB18" s="41"/>
      <c r="UHC18" s="41"/>
      <c r="UHD18" s="41"/>
      <c r="UHE18" s="41"/>
      <c r="UHF18" s="41"/>
      <c r="UHG18" s="41"/>
      <c r="UHH18" s="41"/>
      <c r="UHI18" s="41"/>
      <c r="UHJ18" s="41"/>
      <c r="UHK18" s="41"/>
      <c r="UHL18" s="41"/>
      <c r="UHM18" s="41"/>
      <c r="UHN18" s="41"/>
      <c r="UHO18" s="41"/>
      <c r="UHP18" s="41"/>
      <c r="UHQ18" s="41"/>
      <c r="UHR18" s="41"/>
      <c r="UHS18" s="41"/>
      <c r="UHT18" s="41"/>
      <c r="UHU18" s="41"/>
      <c r="UHV18" s="41"/>
      <c r="UHW18" s="41"/>
      <c r="UHX18" s="41"/>
      <c r="UHY18" s="41"/>
      <c r="UHZ18" s="41"/>
      <c r="UIA18" s="41"/>
      <c r="UIB18" s="41"/>
      <c r="UIC18" s="41"/>
      <c r="UID18" s="41"/>
      <c r="UIE18" s="41"/>
      <c r="UIF18" s="41"/>
      <c r="UIG18" s="41"/>
      <c r="UIH18" s="41"/>
      <c r="UII18" s="41"/>
      <c r="UIJ18" s="41"/>
      <c r="UIK18" s="41"/>
      <c r="UIL18" s="41"/>
      <c r="UIM18" s="41"/>
      <c r="UIN18" s="41"/>
      <c r="UIO18" s="41"/>
      <c r="UIP18" s="41"/>
      <c r="UIQ18" s="41"/>
      <c r="UIR18" s="41"/>
      <c r="UIS18" s="41"/>
      <c r="UIT18" s="41"/>
      <c r="UIU18" s="41"/>
      <c r="UIV18" s="41"/>
      <c r="UIW18" s="41"/>
      <c r="UIX18" s="41"/>
      <c r="UIY18" s="41"/>
      <c r="UIZ18" s="41"/>
      <c r="UJA18" s="41"/>
      <c r="UJB18" s="41"/>
      <c r="UJC18" s="41"/>
      <c r="UJD18" s="41"/>
      <c r="UJE18" s="41"/>
      <c r="UJF18" s="41"/>
      <c r="UJG18" s="41"/>
      <c r="UJH18" s="41"/>
      <c r="UJI18" s="41"/>
      <c r="UJJ18" s="41"/>
      <c r="UJK18" s="41"/>
      <c r="UJL18" s="41"/>
      <c r="UJM18" s="41"/>
      <c r="UJN18" s="41"/>
      <c r="UJO18" s="41"/>
      <c r="UJP18" s="41"/>
      <c r="UJQ18" s="41"/>
      <c r="UJR18" s="41"/>
      <c r="UJS18" s="41"/>
      <c r="UJT18" s="41"/>
      <c r="UJU18" s="41"/>
      <c r="UJV18" s="41"/>
      <c r="UJW18" s="41"/>
      <c r="UJX18" s="41"/>
      <c r="UJY18" s="41"/>
      <c r="UJZ18" s="41"/>
      <c r="UKA18" s="41"/>
      <c r="UKB18" s="41"/>
      <c r="UKC18" s="41"/>
      <c r="UKD18" s="41"/>
      <c r="UKE18" s="41"/>
      <c r="UKF18" s="41"/>
      <c r="UKG18" s="41"/>
      <c r="UKH18" s="41"/>
      <c r="UKI18" s="41"/>
      <c r="UKJ18" s="41"/>
      <c r="UKK18" s="41"/>
      <c r="UKL18" s="41"/>
      <c r="UKM18" s="41"/>
      <c r="UKN18" s="41"/>
      <c r="UKO18" s="41"/>
      <c r="UKP18" s="41"/>
      <c r="UKQ18" s="41"/>
      <c r="UKR18" s="41"/>
      <c r="UKS18" s="41"/>
      <c r="UKT18" s="41"/>
      <c r="UKU18" s="41"/>
      <c r="UKV18" s="41"/>
      <c r="UKW18" s="41"/>
      <c r="UKX18" s="41"/>
      <c r="UKY18" s="41"/>
      <c r="UKZ18" s="41"/>
      <c r="ULA18" s="41"/>
      <c r="ULB18" s="41"/>
      <c r="ULC18" s="41"/>
      <c r="ULD18" s="41"/>
      <c r="ULE18" s="41"/>
      <c r="ULF18" s="41"/>
      <c r="ULG18" s="41"/>
      <c r="ULH18" s="41"/>
      <c r="ULI18" s="41"/>
      <c r="ULJ18" s="41"/>
      <c r="ULK18" s="41"/>
      <c r="ULL18" s="41"/>
      <c r="ULM18" s="41"/>
      <c r="ULN18" s="41"/>
      <c r="ULO18" s="41"/>
      <c r="ULP18" s="41"/>
      <c r="ULQ18" s="41"/>
      <c r="ULR18" s="41"/>
      <c r="ULS18" s="41"/>
      <c r="ULT18" s="41"/>
      <c r="ULU18" s="41"/>
      <c r="ULV18" s="41"/>
      <c r="ULW18" s="41"/>
      <c r="ULX18" s="41"/>
      <c r="ULY18" s="41"/>
      <c r="ULZ18" s="41"/>
      <c r="UMA18" s="41"/>
      <c r="UMB18" s="41"/>
      <c r="UMC18" s="41"/>
      <c r="UMD18" s="41"/>
      <c r="UME18" s="41"/>
      <c r="UMF18" s="41"/>
      <c r="UMG18" s="41"/>
      <c r="UMH18" s="41"/>
      <c r="UMI18" s="41"/>
      <c r="UMJ18" s="41"/>
      <c r="UMK18" s="41"/>
      <c r="UML18" s="41"/>
      <c r="UMM18" s="41"/>
      <c r="UMN18" s="41"/>
      <c r="UMO18" s="41"/>
      <c r="UMP18" s="41"/>
      <c r="UMQ18" s="41"/>
      <c r="UMR18" s="41"/>
      <c r="UMS18" s="41"/>
      <c r="UMT18" s="41"/>
      <c r="UMU18" s="41"/>
      <c r="UMV18" s="41"/>
      <c r="UMW18" s="41"/>
      <c r="UMX18" s="41"/>
      <c r="UMY18" s="41"/>
      <c r="UMZ18" s="41"/>
      <c r="UNA18" s="41"/>
      <c r="UNB18" s="41"/>
      <c r="UNC18" s="41"/>
      <c r="UND18" s="41"/>
      <c r="UNE18" s="41"/>
      <c r="UNF18" s="41"/>
      <c r="UNG18" s="41"/>
      <c r="UNH18" s="41"/>
      <c r="UNI18" s="41"/>
      <c r="UNJ18" s="41"/>
      <c r="UNK18" s="41"/>
      <c r="UNL18" s="41"/>
      <c r="UNM18" s="41"/>
      <c r="UNN18" s="41"/>
      <c r="UNO18" s="41"/>
      <c r="UNP18" s="41"/>
      <c r="UNQ18" s="41"/>
      <c r="UNR18" s="41"/>
      <c r="UNS18" s="41"/>
      <c r="UNT18" s="41"/>
      <c r="UNU18" s="41"/>
      <c r="UNV18" s="41"/>
      <c r="UNW18" s="41"/>
      <c r="UNX18" s="41"/>
      <c r="UNY18" s="41"/>
      <c r="UNZ18" s="41"/>
      <c r="UOA18" s="41"/>
      <c r="UOB18" s="41"/>
      <c r="UOC18" s="41"/>
      <c r="UOD18" s="41"/>
      <c r="UOE18" s="41"/>
      <c r="UOF18" s="41"/>
      <c r="UOG18" s="41"/>
      <c r="UOH18" s="41"/>
      <c r="UOI18" s="41"/>
      <c r="UOJ18" s="41"/>
      <c r="UOK18" s="41"/>
      <c r="UOL18" s="41"/>
      <c r="UOM18" s="41"/>
      <c r="UON18" s="41"/>
      <c r="UOO18" s="41"/>
      <c r="UOP18" s="41"/>
      <c r="UOQ18" s="41"/>
      <c r="UOR18" s="41"/>
      <c r="UOS18" s="41"/>
      <c r="UOT18" s="41"/>
      <c r="UOU18" s="41"/>
      <c r="UOV18" s="41"/>
      <c r="UOW18" s="41"/>
      <c r="UOX18" s="41"/>
      <c r="UOY18" s="41"/>
      <c r="UOZ18" s="41"/>
      <c r="UPA18" s="41"/>
      <c r="UPB18" s="41"/>
      <c r="UPC18" s="41"/>
      <c r="UPD18" s="41"/>
      <c r="UPE18" s="41"/>
      <c r="UPF18" s="41"/>
      <c r="UPG18" s="41"/>
      <c r="UPH18" s="41"/>
      <c r="UPI18" s="41"/>
      <c r="UPJ18" s="41"/>
      <c r="UPK18" s="41"/>
      <c r="UPL18" s="41"/>
      <c r="UPM18" s="41"/>
      <c r="UPN18" s="41"/>
      <c r="UPO18" s="41"/>
      <c r="UPP18" s="41"/>
      <c r="UPQ18" s="41"/>
      <c r="UPR18" s="41"/>
      <c r="UPS18" s="41"/>
      <c r="UPT18" s="41"/>
      <c r="UPU18" s="41"/>
      <c r="UPV18" s="41"/>
      <c r="UPW18" s="41"/>
      <c r="UPX18" s="41"/>
      <c r="UPY18" s="41"/>
      <c r="UPZ18" s="41"/>
      <c r="UQA18" s="41"/>
      <c r="UQB18" s="41"/>
      <c r="UQC18" s="41"/>
      <c r="UQD18" s="41"/>
      <c r="UQE18" s="41"/>
      <c r="UQF18" s="41"/>
      <c r="UQG18" s="41"/>
      <c r="UQH18" s="41"/>
      <c r="UQI18" s="41"/>
      <c r="UQJ18" s="41"/>
      <c r="UQK18" s="41"/>
      <c r="UQL18" s="41"/>
      <c r="UQM18" s="41"/>
      <c r="UQN18" s="41"/>
      <c r="UQO18" s="41"/>
      <c r="UQP18" s="41"/>
      <c r="UQQ18" s="41"/>
      <c r="UQR18" s="41"/>
      <c r="UQS18" s="41"/>
      <c r="UQT18" s="41"/>
      <c r="UQU18" s="41"/>
      <c r="UQV18" s="41"/>
      <c r="UQW18" s="41"/>
      <c r="UQX18" s="41"/>
      <c r="UQY18" s="41"/>
      <c r="UQZ18" s="41"/>
      <c r="URA18" s="41"/>
      <c r="URB18" s="41"/>
      <c r="URC18" s="41"/>
      <c r="URD18" s="41"/>
      <c r="URE18" s="41"/>
      <c r="URF18" s="41"/>
      <c r="URG18" s="41"/>
      <c r="URH18" s="41"/>
      <c r="URI18" s="41"/>
      <c r="URJ18" s="41"/>
      <c r="URK18" s="41"/>
      <c r="URL18" s="41"/>
      <c r="URM18" s="41"/>
      <c r="URN18" s="41"/>
      <c r="URO18" s="41"/>
      <c r="URP18" s="41"/>
      <c r="URQ18" s="41"/>
      <c r="URR18" s="41"/>
      <c r="URS18" s="41"/>
      <c r="URT18" s="41"/>
      <c r="URU18" s="41"/>
      <c r="URV18" s="41"/>
      <c r="URW18" s="41"/>
      <c r="URX18" s="41"/>
      <c r="URY18" s="41"/>
      <c r="URZ18" s="41"/>
      <c r="USA18" s="41"/>
      <c r="USB18" s="41"/>
      <c r="USC18" s="41"/>
      <c r="USD18" s="41"/>
      <c r="USE18" s="41"/>
      <c r="USF18" s="41"/>
      <c r="USG18" s="41"/>
      <c r="USH18" s="41"/>
      <c r="USI18" s="41"/>
      <c r="USJ18" s="41"/>
      <c r="USK18" s="41"/>
      <c r="USL18" s="41"/>
      <c r="USM18" s="41"/>
      <c r="USN18" s="41"/>
      <c r="USO18" s="41"/>
      <c r="USP18" s="41"/>
      <c r="USQ18" s="41"/>
      <c r="USR18" s="41"/>
      <c r="USS18" s="41"/>
      <c r="UST18" s="41"/>
      <c r="USU18" s="41"/>
      <c r="USV18" s="41"/>
      <c r="USW18" s="41"/>
      <c r="USX18" s="41"/>
      <c r="USY18" s="41"/>
      <c r="USZ18" s="41"/>
      <c r="UTA18" s="41"/>
      <c r="UTB18" s="41"/>
      <c r="UTC18" s="41"/>
      <c r="UTD18" s="41"/>
      <c r="UTE18" s="41"/>
      <c r="UTF18" s="41"/>
      <c r="UTG18" s="41"/>
      <c r="UTH18" s="41"/>
      <c r="UTI18" s="41"/>
      <c r="UTJ18" s="41"/>
      <c r="UTK18" s="41"/>
      <c r="UTL18" s="41"/>
      <c r="UTM18" s="41"/>
      <c r="UTN18" s="41"/>
      <c r="UTO18" s="41"/>
      <c r="UTP18" s="41"/>
      <c r="UTQ18" s="41"/>
      <c r="UTR18" s="41"/>
      <c r="UTS18" s="41"/>
      <c r="UTT18" s="41"/>
      <c r="UTU18" s="41"/>
      <c r="UTV18" s="41"/>
      <c r="UTW18" s="41"/>
      <c r="UTX18" s="41"/>
      <c r="UTY18" s="41"/>
      <c r="UTZ18" s="41"/>
      <c r="UUA18" s="41"/>
      <c r="UUB18" s="41"/>
      <c r="UUC18" s="41"/>
      <c r="UUD18" s="41"/>
      <c r="UUE18" s="41"/>
      <c r="UUF18" s="41"/>
      <c r="UUG18" s="41"/>
      <c r="UUH18" s="41"/>
      <c r="UUI18" s="41"/>
      <c r="UUJ18" s="41"/>
      <c r="UUK18" s="41"/>
      <c r="UUL18" s="41"/>
      <c r="UUM18" s="41"/>
      <c r="UUN18" s="41"/>
      <c r="UUO18" s="41"/>
      <c r="UUP18" s="41"/>
      <c r="UUQ18" s="41"/>
      <c r="UUR18" s="41"/>
      <c r="UUS18" s="41"/>
      <c r="UUT18" s="41"/>
      <c r="UUU18" s="41"/>
      <c r="UUV18" s="41"/>
      <c r="UUW18" s="41"/>
      <c r="UUX18" s="41"/>
      <c r="UUY18" s="41"/>
      <c r="UUZ18" s="41"/>
      <c r="UVA18" s="41"/>
      <c r="UVB18" s="41"/>
      <c r="UVC18" s="41"/>
      <c r="UVD18" s="41"/>
      <c r="UVE18" s="41"/>
      <c r="UVF18" s="41"/>
      <c r="UVG18" s="41"/>
      <c r="UVH18" s="41"/>
      <c r="UVI18" s="41"/>
      <c r="UVJ18" s="41"/>
      <c r="UVK18" s="41"/>
      <c r="UVL18" s="41"/>
      <c r="UVM18" s="41"/>
      <c r="UVN18" s="41"/>
      <c r="UVO18" s="41"/>
      <c r="UVP18" s="41"/>
      <c r="UVQ18" s="41"/>
      <c r="UVR18" s="41"/>
      <c r="UVS18" s="41"/>
      <c r="UVT18" s="41"/>
      <c r="UVU18" s="41"/>
      <c r="UVV18" s="41"/>
      <c r="UVW18" s="41"/>
      <c r="UVX18" s="41"/>
      <c r="UVY18" s="41"/>
      <c r="UVZ18" s="41"/>
      <c r="UWA18" s="41"/>
      <c r="UWB18" s="41"/>
      <c r="UWC18" s="41"/>
      <c r="UWD18" s="41"/>
      <c r="UWE18" s="41"/>
      <c r="UWF18" s="41"/>
      <c r="UWG18" s="41"/>
      <c r="UWH18" s="41"/>
      <c r="UWI18" s="41"/>
      <c r="UWJ18" s="41"/>
      <c r="UWK18" s="41"/>
      <c r="UWL18" s="41"/>
      <c r="UWM18" s="41"/>
      <c r="UWN18" s="41"/>
      <c r="UWO18" s="41"/>
      <c r="UWP18" s="41"/>
      <c r="UWQ18" s="41"/>
      <c r="UWR18" s="41"/>
      <c r="UWS18" s="41"/>
      <c r="UWT18" s="41"/>
      <c r="UWU18" s="41"/>
      <c r="UWV18" s="41"/>
      <c r="UWW18" s="41"/>
      <c r="UWX18" s="41"/>
      <c r="UWY18" s="41"/>
      <c r="UWZ18" s="41"/>
      <c r="UXA18" s="41"/>
      <c r="UXB18" s="41"/>
      <c r="UXC18" s="41"/>
      <c r="UXD18" s="41"/>
      <c r="UXE18" s="41"/>
      <c r="UXF18" s="41"/>
      <c r="UXG18" s="41"/>
      <c r="UXH18" s="41"/>
      <c r="UXI18" s="41"/>
      <c r="UXJ18" s="41"/>
      <c r="UXK18" s="41"/>
      <c r="UXL18" s="41"/>
      <c r="UXM18" s="41"/>
      <c r="UXN18" s="41"/>
      <c r="UXO18" s="41"/>
      <c r="UXP18" s="41"/>
      <c r="UXQ18" s="41"/>
      <c r="UXR18" s="41"/>
      <c r="UXS18" s="41"/>
      <c r="UXT18" s="41"/>
      <c r="UXU18" s="41"/>
      <c r="UXV18" s="41"/>
      <c r="UXW18" s="41"/>
      <c r="UXX18" s="41"/>
      <c r="UXY18" s="41"/>
      <c r="UXZ18" s="41"/>
      <c r="UYA18" s="41"/>
      <c r="UYB18" s="41"/>
      <c r="UYC18" s="41"/>
      <c r="UYD18" s="41"/>
      <c r="UYE18" s="41"/>
      <c r="UYF18" s="41"/>
      <c r="UYG18" s="41"/>
      <c r="UYH18" s="41"/>
      <c r="UYI18" s="41"/>
      <c r="UYJ18" s="41"/>
      <c r="UYK18" s="41"/>
      <c r="UYL18" s="41"/>
      <c r="UYM18" s="41"/>
      <c r="UYN18" s="41"/>
      <c r="UYO18" s="41"/>
      <c r="UYP18" s="41"/>
      <c r="UYQ18" s="41"/>
      <c r="UYR18" s="41"/>
      <c r="UYS18" s="41"/>
      <c r="UYT18" s="41"/>
      <c r="UYU18" s="41"/>
      <c r="UYV18" s="41"/>
      <c r="UYW18" s="41"/>
      <c r="UYX18" s="41"/>
      <c r="UYY18" s="41"/>
      <c r="UYZ18" s="41"/>
      <c r="UZA18" s="41"/>
      <c r="UZB18" s="41"/>
      <c r="UZC18" s="41"/>
      <c r="UZD18" s="41"/>
      <c r="UZE18" s="41"/>
      <c r="UZF18" s="41"/>
      <c r="UZG18" s="41"/>
      <c r="UZH18" s="41"/>
      <c r="UZI18" s="41"/>
      <c r="UZJ18" s="41"/>
      <c r="UZK18" s="41"/>
      <c r="UZL18" s="41"/>
      <c r="UZM18" s="41"/>
      <c r="UZN18" s="41"/>
      <c r="UZO18" s="41"/>
      <c r="UZP18" s="41"/>
      <c r="UZQ18" s="41"/>
      <c r="UZR18" s="41"/>
      <c r="UZS18" s="41"/>
      <c r="UZT18" s="41"/>
      <c r="UZU18" s="41"/>
      <c r="UZV18" s="41"/>
      <c r="UZW18" s="41"/>
      <c r="UZX18" s="41"/>
      <c r="UZY18" s="41"/>
      <c r="UZZ18" s="41"/>
      <c r="VAA18" s="41"/>
      <c r="VAB18" s="41"/>
      <c r="VAC18" s="41"/>
      <c r="VAD18" s="41"/>
      <c r="VAE18" s="41"/>
      <c r="VAF18" s="41"/>
      <c r="VAG18" s="41"/>
      <c r="VAH18" s="41"/>
      <c r="VAI18" s="41"/>
      <c r="VAJ18" s="41"/>
      <c r="VAK18" s="41"/>
      <c r="VAL18" s="41"/>
      <c r="VAM18" s="41"/>
      <c r="VAN18" s="41"/>
      <c r="VAO18" s="41"/>
      <c r="VAP18" s="41"/>
      <c r="VAQ18" s="41"/>
      <c r="VAR18" s="41"/>
      <c r="VAS18" s="41"/>
      <c r="VAT18" s="41"/>
      <c r="VAU18" s="41"/>
      <c r="VAV18" s="41"/>
      <c r="VAW18" s="41"/>
      <c r="VAX18" s="41"/>
      <c r="VAY18" s="41"/>
      <c r="VAZ18" s="41"/>
      <c r="VBA18" s="41"/>
      <c r="VBB18" s="41"/>
      <c r="VBC18" s="41"/>
      <c r="VBD18" s="41"/>
      <c r="VBE18" s="41"/>
      <c r="VBF18" s="41"/>
      <c r="VBG18" s="41"/>
      <c r="VBH18" s="41"/>
      <c r="VBI18" s="41"/>
      <c r="VBJ18" s="41"/>
      <c r="VBK18" s="41"/>
      <c r="VBL18" s="41"/>
      <c r="VBM18" s="41"/>
      <c r="VBN18" s="41"/>
      <c r="VBO18" s="41"/>
      <c r="VBP18" s="41"/>
      <c r="VBQ18" s="41"/>
      <c r="VBR18" s="41"/>
      <c r="VBS18" s="41"/>
      <c r="VBT18" s="41"/>
      <c r="VBU18" s="41"/>
      <c r="VBV18" s="41"/>
      <c r="VBW18" s="41"/>
      <c r="VBX18" s="41"/>
      <c r="VBY18" s="41"/>
      <c r="VBZ18" s="41"/>
      <c r="VCA18" s="41"/>
      <c r="VCB18" s="41"/>
      <c r="VCC18" s="41"/>
      <c r="VCD18" s="41"/>
      <c r="VCE18" s="41"/>
      <c r="VCF18" s="41"/>
      <c r="VCG18" s="41"/>
      <c r="VCH18" s="41"/>
      <c r="VCI18" s="41"/>
      <c r="VCJ18" s="41"/>
      <c r="VCK18" s="41"/>
      <c r="VCL18" s="41"/>
      <c r="VCM18" s="41"/>
      <c r="VCN18" s="41"/>
      <c r="VCO18" s="41"/>
      <c r="VCP18" s="41"/>
      <c r="VCQ18" s="41"/>
      <c r="VCR18" s="41"/>
      <c r="VCS18" s="41"/>
      <c r="VCT18" s="41"/>
      <c r="VCU18" s="41"/>
      <c r="VCV18" s="41"/>
      <c r="VCW18" s="41"/>
      <c r="VCX18" s="41"/>
      <c r="VCY18" s="41"/>
      <c r="VCZ18" s="41"/>
      <c r="VDA18" s="41"/>
      <c r="VDB18" s="41"/>
      <c r="VDC18" s="41"/>
      <c r="VDD18" s="41"/>
      <c r="VDE18" s="41"/>
      <c r="VDF18" s="41"/>
      <c r="VDG18" s="41"/>
      <c r="VDH18" s="41"/>
      <c r="VDI18" s="41"/>
      <c r="VDJ18" s="41"/>
      <c r="VDK18" s="41"/>
      <c r="VDL18" s="41"/>
      <c r="VDM18" s="41"/>
      <c r="VDN18" s="41"/>
      <c r="VDO18" s="41"/>
      <c r="VDP18" s="41"/>
      <c r="VDQ18" s="41"/>
      <c r="VDR18" s="41"/>
      <c r="VDS18" s="41"/>
      <c r="VDT18" s="41"/>
      <c r="VDU18" s="41"/>
      <c r="VDV18" s="41"/>
      <c r="VDW18" s="41"/>
      <c r="VDX18" s="41"/>
      <c r="VDY18" s="41"/>
      <c r="VDZ18" s="41"/>
      <c r="VEA18" s="41"/>
      <c r="VEB18" s="41"/>
      <c r="VEC18" s="41"/>
      <c r="VED18" s="41"/>
      <c r="VEE18" s="41"/>
      <c r="VEF18" s="41"/>
      <c r="VEG18" s="41"/>
      <c r="VEH18" s="41"/>
      <c r="VEI18" s="41"/>
      <c r="VEJ18" s="41"/>
      <c r="VEK18" s="41"/>
      <c r="VEL18" s="41"/>
      <c r="VEM18" s="41"/>
      <c r="VEN18" s="41"/>
      <c r="VEO18" s="41"/>
      <c r="VEP18" s="41"/>
      <c r="VEQ18" s="41"/>
      <c r="VER18" s="41"/>
      <c r="VES18" s="41"/>
      <c r="VET18" s="41"/>
      <c r="VEU18" s="41"/>
      <c r="VEV18" s="41"/>
      <c r="VEW18" s="41"/>
      <c r="VEX18" s="41"/>
      <c r="VEY18" s="41"/>
      <c r="VEZ18" s="41"/>
      <c r="VFA18" s="41"/>
      <c r="VFB18" s="41"/>
      <c r="VFC18" s="41"/>
      <c r="VFD18" s="41"/>
      <c r="VFE18" s="41"/>
      <c r="VFF18" s="41"/>
      <c r="VFG18" s="41"/>
      <c r="VFH18" s="41"/>
      <c r="VFI18" s="41"/>
      <c r="VFJ18" s="41"/>
      <c r="VFK18" s="41"/>
      <c r="VFL18" s="41"/>
      <c r="VFM18" s="41"/>
      <c r="VFN18" s="41"/>
      <c r="VFO18" s="41"/>
      <c r="VFP18" s="41"/>
      <c r="VFQ18" s="41"/>
      <c r="VFR18" s="41"/>
      <c r="VFS18" s="41"/>
      <c r="VFT18" s="41"/>
      <c r="VFU18" s="41"/>
      <c r="VFV18" s="41"/>
      <c r="VFW18" s="41"/>
      <c r="VFX18" s="41"/>
      <c r="VFY18" s="41"/>
      <c r="VFZ18" s="41"/>
      <c r="VGA18" s="41"/>
      <c r="VGB18" s="41"/>
      <c r="VGC18" s="41"/>
      <c r="VGD18" s="41"/>
      <c r="VGE18" s="41"/>
      <c r="VGF18" s="41"/>
      <c r="VGG18" s="41"/>
      <c r="VGH18" s="41"/>
      <c r="VGI18" s="41"/>
      <c r="VGJ18" s="41"/>
      <c r="VGK18" s="41"/>
      <c r="VGL18" s="41"/>
      <c r="VGM18" s="41"/>
      <c r="VGN18" s="41"/>
      <c r="VGO18" s="41"/>
      <c r="VGP18" s="41"/>
      <c r="VGQ18" s="41"/>
      <c r="VGR18" s="41"/>
      <c r="VGS18" s="41"/>
      <c r="VGT18" s="41"/>
      <c r="VGU18" s="41"/>
      <c r="VGV18" s="41"/>
      <c r="VGW18" s="41"/>
      <c r="VGX18" s="41"/>
      <c r="VGY18" s="41"/>
      <c r="VGZ18" s="41"/>
      <c r="VHA18" s="41"/>
      <c r="VHB18" s="41"/>
      <c r="VHC18" s="41"/>
      <c r="VHD18" s="41"/>
      <c r="VHE18" s="41"/>
      <c r="VHF18" s="41"/>
      <c r="VHG18" s="41"/>
      <c r="VHH18" s="41"/>
      <c r="VHI18" s="41"/>
      <c r="VHJ18" s="41"/>
      <c r="VHK18" s="41"/>
      <c r="VHL18" s="41"/>
      <c r="VHM18" s="41"/>
      <c r="VHN18" s="41"/>
      <c r="VHO18" s="41"/>
      <c r="VHP18" s="41"/>
      <c r="VHQ18" s="41"/>
      <c r="VHR18" s="41"/>
      <c r="VHS18" s="41"/>
      <c r="VHT18" s="41"/>
      <c r="VHU18" s="41"/>
      <c r="VHV18" s="41"/>
      <c r="VHW18" s="41"/>
      <c r="VHX18" s="41"/>
      <c r="VHY18" s="41"/>
      <c r="VHZ18" s="41"/>
      <c r="VIA18" s="41"/>
      <c r="VIB18" s="41"/>
      <c r="VIC18" s="41"/>
      <c r="VID18" s="41"/>
      <c r="VIE18" s="41"/>
      <c r="VIF18" s="41"/>
      <c r="VIG18" s="41"/>
      <c r="VIH18" s="41"/>
      <c r="VII18" s="41"/>
      <c r="VIJ18" s="41"/>
      <c r="VIK18" s="41"/>
      <c r="VIL18" s="41"/>
      <c r="VIM18" s="41"/>
      <c r="VIN18" s="41"/>
      <c r="VIO18" s="41"/>
      <c r="VIP18" s="41"/>
      <c r="VIQ18" s="41"/>
      <c r="VIR18" s="41"/>
      <c r="VIS18" s="41"/>
      <c r="VIT18" s="41"/>
      <c r="VIU18" s="41"/>
      <c r="VIV18" s="41"/>
      <c r="VIW18" s="41"/>
      <c r="VIX18" s="41"/>
      <c r="VIY18" s="41"/>
      <c r="VIZ18" s="41"/>
      <c r="VJA18" s="41"/>
      <c r="VJB18" s="41"/>
      <c r="VJC18" s="41"/>
      <c r="VJD18" s="41"/>
      <c r="VJE18" s="41"/>
      <c r="VJF18" s="41"/>
      <c r="VJG18" s="41"/>
      <c r="VJH18" s="41"/>
      <c r="VJI18" s="41"/>
      <c r="VJJ18" s="41"/>
      <c r="VJK18" s="41"/>
      <c r="VJL18" s="41"/>
      <c r="VJM18" s="41"/>
      <c r="VJN18" s="41"/>
      <c r="VJO18" s="41"/>
      <c r="VJP18" s="41"/>
      <c r="VJQ18" s="41"/>
      <c r="VJR18" s="41"/>
      <c r="VJS18" s="41"/>
      <c r="VJT18" s="41"/>
      <c r="VJU18" s="41"/>
      <c r="VJV18" s="41"/>
      <c r="VJW18" s="41"/>
      <c r="VJX18" s="41"/>
      <c r="VJY18" s="41"/>
      <c r="VJZ18" s="41"/>
      <c r="VKA18" s="41"/>
      <c r="VKB18" s="41"/>
      <c r="VKC18" s="41"/>
      <c r="VKD18" s="41"/>
      <c r="VKE18" s="41"/>
      <c r="VKF18" s="41"/>
      <c r="VKG18" s="41"/>
      <c r="VKH18" s="41"/>
      <c r="VKI18" s="41"/>
      <c r="VKJ18" s="41"/>
      <c r="VKK18" s="41"/>
      <c r="VKL18" s="41"/>
      <c r="VKM18" s="41"/>
      <c r="VKN18" s="41"/>
      <c r="VKO18" s="41"/>
      <c r="VKP18" s="41"/>
      <c r="VKQ18" s="41"/>
      <c r="VKR18" s="41"/>
      <c r="VKS18" s="41"/>
      <c r="VKT18" s="41"/>
      <c r="VKU18" s="41"/>
      <c r="VKV18" s="41"/>
      <c r="VKW18" s="41"/>
      <c r="VKX18" s="41"/>
      <c r="VKY18" s="41"/>
      <c r="VKZ18" s="41"/>
      <c r="VLA18" s="41"/>
      <c r="VLB18" s="41"/>
      <c r="VLC18" s="41"/>
      <c r="VLD18" s="41"/>
      <c r="VLE18" s="41"/>
      <c r="VLF18" s="41"/>
      <c r="VLG18" s="41"/>
      <c r="VLH18" s="41"/>
      <c r="VLI18" s="41"/>
      <c r="VLJ18" s="41"/>
      <c r="VLK18" s="41"/>
      <c r="VLL18" s="41"/>
      <c r="VLM18" s="41"/>
      <c r="VLN18" s="41"/>
      <c r="VLO18" s="41"/>
      <c r="VLP18" s="41"/>
      <c r="VLQ18" s="41"/>
      <c r="VLR18" s="41"/>
      <c r="VLS18" s="41"/>
      <c r="VLT18" s="41"/>
      <c r="VLU18" s="41"/>
      <c r="VLV18" s="41"/>
      <c r="VLW18" s="41"/>
      <c r="VLX18" s="41"/>
      <c r="VLY18" s="41"/>
      <c r="VLZ18" s="41"/>
      <c r="VMA18" s="41"/>
      <c r="VMB18" s="41"/>
      <c r="VMC18" s="41"/>
      <c r="VMD18" s="41"/>
      <c r="VME18" s="41"/>
      <c r="VMF18" s="41"/>
      <c r="VMG18" s="41"/>
      <c r="VMH18" s="41"/>
      <c r="VMI18" s="41"/>
      <c r="VMJ18" s="41"/>
      <c r="VMK18" s="41"/>
      <c r="VML18" s="41"/>
      <c r="VMM18" s="41"/>
      <c r="VMN18" s="41"/>
      <c r="VMO18" s="41"/>
      <c r="VMP18" s="41"/>
      <c r="VMQ18" s="41"/>
      <c r="VMR18" s="41"/>
      <c r="VMS18" s="41"/>
      <c r="VMT18" s="41"/>
      <c r="VMU18" s="41"/>
      <c r="VMV18" s="41"/>
      <c r="VMW18" s="41"/>
      <c r="VMX18" s="41"/>
      <c r="VMY18" s="41"/>
      <c r="VMZ18" s="41"/>
      <c r="VNA18" s="41"/>
      <c r="VNB18" s="41"/>
      <c r="VNC18" s="41"/>
      <c r="VND18" s="41"/>
      <c r="VNE18" s="41"/>
      <c r="VNF18" s="41"/>
      <c r="VNG18" s="41"/>
      <c r="VNH18" s="41"/>
      <c r="VNI18" s="41"/>
      <c r="VNJ18" s="41"/>
      <c r="VNK18" s="41"/>
      <c r="VNL18" s="41"/>
      <c r="VNM18" s="41"/>
      <c r="VNN18" s="41"/>
      <c r="VNO18" s="41"/>
      <c r="VNP18" s="41"/>
      <c r="VNQ18" s="41"/>
      <c r="VNR18" s="41"/>
      <c r="VNS18" s="41"/>
      <c r="VNT18" s="41"/>
      <c r="VNU18" s="41"/>
      <c r="VNV18" s="41"/>
      <c r="VNW18" s="41"/>
      <c r="VNX18" s="41"/>
      <c r="VNY18" s="41"/>
      <c r="VNZ18" s="41"/>
      <c r="VOA18" s="41"/>
      <c r="VOB18" s="41"/>
      <c r="VOC18" s="41"/>
      <c r="VOD18" s="41"/>
      <c r="VOE18" s="41"/>
      <c r="VOF18" s="41"/>
      <c r="VOG18" s="41"/>
      <c r="VOH18" s="41"/>
      <c r="VOI18" s="41"/>
      <c r="VOJ18" s="41"/>
      <c r="VOK18" s="41"/>
      <c r="VOL18" s="41"/>
      <c r="VOM18" s="41"/>
      <c r="VON18" s="41"/>
      <c r="VOO18" s="41"/>
      <c r="VOP18" s="41"/>
      <c r="VOQ18" s="41"/>
      <c r="VOR18" s="41"/>
      <c r="VOS18" s="41"/>
      <c r="VOT18" s="41"/>
      <c r="VOU18" s="41"/>
      <c r="VOV18" s="41"/>
      <c r="VOW18" s="41"/>
      <c r="VOX18" s="41"/>
      <c r="VOY18" s="41"/>
      <c r="VOZ18" s="41"/>
      <c r="VPA18" s="41"/>
      <c r="VPB18" s="41"/>
      <c r="VPC18" s="41"/>
      <c r="VPD18" s="41"/>
      <c r="VPE18" s="41"/>
      <c r="VPF18" s="41"/>
      <c r="VPG18" s="41"/>
      <c r="VPH18" s="41"/>
      <c r="VPI18" s="41"/>
      <c r="VPJ18" s="41"/>
      <c r="VPK18" s="41"/>
      <c r="VPL18" s="41"/>
      <c r="VPM18" s="41"/>
      <c r="VPN18" s="41"/>
      <c r="VPO18" s="41"/>
      <c r="VPP18" s="41"/>
      <c r="VPQ18" s="41"/>
      <c r="VPR18" s="41"/>
      <c r="VPS18" s="41"/>
      <c r="VPT18" s="41"/>
      <c r="VPU18" s="41"/>
      <c r="VPV18" s="41"/>
      <c r="VPW18" s="41"/>
      <c r="VPX18" s="41"/>
      <c r="VPY18" s="41"/>
      <c r="VPZ18" s="41"/>
      <c r="VQA18" s="41"/>
      <c r="VQB18" s="41"/>
      <c r="VQC18" s="41"/>
      <c r="VQD18" s="41"/>
      <c r="VQE18" s="41"/>
      <c r="VQF18" s="41"/>
      <c r="VQG18" s="41"/>
      <c r="VQH18" s="41"/>
      <c r="VQI18" s="41"/>
      <c r="VQJ18" s="41"/>
      <c r="VQK18" s="41"/>
      <c r="VQL18" s="41"/>
      <c r="VQM18" s="41"/>
      <c r="VQN18" s="41"/>
      <c r="VQO18" s="41"/>
      <c r="VQP18" s="41"/>
      <c r="VQQ18" s="41"/>
      <c r="VQR18" s="41"/>
      <c r="VQS18" s="41"/>
      <c r="VQT18" s="41"/>
      <c r="VQU18" s="41"/>
      <c r="VQV18" s="41"/>
      <c r="VQW18" s="41"/>
      <c r="VQX18" s="41"/>
      <c r="VQY18" s="41"/>
      <c r="VQZ18" s="41"/>
      <c r="VRA18" s="41"/>
      <c r="VRB18" s="41"/>
      <c r="VRC18" s="41"/>
      <c r="VRD18" s="41"/>
      <c r="VRE18" s="41"/>
      <c r="VRF18" s="41"/>
      <c r="VRG18" s="41"/>
      <c r="VRH18" s="41"/>
      <c r="VRI18" s="41"/>
      <c r="VRJ18" s="41"/>
      <c r="VRK18" s="41"/>
      <c r="VRL18" s="41"/>
      <c r="VRM18" s="41"/>
      <c r="VRN18" s="41"/>
      <c r="VRO18" s="41"/>
      <c r="VRP18" s="41"/>
      <c r="VRQ18" s="41"/>
      <c r="VRR18" s="41"/>
      <c r="VRS18" s="41"/>
      <c r="VRT18" s="41"/>
      <c r="VRU18" s="41"/>
      <c r="VRV18" s="41"/>
      <c r="VRW18" s="41"/>
      <c r="VRX18" s="41"/>
      <c r="VRY18" s="41"/>
      <c r="VRZ18" s="41"/>
      <c r="VSA18" s="41"/>
      <c r="VSB18" s="41"/>
      <c r="VSC18" s="41"/>
      <c r="VSD18" s="41"/>
      <c r="VSE18" s="41"/>
      <c r="VSF18" s="41"/>
      <c r="VSG18" s="41"/>
      <c r="VSH18" s="41"/>
      <c r="VSI18" s="41"/>
      <c r="VSJ18" s="41"/>
      <c r="VSK18" s="41"/>
      <c r="VSL18" s="41"/>
      <c r="VSM18" s="41"/>
      <c r="VSN18" s="41"/>
      <c r="VSO18" s="41"/>
      <c r="VSP18" s="41"/>
      <c r="VSQ18" s="41"/>
      <c r="VSR18" s="41"/>
      <c r="VSS18" s="41"/>
      <c r="VST18" s="41"/>
      <c r="VSU18" s="41"/>
      <c r="VSV18" s="41"/>
      <c r="VSW18" s="41"/>
      <c r="VSX18" s="41"/>
      <c r="VSY18" s="41"/>
      <c r="VSZ18" s="41"/>
      <c r="VTA18" s="41"/>
      <c r="VTB18" s="41"/>
      <c r="VTC18" s="41"/>
      <c r="VTD18" s="41"/>
      <c r="VTE18" s="41"/>
      <c r="VTF18" s="41"/>
      <c r="VTG18" s="41"/>
      <c r="VTH18" s="41"/>
      <c r="VTI18" s="41"/>
      <c r="VTJ18" s="41"/>
      <c r="VTK18" s="41"/>
      <c r="VTL18" s="41"/>
      <c r="VTM18" s="41"/>
      <c r="VTN18" s="41"/>
      <c r="VTO18" s="41"/>
      <c r="VTP18" s="41"/>
      <c r="VTQ18" s="41"/>
      <c r="VTR18" s="41"/>
      <c r="VTS18" s="41"/>
      <c r="VTT18" s="41"/>
      <c r="VTU18" s="41"/>
      <c r="VTV18" s="41"/>
      <c r="VTW18" s="41"/>
      <c r="VTX18" s="41"/>
      <c r="VTY18" s="41"/>
      <c r="VTZ18" s="41"/>
      <c r="VUA18" s="41"/>
      <c r="VUB18" s="41"/>
      <c r="VUC18" s="41"/>
      <c r="VUD18" s="41"/>
      <c r="VUE18" s="41"/>
      <c r="VUF18" s="41"/>
      <c r="VUG18" s="41"/>
      <c r="VUH18" s="41"/>
      <c r="VUI18" s="41"/>
      <c r="VUJ18" s="41"/>
      <c r="VUK18" s="41"/>
      <c r="VUL18" s="41"/>
      <c r="VUM18" s="41"/>
      <c r="VUN18" s="41"/>
      <c r="VUO18" s="41"/>
      <c r="VUP18" s="41"/>
      <c r="VUQ18" s="41"/>
      <c r="VUR18" s="41"/>
      <c r="VUS18" s="41"/>
      <c r="VUT18" s="41"/>
      <c r="VUU18" s="41"/>
      <c r="VUV18" s="41"/>
      <c r="VUW18" s="41"/>
      <c r="VUX18" s="41"/>
      <c r="VUY18" s="41"/>
      <c r="VUZ18" s="41"/>
      <c r="VVA18" s="41"/>
      <c r="VVB18" s="41"/>
      <c r="VVC18" s="41"/>
      <c r="VVD18" s="41"/>
      <c r="VVE18" s="41"/>
      <c r="VVF18" s="41"/>
      <c r="VVG18" s="41"/>
      <c r="VVH18" s="41"/>
      <c r="VVI18" s="41"/>
      <c r="VVJ18" s="41"/>
      <c r="VVK18" s="41"/>
      <c r="VVL18" s="41"/>
      <c r="VVM18" s="41"/>
      <c r="VVN18" s="41"/>
      <c r="VVO18" s="41"/>
      <c r="VVP18" s="41"/>
      <c r="VVQ18" s="41"/>
      <c r="VVR18" s="41"/>
      <c r="VVS18" s="41"/>
      <c r="VVT18" s="41"/>
      <c r="VVU18" s="41"/>
      <c r="VVV18" s="41"/>
      <c r="VVW18" s="41"/>
      <c r="VVX18" s="41"/>
      <c r="VVY18" s="41"/>
      <c r="VVZ18" s="41"/>
      <c r="VWA18" s="41"/>
      <c r="VWB18" s="41"/>
      <c r="VWC18" s="41"/>
      <c r="VWD18" s="41"/>
      <c r="VWE18" s="41"/>
      <c r="VWF18" s="41"/>
      <c r="VWG18" s="41"/>
      <c r="VWH18" s="41"/>
      <c r="VWI18" s="41"/>
      <c r="VWJ18" s="41"/>
      <c r="VWK18" s="41"/>
      <c r="VWL18" s="41"/>
      <c r="VWM18" s="41"/>
      <c r="VWN18" s="41"/>
      <c r="VWO18" s="41"/>
      <c r="VWP18" s="41"/>
      <c r="VWQ18" s="41"/>
      <c r="VWR18" s="41"/>
      <c r="VWS18" s="41"/>
      <c r="VWT18" s="41"/>
      <c r="VWU18" s="41"/>
      <c r="VWV18" s="41"/>
      <c r="VWW18" s="41"/>
      <c r="VWX18" s="41"/>
      <c r="VWY18" s="41"/>
      <c r="VWZ18" s="41"/>
      <c r="VXA18" s="41"/>
      <c r="VXB18" s="41"/>
      <c r="VXC18" s="41"/>
      <c r="VXD18" s="41"/>
      <c r="VXE18" s="41"/>
      <c r="VXF18" s="41"/>
      <c r="VXG18" s="41"/>
      <c r="VXH18" s="41"/>
      <c r="VXI18" s="41"/>
      <c r="VXJ18" s="41"/>
      <c r="VXK18" s="41"/>
      <c r="VXL18" s="41"/>
      <c r="VXM18" s="41"/>
      <c r="VXN18" s="41"/>
      <c r="VXO18" s="41"/>
      <c r="VXP18" s="41"/>
      <c r="VXQ18" s="41"/>
      <c r="VXR18" s="41"/>
      <c r="VXS18" s="41"/>
      <c r="VXT18" s="41"/>
      <c r="VXU18" s="41"/>
      <c r="VXV18" s="41"/>
      <c r="VXW18" s="41"/>
      <c r="VXX18" s="41"/>
      <c r="VXY18" s="41"/>
      <c r="VXZ18" s="41"/>
      <c r="VYA18" s="41"/>
      <c r="VYB18" s="41"/>
      <c r="VYC18" s="41"/>
      <c r="VYD18" s="41"/>
      <c r="VYE18" s="41"/>
      <c r="VYF18" s="41"/>
      <c r="VYG18" s="41"/>
      <c r="VYH18" s="41"/>
      <c r="VYI18" s="41"/>
      <c r="VYJ18" s="41"/>
      <c r="VYK18" s="41"/>
      <c r="VYL18" s="41"/>
      <c r="VYM18" s="41"/>
      <c r="VYN18" s="41"/>
      <c r="VYO18" s="41"/>
      <c r="VYP18" s="41"/>
      <c r="VYQ18" s="41"/>
      <c r="VYR18" s="41"/>
      <c r="VYS18" s="41"/>
      <c r="VYT18" s="41"/>
      <c r="VYU18" s="41"/>
      <c r="VYV18" s="41"/>
      <c r="VYW18" s="41"/>
      <c r="VYX18" s="41"/>
      <c r="VYY18" s="41"/>
      <c r="VYZ18" s="41"/>
      <c r="VZA18" s="41"/>
      <c r="VZB18" s="41"/>
      <c r="VZC18" s="41"/>
      <c r="VZD18" s="41"/>
      <c r="VZE18" s="41"/>
      <c r="VZF18" s="41"/>
      <c r="VZG18" s="41"/>
      <c r="VZH18" s="41"/>
      <c r="VZI18" s="41"/>
      <c r="VZJ18" s="41"/>
      <c r="VZK18" s="41"/>
      <c r="VZL18" s="41"/>
      <c r="VZM18" s="41"/>
      <c r="VZN18" s="41"/>
      <c r="VZO18" s="41"/>
      <c r="VZP18" s="41"/>
      <c r="VZQ18" s="41"/>
      <c r="VZR18" s="41"/>
      <c r="VZS18" s="41"/>
      <c r="VZT18" s="41"/>
      <c r="VZU18" s="41"/>
      <c r="VZV18" s="41"/>
      <c r="VZW18" s="41"/>
      <c r="VZX18" s="41"/>
      <c r="VZY18" s="41"/>
      <c r="VZZ18" s="41"/>
      <c r="WAA18" s="41"/>
      <c r="WAB18" s="41"/>
      <c r="WAC18" s="41"/>
      <c r="WAD18" s="41"/>
      <c r="WAE18" s="41"/>
      <c r="WAF18" s="41"/>
      <c r="WAG18" s="41"/>
      <c r="WAH18" s="41"/>
      <c r="WAI18" s="41"/>
      <c r="WAJ18" s="41"/>
      <c r="WAK18" s="41"/>
      <c r="WAL18" s="41"/>
      <c r="WAM18" s="41"/>
      <c r="WAN18" s="41"/>
      <c r="WAO18" s="41"/>
      <c r="WAP18" s="41"/>
      <c r="WAQ18" s="41"/>
      <c r="WAR18" s="41"/>
      <c r="WAS18" s="41"/>
      <c r="WAT18" s="41"/>
      <c r="WAU18" s="41"/>
      <c r="WAV18" s="41"/>
      <c r="WAW18" s="41"/>
      <c r="WAX18" s="41"/>
      <c r="WAY18" s="41"/>
      <c r="WAZ18" s="41"/>
      <c r="WBA18" s="41"/>
      <c r="WBB18" s="41"/>
      <c r="WBC18" s="41"/>
      <c r="WBD18" s="41"/>
      <c r="WBE18" s="41"/>
      <c r="WBF18" s="41"/>
      <c r="WBG18" s="41"/>
      <c r="WBH18" s="41"/>
      <c r="WBI18" s="41"/>
      <c r="WBJ18" s="41"/>
      <c r="WBK18" s="41"/>
      <c r="WBL18" s="41"/>
      <c r="WBM18" s="41"/>
      <c r="WBN18" s="41"/>
      <c r="WBO18" s="41"/>
      <c r="WBP18" s="41"/>
      <c r="WBQ18" s="41"/>
      <c r="WBR18" s="41"/>
      <c r="WBS18" s="41"/>
      <c r="WBT18" s="41"/>
      <c r="WBU18" s="41"/>
      <c r="WBV18" s="41"/>
      <c r="WBW18" s="41"/>
      <c r="WBX18" s="41"/>
      <c r="WBY18" s="41"/>
      <c r="WBZ18" s="41"/>
      <c r="WCA18" s="41"/>
      <c r="WCB18" s="41"/>
      <c r="WCC18" s="41"/>
      <c r="WCD18" s="41"/>
      <c r="WCE18" s="41"/>
      <c r="WCF18" s="41"/>
      <c r="WCG18" s="41"/>
      <c r="WCH18" s="41"/>
      <c r="WCI18" s="41"/>
      <c r="WCJ18" s="41"/>
      <c r="WCK18" s="41"/>
      <c r="WCL18" s="41"/>
      <c r="WCM18" s="41"/>
      <c r="WCN18" s="41"/>
      <c r="WCO18" s="41"/>
      <c r="WCP18" s="41"/>
      <c r="WCQ18" s="41"/>
      <c r="WCR18" s="41"/>
      <c r="WCS18" s="41"/>
      <c r="WCT18" s="41"/>
      <c r="WCU18" s="41"/>
      <c r="WCV18" s="41"/>
      <c r="WCW18" s="41"/>
      <c r="WCX18" s="41"/>
      <c r="WCY18" s="41"/>
      <c r="WCZ18" s="41"/>
      <c r="WDA18" s="41"/>
      <c r="WDB18" s="41"/>
      <c r="WDC18" s="41"/>
      <c r="WDD18" s="41"/>
      <c r="WDE18" s="41"/>
      <c r="WDF18" s="41"/>
      <c r="WDG18" s="41"/>
      <c r="WDH18" s="41"/>
      <c r="WDI18" s="41"/>
      <c r="WDJ18" s="41"/>
      <c r="WDK18" s="41"/>
      <c r="WDL18" s="41"/>
      <c r="WDM18" s="41"/>
      <c r="WDN18" s="41"/>
      <c r="WDO18" s="41"/>
      <c r="WDP18" s="41"/>
      <c r="WDQ18" s="41"/>
      <c r="WDR18" s="41"/>
      <c r="WDS18" s="41"/>
      <c r="WDT18" s="41"/>
      <c r="WDU18" s="41"/>
      <c r="WDV18" s="41"/>
      <c r="WDW18" s="41"/>
      <c r="WDX18" s="41"/>
      <c r="WDY18" s="41"/>
      <c r="WDZ18" s="41"/>
      <c r="WEA18" s="41"/>
      <c r="WEB18" s="41"/>
      <c r="WEC18" s="41"/>
      <c r="WED18" s="41"/>
      <c r="WEE18" s="41"/>
      <c r="WEF18" s="41"/>
      <c r="WEG18" s="41"/>
      <c r="WEH18" s="41"/>
      <c r="WEI18" s="41"/>
      <c r="WEJ18" s="41"/>
      <c r="WEK18" s="41"/>
      <c r="WEL18" s="41"/>
      <c r="WEM18" s="41"/>
      <c r="WEN18" s="41"/>
      <c r="WEO18" s="41"/>
      <c r="WEP18" s="41"/>
      <c r="WEQ18" s="41"/>
      <c r="WER18" s="41"/>
      <c r="WES18" s="41"/>
      <c r="WET18" s="41"/>
      <c r="WEU18" s="41"/>
      <c r="WEV18" s="41"/>
      <c r="WEW18" s="41"/>
      <c r="WEX18" s="41"/>
      <c r="WEY18" s="41"/>
      <c r="WEZ18" s="41"/>
      <c r="WFA18" s="41"/>
      <c r="WFB18" s="41"/>
      <c r="WFC18" s="41"/>
      <c r="WFD18" s="41"/>
      <c r="WFE18" s="41"/>
      <c r="WFF18" s="41"/>
      <c r="WFG18" s="41"/>
      <c r="WFH18" s="41"/>
      <c r="WFI18" s="41"/>
      <c r="WFJ18" s="41"/>
      <c r="WFK18" s="41"/>
      <c r="WFL18" s="41"/>
      <c r="WFM18" s="41"/>
      <c r="WFN18" s="41"/>
      <c r="WFO18" s="41"/>
      <c r="WFP18" s="41"/>
      <c r="WFQ18" s="41"/>
      <c r="WFR18" s="41"/>
      <c r="WFS18" s="41"/>
      <c r="WFT18" s="41"/>
      <c r="WFU18" s="41"/>
      <c r="WFV18" s="41"/>
      <c r="WFW18" s="41"/>
      <c r="WFX18" s="41"/>
      <c r="WFY18" s="41"/>
      <c r="WFZ18" s="41"/>
      <c r="WGA18" s="41"/>
      <c r="WGB18" s="41"/>
      <c r="WGC18" s="41"/>
      <c r="WGD18" s="41"/>
      <c r="WGE18" s="41"/>
      <c r="WGF18" s="41"/>
      <c r="WGG18" s="41"/>
      <c r="WGH18" s="41"/>
      <c r="WGI18" s="41"/>
      <c r="WGJ18" s="41"/>
      <c r="WGK18" s="41"/>
      <c r="WGL18" s="41"/>
      <c r="WGM18" s="41"/>
      <c r="WGN18" s="41"/>
      <c r="WGO18" s="41"/>
      <c r="WGP18" s="41"/>
      <c r="WGQ18" s="41"/>
      <c r="WGR18" s="41"/>
      <c r="WGS18" s="41"/>
      <c r="WGT18" s="41"/>
      <c r="WGU18" s="41"/>
      <c r="WGV18" s="41"/>
      <c r="WGW18" s="41"/>
      <c r="WGX18" s="41"/>
      <c r="WGY18" s="41"/>
      <c r="WGZ18" s="41"/>
      <c r="WHA18" s="41"/>
      <c r="WHB18" s="41"/>
      <c r="WHC18" s="41"/>
      <c r="WHD18" s="41"/>
      <c r="WHE18" s="41"/>
      <c r="WHF18" s="41"/>
      <c r="WHG18" s="41"/>
      <c r="WHH18" s="41"/>
      <c r="WHI18" s="41"/>
      <c r="WHJ18" s="41"/>
      <c r="WHK18" s="41"/>
      <c r="WHL18" s="41"/>
      <c r="WHM18" s="41"/>
      <c r="WHN18" s="41"/>
      <c r="WHO18" s="41"/>
      <c r="WHP18" s="41"/>
      <c r="WHQ18" s="41"/>
      <c r="WHR18" s="41"/>
      <c r="WHS18" s="41"/>
      <c r="WHT18" s="41"/>
      <c r="WHU18" s="41"/>
      <c r="WHV18" s="41"/>
      <c r="WHW18" s="41"/>
      <c r="WHX18" s="41"/>
      <c r="WHY18" s="41"/>
      <c r="WHZ18" s="41"/>
      <c r="WIA18" s="41"/>
      <c r="WIB18" s="41"/>
      <c r="WIC18" s="41"/>
      <c r="WID18" s="41"/>
      <c r="WIE18" s="41"/>
      <c r="WIF18" s="41"/>
      <c r="WIG18" s="41"/>
      <c r="WIH18" s="41"/>
      <c r="WII18" s="41"/>
      <c r="WIJ18" s="41"/>
      <c r="WIK18" s="41"/>
      <c r="WIL18" s="41"/>
      <c r="WIM18" s="41"/>
      <c r="WIN18" s="41"/>
      <c r="WIO18" s="41"/>
      <c r="WIP18" s="41"/>
      <c r="WIQ18" s="41"/>
      <c r="WIR18" s="41"/>
      <c r="WIS18" s="41"/>
      <c r="WIT18" s="41"/>
      <c r="WIU18" s="41"/>
      <c r="WIV18" s="41"/>
      <c r="WIW18" s="41"/>
      <c r="WIX18" s="41"/>
      <c r="WIY18" s="41"/>
      <c r="WIZ18" s="41"/>
      <c r="WJA18" s="41"/>
      <c r="WJB18" s="41"/>
      <c r="WJC18" s="41"/>
      <c r="WJD18" s="41"/>
      <c r="WJE18" s="41"/>
      <c r="WJF18" s="41"/>
      <c r="WJG18" s="41"/>
      <c r="WJH18" s="41"/>
      <c r="WJI18" s="41"/>
      <c r="WJJ18" s="41"/>
      <c r="WJK18" s="41"/>
      <c r="WJL18" s="41"/>
      <c r="WJM18" s="41"/>
      <c r="WJN18" s="41"/>
      <c r="WJO18" s="41"/>
      <c r="WJP18" s="41"/>
      <c r="WJQ18" s="41"/>
      <c r="WJR18" s="41"/>
      <c r="WJS18" s="41"/>
      <c r="WJT18" s="41"/>
      <c r="WJU18" s="41"/>
      <c r="WJV18" s="41"/>
      <c r="WJW18" s="41"/>
      <c r="WJX18" s="41"/>
      <c r="WJY18" s="41"/>
      <c r="WJZ18" s="41"/>
      <c r="WKA18" s="41"/>
      <c r="WKB18" s="41"/>
      <c r="WKC18" s="41"/>
      <c r="WKD18" s="41"/>
      <c r="WKE18" s="41"/>
      <c r="WKF18" s="41"/>
      <c r="WKG18" s="41"/>
      <c r="WKH18" s="41"/>
      <c r="WKI18" s="41"/>
      <c r="WKJ18" s="41"/>
      <c r="WKK18" s="41"/>
      <c r="WKL18" s="41"/>
      <c r="WKM18" s="41"/>
      <c r="WKN18" s="41"/>
      <c r="WKO18" s="41"/>
      <c r="WKP18" s="41"/>
      <c r="WKQ18" s="41"/>
      <c r="WKR18" s="41"/>
      <c r="WKS18" s="41"/>
      <c r="WKT18" s="41"/>
      <c r="WKU18" s="41"/>
      <c r="WKV18" s="41"/>
      <c r="WKW18" s="41"/>
      <c r="WKX18" s="41"/>
      <c r="WKY18" s="41"/>
      <c r="WKZ18" s="41"/>
      <c r="WLA18" s="41"/>
      <c r="WLB18" s="41"/>
      <c r="WLC18" s="41"/>
      <c r="WLD18" s="41"/>
      <c r="WLE18" s="41"/>
      <c r="WLF18" s="41"/>
      <c r="WLG18" s="41"/>
      <c r="WLH18" s="41"/>
      <c r="WLI18" s="41"/>
      <c r="WLJ18" s="41"/>
      <c r="WLK18" s="41"/>
      <c r="WLL18" s="41"/>
      <c r="WLM18" s="41"/>
      <c r="WLN18" s="41"/>
      <c r="WLO18" s="41"/>
      <c r="WLP18" s="41"/>
      <c r="WLQ18" s="41"/>
      <c r="WLR18" s="41"/>
      <c r="WLS18" s="41"/>
      <c r="WLT18" s="41"/>
      <c r="WLU18" s="41"/>
      <c r="WLV18" s="41"/>
      <c r="WLW18" s="41"/>
      <c r="WLX18" s="41"/>
      <c r="WLY18" s="41"/>
      <c r="WLZ18" s="41"/>
      <c r="WMA18" s="41"/>
      <c r="WMB18" s="41"/>
      <c r="WMC18" s="41"/>
      <c r="WMD18" s="41"/>
      <c r="WME18" s="41"/>
      <c r="WMF18" s="41"/>
      <c r="WMG18" s="41"/>
      <c r="WMH18" s="41"/>
      <c r="WMI18" s="41"/>
      <c r="WMJ18" s="41"/>
      <c r="WMK18" s="41"/>
      <c r="WML18" s="41"/>
      <c r="WMM18" s="41"/>
      <c r="WMN18" s="41"/>
      <c r="WMO18" s="41"/>
      <c r="WMP18" s="41"/>
      <c r="WMQ18" s="41"/>
      <c r="WMR18" s="41"/>
      <c r="WMS18" s="41"/>
      <c r="WMT18" s="41"/>
      <c r="WMU18" s="41"/>
      <c r="WMV18" s="41"/>
      <c r="WMW18" s="41"/>
      <c r="WMX18" s="41"/>
      <c r="WMY18" s="41"/>
      <c r="WMZ18" s="41"/>
      <c r="WNA18" s="41"/>
      <c r="WNB18" s="41"/>
      <c r="WNC18" s="41"/>
      <c r="WND18" s="41"/>
      <c r="WNE18" s="41"/>
      <c r="WNF18" s="41"/>
      <c r="WNG18" s="41"/>
      <c r="WNH18" s="41"/>
      <c r="WNI18" s="41"/>
      <c r="WNJ18" s="41"/>
      <c r="WNK18" s="41"/>
      <c r="WNL18" s="41"/>
      <c r="WNM18" s="41"/>
      <c r="WNN18" s="41"/>
      <c r="WNO18" s="41"/>
      <c r="WNP18" s="41"/>
      <c r="WNQ18" s="41"/>
      <c r="WNR18" s="41"/>
      <c r="WNS18" s="41"/>
      <c r="WNT18" s="41"/>
      <c r="WNU18" s="41"/>
      <c r="WNV18" s="41"/>
      <c r="WNW18" s="41"/>
      <c r="WNX18" s="41"/>
      <c r="WNY18" s="41"/>
      <c r="WNZ18" s="41"/>
      <c r="WOA18" s="41"/>
      <c r="WOB18" s="41"/>
      <c r="WOC18" s="41"/>
      <c r="WOD18" s="41"/>
      <c r="WOE18" s="41"/>
      <c r="WOF18" s="41"/>
      <c r="WOG18" s="41"/>
      <c r="WOH18" s="41"/>
      <c r="WOI18" s="41"/>
      <c r="WOJ18" s="41"/>
      <c r="WOK18" s="41"/>
      <c r="WOL18" s="41"/>
      <c r="WOM18" s="41"/>
      <c r="WON18" s="41"/>
      <c r="WOO18" s="41"/>
      <c r="WOP18" s="41"/>
      <c r="WOQ18" s="41"/>
      <c r="WOR18" s="41"/>
      <c r="WOS18" s="41"/>
      <c r="WOT18" s="41"/>
      <c r="WOU18" s="41"/>
      <c r="WOV18" s="41"/>
      <c r="WOW18" s="41"/>
      <c r="WOX18" s="41"/>
      <c r="WOY18" s="41"/>
      <c r="WOZ18" s="41"/>
      <c r="WPA18" s="41"/>
      <c r="WPB18" s="41"/>
      <c r="WPC18" s="41"/>
      <c r="WPD18" s="41"/>
      <c r="WPE18" s="41"/>
      <c r="WPF18" s="41"/>
      <c r="WPG18" s="41"/>
      <c r="WPH18" s="41"/>
      <c r="WPI18" s="41"/>
      <c r="WPJ18" s="41"/>
      <c r="WPK18" s="41"/>
      <c r="WPL18" s="41"/>
      <c r="WPM18" s="41"/>
      <c r="WPN18" s="41"/>
      <c r="WPO18" s="41"/>
      <c r="WPP18" s="41"/>
      <c r="WPQ18" s="41"/>
      <c r="WPR18" s="41"/>
      <c r="WPS18" s="41"/>
      <c r="WPT18" s="41"/>
      <c r="WPU18" s="41"/>
      <c r="WPV18" s="41"/>
      <c r="WPW18" s="41"/>
      <c r="WPX18" s="41"/>
      <c r="WPY18" s="41"/>
      <c r="WPZ18" s="41"/>
      <c r="WQA18" s="41"/>
      <c r="WQB18" s="41"/>
      <c r="WQC18" s="41"/>
      <c r="WQD18" s="41"/>
      <c r="WQE18" s="41"/>
      <c r="WQF18" s="41"/>
      <c r="WQG18" s="41"/>
      <c r="WQH18" s="41"/>
      <c r="WQI18" s="41"/>
      <c r="WQJ18" s="41"/>
      <c r="WQK18" s="41"/>
      <c r="WQL18" s="41"/>
      <c r="WQM18" s="41"/>
      <c r="WQN18" s="41"/>
      <c r="WQO18" s="41"/>
      <c r="WQP18" s="41"/>
      <c r="WQQ18" s="41"/>
      <c r="WQR18" s="41"/>
      <c r="WQS18" s="41"/>
      <c r="WQT18" s="41"/>
      <c r="WQU18" s="41"/>
      <c r="WQV18" s="41"/>
      <c r="WQW18" s="41"/>
      <c r="WQX18" s="41"/>
      <c r="WQY18" s="41"/>
      <c r="WQZ18" s="41"/>
      <c r="WRA18" s="41"/>
      <c r="WRB18" s="41"/>
      <c r="WRC18" s="41"/>
      <c r="WRD18" s="41"/>
      <c r="WRE18" s="41"/>
      <c r="WRF18" s="41"/>
      <c r="WRG18" s="41"/>
      <c r="WRH18" s="41"/>
      <c r="WRI18" s="41"/>
      <c r="WRJ18" s="41"/>
      <c r="WRK18" s="41"/>
      <c r="WRL18" s="41"/>
      <c r="WRM18" s="41"/>
      <c r="WRN18" s="41"/>
      <c r="WRO18" s="41"/>
      <c r="WRP18" s="41"/>
      <c r="WRQ18" s="41"/>
      <c r="WRR18" s="41"/>
      <c r="WRS18" s="41"/>
      <c r="WRT18" s="41"/>
      <c r="WRU18" s="41"/>
      <c r="WRV18" s="41"/>
      <c r="WRW18" s="41"/>
      <c r="WRX18" s="41"/>
      <c r="WRY18" s="41"/>
      <c r="WRZ18" s="41"/>
      <c r="WSA18" s="41"/>
      <c r="WSB18" s="41"/>
      <c r="WSC18" s="41"/>
      <c r="WSD18" s="41"/>
      <c r="WSE18" s="41"/>
      <c r="WSF18" s="41"/>
      <c r="WSG18" s="41"/>
      <c r="WSH18" s="41"/>
      <c r="WSI18" s="41"/>
      <c r="WSJ18" s="41"/>
      <c r="WSK18" s="41"/>
      <c r="WSL18" s="41"/>
      <c r="WSM18" s="41"/>
      <c r="WSN18" s="41"/>
      <c r="WSO18" s="41"/>
      <c r="WSP18" s="41"/>
      <c r="WSQ18" s="41"/>
      <c r="WSR18" s="41"/>
      <c r="WSS18" s="41"/>
      <c r="WST18" s="41"/>
      <c r="WSU18" s="41"/>
      <c r="WSV18" s="41"/>
      <c r="WSW18" s="41"/>
      <c r="WSX18" s="41"/>
      <c r="WSY18" s="41"/>
      <c r="WSZ18" s="41"/>
      <c r="WTA18" s="41"/>
      <c r="WTB18" s="41"/>
      <c r="WTC18" s="41"/>
      <c r="WTD18" s="41"/>
      <c r="WTE18" s="41"/>
      <c r="WTF18" s="41"/>
      <c r="WTG18" s="41"/>
      <c r="WTH18" s="41"/>
      <c r="WTI18" s="41"/>
      <c r="WTJ18" s="41"/>
      <c r="WTK18" s="41"/>
      <c r="WTL18" s="41"/>
      <c r="WTM18" s="41"/>
      <c r="WTN18" s="41"/>
      <c r="WTO18" s="41"/>
      <c r="WTP18" s="41"/>
      <c r="WTQ18" s="41"/>
      <c r="WTR18" s="41"/>
      <c r="WTS18" s="41"/>
      <c r="WTT18" s="41"/>
      <c r="WTU18" s="41"/>
      <c r="WTV18" s="41"/>
      <c r="WTW18" s="41"/>
      <c r="WTX18" s="41"/>
      <c r="WTY18" s="41"/>
      <c r="WTZ18" s="41"/>
      <c r="WUA18" s="41"/>
      <c r="WUB18" s="41"/>
      <c r="WUC18" s="41"/>
      <c r="WUD18" s="41"/>
      <c r="WUE18" s="41"/>
      <c r="WUF18" s="41"/>
      <c r="WUG18" s="41"/>
      <c r="WUH18" s="41"/>
      <c r="WUI18" s="41"/>
      <c r="WUJ18" s="41"/>
      <c r="WUK18" s="41"/>
      <c r="WUL18" s="41"/>
      <c r="WUM18" s="41"/>
      <c r="WUN18" s="41"/>
      <c r="WUO18" s="41"/>
      <c r="WUP18" s="41"/>
      <c r="WUQ18" s="41"/>
      <c r="WUR18" s="41"/>
      <c r="WUS18" s="41"/>
      <c r="WUT18" s="41"/>
      <c r="WUU18" s="41"/>
      <c r="WUV18" s="41"/>
      <c r="WUW18" s="41"/>
      <c r="WUX18" s="41"/>
      <c r="WUY18" s="41"/>
      <c r="WUZ18" s="41"/>
      <c r="WVA18" s="41"/>
      <c r="WVB18" s="41"/>
      <c r="WVC18" s="41"/>
      <c r="WVD18" s="41"/>
      <c r="WVE18" s="41"/>
      <c r="WVF18" s="41"/>
      <c r="WVG18" s="41"/>
      <c r="WVH18" s="41"/>
      <c r="WVI18" s="41"/>
      <c r="WVJ18" s="41"/>
      <c r="WVK18" s="41"/>
      <c r="WVL18" s="41"/>
      <c r="WVM18" s="41"/>
      <c r="WVN18" s="41"/>
      <c r="WVO18" s="41"/>
      <c r="WVP18" s="41"/>
      <c r="WVQ18" s="41"/>
      <c r="WVR18" s="41"/>
      <c r="WVS18" s="41"/>
      <c r="WVT18" s="41"/>
      <c r="WVU18" s="41"/>
      <c r="WVV18" s="41"/>
      <c r="WVW18" s="41"/>
      <c r="WVX18" s="41"/>
      <c r="WVY18" s="41"/>
      <c r="WVZ18" s="41"/>
      <c r="WWA18" s="41"/>
      <c r="WWB18" s="41"/>
      <c r="WWC18" s="41"/>
      <c r="WWD18" s="41"/>
      <c r="WWE18" s="41"/>
      <c r="WWF18" s="41"/>
      <c r="WWG18" s="41"/>
      <c r="WWH18" s="41"/>
      <c r="WWI18" s="41"/>
      <c r="WWJ18" s="41"/>
      <c r="WWK18" s="41"/>
      <c r="WWL18" s="41"/>
      <c r="WWM18" s="41"/>
      <c r="WWN18" s="41"/>
      <c r="WWO18" s="41"/>
      <c r="WWP18" s="41"/>
      <c r="WWQ18" s="41"/>
      <c r="WWR18" s="41"/>
      <c r="WWS18" s="41"/>
      <c r="WWT18" s="41"/>
      <c r="WWU18" s="41"/>
      <c r="WWV18" s="41"/>
      <c r="WWW18" s="41"/>
      <c r="WWX18" s="41"/>
      <c r="WWY18" s="41"/>
      <c r="WWZ18" s="41"/>
      <c r="WXA18" s="41"/>
      <c r="WXB18" s="41"/>
      <c r="WXC18" s="41"/>
      <c r="WXD18" s="41"/>
      <c r="WXE18" s="41"/>
      <c r="WXF18" s="41"/>
      <c r="WXG18" s="41"/>
      <c r="WXH18" s="41"/>
      <c r="WXI18" s="41"/>
      <c r="WXJ18" s="41"/>
      <c r="WXK18" s="41"/>
      <c r="WXL18" s="41"/>
      <c r="WXM18" s="41"/>
      <c r="WXN18" s="41"/>
      <c r="WXO18" s="41"/>
      <c r="WXP18" s="41"/>
      <c r="WXQ18" s="41"/>
      <c r="WXR18" s="41"/>
      <c r="WXS18" s="41"/>
      <c r="WXT18" s="41"/>
      <c r="WXU18" s="41"/>
      <c r="WXV18" s="41"/>
      <c r="WXW18" s="41"/>
      <c r="WXX18" s="41"/>
      <c r="WXY18" s="41"/>
      <c r="WXZ18" s="41"/>
      <c r="WYA18" s="41"/>
      <c r="WYB18" s="41"/>
      <c r="WYC18" s="41"/>
      <c r="WYD18" s="41"/>
      <c r="WYE18" s="41"/>
      <c r="WYF18" s="41"/>
      <c r="WYG18" s="41"/>
      <c r="WYH18" s="41"/>
      <c r="WYI18" s="41"/>
      <c r="WYJ18" s="41"/>
      <c r="WYK18" s="41"/>
      <c r="WYL18" s="41"/>
      <c r="WYM18" s="41"/>
      <c r="WYN18" s="41"/>
      <c r="WYO18" s="41"/>
      <c r="WYP18" s="41"/>
      <c r="WYQ18" s="41"/>
      <c r="WYR18" s="41"/>
      <c r="WYS18" s="41"/>
      <c r="WYT18" s="41"/>
      <c r="WYU18" s="41"/>
      <c r="WYV18" s="41"/>
      <c r="WYW18" s="41"/>
      <c r="WYX18" s="41"/>
      <c r="WYY18" s="41"/>
      <c r="WYZ18" s="41"/>
      <c r="WZA18" s="41"/>
      <c r="WZB18" s="41"/>
      <c r="WZC18" s="41"/>
      <c r="WZD18" s="41"/>
      <c r="WZE18" s="41"/>
      <c r="WZF18" s="41"/>
      <c r="WZG18" s="41"/>
      <c r="WZH18" s="41"/>
      <c r="WZI18" s="41"/>
      <c r="WZJ18" s="41"/>
      <c r="WZK18" s="41"/>
      <c r="WZL18" s="41"/>
      <c r="WZM18" s="41"/>
      <c r="WZN18" s="41"/>
      <c r="WZO18" s="41"/>
      <c r="WZP18" s="41"/>
      <c r="WZQ18" s="41"/>
      <c r="WZR18" s="41"/>
      <c r="WZS18" s="41"/>
      <c r="WZT18" s="41"/>
      <c r="WZU18" s="41"/>
      <c r="WZV18" s="41"/>
      <c r="WZW18" s="41"/>
      <c r="WZX18" s="41"/>
      <c r="WZY18" s="41"/>
      <c r="WZZ18" s="41"/>
      <c r="XAA18" s="41"/>
      <c r="XAB18" s="41"/>
      <c r="XAC18" s="41"/>
      <c r="XAD18" s="41"/>
      <c r="XAE18" s="41"/>
      <c r="XAF18" s="41"/>
      <c r="XAG18" s="41"/>
      <c r="XAH18" s="41"/>
      <c r="XAI18" s="41"/>
      <c r="XAJ18" s="41"/>
      <c r="XAK18" s="41"/>
      <c r="XAL18" s="41"/>
      <c r="XAM18" s="41"/>
      <c r="XAN18" s="41"/>
      <c r="XAO18" s="41"/>
      <c r="XAP18" s="41"/>
      <c r="XAQ18" s="41"/>
      <c r="XAR18" s="41"/>
      <c r="XAS18" s="41"/>
      <c r="XAT18" s="41"/>
      <c r="XAU18" s="41"/>
      <c r="XAV18" s="41"/>
      <c r="XAW18" s="41"/>
      <c r="XAX18" s="41"/>
      <c r="XAY18" s="41"/>
      <c r="XAZ18" s="41"/>
      <c r="XBA18" s="41"/>
      <c r="XBB18" s="41"/>
      <c r="XBC18" s="41"/>
      <c r="XBD18" s="41"/>
      <c r="XBE18" s="41"/>
      <c r="XBF18" s="41"/>
      <c r="XBG18" s="41"/>
      <c r="XBH18" s="41"/>
      <c r="XBI18" s="41"/>
      <c r="XBJ18" s="41"/>
      <c r="XBK18" s="41"/>
      <c r="XBL18" s="41"/>
      <c r="XBM18" s="41"/>
      <c r="XBN18" s="41"/>
      <c r="XBO18" s="41"/>
      <c r="XBP18" s="41"/>
      <c r="XBQ18" s="41"/>
      <c r="XBR18" s="41"/>
      <c r="XBS18" s="41"/>
      <c r="XBT18" s="41"/>
      <c r="XBU18" s="41"/>
      <c r="XBV18" s="41"/>
      <c r="XBW18" s="41"/>
      <c r="XBX18" s="41"/>
      <c r="XBY18" s="41"/>
      <c r="XBZ18" s="41"/>
      <c r="XCA18" s="41"/>
      <c r="XCB18" s="41"/>
      <c r="XCC18" s="41"/>
      <c r="XCD18" s="41"/>
      <c r="XCE18" s="41"/>
      <c r="XCF18" s="41"/>
      <c r="XCG18" s="41"/>
      <c r="XCH18" s="41"/>
      <c r="XCI18" s="41"/>
      <c r="XCJ18" s="41"/>
      <c r="XCK18" s="41"/>
      <c r="XCL18" s="41"/>
      <c r="XCM18" s="41"/>
      <c r="XCN18" s="41"/>
      <c r="XCO18" s="41"/>
      <c r="XCP18" s="41"/>
      <c r="XCQ18" s="41"/>
      <c r="XCR18" s="41"/>
      <c r="XCS18" s="41"/>
      <c r="XCT18" s="41"/>
      <c r="XCU18" s="41"/>
      <c r="XCV18" s="41"/>
      <c r="XCW18" s="41"/>
      <c r="XCX18" s="41"/>
      <c r="XCY18" s="41"/>
      <c r="XCZ18" s="41"/>
      <c r="XDA18" s="41"/>
      <c r="XDB18" s="41"/>
      <c r="XDC18" s="41"/>
      <c r="XDD18" s="41"/>
      <c r="XDE18" s="41"/>
      <c r="XDF18" s="41"/>
      <c r="XDG18" s="41"/>
      <c r="XDH18" s="41"/>
      <c r="XDI18" s="41"/>
      <c r="XDJ18" s="41"/>
      <c r="XDK18" s="41"/>
      <c r="XDL18" s="41"/>
      <c r="XDM18" s="41"/>
      <c r="XDN18" s="41"/>
      <c r="XDO18" s="41"/>
      <c r="XDP18" s="41"/>
      <c r="XDQ18" s="41"/>
      <c r="XDR18" s="41"/>
      <c r="XDS18" s="41"/>
      <c r="XDT18" s="41"/>
      <c r="XDU18" s="41"/>
      <c r="XDV18" s="41"/>
      <c r="XDW18" s="41"/>
      <c r="XDX18" s="41"/>
      <c r="XDY18" s="41"/>
      <c r="XDZ18" s="41"/>
      <c r="XEA18" s="41"/>
      <c r="XEB18" s="41"/>
      <c r="XEC18" s="41"/>
      <c r="XED18" s="41"/>
      <c r="XEE18" s="41"/>
      <c r="XEF18" s="41"/>
      <c r="XEG18" s="41"/>
      <c r="XEH18" s="41"/>
      <c r="XEI18" s="41"/>
      <c r="XEJ18" s="41"/>
      <c r="XEK18" s="41"/>
      <c r="XEL18" s="41"/>
      <c r="XEM18" s="41"/>
      <c r="XEN18" s="41"/>
      <c r="XEO18" s="41"/>
      <c r="XEP18" s="41"/>
      <c r="XEQ18" s="41"/>
      <c r="XER18" s="41"/>
      <c r="XES18" s="41"/>
      <c r="XET18" s="41"/>
      <c r="XEU18" s="41"/>
      <c r="XEV18" s="41"/>
      <c r="XEW18" s="41"/>
      <c r="XEX18" s="41"/>
      <c r="XEY18" s="41"/>
      <c r="XEZ18" s="41"/>
      <c r="XFA18" s="41"/>
      <c r="XFB18" s="41"/>
      <c r="XFC18" s="41"/>
      <c r="XFD18" s="41"/>
    </row>
    <row r="19" spans="2:16384" s="25" customFormat="1" ht="19.5" customHeight="1" x14ac:dyDescent="0.3">
      <c r="B19" s="48"/>
      <c r="C19" s="48"/>
      <c r="D19" s="122"/>
      <c r="E19" s="6"/>
      <c r="F19" s="123"/>
      <c r="G19" s="104"/>
      <c r="H19" s="124"/>
      <c r="I19" s="121"/>
      <c r="J19" s="7"/>
      <c r="K19" s="26"/>
      <c r="L19" s="26"/>
      <c r="M19" s="15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  <c r="AFJ19" s="41"/>
      <c r="AFK19" s="41"/>
      <c r="AFL19" s="41"/>
      <c r="AFM19" s="41"/>
      <c r="AFN19" s="41"/>
      <c r="AFO19" s="41"/>
      <c r="AFP19" s="41"/>
      <c r="AFQ19" s="41"/>
      <c r="AFR19" s="41"/>
      <c r="AFS19" s="41"/>
      <c r="AFT19" s="41"/>
      <c r="AFU19" s="41"/>
      <c r="AFV19" s="41"/>
      <c r="AFW19" s="41"/>
      <c r="AFX19" s="41"/>
      <c r="AFY19" s="41"/>
      <c r="AFZ19" s="41"/>
      <c r="AGA19" s="41"/>
      <c r="AGB19" s="41"/>
      <c r="AGC19" s="41"/>
      <c r="AGD19" s="41"/>
      <c r="AGE19" s="41"/>
      <c r="AGF19" s="41"/>
      <c r="AGG19" s="41"/>
      <c r="AGH19" s="41"/>
      <c r="AGI19" s="41"/>
      <c r="AGJ19" s="41"/>
      <c r="AGK19" s="41"/>
      <c r="AGL19" s="41"/>
      <c r="AGM19" s="41"/>
      <c r="AGN19" s="41"/>
      <c r="AGO19" s="41"/>
      <c r="AGP19" s="41"/>
      <c r="AGQ19" s="41"/>
      <c r="AGR19" s="41"/>
      <c r="AGS19" s="41"/>
      <c r="AGT19" s="41"/>
      <c r="AGU19" s="41"/>
      <c r="AGV19" s="41"/>
      <c r="AGW19" s="41"/>
      <c r="AGX19" s="41"/>
      <c r="AGY19" s="41"/>
      <c r="AGZ19" s="41"/>
      <c r="AHA19" s="41"/>
      <c r="AHB19" s="41"/>
      <c r="AHC19" s="41"/>
      <c r="AHD19" s="41"/>
      <c r="AHE19" s="41"/>
      <c r="AHF19" s="41"/>
      <c r="AHG19" s="41"/>
      <c r="AHH19" s="41"/>
      <c r="AHI19" s="41"/>
      <c r="AHJ19" s="41"/>
      <c r="AHK19" s="41"/>
      <c r="AHL19" s="41"/>
      <c r="AHM19" s="41"/>
      <c r="AHN19" s="41"/>
      <c r="AHO19" s="41"/>
      <c r="AHP19" s="41"/>
      <c r="AHQ19" s="41"/>
      <c r="AHR19" s="41"/>
      <c r="AHS19" s="41"/>
      <c r="AHT19" s="41"/>
      <c r="AHU19" s="41"/>
      <c r="AHV19" s="41"/>
      <c r="AHW19" s="41"/>
      <c r="AHX19" s="41"/>
      <c r="AHY19" s="41"/>
      <c r="AHZ19" s="41"/>
      <c r="AIA19" s="41"/>
      <c r="AIB19" s="41"/>
      <c r="AIC19" s="41"/>
      <c r="AID19" s="41"/>
      <c r="AIE19" s="41"/>
      <c r="AIF19" s="41"/>
      <c r="AIG19" s="41"/>
      <c r="AIH19" s="41"/>
      <c r="AII19" s="41"/>
      <c r="AIJ19" s="41"/>
      <c r="AIK19" s="41"/>
      <c r="AIL19" s="41"/>
      <c r="AIM19" s="41"/>
      <c r="AIN19" s="41"/>
      <c r="AIO19" s="41"/>
      <c r="AIP19" s="41"/>
      <c r="AIQ19" s="41"/>
      <c r="AIR19" s="41"/>
      <c r="AIS19" s="41"/>
      <c r="AIT19" s="41"/>
      <c r="AIU19" s="41"/>
      <c r="AIV19" s="41"/>
      <c r="AIW19" s="41"/>
      <c r="AIX19" s="41"/>
      <c r="AIY19" s="41"/>
      <c r="AIZ19" s="41"/>
      <c r="AJA19" s="41"/>
      <c r="AJB19" s="41"/>
      <c r="AJC19" s="41"/>
      <c r="AJD19" s="41"/>
      <c r="AJE19" s="41"/>
      <c r="AJF19" s="41"/>
      <c r="AJG19" s="41"/>
      <c r="AJH19" s="41"/>
      <c r="AJI19" s="41"/>
      <c r="AJJ19" s="41"/>
      <c r="AJK19" s="41"/>
      <c r="AJL19" s="41"/>
      <c r="AJM19" s="41"/>
      <c r="AJN19" s="41"/>
      <c r="AJO19" s="41"/>
      <c r="AJP19" s="41"/>
      <c r="AJQ19" s="41"/>
      <c r="AJR19" s="41"/>
      <c r="AJS19" s="41"/>
      <c r="AJT19" s="41"/>
      <c r="AJU19" s="41"/>
      <c r="AJV19" s="41"/>
      <c r="AJW19" s="41"/>
      <c r="AJX19" s="41"/>
      <c r="AJY19" s="41"/>
      <c r="AJZ19" s="41"/>
      <c r="AKA19" s="41"/>
      <c r="AKB19" s="41"/>
      <c r="AKC19" s="41"/>
      <c r="AKD19" s="41"/>
      <c r="AKE19" s="41"/>
      <c r="AKF19" s="41"/>
      <c r="AKG19" s="41"/>
      <c r="AKH19" s="41"/>
      <c r="AKI19" s="41"/>
      <c r="AKJ19" s="41"/>
      <c r="AKK19" s="41"/>
      <c r="AKL19" s="41"/>
      <c r="AKM19" s="41"/>
      <c r="AKN19" s="41"/>
      <c r="AKO19" s="41"/>
      <c r="AKP19" s="41"/>
      <c r="AKQ19" s="41"/>
      <c r="AKR19" s="41"/>
      <c r="AKS19" s="41"/>
      <c r="AKT19" s="41"/>
      <c r="AKU19" s="41"/>
      <c r="AKV19" s="41"/>
      <c r="AKW19" s="41"/>
      <c r="AKX19" s="41"/>
      <c r="AKY19" s="41"/>
      <c r="AKZ19" s="41"/>
      <c r="ALA19" s="41"/>
      <c r="ALB19" s="41"/>
      <c r="ALC19" s="41"/>
      <c r="ALD19" s="41"/>
      <c r="ALE19" s="41"/>
      <c r="ALF19" s="41"/>
      <c r="ALG19" s="41"/>
      <c r="ALH19" s="41"/>
      <c r="ALI19" s="41"/>
      <c r="ALJ19" s="41"/>
      <c r="ALK19" s="41"/>
      <c r="ALL19" s="41"/>
      <c r="ALM19" s="41"/>
      <c r="ALN19" s="41"/>
      <c r="ALO19" s="41"/>
      <c r="ALP19" s="41"/>
      <c r="ALQ19" s="41"/>
      <c r="ALR19" s="41"/>
      <c r="ALS19" s="41"/>
      <c r="ALT19" s="41"/>
      <c r="ALU19" s="41"/>
      <c r="ALV19" s="41"/>
      <c r="ALW19" s="41"/>
      <c r="ALX19" s="41"/>
      <c r="ALY19" s="41"/>
      <c r="ALZ19" s="41"/>
      <c r="AMA19" s="41"/>
      <c r="AMB19" s="41"/>
      <c r="AMC19" s="41"/>
      <c r="AMD19" s="41"/>
      <c r="AME19" s="41"/>
      <c r="AMF19" s="41"/>
      <c r="AMG19" s="41"/>
      <c r="AMH19" s="41"/>
      <c r="AMI19" s="41"/>
      <c r="AMJ19" s="41"/>
      <c r="AMK19" s="41"/>
      <c r="AML19" s="41"/>
      <c r="AMM19" s="41"/>
      <c r="AMN19" s="41"/>
      <c r="AMO19" s="41"/>
      <c r="AMP19" s="41"/>
      <c r="AMQ19" s="41"/>
      <c r="AMR19" s="41"/>
      <c r="AMS19" s="41"/>
      <c r="AMT19" s="41"/>
      <c r="AMU19" s="41"/>
      <c r="AMV19" s="41"/>
      <c r="AMW19" s="41"/>
      <c r="AMX19" s="41"/>
      <c r="AMY19" s="41"/>
      <c r="AMZ19" s="41"/>
      <c r="ANA19" s="41"/>
      <c r="ANB19" s="41"/>
      <c r="ANC19" s="41"/>
      <c r="AND19" s="41"/>
      <c r="ANE19" s="41"/>
      <c r="ANF19" s="41"/>
      <c r="ANG19" s="41"/>
      <c r="ANH19" s="41"/>
      <c r="ANI19" s="41"/>
      <c r="ANJ19" s="41"/>
      <c r="ANK19" s="41"/>
      <c r="ANL19" s="41"/>
      <c r="ANM19" s="41"/>
      <c r="ANN19" s="41"/>
      <c r="ANO19" s="41"/>
      <c r="ANP19" s="41"/>
      <c r="ANQ19" s="41"/>
      <c r="ANR19" s="41"/>
      <c r="ANS19" s="41"/>
      <c r="ANT19" s="41"/>
      <c r="ANU19" s="41"/>
      <c r="ANV19" s="41"/>
      <c r="ANW19" s="41"/>
      <c r="ANX19" s="41"/>
      <c r="ANY19" s="41"/>
      <c r="ANZ19" s="41"/>
      <c r="AOA19" s="41"/>
      <c r="AOB19" s="41"/>
      <c r="AOC19" s="41"/>
      <c r="AOD19" s="41"/>
      <c r="AOE19" s="41"/>
      <c r="AOF19" s="41"/>
      <c r="AOG19" s="41"/>
      <c r="AOH19" s="41"/>
      <c r="AOI19" s="41"/>
      <c r="AOJ19" s="41"/>
      <c r="AOK19" s="41"/>
      <c r="AOL19" s="41"/>
      <c r="AOM19" s="41"/>
      <c r="AON19" s="41"/>
      <c r="AOO19" s="41"/>
      <c r="AOP19" s="41"/>
      <c r="AOQ19" s="41"/>
      <c r="AOR19" s="41"/>
      <c r="AOS19" s="41"/>
      <c r="AOT19" s="41"/>
      <c r="AOU19" s="41"/>
      <c r="AOV19" s="41"/>
      <c r="AOW19" s="41"/>
      <c r="AOX19" s="41"/>
      <c r="AOY19" s="41"/>
      <c r="AOZ19" s="41"/>
      <c r="APA19" s="41"/>
      <c r="APB19" s="41"/>
      <c r="APC19" s="41"/>
      <c r="APD19" s="41"/>
      <c r="APE19" s="41"/>
      <c r="APF19" s="41"/>
      <c r="APG19" s="41"/>
      <c r="APH19" s="41"/>
      <c r="API19" s="41"/>
      <c r="APJ19" s="41"/>
      <c r="APK19" s="41"/>
      <c r="APL19" s="41"/>
      <c r="APM19" s="41"/>
      <c r="APN19" s="41"/>
      <c r="APO19" s="41"/>
      <c r="APP19" s="41"/>
      <c r="APQ19" s="41"/>
      <c r="APR19" s="41"/>
      <c r="APS19" s="41"/>
      <c r="APT19" s="41"/>
      <c r="APU19" s="41"/>
      <c r="APV19" s="41"/>
      <c r="APW19" s="41"/>
      <c r="APX19" s="41"/>
      <c r="APY19" s="41"/>
      <c r="APZ19" s="41"/>
      <c r="AQA19" s="41"/>
      <c r="AQB19" s="41"/>
      <c r="AQC19" s="41"/>
      <c r="AQD19" s="41"/>
      <c r="AQE19" s="41"/>
      <c r="AQF19" s="41"/>
      <c r="AQG19" s="41"/>
      <c r="AQH19" s="41"/>
      <c r="AQI19" s="41"/>
      <c r="AQJ19" s="41"/>
      <c r="AQK19" s="41"/>
      <c r="AQL19" s="41"/>
      <c r="AQM19" s="41"/>
      <c r="AQN19" s="41"/>
      <c r="AQO19" s="41"/>
      <c r="AQP19" s="41"/>
      <c r="AQQ19" s="41"/>
      <c r="AQR19" s="41"/>
      <c r="AQS19" s="41"/>
      <c r="AQT19" s="41"/>
      <c r="AQU19" s="41"/>
      <c r="AQV19" s="41"/>
      <c r="AQW19" s="41"/>
      <c r="AQX19" s="41"/>
      <c r="AQY19" s="41"/>
      <c r="AQZ19" s="41"/>
      <c r="ARA19" s="41"/>
      <c r="ARB19" s="41"/>
      <c r="ARC19" s="41"/>
      <c r="ARD19" s="41"/>
      <c r="ARE19" s="41"/>
      <c r="ARF19" s="41"/>
      <c r="ARG19" s="41"/>
      <c r="ARH19" s="41"/>
      <c r="ARI19" s="41"/>
      <c r="ARJ19" s="41"/>
      <c r="ARK19" s="41"/>
      <c r="ARL19" s="41"/>
      <c r="ARM19" s="41"/>
      <c r="ARN19" s="41"/>
      <c r="ARO19" s="41"/>
      <c r="ARP19" s="41"/>
      <c r="ARQ19" s="41"/>
      <c r="ARR19" s="41"/>
      <c r="ARS19" s="41"/>
      <c r="ART19" s="41"/>
      <c r="ARU19" s="41"/>
      <c r="ARV19" s="41"/>
      <c r="ARW19" s="41"/>
      <c r="ARX19" s="41"/>
      <c r="ARY19" s="41"/>
      <c r="ARZ19" s="41"/>
      <c r="ASA19" s="41"/>
      <c r="ASB19" s="41"/>
      <c r="ASC19" s="41"/>
      <c r="ASD19" s="41"/>
      <c r="ASE19" s="41"/>
      <c r="ASF19" s="41"/>
      <c r="ASG19" s="41"/>
      <c r="ASH19" s="41"/>
      <c r="ASI19" s="41"/>
      <c r="ASJ19" s="41"/>
      <c r="ASK19" s="41"/>
      <c r="ASL19" s="41"/>
      <c r="ASM19" s="41"/>
      <c r="ASN19" s="41"/>
      <c r="ASO19" s="41"/>
      <c r="ASP19" s="41"/>
      <c r="ASQ19" s="41"/>
      <c r="ASR19" s="41"/>
      <c r="ASS19" s="41"/>
      <c r="AST19" s="41"/>
      <c r="ASU19" s="41"/>
      <c r="ASV19" s="41"/>
      <c r="ASW19" s="41"/>
      <c r="ASX19" s="41"/>
      <c r="ASY19" s="41"/>
      <c r="ASZ19" s="41"/>
      <c r="ATA19" s="41"/>
      <c r="ATB19" s="41"/>
      <c r="ATC19" s="41"/>
      <c r="ATD19" s="41"/>
      <c r="ATE19" s="41"/>
      <c r="ATF19" s="41"/>
      <c r="ATG19" s="41"/>
      <c r="ATH19" s="41"/>
      <c r="ATI19" s="41"/>
      <c r="ATJ19" s="41"/>
      <c r="ATK19" s="41"/>
      <c r="ATL19" s="41"/>
      <c r="ATM19" s="41"/>
      <c r="ATN19" s="41"/>
      <c r="ATO19" s="41"/>
      <c r="ATP19" s="41"/>
      <c r="ATQ19" s="41"/>
      <c r="ATR19" s="41"/>
      <c r="ATS19" s="41"/>
      <c r="ATT19" s="41"/>
      <c r="ATU19" s="41"/>
      <c r="ATV19" s="41"/>
      <c r="ATW19" s="41"/>
      <c r="ATX19" s="41"/>
      <c r="ATY19" s="41"/>
      <c r="ATZ19" s="41"/>
      <c r="AUA19" s="41"/>
      <c r="AUB19" s="41"/>
      <c r="AUC19" s="41"/>
      <c r="AUD19" s="41"/>
      <c r="AUE19" s="41"/>
      <c r="AUF19" s="41"/>
      <c r="AUG19" s="41"/>
      <c r="AUH19" s="41"/>
      <c r="AUI19" s="41"/>
      <c r="AUJ19" s="41"/>
      <c r="AUK19" s="41"/>
      <c r="AUL19" s="41"/>
      <c r="AUM19" s="41"/>
      <c r="AUN19" s="41"/>
      <c r="AUO19" s="41"/>
      <c r="AUP19" s="41"/>
      <c r="AUQ19" s="41"/>
      <c r="AUR19" s="41"/>
      <c r="AUS19" s="41"/>
      <c r="AUT19" s="41"/>
      <c r="AUU19" s="41"/>
      <c r="AUV19" s="41"/>
      <c r="AUW19" s="41"/>
      <c r="AUX19" s="41"/>
      <c r="AUY19" s="41"/>
      <c r="AUZ19" s="41"/>
      <c r="AVA19" s="41"/>
      <c r="AVB19" s="41"/>
      <c r="AVC19" s="41"/>
      <c r="AVD19" s="41"/>
      <c r="AVE19" s="41"/>
      <c r="AVF19" s="41"/>
      <c r="AVG19" s="41"/>
      <c r="AVH19" s="41"/>
      <c r="AVI19" s="41"/>
      <c r="AVJ19" s="41"/>
      <c r="AVK19" s="41"/>
      <c r="AVL19" s="41"/>
      <c r="AVM19" s="41"/>
      <c r="AVN19" s="41"/>
      <c r="AVO19" s="41"/>
      <c r="AVP19" s="41"/>
      <c r="AVQ19" s="41"/>
      <c r="AVR19" s="41"/>
      <c r="AVS19" s="41"/>
      <c r="AVT19" s="41"/>
      <c r="AVU19" s="41"/>
      <c r="AVV19" s="41"/>
      <c r="AVW19" s="41"/>
      <c r="AVX19" s="41"/>
      <c r="AVY19" s="41"/>
      <c r="AVZ19" s="41"/>
      <c r="AWA19" s="41"/>
      <c r="AWB19" s="41"/>
      <c r="AWC19" s="41"/>
      <c r="AWD19" s="41"/>
      <c r="AWE19" s="41"/>
      <c r="AWF19" s="41"/>
      <c r="AWG19" s="41"/>
      <c r="AWH19" s="41"/>
      <c r="AWI19" s="41"/>
      <c r="AWJ19" s="41"/>
      <c r="AWK19" s="41"/>
      <c r="AWL19" s="41"/>
      <c r="AWM19" s="41"/>
      <c r="AWN19" s="41"/>
      <c r="AWO19" s="41"/>
      <c r="AWP19" s="41"/>
      <c r="AWQ19" s="41"/>
      <c r="AWR19" s="41"/>
      <c r="AWS19" s="41"/>
      <c r="AWT19" s="41"/>
      <c r="AWU19" s="41"/>
      <c r="AWV19" s="41"/>
      <c r="AWW19" s="41"/>
      <c r="AWX19" s="41"/>
      <c r="AWY19" s="41"/>
      <c r="AWZ19" s="41"/>
      <c r="AXA19" s="41"/>
      <c r="AXB19" s="41"/>
      <c r="AXC19" s="41"/>
      <c r="AXD19" s="41"/>
      <c r="AXE19" s="41"/>
      <c r="AXF19" s="41"/>
      <c r="AXG19" s="41"/>
      <c r="AXH19" s="41"/>
      <c r="AXI19" s="41"/>
      <c r="AXJ19" s="41"/>
      <c r="AXK19" s="41"/>
      <c r="AXL19" s="41"/>
      <c r="AXM19" s="41"/>
      <c r="AXN19" s="41"/>
      <c r="AXO19" s="41"/>
      <c r="AXP19" s="41"/>
      <c r="AXQ19" s="41"/>
      <c r="AXR19" s="41"/>
      <c r="AXS19" s="41"/>
      <c r="AXT19" s="41"/>
      <c r="AXU19" s="41"/>
      <c r="AXV19" s="41"/>
      <c r="AXW19" s="41"/>
      <c r="AXX19" s="41"/>
      <c r="AXY19" s="41"/>
      <c r="AXZ19" s="41"/>
      <c r="AYA19" s="41"/>
      <c r="AYB19" s="41"/>
      <c r="AYC19" s="41"/>
      <c r="AYD19" s="41"/>
      <c r="AYE19" s="41"/>
      <c r="AYF19" s="41"/>
      <c r="AYG19" s="41"/>
      <c r="AYH19" s="41"/>
      <c r="AYI19" s="41"/>
      <c r="AYJ19" s="41"/>
      <c r="AYK19" s="41"/>
      <c r="AYL19" s="41"/>
      <c r="AYM19" s="41"/>
      <c r="AYN19" s="41"/>
      <c r="AYO19" s="41"/>
      <c r="AYP19" s="41"/>
      <c r="AYQ19" s="41"/>
      <c r="AYR19" s="41"/>
      <c r="AYS19" s="41"/>
      <c r="AYT19" s="41"/>
      <c r="AYU19" s="41"/>
      <c r="AYV19" s="41"/>
      <c r="AYW19" s="41"/>
      <c r="AYX19" s="41"/>
      <c r="AYY19" s="41"/>
      <c r="AYZ19" s="41"/>
      <c r="AZA19" s="41"/>
      <c r="AZB19" s="41"/>
      <c r="AZC19" s="41"/>
      <c r="AZD19" s="41"/>
      <c r="AZE19" s="41"/>
      <c r="AZF19" s="41"/>
      <c r="AZG19" s="41"/>
      <c r="AZH19" s="41"/>
      <c r="AZI19" s="41"/>
      <c r="AZJ19" s="41"/>
      <c r="AZK19" s="41"/>
      <c r="AZL19" s="41"/>
      <c r="AZM19" s="41"/>
      <c r="AZN19" s="41"/>
      <c r="AZO19" s="41"/>
      <c r="AZP19" s="41"/>
      <c r="AZQ19" s="41"/>
      <c r="AZR19" s="41"/>
      <c r="AZS19" s="41"/>
      <c r="AZT19" s="41"/>
      <c r="AZU19" s="41"/>
      <c r="AZV19" s="41"/>
      <c r="AZW19" s="41"/>
      <c r="AZX19" s="41"/>
      <c r="AZY19" s="41"/>
      <c r="AZZ19" s="41"/>
      <c r="BAA19" s="41"/>
      <c r="BAB19" s="41"/>
      <c r="BAC19" s="41"/>
      <c r="BAD19" s="41"/>
      <c r="BAE19" s="41"/>
      <c r="BAF19" s="41"/>
      <c r="BAG19" s="41"/>
      <c r="BAH19" s="41"/>
      <c r="BAI19" s="41"/>
      <c r="BAJ19" s="41"/>
      <c r="BAK19" s="41"/>
      <c r="BAL19" s="41"/>
      <c r="BAM19" s="41"/>
      <c r="BAN19" s="41"/>
      <c r="BAO19" s="41"/>
      <c r="BAP19" s="41"/>
      <c r="BAQ19" s="41"/>
      <c r="BAR19" s="41"/>
      <c r="BAS19" s="41"/>
      <c r="BAT19" s="41"/>
      <c r="BAU19" s="41"/>
      <c r="BAV19" s="41"/>
      <c r="BAW19" s="41"/>
      <c r="BAX19" s="41"/>
      <c r="BAY19" s="41"/>
      <c r="BAZ19" s="41"/>
      <c r="BBA19" s="41"/>
      <c r="BBB19" s="41"/>
      <c r="BBC19" s="41"/>
      <c r="BBD19" s="41"/>
      <c r="BBE19" s="41"/>
      <c r="BBF19" s="41"/>
      <c r="BBG19" s="41"/>
      <c r="BBH19" s="41"/>
      <c r="BBI19" s="41"/>
      <c r="BBJ19" s="41"/>
      <c r="BBK19" s="41"/>
      <c r="BBL19" s="41"/>
      <c r="BBM19" s="41"/>
      <c r="BBN19" s="41"/>
      <c r="BBO19" s="41"/>
      <c r="BBP19" s="41"/>
      <c r="BBQ19" s="41"/>
      <c r="BBR19" s="41"/>
      <c r="BBS19" s="41"/>
      <c r="BBT19" s="41"/>
      <c r="BBU19" s="41"/>
      <c r="BBV19" s="41"/>
      <c r="BBW19" s="41"/>
      <c r="BBX19" s="41"/>
      <c r="BBY19" s="41"/>
      <c r="BBZ19" s="41"/>
      <c r="BCA19" s="41"/>
      <c r="BCB19" s="41"/>
      <c r="BCC19" s="41"/>
      <c r="BCD19" s="41"/>
      <c r="BCE19" s="41"/>
      <c r="BCF19" s="41"/>
      <c r="BCG19" s="41"/>
      <c r="BCH19" s="41"/>
      <c r="BCI19" s="41"/>
      <c r="BCJ19" s="41"/>
      <c r="BCK19" s="41"/>
      <c r="BCL19" s="41"/>
      <c r="BCM19" s="41"/>
      <c r="BCN19" s="41"/>
      <c r="BCO19" s="41"/>
      <c r="BCP19" s="41"/>
      <c r="BCQ19" s="41"/>
      <c r="BCR19" s="41"/>
      <c r="BCS19" s="41"/>
      <c r="BCT19" s="41"/>
      <c r="BCU19" s="41"/>
      <c r="BCV19" s="41"/>
      <c r="BCW19" s="41"/>
      <c r="BCX19" s="41"/>
      <c r="BCY19" s="41"/>
      <c r="BCZ19" s="41"/>
      <c r="BDA19" s="41"/>
      <c r="BDB19" s="41"/>
      <c r="BDC19" s="41"/>
      <c r="BDD19" s="41"/>
      <c r="BDE19" s="41"/>
      <c r="BDF19" s="41"/>
      <c r="BDG19" s="41"/>
      <c r="BDH19" s="41"/>
      <c r="BDI19" s="41"/>
      <c r="BDJ19" s="41"/>
      <c r="BDK19" s="41"/>
      <c r="BDL19" s="41"/>
      <c r="BDM19" s="41"/>
      <c r="BDN19" s="41"/>
      <c r="BDO19" s="41"/>
      <c r="BDP19" s="41"/>
      <c r="BDQ19" s="41"/>
      <c r="BDR19" s="41"/>
      <c r="BDS19" s="41"/>
      <c r="BDT19" s="41"/>
      <c r="BDU19" s="41"/>
      <c r="BDV19" s="41"/>
      <c r="BDW19" s="41"/>
      <c r="BDX19" s="41"/>
      <c r="BDY19" s="41"/>
      <c r="BDZ19" s="41"/>
      <c r="BEA19" s="41"/>
      <c r="BEB19" s="41"/>
      <c r="BEC19" s="41"/>
      <c r="BED19" s="41"/>
      <c r="BEE19" s="41"/>
      <c r="BEF19" s="41"/>
      <c r="BEG19" s="41"/>
      <c r="BEH19" s="41"/>
      <c r="BEI19" s="41"/>
      <c r="BEJ19" s="41"/>
      <c r="BEK19" s="41"/>
      <c r="BEL19" s="41"/>
      <c r="BEM19" s="41"/>
      <c r="BEN19" s="41"/>
      <c r="BEO19" s="41"/>
      <c r="BEP19" s="41"/>
      <c r="BEQ19" s="41"/>
      <c r="BER19" s="41"/>
      <c r="BES19" s="41"/>
      <c r="BET19" s="41"/>
      <c r="BEU19" s="41"/>
      <c r="BEV19" s="41"/>
      <c r="BEW19" s="41"/>
      <c r="BEX19" s="41"/>
      <c r="BEY19" s="41"/>
      <c r="BEZ19" s="41"/>
      <c r="BFA19" s="41"/>
      <c r="BFB19" s="41"/>
      <c r="BFC19" s="41"/>
      <c r="BFD19" s="41"/>
      <c r="BFE19" s="41"/>
      <c r="BFF19" s="41"/>
      <c r="BFG19" s="41"/>
      <c r="BFH19" s="41"/>
      <c r="BFI19" s="41"/>
      <c r="BFJ19" s="41"/>
      <c r="BFK19" s="41"/>
      <c r="BFL19" s="41"/>
      <c r="BFM19" s="41"/>
      <c r="BFN19" s="41"/>
      <c r="BFO19" s="41"/>
      <c r="BFP19" s="41"/>
      <c r="BFQ19" s="41"/>
      <c r="BFR19" s="41"/>
      <c r="BFS19" s="41"/>
      <c r="BFT19" s="41"/>
      <c r="BFU19" s="41"/>
      <c r="BFV19" s="41"/>
      <c r="BFW19" s="41"/>
      <c r="BFX19" s="41"/>
      <c r="BFY19" s="41"/>
      <c r="BFZ19" s="41"/>
      <c r="BGA19" s="41"/>
      <c r="BGB19" s="41"/>
      <c r="BGC19" s="41"/>
      <c r="BGD19" s="41"/>
      <c r="BGE19" s="41"/>
      <c r="BGF19" s="41"/>
      <c r="BGG19" s="41"/>
      <c r="BGH19" s="41"/>
      <c r="BGI19" s="41"/>
      <c r="BGJ19" s="41"/>
      <c r="BGK19" s="41"/>
      <c r="BGL19" s="41"/>
      <c r="BGM19" s="41"/>
      <c r="BGN19" s="41"/>
      <c r="BGO19" s="41"/>
      <c r="BGP19" s="41"/>
      <c r="BGQ19" s="41"/>
      <c r="BGR19" s="41"/>
      <c r="BGS19" s="41"/>
      <c r="BGT19" s="41"/>
      <c r="BGU19" s="41"/>
      <c r="BGV19" s="41"/>
      <c r="BGW19" s="41"/>
      <c r="BGX19" s="41"/>
      <c r="BGY19" s="41"/>
      <c r="BGZ19" s="41"/>
      <c r="BHA19" s="41"/>
      <c r="BHB19" s="41"/>
      <c r="BHC19" s="41"/>
      <c r="BHD19" s="41"/>
      <c r="BHE19" s="41"/>
      <c r="BHF19" s="41"/>
      <c r="BHG19" s="41"/>
      <c r="BHH19" s="41"/>
      <c r="BHI19" s="41"/>
      <c r="BHJ19" s="41"/>
      <c r="BHK19" s="41"/>
      <c r="BHL19" s="41"/>
      <c r="BHM19" s="41"/>
      <c r="BHN19" s="41"/>
      <c r="BHO19" s="41"/>
      <c r="BHP19" s="41"/>
      <c r="BHQ19" s="41"/>
      <c r="BHR19" s="41"/>
      <c r="BHS19" s="41"/>
      <c r="BHT19" s="41"/>
      <c r="BHU19" s="41"/>
      <c r="BHV19" s="41"/>
      <c r="BHW19" s="41"/>
      <c r="BHX19" s="41"/>
      <c r="BHY19" s="41"/>
      <c r="BHZ19" s="41"/>
      <c r="BIA19" s="41"/>
      <c r="BIB19" s="41"/>
      <c r="BIC19" s="41"/>
      <c r="BID19" s="41"/>
      <c r="BIE19" s="41"/>
      <c r="BIF19" s="41"/>
      <c r="BIG19" s="41"/>
      <c r="BIH19" s="41"/>
      <c r="BII19" s="41"/>
      <c r="BIJ19" s="41"/>
      <c r="BIK19" s="41"/>
      <c r="BIL19" s="41"/>
      <c r="BIM19" s="41"/>
      <c r="BIN19" s="41"/>
      <c r="BIO19" s="41"/>
      <c r="BIP19" s="41"/>
      <c r="BIQ19" s="41"/>
      <c r="BIR19" s="41"/>
      <c r="BIS19" s="41"/>
      <c r="BIT19" s="41"/>
      <c r="BIU19" s="41"/>
      <c r="BIV19" s="41"/>
      <c r="BIW19" s="41"/>
      <c r="BIX19" s="41"/>
      <c r="BIY19" s="41"/>
      <c r="BIZ19" s="41"/>
      <c r="BJA19" s="41"/>
      <c r="BJB19" s="41"/>
      <c r="BJC19" s="41"/>
      <c r="BJD19" s="41"/>
      <c r="BJE19" s="41"/>
      <c r="BJF19" s="41"/>
      <c r="BJG19" s="41"/>
      <c r="BJH19" s="41"/>
      <c r="BJI19" s="41"/>
      <c r="BJJ19" s="41"/>
      <c r="BJK19" s="41"/>
      <c r="BJL19" s="41"/>
      <c r="BJM19" s="41"/>
      <c r="BJN19" s="41"/>
      <c r="BJO19" s="41"/>
      <c r="BJP19" s="41"/>
      <c r="BJQ19" s="41"/>
      <c r="BJR19" s="41"/>
      <c r="BJS19" s="41"/>
      <c r="BJT19" s="41"/>
      <c r="BJU19" s="41"/>
      <c r="BJV19" s="41"/>
      <c r="BJW19" s="41"/>
      <c r="BJX19" s="41"/>
      <c r="BJY19" s="41"/>
      <c r="BJZ19" s="41"/>
      <c r="BKA19" s="41"/>
      <c r="BKB19" s="41"/>
      <c r="BKC19" s="41"/>
      <c r="BKD19" s="41"/>
      <c r="BKE19" s="41"/>
      <c r="BKF19" s="41"/>
      <c r="BKG19" s="41"/>
      <c r="BKH19" s="41"/>
      <c r="BKI19" s="41"/>
      <c r="BKJ19" s="41"/>
      <c r="BKK19" s="41"/>
      <c r="BKL19" s="41"/>
      <c r="BKM19" s="41"/>
      <c r="BKN19" s="41"/>
      <c r="BKO19" s="41"/>
      <c r="BKP19" s="41"/>
      <c r="BKQ19" s="41"/>
      <c r="BKR19" s="41"/>
      <c r="BKS19" s="41"/>
      <c r="BKT19" s="41"/>
      <c r="BKU19" s="41"/>
      <c r="BKV19" s="41"/>
      <c r="BKW19" s="41"/>
      <c r="BKX19" s="41"/>
      <c r="BKY19" s="41"/>
      <c r="BKZ19" s="41"/>
      <c r="BLA19" s="41"/>
      <c r="BLB19" s="41"/>
      <c r="BLC19" s="41"/>
      <c r="BLD19" s="41"/>
      <c r="BLE19" s="41"/>
      <c r="BLF19" s="41"/>
      <c r="BLG19" s="41"/>
      <c r="BLH19" s="41"/>
      <c r="BLI19" s="41"/>
      <c r="BLJ19" s="41"/>
      <c r="BLK19" s="41"/>
      <c r="BLL19" s="41"/>
      <c r="BLM19" s="41"/>
      <c r="BLN19" s="41"/>
      <c r="BLO19" s="41"/>
      <c r="BLP19" s="41"/>
      <c r="BLQ19" s="41"/>
      <c r="BLR19" s="41"/>
      <c r="BLS19" s="41"/>
      <c r="BLT19" s="41"/>
      <c r="BLU19" s="41"/>
      <c r="BLV19" s="41"/>
      <c r="BLW19" s="41"/>
      <c r="BLX19" s="41"/>
      <c r="BLY19" s="41"/>
      <c r="BLZ19" s="41"/>
      <c r="BMA19" s="41"/>
      <c r="BMB19" s="41"/>
      <c r="BMC19" s="41"/>
      <c r="BMD19" s="41"/>
      <c r="BME19" s="41"/>
      <c r="BMF19" s="41"/>
      <c r="BMG19" s="41"/>
      <c r="BMH19" s="41"/>
      <c r="BMI19" s="41"/>
      <c r="BMJ19" s="41"/>
      <c r="BMK19" s="41"/>
      <c r="BML19" s="41"/>
      <c r="BMM19" s="41"/>
      <c r="BMN19" s="41"/>
      <c r="BMO19" s="41"/>
      <c r="BMP19" s="41"/>
      <c r="BMQ19" s="41"/>
      <c r="BMR19" s="41"/>
      <c r="BMS19" s="41"/>
      <c r="BMT19" s="41"/>
      <c r="BMU19" s="41"/>
      <c r="BMV19" s="41"/>
      <c r="BMW19" s="41"/>
      <c r="BMX19" s="41"/>
      <c r="BMY19" s="41"/>
      <c r="BMZ19" s="41"/>
      <c r="BNA19" s="41"/>
      <c r="BNB19" s="41"/>
      <c r="BNC19" s="41"/>
      <c r="BND19" s="41"/>
      <c r="BNE19" s="41"/>
      <c r="BNF19" s="41"/>
      <c r="BNG19" s="41"/>
      <c r="BNH19" s="41"/>
      <c r="BNI19" s="41"/>
      <c r="BNJ19" s="41"/>
      <c r="BNK19" s="41"/>
      <c r="BNL19" s="41"/>
      <c r="BNM19" s="41"/>
      <c r="BNN19" s="41"/>
      <c r="BNO19" s="41"/>
      <c r="BNP19" s="41"/>
      <c r="BNQ19" s="41"/>
      <c r="BNR19" s="41"/>
      <c r="BNS19" s="41"/>
      <c r="BNT19" s="41"/>
      <c r="BNU19" s="41"/>
      <c r="BNV19" s="41"/>
      <c r="BNW19" s="41"/>
      <c r="BNX19" s="41"/>
      <c r="BNY19" s="41"/>
      <c r="BNZ19" s="41"/>
      <c r="BOA19" s="41"/>
      <c r="BOB19" s="41"/>
      <c r="BOC19" s="41"/>
      <c r="BOD19" s="41"/>
      <c r="BOE19" s="41"/>
      <c r="BOF19" s="41"/>
      <c r="BOG19" s="41"/>
      <c r="BOH19" s="41"/>
      <c r="BOI19" s="41"/>
      <c r="BOJ19" s="41"/>
      <c r="BOK19" s="41"/>
      <c r="BOL19" s="41"/>
      <c r="BOM19" s="41"/>
      <c r="BON19" s="41"/>
      <c r="BOO19" s="41"/>
      <c r="BOP19" s="41"/>
      <c r="BOQ19" s="41"/>
      <c r="BOR19" s="41"/>
      <c r="BOS19" s="41"/>
      <c r="BOT19" s="41"/>
      <c r="BOU19" s="41"/>
      <c r="BOV19" s="41"/>
      <c r="BOW19" s="41"/>
      <c r="BOX19" s="41"/>
      <c r="BOY19" s="41"/>
      <c r="BOZ19" s="41"/>
      <c r="BPA19" s="41"/>
      <c r="BPB19" s="41"/>
      <c r="BPC19" s="41"/>
      <c r="BPD19" s="41"/>
      <c r="BPE19" s="41"/>
      <c r="BPF19" s="41"/>
      <c r="BPG19" s="41"/>
      <c r="BPH19" s="41"/>
      <c r="BPI19" s="41"/>
      <c r="BPJ19" s="41"/>
      <c r="BPK19" s="41"/>
      <c r="BPL19" s="41"/>
      <c r="BPM19" s="41"/>
      <c r="BPN19" s="41"/>
      <c r="BPO19" s="41"/>
      <c r="BPP19" s="41"/>
      <c r="BPQ19" s="41"/>
      <c r="BPR19" s="41"/>
      <c r="BPS19" s="41"/>
      <c r="BPT19" s="41"/>
      <c r="BPU19" s="41"/>
      <c r="BPV19" s="41"/>
      <c r="BPW19" s="41"/>
      <c r="BPX19" s="41"/>
      <c r="BPY19" s="41"/>
      <c r="BPZ19" s="41"/>
      <c r="BQA19" s="41"/>
      <c r="BQB19" s="41"/>
      <c r="BQC19" s="41"/>
      <c r="BQD19" s="41"/>
      <c r="BQE19" s="41"/>
      <c r="BQF19" s="41"/>
      <c r="BQG19" s="41"/>
      <c r="BQH19" s="41"/>
      <c r="BQI19" s="41"/>
      <c r="BQJ19" s="41"/>
      <c r="BQK19" s="41"/>
      <c r="BQL19" s="41"/>
      <c r="BQM19" s="41"/>
      <c r="BQN19" s="41"/>
      <c r="BQO19" s="41"/>
      <c r="BQP19" s="41"/>
      <c r="BQQ19" s="41"/>
      <c r="BQR19" s="41"/>
      <c r="BQS19" s="41"/>
      <c r="BQT19" s="41"/>
      <c r="BQU19" s="41"/>
      <c r="BQV19" s="41"/>
      <c r="BQW19" s="41"/>
      <c r="BQX19" s="41"/>
      <c r="BQY19" s="41"/>
      <c r="BQZ19" s="41"/>
      <c r="BRA19" s="41"/>
      <c r="BRB19" s="41"/>
      <c r="BRC19" s="41"/>
      <c r="BRD19" s="41"/>
      <c r="BRE19" s="41"/>
      <c r="BRF19" s="41"/>
      <c r="BRG19" s="41"/>
      <c r="BRH19" s="41"/>
      <c r="BRI19" s="41"/>
      <c r="BRJ19" s="41"/>
      <c r="BRK19" s="41"/>
      <c r="BRL19" s="41"/>
      <c r="BRM19" s="41"/>
      <c r="BRN19" s="41"/>
      <c r="BRO19" s="41"/>
      <c r="BRP19" s="41"/>
      <c r="BRQ19" s="41"/>
      <c r="BRR19" s="41"/>
      <c r="BRS19" s="41"/>
      <c r="BRT19" s="41"/>
      <c r="BRU19" s="41"/>
      <c r="BRV19" s="41"/>
      <c r="BRW19" s="41"/>
      <c r="BRX19" s="41"/>
      <c r="BRY19" s="41"/>
      <c r="BRZ19" s="41"/>
      <c r="BSA19" s="41"/>
      <c r="BSB19" s="41"/>
      <c r="BSC19" s="41"/>
      <c r="BSD19" s="41"/>
      <c r="BSE19" s="41"/>
      <c r="BSF19" s="41"/>
      <c r="BSG19" s="41"/>
      <c r="BSH19" s="41"/>
      <c r="BSI19" s="41"/>
      <c r="BSJ19" s="41"/>
      <c r="BSK19" s="41"/>
      <c r="BSL19" s="41"/>
      <c r="BSM19" s="41"/>
      <c r="BSN19" s="41"/>
      <c r="BSO19" s="41"/>
      <c r="BSP19" s="41"/>
      <c r="BSQ19" s="41"/>
      <c r="BSR19" s="41"/>
      <c r="BSS19" s="41"/>
      <c r="BST19" s="41"/>
      <c r="BSU19" s="41"/>
      <c r="BSV19" s="41"/>
      <c r="BSW19" s="41"/>
      <c r="BSX19" s="41"/>
      <c r="BSY19" s="41"/>
      <c r="BSZ19" s="41"/>
      <c r="BTA19" s="41"/>
      <c r="BTB19" s="41"/>
      <c r="BTC19" s="41"/>
      <c r="BTD19" s="41"/>
      <c r="BTE19" s="41"/>
      <c r="BTF19" s="41"/>
      <c r="BTG19" s="41"/>
      <c r="BTH19" s="41"/>
      <c r="BTI19" s="41"/>
      <c r="BTJ19" s="41"/>
      <c r="BTK19" s="41"/>
      <c r="BTL19" s="41"/>
      <c r="BTM19" s="41"/>
      <c r="BTN19" s="41"/>
      <c r="BTO19" s="41"/>
      <c r="BTP19" s="41"/>
      <c r="BTQ19" s="41"/>
      <c r="BTR19" s="41"/>
      <c r="BTS19" s="41"/>
      <c r="BTT19" s="41"/>
      <c r="BTU19" s="41"/>
      <c r="BTV19" s="41"/>
      <c r="BTW19" s="41"/>
      <c r="BTX19" s="41"/>
      <c r="BTY19" s="41"/>
      <c r="BTZ19" s="41"/>
      <c r="BUA19" s="41"/>
      <c r="BUB19" s="41"/>
      <c r="BUC19" s="41"/>
      <c r="BUD19" s="41"/>
      <c r="BUE19" s="41"/>
      <c r="BUF19" s="41"/>
      <c r="BUG19" s="41"/>
      <c r="BUH19" s="41"/>
      <c r="BUI19" s="41"/>
      <c r="BUJ19" s="41"/>
      <c r="BUK19" s="41"/>
      <c r="BUL19" s="41"/>
      <c r="BUM19" s="41"/>
      <c r="BUN19" s="41"/>
      <c r="BUO19" s="41"/>
      <c r="BUP19" s="41"/>
      <c r="BUQ19" s="41"/>
      <c r="BUR19" s="41"/>
      <c r="BUS19" s="41"/>
      <c r="BUT19" s="41"/>
      <c r="BUU19" s="41"/>
      <c r="BUV19" s="41"/>
      <c r="BUW19" s="41"/>
      <c r="BUX19" s="41"/>
      <c r="BUY19" s="41"/>
      <c r="BUZ19" s="41"/>
      <c r="BVA19" s="41"/>
      <c r="BVB19" s="41"/>
      <c r="BVC19" s="41"/>
      <c r="BVD19" s="41"/>
      <c r="BVE19" s="41"/>
      <c r="BVF19" s="41"/>
      <c r="BVG19" s="41"/>
      <c r="BVH19" s="41"/>
      <c r="BVI19" s="41"/>
      <c r="BVJ19" s="41"/>
      <c r="BVK19" s="41"/>
      <c r="BVL19" s="41"/>
      <c r="BVM19" s="41"/>
      <c r="BVN19" s="41"/>
      <c r="BVO19" s="41"/>
      <c r="BVP19" s="41"/>
      <c r="BVQ19" s="41"/>
      <c r="BVR19" s="41"/>
      <c r="BVS19" s="41"/>
      <c r="BVT19" s="41"/>
      <c r="BVU19" s="41"/>
      <c r="BVV19" s="41"/>
      <c r="BVW19" s="41"/>
      <c r="BVX19" s="41"/>
      <c r="BVY19" s="41"/>
      <c r="BVZ19" s="41"/>
      <c r="BWA19" s="41"/>
      <c r="BWB19" s="41"/>
      <c r="BWC19" s="41"/>
      <c r="BWD19" s="41"/>
      <c r="BWE19" s="41"/>
      <c r="BWF19" s="41"/>
      <c r="BWG19" s="41"/>
      <c r="BWH19" s="41"/>
      <c r="BWI19" s="41"/>
      <c r="BWJ19" s="41"/>
      <c r="BWK19" s="41"/>
      <c r="BWL19" s="41"/>
      <c r="BWM19" s="41"/>
      <c r="BWN19" s="41"/>
      <c r="BWO19" s="41"/>
      <c r="BWP19" s="41"/>
      <c r="BWQ19" s="41"/>
      <c r="BWR19" s="41"/>
      <c r="BWS19" s="41"/>
      <c r="BWT19" s="41"/>
      <c r="BWU19" s="41"/>
      <c r="BWV19" s="41"/>
      <c r="BWW19" s="41"/>
      <c r="BWX19" s="41"/>
      <c r="BWY19" s="41"/>
      <c r="BWZ19" s="41"/>
      <c r="BXA19" s="41"/>
      <c r="BXB19" s="41"/>
      <c r="BXC19" s="41"/>
      <c r="BXD19" s="41"/>
      <c r="BXE19" s="41"/>
      <c r="BXF19" s="41"/>
      <c r="BXG19" s="41"/>
      <c r="BXH19" s="41"/>
      <c r="BXI19" s="41"/>
      <c r="BXJ19" s="41"/>
      <c r="BXK19" s="41"/>
      <c r="BXL19" s="41"/>
      <c r="BXM19" s="41"/>
      <c r="BXN19" s="41"/>
      <c r="BXO19" s="41"/>
      <c r="BXP19" s="41"/>
      <c r="BXQ19" s="41"/>
      <c r="BXR19" s="41"/>
      <c r="BXS19" s="41"/>
      <c r="BXT19" s="41"/>
      <c r="BXU19" s="41"/>
      <c r="BXV19" s="41"/>
      <c r="BXW19" s="41"/>
      <c r="BXX19" s="41"/>
      <c r="BXY19" s="41"/>
      <c r="BXZ19" s="41"/>
      <c r="BYA19" s="41"/>
      <c r="BYB19" s="41"/>
      <c r="BYC19" s="41"/>
      <c r="BYD19" s="41"/>
      <c r="BYE19" s="41"/>
      <c r="BYF19" s="41"/>
      <c r="BYG19" s="41"/>
      <c r="BYH19" s="41"/>
      <c r="BYI19" s="41"/>
      <c r="BYJ19" s="41"/>
      <c r="BYK19" s="41"/>
      <c r="BYL19" s="41"/>
      <c r="BYM19" s="41"/>
      <c r="BYN19" s="41"/>
      <c r="BYO19" s="41"/>
      <c r="BYP19" s="41"/>
      <c r="BYQ19" s="41"/>
      <c r="BYR19" s="41"/>
      <c r="BYS19" s="41"/>
      <c r="BYT19" s="41"/>
      <c r="BYU19" s="41"/>
      <c r="BYV19" s="41"/>
      <c r="BYW19" s="41"/>
      <c r="BYX19" s="41"/>
      <c r="BYY19" s="41"/>
      <c r="BYZ19" s="41"/>
      <c r="BZA19" s="41"/>
      <c r="BZB19" s="41"/>
      <c r="BZC19" s="41"/>
      <c r="BZD19" s="41"/>
      <c r="BZE19" s="41"/>
      <c r="BZF19" s="41"/>
      <c r="BZG19" s="41"/>
      <c r="BZH19" s="41"/>
      <c r="BZI19" s="41"/>
      <c r="BZJ19" s="41"/>
      <c r="BZK19" s="41"/>
      <c r="BZL19" s="41"/>
      <c r="BZM19" s="41"/>
      <c r="BZN19" s="41"/>
      <c r="BZO19" s="41"/>
      <c r="BZP19" s="41"/>
      <c r="BZQ19" s="41"/>
      <c r="BZR19" s="41"/>
      <c r="BZS19" s="41"/>
      <c r="BZT19" s="41"/>
      <c r="BZU19" s="41"/>
      <c r="BZV19" s="41"/>
      <c r="BZW19" s="41"/>
      <c r="BZX19" s="41"/>
      <c r="BZY19" s="41"/>
      <c r="BZZ19" s="41"/>
      <c r="CAA19" s="41"/>
      <c r="CAB19" s="41"/>
      <c r="CAC19" s="41"/>
      <c r="CAD19" s="41"/>
      <c r="CAE19" s="41"/>
      <c r="CAF19" s="41"/>
      <c r="CAG19" s="41"/>
      <c r="CAH19" s="41"/>
      <c r="CAI19" s="41"/>
      <c r="CAJ19" s="41"/>
      <c r="CAK19" s="41"/>
      <c r="CAL19" s="41"/>
      <c r="CAM19" s="41"/>
      <c r="CAN19" s="41"/>
      <c r="CAO19" s="41"/>
      <c r="CAP19" s="41"/>
      <c r="CAQ19" s="41"/>
      <c r="CAR19" s="41"/>
      <c r="CAS19" s="41"/>
      <c r="CAT19" s="41"/>
      <c r="CAU19" s="41"/>
      <c r="CAV19" s="41"/>
      <c r="CAW19" s="41"/>
      <c r="CAX19" s="41"/>
      <c r="CAY19" s="41"/>
      <c r="CAZ19" s="41"/>
      <c r="CBA19" s="41"/>
      <c r="CBB19" s="41"/>
      <c r="CBC19" s="41"/>
      <c r="CBD19" s="41"/>
      <c r="CBE19" s="41"/>
      <c r="CBF19" s="41"/>
      <c r="CBG19" s="41"/>
      <c r="CBH19" s="41"/>
      <c r="CBI19" s="41"/>
      <c r="CBJ19" s="41"/>
      <c r="CBK19" s="41"/>
      <c r="CBL19" s="41"/>
      <c r="CBM19" s="41"/>
      <c r="CBN19" s="41"/>
      <c r="CBO19" s="41"/>
      <c r="CBP19" s="41"/>
      <c r="CBQ19" s="41"/>
      <c r="CBR19" s="41"/>
      <c r="CBS19" s="41"/>
      <c r="CBT19" s="41"/>
      <c r="CBU19" s="41"/>
      <c r="CBV19" s="41"/>
      <c r="CBW19" s="41"/>
      <c r="CBX19" s="41"/>
      <c r="CBY19" s="41"/>
      <c r="CBZ19" s="41"/>
      <c r="CCA19" s="41"/>
      <c r="CCB19" s="41"/>
      <c r="CCC19" s="41"/>
      <c r="CCD19" s="41"/>
      <c r="CCE19" s="41"/>
      <c r="CCF19" s="41"/>
      <c r="CCG19" s="41"/>
      <c r="CCH19" s="41"/>
      <c r="CCI19" s="41"/>
      <c r="CCJ19" s="41"/>
      <c r="CCK19" s="41"/>
      <c r="CCL19" s="41"/>
      <c r="CCM19" s="41"/>
      <c r="CCN19" s="41"/>
      <c r="CCO19" s="41"/>
      <c r="CCP19" s="41"/>
      <c r="CCQ19" s="41"/>
      <c r="CCR19" s="41"/>
      <c r="CCS19" s="41"/>
      <c r="CCT19" s="41"/>
      <c r="CCU19" s="41"/>
      <c r="CCV19" s="41"/>
      <c r="CCW19" s="41"/>
      <c r="CCX19" s="41"/>
      <c r="CCY19" s="41"/>
      <c r="CCZ19" s="41"/>
      <c r="CDA19" s="41"/>
      <c r="CDB19" s="41"/>
      <c r="CDC19" s="41"/>
      <c r="CDD19" s="41"/>
      <c r="CDE19" s="41"/>
      <c r="CDF19" s="41"/>
      <c r="CDG19" s="41"/>
      <c r="CDH19" s="41"/>
      <c r="CDI19" s="41"/>
      <c r="CDJ19" s="41"/>
      <c r="CDK19" s="41"/>
      <c r="CDL19" s="41"/>
      <c r="CDM19" s="41"/>
      <c r="CDN19" s="41"/>
      <c r="CDO19" s="41"/>
      <c r="CDP19" s="41"/>
      <c r="CDQ19" s="41"/>
      <c r="CDR19" s="41"/>
      <c r="CDS19" s="41"/>
      <c r="CDT19" s="41"/>
      <c r="CDU19" s="41"/>
      <c r="CDV19" s="41"/>
      <c r="CDW19" s="41"/>
      <c r="CDX19" s="41"/>
      <c r="CDY19" s="41"/>
      <c r="CDZ19" s="41"/>
      <c r="CEA19" s="41"/>
      <c r="CEB19" s="41"/>
      <c r="CEC19" s="41"/>
      <c r="CED19" s="41"/>
      <c r="CEE19" s="41"/>
      <c r="CEF19" s="41"/>
      <c r="CEG19" s="41"/>
      <c r="CEH19" s="41"/>
      <c r="CEI19" s="41"/>
      <c r="CEJ19" s="41"/>
      <c r="CEK19" s="41"/>
      <c r="CEL19" s="41"/>
      <c r="CEM19" s="41"/>
      <c r="CEN19" s="41"/>
      <c r="CEO19" s="41"/>
      <c r="CEP19" s="41"/>
      <c r="CEQ19" s="41"/>
      <c r="CER19" s="41"/>
      <c r="CES19" s="41"/>
      <c r="CET19" s="41"/>
      <c r="CEU19" s="41"/>
      <c r="CEV19" s="41"/>
      <c r="CEW19" s="41"/>
      <c r="CEX19" s="41"/>
      <c r="CEY19" s="41"/>
      <c r="CEZ19" s="41"/>
      <c r="CFA19" s="41"/>
      <c r="CFB19" s="41"/>
      <c r="CFC19" s="41"/>
      <c r="CFD19" s="41"/>
      <c r="CFE19" s="41"/>
      <c r="CFF19" s="41"/>
      <c r="CFG19" s="41"/>
      <c r="CFH19" s="41"/>
      <c r="CFI19" s="41"/>
      <c r="CFJ19" s="41"/>
      <c r="CFK19" s="41"/>
      <c r="CFL19" s="41"/>
      <c r="CFM19" s="41"/>
      <c r="CFN19" s="41"/>
      <c r="CFO19" s="41"/>
      <c r="CFP19" s="41"/>
      <c r="CFQ19" s="41"/>
      <c r="CFR19" s="41"/>
      <c r="CFS19" s="41"/>
      <c r="CFT19" s="41"/>
      <c r="CFU19" s="41"/>
      <c r="CFV19" s="41"/>
      <c r="CFW19" s="41"/>
      <c r="CFX19" s="41"/>
      <c r="CFY19" s="41"/>
      <c r="CFZ19" s="41"/>
      <c r="CGA19" s="41"/>
      <c r="CGB19" s="41"/>
      <c r="CGC19" s="41"/>
      <c r="CGD19" s="41"/>
      <c r="CGE19" s="41"/>
      <c r="CGF19" s="41"/>
      <c r="CGG19" s="41"/>
      <c r="CGH19" s="41"/>
      <c r="CGI19" s="41"/>
      <c r="CGJ19" s="41"/>
      <c r="CGK19" s="41"/>
      <c r="CGL19" s="41"/>
      <c r="CGM19" s="41"/>
      <c r="CGN19" s="41"/>
      <c r="CGO19" s="41"/>
      <c r="CGP19" s="41"/>
      <c r="CGQ19" s="41"/>
      <c r="CGR19" s="41"/>
      <c r="CGS19" s="41"/>
      <c r="CGT19" s="41"/>
      <c r="CGU19" s="41"/>
      <c r="CGV19" s="41"/>
      <c r="CGW19" s="41"/>
      <c r="CGX19" s="41"/>
      <c r="CGY19" s="41"/>
      <c r="CGZ19" s="41"/>
      <c r="CHA19" s="41"/>
      <c r="CHB19" s="41"/>
      <c r="CHC19" s="41"/>
      <c r="CHD19" s="41"/>
      <c r="CHE19" s="41"/>
      <c r="CHF19" s="41"/>
      <c r="CHG19" s="41"/>
      <c r="CHH19" s="41"/>
      <c r="CHI19" s="41"/>
      <c r="CHJ19" s="41"/>
      <c r="CHK19" s="41"/>
      <c r="CHL19" s="41"/>
      <c r="CHM19" s="41"/>
      <c r="CHN19" s="41"/>
      <c r="CHO19" s="41"/>
      <c r="CHP19" s="41"/>
      <c r="CHQ19" s="41"/>
      <c r="CHR19" s="41"/>
      <c r="CHS19" s="41"/>
      <c r="CHT19" s="41"/>
      <c r="CHU19" s="41"/>
      <c r="CHV19" s="41"/>
      <c r="CHW19" s="41"/>
      <c r="CHX19" s="41"/>
      <c r="CHY19" s="41"/>
      <c r="CHZ19" s="41"/>
      <c r="CIA19" s="41"/>
      <c r="CIB19" s="41"/>
      <c r="CIC19" s="41"/>
      <c r="CID19" s="41"/>
      <c r="CIE19" s="41"/>
      <c r="CIF19" s="41"/>
      <c r="CIG19" s="41"/>
      <c r="CIH19" s="41"/>
      <c r="CII19" s="41"/>
      <c r="CIJ19" s="41"/>
      <c r="CIK19" s="41"/>
      <c r="CIL19" s="41"/>
      <c r="CIM19" s="41"/>
      <c r="CIN19" s="41"/>
      <c r="CIO19" s="41"/>
      <c r="CIP19" s="41"/>
      <c r="CIQ19" s="41"/>
      <c r="CIR19" s="41"/>
      <c r="CIS19" s="41"/>
      <c r="CIT19" s="41"/>
      <c r="CIU19" s="41"/>
      <c r="CIV19" s="41"/>
      <c r="CIW19" s="41"/>
      <c r="CIX19" s="41"/>
      <c r="CIY19" s="41"/>
      <c r="CIZ19" s="41"/>
      <c r="CJA19" s="41"/>
      <c r="CJB19" s="41"/>
      <c r="CJC19" s="41"/>
      <c r="CJD19" s="41"/>
      <c r="CJE19" s="41"/>
      <c r="CJF19" s="41"/>
      <c r="CJG19" s="41"/>
      <c r="CJH19" s="41"/>
      <c r="CJI19" s="41"/>
      <c r="CJJ19" s="41"/>
      <c r="CJK19" s="41"/>
      <c r="CJL19" s="41"/>
      <c r="CJM19" s="41"/>
      <c r="CJN19" s="41"/>
      <c r="CJO19" s="41"/>
      <c r="CJP19" s="41"/>
      <c r="CJQ19" s="41"/>
      <c r="CJR19" s="41"/>
      <c r="CJS19" s="41"/>
      <c r="CJT19" s="41"/>
      <c r="CJU19" s="41"/>
      <c r="CJV19" s="41"/>
      <c r="CJW19" s="41"/>
      <c r="CJX19" s="41"/>
      <c r="CJY19" s="41"/>
      <c r="CJZ19" s="41"/>
      <c r="CKA19" s="41"/>
      <c r="CKB19" s="41"/>
      <c r="CKC19" s="41"/>
      <c r="CKD19" s="41"/>
      <c r="CKE19" s="41"/>
      <c r="CKF19" s="41"/>
      <c r="CKG19" s="41"/>
      <c r="CKH19" s="41"/>
      <c r="CKI19" s="41"/>
      <c r="CKJ19" s="41"/>
      <c r="CKK19" s="41"/>
      <c r="CKL19" s="41"/>
      <c r="CKM19" s="41"/>
      <c r="CKN19" s="41"/>
      <c r="CKO19" s="41"/>
      <c r="CKP19" s="41"/>
      <c r="CKQ19" s="41"/>
      <c r="CKR19" s="41"/>
      <c r="CKS19" s="41"/>
      <c r="CKT19" s="41"/>
      <c r="CKU19" s="41"/>
      <c r="CKV19" s="41"/>
      <c r="CKW19" s="41"/>
      <c r="CKX19" s="41"/>
      <c r="CKY19" s="41"/>
      <c r="CKZ19" s="41"/>
      <c r="CLA19" s="41"/>
      <c r="CLB19" s="41"/>
      <c r="CLC19" s="41"/>
      <c r="CLD19" s="41"/>
      <c r="CLE19" s="41"/>
      <c r="CLF19" s="41"/>
      <c r="CLG19" s="41"/>
      <c r="CLH19" s="41"/>
      <c r="CLI19" s="41"/>
      <c r="CLJ19" s="41"/>
      <c r="CLK19" s="41"/>
      <c r="CLL19" s="41"/>
      <c r="CLM19" s="41"/>
      <c r="CLN19" s="41"/>
      <c r="CLO19" s="41"/>
      <c r="CLP19" s="41"/>
      <c r="CLQ19" s="41"/>
      <c r="CLR19" s="41"/>
      <c r="CLS19" s="41"/>
      <c r="CLT19" s="41"/>
      <c r="CLU19" s="41"/>
      <c r="CLV19" s="41"/>
      <c r="CLW19" s="41"/>
      <c r="CLX19" s="41"/>
      <c r="CLY19" s="41"/>
      <c r="CLZ19" s="41"/>
      <c r="CMA19" s="41"/>
      <c r="CMB19" s="41"/>
      <c r="CMC19" s="41"/>
      <c r="CMD19" s="41"/>
      <c r="CME19" s="41"/>
      <c r="CMF19" s="41"/>
      <c r="CMG19" s="41"/>
      <c r="CMH19" s="41"/>
      <c r="CMI19" s="41"/>
      <c r="CMJ19" s="41"/>
      <c r="CMK19" s="41"/>
      <c r="CML19" s="41"/>
      <c r="CMM19" s="41"/>
      <c r="CMN19" s="41"/>
      <c r="CMO19" s="41"/>
      <c r="CMP19" s="41"/>
      <c r="CMQ19" s="41"/>
      <c r="CMR19" s="41"/>
      <c r="CMS19" s="41"/>
      <c r="CMT19" s="41"/>
      <c r="CMU19" s="41"/>
      <c r="CMV19" s="41"/>
      <c r="CMW19" s="41"/>
      <c r="CMX19" s="41"/>
      <c r="CMY19" s="41"/>
      <c r="CMZ19" s="41"/>
      <c r="CNA19" s="41"/>
      <c r="CNB19" s="41"/>
      <c r="CNC19" s="41"/>
      <c r="CND19" s="41"/>
      <c r="CNE19" s="41"/>
      <c r="CNF19" s="41"/>
      <c r="CNG19" s="41"/>
      <c r="CNH19" s="41"/>
      <c r="CNI19" s="41"/>
      <c r="CNJ19" s="41"/>
      <c r="CNK19" s="41"/>
      <c r="CNL19" s="41"/>
      <c r="CNM19" s="41"/>
      <c r="CNN19" s="41"/>
      <c r="CNO19" s="41"/>
      <c r="CNP19" s="41"/>
      <c r="CNQ19" s="41"/>
      <c r="CNR19" s="41"/>
      <c r="CNS19" s="41"/>
      <c r="CNT19" s="41"/>
      <c r="CNU19" s="41"/>
      <c r="CNV19" s="41"/>
      <c r="CNW19" s="41"/>
      <c r="CNX19" s="41"/>
      <c r="CNY19" s="41"/>
      <c r="CNZ19" s="41"/>
      <c r="COA19" s="41"/>
      <c r="COB19" s="41"/>
      <c r="COC19" s="41"/>
      <c r="COD19" s="41"/>
      <c r="COE19" s="41"/>
      <c r="COF19" s="41"/>
      <c r="COG19" s="41"/>
      <c r="COH19" s="41"/>
      <c r="COI19" s="41"/>
      <c r="COJ19" s="41"/>
      <c r="COK19" s="41"/>
      <c r="COL19" s="41"/>
      <c r="COM19" s="41"/>
      <c r="CON19" s="41"/>
      <c r="COO19" s="41"/>
      <c r="COP19" s="41"/>
      <c r="COQ19" s="41"/>
      <c r="COR19" s="41"/>
      <c r="COS19" s="41"/>
      <c r="COT19" s="41"/>
      <c r="COU19" s="41"/>
      <c r="COV19" s="41"/>
      <c r="COW19" s="41"/>
      <c r="COX19" s="41"/>
      <c r="COY19" s="41"/>
      <c r="COZ19" s="41"/>
      <c r="CPA19" s="41"/>
      <c r="CPB19" s="41"/>
      <c r="CPC19" s="41"/>
      <c r="CPD19" s="41"/>
      <c r="CPE19" s="41"/>
      <c r="CPF19" s="41"/>
      <c r="CPG19" s="41"/>
      <c r="CPH19" s="41"/>
      <c r="CPI19" s="41"/>
      <c r="CPJ19" s="41"/>
      <c r="CPK19" s="41"/>
      <c r="CPL19" s="41"/>
      <c r="CPM19" s="41"/>
      <c r="CPN19" s="41"/>
      <c r="CPO19" s="41"/>
      <c r="CPP19" s="41"/>
      <c r="CPQ19" s="41"/>
      <c r="CPR19" s="41"/>
      <c r="CPS19" s="41"/>
      <c r="CPT19" s="41"/>
      <c r="CPU19" s="41"/>
      <c r="CPV19" s="41"/>
      <c r="CPW19" s="41"/>
      <c r="CPX19" s="41"/>
      <c r="CPY19" s="41"/>
      <c r="CPZ19" s="41"/>
      <c r="CQA19" s="41"/>
      <c r="CQB19" s="41"/>
      <c r="CQC19" s="41"/>
      <c r="CQD19" s="41"/>
      <c r="CQE19" s="41"/>
      <c r="CQF19" s="41"/>
      <c r="CQG19" s="41"/>
      <c r="CQH19" s="41"/>
      <c r="CQI19" s="41"/>
      <c r="CQJ19" s="41"/>
      <c r="CQK19" s="41"/>
      <c r="CQL19" s="41"/>
      <c r="CQM19" s="41"/>
      <c r="CQN19" s="41"/>
      <c r="CQO19" s="41"/>
      <c r="CQP19" s="41"/>
      <c r="CQQ19" s="41"/>
      <c r="CQR19" s="41"/>
      <c r="CQS19" s="41"/>
      <c r="CQT19" s="41"/>
      <c r="CQU19" s="41"/>
      <c r="CQV19" s="41"/>
      <c r="CQW19" s="41"/>
      <c r="CQX19" s="41"/>
      <c r="CQY19" s="41"/>
      <c r="CQZ19" s="41"/>
      <c r="CRA19" s="41"/>
      <c r="CRB19" s="41"/>
      <c r="CRC19" s="41"/>
      <c r="CRD19" s="41"/>
      <c r="CRE19" s="41"/>
      <c r="CRF19" s="41"/>
      <c r="CRG19" s="41"/>
      <c r="CRH19" s="41"/>
      <c r="CRI19" s="41"/>
      <c r="CRJ19" s="41"/>
      <c r="CRK19" s="41"/>
      <c r="CRL19" s="41"/>
      <c r="CRM19" s="41"/>
      <c r="CRN19" s="41"/>
      <c r="CRO19" s="41"/>
      <c r="CRP19" s="41"/>
      <c r="CRQ19" s="41"/>
      <c r="CRR19" s="41"/>
      <c r="CRS19" s="41"/>
      <c r="CRT19" s="41"/>
      <c r="CRU19" s="41"/>
      <c r="CRV19" s="41"/>
      <c r="CRW19" s="41"/>
      <c r="CRX19" s="41"/>
      <c r="CRY19" s="41"/>
      <c r="CRZ19" s="41"/>
      <c r="CSA19" s="41"/>
      <c r="CSB19" s="41"/>
      <c r="CSC19" s="41"/>
      <c r="CSD19" s="41"/>
      <c r="CSE19" s="41"/>
      <c r="CSF19" s="41"/>
      <c r="CSG19" s="41"/>
      <c r="CSH19" s="41"/>
      <c r="CSI19" s="41"/>
      <c r="CSJ19" s="41"/>
      <c r="CSK19" s="41"/>
      <c r="CSL19" s="41"/>
      <c r="CSM19" s="41"/>
      <c r="CSN19" s="41"/>
      <c r="CSO19" s="41"/>
      <c r="CSP19" s="41"/>
      <c r="CSQ19" s="41"/>
      <c r="CSR19" s="41"/>
      <c r="CSS19" s="41"/>
      <c r="CST19" s="41"/>
      <c r="CSU19" s="41"/>
      <c r="CSV19" s="41"/>
      <c r="CSW19" s="41"/>
      <c r="CSX19" s="41"/>
      <c r="CSY19" s="41"/>
      <c r="CSZ19" s="41"/>
      <c r="CTA19" s="41"/>
      <c r="CTB19" s="41"/>
      <c r="CTC19" s="41"/>
      <c r="CTD19" s="41"/>
      <c r="CTE19" s="41"/>
      <c r="CTF19" s="41"/>
      <c r="CTG19" s="41"/>
      <c r="CTH19" s="41"/>
      <c r="CTI19" s="41"/>
      <c r="CTJ19" s="41"/>
      <c r="CTK19" s="41"/>
      <c r="CTL19" s="41"/>
      <c r="CTM19" s="41"/>
      <c r="CTN19" s="41"/>
      <c r="CTO19" s="41"/>
      <c r="CTP19" s="41"/>
      <c r="CTQ19" s="41"/>
      <c r="CTR19" s="41"/>
      <c r="CTS19" s="41"/>
      <c r="CTT19" s="41"/>
      <c r="CTU19" s="41"/>
      <c r="CTV19" s="41"/>
      <c r="CTW19" s="41"/>
      <c r="CTX19" s="41"/>
      <c r="CTY19" s="41"/>
      <c r="CTZ19" s="41"/>
      <c r="CUA19" s="41"/>
      <c r="CUB19" s="41"/>
      <c r="CUC19" s="41"/>
      <c r="CUD19" s="41"/>
      <c r="CUE19" s="41"/>
      <c r="CUF19" s="41"/>
      <c r="CUG19" s="41"/>
      <c r="CUH19" s="41"/>
      <c r="CUI19" s="41"/>
      <c r="CUJ19" s="41"/>
      <c r="CUK19" s="41"/>
      <c r="CUL19" s="41"/>
      <c r="CUM19" s="41"/>
      <c r="CUN19" s="41"/>
      <c r="CUO19" s="41"/>
      <c r="CUP19" s="41"/>
      <c r="CUQ19" s="41"/>
      <c r="CUR19" s="41"/>
      <c r="CUS19" s="41"/>
      <c r="CUT19" s="41"/>
      <c r="CUU19" s="41"/>
      <c r="CUV19" s="41"/>
      <c r="CUW19" s="41"/>
      <c r="CUX19" s="41"/>
      <c r="CUY19" s="41"/>
      <c r="CUZ19" s="41"/>
      <c r="CVA19" s="41"/>
      <c r="CVB19" s="41"/>
      <c r="CVC19" s="41"/>
      <c r="CVD19" s="41"/>
      <c r="CVE19" s="41"/>
      <c r="CVF19" s="41"/>
      <c r="CVG19" s="41"/>
      <c r="CVH19" s="41"/>
      <c r="CVI19" s="41"/>
      <c r="CVJ19" s="41"/>
      <c r="CVK19" s="41"/>
      <c r="CVL19" s="41"/>
      <c r="CVM19" s="41"/>
      <c r="CVN19" s="41"/>
      <c r="CVO19" s="41"/>
      <c r="CVP19" s="41"/>
      <c r="CVQ19" s="41"/>
      <c r="CVR19" s="41"/>
      <c r="CVS19" s="41"/>
      <c r="CVT19" s="41"/>
      <c r="CVU19" s="41"/>
      <c r="CVV19" s="41"/>
      <c r="CVW19" s="41"/>
      <c r="CVX19" s="41"/>
      <c r="CVY19" s="41"/>
      <c r="CVZ19" s="41"/>
      <c r="CWA19" s="41"/>
      <c r="CWB19" s="41"/>
      <c r="CWC19" s="41"/>
      <c r="CWD19" s="41"/>
      <c r="CWE19" s="41"/>
      <c r="CWF19" s="41"/>
      <c r="CWG19" s="41"/>
      <c r="CWH19" s="41"/>
      <c r="CWI19" s="41"/>
      <c r="CWJ19" s="41"/>
      <c r="CWK19" s="41"/>
      <c r="CWL19" s="41"/>
      <c r="CWM19" s="41"/>
      <c r="CWN19" s="41"/>
      <c r="CWO19" s="41"/>
      <c r="CWP19" s="41"/>
      <c r="CWQ19" s="41"/>
      <c r="CWR19" s="41"/>
      <c r="CWS19" s="41"/>
      <c r="CWT19" s="41"/>
      <c r="CWU19" s="41"/>
      <c r="CWV19" s="41"/>
      <c r="CWW19" s="41"/>
      <c r="CWX19" s="41"/>
      <c r="CWY19" s="41"/>
      <c r="CWZ19" s="41"/>
      <c r="CXA19" s="41"/>
      <c r="CXB19" s="41"/>
      <c r="CXC19" s="41"/>
      <c r="CXD19" s="41"/>
      <c r="CXE19" s="41"/>
      <c r="CXF19" s="41"/>
      <c r="CXG19" s="41"/>
      <c r="CXH19" s="41"/>
      <c r="CXI19" s="41"/>
      <c r="CXJ19" s="41"/>
      <c r="CXK19" s="41"/>
      <c r="CXL19" s="41"/>
      <c r="CXM19" s="41"/>
      <c r="CXN19" s="41"/>
      <c r="CXO19" s="41"/>
      <c r="CXP19" s="41"/>
      <c r="CXQ19" s="41"/>
      <c r="CXR19" s="41"/>
      <c r="CXS19" s="41"/>
      <c r="CXT19" s="41"/>
      <c r="CXU19" s="41"/>
      <c r="CXV19" s="41"/>
      <c r="CXW19" s="41"/>
      <c r="CXX19" s="41"/>
      <c r="CXY19" s="41"/>
      <c r="CXZ19" s="41"/>
      <c r="CYA19" s="41"/>
      <c r="CYB19" s="41"/>
      <c r="CYC19" s="41"/>
      <c r="CYD19" s="41"/>
      <c r="CYE19" s="41"/>
      <c r="CYF19" s="41"/>
      <c r="CYG19" s="41"/>
      <c r="CYH19" s="41"/>
      <c r="CYI19" s="41"/>
      <c r="CYJ19" s="41"/>
      <c r="CYK19" s="41"/>
      <c r="CYL19" s="41"/>
      <c r="CYM19" s="41"/>
      <c r="CYN19" s="41"/>
      <c r="CYO19" s="41"/>
      <c r="CYP19" s="41"/>
      <c r="CYQ19" s="41"/>
      <c r="CYR19" s="41"/>
      <c r="CYS19" s="41"/>
      <c r="CYT19" s="41"/>
      <c r="CYU19" s="41"/>
      <c r="CYV19" s="41"/>
      <c r="CYW19" s="41"/>
      <c r="CYX19" s="41"/>
      <c r="CYY19" s="41"/>
      <c r="CYZ19" s="41"/>
      <c r="CZA19" s="41"/>
      <c r="CZB19" s="41"/>
      <c r="CZC19" s="41"/>
      <c r="CZD19" s="41"/>
      <c r="CZE19" s="41"/>
      <c r="CZF19" s="41"/>
      <c r="CZG19" s="41"/>
      <c r="CZH19" s="41"/>
      <c r="CZI19" s="41"/>
      <c r="CZJ19" s="41"/>
      <c r="CZK19" s="41"/>
      <c r="CZL19" s="41"/>
      <c r="CZM19" s="41"/>
      <c r="CZN19" s="41"/>
      <c r="CZO19" s="41"/>
      <c r="CZP19" s="41"/>
      <c r="CZQ19" s="41"/>
      <c r="CZR19" s="41"/>
      <c r="CZS19" s="41"/>
      <c r="CZT19" s="41"/>
      <c r="CZU19" s="41"/>
      <c r="CZV19" s="41"/>
      <c r="CZW19" s="41"/>
      <c r="CZX19" s="41"/>
      <c r="CZY19" s="41"/>
      <c r="CZZ19" s="41"/>
      <c r="DAA19" s="41"/>
      <c r="DAB19" s="41"/>
      <c r="DAC19" s="41"/>
      <c r="DAD19" s="41"/>
      <c r="DAE19" s="41"/>
      <c r="DAF19" s="41"/>
      <c r="DAG19" s="41"/>
      <c r="DAH19" s="41"/>
      <c r="DAI19" s="41"/>
      <c r="DAJ19" s="41"/>
      <c r="DAK19" s="41"/>
      <c r="DAL19" s="41"/>
      <c r="DAM19" s="41"/>
      <c r="DAN19" s="41"/>
      <c r="DAO19" s="41"/>
      <c r="DAP19" s="41"/>
      <c r="DAQ19" s="41"/>
      <c r="DAR19" s="41"/>
      <c r="DAS19" s="41"/>
      <c r="DAT19" s="41"/>
      <c r="DAU19" s="41"/>
      <c r="DAV19" s="41"/>
      <c r="DAW19" s="41"/>
      <c r="DAX19" s="41"/>
      <c r="DAY19" s="41"/>
      <c r="DAZ19" s="41"/>
      <c r="DBA19" s="41"/>
      <c r="DBB19" s="41"/>
      <c r="DBC19" s="41"/>
      <c r="DBD19" s="41"/>
      <c r="DBE19" s="41"/>
      <c r="DBF19" s="41"/>
      <c r="DBG19" s="41"/>
      <c r="DBH19" s="41"/>
      <c r="DBI19" s="41"/>
      <c r="DBJ19" s="41"/>
      <c r="DBK19" s="41"/>
      <c r="DBL19" s="41"/>
      <c r="DBM19" s="41"/>
      <c r="DBN19" s="41"/>
      <c r="DBO19" s="41"/>
      <c r="DBP19" s="41"/>
      <c r="DBQ19" s="41"/>
      <c r="DBR19" s="41"/>
      <c r="DBS19" s="41"/>
      <c r="DBT19" s="41"/>
      <c r="DBU19" s="41"/>
      <c r="DBV19" s="41"/>
      <c r="DBW19" s="41"/>
      <c r="DBX19" s="41"/>
      <c r="DBY19" s="41"/>
      <c r="DBZ19" s="41"/>
      <c r="DCA19" s="41"/>
      <c r="DCB19" s="41"/>
      <c r="DCC19" s="41"/>
      <c r="DCD19" s="41"/>
      <c r="DCE19" s="41"/>
      <c r="DCF19" s="41"/>
      <c r="DCG19" s="41"/>
      <c r="DCH19" s="41"/>
      <c r="DCI19" s="41"/>
      <c r="DCJ19" s="41"/>
      <c r="DCK19" s="41"/>
      <c r="DCL19" s="41"/>
      <c r="DCM19" s="41"/>
      <c r="DCN19" s="41"/>
      <c r="DCO19" s="41"/>
      <c r="DCP19" s="41"/>
      <c r="DCQ19" s="41"/>
      <c r="DCR19" s="41"/>
      <c r="DCS19" s="41"/>
      <c r="DCT19" s="41"/>
      <c r="DCU19" s="41"/>
      <c r="DCV19" s="41"/>
      <c r="DCW19" s="41"/>
      <c r="DCX19" s="41"/>
      <c r="DCY19" s="41"/>
      <c r="DCZ19" s="41"/>
      <c r="DDA19" s="41"/>
      <c r="DDB19" s="41"/>
      <c r="DDC19" s="41"/>
      <c r="DDD19" s="41"/>
      <c r="DDE19" s="41"/>
      <c r="DDF19" s="41"/>
      <c r="DDG19" s="41"/>
      <c r="DDH19" s="41"/>
      <c r="DDI19" s="41"/>
      <c r="DDJ19" s="41"/>
      <c r="DDK19" s="41"/>
      <c r="DDL19" s="41"/>
      <c r="DDM19" s="41"/>
      <c r="DDN19" s="41"/>
      <c r="DDO19" s="41"/>
      <c r="DDP19" s="41"/>
      <c r="DDQ19" s="41"/>
      <c r="DDR19" s="41"/>
      <c r="DDS19" s="41"/>
      <c r="DDT19" s="41"/>
      <c r="DDU19" s="41"/>
      <c r="DDV19" s="41"/>
      <c r="DDW19" s="41"/>
      <c r="DDX19" s="41"/>
      <c r="DDY19" s="41"/>
      <c r="DDZ19" s="41"/>
      <c r="DEA19" s="41"/>
      <c r="DEB19" s="41"/>
      <c r="DEC19" s="41"/>
      <c r="DED19" s="41"/>
      <c r="DEE19" s="41"/>
      <c r="DEF19" s="41"/>
      <c r="DEG19" s="41"/>
      <c r="DEH19" s="41"/>
      <c r="DEI19" s="41"/>
      <c r="DEJ19" s="41"/>
      <c r="DEK19" s="41"/>
      <c r="DEL19" s="41"/>
      <c r="DEM19" s="41"/>
      <c r="DEN19" s="41"/>
      <c r="DEO19" s="41"/>
      <c r="DEP19" s="41"/>
      <c r="DEQ19" s="41"/>
      <c r="DER19" s="41"/>
      <c r="DES19" s="41"/>
      <c r="DET19" s="41"/>
      <c r="DEU19" s="41"/>
      <c r="DEV19" s="41"/>
      <c r="DEW19" s="41"/>
      <c r="DEX19" s="41"/>
      <c r="DEY19" s="41"/>
      <c r="DEZ19" s="41"/>
      <c r="DFA19" s="41"/>
      <c r="DFB19" s="41"/>
      <c r="DFC19" s="41"/>
      <c r="DFD19" s="41"/>
      <c r="DFE19" s="41"/>
      <c r="DFF19" s="41"/>
      <c r="DFG19" s="41"/>
      <c r="DFH19" s="41"/>
      <c r="DFI19" s="41"/>
      <c r="DFJ19" s="41"/>
      <c r="DFK19" s="41"/>
      <c r="DFL19" s="41"/>
      <c r="DFM19" s="41"/>
      <c r="DFN19" s="41"/>
      <c r="DFO19" s="41"/>
      <c r="DFP19" s="41"/>
      <c r="DFQ19" s="41"/>
      <c r="DFR19" s="41"/>
      <c r="DFS19" s="41"/>
      <c r="DFT19" s="41"/>
      <c r="DFU19" s="41"/>
      <c r="DFV19" s="41"/>
      <c r="DFW19" s="41"/>
      <c r="DFX19" s="41"/>
      <c r="DFY19" s="41"/>
      <c r="DFZ19" s="41"/>
      <c r="DGA19" s="41"/>
      <c r="DGB19" s="41"/>
      <c r="DGC19" s="41"/>
      <c r="DGD19" s="41"/>
      <c r="DGE19" s="41"/>
      <c r="DGF19" s="41"/>
      <c r="DGG19" s="41"/>
      <c r="DGH19" s="41"/>
      <c r="DGI19" s="41"/>
      <c r="DGJ19" s="41"/>
      <c r="DGK19" s="41"/>
      <c r="DGL19" s="41"/>
      <c r="DGM19" s="41"/>
      <c r="DGN19" s="41"/>
      <c r="DGO19" s="41"/>
      <c r="DGP19" s="41"/>
      <c r="DGQ19" s="41"/>
      <c r="DGR19" s="41"/>
      <c r="DGS19" s="41"/>
      <c r="DGT19" s="41"/>
      <c r="DGU19" s="41"/>
      <c r="DGV19" s="41"/>
      <c r="DGW19" s="41"/>
      <c r="DGX19" s="41"/>
      <c r="DGY19" s="41"/>
      <c r="DGZ19" s="41"/>
      <c r="DHA19" s="41"/>
      <c r="DHB19" s="41"/>
      <c r="DHC19" s="41"/>
      <c r="DHD19" s="41"/>
      <c r="DHE19" s="41"/>
      <c r="DHF19" s="41"/>
      <c r="DHG19" s="41"/>
      <c r="DHH19" s="41"/>
      <c r="DHI19" s="41"/>
      <c r="DHJ19" s="41"/>
      <c r="DHK19" s="41"/>
      <c r="DHL19" s="41"/>
      <c r="DHM19" s="41"/>
      <c r="DHN19" s="41"/>
      <c r="DHO19" s="41"/>
      <c r="DHP19" s="41"/>
      <c r="DHQ19" s="41"/>
      <c r="DHR19" s="41"/>
      <c r="DHS19" s="41"/>
      <c r="DHT19" s="41"/>
      <c r="DHU19" s="41"/>
      <c r="DHV19" s="41"/>
      <c r="DHW19" s="41"/>
      <c r="DHX19" s="41"/>
      <c r="DHY19" s="41"/>
      <c r="DHZ19" s="41"/>
      <c r="DIA19" s="41"/>
      <c r="DIB19" s="41"/>
      <c r="DIC19" s="41"/>
      <c r="DID19" s="41"/>
      <c r="DIE19" s="41"/>
      <c r="DIF19" s="41"/>
      <c r="DIG19" s="41"/>
      <c r="DIH19" s="41"/>
      <c r="DII19" s="41"/>
      <c r="DIJ19" s="41"/>
      <c r="DIK19" s="41"/>
      <c r="DIL19" s="41"/>
      <c r="DIM19" s="41"/>
      <c r="DIN19" s="41"/>
      <c r="DIO19" s="41"/>
      <c r="DIP19" s="41"/>
      <c r="DIQ19" s="41"/>
      <c r="DIR19" s="41"/>
      <c r="DIS19" s="41"/>
      <c r="DIT19" s="41"/>
      <c r="DIU19" s="41"/>
      <c r="DIV19" s="41"/>
      <c r="DIW19" s="41"/>
      <c r="DIX19" s="41"/>
      <c r="DIY19" s="41"/>
      <c r="DIZ19" s="41"/>
      <c r="DJA19" s="41"/>
      <c r="DJB19" s="41"/>
      <c r="DJC19" s="41"/>
      <c r="DJD19" s="41"/>
      <c r="DJE19" s="41"/>
      <c r="DJF19" s="41"/>
      <c r="DJG19" s="41"/>
      <c r="DJH19" s="41"/>
      <c r="DJI19" s="41"/>
      <c r="DJJ19" s="41"/>
      <c r="DJK19" s="41"/>
      <c r="DJL19" s="41"/>
      <c r="DJM19" s="41"/>
      <c r="DJN19" s="41"/>
      <c r="DJO19" s="41"/>
      <c r="DJP19" s="41"/>
      <c r="DJQ19" s="41"/>
      <c r="DJR19" s="41"/>
      <c r="DJS19" s="41"/>
      <c r="DJT19" s="41"/>
      <c r="DJU19" s="41"/>
      <c r="DJV19" s="41"/>
      <c r="DJW19" s="41"/>
      <c r="DJX19" s="41"/>
      <c r="DJY19" s="41"/>
      <c r="DJZ19" s="41"/>
      <c r="DKA19" s="41"/>
      <c r="DKB19" s="41"/>
      <c r="DKC19" s="41"/>
      <c r="DKD19" s="41"/>
      <c r="DKE19" s="41"/>
      <c r="DKF19" s="41"/>
      <c r="DKG19" s="41"/>
      <c r="DKH19" s="41"/>
      <c r="DKI19" s="41"/>
      <c r="DKJ19" s="41"/>
      <c r="DKK19" s="41"/>
      <c r="DKL19" s="41"/>
      <c r="DKM19" s="41"/>
      <c r="DKN19" s="41"/>
      <c r="DKO19" s="41"/>
      <c r="DKP19" s="41"/>
      <c r="DKQ19" s="41"/>
      <c r="DKR19" s="41"/>
      <c r="DKS19" s="41"/>
      <c r="DKT19" s="41"/>
      <c r="DKU19" s="41"/>
      <c r="DKV19" s="41"/>
      <c r="DKW19" s="41"/>
      <c r="DKX19" s="41"/>
      <c r="DKY19" s="41"/>
      <c r="DKZ19" s="41"/>
      <c r="DLA19" s="41"/>
      <c r="DLB19" s="41"/>
      <c r="DLC19" s="41"/>
      <c r="DLD19" s="41"/>
      <c r="DLE19" s="41"/>
      <c r="DLF19" s="41"/>
      <c r="DLG19" s="41"/>
      <c r="DLH19" s="41"/>
      <c r="DLI19" s="41"/>
      <c r="DLJ19" s="41"/>
      <c r="DLK19" s="41"/>
      <c r="DLL19" s="41"/>
      <c r="DLM19" s="41"/>
      <c r="DLN19" s="41"/>
      <c r="DLO19" s="41"/>
      <c r="DLP19" s="41"/>
      <c r="DLQ19" s="41"/>
      <c r="DLR19" s="41"/>
      <c r="DLS19" s="41"/>
      <c r="DLT19" s="41"/>
      <c r="DLU19" s="41"/>
      <c r="DLV19" s="41"/>
      <c r="DLW19" s="41"/>
      <c r="DLX19" s="41"/>
      <c r="DLY19" s="41"/>
      <c r="DLZ19" s="41"/>
      <c r="DMA19" s="41"/>
      <c r="DMB19" s="41"/>
      <c r="DMC19" s="41"/>
      <c r="DMD19" s="41"/>
      <c r="DME19" s="41"/>
      <c r="DMF19" s="41"/>
      <c r="DMG19" s="41"/>
      <c r="DMH19" s="41"/>
      <c r="DMI19" s="41"/>
      <c r="DMJ19" s="41"/>
      <c r="DMK19" s="41"/>
      <c r="DML19" s="41"/>
      <c r="DMM19" s="41"/>
      <c r="DMN19" s="41"/>
      <c r="DMO19" s="41"/>
      <c r="DMP19" s="41"/>
      <c r="DMQ19" s="41"/>
      <c r="DMR19" s="41"/>
      <c r="DMS19" s="41"/>
      <c r="DMT19" s="41"/>
      <c r="DMU19" s="41"/>
      <c r="DMV19" s="41"/>
      <c r="DMW19" s="41"/>
      <c r="DMX19" s="41"/>
      <c r="DMY19" s="41"/>
      <c r="DMZ19" s="41"/>
      <c r="DNA19" s="41"/>
      <c r="DNB19" s="41"/>
      <c r="DNC19" s="41"/>
      <c r="DND19" s="41"/>
      <c r="DNE19" s="41"/>
      <c r="DNF19" s="41"/>
      <c r="DNG19" s="41"/>
      <c r="DNH19" s="41"/>
      <c r="DNI19" s="41"/>
      <c r="DNJ19" s="41"/>
      <c r="DNK19" s="41"/>
      <c r="DNL19" s="41"/>
      <c r="DNM19" s="41"/>
      <c r="DNN19" s="41"/>
      <c r="DNO19" s="41"/>
      <c r="DNP19" s="41"/>
      <c r="DNQ19" s="41"/>
      <c r="DNR19" s="41"/>
      <c r="DNS19" s="41"/>
      <c r="DNT19" s="41"/>
      <c r="DNU19" s="41"/>
      <c r="DNV19" s="41"/>
      <c r="DNW19" s="41"/>
      <c r="DNX19" s="41"/>
      <c r="DNY19" s="41"/>
      <c r="DNZ19" s="41"/>
      <c r="DOA19" s="41"/>
      <c r="DOB19" s="41"/>
      <c r="DOC19" s="41"/>
      <c r="DOD19" s="41"/>
      <c r="DOE19" s="41"/>
      <c r="DOF19" s="41"/>
      <c r="DOG19" s="41"/>
      <c r="DOH19" s="41"/>
      <c r="DOI19" s="41"/>
      <c r="DOJ19" s="41"/>
      <c r="DOK19" s="41"/>
      <c r="DOL19" s="41"/>
      <c r="DOM19" s="41"/>
      <c r="DON19" s="41"/>
      <c r="DOO19" s="41"/>
      <c r="DOP19" s="41"/>
      <c r="DOQ19" s="41"/>
      <c r="DOR19" s="41"/>
      <c r="DOS19" s="41"/>
      <c r="DOT19" s="41"/>
      <c r="DOU19" s="41"/>
      <c r="DOV19" s="41"/>
      <c r="DOW19" s="41"/>
      <c r="DOX19" s="41"/>
      <c r="DOY19" s="41"/>
      <c r="DOZ19" s="41"/>
      <c r="DPA19" s="41"/>
      <c r="DPB19" s="41"/>
      <c r="DPC19" s="41"/>
      <c r="DPD19" s="41"/>
      <c r="DPE19" s="41"/>
      <c r="DPF19" s="41"/>
      <c r="DPG19" s="41"/>
      <c r="DPH19" s="41"/>
      <c r="DPI19" s="41"/>
      <c r="DPJ19" s="41"/>
      <c r="DPK19" s="41"/>
      <c r="DPL19" s="41"/>
      <c r="DPM19" s="41"/>
      <c r="DPN19" s="41"/>
      <c r="DPO19" s="41"/>
      <c r="DPP19" s="41"/>
      <c r="DPQ19" s="41"/>
      <c r="DPR19" s="41"/>
      <c r="DPS19" s="41"/>
      <c r="DPT19" s="41"/>
      <c r="DPU19" s="41"/>
      <c r="DPV19" s="41"/>
      <c r="DPW19" s="41"/>
      <c r="DPX19" s="41"/>
      <c r="DPY19" s="41"/>
      <c r="DPZ19" s="41"/>
      <c r="DQA19" s="41"/>
      <c r="DQB19" s="41"/>
      <c r="DQC19" s="41"/>
      <c r="DQD19" s="41"/>
      <c r="DQE19" s="41"/>
      <c r="DQF19" s="41"/>
      <c r="DQG19" s="41"/>
      <c r="DQH19" s="41"/>
      <c r="DQI19" s="41"/>
      <c r="DQJ19" s="41"/>
      <c r="DQK19" s="41"/>
      <c r="DQL19" s="41"/>
      <c r="DQM19" s="41"/>
      <c r="DQN19" s="41"/>
      <c r="DQO19" s="41"/>
      <c r="DQP19" s="41"/>
      <c r="DQQ19" s="41"/>
      <c r="DQR19" s="41"/>
      <c r="DQS19" s="41"/>
      <c r="DQT19" s="41"/>
      <c r="DQU19" s="41"/>
      <c r="DQV19" s="41"/>
      <c r="DQW19" s="41"/>
      <c r="DQX19" s="41"/>
      <c r="DQY19" s="41"/>
      <c r="DQZ19" s="41"/>
      <c r="DRA19" s="41"/>
      <c r="DRB19" s="41"/>
      <c r="DRC19" s="41"/>
      <c r="DRD19" s="41"/>
      <c r="DRE19" s="41"/>
      <c r="DRF19" s="41"/>
      <c r="DRG19" s="41"/>
      <c r="DRH19" s="41"/>
      <c r="DRI19" s="41"/>
      <c r="DRJ19" s="41"/>
      <c r="DRK19" s="41"/>
      <c r="DRL19" s="41"/>
      <c r="DRM19" s="41"/>
      <c r="DRN19" s="41"/>
      <c r="DRO19" s="41"/>
      <c r="DRP19" s="41"/>
      <c r="DRQ19" s="41"/>
      <c r="DRR19" s="41"/>
      <c r="DRS19" s="41"/>
      <c r="DRT19" s="41"/>
      <c r="DRU19" s="41"/>
      <c r="DRV19" s="41"/>
      <c r="DRW19" s="41"/>
      <c r="DRX19" s="41"/>
      <c r="DRY19" s="41"/>
      <c r="DRZ19" s="41"/>
      <c r="DSA19" s="41"/>
      <c r="DSB19" s="41"/>
      <c r="DSC19" s="41"/>
      <c r="DSD19" s="41"/>
      <c r="DSE19" s="41"/>
      <c r="DSF19" s="41"/>
      <c r="DSG19" s="41"/>
      <c r="DSH19" s="41"/>
      <c r="DSI19" s="41"/>
      <c r="DSJ19" s="41"/>
      <c r="DSK19" s="41"/>
      <c r="DSL19" s="41"/>
      <c r="DSM19" s="41"/>
      <c r="DSN19" s="41"/>
      <c r="DSO19" s="41"/>
      <c r="DSP19" s="41"/>
      <c r="DSQ19" s="41"/>
      <c r="DSR19" s="41"/>
      <c r="DSS19" s="41"/>
      <c r="DST19" s="41"/>
      <c r="DSU19" s="41"/>
      <c r="DSV19" s="41"/>
      <c r="DSW19" s="41"/>
      <c r="DSX19" s="41"/>
      <c r="DSY19" s="41"/>
      <c r="DSZ19" s="41"/>
      <c r="DTA19" s="41"/>
      <c r="DTB19" s="41"/>
      <c r="DTC19" s="41"/>
      <c r="DTD19" s="41"/>
      <c r="DTE19" s="41"/>
      <c r="DTF19" s="41"/>
      <c r="DTG19" s="41"/>
      <c r="DTH19" s="41"/>
      <c r="DTI19" s="41"/>
      <c r="DTJ19" s="41"/>
      <c r="DTK19" s="41"/>
      <c r="DTL19" s="41"/>
      <c r="DTM19" s="41"/>
      <c r="DTN19" s="41"/>
      <c r="DTO19" s="41"/>
      <c r="DTP19" s="41"/>
      <c r="DTQ19" s="41"/>
      <c r="DTR19" s="41"/>
      <c r="DTS19" s="41"/>
      <c r="DTT19" s="41"/>
      <c r="DTU19" s="41"/>
      <c r="DTV19" s="41"/>
      <c r="DTW19" s="41"/>
      <c r="DTX19" s="41"/>
      <c r="DTY19" s="41"/>
      <c r="DTZ19" s="41"/>
      <c r="DUA19" s="41"/>
      <c r="DUB19" s="41"/>
      <c r="DUC19" s="41"/>
      <c r="DUD19" s="41"/>
      <c r="DUE19" s="41"/>
      <c r="DUF19" s="41"/>
      <c r="DUG19" s="41"/>
      <c r="DUH19" s="41"/>
      <c r="DUI19" s="41"/>
      <c r="DUJ19" s="41"/>
      <c r="DUK19" s="41"/>
      <c r="DUL19" s="41"/>
      <c r="DUM19" s="41"/>
      <c r="DUN19" s="41"/>
      <c r="DUO19" s="41"/>
      <c r="DUP19" s="41"/>
      <c r="DUQ19" s="41"/>
      <c r="DUR19" s="41"/>
      <c r="DUS19" s="41"/>
      <c r="DUT19" s="41"/>
      <c r="DUU19" s="41"/>
      <c r="DUV19" s="41"/>
      <c r="DUW19" s="41"/>
      <c r="DUX19" s="41"/>
      <c r="DUY19" s="41"/>
      <c r="DUZ19" s="41"/>
      <c r="DVA19" s="41"/>
      <c r="DVB19" s="41"/>
      <c r="DVC19" s="41"/>
      <c r="DVD19" s="41"/>
      <c r="DVE19" s="41"/>
      <c r="DVF19" s="41"/>
      <c r="DVG19" s="41"/>
      <c r="DVH19" s="41"/>
      <c r="DVI19" s="41"/>
      <c r="DVJ19" s="41"/>
      <c r="DVK19" s="41"/>
      <c r="DVL19" s="41"/>
      <c r="DVM19" s="41"/>
      <c r="DVN19" s="41"/>
      <c r="DVO19" s="41"/>
      <c r="DVP19" s="41"/>
      <c r="DVQ19" s="41"/>
      <c r="DVR19" s="41"/>
      <c r="DVS19" s="41"/>
      <c r="DVT19" s="41"/>
      <c r="DVU19" s="41"/>
      <c r="DVV19" s="41"/>
      <c r="DVW19" s="41"/>
      <c r="DVX19" s="41"/>
      <c r="DVY19" s="41"/>
      <c r="DVZ19" s="41"/>
      <c r="DWA19" s="41"/>
      <c r="DWB19" s="41"/>
      <c r="DWC19" s="41"/>
      <c r="DWD19" s="41"/>
      <c r="DWE19" s="41"/>
      <c r="DWF19" s="41"/>
      <c r="DWG19" s="41"/>
      <c r="DWH19" s="41"/>
      <c r="DWI19" s="41"/>
      <c r="DWJ19" s="41"/>
      <c r="DWK19" s="41"/>
      <c r="DWL19" s="41"/>
      <c r="DWM19" s="41"/>
      <c r="DWN19" s="41"/>
      <c r="DWO19" s="41"/>
      <c r="DWP19" s="41"/>
      <c r="DWQ19" s="41"/>
      <c r="DWR19" s="41"/>
      <c r="DWS19" s="41"/>
      <c r="DWT19" s="41"/>
      <c r="DWU19" s="41"/>
      <c r="DWV19" s="41"/>
      <c r="DWW19" s="41"/>
      <c r="DWX19" s="41"/>
      <c r="DWY19" s="41"/>
      <c r="DWZ19" s="41"/>
      <c r="DXA19" s="41"/>
      <c r="DXB19" s="41"/>
      <c r="DXC19" s="41"/>
      <c r="DXD19" s="41"/>
      <c r="DXE19" s="41"/>
      <c r="DXF19" s="41"/>
      <c r="DXG19" s="41"/>
      <c r="DXH19" s="41"/>
      <c r="DXI19" s="41"/>
      <c r="DXJ19" s="41"/>
      <c r="DXK19" s="41"/>
      <c r="DXL19" s="41"/>
      <c r="DXM19" s="41"/>
      <c r="DXN19" s="41"/>
      <c r="DXO19" s="41"/>
      <c r="DXP19" s="41"/>
      <c r="DXQ19" s="41"/>
      <c r="DXR19" s="41"/>
      <c r="DXS19" s="41"/>
      <c r="DXT19" s="41"/>
      <c r="DXU19" s="41"/>
      <c r="DXV19" s="41"/>
      <c r="DXW19" s="41"/>
      <c r="DXX19" s="41"/>
      <c r="DXY19" s="41"/>
      <c r="DXZ19" s="41"/>
      <c r="DYA19" s="41"/>
      <c r="DYB19" s="41"/>
      <c r="DYC19" s="41"/>
      <c r="DYD19" s="41"/>
      <c r="DYE19" s="41"/>
      <c r="DYF19" s="41"/>
      <c r="DYG19" s="41"/>
      <c r="DYH19" s="41"/>
      <c r="DYI19" s="41"/>
      <c r="DYJ19" s="41"/>
      <c r="DYK19" s="41"/>
      <c r="DYL19" s="41"/>
      <c r="DYM19" s="41"/>
      <c r="DYN19" s="41"/>
      <c r="DYO19" s="41"/>
      <c r="DYP19" s="41"/>
      <c r="DYQ19" s="41"/>
      <c r="DYR19" s="41"/>
      <c r="DYS19" s="41"/>
      <c r="DYT19" s="41"/>
      <c r="DYU19" s="41"/>
      <c r="DYV19" s="41"/>
      <c r="DYW19" s="41"/>
      <c r="DYX19" s="41"/>
      <c r="DYY19" s="41"/>
      <c r="DYZ19" s="41"/>
      <c r="DZA19" s="41"/>
      <c r="DZB19" s="41"/>
      <c r="DZC19" s="41"/>
      <c r="DZD19" s="41"/>
      <c r="DZE19" s="41"/>
      <c r="DZF19" s="41"/>
      <c r="DZG19" s="41"/>
      <c r="DZH19" s="41"/>
      <c r="DZI19" s="41"/>
      <c r="DZJ19" s="41"/>
      <c r="DZK19" s="41"/>
      <c r="DZL19" s="41"/>
      <c r="DZM19" s="41"/>
      <c r="DZN19" s="41"/>
      <c r="DZO19" s="41"/>
      <c r="DZP19" s="41"/>
      <c r="DZQ19" s="41"/>
      <c r="DZR19" s="41"/>
      <c r="DZS19" s="41"/>
      <c r="DZT19" s="41"/>
      <c r="DZU19" s="41"/>
      <c r="DZV19" s="41"/>
      <c r="DZW19" s="41"/>
      <c r="DZX19" s="41"/>
      <c r="DZY19" s="41"/>
      <c r="DZZ19" s="41"/>
      <c r="EAA19" s="41"/>
      <c r="EAB19" s="41"/>
      <c r="EAC19" s="41"/>
      <c r="EAD19" s="41"/>
      <c r="EAE19" s="41"/>
      <c r="EAF19" s="41"/>
      <c r="EAG19" s="41"/>
      <c r="EAH19" s="41"/>
      <c r="EAI19" s="41"/>
      <c r="EAJ19" s="41"/>
      <c r="EAK19" s="41"/>
      <c r="EAL19" s="41"/>
      <c r="EAM19" s="41"/>
      <c r="EAN19" s="41"/>
      <c r="EAO19" s="41"/>
      <c r="EAP19" s="41"/>
      <c r="EAQ19" s="41"/>
      <c r="EAR19" s="41"/>
      <c r="EAS19" s="41"/>
      <c r="EAT19" s="41"/>
      <c r="EAU19" s="41"/>
      <c r="EAV19" s="41"/>
      <c r="EAW19" s="41"/>
      <c r="EAX19" s="41"/>
      <c r="EAY19" s="41"/>
      <c r="EAZ19" s="41"/>
      <c r="EBA19" s="41"/>
      <c r="EBB19" s="41"/>
      <c r="EBC19" s="41"/>
      <c r="EBD19" s="41"/>
      <c r="EBE19" s="41"/>
      <c r="EBF19" s="41"/>
      <c r="EBG19" s="41"/>
      <c r="EBH19" s="41"/>
      <c r="EBI19" s="41"/>
      <c r="EBJ19" s="41"/>
      <c r="EBK19" s="41"/>
      <c r="EBL19" s="41"/>
      <c r="EBM19" s="41"/>
      <c r="EBN19" s="41"/>
      <c r="EBO19" s="41"/>
      <c r="EBP19" s="41"/>
      <c r="EBQ19" s="41"/>
      <c r="EBR19" s="41"/>
      <c r="EBS19" s="41"/>
      <c r="EBT19" s="41"/>
      <c r="EBU19" s="41"/>
      <c r="EBV19" s="41"/>
      <c r="EBW19" s="41"/>
      <c r="EBX19" s="41"/>
      <c r="EBY19" s="41"/>
      <c r="EBZ19" s="41"/>
      <c r="ECA19" s="41"/>
      <c r="ECB19" s="41"/>
      <c r="ECC19" s="41"/>
      <c r="ECD19" s="41"/>
      <c r="ECE19" s="41"/>
      <c r="ECF19" s="41"/>
      <c r="ECG19" s="41"/>
      <c r="ECH19" s="41"/>
      <c r="ECI19" s="41"/>
      <c r="ECJ19" s="41"/>
      <c r="ECK19" s="41"/>
      <c r="ECL19" s="41"/>
      <c r="ECM19" s="41"/>
      <c r="ECN19" s="41"/>
      <c r="ECO19" s="41"/>
      <c r="ECP19" s="41"/>
      <c r="ECQ19" s="41"/>
      <c r="ECR19" s="41"/>
      <c r="ECS19" s="41"/>
      <c r="ECT19" s="41"/>
      <c r="ECU19" s="41"/>
      <c r="ECV19" s="41"/>
      <c r="ECW19" s="41"/>
      <c r="ECX19" s="41"/>
      <c r="ECY19" s="41"/>
      <c r="ECZ19" s="41"/>
      <c r="EDA19" s="41"/>
      <c r="EDB19" s="41"/>
      <c r="EDC19" s="41"/>
      <c r="EDD19" s="41"/>
      <c r="EDE19" s="41"/>
      <c r="EDF19" s="41"/>
      <c r="EDG19" s="41"/>
      <c r="EDH19" s="41"/>
      <c r="EDI19" s="41"/>
      <c r="EDJ19" s="41"/>
      <c r="EDK19" s="41"/>
      <c r="EDL19" s="41"/>
      <c r="EDM19" s="41"/>
      <c r="EDN19" s="41"/>
      <c r="EDO19" s="41"/>
      <c r="EDP19" s="41"/>
      <c r="EDQ19" s="41"/>
      <c r="EDR19" s="41"/>
      <c r="EDS19" s="41"/>
      <c r="EDT19" s="41"/>
      <c r="EDU19" s="41"/>
      <c r="EDV19" s="41"/>
      <c r="EDW19" s="41"/>
      <c r="EDX19" s="41"/>
      <c r="EDY19" s="41"/>
      <c r="EDZ19" s="41"/>
      <c r="EEA19" s="41"/>
      <c r="EEB19" s="41"/>
      <c r="EEC19" s="41"/>
      <c r="EED19" s="41"/>
      <c r="EEE19" s="41"/>
      <c r="EEF19" s="41"/>
      <c r="EEG19" s="41"/>
      <c r="EEH19" s="41"/>
      <c r="EEI19" s="41"/>
      <c r="EEJ19" s="41"/>
      <c r="EEK19" s="41"/>
      <c r="EEL19" s="41"/>
      <c r="EEM19" s="41"/>
      <c r="EEN19" s="41"/>
      <c r="EEO19" s="41"/>
      <c r="EEP19" s="41"/>
      <c r="EEQ19" s="41"/>
      <c r="EER19" s="41"/>
      <c r="EES19" s="41"/>
      <c r="EET19" s="41"/>
      <c r="EEU19" s="41"/>
      <c r="EEV19" s="41"/>
      <c r="EEW19" s="41"/>
      <c r="EEX19" s="41"/>
      <c r="EEY19" s="41"/>
      <c r="EEZ19" s="41"/>
      <c r="EFA19" s="41"/>
      <c r="EFB19" s="41"/>
      <c r="EFC19" s="41"/>
      <c r="EFD19" s="41"/>
      <c r="EFE19" s="41"/>
      <c r="EFF19" s="41"/>
      <c r="EFG19" s="41"/>
      <c r="EFH19" s="41"/>
      <c r="EFI19" s="41"/>
      <c r="EFJ19" s="41"/>
      <c r="EFK19" s="41"/>
      <c r="EFL19" s="41"/>
      <c r="EFM19" s="41"/>
      <c r="EFN19" s="41"/>
      <c r="EFO19" s="41"/>
      <c r="EFP19" s="41"/>
      <c r="EFQ19" s="41"/>
      <c r="EFR19" s="41"/>
      <c r="EFS19" s="41"/>
      <c r="EFT19" s="41"/>
      <c r="EFU19" s="41"/>
      <c r="EFV19" s="41"/>
      <c r="EFW19" s="41"/>
      <c r="EFX19" s="41"/>
      <c r="EFY19" s="41"/>
      <c r="EFZ19" s="41"/>
      <c r="EGA19" s="41"/>
      <c r="EGB19" s="41"/>
      <c r="EGC19" s="41"/>
      <c r="EGD19" s="41"/>
      <c r="EGE19" s="41"/>
      <c r="EGF19" s="41"/>
      <c r="EGG19" s="41"/>
      <c r="EGH19" s="41"/>
      <c r="EGI19" s="41"/>
      <c r="EGJ19" s="41"/>
      <c r="EGK19" s="41"/>
      <c r="EGL19" s="41"/>
      <c r="EGM19" s="41"/>
      <c r="EGN19" s="41"/>
      <c r="EGO19" s="41"/>
      <c r="EGP19" s="41"/>
      <c r="EGQ19" s="41"/>
      <c r="EGR19" s="41"/>
      <c r="EGS19" s="41"/>
      <c r="EGT19" s="41"/>
      <c r="EGU19" s="41"/>
      <c r="EGV19" s="41"/>
      <c r="EGW19" s="41"/>
      <c r="EGX19" s="41"/>
      <c r="EGY19" s="41"/>
      <c r="EGZ19" s="41"/>
      <c r="EHA19" s="41"/>
      <c r="EHB19" s="41"/>
      <c r="EHC19" s="41"/>
      <c r="EHD19" s="41"/>
      <c r="EHE19" s="41"/>
      <c r="EHF19" s="41"/>
      <c r="EHG19" s="41"/>
      <c r="EHH19" s="41"/>
      <c r="EHI19" s="41"/>
      <c r="EHJ19" s="41"/>
      <c r="EHK19" s="41"/>
      <c r="EHL19" s="41"/>
      <c r="EHM19" s="41"/>
      <c r="EHN19" s="41"/>
      <c r="EHO19" s="41"/>
      <c r="EHP19" s="41"/>
      <c r="EHQ19" s="41"/>
      <c r="EHR19" s="41"/>
      <c r="EHS19" s="41"/>
      <c r="EHT19" s="41"/>
      <c r="EHU19" s="41"/>
      <c r="EHV19" s="41"/>
      <c r="EHW19" s="41"/>
      <c r="EHX19" s="41"/>
      <c r="EHY19" s="41"/>
      <c r="EHZ19" s="41"/>
      <c r="EIA19" s="41"/>
      <c r="EIB19" s="41"/>
      <c r="EIC19" s="41"/>
      <c r="EID19" s="41"/>
      <c r="EIE19" s="41"/>
      <c r="EIF19" s="41"/>
      <c r="EIG19" s="41"/>
      <c r="EIH19" s="41"/>
      <c r="EII19" s="41"/>
      <c r="EIJ19" s="41"/>
      <c r="EIK19" s="41"/>
      <c r="EIL19" s="41"/>
      <c r="EIM19" s="41"/>
      <c r="EIN19" s="41"/>
      <c r="EIO19" s="41"/>
      <c r="EIP19" s="41"/>
      <c r="EIQ19" s="41"/>
      <c r="EIR19" s="41"/>
      <c r="EIS19" s="41"/>
      <c r="EIT19" s="41"/>
      <c r="EIU19" s="41"/>
      <c r="EIV19" s="41"/>
      <c r="EIW19" s="41"/>
      <c r="EIX19" s="41"/>
      <c r="EIY19" s="41"/>
      <c r="EIZ19" s="41"/>
      <c r="EJA19" s="41"/>
      <c r="EJB19" s="41"/>
      <c r="EJC19" s="41"/>
      <c r="EJD19" s="41"/>
      <c r="EJE19" s="41"/>
      <c r="EJF19" s="41"/>
      <c r="EJG19" s="41"/>
      <c r="EJH19" s="41"/>
      <c r="EJI19" s="41"/>
      <c r="EJJ19" s="41"/>
      <c r="EJK19" s="41"/>
      <c r="EJL19" s="41"/>
      <c r="EJM19" s="41"/>
      <c r="EJN19" s="41"/>
      <c r="EJO19" s="41"/>
      <c r="EJP19" s="41"/>
      <c r="EJQ19" s="41"/>
      <c r="EJR19" s="41"/>
      <c r="EJS19" s="41"/>
      <c r="EJT19" s="41"/>
      <c r="EJU19" s="41"/>
      <c r="EJV19" s="41"/>
      <c r="EJW19" s="41"/>
      <c r="EJX19" s="41"/>
      <c r="EJY19" s="41"/>
      <c r="EJZ19" s="41"/>
      <c r="EKA19" s="41"/>
      <c r="EKB19" s="41"/>
      <c r="EKC19" s="41"/>
      <c r="EKD19" s="41"/>
      <c r="EKE19" s="41"/>
      <c r="EKF19" s="41"/>
      <c r="EKG19" s="41"/>
      <c r="EKH19" s="41"/>
      <c r="EKI19" s="41"/>
      <c r="EKJ19" s="41"/>
      <c r="EKK19" s="41"/>
      <c r="EKL19" s="41"/>
      <c r="EKM19" s="41"/>
      <c r="EKN19" s="41"/>
      <c r="EKO19" s="41"/>
      <c r="EKP19" s="41"/>
      <c r="EKQ19" s="41"/>
      <c r="EKR19" s="41"/>
      <c r="EKS19" s="41"/>
      <c r="EKT19" s="41"/>
      <c r="EKU19" s="41"/>
      <c r="EKV19" s="41"/>
      <c r="EKW19" s="41"/>
      <c r="EKX19" s="41"/>
      <c r="EKY19" s="41"/>
      <c r="EKZ19" s="41"/>
      <c r="ELA19" s="41"/>
      <c r="ELB19" s="41"/>
      <c r="ELC19" s="41"/>
      <c r="ELD19" s="41"/>
      <c r="ELE19" s="41"/>
      <c r="ELF19" s="41"/>
      <c r="ELG19" s="41"/>
      <c r="ELH19" s="41"/>
      <c r="ELI19" s="41"/>
      <c r="ELJ19" s="41"/>
      <c r="ELK19" s="41"/>
      <c r="ELL19" s="41"/>
      <c r="ELM19" s="41"/>
      <c r="ELN19" s="41"/>
      <c r="ELO19" s="41"/>
      <c r="ELP19" s="41"/>
      <c r="ELQ19" s="41"/>
      <c r="ELR19" s="41"/>
      <c r="ELS19" s="41"/>
      <c r="ELT19" s="41"/>
      <c r="ELU19" s="41"/>
      <c r="ELV19" s="41"/>
      <c r="ELW19" s="41"/>
      <c r="ELX19" s="41"/>
      <c r="ELY19" s="41"/>
      <c r="ELZ19" s="41"/>
      <c r="EMA19" s="41"/>
      <c r="EMB19" s="41"/>
      <c r="EMC19" s="41"/>
      <c r="EMD19" s="41"/>
      <c r="EME19" s="41"/>
      <c r="EMF19" s="41"/>
      <c r="EMG19" s="41"/>
      <c r="EMH19" s="41"/>
      <c r="EMI19" s="41"/>
      <c r="EMJ19" s="41"/>
      <c r="EMK19" s="41"/>
      <c r="EML19" s="41"/>
      <c r="EMM19" s="41"/>
      <c r="EMN19" s="41"/>
      <c r="EMO19" s="41"/>
      <c r="EMP19" s="41"/>
      <c r="EMQ19" s="41"/>
      <c r="EMR19" s="41"/>
      <c r="EMS19" s="41"/>
      <c r="EMT19" s="41"/>
      <c r="EMU19" s="41"/>
      <c r="EMV19" s="41"/>
      <c r="EMW19" s="41"/>
      <c r="EMX19" s="41"/>
      <c r="EMY19" s="41"/>
      <c r="EMZ19" s="41"/>
      <c r="ENA19" s="41"/>
      <c r="ENB19" s="41"/>
      <c r="ENC19" s="41"/>
      <c r="END19" s="41"/>
      <c r="ENE19" s="41"/>
      <c r="ENF19" s="41"/>
      <c r="ENG19" s="41"/>
      <c r="ENH19" s="41"/>
      <c r="ENI19" s="41"/>
      <c r="ENJ19" s="41"/>
      <c r="ENK19" s="41"/>
      <c r="ENL19" s="41"/>
      <c r="ENM19" s="41"/>
      <c r="ENN19" s="41"/>
      <c r="ENO19" s="41"/>
      <c r="ENP19" s="41"/>
      <c r="ENQ19" s="41"/>
      <c r="ENR19" s="41"/>
      <c r="ENS19" s="41"/>
      <c r="ENT19" s="41"/>
      <c r="ENU19" s="41"/>
      <c r="ENV19" s="41"/>
      <c r="ENW19" s="41"/>
      <c r="ENX19" s="41"/>
      <c r="ENY19" s="41"/>
      <c r="ENZ19" s="41"/>
      <c r="EOA19" s="41"/>
      <c r="EOB19" s="41"/>
      <c r="EOC19" s="41"/>
      <c r="EOD19" s="41"/>
      <c r="EOE19" s="41"/>
      <c r="EOF19" s="41"/>
      <c r="EOG19" s="41"/>
      <c r="EOH19" s="41"/>
      <c r="EOI19" s="41"/>
      <c r="EOJ19" s="41"/>
      <c r="EOK19" s="41"/>
      <c r="EOL19" s="41"/>
      <c r="EOM19" s="41"/>
      <c r="EON19" s="41"/>
      <c r="EOO19" s="41"/>
      <c r="EOP19" s="41"/>
      <c r="EOQ19" s="41"/>
      <c r="EOR19" s="41"/>
      <c r="EOS19" s="41"/>
      <c r="EOT19" s="41"/>
      <c r="EOU19" s="41"/>
      <c r="EOV19" s="41"/>
      <c r="EOW19" s="41"/>
      <c r="EOX19" s="41"/>
      <c r="EOY19" s="41"/>
      <c r="EOZ19" s="41"/>
      <c r="EPA19" s="41"/>
      <c r="EPB19" s="41"/>
      <c r="EPC19" s="41"/>
      <c r="EPD19" s="41"/>
      <c r="EPE19" s="41"/>
      <c r="EPF19" s="41"/>
      <c r="EPG19" s="41"/>
      <c r="EPH19" s="41"/>
      <c r="EPI19" s="41"/>
      <c r="EPJ19" s="41"/>
      <c r="EPK19" s="41"/>
      <c r="EPL19" s="41"/>
      <c r="EPM19" s="41"/>
      <c r="EPN19" s="41"/>
      <c r="EPO19" s="41"/>
      <c r="EPP19" s="41"/>
      <c r="EPQ19" s="41"/>
      <c r="EPR19" s="41"/>
      <c r="EPS19" s="41"/>
      <c r="EPT19" s="41"/>
      <c r="EPU19" s="41"/>
      <c r="EPV19" s="41"/>
      <c r="EPW19" s="41"/>
      <c r="EPX19" s="41"/>
      <c r="EPY19" s="41"/>
      <c r="EPZ19" s="41"/>
      <c r="EQA19" s="41"/>
      <c r="EQB19" s="41"/>
      <c r="EQC19" s="41"/>
      <c r="EQD19" s="41"/>
      <c r="EQE19" s="41"/>
      <c r="EQF19" s="41"/>
      <c r="EQG19" s="41"/>
      <c r="EQH19" s="41"/>
      <c r="EQI19" s="41"/>
      <c r="EQJ19" s="41"/>
      <c r="EQK19" s="41"/>
      <c r="EQL19" s="41"/>
      <c r="EQM19" s="41"/>
      <c r="EQN19" s="41"/>
      <c r="EQO19" s="41"/>
      <c r="EQP19" s="41"/>
      <c r="EQQ19" s="41"/>
      <c r="EQR19" s="41"/>
      <c r="EQS19" s="41"/>
      <c r="EQT19" s="41"/>
      <c r="EQU19" s="41"/>
      <c r="EQV19" s="41"/>
      <c r="EQW19" s="41"/>
      <c r="EQX19" s="41"/>
      <c r="EQY19" s="41"/>
      <c r="EQZ19" s="41"/>
      <c r="ERA19" s="41"/>
      <c r="ERB19" s="41"/>
      <c r="ERC19" s="41"/>
      <c r="ERD19" s="41"/>
      <c r="ERE19" s="41"/>
      <c r="ERF19" s="41"/>
      <c r="ERG19" s="41"/>
      <c r="ERH19" s="41"/>
      <c r="ERI19" s="41"/>
      <c r="ERJ19" s="41"/>
      <c r="ERK19" s="41"/>
      <c r="ERL19" s="41"/>
      <c r="ERM19" s="41"/>
      <c r="ERN19" s="41"/>
      <c r="ERO19" s="41"/>
      <c r="ERP19" s="41"/>
      <c r="ERQ19" s="41"/>
      <c r="ERR19" s="41"/>
      <c r="ERS19" s="41"/>
      <c r="ERT19" s="41"/>
      <c r="ERU19" s="41"/>
      <c r="ERV19" s="41"/>
      <c r="ERW19" s="41"/>
      <c r="ERX19" s="41"/>
      <c r="ERY19" s="41"/>
      <c r="ERZ19" s="41"/>
      <c r="ESA19" s="41"/>
      <c r="ESB19" s="41"/>
      <c r="ESC19" s="41"/>
      <c r="ESD19" s="41"/>
      <c r="ESE19" s="41"/>
      <c r="ESF19" s="41"/>
      <c r="ESG19" s="41"/>
      <c r="ESH19" s="41"/>
      <c r="ESI19" s="41"/>
      <c r="ESJ19" s="41"/>
      <c r="ESK19" s="41"/>
      <c r="ESL19" s="41"/>
      <c r="ESM19" s="41"/>
      <c r="ESN19" s="41"/>
      <c r="ESO19" s="41"/>
      <c r="ESP19" s="41"/>
      <c r="ESQ19" s="41"/>
      <c r="ESR19" s="41"/>
      <c r="ESS19" s="41"/>
      <c r="EST19" s="41"/>
      <c r="ESU19" s="41"/>
      <c r="ESV19" s="41"/>
      <c r="ESW19" s="41"/>
      <c r="ESX19" s="41"/>
      <c r="ESY19" s="41"/>
      <c r="ESZ19" s="41"/>
      <c r="ETA19" s="41"/>
      <c r="ETB19" s="41"/>
      <c r="ETC19" s="41"/>
      <c r="ETD19" s="41"/>
      <c r="ETE19" s="41"/>
      <c r="ETF19" s="41"/>
      <c r="ETG19" s="41"/>
      <c r="ETH19" s="41"/>
      <c r="ETI19" s="41"/>
      <c r="ETJ19" s="41"/>
      <c r="ETK19" s="41"/>
      <c r="ETL19" s="41"/>
      <c r="ETM19" s="41"/>
      <c r="ETN19" s="41"/>
      <c r="ETO19" s="41"/>
      <c r="ETP19" s="41"/>
      <c r="ETQ19" s="41"/>
      <c r="ETR19" s="41"/>
      <c r="ETS19" s="41"/>
      <c r="ETT19" s="41"/>
      <c r="ETU19" s="41"/>
      <c r="ETV19" s="41"/>
      <c r="ETW19" s="41"/>
      <c r="ETX19" s="41"/>
      <c r="ETY19" s="41"/>
      <c r="ETZ19" s="41"/>
      <c r="EUA19" s="41"/>
      <c r="EUB19" s="41"/>
      <c r="EUC19" s="41"/>
      <c r="EUD19" s="41"/>
      <c r="EUE19" s="41"/>
      <c r="EUF19" s="41"/>
      <c r="EUG19" s="41"/>
      <c r="EUH19" s="41"/>
      <c r="EUI19" s="41"/>
      <c r="EUJ19" s="41"/>
      <c r="EUK19" s="41"/>
      <c r="EUL19" s="41"/>
      <c r="EUM19" s="41"/>
      <c r="EUN19" s="41"/>
      <c r="EUO19" s="41"/>
      <c r="EUP19" s="41"/>
      <c r="EUQ19" s="41"/>
      <c r="EUR19" s="41"/>
      <c r="EUS19" s="41"/>
      <c r="EUT19" s="41"/>
      <c r="EUU19" s="41"/>
      <c r="EUV19" s="41"/>
      <c r="EUW19" s="41"/>
      <c r="EUX19" s="41"/>
      <c r="EUY19" s="41"/>
      <c r="EUZ19" s="41"/>
      <c r="EVA19" s="41"/>
      <c r="EVB19" s="41"/>
      <c r="EVC19" s="41"/>
      <c r="EVD19" s="41"/>
      <c r="EVE19" s="41"/>
      <c r="EVF19" s="41"/>
      <c r="EVG19" s="41"/>
      <c r="EVH19" s="41"/>
      <c r="EVI19" s="41"/>
      <c r="EVJ19" s="41"/>
      <c r="EVK19" s="41"/>
      <c r="EVL19" s="41"/>
      <c r="EVM19" s="41"/>
      <c r="EVN19" s="41"/>
      <c r="EVO19" s="41"/>
      <c r="EVP19" s="41"/>
      <c r="EVQ19" s="41"/>
      <c r="EVR19" s="41"/>
      <c r="EVS19" s="41"/>
      <c r="EVT19" s="41"/>
      <c r="EVU19" s="41"/>
      <c r="EVV19" s="41"/>
      <c r="EVW19" s="41"/>
      <c r="EVX19" s="41"/>
      <c r="EVY19" s="41"/>
      <c r="EVZ19" s="41"/>
      <c r="EWA19" s="41"/>
      <c r="EWB19" s="41"/>
      <c r="EWC19" s="41"/>
      <c r="EWD19" s="41"/>
      <c r="EWE19" s="41"/>
      <c r="EWF19" s="41"/>
      <c r="EWG19" s="41"/>
      <c r="EWH19" s="41"/>
      <c r="EWI19" s="41"/>
      <c r="EWJ19" s="41"/>
      <c r="EWK19" s="41"/>
      <c r="EWL19" s="41"/>
      <c r="EWM19" s="41"/>
      <c r="EWN19" s="41"/>
      <c r="EWO19" s="41"/>
      <c r="EWP19" s="41"/>
      <c r="EWQ19" s="41"/>
      <c r="EWR19" s="41"/>
      <c r="EWS19" s="41"/>
      <c r="EWT19" s="41"/>
      <c r="EWU19" s="41"/>
      <c r="EWV19" s="41"/>
      <c r="EWW19" s="41"/>
      <c r="EWX19" s="41"/>
      <c r="EWY19" s="41"/>
      <c r="EWZ19" s="41"/>
      <c r="EXA19" s="41"/>
      <c r="EXB19" s="41"/>
      <c r="EXC19" s="41"/>
      <c r="EXD19" s="41"/>
      <c r="EXE19" s="41"/>
      <c r="EXF19" s="41"/>
      <c r="EXG19" s="41"/>
      <c r="EXH19" s="41"/>
      <c r="EXI19" s="41"/>
      <c r="EXJ19" s="41"/>
      <c r="EXK19" s="41"/>
      <c r="EXL19" s="41"/>
      <c r="EXM19" s="41"/>
      <c r="EXN19" s="41"/>
      <c r="EXO19" s="41"/>
      <c r="EXP19" s="41"/>
      <c r="EXQ19" s="41"/>
      <c r="EXR19" s="41"/>
      <c r="EXS19" s="41"/>
      <c r="EXT19" s="41"/>
      <c r="EXU19" s="41"/>
      <c r="EXV19" s="41"/>
      <c r="EXW19" s="41"/>
      <c r="EXX19" s="41"/>
      <c r="EXY19" s="41"/>
      <c r="EXZ19" s="41"/>
      <c r="EYA19" s="41"/>
      <c r="EYB19" s="41"/>
      <c r="EYC19" s="41"/>
      <c r="EYD19" s="41"/>
      <c r="EYE19" s="41"/>
      <c r="EYF19" s="41"/>
      <c r="EYG19" s="41"/>
      <c r="EYH19" s="41"/>
      <c r="EYI19" s="41"/>
      <c r="EYJ19" s="41"/>
      <c r="EYK19" s="41"/>
      <c r="EYL19" s="41"/>
      <c r="EYM19" s="41"/>
      <c r="EYN19" s="41"/>
      <c r="EYO19" s="41"/>
      <c r="EYP19" s="41"/>
      <c r="EYQ19" s="41"/>
      <c r="EYR19" s="41"/>
      <c r="EYS19" s="41"/>
      <c r="EYT19" s="41"/>
      <c r="EYU19" s="41"/>
      <c r="EYV19" s="41"/>
      <c r="EYW19" s="41"/>
      <c r="EYX19" s="41"/>
      <c r="EYY19" s="41"/>
      <c r="EYZ19" s="41"/>
      <c r="EZA19" s="41"/>
      <c r="EZB19" s="41"/>
      <c r="EZC19" s="41"/>
      <c r="EZD19" s="41"/>
      <c r="EZE19" s="41"/>
      <c r="EZF19" s="41"/>
      <c r="EZG19" s="41"/>
      <c r="EZH19" s="41"/>
      <c r="EZI19" s="41"/>
      <c r="EZJ19" s="41"/>
      <c r="EZK19" s="41"/>
      <c r="EZL19" s="41"/>
      <c r="EZM19" s="41"/>
      <c r="EZN19" s="41"/>
      <c r="EZO19" s="41"/>
      <c r="EZP19" s="41"/>
      <c r="EZQ19" s="41"/>
      <c r="EZR19" s="41"/>
      <c r="EZS19" s="41"/>
      <c r="EZT19" s="41"/>
      <c r="EZU19" s="41"/>
      <c r="EZV19" s="41"/>
      <c r="EZW19" s="41"/>
      <c r="EZX19" s="41"/>
      <c r="EZY19" s="41"/>
      <c r="EZZ19" s="41"/>
      <c r="FAA19" s="41"/>
      <c r="FAB19" s="41"/>
      <c r="FAC19" s="41"/>
      <c r="FAD19" s="41"/>
      <c r="FAE19" s="41"/>
      <c r="FAF19" s="41"/>
      <c r="FAG19" s="41"/>
      <c r="FAH19" s="41"/>
      <c r="FAI19" s="41"/>
      <c r="FAJ19" s="41"/>
      <c r="FAK19" s="41"/>
      <c r="FAL19" s="41"/>
      <c r="FAM19" s="41"/>
      <c r="FAN19" s="41"/>
      <c r="FAO19" s="41"/>
      <c r="FAP19" s="41"/>
      <c r="FAQ19" s="41"/>
      <c r="FAR19" s="41"/>
      <c r="FAS19" s="41"/>
      <c r="FAT19" s="41"/>
      <c r="FAU19" s="41"/>
      <c r="FAV19" s="41"/>
      <c r="FAW19" s="41"/>
      <c r="FAX19" s="41"/>
      <c r="FAY19" s="41"/>
      <c r="FAZ19" s="41"/>
      <c r="FBA19" s="41"/>
      <c r="FBB19" s="41"/>
      <c r="FBC19" s="41"/>
      <c r="FBD19" s="41"/>
      <c r="FBE19" s="41"/>
      <c r="FBF19" s="41"/>
      <c r="FBG19" s="41"/>
      <c r="FBH19" s="41"/>
      <c r="FBI19" s="41"/>
      <c r="FBJ19" s="41"/>
      <c r="FBK19" s="41"/>
      <c r="FBL19" s="41"/>
      <c r="FBM19" s="41"/>
      <c r="FBN19" s="41"/>
      <c r="FBO19" s="41"/>
      <c r="FBP19" s="41"/>
      <c r="FBQ19" s="41"/>
      <c r="FBR19" s="41"/>
      <c r="FBS19" s="41"/>
      <c r="FBT19" s="41"/>
      <c r="FBU19" s="41"/>
      <c r="FBV19" s="41"/>
      <c r="FBW19" s="41"/>
      <c r="FBX19" s="41"/>
      <c r="FBY19" s="41"/>
      <c r="FBZ19" s="41"/>
      <c r="FCA19" s="41"/>
      <c r="FCB19" s="41"/>
      <c r="FCC19" s="41"/>
      <c r="FCD19" s="41"/>
      <c r="FCE19" s="41"/>
      <c r="FCF19" s="41"/>
      <c r="FCG19" s="41"/>
      <c r="FCH19" s="41"/>
      <c r="FCI19" s="41"/>
      <c r="FCJ19" s="41"/>
      <c r="FCK19" s="41"/>
      <c r="FCL19" s="41"/>
      <c r="FCM19" s="41"/>
      <c r="FCN19" s="41"/>
      <c r="FCO19" s="41"/>
      <c r="FCP19" s="41"/>
      <c r="FCQ19" s="41"/>
      <c r="FCR19" s="41"/>
      <c r="FCS19" s="41"/>
      <c r="FCT19" s="41"/>
      <c r="FCU19" s="41"/>
      <c r="FCV19" s="41"/>
      <c r="FCW19" s="41"/>
      <c r="FCX19" s="41"/>
      <c r="FCY19" s="41"/>
      <c r="FCZ19" s="41"/>
      <c r="FDA19" s="41"/>
      <c r="FDB19" s="41"/>
      <c r="FDC19" s="41"/>
      <c r="FDD19" s="41"/>
      <c r="FDE19" s="41"/>
      <c r="FDF19" s="41"/>
      <c r="FDG19" s="41"/>
      <c r="FDH19" s="41"/>
      <c r="FDI19" s="41"/>
      <c r="FDJ19" s="41"/>
      <c r="FDK19" s="41"/>
      <c r="FDL19" s="41"/>
      <c r="FDM19" s="41"/>
      <c r="FDN19" s="41"/>
      <c r="FDO19" s="41"/>
      <c r="FDP19" s="41"/>
      <c r="FDQ19" s="41"/>
      <c r="FDR19" s="41"/>
      <c r="FDS19" s="41"/>
      <c r="FDT19" s="41"/>
      <c r="FDU19" s="41"/>
      <c r="FDV19" s="41"/>
      <c r="FDW19" s="41"/>
      <c r="FDX19" s="41"/>
      <c r="FDY19" s="41"/>
      <c r="FDZ19" s="41"/>
      <c r="FEA19" s="41"/>
      <c r="FEB19" s="41"/>
      <c r="FEC19" s="41"/>
      <c r="FED19" s="41"/>
      <c r="FEE19" s="41"/>
      <c r="FEF19" s="41"/>
      <c r="FEG19" s="41"/>
      <c r="FEH19" s="41"/>
      <c r="FEI19" s="41"/>
      <c r="FEJ19" s="41"/>
      <c r="FEK19" s="41"/>
      <c r="FEL19" s="41"/>
      <c r="FEM19" s="41"/>
      <c r="FEN19" s="41"/>
      <c r="FEO19" s="41"/>
      <c r="FEP19" s="41"/>
      <c r="FEQ19" s="41"/>
      <c r="FER19" s="41"/>
      <c r="FES19" s="41"/>
      <c r="FET19" s="41"/>
      <c r="FEU19" s="41"/>
      <c r="FEV19" s="41"/>
      <c r="FEW19" s="41"/>
      <c r="FEX19" s="41"/>
      <c r="FEY19" s="41"/>
      <c r="FEZ19" s="41"/>
      <c r="FFA19" s="41"/>
      <c r="FFB19" s="41"/>
      <c r="FFC19" s="41"/>
      <c r="FFD19" s="41"/>
      <c r="FFE19" s="41"/>
      <c r="FFF19" s="41"/>
      <c r="FFG19" s="41"/>
      <c r="FFH19" s="41"/>
      <c r="FFI19" s="41"/>
      <c r="FFJ19" s="41"/>
      <c r="FFK19" s="41"/>
      <c r="FFL19" s="41"/>
      <c r="FFM19" s="41"/>
      <c r="FFN19" s="41"/>
      <c r="FFO19" s="41"/>
      <c r="FFP19" s="41"/>
      <c r="FFQ19" s="41"/>
      <c r="FFR19" s="41"/>
      <c r="FFS19" s="41"/>
      <c r="FFT19" s="41"/>
      <c r="FFU19" s="41"/>
      <c r="FFV19" s="41"/>
      <c r="FFW19" s="41"/>
      <c r="FFX19" s="41"/>
      <c r="FFY19" s="41"/>
      <c r="FFZ19" s="41"/>
      <c r="FGA19" s="41"/>
      <c r="FGB19" s="41"/>
      <c r="FGC19" s="41"/>
      <c r="FGD19" s="41"/>
      <c r="FGE19" s="41"/>
      <c r="FGF19" s="41"/>
      <c r="FGG19" s="41"/>
      <c r="FGH19" s="41"/>
      <c r="FGI19" s="41"/>
      <c r="FGJ19" s="41"/>
      <c r="FGK19" s="41"/>
      <c r="FGL19" s="41"/>
      <c r="FGM19" s="41"/>
      <c r="FGN19" s="41"/>
      <c r="FGO19" s="41"/>
      <c r="FGP19" s="41"/>
      <c r="FGQ19" s="41"/>
      <c r="FGR19" s="41"/>
      <c r="FGS19" s="41"/>
      <c r="FGT19" s="41"/>
      <c r="FGU19" s="41"/>
      <c r="FGV19" s="41"/>
      <c r="FGW19" s="41"/>
      <c r="FGX19" s="41"/>
      <c r="FGY19" s="41"/>
      <c r="FGZ19" s="41"/>
      <c r="FHA19" s="41"/>
      <c r="FHB19" s="41"/>
      <c r="FHC19" s="41"/>
      <c r="FHD19" s="41"/>
      <c r="FHE19" s="41"/>
      <c r="FHF19" s="41"/>
      <c r="FHG19" s="41"/>
      <c r="FHH19" s="41"/>
      <c r="FHI19" s="41"/>
      <c r="FHJ19" s="41"/>
      <c r="FHK19" s="41"/>
      <c r="FHL19" s="41"/>
      <c r="FHM19" s="41"/>
      <c r="FHN19" s="41"/>
      <c r="FHO19" s="41"/>
      <c r="FHP19" s="41"/>
      <c r="FHQ19" s="41"/>
      <c r="FHR19" s="41"/>
      <c r="FHS19" s="41"/>
      <c r="FHT19" s="41"/>
      <c r="FHU19" s="41"/>
      <c r="FHV19" s="41"/>
      <c r="FHW19" s="41"/>
      <c r="FHX19" s="41"/>
      <c r="FHY19" s="41"/>
      <c r="FHZ19" s="41"/>
      <c r="FIA19" s="41"/>
      <c r="FIB19" s="41"/>
      <c r="FIC19" s="41"/>
      <c r="FID19" s="41"/>
      <c r="FIE19" s="41"/>
      <c r="FIF19" s="41"/>
      <c r="FIG19" s="41"/>
      <c r="FIH19" s="41"/>
      <c r="FII19" s="41"/>
      <c r="FIJ19" s="41"/>
      <c r="FIK19" s="41"/>
      <c r="FIL19" s="41"/>
      <c r="FIM19" s="41"/>
      <c r="FIN19" s="41"/>
      <c r="FIO19" s="41"/>
      <c r="FIP19" s="41"/>
      <c r="FIQ19" s="41"/>
      <c r="FIR19" s="41"/>
      <c r="FIS19" s="41"/>
      <c r="FIT19" s="41"/>
      <c r="FIU19" s="41"/>
      <c r="FIV19" s="41"/>
      <c r="FIW19" s="41"/>
      <c r="FIX19" s="41"/>
      <c r="FIY19" s="41"/>
      <c r="FIZ19" s="41"/>
      <c r="FJA19" s="41"/>
      <c r="FJB19" s="41"/>
      <c r="FJC19" s="41"/>
      <c r="FJD19" s="41"/>
      <c r="FJE19" s="41"/>
      <c r="FJF19" s="41"/>
      <c r="FJG19" s="41"/>
      <c r="FJH19" s="41"/>
      <c r="FJI19" s="41"/>
      <c r="FJJ19" s="41"/>
      <c r="FJK19" s="41"/>
      <c r="FJL19" s="41"/>
      <c r="FJM19" s="41"/>
      <c r="FJN19" s="41"/>
      <c r="FJO19" s="41"/>
      <c r="FJP19" s="41"/>
      <c r="FJQ19" s="41"/>
      <c r="FJR19" s="41"/>
      <c r="FJS19" s="41"/>
      <c r="FJT19" s="41"/>
      <c r="FJU19" s="41"/>
      <c r="FJV19" s="41"/>
      <c r="FJW19" s="41"/>
      <c r="FJX19" s="41"/>
      <c r="FJY19" s="41"/>
      <c r="FJZ19" s="41"/>
      <c r="FKA19" s="41"/>
      <c r="FKB19" s="41"/>
      <c r="FKC19" s="41"/>
      <c r="FKD19" s="41"/>
      <c r="FKE19" s="41"/>
      <c r="FKF19" s="41"/>
      <c r="FKG19" s="41"/>
      <c r="FKH19" s="41"/>
      <c r="FKI19" s="41"/>
      <c r="FKJ19" s="41"/>
      <c r="FKK19" s="41"/>
      <c r="FKL19" s="41"/>
      <c r="FKM19" s="41"/>
      <c r="FKN19" s="41"/>
      <c r="FKO19" s="41"/>
      <c r="FKP19" s="41"/>
      <c r="FKQ19" s="41"/>
      <c r="FKR19" s="41"/>
      <c r="FKS19" s="41"/>
      <c r="FKT19" s="41"/>
      <c r="FKU19" s="41"/>
      <c r="FKV19" s="41"/>
      <c r="FKW19" s="41"/>
      <c r="FKX19" s="41"/>
      <c r="FKY19" s="41"/>
      <c r="FKZ19" s="41"/>
      <c r="FLA19" s="41"/>
      <c r="FLB19" s="41"/>
      <c r="FLC19" s="41"/>
      <c r="FLD19" s="41"/>
      <c r="FLE19" s="41"/>
      <c r="FLF19" s="41"/>
      <c r="FLG19" s="41"/>
      <c r="FLH19" s="41"/>
      <c r="FLI19" s="41"/>
      <c r="FLJ19" s="41"/>
      <c r="FLK19" s="41"/>
      <c r="FLL19" s="41"/>
      <c r="FLM19" s="41"/>
      <c r="FLN19" s="41"/>
      <c r="FLO19" s="41"/>
      <c r="FLP19" s="41"/>
      <c r="FLQ19" s="41"/>
      <c r="FLR19" s="41"/>
      <c r="FLS19" s="41"/>
      <c r="FLT19" s="41"/>
      <c r="FLU19" s="41"/>
      <c r="FLV19" s="41"/>
      <c r="FLW19" s="41"/>
      <c r="FLX19" s="41"/>
      <c r="FLY19" s="41"/>
      <c r="FLZ19" s="41"/>
      <c r="FMA19" s="41"/>
      <c r="FMB19" s="41"/>
      <c r="FMC19" s="41"/>
      <c r="FMD19" s="41"/>
      <c r="FME19" s="41"/>
      <c r="FMF19" s="41"/>
      <c r="FMG19" s="41"/>
      <c r="FMH19" s="41"/>
      <c r="FMI19" s="41"/>
      <c r="FMJ19" s="41"/>
      <c r="FMK19" s="41"/>
      <c r="FML19" s="41"/>
      <c r="FMM19" s="41"/>
      <c r="FMN19" s="41"/>
      <c r="FMO19" s="41"/>
      <c r="FMP19" s="41"/>
      <c r="FMQ19" s="41"/>
      <c r="FMR19" s="41"/>
      <c r="FMS19" s="41"/>
      <c r="FMT19" s="41"/>
      <c r="FMU19" s="41"/>
      <c r="FMV19" s="41"/>
      <c r="FMW19" s="41"/>
      <c r="FMX19" s="41"/>
      <c r="FMY19" s="41"/>
      <c r="FMZ19" s="41"/>
      <c r="FNA19" s="41"/>
      <c r="FNB19" s="41"/>
      <c r="FNC19" s="41"/>
      <c r="FND19" s="41"/>
      <c r="FNE19" s="41"/>
      <c r="FNF19" s="41"/>
      <c r="FNG19" s="41"/>
      <c r="FNH19" s="41"/>
      <c r="FNI19" s="41"/>
      <c r="FNJ19" s="41"/>
      <c r="FNK19" s="41"/>
      <c r="FNL19" s="41"/>
      <c r="FNM19" s="41"/>
      <c r="FNN19" s="41"/>
      <c r="FNO19" s="41"/>
      <c r="FNP19" s="41"/>
      <c r="FNQ19" s="41"/>
      <c r="FNR19" s="41"/>
      <c r="FNS19" s="41"/>
      <c r="FNT19" s="41"/>
      <c r="FNU19" s="41"/>
      <c r="FNV19" s="41"/>
      <c r="FNW19" s="41"/>
      <c r="FNX19" s="41"/>
      <c r="FNY19" s="41"/>
      <c r="FNZ19" s="41"/>
      <c r="FOA19" s="41"/>
      <c r="FOB19" s="41"/>
      <c r="FOC19" s="41"/>
      <c r="FOD19" s="41"/>
      <c r="FOE19" s="41"/>
      <c r="FOF19" s="41"/>
      <c r="FOG19" s="41"/>
      <c r="FOH19" s="41"/>
      <c r="FOI19" s="41"/>
      <c r="FOJ19" s="41"/>
      <c r="FOK19" s="41"/>
      <c r="FOL19" s="41"/>
      <c r="FOM19" s="41"/>
      <c r="FON19" s="41"/>
      <c r="FOO19" s="41"/>
      <c r="FOP19" s="41"/>
      <c r="FOQ19" s="41"/>
      <c r="FOR19" s="41"/>
      <c r="FOS19" s="41"/>
      <c r="FOT19" s="41"/>
      <c r="FOU19" s="41"/>
      <c r="FOV19" s="41"/>
      <c r="FOW19" s="41"/>
      <c r="FOX19" s="41"/>
      <c r="FOY19" s="41"/>
      <c r="FOZ19" s="41"/>
      <c r="FPA19" s="41"/>
      <c r="FPB19" s="41"/>
      <c r="FPC19" s="41"/>
      <c r="FPD19" s="41"/>
      <c r="FPE19" s="41"/>
      <c r="FPF19" s="41"/>
      <c r="FPG19" s="41"/>
      <c r="FPH19" s="41"/>
      <c r="FPI19" s="41"/>
      <c r="FPJ19" s="41"/>
      <c r="FPK19" s="41"/>
      <c r="FPL19" s="41"/>
      <c r="FPM19" s="41"/>
      <c r="FPN19" s="41"/>
      <c r="FPO19" s="41"/>
      <c r="FPP19" s="41"/>
      <c r="FPQ19" s="41"/>
      <c r="FPR19" s="41"/>
      <c r="FPS19" s="41"/>
      <c r="FPT19" s="41"/>
      <c r="FPU19" s="41"/>
      <c r="FPV19" s="41"/>
      <c r="FPW19" s="41"/>
      <c r="FPX19" s="41"/>
      <c r="FPY19" s="41"/>
      <c r="FPZ19" s="41"/>
      <c r="FQA19" s="41"/>
      <c r="FQB19" s="41"/>
      <c r="FQC19" s="41"/>
      <c r="FQD19" s="41"/>
      <c r="FQE19" s="41"/>
      <c r="FQF19" s="41"/>
      <c r="FQG19" s="41"/>
      <c r="FQH19" s="41"/>
      <c r="FQI19" s="41"/>
      <c r="FQJ19" s="41"/>
      <c r="FQK19" s="41"/>
      <c r="FQL19" s="41"/>
      <c r="FQM19" s="41"/>
      <c r="FQN19" s="41"/>
      <c r="FQO19" s="41"/>
      <c r="FQP19" s="41"/>
      <c r="FQQ19" s="41"/>
      <c r="FQR19" s="41"/>
      <c r="FQS19" s="41"/>
      <c r="FQT19" s="41"/>
      <c r="FQU19" s="41"/>
      <c r="FQV19" s="41"/>
      <c r="FQW19" s="41"/>
      <c r="FQX19" s="41"/>
      <c r="FQY19" s="41"/>
      <c r="FQZ19" s="41"/>
      <c r="FRA19" s="41"/>
      <c r="FRB19" s="41"/>
      <c r="FRC19" s="41"/>
      <c r="FRD19" s="41"/>
      <c r="FRE19" s="41"/>
      <c r="FRF19" s="41"/>
      <c r="FRG19" s="41"/>
      <c r="FRH19" s="41"/>
      <c r="FRI19" s="41"/>
      <c r="FRJ19" s="41"/>
      <c r="FRK19" s="41"/>
      <c r="FRL19" s="41"/>
      <c r="FRM19" s="41"/>
      <c r="FRN19" s="41"/>
      <c r="FRO19" s="41"/>
      <c r="FRP19" s="41"/>
      <c r="FRQ19" s="41"/>
      <c r="FRR19" s="41"/>
      <c r="FRS19" s="41"/>
      <c r="FRT19" s="41"/>
      <c r="FRU19" s="41"/>
      <c r="FRV19" s="41"/>
      <c r="FRW19" s="41"/>
      <c r="FRX19" s="41"/>
      <c r="FRY19" s="41"/>
      <c r="FRZ19" s="41"/>
      <c r="FSA19" s="41"/>
      <c r="FSB19" s="41"/>
      <c r="FSC19" s="41"/>
      <c r="FSD19" s="41"/>
      <c r="FSE19" s="41"/>
      <c r="FSF19" s="41"/>
      <c r="FSG19" s="41"/>
      <c r="FSH19" s="41"/>
      <c r="FSI19" s="41"/>
      <c r="FSJ19" s="41"/>
      <c r="FSK19" s="41"/>
      <c r="FSL19" s="41"/>
      <c r="FSM19" s="41"/>
      <c r="FSN19" s="41"/>
      <c r="FSO19" s="41"/>
      <c r="FSP19" s="41"/>
      <c r="FSQ19" s="41"/>
      <c r="FSR19" s="41"/>
      <c r="FSS19" s="41"/>
      <c r="FST19" s="41"/>
      <c r="FSU19" s="41"/>
      <c r="FSV19" s="41"/>
      <c r="FSW19" s="41"/>
      <c r="FSX19" s="41"/>
      <c r="FSY19" s="41"/>
      <c r="FSZ19" s="41"/>
      <c r="FTA19" s="41"/>
      <c r="FTB19" s="41"/>
      <c r="FTC19" s="41"/>
      <c r="FTD19" s="41"/>
      <c r="FTE19" s="41"/>
      <c r="FTF19" s="41"/>
      <c r="FTG19" s="41"/>
      <c r="FTH19" s="41"/>
      <c r="FTI19" s="41"/>
      <c r="FTJ19" s="41"/>
      <c r="FTK19" s="41"/>
      <c r="FTL19" s="41"/>
      <c r="FTM19" s="41"/>
      <c r="FTN19" s="41"/>
      <c r="FTO19" s="41"/>
      <c r="FTP19" s="41"/>
      <c r="FTQ19" s="41"/>
      <c r="FTR19" s="41"/>
      <c r="FTS19" s="41"/>
      <c r="FTT19" s="41"/>
      <c r="FTU19" s="41"/>
      <c r="FTV19" s="41"/>
      <c r="FTW19" s="41"/>
      <c r="FTX19" s="41"/>
      <c r="FTY19" s="41"/>
      <c r="FTZ19" s="41"/>
      <c r="FUA19" s="41"/>
      <c r="FUB19" s="41"/>
      <c r="FUC19" s="41"/>
      <c r="FUD19" s="41"/>
      <c r="FUE19" s="41"/>
      <c r="FUF19" s="41"/>
      <c r="FUG19" s="41"/>
      <c r="FUH19" s="41"/>
      <c r="FUI19" s="41"/>
      <c r="FUJ19" s="41"/>
      <c r="FUK19" s="41"/>
      <c r="FUL19" s="41"/>
      <c r="FUM19" s="41"/>
      <c r="FUN19" s="41"/>
      <c r="FUO19" s="41"/>
      <c r="FUP19" s="41"/>
      <c r="FUQ19" s="41"/>
      <c r="FUR19" s="41"/>
      <c r="FUS19" s="41"/>
      <c r="FUT19" s="41"/>
      <c r="FUU19" s="41"/>
      <c r="FUV19" s="41"/>
      <c r="FUW19" s="41"/>
      <c r="FUX19" s="41"/>
      <c r="FUY19" s="41"/>
      <c r="FUZ19" s="41"/>
      <c r="FVA19" s="41"/>
      <c r="FVB19" s="41"/>
      <c r="FVC19" s="41"/>
      <c r="FVD19" s="41"/>
      <c r="FVE19" s="41"/>
      <c r="FVF19" s="41"/>
      <c r="FVG19" s="41"/>
      <c r="FVH19" s="41"/>
      <c r="FVI19" s="41"/>
      <c r="FVJ19" s="41"/>
      <c r="FVK19" s="41"/>
      <c r="FVL19" s="41"/>
      <c r="FVM19" s="41"/>
      <c r="FVN19" s="41"/>
      <c r="FVO19" s="41"/>
      <c r="FVP19" s="41"/>
      <c r="FVQ19" s="41"/>
      <c r="FVR19" s="41"/>
      <c r="FVS19" s="41"/>
      <c r="FVT19" s="41"/>
      <c r="FVU19" s="41"/>
      <c r="FVV19" s="41"/>
      <c r="FVW19" s="41"/>
      <c r="FVX19" s="41"/>
      <c r="FVY19" s="41"/>
      <c r="FVZ19" s="41"/>
      <c r="FWA19" s="41"/>
      <c r="FWB19" s="41"/>
      <c r="FWC19" s="41"/>
      <c r="FWD19" s="41"/>
      <c r="FWE19" s="41"/>
      <c r="FWF19" s="41"/>
      <c r="FWG19" s="41"/>
      <c r="FWH19" s="41"/>
      <c r="FWI19" s="41"/>
      <c r="FWJ19" s="41"/>
      <c r="FWK19" s="41"/>
      <c r="FWL19" s="41"/>
      <c r="FWM19" s="41"/>
      <c r="FWN19" s="41"/>
      <c r="FWO19" s="41"/>
      <c r="FWP19" s="41"/>
      <c r="FWQ19" s="41"/>
      <c r="FWR19" s="41"/>
      <c r="FWS19" s="41"/>
      <c r="FWT19" s="41"/>
      <c r="FWU19" s="41"/>
      <c r="FWV19" s="41"/>
      <c r="FWW19" s="41"/>
      <c r="FWX19" s="41"/>
      <c r="FWY19" s="41"/>
      <c r="FWZ19" s="41"/>
      <c r="FXA19" s="41"/>
      <c r="FXB19" s="41"/>
      <c r="FXC19" s="41"/>
      <c r="FXD19" s="41"/>
      <c r="FXE19" s="41"/>
      <c r="FXF19" s="41"/>
      <c r="FXG19" s="41"/>
      <c r="FXH19" s="41"/>
      <c r="FXI19" s="41"/>
      <c r="FXJ19" s="41"/>
      <c r="FXK19" s="41"/>
      <c r="FXL19" s="41"/>
      <c r="FXM19" s="41"/>
      <c r="FXN19" s="41"/>
      <c r="FXO19" s="41"/>
      <c r="FXP19" s="41"/>
      <c r="FXQ19" s="41"/>
      <c r="FXR19" s="41"/>
      <c r="FXS19" s="41"/>
      <c r="FXT19" s="41"/>
      <c r="FXU19" s="41"/>
      <c r="FXV19" s="41"/>
      <c r="FXW19" s="41"/>
      <c r="FXX19" s="41"/>
      <c r="FXY19" s="41"/>
      <c r="FXZ19" s="41"/>
      <c r="FYA19" s="41"/>
      <c r="FYB19" s="41"/>
      <c r="FYC19" s="41"/>
      <c r="FYD19" s="41"/>
      <c r="FYE19" s="41"/>
      <c r="FYF19" s="41"/>
      <c r="FYG19" s="41"/>
      <c r="FYH19" s="41"/>
      <c r="FYI19" s="41"/>
      <c r="FYJ19" s="41"/>
      <c r="FYK19" s="41"/>
      <c r="FYL19" s="41"/>
      <c r="FYM19" s="41"/>
      <c r="FYN19" s="41"/>
      <c r="FYO19" s="41"/>
      <c r="FYP19" s="41"/>
      <c r="FYQ19" s="41"/>
      <c r="FYR19" s="41"/>
      <c r="FYS19" s="41"/>
      <c r="FYT19" s="41"/>
      <c r="FYU19" s="41"/>
      <c r="FYV19" s="41"/>
      <c r="FYW19" s="41"/>
      <c r="FYX19" s="41"/>
      <c r="FYY19" s="41"/>
      <c r="FYZ19" s="41"/>
      <c r="FZA19" s="41"/>
      <c r="FZB19" s="41"/>
      <c r="FZC19" s="41"/>
      <c r="FZD19" s="41"/>
      <c r="FZE19" s="41"/>
      <c r="FZF19" s="41"/>
      <c r="FZG19" s="41"/>
      <c r="FZH19" s="41"/>
      <c r="FZI19" s="41"/>
      <c r="FZJ19" s="41"/>
      <c r="FZK19" s="41"/>
      <c r="FZL19" s="41"/>
      <c r="FZM19" s="41"/>
      <c r="FZN19" s="41"/>
      <c r="FZO19" s="41"/>
      <c r="FZP19" s="41"/>
      <c r="FZQ19" s="41"/>
      <c r="FZR19" s="41"/>
      <c r="FZS19" s="41"/>
      <c r="FZT19" s="41"/>
      <c r="FZU19" s="41"/>
      <c r="FZV19" s="41"/>
      <c r="FZW19" s="41"/>
      <c r="FZX19" s="41"/>
      <c r="FZY19" s="41"/>
      <c r="FZZ19" s="41"/>
      <c r="GAA19" s="41"/>
      <c r="GAB19" s="41"/>
      <c r="GAC19" s="41"/>
      <c r="GAD19" s="41"/>
      <c r="GAE19" s="41"/>
      <c r="GAF19" s="41"/>
      <c r="GAG19" s="41"/>
      <c r="GAH19" s="41"/>
      <c r="GAI19" s="41"/>
      <c r="GAJ19" s="41"/>
      <c r="GAK19" s="41"/>
      <c r="GAL19" s="41"/>
      <c r="GAM19" s="41"/>
      <c r="GAN19" s="41"/>
      <c r="GAO19" s="41"/>
      <c r="GAP19" s="41"/>
      <c r="GAQ19" s="41"/>
      <c r="GAR19" s="41"/>
      <c r="GAS19" s="41"/>
      <c r="GAT19" s="41"/>
      <c r="GAU19" s="41"/>
      <c r="GAV19" s="41"/>
      <c r="GAW19" s="41"/>
      <c r="GAX19" s="41"/>
      <c r="GAY19" s="41"/>
      <c r="GAZ19" s="41"/>
      <c r="GBA19" s="41"/>
      <c r="GBB19" s="41"/>
      <c r="GBC19" s="41"/>
      <c r="GBD19" s="41"/>
      <c r="GBE19" s="41"/>
      <c r="GBF19" s="41"/>
      <c r="GBG19" s="41"/>
      <c r="GBH19" s="41"/>
      <c r="GBI19" s="41"/>
      <c r="GBJ19" s="41"/>
      <c r="GBK19" s="41"/>
      <c r="GBL19" s="41"/>
      <c r="GBM19" s="41"/>
      <c r="GBN19" s="41"/>
      <c r="GBO19" s="41"/>
      <c r="GBP19" s="41"/>
      <c r="GBQ19" s="41"/>
      <c r="GBR19" s="41"/>
      <c r="GBS19" s="41"/>
      <c r="GBT19" s="41"/>
      <c r="GBU19" s="41"/>
      <c r="GBV19" s="41"/>
      <c r="GBW19" s="41"/>
      <c r="GBX19" s="41"/>
      <c r="GBY19" s="41"/>
      <c r="GBZ19" s="41"/>
      <c r="GCA19" s="41"/>
      <c r="GCB19" s="41"/>
      <c r="GCC19" s="41"/>
      <c r="GCD19" s="41"/>
      <c r="GCE19" s="41"/>
      <c r="GCF19" s="41"/>
      <c r="GCG19" s="41"/>
      <c r="GCH19" s="41"/>
      <c r="GCI19" s="41"/>
      <c r="GCJ19" s="41"/>
      <c r="GCK19" s="41"/>
      <c r="GCL19" s="41"/>
      <c r="GCM19" s="41"/>
      <c r="GCN19" s="41"/>
      <c r="GCO19" s="41"/>
      <c r="GCP19" s="41"/>
      <c r="GCQ19" s="41"/>
      <c r="GCR19" s="41"/>
      <c r="GCS19" s="41"/>
      <c r="GCT19" s="41"/>
      <c r="GCU19" s="41"/>
      <c r="GCV19" s="41"/>
      <c r="GCW19" s="41"/>
      <c r="GCX19" s="41"/>
      <c r="GCY19" s="41"/>
      <c r="GCZ19" s="41"/>
      <c r="GDA19" s="41"/>
      <c r="GDB19" s="41"/>
      <c r="GDC19" s="41"/>
      <c r="GDD19" s="41"/>
      <c r="GDE19" s="41"/>
      <c r="GDF19" s="41"/>
      <c r="GDG19" s="41"/>
      <c r="GDH19" s="41"/>
      <c r="GDI19" s="41"/>
      <c r="GDJ19" s="41"/>
      <c r="GDK19" s="41"/>
      <c r="GDL19" s="41"/>
      <c r="GDM19" s="41"/>
      <c r="GDN19" s="41"/>
      <c r="GDO19" s="41"/>
      <c r="GDP19" s="41"/>
      <c r="GDQ19" s="41"/>
      <c r="GDR19" s="41"/>
      <c r="GDS19" s="41"/>
      <c r="GDT19" s="41"/>
      <c r="GDU19" s="41"/>
      <c r="GDV19" s="41"/>
      <c r="GDW19" s="41"/>
      <c r="GDX19" s="41"/>
      <c r="GDY19" s="41"/>
      <c r="GDZ19" s="41"/>
      <c r="GEA19" s="41"/>
      <c r="GEB19" s="41"/>
      <c r="GEC19" s="41"/>
      <c r="GED19" s="41"/>
      <c r="GEE19" s="41"/>
      <c r="GEF19" s="41"/>
      <c r="GEG19" s="41"/>
      <c r="GEH19" s="41"/>
      <c r="GEI19" s="41"/>
      <c r="GEJ19" s="41"/>
      <c r="GEK19" s="41"/>
      <c r="GEL19" s="41"/>
      <c r="GEM19" s="41"/>
      <c r="GEN19" s="41"/>
      <c r="GEO19" s="41"/>
      <c r="GEP19" s="41"/>
      <c r="GEQ19" s="41"/>
      <c r="GER19" s="41"/>
      <c r="GES19" s="41"/>
      <c r="GET19" s="41"/>
      <c r="GEU19" s="41"/>
      <c r="GEV19" s="41"/>
      <c r="GEW19" s="41"/>
      <c r="GEX19" s="41"/>
      <c r="GEY19" s="41"/>
      <c r="GEZ19" s="41"/>
      <c r="GFA19" s="41"/>
      <c r="GFB19" s="41"/>
      <c r="GFC19" s="41"/>
      <c r="GFD19" s="41"/>
      <c r="GFE19" s="41"/>
      <c r="GFF19" s="41"/>
      <c r="GFG19" s="41"/>
      <c r="GFH19" s="41"/>
      <c r="GFI19" s="41"/>
      <c r="GFJ19" s="41"/>
      <c r="GFK19" s="41"/>
      <c r="GFL19" s="41"/>
      <c r="GFM19" s="41"/>
      <c r="GFN19" s="41"/>
      <c r="GFO19" s="41"/>
      <c r="GFP19" s="41"/>
      <c r="GFQ19" s="41"/>
      <c r="GFR19" s="41"/>
      <c r="GFS19" s="41"/>
      <c r="GFT19" s="41"/>
      <c r="GFU19" s="41"/>
      <c r="GFV19" s="41"/>
      <c r="GFW19" s="41"/>
      <c r="GFX19" s="41"/>
      <c r="GFY19" s="41"/>
      <c r="GFZ19" s="41"/>
      <c r="GGA19" s="41"/>
      <c r="GGB19" s="41"/>
      <c r="GGC19" s="41"/>
      <c r="GGD19" s="41"/>
      <c r="GGE19" s="41"/>
      <c r="GGF19" s="41"/>
      <c r="GGG19" s="41"/>
      <c r="GGH19" s="41"/>
      <c r="GGI19" s="41"/>
      <c r="GGJ19" s="41"/>
      <c r="GGK19" s="41"/>
      <c r="GGL19" s="41"/>
      <c r="GGM19" s="41"/>
      <c r="GGN19" s="41"/>
      <c r="GGO19" s="41"/>
      <c r="GGP19" s="41"/>
      <c r="GGQ19" s="41"/>
      <c r="GGR19" s="41"/>
      <c r="GGS19" s="41"/>
      <c r="GGT19" s="41"/>
      <c r="GGU19" s="41"/>
      <c r="GGV19" s="41"/>
      <c r="GGW19" s="41"/>
      <c r="GGX19" s="41"/>
      <c r="GGY19" s="41"/>
      <c r="GGZ19" s="41"/>
      <c r="GHA19" s="41"/>
      <c r="GHB19" s="41"/>
      <c r="GHC19" s="41"/>
      <c r="GHD19" s="41"/>
      <c r="GHE19" s="41"/>
      <c r="GHF19" s="41"/>
      <c r="GHG19" s="41"/>
      <c r="GHH19" s="41"/>
      <c r="GHI19" s="41"/>
      <c r="GHJ19" s="41"/>
      <c r="GHK19" s="41"/>
      <c r="GHL19" s="41"/>
      <c r="GHM19" s="41"/>
      <c r="GHN19" s="41"/>
      <c r="GHO19" s="41"/>
      <c r="GHP19" s="41"/>
      <c r="GHQ19" s="41"/>
      <c r="GHR19" s="41"/>
      <c r="GHS19" s="41"/>
      <c r="GHT19" s="41"/>
      <c r="GHU19" s="41"/>
      <c r="GHV19" s="41"/>
      <c r="GHW19" s="41"/>
      <c r="GHX19" s="41"/>
      <c r="GHY19" s="41"/>
      <c r="GHZ19" s="41"/>
      <c r="GIA19" s="41"/>
      <c r="GIB19" s="41"/>
      <c r="GIC19" s="41"/>
      <c r="GID19" s="41"/>
      <c r="GIE19" s="41"/>
      <c r="GIF19" s="41"/>
      <c r="GIG19" s="41"/>
      <c r="GIH19" s="41"/>
      <c r="GII19" s="41"/>
      <c r="GIJ19" s="41"/>
      <c r="GIK19" s="41"/>
      <c r="GIL19" s="41"/>
      <c r="GIM19" s="41"/>
      <c r="GIN19" s="41"/>
      <c r="GIO19" s="41"/>
      <c r="GIP19" s="41"/>
      <c r="GIQ19" s="41"/>
      <c r="GIR19" s="41"/>
      <c r="GIS19" s="41"/>
      <c r="GIT19" s="41"/>
      <c r="GIU19" s="41"/>
      <c r="GIV19" s="41"/>
      <c r="GIW19" s="41"/>
      <c r="GIX19" s="41"/>
      <c r="GIY19" s="41"/>
      <c r="GIZ19" s="41"/>
      <c r="GJA19" s="41"/>
      <c r="GJB19" s="41"/>
      <c r="GJC19" s="41"/>
      <c r="GJD19" s="41"/>
      <c r="GJE19" s="41"/>
      <c r="GJF19" s="41"/>
      <c r="GJG19" s="41"/>
      <c r="GJH19" s="41"/>
      <c r="GJI19" s="41"/>
      <c r="GJJ19" s="41"/>
      <c r="GJK19" s="41"/>
      <c r="GJL19" s="41"/>
      <c r="GJM19" s="41"/>
      <c r="GJN19" s="41"/>
      <c r="GJO19" s="41"/>
      <c r="GJP19" s="41"/>
      <c r="GJQ19" s="41"/>
      <c r="GJR19" s="41"/>
      <c r="GJS19" s="41"/>
      <c r="GJT19" s="41"/>
      <c r="GJU19" s="41"/>
      <c r="GJV19" s="41"/>
      <c r="GJW19" s="41"/>
      <c r="GJX19" s="41"/>
      <c r="GJY19" s="41"/>
      <c r="GJZ19" s="41"/>
      <c r="GKA19" s="41"/>
      <c r="GKB19" s="41"/>
      <c r="GKC19" s="41"/>
      <c r="GKD19" s="41"/>
      <c r="GKE19" s="41"/>
      <c r="GKF19" s="41"/>
      <c r="GKG19" s="41"/>
      <c r="GKH19" s="41"/>
      <c r="GKI19" s="41"/>
      <c r="GKJ19" s="41"/>
      <c r="GKK19" s="41"/>
      <c r="GKL19" s="41"/>
      <c r="GKM19" s="41"/>
      <c r="GKN19" s="41"/>
      <c r="GKO19" s="41"/>
      <c r="GKP19" s="41"/>
      <c r="GKQ19" s="41"/>
      <c r="GKR19" s="41"/>
      <c r="GKS19" s="41"/>
      <c r="GKT19" s="41"/>
      <c r="GKU19" s="41"/>
      <c r="GKV19" s="41"/>
      <c r="GKW19" s="41"/>
      <c r="GKX19" s="41"/>
      <c r="GKY19" s="41"/>
      <c r="GKZ19" s="41"/>
      <c r="GLA19" s="41"/>
      <c r="GLB19" s="41"/>
      <c r="GLC19" s="41"/>
      <c r="GLD19" s="41"/>
      <c r="GLE19" s="41"/>
      <c r="GLF19" s="41"/>
      <c r="GLG19" s="41"/>
      <c r="GLH19" s="41"/>
      <c r="GLI19" s="41"/>
      <c r="GLJ19" s="41"/>
      <c r="GLK19" s="41"/>
      <c r="GLL19" s="41"/>
      <c r="GLM19" s="41"/>
      <c r="GLN19" s="41"/>
      <c r="GLO19" s="41"/>
      <c r="GLP19" s="41"/>
      <c r="GLQ19" s="41"/>
      <c r="GLR19" s="41"/>
      <c r="GLS19" s="41"/>
      <c r="GLT19" s="41"/>
      <c r="GLU19" s="41"/>
      <c r="GLV19" s="41"/>
      <c r="GLW19" s="41"/>
      <c r="GLX19" s="41"/>
      <c r="GLY19" s="41"/>
      <c r="GLZ19" s="41"/>
      <c r="GMA19" s="41"/>
      <c r="GMB19" s="41"/>
      <c r="GMC19" s="41"/>
      <c r="GMD19" s="41"/>
      <c r="GME19" s="41"/>
      <c r="GMF19" s="41"/>
      <c r="GMG19" s="41"/>
      <c r="GMH19" s="41"/>
      <c r="GMI19" s="41"/>
      <c r="GMJ19" s="41"/>
      <c r="GMK19" s="41"/>
      <c r="GML19" s="41"/>
      <c r="GMM19" s="41"/>
      <c r="GMN19" s="41"/>
      <c r="GMO19" s="41"/>
      <c r="GMP19" s="41"/>
      <c r="GMQ19" s="41"/>
      <c r="GMR19" s="41"/>
      <c r="GMS19" s="41"/>
      <c r="GMT19" s="41"/>
      <c r="GMU19" s="41"/>
      <c r="GMV19" s="41"/>
      <c r="GMW19" s="41"/>
      <c r="GMX19" s="41"/>
      <c r="GMY19" s="41"/>
      <c r="GMZ19" s="41"/>
      <c r="GNA19" s="41"/>
      <c r="GNB19" s="41"/>
      <c r="GNC19" s="41"/>
      <c r="GND19" s="41"/>
      <c r="GNE19" s="41"/>
      <c r="GNF19" s="41"/>
      <c r="GNG19" s="41"/>
      <c r="GNH19" s="41"/>
      <c r="GNI19" s="41"/>
      <c r="GNJ19" s="41"/>
      <c r="GNK19" s="41"/>
      <c r="GNL19" s="41"/>
      <c r="GNM19" s="41"/>
      <c r="GNN19" s="41"/>
      <c r="GNO19" s="41"/>
      <c r="GNP19" s="41"/>
      <c r="GNQ19" s="41"/>
      <c r="GNR19" s="41"/>
      <c r="GNS19" s="41"/>
      <c r="GNT19" s="41"/>
      <c r="GNU19" s="41"/>
      <c r="GNV19" s="41"/>
      <c r="GNW19" s="41"/>
      <c r="GNX19" s="41"/>
      <c r="GNY19" s="41"/>
      <c r="GNZ19" s="41"/>
      <c r="GOA19" s="41"/>
      <c r="GOB19" s="41"/>
      <c r="GOC19" s="41"/>
      <c r="GOD19" s="41"/>
      <c r="GOE19" s="41"/>
      <c r="GOF19" s="41"/>
      <c r="GOG19" s="41"/>
      <c r="GOH19" s="41"/>
      <c r="GOI19" s="41"/>
      <c r="GOJ19" s="41"/>
      <c r="GOK19" s="41"/>
      <c r="GOL19" s="41"/>
      <c r="GOM19" s="41"/>
      <c r="GON19" s="41"/>
      <c r="GOO19" s="41"/>
      <c r="GOP19" s="41"/>
      <c r="GOQ19" s="41"/>
      <c r="GOR19" s="41"/>
      <c r="GOS19" s="41"/>
      <c r="GOT19" s="41"/>
      <c r="GOU19" s="41"/>
      <c r="GOV19" s="41"/>
      <c r="GOW19" s="41"/>
      <c r="GOX19" s="41"/>
      <c r="GOY19" s="41"/>
      <c r="GOZ19" s="41"/>
      <c r="GPA19" s="41"/>
      <c r="GPB19" s="41"/>
      <c r="GPC19" s="41"/>
      <c r="GPD19" s="41"/>
      <c r="GPE19" s="41"/>
      <c r="GPF19" s="41"/>
      <c r="GPG19" s="41"/>
      <c r="GPH19" s="41"/>
      <c r="GPI19" s="41"/>
      <c r="GPJ19" s="41"/>
      <c r="GPK19" s="41"/>
      <c r="GPL19" s="41"/>
      <c r="GPM19" s="41"/>
      <c r="GPN19" s="41"/>
      <c r="GPO19" s="41"/>
      <c r="GPP19" s="41"/>
      <c r="GPQ19" s="41"/>
      <c r="GPR19" s="41"/>
      <c r="GPS19" s="41"/>
      <c r="GPT19" s="41"/>
      <c r="GPU19" s="41"/>
      <c r="GPV19" s="41"/>
      <c r="GPW19" s="41"/>
      <c r="GPX19" s="41"/>
      <c r="GPY19" s="41"/>
      <c r="GPZ19" s="41"/>
      <c r="GQA19" s="41"/>
      <c r="GQB19" s="41"/>
      <c r="GQC19" s="41"/>
      <c r="GQD19" s="41"/>
      <c r="GQE19" s="41"/>
      <c r="GQF19" s="41"/>
      <c r="GQG19" s="41"/>
      <c r="GQH19" s="41"/>
      <c r="GQI19" s="41"/>
      <c r="GQJ19" s="41"/>
      <c r="GQK19" s="41"/>
      <c r="GQL19" s="41"/>
      <c r="GQM19" s="41"/>
      <c r="GQN19" s="41"/>
      <c r="GQO19" s="41"/>
      <c r="GQP19" s="41"/>
      <c r="GQQ19" s="41"/>
      <c r="GQR19" s="41"/>
      <c r="GQS19" s="41"/>
      <c r="GQT19" s="41"/>
      <c r="GQU19" s="41"/>
      <c r="GQV19" s="41"/>
      <c r="GQW19" s="41"/>
      <c r="GQX19" s="41"/>
      <c r="GQY19" s="41"/>
      <c r="GQZ19" s="41"/>
      <c r="GRA19" s="41"/>
      <c r="GRB19" s="41"/>
      <c r="GRC19" s="41"/>
      <c r="GRD19" s="41"/>
      <c r="GRE19" s="41"/>
      <c r="GRF19" s="41"/>
      <c r="GRG19" s="41"/>
      <c r="GRH19" s="41"/>
      <c r="GRI19" s="41"/>
      <c r="GRJ19" s="41"/>
      <c r="GRK19" s="41"/>
      <c r="GRL19" s="41"/>
      <c r="GRM19" s="41"/>
      <c r="GRN19" s="41"/>
      <c r="GRO19" s="41"/>
      <c r="GRP19" s="41"/>
      <c r="GRQ19" s="41"/>
      <c r="GRR19" s="41"/>
      <c r="GRS19" s="41"/>
      <c r="GRT19" s="41"/>
      <c r="GRU19" s="41"/>
      <c r="GRV19" s="41"/>
      <c r="GRW19" s="41"/>
      <c r="GRX19" s="41"/>
      <c r="GRY19" s="41"/>
      <c r="GRZ19" s="41"/>
      <c r="GSA19" s="41"/>
      <c r="GSB19" s="41"/>
      <c r="GSC19" s="41"/>
      <c r="GSD19" s="41"/>
      <c r="GSE19" s="41"/>
      <c r="GSF19" s="41"/>
      <c r="GSG19" s="41"/>
      <c r="GSH19" s="41"/>
      <c r="GSI19" s="41"/>
      <c r="GSJ19" s="41"/>
      <c r="GSK19" s="41"/>
      <c r="GSL19" s="41"/>
      <c r="GSM19" s="41"/>
      <c r="GSN19" s="41"/>
      <c r="GSO19" s="41"/>
      <c r="GSP19" s="41"/>
      <c r="GSQ19" s="41"/>
      <c r="GSR19" s="41"/>
      <c r="GSS19" s="41"/>
      <c r="GST19" s="41"/>
      <c r="GSU19" s="41"/>
      <c r="GSV19" s="41"/>
      <c r="GSW19" s="41"/>
      <c r="GSX19" s="41"/>
      <c r="GSY19" s="41"/>
      <c r="GSZ19" s="41"/>
      <c r="GTA19" s="41"/>
      <c r="GTB19" s="41"/>
      <c r="GTC19" s="41"/>
      <c r="GTD19" s="41"/>
      <c r="GTE19" s="41"/>
      <c r="GTF19" s="41"/>
      <c r="GTG19" s="41"/>
      <c r="GTH19" s="41"/>
      <c r="GTI19" s="41"/>
      <c r="GTJ19" s="41"/>
      <c r="GTK19" s="41"/>
      <c r="GTL19" s="41"/>
      <c r="GTM19" s="41"/>
      <c r="GTN19" s="41"/>
      <c r="GTO19" s="41"/>
      <c r="GTP19" s="41"/>
      <c r="GTQ19" s="41"/>
      <c r="GTR19" s="41"/>
      <c r="GTS19" s="41"/>
      <c r="GTT19" s="41"/>
      <c r="GTU19" s="41"/>
      <c r="GTV19" s="41"/>
      <c r="GTW19" s="41"/>
      <c r="GTX19" s="41"/>
      <c r="GTY19" s="41"/>
      <c r="GTZ19" s="41"/>
      <c r="GUA19" s="41"/>
      <c r="GUB19" s="41"/>
      <c r="GUC19" s="41"/>
      <c r="GUD19" s="41"/>
      <c r="GUE19" s="41"/>
      <c r="GUF19" s="41"/>
      <c r="GUG19" s="41"/>
      <c r="GUH19" s="41"/>
      <c r="GUI19" s="41"/>
      <c r="GUJ19" s="41"/>
      <c r="GUK19" s="41"/>
      <c r="GUL19" s="41"/>
      <c r="GUM19" s="41"/>
      <c r="GUN19" s="41"/>
      <c r="GUO19" s="41"/>
      <c r="GUP19" s="41"/>
      <c r="GUQ19" s="41"/>
      <c r="GUR19" s="41"/>
      <c r="GUS19" s="41"/>
      <c r="GUT19" s="41"/>
      <c r="GUU19" s="41"/>
      <c r="GUV19" s="41"/>
      <c r="GUW19" s="41"/>
      <c r="GUX19" s="41"/>
      <c r="GUY19" s="41"/>
      <c r="GUZ19" s="41"/>
      <c r="GVA19" s="41"/>
      <c r="GVB19" s="41"/>
      <c r="GVC19" s="41"/>
      <c r="GVD19" s="41"/>
      <c r="GVE19" s="41"/>
      <c r="GVF19" s="41"/>
      <c r="GVG19" s="41"/>
      <c r="GVH19" s="41"/>
      <c r="GVI19" s="41"/>
      <c r="GVJ19" s="41"/>
      <c r="GVK19" s="41"/>
      <c r="GVL19" s="41"/>
      <c r="GVM19" s="41"/>
      <c r="GVN19" s="41"/>
      <c r="GVO19" s="41"/>
      <c r="GVP19" s="41"/>
      <c r="GVQ19" s="41"/>
      <c r="GVR19" s="41"/>
      <c r="GVS19" s="41"/>
      <c r="GVT19" s="41"/>
      <c r="GVU19" s="41"/>
      <c r="GVV19" s="41"/>
      <c r="GVW19" s="41"/>
      <c r="GVX19" s="41"/>
      <c r="GVY19" s="41"/>
      <c r="GVZ19" s="41"/>
      <c r="GWA19" s="41"/>
      <c r="GWB19" s="41"/>
      <c r="GWC19" s="41"/>
      <c r="GWD19" s="41"/>
      <c r="GWE19" s="41"/>
      <c r="GWF19" s="41"/>
      <c r="GWG19" s="41"/>
      <c r="GWH19" s="41"/>
      <c r="GWI19" s="41"/>
      <c r="GWJ19" s="41"/>
      <c r="GWK19" s="41"/>
      <c r="GWL19" s="41"/>
      <c r="GWM19" s="41"/>
      <c r="GWN19" s="41"/>
      <c r="GWO19" s="41"/>
      <c r="GWP19" s="41"/>
      <c r="GWQ19" s="41"/>
      <c r="GWR19" s="41"/>
      <c r="GWS19" s="41"/>
      <c r="GWT19" s="41"/>
      <c r="GWU19" s="41"/>
      <c r="GWV19" s="41"/>
      <c r="GWW19" s="41"/>
      <c r="GWX19" s="41"/>
      <c r="GWY19" s="41"/>
      <c r="GWZ19" s="41"/>
      <c r="GXA19" s="41"/>
      <c r="GXB19" s="41"/>
      <c r="GXC19" s="41"/>
      <c r="GXD19" s="41"/>
      <c r="GXE19" s="41"/>
      <c r="GXF19" s="41"/>
      <c r="GXG19" s="41"/>
      <c r="GXH19" s="41"/>
      <c r="GXI19" s="41"/>
      <c r="GXJ19" s="41"/>
      <c r="GXK19" s="41"/>
      <c r="GXL19" s="41"/>
      <c r="GXM19" s="41"/>
      <c r="GXN19" s="41"/>
      <c r="GXO19" s="41"/>
      <c r="GXP19" s="41"/>
      <c r="GXQ19" s="41"/>
      <c r="GXR19" s="41"/>
      <c r="GXS19" s="41"/>
      <c r="GXT19" s="41"/>
      <c r="GXU19" s="41"/>
      <c r="GXV19" s="41"/>
      <c r="GXW19" s="41"/>
      <c r="GXX19" s="41"/>
      <c r="GXY19" s="41"/>
      <c r="GXZ19" s="41"/>
      <c r="GYA19" s="41"/>
      <c r="GYB19" s="41"/>
      <c r="GYC19" s="41"/>
      <c r="GYD19" s="41"/>
      <c r="GYE19" s="41"/>
      <c r="GYF19" s="41"/>
      <c r="GYG19" s="41"/>
      <c r="GYH19" s="41"/>
      <c r="GYI19" s="41"/>
      <c r="GYJ19" s="41"/>
      <c r="GYK19" s="41"/>
      <c r="GYL19" s="41"/>
      <c r="GYM19" s="41"/>
      <c r="GYN19" s="41"/>
      <c r="GYO19" s="41"/>
      <c r="GYP19" s="41"/>
      <c r="GYQ19" s="41"/>
      <c r="GYR19" s="41"/>
      <c r="GYS19" s="41"/>
      <c r="GYT19" s="41"/>
      <c r="GYU19" s="41"/>
      <c r="GYV19" s="41"/>
      <c r="GYW19" s="41"/>
      <c r="GYX19" s="41"/>
      <c r="GYY19" s="41"/>
      <c r="GYZ19" s="41"/>
      <c r="GZA19" s="41"/>
      <c r="GZB19" s="41"/>
      <c r="GZC19" s="41"/>
      <c r="GZD19" s="41"/>
      <c r="GZE19" s="41"/>
      <c r="GZF19" s="41"/>
      <c r="GZG19" s="41"/>
      <c r="GZH19" s="41"/>
      <c r="GZI19" s="41"/>
      <c r="GZJ19" s="41"/>
      <c r="GZK19" s="41"/>
      <c r="GZL19" s="41"/>
      <c r="GZM19" s="41"/>
      <c r="GZN19" s="41"/>
      <c r="GZO19" s="41"/>
      <c r="GZP19" s="41"/>
      <c r="GZQ19" s="41"/>
      <c r="GZR19" s="41"/>
      <c r="GZS19" s="41"/>
      <c r="GZT19" s="41"/>
      <c r="GZU19" s="41"/>
      <c r="GZV19" s="41"/>
      <c r="GZW19" s="41"/>
      <c r="GZX19" s="41"/>
      <c r="GZY19" s="41"/>
      <c r="GZZ19" s="41"/>
      <c r="HAA19" s="41"/>
      <c r="HAB19" s="41"/>
      <c r="HAC19" s="41"/>
      <c r="HAD19" s="41"/>
      <c r="HAE19" s="41"/>
      <c r="HAF19" s="41"/>
      <c r="HAG19" s="41"/>
      <c r="HAH19" s="41"/>
      <c r="HAI19" s="41"/>
      <c r="HAJ19" s="41"/>
      <c r="HAK19" s="41"/>
      <c r="HAL19" s="41"/>
      <c r="HAM19" s="41"/>
      <c r="HAN19" s="41"/>
      <c r="HAO19" s="41"/>
      <c r="HAP19" s="41"/>
      <c r="HAQ19" s="41"/>
      <c r="HAR19" s="41"/>
      <c r="HAS19" s="41"/>
      <c r="HAT19" s="41"/>
      <c r="HAU19" s="41"/>
      <c r="HAV19" s="41"/>
      <c r="HAW19" s="41"/>
      <c r="HAX19" s="41"/>
      <c r="HAY19" s="41"/>
      <c r="HAZ19" s="41"/>
      <c r="HBA19" s="41"/>
      <c r="HBB19" s="41"/>
      <c r="HBC19" s="41"/>
      <c r="HBD19" s="41"/>
      <c r="HBE19" s="41"/>
      <c r="HBF19" s="41"/>
      <c r="HBG19" s="41"/>
      <c r="HBH19" s="41"/>
      <c r="HBI19" s="41"/>
      <c r="HBJ19" s="41"/>
      <c r="HBK19" s="41"/>
      <c r="HBL19" s="41"/>
      <c r="HBM19" s="41"/>
      <c r="HBN19" s="41"/>
      <c r="HBO19" s="41"/>
      <c r="HBP19" s="41"/>
      <c r="HBQ19" s="41"/>
      <c r="HBR19" s="41"/>
      <c r="HBS19" s="41"/>
      <c r="HBT19" s="41"/>
      <c r="HBU19" s="41"/>
      <c r="HBV19" s="41"/>
      <c r="HBW19" s="41"/>
      <c r="HBX19" s="41"/>
      <c r="HBY19" s="41"/>
      <c r="HBZ19" s="41"/>
      <c r="HCA19" s="41"/>
      <c r="HCB19" s="41"/>
      <c r="HCC19" s="41"/>
      <c r="HCD19" s="41"/>
      <c r="HCE19" s="41"/>
      <c r="HCF19" s="41"/>
      <c r="HCG19" s="41"/>
      <c r="HCH19" s="41"/>
      <c r="HCI19" s="41"/>
      <c r="HCJ19" s="41"/>
      <c r="HCK19" s="41"/>
      <c r="HCL19" s="41"/>
      <c r="HCM19" s="41"/>
      <c r="HCN19" s="41"/>
      <c r="HCO19" s="41"/>
      <c r="HCP19" s="41"/>
      <c r="HCQ19" s="41"/>
      <c r="HCR19" s="41"/>
      <c r="HCS19" s="41"/>
      <c r="HCT19" s="41"/>
      <c r="HCU19" s="41"/>
      <c r="HCV19" s="41"/>
      <c r="HCW19" s="41"/>
      <c r="HCX19" s="41"/>
      <c r="HCY19" s="41"/>
      <c r="HCZ19" s="41"/>
      <c r="HDA19" s="41"/>
      <c r="HDB19" s="41"/>
      <c r="HDC19" s="41"/>
      <c r="HDD19" s="41"/>
      <c r="HDE19" s="41"/>
      <c r="HDF19" s="41"/>
      <c r="HDG19" s="41"/>
      <c r="HDH19" s="41"/>
      <c r="HDI19" s="41"/>
      <c r="HDJ19" s="41"/>
      <c r="HDK19" s="41"/>
      <c r="HDL19" s="41"/>
      <c r="HDM19" s="41"/>
      <c r="HDN19" s="41"/>
      <c r="HDO19" s="41"/>
      <c r="HDP19" s="41"/>
      <c r="HDQ19" s="41"/>
      <c r="HDR19" s="41"/>
      <c r="HDS19" s="41"/>
      <c r="HDT19" s="41"/>
      <c r="HDU19" s="41"/>
      <c r="HDV19" s="41"/>
      <c r="HDW19" s="41"/>
      <c r="HDX19" s="41"/>
      <c r="HDY19" s="41"/>
      <c r="HDZ19" s="41"/>
      <c r="HEA19" s="41"/>
      <c r="HEB19" s="41"/>
      <c r="HEC19" s="41"/>
      <c r="HED19" s="41"/>
      <c r="HEE19" s="41"/>
      <c r="HEF19" s="41"/>
      <c r="HEG19" s="41"/>
      <c r="HEH19" s="41"/>
      <c r="HEI19" s="41"/>
      <c r="HEJ19" s="41"/>
      <c r="HEK19" s="41"/>
      <c r="HEL19" s="41"/>
      <c r="HEM19" s="41"/>
      <c r="HEN19" s="41"/>
      <c r="HEO19" s="41"/>
      <c r="HEP19" s="41"/>
      <c r="HEQ19" s="41"/>
      <c r="HER19" s="41"/>
      <c r="HES19" s="41"/>
      <c r="HET19" s="41"/>
      <c r="HEU19" s="41"/>
      <c r="HEV19" s="41"/>
      <c r="HEW19" s="41"/>
      <c r="HEX19" s="41"/>
      <c r="HEY19" s="41"/>
      <c r="HEZ19" s="41"/>
      <c r="HFA19" s="41"/>
      <c r="HFB19" s="41"/>
      <c r="HFC19" s="41"/>
      <c r="HFD19" s="41"/>
      <c r="HFE19" s="41"/>
      <c r="HFF19" s="41"/>
      <c r="HFG19" s="41"/>
      <c r="HFH19" s="41"/>
      <c r="HFI19" s="41"/>
      <c r="HFJ19" s="41"/>
      <c r="HFK19" s="41"/>
      <c r="HFL19" s="41"/>
      <c r="HFM19" s="41"/>
      <c r="HFN19" s="41"/>
      <c r="HFO19" s="41"/>
      <c r="HFP19" s="41"/>
      <c r="HFQ19" s="41"/>
      <c r="HFR19" s="41"/>
      <c r="HFS19" s="41"/>
      <c r="HFT19" s="41"/>
      <c r="HFU19" s="41"/>
      <c r="HFV19" s="41"/>
      <c r="HFW19" s="41"/>
      <c r="HFX19" s="41"/>
      <c r="HFY19" s="41"/>
      <c r="HFZ19" s="41"/>
      <c r="HGA19" s="41"/>
      <c r="HGB19" s="41"/>
      <c r="HGC19" s="41"/>
      <c r="HGD19" s="41"/>
      <c r="HGE19" s="41"/>
      <c r="HGF19" s="41"/>
      <c r="HGG19" s="41"/>
      <c r="HGH19" s="41"/>
      <c r="HGI19" s="41"/>
      <c r="HGJ19" s="41"/>
      <c r="HGK19" s="41"/>
      <c r="HGL19" s="41"/>
      <c r="HGM19" s="41"/>
      <c r="HGN19" s="41"/>
      <c r="HGO19" s="41"/>
      <c r="HGP19" s="41"/>
      <c r="HGQ19" s="41"/>
      <c r="HGR19" s="41"/>
      <c r="HGS19" s="41"/>
      <c r="HGT19" s="41"/>
      <c r="HGU19" s="41"/>
      <c r="HGV19" s="41"/>
      <c r="HGW19" s="41"/>
      <c r="HGX19" s="41"/>
      <c r="HGY19" s="41"/>
      <c r="HGZ19" s="41"/>
      <c r="HHA19" s="41"/>
      <c r="HHB19" s="41"/>
      <c r="HHC19" s="41"/>
      <c r="HHD19" s="41"/>
      <c r="HHE19" s="41"/>
      <c r="HHF19" s="41"/>
      <c r="HHG19" s="41"/>
      <c r="HHH19" s="41"/>
      <c r="HHI19" s="41"/>
      <c r="HHJ19" s="41"/>
      <c r="HHK19" s="41"/>
      <c r="HHL19" s="41"/>
      <c r="HHM19" s="41"/>
      <c r="HHN19" s="41"/>
      <c r="HHO19" s="41"/>
      <c r="HHP19" s="41"/>
      <c r="HHQ19" s="41"/>
      <c r="HHR19" s="41"/>
      <c r="HHS19" s="41"/>
      <c r="HHT19" s="41"/>
      <c r="HHU19" s="41"/>
      <c r="HHV19" s="41"/>
      <c r="HHW19" s="41"/>
      <c r="HHX19" s="41"/>
      <c r="HHY19" s="41"/>
      <c r="HHZ19" s="41"/>
      <c r="HIA19" s="41"/>
      <c r="HIB19" s="41"/>
      <c r="HIC19" s="41"/>
      <c r="HID19" s="41"/>
      <c r="HIE19" s="41"/>
      <c r="HIF19" s="41"/>
      <c r="HIG19" s="41"/>
      <c r="HIH19" s="41"/>
      <c r="HII19" s="41"/>
      <c r="HIJ19" s="41"/>
      <c r="HIK19" s="41"/>
      <c r="HIL19" s="41"/>
      <c r="HIM19" s="41"/>
      <c r="HIN19" s="41"/>
      <c r="HIO19" s="41"/>
      <c r="HIP19" s="41"/>
      <c r="HIQ19" s="41"/>
      <c r="HIR19" s="41"/>
      <c r="HIS19" s="41"/>
      <c r="HIT19" s="41"/>
      <c r="HIU19" s="41"/>
      <c r="HIV19" s="41"/>
      <c r="HIW19" s="41"/>
      <c r="HIX19" s="41"/>
      <c r="HIY19" s="41"/>
      <c r="HIZ19" s="41"/>
      <c r="HJA19" s="41"/>
      <c r="HJB19" s="41"/>
      <c r="HJC19" s="41"/>
      <c r="HJD19" s="41"/>
      <c r="HJE19" s="41"/>
      <c r="HJF19" s="41"/>
      <c r="HJG19" s="41"/>
      <c r="HJH19" s="41"/>
      <c r="HJI19" s="41"/>
      <c r="HJJ19" s="41"/>
      <c r="HJK19" s="41"/>
      <c r="HJL19" s="41"/>
      <c r="HJM19" s="41"/>
      <c r="HJN19" s="41"/>
      <c r="HJO19" s="41"/>
      <c r="HJP19" s="41"/>
      <c r="HJQ19" s="41"/>
      <c r="HJR19" s="41"/>
      <c r="HJS19" s="41"/>
      <c r="HJT19" s="41"/>
      <c r="HJU19" s="41"/>
      <c r="HJV19" s="41"/>
      <c r="HJW19" s="41"/>
      <c r="HJX19" s="41"/>
      <c r="HJY19" s="41"/>
      <c r="HJZ19" s="41"/>
      <c r="HKA19" s="41"/>
      <c r="HKB19" s="41"/>
      <c r="HKC19" s="41"/>
      <c r="HKD19" s="41"/>
      <c r="HKE19" s="41"/>
      <c r="HKF19" s="41"/>
      <c r="HKG19" s="41"/>
      <c r="HKH19" s="41"/>
      <c r="HKI19" s="41"/>
      <c r="HKJ19" s="41"/>
      <c r="HKK19" s="41"/>
      <c r="HKL19" s="41"/>
      <c r="HKM19" s="41"/>
      <c r="HKN19" s="41"/>
      <c r="HKO19" s="41"/>
      <c r="HKP19" s="41"/>
      <c r="HKQ19" s="41"/>
      <c r="HKR19" s="41"/>
      <c r="HKS19" s="41"/>
      <c r="HKT19" s="41"/>
      <c r="HKU19" s="41"/>
      <c r="HKV19" s="41"/>
      <c r="HKW19" s="41"/>
      <c r="HKX19" s="41"/>
      <c r="HKY19" s="41"/>
      <c r="HKZ19" s="41"/>
      <c r="HLA19" s="41"/>
      <c r="HLB19" s="41"/>
      <c r="HLC19" s="41"/>
      <c r="HLD19" s="41"/>
      <c r="HLE19" s="41"/>
      <c r="HLF19" s="41"/>
      <c r="HLG19" s="41"/>
      <c r="HLH19" s="41"/>
      <c r="HLI19" s="41"/>
      <c r="HLJ19" s="41"/>
      <c r="HLK19" s="41"/>
      <c r="HLL19" s="41"/>
      <c r="HLM19" s="41"/>
      <c r="HLN19" s="41"/>
      <c r="HLO19" s="41"/>
      <c r="HLP19" s="41"/>
      <c r="HLQ19" s="41"/>
      <c r="HLR19" s="41"/>
      <c r="HLS19" s="41"/>
      <c r="HLT19" s="41"/>
      <c r="HLU19" s="41"/>
      <c r="HLV19" s="41"/>
      <c r="HLW19" s="41"/>
      <c r="HLX19" s="41"/>
      <c r="HLY19" s="41"/>
      <c r="HLZ19" s="41"/>
      <c r="HMA19" s="41"/>
      <c r="HMB19" s="41"/>
      <c r="HMC19" s="41"/>
      <c r="HMD19" s="41"/>
      <c r="HME19" s="41"/>
      <c r="HMF19" s="41"/>
      <c r="HMG19" s="41"/>
      <c r="HMH19" s="41"/>
      <c r="HMI19" s="41"/>
      <c r="HMJ19" s="41"/>
      <c r="HMK19" s="41"/>
      <c r="HML19" s="41"/>
      <c r="HMM19" s="41"/>
      <c r="HMN19" s="41"/>
      <c r="HMO19" s="41"/>
      <c r="HMP19" s="41"/>
      <c r="HMQ19" s="41"/>
      <c r="HMR19" s="41"/>
      <c r="HMS19" s="41"/>
      <c r="HMT19" s="41"/>
      <c r="HMU19" s="41"/>
      <c r="HMV19" s="41"/>
      <c r="HMW19" s="41"/>
      <c r="HMX19" s="41"/>
      <c r="HMY19" s="41"/>
      <c r="HMZ19" s="41"/>
      <c r="HNA19" s="41"/>
      <c r="HNB19" s="41"/>
      <c r="HNC19" s="41"/>
      <c r="HND19" s="41"/>
      <c r="HNE19" s="41"/>
      <c r="HNF19" s="41"/>
      <c r="HNG19" s="41"/>
      <c r="HNH19" s="41"/>
      <c r="HNI19" s="41"/>
      <c r="HNJ19" s="41"/>
      <c r="HNK19" s="41"/>
      <c r="HNL19" s="41"/>
      <c r="HNM19" s="41"/>
      <c r="HNN19" s="41"/>
      <c r="HNO19" s="41"/>
      <c r="HNP19" s="41"/>
      <c r="HNQ19" s="41"/>
      <c r="HNR19" s="41"/>
      <c r="HNS19" s="41"/>
      <c r="HNT19" s="41"/>
      <c r="HNU19" s="41"/>
      <c r="HNV19" s="41"/>
      <c r="HNW19" s="41"/>
      <c r="HNX19" s="41"/>
      <c r="HNY19" s="41"/>
      <c r="HNZ19" s="41"/>
      <c r="HOA19" s="41"/>
      <c r="HOB19" s="41"/>
      <c r="HOC19" s="41"/>
      <c r="HOD19" s="41"/>
      <c r="HOE19" s="41"/>
      <c r="HOF19" s="41"/>
      <c r="HOG19" s="41"/>
      <c r="HOH19" s="41"/>
      <c r="HOI19" s="41"/>
      <c r="HOJ19" s="41"/>
      <c r="HOK19" s="41"/>
      <c r="HOL19" s="41"/>
      <c r="HOM19" s="41"/>
      <c r="HON19" s="41"/>
      <c r="HOO19" s="41"/>
      <c r="HOP19" s="41"/>
      <c r="HOQ19" s="41"/>
      <c r="HOR19" s="41"/>
      <c r="HOS19" s="41"/>
      <c r="HOT19" s="41"/>
      <c r="HOU19" s="41"/>
      <c r="HOV19" s="41"/>
      <c r="HOW19" s="41"/>
      <c r="HOX19" s="41"/>
      <c r="HOY19" s="41"/>
      <c r="HOZ19" s="41"/>
      <c r="HPA19" s="41"/>
      <c r="HPB19" s="41"/>
      <c r="HPC19" s="41"/>
      <c r="HPD19" s="41"/>
      <c r="HPE19" s="41"/>
      <c r="HPF19" s="41"/>
      <c r="HPG19" s="41"/>
      <c r="HPH19" s="41"/>
      <c r="HPI19" s="41"/>
      <c r="HPJ19" s="41"/>
      <c r="HPK19" s="41"/>
      <c r="HPL19" s="41"/>
      <c r="HPM19" s="41"/>
      <c r="HPN19" s="41"/>
      <c r="HPO19" s="41"/>
      <c r="HPP19" s="41"/>
      <c r="HPQ19" s="41"/>
      <c r="HPR19" s="41"/>
      <c r="HPS19" s="41"/>
      <c r="HPT19" s="41"/>
      <c r="HPU19" s="41"/>
      <c r="HPV19" s="41"/>
      <c r="HPW19" s="41"/>
      <c r="HPX19" s="41"/>
      <c r="HPY19" s="41"/>
      <c r="HPZ19" s="41"/>
      <c r="HQA19" s="41"/>
      <c r="HQB19" s="41"/>
      <c r="HQC19" s="41"/>
      <c r="HQD19" s="41"/>
      <c r="HQE19" s="41"/>
      <c r="HQF19" s="41"/>
      <c r="HQG19" s="41"/>
      <c r="HQH19" s="41"/>
      <c r="HQI19" s="41"/>
      <c r="HQJ19" s="41"/>
      <c r="HQK19" s="41"/>
      <c r="HQL19" s="41"/>
      <c r="HQM19" s="41"/>
      <c r="HQN19" s="41"/>
      <c r="HQO19" s="41"/>
      <c r="HQP19" s="41"/>
      <c r="HQQ19" s="41"/>
      <c r="HQR19" s="41"/>
      <c r="HQS19" s="41"/>
      <c r="HQT19" s="41"/>
      <c r="HQU19" s="41"/>
      <c r="HQV19" s="41"/>
      <c r="HQW19" s="41"/>
      <c r="HQX19" s="41"/>
      <c r="HQY19" s="41"/>
      <c r="HQZ19" s="41"/>
      <c r="HRA19" s="41"/>
      <c r="HRB19" s="41"/>
      <c r="HRC19" s="41"/>
      <c r="HRD19" s="41"/>
      <c r="HRE19" s="41"/>
      <c r="HRF19" s="41"/>
      <c r="HRG19" s="41"/>
      <c r="HRH19" s="41"/>
      <c r="HRI19" s="41"/>
      <c r="HRJ19" s="41"/>
      <c r="HRK19" s="41"/>
      <c r="HRL19" s="41"/>
      <c r="HRM19" s="41"/>
      <c r="HRN19" s="41"/>
      <c r="HRO19" s="41"/>
      <c r="HRP19" s="41"/>
      <c r="HRQ19" s="41"/>
      <c r="HRR19" s="41"/>
      <c r="HRS19" s="41"/>
      <c r="HRT19" s="41"/>
      <c r="HRU19" s="41"/>
      <c r="HRV19" s="41"/>
      <c r="HRW19" s="41"/>
      <c r="HRX19" s="41"/>
      <c r="HRY19" s="41"/>
      <c r="HRZ19" s="41"/>
      <c r="HSA19" s="41"/>
      <c r="HSB19" s="41"/>
      <c r="HSC19" s="41"/>
      <c r="HSD19" s="41"/>
      <c r="HSE19" s="41"/>
      <c r="HSF19" s="41"/>
      <c r="HSG19" s="41"/>
      <c r="HSH19" s="41"/>
      <c r="HSI19" s="41"/>
      <c r="HSJ19" s="41"/>
      <c r="HSK19" s="41"/>
      <c r="HSL19" s="41"/>
      <c r="HSM19" s="41"/>
      <c r="HSN19" s="41"/>
      <c r="HSO19" s="41"/>
      <c r="HSP19" s="41"/>
      <c r="HSQ19" s="41"/>
      <c r="HSR19" s="41"/>
      <c r="HSS19" s="41"/>
      <c r="HST19" s="41"/>
      <c r="HSU19" s="41"/>
      <c r="HSV19" s="41"/>
      <c r="HSW19" s="41"/>
      <c r="HSX19" s="41"/>
      <c r="HSY19" s="41"/>
      <c r="HSZ19" s="41"/>
      <c r="HTA19" s="41"/>
      <c r="HTB19" s="41"/>
      <c r="HTC19" s="41"/>
      <c r="HTD19" s="41"/>
      <c r="HTE19" s="41"/>
      <c r="HTF19" s="41"/>
      <c r="HTG19" s="41"/>
      <c r="HTH19" s="41"/>
      <c r="HTI19" s="41"/>
      <c r="HTJ19" s="41"/>
      <c r="HTK19" s="41"/>
      <c r="HTL19" s="41"/>
      <c r="HTM19" s="41"/>
      <c r="HTN19" s="41"/>
      <c r="HTO19" s="41"/>
      <c r="HTP19" s="41"/>
      <c r="HTQ19" s="41"/>
      <c r="HTR19" s="41"/>
      <c r="HTS19" s="41"/>
      <c r="HTT19" s="41"/>
      <c r="HTU19" s="41"/>
      <c r="HTV19" s="41"/>
      <c r="HTW19" s="41"/>
      <c r="HTX19" s="41"/>
      <c r="HTY19" s="41"/>
      <c r="HTZ19" s="41"/>
      <c r="HUA19" s="41"/>
      <c r="HUB19" s="41"/>
      <c r="HUC19" s="41"/>
      <c r="HUD19" s="41"/>
      <c r="HUE19" s="41"/>
      <c r="HUF19" s="41"/>
      <c r="HUG19" s="41"/>
      <c r="HUH19" s="41"/>
      <c r="HUI19" s="41"/>
      <c r="HUJ19" s="41"/>
      <c r="HUK19" s="41"/>
      <c r="HUL19" s="41"/>
      <c r="HUM19" s="41"/>
      <c r="HUN19" s="41"/>
      <c r="HUO19" s="41"/>
      <c r="HUP19" s="41"/>
      <c r="HUQ19" s="41"/>
      <c r="HUR19" s="41"/>
      <c r="HUS19" s="41"/>
      <c r="HUT19" s="41"/>
      <c r="HUU19" s="41"/>
      <c r="HUV19" s="41"/>
      <c r="HUW19" s="41"/>
      <c r="HUX19" s="41"/>
      <c r="HUY19" s="41"/>
      <c r="HUZ19" s="41"/>
      <c r="HVA19" s="41"/>
      <c r="HVB19" s="41"/>
      <c r="HVC19" s="41"/>
      <c r="HVD19" s="41"/>
      <c r="HVE19" s="41"/>
      <c r="HVF19" s="41"/>
      <c r="HVG19" s="41"/>
      <c r="HVH19" s="41"/>
      <c r="HVI19" s="41"/>
      <c r="HVJ19" s="41"/>
      <c r="HVK19" s="41"/>
      <c r="HVL19" s="41"/>
      <c r="HVM19" s="41"/>
      <c r="HVN19" s="41"/>
      <c r="HVO19" s="41"/>
      <c r="HVP19" s="41"/>
      <c r="HVQ19" s="41"/>
      <c r="HVR19" s="41"/>
      <c r="HVS19" s="41"/>
      <c r="HVT19" s="41"/>
      <c r="HVU19" s="41"/>
      <c r="HVV19" s="41"/>
      <c r="HVW19" s="41"/>
      <c r="HVX19" s="41"/>
      <c r="HVY19" s="41"/>
      <c r="HVZ19" s="41"/>
      <c r="HWA19" s="41"/>
      <c r="HWB19" s="41"/>
      <c r="HWC19" s="41"/>
      <c r="HWD19" s="41"/>
      <c r="HWE19" s="41"/>
      <c r="HWF19" s="41"/>
      <c r="HWG19" s="41"/>
      <c r="HWH19" s="41"/>
      <c r="HWI19" s="41"/>
      <c r="HWJ19" s="41"/>
      <c r="HWK19" s="41"/>
      <c r="HWL19" s="41"/>
      <c r="HWM19" s="41"/>
      <c r="HWN19" s="41"/>
      <c r="HWO19" s="41"/>
      <c r="HWP19" s="41"/>
      <c r="HWQ19" s="41"/>
      <c r="HWR19" s="41"/>
      <c r="HWS19" s="41"/>
      <c r="HWT19" s="41"/>
      <c r="HWU19" s="41"/>
      <c r="HWV19" s="41"/>
      <c r="HWW19" s="41"/>
      <c r="HWX19" s="41"/>
      <c r="HWY19" s="41"/>
      <c r="HWZ19" s="41"/>
      <c r="HXA19" s="41"/>
      <c r="HXB19" s="41"/>
      <c r="HXC19" s="41"/>
      <c r="HXD19" s="41"/>
      <c r="HXE19" s="41"/>
      <c r="HXF19" s="41"/>
      <c r="HXG19" s="41"/>
      <c r="HXH19" s="41"/>
      <c r="HXI19" s="41"/>
      <c r="HXJ19" s="41"/>
      <c r="HXK19" s="41"/>
      <c r="HXL19" s="41"/>
      <c r="HXM19" s="41"/>
      <c r="HXN19" s="41"/>
      <c r="HXO19" s="41"/>
      <c r="HXP19" s="41"/>
      <c r="HXQ19" s="41"/>
      <c r="HXR19" s="41"/>
      <c r="HXS19" s="41"/>
      <c r="HXT19" s="41"/>
      <c r="HXU19" s="41"/>
      <c r="HXV19" s="41"/>
      <c r="HXW19" s="41"/>
      <c r="HXX19" s="41"/>
      <c r="HXY19" s="41"/>
      <c r="HXZ19" s="41"/>
      <c r="HYA19" s="41"/>
      <c r="HYB19" s="41"/>
      <c r="HYC19" s="41"/>
      <c r="HYD19" s="41"/>
      <c r="HYE19" s="41"/>
      <c r="HYF19" s="41"/>
      <c r="HYG19" s="41"/>
      <c r="HYH19" s="41"/>
      <c r="HYI19" s="41"/>
      <c r="HYJ19" s="41"/>
      <c r="HYK19" s="41"/>
      <c r="HYL19" s="41"/>
      <c r="HYM19" s="41"/>
      <c r="HYN19" s="41"/>
      <c r="HYO19" s="41"/>
      <c r="HYP19" s="41"/>
      <c r="HYQ19" s="41"/>
      <c r="HYR19" s="41"/>
      <c r="HYS19" s="41"/>
      <c r="HYT19" s="41"/>
      <c r="HYU19" s="41"/>
      <c r="HYV19" s="41"/>
      <c r="HYW19" s="41"/>
      <c r="HYX19" s="41"/>
      <c r="HYY19" s="41"/>
      <c r="HYZ19" s="41"/>
      <c r="HZA19" s="41"/>
      <c r="HZB19" s="41"/>
      <c r="HZC19" s="41"/>
      <c r="HZD19" s="41"/>
      <c r="HZE19" s="41"/>
      <c r="HZF19" s="41"/>
      <c r="HZG19" s="41"/>
      <c r="HZH19" s="41"/>
      <c r="HZI19" s="41"/>
      <c r="HZJ19" s="41"/>
      <c r="HZK19" s="41"/>
      <c r="HZL19" s="41"/>
      <c r="HZM19" s="41"/>
      <c r="HZN19" s="41"/>
      <c r="HZO19" s="41"/>
      <c r="HZP19" s="41"/>
      <c r="HZQ19" s="41"/>
      <c r="HZR19" s="41"/>
      <c r="HZS19" s="41"/>
      <c r="HZT19" s="41"/>
      <c r="HZU19" s="41"/>
      <c r="HZV19" s="41"/>
      <c r="HZW19" s="41"/>
      <c r="HZX19" s="41"/>
      <c r="HZY19" s="41"/>
      <c r="HZZ19" s="41"/>
      <c r="IAA19" s="41"/>
      <c r="IAB19" s="41"/>
      <c r="IAC19" s="41"/>
      <c r="IAD19" s="41"/>
      <c r="IAE19" s="41"/>
      <c r="IAF19" s="41"/>
      <c r="IAG19" s="41"/>
      <c r="IAH19" s="41"/>
      <c r="IAI19" s="41"/>
      <c r="IAJ19" s="41"/>
      <c r="IAK19" s="41"/>
      <c r="IAL19" s="41"/>
      <c r="IAM19" s="41"/>
      <c r="IAN19" s="41"/>
      <c r="IAO19" s="41"/>
      <c r="IAP19" s="41"/>
      <c r="IAQ19" s="41"/>
      <c r="IAR19" s="41"/>
      <c r="IAS19" s="41"/>
      <c r="IAT19" s="41"/>
      <c r="IAU19" s="41"/>
      <c r="IAV19" s="41"/>
      <c r="IAW19" s="41"/>
      <c r="IAX19" s="41"/>
      <c r="IAY19" s="41"/>
      <c r="IAZ19" s="41"/>
      <c r="IBA19" s="41"/>
      <c r="IBB19" s="41"/>
      <c r="IBC19" s="41"/>
      <c r="IBD19" s="41"/>
      <c r="IBE19" s="41"/>
      <c r="IBF19" s="41"/>
      <c r="IBG19" s="41"/>
      <c r="IBH19" s="41"/>
      <c r="IBI19" s="41"/>
      <c r="IBJ19" s="41"/>
      <c r="IBK19" s="41"/>
      <c r="IBL19" s="41"/>
      <c r="IBM19" s="41"/>
      <c r="IBN19" s="41"/>
      <c r="IBO19" s="41"/>
      <c r="IBP19" s="41"/>
      <c r="IBQ19" s="41"/>
      <c r="IBR19" s="41"/>
      <c r="IBS19" s="41"/>
      <c r="IBT19" s="41"/>
      <c r="IBU19" s="41"/>
      <c r="IBV19" s="41"/>
      <c r="IBW19" s="41"/>
      <c r="IBX19" s="41"/>
      <c r="IBY19" s="41"/>
      <c r="IBZ19" s="41"/>
      <c r="ICA19" s="41"/>
      <c r="ICB19" s="41"/>
      <c r="ICC19" s="41"/>
      <c r="ICD19" s="41"/>
      <c r="ICE19" s="41"/>
      <c r="ICF19" s="41"/>
      <c r="ICG19" s="41"/>
      <c r="ICH19" s="41"/>
      <c r="ICI19" s="41"/>
      <c r="ICJ19" s="41"/>
      <c r="ICK19" s="41"/>
      <c r="ICL19" s="41"/>
      <c r="ICM19" s="41"/>
      <c r="ICN19" s="41"/>
      <c r="ICO19" s="41"/>
      <c r="ICP19" s="41"/>
      <c r="ICQ19" s="41"/>
      <c r="ICR19" s="41"/>
      <c r="ICS19" s="41"/>
      <c r="ICT19" s="41"/>
      <c r="ICU19" s="41"/>
      <c r="ICV19" s="41"/>
      <c r="ICW19" s="41"/>
      <c r="ICX19" s="41"/>
      <c r="ICY19" s="41"/>
      <c r="ICZ19" s="41"/>
      <c r="IDA19" s="41"/>
      <c r="IDB19" s="41"/>
      <c r="IDC19" s="41"/>
      <c r="IDD19" s="41"/>
      <c r="IDE19" s="41"/>
      <c r="IDF19" s="41"/>
      <c r="IDG19" s="41"/>
      <c r="IDH19" s="41"/>
      <c r="IDI19" s="41"/>
      <c r="IDJ19" s="41"/>
      <c r="IDK19" s="41"/>
      <c r="IDL19" s="41"/>
      <c r="IDM19" s="41"/>
      <c r="IDN19" s="41"/>
      <c r="IDO19" s="41"/>
      <c r="IDP19" s="41"/>
      <c r="IDQ19" s="41"/>
      <c r="IDR19" s="41"/>
      <c r="IDS19" s="41"/>
      <c r="IDT19" s="41"/>
      <c r="IDU19" s="41"/>
      <c r="IDV19" s="41"/>
      <c r="IDW19" s="41"/>
      <c r="IDX19" s="41"/>
      <c r="IDY19" s="41"/>
      <c r="IDZ19" s="41"/>
      <c r="IEA19" s="41"/>
      <c r="IEB19" s="41"/>
      <c r="IEC19" s="41"/>
      <c r="IED19" s="41"/>
      <c r="IEE19" s="41"/>
      <c r="IEF19" s="41"/>
      <c r="IEG19" s="41"/>
      <c r="IEH19" s="41"/>
      <c r="IEI19" s="41"/>
      <c r="IEJ19" s="41"/>
      <c r="IEK19" s="41"/>
      <c r="IEL19" s="41"/>
      <c r="IEM19" s="41"/>
      <c r="IEN19" s="41"/>
      <c r="IEO19" s="41"/>
      <c r="IEP19" s="41"/>
      <c r="IEQ19" s="41"/>
      <c r="IER19" s="41"/>
      <c r="IES19" s="41"/>
      <c r="IET19" s="41"/>
      <c r="IEU19" s="41"/>
      <c r="IEV19" s="41"/>
      <c r="IEW19" s="41"/>
      <c r="IEX19" s="41"/>
      <c r="IEY19" s="41"/>
      <c r="IEZ19" s="41"/>
      <c r="IFA19" s="41"/>
      <c r="IFB19" s="41"/>
      <c r="IFC19" s="41"/>
      <c r="IFD19" s="41"/>
      <c r="IFE19" s="41"/>
      <c r="IFF19" s="41"/>
      <c r="IFG19" s="41"/>
      <c r="IFH19" s="41"/>
      <c r="IFI19" s="41"/>
      <c r="IFJ19" s="41"/>
      <c r="IFK19" s="41"/>
      <c r="IFL19" s="41"/>
      <c r="IFM19" s="41"/>
      <c r="IFN19" s="41"/>
      <c r="IFO19" s="41"/>
      <c r="IFP19" s="41"/>
      <c r="IFQ19" s="41"/>
      <c r="IFR19" s="41"/>
      <c r="IFS19" s="41"/>
      <c r="IFT19" s="41"/>
      <c r="IFU19" s="41"/>
      <c r="IFV19" s="41"/>
      <c r="IFW19" s="41"/>
      <c r="IFX19" s="41"/>
      <c r="IFY19" s="41"/>
      <c r="IFZ19" s="41"/>
      <c r="IGA19" s="41"/>
      <c r="IGB19" s="41"/>
      <c r="IGC19" s="41"/>
      <c r="IGD19" s="41"/>
      <c r="IGE19" s="41"/>
      <c r="IGF19" s="41"/>
      <c r="IGG19" s="41"/>
      <c r="IGH19" s="41"/>
      <c r="IGI19" s="41"/>
      <c r="IGJ19" s="41"/>
      <c r="IGK19" s="41"/>
      <c r="IGL19" s="41"/>
      <c r="IGM19" s="41"/>
      <c r="IGN19" s="41"/>
      <c r="IGO19" s="41"/>
      <c r="IGP19" s="41"/>
      <c r="IGQ19" s="41"/>
      <c r="IGR19" s="41"/>
      <c r="IGS19" s="41"/>
      <c r="IGT19" s="41"/>
      <c r="IGU19" s="41"/>
      <c r="IGV19" s="41"/>
      <c r="IGW19" s="41"/>
      <c r="IGX19" s="41"/>
      <c r="IGY19" s="41"/>
      <c r="IGZ19" s="41"/>
      <c r="IHA19" s="41"/>
      <c r="IHB19" s="41"/>
      <c r="IHC19" s="41"/>
      <c r="IHD19" s="41"/>
      <c r="IHE19" s="41"/>
      <c r="IHF19" s="41"/>
      <c r="IHG19" s="41"/>
      <c r="IHH19" s="41"/>
      <c r="IHI19" s="41"/>
      <c r="IHJ19" s="41"/>
      <c r="IHK19" s="41"/>
      <c r="IHL19" s="41"/>
      <c r="IHM19" s="41"/>
      <c r="IHN19" s="41"/>
      <c r="IHO19" s="41"/>
      <c r="IHP19" s="41"/>
      <c r="IHQ19" s="41"/>
      <c r="IHR19" s="41"/>
      <c r="IHS19" s="41"/>
      <c r="IHT19" s="41"/>
      <c r="IHU19" s="41"/>
      <c r="IHV19" s="41"/>
      <c r="IHW19" s="41"/>
      <c r="IHX19" s="41"/>
      <c r="IHY19" s="41"/>
      <c r="IHZ19" s="41"/>
      <c r="IIA19" s="41"/>
      <c r="IIB19" s="41"/>
      <c r="IIC19" s="41"/>
      <c r="IID19" s="41"/>
      <c r="IIE19" s="41"/>
      <c r="IIF19" s="41"/>
      <c r="IIG19" s="41"/>
      <c r="IIH19" s="41"/>
      <c r="III19" s="41"/>
      <c r="IIJ19" s="41"/>
      <c r="IIK19" s="41"/>
      <c r="IIL19" s="41"/>
      <c r="IIM19" s="41"/>
      <c r="IIN19" s="41"/>
      <c r="IIO19" s="41"/>
      <c r="IIP19" s="41"/>
      <c r="IIQ19" s="41"/>
      <c r="IIR19" s="41"/>
      <c r="IIS19" s="41"/>
      <c r="IIT19" s="41"/>
      <c r="IIU19" s="41"/>
      <c r="IIV19" s="41"/>
      <c r="IIW19" s="41"/>
      <c r="IIX19" s="41"/>
      <c r="IIY19" s="41"/>
      <c r="IIZ19" s="41"/>
      <c r="IJA19" s="41"/>
      <c r="IJB19" s="41"/>
      <c r="IJC19" s="41"/>
      <c r="IJD19" s="41"/>
      <c r="IJE19" s="41"/>
      <c r="IJF19" s="41"/>
      <c r="IJG19" s="41"/>
      <c r="IJH19" s="41"/>
      <c r="IJI19" s="41"/>
      <c r="IJJ19" s="41"/>
      <c r="IJK19" s="41"/>
      <c r="IJL19" s="41"/>
      <c r="IJM19" s="41"/>
      <c r="IJN19" s="41"/>
      <c r="IJO19" s="41"/>
      <c r="IJP19" s="41"/>
      <c r="IJQ19" s="41"/>
      <c r="IJR19" s="41"/>
      <c r="IJS19" s="41"/>
      <c r="IJT19" s="41"/>
      <c r="IJU19" s="41"/>
      <c r="IJV19" s="41"/>
      <c r="IJW19" s="41"/>
      <c r="IJX19" s="41"/>
      <c r="IJY19" s="41"/>
      <c r="IJZ19" s="41"/>
      <c r="IKA19" s="41"/>
      <c r="IKB19" s="41"/>
      <c r="IKC19" s="41"/>
      <c r="IKD19" s="41"/>
      <c r="IKE19" s="41"/>
      <c r="IKF19" s="41"/>
      <c r="IKG19" s="41"/>
      <c r="IKH19" s="41"/>
      <c r="IKI19" s="41"/>
      <c r="IKJ19" s="41"/>
      <c r="IKK19" s="41"/>
      <c r="IKL19" s="41"/>
      <c r="IKM19" s="41"/>
      <c r="IKN19" s="41"/>
      <c r="IKO19" s="41"/>
      <c r="IKP19" s="41"/>
      <c r="IKQ19" s="41"/>
      <c r="IKR19" s="41"/>
      <c r="IKS19" s="41"/>
      <c r="IKT19" s="41"/>
      <c r="IKU19" s="41"/>
      <c r="IKV19" s="41"/>
      <c r="IKW19" s="41"/>
      <c r="IKX19" s="41"/>
      <c r="IKY19" s="41"/>
      <c r="IKZ19" s="41"/>
      <c r="ILA19" s="41"/>
      <c r="ILB19" s="41"/>
      <c r="ILC19" s="41"/>
      <c r="ILD19" s="41"/>
      <c r="ILE19" s="41"/>
      <c r="ILF19" s="41"/>
      <c r="ILG19" s="41"/>
      <c r="ILH19" s="41"/>
      <c r="ILI19" s="41"/>
      <c r="ILJ19" s="41"/>
      <c r="ILK19" s="41"/>
      <c r="ILL19" s="41"/>
      <c r="ILM19" s="41"/>
      <c r="ILN19" s="41"/>
      <c r="ILO19" s="41"/>
      <c r="ILP19" s="41"/>
      <c r="ILQ19" s="41"/>
      <c r="ILR19" s="41"/>
      <c r="ILS19" s="41"/>
      <c r="ILT19" s="41"/>
      <c r="ILU19" s="41"/>
      <c r="ILV19" s="41"/>
      <c r="ILW19" s="41"/>
      <c r="ILX19" s="41"/>
      <c r="ILY19" s="41"/>
      <c r="ILZ19" s="41"/>
      <c r="IMA19" s="41"/>
      <c r="IMB19" s="41"/>
      <c r="IMC19" s="41"/>
      <c r="IMD19" s="41"/>
      <c r="IME19" s="41"/>
      <c r="IMF19" s="41"/>
      <c r="IMG19" s="41"/>
      <c r="IMH19" s="41"/>
      <c r="IMI19" s="41"/>
      <c r="IMJ19" s="41"/>
      <c r="IMK19" s="41"/>
      <c r="IML19" s="41"/>
      <c r="IMM19" s="41"/>
      <c r="IMN19" s="41"/>
      <c r="IMO19" s="41"/>
      <c r="IMP19" s="41"/>
      <c r="IMQ19" s="41"/>
      <c r="IMR19" s="41"/>
      <c r="IMS19" s="41"/>
      <c r="IMT19" s="41"/>
      <c r="IMU19" s="41"/>
      <c r="IMV19" s="41"/>
      <c r="IMW19" s="41"/>
      <c r="IMX19" s="41"/>
      <c r="IMY19" s="41"/>
      <c r="IMZ19" s="41"/>
      <c r="INA19" s="41"/>
      <c r="INB19" s="41"/>
      <c r="INC19" s="41"/>
      <c r="IND19" s="41"/>
      <c r="INE19" s="41"/>
      <c r="INF19" s="41"/>
      <c r="ING19" s="41"/>
      <c r="INH19" s="41"/>
      <c r="INI19" s="41"/>
      <c r="INJ19" s="41"/>
      <c r="INK19" s="41"/>
      <c r="INL19" s="41"/>
      <c r="INM19" s="41"/>
      <c r="INN19" s="41"/>
      <c r="INO19" s="41"/>
      <c r="INP19" s="41"/>
      <c r="INQ19" s="41"/>
      <c r="INR19" s="41"/>
      <c r="INS19" s="41"/>
      <c r="INT19" s="41"/>
      <c r="INU19" s="41"/>
      <c r="INV19" s="41"/>
      <c r="INW19" s="41"/>
      <c r="INX19" s="41"/>
      <c r="INY19" s="41"/>
      <c r="INZ19" s="41"/>
      <c r="IOA19" s="41"/>
      <c r="IOB19" s="41"/>
      <c r="IOC19" s="41"/>
      <c r="IOD19" s="41"/>
      <c r="IOE19" s="41"/>
      <c r="IOF19" s="41"/>
      <c r="IOG19" s="41"/>
      <c r="IOH19" s="41"/>
      <c r="IOI19" s="41"/>
      <c r="IOJ19" s="41"/>
      <c r="IOK19" s="41"/>
      <c r="IOL19" s="41"/>
      <c r="IOM19" s="41"/>
      <c r="ION19" s="41"/>
      <c r="IOO19" s="41"/>
      <c r="IOP19" s="41"/>
      <c r="IOQ19" s="41"/>
      <c r="IOR19" s="41"/>
      <c r="IOS19" s="41"/>
      <c r="IOT19" s="41"/>
      <c r="IOU19" s="41"/>
      <c r="IOV19" s="41"/>
      <c r="IOW19" s="41"/>
      <c r="IOX19" s="41"/>
      <c r="IOY19" s="41"/>
      <c r="IOZ19" s="41"/>
      <c r="IPA19" s="41"/>
      <c r="IPB19" s="41"/>
      <c r="IPC19" s="41"/>
      <c r="IPD19" s="41"/>
      <c r="IPE19" s="41"/>
      <c r="IPF19" s="41"/>
      <c r="IPG19" s="41"/>
      <c r="IPH19" s="41"/>
      <c r="IPI19" s="41"/>
      <c r="IPJ19" s="41"/>
      <c r="IPK19" s="41"/>
      <c r="IPL19" s="41"/>
      <c r="IPM19" s="41"/>
      <c r="IPN19" s="41"/>
      <c r="IPO19" s="41"/>
      <c r="IPP19" s="41"/>
      <c r="IPQ19" s="41"/>
      <c r="IPR19" s="41"/>
      <c r="IPS19" s="41"/>
      <c r="IPT19" s="41"/>
      <c r="IPU19" s="41"/>
      <c r="IPV19" s="41"/>
      <c r="IPW19" s="41"/>
      <c r="IPX19" s="41"/>
      <c r="IPY19" s="41"/>
      <c r="IPZ19" s="41"/>
      <c r="IQA19" s="41"/>
      <c r="IQB19" s="41"/>
      <c r="IQC19" s="41"/>
      <c r="IQD19" s="41"/>
      <c r="IQE19" s="41"/>
      <c r="IQF19" s="41"/>
      <c r="IQG19" s="41"/>
      <c r="IQH19" s="41"/>
      <c r="IQI19" s="41"/>
      <c r="IQJ19" s="41"/>
      <c r="IQK19" s="41"/>
      <c r="IQL19" s="41"/>
      <c r="IQM19" s="41"/>
      <c r="IQN19" s="41"/>
      <c r="IQO19" s="41"/>
      <c r="IQP19" s="41"/>
      <c r="IQQ19" s="41"/>
      <c r="IQR19" s="41"/>
      <c r="IQS19" s="41"/>
      <c r="IQT19" s="41"/>
      <c r="IQU19" s="41"/>
      <c r="IQV19" s="41"/>
      <c r="IQW19" s="41"/>
      <c r="IQX19" s="41"/>
      <c r="IQY19" s="41"/>
      <c r="IQZ19" s="41"/>
      <c r="IRA19" s="41"/>
      <c r="IRB19" s="41"/>
      <c r="IRC19" s="41"/>
      <c r="IRD19" s="41"/>
      <c r="IRE19" s="41"/>
      <c r="IRF19" s="41"/>
      <c r="IRG19" s="41"/>
      <c r="IRH19" s="41"/>
      <c r="IRI19" s="41"/>
      <c r="IRJ19" s="41"/>
      <c r="IRK19" s="41"/>
      <c r="IRL19" s="41"/>
      <c r="IRM19" s="41"/>
      <c r="IRN19" s="41"/>
      <c r="IRO19" s="41"/>
      <c r="IRP19" s="41"/>
      <c r="IRQ19" s="41"/>
      <c r="IRR19" s="41"/>
      <c r="IRS19" s="41"/>
      <c r="IRT19" s="41"/>
      <c r="IRU19" s="41"/>
      <c r="IRV19" s="41"/>
      <c r="IRW19" s="41"/>
      <c r="IRX19" s="41"/>
      <c r="IRY19" s="41"/>
      <c r="IRZ19" s="41"/>
      <c r="ISA19" s="41"/>
      <c r="ISB19" s="41"/>
      <c r="ISC19" s="41"/>
      <c r="ISD19" s="41"/>
      <c r="ISE19" s="41"/>
      <c r="ISF19" s="41"/>
      <c r="ISG19" s="41"/>
      <c r="ISH19" s="41"/>
      <c r="ISI19" s="41"/>
      <c r="ISJ19" s="41"/>
      <c r="ISK19" s="41"/>
      <c r="ISL19" s="41"/>
      <c r="ISM19" s="41"/>
      <c r="ISN19" s="41"/>
      <c r="ISO19" s="41"/>
      <c r="ISP19" s="41"/>
      <c r="ISQ19" s="41"/>
      <c r="ISR19" s="41"/>
      <c r="ISS19" s="41"/>
      <c r="IST19" s="41"/>
      <c r="ISU19" s="41"/>
      <c r="ISV19" s="41"/>
      <c r="ISW19" s="41"/>
      <c r="ISX19" s="41"/>
      <c r="ISY19" s="41"/>
      <c r="ISZ19" s="41"/>
      <c r="ITA19" s="41"/>
      <c r="ITB19" s="41"/>
      <c r="ITC19" s="41"/>
      <c r="ITD19" s="41"/>
      <c r="ITE19" s="41"/>
      <c r="ITF19" s="41"/>
      <c r="ITG19" s="41"/>
      <c r="ITH19" s="41"/>
      <c r="ITI19" s="41"/>
      <c r="ITJ19" s="41"/>
      <c r="ITK19" s="41"/>
      <c r="ITL19" s="41"/>
      <c r="ITM19" s="41"/>
      <c r="ITN19" s="41"/>
      <c r="ITO19" s="41"/>
      <c r="ITP19" s="41"/>
      <c r="ITQ19" s="41"/>
      <c r="ITR19" s="41"/>
      <c r="ITS19" s="41"/>
      <c r="ITT19" s="41"/>
      <c r="ITU19" s="41"/>
      <c r="ITV19" s="41"/>
      <c r="ITW19" s="41"/>
      <c r="ITX19" s="41"/>
      <c r="ITY19" s="41"/>
      <c r="ITZ19" s="41"/>
      <c r="IUA19" s="41"/>
      <c r="IUB19" s="41"/>
      <c r="IUC19" s="41"/>
      <c r="IUD19" s="41"/>
      <c r="IUE19" s="41"/>
      <c r="IUF19" s="41"/>
      <c r="IUG19" s="41"/>
      <c r="IUH19" s="41"/>
      <c r="IUI19" s="41"/>
      <c r="IUJ19" s="41"/>
      <c r="IUK19" s="41"/>
      <c r="IUL19" s="41"/>
      <c r="IUM19" s="41"/>
      <c r="IUN19" s="41"/>
      <c r="IUO19" s="41"/>
      <c r="IUP19" s="41"/>
      <c r="IUQ19" s="41"/>
      <c r="IUR19" s="41"/>
      <c r="IUS19" s="41"/>
      <c r="IUT19" s="41"/>
      <c r="IUU19" s="41"/>
      <c r="IUV19" s="41"/>
      <c r="IUW19" s="41"/>
      <c r="IUX19" s="41"/>
      <c r="IUY19" s="41"/>
      <c r="IUZ19" s="41"/>
      <c r="IVA19" s="41"/>
      <c r="IVB19" s="41"/>
      <c r="IVC19" s="41"/>
      <c r="IVD19" s="41"/>
      <c r="IVE19" s="41"/>
      <c r="IVF19" s="41"/>
      <c r="IVG19" s="41"/>
      <c r="IVH19" s="41"/>
      <c r="IVI19" s="41"/>
      <c r="IVJ19" s="41"/>
      <c r="IVK19" s="41"/>
      <c r="IVL19" s="41"/>
      <c r="IVM19" s="41"/>
      <c r="IVN19" s="41"/>
      <c r="IVO19" s="41"/>
      <c r="IVP19" s="41"/>
      <c r="IVQ19" s="41"/>
      <c r="IVR19" s="41"/>
      <c r="IVS19" s="41"/>
      <c r="IVT19" s="41"/>
      <c r="IVU19" s="41"/>
      <c r="IVV19" s="41"/>
      <c r="IVW19" s="41"/>
      <c r="IVX19" s="41"/>
      <c r="IVY19" s="41"/>
      <c r="IVZ19" s="41"/>
      <c r="IWA19" s="41"/>
      <c r="IWB19" s="41"/>
      <c r="IWC19" s="41"/>
      <c r="IWD19" s="41"/>
      <c r="IWE19" s="41"/>
      <c r="IWF19" s="41"/>
      <c r="IWG19" s="41"/>
      <c r="IWH19" s="41"/>
      <c r="IWI19" s="41"/>
      <c r="IWJ19" s="41"/>
      <c r="IWK19" s="41"/>
      <c r="IWL19" s="41"/>
      <c r="IWM19" s="41"/>
      <c r="IWN19" s="41"/>
      <c r="IWO19" s="41"/>
      <c r="IWP19" s="41"/>
      <c r="IWQ19" s="41"/>
      <c r="IWR19" s="41"/>
      <c r="IWS19" s="41"/>
      <c r="IWT19" s="41"/>
      <c r="IWU19" s="41"/>
      <c r="IWV19" s="41"/>
      <c r="IWW19" s="41"/>
      <c r="IWX19" s="41"/>
      <c r="IWY19" s="41"/>
      <c r="IWZ19" s="41"/>
      <c r="IXA19" s="41"/>
      <c r="IXB19" s="41"/>
      <c r="IXC19" s="41"/>
      <c r="IXD19" s="41"/>
      <c r="IXE19" s="41"/>
      <c r="IXF19" s="41"/>
      <c r="IXG19" s="41"/>
      <c r="IXH19" s="41"/>
      <c r="IXI19" s="41"/>
      <c r="IXJ19" s="41"/>
      <c r="IXK19" s="41"/>
      <c r="IXL19" s="41"/>
      <c r="IXM19" s="41"/>
      <c r="IXN19" s="41"/>
      <c r="IXO19" s="41"/>
      <c r="IXP19" s="41"/>
      <c r="IXQ19" s="41"/>
      <c r="IXR19" s="41"/>
      <c r="IXS19" s="41"/>
      <c r="IXT19" s="41"/>
      <c r="IXU19" s="41"/>
      <c r="IXV19" s="41"/>
      <c r="IXW19" s="41"/>
      <c r="IXX19" s="41"/>
      <c r="IXY19" s="41"/>
      <c r="IXZ19" s="41"/>
      <c r="IYA19" s="41"/>
      <c r="IYB19" s="41"/>
      <c r="IYC19" s="41"/>
      <c r="IYD19" s="41"/>
      <c r="IYE19" s="41"/>
      <c r="IYF19" s="41"/>
      <c r="IYG19" s="41"/>
      <c r="IYH19" s="41"/>
      <c r="IYI19" s="41"/>
      <c r="IYJ19" s="41"/>
      <c r="IYK19" s="41"/>
      <c r="IYL19" s="41"/>
      <c r="IYM19" s="41"/>
      <c r="IYN19" s="41"/>
      <c r="IYO19" s="41"/>
      <c r="IYP19" s="41"/>
      <c r="IYQ19" s="41"/>
      <c r="IYR19" s="41"/>
      <c r="IYS19" s="41"/>
      <c r="IYT19" s="41"/>
      <c r="IYU19" s="41"/>
      <c r="IYV19" s="41"/>
      <c r="IYW19" s="41"/>
      <c r="IYX19" s="41"/>
      <c r="IYY19" s="41"/>
      <c r="IYZ19" s="41"/>
      <c r="IZA19" s="41"/>
      <c r="IZB19" s="41"/>
      <c r="IZC19" s="41"/>
      <c r="IZD19" s="41"/>
      <c r="IZE19" s="41"/>
      <c r="IZF19" s="41"/>
      <c r="IZG19" s="41"/>
      <c r="IZH19" s="41"/>
      <c r="IZI19" s="41"/>
      <c r="IZJ19" s="41"/>
      <c r="IZK19" s="41"/>
      <c r="IZL19" s="41"/>
      <c r="IZM19" s="41"/>
      <c r="IZN19" s="41"/>
      <c r="IZO19" s="41"/>
      <c r="IZP19" s="41"/>
      <c r="IZQ19" s="41"/>
      <c r="IZR19" s="41"/>
      <c r="IZS19" s="41"/>
      <c r="IZT19" s="41"/>
      <c r="IZU19" s="41"/>
      <c r="IZV19" s="41"/>
      <c r="IZW19" s="41"/>
      <c r="IZX19" s="41"/>
      <c r="IZY19" s="41"/>
      <c r="IZZ19" s="41"/>
      <c r="JAA19" s="41"/>
      <c r="JAB19" s="41"/>
      <c r="JAC19" s="41"/>
      <c r="JAD19" s="41"/>
      <c r="JAE19" s="41"/>
      <c r="JAF19" s="41"/>
      <c r="JAG19" s="41"/>
      <c r="JAH19" s="41"/>
      <c r="JAI19" s="41"/>
      <c r="JAJ19" s="41"/>
      <c r="JAK19" s="41"/>
      <c r="JAL19" s="41"/>
      <c r="JAM19" s="41"/>
      <c r="JAN19" s="41"/>
      <c r="JAO19" s="41"/>
      <c r="JAP19" s="41"/>
      <c r="JAQ19" s="41"/>
      <c r="JAR19" s="41"/>
      <c r="JAS19" s="41"/>
      <c r="JAT19" s="41"/>
      <c r="JAU19" s="41"/>
      <c r="JAV19" s="41"/>
      <c r="JAW19" s="41"/>
      <c r="JAX19" s="41"/>
      <c r="JAY19" s="41"/>
      <c r="JAZ19" s="41"/>
      <c r="JBA19" s="41"/>
      <c r="JBB19" s="41"/>
      <c r="JBC19" s="41"/>
      <c r="JBD19" s="41"/>
      <c r="JBE19" s="41"/>
      <c r="JBF19" s="41"/>
      <c r="JBG19" s="41"/>
      <c r="JBH19" s="41"/>
      <c r="JBI19" s="41"/>
      <c r="JBJ19" s="41"/>
      <c r="JBK19" s="41"/>
      <c r="JBL19" s="41"/>
      <c r="JBM19" s="41"/>
      <c r="JBN19" s="41"/>
      <c r="JBO19" s="41"/>
      <c r="JBP19" s="41"/>
      <c r="JBQ19" s="41"/>
      <c r="JBR19" s="41"/>
      <c r="JBS19" s="41"/>
      <c r="JBT19" s="41"/>
      <c r="JBU19" s="41"/>
      <c r="JBV19" s="41"/>
      <c r="JBW19" s="41"/>
      <c r="JBX19" s="41"/>
      <c r="JBY19" s="41"/>
      <c r="JBZ19" s="41"/>
      <c r="JCA19" s="41"/>
      <c r="JCB19" s="41"/>
      <c r="JCC19" s="41"/>
      <c r="JCD19" s="41"/>
      <c r="JCE19" s="41"/>
      <c r="JCF19" s="41"/>
      <c r="JCG19" s="41"/>
      <c r="JCH19" s="41"/>
      <c r="JCI19" s="41"/>
      <c r="JCJ19" s="41"/>
      <c r="JCK19" s="41"/>
      <c r="JCL19" s="41"/>
      <c r="JCM19" s="41"/>
      <c r="JCN19" s="41"/>
      <c r="JCO19" s="41"/>
      <c r="JCP19" s="41"/>
      <c r="JCQ19" s="41"/>
      <c r="JCR19" s="41"/>
      <c r="JCS19" s="41"/>
      <c r="JCT19" s="41"/>
      <c r="JCU19" s="41"/>
      <c r="JCV19" s="41"/>
      <c r="JCW19" s="41"/>
      <c r="JCX19" s="41"/>
      <c r="JCY19" s="41"/>
      <c r="JCZ19" s="41"/>
      <c r="JDA19" s="41"/>
      <c r="JDB19" s="41"/>
      <c r="JDC19" s="41"/>
      <c r="JDD19" s="41"/>
      <c r="JDE19" s="41"/>
      <c r="JDF19" s="41"/>
      <c r="JDG19" s="41"/>
      <c r="JDH19" s="41"/>
      <c r="JDI19" s="41"/>
      <c r="JDJ19" s="41"/>
      <c r="JDK19" s="41"/>
      <c r="JDL19" s="41"/>
      <c r="JDM19" s="41"/>
      <c r="JDN19" s="41"/>
      <c r="JDO19" s="41"/>
      <c r="JDP19" s="41"/>
      <c r="JDQ19" s="41"/>
      <c r="JDR19" s="41"/>
      <c r="JDS19" s="41"/>
      <c r="JDT19" s="41"/>
      <c r="JDU19" s="41"/>
      <c r="JDV19" s="41"/>
      <c r="JDW19" s="41"/>
      <c r="JDX19" s="41"/>
      <c r="JDY19" s="41"/>
      <c r="JDZ19" s="41"/>
      <c r="JEA19" s="41"/>
      <c r="JEB19" s="41"/>
      <c r="JEC19" s="41"/>
      <c r="JED19" s="41"/>
      <c r="JEE19" s="41"/>
      <c r="JEF19" s="41"/>
      <c r="JEG19" s="41"/>
      <c r="JEH19" s="41"/>
      <c r="JEI19" s="41"/>
      <c r="JEJ19" s="41"/>
      <c r="JEK19" s="41"/>
      <c r="JEL19" s="41"/>
      <c r="JEM19" s="41"/>
      <c r="JEN19" s="41"/>
      <c r="JEO19" s="41"/>
      <c r="JEP19" s="41"/>
      <c r="JEQ19" s="41"/>
      <c r="JER19" s="41"/>
      <c r="JES19" s="41"/>
      <c r="JET19" s="41"/>
      <c r="JEU19" s="41"/>
      <c r="JEV19" s="41"/>
      <c r="JEW19" s="41"/>
      <c r="JEX19" s="41"/>
      <c r="JEY19" s="41"/>
      <c r="JEZ19" s="41"/>
      <c r="JFA19" s="41"/>
      <c r="JFB19" s="41"/>
      <c r="JFC19" s="41"/>
      <c r="JFD19" s="41"/>
      <c r="JFE19" s="41"/>
      <c r="JFF19" s="41"/>
      <c r="JFG19" s="41"/>
      <c r="JFH19" s="41"/>
      <c r="JFI19" s="41"/>
      <c r="JFJ19" s="41"/>
      <c r="JFK19" s="41"/>
      <c r="JFL19" s="41"/>
      <c r="JFM19" s="41"/>
      <c r="JFN19" s="41"/>
      <c r="JFO19" s="41"/>
      <c r="JFP19" s="41"/>
      <c r="JFQ19" s="41"/>
      <c r="JFR19" s="41"/>
      <c r="JFS19" s="41"/>
      <c r="JFT19" s="41"/>
      <c r="JFU19" s="41"/>
      <c r="JFV19" s="41"/>
      <c r="JFW19" s="41"/>
      <c r="JFX19" s="41"/>
      <c r="JFY19" s="41"/>
      <c r="JFZ19" s="41"/>
      <c r="JGA19" s="41"/>
      <c r="JGB19" s="41"/>
      <c r="JGC19" s="41"/>
      <c r="JGD19" s="41"/>
      <c r="JGE19" s="41"/>
      <c r="JGF19" s="41"/>
      <c r="JGG19" s="41"/>
      <c r="JGH19" s="41"/>
      <c r="JGI19" s="41"/>
      <c r="JGJ19" s="41"/>
      <c r="JGK19" s="41"/>
      <c r="JGL19" s="41"/>
      <c r="JGM19" s="41"/>
      <c r="JGN19" s="41"/>
      <c r="JGO19" s="41"/>
      <c r="JGP19" s="41"/>
      <c r="JGQ19" s="41"/>
      <c r="JGR19" s="41"/>
      <c r="JGS19" s="41"/>
      <c r="JGT19" s="41"/>
      <c r="JGU19" s="41"/>
      <c r="JGV19" s="41"/>
      <c r="JGW19" s="41"/>
      <c r="JGX19" s="41"/>
      <c r="JGY19" s="41"/>
      <c r="JGZ19" s="41"/>
      <c r="JHA19" s="41"/>
      <c r="JHB19" s="41"/>
      <c r="JHC19" s="41"/>
      <c r="JHD19" s="41"/>
      <c r="JHE19" s="41"/>
      <c r="JHF19" s="41"/>
      <c r="JHG19" s="41"/>
      <c r="JHH19" s="41"/>
      <c r="JHI19" s="41"/>
      <c r="JHJ19" s="41"/>
      <c r="JHK19" s="41"/>
      <c r="JHL19" s="41"/>
      <c r="JHM19" s="41"/>
      <c r="JHN19" s="41"/>
      <c r="JHO19" s="41"/>
      <c r="JHP19" s="41"/>
      <c r="JHQ19" s="41"/>
      <c r="JHR19" s="41"/>
      <c r="JHS19" s="41"/>
      <c r="JHT19" s="41"/>
      <c r="JHU19" s="41"/>
      <c r="JHV19" s="41"/>
      <c r="JHW19" s="41"/>
      <c r="JHX19" s="41"/>
      <c r="JHY19" s="41"/>
      <c r="JHZ19" s="41"/>
      <c r="JIA19" s="41"/>
      <c r="JIB19" s="41"/>
      <c r="JIC19" s="41"/>
      <c r="JID19" s="41"/>
      <c r="JIE19" s="41"/>
      <c r="JIF19" s="41"/>
      <c r="JIG19" s="41"/>
      <c r="JIH19" s="41"/>
      <c r="JII19" s="41"/>
      <c r="JIJ19" s="41"/>
      <c r="JIK19" s="41"/>
      <c r="JIL19" s="41"/>
      <c r="JIM19" s="41"/>
      <c r="JIN19" s="41"/>
      <c r="JIO19" s="41"/>
      <c r="JIP19" s="41"/>
      <c r="JIQ19" s="41"/>
      <c r="JIR19" s="41"/>
      <c r="JIS19" s="41"/>
      <c r="JIT19" s="41"/>
      <c r="JIU19" s="41"/>
      <c r="JIV19" s="41"/>
      <c r="JIW19" s="41"/>
      <c r="JIX19" s="41"/>
      <c r="JIY19" s="41"/>
      <c r="JIZ19" s="41"/>
      <c r="JJA19" s="41"/>
      <c r="JJB19" s="41"/>
      <c r="JJC19" s="41"/>
      <c r="JJD19" s="41"/>
      <c r="JJE19" s="41"/>
      <c r="JJF19" s="41"/>
      <c r="JJG19" s="41"/>
      <c r="JJH19" s="41"/>
      <c r="JJI19" s="41"/>
      <c r="JJJ19" s="41"/>
      <c r="JJK19" s="41"/>
      <c r="JJL19" s="41"/>
      <c r="JJM19" s="41"/>
      <c r="JJN19" s="41"/>
      <c r="JJO19" s="41"/>
      <c r="JJP19" s="41"/>
      <c r="JJQ19" s="41"/>
      <c r="JJR19" s="41"/>
      <c r="JJS19" s="41"/>
      <c r="JJT19" s="41"/>
      <c r="JJU19" s="41"/>
      <c r="JJV19" s="41"/>
      <c r="JJW19" s="41"/>
      <c r="JJX19" s="41"/>
      <c r="JJY19" s="41"/>
      <c r="JJZ19" s="41"/>
      <c r="JKA19" s="41"/>
      <c r="JKB19" s="41"/>
      <c r="JKC19" s="41"/>
      <c r="JKD19" s="41"/>
      <c r="JKE19" s="41"/>
      <c r="JKF19" s="41"/>
      <c r="JKG19" s="41"/>
      <c r="JKH19" s="41"/>
      <c r="JKI19" s="41"/>
      <c r="JKJ19" s="41"/>
      <c r="JKK19" s="41"/>
      <c r="JKL19" s="41"/>
      <c r="JKM19" s="41"/>
      <c r="JKN19" s="41"/>
      <c r="JKO19" s="41"/>
      <c r="JKP19" s="41"/>
      <c r="JKQ19" s="41"/>
      <c r="JKR19" s="41"/>
      <c r="JKS19" s="41"/>
      <c r="JKT19" s="41"/>
      <c r="JKU19" s="41"/>
      <c r="JKV19" s="41"/>
      <c r="JKW19" s="41"/>
      <c r="JKX19" s="41"/>
      <c r="JKY19" s="41"/>
      <c r="JKZ19" s="41"/>
      <c r="JLA19" s="41"/>
      <c r="JLB19" s="41"/>
      <c r="JLC19" s="41"/>
      <c r="JLD19" s="41"/>
      <c r="JLE19" s="41"/>
      <c r="JLF19" s="41"/>
      <c r="JLG19" s="41"/>
      <c r="JLH19" s="41"/>
      <c r="JLI19" s="41"/>
      <c r="JLJ19" s="41"/>
      <c r="JLK19" s="41"/>
      <c r="JLL19" s="41"/>
      <c r="JLM19" s="41"/>
      <c r="JLN19" s="41"/>
      <c r="JLO19" s="41"/>
      <c r="JLP19" s="41"/>
      <c r="JLQ19" s="41"/>
      <c r="JLR19" s="41"/>
      <c r="JLS19" s="41"/>
      <c r="JLT19" s="41"/>
      <c r="JLU19" s="41"/>
      <c r="JLV19" s="41"/>
      <c r="JLW19" s="41"/>
      <c r="JLX19" s="41"/>
      <c r="JLY19" s="41"/>
      <c r="JLZ19" s="41"/>
      <c r="JMA19" s="41"/>
      <c r="JMB19" s="41"/>
      <c r="JMC19" s="41"/>
      <c r="JMD19" s="41"/>
      <c r="JME19" s="41"/>
      <c r="JMF19" s="41"/>
      <c r="JMG19" s="41"/>
      <c r="JMH19" s="41"/>
      <c r="JMI19" s="41"/>
      <c r="JMJ19" s="41"/>
      <c r="JMK19" s="41"/>
      <c r="JML19" s="41"/>
      <c r="JMM19" s="41"/>
      <c r="JMN19" s="41"/>
      <c r="JMO19" s="41"/>
      <c r="JMP19" s="41"/>
      <c r="JMQ19" s="41"/>
      <c r="JMR19" s="41"/>
      <c r="JMS19" s="41"/>
      <c r="JMT19" s="41"/>
      <c r="JMU19" s="41"/>
      <c r="JMV19" s="41"/>
      <c r="JMW19" s="41"/>
      <c r="JMX19" s="41"/>
      <c r="JMY19" s="41"/>
      <c r="JMZ19" s="41"/>
      <c r="JNA19" s="41"/>
      <c r="JNB19" s="41"/>
      <c r="JNC19" s="41"/>
      <c r="JND19" s="41"/>
      <c r="JNE19" s="41"/>
      <c r="JNF19" s="41"/>
      <c r="JNG19" s="41"/>
      <c r="JNH19" s="41"/>
      <c r="JNI19" s="41"/>
      <c r="JNJ19" s="41"/>
      <c r="JNK19" s="41"/>
      <c r="JNL19" s="41"/>
      <c r="JNM19" s="41"/>
      <c r="JNN19" s="41"/>
      <c r="JNO19" s="41"/>
      <c r="JNP19" s="41"/>
      <c r="JNQ19" s="41"/>
      <c r="JNR19" s="41"/>
      <c r="JNS19" s="41"/>
      <c r="JNT19" s="41"/>
      <c r="JNU19" s="41"/>
      <c r="JNV19" s="41"/>
      <c r="JNW19" s="41"/>
      <c r="JNX19" s="41"/>
      <c r="JNY19" s="41"/>
      <c r="JNZ19" s="41"/>
      <c r="JOA19" s="41"/>
      <c r="JOB19" s="41"/>
      <c r="JOC19" s="41"/>
      <c r="JOD19" s="41"/>
      <c r="JOE19" s="41"/>
      <c r="JOF19" s="41"/>
      <c r="JOG19" s="41"/>
      <c r="JOH19" s="41"/>
      <c r="JOI19" s="41"/>
      <c r="JOJ19" s="41"/>
      <c r="JOK19" s="41"/>
      <c r="JOL19" s="41"/>
      <c r="JOM19" s="41"/>
      <c r="JON19" s="41"/>
      <c r="JOO19" s="41"/>
      <c r="JOP19" s="41"/>
      <c r="JOQ19" s="41"/>
      <c r="JOR19" s="41"/>
      <c r="JOS19" s="41"/>
      <c r="JOT19" s="41"/>
      <c r="JOU19" s="41"/>
      <c r="JOV19" s="41"/>
      <c r="JOW19" s="41"/>
      <c r="JOX19" s="41"/>
      <c r="JOY19" s="41"/>
      <c r="JOZ19" s="41"/>
      <c r="JPA19" s="41"/>
      <c r="JPB19" s="41"/>
      <c r="JPC19" s="41"/>
      <c r="JPD19" s="41"/>
      <c r="JPE19" s="41"/>
      <c r="JPF19" s="41"/>
      <c r="JPG19" s="41"/>
      <c r="JPH19" s="41"/>
      <c r="JPI19" s="41"/>
      <c r="JPJ19" s="41"/>
      <c r="JPK19" s="41"/>
      <c r="JPL19" s="41"/>
      <c r="JPM19" s="41"/>
      <c r="JPN19" s="41"/>
      <c r="JPO19" s="41"/>
      <c r="JPP19" s="41"/>
      <c r="JPQ19" s="41"/>
      <c r="JPR19" s="41"/>
      <c r="JPS19" s="41"/>
      <c r="JPT19" s="41"/>
      <c r="JPU19" s="41"/>
      <c r="JPV19" s="41"/>
      <c r="JPW19" s="41"/>
      <c r="JPX19" s="41"/>
      <c r="JPY19" s="41"/>
      <c r="JPZ19" s="41"/>
      <c r="JQA19" s="41"/>
      <c r="JQB19" s="41"/>
      <c r="JQC19" s="41"/>
      <c r="JQD19" s="41"/>
      <c r="JQE19" s="41"/>
      <c r="JQF19" s="41"/>
      <c r="JQG19" s="41"/>
      <c r="JQH19" s="41"/>
      <c r="JQI19" s="41"/>
      <c r="JQJ19" s="41"/>
      <c r="JQK19" s="41"/>
      <c r="JQL19" s="41"/>
      <c r="JQM19" s="41"/>
      <c r="JQN19" s="41"/>
      <c r="JQO19" s="41"/>
      <c r="JQP19" s="41"/>
      <c r="JQQ19" s="41"/>
      <c r="JQR19" s="41"/>
      <c r="JQS19" s="41"/>
      <c r="JQT19" s="41"/>
      <c r="JQU19" s="41"/>
      <c r="JQV19" s="41"/>
      <c r="JQW19" s="41"/>
      <c r="JQX19" s="41"/>
      <c r="JQY19" s="41"/>
      <c r="JQZ19" s="41"/>
      <c r="JRA19" s="41"/>
      <c r="JRB19" s="41"/>
      <c r="JRC19" s="41"/>
      <c r="JRD19" s="41"/>
      <c r="JRE19" s="41"/>
      <c r="JRF19" s="41"/>
      <c r="JRG19" s="41"/>
      <c r="JRH19" s="41"/>
      <c r="JRI19" s="41"/>
      <c r="JRJ19" s="41"/>
      <c r="JRK19" s="41"/>
      <c r="JRL19" s="41"/>
      <c r="JRM19" s="41"/>
      <c r="JRN19" s="41"/>
      <c r="JRO19" s="41"/>
      <c r="JRP19" s="41"/>
      <c r="JRQ19" s="41"/>
      <c r="JRR19" s="41"/>
      <c r="JRS19" s="41"/>
      <c r="JRT19" s="41"/>
      <c r="JRU19" s="41"/>
      <c r="JRV19" s="41"/>
      <c r="JRW19" s="41"/>
      <c r="JRX19" s="41"/>
      <c r="JRY19" s="41"/>
      <c r="JRZ19" s="41"/>
      <c r="JSA19" s="41"/>
      <c r="JSB19" s="41"/>
      <c r="JSC19" s="41"/>
      <c r="JSD19" s="41"/>
      <c r="JSE19" s="41"/>
      <c r="JSF19" s="41"/>
      <c r="JSG19" s="41"/>
      <c r="JSH19" s="41"/>
      <c r="JSI19" s="41"/>
      <c r="JSJ19" s="41"/>
      <c r="JSK19" s="41"/>
      <c r="JSL19" s="41"/>
      <c r="JSM19" s="41"/>
      <c r="JSN19" s="41"/>
      <c r="JSO19" s="41"/>
      <c r="JSP19" s="41"/>
      <c r="JSQ19" s="41"/>
      <c r="JSR19" s="41"/>
      <c r="JSS19" s="41"/>
      <c r="JST19" s="41"/>
      <c r="JSU19" s="41"/>
      <c r="JSV19" s="41"/>
      <c r="JSW19" s="41"/>
      <c r="JSX19" s="41"/>
      <c r="JSY19" s="41"/>
      <c r="JSZ19" s="41"/>
      <c r="JTA19" s="41"/>
      <c r="JTB19" s="41"/>
      <c r="JTC19" s="41"/>
      <c r="JTD19" s="41"/>
      <c r="JTE19" s="41"/>
      <c r="JTF19" s="41"/>
      <c r="JTG19" s="41"/>
      <c r="JTH19" s="41"/>
      <c r="JTI19" s="41"/>
      <c r="JTJ19" s="41"/>
      <c r="JTK19" s="41"/>
      <c r="JTL19" s="41"/>
      <c r="JTM19" s="41"/>
      <c r="JTN19" s="41"/>
      <c r="JTO19" s="41"/>
      <c r="JTP19" s="41"/>
      <c r="JTQ19" s="41"/>
      <c r="JTR19" s="41"/>
      <c r="JTS19" s="41"/>
      <c r="JTT19" s="41"/>
      <c r="JTU19" s="41"/>
      <c r="JTV19" s="41"/>
      <c r="JTW19" s="41"/>
      <c r="JTX19" s="41"/>
      <c r="JTY19" s="41"/>
      <c r="JTZ19" s="41"/>
      <c r="JUA19" s="41"/>
      <c r="JUB19" s="41"/>
      <c r="JUC19" s="41"/>
      <c r="JUD19" s="41"/>
      <c r="JUE19" s="41"/>
      <c r="JUF19" s="41"/>
      <c r="JUG19" s="41"/>
      <c r="JUH19" s="41"/>
      <c r="JUI19" s="41"/>
      <c r="JUJ19" s="41"/>
      <c r="JUK19" s="41"/>
      <c r="JUL19" s="41"/>
      <c r="JUM19" s="41"/>
      <c r="JUN19" s="41"/>
      <c r="JUO19" s="41"/>
      <c r="JUP19" s="41"/>
      <c r="JUQ19" s="41"/>
      <c r="JUR19" s="41"/>
      <c r="JUS19" s="41"/>
      <c r="JUT19" s="41"/>
      <c r="JUU19" s="41"/>
      <c r="JUV19" s="41"/>
      <c r="JUW19" s="41"/>
      <c r="JUX19" s="41"/>
      <c r="JUY19" s="41"/>
      <c r="JUZ19" s="41"/>
      <c r="JVA19" s="41"/>
      <c r="JVB19" s="41"/>
      <c r="JVC19" s="41"/>
      <c r="JVD19" s="41"/>
      <c r="JVE19" s="41"/>
      <c r="JVF19" s="41"/>
      <c r="JVG19" s="41"/>
      <c r="JVH19" s="41"/>
      <c r="JVI19" s="41"/>
      <c r="JVJ19" s="41"/>
      <c r="JVK19" s="41"/>
      <c r="JVL19" s="41"/>
      <c r="JVM19" s="41"/>
      <c r="JVN19" s="41"/>
      <c r="JVO19" s="41"/>
      <c r="JVP19" s="41"/>
      <c r="JVQ19" s="41"/>
      <c r="JVR19" s="41"/>
      <c r="JVS19" s="41"/>
      <c r="JVT19" s="41"/>
      <c r="JVU19" s="41"/>
      <c r="JVV19" s="41"/>
      <c r="JVW19" s="41"/>
      <c r="JVX19" s="41"/>
      <c r="JVY19" s="41"/>
      <c r="JVZ19" s="41"/>
      <c r="JWA19" s="41"/>
      <c r="JWB19" s="41"/>
      <c r="JWC19" s="41"/>
      <c r="JWD19" s="41"/>
      <c r="JWE19" s="41"/>
      <c r="JWF19" s="41"/>
      <c r="JWG19" s="41"/>
      <c r="JWH19" s="41"/>
      <c r="JWI19" s="41"/>
      <c r="JWJ19" s="41"/>
      <c r="JWK19" s="41"/>
      <c r="JWL19" s="41"/>
      <c r="JWM19" s="41"/>
      <c r="JWN19" s="41"/>
      <c r="JWO19" s="41"/>
      <c r="JWP19" s="41"/>
      <c r="JWQ19" s="41"/>
      <c r="JWR19" s="41"/>
      <c r="JWS19" s="41"/>
      <c r="JWT19" s="41"/>
      <c r="JWU19" s="41"/>
      <c r="JWV19" s="41"/>
      <c r="JWW19" s="41"/>
      <c r="JWX19" s="41"/>
      <c r="JWY19" s="41"/>
      <c r="JWZ19" s="41"/>
      <c r="JXA19" s="41"/>
      <c r="JXB19" s="41"/>
      <c r="JXC19" s="41"/>
      <c r="JXD19" s="41"/>
      <c r="JXE19" s="41"/>
      <c r="JXF19" s="41"/>
      <c r="JXG19" s="41"/>
      <c r="JXH19" s="41"/>
      <c r="JXI19" s="41"/>
      <c r="JXJ19" s="41"/>
      <c r="JXK19" s="41"/>
      <c r="JXL19" s="41"/>
      <c r="JXM19" s="41"/>
      <c r="JXN19" s="41"/>
      <c r="JXO19" s="41"/>
      <c r="JXP19" s="41"/>
      <c r="JXQ19" s="41"/>
      <c r="JXR19" s="41"/>
      <c r="JXS19" s="41"/>
      <c r="JXT19" s="41"/>
      <c r="JXU19" s="41"/>
      <c r="JXV19" s="41"/>
      <c r="JXW19" s="41"/>
      <c r="JXX19" s="41"/>
      <c r="JXY19" s="41"/>
      <c r="JXZ19" s="41"/>
      <c r="JYA19" s="41"/>
      <c r="JYB19" s="41"/>
      <c r="JYC19" s="41"/>
      <c r="JYD19" s="41"/>
      <c r="JYE19" s="41"/>
      <c r="JYF19" s="41"/>
      <c r="JYG19" s="41"/>
      <c r="JYH19" s="41"/>
      <c r="JYI19" s="41"/>
      <c r="JYJ19" s="41"/>
      <c r="JYK19" s="41"/>
      <c r="JYL19" s="41"/>
      <c r="JYM19" s="41"/>
      <c r="JYN19" s="41"/>
      <c r="JYO19" s="41"/>
      <c r="JYP19" s="41"/>
      <c r="JYQ19" s="41"/>
      <c r="JYR19" s="41"/>
      <c r="JYS19" s="41"/>
      <c r="JYT19" s="41"/>
      <c r="JYU19" s="41"/>
      <c r="JYV19" s="41"/>
      <c r="JYW19" s="41"/>
      <c r="JYX19" s="41"/>
      <c r="JYY19" s="41"/>
      <c r="JYZ19" s="41"/>
      <c r="JZA19" s="41"/>
      <c r="JZB19" s="41"/>
      <c r="JZC19" s="41"/>
      <c r="JZD19" s="41"/>
      <c r="JZE19" s="41"/>
      <c r="JZF19" s="41"/>
      <c r="JZG19" s="41"/>
      <c r="JZH19" s="41"/>
      <c r="JZI19" s="41"/>
      <c r="JZJ19" s="41"/>
      <c r="JZK19" s="41"/>
      <c r="JZL19" s="41"/>
      <c r="JZM19" s="41"/>
      <c r="JZN19" s="41"/>
      <c r="JZO19" s="41"/>
      <c r="JZP19" s="41"/>
      <c r="JZQ19" s="41"/>
      <c r="JZR19" s="41"/>
      <c r="JZS19" s="41"/>
      <c r="JZT19" s="41"/>
      <c r="JZU19" s="41"/>
      <c r="JZV19" s="41"/>
      <c r="JZW19" s="41"/>
      <c r="JZX19" s="41"/>
      <c r="JZY19" s="41"/>
      <c r="JZZ19" s="41"/>
      <c r="KAA19" s="41"/>
      <c r="KAB19" s="41"/>
      <c r="KAC19" s="41"/>
      <c r="KAD19" s="41"/>
      <c r="KAE19" s="41"/>
      <c r="KAF19" s="41"/>
      <c r="KAG19" s="41"/>
      <c r="KAH19" s="41"/>
      <c r="KAI19" s="41"/>
      <c r="KAJ19" s="41"/>
      <c r="KAK19" s="41"/>
      <c r="KAL19" s="41"/>
      <c r="KAM19" s="41"/>
      <c r="KAN19" s="41"/>
      <c r="KAO19" s="41"/>
      <c r="KAP19" s="41"/>
      <c r="KAQ19" s="41"/>
      <c r="KAR19" s="41"/>
      <c r="KAS19" s="41"/>
      <c r="KAT19" s="41"/>
      <c r="KAU19" s="41"/>
      <c r="KAV19" s="41"/>
      <c r="KAW19" s="41"/>
      <c r="KAX19" s="41"/>
      <c r="KAY19" s="41"/>
      <c r="KAZ19" s="41"/>
      <c r="KBA19" s="41"/>
      <c r="KBB19" s="41"/>
      <c r="KBC19" s="41"/>
      <c r="KBD19" s="41"/>
      <c r="KBE19" s="41"/>
      <c r="KBF19" s="41"/>
      <c r="KBG19" s="41"/>
      <c r="KBH19" s="41"/>
      <c r="KBI19" s="41"/>
      <c r="KBJ19" s="41"/>
      <c r="KBK19" s="41"/>
      <c r="KBL19" s="41"/>
      <c r="KBM19" s="41"/>
      <c r="KBN19" s="41"/>
      <c r="KBO19" s="41"/>
      <c r="KBP19" s="41"/>
      <c r="KBQ19" s="41"/>
      <c r="KBR19" s="41"/>
      <c r="KBS19" s="41"/>
      <c r="KBT19" s="41"/>
      <c r="KBU19" s="41"/>
      <c r="KBV19" s="41"/>
      <c r="KBW19" s="41"/>
      <c r="KBX19" s="41"/>
      <c r="KBY19" s="41"/>
      <c r="KBZ19" s="41"/>
      <c r="KCA19" s="41"/>
      <c r="KCB19" s="41"/>
      <c r="KCC19" s="41"/>
      <c r="KCD19" s="41"/>
      <c r="KCE19" s="41"/>
      <c r="KCF19" s="41"/>
      <c r="KCG19" s="41"/>
      <c r="KCH19" s="41"/>
      <c r="KCI19" s="41"/>
      <c r="KCJ19" s="41"/>
      <c r="KCK19" s="41"/>
      <c r="KCL19" s="41"/>
      <c r="KCM19" s="41"/>
      <c r="KCN19" s="41"/>
      <c r="KCO19" s="41"/>
      <c r="KCP19" s="41"/>
      <c r="KCQ19" s="41"/>
      <c r="KCR19" s="41"/>
      <c r="KCS19" s="41"/>
      <c r="KCT19" s="41"/>
      <c r="KCU19" s="41"/>
      <c r="KCV19" s="41"/>
      <c r="KCW19" s="41"/>
      <c r="KCX19" s="41"/>
      <c r="KCY19" s="41"/>
      <c r="KCZ19" s="41"/>
      <c r="KDA19" s="41"/>
      <c r="KDB19" s="41"/>
      <c r="KDC19" s="41"/>
      <c r="KDD19" s="41"/>
      <c r="KDE19" s="41"/>
      <c r="KDF19" s="41"/>
      <c r="KDG19" s="41"/>
      <c r="KDH19" s="41"/>
      <c r="KDI19" s="41"/>
      <c r="KDJ19" s="41"/>
      <c r="KDK19" s="41"/>
      <c r="KDL19" s="41"/>
      <c r="KDM19" s="41"/>
      <c r="KDN19" s="41"/>
      <c r="KDO19" s="41"/>
      <c r="KDP19" s="41"/>
      <c r="KDQ19" s="41"/>
      <c r="KDR19" s="41"/>
      <c r="KDS19" s="41"/>
      <c r="KDT19" s="41"/>
      <c r="KDU19" s="41"/>
      <c r="KDV19" s="41"/>
      <c r="KDW19" s="41"/>
      <c r="KDX19" s="41"/>
      <c r="KDY19" s="41"/>
      <c r="KDZ19" s="41"/>
      <c r="KEA19" s="41"/>
      <c r="KEB19" s="41"/>
      <c r="KEC19" s="41"/>
      <c r="KED19" s="41"/>
      <c r="KEE19" s="41"/>
      <c r="KEF19" s="41"/>
      <c r="KEG19" s="41"/>
      <c r="KEH19" s="41"/>
      <c r="KEI19" s="41"/>
      <c r="KEJ19" s="41"/>
      <c r="KEK19" s="41"/>
      <c r="KEL19" s="41"/>
      <c r="KEM19" s="41"/>
      <c r="KEN19" s="41"/>
      <c r="KEO19" s="41"/>
      <c r="KEP19" s="41"/>
      <c r="KEQ19" s="41"/>
      <c r="KER19" s="41"/>
      <c r="KES19" s="41"/>
      <c r="KET19" s="41"/>
      <c r="KEU19" s="41"/>
      <c r="KEV19" s="41"/>
      <c r="KEW19" s="41"/>
      <c r="KEX19" s="41"/>
      <c r="KEY19" s="41"/>
      <c r="KEZ19" s="41"/>
      <c r="KFA19" s="41"/>
      <c r="KFB19" s="41"/>
      <c r="KFC19" s="41"/>
      <c r="KFD19" s="41"/>
      <c r="KFE19" s="41"/>
      <c r="KFF19" s="41"/>
      <c r="KFG19" s="41"/>
      <c r="KFH19" s="41"/>
      <c r="KFI19" s="41"/>
      <c r="KFJ19" s="41"/>
      <c r="KFK19" s="41"/>
      <c r="KFL19" s="41"/>
      <c r="KFM19" s="41"/>
      <c r="KFN19" s="41"/>
      <c r="KFO19" s="41"/>
      <c r="KFP19" s="41"/>
      <c r="KFQ19" s="41"/>
      <c r="KFR19" s="41"/>
      <c r="KFS19" s="41"/>
      <c r="KFT19" s="41"/>
      <c r="KFU19" s="41"/>
      <c r="KFV19" s="41"/>
      <c r="KFW19" s="41"/>
      <c r="KFX19" s="41"/>
      <c r="KFY19" s="41"/>
      <c r="KFZ19" s="41"/>
      <c r="KGA19" s="41"/>
      <c r="KGB19" s="41"/>
      <c r="KGC19" s="41"/>
      <c r="KGD19" s="41"/>
      <c r="KGE19" s="41"/>
      <c r="KGF19" s="41"/>
      <c r="KGG19" s="41"/>
      <c r="KGH19" s="41"/>
      <c r="KGI19" s="41"/>
      <c r="KGJ19" s="41"/>
      <c r="KGK19" s="41"/>
      <c r="KGL19" s="41"/>
      <c r="KGM19" s="41"/>
      <c r="KGN19" s="41"/>
      <c r="KGO19" s="41"/>
      <c r="KGP19" s="41"/>
      <c r="KGQ19" s="41"/>
      <c r="KGR19" s="41"/>
      <c r="KGS19" s="41"/>
      <c r="KGT19" s="41"/>
      <c r="KGU19" s="41"/>
      <c r="KGV19" s="41"/>
      <c r="KGW19" s="41"/>
      <c r="KGX19" s="41"/>
      <c r="KGY19" s="41"/>
      <c r="KGZ19" s="41"/>
      <c r="KHA19" s="41"/>
      <c r="KHB19" s="41"/>
      <c r="KHC19" s="41"/>
      <c r="KHD19" s="41"/>
      <c r="KHE19" s="41"/>
      <c r="KHF19" s="41"/>
      <c r="KHG19" s="41"/>
      <c r="KHH19" s="41"/>
      <c r="KHI19" s="41"/>
      <c r="KHJ19" s="41"/>
      <c r="KHK19" s="41"/>
      <c r="KHL19" s="41"/>
      <c r="KHM19" s="41"/>
      <c r="KHN19" s="41"/>
      <c r="KHO19" s="41"/>
      <c r="KHP19" s="41"/>
      <c r="KHQ19" s="41"/>
      <c r="KHR19" s="41"/>
      <c r="KHS19" s="41"/>
      <c r="KHT19" s="41"/>
      <c r="KHU19" s="41"/>
      <c r="KHV19" s="41"/>
      <c r="KHW19" s="41"/>
      <c r="KHX19" s="41"/>
      <c r="KHY19" s="41"/>
      <c r="KHZ19" s="41"/>
      <c r="KIA19" s="41"/>
      <c r="KIB19" s="41"/>
      <c r="KIC19" s="41"/>
      <c r="KID19" s="41"/>
      <c r="KIE19" s="41"/>
      <c r="KIF19" s="41"/>
      <c r="KIG19" s="41"/>
      <c r="KIH19" s="41"/>
      <c r="KII19" s="41"/>
      <c r="KIJ19" s="41"/>
      <c r="KIK19" s="41"/>
      <c r="KIL19" s="41"/>
      <c r="KIM19" s="41"/>
      <c r="KIN19" s="41"/>
      <c r="KIO19" s="41"/>
      <c r="KIP19" s="41"/>
      <c r="KIQ19" s="41"/>
      <c r="KIR19" s="41"/>
      <c r="KIS19" s="41"/>
      <c r="KIT19" s="41"/>
      <c r="KIU19" s="41"/>
      <c r="KIV19" s="41"/>
      <c r="KIW19" s="41"/>
      <c r="KIX19" s="41"/>
      <c r="KIY19" s="41"/>
      <c r="KIZ19" s="41"/>
      <c r="KJA19" s="41"/>
      <c r="KJB19" s="41"/>
      <c r="KJC19" s="41"/>
      <c r="KJD19" s="41"/>
      <c r="KJE19" s="41"/>
      <c r="KJF19" s="41"/>
      <c r="KJG19" s="41"/>
      <c r="KJH19" s="41"/>
      <c r="KJI19" s="41"/>
      <c r="KJJ19" s="41"/>
      <c r="KJK19" s="41"/>
      <c r="KJL19" s="41"/>
      <c r="KJM19" s="41"/>
      <c r="KJN19" s="41"/>
      <c r="KJO19" s="41"/>
      <c r="KJP19" s="41"/>
      <c r="KJQ19" s="41"/>
      <c r="KJR19" s="41"/>
      <c r="KJS19" s="41"/>
      <c r="KJT19" s="41"/>
      <c r="KJU19" s="41"/>
      <c r="KJV19" s="41"/>
      <c r="KJW19" s="41"/>
      <c r="KJX19" s="41"/>
      <c r="KJY19" s="41"/>
      <c r="KJZ19" s="41"/>
      <c r="KKA19" s="41"/>
      <c r="KKB19" s="41"/>
      <c r="KKC19" s="41"/>
      <c r="KKD19" s="41"/>
      <c r="KKE19" s="41"/>
      <c r="KKF19" s="41"/>
      <c r="KKG19" s="41"/>
      <c r="KKH19" s="41"/>
      <c r="KKI19" s="41"/>
      <c r="KKJ19" s="41"/>
      <c r="KKK19" s="41"/>
      <c r="KKL19" s="41"/>
      <c r="KKM19" s="41"/>
      <c r="KKN19" s="41"/>
      <c r="KKO19" s="41"/>
      <c r="KKP19" s="41"/>
      <c r="KKQ19" s="41"/>
      <c r="KKR19" s="41"/>
      <c r="KKS19" s="41"/>
      <c r="KKT19" s="41"/>
      <c r="KKU19" s="41"/>
      <c r="KKV19" s="41"/>
      <c r="KKW19" s="41"/>
      <c r="KKX19" s="41"/>
      <c r="KKY19" s="41"/>
      <c r="KKZ19" s="41"/>
      <c r="KLA19" s="41"/>
      <c r="KLB19" s="41"/>
      <c r="KLC19" s="41"/>
      <c r="KLD19" s="41"/>
      <c r="KLE19" s="41"/>
      <c r="KLF19" s="41"/>
      <c r="KLG19" s="41"/>
      <c r="KLH19" s="41"/>
      <c r="KLI19" s="41"/>
      <c r="KLJ19" s="41"/>
      <c r="KLK19" s="41"/>
      <c r="KLL19" s="41"/>
      <c r="KLM19" s="41"/>
      <c r="KLN19" s="41"/>
      <c r="KLO19" s="41"/>
      <c r="KLP19" s="41"/>
      <c r="KLQ19" s="41"/>
      <c r="KLR19" s="41"/>
      <c r="KLS19" s="41"/>
      <c r="KLT19" s="41"/>
      <c r="KLU19" s="41"/>
      <c r="KLV19" s="41"/>
      <c r="KLW19" s="41"/>
      <c r="KLX19" s="41"/>
      <c r="KLY19" s="41"/>
      <c r="KLZ19" s="41"/>
      <c r="KMA19" s="41"/>
      <c r="KMB19" s="41"/>
      <c r="KMC19" s="41"/>
      <c r="KMD19" s="41"/>
      <c r="KME19" s="41"/>
      <c r="KMF19" s="41"/>
      <c r="KMG19" s="41"/>
      <c r="KMH19" s="41"/>
      <c r="KMI19" s="41"/>
      <c r="KMJ19" s="41"/>
      <c r="KMK19" s="41"/>
      <c r="KML19" s="41"/>
      <c r="KMM19" s="41"/>
      <c r="KMN19" s="41"/>
      <c r="KMO19" s="41"/>
      <c r="KMP19" s="41"/>
      <c r="KMQ19" s="41"/>
      <c r="KMR19" s="41"/>
      <c r="KMS19" s="41"/>
      <c r="KMT19" s="41"/>
      <c r="KMU19" s="41"/>
      <c r="KMV19" s="41"/>
      <c r="KMW19" s="41"/>
      <c r="KMX19" s="41"/>
      <c r="KMY19" s="41"/>
      <c r="KMZ19" s="41"/>
      <c r="KNA19" s="41"/>
      <c r="KNB19" s="41"/>
      <c r="KNC19" s="41"/>
      <c r="KND19" s="41"/>
      <c r="KNE19" s="41"/>
      <c r="KNF19" s="41"/>
      <c r="KNG19" s="41"/>
      <c r="KNH19" s="41"/>
      <c r="KNI19" s="41"/>
      <c r="KNJ19" s="41"/>
      <c r="KNK19" s="41"/>
      <c r="KNL19" s="41"/>
      <c r="KNM19" s="41"/>
      <c r="KNN19" s="41"/>
      <c r="KNO19" s="41"/>
      <c r="KNP19" s="41"/>
      <c r="KNQ19" s="41"/>
      <c r="KNR19" s="41"/>
      <c r="KNS19" s="41"/>
      <c r="KNT19" s="41"/>
      <c r="KNU19" s="41"/>
      <c r="KNV19" s="41"/>
      <c r="KNW19" s="41"/>
      <c r="KNX19" s="41"/>
      <c r="KNY19" s="41"/>
      <c r="KNZ19" s="41"/>
      <c r="KOA19" s="41"/>
      <c r="KOB19" s="41"/>
      <c r="KOC19" s="41"/>
      <c r="KOD19" s="41"/>
      <c r="KOE19" s="41"/>
      <c r="KOF19" s="41"/>
      <c r="KOG19" s="41"/>
      <c r="KOH19" s="41"/>
      <c r="KOI19" s="41"/>
      <c r="KOJ19" s="41"/>
      <c r="KOK19" s="41"/>
      <c r="KOL19" s="41"/>
      <c r="KOM19" s="41"/>
      <c r="KON19" s="41"/>
      <c r="KOO19" s="41"/>
      <c r="KOP19" s="41"/>
      <c r="KOQ19" s="41"/>
      <c r="KOR19" s="41"/>
      <c r="KOS19" s="41"/>
      <c r="KOT19" s="41"/>
      <c r="KOU19" s="41"/>
      <c r="KOV19" s="41"/>
      <c r="KOW19" s="41"/>
      <c r="KOX19" s="41"/>
      <c r="KOY19" s="41"/>
      <c r="KOZ19" s="41"/>
      <c r="KPA19" s="41"/>
      <c r="KPB19" s="41"/>
      <c r="KPC19" s="41"/>
      <c r="KPD19" s="41"/>
      <c r="KPE19" s="41"/>
      <c r="KPF19" s="41"/>
      <c r="KPG19" s="41"/>
      <c r="KPH19" s="41"/>
      <c r="KPI19" s="41"/>
      <c r="KPJ19" s="41"/>
      <c r="KPK19" s="41"/>
      <c r="KPL19" s="41"/>
      <c r="KPM19" s="41"/>
      <c r="KPN19" s="41"/>
      <c r="KPO19" s="41"/>
      <c r="KPP19" s="41"/>
      <c r="KPQ19" s="41"/>
      <c r="KPR19" s="41"/>
      <c r="KPS19" s="41"/>
      <c r="KPT19" s="41"/>
      <c r="KPU19" s="41"/>
      <c r="KPV19" s="41"/>
      <c r="KPW19" s="41"/>
      <c r="KPX19" s="41"/>
      <c r="KPY19" s="41"/>
      <c r="KPZ19" s="41"/>
      <c r="KQA19" s="41"/>
      <c r="KQB19" s="41"/>
      <c r="KQC19" s="41"/>
      <c r="KQD19" s="41"/>
      <c r="KQE19" s="41"/>
      <c r="KQF19" s="41"/>
      <c r="KQG19" s="41"/>
      <c r="KQH19" s="41"/>
      <c r="KQI19" s="41"/>
      <c r="KQJ19" s="41"/>
      <c r="KQK19" s="41"/>
      <c r="KQL19" s="41"/>
      <c r="KQM19" s="41"/>
      <c r="KQN19" s="41"/>
      <c r="KQO19" s="41"/>
      <c r="KQP19" s="41"/>
      <c r="KQQ19" s="41"/>
      <c r="KQR19" s="41"/>
      <c r="KQS19" s="41"/>
      <c r="KQT19" s="41"/>
      <c r="KQU19" s="41"/>
      <c r="KQV19" s="41"/>
      <c r="KQW19" s="41"/>
      <c r="KQX19" s="41"/>
      <c r="KQY19" s="41"/>
      <c r="KQZ19" s="41"/>
      <c r="KRA19" s="41"/>
      <c r="KRB19" s="41"/>
      <c r="KRC19" s="41"/>
      <c r="KRD19" s="41"/>
      <c r="KRE19" s="41"/>
      <c r="KRF19" s="41"/>
      <c r="KRG19" s="41"/>
      <c r="KRH19" s="41"/>
      <c r="KRI19" s="41"/>
      <c r="KRJ19" s="41"/>
      <c r="KRK19" s="41"/>
      <c r="KRL19" s="41"/>
      <c r="KRM19" s="41"/>
      <c r="KRN19" s="41"/>
      <c r="KRO19" s="41"/>
      <c r="KRP19" s="41"/>
      <c r="KRQ19" s="41"/>
      <c r="KRR19" s="41"/>
      <c r="KRS19" s="41"/>
      <c r="KRT19" s="41"/>
      <c r="KRU19" s="41"/>
      <c r="KRV19" s="41"/>
      <c r="KRW19" s="41"/>
      <c r="KRX19" s="41"/>
      <c r="KRY19" s="41"/>
      <c r="KRZ19" s="41"/>
      <c r="KSA19" s="41"/>
      <c r="KSB19" s="41"/>
      <c r="KSC19" s="41"/>
      <c r="KSD19" s="41"/>
      <c r="KSE19" s="41"/>
      <c r="KSF19" s="41"/>
      <c r="KSG19" s="41"/>
      <c r="KSH19" s="41"/>
      <c r="KSI19" s="41"/>
      <c r="KSJ19" s="41"/>
      <c r="KSK19" s="41"/>
      <c r="KSL19" s="41"/>
      <c r="KSM19" s="41"/>
      <c r="KSN19" s="41"/>
      <c r="KSO19" s="41"/>
      <c r="KSP19" s="41"/>
      <c r="KSQ19" s="41"/>
      <c r="KSR19" s="41"/>
      <c r="KSS19" s="41"/>
      <c r="KST19" s="41"/>
      <c r="KSU19" s="41"/>
      <c r="KSV19" s="41"/>
      <c r="KSW19" s="41"/>
      <c r="KSX19" s="41"/>
      <c r="KSY19" s="41"/>
      <c r="KSZ19" s="41"/>
      <c r="KTA19" s="41"/>
      <c r="KTB19" s="41"/>
      <c r="KTC19" s="41"/>
      <c r="KTD19" s="41"/>
      <c r="KTE19" s="41"/>
      <c r="KTF19" s="41"/>
      <c r="KTG19" s="41"/>
      <c r="KTH19" s="41"/>
      <c r="KTI19" s="41"/>
      <c r="KTJ19" s="41"/>
      <c r="KTK19" s="41"/>
      <c r="KTL19" s="41"/>
      <c r="KTM19" s="41"/>
      <c r="KTN19" s="41"/>
      <c r="KTO19" s="41"/>
      <c r="KTP19" s="41"/>
      <c r="KTQ19" s="41"/>
      <c r="KTR19" s="41"/>
      <c r="KTS19" s="41"/>
      <c r="KTT19" s="41"/>
      <c r="KTU19" s="41"/>
      <c r="KTV19" s="41"/>
      <c r="KTW19" s="41"/>
      <c r="KTX19" s="41"/>
      <c r="KTY19" s="41"/>
      <c r="KTZ19" s="41"/>
      <c r="KUA19" s="41"/>
      <c r="KUB19" s="41"/>
      <c r="KUC19" s="41"/>
      <c r="KUD19" s="41"/>
      <c r="KUE19" s="41"/>
      <c r="KUF19" s="41"/>
      <c r="KUG19" s="41"/>
      <c r="KUH19" s="41"/>
      <c r="KUI19" s="41"/>
      <c r="KUJ19" s="41"/>
      <c r="KUK19" s="41"/>
      <c r="KUL19" s="41"/>
      <c r="KUM19" s="41"/>
      <c r="KUN19" s="41"/>
      <c r="KUO19" s="41"/>
      <c r="KUP19" s="41"/>
      <c r="KUQ19" s="41"/>
      <c r="KUR19" s="41"/>
      <c r="KUS19" s="41"/>
      <c r="KUT19" s="41"/>
      <c r="KUU19" s="41"/>
      <c r="KUV19" s="41"/>
      <c r="KUW19" s="41"/>
      <c r="KUX19" s="41"/>
      <c r="KUY19" s="41"/>
      <c r="KUZ19" s="41"/>
      <c r="KVA19" s="41"/>
      <c r="KVB19" s="41"/>
      <c r="KVC19" s="41"/>
      <c r="KVD19" s="41"/>
      <c r="KVE19" s="41"/>
      <c r="KVF19" s="41"/>
      <c r="KVG19" s="41"/>
      <c r="KVH19" s="41"/>
      <c r="KVI19" s="41"/>
      <c r="KVJ19" s="41"/>
      <c r="KVK19" s="41"/>
      <c r="KVL19" s="41"/>
      <c r="KVM19" s="41"/>
      <c r="KVN19" s="41"/>
      <c r="KVO19" s="41"/>
      <c r="KVP19" s="41"/>
      <c r="KVQ19" s="41"/>
      <c r="KVR19" s="41"/>
      <c r="KVS19" s="41"/>
      <c r="KVT19" s="41"/>
      <c r="KVU19" s="41"/>
      <c r="KVV19" s="41"/>
      <c r="KVW19" s="41"/>
      <c r="KVX19" s="41"/>
      <c r="KVY19" s="41"/>
      <c r="KVZ19" s="41"/>
      <c r="KWA19" s="41"/>
      <c r="KWB19" s="41"/>
      <c r="KWC19" s="41"/>
      <c r="KWD19" s="41"/>
      <c r="KWE19" s="41"/>
      <c r="KWF19" s="41"/>
      <c r="KWG19" s="41"/>
      <c r="KWH19" s="41"/>
      <c r="KWI19" s="41"/>
      <c r="KWJ19" s="41"/>
      <c r="KWK19" s="41"/>
      <c r="KWL19" s="41"/>
      <c r="KWM19" s="41"/>
      <c r="KWN19" s="41"/>
      <c r="KWO19" s="41"/>
      <c r="KWP19" s="41"/>
      <c r="KWQ19" s="41"/>
      <c r="KWR19" s="41"/>
      <c r="KWS19" s="41"/>
      <c r="KWT19" s="41"/>
      <c r="KWU19" s="41"/>
      <c r="KWV19" s="41"/>
      <c r="KWW19" s="41"/>
      <c r="KWX19" s="41"/>
      <c r="KWY19" s="41"/>
      <c r="KWZ19" s="41"/>
      <c r="KXA19" s="41"/>
      <c r="KXB19" s="41"/>
      <c r="KXC19" s="41"/>
      <c r="KXD19" s="41"/>
      <c r="KXE19" s="41"/>
      <c r="KXF19" s="41"/>
      <c r="KXG19" s="41"/>
      <c r="KXH19" s="41"/>
      <c r="KXI19" s="41"/>
      <c r="KXJ19" s="41"/>
      <c r="KXK19" s="41"/>
      <c r="KXL19" s="41"/>
      <c r="KXM19" s="41"/>
      <c r="KXN19" s="41"/>
      <c r="KXO19" s="41"/>
      <c r="KXP19" s="41"/>
      <c r="KXQ19" s="41"/>
      <c r="KXR19" s="41"/>
      <c r="KXS19" s="41"/>
      <c r="KXT19" s="41"/>
      <c r="KXU19" s="41"/>
      <c r="KXV19" s="41"/>
      <c r="KXW19" s="41"/>
      <c r="KXX19" s="41"/>
      <c r="KXY19" s="41"/>
      <c r="KXZ19" s="41"/>
      <c r="KYA19" s="41"/>
      <c r="KYB19" s="41"/>
      <c r="KYC19" s="41"/>
      <c r="KYD19" s="41"/>
      <c r="KYE19" s="41"/>
      <c r="KYF19" s="41"/>
      <c r="KYG19" s="41"/>
      <c r="KYH19" s="41"/>
      <c r="KYI19" s="41"/>
      <c r="KYJ19" s="41"/>
      <c r="KYK19" s="41"/>
      <c r="KYL19" s="41"/>
      <c r="KYM19" s="41"/>
      <c r="KYN19" s="41"/>
      <c r="KYO19" s="41"/>
      <c r="KYP19" s="41"/>
      <c r="KYQ19" s="41"/>
      <c r="KYR19" s="41"/>
      <c r="KYS19" s="41"/>
      <c r="KYT19" s="41"/>
      <c r="KYU19" s="41"/>
      <c r="KYV19" s="41"/>
      <c r="KYW19" s="41"/>
      <c r="KYX19" s="41"/>
      <c r="KYY19" s="41"/>
      <c r="KYZ19" s="41"/>
      <c r="KZA19" s="41"/>
      <c r="KZB19" s="41"/>
      <c r="KZC19" s="41"/>
      <c r="KZD19" s="41"/>
      <c r="KZE19" s="41"/>
      <c r="KZF19" s="41"/>
      <c r="KZG19" s="41"/>
      <c r="KZH19" s="41"/>
      <c r="KZI19" s="41"/>
      <c r="KZJ19" s="41"/>
      <c r="KZK19" s="41"/>
      <c r="KZL19" s="41"/>
      <c r="KZM19" s="41"/>
      <c r="KZN19" s="41"/>
      <c r="KZO19" s="41"/>
      <c r="KZP19" s="41"/>
      <c r="KZQ19" s="41"/>
      <c r="KZR19" s="41"/>
      <c r="KZS19" s="41"/>
      <c r="KZT19" s="41"/>
      <c r="KZU19" s="41"/>
      <c r="KZV19" s="41"/>
      <c r="KZW19" s="41"/>
      <c r="KZX19" s="41"/>
      <c r="KZY19" s="41"/>
      <c r="KZZ19" s="41"/>
      <c r="LAA19" s="41"/>
      <c r="LAB19" s="41"/>
      <c r="LAC19" s="41"/>
      <c r="LAD19" s="41"/>
      <c r="LAE19" s="41"/>
      <c r="LAF19" s="41"/>
      <c r="LAG19" s="41"/>
      <c r="LAH19" s="41"/>
      <c r="LAI19" s="41"/>
      <c r="LAJ19" s="41"/>
      <c r="LAK19" s="41"/>
      <c r="LAL19" s="41"/>
      <c r="LAM19" s="41"/>
      <c r="LAN19" s="41"/>
      <c r="LAO19" s="41"/>
      <c r="LAP19" s="41"/>
      <c r="LAQ19" s="41"/>
      <c r="LAR19" s="41"/>
      <c r="LAS19" s="41"/>
      <c r="LAT19" s="41"/>
      <c r="LAU19" s="41"/>
      <c r="LAV19" s="41"/>
      <c r="LAW19" s="41"/>
      <c r="LAX19" s="41"/>
      <c r="LAY19" s="41"/>
      <c r="LAZ19" s="41"/>
      <c r="LBA19" s="41"/>
      <c r="LBB19" s="41"/>
      <c r="LBC19" s="41"/>
      <c r="LBD19" s="41"/>
      <c r="LBE19" s="41"/>
      <c r="LBF19" s="41"/>
      <c r="LBG19" s="41"/>
      <c r="LBH19" s="41"/>
      <c r="LBI19" s="41"/>
      <c r="LBJ19" s="41"/>
      <c r="LBK19" s="41"/>
      <c r="LBL19" s="41"/>
      <c r="LBM19" s="41"/>
      <c r="LBN19" s="41"/>
      <c r="LBO19" s="41"/>
      <c r="LBP19" s="41"/>
      <c r="LBQ19" s="41"/>
      <c r="LBR19" s="41"/>
      <c r="LBS19" s="41"/>
      <c r="LBT19" s="41"/>
      <c r="LBU19" s="41"/>
      <c r="LBV19" s="41"/>
      <c r="LBW19" s="41"/>
      <c r="LBX19" s="41"/>
      <c r="LBY19" s="41"/>
      <c r="LBZ19" s="41"/>
      <c r="LCA19" s="41"/>
      <c r="LCB19" s="41"/>
      <c r="LCC19" s="41"/>
      <c r="LCD19" s="41"/>
      <c r="LCE19" s="41"/>
      <c r="LCF19" s="41"/>
      <c r="LCG19" s="41"/>
      <c r="LCH19" s="41"/>
      <c r="LCI19" s="41"/>
      <c r="LCJ19" s="41"/>
      <c r="LCK19" s="41"/>
      <c r="LCL19" s="41"/>
      <c r="LCM19" s="41"/>
      <c r="LCN19" s="41"/>
      <c r="LCO19" s="41"/>
      <c r="LCP19" s="41"/>
      <c r="LCQ19" s="41"/>
      <c r="LCR19" s="41"/>
      <c r="LCS19" s="41"/>
      <c r="LCT19" s="41"/>
      <c r="LCU19" s="41"/>
      <c r="LCV19" s="41"/>
      <c r="LCW19" s="41"/>
      <c r="LCX19" s="41"/>
      <c r="LCY19" s="41"/>
      <c r="LCZ19" s="41"/>
      <c r="LDA19" s="41"/>
      <c r="LDB19" s="41"/>
      <c r="LDC19" s="41"/>
      <c r="LDD19" s="41"/>
      <c r="LDE19" s="41"/>
      <c r="LDF19" s="41"/>
      <c r="LDG19" s="41"/>
      <c r="LDH19" s="41"/>
      <c r="LDI19" s="41"/>
      <c r="LDJ19" s="41"/>
      <c r="LDK19" s="41"/>
      <c r="LDL19" s="41"/>
      <c r="LDM19" s="41"/>
      <c r="LDN19" s="41"/>
      <c r="LDO19" s="41"/>
      <c r="LDP19" s="41"/>
      <c r="LDQ19" s="41"/>
      <c r="LDR19" s="41"/>
      <c r="LDS19" s="41"/>
      <c r="LDT19" s="41"/>
      <c r="LDU19" s="41"/>
      <c r="LDV19" s="41"/>
      <c r="LDW19" s="41"/>
      <c r="LDX19" s="41"/>
      <c r="LDY19" s="41"/>
      <c r="LDZ19" s="41"/>
      <c r="LEA19" s="41"/>
      <c r="LEB19" s="41"/>
      <c r="LEC19" s="41"/>
      <c r="LED19" s="41"/>
      <c r="LEE19" s="41"/>
      <c r="LEF19" s="41"/>
      <c r="LEG19" s="41"/>
      <c r="LEH19" s="41"/>
      <c r="LEI19" s="41"/>
      <c r="LEJ19" s="41"/>
      <c r="LEK19" s="41"/>
      <c r="LEL19" s="41"/>
      <c r="LEM19" s="41"/>
      <c r="LEN19" s="41"/>
      <c r="LEO19" s="41"/>
      <c r="LEP19" s="41"/>
      <c r="LEQ19" s="41"/>
      <c r="LER19" s="41"/>
      <c r="LES19" s="41"/>
      <c r="LET19" s="41"/>
      <c r="LEU19" s="41"/>
      <c r="LEV19" s="41"/>
      <c r="LEW19" s="41"/>
      <c r="LEX19" s="41"/>
      <c r="LEY19" s="41"/>
      <c r="LEZ19" s="41"/>
      <c r="LFA19" s="41"/>
      <c r="LFB19" s="41"/>
      <c r="LFC19" s="41"/>
      <c r="LFD19" s="41"/>
      <c r="LFE19" s="41"/>
      <c r="LFF19" s="41"/>
      <c r="LFG19" s="41"/>
      <c r="LFH19" s="41"/>
      <c r="LFI19" s="41"/>
      <c r="LFJ19" s="41"/>
      <c r="LFK19" s="41"/>
      <c r="LFL19" s="41"/>
      <c r="LFM19" s="41"/>
      <c r="LFN19" s="41"/>
      <c r="LFO19" s="41"/>
      <c r="LFP19" s="41"/>
      <c r="LFQ19" s="41"/>
      <c r="LFR19" s="41"/>
      <c r="LFS19" s="41"/>
      <c r="LFT19" s="41"/>
      <c r="LFU19" s="41"/>
      <c r="LFV19" s="41"/>
      <c r="LFW19" s="41"/>
      <c r="LFX19" s="41"/>
      <c r="LFY19" s="41"/>
      <c r="LFZ19" s="41"/>
      <c r="LGA19" s="41"/>
      <c r="LGB19" s="41"/>
      <c r="LGC19" s="41"/>
      <c r="LGD19" s="41"/>
      <c r="LGE19" s="41"/>
      <c r="LGF19" s="41"/>
      <c r="LGG19" s="41"/>
      <c r="LGH19" s="41"/>
      <c r="LGI19" s="41"/>
      <c r="LGJ19" s="41"/>
      <c r="LGK19" s="41"/>
      <c r="LGL19" s="41"/>
      <c r="LGM19" s="41"/>
      <c r="LGN19" s="41"/>
      <c r="LGO19" s="41"/>
      <c r="LGP19" s="41"/>
      <c r="LGQ19" s="41"/>
      <c r="LGR19" s="41"/>
      <c r="LGS19" s="41"/>
      <c r="LGT19" s="41"/>
      <c r="LGU19" s="41"/>
      <c r="LGV19" s="41"/>
      <c r="LGW19" s="41"/>
      <c r="LGX19" s="41"/>
      <c r="LGY19" s="41"/>
      <c r="LGZ19" s="41"/>
      <c r="LHA19" s="41"/>
      <c r="LHB19" s="41"/>
      <c r="LHC19" s="41"/>
      <c r="LHD19" s="41"/>
      <c r="LHE19" s="41"/>
      <c r="LHF19" s="41"/>
      <c r="LHG19" s="41"/>
      <c r="LHH19" s="41"/>
      <c r="LHI19" s="41"/>
      <c r="LHJ19" s="41"/>
      <c r="LHK19" s="41"/>
      <c r="LHL19" s="41"/>
      <c r="LHM19" s="41"/>
      <c r="LHN19" s="41"/>
      <c r="LHO19" s="41"/>
      <c r="LHP19" s="41"/>
      <c r="LHQ19" s="41"/>
      <c r="LHR19" s="41"/>
      <c r="LHS19" s="41"/>
      <c r="LHT19" s="41"/>
      <c r="LHU19" s="41"/>
      <c r="LHV19" s="41"/>
      <c r="LHW19" s="41"/>
      <c r="LHX19" s="41"/>
      <c r="LHY19" s="41"/>
      <c r="LHZ19" s="41"/>
      <c r="LIA19" s="41"/>
      <c r="LIB19" s="41"/>
      <c r="LIC19" s="41"/>
      <c r="LID19" s="41"/>
      <c r="LIE19" s="41"/>
      <c r="LIF19" s="41"/>
      <c r="LIG19" s="41"/>
      <c r="LIH19" s="41"/>
      <c r="LII19" s="41"/>
      <c r="LIJ19" s="41"/>
      <c r="LIK19" s="41"/>
      <c r="LIL19" s="41"/>
      <c r="LIM19" s="41"/>
      <c r="LIN19" s="41"/>
      <c r="LIO19" s="41"/>
      <c r="LIP19" s="41"/>
      <c r="LIQ19" s="41"/>
      <c r="LIR19" s="41"/>
      <c r="LIS19" s="41"/>
      <c r="LIT19" s="41"/>
      <c r="LIU19" s="41"/>
      <c r="LIV19" s="41"/>
      <c r="LIW19" s="41"/>
      <c r="LIX19" s="41"/>
      <c r="LIY19" s="41"/>
      <c r="LIZ19" s="41"/>
      <c r="LJA19" s="41"/>
      <c r="LJB19" s="41"/>
      <c r="LJC19" s="41"/>
      <c r="LJD19" s="41"/>
      <c r="LJE19" s="41"/>
      <c r="LJF19" s="41"/>
      <c r="LJG19" s="41"/>
      <c r="LJH19" s="41"/>
      <c r="LJI19" s="41"/>
      <c r="LJJ19" s="41"/>
      <c r="LJK19" s="41"/>
      <c r="LJL19" s="41"/>
      <c r="LJM19" s="41"/>
      <c r="LJN19" s="41"/>
      <c r="LJO19" s="41"/>
      <c r="LJP19" s="41"/>
      <c r="LJQ19" s="41"/>
      <c r="LJR19" s="41"/>
      <c r="LJS19" s="41"/>
      <c r="LJT19" s="41"/>
      <c r="LJU19" s="41"/>
      <c r="LJV19" s="41"/>
      <c r="LJW19" s="41"/>
      <c r="LJX19" s="41"/>
      <c r="LJY19" s="41"/>
      <c r="LJZ19" s="41"/>
      <c r="LKA19" s="41"/>
      <c r="LKB19" s="41"/>
      <c r="LKC19" s="41"/>
      <c r="LKD19" s="41"/>
      <c r="LKE19" s="41"/>
      <c r="LKF19" s="41"/>
      <c r="LKG19" s="41"/>
      <c r="LKH19" s="41"/>
      <c r="LKI19" s="41"/>
      <c r="LKJ19" s="41"/>
      <c r="LKK19" s="41"/>
      <c r="LKL19" s="41"/>
      <c r="LKM19" s="41"/>
      <c r="LKN19" s="41"/>
      <c r="LKO19" s="41"/>
      <c r="LKP19" s="41"/>
      <c r="LKQ19" s="41"/>
      <c r="LKR19" s="41"/>
      <c r="LKS19" s="41"/>
      <c r="LKT19" s="41"/>
      <c r="LKU19" s="41"/>
      <c r="LKV19" s="41"/>
      <c r="LKW19" s="41"/>
      <c r="LKX19" s="41"/>
      <c r="LKY19" s="41"/>
      <c r="LKZ19" s="41"/>
      <c r="LLA19" s="41"/>
      <c r="LLB19" s="41"/>
      <c r="LLC19" s="41"/>
      <c r="LLD19" s="41"/>
      <c r="LLE19" s="41"/>
      <c r="LLF19" s="41"/>
      <c r="LLG19" s="41"/>
      <c r="LLH19" s="41"/>
      <c r="LLI19" s="41"/>
      <c r="LLJ19" s="41"/>
      <c r="LLK19" s="41"/>
      <c r="LLL19" s="41"/>
      <c r="LLM19" s="41"/>
      <c r="LLN19" s="41"/>
      <c r="LLO19" s="41"/>
      <c r="LLP19" s="41"/>
      <c r="LLQ19" s="41"/>
      <c r="LLR19" s="41"/>
      <c r="LLS19" s="41"/>
      <c r="LLT19" s="41"/>
      <c r="LLU19" s="41"/>
      <c r="LLV19" s="41"/>
      <c r="LLW19" s="41"/>
      <c r="LLX19" s="41"/>
      <c r="LLY19" s="41"/>
      <c r="LLZ19" s="41"/>
      <c r="LMA19" s="41"/>
      <c r="LMB19" s="41"/>
      <c r="LMC19" s="41"/>
      <c r="LMD19" s="41"/>
      <c r="LME19" s="41"/>
      <c r="LMF19" s="41"/>
      <c r="LMG19" s="41"/>
      <c r="LMH19" s="41"/>
      <c r="LMI19" s="41"/>
      <c r="LMJ19" s="41"/>
      <c r="LMK19" s="41"/>
      <c r="LML19" s="41"/>
      <c r="LMM19" s="41"/>
      <c r="LMN19" s="41"/>
      <c r="LMO19" s="41"/>
      <c r="LMP19" s="41"/>
      <c r="LMQ19" s="41"/>
      <c r="LMR19" s="41"/>
      <c r="LMS19" s="41"/>
      <c r="LMT19" s="41"/>
      <c r="LMU19" s="41"/>
      <c r="LMV19" s="41"/>
      <c r="LMW19" s="41"/>
      <c r="LMX19" s="41"/>
      <c r="LMY19" s="41"/>
      <c r="LMZ19" s="41"/>
      <c r="LNA19" s="41"/>
      <c r="LNB19" s="41"/>
      <c r="LNC19" s="41"/>
      <c r="LND19" s="41"/>
      <c r="LNE19" s="41"/>
      <c r="LNF19" s="41"/>
      <c r="LNG19" s="41"/>
      <c r="LNH19" s="41"/>
      <c r="LNI19" s="41"/>
      <c r="LNJ19" s="41"/>
      <c r="LNK19" s="41"/>
      <c r="LNL19" s="41"/>
      <c r="LNM19" s="41"/>
      <c r="LNN19" s="41"/>
      <c r="LNO19" s="41"/>
      <c r="LNP19" s="41"/>
      <c r="LNQ19" s="41"/>
      <c r="LNR19" s="41"/>
      <c r="LNS19" s="41"/>
      <c r="LNT19" s="41"/>
      <c r="LNU19" s="41"/>
      <c r="LNV19" s="41"/>
      <c r="LNW19" s="41"/>
      <c r="LNX19" s="41"/>
      <c r="LNY19" s="41"/>
      <c r="LNZ19" s="41"/>
      <c r="LOA19" s="41"/>
      <c r="LOB19" s="41"/>
      <c r="LOC19" s="41"/>
      <c r="LOD19" s="41"/>
      <c r="LOE19" s="41"/>
      <c r="LOF19" s="41"/>
      <c r="LOG19" s="41"/>
      <c r="LOH19" s="41"/>
      <c r="LOI19" s="41"/>
      <c r="LOJ19" s="41"/>
      <c r="LOK19" s="41"/>
      <c r="LOL19" s="41"/>
      <c r="LOM19" s="41"/>
      <c r="LON19" s="41"/>
      <c r="LOO19" s="41"/>
      <c r="LOP19" s="41"/>
      <c r="LOQ19" s="41"/>
      <c r="LOR19" s="41"/>
      <c r="LOS19" s="41"/>
      <c r="LOT19" s="41"/>
      <c r="LOU19" s="41"/>
      <c r="LOV19" s="41"/>
      <c r="LOW19" s="41"/>
      <c r="LOX19" s="41"/>
      <c r="LOY19" s="41"/>
      <c r="LOZ19" s="41"/>
      <c r="LPA19" s="41"/>
      <c r="LPB19" s="41"/>
      <c r="LPC19" s="41"/>
      <c r="LPD19" s="41"/>
      <c r="LPE19" s="41"/>
      <c r="LPF19" s="41"/>
      <c r="LPG19" s="41"/>
      <c r="LPH19" s="41"/>
      <c r="LPI19" s="41"/>
      <c r="LPJ19" s="41"/>
      <c r="LPK19" s="41"/>
      <c r="LPL19" s="41"/>
      <c r="LPM19" s="41"/>
      <c r="LPN19" s="41"/>
      <c r="LPO19" s="41"/>
      <c r="LPP19" s="41"/>
      <c r="LPQ19" s="41"/>
      <c r="LPR19" s="41"/>
      <c r="LPS19" s="41"/>
      <c r="LPT19" s="41"/>
      <c r="LPU19" s="41"/>
      <c r="LPV19" s="41"/>
      <c r="LPW19" s="41"/>
      <c r="LPX19" s="41"/>
      <c r="LPY19" s="41"/>
      <c r="LPZ19" s="41"/>
      <c r="LQA19" s="41"/>
      <c r="LQB19" s="41"/>
      <c r="LQC19" s="41"/>
      <c r="LQD19" s="41"/>
      <c r="LQE19" s="41"/>
      <c r="LQF19" s="41"/>
      <c r="LQG19" s="41"/>
      <c r="LQH19" s="41"/>
      <c r="LQI19" s="41"/>
      <c r="LQJ19" s="41"/>
      <c r="LQK19" s="41"/>
      <c r="LQL19" s="41"/>
      <c r="LQM19" s="41"/>
      <c r="LQN19" s="41"/>
      <c r="LQO19" s="41"/>
      <c r="LQP19" s="41"/>
      <c r="LQQ19" s="41"/>
      <c r="LQR19" s="41"/>
      <c r="LQS19" s="41"/>
      <c r="LQT19" s="41"/>
      <c r="LQU19" s="41"/>
      <c r="LQV19" s="41"/>
      <c r="LQW19" s="41"/>
      <c r="LQX19" s="41"/>
      <c r="LQY19" s="41"/>
      <c r="LQZ19" s="41"/>
      <c r="LRA19" s="41"/>
      <c r="LRB19" s="41"/>
      <c r="LRC19" s="41"/>
      <c r="LRD19" s="41"/>
      <c r="LRE19" s="41"/>
      <c r="LRF19" s="41"/>
      <c r="LRG19" s="41"/>
      <c r="LRH19" s="41"/>
      <c r="LRI19" s="41"/>
      <c r="LRJ19" s="41"/>
      <c r="LRK19" s="41"/>
      <c r="LRL19" s="41"/>
      <c r="LRM19" s="41"/>
      <c r="LRN19" s="41"/>
      <c r="LRO19" s="41"/>
      <c r="LRP19" s="41"/>
      <c r="LRQ19" s="41"/>
      <c r="LRR19" s="41"/>
      <c r="LRS19" s="41"/>
      <c r="LRT19" s="41"/>
      <c r="LRU19" s="41"/>
      <c r="LRV19" s="41"/>
      <c r="LRW19" s="41"/>
      <c r="LRX19" s="41"/>
      <c r="LRY19" s="41"/>
      <c r="LRZ19" s="41"/>
      <c r="LSA19" s="41"/>
      <c r="LSB19" s="41"/>
      <c r="LSC19" s="41"/>
      <c r="LSD19" s="41"/>
      <c r="LSE19" s="41"/>
      <c r="LSF19" s="41"/>
      <c r="LSG19" s="41"/>
      <c r="LSH19" s="41"/>
      <c r="LSI19" s="41"/>
      <c r="LSJ19" s="41"/>
      <c r="LSK19" s="41"/>
      <c r="LSL19" s="41"/>
      <c r="LSM19" s="41"/>
      <c r="LSN19" s="41"/>
      <c r="LSO19" s="41"/>
      <c r="LSP19" s="41"/>
      <c r="LSQ19" s="41"/>
      <c r="LSR19" s="41"/>
      <c r="LSS19" s="41"/>
      <c r="LST19" s="41"/>
      <c r="LSU19" s="41"/>
      <c r="LSV19" s="41"/>
      <c r="LSW19" s="41"/>
      <c r="LSX19" s="41"/>
      <c r="LSY19" s="41"/>
      <c r="LSZ19" s="41"/>
      <c r="LTA19" s="41"/>
      <c r="LTB19" s="41"/>
      <c r="LTC19" s="41"/>
      <c r="LTD19" s="41"/>
      <c r="LTE19" s="41"/>
      <c r="LTF19" s="41"/>
      <c r="LTG19" s="41"/>
      <c r="LTH19" s="41"/>
      <c r="LTI19" s="41"/>
      <c r="LTJ19" s="41"/>
      <c r="LTK19" s="41"/>
      <c r="LTL19" s="41"/>
      <c r="LTM19" s="41"/>
      <c r="LTN19" s="41"/>
      <c r="LTO19" s="41"/>
      <c r="LTP19" s="41"/>
      <c r="LTQ19" s="41"/>
      <c r="LTR19" s="41"/>
      <c r="LTS19" s="41"/>
      <c r="LTT19" s="41"/>
      <c r="LTU19" s="41"/>
      <c r="LTV19" s="41"/>
      <c r="LTW19" s="41"/>
      <c r="LTX19" s="41"/>
      <c r="LTY19" s="41"/>
      <c r="LTZ19" s="41"/>
      <c r="LUA19" s="41"/>
      <c r="LUB19" s="41"/>
      <c r="LUC19" s="41"/>
      <c r="LUD19" s="41"/>
      <c r="LUE19" s="41"/>
      <c r="LUF19" s="41"/>
      <c r="LUG19" s="41"/>
      <c r="LUH19" s="41"/>
      <c r="LUI19" s="41"/>
      <c r="LUJ19" s="41"/>
      <c r="LUK19" s="41"/>
      <c r="LUL19" s="41"/>
      <c r="LUM19" s="41"/>
      <c r="LUN19" s="41"/>
      <c r="LUO19" s="41"/>
      <c r="LUP19" s="41"/>
      <c r="LUQ19" s="41"/>
      <c r="LUR19" s="41"/>
      <c r="LUS19" s="41"/>
      <c r="LUT19" s="41"/>
      <c r="LUU19" s="41"/>
      <c r="LUV19" s="41"/>
      <c r="LUW19" s="41"/>
      <c r="LUX19" s="41"/>
      <c r="LUY19" s="41"/>
      <c r="LUZ19" s="41"/>
      <c r="LVA19" s="41"/>
      <c r="LVB19" s="41"/>
      <c r="LVC19" s="41"/>
      <c r="LVD19" s="41"/>
      <c r="LVE19" s="41"/>
      <c r="LVF19" s="41"/>
      <c r="LVG19" s="41"/>
      <c r="LVH19" s="41"/>
      <c r="LVI19" s="41"/>
      <c r="LVJ19" s="41"/>
      <c r="LVK19" s="41"/>
      <c r="LVL19" s="41"/>
      <c r="LVM19" s="41"/>
      <c r="LVN19" s="41"/>
      <c r="LVO19" s="41"/>
      <c r="LVP19" s="41"/>
      <c r="LVQ19" s="41"/>
      <c r="LVR19" s="41"/>
      <c r="LVS19" s="41"/>
      <c r="LVT19" s="41"/>
      <c r="LVU19" s="41"/>
      <c r="LVV19" s="41"/>
      <c r="LVW19" s="41"/>
      <c r="LVX19" s="41"/>
      <c r="LVY19" s="41"/>
      <c r="LVZ19" s="41"/>
      <c r="LWA19" s="41"/>
      <c r="LWB19" s="41"/>
      <c r="LWC19" s="41"/>
      <c r="LWD19" s="41"/>
      <c r="LWE19" s="41"/>
      <c r="LWF19" s="41"/>
      <c r="LWG19" s="41"/>
      <c r="LWH19" s="41"/>
      <c r="LWI19" s="41"/>
      <c r="LWJ19" s="41"/>
      <c r="LWK19" s="41"/>
      <c r="LWL19" s="41"/>
      <c r="LWM19" s="41"/>
      <c r="LWN19" s="41"/>
      <c r="LWO19" s="41"/>
      <c r="LWP19" s="41"/>
      <c r="LWQ19" s="41"/>
      <c r="LWR19" s="41"/>
      <c r="LWS19" s="41"/>
      <c r="LWT19" s="41"/>
      <c r="LWU19" s="41"/>
      <c r="LWV19" s="41"/>
      <c r="LWW19" s="41"/>
      <c r="LWX19" s="41"/>
      <c r="LWY19" s="41"/>
      <c r="LWZ19" s="41"/>
      <c r="LXA19" s="41"/>
      <c r="LXB19" s="41"/>
      <c r="LXC19" s="41"/>
      <c r="LXD19" s="41"/>
      <c r="LXE19" s="41"/>
      <c r="LXF19" s="41"/>
      <c r="LXG19" s="41"/>
      <c r="LXH19" s="41"/>
      <c r="LXI19" s="41"/>
      <c r="LXJ19" s="41"/>
      <c r="LXK19" s="41"/>
      <c r="LXL19" s="41"/>
      <c r="LXM19" s="41"/>
      <c r="LXN19" s="41"/>
      <c r="LXO19" s="41"/>
      <c r="LXP19" s="41"/>
      <c r="LXQ19" s="41"/>
      <c r="LXR19" s="41"/>
      <c r="LXS19" s="41"/>
      <c r="LXT19" s="41"/>
      <c r="LXU19" s="41"/>
      <c r="LXV19" s="41"/>
      <c r="LXW19" s="41"/>
      <c r="LXX19" s="41"/>
      <c r="LXY19" s="41"/>
      <c r="LXZ19" s="41"/>
      <c r="LYA19" s="41"/>
      <c r="LYB19" s="41"/>
      <c r="LYC19" s="41"/>
      <c r="LYD19" s="41"/>
      <c r="LYE19" s="41"/>
      <c r="LYF19" s="41"/>
      <c r="LYG19" s="41"/>
      <c r="LYH19" s="41"/>
      <c r="LYI19" s="41"/>
      <c r="LYJ19" s="41"/>
      <c r="LYK19" s="41"/>
      <c r="LYL19" s="41"/>
      <c r="LYM19" s="41"/>
      <c r="LYN19" s="41"/>
      <c r="LYO19" s="41"/>
      <c r="LYP19" s="41"/>
      <c r="LYQ19" s="41"/>
      <c r="LYR19" s="41"/>
      <c r="LYS19" s="41"/>
      <c r="LYT19" s="41"/>
      <c r="LYU19" s="41"/>
      <c r="LYV19" s="41"/>
      <c r="LYW19" s="41"/>
      <c r="LYX19" s="41"/>
      <c r="LYY19" s="41"/>
      <c r="LYZ19" s="41"/>
      <c r="LZA19" s="41"/>
      <c r="LZB19" s="41"/>
      <c r="LZC19" s="41"/>
      <c r="LZD19" s="41"/>
      <c r="LZE19" s="41"/>
      <c r="LZF19" s="41"/>
      <c r="LZG19" s="41"/>
      <c r="LZH19" s="41"/>
      <c r="LZI19" s="41"/>
      <c r="LZJ19" s="41"/>
      <c r="LZK19" s="41"/>
      <c r="LZL19" s="41"/>
      <c r="LZM19" s="41"/>
      <c r="LZN19" s="41"/>
      <c r="LZO19" s="41"/>
      <c r="LZP19" s="41"/>
      <c r="LZQ19" s="41"/>
      <c r="LZR19" s="41"/>
      <c r="LZS19" s="41"/>
      <c r="LZT19" s="41"/>
      <c r="LZU19" s="41"/>
      <c r="LZV19" s="41"/>
      <c r="LZW19" s="41"/>
      <c r="LZX19" s="41"/>
      <c r="LZY19" s="41"/>
      <c r="LZZ19" s="41"/>
      <c r="MAA19" s="41"/>
      <c r="MAB19" s="41"/>
      <c r="MAC19" s="41"/>
      <c r="MAD19" s="41"/>
      <c r="MAE19" s="41"/>
      <c r="MAF19" s="41"/>
      <c r="MAG19" s="41"/>
      <c r="MAH19" s="41"/>
      <c r="MAI19" s="41"/>
      <c r="MAJ19" s="41"/>
      <c r="MAK19" s="41"/>
      <c r="MAL19" s="41"/>
      <c r="MAM19" s="41"/>
      <c r="MAN19" s="41"/>
      <c r="MAO19" s="41"/>
      <c r="MAP19" s="41"/>
      <c r="MAQ19" s="41"/>
      <c r="MAR19" s="41"/>
      <c r="MAS19" s="41"/>
      <c r="MAT19" s="41"/>
      <c r="MAU19" s="41"/>
      <c r="MAV19" s="41"/>
      <c r="MAW19" s="41"/>
      <c r="MAX19" s="41"/>
      <c r="MAY19" s="41"/>
      <c r="MAZ19" s="41"/>
      <c r="MBA19" s="41"/>
      <c r="MBB19" s="41"/>
      <c r="MBC19" s="41"/>
      <c r="MBD19" s="41"/>
      <c r="MBE19" s="41"/>
      <c r="MBF19" s="41"/>
      <c r="MBG19" s="41"/>
      <c r="MBH19" s="41"/>
      <c r="MBI19" s="41"/>
      <c r="MBJ19" s="41"/>
      <c r="MBK19" s="41"/>
      <c r="MBL19" s="41"/>
      <c r="MBM19" s="41"/>
      <c r="MBN19" s="41"/>
      <c r="MBO19" s="41"/>
      <c r="MBP19" s="41"/>
      <c r="MBQ19" s="41"/>
      <c r="MBR19" s="41"/>
      <c r="MBS19" s="41"/>
      <c r="MBT19" s="41"/>
      <c r="MBU19" s="41"/>
      <c r="MBV19" s="41"/>
      <c r="MBW19" s="41"/>
      <c r="MBX19" s="41"/>
      <c r="MBY19" s="41"/>
      <c r="MBZ19" s="41"/>
      <c r="MCA19" s="41"/>
      <c r="MCB19" s="41"/>
      <c r="MCC19" s="41"/>
      <c r="MCD19" s="41"/>
      <c r="MCE19" s="41"/>
      <c r="MCF19" s="41"/>
      <c r="MCG19" s="41"/>
      <c r="MCH19" s="41"/>
      <c r="MCI19" s="41"/>
      <c r="MCJ19" s="41"/>
      <c r="MCK19" s="41"/>
      <c r="MCL19" s="41"/>
      <c r="MCM19" s="41"/>
      <c r="MCN19" s="41"/>
      <c r="MCO19" s="41"/>
      <c r="MCP19" s="41"/>
      <c r="MCQ19" s="41"/>
      <c r="MCR19" s="41"/>
      <c r="MCS19" s="41"/>
      <c r="MCT19" s="41"/>
      <c r="MCU19" s="41"/>
      <c r="MCV19" s="41"/>
      <c r="MCW19" s="41"/>
      <c r="MCX19" s="41"/>
      <c r="MCY19" s="41"/>
      <c r="MCZ19" s="41"/>
      <c r="MDA19" s="41"/>
      <c r="MDB19" s="41"/>
      <c r="MDC19" s="41"/>
      <c r="MDD19" s="41"/>
      <c r="MDE19" s="41"/>
      <c r="MDF19" s="41"/>
      <c r="MDG19" s="41"/>
      <c r="MDH19" s="41"/>
      <c r="MDI19" s="41"/>
      <c r="MDJ19" s="41"/>
      <c r="MDK19" s="41"/>
      <c r="MDL19" s="41"/>
      <c r="MDM19" s="41"/>
      <c r="MDN19" s="41"/>
      <c r="MDO19" s="41"/>
      <c r="MDP19" s="41"/>
      <c r="MDQ19" s="41"/>
      <c r="MDR19" s="41"/>
      <c r="MDS19" s="41"/>
      <c r="MDT19" s="41"/>
      <c r="MDU19" s="41"/>
      <c r="MDV19" s="41"/>
      <c r="MDW19" s="41"/>
      <c r="MDX19" s="41"/>
      <c r="MDY19" s="41"/>
      <c r="MDZ19" s="41"/>
      <c r="MEA19" s="41"/>
      <c r="MEB19" s="41"/>
      <c r="MEC19" s="41"/>
      <c r="MED19" s="41"/>
      <c r="MEE19" s="41"/>
      <c r="MEF19" s="41"/>
      <c r="MEG19" s="41"/>
      <c r="MEH19" s="41"/>
      <c r="MEI19" s="41"/>
      <c r="MEJ19" s="41"/>
      <c r="MEK19" s="41"/>
      <c r="MEL19" s="41"/>
      <c r="MEM19" s="41"/>
      <c r="MEN19" s="41"/>
      <c r="MEO19" s="41"/>
      <c r="MEP19" s="41"/>
      <c r="MEQ19" s="41"/>
      <c r="MER19" s="41"/>
      <c r="MES19" s="41"/>
      <c r="MET19" s="41"/>
      <c r="MEU19" s="41"/>
      <c r="MEV19" s="41"/>
      <c r="MEW19" s="41"/>
      <c r="MEX19" s="41"/>
      <c r="MEY19" s="41"/>
      <c r="MEZ19" s="41"/>
      <c r="MFA19" s="41"/>
      <c r="MFB19" s="41"/>
      <c r="MFC19" s="41"/>
      <c r="MFD19" s="41"/>
      <c r="MFE19" s="41"/>
      <c r="MFF19" s="41"/>
      <c r="MFG19" s="41"/>
      <c r="MFH19" s="41"/>
      <c r="MFI19" s="41"/>
      <c r="MFJ19" s="41"/>
      <c r="MFK19" s="41"/>
      <c r="MFL19" s="41"/>
      <c r="MFM19" s="41"/>
      <c r="MFN19" s="41"/>
      <c r="MFO19" s="41"/>
      <c r="MFP19" s="41"/>
      <c r="MFQ19" s="41"/>
      <c r="MFR19" s="41"/>
      <c r="MFS19" s="41"/>
      <c r="MFT19" s="41"/>
      <c r="MFU19" s="41"/>
      <c r="MFV19" s="41"/>
      <c r="MFW19" s="41"/>
      <c r="MFX19" s="41"/>
      <c r="MFY19" s="41"/>
      <c r="MFZ19" s="41"/>
      <c r="MGA19" s="41"/>
      <c r="MGB19" s="41"/>
      <c r="MGC19" s="41"/>
      <c r="MGD19" s="41"/>
      <c r="MGE19" s="41"/>
      <c r="MGF19" s="41"/>
      <c r="MGG19" s="41"/>
      <c r="MGH19" s="41"/>
      <c r="MGI19" s="41"/>
      <c r="MGJ19" s="41"/>
      <c r="MGK19" s="41"/>
      <c r="MGL19" s="41"/>
      <c r="MGM19" s="41"/>
      <c r="MGN19" s="41"/>
      <c r="MGO19" s="41"/>
      <c r="MGP19" s="41"/>
      <c r="MGQ19" s="41"/>
      <c r="MGR19" s="41"/>
      <c r="MGS19" s="41"/>
      <c r="MGT19" s="41"/>
      <c r="MGU19" s="41"/>
      <c r="MGV19" s="41"/>
      <c r="MGW19" s="41"/>
      <c r="MGX19" s="41"/>
      <c r="MGY19" s="41"/>
      <c r="MGZ19" s="41"/>
      <c r="MHA19" s="41"/>
      <c r="MHB19" s="41"/>
      <c r="MHC19" s="41"/>
      <c r="MHD19" s="41"/>
      <c r="MHE19" s="41"/>
      <c r="MHF19" s="41"/>
      <c r="MHG19" s="41"/>
      <c r="MHH19" s="41"/>
      <c r="MHI19" s="41"/>
      <c r="MHJ19" s="41"/>
      <c r="MHK19" s="41"/>
      <c r="MHL19" s="41"/>
      <c r="MHM19" s="41"/>
      <c r="MHN19" s="41"/>
      <c r="MHO19" s="41"/>
      <c r="MHP19" s="41"/>
      <c r="MHQ19" s="41"/>
      <c r="MHR19" s="41"/>
      <c r="MHS19" s="41"/>
      <c r="MHT19" s="41"/>
      <c r="MHU19" s="41"/>
      <c r="MHV19" s="41"/>
      <c r="MHW19" s="41"/>
      <c r="MHX19" s="41"/>
      <c r="MHY19" s="41"/>
      <c r="MHZ19" s="41"/>
      <c r="MIA19" s="41"/>
      <c r="MIB19" s="41"/>
      <c r="MIC19" s="41"/>
      <c r="MID19" s="41"/>
      <c r="MIE19" s="41"/>
      <c r="MIF19" s="41"/>
      <c r="MIG19" s="41"/>
      <c r="MIH19" s="41"/>
      <c r="MII19" s="41"/>
      <c r="MIJ19" s="41"/>
      <c r="MIK19" s="41"/>
      <c r="MIL19" s="41"/>
      <c r="MIM19" s="41"/>
      <c r="MIN19" s="41"/>
      <c r="MIO19" s="41"/>
      <c r="MIP19" s="41"/>
      <c r="MIQ19" s="41"/>
      <c r="MIR19" s="41"/>
      <c r="MIS19" s="41"/>
      <c r="MIT19" s="41"/>
      <c r="MIU19" s="41"/>
      <c r="MIV19" s="41"/>
      <c r="MIW19" s="41"/>
      <c r="MIX19" s="41"/>
      <c r="MIY19" s="41"/>
      <c r="MIZ19" s="41"/>
      <c r="MJA19" s="41"/>
      <c r="MJB19" s="41"/>
      <c r="MJC19" s="41"/>
      <c r="MJD19" s="41"/>
      <c r="MJE19" s="41"/>
      <c r="MJF19" s="41"/>
      <c r="MJG19" s="41"/>
      <c r="MJH19" s="41"/>
      <c r="MJI19" s="41"/>
      <c r="MJJ19" s="41"/>
      <c r="MJK19" s="41"/>
      <c r="MJL19" s="41"/>
      <c r="MJM19" s="41"/>
      <c r="MJN19" s="41"/>
      <c r="MJO19" s="41"/>
      <c r="MJP19" s="41"/>
      <c r="MJQ19" s="41"/>
      <c r="MJR19" s="41"/>
      <c r="MJS19" s="41"/>
      <c r="MJT19" s="41"/>
      <c r="MJU19" s="41"/>
      <c r="MJV19" s="41"/>
      <c r="MJW19" s="41"/>
      <c r="MJX19" s="41"/>
      <c r="MJY19" s="41"/>
      <c r="MJZ19" s="41"/>
      <c r="MKA19" s="41"/>
      <c r="MKB19" s="41"/>
      <c r="MKC19" s="41"/>
      <c r="MKD19" s="41"/>
      <c r="MKE19" s="41"/>
      <c r="MKF19" s="41"/>
      <c r="MKG19" s="41"/>
      <c r="MKH19" s="41"/>
      <c r="MKI19" s="41"/>
      <c r="MKJ19" s="41"/>
      <c r="MKK19" s="41"/>
      <c r="MKL19" s="41"/>
      <c r="MKM19" s="41"/>
      <c r="MKN19" s="41"/>
      <c r="MKO19" s="41"/>
      <c r="MKP19" s="41"/>
      <c r="MKQ19" s="41"/>
      <c r="MKR19" s="41"/>
      <c r="MKS19" s="41"/>
      <c r="MKT19" s="41"/>
      <c r="MKU19" s="41"/>
      <c r="MKV19" s="41"/>
      <c r="MKW19" s="41"/>
      <c r="MKX19" s="41"/>
      <c r="MKY19" s="41"/>
      <c r="MKZ19" s="41"/>
      <c r="MLA19" s="41"/>
      <c r="MLB19" s="41"/>
      <c r="MLC19" s="41"/>
      <c r="MLD19" s="41"/>
      <c r="MLE19" s="41"/>
      <c r="MLF19" s="41"/>
      <c r="MLG19" s="41"/>
      <c r="MLH19" s="41"/>
      <c r="MLI19" s="41"/>
      <c r="MLJ19" s="41"/>
      <c r="MLK19" s="41"/>
      <c r="MLL19" s="41"/>
      <c r="MLM19" s="41"/>
      <c r="MLN19" s="41"/>
      <c r="MLO19" s="41"/>
      <c r="MLP19" s="41"/>
      <c r="MLQ19" s="41"/>
      <c r="MLR19" s="41"/>
      <c r="MLS19" s="41"/>
      <c r="MLT19" s="41"/>
      <c r="MLU19" s="41"/>
      <c r="MLV19" s="41"/>
      <c r="MLW19" s="41"/>
      <c r="MLX19" s="41"/>
      <c r="MLY19" s="41"/>
      <c r="MLZ19" s="41"/>
      <c r="MMA19" s="41"/>
      <c r="MMB19" s="41"/>
      <c r="MMC19" s="41"/>
      <c r="MMD19" s="41"/>
      <c r="MME19" s="41"/>
      <c r="MMF19" s="41"/>
      <c r="MMG19" s="41"/>
      <c r="MMH19" s="41"/>
      <c r="MMI19" s="41"/>
      <c r="MMJ19" s="41"/>
      <c r="MMK19" s="41"/>
      <c r="MML19" s="41"/>
      <c r="MMM19" s="41"/>
      <c r="MMN19" s="41"/>
      <c r="MMO19" s="41"/>
      <c r="MMP19" s="41"/>
      <c r="MMQ19" s="41"/>
      <c r="MMR19" s="41"/>
      <c r="MMS19" s="41"/>
      <c r="MMT19" s="41"/>
      <c r="MMU19" s="41"/>
      <c r="MMV19" s="41"/>
      <c r="MMW19" s="41"/>
      <c r="MMX19" s="41"/>
      <c r="MMY19" s="41"/>
      <c r="MMZ19" s="41"/>
      <c r="MNA19" s="41"/>
      <c r="MNB19" s="41"/>
      <c r="MNC19" s="41"/>
      <c r="MND19" s="41"/>
      <c r="MNE19" s="41"/>
      <c r="MNF19" s="41"/>
      <c r="MNG19" s="41"/>
      <c r="MNH19" s="41"/>
      <c r="MNI19" s="41"/>
      <c r="MNJ19" s="41"/>
      <c r="MNK19" s="41"/>
      <c r="MNL19" s="41"/>
      <c r="MNM19" s="41"/>
      <c r="MNN19" s="41"/>
      <c r="MNO19" s="41"/>
      <c r="MNP19" s="41"/>
      <c r="MNQ19" s="41"/>
      <c r="MNR19" s="41"/>
      <c r="MNS19" s="41"/>
      <c r="MNT19" s="41"/>
      <c r="MNU19" s="41"/>
      <c r="MNV19" s="41"/>
      <c r="MNW19" s="41"/>
      <c r="MNX19" s="41"/>
      <c r="MNY19" s="41"/>
      <c r="MNZ19" s="41"/>
      <c r="MOA19" s="41"/>
      <c r="MOB19" s="41"/>
      <c r="MOC19" s="41"/>
      <c r="MOD19" s="41"/>
      <c r="MOE19" s="41"/>
      <c r="MOF19" s="41"/>
      <c r="MOG19" s="41"/>
      <c r="MOH19" s="41"/>
      <c r="MOI19" s="41"/>
      <c r="MOJ19" s="41"/>
      <c r="MOK19" s="41"/>
      <c r="MOL19" s="41"/>
      <c r="MOM19" s="41"/>
      <c r="MON19" s="41"/>
      <c r="MOO19" s="41"/>
      <c r="MOP19" s="41"/>
      <c r="MOQ19" s="41"/>
      <c r="MOR19" s="41"/>
      <c r="MOS19" s="41"/>
      <c r="MOT19" s="41"/>
      <c r="MOU19" s="41"/>
      <c r="MOV19" s="41"/>
      <c r="MOW19" s="41"/>
      <c r="MOX19" s="41"/>
      <c r="MOY19" s="41"/>
      <c r="MOZ19" s="41"/>
      <c r="MPA19" s="41"/>
      <c r="MPB19" s="41"/>
      <c r="MPC19" s="41"/>
      <c r="MPD19" s="41"/>
      <c r="MPE19" s="41"/>
      <c r="MPF19" s="41"/>
      <c r="MPG19" s="41"/>
      <c r="MPH19" s="41"/>
      <c r="MPI19" s="41"/>
      <c r="MPJ19" s="41"/>
      <c r="MPK19" s="41"/>
      <c r="MPL19" s="41"/>
      <c r="MPM19" s="41"/>
      <c r="MPN19" s="41"/>
      <c r="MPO19" s="41"/>
      <c r="MPP19" s="41"/>
      <c r="MPQ19" s="41"/>
      <c r="MPR19" s="41"/>
      <c r="MPS19" s="41"/>
      <c r="MPT19" s="41"/>
      <c r="MPU19" s="41"/>
      <c r="MPV19" s="41"/>
      <c r="MPW19" s="41"/>
      <c r="MPX19" s="41"/>
      <c r="MPY19" s="41"/>
      <c r="MPZ19" s="41"/>
      <c r="MQA19" s="41"/>
      <c r="MQB19" s="41"/>
      <c r="MQC19" s="41"/>
      <c r="MQD19" s="41"/>
      <c r="MQE19" s="41"/>
      <c r="MQF19" s="41"/>
      <c r="MQG19" s="41"/>
      <c r="MQH19" s="41"/>
      <c r="MQI19" s="41"/>
      <c r="MQJ19" s="41"/>
      <c r="MQK19" s="41"/>
      <c r="MQL19" s="41"/>
      <c r="MQM19" s="41"/>
      <c r="MQN19" s="41"/>
      <c r="MQO19" s="41"/>
      <c r="MQP19" s="41"/>
      <c r="MQQ19" s="41"/>
      <c r="MQR19" s="41"/>
      <c r="MQS19" s="41"/>
      <c r="MQT19" s="41"/>
      <c r="MQU19" s="41"/>
      <c r="MQV19" s="41"/>
      <c r="MQW19" s="41"/>
      <c r="MQX19" s="41"/>
      <c r="MQY19" s="41"/>
      <c r="MQZ19" s="41"/>
      <c r="MRA19" s="41"/>
      <c r="MRB19" s="41"/>
      <c r="MRC19" s="41"/>
      <c r="MRD19" s="41"/>
      <c r="MRE19" s="41"/>
      <c r="MRF19" s="41"/>
      <c r="MRG19" s="41"/>
      <c r="MRH19" s="41"/>
      <c r="MRI19" s="41"/>
      <c r="MRJ19" s="41"/>
      <c r="MRK19" s="41"/>
      <c r="MRL19" s="41"/>
      <c r="MRM19" s="41"/>
      <c r="MRN19" s="41"/>
      <c r="MRO19" s="41"/>
      <c r="MRP19" s="41"/>
      <c r="MRQ19" s="41"/>
      <c r="MRR19" s="41"/>
      <c r="MRS19" s="41"/>
      <c r="MRT19" s="41"/>
      <c r="MRU19" s="41"/>
      <c r="MRV19" s="41"/>
      <c r="MRW19" s="41"/>
      <c r="MRX19" s="41"/>
      <c r="MRY19" s="41"/>
      <c r="MRZ19" s="41"/>
      <c r="MSA19" s="41"/>
      <c r="MSB19" s="41"/>
      <c r="MSC19" s="41"/>
      <c r="MSD19" s="41"/>
      <c r="MSE19" s="41"/>
      <c r="MSF19" s="41"/>
      <c r="MSG19" s="41"/>
      <c r="MSH19" s="41"/>
      <c r="MSI19" s="41"/>
      <c r="MSJ19" s="41"/>
      <c r="MSK19" s="41"/>
      <c r="MSL19" s="41"/>
      <c r="MSM19" s="41"/>
      <c r="MSN19" s="41"/>
      <c r="MSO19" s="41"/>
      <c r="MSP19" s="41"/>
      <c r="MSQ19" s="41"/>
      <c r="MSR19" s="41"/>
      <c r="MSS19" s="41"/>
      <c r="MST19" s="41"/>
      <c r="MSU19" s="41"/>
      <c r="MSV19" s="41"/>
      <c r="MSW19" s="41"/>
      <c r="MSX19" s="41"/>
      <c r="MSY19" s="41"/>
      <c r="MSZ19" s="41"/>
      <c r="MTA19" s="41"/>
      <c r="MTB19" s="41"/>
      <c r="MTC19" s="41"/>
      <c r="MTD19" s="41"/>
      <c r="MTE19" s="41"/>
      <c r="MTF19" s="41"/>
      <c r="MTG19" s="41"/>
      <c r="MTH19" s="41"/>
      <c r="MTI19" s="41"/>
      <c r="MTJ19" s="41"/>
      <c r="MTK19" s="41"/>
      <c r="MTL19" s="41"/>
      <c r="MTM19" s="41"/>
      <c r="MTN19" s="41"/>
      <c r="MTO19" s="41"/>
      <c r="MTP19" s="41"/>
      <c r="MTQ19" s="41"/>
      <c r="MTR19" s="41"/>
      <c r="MTS19" s="41"/>
      <c r="MTT19" s="41"/>
      <c r="MTU19" s="41"/>
      <c r="MTV19" s="41"/>
      <c r="MTW19" s="41"/>
      <c r="MTX19" s="41"/>
      <c r="MTY19" s="41"/>
      <c r="MTZ19" s="41"/>
      <c r="MUA19" s="41"/>
      <c r="MUB19" s="41"/>
      <c r="MUC19" s="41"/>
      <c r="MUD19" s="41"/>
      <c r="MUE19" s="41"/>
      <c r="MUF19" s="41"/>
      <c r="MUG19" s="41"/>
      <c r="MUH19" s="41"/>
      <c r="MUI19" s="41"/>
      <c r="MUJ19" s="41"/>
      <c r="MUK19" s="41"/>
      <c r="MUL19" s="41"/>
      <c r="MUM19" s="41"/>
      <c r="MUN19" s="41"/>
      <c r="MUO19" s="41"/>
      <c r="MUP19" s="41"/>
      <c r="MUQ19" s="41"/>
      <c r="MUR19" s="41"/>
      <c r="MUS19" s="41"/>
      <c r="MUT19" s="41"/>
      <c r="MUU19" s="41"/>
      <c r="MUV19" s="41"/>
      <c r="MUW19" s="41"/>
      <c r="MUX19" s="41"/>
      <c r="MUY19" s="41"/>
      <c r="MUZ19" s="41"/>
      <c r="MVA19" s="41"/>
      <c r="MVB19" s="41"/>
      <c r="MVC19" s="41"/>
      <c r="MVD19" s="41"/>
      <c r="MVE19" s="41"/>
      <c r="MVF19" s="41"/>
      <c r="MVG19" s="41"/>
      <c r="MVH19" s="41"/>
      <c r="MVI19" s="41"/>
      <c r="MVJ19" s="41"/>
      <c r="MVK19" s="41"/>
      <c r="MVL19" s="41"/>
      <c r="MVM19" s="41"/>
      <c r="MVN19" s="41"/>
      <c r="MVO19" s="41"/>
      <c r="MVP19" s="41"/>
      <c r="MVQ19" s="41"/>
      <c r="MVR19" s="41"/>
      <c r="MVS19" s="41"/>
      <c r="MVT19" s="41"/>
      <c r="MVU19" s="41"/>
      <c r="MVV19" s="41"/>
      <c r="MVW19" s="41"/>
      <c r="MVX19" s="41"/>
      <c r="MVY19" s="41"/>
      <c r="MVZ19" s="41"/>
      <c r="MWA19" s="41"/>
      <c r="MWB19" s="41"/>
      <c r="MWC19" s="41"/>
      <c r="MWD19" s="41"/>
      <c r="MWE19" s="41"/>
      <c r="MWF19" s="41"/>
      <c r="MWG19" s="41"/>
      <c r="MWH19" s="41"/>
      <c r="MWI19" s="41"/>
      <c r="MWJ19" s="41"/>
      <c r="MWK19" s="41"/>
      <c r="MWL19" s="41"/>
      <c r="MWM19" s="41"/>
      <c r="MWN19" s="41"/>
      <c r="MWO19" s="41"/>
      <c r="MWP19" s="41"/>
      <c r="MWQ19" s="41"/>
      <c r="MWR19" s="41"/>
      <c r="MWS19" s="41"/>
      <c r="MWT19" s="41"/>
      <c r="MWU19" s="41"/>
      <c r="MWV19" s="41"/>
      <c r="MWW19" s="41"/>
      <c r="MWX19" s="41"/>
      <c r="MWY19" s="41"/>
      <c r="MWZ19" s="41"/>
      <c r="MXA19" s="41"/>
      <c r="MXB19" s="41"/>
      <c r="MXC19" s="41"/>
      <c r="MXD19" s="41"/>
      <c r="MXE19" s="41"/>
      <c r="MXF19" s="41"/>
      <c r="MXG19" s="41"/>
      <c r="MXH19" s="41"/>
      <c r="MXI19" s="41"/>
      <c r="MXJ19" s="41"/>
      <c r="MXK19" s="41"/>
      <c r="MXL19" s="41"/>
      <c r="MXM19" s="41"/>
      <c r="MXN19" s="41"/>
      <c r="MXO19" s="41"/>
      <c r="MXP19" s="41"/>
      <c r="MXQ19" s="41"/>
      <c r="MXR19" s="41"/>
      <c r="MXS19" s="41"/>
      <c r="MXT19" s="41"/>
      <c r="MXU19" s="41"/>
      <c r="MXV19" s="41"/>
      <c r="MXW19" s="41"/>
      <c r="MXX19" s="41"/>
      <c r="MXY19" s="41"/>
      <c r="MXZ19" s="41"/>
      <c r="MYA19" s="41"/>
      <c r="MYB19" s="41"/>
      <c r="MYC19" s="41"/>
      <c r="MYD19" s="41"/>
      <c r="MYE19" s="41"/>
      <c r="MYF19" s="41"/>
      <c r="MYG19" s="41"/>
      <c r="MYH19" s="41"/>
      <c r="MYI19" s="41"/>
      <c r="MYJ19" s="41"/>
      <c r="MYK19" s="41"/>
      <c r="MYL19" s="41"/>
      <c r="MYM19" s="41"/>
      <c r="MYN19" s="41"/>
      <c r="MYO19" s="41"/>
      <c r="MYP19" s="41"/>
      <c r="MYQ19" s="41"/>
      <c r="MYR19" s="41"/>
      <c r="MYS19" s="41"/>
      <c r="MYT19" s="41"/>
      <c r="MYU19" s="41"/>
      <c r="MYV19" s="41"/>
      <c r="MYW19" s="41"/>
      <c r="MYX19" s="41"/>
      <c r="MYY19" s="41"/>
      <c r="MYZ19" s="41"/>
      <c r="MZA19" s="41"/>
      <c r="MZB19" s="41"/>
      <c r="MZC19" s="41"/>
      <c r="MZD19" s="41"/>
      <c r="MZE19" s="41"/>
      <c r="MZF19" s="41"/>
      <c r="MZG19" s="41"/>
      <c r="MZH19" s="41"/>
      <c r="MZI19" s="41"/>
      <c r="MZJ19" s="41"/>
      <c r="MZK19" s="41"/>
      <c r="MZL19" s="41"/>
      <c r="MZM19" s="41"/>
      <c r="MZN19" s="41"/>
      <c r="MZO19" s="41"/>
      <c r="MZP19" s="41"/>
      <c r="MZQ19" s="41"/>
      <c r="MZR19" s="41"/>
      <c r="MZS19" s="41"/>
      <c r="MZT19" s="41"/>
      <c r="MZU19" s="41"/>
      <c r="MZV19" s="41"/>
      <c r="MZW19" s="41"/>
      <c r="MZX19" s="41"/>
      <c r="MZY19" s="41"/>
      <c r="MZZ19" s="41"/>
      <c r="NAA19" s="41"/>
      <c r="NAB19" s="41"/>
      <c r="NAC19" s="41"/>
      <c r="NAD19" s="41"/>
      <c r="NAE19" s="41"/>
      <c r="NAF19" s="41"/>
      <c r="NAG19" s="41"/>
      <c r="NAH19" s="41"/>
      <c r="NAI19" s="41"/>
      <c r="NAJ19" s="41"/>
      <c r="NAK19" s="41"/>
      <c r="NAL19" s="41"/>
      <c r="NAM19" s="41"/>
      <c r="NAN19" s="41"/>
      <c r="NAO19" s="41"/>
      <c r="NAP19" s="41"/>
      <c r="NAQ19" s="41"/>
      <c r="NAR19" s="41"/>
      <c r="NAS19" s="41"/>
      <c r="NAT19" s="41"/>
      <c r="NAU19" s="41"/>
      <c r="NAV19" s="41"/>
      <c r="NAW19" s="41"/>
      <c r="NAX19" s="41"/>
      <c r="NAY19" s="41"/>
      <c r="NAZ19" s="41"/>
      <c r="NBA19" s="41"/>
      <c r="NBB19" s="41"/>
      <c r="NBC19" s="41"/>
      <c r="NBD19" s="41"/>
      <c r="NBE19" s="41"/>
      <c r="NBF19" s="41"/>
      <c r="NBG19" s="41"/>
      <c r="NBH19" s="41"/>
      <c r="NBI19" s="41"/>
      <c r="NBJ19" s="41"/>
      <c r="NBK19" s="41"/>
      <c r="NBL19" s="41"/>
      <c r="NBM19" s="41"/>
      <c r="NBN19" s="41"/>
      <c r="NBO19" s="41"/>
      <c r="NBP19" s="41"/>
      <c r="NBQ19" s="41"/>
      <c r="NBR19" s="41"/>
      <c r="NBS19" s="41"/>
      <c r="NBT19" s="41"/>
      <c r="NBU19" s="41"/>
      <c r="NBV19" s="41"/>
      <c r="NBW19" s="41"/>
      <c r="NBX19" s="41"/>
      <c r="NBY19" s="41"/>
      <c r="NBZ19" s="41"/>
      <c r="NCA19" s="41"/>
      <c r="NCB19" s="41"/>
      <c r="NCC19" s="41"/>
      <c r="NCD19" s="41"/>
      <c r="NCE19" s="41"/>
      <c r="NCF19" s="41"/>
      <c r="NCG19" s="41"/>
      <c r="NCH19" s="41"/>
      <c r="NCI19" s="41"/>
      <c r="NCJ19" s="41"/>
      <c r="NCK19" s="41"/>
      <c r="NCL19" s="41"/>
      <c r="NCM19" s="41"/>
      <c r="NCN19" s="41"/>
      <c r="NCO19" s="41"/>
      <c r="NCP19" s="41"/>
      <c r="NCQ19" s="41"/>
      <c r="NCR19" s="41"/>
      <c r="NCS19" s="41"/>
      <c r="NCT19" s="41"/>
      <c r="NCU19" s="41"/>
      <c r="NCV19" s="41"/>
      <c r="NCW19" s="41"/>
      <c r="NCX19" s="41"/>
      <c r="NCY19" s="41"/>
      <c r="NCZ19" s="41"/>
      <c r="NDA19" s="41"/>
      <c r="NDB19" s="41"/>
      <c r="NDC19" s="41"/>
      <c r="NDD19" s="41"/>
      <c r="NDE19" s="41"/>
      <c r="NDF19" s="41"/>
      <c r="NDG19" s="41"/>
      <c r="NDH19" s="41"/>
      <c r="NDI19" s="41"/>
      <c r="NDJ19" s="41"/>
      <c r="NDK19" s="41"/>
      <c r="NDL19" s="41"/>
      <c r="NDM19" s="41"/>
      <c r="NDN19" s="41"/>
      <c r="NDO19" s="41"/>
      <c r="NDP19" s="41"/>
      <c r="NDQ19" s="41"/>
      <c r="NDR19" s="41"/>
      <c r="NDS19" s="41"/>
      <c r="NDT19" s="41"/>
      <c r="NDU19" s="41"/>
      <c r="NDV19" s="41"/>
      <c r="NDW19" s="41"/>
      <c r="NDX19" s="41"/>
      <c r="NDY19" s="41"/>
      <c r="NDZ19" s="41"/>
      <c r="NEA19" s="41"/>
      <c r="NEB19" s="41"/>
      <c r="NEC19" s="41"/>
      <c r="NED19" s="41"/>
      <c r="NEE19" s="41"/>
      <c r="NEF19" s="41"/>
      <c r="NEG19" s="41"/>
      <c r="NEH19" s="41"/>
      <c r="NEI19" s="41"/>
      <c r="NEJ19" s="41"/>
      <c r="NEK19" s="41"/>
      <c r="NEL19" s="41"/>
      <c r="NEM19" s="41"/>
      <c r="NEN19" s="41"/>
      <c r="NEO19" s="41"/>
      <c r="NEP19" s="41"/>
      <c r="NEQ19" s="41"/>
      <c r="NER19" s="41"/>
      <c r="NES19" s="41"/>
      <c r="NET19" s="41"/>
      <c r="NEU19" s="41"/>
      <c r="NEV19" s="41"/>
      <c r="NEW19" s="41"/>
      <c r="NEX19" s="41"/>
      <c r="NEY19" s="41"/>
      <c r="NEZ19" s="41"/>
      <c r="NFA19" s="41"/>
      <c r="NFB19" s="41"/>
      <c r="NFC19" s="41"/>
      <c r="NFD19" s="41"/>
      <c r="NFE19" s="41"/>
      <c r="NFF19" s="41"/>
      <c r="NFG19" s="41"/>
      <c r="NFH19" s="41"/>
      <c r="NFI19" s="41"/>
      <c r="NFJ19" s="41"/>
      <c r="NFK19" s="41"/>
      <c r="NFL19" s="41"/>
      <c r="NFM19" s="41"/>
      <c r="NFN19" s="41"/>
      <c r="NFO19" s="41"/>
      <c r="NFP19" s="41"/>
      <c r="NFQ19" s="41"/>
      <c r="NFR19" s="41"/>
      <c r="NFS19" s="41"/>
      <c r="NFT19" s="41"/>
      <c r="NFU19" s="41"/>
      <c r="NFV19" s="41"/>
      <c r="NFW19" s="41"/>
      <c r="NFX19" s="41"/>
      <c r="NFY19" s="41"/>
      <c r="NFZ19" s="41"/>
      <c r="NGA19" s="41"/>
      <c r="NGB19" s="41"/>
      <c r="NGC19" s="41"/>
      <c r="NGD19" s="41"/>
      <c r="NGE19" s="41"/>
      <c r="NGF19" s="41"/>
      <c r="NGG19" s="41"/>
      <c r="NGH19" s="41"/>
      <c r="NGI19" s="41"/>
      <c r="NGJ19" s="41"/>
      <c r="NGK19" s="41"/>
      <c r="NGL19" s="41"/>
      <c r="NGM19" s="41"/>
      <c r="NGN19" s="41"/>
      <c r="NGO19" s="41"/>
      <c r="NGP19" s="41"/>
      <c r="NGQ19" s="41"/>
      <c r="NGR19" s="41"/>
      <c r="NGS19" s="41"/>
      <c r="NGT19" s="41"/>
      <c r="NGU19" s="41"/>
      <c r="NGV19" s="41"/>
      <c r="NGW19" s="41"/>
      <c r="NGX19" s="41"/>
      <c r="NGY19" s="41"/>
      <c r="NGZ19" s="41"/>
      <c r="NHA19" s="41"/>
      <c r="NHB19" s="41"/>
      <c r="NHC19" s="41"/>
      <c r="NHD19" s="41"/>
      <c r="NHE19" s="41"/>
      <c r="NHF19" s="41"/>
      <c r="NHG19" s="41"/>
      <c r="NHH19" s="41"/>
      <c r="NHI19" s="41"/>
      <c r="NHJ19" s="41"/>
      <c r="NHK19" s="41"/>
      <c r="NHL19" s="41"/>
      <c r="NHM19" s="41"/>
      <c r="NHN19" s="41"/>
      <c r="NHO19" s="41"/>
      <c r="NHP19" s="41"/>
      <c r="NHQ19" s="41"/>
      <c r="NHR19" s="41"/>
      <c r="NHS19" s="41"/>
      <c r="NHT19" s="41"/>
      <c r="NHU19" s="41"/>
      <c r="NHV19" s="41"/>
      <c r="NHW19" s="41"/>
      <c r="NHX19" s="41"/>
      <c r="NHY19" s="41"/>
      <c r="NHZ19" s="41"/>
      <c r="NIA19" s="41"/>
      <c r="NIB19" s="41"/>
      <c r="NIC19" s="41"/>
      <c r="NID19" s="41"/>
      <c r="NIE19" s="41"/>
      <c r="NIF19" s="41"/>
      <c r="NIG19" s="41"/>
      <c r="NIH19" s="41"/>
      <c r="NII19" s="41"/>
      <c r="NIJ19" s="41"/>
      <c r="NIK19" s="41"/>
      <c r="NIL19" s="41"/>
      <c r="NIM19" s="41"/>
      <c r="NIN19" s="41"/>
      <c r="NIO19" s="41"/>
      <c r="NIP19" s="41"/>
      <c r="NIQ19" s="41"/>
      <c r="NIR19" s="41"/>
      <c r="NIS19" s="41"/>
      <c r="NIT19" s="41"/>
      <c r="NIU19" s="41"/>
      <c r="NIV19" s="41"/>
      <c r="NIW19" s="41"/>
      <c r="NIX19" s="41"/>
      <c r="NIY19" s="41"/>
      <c r="NIZ19" s="41"/>
      <c r="NJA19" s="41"/>
      <c r="NJB19" s="41"/>
      <c r="NJC19" s="41"/>
      <c r="NJD19" s="41"/>
      <c r="NJE19" s="41"/>
      <c r="NJF19" s="41"/>
      <c r="NJG19" s="41"/>
      <c r="NJH19" s="41"/>
      <c r="NJI19" s="41"/>
      <c r="NJJ19" s="41"/>
      <c r="NJK19" s="41"/>
      <c r="NJL19" s="41"/>
      <c r="NJM19" s="41"/>
      <c r="NJN19" s="41"/>
      <c r="NJO19" s="41"/>
      <c r="NJP19" s="41"/>
      <c r="NJQ19" s="41"/>
      <c r="NJR19" s="41"/>
      <c r="NJS19" s="41"/>
      <c r="NJT19" s="41"/>
      <c r="NJU19" s="41"/>
      <c r="NJV19" s="41"/>
      <c r="NJW19" s="41"/>
      <c r="NJX19" s="41"/>
      <c r="NJY19" s="41"/>
      <c r="NJZ19" s="41"/>
      <c r="NKA19" s="41"/>
      <c r="NKB19" s="41"/>
      <c r="NKC19" s="41"/>
      <c r="NKD19" s="41"/>
      <c r="NKE19" s="41"/>
      <c r="NKF19" s="41"/>
      <c r="NKG19" s="41"/>
      <c r="NKH19" s="41"/>
      <c r="NKI19" s="41"/>
      <c r="NKJ19" s="41"/>
      <c r="NKK19" s="41"/>
      <c r="NKL19" s="41"/>
      <c r="NKM19" s="41"/>
      <c r="NKN19" s="41"/>
      <c r="NKO19" s="41"/>
      <c r="NKP19" s="41"/>
      <c r="NKQ19" s="41"/>
      <c r="NKR19" s="41"/>
      <c r="NKS19" s="41"/>
      <c r="NKT19" s="41"/>
      <c r="NKU19" s="41"/>
      <c r="NKV19" s="41"/>
      <c r="NKW19" s="41"/>
      <c r="NKX19" s="41"/>
      <c r="NKY19" s="41"/>
      <c r="NKZ19" s="41"/>
      <c r="NLA19" s="41"/>
      <c r="NLB19" s="41"/>
      <c r="NLC19" s="41"/>
      <c r="NLD19" s="41"/>
      <c r="NLE19" s="41"/>
      <c r="NLF19" s="41"/>
      <c r="NLG19" s="41"/>
      <c r="NLH19" s="41"/>
      <c r="NLI19" s="41"/>
      <c r="NLJ19" s="41"/>
      <c r="NLK19" s="41"/>
      <c r="NLL19" s="41"/>
      <c r="NLM19" s="41"/>
      <c r="NLN19" s="41"/>
      <c r="NLO19" s="41"/>
      <c r="NLP19" s="41"/>
      <c r="NLQ19" s="41"/>
      <c r="NLR19" s="41"/>
      <c r="NLS19" s="41"/>
      <c r="NLT19" s="41"/>
      <c r="NLU19" s="41"/>
      <c r="NLV19" s="41"/>
      <c r="NLW19" s="41"/>
      <c r="NLX19" s="41"/>
      <c r="NLY19" s="41"/>
      <c r="NLZ19" s="41"/>
      <c r="NMA19" s="41"/>
      <c r="NMB19" s="41"/>
      <c r="NMC19" s="41"/>
      <c r="NMD19" s="41"/>
      <c r="NME19" s="41"/>
      <c r="NMF19" s="41"/>
      <c r="NMG19" s="41"/>
      <c r="NMH19" s="41"/>
      <c r="NMI19" s="41"/>
      <c r="NMJ19" s="41"/>
      <c r="NMK19" s="41"/>
      <c r="NML19" s="41"/>
      <c r="NMM19" s="41"/>
      <c r="NMN19" s="41"/>
      <c r="NMO19" s="41"/>
      <c r="NMP19" s="41"/>
      <c r="NMQ19" s="41"/>
      <c r="NMR19" s="41"/>
      <c r="NMS19" s="41"/>
      <c r="NMT19" s="41"/>
      <c r="NMU19" s="41"/>
      <c r="NMV19" s="41"/>
      <c r="NMW19" s="41"/>
      <c r="NMX19" s="41"/>
      <c r="NMY19" s="41"/>
      <c r="NMZ19" s="41"/>
      <c r="NNA19" s="41"/>
      <c r="NNB19" s="41"/>
      <c r="NNC19" s="41"/>
      <c r="NND19" s="41"/>
      <c r="NNE19" s="41"/>
      <c r="NNF19" s="41"/>
      <c r="NNG19" s="41"/>
      <c r="NNH19" s="41"/>
      <c r="NNI19" s="41"/>
      <c r="NNJ19" s="41"/>
      <c r="NNK19" s="41"/>
      <c r="NNL19" s="41"/>
      <c r="NNM19" s="41"/>
      <c r="NNN19" s="41"/>
      <c r="NNO19" s="41"/>
      <c r="NNP19" s="41"/>
      <c r="NNQ19" s="41"/>
      <c r="NNR19" s="41"/>
      <c r="NNS19" s="41"/>
      <c r="NNT19" s="41"/>
      <c r="NNU19" s="41"/>
      <c r="NNV19" s="41"/>
      <c r="NNW19" s="41"/>
      <c r="NNX19" s="41"/>
      <c r="NNY19" s="41"/>
      <c r="NNZ19" s="41"/>
      <c r="NOA19" s="41"/>
      <c r="NOB19" s="41"/>
      <c r="NOC19" s="41"/>
      <c r="NOD19" s="41"/>
      <c r="NOE19" s="41"/>
      <c r="NOF19" s="41"/>
      <c r="NOG19" s="41"/>
      <c r="NOH19" s="41"/>
      <c r="NOI19" s="41"/>
      <c r="NOJ19" s="41"/>
      <c r="NOK19" s="41"/>
      <c r="NOL19" s="41"/>
      <c r="NOM19" s="41"/>
      <c r="NON19" s="41"/>
      <c r="NOO19" s="41"/>
      <c r="NOP19" s="41"/>
      <c r="NOQ19" s="41"/>
      <c r="NOR19" s="41"/>
      <c r="NOS19" s="41"/>
      <c r="NOT19" s="41"/>
      <c r="NOU19" s="41"/>
      <c r="NOV19" s="41"/>
      <c r="NOW19" s="41"/>
      <c r="NOX19" s="41"/>
      <c r="NOY19" s="41"/>
      <c r="NOZ19" s="41"/>
      <c r="NPA19" s="41"/>
      <c r="NPB19" s="41"/>
      <c r="NPC19" s="41"/>
      <c r="NPD19" s="41"/>
      <c r="NPE19" s="41"/>
      <c r="NPF19" s="41"/>
      <c r="NPG19" s="41"/>
      <c r="NPH19" s="41"/>
      <c r="NPI19" s="41"/>
      <c r="NPJ19" s="41"/>
      <c r="NPK19" s="41"/>
      <c r="NPL19" s="41"/>
      <c r="NPM19" s="41"/>
      <c r="NPN19" s="41"/>
      <c r="NPO19" s="41"/>
      <c r="NPP19" s="41"/>
      <c r="NPQ19" s="41"/>
      <c r="NPR19" s="41"/>
      <c r="NPS19" s="41"/>
      <c r="NPT19" s="41"/>
      <c r="NPU19" s="41"/>
      <c r="NPV19" s="41"/>
      <c r="NPW19" s="41"/>
      <c r="NPX19" s="41"/>
      <c r="NPY19" s="41"/>
      <c r="NPZ19" s="41"/>
      <c r="NQA19" s="41"/>
      <c r="NQB19" s="41"/>
      <c r="NQC19" s="41"/>
      <c r="NQD19" s="41"/>
      <c r="NQE19" s="41"/>
      <c r="NQF19" s="41"/>
      <c r="NQG19" s="41"/>
      <c r="NQH19" s="41"/>
      <c r="NQI19" s="41"/>
      <c r="NQJ19" s="41"/>
      <c r="NQK19" s="41"/>
      <c r="NQL19" s="41"/>
      <c r="NQM19" s="41"/>
      <c r="NQN19" s="41"/>
      <c r="NQO19" s="41"/>
      <c r="NQP19" s="41"/>
      <c r="NQQ19" s="41"/>
      <c r="NQR19" s="41"/>
      <c r="NQS19" s="41"/>
      <c r="NQT19" s="41"/>
      <c r="NQU19" s="41"/>
      <c r="NQV19" s="41"/>
      <c r="NQW19" s="41"/>
      <c r="NQX19" s="41"/>
      <c r="NQY19" s="41"/>
      <c r="NQZ19" s="41"/>
      <c r="NRA19" s="41"/>
      <c r="NRB19" s="41"/>
      <c r="NRC19" s="41"/>
      <c r="NRD19" s="41"/>
      <c r="NRE19" s="41"/>
      <c r="NRF19" s="41"/>
      <c r="NRG19" s="41"/>
      <c r="NRH19" s="41"/>
      <c r="NRI19" s="41"/>
      <c r="NRJ19" s="41"/>
      <c r="NRK19" s="41"/>
      <c r="NRL19" s="41"/>
      <c r="NRM19" s="41"/>
      <c r="NRN19" s="41"/>
      <c r="NRO19" s="41"/>
      <c r="NRP19" s="41"/>
      <c r="NRQ19" s="41"/>
      <c r="NRR19" s="41"/>
      <c r="NRS19" s="41"/>
      <c r="NRT19" s="41"/>
      <c r="NRU19" s="41"/>
      <c r="NRV19" s="41"/>
      <c r="NRW19" s="41"/>
      <c r="NRX19" s="41"/>
      <c r="NRY19" s="41"/>
      <c r="NRZ19" s="41"/>
      <c r="NSA19" s="41"/>
      <c r="NSB19" s="41"/>
      <c r="NSC19" s="41"/>
      <c r="NSD19" s="41"/>
      <c r="NSE19" s="41"/>
      <c r="NSF19" s="41"/>
      <c r="NSG19" s="41"/>
      <c r="NSH19" s="41"/>
      <c r="NSI19" s="41"/>
      <c r="NSJ19" s="41"/>
      <c r="NSK19" s="41"/>
      <c r="NSL19" s="41"/>
      <c r="NSM19" s="41"/>
      <c r="NSN19" s="41"/>
      <c r="NSO19" s="41"/>
      <c r="NSP19" s="41"/>
      <c r="NSQ19" s="41"/>
      <c r="NSR19" s="41"/>
      <c r="NSS19" s="41"/>
      <c r="NST19" s="41"/>
      <c r="NSU19" s="41"/>
      <c r="NSV19" s="41"/>
      <c r="NSW19" s="41"/>
      <c r="NSX19" s="41"/>
      <c r="NSY19" s="41"/>
      <c r="NSZ19" s="41"/>
      <c r="NTA19" s="41"/>
      <c r="NTB19" s="41"/>
      <c r="NTC19" s="41"/>
      <c r="NTD19" s="41"/>
      <c r="NTE19" s="41"/>
      <c r="NTF19" s="41"/>
      <c r="NTG19" s="41"/>
      <c r="NTH19" s="41"/>
      <c r="NTI19" s="41"/>
      <c r="NTJ19" s="41"/>
      <c r="NTK19" s="41"/>
      <c r="NTL19" s="41"/>
      <c r="NTM19" s="41"/>
      <c r="NTN19" s="41"/>
      <c r="NTO19" s="41"/>
      <c r="NTP19" s="41"/>
      <c r="NTQ19" s="41"/>
      <c r="NTR19" s="41"/>
      <c r="NTS19" s="41"/>
      <c r="NTT19" s="41"/>
      <c r="NTU19" s="41"/>
      <c r="NTV19" s="41"/>
      <c r="NTW19" s="41"/>
      <c r="NTX19" s="41"/>
      <c r="NTY19" s="41"/>
      <c r="NTZ19" s="41"/>
      <c r="NUA19" s="41"/>
      <c r="NUB19" s="41"/>
      <c r="NUC19" s="41"/>
      <c r="NUD19" s="41"/>
      <c r="NUE19" s="41"/>
      <c r="NUF19" s="41"/>
      <c r="NUG19" s="41"/>
      <c r="NUH19" s="41"/>
      <c r="NUI19" s="41"/>
      <c r="NUJ19" s="41"/>
      <c r="NUK19" s="41"/>
      <c r="NUL19" s="41"/>
      <c r="NUM19" s="41"/>
      <c r="NUN19" s="41"/>
      <c r="NUO19" s="41"/>
      <c r="NUP19" s="41"/>
      <c r="NUQ19" s="41"/>
      <c r="NUR19" s="41"/>
      <c r="NUS19" s="41"/>
      <c r="NUT19" s="41"/>
      <c r="NUU19" s="41"/>
      <c r="NUV19" s="41"/>
      <c r="NUW19" s="41"/>
      <c r="NUX19" s="41"/>
      <c r="NUY19" s="41"/>
      <c r="NUZ19" s="41"/>
      <c r="NVA19" s="41"/>
      <c r="NVB19" s="41"/>
      <c r="NVC19" s="41"/>
      <c r="NVD19" s="41"/>
      <c r="NVE19" s="41"/>
      <c r="NVF19" s="41"/>
      <c r="NVG19" s="41"/>
      <c r="NVH19" s="41"/>
      <c r="NVI19" s="41"/>
      <c r="NVJ19" s="41"/>
      <c r="NVK19" s="41"/>
      <c r="NVL19" s="41"/>
      <c r="NVM19" s="41"/>
      <c r="NVN19" s="41"/>
      <c r="NVO19" s="41"/>
      <c r="NVP19" s="41"/>
      <c r="NVQ19" s="41"/>
      <c r="NVR19" s="41"/>
      <c r="NVS19" s="41"/>
      <c r="NVT19" s="41"/>
      <c r="NVU19" s="41"/>
      <c r="NVV19" s="41"/>
      <c r="NVW19" s="41"/>
      <c r="NVX19" s="41"/>
      <c r="NVY19" s="41"/>
      <c r="NVZ19" s="41"/>
      <c r="NWA19" s="41"/>
      <c r="NWB19" s="41"/>
      <c r="NWC19" s="41"/>
      <c r="NWD19" s="41"/>
      <c r="NWE19" s="41"/>
      <c r="NWF19" s="41"/>
      <c r="NWG19" s="41"/>
      <c r="NWH19" s="41"/>
      <c r="NWI19" s="41"/>
      <c r="NWJ19" s="41"/>
      <c r="NWK19" s="41"/>
      <c r="NWL19" s="41"/>
      <c r="NWM19" s="41"/>
      <c r="NWN19" s="41"/>
      <c r="NWO19" s="41"/>
      <c r="NWP19" s="41"/>
      <c r="NWQ19" s="41"/>
      <c r="NWR19" s="41"/>
      <c r="NWS19" s="41"/>
      <c r="NWT19" s="41"/>
      <c r="NWU19" s="41"/>
      <c r="NWV19" s="41"/>
      <c r="NWW19" s="41"/>
      <c r="NWX19" s="41"/>
      <c r="NWY19" s="41"/>
      <c r="NWZ19" s="41"/>
      <c r="NXA19" s="41"/>
      <c r="NXB19" s="41"/>
      <c r="NXC19" s="41"/>
      <c r="NXD19" s="41"/>
      <c r="NXE19" s="41"/>
      <c r="NXF19" s="41"/>
      <c r="NXG19" s="41"/>
      <c r="NXH19" s="41"/>
      <c r="NXI19" s="41"/>
      <c r="NXJ19" s="41"/>
      <c r="NXK19" s="41"/>
      <c r="NXL19" s="41"/>
      <c r="NXM19" s="41"/>
      <c r="NXN19" s="41"/>
      <c r="NXO19" s="41"/>
      <c r="NXP19" s="41"/>
      <c r="NXQ19" s="41"/>
      <c r="NXR19" s="41"/>
      <c r="NXS19" s="41"/>
      <c r="NXT19" s="41"/>
      <c r="NXU19" s="41"/>
      <c r="NXV19" s="41"/>
      <c r="NXW19" s="41"/>
      <c r="NXX19" s="41"/>
      <c r="NXY19" s="41"/>
      <c r="NXZ19" s="41"/>
      <c r="NYA19" s="41"/>
      <c r="NYB19" s="41"/>
      <c r="NYC19" s="41"/>
      <c r="NYD19" s="41"/>
      <c r="NYE19" s="41"/>
      <c r="NYF19" s="41"/>
      <c r="NYG19" s="41"/>
      <c r="NYH19" s="41"/>
      <c r="NYI19" s="41"/>
      <c r="NYJ19" s="41"/>
      <c r="NYK19" s="41"/>
      <c r="NYL19" s="41"/>
      <c r="NYM19" s="41"/>
      <c r="NYN19" s="41"/>
      <c r="NYO19" s="41"/>
      <c r="NYP19" s="41"/>
      <c r="NYQ19" s="41"/>
      <c r="NYR19" s="41"/>
      <c r="NYS19" s="41"/>
      <c r="NYT19" s="41"/>
      <c r="NYU19" s="41"/>
      <c r="NYV19" s="41"/>
      <c r="NYW19" s="41"/>
      <c r="NYX19" s="41"/>
      <c r="NYY19" s="41"/>
      <c r="NYZ19" s="41"/>
      <c r="NZA19" s="41"/>
      <c r="NZB19" s="41"/>
      <c r="NZC19" s="41"/>
      <c r="NZD19" s="41"/>
      <c r="NZE19" s="41"/>
      <c r="NZF19" s="41"/>
      <c r="NZG19" s="41"/>
      <c r="NZH19" s="41"/>
      <c r="NZI19" s="41"/>
      <c r="NZJ19" s="41"/>
      <c r="NZK19" s="41"/>
      <c r="NZL19" s="41"/>
      <c r="NZM19" s="41"/>
      <c r="NZN19" s="41"/>
      <c r="NZO19" s="41"/>
      <c r="NZP19" s="41"/>
      <c r="NZQ19" s="41"/>
      <c r="NZR19" s="41"/>
      <c r="NZS19" s="41"/>
      <c r="NZT19" s="41"/>
      <c r="NZU19" s="41"/>
      <c r="NZV19" s="41"/>
      <c r="NZW19" s="41"/>
      <c r="NZX19" s="41"/>
      <c r="NZY19" s="41"/>
      <c r="NZZ19" s="41"/>
      <c r="OAA19" s="41"/>
      <c r="OAB19" s="41"/>
      <c r="OAC19" s="41"/>
      <c r="OAD19" s="41"/>
      <c r="OAE19" s="41"/>
      <c r="OAF19" s="41"/>
      <c r="OAG19" s="41"/>
      <c r="OAH19" s="41"/>
      <c r="OAI19" s="41"/>
      <c r="OAJ19" s="41"/>
      <c r="OAK19" s="41"/>
      <c r="OAL19" s="41"/>
      <c r="OAM19" s="41"/>
      <c r="OAN19" s="41"/>
      <c r="OAO19" s="41"/>
      <c r="OAP19" s="41"/>
      <c r="OAQ19" s="41"/>
      <c r="OAR19" s="41"/>
      <c r="OAS19" s="41"/>
      <c r="OAT19" s="41"/>
      <c r="OAU19" s="41"/>
      <c r="OAV19" s="41"/>
      <c r="OAW19" s="41"/>
      <c r="OAX19" s="41"/>
      <c r="OAY19" s="41"/>
      <c r="OAZ19" s="41"/>
      <c r="OBA19" s="41"/>
      <c r="OBB19" s="41"/>
      <c r="OBC19" s="41"/>
      <c r="OBD19" s="41"/>
      <c r="OBE19" s="41"/>
      <c r="OBF19" s="41"/>
      <c r="OBG19" s="41"/>
      <c r="OBH19" s="41"/>
      <c r="OBI19" s="41"/>
      <c r="OBJ19" s="41"/>
      <c r="OBK19" s="41"/>
      <c r="OBL19" s="41"/>
      <c r="OBM19" s="41"/>
      <c r="OBN19" s="41"/>
      <c r="OBO19" s="41"/>
      <c r="OBP19" s="41"/>
      <c r="OBQ19" s="41"/>
      <c r="OBR19" s="41"/>
      <c r="OBS19" s="41"/>
      <c r="OBT19" s="41"/>
      <c r="OBU19" s="41"/>
      <c r="OBV19" s="41"/>
      <c r="OBW19" s="41"/>
      <c r="OBX19" s="41"/>
      <c r="OBY19" s="41"/>
      <c r="OBZ19" s="41"/>
      <c r="OCA19" s="41"/>
      <c r="OCB19" s="41"/>
      <c r="OCC19" s="41"/>
      <c r="OCD19" s="41"/>
      <c r="OCE19" s="41"/>
      <c r="OCF19" s="41"/>
      <c r="OCG19" s="41"/>
      <c r="OCH19" s="41"/>
      <c r="OCI19" s="41"/>
      <c r="OCJ19" s="41"/>
      <c r="OCK19" s="41"/>
      <c r="OCL19" s="41"/>
      <c r="OCM19" s="41"/>
      <c r="OCN19" s="41"/>
      <c r="OCO19" s="41"/>
      <c r="OCP19" s="41"/>
      <c r="OCQ19" s="41"/>
      <c r="OCR19" s="41"/>
      <c r="OCS19" s="41"/>
      <c r="OCT19" s="41"/>
      <c r="OCU19" s="41"/>
      <c r="OCV19" s="41"/>
      <c r="OCW19" s="41"/>
      <c r="OCX19" s="41"/>
      <c r="OCY19" s="41"/>
      <c r="OCZ19" s="41"/>
      <c r="ODA19" s="41"/>
      <c r="ODB19" s="41"/>
      <c r="ODC19" s="41"/>
      <c r="ODD19" s="41"/>
      <c r="ODE19" s="41"/>
      <c r="ODF19" s="41"/>
      <c r="ODG19" s="41"/>
      <c r="ODH19" s="41"/>
      <c r="ODI19" s="41"/>
      <c r="ODJ19" s="41"/>
      <c r="ODK19" s="41"/>
      <c r="ODL19" s="41"/>
      <c r="ODM19" s="41"/>
      <c r="ODN19" s="41"/>
      <c r="ODO19" s="41"/>
      <c r="ODP19" s="41"/>
      <c r="ODQ19" s="41"/>
      <c r="ODR19" s="41"/>
      <c r="ODS19" s="41"/>
      <c r="ODT19" s="41"/>
      <c r="ODU19" s="41"/>
      <c r="ODV19" s="41"/>
      <c r="ODW19" s="41"/>
      <c r="ODX19" s="41"/>
      <c r="ODY19" s="41"/>
      <c r="ODZ19" s="41"/>
      <c r="OEA19" s="41"/>
      <c r="OEB19" s="41"/>
      <c r="OEC19" s="41"/>
      <c r="OED19" s="41"/>
      <c r="OEE19" s="41"/>
      <c r="OEF19" s="41"/>
      <c r="OEG19" s="41"/>
      <c r="OEH19" s="41"/>
      <c r="OEI19" s="41"/>
      <c r="OEJ19" s="41"/>
      <c r="OEK19" s="41"/>
      <c r="OEL19" s="41"/>
      <c r="OEM19" s="41"/>
      <c r="OEN19" s="41"/>
      <c r="OEO19" s="41"/>
      <c r="OEP19" s="41"/>
      <c r="OEQ19" s="41"/>
      <c r="OER19" s="41"/>
      <c r="OES19" s="41"/>
      <c r="OET19" s="41"/>
      <c r="OEU19" s="41"/>
      <c r="OEV19" s="41"/>
      <c r="OEW19" s="41"/>
      <c r="OEX19" s="41"/>
      <c r="OEY19" s="41"/>
      <c r="OEZ19" s="41"/>
      <c r="OFA19" s="41"/>
      <c r="OFB19" s="41"/>
      <c r="OFC19" s="41"/>
      <c r="OFD19" s="41"/>
      <c r="OFE19" s="41"/>
      <c r="OFF19" s="41"/>
      <c r="OFG19" s="41"/>
      <c r="OFH19" s="41"/>
      <c r="OFI19" s="41"/>
      <c r="OFJ19" s="41"/>
      <c r="OFK19" s="41"/>
      <c r="OFL19" s="41"/>
      <c r="OFM19" s="41"/>
      <c r="OFN19" s="41"/>
      <c r="OFO19" s="41"/>
      <c r="OFP19" s="41"/>
      <c r="OFQ19" s="41"/>
      <c r="OFR19" s="41"/>
      <c r="OFS19" s="41"/>
      <c r="OFT19" s="41"/>
      <c r="OFU19" s="41"/>
      <c r="OFV19" s="41"/>
      <c r="OFW19" s="41"/>
      <c r="OFX19" s="41"/>
      <c r="OFY19" s="41"/>
      <c r="OFZ19" s="41"/>
      <c r="OGA19" s="41"/>
      <c r="OGB19" s="41"/>
      <c r="OGC19" s="41"/>
      <c r="OGD19" s="41"/>
      <c r="OGE19" s="41"/>
      <c r="OGF19" s="41"/>
      <c r="OGG19" s="41"/>
      <c r="OGH19" s="41"/>
      <c r="OGI19" s="41"/>
      <c r="OGJ19" s="41"/>
      <c r="OGK19" s="41"/>
      <c r="OGL19" s="41"/>
      <c r="OGM19" s="41"/>
      <c r="OGN19" s="41"/>
      <c r="OGO19" s="41"/>
      <c r="OGP19" s="41"/>
      <c r="OGQ19" s="41"/>
      <c r="OGR19" s="41"/>
      <c r="OGS19" s="41"/>
      <c r="OGT19" s="41"/>
      <c r="OGU19" s="41"/>
      <c r="OGV19" s="41"/>
      <c r="OGW19" s="41"/>
      <c r="OGX19" s="41"/>
      <c r="OGY19" s="41"/>
      <c r="OGZ19" s="41"/>
      <c r="OHA19" s="41"/>
      <c r="OHB19" s="41"/>
      <c r="OHC19" s="41"/>
      <c r="OHD19" s="41"/>
      <c r="OHE19" s="41"/>
      <c r="OHF19" s="41"/>
      <c r="OHG19" s="41"/>
      <c r="OHH19" s="41"/>
      <c r="OHI19" s="41"/>
      <c r="OHJ19" s="41"/>
      <c r="OHK19" s="41"/>
      <c r="OHL19" s="41"/>
      <c r="OHM19" s="41"/>
      <c r="OHN19" s="41"/>
      <c r="OHO19" s="41"/>
      <c r="OHP19" s="41"/>
      <c r="OHQ19" s="41"/>
      <c r="OHR19" s="41"/>
      <c r="OHS19" s="41"/>
      <c r="OHT19" s="41"/>
      <c r="OHU19" s="41"/>
      <c r="OHV19" s="41"/>
      <c r="OHW19" s="41"/>
      <c r="OHX19" s="41"/>
      <c r="OHY19" s="41"/>
      <c r="OHZ19" s="41"/>
      <c r="OIA19" s="41"/>
      <c r="OIB19" s="41"/>
      <c r="OIC19" s="41"/>
      <c r="OID19" s="41"/>
      <c r="OIE19" s="41"/>
      <c r="OIF19" s="41"/>
      <c r="OIG19" s="41"/>
      <c r="OIH19" s="41"/>
      <c r="OII19" s="41"/>
      <c r="OIJ19" s="41"/>
      <c r="OIK19" s="41"/>
      <c r="OIL19" s="41"/>
      <c r="OIM19" s="41"/>
      <c r="OIN19" s="41"/>
      <c r="OIO19" s="41"/>
      <c r="OIP19" s="41"/>
      <c r="OIQ19" s="41"/>
      <c r="OIR19" s="41"/>
      <c r="OIS19" s="41"/>
      <c r="OIT19" s="41"/>
      <c r="OIU19" s="41"/>
      <c r="OIV19" s="41"/>
      <c r="OIW19" s="41"/>
      <c r="OIX19" s="41"/>
      <c r="OIY19" s="41"/>
      <c r="OIZ19" s="41"/>
      <c r="OJA19" s="41"/>
      <c r="OJB19" s="41"/>
      <c r="OJC19" s="41"/>
      <c r="OJD19" s="41"/>
      <c r="OJE19" s="41"/>
      <c r="OJF19" s="41"/>
      <c r="OJG19" s="41"/>
      <c r="OJH19" s="41"/>
      <c r="OJI19" s="41"/>
      <c r="OJJ19" s="41"/>
      <c r="OJK19" s="41"/>
      <c r="OJL19" s="41"/>
      <c r="OJM19" s="41"/>
      <c r="OJN19" s="41"/>
      <c r="OJO19" s="41"/>
      <c r="OJP19" s="41"/>
      <c r="OJQ19" s="41"/>
      <c r="OJR19" s="41"/>
      <c r="OJS19" s="41"/>
      <c r="OJT19" s="41"/>
      <c r="OJU19" s="41"/>
      <c r="OJV19" s="41"/>
      <c r="OJW19" s="41"/>
      <c r="OJX19" s="41"/>
      <c r="OJY19" s="41"/>
      <c r="OJZ19" s="41"/>
      <c r="OKA19" s="41"/>
      <c r="OKB19" s="41"/>
      <c r="OKC19" s="41"/>
      <c r="OKD19" s="41"/>
      <c r="OKE19" s="41"/>
      <c r="OKF19" s="41"/>
      <c r="OKG19" s="41"/>
      <c r="OKH19" s="41"/>
      <c r="OKI19" s="41"/>
      <c r="OKJ19" s="41"/>
      <c r="OKK19" s="41"/>
      <c r="OKL19" s="41"/>
      <c r="OKM19" s="41"/>
      <c r="OKN19" s="41"/>
      <c r="OKO19" s="41"/>
      <c r="OKP19" s="41"/>
      <c r="OKQ19" s="41"/>
      <c r="OKR19" s="41"/>
      <c r="OKS19" s="41"/>
      <c r="OKT19" s="41"/>
      <c r="OKU19" s="41"/>
      <c r="OKV19" s="41"/>
      <c r="OKW19" s="41"/>
      <c r="OKX19" s="41"/>
      <c r="OKY19" s="41"/>
      <c r="OKZ19" s="41"/>
      <c r="OLA19" s="41"/>
      <c r="OLB19" s="41"/>
      <c r="OLC19" s="41"/>
      <c r="OLD19" s="41"/>
      <c r="OLE19" s="41"/>
      <c r="OLF19" s="41"/>
      <c r="OLG19" s="41"/>
      <c r="OLH19" s="41"/>
      <c r="OLI19" s="41"/>
      <c r="OLJ19" s="41"/>
      <c r="OLK19" s="41"/>
      <c r="OLL19" s="41"/>
      <c r="OLM19" s="41"/>
      <c r="OLN19" s="41"/>
      <c r="OLO19" s="41"/>
      <c r="OLP19" s="41"/>
      <c r="OLQ19" s="41"/>
      <c r="OLR19" s="41"/>
      <c r="OLS19" s="41"/>
      <c r="OLT19" s="41"/>
      <c r="OLU19" s="41"/>
      <c r="OLV19" s="41"/>
      <c r="OLW19" s="41"/>
      <c r="OLX19" s="41"/>
      <c r="OLY19" s="41"/>
      <c r="OLZ19" s="41"/>
      <c r="OMA19" s="41"/>
      <c r="OMB19" s="41"/>
      <c r="OMC19" s="41"/>
      <c r="OMD19" s="41"/>
      <c r="OME19" s="41"/>
      <c r="OMF19" s="41"/>
      <c r="OMG19" s="41"/>
      <c r="OMH19" s="41"/>
      <c r="OMI19" s="41"/>
      <c r="OMJ19" s="41"/>
      <c r="OMK19" s="41"/>
      <c r="OML19" s="41"/>
      <c r="OMM19" s="41"/>
      <c r="OMN19" s="41"/>
      <c r="OMO19" s="41"/>
      <c r="OMP19" s="41"/>
      <c r="OMQ19" s="41"/>
      <c r="OMR19" s="41"/>
      <c r="OMS19" s="41"/>
      <c r="OMT19" s="41"/>
      <c r="OMU19" s="41"/>
      <c r="OMV19" s="41"/>
      <c r="OMW19" s="41"/>
      <c r="OMX19" s="41"/>
      <c r="OMY19" s="41"/>
      <c r="OMZ19" s="41"/>
      <c r="ONA19" s="41"/>
      <c r="ONB19" s="41"/>
      <c r="ONC19" s="41"/>
      <c r="OND19" s="41"/>
      <c r="ONE19" s="41"/>
      <c r="ONF19" s="41"/>
      <c r="ONG19" s="41"/>
      <c r="ONH19" s="41"/>
      <c r="ONI19" s="41"/>
      <c r="ONJ19" s="41"/>
      <c r="ONK19" s="41"/>
      <c r="ONL19" s="41"/>
      <c r="ONM19" s="41"/>
      <c r="ONN19" s="41"/>
      <c r="ONO19" s="41"/>
      <c r="ONP19" s="41"/>
      <c r="ONQ19" s="41"/>
      <c r="ONR19" s="41"/>
      <c r="ONS19" s="41"/>
      <c r="ONT19" s="41"/>
      <c r="ONU19" s="41"/>
      <c r="ONV19" s="41"/>
      <c r="ONW19" s="41"/>
      <c r="ONX19" s="41"/>
      <c r="ONY19" s="41"/>
      <c r="ONZ19" s="41"/>
      <c r="OOA19" s="41"/>
      <c r="OOB19" s="41"/>
      <c r="OOC19" s="41"/>
      <c r="OOD19" s="41"/>
      <c r="OOE19" s="41"/>
      <c r="OOF19" s="41"/>
      <c r="OOG19" s="41"/>
      <c r="OOH19" s="41"/>
      <c r="OOI19" s="41"/>
      <c r="OOJ19" s="41"/>
      <c r="OOK19" s="41"/>
      <c r="OOL19" s="41"/>
      <c r="OOM19" s="41"/>
      <c r="OON19" s="41"/>
      <c r="OOO19" s="41"/>
      <c r="OOP19" s="41"/>
      <c r="OOQ19" s="41"/>
      <c r="OOR19" s="41"/>
      <c r="OOS19" s="41"/>
      <c r="OOT19" s="41"/>
      <c r="OOU19" s="41"/>
      <c r="OOV19" s="41"/>
      <c r="OOW19" s="41"/>
      <c r="OOX19" s="41"/>
      <c r="OOY19" s="41"/>
      <c r="OOZ19" s="41"/>
      <c r="OPA19" s="41"/>
      <c r="OPB19" s="41"/>
      <c r="OPC19" s="41"/>
      <c r="OPD19" s="41"/>
      <c r="OPE19" s="41"/>
      <c r="OPF19" s="41"/>
      <c r="OPG19" s="41"/>
      <c r="OPH19" s="41"/>
      <c r="OPI19" s="41"/>
      <c r="OPJ19" s="41"/>
      <c r="OPK19" s="41"/>
      <c r="OPL19" s="41"/>
      <c r="OPM19" s="41"/>
      <c r="OPN19" s="41"/>
      <c r="OPO19" s="41"/>
      <c r="OPP19" s="41"/>
      <c r="OPQ19" s="41"/>
      <c r="OPR19" s="41"/>
      <c r="OPS19" s="41"/>
      <c r="OPT19" s="41"/>
      <c r="OPU19" s="41"/>
      <c r="OPV19" s="41"/>
      <c r="OPW19" s="41"/>
      <c r="OPX19" s="41"/>
      <c r="OPY19" s="41"/>
      <c r="OPZ19" s="41"/>
      <c r="OQA19" s="41"/>
      <c r="OQB19" s="41"/>
      <c r="OQC19" s="41"/>
      <c r="OQD19" s="41"/>
      <c r="OQE19" s="41"/>
      <c r="OQF19" s="41"/>
      <c r="OQG19" s="41"/>
      <c r="OQH19" s="41"/>
      <c r="OQI19" s="41"/>
      <c r="OQJ19" s="41"/>
      <c r="OQK19" s="41"/>
      <c r="OQL19" s="41"/>
      <c r="OQM19" s="41"/>
      <c r="OQN19" s="41"/>
      <c r="OQO19" s="41"/>
      <c r="OQP19" s="41"/>
      <c r="OQQ19" s="41"/>
      <c r="OQR19" s="41"/>
      <c r="OQS19" s="41"/>
      <c r="OQT19" s="41"/>
      <c r="OQU19" s="41"/>
      <c r="OQV19" s="41"/>
      <c r="OQW19" s="41"/>
      <c r="OQX19" s="41"/>
      <c r="OQY19" s="41"/>
      <c r="OQZ19" s="41"/>
      <c r="ORA19" s="41"/>
      <c r="ORB19" s="41"/>
      <c r="ORC19" s="41"/>
      <c r="ORD19" s="41"/>
      <c r="ORE19" s="41"/>
      <c r="ORF19" s="41"/>
      <c r="ORG19" s="41"/>
      <c r="ORH19" s="41"/>
      <c r="ORI19" s="41"/>
      <c r="ORJ19" s="41"/>
      <c r="ORK19" s="41"/>
      <c r="ORL19" s="41"/>
      <c r="ORM19" s="41"/>
      <c r="ORN19" s="41"/>
      <c r="ORO19" s="41"/>
      <c r="ORP19" s="41"/>
      <c r="ORQ19" s="41"/>
      <c r="ORR19" s="41"/>
      <c r="ORS19" s="41"/>
      <c r="ORT19" s="41"/>
      <c r="ORU19" s="41"/>
      <c r="ORV19" s="41"/>
      <c r="ORW19" s="41"/>
      <c r="ORX19" s="41"/>
      <c r="ORY19" s="41"/>
      <c r="ORZ19" s="41"/>
      <c r="OSA19" s="41"/>
      <c r="OSB19" s="41"/>
      <c r="OSC19" s="41"/>
      <c r="OSD19" s="41"/>
      <c r="OSE19" s="41"/>
      <c r="OSF19" s="41"/>
      <c r="OSG19" s="41"/>
      <c r="OSH19" s="41"/>
      <c r="OSI19" s="41"/>
      <c r="OSJ19" s="41"/>
      <c r="OSK19" s="41"/>
      <c r="OSL19" s="41"/>
      <c r="OSM19" s="41"/>
      <c r="OSN19" s="41"/>
      <c r="OSO19" s="41"/>
      <c r="OSP19" s="41"/>
      <c r="OSQ19" s="41"/>
      <c r="OSR19" s="41"/>
      <c r="OSS19" s="41"/>
      <c r="OST19" s="41"/>
      <c r="OSU19" s="41"/>
      <c r="OSV19" s="41"/>
      <c r="OSW19" s="41"/>
      <c r="OSX19" s="41"/>
      <c r="OSY19" s="41"/>
      <c r="OSZ19" s="41"/>
      <c r="OTA19" s="41"/>
      <c r="OTB19" s="41"/>
      <c r="OTC19" s="41"/>
      <c r="OTD19" s="41"/>
      <c r="OTE19" s="41"/>
      <c r="OTF19" s="41"/>
      <c r="OTG19" s="41"/>
      <c r="OTH19" s="41"/>
      <c r="OTI19" s="41"/>
      <c r="OTJ19" s="41"/>
      <c r="OTK19" s="41"/>
      <c r="OTL19" s="41"/>
      <c r="OTM19" s="41"/>
      <c r="OTN19" s="41"/>
      <c r="OTO19" s="41"/>
      <c r="OTP19" s="41"/>
      <c r="OTQ19" s="41"/>
      <c r="OTR19" s="41"/>
      <c r="OTS19" s="41"/>
      <c r="OTT19" s="41"/>
      <c r="OTU19" s="41"/>
      <c r="OTV19" s="41"/>
      <c r="OTW19" s="41"/>
      <c r="OTX19" s="41"/>
      <c r="OTY19" s="41"/>
      <c r="OTZ19" s="41"/>
      <c r="OUA19" s="41"/>
      <c r="OUB19" s="41"/>
      <c r="OUC19" s="41"/>
      <c r="OUD19" s="41"/>
      <c r="OUE19" s="41"/>
      <c r="OUF19" s="41"/>
      <c r="OUG19" s="41"/>
      <c r="OUH19" s="41"/>
      <c r="OUI19" s="41"/>
      <c r="OUJ19" s="41"/>
      <c r="OUK19" s="41"/>
      <c r="OUL19" s="41"/>
      <c r="OUM19" s="41"/>
      <c r="OUN19" s="41"/>
      <c r="OUO19" s="41"/>
      <c r="OUP19" s="41"/>
      <c r="OUQ19" s="41"/>
      <c r="OUR19" s="41"/>
      <c r="OUS19" s="41"/>
      <c r="OUT19" s="41"/>
      <c r="OUU19" s="41"/>
      <c r="OUV19" s="41"/>
      <c r="OUW19" s="41"/>
      <c r="OUX19" s="41"/>
      <c r="OUY19" s="41"/>
      <c r="OUZ19" s="41"/>
      <c r="OVA19" s="41"/>
      <c r="OVB19" s="41"/>
      <c r="OVC19" s="41"/>
      <c r="OVD19" s="41"/>
      <c r="OVE19" s="41"/>
      <c r="OVF19" s="41"/>
      <c r="OVG19" s="41"/>
      <c r="OVH19" s="41"/>
      <c r="OVI19" s="41"/>
      <c r="OVJ19" s="41"/>
      <c r="OVK19" s="41"/>
      <c r="OVL19" s="41"/>
      <c r="OVM19" s="41"/>
      <c r="OVN19" s="41"/>
      <c r="OVO19" s="41"/>
      <c r="OVP19" s="41"/>
      <c r="OVQ19" s="41"/>
      <c r="OVR19" s="41"/>
      <c r="OVS19" s="41"/>
      <c r="OVT19" s="41"/>
      <c r="OVU19" s="41"/>
      <c r="OVV19" s="41"/>
      <c r="OVW19" s="41"/>
      <c r="OVX19" s="41"/>
      <c r="OVY19" s="41"/>
      <c r="OVZ19" s="41"/>
      <c r="OWA19" s="41"/>
      <c r="OWB19" s="41"/>
      <c r="OWC19" s="41"/>
      <c r="OWD19" s="41"/>
      <c r="OWE19" s="41"/>
      <c r="OWF19" s="41"/>
      <c r="OWG19" s="41"/>
      <c r="OWH19" s="41"/>
      <c r="OWI19" s="41"/>
      <c r="OWJ19" s="41"/>
      <c r="OWK19" s="41"/>
      <c r="OWL19" s="41"/>
      <c r="OWM19" s="41"/>
      <c r="OWN19" s="41"/>
      <c r="OWO19" s="41"/>
      <c r="OWP19" s="41"/>
      <c r="OWQ19" s="41"/>
      <c r="OWR19" s="41"/>
      <c r="OWS19" s="41"/>
      <c r="OWT19" s="41"/>
      <c r="OWU19" s="41"/>
      <c r="OWV19" s="41"/>
      <c r="OWW19" s="41"/>
      <c r="OWX19" s="41"/>
      <c r="OWY19" s="41"/>
      <c r="OWZ19" s="41"/>
      <c r="OXA19" s="41"/>
      <c r="OXB19" s="41"/>
      <c r="OXC19" s="41"/>
      <c r="OXD19" s="41"/>
      <c r="OXE19" s="41"/>
      <c r="OXF19" s="41"/>
      <c r="OXG19" s="41"/>
      <c r="OXH19" s="41"/>
      <c r="OXI19" s="41"/>
      <c r="OXJ19" s="41"/>
      <c r="OXK19" s="41"/>
      <c r="OXL19" s="41"/>
      <c r="OXM19" s="41"/>
      <c r="OXN19" s="41"/>
      <c r="OXO19" s="41"/>
      <c r="OXP19" s="41"/>
      <c r="OXQ19" s="41"/>
      <c r="OXR19" s="41"/>
      <c r="OXS19" s="41"/>
      <c r="OXT19" s="41"/>
      <c r="OXU19" s="41"/>
      <c r="OXV19" s="41"/>
      <c r="OXW19" s="41"/>
      <c r="OXX19" s="41"/>
      <c r="OXY19" s="41"/>
      <c r="OXZ19" s="41"/>
      <c r="OYA19" s="41"/>
      <c r="OYB19" s="41"/>
      <c r="OYC19" s="41"/>
      <c r="OYD19" s="41"/>
      <c r="OYE19" s="41"/>
      <c r="OYF19" s="41"/>
      <c r="OYG19" s="41"/>
      <c r="OYH19" s="41"/>
      <c r="OYI19" s="41"/>
      <c r="OYJ19" s="41"/>
      <c r="OYK19" s="41"/>
      <c r="OYL19" s="41"/>
      <c r="OYM19" s="41"/>
      <c r="OYN19" s="41"/>
      <c r="OYO19" s="41"/>
      <c r="OYP19" s="41"/>
      <c r="OYQ19" s="41"/>
      <c r="OYR19" s="41"/>
      <c r="OYS19" s="41"/>
      <c r="OYT19" s="41"/>
      <c r="OYU19" s="41"/>
      <c r="OYV19" s="41"/>
      <c r="OYW19" s="41"/>
      <c r="OYX19" s="41"/>
      <c r="OYY19" s="41"/>
      <c r="OYZ19" s="41"/>
      <c r="OZA19" s="41"/>
      <c r="OZB19" s="41"/>
      <c r="OZC19" s="41"/>
      <c r="OZD19" s="41"/>
      <c r="OZE19" s="41"/>
      <c r="OZF19" s="41"/>
      <c r="OZG19" s="41"/>
      <c r="OZH19" s="41"/>
      <c r="OZI19" s="41"/>
      <c r="OZJ19" s="41"/>
      <c r="OZK19" s="41"/>
      <c r="OZL19" s="41"/>
      <c r="OZM19" s="41"/>
      <c r="OZN19" s="41"/>
      <c r="OZO19" s="41"/>
      <c r="OZP19" s="41"/>
      <c r="OZQ19" s="41"/>
      <c r="OZR19" s="41"/>
      <c r="OZS19" s="41"/>
      <c r="OZT19" s="41"/>
      <c r="OZU19" s="41"/>
      <c r="OZV19" s="41"/>
      <c r="OZW19" s="41"/>
      <c r="OZX19" s="41"/>
      <c r="OZY19" s="41"/>
      <c r="OZZ19" s="41"/>
      <c r="PAA19" s="41"/>
      <c r="PAB19" s="41"/>
      <c r="PAC19" s="41"/>
      <c r="PAD19" s="41"/>
      <c r="PAE19" s="41"/>
      <c r="PAF19" s="41"/>
      <c r="PAG19" s="41"/>
      <c r="PAH19" s="41"/>
      <c r="PAI19" s="41"/>
      <c r="PAJ19" s="41"/>
      <c r="PAK19" s="41"/>
      <c r="PAL19" s="41"/>
      <c r="PAM19" s="41"/>
      <c r="PAN19" s="41"/>
      <c r="PAO19" s="41"/>
      <c r="PAP19" s="41"/>
      <c r="PAQ19" s="41"/>
      <c r="PAR19" s="41"/>
      <c r="PAS19" s="41"/>
      <c r="PAT19" s="41"/>
      <c r="PAU19" s="41"/>
      <c r="PAV19" s="41"/>
      <c r="PAW19" s="41"/>
      <c r="PAX19" s="41"/>
      <c r="PAY19" s="41"/>
      <c r="PAZ19" s="41"/>
      <c r="PBA19" s="41"/>
      <c r="PBB19" s="41"/>
      <c r="PBC19" s="41"/>
      <c r="PBD19" s="41"/>
      <c r="PBE19" s="41"/>
      <c r="PBF19" s="41"/>
      <c r="PBG19" s="41"/>
      <c r="PBH19" s="41"/>
      <c r="PBI19" s="41"/>
      <c r="PBJ19" s="41"/>
      <c r="PBK19" s="41"/>
      <c r="PBL19" s="41"/>
      <c r="PBM19" s="41"/>
      <c r="PBN19" s="41"/>
      <c r="PBO19" s="41"/>
      <c r="PBP19" s="41"/>
      <c r="PBQ19" s="41"/>
      <c r="PBR19" s="41"/>
      <c r="PBS19" s="41"/>
      <c r="PBT19" s="41"/>
      <c r="PBU19" s="41"/>
      <c r="PBV19" s="41"/>
      <c r="PBW19" s="41"/>
      <c r="PBX19" s="41"/>
      <c r="PBY19" s="41"/>
      <c r="PBZ19" s="41"/>
      <c r="PCA19" s="41"/>
      <c r="PCB19" s="41"/>
      <c r="PCC19" s="41"/>
      <c r="PCD19" s="41"/>
      <c r="PCE19" s="41"/>
      <c r="PCF19" s="41"/>
      <c r="PCG19" s="41"/>
      <c r="PCH19" s="41"/>
      <c r="PCI19" s="41"/>
      <c r="PCJ19" s="41"/>
      <c r="PCK19" s="41"/>
      <c r="PCL19" s="41"/>
      <c r="PCM19" s="41"/>
      <c r="PCN19" s="41"/>
      <c r="PCO19" s="41"/>
      <c r="PCP19" s="41"/>
      <c r="PCQ19" s="41"/>
      <c r="PCR19" s="41"/>
      <c r="PCS19" s="41"/>
      <c r="PCT19" s="41"/>
      <c r="PCU19" s="41"/>
      <c r="PCV19" s="41"/>
      <c r="PCW19" s="41"/>
      <c r="PCX19" s="41"/>
      <c r="PCY19" s="41"/>
      <c r="PCZ19" s="41"/>
      <c r="PDA19" s="41"/>
      <c r="PDB19" s="41"/>
      <c r="PDC19" s="41"/>
      <c r="PDD19" s="41"/>
      <c r="PDE19" s="41"/>
      <c r="PDF19" s="41"/>
      <c r="PDG19" s="41"/>
      <c r="PDH19" s="41"/>
      <c r="PDI19" s="41"/>
      <c r="PDJ19" s="41"/>
      <c r="PDK19" s="41"/>
      <c r="PDL19" s="41"/>
      <c r="PDM19" s="41"/>
      <c r="PDN19" s="41"/>
      <c r="PDO19" s="41"/>
      <c r="PDP19" s="41"/>
      <c r="PDQ19" s="41"/>
      <c r="PDR19" s="41"/>
      <c r="PDS19" s="41"/>
      <c r="PDT19" s="41"/>
      <c r="PDU19" s="41"/>
      <c r="PDV19" s="41"/>
      <c r="PDW19" s="41"/>
      <c r="PDX19" s="41"/>
      <c r="PDY19" s="41"/>
      <c r="PDZ19" s="41"/>
      <c r="PEA19" s="41"/>
      <c r="PEB19" s="41"/>
      <c r="PEC19" s="41"/>
      <c r="PED19" s="41"/>
      <c r="PEE19" s="41"/>
      <c r="PEF19" s="41"/>
      <c r="PEG19" s="41"/>
      <c r="PEH19" s="41"/>
      <c r="PEI19" s="41"/>
      <c r="PEJ19" s="41"/>
      <c r="PEK19" s="41"/>
      <c r="PEL19" s="41"/>
      <c r="PEM19" s="41"/>
      <c r="PEN19" s="41"/>
      <c r="PEO19" s="41"/>
      <c r="PEP19" s="41"/>
      <c r="PEQ19" s="41"/>
      <c r="PER19" s="41"/>
      <c r="PES19" s="41"/>
      <c r="PET19" s="41"/>
      <c r="PEU19" s="41"/>
      <c r="PEV19" s="41"/>
      <c r="PEW19" s="41"/>
      <c r="PEX19" s="41"/>
      <c r="PEY19" s="41"/>
      <c r="PEZ19" s="41"/>
      <c r="PFA19" s="41"/>
      <c r="PFB19" s="41"/>
      <c r="PFC19" s="41"/>
      <c r="PFD19" s="41"/>
      <c r="PFE19" s="41"/>
      <c r="PFF19" s="41"/>
      <c r="PFG19" s="41"/>
      <c r="PFH19" s="41"/>
      <c r="PFI19" s="41"/>
      <c r="PFJ19" s="41"/>
      <c r="PFK19" s="41"/>
      <c r="PFL19" s="41"/>
      <c r="PFM19" s="41"/>
      <c r="PFN19" s="41"/>
      <c r="PFO19" s="41"/>
      <c r="PFP19" s="41"/>
      <c r="PFQ19" s="41"/>
      <c r="PFR19" s="41"/>
      <c r="PFS19" s="41"/>
      <c r="PFT19" s="41"/>
      <c r="PFU19" s="41"/>
      <c r="PFV19" s="41"/>
      <c r="PFW19" s="41"/>
      <c r="PFX19" s="41"/>
      <c r="PFY19" s="41"/>
      <c r="PFZ19" s="41"/>
      <c r="PGA19" s="41"/>
      <c r="PGB19" s="41"/>
      <c r="PGC19" s="41"/>
      <c r="PGD19" s="41"/>
      <c r="PGE19" s="41"/>
      <c r="PGF19" s="41"/>
      <c r="PGG19" s="41"/>
      <c r="PGH19" s="41"/>
      <c r="PGI19" s="41"/>
      <c r="PGJ19" s="41"/>
      <c r="PGK19" s="41"/>
      <c r="PGL19" s="41"/>
      <c r="PGM19" s="41"/>
      <c r="PGN19" s="41"/>
      <c r="PGO19" s="41"/>
      <c r="PGP19" s="41"/>
      <c r="PGQ19" s="41"/>
      <c r="PGR19" s="41"/>
      <c r="PGS19" s="41"/>
      <c r="PGT19" s="41"/>
      <c r="PGU19" s="41"/>
      <c r="PGV19" s="41"/>
      <c r="PGW19" s="41"/>
      <c r="PGX19" s="41"/>
      <c r="PGY19" s="41"/>
      <c r="PGZ19" s="41"/>
      <c r="PHA19" s="41"/>
      <c r="PHB19" s="41"/>
      <c r="PHC19" s="41"/>
      <c r="PHD19" s="41"/>
      <c r="PHE19" s="41"/>
      <c r="PHF19" s="41"/>
      <c r="PHG19" s="41"/>
      <c r="PHH19" s="41"/>
      <c r="PHI19" s="41"/>
      <c r="PHJ19" s="41"/>
      <c r="PHK19" s="41"/>
      <c r="PHL19" s="41"/>
      <c r="PHM19" s="41"/>
      <c r="PHN19" s="41"/>
      <c r="PHO19" s="41"/>
      <c r="PHP19" s="41"/>
      <c r="PHQ19" s="41"/>
      <c r="PHR19" s="41"/>
      <c r="PHS19" s="41"/>
      <c r="PHT19" s="41"/>
      <c r="PHU19" s="41"/>
      <c r="PHV19" s="41"/>
      <c r="PHW19" s="41"/>
      <c r="PHX19" s="41"/>
      <c r="PHY19" s="41"/>
      <c r="PHZ19" s="41"/>
      <c r="PIA19" s="41"/>
      <c r="PIB19" s="41"/>
      <c r="PIC19" s="41"/>
      <c r="PID19" s="41"/>
      <c r="PIE19" s="41"/>
      <c r="PIF19" s="41"/>
      <c r="PIG19" s="41"/>
      <c r="PIH19" s="41"/>
      <c r="PII19" s="41"/>
      <c r="PIJ19" s="41"/>
      <c r="PIK19" s="41"/>
      <c r="PIL19" s="41"/>
      <c r="PIM19" s="41"/>
      <c r="PIN19" s="41"/>
      <c r="PIO19" s="41"/>
      <c r="PIP19" s="41"/>
      <c r="PIQ19" s="41"/>
      <c r="PIR19" s="41"/>
      <c r="PIS19" s="41"/>
      <c r="PIT19" s="41"/>
      <c r="PIU19" s="41"/>
      <c r="PIV19" s="41"/>
      <c r="PIW19" s="41"/>
      <c r="PIX19" s="41"/>
      <c r="PIY19" s="41"/>
      <c r="PIZ19" s="41"/>
      <c r="PJA19" s="41"/>
      <c r="PJB19" s="41"/>
      <c r="PJC19" s="41"/>
      <c r="PJD19" s="41"/>
      <c r="PJE19" s="41"/>
      <c r="PJF19" s="41"/>
      <c r="PJG19" s="41"/>
      <c r="PJH19" s="41"/>
      <c r="PJI19" s="41"/>
      <c r="PJJ19" s="41"/>
      <c r="PJK19" s="41"/>
      <c r="PJL19" s="41"/>
      <c r="PJM19" s="41"/>
      <c r="PJN19" s="41"/>
      <c r="PJO19" s="41"/>
      <c r="PJP19" s="41"/>
      <c r="PJQ19" s="41"/>
      <c r="PJR19" s="41"/>
      <c r="PJS19" s="41"/>
      <c r="PJT19" s="41"/>
      <c r="PJU19" s="41"/>
      <c r="PJV19" s="41"/>
      <c r="PJW19" s="41"/>
      <c r="PJX19" s="41"/>
      <c r="PJY19" s="41"/>
      <c r="PJZ19" s="41"/>
      <c r="PKA19" s="41"/>
      <c r="PKB19" s="41"/>
      <c r="PKC19" s="41"/>
      <c r="PKD19" s="41"/>
      <c r="PKE19" s="41"/>
      <c r="PKF19" s="41"/>
      <c r="PKG19" s="41"/>
      <c r="PKH19" s="41"/>
      <c r="PKI19" s="41"/>
      <c r="PKJ19" s="41"/>
      <c r="PKK19" s="41"/>
      <c r="PKL19" s="41"/>
      <c r="PKM19" s="41"/>
      <c r="PKN19" s="41"/>
      <c r="PKO19" s="41"/>
      <c r="PKP19" s="41"/>
      <c r="PKQ19" s="41"/>
      <c r="PKR19" s="41"/>
      <c r="PKS19" s="41"/>
      <c r="PKT19" s="41"/>
      <c r="PKU19" s="41"/>
      <c r="PKV19" s="41"/>
      <c r="PKW19" s="41"/>
      <c r="PKX19" s="41"/>
      <c r="PKY19" s="41"/>
      <c r="PKZ19" s="41"/>
      <c r="PLA19" s="41"/>
      <c r="PLB19" s="41"/>
      <c r="PLC19" s="41"/>
      <c r="PLD19" s="41"/>
      <c r="PLE19" s="41"/>
      <c r="PLF19" s="41"/>
      <c r="PLG19" s="41"/>
      <c r="PLH19" s="41"/>
      <c r="PLI19" s="41"/>
      <c r="PLJ19" s="41"/>
      <c r="PLK19" s="41"/>
      <c r="PLL19" s="41"/>
      <c r="PLM19" s="41"/>
      <c r="PLN19" s="41"/>
      <c r="PLO19" s="41"/>
      <c r="PLP19" s="41"/>
      <c r="PLQ19" s="41"/>
      <c r="PLR19" s="41"/>
      <c r="PLS19" s="41"/>
      <c r="PLT19" s="41"/>
      <c r="PLU19" s="41"/>
      <c r="PLV19" s="41"/>
      <c r="PLW19" s="41"/>
      <c r="PLX19" s="41"/>
      <c r="PLY19" s="41"/>
      <c r="PLZ19" s="41"/>
      <c r="PMA19" s="41"/>
      <c r="PMB19" s="41"/>
      <c r="PMC19" s="41"/>
      <c r="PMD19" s="41"/>
      <c r="PME19" s="41"/>
      <c r="PMF19" s="41"/>
      <c r="PMG19" s="41"/>
      <c r="PMH19" s="41"/>
      <c r="PMI19" s="41"/>
      <c r="PMJ19" s="41"/>
      <c r="PMK19" s="41"/>
      <c r="PML19" s="41"/>
      <c r="PMM19" s="41"/>
      <c r="PMN19" s="41"/>
      <c r="PMO19" s="41"/>
      <c r="PMP19" s="41"/>
      <c r="PMQ19" s="41"/>
      <c r="PMR19" s="41"/>
      <c r="PMS19" s="41"/>
      <c r="PMT19" s="41"/>
      <c r="PMU19" s="41"/>
      <c r="PMV19" s="41"/>
      <c r="PMW19" s="41"/>
      <c r="PMX19" s="41"/>
      <c r="PMY19" s="41"/>
      <c r="PMZ19" s="41"/>
      <c r="PNA19" s="41"/>
      <c r="PNB19" s="41"/>
      <c r="PNC19" s="41"/>
      <c r="PND19" s="41"/>
      <c r="PNE19" s="41"/>
      <c r="PNF19" s="41"/>
      <c r="PNG19" s="41"/>
      <c r="PNH19" s="41"/>
      <c r="PNI19" s="41"/>
      <c r="PNJ19" s="41"/>
      <c r="PNK19" s="41"/>
      <c r="PNL19" s="41"/>
      <c r="PNM19" s="41"/>
      <c r="PNN19" s="41"/>
      <c r="PNO19" s="41"/>
      <c r="PNP19" s="41"/>
      <c r="PNQ19" s="41"/>
      <c r="PNR19" s="41"/>
      <c r="PNS19" s="41"/>
      <c r="PNT19" s="41"/>
      <c r="PNU19" s="41"/>
      <c r="PNV19" s="41"/>
      <c r="PNW19" s="41"/>
      <c r="PNX19" s="41"/>
      <c r="PNY19" s="41"/>
      <c r="PNZ19" s="41"/>
      <c r="POA19" s="41"/>
      <c r="POB19" s="41"/>
      <c r="POC19" s="41"/>
      <c r="POD19" s="41"/>
      <c r="POE19" s="41"/>
      <c r="POF19" s="41"/>
      <c r="POG19" s="41"/>
      <c r="POH19" s="41"/>
      <c r="POI19" s="41"/>
      <c r="POJ19" s="41"/>
      <c r="POK19" s="41"/>
      <c r="POL19" s="41"/>
      <c r="POM19" s="41"/>
      <c r="PON19" s="41"/>
      <c r="POO19" s="41"/>
      <c r="POP19" s="41"/>
      <c r="POQ19" s="41"/>
      <c r="POR19" s="41"/>
      <c r="POS19" s="41"/>
      <c r="POT19" s="41"/>
      <c r="POU19" s="41"/>
      <c r="POV19" s="41"/>
      <c r="POW19" s="41"/>
      <c r="POX19" s="41"/>
      <c r="POY19" s="41"/>
      <c r="POZ19" s="41"/>
      <c r="PPA19" s="41"/>
      <c r="PPB19" s="41"/>
      <c r="PPC19" s="41"/>
      <c r="PPD19" s="41"/>
      <c r="PPE19" s="41"/>
      <c r="PPF19" s="41"/>
      <c r="PPG19" s="41"/>
      <c r="PPH19" s="41"/>
      <c r="PPI19" s="41"/>
      <c r="PPJ19" s="41"/>
      <c r="PPK19" s="41"/>
      <c r="PPL19" s="41"/>
      <c r="PPM19" s="41"/>
      <c r="PPN19" s="41"/>
      <c r="PPO19" s="41"/>
      <c r="PPP19" s="41"/>
      <c r="PPQ19" s="41"/>
      <c r="PPR19" s="41"/>
      <c r="PPS19" s="41"/>
      <c r="PPT19" s="41"/>
      <c r="PPU19" s="41"/>
      <c r="PPV19" s="41"/>
      <c r="PPW19" s="41"/>
      <c r="PPX19" s="41"/>
      <c r="PPY19" s="41"/>
      <c r="PPZ19" s="41"/>
      <c r="PQA19" s="41"/>
      <c r="PQB19" s="41"/>
      <c r="PQC19" s="41"/>
      <c r="PQD19" s="41"/>
      <c r="PQE19" s="41"/>
      <c r="PQF19" s="41"/>
      <c r="PQG19" s="41"/>
      <c r="PQH19" s="41"/>
      <c r="PQI19" s="41"/>
      <c r="PQJ19" s="41"/>
      <c r="PQK19" s="41"/>
      <c r="PQL19" s="41"/>
      <c r="PQM19" s="41"/>
      <c r="PQN19" s="41"/>
      <c r="PQO19" s="41"/>
      <c r="PQP19" s="41"/>
      <c r="PQQ19" s="41"/>
      <c r="PQR19" s="41"/>
      <c r="PQS19" s="41"/>
      <c r="PQT19" s="41"/>
      <c r="PQU19" s="41"/>
      <c r="PQV19" s="41"/>
      <c r="PQW19" s="41"/>
      <c r="PQX19" s="41"/>
      <c r="PQY19" s="41"/>
      <c r="PQZ19" s="41"/>
      <c r="PRA19" s="41"/>
      <c r="PRB19" s="41"/>
      <c r="PRC19" s="41"/>
      <c r="PRD19" s="41"/>
      <c r="PRE19" s="41"/>
      <c r="PRF19" s="41"/>
      <c r="PRG19" s="41"/>
      <c r="PRH19" s="41"/>
      <c r="PRI19" s="41"/>
      <c r="PRJ19" s="41"/>
      <c r="PRK19" s="41"/>
      <c r="PRL19" s="41"/>
      <c r="PRM19" s="41"/>
      <c r="PRN19" s="41"/>
      <c r="PRO19" s="41"/>
      <c r="PRP19" s="41"/>
      <c r="PRQ19" s="41"/>
      <c r="PRR19" s="41"/>
      <c r="PRS19" s="41"/>
      <c r="PRT19" s="41"/>
      <c r="PRU19" s="41"/>
      <c r="PRV19" s="41"/>
      <c r="PRW19" s="41"/>
      <c r="PRX19" s="41"/>
      <c r="PRY19" s="41"/>
      <c r="PRZ19" s="41"/>
      <c r="PSA19" s="41"/>
      <c r="PSB19" s="41"/>
      <c r="PSC19" s="41"/>
      <c r="PSD19" s="41"/>
      <c r="PSE19" s="41"/>
      <c r="PSF19" s="41"/>
      <c r="PSG19" s="41"/>
      <c r="PSH19" s="41"/>
      <c r="PSI19" s="41"/>
      <c r="PSJ19" s="41"/>
      <c r="PSK19" s="41"/>
      <c r="PSL19" s="41"/>
      <c r="PSM19" s="41"/>
      <c r="PSN19" s="41"/>
      <c r="PSO19" s="41"/>
      <c r="PSP19" s="41"/>
      <c r="PSQ19" s="41"/>
      <c r="PSR19" s="41"/>
      <c r="PSS19" s="41"/>
      <c r="PST19" s="41"/>
      <c r="PSU19" s="41"/>
      <c r="PSV19" s="41"/>
      <c r="PSW19" s="41"/>
      <c r="PSX19" s="41"/>
      <c r="PSY19" s="41"/>
      <c r="PSZ19" s="41"/>
      <c r="PTA19" s="41"/>
      <c r="PTB19" s="41"/>
      <c r="PTC19" s="41"/>
      <c r="PTD19" s="41"/>
      <c r="PTE19" s="41"/>
      <c r="PTF19" s="41"/>
      <c r="PTG19" s="41"/>
      <c r="PTH19" s="41"/>
      <c r="PTI19" s="41"/>
      <c r="PTJ19" s="41"/>
      <c r="PTK19" s="41"/>
      <c r="PTL19" s="41"/>
      <c r="PTM19" s="41"/>
      <c r="PTN19" s="41"/>
      <c r="PTO19" s="41"/>
      <c r="PTP19" s="41"/>
      <c r="PTQ19" s="41"/>
      <c r="PTR19" s="41"/>
      <c r="PTS19" s="41"/>
      <c r="PTT19" s="41"/>
      <c r="PTU19" s="41"/>
      <c r="PTV19" s="41"/>
      <c r="PTW19" s="41"/>
      <c r="PTX19" s="41"/>
      <c r="PTY19" s="41"/>
      <c r="PTZ19" s="41"/>
      <c r="PUA19" s="41"/>
      <c r="PUB19" s="41"/>
      <c r="PUC19" s="41"/>
      <c r="PUD19" s="41"/>
      <c r="PUE19" s="41"/>
      <c r="PUF19" s="41"/>
      <c r="PUG19" s="41"/>
      <c r="PUH19" s="41"/>
      <c r="PUI19" s="41"/>
      <c r="PUJ19" s="41"/>
      <c r="PUK19" s="41"/>
      <c r="PUL19" s="41"/>
      <c r="PUM19" s="41"/>
      <c r="PUN19" s="41"/>
      <c r="PUO19" s="41"/>
      <c r="PUP19" s="41"/>
      <c r="PUQ19" s="41"/>
      <c r="PUR19" s="41"/>
      <c r="PUS19" s="41"/>
      <c r="PUT19" s="41"/>
      <c r="PUU19" s="41"/>
      <c r="PUV19" s="41"/>
      <c r="PUW19" s="41"/>
      <c r="PUX19" s="41"/>
      <c r="PUY19" s="41"/>
      <c r="PUZ19" s="41"/>
      <c r="PVA19" s="41"/>
      <c r="PVB19" s="41"/>
      <c r="PVC19" s="41"/>
      <c r="PVD19" s="41"/>
      <c r="PVE19" s="41"/>
      <c r="PVF19" s="41"/>
      <c r="PVG19" s="41"/>
      <c r="PVH19" s="41"/>
      <c r="PVI19" s="41"/>
      <c r="PVJ19" s="41"/>
      <c r="PVK19" s="41"/>
      <c r="PVL19" s="41"/>
      <c r="PVM19" s="41"/>
      <c r="PVN19" s="41"/>
      <c r="PVO19" s="41"/>
      <c r="PVP19" s="41"/>
      <c r="PVQ19" s="41"/>
      <c r="PVR19" s="41"/>
      <c r="PVS19" s="41"/>
      <c r="PVT19" s="41"/>
      <c r="PVU19" s="41"/>
      <c r="PVV19" s="41"/>
      <c r="PVW19" s="41"/>
      <c r="PVX19" s="41"/>
      <c r="PVY19" s="41"/>
      <c r="PVZ19" s="41"/>
      <c r="PWA19" s="41"/>
      <c r="PWB19" s="41"/>
      <c r="PWC19" s="41"/>
      <c r="PWD19" s="41"/>
      <c r="PWE19" s="41"/>
      <c r="PWF19" s="41"/>
      <c r="PWG19" s="41"/>
      <c r="PWH19" s="41"/>
      <c r="PWI19" s="41"/>
      <c r="PWJ19" s="41"/>
      <c r="PWK19" s="41"/>
      <c r="PWL19" s="41"/>
      <c r="PWM19" s="41"/>
      <c r="PWN19" s="41"/>
      <c r="PWO19" s="41"/>
      <c r="PWP19" s="41"/>
      <c r="PWQ19" s="41"/>
      <c r="PWR19" s="41"/>
      <c r="PWS19" s="41"/>
      <c r="PWT19" s="41"/>
      <c r="PWU19" s="41"/>
      <c r="PWV19" s="41"/>
      <c r="PWW19" s="41"/>
      <c r="PWX19" s="41"/>
      <c r="PWY19" s="41"/>
      <c r="PWZ19" s="41"/>
      <c r="PXA19" s="41"/>
      <c r="PXB19" s="41"/>
      <c r="PXC19" s="41"/>
      <c r="PXD19" s="41"/>
      <c r="PXE19" s="41"/>
      <c r="PXF19" s="41"/>
      <c r="PXG19" s="41"/>
      <c r="PXH19" s="41"/>
      <c r="PXI19" s="41"/>
      <c r="PXJ19" s="41"/>
      <c r="PXK19" s="41"/>
      <c r="PXL19" s="41"/>
      <c r="PXM19" s="41"/>
      <c r="PXN19" s="41"/>
      <c r="PXO19" s="41"/>
      <c r="PXP19" s="41"/>
      <c r="PXQ19" s="41"/>
      <c r="PXR19" s="41"/>
      <c r="PXS19" s="41"/>
      <c r="PXT19" s="41"/>
      <c r="PXU19" s="41"/>
      <c r="PXV19" s="41"/>
      <c r="PXW19" s="41"/>
      <c r="PXX19" s="41"/>
      <c r="PXY19" s="41"/>
      <c r="PXZ19" s="41"/>
      <c r="PYA19" s="41"/>
      <c r="PYB19" s="41"/>
      <c r="PYC19" s="41"/>
      <c r="PYD19" s="41"/>
      <c r="PYE19" s="41"/>
      <c r="PYF19" s="41"/>
      <c r="PYG19" s="41"/>
      <c r="PYH19" s="41"/>
      <c r="PYI19" s="41"/>
      <c r="PYJ19" s="41"/>
      <c r="PYK19" s="41"/>
      <c r="PYL19" s="41"/>
      <c r="PYM19" s="41"/>
      <c r="PYN19" s="41"/>
      <c r="PYO19" s="41"/>
      <c r="PYP19" s="41"/>
      <c r="PYQ19" s="41"/>
      <c r="PYR19" s="41"/>
      <c r="PYS19" s="41"/>
      <c r="PYT19" s="41"/>
      <c r="PYU19" s="41"/>
      <c r="PYV19" s="41"/>
      <c r="PYW19" s="41"/>
      <c r="PYX19" s="41"/>
      <c r="PYY19" s="41"/>
      <c r="PYZ19" s="41"/>
      <c r="PZA19" s="41"/>
      <c r="PZB19" s="41"/>
      <c r="PZC19" s="41"/>
      <c r="PZD19" s="41"/>
      <c r="PZE19" s="41"/>
      <c r="PZF19" s="41"/>
      <c r="PZG19" s="41"/>
      <c r="PZH19" s="41"/>
      <c r="PZI19" s="41"/>
      <c r="PZJ19" s="41"/>
      <c r="PZK19" s="41"/>
      <c r="PZL19" s="41"/>
      <c r="PZM19" s="41"/>
      <c r="PZN19" s="41"/>
      <c r="PZO19" s="41"/>
      <c r="PZP19" s="41"/>
      <c r="PZQ19" s="41"/>
      <c r="PZR19" s="41"/>
      <c r="PZS19" s="41"/>
      <c r="PZT19" s="41"/>
      <c r="PZU19" s="41"/>
      <c r="PZV19" s="41"/>
      <c r="PZW19" s="41"/>
      <c r="PZX19" s="41"/>
      <c r="PZY19" s="41"/>
      <c r="PZZ19" s="41"/>
      <c r="QAA19" s="41"/>
      <c r="QAB19" s="41"/>
      <c r="QAC19" s="41"/>
      <c r="QAD19" s="41"/>
      <c r="QAE19" s="41"/>
      <c r="QAF19" s="41"/>
      <c r="QAG19" s="41"/>
      <c r="QAH19" s="41"/>
      <c r="QAI19" s="41"/>
      <c r="QAJ19" s="41"/>
      <c r="QAK19" s="41"/>
      <c r="QAL19" s="41"/>
      <c r="QAM19" s="41"/>
      <c r="QAN19" s="41"/>
      <c r="QAO19" s="41"/>
      <c r="QAP19" s="41"/>
      <c r="QAQ19" s="41"/>
      <c r="QAR19" s="41"/>
      <c r="QAS19" s="41"/>
      <c r="QAT19" s="41"/>
      <c r="QAU19" s="41"/>
      <c r="QAV19" s="41"/>
      <c r="QAW19" s="41"/>
      <c r="QAX19" s="41"/>
      <c r="QAY19" s="41"/>
      <c r="QAZ19" s="41"/>
      <c r="QBA19" s="41"/>
      <c r="QBB19" s="41"/>
      <c r="QBC19" s="41"/>
      <c r="QBD19" s="41"/>
      <c r="QBE19" s="41"/>
      <c r="QBF19" s="41"/>
      <c r="QBG19" s="41"/>
      <c r="QBH19" s="41"/>
      <c r="QBI19" s="41"/>
      <c r="QBJ19" s="41"/>
      <c r="QBK19" s="41"/>
      <c r="QBL19" s="41"/>
      <c r="QBM19" s="41"/>
      <c r="QBN19" s="41"/>
      <c r="QBO19" s="41"/>
      <c r="QBP19" s="41"/>
      <c r="QBQ19" s="41"/>
      <c r="QBR19" s="41"/>
      <c r="QBS19" s="41"/>
      <c r="QBT19" s="41"/>
      <c r="QBU19" s="41"/>
      <c r="QBV19" s="41"/>
      <c r="QBW19" s="41"/>
      <c r="QBX19" s="41"/>
      <c r="QBY19" s="41"/>
      <c r="QBZ19" s="41"/>
      <c r="QCA19" s="41"/>
      <c r="QCB19" s="41"/>
      <c r="QCC19" s="41"/>
      <c r="QCD19" s="41"/>
      <c r="QCE19" s="41"/>
      <c r="QCF19" s="41"/>
      <c r="QCG19" s="41"/>
      <c r="QCH19" s="41"/>
      <c r="QCI19" s="41"/>
      <c r="QCJ19" s="41"/>
      <c r="QCK19" s="41"/>
      <c r="QCL19" s="41"/>
      <c r="QCM19" s="41"/>
      <c r="QCN19" s="41"/>
      <c r="QCO19" s="41"/>
      <c r="QCP19" s="41"/>
      <c r="QCQ19" s="41"/>
      <c r="QCR19" s="41"/>
      <c r="QCS19" s="41"/>
      <c r="QCT19" s="41"/>
      <c r="QCU19" s="41"/>
      <c r="QCV19" s="41"/>
      <c r="QCW19" s="41"/>
      <c r="QCX19" s="41"/>
      <c r="QCY19" s="41"/>
      <c r="QCZ19" s="41"/>
      <c r="QDA19" s="41"/>
      <c r="QDB19" s="41"/>
      <c r="QDC19" s="41"/>
      <c r="QDD19" s="41"/>
      <c r="QDE19" s="41"/>
      <c r="QDF19" s="41"/>
      <c r="QDG19" s="41"/>
      <c r="QDH19" s="41"/>
      <c r="QDI19" s="41"/>
      <c r="QDJ19" s="41"/>
      <c r="QDK19" s="41"/>
      <c r="QDL19" s="41"/>
      <c r="QDM19" s="41"/>
      <c r="QDN19" s="41"/>
      <c r="QDO19" s="41"/>
      <c r="QDP19" s="41"/>
      <c r="QDQ19" s="41"/>
      <c r="QDR19" s="41"/>
      <c r="QDS19" s="41"/>
      <c r="QDT19" s="41"/>
      <c r="QDU19" s="41"/>
      <c r="QDV19" s="41"/>
      <c r="QDW19" s="41"/>
      <c r="QDX19" s="41"/>
      <c r="QDY19" s="41"/>
      <c r="QDZ19" s="41"/>
      <c r="QEA19" s="41"/>
      <c r="QEB19" s="41"/>
      <c r="QEC19" s="41"/>
      <c r="QED19" s="41"/>
      <c r="QEE19" s="41"/>
      <c r="QEF19" s="41"/>
      <c r="QEG19" s="41"/>
      <c r="QEH19" s="41"/>
      <c r="QEI19" s="41"/>
      <c r="QEJ19" s="41"/>
      <c r="QEK19" s="41"/>
      <c r="QEL19" s="41"/>
      <c r="QEM19" s="41"/>
      <c r="QEN19" s="41"/>
      <c r="QEO19" s="41"/>
      <c r="QEP19" s="41"/>
      <c r="QEQ19" s="41"/>
      <c r="QER19" s="41"/>
      <c r="QES19" s="41"/>
      <c r="QET19" s="41"/>
      <c r="QEU19" s="41"/>
      <c r="QEV19" s="41"/>
      <c r="QEW19" s="41"/>
      <c r="QEX19" s="41"/>
      <c r="QEY19" s="41"/>
      <c r="QEZ19" s="41"/>
      <c r="QFA19" s="41"/>
      <c r="QFB19" s="41"/>
      <c r="QFC19" s="41"/>
      <c r="QFD19" s="41"/>
      <c r="QFE19" s="41"/>
      <c r="QFF19" s="41"/>
      <c r="QFG19" s="41"/>
      <c r="QFH19" s="41"/>
      <c r="QFI19" s="41"/>
      <c r="QFJ19" s="41"/>
      <c r="QFK19" s="41"/>
      <c r="QFL19" s="41"/>
      <c r="QFM19" s="41"/>
      <c r="QFN19" s="41"/>
      <c r="QFO19" s="41"/>
      <c r="QFP19" s="41"/>
      <c r="QFQ19" s="41"/>
      <c r="QFR19" s="41"/>
      <c r="QFS19" s="41"/>
      <c r="QFT19" s="41"/>
      <c r="QFU19" s="41"/>
      <c r="QFV19" s="41"/>
      <c r="QFW19" s="41"/>
      <c r="QFX19" s="41"/>
      <c r="QFY19" s="41"/>
      <c r="QFZ19" s="41"/>
      <c r="QGA19" s="41"/>
      <c r="QGB19" s="41"/>
      <c r="QGC19" s="41"/>
      <c r="QGD19" s="41"/>
      <c r="QGE19" s="41"/>
      <c r="QGF19" s="41"/>
      <c r="QGG19" s="41"/>
      <c r="QGH19" s="41"/>
      <c r="QGI19" s="41"/>
      <c r="QGJ19" s="41"/>
      <c r="QGK19" s="41"/>
      <c r="QGL19" s="41"/>
      <c r="QGM19" s="41"/>
      <c r="QGN19" s="41"/>
      <c r="QGO19" s="41"/>
      <c r="QGP19" s="41"/>
      <c r="QGQ19" s="41"/>
      <c r="QGR19" s="41"/>
      <c r="QGS19" s="41"/>
      <c r="QGT19" s="41"/>
      <c r="QGU19" s="41"/>
      <c r="QGV19" s="41"/>
      <c r="QGW19" s="41"/>
      <c r="QGX19" s="41"/>
      <c r="QGY19" s="41"/>
      <c r="QGZ19" s="41"/>
      <c r="QHA19" s="41"/>
      <c r="QHB19" s="41"/>
      <c r="QHC19" s="41"/>
      <c r="QHD19" s="41"/>
      <c r="QHE19" s="41"/>
      <c r="QHF19" s="41"/>
      <c r="QHG19" s="41"/>
      <c r="QHH19" s="41"/>
      <c r="QHI19" s="41"/>
      <c r="QHJ19" s="41"/>
      <c r="QHK19" s="41"/>
      <c r="QHL19" s="41"/>
      <c r="QHM19" s="41"/>
      <c r="QHN19" s="41"/>
      <c r="QHO19" s="41"/>
      <c r="QHP19" s="41"/>
      <c r="QHQ19" s="41"/>
      <c r="QHR19" s="41"/>
      <c r="QHS19" s="41"/>
      <c r="QHT19" s="41"/>
      <c r="QHU19" s="41"/>
      <c r="QHV19" s="41"/>
      <c r="QHW19" s="41"/>
      <c r="QHX19" s="41"/>
      <c r="QHY19" s="41"/>
      <c r="QHZ19" s="41"/>
      <c r="QIA19" s="41"/>
      <c r="QIB19" s="41"/>
      <c r="QIC19" s="41"/>
      <c r="QID19" s="41"/>
      <c r="QIE19" s="41"/>
      <c r="QIF19" s="41"/>
      <c r="QIG19" s="41"/>
      <c r="QIH19" s="41"/>
      <c r="QII19" s="41"/>
      <c r="QIJ19" s="41"/>
      <c r="QIK19" s="41"/>
      <c r="QIL19" s="41"/>
      <c r="QIM19" s="41"/>
      <c r="QIN19" s="41"/>
      <c r="QIO19" s="41"/>
      <c r="QIP19" s="41"/>
      <c r="QIQ19" s="41"/>
      <c r="QIR19" s="41"/>
      <c r="QIS19" s="41"/>
      <c r="QIT19" s="41"/>
      <c r="QIU19" s="41"/>
      <c r="QIV19" s="41"/>
      <c r="QIW19" s="41"/>
      <c r="QIX19" s="41"/>
      <c r="QIY19" s="41"/>
      <c r="QIZ19" s="41"/>
      <c r="QJA19" s="41"/>
      <c r="QJB19" s="41"/>
      <c r="QJC19" s="41"/>
      <c r="QJD19" s="41"/>
      <c r="QJE19" s="41"/>
      <c r="QJF19" s="41"/>
      <c r="QJG19" s="41"/>
      <c r="QJH19" s="41"/>
      <c r="QJI19" s="41"/>
      <c r="QJJ19" s="41"/>
      <c r="QJK19" s="41"/>
      <c r="QJL19" s="41"/>
      <c r="QJM19" s="41"/>
      <c r="QJN19" s="41"/>
      <c r="QJO19" s="41"/>
      <c r="QJP19" s="41"/>
      <c r="QJQ19" s="41"/>
      <c r="QJR19" s="41"/>
      <c r="QJS19" s="41"/>
      <c r="QJT19" s="41"/>
      <c r="QJU19" s="41"/>
      <c r="QJV19" s="41"/>
      <c r="QJW19" s="41"/>
      <c r="QJX19" s="41"/>
      <c r="QJY19" s="41"/>
      <c r="QJZ19" s="41"/>
      <c r="QKA19" s="41"/>
      <c r="QKB19" s="41"/>
      <c r="QKC19" s="41"/>
      <c r="QKD19" s="41"/>
      <c r="QKE19" s="41"/>
      <c r="QKF19" s="41"/>
      <c r="QKG19" s="41"/>
      <c r="QKH19" s="41"/>
      <c r="QKI19" s="41"/>
      <c r="QKJ19" s="41"/>
      <c r="QKK19" s="41"/>
      <c r="QKL19" s="41"/>
      <c r="QKM19" s="41"/>
      <c r="QKN19" s="41"/>
      <c r="QKO19" s="41"/>
      <c r="QKP19" s="41"/>
      <c r="QKQ19" s="41"/>
      <c r="QKR19" s="41"/>
      <c r="QKS19" s="41"/>
      <c r="QKT19" s="41"/>
      <c r="QKU19" s="41"/>
      <c r="QKV19" s="41"/>
      <c r="QKW19" s="41"/>
      <c r="QKX19" s="41"/>
      <c r="QKY19" s="41"/>
      <c r="QKZ19" s="41"/>
      <c r="QLA19" s="41"/>
      <c r="QLB19" s="41"/>
      <c r="QLC19" s="41"/>
      <c r="QLD19" s="41"/>
      <c r="QLE19" s="41"/>
      <c r="QLF19" s="41"/>
      <c r="QLG19" s="41"/>
      <c r="QLH19" s="41"/>
      <c r="QLI19" s="41"/>
      <c r="QLJ19" s="41"/>
      <c r="QLK19" s="41"/>
      <c r="QLL19" s="41"/>
      <c r="QLM19" s="41"/>
      <c r="QLN19" s="41"/>
      <c r="QLO19" s="41"/>
      <c r="QLP19" s="41"/>
      <c r="QLQ19" s="41"/>
      <c r="QLR19" s="41"/>
      <c r="QLS19" s="41"/>
      <c r="QLT19" s="41"/>
      <c r="QLU19" s="41"/>
      <c r="QLV19" s="41"/>
      <c r="QLW19" s="41"/>
      <c r="QLX19" s="41"/>
      <c r="QLY19" s="41"/>
      <c r="QLZ19" s="41"/>
      <c r="QMA19" s="41"/>
      <c r="QMB19" s="41"/>
      <c r="QMC19" s="41"/>
      <c r="QMD19" s="41"/>
      <c r="QME19" s="41"/>
      <c r="QMF19" s="41"/>
      <c r="QMG19" s="41"/>
      <c r="QMH19" s="41"/>
      <c r="QMI19" s="41"/>
      <c r="QMJ19" s="41"/>
      <c r="QMK19" s="41"/>
      <c r="QML19" s="41"/>
      <c r="QMM19" s="41"/>
      <c r="QMN19" s="41"/>
      <c r="QMO19" s="41"/>
      <c r="QMP19" s="41"/>
      <c r="QMQ19" s="41"/>
      <c r="QMR19" s="41"/>
      <c r="QMS19" s="41"/>
      <c r="QMT19" s="41"/>
      <c r="QMU19" s="41"/>
      <c r="QMV19" s="41"/>
      <c r="QMW19" s="41"/>
      <c r="QMX19" s="41"/>
      <c r="QMY19" s="41"/>
      <c r="QMZ19" s="41"/>
      <c r="QNA19" s="41"/>
      <c r="QNB19" s="41"/>
      <c r="QNC19" s="41"/>
      <c r="QND19" s="41"/>
      <c r="QNE19" s="41"/>
      <c r="QNF19" s="41"/>
      <c r="QNG19" s="41"/>
      <c r="QNH19" s="41"/>
      <c r="QNI19" s="41"/>
      <c r="QNJ19" s="41"/>
      <c r="QNK19" s="41"/>
      <c r="QNL19" s="41"/>
      <c r="QNM19" s="41"/>
      <c r="QNN19" s="41"/>
      <c r="QNO19" s="41"/>
      <c r="QNP19" s="41"/>
      <c r="QNQ19" s="41"/>
      <c r="QNR19" s="41"/>
      <c r="QNS19" s="41"/>
      <c r="QNT19" s="41"/>
      <c r="QNU19" s="41"/>
      <c r="QNV19" s="41"/>
      <c r="QNW19" s="41"/>
      <c r="QNX19" s="41"/>
      <c r="QNY19" s="41"/>
      <c r="QNZ19" s="41"/>
      <c r="QOA19" s="41"/>
      <c r="QOB19" s="41"/>
      <c r="QOC19" s="41"/>
      <c r="QOD19" s="41"/>
      <c r="QOE19" s="41"/>
      <c r="QOF19" s="41"/>
      <c r="QOG19" s="41"/>
      <c r="QOH19" s="41"/>
      <c r="QOI19" s="41"/>
      <c r="QOJ19" s="41"/>
      <c r="QOK19" s="41"/>
      <c r="QOL19" s="41"/>
      <c r="QOM19" s="41"/>
      <c r="QON19" s="41"/>
      <c r="QOO19" s="41"/>
      <c r="QOP19" s="41"/>
      <c r="QOQ19" s="41"/>
      <c r="QOR19" s="41"/>
      <c r="QOS19" s="41"/>
      <c r="QOT19" s="41"/>
      <c r="QOU19" s="41"/>
      <c r="QOV19" s="41"/>
      <c r="QOW19" s="41"/>
      <c r="QOX19" s="41"/>
      <c r="QOY19" s="41"/>
      <c r="QOZ19" s="41"/>
      <c r="QPA19" s="41"/>
      <c r="QPB19" s="41"/>
      <c r="QPC19" s="41"/>
      <c r="QPD19" s="41"/>
      <c r="QPE19" s="41"/>
      <c r="QPF19" s="41"/>
      <c r="QPG19" s="41"/>
      <c r="QPH19" s="41"/>
      <c r="QPI19" s="41"/>
      <c r="QPJ19" s="41"/>
      <c r="QPK19" s="41"/>
      <c r="QPL19" s="41"/>
      <c r="QPM19" s="41"/>
      <c r="QPN19" s="41"/>
      <c r="QPO19" s="41"/>
      <c r="QPP19" s="41"/>
      <c r="QPQ19" s="41"/>
      <c r="QPR19" s="41"/>
      <c r="QPS19" s="41"/>
      <c r="QPT19" s="41"/>
      <c r="QPU19" s="41"/>
      <c r="QPV19" s="41"/>
      <c r="QPW19" s="41"/>
      <c r="QPX19" s="41"/>
      <c r="QPY19" s="41"/>
      <c r="QPZ19" s="41"/>
      <c r="QQA19" s="41"/>
      <c r="QQB19" s="41"/>
      <c r="QQC19" s="41"/>
      <c r="QQD19" s="41"/>
      <c r="QQE19" s="41"/>
      <c r="QQF19" s="41"/>
      <c r="QQG19" s="41"/>
      <c r="QQH19" s="41"/>
      <c r="QQI19" s="41"/>
      <c r="QQJ19" s="41"/>
      <c r="QQK19" s="41"/>
      <c r="QQL19" s="41"/>
      <c r="QQM19" s="41"/>
      <c r="QQN19" s="41"/>
      <c r="QQO19" s="41"/>
      <c r="QQP19" s="41"/>
      <c r="QQQ19" s="41"/>
      <c r="QQR19" s="41"/>
      <c r="QQS19" s="41"/>
      <c r="QQT19" s="41"/>
      <c r="QQU19" s="41"/>
      <c r="QQV19" s="41"/>
      <c r="QQW19" s="41"/>
      <c r="QQX19" s="41"/>
      <c r="QQY19" s="41"/>
      <c r="QQZ19" s="41"/>
      <c r="QRA19" s="41"/>
      <c r="QRB19" s="41"/>
      <c r="QRC19" s="41"/>
      <c r="QRD19" s="41"/>
      <c r="QRE19" s="41"/>
      <c r="QRF19" s="41"/>
      <c r="QRG19" s="41"/>
      <c r="QRH19" s="41"/>
      <c r="QRI19" s="41"/>
      <c r="QRJ19" s="41"/>
      <c r="QRK19" s="41"/>
      <c r="QRL19" s="41"/>
      <c r="QRM19" s="41"/>
      <c r="QRN19" s="41"/>
      <c r="QRO19" s="41"/>
      <c r="QRP19" s="41"/>
      <c r="QRQ19" s="41"/>
      <c r="QRR19" s="41"/>
      <c r="QRS19" s="41"/>
      <c r="QRT19" s="41"/>
      <c r="QRU19" s="41"/>
      <c r="QRV19" s="41"/>
      <c r="QRW19" s="41"/>
      <c r="QRX19" s="41"/>
      <c r="QRY19" s="41"/>
      <c r="QRZ19" s="41"/>
      <c r="QSA19" s="41"/>
      <c r="QSB19" s="41"/>
      <c r="QSC19" s="41"/>
      <c r="QSD19" s="41"/>
      <c r="QSE19" s="41"/>
      <c r="QSF19" s="41"/>
      <c r="QSG19" s="41"/>
      <c r="QSH19" s="41"/>
      <c r="QSI19" s="41"/>
      <c r="QSJ19" s="41"/>
      <c r="QSK19" s="41"/>
      <c r="QSL19" s="41"/>
      <c r="QSM19" s="41"/>
      <c r="QSN19" s="41"/>
      <c r="QSO19" s="41"/>
      <c r="QSP19" s="41"/>
      <c r="QSQ19" s="41"/>
      <c r="QSR19" s="41"/>
      <c r="QSS19" s="41"/>
      <c r="QST19" s="41"/>
      <c r="QSU19" s="41"/>
      <c r="QSV19" s="41"/>
      <c r="QSW19" s="41"/>
      <c r="QSX19" s="41"/>
      <c r="QSY19" s="41"/>
      <c r="QSZ19" s="41"/>
      <c r="QTA19" s="41"/>
      <c r="QTB19" s="41"/>
      <c r="QTC19" s="41"/>
      <c r="QTD19" s="41"/>
      <c r="QTE19" s="41"/>
      <c r="QTF19" s="41"/>
      <c r="QTG19" s="41"/>
      <c r="QTH19" s="41"/>
      <c r="QTI19" s="41"/>
      <c r="QTJ19" s="41"/>
      <c r="QTK19" s="41"/>
      <c r="QTL19" s="41"/>
      <c r="QTM19" s="41"/>
      <c r="QTN19" s="41"/>
      <c r="QTO19" s="41"/>
      <c r="QTP19" s="41"/>
      <c r="QTQ19" s="41"/>
      <c r="QTR19" s="41"/>
      <c r="QTS19" s="41"/>
      <c r="QTT19" s="41"/>
      <c r="QTU19" s="41"/>
      <c r="QTV19" s="41"/>
      <c r="QTW19" s="41"/>
      <c r="QTX19" s="41"/>
      <c r="QTY19" s="41"/>
      <c r="QTZ19" s="41"/>
      <c r="QUA19" s="41"/>
      <c r="QUB19" s="41"/>
      <c r="QUC19" s="41"/>
      <c r="QUD19" s="41"/>
      <c r="QUE19" s="41"/>
      <c r="QUF19" s="41"/>
      <c r="QUG19" s="41"/>
      <c r="QUH19" s="41"/>
      <c r="QUI19" s="41"/>
      <c r="QUJ19" s="41"/>
      <c r="QUK19" s="41"/>
      <c r="QUL19" s="41"/>
      <c r="QUM19" s="41"/>
      <c r="QUN19" s="41"/>
      <c r="QUO19" s="41"/>
      <c r="QUP19" s="41"/>
      <c r="QUQ19" s="41"/>
      <c r="QUR19" s="41"/>
      <c r="QUS19" s="41"/>
      <c r="QUT19" s="41"/>
      <c r="QUU19" s="41"/>
      <c r="QUV19" s="41"/>
      <c r="QUW19" s="41"/>
      <c r="QUX19" s="41"/>
      <c r="QUY19" s="41"/>
      <c r="QUZ19" s="41"/>
      <c r="QVA19" s="41"/>
      <c r="QVB19" s="41"/>
      <c r="QVC19" s="41"/>
      <c r="QVD19" s="41"/>
      <c r="QVE19" s="41"/>
      <c r="QVF19" s="41"/>
      <c r="QVG19" s="41"/>
      <c r="QVH19" s="41"/>
      <c r="QVI19" s="41"/>
      <c r="QVJ19" s="41"/>
      <c r="QVK19" s="41"/>
      <c r="QVL19" s="41"/>
      <c r="QVM19" s="41"/>
      <c r="QVN19" s="41"/>
      <c r="QVO19" s="41"/>
      <c r="QVP19" s="41"/>
      <c r="QVQ19" s="41"/>
      <c r="QVR19" s="41"/>
      <c r="QVS19" s="41"/>
      <c r="QVT19" s="41"/>
      <c r="QVU19" s="41"/>
      <c r="QVV19" s="41"/>
      <c r="QVW19" s="41"/>
      <c r="QVX19" s="41"/>
      <c r="QVY19" s="41"/>
      <c r="QVZ19" s="41"/>
      <c r="QWA19" s="41"/>
      <c r="QWB19" s="41"/>
      <c r="QWC19" s="41"/>
      <c r="QWD19" s="41"/>
      <c r="QWE19" s="41"/>
      <c r="QWF19" s="41"/>
      <c r="QWG19" s="41"/>
      <c r="QWH19" s="41"/>
      <c r="QWI19" s="41"/>
      <c r="QWJ19" s="41"/>
      <c r="QWK19" s="41"/>
      <c r="QWL19" s="41"/>
      <c r="QWM19" s="41"/>
      <c r="QWN19" s="41"/>
      <c r="QWO19" s="41"/>
      <c r="QWP19" s="41"/>
      <c r="QWQ19" s="41"/>
      <c r="QWR19" s="41"/>
      <c r="QWS19" s="41"/>
      <c r="QWT19" s="41"/>
      <c r="QWU19" s="41"/>
      <c r="QWV19" s="41"/>
      <c r="QWW19" s="41"/>
      <c r="QWX19" s="41"/>
      <c r="QWY19" s="41"/>
      <c r="QWZ19" s="41"/>
      <c r="QXA19" s="41"/>
      <c r="QXB19" s="41"/>
      <c r="QXC19" s="41"/>
      <c r="QXD19" s="41"/>
      <c r="QXE19" s="41"/>
      <c r="QXF19" s="41"/>
      <c r="QXG19" s="41"/>
      <c r="QXH19" s="41"/>
      <c r="QXI19" s="41"/>
      <c r="QXJ19" s="41"/>
      <c r="QXK19" s="41"/>
      <c r="QXL19" s="41"/>
      <c r="QXM19" s="41"/>
      <c r="QXN19" s="41"/>
      <c r="QXO19" s="41"/>
      <c r="QXP19" s="41"/>
      <c r="QXQ19" s="41"/>
      <c r="QXR19" s="41"/>
      <c r="QXS19" s="41"/>
      <c r="QXT19" s="41"/>
      <c r="QXU19" s="41"/>
      <c r="QXV19" s="41"/>
      <c r="QXW19" s="41"/>
      <c r="QXX19" s="41"/>
      <c r="QXY19" s="41"/>
      <c r="QXZ19" s="41"/>
      <c r="QYA19" s="41"/>
      <c r="QYB19" s="41"/>
      <c r="QYC19" s="41"/>
      <c r="QYD19" s="41"/>
      <c r="QYE19" s="41"/>
      <c r="QYF19" s="41"/>
      <c r="QYG19" s="41"/>
      <c r="QYH19" s="41"/>
      <c r="QYI19" s="41"/>
      <c r="QYJ19" s="41"/>
      <c r="QYK19" s="41"/>
      <c r="QYL19" s="41"/>
      <c r="QYM19" s="41"/>
      <c r="QYN19" s="41"/>
      <c r="QYO19" s="41"/>
      <c r="QYP19" s="41"/>
      <c r="QYQ19" s="41"/>
      <c r="QYR19" s="41"/>
      <c r="QYS19" s="41"/>
      <c r="QYT19" s="41"/>
      <c r="QYU19" s="41"/>
      <c r="QYV19" s="41"/>
      <c r="QYW19" s="41"/>
      <c r="QYX19" s="41"/>
      <c r="QYY19" s="41"/>
      <c r="QYZ19" s="41"/>
      <c r="QZA19" s="41"/>
      <c r="QZB19" s="41"/>
      <c r="QZC19" s="41"/>
      <c r="QZD19" s="41"/>
      <c r="QZE19" s="41"/>
      <c r="QZF19" s="41"/>
      <c r="QZG19" s="41"/>
      <c r="QZH19" s="41"/>
      <c r="QZI19" s="41"/>
      <c r="QZJ19" s="41"/>
      <c r="QZK19" s="41"/>
      <c r="QZL19" s="41"/>
      <c r="QZM19" s="41"/>
      <c r="QZN19" s="41"/>
      <c r="QZO19" s="41"/>
      <c r="QZP19" s="41"/>
      <c r="QZQ19" s="41"/>
      <c r="QZR19" s="41"/>
      <c r="QZS19" s="41"/>
      <c r="QZT19" s="41"/>
      <c r="QZU19" s="41"/>
      <c r="QZV19" s="41"/>
      <c r="QZW19" s="41"/>
      <c r="QZX19" s="41"/>
      <c r="QZY19" s="41"/>
      <c r="QZZ19" s="41"/>
      <c r="RAA19" s="41"/>
      <c r="RAB19" s="41"/>
      <c r="RAC19" s="41"/>
      <c r="RAD19" s="41"/>
      <c r="RAE19" s="41"/>
      <c r="RAF19" s="41"/>
      <c r="RAG19" s="41"/>
      <c r="RAH19" s="41"/>
      <c r="RAI19" s="41"/>
      <c r="RAJ19" s="41"/>
      <c r="RAK19" s="41"/>
      <c r="RAL19" s="41"/>
      <c r="RAM19" s="41"/>
      <c r="RAN19" s="41"/>
      <c r="RAO19" s="41"/>
      <c r="RAP19" s="41"/>
      <c r="RAQ19" s="41"/>
      <c r="RAR19" s="41"/>
      <c r="RAS19" s="41"/>
      <c r="RAT19" s="41"/>
      <c r="RAU19" s="41"/>
      <c r="RAV19" s="41"/>
      <c r="RAW19" s="41"/>
      <c r="RAX19" s="41"/>
      <c r="RAY19" s="41"/>
      <c r="RAZ19" s="41"/>
      <c r="RBA19" s="41"/>
      <c r="RBB19" s="41"/>
      <c r="RBC19" s="41"/>
      <c r="RBD19" s="41"/>
      <c r="RBE19" s="41"/>
      <c r="RBF19" s="41"/>
      <c r="RBG19" s="41"/>
      <c r="RBH19" s="41"/>
      <c r="RBI19" s="41"/>
      <c r="RBJ19" s="41"/>
      <c r="RBK19" s="41"/>
      <c r="RBL19" s="41"/>
      <c r="RBM19" s="41"/>
      <c r="RBN19" s="41"/>
      <c r="RBO19" s="41"/>
      <c r="RBP19" s="41"/>
      <c r="RBQ19" s="41"/>
      <c r="RBR19" s="41"/>
      <c r="RBS19" s="41"/>
      <c r="RBT19" s="41"/>
      <c r="RBU19" s="41"/>
      <c r="RBV19" s="41"/>
      <c r="RBW19" s="41"/>
      <c r="RBX19" s="41"/>
      <c r="RBY19" s="41"/>
      <c r="RBZ19" s="41"/>
      <c r="RCA19" s="41"/>
      <c r="RCB19" s="41"/>
      <c r="RCC19" s="41"/>
      <c r="RCD19" s="41"/>
      <c r="RCE19" s="41"/>
      <c r="RCF19" s="41"/>
      <c r="RCG19" s="41"/>
      <c r="RCH19" s="41"/>
      <c r="RCI19" s="41"/>
      <c r="RCJ19" s="41"/>
      <c r="RCK19" s="41"/>
      <c r="RCL19" s="41"/>
      <c r="RCM19" s="41"/>
      <c r="RCN19" s="41"/>
      <c r="RCO19" s="41"/>
      <c r="RCP19" s="41"/>
      <c r="RCQ19" s="41"/>
      <c r="RCR19" s="41"/>
      <c r="RCS19" s="41"/>
      <c r="RCT19" s="41"/>
      <c r="RCU19" s="41"/>
      <c r="RCV19" s="41"/>
      <c r="RCW19" s="41"/>
      <c r="RCX19" s="41"/>
      <c r="RCY19" s="41"/>
      <c r="RCZ19" s="41"/>
      <c r="RDA19" s="41"/>
      <c r="RDB19" s="41"/>
      <c r="RDC19" s="41"/>
      <c r="RDD19" s="41"/>
      <c r="RDE19" s="41"/>
      <c r="RDF19" s="41"/>
      <c r="RDG19" s="41"/>
      <c r="RDH19" s="41"/>
      <c r="RDI19" s="41"/>
      <c r="RDJ19" s="41"/>
      <c r="RDK19" s="41"/>
      <c r="RDL19" s="41"/>
      <c r="RDM19" s="41"/>
      <c r="RDN19" s="41"/>
      <c r="RDO19" s="41"/>
      <c r="RDP19" s="41"/>
      <c r="RDQ19" s="41"/>
      <c r="RDR19" s="41"/>
      <c r="RDS19" s="41"/>
      <c r="RDT19" s="41"/>
      <c r="RDU19" s="41"/>
      <c r="RDV19" s="41"/>
      <c r="RDW19" s="41"/>
      <c r="RDX19" s="41"/>
      <c r="RDY19" s="41"/>
      <c r="RDZ19" s="41"/>
      <c r="REA19" s="41"/>
      <c r="REB19" s="41"/>
      <c r="REC19" s="41"/>
      <c r="RED19" s="41"/>
      <c r="REE19" s="41"/>
      <c r="REF19" s="41"/>
      <c r="REG19" s="41"/>
      <c r="REH19" s="41"/>
      <c r="REI19" s="41"/>
      <c r="REJ19" s="41"/>
      <c r="REK19" s="41"/>
      <c r="REL19" s="41"/>
      <c r="REM19" s="41"/>
      <c r="REN19" s="41"/>
      <c r="REO19" s="41"/>
      <c r="REP19" s="41"/>
      <c r="REQ19" s="41"/>
      <c r="RER19" s="41"/>
      <c r="RES19" s="41"/>
      <c r="RET19" s="41"/>
      <c r="REU19" s="41"/>
      <c r="REV19" s="41"/>
      <c r="REW19" s="41"/>
      <c r="REX19" s="41"/>
      <c r="REY19" s="41"/>
      <c r="REZ19" s="41"/>
      <c r="RFA19" s="41"/>
      <c r="RFB19" s="41"/>
      <c r="RFC19" s="41"/>
      <c r="RFD19" s="41"/>
      <c r="RFE19" s="41"/>
      <c r="RFF19" s="41"/>
      <c r="RFG19" s="41"/>
      <c r="RFH19" s="41"/>
      <c r="RFI19" s="41"/>
      <c r="RFJ19" s="41"/>
      <c r="RFK19" s="41"/>
      <c r="RFL19" s="41"/>
      <c r="RFM19" s="41"/>
      <c r="RFN19" s="41"/>
      <c r="RFO19" s="41"/>
      <c r="RFP19" s="41"/>
      <c r="RFQ19" s="41"/>
      <c r="RFR19" s="41"/>
      <c r="RFS19" s="41"/>
      <c r="RFT19" s="41"/>
      <c r="RFU19" s="41"/>
      <c r="RFV19" s="41"/>
      <c r="RFW19" s="41"/>
      <c r="RFX19" s="41"/>
      <c r="RFY19" s="41"/>
      <c r="RFZ19" s="41"/>
      <c r="RGA19" s="41"/>
      <c r="RGB19" s="41"/>
      <c r="RGC19" s="41"/>
      <c r="RGD19" s="41"/>
      <c r="RGE19" s="41"/>
      <c r="RGF19" s="41"/>
      <c r="RGG19" s="41"/>
      <c r="RGH19" s="41"/>
      <c r="RGI19" s="41"/>
      <c r="RGJ19" s="41"/>
      <c r="RGK19" s="41"/>
      <c r="RGL19" s="41"/>
      <c r="RGM19" s="41"/>
      <c r="RGN19" s="41"/>
      <c r="RGO19" s="41"/>
      <c r="RGP19" s="41"/>
      <c r="RGQ19" s="41"/>
      <c r="RGR19" s="41"/>
      <c r="RGS19" s="41"/>
      <c r="RGT19" s="41"/>
      <c r="RGU19" s="41"/>
      <c r="RGV19" s="41"/>
      <c r="RGW19" s="41"/>
      <c r="RGX19" s="41"/>
      <c r="RGY19" s="41"/>
      <c r="RGZ19" s="41"/>
      <c r="RHA19" s="41"/>
      <c r="RHB19" s="41"/>
      <c r="RHC19" s="41"/>
      <c r="RHD19" s="41"/>
      <c r="RHE19" s="41"/>
      <c r="RHF19" s="41"/>
      <c r="RHG19" s="41"/>
      <c r="RHH19" s="41"/>
      <c r="RHI19" s="41"/>
      <c r="RHJ19" s="41"/>
      <c r="RHK19" s="41"/>
      <c r="RHL19" s="41"/>
      <c r="RHM19" s="41"/>
      <c r="RHN19" s="41"/>
      <c r="RHO19" s="41"/>
      <c r="RHP19" s="41"/>
      <c r="RHQ19" s="41"/>
      <c r="RHR19" s="41"/>
      <c r="RHS19" s="41"/>
      <c r="RHT19" s="41"/>
      <c r="RHU19" s="41"/>
      <c r="RHV19" s="41"/>
      <c r="RHW19" s="41"/>
      <c r="RHX19" s="41"/>
      <c r="RHY19" s="41"/>
      <c r="RHZ19" s="41"/>
      <c r="RIA19" s="41"/>
      <c r="RIB19" s="41"/>
      <c r="RIC19" s="41"/>
      <c r="RID19" s="41"/>
      <c r="RIE19" s="41"/>
      <c r="RIF19" s="41"/>
      <c r="RIG19" s="41"/>
      <c r="RIH19" s="41"/>
      <c r="RII19" s="41"/>
      <c r="RIJ19" s="41"/>
      <c r="RIK19" s="41"/>
      <c r="RIL19" s="41"/>
      <c r="RIM19" s="41"/>
      <c r="RIN19" s="41"/>
      <c r="RIO19" s="41"/>
      <c r="RIP19" s="41"/>
      <c r="RIQ19" s="41"/>
      <c r="RIR19" s="41"/>
      <c r="RIS19" s="41"/>
      <c r="RIT19" s="41"/>
      <c r="RIU19" s="41"/>
      <c r="RIV19" s="41"/>
      <c r="RIW19" s="41"/>
      <c r="RIX19" s="41"/>
      <c r="RIY19" s="41"/>
      <c r="RIZ19" s="41"/>
      <c r="RJA19" s="41"/>
      <c r="RJB19" s="41"/>
      <c r="RJC19" s="41"/>
      <c r="RJD19" s="41"/>
      <c r="RJE19" s="41"/>
      <c r="RJF19" s="41"/>
      <c r="RJG19" s="41"/>
      <c r="RJH19" s="41"/>
      <c r="RJI19" s="41"/>
      <c r="RJJ19" s="41"/>
      <c r="RJK19" s="41"/>
      <c r="RJL19" s="41"/>
      <c r="RJM19" s="41"/>
      <c r="RJN19" s="41"/>
      <c r="RJO19" s="41"/>
      <c r="RJP19" s="41"/>
      <c r="RJQ19" s="41"/>
      <c r="RJR19" s="41"/>
      <c r="RJS19" s="41"/>
      <c r="RJT19" s="41"/>
      <c r="RJU19" s="41"/>
      <c r="RJV19" s="41"/>
      <c r="RJW19" s="41"/>
      <c r="RJX19" s="41"/>
      <c r="RJY19" s="41"/>
      <c r="RJZ19" s="41"/>
      <c r="RKA19" s="41"/>
      <c r="RKB19" s="41"/>
      <c r="RKC19" s="41"/>
      <c r="RKD19" s="41"/>
      <c r="RKE19" s="41"/>
      <c r="RKF19" s="41"/>
      <c r="RKG19" s="41"/>
      <c r="RKH19" s="41"/>
      <c r="RKI19" s="41"/>
      <c r="RKJ19" s="41"/>
      <c r="RKK19" s="41"/>
      <c r="RKL19" s="41"/>
      <c r="RKM19" s="41"/>
      <c r="RKN19" s="41"/>
      <c r="RKO19" s="41"/>
      <c r="RKP19" s="41"/>
      <c r="RKQ19" s="41"/>
      <c r="RKR19" s="41"/>
      <c r="RKS19" s="41"/>
      <c r="RKT19" s="41"/>
      <c r="RKU19" s="41"/>
      <c r="RKV19" s="41"/>
      <c r="RKW19" s="41"/>
      <c r="RKX19" s="41"/>
      <c r="RKY19" s="41"/>
      <c r="RKZ19" s="41"/>
      <c r="RLA19" s="41"/>
      <c r="RLB19" s="41"/>
      <c r="RLC19" s="41"/>
      <c r="RLD19" s="41"/>
      <c r="RLE19" s="41"/>
      <c r="RLF19" s="41"/>
      <c r="RLG19" s="41"/>
      <c r="RLH19" s="41"/>
      <c r="RLI19" s="41"/>
      <c r="RLJ19" s="41"/>
      <c r="RLK19" s="41"/>
      <c r="RLL19" s="41"/>
      <c r="RLM19" s="41"/>
      <c r="RLN19" s="41"/>
      <c r="RLO19" s="41"/>
      <c r="RLP19" s="41"/>
      <c r="RLQ19" s="41"/>
      <c r="RLR19" s="41"/>
      <c r="RLS19" s="41"/>
      <c r="RLT19" s="41"/>
      <c r="RLU19" s="41"/>
      <c r="RLV19" s="41"/>
      <c r="RLW19" s="41"/>
      <c r="RLX19" s="41"/>
      <c r="RLY19" s="41"/>
      <c r="RLZ19" s="41"/>
      <c r="RMA19" s="41"/>
      <c r="RMB19" s="41"/>
      <c r="RMC19" s="41"/>
      <c r="RMD19" s="41"/>
      <c r="RME19" s="41"/>
      <c r="RMF19" s="41"/>
      <c r="RMG19" s="41"/>
      <c r="RMH19" s="41"/>
      <c r="RMI19" s="41"/>
      <c r="RMJ19" s="41"/>
      <c r="RMK19" s="41"/>
      <c r="RML19" s="41"/>
      <c r="RMM19" s="41"/>
      <c r="RMN19" s="41"/>
      <c r="RMO19" s="41"/>
      <c r="RMP19" s="41"/>
      <c r="RMQ19" s="41"/>
      <c r="RMR19" s="41"/>
      <c r="RMS19" s="41"/>
      <c r="RMT19" s="41"/>
      <c r="RMU19" s="41"/>
      <c r="RMV19" s="41"/>
      <c r="RMW19" s="41"/>
      <c r="RMX19" s="41"/>
      <c r="RMY19" s="41"/>
      <c r="RMZ19" s="41"/>
      <c r="RNA19" s="41"/>
      <c r="RNB19" s="41"/>
      <c r="RNC19" s="41"/>
      <c r="RND19" s="41"/>
      <c r="RNE19" s="41"/>
      <c r="RNF19" s="41"/>
      <c r="RNG19" s="41"/>
      <c r="RNH19" s="41"/>
      <c r="RNI19" s="41"/>
      <c r="RNJ19" s="41"/>
      <c r="RNK19" s="41"/>
      <c r="RNL19" s="41"/>
      <c r="RNM19" s="41"/>
      <c r="RNN19" s="41"/>
      <c r="RNO19" s="41"/>
      <c r="RNP19" s="41"/>
      <c r="RNQ19" s="41"/>
      <c r="RNR19" s="41"/>
      <c r="RNS19" s="41"/>
      <c r="RNT19" s="41"/>
      <c r="RNU19" s="41"/>
      <c r="RNV19" s="41"/>
      <c r="RNW19" s="41"/>
      <c r="RNX19" s="41"/>
      <c r="RNY19" s="41"/>
      <c r="RNZ19" s="41"/>
      <c r="ROA19" s="41"/>
      <c r="ROB19" s="41"/>
      <c r="ROC19" s="41"/>
      <c r="ROD19" s="41"/>
      <c r="ROE19" s="41"/>
      <c r="ROF19" s="41"/>
      <c r="ROG19" s="41"/>
      <c r="ROH19" s="41"/>
      <c r="ROI19" s="41"/>
      <c r="ROJ19" s="41"/>
      <c r="ROK19" s="41"/>
      <c r="ROL19" s="41"/>
      <c r="ROM19" s="41"/>
      <c r="RON19" s="41"/>
      <c r="ROO19" s="41"/>
      <c r="ROP19" s="41"/>
      <c r="ROQ19" s="41"/>
      <c r="ROR19" s="41"/>
      <c r="ROS19" s="41"/>
      <c r="ROT19" s="41"/>
      <c r="ROU19" s="41"/>
      <c r="ROV19" s="41"/>
      <c r="ROW19" s="41"/>
      <c r="ROX19" s="41"/>
      <c r="ROY19" s="41"/>
      <c r="ROZ19" s="41"/>
      <c r="RPA19" s="41"/>
      <c r="RPB19" s="41"/>
      <c r="RPC19" s="41"/>
      <c r="RPD19" s="41"/>
      <c r="RPE19" s="41"/>
      <c r="RPF19" s="41"/>
      <c r="RPG19" s="41"/>
      <c r="RPH19" s="41"/>
      <c r="RPI19" s="41"/>
      <c r="RPJ19" s="41"/>
      <c r="RPK19" s="41"/>
      <c r="RPL19" s="41"/>
      <c r="RPM19" s="41"/>
      <c r="RPN19" s="41"/>
      <c r="RPO19" s="41"/>
      <c r="RPP19" s="41"/>
      <c r="RPQ19" s="41"/>
      <c r="RPR19" s="41"/>
      <c r="RPS19" s="41"/>
      <c r="RPT19" s="41"/>
      <c r="RPU19" s="41"/>
      <c r="RPV19" s="41"/>
      <c r="RPW19" s="41"/>
      <c r="RPX19" s="41"/>
      <c r="RPY19" s="41"/>
      <c r="RPZ19" s="41"/>
      <c r="RQA19" s="41"/>
      <c r="RQB19" s="41"/>
      <c r="RQC19" s="41"/>
      <c r="RQD19" s="41"/>
      <c r="RQE19" s="41"/>
      <c r="RQF19" s="41"/>
      <c r="RQG19" s="41"/>
      <c r="RQH19" s="41"/>
      <c r="RQI19" s="41"/>
      <c r="RQJ19" s="41"/>
      <c r="RQK19" s="41"/>
      <c r="RQL19" s="41"/>
      <c r="RQM19" s="41"/>
      <c r="RQN19" s="41"/>
      <c r="RQO19" s="41"/>
      <c r="RQP19" s="41"/>
      <c r="RQQ19" s="41"/>
      <c r="RQR19" s="41"/>
      <c r="RQS19" s="41"/>
      <c r="RQT19" s="41"/>
      <c r="RQU19" s="41"/>
      <c r="RQV19" s="41"/>
      <c r="RQW19" s="41"/>
      <c r="RQX19" s="41"/>
      <c r="RQY19" s="41"/>
      <c r="RQZ19" s="41"/>
      <c r="RRA19" s="41"/>
      <c r="RRB19" s="41"/>
      <c r="RRC19" s="41"/>
      <c r="RRD19" s="41"/>
      <c r="RRE19" s="41"/>
      <c r="RRF19" s="41"/>
      <c r="RRG19" s="41"/>
      <c r="RRH19" s="41"/>
      <c r="RRI19" s="41"/>
      <c r="RRJ19" s="41"/>
      <c r="RRK19" s="41"/>
      <c r="RRL19" s="41"/>
      <c r="RRM19" s="41"/>
      <c r="RRN19" s="41"/>
      <c r="RRO19" s="41"/>
      <c r="RRP19" s="41"/>
      <c r="RRQ19" s="41"/>
      <c r="RRR19" s="41"/>
      <c r="RRS19" s="41"/>
      <c r="RRT19" s="41"/>
      <c r="RRU19" s="41"/>
      <c r="RRV19" s="41"/>
      <c r="RRW19" s="41"/>
      <c r="RRX19" s="41"/>
      <c r="RRY19" s="41"/>
      <c r="RRZ19" s="41"/>
      <c r="RSA19" s="41"/>
      <c r="RSB19" s="41"/>
      <c r="RSC19" s="41"/>
      <c r="RSD19" s="41"/>
      <c r="RSE19" s="41"/>
      <c r="RSF19" s="41"/>
      <c r="RSG19" s="41"/>
      <c r="RSH19" s="41"/>
      <c r="RSI19" s="41"/>
      <c r="RSJ19" s="41"/>
      <c r="RSK19" s="41"/>
      <c r="RSL19" s="41"/>
      <c r="RSM19" s="41"/>
      <c r="RSN19" s="41"/>
      <c r="RSO19" s="41"/>
      <c r="RSP19" s="41"/>
      <c r="RSQ19" s="41"/>
      <c r="RSR19" s="41"/>
      <c r="RSS19" s="41"/>
      <c r="RST19" s="41"/>
      <c r="RSU19" s="41"/>
      <c r="RSV19" s="41"/>
      <c r="RSW19" s="41"/>
      <c r="RSX19" s="41"/>
      <c r="RSY19" s="41"/>
      <c r="RSZ19" s="41"/>
      <c r="RTA19" s="41"/>
      <c r="RTB19" s="41"/>
      <c r="RTC19" s="41"/>
      <c r="RTD19" s="41"/>
      <c r="RTE19" s="41"/>
      <c r="RTF19" s="41"/>
      <c r="RTG19" s="41"/>
      <c r="RTH19" s="41"/>
      <c r="RTI19" s="41"/>
      <c r="RTJ19" s="41"/>
      <c r="RTK19" s="41"/>
      <c r="RTL19" s="41"/>
      <c r="RTM19" s="41"/>
      <c r="RTN19" s="41"/>
      <c r="RTO19" s="41"/>
      <c r="RTP19" s="41"/>
      <c r="RTQ19" s="41"/>
      <c r="RTR19" s="41"/>
      <c r="RTS19" s="41"/>
      <c r="RTT19" s="41"/>
      <c r="RTU19" s="41"/>
      <c r="RTV19" s="41"/>
      <c r="RTW19" s="41"/>
      <c r="RTX19" s="41"/>
      <c r="RTY19" s="41"/>
      <c r="RTZ19" s="41"/>
      <c r="RUA19" s="41"/>
      <c r="RUB19" s="41"/>
      <c r="RUC19" s="41"/>
      <c r="RUD19" s="41"/>
      <c r="RUE19" s="41"/>
      <c r="RUF19" s="41"/>
      <c r="RUG19" s="41"/>
      <c r="RUH19" s="41"/>
      <c r="RUI19" s="41"/>
      <c r="RUJ19" s="41"/>
      <c r="RUK19" s="41"/>
      <c r="RUL19" s="41"/>
      <c r="RUM19" s="41"/>
      <c r="RUN19" s="41"/>
      <c r="RUO19" s="41"/>
      <c r="RUP19" s="41"/>
      <c r="RUQ19" s="41"/>
      <c r="RUR19" s="41"/>
      <c r="RUS19" s="41"/>
      <c r="RUT19" s="41"/>
      <c r="RUU19" s="41"/>
      <c r="RUV19" s="41"/>
      <c r="RUW19" s="41"/>
      <c r="RUX19" s="41"/>
      <c r="RUY19" s="41"/>
      <c r="RUZ19" s="41"/>
      <c r="RVA19" s="41"/>
      <c r="RVB19" s="41"/>
      <c r="RVC19" s="41"/>
      <c r="RVD19" s="41"/>
      <c r="RVE19" s="41"/>
      <c r="RVF19" s="41"/>
      <c r="RVG19" s="41"/>
      <c r="RVH19" s="41"/>
      <c r="RVI19" s="41"/>
      <c r="RVJ19" s="41"/>
      <c r="RVK19" s="41"/>
      <c r="RVL19" s="41"/>
      <c r="RVM19" s="41"/>
      <c r="RVN19" s="41"/>
      <c r="RVO19" s="41"/>
      <c r="RVP19" s="41"/>
      <c r="RVQ19" s="41"/>
      <c r="RVR19" s="41"/>
      <c r="RVS19" s="41"/>
      <c r="RVT19" s="41"/>
      <c r="RVU19" s="41"/>
      <c r="RVV19" s="41"/>
      <c r="RVW19" s="41"/>
      <c r="RVX19" s="41"/>
      <c r="RVY19" s="41"/>
      <c r="RVZ19" s="41"/>
      <c r="RWA19" s="41"/>
      <c r="RWB19" s="41"/>
      <c r="RWC19" s="41"/>
      <c r="RWD19" s="41"/>
      <c r="RWE19" s="41"/>
      <c r="RWF19" s="41"/>
      <c r="RWG19" s="41"/>
      <c r="RWH19" s="41"/>
      <c r="RWI19" s="41"/>
      <c r="RWJ19" s="41"/>
      <c r="RWK19" s="41"/>
      <c r="RWL19" s="41"/>
      <c r="RWM19" s="41"/>
      <c r="RWN19" s="41"/>
      <c r="RWO19" s="41"/>
      <c r="RWP19" s="41"/>
      <c r="RWQ19" s="41"/>
      <c r="RWR19" s="41"/>
      <c r="RWS19" s="41"/>
      <c r="RWT19" s="41"/>
      <c r="RWU19" s="41"/>
      <c r="RWV19" s="41"/>
      <c r="RWW19" s="41"/>
      <c r="RWX19" s="41"/>
      <c r="RWY19" s="41"/>
      <c r="RWZ19" s="41"/>
      <c r="RXA19" s="41"/>
      <c r="RXB19" s="41"/>
      <c r="RXC19" s="41"/>
      <c r="RXD19" s="41"/>
      <c r="RXE19" s="41"/>
      <c r="RXF19" s="41"/>
      <c r="RXG19" s="41"/>
      <c r="RXH19" s="41"/>
      <c r="RXI19" s="41"/>
      <c r="RXJ19" s="41"/>
      <c r="RXK19" s="41"/>
      <c r="RXL19" s="41"/>
      <c r="RXM19" s="41"/>
      <c r="RXN19" s="41"/>
      <c r="RXO19" s="41"/>
      <c r="RXP19" s="41"/>
      <c r="RXQ19" s="41"/>
      <c r="RXR19" s="41"/>
      <c r="RXS19" s="41"/>
      <c r="RXT19" s="41"/>
      <c r="RXU19" s="41"/>
      <c r="RXV19" s="41"/>
      <c r="RXW19" s="41"/>
      <c r="RXX19" s="41"/>
      <c r="RXY19" s="41"/>
      <c r="RXZ19" s="41"/>
      <c r="RYA19" s="41"/>
      <c r="RYB19" s="41"/>
      <c r="RYC19" s="41"/>
      <c r="RYD19" s="41"/>
      <c r="RYE19" s="41"/>
      <c r="RYF19" s="41"/>
      <c r="RYG19" s="41"/>
      <c r="RYH19" s="41"/>
      <c r="RYI19" s="41"/>
      <c r="RYJ19" s="41"/>
      <c r="RYK19" s="41"/>
      <c r="RYL19" s="41"/>
      <c r="RYM19" s="41"/>
      <c r="RYN19" s="41"/>
      <c r="RYO19" s="41"/>
      <c r="RYP19" s="41"/>
      <c r="RYQ19" s="41"/>
      <c r="RYR19" s="41"/>
      <c r="RYS19" s="41"/>
      <c r="RYT19" s="41"/>
      <c r="RYU19" s="41"/>
      <c r="RYV19" s="41"/>
      <c r="RYW19" s="41"/>
      <c r="RYX19" s="41"/>
      <c r="RYY19" s="41"/>
      <c r="RYZ19" s="41"/>
      <c r="RZA19" s="41"/>
      <c r="RZB19" s="41"/>
      <c r="RZC19" s="41"/>
      <c r="RZD19" s="41"/>
      <c r="RZE19" s="41"/>
      <c r="RZF19" s="41"/>
      <c r="RZG19" s="41"/>
      <c r="RZH19" s="41"/>
      <c r="RZI19" s="41"/>
      <c r="RZJ19" s="41"/>
      <c r="RZK19" s="41"/>
      <c r="RZL19" s="41"/>
      <c r="RZM19" s="41"/>
      <c r="RZN19" s="41"/>
      <c r="RZO19" s="41"/>
      <c r="RZP19" s="41"/>
      <c r="RZQ19" s="41"/>
      <c r="RZR19" s="41"/>
      <c r="RZS19" s="41"/>
      <c r="RZT19" s="41"/>
      <c r="RZU19" s="41"/>
      <c r="RZV19" s="41"/>
      <c r="RZW19" s="41"/>
      <c r="RZX19" s="41"/>
      <c r="RZY19" s="41"/>
      <c r="RZZ19" s="41"/>
      <c r="SAA19" s="41"/>
      <c r="SAB19" s="41"/>
      <c r="SAC19" s="41"/>
      <c r="SAD19" s="41"/>
      <c r="SAE19" s="41"/>
      <c r="SAF19" s="41"/>
      <c r="SAG19" s="41"/>
      <c r="SAH19" s="41"/>
      <c r="SAI19" s="41"/>
      <c r="SAJ19" s="41"/>
      <c r="SAK19" s="41"/>
      <c r="SAL19" s="41"/>
      <c r="SAM19" s="41"/>
      <c r="SAN19" s="41"/>
      <c r="SAO19" s="41"/>
      <c r="SAP19" s="41"/>
      <c r="SAQ19" s="41"/>
      <c r="SAR19" s="41"/>
      <c r="SAS19" s="41"/>
      <c r="SAT19" s="41"/>
      <c r="SAU19" s="41"/>
      <c r="SAV19" s="41"/>
      <c r="SAW19" s="41"/>
      <c r="SAX19" s="41"/>
      <c r="SAY19" s="41"/>
      <c r="SAZ19" s="41"/>
      <c r="SBA19" s="41"/>
      <c r="SBB19" s="41"/>
      <c r="SBC19" s="41"/>
      <c r="SBD19" s="41"/>
      <c r="SBE19" s="41"/>
      <c r="SBF19" s="41"/>
      <c r="SBG19" s="41"/>
      <c r="SBH19" s="41"/>
      <c r="SBI19" s="41"/>
      <c r="SBJ19" s="41"/>
      <c r="SBK19" s="41"/>
      <c r="SBL19" s="41"/>
      <c r="SBM19" s="41"/>
      <c r="SBN19" s="41"/>
      <c r="SBO19" s="41"/>
      <c r="SBP19" s="41"/>
      <c r="SBQ19" s="41"/>
      <c r="SBR19" s="41"/>
      <c r="SBS19" s="41"/>
      <c r="SBT19" s="41"/>
      <c r="SBU19" s="41"/>
      <c r="SBV19" s="41"/>
      <c r="SBW19" s="41"/>
      <c r="SBX19" s="41"/>
      <c r="SBY19" s="41"/>
      <c r="SBZ19" s="41"/>
      <c r="SCA19" s="41"/>
      <c r="SCB19" s="41"/>
      <c r="SCC19" s="41"/>
      <c r="SCD19" s="41"/>
      <c r="SCE19" s="41"/>
      <c r="SCF19" s="41"/>
      <c r="SCG19" s="41"/>
      <c r="SCH19" s="41"/>
      <c r="SCI19" s="41"/>
      <c r="SCJ19" s="41"/>
      <c r="SCK19" s="41"/>
      <c r="SCL19" s="41"/>
      <c r="SCM19" s="41"/>
      <c r="SCN19" s="41"/>
      <c r="SCO19" s="41"/>
      <c r="SCP19" s="41"/>
      <c r="SCQ19" s="41"/>
      <c r="SCR19" s="41"/>
      <c r="SCS19" s="41"/>
      <c r="SCT19" s="41"/>
      <c r="SCU19" s="41"/>
      <c r="SCV19" s="41"/>
      <c r="SCW19" s="41"/>
      <c r="SCX19" s="41"/>
      <c r="SCY19" s="41"/>
      <c r="SCZ19" s="41"/>
      <c r="SDA19" s="41"/>
      <c r="SDB19" s="41"/>
      <c r="SDC19" s="41"/>
      <c r="SDD19" s="41"/>
      <c r="SDE19" s="41"/>
      <c r="SDF19" s="41"/>
      <c r="SDG19" s="41"/>
      <c r="SDH19" s="41"/>
      <c r="SDI19" s="41"/>
      <c r="SDJ19" s="41"/>
      <c r="SDK19" s="41"/>
      <c r="SDL19" s="41"/>
      <c r="SDM19" s="41"/>
      <c r="SDN19" s="41"/>
      <c r="SDO19" s="41"/>
      <c r="SDP19" s="41"/>
      <c r="SDQ19" s="41"/>
      <c r="SDR19" s="41"/>
      <c r="SDS19" s="41"/>
      <c r="SDT19" s="41"/>
      <c r="SDU19" s="41"/>
      <c r="SDV19" s="41"/>
      <c r="SDW19" s="41"/>
      <c r="SDX19" s="41"/>
      <c r="SDY19" s="41"/>
      <c r="SDZ19" s="41"/>
      <c r="SEA19" s="41"/>
      <c r="SEB19" s="41"/>
      <c r="SEC19" s="41"/>
      <c r="SED19" s="41"/>
      <c r="SEE19" s="41"/>
      <c r="SEF19" s="41"/>
      <c r="SEG19" s="41"/>
      <c r="SEH19" s="41"/>
      <c r="SEI19" s="41"/>
      <c r="SEJ19" s="41"/>
      <c r="SEK19" s="41"/>
      <c r="SEL19" s="41"/>
      <c r="SEM19" s="41"/>
      <c r="SEN19" s="41"/>
      <c r="SEO19" s="41"/>
      <c r="SEP19" s="41"/>
      <c r="SEQ19" s="41"/>
      <c r="SER19" s="41"/>
      <c r="SES19" s="41"/>
      <c r="SET19" s="41"/>
      <c r="SEU19" s="41"/>
      <c r="SEV19" s="41"/>
      <c r="SEW19" s="41"/>
      <c r="SEX19" s="41"/>
      <c r="SEY19" s="41"/>
      <c r="SEZ19" s="41"/>
      <c r="SFA19" s="41"/>
      <c r="SFB19" s="41"/>
      <c r="SFC19" s="41"/>
      <c r="SFD19" s="41"/>
      <c r="SFE19" s="41"/>
      <c r="SFF19" s="41"/>
      <c r="SFG19" s="41"/>
      <c r="SFH19" s="41"/>
      <c r="SFI19" s="41"/>
      <c r="SFJ19" s="41"/>
      <c r="SFK19" s="41"/>
      <c r="SFL19" s="41"/>
      <c r="SFM19" s="41"/>
      <c r="SFN19" s="41"/>
      <c r="SFO19" s="41"/>
      <c r="SFP19" s="41"/>
      <c r="SFQ19" s="41"/>
      <c r="SFR19" s="41"/>
      <c r="SFS19" s="41"/>
      <c r="SFT19" s="41"/>
      <c r="SFU19" s="41"/>
      <c r="SFV19" s="41"/>
      <c r="SFW19" s="41"/>
      <c r="SFX19" s="41"/>
      <c r="SFY19" s="41"/>
      <c r="SFZ19" s="41"/>
      <c r="SGA19" s="41"/>
      <c r="SGB19" s="41"/>
      <c r="SGC19" s="41"/>
      <c r="SGD19" s="41"/>
      <c r="SGE19" s="41"/>
      <c r="SGF19" s="41"/>
      <c r="SGG19" s="41"/>
      <c r="SGH19" s="41"/>
      <c r="SGI19" s="41"/>
      <c r="SGJ19" s="41"/>
      <c r="SGK19" s="41"/>
      <c r="SGL19" s="41"/>
      <c r="SGM19" s="41"/>
      <c r="SGN19" s="41"/>
      <c r="SGO19" s="41"/>
      <c r="SGP19" s="41"/>
      <c r="SGQ19" s="41"/>
      <c r="SGR19" s="41"/>
      <c r="SGS19" s="41"/>
      <c r="SGT19" s="41"/>
      <c r="SGU19" s="41"/>
      <c r="SGV19" s="41"/>
      <c r="SGW19" s="41"/>
      <c r="SGX19" s="41"/>
      <c r="SGY19" s="41"/>
      <c r="SGZ19" s="41"/>
      <c r="SHA19" s="41"/>
      <c r="SHB19" s="41"/>
      <c r="SHC19" s="41"/>
      <c r="SHD19" s="41"/>
      <c r="SHE19" s="41"/>
      <c r="SHF19" s="41"/>
      <c r="SHG19" s="41"/>
      <c r="SHH19" s="41"/>
      <c r="SHI19" s="41"/>
      <c r="SHJ19" s="41"/>
      <c r="SHK19" s="41"/>
      <c r="SHL19" s="41"/>
      <c r="SHM19" s="41"/>
      <c r="SHN19" s="41"/>
      <c r="SHO19" s="41"/>
      <c r="SHP19" s="41"/>
      <c r="SHQ19" s="41"/>
      <c r="SHR19" s="41"/>
      <c r="SHS19" s="41"/>
      <c r="SHT19" s="41"/>
      <c r="SHU19" s="41"/>
      <c r="SHV19" s="41"/>
      <c r="SHW19" s="41"/>
      <c r="SHX19" s="41"/>
      <c r="SHY19" s="41"/>
      <c r="SHZ19" s="41"/>
      <c r="SIA19" s="41"/>
      <c r="SIB19" s="41"/>
      <c r="SIC19" s="41"/>
      <c r="SID19" s="41"/>
      <c r="SIE19" s="41"/>
      <c r="SIF19" s="41"/>
      <c r="SIG19" s="41"/>
      <c r="SIH19" s="41"/>
      <c r="SII19" s="41"/>
      <c r="SIJ19" s="41"/>
      <c r="SIK19" s="41"/>
      <c r="SIL19" s="41"/>
      <c r="SIM19" s="41"/>
      <c r="SIN19" s="41"/>
      <c r="SIO19" s="41"/>
      <c r="SIP19" s="41"/>
      <c r="SIQ19" s="41"/>
      <c r="SIR19" s="41"/>
      <c r="SIS19" s="41"/>
      <c r="SIT19" s="41"/>
      <c r="SIU19" s="41"/>
      <c r="SIV19" s="41"/>
      <c r="SIW19" s="41"/>
      <c r="SIX19" s="41"/>
      <c r="SIY19" s="41"/>
      <c r="SIZ19" s="41"/>
      <c r="SJA19" s="41"/>
      <c r="SJB19" s="41"/>
      <c r="SJC19" s="41"/>
      <c r="SJD19" s="41"/>
      <c r="SJE19" s="41"/>
      <c r="SJF19" s="41"/>
      <c r="SJG19" s="41"/>
      <c r="SJH19" s="41"/>
      <c r="SJI19" s="41"/>
      <c r="SJJ19" s="41"/>
      <c r="SJK19" s="41"/>
      <c r="SJL19" s="41"/>
      <c r="SJM19" s="41"/>
      <c r="SJN19" s="41"/>
      <c r="SJO19" s="41"/>
      <c r="SJP19" s="41"/>
      <c r="SJQ19" s="41"/>
      <c r="SJR19" s="41"/>
      <c r="SJS19" s="41"/>
      <c r="SJT19" s="41"/>
      <c r="SJU19" s="41"/>
      <c r="SJV19" s="41"/>
      <c r="SJW19" s="41"/>
      <c r="SJX19" s="41"/>
      <c r="SJY19" s="41"/>
      <c r="SJZ19" s="41"/>
      <c r="SKA19" s="41"/>
      <c r="SKB19" s="41"/>
      <c r="SKC19" s="41"/>
      <c r="SKD19" s="41"/>
      <c r="SKE19" s="41"/>
      <c r="SKF19" s="41"/>
      <c r="SKG19" s="41"/>
      <c r="SKH19" s="41"/>
      <c r="SKI19" s="41"/>
      <c r="SKJ19" s="41"/>
      <c r="SKK19" s="41"/>
      <c r="SKL19" s="41"/>
      <c r="SKM19" s="41"/>
      <c r="SKN19" s="41"/>
      <c r="SKO19" s="41"/>
      <c r="SKP19" s="41"/>
      <c r="SKQ19" s="41"/>
      <c r="SKR19" s="41"/>
      <c r="SKS19" s="41"/>
      <c r="SKT19" s="41"/>
      <c r="SKU19" s="41"/>
      <c r="SKV19" s="41"/>
      <c r="SKW19" s="41"/>
      <c r="SKX19" s="41"/>
      <c r="SKY19" s="41"/>
      <c r="SKZ19" s="41"/>
      <c r="SLA19" s="41"/>
      <c r="SLB19" s="41"/>
      <c r="SLC19" s="41"/>
      <c r="SLD19" s="41"/>
      <c r="SLE19" s="41"/>
      <c r="SLF19" s="41"/>
      <c r="SLG19" s="41"/>
      <c r="SLH19" s="41"/>
      <c r="SLI19" s="41"/>
      <c r="SLJ19" s="41"/>
      <c r="SLK19" s="41"/>
      <c r="SLL19" s="41"/>
      <c r="SLM19" s="41"/>
      <c r="SLN19" s="41"/>
      <c r="SLO19" s="41"/>
      <c r="SLP19" s="41"/>
      <c r="SLQ19" s="41"/>
      <c r="SLR19" s="41"/>
      <c r="SLS19" s="41"/>
      <c r="SLT19" s="41"/>
      <c r="SLU19" s="41"/>
      <c r="SLV19" s="41"/>
      <c r="SLW19" s="41"/>
      <c r="SLX19" s="41"/>
      <c r="SLY19" s="41"/>
      <c r="SLZ19" s="41"/>
      <c r="SMA19" s="41"/>
      <c r="SMB19" s="41"/>
      <c r="SMC19" s="41"/>
      <c r="SMD19" s="41"/>
      <c r="SME19" s="41"/>
      <c r="SMF19" s="41"/>
      <c r="SMG19" s="41"/>
      <c r="SMH19" s="41"/>
      <c r="SMI19" s="41"/>
      <c r="SMJ19" s="41"/>
      <c r="SMK19" s="41"/>
      <c r="SML19" s="41"/>
      <c r="SMM19" s="41"/>
      <c r="SMN19" s="41"/>
      <c r="SMO19" s="41"/>
      <c r="SMP19" s="41"/>
      <c r="SMQ19" s="41"/>
      <c r="SMR19" s="41"/>
      <c r="SMS19" s="41"/>
      <c r="SMT19" s="41"/>
      <c r="SMU19" s="41"/>
      <c r="SMV19" s="41"/>
      <c r="SMW19" s="41"/>
      <c r="SMX19" s="41"/>
      <c r="SMY19" s="41"/>
      <c r="SMZ19" s="41"/>
      <c r="SNA19" s="41"/>
      <c r="SNB19" s="41"/>
      <c r="SNC19" s="41"/>
      <c r="SND19" s="41"/>
      <c r="SNE19" s="41"/>
      <c r="SNF19" s="41"/>
      <c r="SNG19" s="41"/>
      <c r="SNH19" s="41"/>
      <c r="SNI19" s="41"/>
      <c r="SNJ19" s="41"/>
      <c r="SNK19" s="41"/>
      <c r="SNL19" s="41"/>
      <c r="SNM19" s="41"/>
      <c r="SNN19" s="41"/>
      <c r="SNO19" s="41"/>
      <c r="SNP19" s="41"/>
      <c r="SNQ19" s="41"/>
      <c r="SNR19" s="41"/>
      <c r="SNS19" s="41"/>
      <c r="SNT19" s="41"/>
      <c r="SNU19" s="41"/>
      <c r="SNV19" s="41"/>
      <c r="SNW19" s="41"/>
      <c r="SNX19" s="41"/>
      <c r="SNY19" s="41"/>
      <c r="SNZ19" s="41"/>
      <c r="SOA19" s="41"/>
      <c r="SOB19" s="41"/>
      <c r="SOC19" s="41"/>
      <c r="SOD19" s="41"/>
      <c r="SOE19" s="41"/>
      <c r="SOF19" s="41"/>
      <c r="SOG19" s="41"/>
      <c r="SOH19" s="41"/>
      <c r="SOI19" s="41"/>
      <c r="SOJ19" s="41"/>
      <c r="SOK19" s="41"/>
      <c r="SOL19" s="41"/>
      <c r="SOM19" s="41"/>
      <c r="SON19" s="41"/>
      <c r="SOO19" s="41"/>
      <c r="SOP19" s="41"/>
      <c r="SOQ19" s="41"/>
      <c r="SOR19" s="41"/>
      <c r="SOS19" s="41"/>
      <c r="SOT19" s="41"/>
      <c r="SOU19" s="41"/>
      <c r="SOV19" s="41"/>
      <c r="SOW19" s="41"/>
      <c r="SOX19" s="41"/>
      <c r="SOY19" s="41"/>
      <c r="SOZ19" s="41"/>
      <c r="SPA19" s="41"/>
      <c r="SPB19" s="41"/>
      <c r="SPC19" s="41"/>
      <c r="SPD19" s="41"/>
      <c r="SPE19" s="41"/>
      <c r="SPF19" s="41"/>
      <c r="SPG19" s="41"/>
      <c r="SPH19" s="41"/>
      <c r="SPI19" s="41"/>
      <c r="SPJ19" s="41"/>
      <c r="SPK19" s="41"/>
      <c r="SPL19" s="41"/>
      <c r="SPM19" s="41"/>
      <c r="SPN19" s="41"/>
      <c r="SPO19" s="41"/>
      <c r="SPP19" s="41"/>
      <c r="SPQ19" s="41"/>
      <c r="SPR19" s="41"/>
      <c r="SPS19" s="41"/>
      <c r="SPT19" s="41"/>
      <c r="SPU19" s="41"/>
      <c r="SPV19" s="41"/>
      <c r="SPW19" s="41"/>
      <c r="SPX19" s="41"/>
      <c r="SPY19" s="41"/>
      <c r="SPZ19" s="41"/>
      <c r="SQA19" s="41"/>
      <c r="SQB19" s="41"/>
      <c r="SQC19" s="41"/>
      <c r="SQD19" s="41"/>
      <c r="SQE19" s="41"/>
      <c r="SQF19" s="41"/>
      <c r="SQG19" s="41"/>
      <c r="SQH19" s="41"/>
      <c r="SQI19" s="41"/>
      <c r="SQJ19" s="41"/>
      <c r="SQK19" s="41"/>
      <c r="SQL19" s="41"/>
      <c r="SQM19" s="41"/>
      <c r="SQN19" s="41"/>
      <c r="SQO19" s="41"/>
      <c r="SQP19" s="41"/>
      <c r="SQQ19" s="41"/>
      <c r="SQR19" s="41"/>
      <c r="SQS19" s="41"/>
      <c r="SQT19" s="41"/>
      <c r="SQU19" s="41"/>
      <c r="SQV19" s="41"/>
      <c r="SQW19" s="41"/>
      <c r="SQX19" s="41"/>
      <c r="SQY19" s="41"/>
      <c r="SQZ19" s="41"/>
      <c r="SRA19" s="41"/>
      <c r="SRB19" s="41"/>
      <c r="SRC19" s="41"/>
      <c r="SRD19" s="41"/>
      <c r="SRE19" s="41"/>
      <c r="SRF19" s="41"/>
      <c r="SRG19" s="41"/>
      <c r="SRH19" s="41"/>
      <c r="SRI19" s="41"/>
      <c r="SRJ19" s="41"/>
      <c r="SRK19" s="41"/>
      <c r="SRL19" s="41"/>
      <c r="SRM19" s="41"/>
      <c r="SRN19" s="41"/>
      <c r="SRO19" s="41"/>
      <c r="SRP19" s="41"/>
      <c r="SRQ19" s="41"/>
      <c r="SRR19" s="41"/>
      <c r="SRS19" s="41"/>
      <c r="SRT19" s="41"/>
      <c r="SRU19" s="41"/>
      <c r="SRV19" s="41"/>
      <c r="SRW19" s="41"/>
      <c r="SRX19" s="41"/>
      <c r="SRY19" s="41"/>
      <c r="SRZ19" s="41"/>
      <c r="SSA19" s="41"/>
      <c r="SSB19" s="41"/>
      <c r="SSC19" s="41"/>
      <c r="SSD19" s="41"/>
      <c r="SSE19" s="41"/>
      <c r="SSF19" s="41"/>
      <c r="SSG19" s="41"/>
      <c r="SSH19" s="41"/>
      <c r="SSI19" s="41"/>
      <c r="SSJ19" s="41"/>
      <c r="SSK19" s="41"/>
      <c r="SSL19" s="41"/>
      <c r="SSM19" s="41"/>
      <c r="SSN19" s="41"/>
      <c r="SSO19" s="41"/>
      <c r="SSP19" s="41"/>
      <c r="SSQ19" s="41"/>
      <c r="SSR19" s="41"/>
      <c r="SSS19" s="41"/>
      <c r="SST19" s="41"/>
      <c r="SSU19" s="41"/>
      <c r="SSV19" s="41"/>
      <c r="SSW19" s="41"/>
      <c r="SSX19" s="41"/>
      <c r="SSY19" s="41"/>
      <c r="SSZ19" s="41"/>
      <c r="STA19" s="41"/>
      <c r="STB19" s="41"/>
      <c r="STC19" s="41"/>
      <c r="STD19" s="41"/>
      <c r="STE19" s="41"/>
      <c r="STF19" s="41"/>
      <c r="STG19" s="41"/>
      <c r="STH19" s="41"/>
      <c r="STI19" s="41"/>
      <c r="STJ19" s="41"/>
      <c r="STK19" s="41"/>
      <c r="STL19" s="41"/>
      <c r="STM19" s="41"/>
      <c r="STN19" s="41"/>
      <c r="STO19" s="41"/>
      <c r="STP19" s="41"/>
      <c r="STQ19" s="41"/>
      <c r="STR19" s="41"/>
      <c r="STS19" s="41"/>
      <c r="STT19" s="41"/>
      <c r="STU19" s="41"/>
      <c r="STV19" s="41"/>
      <c r="STW19" s="41"/>
      <c r="STX19" s="41"/>
      <c r="STY19" s="41"/>
      <c r="STZ19" s="41"/>
      <c r="SUA19" s="41"/>
      <c r="SUB19" s="41"/>
      <c r="SUC19" s="41"/>
      <c r="SUD19" s="41"/>
      <c r="SUE19" s="41"/>
      <c r="SUF19" s="41"/>
      <c r="SUG19" s="41"/>
      <c r="SUH19" s="41"/>
      <c r="SUI19" s="41"/>
      <c r="SUJ19" s="41"/>
      <c r="SUK19" s="41"/>
      <c r="SUL19" s="41"/>
      <c r="SUM19" s="41"/>
      <c r="SUN19" s="41"/>
      <c r="SUO19" s="41"/>
      <c r="SUP19" s="41"/>
      <c r="SUQ19" s="41"/>
      <c r="SUR19" s="41"/>
      <c r="SUS19" s="41"/>
      <c r="SUT19" s="41"/>
      <c r="SUU19" s="41"/>
      <c r="SUV19" s="41"/>
      <c r="SUW19" s="41"/>
      <c r="SUX19" s="41"/>
      <c r="SUY19" s="41"/>
      <c r="SUZ19" s="41"/>
      <c r="SVA19" s="41"/>
      <c r="SVB19" s="41"/>
      <c r="SVC19" s="41"/>
      <c r="SVD19" s="41"/>
      <c r="SVE19" s="41"/>
      <c r="SVF19" s="41"/>
      <c r="SVG19" s="41"/>
      <c r="SVH19" s="41"/>
      <c r="SVI19" s="41"/>
      <c r="SVJ19" s="41"/>
      <c r="SVK19" s="41"/>
      <c r="SVL19" s="41"/>
      <c r="SVM19" s="41"/>
      <c r="SVN19" s="41"/>
      <c r="SVO19" s="41"/>
      <c r="SVP19" s="41"/>
      <c r="SVQ19" s="41"/>
      <c r="SVR19" s="41"/>
      <c r="SVS19" s="41"/>
      <c r="SVT19" s="41"/>
      <c r="SVU19" s="41"/>
      <c r="SVV19" s="41"/>
      <c r="SVW19" s="41"/>
      <c r="SVX19" s="41"/>
      <c r="SVY19" s="41"/>
      <c r="SVZ19" s="41"/>
      <c r="SWA19" s="41"/>
      <c r="SWB19" s="41"/>
      <c r="SWC19" s="41"/>
      <c r="SWD19" s="41"/>
      <c r="SWE19" s="41"/>
      <c r="SWF19" s="41"/>
      <c r="SWG19" s="41"/>
      <c r="SWH19" s="41"/>
      <c r="SWI19" s="41"/>
      <c r="SWJ19" s="41"/>
      <c r="SWK19" s="41"/>
      <c r="SWL19" s="41"/>
      <c r="SWM19" s="41"/>
      <c r="SWN19" s="41"/>
      <c r="SWO19" s="41"/>
      <c r="SWP19" s="41"/>
      <c r="SWQ19" s="41"/>
      <c r="SWR19" s="41"/>
      <c r="SWS19" s="41"/>
      <c r="SWT19" s="41"/>
      <c r="SWU19" s="41"/>
      <c r="SWV19" s="41"/>
      <c r="SWW19" s="41"/>
      <c r="SWX19" s="41"/>
      <c r="SWY19" s="41"/>
      <c r="SWZ19" s="41"/>
      <c r="SXA19" s="41"/>
      <c r="SXB19" s="41"/>
      <c r="SXC19" s="41"/>
      <c r="SXD19" s="41"/>
      <c r="SXE19" s="41"/>
      <c r="SXF19" s="41"/>
      <c r="SXG19" s="41"/>
      <c r="SXH19" s="41"/>
      <c r="SXI19" s="41"/>
      <c r="SXJ19" s="41"/>
      <c r="SXK19" s="41"/>
      <c r="SXL19" s="41"/>
      <c r="SXM19" s="41"/>
      <c r="SXN19" s="41"/>
      <c r="SXO19" s="41"/>
      <c r="SXP19" s="41"/>
      <c r="SXQ19" s="41"/>
      <c r="SXR19" s="41"/>
      <c r="SXS19" s="41"/>
      <c r="SXT19" s="41"/>
      <c r="SXU19" s="41"/>
      <c r="SXV19" s="41"/>
      <c r="SXW19" s="41"/>
      <c r="SXX19" s="41"/>
      <c r="SXY19" s="41"/>
      <c r="SXZ19" s="41"/>
      <c r="SYA19" s="41"/>
      <c r="SYB19" s="41"/>
      <c r="SYC19" s="41"/>
      <c r="SYD19" s="41"/>
      <c r="SYE19" s="41"/>
      <c r="SYF19" s="41"/>
      <c r="SYG19" s="41"/>
      <c r="SYH19" s="41"/>
      <c r="SYI19" s="41"/>
      <c r="SYJ19" s="41"/>
      <c r="SYK19" s="41"/>
      <c r="SYL19" s="41"/>
      <c r="SYM19" s="41"/>
      <c r="SYN19" s="41"/>
      <c r="SYO19" s="41"/>
      <c r="SYP19" s="41"/>
      <c r="SYQ19" s="41"/>
      <c r="SYR19" s="41"/>
      <c r="SYS19" s="41"/>
      <c r="SYT19" s="41"/>
      <c r="SYU19" s="41"/>
      <c r="SYV19" s="41"/>
      <c r="SYW19" s="41"/>
      <c r="SYX19" s="41"/>
      <c r="SYY19" s="41"/>
      <c r="SYZ19" s="41"/>
      <c r="SZA19" s="41"/>
      <c r="SZB19" s="41"/>
      <c r="SZC19" s="41"/>
      <c r="SZD19" s="41"/>
      <c r="SZE19" s="41"/>
      <c r="SZF19" s="41"/>
      <c r="SZG19" s="41"/>
      <c r="SZH19" s="41"/>
      <c r="SZI19" s="41"/>
      <c r="SZJ19" s="41"/>
      <c r="SZK19" s="41"/>
      <c r="SZL19" s="41"/>
      <c r="SZM19" s="41"/>
      <c r="SZN19" s="41"/>
      <c r="SZO19" s="41"/>
      <c r="SZP19" s="41"/>
      <c r="SZQ19" s="41"/>
      <c r="SZR19" s="41"/>
      <c r="SZS19" s="41"/>
      <c r="SZT19" s="41"/>
      <c r="SZU19" s="41"/>
      <c r="SZV19" s="41"/>
      <c r="SZW19" s="41"/>
      <c r="SZX19" s="41"/>
      <c r="SZY19" s="41"/>
      <c r="SZZ19" s="41"/>
      <c r="TAA19" s="41"/>
      <c r="TAB19" s="41"/>
      <c r="TAC19" s="41"/>
      <c r="TAD19" s="41"/>
      <c r="TAE19" s="41"/>
      <c r="TAF19" s="41"/>
      <c r="TAG19" s="41"/>
      <c r="TAH19" s="41"/>
      <c r="TAI19" s="41"/>
      <c r="TAJ19" s="41"/>
      <c r="TAK19" s="41"/>
      <c r="TAL19" s="41"/>
      <c r="TAM19" s="41"/>
      <c r="TAN19" s="41"/>
      <c r="TAO19" s="41"/>
      <c r="TAP19" s="41"/>
      <c r="TAQ19" s="41"/>
      <c r="TAR19" s="41"/>
      <c r="TAS19" s="41"/>
      <c r="TAT19" s="41"/>
      <c r="TAU19" s="41"/>
      <c r="TAV19" s="41"/>
      <c r="TAW19" s="41"/>
      <c r="TAX19" s="41"/>
      <c r="TAY19" s="41"/>
      <c r="TAZ19" s="41"/>
      <c r="TBA19" s="41"/>
      <c r="TBB19" s="41"/>
      <c r="TBC19" s="41"/>
      <c r="TBD19" s="41"/>
      <c r="TBE19" s="41"/>
      <c r="TBF19" s="41"/>
      <c r="TBG19" s="41"/>
      <c r="TBH19" s="41"/>
      <c r="TBI19" s="41"/>
      <c r="TBJ19" s="41"/>
      <c r="TBK19" s="41"/>
      <c r="TBL19" s="41"/>
      <c r="TBM19" s="41"/>
      <c r="TBN19" s="41"/>
      <c r="TBO19" s="41"/>
      <c r="TBP19" s="41"/>
      <c r="TBQ19" s="41"/>
      <c r="TBR19" s="41"/>
      <c r="TBS19" s="41"/>
      <c r="TBT19" s="41"/>
      <c r="TBU19" s="41"/>
      <c r="TBV19" s="41"/>
      <c r="TBW19" s="41"/>
      <c r="TBX19" s="41"/>
      <c r="TBY19" s="41"/>
      <c r="TBZ19" s="41"/>
      <c r="TCA19" s="41"/>
      <c r="TCB19" s="41"/>
      <c r="TCC19" s="41"/>
      <c r="TCD19" s="41"/>
      <c r="TCE19" s="41"/>
      <c r="TCF19" s="41"/>
      <c r="TCG19" s="41"/>
      <c r="TCH19" s="41"/>
      <c r="TCI19" s="41"/>
      <c r="TCJ19" s="41"/>
      <c r="TCK19" s="41"/>
      <c r="TCL19" s="41"/>
      <c r="TCM19" s="41"/>
      <c r="TCN19" s="41"/>
      <c r="TCO19" s="41"/>
      <c r="TCP19" s="41"/>
      <c r="TCQ19" s="41"/>
      <c r="TCR19" s="41"/>
      <c r="TCS19" s="41"/>
      <c r="TCT19" s="41"/>
      <c r="TCU19" s="41"/>
      <c r="TCV19" s="41"/>
      <c r="TCW19" s="41"/>
      <c r="TCX19" s="41"/>
      <c r="TCY19" s="41"/>
      <c r="TCZ19" s="41"/>
      <c r="TDA19" s="41"/>
      <c r="TDB19" s="41"/>
      <c r="TDC19" s="41"/>
      <c r="TDD19" s="41"/>
      <c r="TDE19" s="41"/>
      <c r="TDF19" s="41"/>
      <c r="TDG19" s="41"/>
      <c r="TDH19" s="41"/>
      <c r="TDI19" s="41"/>
      <c r="TDJ19" s="41"/>
      <c r="TDK19" s="41"/>
      <c r="TDL19" s="41"/>
      <c r="TDM19" s="41"/>
      <c r="TDN19" s="41"/>
      <c r="TDO19" s="41"/>
      <c r="TDP19" s="41"/>
      <c r="TDQ19" s="41"/>
      <c r="TDR19" s="41"/>
      <c r="TDS19" s="41"/>
      <c r="TDT19" s="41"/>
      <c r="TDU19" s="41"/>
      <c r="TDV19" s="41"/>
      <c r="TDW19" s="41"/>
      <c r="TDX19" s="41"/>
      <c r="TDY19" s="41"/>
      <c r="TDZ19" s="41"/>
      <c r="TEA19" s="41"/>
      <c r="TEB19" s="41"/>
      <c r="TEC19" s="41"/>
      <c r="TED19" s="41"/>
      <c r="TEE19" s="41"/>
      <c r="TEF19" s="41"/>
      <c r="TEG19" s="41"/>
      <c r="TEH19" s="41"/>
      <c r="TEI19" s="41"/>
      <c r="TEJ19" s="41"/>
      <c r="TEK19" s="41"/>
      <c r="TEL19" s="41"/>
      <c r="TEM19" s="41"/>
      <c r="TEN19" s="41"/>
      <c r="TEO19" s="41"/>
      <c r="TEP19" s="41"/>
      <c r="TEQ19" s="41"/>
      <c r="TER19" s="41"/>
      <c r="TES19" s="41"/>
      <c r="TET19" s="41"/>
      <c r="TEU19" s="41"/>
      <c r="TEV19" s="41"/>
      <c r="TEW19" s="41"/>
      <c r="TEX19" s="41"/>
      <c r="TEY19" s="41"/>
      <c r="TEZ19" s="41"/>
      <c r="TFA19" s="41"/>
      <c r="TFB19" s="41"/>
      <c r="TFC19" s="41"/>
      <c r="TFD19" s="41"/>
      <c r="TFE19" s="41"/>
      <c r="TFF19" s="41"/>
      <c r="TFG19" s="41"/>
      <c r="TFH19" s="41"/>
      <c r="TFI19" s="41"/>
      <c r="TFJ19" s="41"/>
      <c r="TFK19" s="41"/>
      <c r="TFL19" s="41"/>
      <c r="TFM19" s="41"/>
      <c r="TFN19" s="41"/>
      <c r="TFO19" s="41"/>
      <c r="TFP19" s="41"/>
      <c r="TFQ19" s="41"/>
      <c r="TFR19" s="41"/>
      <c r="TFS19" s="41"/>
      <c r="TFT19" s="41"/>
      <c r="TFU19" s="41"/>
      <c r="TFV19" s="41"/>
      <c r="TFW19" s="41"/>
      <c r="TFX19" s="41"/>
      <c r="TFY19" s="41"/>
      <c r="TFZ19" s="41"/>
      <c r="TGA19" s="41"/>
      <c r="TGB19" s="41"/>
      <c r="TGC19" s="41"/>
      <c r="TGD19" s="41"/>
      <c r="TGE19" s="41"/>
      <c r="TGF19" s="41"/>
      <c r="TGG19" s="41"/>
      <c r="TGH19" s="41"/>
      <c r="TGI19" s="41"/>
      <c r="TGJ19" s="41"/>
      <c r="TGK19" s="41"/>
      <c r="TGL19" s="41"/>
      <c r="TGM19" s="41"/>
      <c r="TGN19" s="41"/>
      <c r="TGO19" s="41"/>
      <c r="TGP19" s="41"/>
      <c r="TGQ19" s="41"/>
      <c r="TGR19" s="41"/>
      <c r="TGS19" s="41"/>
      <c r="TGT19" s="41"/>
      <c r="TGU19" s="41"/>
      <c r="TGV19" s="41"/>
      <c r="TGW19" s="41"/>
      <c r="TGX19" s="41"/>
      <c r="TGY19" s="41"/>
      <c r="TGZ19" s="41"/>
      <c r="THA19" s="41"/>
      <c r="THB19" s="41"/>
      <c r="THC19" s="41"/>
      <c r="THD19" s="41"/>
      <c r="THE19" s="41"/>
      <c r="THF19" s="41"/>
      <c r="THG19" s="41"/>
      <c r="THH19" s="41"/>
      <c r="THI19" s="41"/>
      <c r="THJ19" s="41"/>
      <c r="THK19" s="41"/>
      <c r="THL19" s="41"/>
      <c r="THM19" s="41"/>
      <c r="THN19" s="41"/>
      <c r="THO19" s="41"/>
      <c r="THP19" s="41"/>
      <c r="THQ19" s="41"/>
      <c r="THR19" s="41"/>
      <c r="THS19" s="41"/>
      <c r="THT19" s="41"/>
      <c r="THU19" s="41"/>
      <c r="THV19" s="41"/>
      <c r="THW19" s="41"/>
      <c r="THX19" s="41"/>
      <c r="THY19" s="41"/>
      <c r="THZ19" s="41"/>
      <c r="TIA19" s="41"/>
      <c r="TIB19" s="41"/>
      <c r="TIC19" s="41"/>
      <c r="TID19" s="41"/>
      <c r="TIE19" s="41"/>
      <c r="TIF19" s="41"/>
      <c r="TIG19" s="41"/>
      <c r="TIH19" s="41"/>
      <c r="TII19" s="41"/>
      <c r="TIJ19" s="41"/>
      <c r="TIK19" s="41"/>
      <c r="TIL19" s="41"/>
      <c r="TIM19" s="41"/>
      <c r="TIN19" s="41"/>
      <c r="TIO19" s="41"/>
      <c r="TIP19" s="41"/>
      <c r="TIQ19" s="41"/>
      <c r="TIR19" s="41"/>
      <c r="TIS19" s="41"/>
      <c r="TIT19" s="41"/>
      <c r="TIU19" s="41"/>
      <c r="TIV19" s="41"/>
      <c r="TIW19" s="41"/>
      <c r="TIX19" s="41"/>
      <c r="TIY19" s="41"/>
      <c r="TIZ19" s="41"/>
      <c r="TJA19" s="41"/>
      <c r="TJB19" s="41"/>
      <c r="TJC19" s="41"/>
      <c r="TJD19" s="41"/>
      <c r="TJE19" s="41"/>
      <c r="TJF19" s="41"/>
      <c r="TJG19" s="41"/>
      <c r="TJH19" s="41"/>
      <c r="TJI19" s="41"/>
      <c r="TJJ19" s="41"/>
      <c r="TJK19" s="41"/>
      <c r="TJL19" s="41"/>
      <c r="TJM19" s="41"/>
      <c r="TJN19" s="41"/>
      <c r="TJO19" s="41"/>
      <c r="TJP19" s="41"/>
      <c r="TJQ19" s="41"/>
      <c r="TJR19" s="41"/>
      <c r="TJS19" s="41"/>
      <c r="TJT19" s="41"/>
      <c r="TJU19" s="41"/>
      <c r="TJV19" s="41"/>
      <c r="TJW19" s="41"/>
      <c r="TJX19" s="41"/>
      <c r="TJY19" s="41"/>
      <c r="TJZ19" s="41"/>
      <c r="TKA19" s="41"/>
      <c r="TKB19" s="41"/>
      <c r="TKC19" s="41"/>
      <c r="TKD19" s="41"/>
      <c r="TKE19" s="41"/>
      <c r="TKF19" s="41"/>
      <c r="TKG19" s="41"/>
      <c r="TKH19" s="41"/>
      <c r="TKI19" s="41"/>
      <c r="TKJ19" s="41"/>
      <c r="TKK19" s="41"/>
      <c r="TKL19" s="41"/>
      <c r="TKM19" s="41"/>
      <c r="TKN19" s="41"/>
      <c r="TKO19" s="41"/>
      <c r="TKP19" s="41"/>
      <c r="TKQ19" s="41"/>
      <c r="TKR19" s="41"/>
      <c r="TKS19" s="41"/>
      <c r="TKT19" s="41"/>
      <c r="TKU19" s="41"/>
      <c r="TKV19" s="41"/>
      <c r="TKW19" s="41"/>
      <c r="TKX19" s="41"/>
      <c r="TKY19" s="41"/>
      <c r="TKZ19" s="41"/>
      <c r="TLA19" s="41"/>
      <c r="TLB19" s="41"/>
      <c r="TLC19" s="41"/>
      <c r="TLD19" s="41"/>
      <c r="TLE19" s="41"/>
      <c r="TLF19" s="41"/>
      <c r="TLG19" s="41"/>
      <c r="TLH19" s="41"/>
      <c r="TLI19" s="41"/>
      <c r="TLJ19" s="41"/>
      <c r="TLK19" s="41"/>
      <c r="TLL19" s="41"/>
      <c r="TLM19" s="41"/>
      <c r="TLN19" s="41"/>
      <c r="TLO19" s="41"/>
      <c r="TLP19" s="41"/>
      <c r="TLQ19" s="41"/>
      <c r="TLR19" s="41"/>
      <c r="TLS19" s="41"/>
      <c r="TLT19" s="41"/>
      <c r="TLU19" s="41"/>
      <c r="TLV19" s="41"/>
      <c r="TLW19" s="41"/>
      <c r="TLX19" s="41"/>
      <c r="TLY19" s="41"/>
      <c r="TLZ19" s="41"/>
      <c r="TMA19" s="41"/>
      <c r="TMB19" s="41"/>
      <c r="TMC19" s="41"/>
      <c r="TMD19" s="41"/>
      <c r="TME19" s="41"/>
      <c r="TMF19" s="41"/>
      <c r="TMG19" s="41"/>
      <c r="TMH19" s="41"/>
      <c r="TMI19" s="41"/>
      <c r="TMJ19" s="41"/>
      <c r="TMK19" s="41"/>
      <c r="TML19" s="41"/>
      <c r="TMM19" s="41"/>
      <c r="TMN19" s="41"/>
      <c r="TMO19" s="41"/>
      <c r="TMP19" s="41"/>
      <c r="TMQ19" s="41"/>
      <c r="TMR19" s="41"/>
      <c r="TMS19" s="41"/>
      <c r="TMT19" s="41"/>
      <c r="TMU19" s="41"/>
      <c r="TMV19" s="41"/>
      <c r="TMW19" s="41"/>
      <c r="TMX19" s="41"/>
      <c r="TMY19" s="41"/>
      <c r="TMZ19" s="41"/>
      <c r="TNA19" s="41"/>
      <c r="TNB19" s="41"/>
      <c r="TNC19" s="41"/>
      <c r="TND19" s="41"/>
      <c r="TNE19" s="41"/>
      <c r="TNF19" s="41"/>
      <c r="TNG19" s="41"/>
      <c r="TNH19" s="41"/>
      <c r="TNI19" s="41"/>
      <c r="TNJ19" s="41"/>
      <c r="TNK19" s="41"/>
      <c r="TNL19" s="41"/>
      <c r="TNM19" s="41"/>
      <c r="TNN19" s="41"/>
      <c r="TNO19" s="41"/>
      <c r="TNP19" s="41"/>
      <c r="TNQ19" s="41"/>
      <c r="TNR19" s="41"/>
      <c r="TNS19" s="41"/>
      <c r="TNT19" s="41"/>
      <c r="TNU19" s="41"/>
      <c r="TNV19" s="41"/>
      <c r="TNW19" s="41"/>
      <c r="TNX19" s="41"/>
      <c r="TNY19" s="41"/>
      <c r="TNZ19" s="41"/>
      <c r="TOA19" s="41"/>
      <c r="TOB19" s="41"/>
      <c r="TOC19" s="41"/>
      <c r="TOD19" s="41"/>
      <c r="TOE19" s="41"/>
      <c r="TOF19" s="41"/>
      <c r="TOG19" s="41"/>
      <c r="TOH19" s="41"/>
      <c r="TOI19" s="41"/>
      <c r="TOJ19" s="41"/>
      <c r="TOK19" s="41"/>
      <c r="TOL19" s="41"/>
      <c r="TOM19" s="41"/>
      <c r="TON19" s="41"/>
      <c r="TOO19" s="41"/>
      <c r="TOP19" s="41"/>
      <c r="TOQ19" s="41"/>
      <c r="TOR19" s="41"/>
      <c r="TOS19" s="41"/>
      <c r="TOT19" s="41"/>
      <c r="TOU19" s="41"/>
      <c r="TOV19" s="41"/>
      <c r="TOW19" s="41"/>
      <c r="TOX19" s="41"/>
      <c r="TOY19" s="41"/>
      <c r="TOZ19" s="41"/>
      <c r="TPA19" s="41"/>
      <c r="TPB19" s="41"/>
      <c r="TPC19" s="41"/>
      <c r="TPD19" s="41"/>
      <c r="TPE19" s="41"/>
      <c r="TPF19" s="41"/>
      <c r="TPG19" s="41"/>
      <c r="TPH19" s="41"/>
      <c r="TPI19" s="41"/>
      <c r="TPJ19" s="41"/>
      <c r="TPK19" s="41"/>
      <c r="TPL19" s="41"/>
      <c r="TPM19" s="41"/>
      <c r="TPN19" s="41"/>
      <c r="TPO19" s="41"/>
      <c r="TPP19" s="41"/>
      <c r="TPQ19" s="41"/>
      <c r="TPR19" s="41"/>
      <c r="TPS19" s="41"/>
      <c r="TPT19" s="41"/>
      <c r="TPU19" s="41"/>
      <c r="TPV19" s="41"/>
      <c r="TPW19" s="41"/>
      <c r="TPX19" s="41"/>
      <c r="TPY19" s="41"/>
      <c r="TPZ19" s="41"/>
      <c r="TQA19" s="41"/>
      <c r="TQB19" s="41"/>
      <c r="TQC19" s="41"/>
      <c r="TQD19" s="41"/>
      <c r="TQE19" s="41"/>
      <c r="TQF19" s="41"/>
      <c r="TQG19" s="41"/>
      <c r="TQH19" s="41"/>
      <c r="TQI19" s="41"/>
      <c r="TQJ19" s="41"/>
      <c r="TQK19" s="41"/>
      <c r="TQL19" s="41"/>
      <c r="TQM19" s="41"/>
      <c r="TQN19" s="41"/>
      <c r="TQO19" s="41"/>
      <c r="TQP19" s="41"/>
      <c r="TQQ19" s="41"/>
      <c r="TQR19" s="41"/>
      <c r="TQS19" s="41"/>
      <c r="TQT19" s="41"/>
      <c r="TQU19" s="41"/>
      <c r="TQV19" s="41"/>
      <c r="TQW19" s="41"/>
      <c r="TQX19" s="41"/>
      <c r="TQY19" s="41"/>
      <c r="TQZ19" s="41"/>
      <c r="TRA19" s="41"/>
      <c r="TRB19" s="41"/>
      <c r="TRC19" s="41"/>
      <c r="TRD19" s="41"/>
      <c r="TRE19" s="41"/>
      <c r="TRF19" s="41"/>
      <c r="TRG19" s="41"/>
      <c r="TRH19" s="41"/>
      <c r="TRI19" s="41"/>
      <c r="TRJ19" s="41"/>
      <c r="TRK19" s="41"/>
      <c r="TRL19" s="41"/>
      <c r="TRM19" s="41"/>
      <c r="TRN19" s="41"/>
      <c r="TRO19" s="41"/>
      <c r="TRP19" s="41"/>
      <c r="TRQ19" s="41"/>
      <c r="TRR19" s="41"/>
      <c r="TRS19" s="41"/>
      <c r="TRT19" s="41"/>
      <c r="TRU19" s="41"/>
      <c r="TRV19" s="41"/>
      <c r="TRW19" s="41"/>
      <c r="TRX19" s="41"/>
      <c r="TRY19" s="41"/>
      <c r="TRZ19" s="41"/>
      <c r="TSA19" s="41"/>
      <c r="TSB19" s="41"/>
      <c r="TSC19" s="41"/>
      <c r="TSD19" s="41"/>
      <c r="TSE19" s="41"/>
      <c r="TSF19" s="41"/>
      <c r="TSG19" s="41"/>
      <c r="TSH19" s="41"/>
      <c r="TSI19" s="41"/>
      <c r="TSJ19" s="41"/>
      <c r="TSK19" s="41"/>
      <c r="TSL19" s="41"/>
      <c r="TSM19" s="41"/>
      <c r="TSN19" s="41"/>
      <c r="TSO19" s="41"/>
      <c r="TSP19" s="41"/>
      <c r="TSQ19" s="41"/>
      <c r="TSR19" s="41"/>
      <c r="TSS19" s="41"/>
      <c r="TST19" s="41"/>
      <c r="TSU19" s="41"/>
      <c r="TSV19" s="41"/>
      <c r="TSW19" s="41"/>
      <c r="TSX19" s="41"/>
      <c r="TSY19" s="41"/>
      <c r="TSZ19" s="41"/>
      <c r="TTA19" s="41"/>
      <c r="TTB19" s="41"/>
      <c r="TTC19" s="41"/>
      <c r="TTD19" s="41"/>
      <c r="TTE19" s="41"/>
      <c r="TTF19" s="41"/>
      <c r="TTG19" s="41"/>
      <c r="TTH19" s="41"/>
      <c r="TTI19" s="41"/>
      <c r="TTJ19" s="41"/>
      <c r="TTK19" s="41"/>
      <c r="TTL19" s="41"/>
      <c r="TTM19" s="41"/>
      <c r="TTN19" s="41"/>
      <c r="TTO19" s="41"/>
      <c r="TTP19" s="41"/>
      <c r="TTQ19" s="41"/>
      <c r="TTR19" s="41"/>
      <c r="TTS19" s="41"/>
      <c r="TTT19" s="41"/>
      <c r="TTU19" s="41"/>
      <c r="TTV19" s="41"/>
      <c r="TTW19" s="41"/>
      <c r="TTX19" s="41"/>
      <c r="TTY19" s="41"/>
      <c r="TTZ19" s="41"/>
      <c r="TUA19" s="41"/>
      <c r="TUB19" s="41"/>
      <c r="TUC19" s="41"/>
      <c r="TUD19" s="41"/>
      <c r="TUE19" s="41"/>
      <c r="TUF19" s="41"/>
      <c r="TUG19" s="41"/>
      <c r="TUH19" s="41"/>
      <c r="TUI19" s="41"/>
      <c r="TUJ19" s="41"/>
      <c r="TUK19" s="41"/>
      <c r="TUL19" s="41"/>
      <c r="TUM19" s="41"/>
      <c r="TUN19" s="41"/>
      <c r="TUO19" s="41"/>
      <c r="TUP19" s="41"/>
      <c r="TUQ19" s="41"/>
      <c r="TUR19" s="41"/>
      <c r="TUS19" s="41"/>
      <c r="TUT19" s="41"/>
      <c r="TUU19" s="41"/>
      <c r="TUV19" s="41"/>
      <c r="TUW19" s="41"/>
      <c r="TUX19" s="41"/>
      <c r="TUY19" s="41"/>
      <c r="TUZ19" s="41"/>
      <c r="TVA19" s="41"/>
      <c r="TVB19" s="41"/>
      <c r="TVC19" s="41"/>
      <c r="TVD19" s="41"/>
      <c r="TVE19" s="41"/>
      <c r="TVF19" s="41"/>
      <c r="TVG19" s="41"/>
      <c r="TVH19" s="41"/>
      <c r="TVI19" s="41"/>
      <c r="TVJ19" s="41"/>
      <c r="TVK19" s="41"/>
      <c r="TVL19" s="41"/>
      <c r="TVM19" s="41"/>
      <c r="TVN19" s="41"/>
      <c r="TVO19" s="41"/>
      <c r="TVP19" s="41"/>
      <c r="TVQ19" s="41"/>
      <c r="TVR19" s="41"/>
      <c r="TVS19" s="41"/>
      <c r="TVT19" s="41"/>
      <c r="TVU19" s="41"/>
      <c r="TVV19" s="41"/>
      <c r="TVW19" s="41"/>
      <c r="TVX19" s="41"/>
      <c r="TVY19" s="41"/>
      <c r="TVZ19" s="41"/>
      <c r="TWA19" s="41"/>
      <c r="TWB19" s="41"/>
      <c r="TWC19" s="41"/>
      <c r="TWD19" s="41"/>
      <c r="TWE19" s="41"/>
      <c r="TWF19" s="41"/>
      <c r="TWG19" s="41"/>
      <c r="TWH19" s="41"/>
      <c r="TWI19" s="41"/>
      <c r="TWJ19" s="41"/>
      <c r="TWK19" s="41"/>
      <c r="TWL19" s="41"/>
      <c r="TWM19" s="41"/>
      <c r="TWN19" s="41"/>
      <c r="TWO19" s="41"/>
      <c r="TWP19" s="41"/>
      <c r="TWQ19" s="41"/>
      <c r="TWR19" s="41"/>
      <c r="TWS19" s="41"/>
      <c r="TWT19" s="41"/>
      <c r="TWU19" s="41"/>
      <c r="TWV19" s="41"/>
      <c r="TWW19" s="41"/>
      <c r="TWX19" s="41"/>
      <c r="TWY19" s="41"/>
      <c r="TWZ19" s="41"/>
      <c r="TXA19" s="41"/>
      <c r="TXB19" s="41"/>
      <c r="TXC19" s="41"/>
      <c r="TXD19" s="41"/>
      <c r="TXE19" s="41"/>
      <c r="TXF19" s="41"/>
      <c r="TXG19" s="41"/>
      <c r="TXH19" s="41"/>
      <c r="TXI19" s="41"/>
      <c r="TXJ19" s="41"/>
      <c r="TXK19" s="41"/>
      <c r="TXL19" s="41"/>
      <c r="TXM19" s="41"/>
      <c r="TXN19" s="41"/>
      <c r="TXO19" s="41"/>
      <c r="TXP19" s="41"/>
      <c r="TXQ19" s="41"/>
      <c r="TXR19" s="41"/>
      <c r="TXS19" s="41"/>
      <c r="TXT19" s="41"/>
      <c r="TXU19" s="41"/>
      <c r="TXV19" s="41"/>
      <c r="TXW19" s="41"/>
      <c r="TXX19" s="41"/>
      <c r="TXY19" s="41"/>
      <c r="TXZ19" s="41"/>
      <c r="TYA19" s="41"/>
      <c r="TYB19" s="41"/>
      <c r="TYC19" s="41"/>
      <c r="TYD19" s="41"/>
      <c r="TYE19" s="41"/>
      <c r="TYF19" s="41"/>
      <c r="TYG19" s="41"/>
      <c r="TYH19" s="41"/>
      <c r="TYI19" s="41"/>
      <c r="TYJ19" s="41"/>
      <c r="TYK19" s="41"/>
      <c r="TYL19" s="41"/>
      <c r="TYM19" s="41"/>
      <c r="TYN19" s="41"/>
      <c r="TYO19" s="41"/>
      <c r="TYP19" s="41"/>
      <c r="TYQ19" s="41"/>
      <c r="TYR19" s="41"/>
      <c r="TYS19" s="41"/>
      <c r="TYT19" s="41"/>
      <c r="TYU19" s="41"/>
      <c r="TYV19" s="41"/>
      <c r="TYW19" s="41"/>
      <c r="TYX19" s="41"/>
      <c r="TYY19" s="41"/>
      <c r="TYZ19" s="41"/>
      <c r="TZA19" s="41"/>
      <c r="TZB19" s="41"/>
      <c r="TZC19" s="41"/>
      <c r="TZD19" s="41"/>
      <c r="TZE19" s="41"/>
      <c r="TZF19" s="41"/>
      <c r="TZG19" s="41"/>
      <c r="TZH19" s="41"/>
      <c r="TZI19" s="41"/>
      <c r="TZJ19" s="41"/>
      <c r="TZK19" s="41"/>
      <c r="TZL19" s="41"/>
      <c r="TZM19" s="41"/>
      <c r="TZN19" s="41"/>
      <c r="TZO19" s="41"/>
      <c r="TZP19" s="41"/>
      <c r="TZQ19" s="41"/>
      <c r="TZR19" s="41"/>
      <c r="TZS19" s="41"/>
      <c r="TZT19" s="41"/>
      <c r="TZU19" s="41"/>
      <c r="TZV19" s="41"/>
      <c r="TZW19" s="41"/>
      <c r="TZX19" s="41"/>
      <c r="TZY19" s="41"/>
      <c r="TZZ19" s="41"/>
      <c r="UAA19" s="41"/>
      <c r="UAB19" s="41"/>
      <c r="UAC19" s="41"/>
      <c r="UAD19" s="41"/>
      <c r="UAE19" s="41"/>
      <c r="UAF19" s="41"/>
      <c r="UAG19" s="41"/>
      <c r="UAH19" s="41"/>
      <c r="UAI19" s="41"/>
      <c r="UAJ19" s="41"/>
      <c r="UAK19" s="41"/>
      <c r="UAL19" s="41"/>
      <c r="UAM19" s="41"/>
      <c r="UAN19" s="41"/>
      <c r="UAO19" s="41"/>
      <c r="UAP19" s="41"/>
      <c r="UAQ19" s="41"/>
      <c r="UAR19" s="41"/>
      <c r="UAS19" s="41"/>
      <c r="UAT19" s="41"/>
      <c r="UAU19" s="41"/>
      <c r="UAV19" s="41"/>
      <c r="UAW19" s="41"/>
      <c r="UAX19" s="41"/>
      <c r="UAY19" s="41"/>
      <c r="UAZ19" s="41"/>
      <c r="UBA19" s="41"/>
      <c r="UBB19" s="41"/>
      <c r="UBC19" s="41"/>
      <c r="UBD19" s="41"/>
      <c r="UBE19" s="41"/>
      <c r="UBF19" s="41"/>
      <c r="UBG19" s="41"/>
      <c r="UBH19" s="41"/>
      <c r="UBI19" s="41"/>
      <c r="UBJ19" s="41"/>
      <c r="UBK19" s="41"/>
      <c r="UBL19" s="41"/>
      <c r="UBM19" s="41"/>
      <c r="UBN19" s="41"/>
      <c r="UBO19" s="41"/>
      <c r="UBP19" s="41"/>
      <c r="UBQ19" s="41"/>
      <c r="UBR19" s="41"/>
      <c r="UBS19" s="41"/>
      <c r="UBT19" s="41"/>
      <c r="UBU19" s="41"/>
      <c r="UBV19" s="41"/>
      <c r="UBW19" s="41"/>
      <c r="UBX19" s="41"/>
      <c r="UBY19" s="41"/>
      <c r="UBZ19" s="41"/>
      <c r="UCA19" s="41"/>
      <c r="UCB19" s="41"/>
      <c r="UCC19" s="41"/>
      <c r="UCD19" s="41"/>
      <c r="UCE19" s="41"/>
      <c r="UCF19" s="41"/>
      <c r="UCG19" s="41"/>
      <c r="UCH19" s="41"/>
      <c r="UCI19" s="41"/>
      <c r="UCJ19" s="41"/>
      <c r="UCK19" s="41"/>
      <c r="UCL19" s="41"/>
      <c r="UCM19" s="41"/>
      <c r="UCN19" s="41"/>
      <c r="UCO19" s="41"/>
      <c r="UCP19" s="41"/>
      <c r="UCQ19" s="41"/>
      <c r="UCR19" s="41"/>
      <c r="UCS19" s="41"/>
      <c r="UCT19" s="41"/>
      <c r="UCU19" s="41"/>
      <c r="UCV19" s="41"/>
      <c r="UCW19" s="41"/>
      <c r="UCX19" s="41"/>
      <c r="UCY19" s="41"/>
      <c r="UCZ19" s="41"/>
      <c r="UDA19" s="41"/>
      <c r="UDB19" s="41"/>
      <c r="UDC19" s="41"/>
      <c r="UDD19" s="41"/>
      <c r="UDE19" s="41"/>
      <c r="UDF19" s="41"/>
      <c r="UDG19" s="41"/>
      <c r="UDH19" s="41"/>
      <c r="UDI19" s="41"/>
      <c r="UDJ19" s="41"/>
      <c r="UDK19" s="41"/>
      <c r="UDL19" s="41"/>
      <c r="UDM19" s="41"/>
      <c r="UDN19" s="41"/>
      <c r="UDO19" s="41"/>
      <c r="UDP19" s="41"/>
      <c r="UDQ19" s="41"/>
      <c r="UDR19" s="41"/>
      <c r="UDS19" s="41"/>
      <c r="UDT19" s="41"/>
      <c r="UDU19" s="41"/>
      <c r="UDV19" s="41"/>
      <c r="UDW19" s="41"/>
      <c r="UDX19" s="41"/>
      <c r="UDY19" s="41"/>
      <c r="UDZ19" s="41"/>
      <c r="UEA19" s="41"/>
      <c r="UEB19" s="41"/>
      <c r="UEC19" s="41"/>
      <c r="UED19" s="41"/>
      <c r="UEE19" s="41"/>
      <c r="UEF19" s="41"/>
      <c r="UEG19" s="41"/>
      <c r="UEH19" s="41"/>
      <c r="UEI19" s="41"/>
      <c r="UEJ19" s="41"/>
      <c r="UEK19" s="41"/>
      <c r="UEL19" s="41"/>
      <c r="UEM19" s="41"/>
      <c r="UEN19" s="41"/>
      <c r="UEO19" s="41"/>
      <c r="UEP19" s="41"/>
      <c r="UEQ19" s="41"/>
      <c r="UER19" s="41"/>
      <c r="UES19" s="41"/>
      <c r="UET19" s="41"/>
      <c r="UEU19" s="41"/>
      <c r="UEV19" s="41"/>
      <c r="UEW19" s="41"/>
      <c r="UEX19" s="41"/>
      <c r="UEY19" s="41"/>
      <c r="UEZ19" s="41"/>
      <c r="UFA19" s="41"/>
      <c r="UFB19" s="41"/>
      <c r="UFC19" s="41"/>
      <c r="UFD19" s="41"/>
      <c r="UFE19" s="41"/>
      <c r="UFF19" s="41"/>
      <c r="UFG19" s="41"/>
      <c r="UFH19" s="41"/>
      <c r="UFI19" s="41"/>
      <c r="UFJ19" s="41"/>
      <c r="UFK19" s="41"/>
      <c r="UFL19" s="41"/>
      <c r="UFM19" s="41"/>
      <c r="UFN19" s="41"/>
      <c r="UFO19" s="41"/>
      <c r="UFP19" s="41"/>
      <c r="UFQ19" s="41"/>
      <c r="UFR19" s="41"/>
      <c r="UFS19" s="41"/>
      <c r="UFT19" s="41"/>
      <c r="UFU19" s="41"/>
      <c r="UFV19" s="41"/>
      <c r="UFW19" s="41"/>
      <c r="UFX19" s="41"/>
      <c r="UFY19" s="41"/>
      <c r="UFZ19" s="41"/>
      <c r="UGA19" s="41"/>
      <c r="UGB19" s="41"/>
      <c r="UGC19" s="41"/>
      <c r="UGD19" s="41"/>
      <c r="UGE19" s="41"/>
      <c r="UGF19" s="41"/>
      <c r="UGG19" s="41"/>
      <c r="UGH19" s="41"/>
      <c r="UGI19" s="41"/>
      <c r="UGJ19" s="41"/>
      <c r="UGK19" s="41"/>
      <c r="UGL19" s="41"/>
      <c r="UGM19" s="41"/>
      <c r="UGN19" s="41"/>
      <c r="UGO19" s="41"/>
      <c r="UGP19" s="41"/>
      <c r="UGQ19" s="41"/>
      <c r="UGR19" s="41"/>
      <c r="UGS19" s="41"/>
      <c r="UGT19" s="41"/>
      <c r="UGU19" s="41"/>
      <c r="UGV19" s="41"/>
      <c r="UGW19" s="41"/>
      <c r="UGX19" s="41"/>
      <c r="UGY19" s="41"/>
      <c r="UGZ19" s="41"/>
      <c r="UHA19" s="41"/>
      <c r="UHB19" s="41"/>
      <c r="UHC19" s="41"/>
      <c r="UHD19" s="41"/>
      <c r="UHE19" s="41"/>
      <c r="UHF19" s="41"/>
      <c r="UHG19" s="41"/>
      <c r="UHH19" s="41"/>
      <c r="UHI19" s="41"/>
      <c r="UHJ19" s="41"/>
      <c r="UHK19" s="41"/>
      <c r="UHL19" s="41"/>
      <c r="UHM19" s="41"/>
      <c r="UHN19" s="41"/>
      <c r="UHO19" s="41"/>
      <c r="UHP19" s="41"/>
      <c r="UHQ19" s="41"/>
      <c r="UHR19" s="41"/>
      <c r="UHS19" s="41"/>
      <c r="UHT19" s="41"/>
      <c r="UHU19" s="41"/>
      <c r="UHV19" s="41"/>
      <c r="UHW19" s="41"/>
      <c r="UHX19" s="41"/>
      <c r="UHY19" s="41"/>
      <c r="UHZ19" s="41"/>
      <c r="UIA19" s="41"/>
      <c r="UIB19" s="41"/>
      <c r="UIC19" s="41"/>
      <c r="UID19" s="41"/>
      <c r="UIE19" s="41"/>
      <c r="UIF19" s="41"/>
      <c r="UIG19" s="41"/>
      <c r="UIH19" s="41"/>
      <c r="UII19" s="41"/>
      <c r="UIJ19" s="41"/>
      <c r="UIK19" s="41"/>
      <c r="UIL19" s="41"/>
      <c r="UIM19" s="41"/>
      <c r="UIN19" s="41"/>
      <c r="UIO19" s="41"/>
      <c r="UIP19" s="41"/>
      <c r="UIQ19" s="41"/>
      <c r="UIR19" s="41"/>
      <c r="UIS19" s="41"/>
      <c r="UIT19" s="41"/>
      <c r="UIU19" s="41"/>
      <c r="UIV19" s="41"/>
      <c r="UIW19" s="41"/>
      <c r="UIX19" s="41"/>
      <c r="UIY19" s="41"/>
      <c r="UIZ19" s="41"/>
      <c r="UJA19" s="41"/>
      <c r="UJB19" s="41"/>
      <c r="UJC19" s="41"/>
      <c r="UJD19" s="41"/>
      <c r="UJE19" s="41"/>
      <c r="UJF19" s="41"/>
      <c r="UJG19" s="41"/>
      <c r="UJH19" s="41"/>
      <c r="UJI19" s="41"/>
      <c r="UJJ19" s="41"/>
      <c r="UJK19" s="41"/>
      <c r="UJL19" s="41"/>
      <c r="UJM19" s="41"/>
      <c r="UJN19" s="41"/>
      <c r="UJO19" s="41"/>
      <c r="UJP19" s="41"/>
      <c r="UJQ19" s="41"/>
      <c r="UJR19" s="41"/>
      <c r="UJS19" s="41"/>
      <c r="UJT19" s="41"/>
      <c r="UJU19" s="41"/>
      <c r="UJV19" s="41"/>
      <c r="UJW19" s="41"/>
      <c r="UJX19" s="41"/>
      <c r="UJY19" s="41"/>
      <c r="UJZ19" s="41"/>
      <c r="UKA19" s="41"/>
      <c r="UKB19" s="41"/>
      <c r="UKC19" s="41"/>
      <c r="UKD19" s="41"/>
      <c r="UKE19" s="41"/>
      <c r="UKF19" s="41"/>
      <c r="UKG19" s="41"/>
      <c r="UKH19" s="41"/>
      <c r="UKI19" s="41"/>
      <c r="UKJ19" s="41"/>
      <c r="UKK19" s="41"/>
      <c r="UKL19" s="41"/>
      <c r="UKM19" s="41"/>
      <c r="UKN19" s="41"/>
      <c r="UKO19" s="41"/>
      <c r="UKP19" s="41"/>
      <c r="UKQ19" s="41"/>
      <c r="UKR19" s="41"/>
      <c r="UKS19" s="41"/>
      <c r="UKT19" s="41"/>
      <c r="UKU19" s="41"/>
      <c r="UKV19" s="41"/>
      <c r="UKW19" s="41"/>
      <c r="UKX19" s="41"/>
      <c r="UKY19" s="41"/>
      <c r="UKZ19" s="41"/>
      <c r="ULA19" s="41"/>
      <c r="ULB19" s="41"/>
      <c r="ULC19" s="41"/>
      <c r="ULD19" s="41"/>
      <c r="ULE19" s="41"/>
      <c r="ULF19" s="41"/>
      <c r="ULG19" s="41"/>
      <c r="ULH19" s="41"/>
      <c r="ULI19" s="41"/>
      <c r="ULJ19" s="41"/>
      <c r="ULK19" s="41"/>
      <c r="ULL19" s="41"/>
      <c r="ULM19" s="41"/>
      <c r="ULN19" s="41"/>
      <c r="ULO19" s="41"/>
      <c r="ULP19" s="41"/>
      <c r="ULQ19" s="41"/>
      <c r="ULR19" s="41"/>
      <c r="ULS19" s="41"/>
      <c r="ULT19" s="41"/>
      <c r="ULU19" s="41"/>
      <c r="ULV19" s="41"/>
      <c r="ULW19" s="41"/>
      <c r="ULX19" s="41"/>
      <c r="ULY19" s="41"/>
      <c r="ULZ19" s="41"/>
      <c r="UMA19" s="41"/>
      <c r="UMB19" s="41"/>
      <c r="UMC19" s="41"/>
      <c r="UMD19" s="41"/>
      <c r="UME19" s="41"/>
      <c r="UMF19" s="41"/>
      <c r="UMG19" s="41"/>
      <c r="UMH19" s="41"/>
      <c r="UMI19" s="41"/>
      <c r="UMJ19" s="41"/>
      <c r="UMK19" s="41"/>
      <c r="UML19" s="41"/>
      <c r="UMM19" s="41"/>
      <c r="UMN19" s="41"/>
      <c r="UMO19" s="41"/>
      <c r="UMP19" s="41"/>
      <c r="UMQ19" s="41"/>
      <c r="UMR19" s="41"/>
      <c r="UMS19" s="41"/>
      <c r="UMT19" s="41"/>
      <c r="UMU19" s="41"/>
      <c r="UMV19" s="41"/>
      <c r="UMW19" s="41"/>
      <c r="UMX19" s="41"/>
      <c r="UMY19" s="41"/>
      <c r="UMZ19" s="41"/>
      <c r="UNA19" s="41"/>
      <c r="UNB19" s="41"/>
      <c r="UNC19" s="41"/>
      <c r="UND19" s="41"/>
      <c r="UNE19" s="41"/>
      <c r="UNF19" s="41"/>
      <c r="UNG19" s="41"/>
      <c r="UNH19" s="41"/>
      <c r="UNI19" s="41"/>
      <c r="UNJ19" s="41"/>
      <c r="UNK19" s="41"/>
      <c r="UNL19" s="41"/>
      <c r="UNM19" s="41"/>
      <c r="UNN19" s="41"/>
      <c r="UNO19" s="41"/>
      <c r="UNP19" s="41"/>
      <c r="UNQ19" s="41"/>
      <c r="UNR19" s="41"/>
      <c r="UNS19" s="41"/>
      <c r="UNT19" s="41"/>
      <c r="UNU19" s="41"/>
      <c r="UNV19" s="41"/>
      <c r="UNW19" s="41"/>
      <c r="UNX19" s="41"/>
      <c r="UNY19" s="41"/>
      <c r="UNZ19" s="41"/>
      <c r="UOA19" s="41"/>
      <c r="UOB19" s="41"/>
      <c r="UOC19" s="41"/>
      <c r="UOD19" s="41"/>
      <c r="UOE19" s="41"/>
      <c r="UOF19" s="41"/>
      <c r="UOG19" s="41"/>
      <c r="UOH19" s="41"/>
      <c r="UOI19" s="41"/>
      <c r="UOJ19" s="41"/>
      <c r="UOK19" s="41"/>
      <c r="UOL19" s="41"/>
      <c r="UOM19" s="41"/>
      <c r="UON19" s="41"/>
      <c r="UOO19" s="41"/>
      <c r="UOP19" s="41"/>
      <c r="UOQ19" s="41"/>
      <c r="UOR19" s="41"/>
      <c r="UOS19" s="41"/>
      <c r="UOT19" s="41"/>
      <c r="UOU19" s="41"/>
      <c r="UOV19" s="41"/>
      <c r="UOW19" s="41"/>
      <c r="UOX19" s="41"/>
      <c r="UOY19" s="41"/>
      <c r="UOZ19" s="41"/>
      <c r="UPA19" s="41"/>
      <c r="UPB19" s="41"/>
      <c r="UPC19" s="41"/>
      <c r="UPD19" s="41"/>
      <c r="UPE19" s="41"/>
      <c r="UPF19" s="41"/>
      <c r="UPG19" s="41"/>
      <c r="UPH19" s="41"/>
      <c r="UPI19" s="41"/>
      <c r="UPJ19" s="41"/>
      <c r="UPK19" s="41"/>
      <c r="UPL19" s="41"/>
      <c r="UPM19" s="41"/>
      <c r="UPN19" s="41"/>
      <c r="UPO19" s="41"/>
      <c r="UPP19" s="41"/>
      <c r="UPQ19" s="41"/>
      <c r="UPR19" s="41"/>
      <c r="UPS19" s="41"/>
      <c r="UPT19" s="41"/>
      <c r="UPU19" s="41"/>
      <c r="UPV19" s="41"/>
      <c r="UPW19" s="41"/>
      <c r="UPX19" s="41"/>
      <c r="UPY19" s="41"/>
      <c r="UPZ19" s="41"/>
      <c r="UQA19" s="41"/>
      <c r="UQB19" s="41"/>
      <c r="UQC19" s="41"/>
      <c r="UQD19" s="41"/>
      <c r="UQE19" s="41"/>
      <c r="UQF19" s="41"/>
      <c r="UQG19" s="41"/>
      <c r="UQH19" s="41"/>
      <c r="UQI19" s="41"/>
      <c r="UQJ19" s="41"/>
      <c r="UQK19" s="41"/>
      <c r="UQL19" s="41"/>
      <c r="UQM19" s="41"/>
      <c r="UQN19" s="41"/>
      <c r="UQO19" s="41"/>
      <c r="UQP19" s="41"/>
      <c r="UQQ19" s="41"/>
      <c r="UQR19" s="41"/>
      <c r="UQS19" s="41"/>
      <c r="UQT19" s="41"/>
      <c r="UQU19" s="41"/>
      <c r="UQV19" s="41"/>
      <c r="UQW19" s="41"/>
      <c r="UQX19" s="41"/>
      <c r="UQY19" s="41"/>
      <c r="UQZ19" s="41"/>
      <c r="URA19" s="41"/>
      <c r="URB19" s="41"/>
      <c r="URC19" s="41"/>
      <c r="URD19" s="41"/>
      <c r="URE19" s="41"/>
      <c r="URF19" s="41"/>
      <c r="URG19" s="41"/>
      <c r="URH19" s="41"/>
      <c r="URI19" s="41"/>
      <c r="URJ19" s="41"/>
      <c r="URK19" s="41"/>
      <c r="URL19" s="41"/>
      <c r="URM19" s="41"/>
      <c r="URN19" s="41"/>
      <c r="URO19" s="41"/>
      <c r="URP19" s="41"/>
      <c r="URQ19" s="41"/>
      <c r="URR19" s="41"/>
      <c r="URS19" s="41"/>
      <c r="URT19" s="41"/>
      <c r="URU19" s="41"/>
      <c r="URV19" s="41"/>
      <c r="URW19" s="41"/>
      <c r="URX19" s="41"/>
      <c r="URY19" s="41"/>
      <c r="URZ19" s="41"/>
      <c r="USA19" s="41"/>
      <c r="USB19" s="41"/>
      <c r="USC19" s="41"/>
      <c r="USD19" s="41"/>
      <c r="USE19" s="41"/>
      <c r="USF19" s="41"/>
      <c r="USG19" s="41"/>
      <c r="USH19" s="41"/>
      <c r="USI19" s="41"/>
      <c r="USJ19" s="41"/>
      <c r="USK19" s="41"/>
      <c r="USL19" s="41"/>
      <c r="USM19" s="41"/>
      <c r="USN19" s="41"/>
      <c r="USO19" s="41"/>
      <c r="USP19" s="41"/>
      <c r="USQ19" s="41"/>
      <c r="USR19" s="41"/>
      <c r="USS19" s="41"/>
      <c r="UST19" s="41"/>
      <c r="USU19" s="41"/>
      <c r="USV19" s="41"/>
      <c r="USW19" s="41"/>
      <c r="USX19" s="41"/>
      <c r="USY19" s="41"/>
      <c r="USZ19" s="41"/>
      <c r="UTA19" s="41"/>
      <c r="UTB19" s="41"/>
      <c r="UTC19" s="41"/>
      <c r="UTD19" s="41"/>
      <c r="UTE19" s="41"/>
      <c r="UTF19" s="41"/>
      <c r="UTG19" s="41"/>
      <c r="UTH19" s="41"/>
      <c r="UTI19" s="41"/>
      <c r="UTJ19" s="41"/>
      <c r="UTK19" s="41"/>
      <c r="UTL19" s="41"/>
      <c r="UTM19" s="41"/>
      <c r="UTN19" s="41"/>
      <c r="UTO19" s="41"/>
      <c r="UTP19" s="41"/>
      <c r="UTQ19" s="41"/>
      <c r="UTR19" s="41"/>
      <c r="UTS19" s="41"/>
      <c r="UTT19" s="41"/>
      <c r="UTU19" s="41"/>
      <c r="UTV19" s="41"/>
      <c r="UTW19" s="41"/>
      <c r="UTX19" s="41"/>
      <c r="UTY19" s="41"/>
      <c r="UTZ19" s="41"/>
      <c r="UUA19" s="41"/>
      <c r="UUB19" s="41"/>
      <c r="UUC19" s="41"/>
      <c r="UUD19" s="41"/>
      <c r="UUE19" s="41"/>
      <c r="UUF19" s="41"/>
      <c r="UUG19" s="41"/>
      <c r="UUH19" s="41"/>
      <c r="UUI19" s="41"/>
      <c r="UUJ19" s="41"/>
      <c r="UUK19" s="41"/>
      <c r="UUL19" s="41"/>
      <c r="UUM19" s="41"/>
      <c r="UUN19" s="41"/>
      <c r="UUO19" s="41"/>
      <c r="UUP19" s="41"/>
      <c r="UUQ19" s="41"/>
      <c r="UUR19" s="41"/>
      <c r="UUS19" s="41"/>
      <c r="UUT19" s="41"/>
      <c r="UUU19" s="41"/>
      <c r="UUV19" s="41"/>
      <c r="UUW19" s="41"/>
      <c r="UUX19" s="41"/>
      <c r="UUY19" s="41"/>
      <c r="UUZ19" s="41"/>
      <c r="UVA19" s="41"/>
      <c r="UVB19" s="41"/>
      <c r="UVC19" s="41"/>
      <c r="UVD19" s="41"/>
      <c r="UVE19" s="41"/>
      <c r="UVF19" s="41"/>
      <c r="UVG19" s="41"/>
      <c r="UVH19" s="41"/>
      <c r="UVI19" s="41"/>
      <c r="UVJ19" s="41"/>
      <c r="UVK19" s="41"/>
      <c r="UVL19" s="41"/>
      <c r="UVM19" s="41"/>
      <c r="UVN19" s="41"/>
      <c r="UVO19" s="41"/>
      <c r="UVP19" s="41"/>
      <c r="UVQ19" s="41"/>
      <c r="UVR19" s="41"/>
      <c r="UVS19" s="41"/>
      <c r="UVT19" s="41"/>
      <c r="UVU19" s="41"/>
      <c r="UVV19" s="41"/>
      <c r="UVW19" s="41"/>
      <c r="UVX19" s="41"/>
      <c r="UVY19" s="41"/>
      <c r="UVZ19" s="41"/>
      <c r="UWA19" s="41"/>
      <c r="UWB19" s="41"/>
      <c r="UWC19" s="41"/>
      <c r="UWD19" s="41"/>
      <c r="UWE19" s="41"/>
      <c r="UWF19" s="41"/>
      <c r="UWG19" s="41"/>
      <c r="UWH19" s="41"/>
      <c r="UWI19" s="41"/>
      <c r="UWJ19" s="41"/>
      <c r="UWK19" s="41"/>
      <c r="UWL19" s="41"/>
      <c r="UWM19" s="41"/>
      <c r="UWN19" s="41"/>
      <c r="UWO19" s="41"/>
      <c r="UWP19" s="41"/>
      <c r="UWQ19" s="41"/>
      <c r="UWR19" s="41"/>
      <c r="UWS19" s="41"/>
      <c r="UWT19" s="41"/>
      <c r="UWU19" s="41"/>
      <c r="UWV19" s="41"/>
      <c r="UWW19" s="41"/>
      <c r="UWX19" s="41"/>
      <c r="UWY19" s="41"/>
      <c r="UWZ19" s="41"/>
      <c r="UXA19" s="41"/>
      <c r="UXB19" s="41"/>
      <c r="UXC19" s="41"/>
      <c r="UXD19" s="41"/>
      <c r="UXE19" s="41"/>
      <c r="UXF19" s="41"/>
      <c r="UXG19" s="41"/>
      <c r="UXH19" s="41"/>
      <c r="UXI19" s="41"/>
      <c r="UXJ19" s="41"/>
      <c r="UXK19" s="41"/>
      <c r="UXL19" s="41"/>
      <c r="UXM19" s="41"/>
      <c r="UXN19" s="41"/>
      <c r="UXO19" s="41"/>
      <c r="UXP19" s="41"/>
      <c r="UXQ19" s="41"/>
      <c r="UXR19" s="41"/>
      <c r="UXS19" s="41"/>
      <c r="UXT19" s="41"/>
      <c r="UXU19" s="41"/>
      <c r="UXV19" s="41"/>
      <c r="UXW19" s="41"/>
      <c r="UXX19" s="41"/>
      <c r="UXY19" s="41"/>
      <c r="UXZ19" s="41"/>
      <c r="UYA19" s="41"/>
      <c r="UYB19" s="41"/>
      <c r="UYC19" s="41"/>
      <c r="UYD19" s="41"/>
      <c r="UYE19" s="41"/>
      <c r="UYF19" s="41"/>
      <c r="UYG19" s="41"/>
      <c r="UYH19" s="41"/>
      <c r="UYI19" s="41"/>
      <c r="UYJ19" s="41"/>
      <c r="UYK19" s="41"/>
      <c r="UYL19" s="41"/>
      <c r="UYM19" s="41"/>
      <c r="UYN19" s="41"/>
      <c r="UYO19" s="41"/>
      <c r="UYP19" s="41"/>
      <c r="UYQ19" s="41"/>
      <c r="UYR19" s="41"/>
      <c r="UYS19" s="41"/>
      <c r="UYT19" s="41"/>
      <c r="UYU19" s="41"/>
      <c r="UYV19" s="41"/>
      <c r="UYW19" s="41"/>
      <c r="UYX19" s="41"/>
      <c r="UYY19" s="41"/>
      <c r="UYZ19" s="41"/>
      <c r="UZA19" s="41"/>
      <c r="UZB19" s="41"/>
      <c r="UZC19" s="41"/>
      <c r="UZD19" s="41"/>
      <c r="UZE19" s="41"/>
      <c r="UZF19" s="41"/>
      <c r="UZG19" s="41"/>
      <c r="UZH19" s="41"/>
      <c r="UZI19" s="41"/>
      <c r="UZJ19" s="41"/>
      <c r="UZK19" s="41"/>
      <c r="UZL19" s="41"/>
      <c r="UZM19" s="41"/>
      <c r="UZN19" s="41"/>
      <c r="UZO19" s="41"/>
      <c r="UZP19" s="41"/>
      <c r="UZQ19" s="41"/>
      <c r="UZR19" s="41"/>
      <c r="UZS19" s="41"/>
      <c r="UZT19" s="41"/>
      <c r="UZU19" s="41"/>
      <c r="UZV19" s="41"/>
      <c r="UZW19" s="41"/>
      <c r="UZX19" s="41"/>
      <c r="UZY19" s="41"/>
      <c r="UZZ19" s="41"/>
      <c r="VAA19" s="41"/>
      <c r="VAB19" s="41"/>
      <c r="VAC19" s="41"/>
      <c r="VAD19" s="41"/>
      <c r="VAE19" s="41"/>
      <c r="VAF19" s="41"/>
      <c r="VAG19" s="41"/>
      <c r="VAH19" s="41"/>
      <c r="VAI19" s="41"/>
      <c r="VAJ19" s="41"/>
      <c r="VAK19" s="41"/>
      <c r="VAL19" s="41"/>
      <c r="VAM19" s="41"/>
      <c r="VAN19" s="41"/>
      <c r="VAO19" s="41"/>
      <c r="VAP19" s="41"/>
      <c r="VAQ19" s="41"/>
      <c r="VAR19" s="41"/>
      <c r="VAS19" s="41"/>
      <c r="VAT19" s="41"/>
      <c r="VAU19" s="41"/>
      <c r="VAV19" s="41"/>
      <c r="VAW19" s="41"/>
      <c r="VAX19" s="41"/>
      <c r="VAY19" s="41"/>
      <c r="VAZ19" s="41"/>
      <c r="VBA19" s="41"/>
      <c r="VBB19" s="41"/>
      <c r="VBC19" s="41"/>
      <c r="VBD19" s="41"/>
      <c r="VBE19" s="41"/>
      <c r="VBF19" s="41"/>
      <c r="VBG19" s="41"/>
      <c r="VBH19" s="41"/>
      <c r="VBI19" s="41"/>
      <c r="VBJ19" s="41"/>
      <c r="VBK19" s="41"/>
      <c r="VBL19" s="41"/>
      <c r="VBM19" s="41"/>
      <c r="VBN19" s="41"/>
      <c r="VBO19" s="41"/>
      <c r="VBP19" s="41"/>
      <c r="VBQ19" s="41"/>
      <c r="VBR19" s="41"/>
      <c r="VBS19" s="41"/>
      <c r="VBT19" s="41"/>
      <c r="VBU19" s="41"/>
      <c r="VBV19" s="41"/>
      <c r="VBW19" s="41"/>
      <c r="VBX19" s="41"/>
      <c r="VBY19" s="41"/>
      <c r="VBZ19" s="41"/>
      <c r="VCA19" s="41"/>
      <c r="VCB19" s="41"/>
      <c r="VCC19" s="41"/>
      <c r="VCD19" s="41"/>
      <c r="VCE19" s="41"/>
      <c r="VCF19" s="41"/>
      <c r="VCG19" s="41"/>
      <c r="VCH19" s="41"/>
      <c r="VCI19" s="41"/>
      <c r="VCJ19" s="41"/>
      <c r="VCK19" s="41"/>
      <c r="VCL19" s="41"/>
      <c r="VCM19" s="41"/>
      <c r="VCN19" s="41"/>
      <c r="VCO19" s="41"/>
      <c r="VCP19" s="41"/>
      <c r="VCQ19" s="41"/>
      <c r="VCR19" s="41"/>
      <c r="VCS19" s="41"/>
      <c r="VCT19" s="41"/>
      <c r="VCU19" s="41"/>
      <c r="VCV19" s="41"/>
      <c r="VCW19" s="41"/>
      <c r="VCX19" s="41"/>
      <c r="VCY19" s="41"/>
      <c r="VCZ19" s="41"/>
      <c r="VDA19" s="41"/>
      <c r="VDB19" s="41"/>
      <c r="VDC19" s="41"/>
      <c r="VDD19" s="41"/>
      <c r="VDE19" s="41"/>
      <c r="VDF19" s="41"/>
      <c r="VDG19" s="41"/>
      <c r="VDH19" s="41"/>
      <c r="VDI19" s="41"/>
      <c r="VDJ19" s="41"/>
      <c r="VDK19" s="41"/>
      <c r="VDL19" s="41"/>
      <c r="VDM19" s="41"/>
      <c r="VDN19" s="41"/>
      <c r="VDO19" s="41"/>
      <c r="VDP19" s="41"/>
      <c r="VDQ19" s="41"/>
      <c r="VDR19" s="41"/>
      <c r="VDS19" s="41"/>
      <c r="VDT19" s="41"/>
      <c r="VDU19" s="41"/>
      <c r="VDV19" s="41"/>
      <c r="VDW19" s="41"/>
      <c r="VDX19" s="41"/>
      <c r="VDY19" s="41"/>
      <c r="VDZ19" s="41"/>
      <c r="VEA19" s="41"/>
      <c r="VEB19" s="41"/>
      <c r="VEC19" s="41"/>
      <c r="VED19" s="41"/>
      <c r="VEE19" s="41"/>
      <c r="VEF19" s="41"/>
      <c r="VEG19" s="41"/>
      <c r="VEH19" s="41"/>
      <c r="VEI19" s="41"/>
      <c r="VEJ19" s="41"/>
      <c r="VEK19" s="41"/>
      <c r="VEL19" s="41"/>
      <c r="VEM19" s="41"/>
      <c r="VEN19" s="41"/>
      <c r="VEO19" s="41"/>
      <c r="VEP19" s="41"/>
      <c r="VEQ19" s="41"/>
      <c r="VER19" s="41"/>
      <c r="VES19" s="41"/>
      <c r="VET19" s="41"/>
      <c r="VEU19" s="41"/>
      <c r="VEV19" s="41"/>
      <c r="VEW19" s="41"/>
      <c r="VEX19" s="41"/>
      <c r="VEY19" s="41"/>
      <c r="VEZ19" s="41"/>
      <c r="VFA19" s="41"/>
      <c r="VFB19" s="41"/>
      <c r="VFC19" s="41"/>
      <c r="VFD19" s="41"/>
      <c r="VFE19" s="41"/>
      <c r="VFF19" s="41"/>
      <c r="VFG19" s="41"/>
      <c r="VFH19" s="41"/>
      <c r="VFI19" s="41"/>
      <c r="VFJ19" s="41"/>
      <c r="VFK19" s="41"/>
      <c r="VFL19" s="41"/>
      <c r="VFM19" s="41"/>
      <c r="VFN19" s="41"/>
      <c r="VFO19" s="41"/>
      <c r="VFP19" s="41"/>
      <c r="VFQ19" s="41"/>
      <c r="VFR19" s="41"/>
      <c r="VFS19" s="41"/>
      <c r="VFT19" s="41"/>
      <c r="VFU19" s="41"/>
      <c r="VFV19" s="41"/>
      <c r="VFW19" s="41"/>
      <c r="VFX19" s="41"/>
      <c r="VFY19" s="41"/>
      <c r="VFZ19" s="41"/>
      <c r="VGA19" s="41"/>
      <c r="VGB19" s="41"/>
      <c r="VGC19" s="41"/>
      <c r="VGD19" s="41"/>
      <c r="VGE19" s="41"/>
      <c r="VGF19" s="41"/>
      <c r="VGG19" s="41"/>
      <c r="VGH19" s="41"/>
      <c r="VGI19" s="41"/>
      <c r="VGJ19" s="41"/>
      <c r="VGK19" s="41"/>
      <c r="VGL19" s="41"/>
      <c r="VGM19" s="41"/>
      <c r="VGN19" s="41"/>
      <c r="VGO19" s="41"/>
      <c r="VGP19" s="41"/>
      <c r="VGQ19" s="41"/>
      <c r="VGR19" s="41"/>
      <c r="VGS19" s="41"/>
      <c r="VGT19" s="41"/>
      <c r="VGU19" s="41"/>
      <c r="VGV19" s="41"/>
      <c r="VGW19" s="41"/>
      <c r="VGX19" s="41"/>
      <c r="VGY19" s="41"/>
      <c r="VGZ19" s="41"/>
      <c r="VHA19" s="41"/>
      <c r="VHB19" s="41"/>
      <c r="VHC19" s="41"/>
      <c r="VHD19" s="41"/>
      <c r="VHE19" s="41"/>
      <c r="VHF19" s="41"/>
      <c r="VHG19" s="41"/>
      <c r="VHH19" s="41"/>
      <c r="VHI19" s="41"/>
      <c r="VHJ19" s="41"/>
      <c r="VHK19" s="41"/>
      <c r="VHL19" s="41"/>
      <c r="VHM19" s="41"/>
      <c r="VHN19" s="41"/>
      <c r="VHO19" s="41"/>
      <c r="VHP19" s="41"/>
      <c r="VHQ19" s="41"/>
      <c r="VHR19" s="41"/>
      <c r="VHS19" s="41"/>
      <c r="VHT19" s="41"/>
      <c r="VHU19" s="41"/>
      <c r="VHV19" s="41"/>
      <c r="VHW19" s="41"/>
      <c r="VHX19" s="41"/>
      <c r="VHY19" s="41"/>
      <c r="VHZ19" s="41"/>
      <c r="VIA19" s="41"/>
      <c r="VIB19" s="41"/>
      <c r="VIC19" s="41"/>
      <c r="VID19" s="41"/>
      <c r="VIE19" s="41"/>
      <c r="VIF19" s="41"/>
      <c r="VIG19" s="41"/>
      <c r="VIH19" s="41"/>
      <c r="VII19" s="41"/>
      <c r="VIJ19" s="41"/>
      <c r="VIK19" s="41"/>
      <c r="VIL19" s="41"/>
      <c r="VIM19" s="41"/>
      <c r="VIN19" s="41"/>
      <c r="VIO19" s="41"/>
      <c r="VIP19" s="41"/>
      <c r="VIQ19" s="41"/>
      <c r="VIR19" s="41"/>
      <c r="VIS19" s="41"/>
      <c r="VIT19" s="41"/>
      <c r="VIU19" s="41"/>
      <c r="VIV19" s="41"/>
      <c r="VIW19" s="41"/>
      <c r="VIX19" s="41"/>
      <c r="VIY19" s="41"/>
      <c r="VIZ19" s="41"/>
      <c r="VJA19" s="41"/>
      <c r="VJB19" s="41"/>
      <c r="VJC19" s="41"/>
      <c r="VJD19" s="41"/>
      <c r="VJE19" s="41"/>
      <c r="VJF19" s="41"/>
      <c r="VJG19" s="41"/>
      <c r="VJH19" s="41"/>
      <c r="VJI19" s="41"/>
      <c r="VJJ19" s="41"/>
      <c r="VJK19" s="41"/>
      <c r="VJL19" s="41"/>
      <c r="VJM19" s="41"/>
      <c r="VJN19" s="41"/>
      <c r="VJO19" s="41"/>
      <c r="VJP19" s="41"/>
      <c r="VJQ19" s="41"/>
      <c r="VJR19" s="41"/>
      <c r="VJS19" s="41"/>
      <c r="VJT19" s="41"/>
      <c r="VJU19" s="41"/>
      <c r="VJV19" s="41"/>
      <c r="VJW19" s="41"/>
      <c r="VJX19" s="41"/>
      <c r="VJY19" s="41"/>
      <c r="VJZ19" s="41"/>
      <c r="VKA19" s="41"/>
      <c r="VKB19" s="41"/>
      <c r="VKC19" s="41"/>
      <c r="VKD19" s="41"/>
      <c r="VKE19" s="41"/>
      <c r="VKF19" s="41"/>
      <c r="VKG19" s="41"/>
      <c r="VKH19" s="41"/>
      <c r="VKI19" s="41"/>
      <c r="VKJ19" s="41"/>
      <c r="VKK19" s="41"/>
      <c r="VKL19" s="41"/>
      <c r="VKM19" s="41"/>
      <c r="VKN19" s="41"/>
      <c r="VKO19" s="41"/>
      <c r="VKP19" s="41"/>
      <c r="VKQ19" s="41"/>
      <c r="VKR19" s="41"/>
      <c r="VKS19" s="41"/>
      <c r="VKT19" s="41"/>
      <c r="VKU19" s="41"/>
      <c r="VKV19" s="41"/>
      <c r="VKW19" s="41"/>
      <c r="VKX19" s="41"/>
      <c r="VKY19" s="41"/>
      <c r="VKZ19" s="41"/>
      <c r="VLA19" s="41"/>
      <c r="VLB19" s="41"/>
      <c r="VLC19" s="41"/>
      <c r="VLD19" s="41"/>
      <c r="VLE19" s="41"/>
      <c r="VLF19" s="41"/>
      <c r="VLG19" s="41"/>
      <c r="VLH19" s="41"/>
      <c r="VLI19" s="41"/>
      <c r="VLJ19" s="41"/>
      <c r="VLK19" s="41"/>
      <c r="VLL19" s="41"/>
      <c r="VLM19" s="41"/>
      <c r="VLN19" s="41"/>
      <c r="VLO19" s="41"/>
      <c r="VLP19" s="41"/>
      <c r="VLQ19" s="41"/>
      <c r="VLR19" s="41"/>
      <c r="VLS19" s="41"/>
      <c r="VLT19" s="41"/>
      <c r="VLU19" s="41"/>
      <c r="VLV19" s="41"/>
      <c r="VLW19" s="41"/>
      <c r="VLX19" s="41"/>
      <c r="VLY19" s="41"/>
      <c r="VLZ19" s="41"/>
      <c r="VMA19" s="41"/>
      <c r="VMB19" s="41"/>
      <c r="VMC19" s="41"/>
      <c r="VMD19" s="41"/>
      <c r="VME19" s="41"/>
      <c r="VMF19" s="41"/>
      <c r="VMG19" s="41"/>
      <c r="VMH19" s="41"/>
      <c r="VMI19" s="41"/>
      <c r="VMJ19" s="41"/>
      <c r="VMK19" s="41"/>
      <c r="VML19" s="41"/>
      <c r="VMM19" s="41"/>
      <c r="VMN19" s="41"/>
      <c r="VMO19" s="41"/>
      <c r="VMP19" s="41"/>
      <c r="VMQ19" s="41"/>
      <c r="VMR19" s="41"/>
      <c r="VMS19" s="41"/>
      <c r="VMT19" s="41"/>
      <c r="VMU19" s="41"/>
      <c r="VMV19" s="41"/>
      <c r="VMW19" s="41"/>
      <c r="VMX19" s="41"/>
      <c r="VMY19" s="41"/>
      <c r="VMZ19" s="41"/>
      <c r="VNA19" s="41"/>
      <c r="VNB19" s="41"/>
      <c r="VNC19" s="41"/>
      <c r="VND19" s="41"/>
      <c r="VNE19" s="41"/>
      <c r="VNF19" s="41"/>
      <c r="VNG19" s="41"/>
      <c r="VNH19" s="41"/>
      <c r="VNI19" s="41"/>
      <c r="VNJ19" s="41"/>
      <c r="VNK19" s="41"/>
      <c r="VNL19" s="41"/>
      <c r="VNM19" s="41"/>
      <c r="VNN19" s="41"/>
      <c r="VNO19" s="41"/>
      <c r="VNP19" s="41"/>
      <c r="VNQ19" s="41"/>
      <c r="VNR19" s="41"/>
      <c r="VNS19" s="41"/>
      <c r="VNT19" s="41"/>
      <c r="VNU19" s="41"/>
      <c r="VNV19" s="41"/>
      <c r="VNW19" s="41"/>
      <c r="VNX19" s="41"/>
      <c r="VNY19" s="41"/>
      <c r="VNZ19" s="41"/>
      <c r="VOA19" s="41"/>
      <c r="VOB19" s="41"/>
      <c r="VOC19" s="41"/>
      <c r="VOD19" s="41"/>
      <c r="VOE19" s="41"/>
      <c r="VOF19" s="41"/>
      <c r="VOG19" s="41"/>
      <c r="VOH19" s="41"/>
      <c r="VOI19" s="41"/>
      <c r="VOJ19" s="41"/>
      <c r="VOK19" s="41"/>
      <c r="VOL19" s="41"/>
      <c r="VOM19" s="41"/>
      <c r="VON19" s="41"/>
      <c r="VOO19" s="41"/>
      <c r="VOP19" s="41"/>
      <c r="VOQ19" s="41"/>
      <c r="VOR19" s="41"/>
      <c r="VOS19" s="41"/>
      <c r="VOT19" s="41"/>
      <c r="VOU19" s="41"/>
      <c r="VOV19" s="41"/>
      <c r="VOW19" s="41"/>
      <c r="VOX19" s="41"/>
      <c r="VOY19" s="41"/>
      <c r="VOZ19" s="41"/>
      <c r="VPA19" s="41"/>
      <c r="VPB19" s="41"/>
      <c r="VPC19" s="41"/>
      <c r="VPD19" s="41"/>
      <c r="VPE19" s="41"/>
      <c r="VPF19" s="41"/>
      <c r="VPG19" s="41"/>
      <c r="VPH19" s="41"/>
      <c r="VPI19" s="41"/>
      <c r="VPJ19" s="41"/>
      <c r="VPK19" s="41"/>
      <c r="VPL19" s="41"/>
      <c r="VPM19" s="41"/>
      <c r="VPN19" s="41"/>
      <c r="VPO19" s="41"/>
      <c r="VPP19" s="41"/>
      <c r="VPQ19" s="41"/>
      <c r="VPR19" s="41"/>
      <c r="VPS19" s="41"/>
      <c r="VPT19" s="41"/>
      <c r="VPU19" s="41"/>
      <c r="VPV19" s="41"/>
      <c r="VPW19" s="41"/>
      <c r="VPX19" s="41"/>
      <c r="VPY19" s="41"/>
      <c r="VPZ19" s="41"/>
      <c r="VQA19" s="41"/>
      <c r="VQB19" s="41"/>
      <c r="VQC19" s="41"/>
      <c r="VQD19" s="41"/>
      <c r="VQE19" s="41"/>
      <c r="VQF19" s="41"/>
      <c r="VQG19" s="41"/>
      <c r="VQH19" s="41"/>
      <c r="VQI19" s="41"/>
      <c r="VQJ19" s="41"/>
      <c r="VQK19" s="41"/>
      <c r="VQL19" s="41"/>
      <c r="VQM19" s="41"/>
      <c r="VQN19" s="41"/>
      <c r="VQO19" s="41"/>
      <c r="VQP19" s="41"/>
      <c r="VQQ19" s="41"/>
      <c r="VQR19" s="41"/>
      <c r="VQS19" s="41"/>
      <c r="VQT19" s="41"/>
      <c r="VQU19" s="41"/>
      <c r="VQV19" s="41"/>
      <c r="VQW19" s="41"/>
      <c r="VQX19" s="41"/>
      <c r="VQY19" s="41"/>
      <c r="VQZ19" s="41"/>
      <c r="VRA19" s="41"/>
      <c r="VRB19" s="41"/>
      <c r="VRC19" s="41"/>
      <c r="VRD19" s="41"/>
      <c r="VRE19" s="41"/>
      <c r="VRF19" s="41"/>
      <c r="VRG19" s="41"/>
      <c r="VRH19" s="41"/>
      <c r="VRI19" s="41"/>
      <c r="VRJ19" s="41"/>
      <c r="VRK19" s="41"/>
      <c r="VRL19" s="41"/>
      <c r="VRM19" s="41"/>
      <c r="VRN19" s="41"/>
      <c r="VRO19" s="41"/>
      <c r="VRP19" s="41"/>
      <c r="VRQ19" s="41"/>
      <c r="VRR19" s="41"/>
      <c r="VRS19" s="41"/>
      <c r="VRT19" s="41"/>
      <c r="VRU19" s="41"/>
      <c r="VRV19" s="41"/>
      <c r="VRW19" s="41"/>
      <c r="VRX19" s="41"/>
      <c r="VRY19" s="41"/>
      <c r="VRZ19" s="41"/>
      <c r="VSA19" s="41"/>
      <c r="VSB19" s="41"/>
      <c r="VSC19" s="41"/>
      <c r="VSD19" s="41"/>
      <c r="VSE19" s="41"/>
      <c r="VSF19" s="41"/>
      <c r="VSG19" s="41"/>
      <c r="VSH19" s="41"/>
      <c r="VSI19" s="41"/>
      <c r="VSJ19" s="41"/>
      <c r="VSK19" s="41"/>
      <c r="VSL19" s="41"/>
      <c r="VSM19" s="41"/>
      <c r="VSN19" s="41"/>
      <c r="VSO19" s="41"/>
      <c r="VSP19" s="41"/>
      <c r="VSQ19" s="41"/>
      <c r="VSR19" s="41"/>
      <c r="VSS19" s="41"/>
      <c r="VST19" s="41"/>
      <c r="VSU19" s="41"/>
      <c r="VSV19" s="41"/>
      <c r="VSW19" s="41"/>
      <c r="VSX19" s="41"/>
      <c r="VSY19" s="41"/>
      <c r="VSZ19" s="41"/>
      <c r="VTA19" s="41"/>
      <c r="VTB19" s="41"/>
      <c r="VTC19" s="41"/>
      <c r="VTD19" s="41"/>
      <c r="VTE19" s="41"/>
      <c r="VTF19" s="41"/>
      <c r="VTG19" s="41"/>
      <c r="VTH19" s="41"/>
      <c r="VTI19" s="41"/>
      <c r="VTJ19" s="41"/>
      <c r="VTK19" s="41"/>
      <c r="VTL19" s="41"/>
      <c r="VTM19" s="41"/>
      <c r="VTN19" s="41"/>
      <c r="VTO19" s="41"/>
      <c r="VTP19" s="41"/>
      <c r="VTQ19" s="41"/>
      <c r="VTR19" s="41"/>
      <c r="VTS19" s="41"/>
      <c r="VTT19" s="41"/>
      <c r="VTU19" s="41"/>
      <c r="VTV19" s="41"/>
      <c r="VTW19" s="41"/>
      <c r="VTX19" s="41"/>
      <c r="VTY19" s="41"/>
      <c r="VTZ19" s="41"/>
      <c r="VUA19" s="41"/>
      <c r="VUB19" s="41"/>
      <c r="VUC19" s="41"/>
      <c r="VUD19" s="41"/>
      <c r="VUE19" s="41"/>
      <c r="VUF19" s="41"/>
      <c r="VUG19" s="41"/>
      <c r="VUH19" s="41"/>
      <c r="VUI19" s="41"/>
      <c r="VUJ19" s="41"/>
      <c r="VUK19" s="41"/>
      <c r="VUL19" s="41"/>
      <c r="VUM19" s="41"/>
      <c r="VUN19" s="41"/>
      <c r="VUO19" s="41"/>
      <c r="VUP19" s="41"/>
      <c r="VUQ19" s="41"/>
      <c r="VUR19" s="41"/>
      <c r="VUS19" s="41"/>
      <c r="VUT19" s="41"/>
      <c r="VUU19" s="41"/>
      <c r="VUV19" s="41"/>
      <c r="VUW19" s="41"/>
      <c r="VUX19" s="41"/>
      <c r="VUY19" s="41"/>
      <c r="VUZ19" s="41"/>
      <c r="VVA19" s="41"/>
      <c r="VVB19" s="41"/>
      <c r="VVC19" s="41"/>
      <c r="VVD19" s="41"/>
      <c r="VVE19" s="41"/>
      <c r="VVF19" s="41"/>
      <c r="VVG19" s="41"/>
      <c r="VVH19" s="41"/>
      <c r="VVI19" s="41"/>
      <c r="VVJ19" s="41"/>
      <c r="VVK19" s="41"/>
      <c r="VVL19" s="41"/>
      <c r="VVM19" s="41"/>
      <c r="VVN19" s="41"/>
      <c r="VVO19" s="41"/>
      <c r="VVP19" s="41"/>
      <c r="VVQ19" s="41"/>
      <c r="VVR19" s="41"/>
      <c r="VVS19" s="41"/>
      <c r="VVT19" s="41"/>
      <c r="VVU19" s="41"/>
      <c r="VVV19" s="41"/>
      <c r="VVW19" s="41"/>
      <c r="VVX19" s="41"/>
      <c r="VVY19" s="41"/>
      <c r="VVZ19" s="41"/>
      <c r="VWA19" s="41"/>
      <c r="VWB19" s="41"/>
      <c r="VWC19" s="41"/>
      <c r="VWD19" s="41"/>
      <c r="VWE19" s="41"/>
      <c r="VWF19" s="41"/>
      <c r="VWG19" s="41"/>
      <c r="VWH19" s="41"/>
      <c r="VWI19" s="41"/>
      <c r="VWJ19" s="41"/>
      <c r="VWK19" s="41"/>
      <c r="VWL19" s="41"/>
      <c r="VWM19" s="41"/>
      <c r="VWN19" s="41"/>
      <c r="VWO19" s="41"/>
      <c r="VWP19" s="41"/>
      <c r="VWQ19" s="41"/>
      <c r="VWR19" s="41"/>
      <c r="VWS19" s="41"/>
      <c r="VWT19" s="41"/>
      <c r="VWU19" s="41"/>
      <c r="VWV19" s="41"/>
      <c r="VWW19" s="41"/>
      <c r="VWX19" s="41"/>
      <c r="VWY19" s="41"/>
      <c r="VWZ19" s="41"/>
      <c r="VXA19" s="41"/>
      <c r="VXB19" s="41"/>
      <c r="VXC19" s="41"/>
      <c r="VXD19" s="41"/>
      <c r="VXE19" s="41"/>
      <c r="VXF19" s="41"/>
      <c r="VXG19" s="41"/>
      <c r="VXH19" s="41"/>
      <c r="VXI19" s="41"/>
      <c r="VXJ19" s="41"/>
      <c r="VXK19" s="41"/>
      <c r="VXL19" s="41"/>
      <c r="VXM19" s="41"/>
      <c r="VXN19" s="41"/>
      <c r="VXO19" s="41"/>
      <c r="VXP19" s="41"/>
      <c r="VXQ19" s="41"/>
      <c r="VXR19" s="41"/>
      <c r="VXS19" s="41"/>
      <c r="VXT19" s="41"/>
      <c r="VXU19" s="41"/>
      <c r="VXV19" s="41"/>
      <c r="VXW19" s="41"/>
      <c r="VXX19" s="41"/>
      <c r="VXY19" s="41"/>
      <c r="VXZ19" s="41"/>
      <c r="VYA19" s="41"/>
      <c r="VYB19" s="41"/>
      <c r="VYC19" s="41"/>
      <c r="VYD19" s="41"/>
      <c r="VYE19" s="41"/>
      <c r="VYF19" s="41"/>
      <c r="VYG19" s="41"/>
      <c r="VYH19" s="41"/>
      <c r="VYI19" s="41"/>
      <c r="VYJ19" s="41"/>
      <c r="VYK19" s="41"/>
      <c r="VYL19" s="41"/>
      <c r="VYM19" s="41"/>
      <c r="VYN19" s="41"/>
      <c r="VYO19" s="41"/>
      <c r="VYP19" s="41"/>
      <c r="VYQ19" s="41"/>
      <c r="VYR19" s="41"/>
      <c r="VYS19" s="41"/>
      <c r="VYT19" s="41"/>
      <c r="VYU19" s="41"/>
      <c r="VYV19" s="41"/>
      <c r="VYW19" s="41"/>
      <c r="VYX19" s="41"/>
      <c r="VYY19" s="41"/>
      <c r="VYZ19" s="41"/>
      <c r="VZA19" s="41"/>
      <c r="VZB19" s="41"/>
      <c r="VZC19" s="41"/>
      <c r="VZD19" s="41"/>
      <c r="VZE19" s="41"/>
      <c r="VZF19" s="41"/>
      <c r="VZG19" s="41"/>
      <c r="VZH19" s="41"/>
      <c r="VZI19" s="41"/>
      <c r="VZJ19" s="41"/>
      <c r="VZK19" s="41"/>
      <c r="VZL19" s="41"/>
      <c r="VZM19" s="41"/>
      <c r="VZN19" s="41"/>
      <c r="VZO19" s="41"/>
      <c r="VZP19" s="41"/>
      <c r="VZQ19" s="41"/>
      <c r="VZR19" s="41"/>
      <c r="VZS19" s="41"/>
      <c r="VZT19" s="41"/>
      <c r="VZU19" s="41"/>
      <c r="VZV19" s="41"/>
      <c r="VZW19" s="41"/>
      <c r="VZX19" s="41"/>
      <c r="VZY19" s="41"/>
      <c r="VZZ19" s="41"/>
      <c r="WAA19" s="41"/>
      <c r="WAB19" s="41"/>
      <c r="WAC19" s="41"/>
      <c r="WAD19" s="41"/>
      <c r="WAE19" s="41"/>
      <c r="WAF19" s="41"/>
      <c r="WAG19" s="41"/>
      <c r="WAH19" s="41"/>
      <c r="WAI19" s="41"/>
      <c r="WAJ19" s="41"/>
      <c r="WAK19" s="41"/>
      <c r="WAL19" s="41"/>
      <c r="WAM19" s="41"/>
      <c r="WAN19" s="41"/>
      <c r="WAO19" s="41"/>
      <c r="WAP19" s="41"/>
      <c r="WAQ19" s="41"/>
      <c r="WAR19" s="41"/>
      <c r="WAS19" s="41"/>
      <c r="WAT19" s="41"/>
      <c r="WAU19" s="41"/>
      <c r="WAV19" s="41"/>
      <c r="WAW19" s="41"/>
      <c r="WAX19" s="41"/>
      <c r="WAY19" s="41"/>
      <c r="WAZ19" s="41"/>
      <c r="WBA19" s="41"/>
      <c r="WBB19" s="41"/>
      <c r="WBC19" s="41"/>
      <c r="WBD19" s="41"/>
      <c r="WBE19" s="41"/>
      <c r="WBF19" s="41"/>
      <c r="WBG19" s="41"/>
      <c r="WBH19" s="41"/>
      <c r="WBI19" s="41"/>
      <c r="WBJ19" s="41"/>
      <c r="WBK19" s="41"/>
      <c r="WBL19" s="41"/>
      <c r="WBM19" s="41"/>
      <c r="WBN19" s="41"/>
      <c r="WBO19" s="41"/>
      <c r="WBP19" s="41"/>
      <c r="WBQ19" s="41"/>
      <c r="WBR19" s="41"/>
      <c r="WBS19" s="41"/>
      <c r="WBT19" s="41"/>
      <c r="WBU19" s="41"/>
      <c r="WBV19" s="41"/>
      <c r="WBW19" s="41"/>
      <c r="WBX19" s="41"/>
      <c r="WBY19" s="41"/>
      <c r="WBZ19" s="41"/>
      <c r="WCA19" s="41"/>
      <c r="WCB19" s="41"/>
      <c r="WCC19" s="41"/>
      <c r="WCD19" s="41"/>
      <c r="WCE19" s="41"/>
      <c r="WCF19" s="41"/>
      <c r="WCG19" s="41"/>
      <c r="WCH19" s="41"/>
      <c r="WCI19" s="41"/>
      <c r="WCJ19" s="41"/>
      <c r="WCK19" s="41"/>
      <c r="WCL19" s="41"/>
      <c r="WCM19" s="41"/>
      <c r="WCN19" s="41"/>
      <c r="WCO19" s="41"/>
      <c r="WCP19" s="41"/>
      <c r="WCQ19" s="41"/>
      <c r="WCR19" s="41"/>
      <c r="WCS19" s="41"/>
      <c r="WCT19" s="41"/>
      <c r="WCU19" s="41"/>
      <c r="WCV19" s="41"/>
      <c r="WCW19" s="41"/>
      <c r="WCX19" s="41"/>
      <c r="WCY19" s="41"/>
      <c r="WCZ19" s="41"/>
      <c r="WDA19" s="41"/>
      <c r="WDB19" s="41"/>
      <c r="WDC19" s="41"/>
      <c r="WDD19" s="41"/>
      <c r="WDE19" s="41"/>
      <c r="WDF19" s="41"/>
      <c r="WDG19" s="41"/>
      <c r="WDH19" s="41"/>
      <c r="WDI19" s="41"/>
      <c r="WDJ19" s="41"/>
      <c r="WDK19" s="41"/>
      <c r="WDL19" s="41"/>
      <c r="WDM19" s="41"/>
      <c r="WDN19" s="41"/>
      <c r="WDO19" s="41"/>
      <c r="WDP19" s="41"/>
      <c r="WDQ19" s="41"/>
      <c r="WDR19" s="41"/>
      <c r="WDS19" s="41"/>
      <c r="WDT19" s="41"/>
      <c r="WDU19" s="41"/>
      <c r="WDV19" s="41"/>
      <c r="WDW19" s="41"/>
      <c r="WDX19" s="41"/>
      <c r="WDY19" s="41"/>
      <c r="WDZ19" s="41"/>
      <c r="WEA19" s="41"/>
      <c r="WEB19" s="41"/>
      <c r="WEC19" s="41"/>
      <c r="WED19" s="41"/>
      <c r="WEE19" s="41"/>
      <c r="WEF19" s="41"/>
      <c r="WEG19" s="41"/>
      <c r="WEH19" s="41"/>
      <c r="WEI19" s="41"/>
      <c r="WEJ19" s="41"/>
      <c r="WEK19" s="41"/>
      <c r="WEL19" s="41"/>
      <c r="WEM19" s="41"/>
      <c r="WEN19" s="41"/>
      <c r="WEO19" s="41"/>
      <c r="WEP19" s="41"/>
      <c r="WEQ19" s="41"/>
      <c r="WER19" s="41"/>
      <c r="WES19" s="41"/>
      <c r="WET19" s="41"/>
      <c r="WEU19" s="41"/>
      <c r="WEV19" s="41"/>
      <c r="WEW19" s="41"/>
      <c r="WEX19" s="41"/>
      <c r="WEY19" s="41"/>
      <c r="WEZ19" s="41"/>
      <c r="WFA19" s="41"/>
      <c r="WFB19" s="41"/>
      <c r="WFC19" s="41"/>
      <c r="WFD19" s="41"/>
      <c r="WFE19" s="41"/>
      <c r="WFF19" s="41"/>
      <c r="WFG19" s="41"/>
      <c r="WFH19" s="41"/>
      <c r="WFI19" s="41"/>
      <c r="WFJ19" s="41"/>
      <c r="WFK19" s="41"/>
      <c r="WFL19" s="41"/>
      <c r="WFM19" s="41"/>
      <c r="WFN19" s="41"/>
      <c r="WFO19" s="41"/>
      <c r="WFP19" s="41"/>
      <c r="WFQ19" s="41"/>
      <c r="WFR19" s="41"/>
      <c r="WFS19" s="41"/>
      <c r="WFT19" s="41"/>
      <c r="WFU19" s="41"/>
      <c r="WFV19" s="41"/>
      <c r="WFW19" s="41"/>
      <c r="WFX19" s="41"/>
      <c r="WFY19" s="41"/>
      <c r="WFZ19" s="41"/>
      <c r="WGA19" s="41"/>
      <c r="WGB19" s="41"/>
      <c r="WGC19" s="41"/>
      <c r="WGD19" s="41"/>
      <c r="WGE19" s="41"/>
      <c r="WGF19" s="41"/>
      <c r="WGG19" s="41"/>
      <c r="WGH19" s="41"/>
      <c r="WGI19" s="41"/>
      <c r="WGJ19" s="41"/>
      <c r="WGK19" s="41"/>
      <c r="WGL19" s="41"/>
      <c r="WGM19" s="41"/>
      <c r="WGN19" s="41"/>
      <c r="WGO19" s="41"/>
      <c r="WGP19" s="41"/>
      <c r="WGQ19" s="41"/>
      <c r="WGR19" s="41"/>
      <c r="WGS19" s="41"/>
      <c r="WGT19" s="41"/>
      <c r="WGU19" s="41"/>
      <c r="WGV19" s="41"/>
      <c r="WGW19" s="41"/>
      <c r="WGX19" s="41"/>
      <c r="WGY19" s="41"/>
      <c r="WGZ19" s="41"/>
      <c r="WHA19" s="41"/>
      <c r="WHB19" s="41"/>
      <c r="WHC19" s="41"/>
      <c r="WHD19" s="41"/>
      <c r="WHE19" s="41"/>
      <c r="WHF19" s="41"/>
      <c r="WHG19" s="41"/>
      <c r="WHH19" s="41"/>
      <c r="WHI19" s="41"/>
      <c r="WHJ19" s="41"/>
      <c r="WHK19" s="41"/>
      <c r="WHL19" s="41"/>
      <c r="WHM19" s="41"/>
      <c r="WHN19" s="41"/>
      <c r="WHO19" s="41"/>
      <c r="WHP19" s="41"/>
      <c r="WHQ19" s="41"/>
      <c r="WHR19" s="41"/>
      <c r="WHS19" s="41"/>
      <c r="WHT19" s="41"/>
      <c r="WHU19" s="41"/>
      <c r="WHV19" s="41"/>
      <c r="WHW19" s="41"/>
      <c r="WHX19" s="41"/>
      <c r="WHY19" s="41"/>
      <c r="WHZ19" s="41"/>
      <c r="WIA19" s="41"/>
      <c r="WIB19" s="41"/>
      <c r="WIC19" s="41"/>
      <c r="WID19" s="41"/>
      <c r="WIE19" s="41"/>
      <c r="WIF19" s="41"/>
      <c r="WIG19" s="41"/>
      <c r="WIH19" s="41"/>
      <c r="WII19" s="41"/>
      <c r="WIJ19" s="41"/>
      <c r="WIK19" s="41"/>
      <c r="WIL19" s="41"/>
      <c r="WIM19" s="41"/>
      <c r="WIN19" s="41"/>
      <c r="WIO19" s="41"/>
      <c r="WIP19" s="41"/>
      <c r="WIQ19" s="41"/>
      <c r="WIR19" s="41"/>
      <c r="WIS19" s="41"/>
      <c r="WIT19" s="41"/>
      <c r="WIU19" s="41"/>
      <c r="WIV19" s="41"/>
      <c r="WIW19" s="41"/>
      <c r="WIX19" s="41"/>
      <c r="WIY19" s="41"/>
      <c r="WIZ19" s="41"/>
      <c r="WJA19" s="41"/>
      <c r="WJB19" s="41"/>
      <c r="WJC19" s="41"/>
      <c r="WJD19" s="41"/>
      <c r="WJE19" s="41"/>
      <c r="WJF19" s="41"/>
      <c r="WJG19" s="41"/>
      <c r="WJH19" s="41"/>
      <c r="WJI19" s="41"/>
      <c r="WJJ19" s="41"/>
      <c r="WJK19" s="41"/>
      <c r="WJL19" s="41"/>
      <c r="WJM19" s="41"/>
      <c r="WJN19" s="41"/>
      <c r="WJO19" s="41"/>
      <c r="WJP19" s="41"/>
      <c r="WJQ19" s="41"/>
      <c r="WJR19" s="41"/>
      <c r="WJS19" s="41"/>
      <c r="WJT19" s="41"/>
      <c r="WJU19" s="41"/>
      <c r="WJV19" s="41"/>
      <c r="WJW19" s="41"/>
      <c r="WJX19" s="41"/>
      <c r="WJY19" s="41"/>
      <c r="WJZ19" s="41"/>
      <c r="WKA19" s="41"/>
      <c r="WKB19" s="41"/>
      <c r="WKC19" s="41"/>
      <c r="WKD19" s="41"/>
      <c r="WKE19" s="41"/>
      <c r="WKF19" s="41"/>
      <c r="WKG19" s="41"/>
      <c r="WKH19" s="41"/>
      <c r="WKI19" s="41"/>
      <c r="WKJ19" s="41"/>
      <c r="WKK19" s="41"/>
      <c r="WKL19" s="41"/>
      <c r="WKM19" s="41"/>
      <c r="WKN19" s="41"/>
      <c r="WKO19" s="41"/>
      <c r="WKP19" s="41"/>
      <c r="WKQ19" s="41"/>
      <c r="WKR19" s="41"/>
      <c r="WKS19" s="41"/>
      <c r="WKT19" s="41"/>
      <c r="WKU19" s="41"/>
      <c r="WKV19" s="41"/>
      <c r="WKW19" s="41"/>
      <c r="WKX19" s="41"/>
      <c r="WKY19" s="41"/>
      <c r="WKZ19" s="41"/>
      <c r="WLA19" s="41"/>
      <c r="WLB19" s="41"/>
      <c r="WLC19" s="41"/>
      <c r="WLD19" s="41"/>
      <c r="WLE19" s="41"/>
      <c r="WLF19" s="41"/>
      <c r="WLG19" s="41"/>
      <c r="WLH19" s="41"/>
      <c r="WLI19" s="41"/>
      <c r="WLJ19" s="41"/>
      <c r="WLK19" s="41"/>
      <c r="WLL19" s="41"/>
      <c r="WLM19" s="41"/>
      <c r="WLN19" s="41"/>
      <c r="WLO19" s="41"/>
      <c r="WLP19" s="41"/>
      <c r="WLQ19" s="41"/>
      <c r="WLR19" s="41"/>
      <c r="WLS19" s="41"/>
      <c r="WLT19" s="41"/>
      <c r="WLU19" s="41"/>
      <c r="WLV19" s="41"/>
      <c r="WLW19" s="41"/>
      <c r="WLX19" s="41"/>
      <c r="WLY19" s="41"/>
      <c r="WLZ19" s="41"/>
      <c r="WMA19" s="41"/>
      <c r="WMB19" s="41"/>
      <c r="WMC19" s="41"/>
      <c r="WMD19" s="41"/>
      <c r="WME19" s="41"/>
      <c r="WMF19" s="41"/>
      <c r="WMG19" s="41"/>
      <c r="WMH19" s="41"/>
      <c r="WMI19" s="41"/>
      <c r="WMJ19" s="41"/>
      <c r="WMK19" s="41"/>
      <c r="WML19" s="41"/>
      <c r="WMM19" s="41"/>
      <c r="WMN19" s="41"/>
      <c r="WMO19" s="41"/>
      <c r="WMP19" s="41"/>
      <c r="WMQ19" s="41"/>
      <c r="WMR19" s="41"/>
      <c r="WMS19" s="41"/>
      <c r="WMT19" s="41"/>
      <c r="WMU19" s="41"/>
      <c r="WMV19" s="41"/>
      <c r="WMW19" s="41"/>
      <c r="WMX19" s="41"/>
      <c r="WMY19" s="41"/>
      <c r="WMZ19" s="41"/>
      <c r="WNA19" s="41"/>
      <c r="WNB19" s="41"/>
      <c r="WNC19" s="41"/>
      <c r="WND19" s="41"/>
      <c r="WNE19" s="41"/>
      <c r="WNF19" s="41"/>
      <c r="WNG19" s="41"/>
      <c r="WNH19" s="41"/>
      <c r="WNI19" s="41"/>
      <c r="WNJ19" s="41"/>
      <c r="WNK19" s="41"/>
      <c r="WNL19" s="41"/>
      <c r="WNM19" s="41"/>
      <c r="WNN19" s="41"/>
      <c r="WNO19" s="41"/>
      <c r="WNP19" s="41"/>
      <c r="WNQ19" s="41"/>
      <c r="WNR19" s="41"/>
      <c r="WNS19" s="41"/>
      <c r="WNT19" s="41"/>
      <c r="WNU19" s="41"/>
      <c r="WNV19" s="41"/>
      <c r="WNW19" s="41"/>
      <c r="WNX19" s="41"/>
      <c r="WNY19" s="41"/>
      <c r="WNZ19" s="41"/>
      <c r="WOA19" s="41"/>
      <c r="WOB19" s="41"/>
      <c r="WOC19" s="41"/>
      <c r="WOD19" s="41"/>
      <c r="WOE19" s="41"/>
      <c r="WOF19" s="41"/>
      <c r="WOG19" s="41"/>
      <c r="WOH19" s="41"/>
      <c r="WOI19" s="41"/>
      <c r="WOJ19" s="41"/>
      <c r="WOK19" s="41"/>
      <c r="WOL19" s="41"/>
      <c r="WOM19" s="41"/>
      <c r="WON19" s="41"/>
      <c r="WOO19" s="41"/>
      <c r="WOP19" s="41"/>
      <c r="WOQ19" s="41"/>
      <c r="WOR19" s="41"/>
      <c r="WOS19" s="41"/>
      <c r="WOT19" s="41"/>
      <c r="WOU19" s="41"/>
      <c r="WOV19" s="41"/>
      <c r="WOW19" s="41"/>
      <c r="WOX19" s="41"/>
      <c r="WOY19" s="41"/>
      <c r="WOZ19" s="41"/>
      <c r="WPA19" s="41"/>
      <c r="WPB19" s="41"/>
      <c r="WPC19" s="41"/>
      <c r="WPD19" s="41"/>
      <c r="WPE19" s="41"/>
      <c r="WPF19" s="41"/>
      <c r="WPG19" s="41"/>
      <c r="WPH19" s="41"/>
      <c r="WPI19" s="41"/>
      <c r="WPJ19" s="41"/>
      <c r="WPK19" s="41"/>
      <c r="WPL19" s="41"/>
      <c r="WPM19" s="41"/>
      <c r="WPN19" s="41"/>
      <c r="WPO19" s="41"/>
      <c r="WPP19" s="41"/>
      <c r="WPQ19" s="41"/>
      <c r="WPR19" s="41"/>
      <c r="WPS19" s="41"/>
      <c r="WPT19" s="41"/>
      <c r="WPU19" s="41"/>
      <c r="WPV19" s="41"/>
      <c r="WPW19" s="41"/>
      <c r="WPX19" s="41"/>
      <c r="WPY19" s="41"/>
      <c r="WPZ19" s="41"/>
      <c r="WQA19" s="41"/>
      <c r="WQB19" s="41"/>
      <c r="WQC19" s="41"/>
      <c r="WQD19" s="41"/>
      <c r="WQE19" s="41"/>
      <c r="WQF19" s="41"/>
      <c r="WQG19" s="41"/>
      <c r="WQH19" s="41"/>
      <c r="WQI19" s="41"/>
      <c r="WQJ19" s="41"/>
      <c r="WQK19" s="41"/>
      <c r="WQL19" s="41"/>
      <c r="WQM19" s="41"/>
      <c r="WQN19" s="41"/>
      <c r="WQO19" s="41"/>
      <c r="WQP19" s="41"/>
      <c r="WQQ19" s="41"/>
      <c r="WQR19" s="41"/>
      <c r="WQS19" s="41"/>
      <c r="WQT19" s="41"/>
      <c r="WQU19" s="41"/>
      <c r="WQV19" s="41"/>
      <c r="WQW19" s="41"/>
      <c r="WQX19" s="41"/>
      <c r="WQY19" s="41"/>
      <c r="WQZ19" s="41"/>
      <c r="WRA19" s="41"/>
      <c r="WRB19" s="41"/>
      <c r="WRC19" s="41"/>
      <c r="WRD19" s="41"/>
      <c r="WRE19" s="41"/>
      <c r="WRF19" s="41"/>
      <c r="WRG19" s="41"/>
      <c r="WRH19" s="41"/>
      <c r="WRI19" s="41"/>
      <c r="WRJ19" s="41"/>
      <c r="WRK19" s="41"/>
      <c r="WRL19" s="41"/>
      <c r="WRM19" s="41"/>
      <c r="WRN19" s="41"/>
      <c r="WRO19" s="41"/>
      <c r="WRP19" s="41"/>
      <c r="WRQ19" s="41"/>
      <c r="WRR19" s="41"/>
      <c r="WRS19" s="41"/>
      <c r="WRT19" s="41"/>
      <c r="WRU19" s="41"/>
      <c r="WRV19" s="41"/>
      <c r="WRW19" s="41"/>
      <c r="WRX19" s="41"/>
      <c r="WRY19" s="41"/>
      <c r="WRZ19" s="41"/>
      <c r="WSA19" s="41"/>
      <c r="WSB19" s="41"/>
      <c r="WSC19" s="41"/>
      <c r="WSD19" s="41"/>
      <c r="WSE19" s="41"/>
      <c r="WSF19" s="41"/>
      <c r="WSG19" s="41"/>
      <c r="WSH19" s="41"/>
      <c r="WSI19" s="41"/>
      <c r="WSJ19" s="41"/>
      <c r="WSK19" s="41"/>
      <c r="WSL19" s="41"/>
      <c r="WSM19" s="41"/>
      <c r="WSN19" s="41"/>
      <c r="WSO19" s="41"/>
      <c r="WSP19" s="41"/>
      <c r="WSQ19" s="41"/>
      <c r="WSR19" s="41"/>
      <c r="WSS19" s="41"/>
      <c r="WST19" s="41"/>
      <c r="WSU19" s="41"/>
      <c r="WSV19" s="41"/>
      <c r="WSW19" s="41"/>
      <c r="WSX19" s="41"/>
      <c r="WSY19" s="41"/>
      <c r="WSZ19" s="41"/>
      <c r="WTA19" s="41"/>
      <c r="WTB19" s="41"/>
      <c r="WTC19" s="41"/>
      <c r="WTD19" s="41"/>
      <c r="WTE19" s="41"/>
      <c r="WTF19" s="41"/>
      <c r="WTG19" s="41"/>
      <c r="WTH19" s="41"/>
      <c r="WTI19" s="41"/>
      <c r="WTJ19" s="41"/>
      <c r="WTK19" s="41"/>
      <c r="WTL19" s="41"/>
      <c r="WTM19" s="41"/>
      <c r="WTN19" s="41"/>
      <c r="WTO19" s="41"/>
      <c r="WTP19" s="41"/>
      <c r="WTQ19" s="41"/>
      <c r="WTR19" s="41"/>
      <c r="WTS19" s="41"/>
      <c r="WTT19" s="41"/>
      <c r="WTU19" s="41"/>
      <c r="WTV19" s="41"/>
      <c r="WTW19" s="41"/>
      <c r="WTX19" s="41"/>
      <c r="WTY19" s="41"/>
      <c r="WTZ19" s="41"/>
      <c r="WUA19" s="41"/>
      <c r="WUB19" s="41"/>
      <c r="WUC19" s="41"/>
      <c r="WUD19" s="41"/>
      <c r="WUE19" s="41"/>
      <c r="WUF19" s="41"/>
      <c r="WUG19" s="41"/>
      <c r="WUH19" s="41"/>
      <c r="WUI19" s="41"/>
      <c r="WUJ19" s="41"/>
      <c r="WUK19" s="41"/>
      <c r="WUL19" s="41"/>
      <c r="WUM19" s="41"/>
      <c r="WUN19" s="41"/>
      <c r="WUO19" s="41"/>
      <c r="WUP19" s="41"/>
      <c r="WUQ19" s="41"/>
      <c r="WUR19" s="41"/>
      <c r="WUS19" s="41"/>
      <c r="WUT19" s="41"/>
      <c r="WUU19" s="41"/>
      <c r="WUV19" s="41"/>
      <c r="WUW19" s="41"/>
      <c r="WUX19" s="41"/>
      <c r="WUY19" s="41"/>
      <c r="WUZ19" s="41"/>
      <c r="WVA19" s="41"/>
      <c r="WVB19" s="41"/>
      <c r="WVC19" s="41"/>
      <c r="WVD19" s="41"/>
      <c r="WVE19" s="41"/>
      <c r="WVF19" s="41"/>
      <c r="WVG19" s="41"/>
      <c r="WVH19" s="41"/>
      <c r="WVI19" s="41"/>
      <c r="WVJ19" s="41"/>
      <c r="WVK19" s="41"/>
      <c r="WVL19" s="41"/>
      <c r="WVM19" s="41"/>
      <c r="WVN19" s="41"/>
      <c r="WVO19" s="41"/>
      <c r="WVP19" s="41"/>
      <c r="WVQ19" s="41"/>
      <c r="WVR19" s="41"/>
      <c r="WVS19" s="41"/>
      <c r="WVT19" s="41"/>
      <c r="WVU19" s="41"/>
      <c r="WVV19" s="41"/>
      <c r="WVW19" s="41"/>
      <c r="WVX19" s="41"/>
      <c r="WVY19" s="41"/>
      <c r="WVZ19" s="41"/>
      <c r="WWA19" s="41"/>
      <c r="WWB19" s="41"/>
      <c r="WWC19" s="41"/>
      <c r="WWD19" s="41"/>
      <c r="WWE19" s="41"/>
      <c r="WWF19" s="41"/>
      <c r="WWG19" s="41"/>
      <c r="WWH19" s="41"/>
      <c r="WWI19" s="41"/>
      <c r="WWJ19" s="41"/>
      <c r="WWK19" s="41"/>
      <c r="WWL19" s="41"/>
      <c r="WWM19" s="41"/>
      <c r="WWN19" s="41"/>
      <c r="WWO19" s="41"/>
      <c r="WWP19" s="41"/>
      <c r="WWQ19" s="41"/>
      <c r="WWR19" s="41"/>
      <c r="WWS19" s="41"/>
      <c r="WWT19" s="41"/>
      <c r="WWU19" s="41"/>
      <c r="WWV19" s="41"/>
      <c r="WWW19" s="41"/>
      <c r="WWX19" s="41"/>
      <c r="WWY19" s="41"/>
      <c r="WWZ19" s="41"/>
      <c r="WXA19" s="41"/>
      <c r="WXB19" s="41"/>
      <c r="WXC19" s="41"/>
      <c r="WXD19" s="41"/>
      <c r="WXE19" s="41"/>
      <c r="WXF19" s="41"/>
      <c r="WXG19" s="41"/>
      <c r="WXH19" s="41"/>
      <c r="WXI19" s="41"/>
      <c r="WXJ19" s="41"/>
      <c r="WXK19" s="41"/>
      <c r="WXL19" s="41"/>
      <c r="WXM19" s="41"/>
      <c r="WXN19" s="41"/>
      <c r="WXO19" s="41"/>
      <c r="WXP19" s="41"/>
      <c r="WXQ19" s="41"/>
      <c r="WXR19" s="41"/>
      <c r="WXS19" s="41"/>
      <c r="WXT19" s="41"/>
      <c r="WXU19" s="41"/>
      <c r="WXV19" s="41"/>
      <c r="WXW19" s="41"/>
      <c r="WXX19" s="41"/>
      <c r="WXY19" s="41"/>
      <c r="WXZ19" s="41"/>
      <c r="WYA19" s="41"/>
      <c r="WYB19" s="41"/>
      <c r="WYC19" s="41"/>
      <c r="WYD19" s="41"/>
      <c r="WYE19" s="41"/>
      <c r="WYF19" s="41"/>
      <c r="WYG19" s="41"/>
      <c r="WYH19" s="41"/>
      <c r="WYI19" s="41"/>
      <c r="WYJ19" s="41"/>
      <c r="WYK19" s="41"/>
      <c r="WYL19" s="41"/>
      <c r="WYM19" s="41"/>
      <c r="WYN19" s="41"/>
      <c r="WYO19" s="41"/>
      <c r="WYP19" s="41"/>
      <c r="WYQ19" s="41"/>
      <c r="WYR19" s="41"/>
      <c r="WYS19" s="41"/>
      <c r="WYT19" s="41"/>
      <c r="WYU19" s="41"/>
      <c r="WYV19" s="41"/>
      <c r="WYW19" s="41"/>
      <c r="WYX19" s="41"/>
      <c r="WYY19" s="41"/>
      <c r="WYZ19" s="41"/>
      <c r="WZA19" s="41"/>
      <c r="WZB19" s="41"/>
      <c r="WZC19" s="41"/>
      <c r="WZD19" s="41"/>
      <c r="WZE19" s="41"/>
      <c r="WZF19" s="41"/>
      <c r="WZG19" s="41"/>
      <c r="WZH19" s="41"/>
      <c r="WZI19" s="41"/>
      <c r="WZJ19" s="41"/>
      <c r="WZK19" s="41"/>
      <c r="WZL19" s="41"/>
      <c r="WZM19" s="41"/>
      <c r="WZN19" s="41"/>
      <c r="WZO19" s="41"/>
      <c r="WZP19" s="41"/>
      <c r="WZQ19" s="41"/>
      <c r="WZR19" s="41"/>
      <c r="WZS19" s="41"/>
      <c r="WZT19" s="41"/>
      <c r="WZU19" s="41"/>
      <c r="WZV19" s="41"/>
      <c r="WZW19" s="41"/>
      <c r="WZX19" s="41"/>
      <c r="WZY19" s="41"/>
      <c r="WZZ19" s="41"/>
      <c r="XAA19" s="41"/>
      <c r="XAB19" s="41"/>
      <c r="XAC19" s="41"/>
      <c r="XAD19" s="41"/>
      <c r="XAE19" s="41"/>
      <c r="XAF19" s="41"/>
      <c r="XAG19" s="41"/>
      <c r="XAH19" s="41"/>
      <c r="XAI19" s="41"/>
      <c r="XAJ19" s="41"/>
      <c r="XAK19" s="41"/>
      <c r="XAL19" s="41"/>
      <c r="XAM19" s="41"/>
      <c r="XAN19" s="41"/>
      <c r="XAO19" s="41"/>
      <c r="XAP19" s="41"/>
      <c r="XAQ19" s="41"/>
      <c r="XAR19" s="41"/>
      <c r="XAS19" s="41"/>
      <c r="XAT19" s="41"/>
      <c r="XAU19" s="41"/>
      <c r="XAV19" s="41"/>
      <c r="XAW19" s="41"/>
      <c r="XAX19" s="41"/>
      <c r="XAY19" s="41"/>
      <c r="XAZ19" s="41"/>
      <c r="XBA19" s="41"/>
      <c r="XBB19" s="41"/>
      <c r="XBC19" s="41"/>
      <c r="XBD19" s="41"/>
      <c r="XBE19" s="41"/>
      <c r="XBF19" s="41"/>
      <c r="XBG19" s="41"/>
      <c r="XBH19" s="41"/>
      <c r="XBI19" s="41"/>
      <c r="XBJ19" s="41"/>
      <c r="XBK19" s="41"/>
      <c r="XBL19" s="41"/>
      <c r="XBM19" s="41"/>
      <c r="XBN19" s="41"/>
      <c r="XBO19" s="41"/>
      <c r="XBP19" s="41"/>
      <c r="XBQ19" s="41"/>
      <c r="XBR19" s="41"/>
      <c r="XBS19" s="41"/>
      <c r="XBT19" s="41"/>
      <c r="XBU19" s="41"/>
      <c r="XBV19" s="41"/>
      <c r="XBW19" s="41"/>
      <c r="XBX19" s="41"/>
      <c r="XBY19" s="41"/>
      <c r="XBZ19" s="41"/>
      <c r="XCA19" s="41"/>
      <c r="XCB19" s="41"/>
      <c r="XCC19" s="41"/>
      <c r="XCD19" s="41"/>
      <c r="XCE19" s="41"/>
      <c r="XCF19" s="41"/>
      <c r="XCG19" s="41"/>
      <c r="XCH19" s="41"/>
      <c r="XCI19" s="41"/>
      <c r="XCJ19" s="41"/>
      <c r="XCK19" s="41"/>
      <c r="XCL19" s="41"/>
      <c r="XCM19" s="41"/>
      <c r="XCN19" s="41"/>
      <c r="XCO19" s="41"/>
      <c r="XCP19" s="41"/>
      <c r="XCQ19" s="41"/>
      <c r="XCR19" s="41"/>
      <c r="XCS19" s="41"/>
      <c r="XCT19" s="41"/>
      <c r="XCU19" s="41"/>
      <c r="XCV19" s="41"/>
      <c r="XCW19" s="41"/>
      <c r="XCX19" s="41"/>
      <c r="XCY19" s="41"/>
      <c r="XCZ19" s="41"/>
      <c r="XDA19" s="41"/>
      <c r="XDB19" s="41"/>
      <c r="XDC19" s="41"/>
      <c r="XDD19" s="41"/>
      <c r="XDE19" s="41"/>
      <c r="XDF19" s="41"/>
      <c r="XDG19" s="41"/>
      <c r="XDH19" s="41"/>
      <c r="XDI19" s="41"/>
      <c r="XDJ19" s="41"/>
      <c r="XDK19" s="41"/>
      <c r="XDL19" s="41"/>
      <c r="XDM19" s="41"/>
      <c r="XDN19" s="41"/>
      <c r="XDO19" s="41"/>
      <c r="XDP19" s="41"/>
      <c r="XDQ19" s="41"/>
      <c r="XDR19" s="41"/>
      <c r="XDS19" s="41"/>
      <c r="XDT19" s="41"/>
      <c r="XDU19" s="41"/>
      <c r="XDV19" s="41"/>
      <c r="XDW19" s="41"/>
      <c r="XDX19" s="41"/>
      <c r="XDY19" s="41"/>
      <c r="XDZ19" s="41"/>
      <c r="XEA19" s="41"/>
      <c r="XEB19" s="41"/>
      <c r="XEC19" s="41"/>
      <c r="XED19" s="41"/>
      <c r="XEE19" s="41"/>
      <c r="XEF19" s="41"/>
      <c r="XEG19" s="41"/>
      <c r="XEH19" s="41"/>
      <c r="XEI19" s="41"/>
      <c r="XEJ19" s="41"/>
      <c r="XEK19" s="41"/>
      <c r="XEL19" s="41"/>
      <c r="XEM19" s="41"/>
      <c r="XEN19" s="41"/>
      <c r="XEO19" s="41"/>
      <c r="XEP19" s="41"/>
      <c r="XEQ19" s="41"/>
      <c r="XER19" s="41"/>
      <c r="XES19" s="41"/>
      <c r="XET19" s="41"/>
      <c r="XEU19" s="41"/>
      <c r="XEV19" s="41"/>
      <c r="XEW19" s="41"/>
      <c r="XEX19" s="41"/>
      <c r="XEY19" s="41"/>
      <c r="XEZ19" s="41"/>
      <c r="XFA19" s="41"/>
      <c r="XFB19" s="41"/>
      <c r="XFC19" s="41"/>
      <c r="XFD19" s="41"/>
    </row>
    <row r="20" spans="2:16384" ht="25.5" customHeight="1" thickBot="1" x14ac:dyDescent="0.4">
      <c r="B20" s="20"/>
      <c r="C20" s="114" t="s">
        <v>260</v>
      </c>
      <c r="F20" s="89" t="s">
        <v>267</v>
      </c>
      <c r="G20" s="111" t="s">
        <v>264</v>
      </c>
      <c r="H20" s="89" t="s">
        <v>265</v>
      </c>
      <c r="I20" s="89" t="s">
        <v>266</v>
      </c>
      <c r="K20" s="15"/>
      <c r="L20" s="15"/>
      <c r="M20" s="15"/>
      <c r="N20" s="38"/>
      <c r="O20" s="38"/>
      <c r="P20" s="38"/>
      <c r="Q20" s="38"/>
      <c r="R20" s="38"/>
      <c r="S20" s="38"/>
      <c r="T20" s="38"/>
      <c r="U20" s="65"/>
      <c r="V20" s="38"/>
    </row>
    <row r="21" spans="2:16384" s="32" customFormat="1" ht="19.5" customHeight="1" thickTop="1" x14ac:dyDescent="0.3">
      <c r="D21" s="6" t="s">
        <v>261</v>
      </c>
      <c r="E21" s="6"/>
      <c r="F21" s="90"/>
      <c r="G21" s="47">
        <v>0.4</v>
      </c>
      <c r="H21" s="90">
        <v>0.7</v>
      </c>
      <c r="I21" s="112">
        <v>11000</v>
      </c>
      <c r="J21" s="7"/>
      <c r="K21" s="90"/>
      <c r="L21" s="90"/>
      <c r="M21" s="15"/>
      <c r="N21" s="41"/>
      <c r="O21" s="41"/>
      <c r="P21" s="41"/>
      <c r="Q21" s="41"/>
      <c r="R21" s="41"/>
      <c r="S21" s="41"/>
      <c r="T21" s="41"/>
      <c r="U21" s="41"/>
      <c r="V21" s="41"/>
      <c r="W21" s="34"/>
      <c r="X21" s="34"/>
      <c r="Y21" s="34"/>
      <c r="Z21" s="34"/>
      <c r="AA21" s="34"/>
      <c r="AB21" s="34"/>
    </row>
    <row r="22" spans="2:16384" s="32" customFormat="1" ht="19.5" customHeight="1" x14ac:dyDescent="0.3">
      <c r="D22" s="6" t="s">
        <v>262</v>
      </c>
      <c r="E22" s="6"/>
      <c r="F22" s="90"/>
      <c r="G22" s="47">
        <v>0.35</v>
      </c>
      <c r="H22" s="90">
        <v>0.15</v>
      </c>
      <c r="I22" s="112">
        <v>5500</v>
      </c>
      <c r="J22" s="7"/>
      <c r="K22" s="26"/>
      <c r="L22" s="26"/>
      <c r="M22" s="15"/>
      <c r="N22" s="41"/>
      <c r="O22" s="41"/>
      <c r="P22" s="41"/>
      <c r="Q22" s="41"/>
      <c r="R22" s="41"/>
      <c r="S22" s="41"/>
      <c r="T22" s="41"/>
      <c r="U22" s="41"/>
      <c r="V22" s="58"/>
      <c r="W22" s="34"/>
      <c r="X22" s="34"/>
      <c r="Y22" s="34"/>
      <c r="Z22" s="34"/>
      <c r="AA22" s="34"/>
      <c r="AB22" s="34"/>
    </row>
    <row r="23" spans="2:16384" s="25" customFormat="1" ht="19.5" customHeight="1" x14ac:dyDescent="0.3">
      <c r="B23" s="42"/>
      <c r="C23" s="42"/>
      <c r="D23" s="42" t="s">
        <v>263</v>
      </c>
      <c r="E23" s="6"/>
      <c r="F23" s="90"/>
      <c r="G23" s="47">
        <v>0.25</v>
      </c>
      <c r="H23" s="90">
        <v>0.7</v>
      </c>
      <c r="I23" s="112">
        <v>22000</v>
      </c>
      <c r="J23" s="7"/>
      <c r="K23" s="29"/>
      <c r="L23" s="29"/>
      <c r="M23" s="15"/>
      <c r="N23" s="41"/>
      <c r="O23" s="41"/>
      <c r="P23" s="41"/>
      <c r="Q23" s="41"/>
      <c r="R23" s="41"/>
      <c r="S23" s="41"/>
      <c r="T23" s="41"/>
      <c r="U23" s="41"/>
      <c r="V23" s="41"/>
      <c r="W23" s="27"/>
      <c r="X23" s="27"/>
      <c r="Y23" s="27"/>
      <c r="Z23" s="27"/>
      <c r="AA23" s="27"/>
      <c r="AB23" s="27"/>
    </row>
    <row r="24" spans="2:16384" s="25" customFormat="1" ht="19.5" customHeight="1" thickBot="1" x14ac:dyDescent="0.35">
      <c r="B24" s="115"/>
      <c r="C24" s="115"/>
      <c r="D24" s="116" t="s">
        <v>30</v>
      </c>
      <c r="E24" s="6"/>
      <c r="F24" s="120">
        <f>1000000/AVG_USEFUL_LIFE*I24</f>
        <v>23300492610.83744</v>
      </c>
      <c r="G24" s="117">
        <f>SUM(G21:G23)</f>
        <v>1</v>
      </c>
      <c r="H24" s="118">
        <f>SUMPRODUCT(G21:G23,H21:H23)</f>
        <v>0.50749999999999995</v>
      </c>
      <c r="I24" s="119">
        <f>SUMPRODUCT(G21:G23,I21:I23)</f>
        <v>11825</v>
      </c>
      <c r="J24" s="7"/>
      <c r="K24" s="26"/>
      <c r="L24" s="26"/>
      <c r="M24" s="15"/>
      <c r="N24" s="41"/>
      <c r="O24" s="41"/>
      <c r="P24" s="41"/>
      <c r="Q24" s="41"/>
      <c r="R24" s="41"/>
      <c r="S24" s="41"/>
      <c r="T24" s="41"/>
      <c r="U24" s="41"/>
      <c r="V24" s="41"/>
      <c r="W24" s="27"/>
      <c r="X24" s="27"/>
      <c r="Y24" s="27"/>
      <c r="Z24" s="27"/>
      <c r="AA24" s="27"/>
      <c r="AB24" s="27"/>
    </row>
    <row r="25" spans="2:16384" s="25" customFormat="1" ht="19.5" customHeight="1" x14ac:dyDescent="0.3">
      <c r="B25" s="42"/>
      <c r="C25" s="42"/>
      <c r="D25" s="42"/>
      <c r="E25" s="6"/>
      <c r="F25" s="90"/>
      <c r="G25" s="90"/>
      <c r="H25" s="93"/>
      <c r="I25" s="90"/>
      <c r="J25" s="7"/>
      <c r="K25" s="29"/>
      <c r="L25" s="29"/>
      <c r="M25" s="15"/>
      <c r="N25" s="41"/>
      <c r="O25" s="41"/>
      <c r="P25" s="41"/>
      <c r="Q25" s="41"/>
      <c r="R25" s="41"/>
      <c r="S25" s="41"/>
      <c r="T25" s="41"/>
      <c r="U25" s="41"/>
      <c r="V25" s="41"/>
      <c r="W25" s="27"/>
      <c r="X25" s="27"/>
      <c r="Y25" s="27"/>
      <c r="Z25" s="27"/>
      <c r="AA25" s="27"/>
      <c r="AB25" s="27"/>
    </row>
    <row r="26" spans="2:16384" s="25" customFormat="1" ht="17.25" thickBot="1" x14ac:dyDescent="0.35">
      <c r="B26" s="42"/>
      <c r="C26" s="114" t="s">
        <v>274</v>
      </c>
      <c r="D26" s="5"/>
      <c r="E26" s="6"/>
      <c r="F26" s="120">
        <f>F24+F18</f>
        <v>33987992610.83744</v>
      </c>
      <c r="G26" s="90"/>
      <c r="H26" s="93"/>
      <c r="I26" s="90"/>
      <c r="J26" s="7"/>
      <c r="K26" s="29"/>
      <c r="L26" s="29"/>
      <c r="M26" s="15"/>
      <c r="N26" s="41"/>
      <c r="O26" s="41"/>
      <c r="P26" s="41"/>
      <c r="Q26" s="41"/>
      <c r="R26" s="41"/>
      <c r="S26" s="41"/>
      <c r="T26" s="41"/>
      <c r="U26" s="41"/>
      <c r="V26" s="41"/>
      <c r="W26" s="27"/>
      <c r="X26" s="27"/>
      <c r="Y26" s="27"/>
      <c r="Z26" s="27"/>
      <c r="AA26" s="27"/>
      <c r="AB26" s="27"/>
    </row>
    <row r="27" spans="2:16384" s="25" customFormat="1" x14ac:dyDescent="0.3">
      <c r="B27" s="42"/>
      <c r="C27" s="42"/>
      <c r="D27" s="42"/>
      <c r="E27" s="6"/>
      <c r="F27" s="94"/>
      <c r="G27" s="94"/>
      <c r="H27" s="94"/>
      <c r="I27" s="94"/>
      <c r="J27" s="7"/>
      <c r="K27" s="29"/>
      <c r="L27" s="29"/>
      <c r="M27" s="15"/>
      <c r="N27" s="60"/>
      <c r="O27" s="60"/>
      <c r="P27" s="60"/>
      <c r="Q27" s="41"/>
      <c r="R27" s="41"/>
      <c r="S27" s="41"/>
      <c r="T27" s="41"/>
      <c r="U27" s="41"/>
      <c r="V27" s="41"/>
      <c r="W27" s="27"/>
      <c r="X27" s="27"/>
      <c r="Y27" s="27"/>
      <c r="Z27" s="27"/>
      <c r="AA27" s="27"/>
      <c r="AB27" s="27"/>
    </row>
    <row r="28" spans="2:16384" s="25" customFormat="1" x14ac:dyDescent="0.3">
      <c r="B28" s="42"/>
      <c r="C28" s="42"/>
      <c r="D28" s="42"/>
      <c r="E28" s="6"/>
      <c r="F28" s="94"/>
      <c r="G28" s="94"/>
      <c r="H28" s="94"/>
      <c r="I28" s="94"/>
      <c r="J28" s="7"/>
      <c r="K28" s="29"/>
      <c r="L28" s="29"/>
      <c r="M28" s="15"/>
      <c r="N28" s="60"/>
      <c r="O28" s="60"/>
      <c r="P28" s="60"/>
      <c r="Q28" s="41"/>
      <c r="R28" s="41"/>
      <c r="S28" s="41"/>
      <c r="T28" s="41"/>
      <c r="U28" s="41"/>
      <c r="V28" s="41"/>
      <c r="W28" s="27"/>
      <c r="X28" s="27"/>
      <c r="Y28" s="27"/>
      <c r="Z28" s="27"/>
      <c r="AA28" s="27"/>
      <c r="AB28" s="27"/>
    </row>
    <row r="29" spans="2:16384" s="25" customFormat="1" x14ac:dyDescent="0.3">
      <c r="B29" s="127"/>
      <c r="C29" s="128" t="s">
        <v>276</v>
      </c>
      <c r="D29" s="127"/>
      <c r="E29" s="6"/>
      <c r="F29" s="130"/>
      <c r="G29" s="130"/>
      <c r="H29" s="130"/>
      <c r="I29" s="130"/>
      <c r="K29" s="31"/>
      <c r="L29" s="31"/>
      <c r="M29" s="15"/>
      <c r="N29" s="129"/>
      <c r="O29" s="129"/>
      <c r="P29" s="129"/>
      <c r="Q29" s="36"/>
      <c r="R29" s="36"/>
      <c r="S29" s="36"/>
      <c r="T29" s="36"/>
      <c r="U29" s="36"/>
      <c r="V29" s="36"/>
      <c r="W29" s="27"/>
      <c r="X29" s="27"/>
      <c r="Y29" s="27"/>
      <c r="Z29" s="27"/>
      <c r="AA29" s="27"/>
      <c r="AB29" s="27"/>
    </row>
    <row r="30" spans="2:16384" s="32" customFormat="1" ht="19.5" customHeight="1" x14ac:dyDescent="0.3">
      <c r="D30" s="6" t="s">
        <v>277</v>
      </c>
      <c r="E30" s="6"/>
      <c r="F30" s="131"/>
      <c r="G30" s="104"/>
      <c r="H30" s="124"/>
      <c r="I30" s="104"/>
      <c r="J30" s="7"/>
      <c r="K30" s="64">
        <f>L30</f>
        <v>40</v>
      </c>
      <c r="L30" s="64">
        <f>N30</f>
        <v>40</v>
      </c>
      <c r="M30" s="15"/>
      <c r="N30" s="103">
        <v>40</v>
      </c>
      <c r="O30" s="103">
        <v>40</v>
      </c>
      <c r="P30" s="103">
        <v>40</v>
      </c>
      <c r="Q30" s="103">
        <v>40</v>
      </c>
      <c r="R30" s="103">
        <v>40</v>
      </c>
      <c r="S30" s="103">
        <v>40</v>
      </c>
      <c r="T30" s="103">
        <v>40</v>
      </c>
      <c r="U30" s="103">
        <v>40</v>
      </c>
      <c r="V30" s="41"/>
      <c r="W30" s="34"/>
      <c r="X30" s="34"/>
      <c r="Y30" s="34"/>
      <c r="Z30" s="34"/>
      <c r="AA30" s="34"/>
      <c r="AB30" s="34"/>
    </row>
    <row r="31" spans="2:16384" s="32" customFormat="1" ht="19.5" customHeight="1" x14ac:dyDescent="0.3">
      <c r="D31" s="6" t="s">
        <v>278</v>
      </c>
      <c r="E31" s="6"/>
      <c r="F31" s="125"/>
      <c r="G31" s="90"/>
      <c r="H31" s="112"/>
      <c r="I31" s="90"/>
      <c r="J31" s="7"/>
      <c r="K31" s="64">
        <f t="shared" ref="K31:K33" si="9">L31</f>
        <v>5.7</v>
      </c>
      <c r="L31" s="64">
        <f t="shared" ref="L31:L33" si="10">N31</f>
        <v>5.7</v>
      </c>
      <c r="M31" s="15"/>
      <c r="N31" s="41">
        <v>5.7</v>
      </c>
      <c r="O31" s="103">
        <v>6</v>
      </c>
      <c r="P31" s="41">
        <v>5.5</v>
      </c>
      <c r="Q31" s="41">
        <v>5.5</v>
      </c>
      <c r="R31" s="41">
        <v>4.5</v>
      </c>
      <c r="S31" s="41">
        <v>4.5</v>
      </c>
      <c r="T31" s="103">
        <v>4</v>
      </c>
      <c r="U31" s="103">
        <v>4</v>
      </c>
      <c r="V31" s="58"/>
      <c r="W31" s="34"/>
      <c r="X31" s="34"/>
      <c r="Y31" s="34"/>
      <c r="Z31" s="34"/>
      <c r="AA31" s="34"/>
      <c r="AB31" s="34"/>
    </row>
    <row r="32" spans="2:16384" s="25" customFormat="1" ht="19.5" customHeight="1" x14ac:dyDescent="0.3">
      <c r="B32" s="42"/>
      <c r="C32" s="42"/>
      <c r="D32" s="42" t="s">
        <v>279</v>
      </c>
      <c r="E32" s="6"/>
      <c r="F32" s="125"/>
      <c r="G32" s="90"/>
      <c r="H32" s="112"/>
      <c r="I32" s="90"/>
      <c r="J32" s="7"/>
      <c r="K32" s="64">
        <f t="shared" si="9"/>
        <v>11.5</v>
      </c>
      <c r="L32" s="64">
        <f t="shared" si="10"/>
        <v>11.5</v>
      </c>
      <c r="M32" s="15"/>
      <c r="N32" s="41">
        <v>11.5</v>
      </c>
      <c r="O32" s="103">
        <v>10</v>
      </c>
      <c r="P32" s="103">
        <v>10</v>
      </c>
      <c r="Q32" s="103">
        <v>10</v>
      </c>
      <c r="R32" s="103">
        <v>10</v>
      </c>
      <c r="S32" s="103">
        <v>10</v>
      </c>
      <c r="T32" s="103">
        <v>10</v>
      </c>
      <c r="U32" s="103">
        <v>10</v>
      </c>
      <c r="V32" s="41"/>
      <c r="W32" s="27"/>
      <c r="X32" s="27"/>
      <c r="Y32" s="27"/>
      <c r="Z32" s="27"/>
      <c r="AA32" s="27"/>
      <c r="AB32" s="27"/>
    </row>
    <row r="33" spans="2:28" s="25" customFormat="1" ht="19.5" customHeight="1" x14ac:dyDescent="0.3">
      <c r="B33" s="42"/>
      <c r="C33" s="42"/>
      <c r="D33" s="42" t="s">
        <v>280</v>
      </c>
      <c r="E33" s="6"/>
      <c r="F33" s="125"/>
      <c r="G33" s="90"/>
      <c r="H33" s="112"/>
      <c r="I33" s="90"/>
      <c r="J33" s="7"/>
      <c r="K33" s="64">
        <f t="shared" si="9"/>
        <v>6.5</v>
      </c>
      <c r="L33" s="64">
        <f t="shared" si="10"/>
        <v>6.5</v>
      </c>
      <c r="M33" s="15"/>
      <c r="N33" s="41">
        <v>6.5</v>
      </c>
      <c r="O33" s="41">
        <v>6.5</v>
      </c>
      <c r="P33" s="41">
        <v>6.5</v>
      </c>
      <c r="Q33" s="41">
        <v>6.5</v>
      </c>
      <c r="R33" s="41">
        <v>6.5</v>
      </c>
      <c r="S33" s="41">
        <v>6.5</v>
      </c>
      <c r="T33" s="103">
        <v>5</v>
      </c>
      <c r="U33" s="103">
        <v>5</v>
      </c>
      <c r="V33" s="41"/>
      <c r="W33" s="27"/>
      <c r="X33" s="27"/>
      <c r="Y33" s="27"/>
      <c r="Z33" s="27"/>
      <c r="AA33" s="27"/>
      <c r="AB33" s="27"/>
    </row>
    <row r="34" spans="2:28" s="32" customFormat="1" x14ac:dyDescent="0.3">
      <c r="E34" s="6"/>
      <c r="F34" s="94"/>
      <c r="G34" s="41"/>
      <c r="H34" s="41"/>
      <c r="I34" s="41"/>
      <c r="J34" s="7"/>
      <c r="K34" s="29"/>
      <c r="L34" s="29"/>
      <c r="M34" s="15"/>
      <c r="N34" s="37"/>
      <c r="O34" s="37"/>
      <c r="P34" s="37"/>
      <c r="Q34" s="37"/>
      <c r="R34" s="104"/>
      <c r="S34" s="37"/>
      <c r="T34" s="37"/>
      <c r="U34" s="37"/>
      <c r="V34" s="37"/>
      <c r="W34" s="34"/>
      <c r="X34" s="34"/>
      <c r="Y34" s="34"/>
      <c r="Z34" s="34"/>
      <c r="AA34" s="34"/>
      <c r="AB34" s="34"/>
    </row>
    <row r="35" spans="2:28" s="32" customFormat="1" ht="17.25" thickBot="1" x14ac:dyDescent="0.35">
      <c r="C35" s="128" t="s">
        <v>257</v>
      </c>
      <c r="D35" s="23"/>
      <c r="E35" s="6"/>
      <c r="F35" s="91"/>
      <c r="G35" s="91"/>
      <c r="H35" s="91"/>
      <c r="I35" s="91"/>
      <c r="J35" s="7"/>
      <c r="K35" s="126"/>
      <c r="L35" s="126"/>
      <c r="M35" s="15"/>
      <c r="N35" s="92">
        <f t="shared" ref="N35:U35" si="11">(N39*1000000)/$F$26</f>
        <v>3.878399101392298</v>
      </c>
      <c r="O35" s="92">
        <f t="shared" si="11"/>
        <v>2.442009475238466</v>
      </c>
      <c r="P35" s="92">
        <f t="shared" si="11"/>
        <v>1.5514008315744656</v>
      </c>
      <c r="Q35" s="92">
        <f t="shared" si="11"/>
        <v>1.8725730798148432</v>
      </c>
      <c r="R35" s="92">
        <f t="shared" si="11"/>
        <v>1.7963108530432181</v>
      </c>
      <c r="S35" s="92">
        <f t="shared" si="11"/>
        <v>1.1810053173661372</v>
      </c>
      <c r="T35" s="92">
        <f t="shared" si="11"/>
        <v>0.49608696203563629</v>
      </c>
      <c r="U35" s="92">
        <f t="shared" si="11"/>
        <v>0.39505128042538928</v>
      </c>
      <c r="V35" s="105"/>
      <c r="W35" s="34"/>
      <c r="X35" s="34"/>
      <c r="Y35" s="34"/>
      <c r="Z35" s="34"/>
      <c r="AA35" s="34"/>
      <c r="AB35" s="34"/>
    </row>
    <row r="36" spans="2:28" s="25" customFormat="1" ht="17.25" thickTop="1" x14ac:dyDescent="0.3">
      <c r="B36" s="42"/>
      <c r="C36" s="42"/>
      <c r="D36" s="43" t="s">
        <v>258</v>
      </c>
      <c r="E36" s="6"/>
      <c r="F36" s="41"/>
      <c r="G36" s="41"/>
      <c r="H36" s="41"/>
      <c r="I36" s="41"/>
      <c r="J36" s="7"/>
      <c r="K36" s="29"/>
      <c r="L36" s="29"/>
      <c r="M36" s="15"/>
      <c r="N36" s="37">
        <f>N35-N37</f>
        <v>1.2195598272230201</v>
      </c>
      <c r="O36" s="37">
        <f t="shared" ref="O36:U36" si="12">O35-O37</f>
        <v>0.76788813524365573</v>
      </c>
      <c r="P36" s="37">
        <f t="shared" si="12"/>
        <v>0.48783688337525422</v>
      </c>
      <c r="Q36" s="37">
        <f t="shared" si="12"/>
        <v>0.58882926743192643</v>
      </c>
      <c r="R36" s="104">
        <f t="shared" si="12"/>
        <v>0.56484866469512762</v>
      </c>
      <c r="S36" s="37">
        <f t="shared" si="12"/>
        <v>0.37136627849347992</v>
      </c>
      <c r="T36" s="37">
        <f t="shared" si="12"/>
        <v>0.15599419087390543</v>
      </c>
      <c r="U36" s="37">
        <f t="shared" si="12"/>
        <v>0.12422359295794605</v>
      </c>
      <c r="V36" s="37"/>
      <c r="W36" s="27"/>
      <c r="X36" s="27"/>
      <c r="Y36" s="27"/>
      <c r="Z36" s="27"/>
      <c r="AA36" s="27"/>
      <c r="AB36" s="27"/>
    </row>
    <row r="37" spans="2:28" s="25" customFormat="1" x14ac:dyDescent="0.3">
      <c r="B37" s="42"/>
      <c r="C37" s="42"/>
      <c r="D37" s="43" t="s">
        <v>259</v>
      </c>
      <c r="E37" s="6"/>
      <c r="F37" s="41"/>
      <c r="G37" s="59"/>
      <c r="H37" s="59"/>
      <c r="I37" s="59"/>
      <c r="J37" s="7"/>
      <c r="K37" s="29"/>
      <c r="L37" s="29"/>
      <c r="M37" s="15"/>
      <c r="N37" s="41">
        <f t="shared" ref="N37:U37" si="13">($F$24/$F$26)*N35</f>
        <v>2.6588392741692779</v>
      </c>
      <c r="O37" s="41">
        <f t="shared" si="13"/>
        <v>1.6741213399948103</v>
      </c>
      <c r="P37" s="41">
        <f t="shared" si="13"/>
        <v>1.0635639481992114</v>
      </c>
      <c r="Q37" s="41">
        <f t="shared" si="13"/>
        <v>1.2837438123829168</v>
      </c>
      <c r="R37" s="41">
        <f t="shared" si="13"/>
        <v>1.2314621883480905</v>
      </c>
      <c r="S37" s="41">
        <f t="shared" si="13"/>
        <v>0.80963903887265731</v>
      </c>
      <c r="T37" s="41">
        <f t="shared" si="13"/>
        <v>0.34009277116173087</v>
      </c>
      <c r="U37" s="41">
        <f t="shared" si="13"/>
        <v>0.27082768746744323</v>
      </c>
      <c r="V37" s="41"/>
      <c r="W37" s="27"/>
      <c r="X37" s="27"/>
      <c r="Y37" s="27"/>
      <c r="Z37" s="27"/>
      <c r="AA37" s="27"/>
      <c r="AB37" s="27"/>
    </row>
    <row r="38" spans="2:28" s="25" customFormat="1" ht="13.5" customHeight="1" x14ac:dyDescent="0.3">
      <c r="B38" s="42"/>
      <c r="C38" s="42"/>
      <c r="D38" s="42"/>
      <c r="E38" s="6"/>
      <c r="F38" s="41"/>
      <c r="G38" s="59"/>
      <c r="H38" s="59"/>
      <c r="I38" s="59"/>
      <c r="J38" s="7"/>
      <c r="K38" s="29"/>
      <c r="L38" s="29"/>
      <c r="M38" s="15"/>
      <c r="N38" s="41"/>
      <c r="O38" s="41"/>
      <c r="P38" s="41"/>
      <c r="Q38" s="41"/>
      <c r="R38" s="41"/>
      <c r="S38" s="41"/>
      <c r="T38" s="41"/>
      <c r="U38" s="41"/>
      <c r="V38" s="41"/>
      <c r="W38" s="27"/>
      <c r="X38" s="27"/>
      <c r="Y38" s="27"/>
      <c r="Z38" s="27"/>
      <c r="AA38" s="27"/>
      <c r="AB38" s="27"/>
    </row>
    <row r="39" spans="2:28" s="25" customFormat="1" x14ac:dyDescent="0.3">
      <c r="B39" s="42"/>
      <c r="C39" s="42"/>
      <c r="D39" s="32" t="s">
        <v>281</v>
      </c>
      <c r="E39" s="6"/>
      <c r="F39" s="41"/>
      <c r="G39" s="41"/>
      <c r="H39" s="41"/>
      <c r="I39" s="41"/>
      <c r="J39" s="7"/>
      <c r="K39" s="64">
        <f>L39*(1+K40)</f>
        <v>245183.34</v>
      </c>
      <c r="L39" s="64">
        <f>N39*(1+L40)</f>
        <v>204319.45</v>
      </c>
      <c r="M39" s="15"/>
      <c r="N39" s="103">
        <v>131819</v>
      </c>
      <c r="O39" s="103">
        <v>82999</v>
      </c>
      <c r="P39" s="103">
        <v>52729</v>
      </c>
      <c r="Q39" s="103">
        <v>63645</v>
      </c>
      <c r="R39" s="103">
        <v>61053</v>
      </c>
      <c r="S39" s="103">
        <v>40140</v>
      </c>
      <c r="T39" s="103">
        <v>16861</v>
      </c>
      <c r="U39" s="103">
        <v>13427</v>
      </c>
      <c r="V39" s="41"/>
      <c r="W39" s="27"/>
      <c r="X39" s="27"/>
      <c r="Y39" s="27"/>
      <c r="Z39" s="27"/>
      <c r="AA39" s="27"/>
      <c r="AB39" s="27"/>
    </row>
    <row r="40" spans="2:28" s="95" customFormat="1" x14ac:dyDescent="0.3">
      <c r="D40" s="96" t="s">
        <v>19</v>
      </c>
      <c r="E40" s="97"/>
      <c r="F40" s="98"/>
      <c r="G40" s="98"/>
      <c r="H40" s="98"/>
      <c r="I40" s="98"/>
      <c r="J40" s="99"/>
      <c r="K40" s="29">
        <v>0.2</v>
      </c>
      <c r="L40" s="29">
        <v>0.55000000000000004</v>
      </c>
      <c r="M40" s="15"/>
      <c r="N40" s="110">
        <f>IFERROR(N39/O39-1,0)</f>
        <v>0.58819985782961237</v>
      </c>
      <c r="O40" s="110">
        <f t="shared" ref="O40:T40" si="14">IFERROR(O39/P39-1,0)</f>
        <v>0.5740674012403042</v>
      </c>
      <c r="P40" s="110">
        <f t="shared" si="14"/>
        <v>-0.17151386597533191</v>
      </c>
      <c r="Q40" s="110">
        <f t="shared" si="14"/>
        <v>4.245491622033315E-2</v>
      </c>
      <c r="R40" s="110">
        <f t="shared" si="14"/>
        <v>0.52100149476831081</v>
      </c>
      <c r="S40" s="110">
        <f t="shared" si="14"/>
        <v>1.3806417175730976</v>
      </c>
      <c r="T40" s="110">
        <f t="shared" si="14"/>
        <v>0.25575333283682133</v>
      </c>
      <c r="U40" s="110">
        <f>IFERROR(U39/#REF!-1,0)</f>
        <v>0</v>
      </c>
      <c r="V40" s="100"/>
      <c r="W40" s="101"/>
      <c r="X40" s="101"/>
      <c r="Y40" s="101"/>
      <c r="Z40" s="101"/>
      <c r="AA40" s="101"/>
      <c r="AB40" s="101"/>
    </row>
    <row r="41" spans="2:28" s="25" customFormat="1" x14ac:dyDescent="0.3">
      <c r="B41" s="42"/>
      <c r="C41" s="42"/>
      <c r="D41" s="61"/>
      <c r="E41" s="6"/>
      <c r="F41" s="45"/>
      <c r="G41" s="45"/>
      <c r="H41" s="45"/>
      <c r="I41" s="45"/>
      <c r="J41" s="7"/>
      <c r="K41" s="29"/>
      <c r="L41" s="29"/>
      <c r="M41" s="15"/>
      <c r="N41" s="45"/>
      <c r="O41" s="45"/>
      <c r="P41" s="45"/>
      <c r="Q41" s="45"/>
      <c r="R41" s="45"/>
      <c r="S41" s="45"/>
      <c r="T41" s="45"/>
      <c r="U41" s="45"/>
      <c r="V41" s="41"/>
      <c r="W41" s="27"/>
      <c r="X41" s="27"/>
      <c r="Y41" s="27"/>
      <c r="Z41" s="27"/>
      <c r="AA41" s="27"/>
      <c r="AB41" s="27"/>
    </row>
    <row r="42" spans="2:28" s="25" customFormat="1" x14ac:dyDescent="0.3">
      <c r="B42" s="42"/>
      <c r="C42" s="42"/>
      <c r="D42" s="32" t="s">
        <v>254</v>
      </c>
      <c r="E42" s="6"/>
      <c r="F42" s="41"/>
      <c r="G42" s="41"/>
      <c r="H42" s="41"/>
      <c r="I42" s="41"/>
      <c r="J42" s="7"/>
      <c r="K42" s="29"/>
      <c r="L42" s="29"/>
      <c r="M42" s="15"/>
      <c r="N42" s="103">
        <f t="shared" ref="N42:U42" si="15">N44+N49+N68+N73</f>
        <v>534098</v>
      </c>
      <c r="O42" s="103">
        <f t="shared" si="15"/>
        <v>394055</v>
      </c>
      <c r="P42" s="103">
        <f t="shared" si="15"/>
        <v>324288</v>
      </c>
      <c r="Q42" s="103">
        <f t="shared" si="15"/>
        <v>283730</v>
      </c>
      <c r="R42" s="103">
        <f t="shared" si="15"/>
        <v>238800</v>
      </c>
      <c r="S42" s="103">
        <f t="shared" si="15"/>
        <v>173548</v>
      </c>
      <c r="T42" s="103">
        <f t="shared" si="15"/>
        <v>119680</v>
      </c>
      <c r="U42" s="103">
        <f t="shared" si="15"/>
        <v>95770</v>
      </c>
      <c r="V42" s="41"/>
      <c r="W42" s="27"/>
      <c r="X42" s="27"/>
      <c r="Y42" s="27"/>
      <c r="Z42" s="27"/>
      <c r="AA42" s="27"/>
      <c r="AB42" s="27"/>
    </row>
    <row r="43" spans="2:28" s="95" customFormat="1" x14ac:dyDescent="0.3">
      <c r="D43" s="96" t="s">
        <v>19</v>
      </c>
      <c r="E43" s="97"/>
      <c r="F43" s="98"/>
      <c r="G43" s="98"/>
      <c r="H43" s="98"/>
      <c r="I43" s="98"/>
      <c r="J43" s="99"/>
      <c r="K43" s="29"/>
      <c r="L43" s="29"/>
      <c r="M43" s="15"/>
      <c r="N43" s="110">
        <f>IFERROR(N42/O42-1,0)</f>
        <v>0.35538947608836335</v>
      </c>
      <c r="O43" s="110">
        <f t="shared" ref="O43" si="16">IFERROR(O42/P42-1,0)</f>
        <v>0.21513901223603704</v>
      </c>
      <c r="P43" s="110">
        <f t="shared" ref="P43" si="17">IFERROR(P42/Q42-1,0)</f>
        <v>0.14294575829133338</v>
      </c>
      <c r="Q43" s="110">
        <f t="shared" ref="Q43" si="18">IFERROR(Q42/R42-1,0)</f>
        <v>0.18814907872696818</v>
      </c>
      <c r="R43" s="110">
        <f t="shared" ref="R43" si="19">IFERROR(R42/S42-1,0)</f>
        <v>0.37598819923018412</v>
      </c>
      <c r="S43" s="110">
        <f t="shared" ref="S43" si="20">IFERROR(S42/T42-1,0)</f>
        <v>0.45010026737967923</v>
      </c>
      <c r="T43" s="110">
        <f t="shared" ref="T43" si="21">IFERROR(T42/U42-1,0)</f>
        <v>0.24966064529602172</v>
      </c>
      <c r="U43" s="110">
        <f>IFERROR(U42/#REF!-1,0)</f>
        <v>0</v>
      </c>
      <c r="V43" s="100"/>
      <c r="W43" s="101"/>
      <c r="X43" s="101"/>
      <c r="Y43" s="101"/>
      <c r="Z43" s="101"/>
      <c r="AA43" s="101"/>
      <c r="AB43" s="101"/>
    </row>
    <row r="44" spans="2:28" s="25" customFormat="1" x14ac:dyDescent="0.3">
      <c r="B44" s="42"/>
      <c r="C44" s="42"/>
      <c r="D44" s="106" t="s">
        <v>247</v>
      </c>
      <c r="E44" s="6"/>
      <c r="F44" s="41"/>
      <c r="G44" s="41"/>
      <c r="H44" s="41"/>
      <c r="I44" s="41"/>
      <c r="J44" s="7"/>
      <c r="K44" s="64">
        <f>L44+K47+(L73-N73)*$I$16</f>
        <v>286385.10045000003</v>
      </c>
      <c r="L44" s="64">
        <f>N44+L47+(N73-O73)*$I$16</f>
        <v>214668.97350000002</v>
      </c>
      <c r="M44" s="15"/>
      <c r="N44" s="103">
        <v>155121</v>
      </c>
      <c r="O44" s="103">
        <v>123039</v>
      </c>
      <c r="P44" s="103">
        <v>105293</v>
      </c>
      <c r="Q44" s="103">
        <v>91650</v>
      </c>
      <c r="R44" s="103">
        <v>81104</v>
      </c>
      <c r="S44" s="103">
        <v>57324</v>
      </c>
      <c r="T44" s="103">
        <v>39223</v>
      </c>
      <c r="U44" s="103">
        <v>31741</v>
      </c>
      <c r="V44" s="41"/>
      <c r="W44" s="27"/>
      <c r="X44" s="27"/>
      <c r="Y44" s="27"/>
      <c r="Z44" s="27"/>
      <c r="AA44" s="27"/>
      <c r="AB44" s="27"/>
    </row>
    <row r="45" spans="2:28" s="95" customFormat="1" x14ac:dyDescent="0.3">
      <c r="D45" s="107" t="s">
        <v>19</v>
      </c>
      <c r="E45" s="97"/>
      <c r="F45" s="98"/>
      <c r="G45" s="98"/>
      <c r="H45" s="98"/>
      <c r="I45" s="98"/>
      <c r="J45" s="99"/>
      <c r="K45" s="110">
        <f t="shared" ref="K45" si="22">IFERROR(K44/L44-1,0)</f>
        <v>0.33407774668471135</v>
      </c>
      <c r="L45" s="110">
        <f>IFERROR(L44/N44-1,0)</f>
        <v>0.38388079950490273</v>
      </c>
      <c r="M45" s="15"/>
      <c r="N45" s="110">
        <f>IFERROR(N44/O44-1,0)</f>
        <v>0.26074659254382748</v>
      </c>
      <c r="O45" s="110">
        <f t="shared" ref="O45" si="23">IFERROR(O44/P44-1,0)</f>
        <v>0.16853921913137615</v>
      </c>
      <c r="P45" s="110">
        <f t="shared" ref="P45" si="24">IFERROR(P44/Q44-1,0)</f>
        <v>0.14885979268957983</v>
      </c>
      <c r="Q45" s="110">
        <f t="shared" ref="Q45" si="25">IFERROR(Q44/R44-1,0)</f>
        <v>0.13003057802327866</v>
      </c>
      <c r="R45" s="110">
        <f t="shared" ref="R45" si="26">IFERROR(R44/S44-1,0)</f>
        <v>0.41483497313516149</v>
      </c>
      <c r="S45" s="110">
        <f t="shared" ref="S45" si="27">IFERROR(S44/T44-1,0)</f>
        <v>0.46148943222089089</v>
      </c>
      <c r="T45" s="110">
        <f t="shared" ref="T45" si="28">IFERROR(T44/U44-1,0)</f>
        <v>0.2357203616773258</v>
      </c>
      <c r="U45" s="110">
        <f>IFERROR(U44/#REF!-1,0)</f>
        <v>0</v>
      </c>
      <c r="V45" s="100"/>
      <c r="W45" s="101"/>
      <c r="X45" s="101"/>
      <c r="Y45" s="101"/>
      <c r="Z45" s="101"/>
      <c r="AA45" s="101"/>
      <c r="AB45" s="101"/>
    </row>
    <row r="46" spans="2:28" s="95" customFormat="1" x14ac:dyDescent="0.3">
      <c r="D46" s="107" t="s">
        <v>13</v>
      </c>
      <c r="E46" s="97"/>
      <c r="F46" s="98"/>
      <c r="G46" s="98"/>
      <c r="H46" s="98"/>
      <c r="I46" s="98"/>
      <c r="J46" s="99"/>
      <c r="K46" s="29">
        <f t="shared" ref="K46:L46" si="29">IFERROR(K44/K42,0)</f>
        <v>0</v>
      </c>
      <c r="L46" s="29">
        <f t="shared" si="29"/>
        <v>0</v>
      </c>
      <c r="M46" s="15"/>
      <c r="N46" s="110">
        <f t="shared" ref="N46:U46" si="30">IFERROR(N44/N42,0)</f>
        <v>0.29043546315470192</v>
      </c>
      <c r="O46" s="110">
        <f t="shared" si="30"/>
        <v>0.3122381393460304</v>
      </c>
      <c r="P46" s="110">
        <f t="shared" si="30"/>
        <v>0.32468978192224196</v>
      </c>
      <c r="Q46" s="110">
        <f t="shared" si="30"/>
        <v>0.32301836252775529</v>
      </c>
      <c r="R46" s="110">
        <f t="shared" si="30"/>
        <v>0.33963149078726967</v>
      </c>
      <c r="S46" s="110">
        <f t="shared" si="30"/>
        <v>0.33030631295088392</v>
      </c>
      <c r="T46" s="110">
        <f t="shared" si="30"/>
        <v>0.32773228609625671</v>
      </c>
      <c r="U46" s="110">
        <f t="shared" si="30"/>
        <v>0.3314294664299885</v>
      </c>
      <c r="V46" s="102"/>
      <c r="W46" s="101"/>
      <c r="X46" s="101"/>
      <c r="Y46" s="101"/>
      <c r="Z46" s="101"/>
      <c r="AA46" s="101"/>
      <c r="AB46" s="101"/>
    </row>
    <row r="47" spans="2:28" s="95" customFormat="1" x14ac:dyDescent="0.3">
      <c r="D47" s="107" t="s">
        <v>245</v>
      </c>
      <c r="E47" s="97"/>
      <c r="F47" s="98"/>
      <c r="G47" s="98"/>
      <c r="H47" s="98"/>
      <c r="I47" s="98"/>
      <c r="J47" s="145"/>
      <c r="K47" s="146">
        <f t="shared" ref="K47" si="31">K$39*K48</f>
        <v>56392.1682</v>
      </c>
      <c r="L47" s="146">
        <f>L$39*L48</f>
        <v>46993.473500000007</v>
      </c>
      <c r="M47" s="15"/>
      <c r="N47" s="136">
        <f>N44-O44</f>
        <v>32082</v>
      </c>
      <c r="O47" s="136">
        <f t="shared" ref="O47:U47" si="32">O44-P44</f>
        <v>17746</v>
      </c>
      <c r="P47" s="136">
        <f t="shared" si="32"/>
        <v>13643</v>
      </c>
      <c r="Q47" s="136">
        <f t="shared" si="32"/>
        <v>10546</v>
      </c>
      <c r="R47" s="136">
        <f t="shared" si="32"/>
        <v>23780</v>
      </c>
      <c r="S47" s="136">
        <f t="shared" si="32"/>
        <v>18101</v>
      </c>
      <c r="T47" s="136">
        <f t="shared" si="32"/>
        <v>7482</v>
      </c>
      <c r="U47" s="136">
        <f t="shared" si="32"/>
        <v>31741</v>
      </c>
      <c r="V47" s="102"/>
      <c r="W47" s="101"/>
      <c r="X47" s="101"/>
      <c r="Y47" s="101"/>
      <c r="Z47" s="101"/>
      <c r="AA47" s="101"/>
      <c r="AB47" s="101"/>
    </row>
    <row r="48" spans="2:28" s="95" customFormat="1" x14ac:dyDescent="0.3">
      <c r="D48" s="141" t="s">
        <v>289</v>
      </c>
      <c r="E48" s="97"/>
      <c r="F48" s="98"/>
      <c r="G48" s="98"/>
      <c r="H48" s="98"/>
      <c r="I48" s="98"/>
      <c r="J48" s="99"/>
      <c r="K48" s="29">
        <v>0.23</v>
      </c>
      <c r="L48" s="29">
        <v>0.23</v>
      </c>
      <c r="M48" s="15"/>
      <c r="N48" s="110"/>
      <c r="O48" s="110"/>
      <c r="P48" s="110"/>
      <c r="Q48" s="110"/>
      <c r="R48" s="110"/>
      <c r="S48" s="110"/>
      <c r="T48" s="110"/>
      <c r="U48" s="110"/>
      <c r="V48" s="102"/>
      <c r="W48" s="101"/>
      <c r="X48" s="101"/>
      <c r="Y48" s="101"/>
      <c r="Z48" s="101"/>
      <c r="AA48" s="101"/>
      <c r="AB48" s="101"/>
    </row>
    <row r="49" spans="2:28" s="25" customFormat="1" x14ac:dyDescent="0.3">
      <c r="B49" s="42"/>
      <c r="C49" s="42"/>
      <c r="D49" s="106" t="s">
        <v>248</v>
      </c>
      <c r="E49" s="6"/>
      <c r="F49" s="41"/>
      <c r="G49" s="41"/>
      <c r="H49" s="41"/>
      <c r="I49" s="41"/>
      <c r="J49" s="7"/>
      <c r="K49" s="29"/>
      <c r="L49" s="29"/>
      <c r="M49" s="15"/>
      <c r="N49" s="103">
        <v>301413</v>
      </c>
      <c r="O49" s="103">
        <v>218893</v>
      </c>
      <c r="P49" s="103">
        <v>185039</v>
      </c>
      <c r="Q49" s="103">
        <v>157458</v>
      </c>
      <c r="R49" s="103">
        <v>128683</v>
      </c>
      <c r="S49" s="103">
        <v>97224</v>
      </c>
      <c r="T49" s="103">
        <v>71310</v>
      </c>
      <c r="U49" s="103">
        <v>54591</v>
      </c>
      <c r="V49" s="41"/>
      <c r="W49" s="27"/>
      <c r="X49" s="27"/>
      <c r="Y49" s="27"/>
      <c r="Z49" s="27"/>
      <c r="AA49" s="27"/>
      <c r="AB49" s="27"/>
    </row>
    <row r="50" spans="2:28" s="95" customFormat="1" x14ac:dyDescent="0.3">
      <c r="D50" s="107" t="s">
        <v>19</v>
      </c>
      <c r="E50" s="97"/>
      <c r="F50" s="98"/>
      <c r="G50" s="98"/>
      <c r="H50" s="98"/>
      <c r="I50" s="98"/>
      <c r="J50" s="99"/>
      <c r="K50" s="29"/>
      <c r="L50" s="29"/>
      <c r="M50" s="15"/>
      <c r="N50" s="110">
        <f>IFERROR(N49/O49-1,0)</f>
        <v>0.37698784337553048</v>
      </c>
      <c r="O50" s="110">
        <f t="shared" ref="O50" si="33">IFERROR(O49/P49-1,0)</f>
        <v>0.18295602548651901</v>
      </c>
      <c r="P50" s="110">
        <f t="shared" ref="P50" si="34">IFERROR(P49/Q49-1,0)</f>
        <v>0.17516417076299717</v>
      </c>
      <c r="Q50" s="110">
        <f t="shared" ref="Q50" si="35">IFERROR(Q49/R49-1,0)</f>
        <v>0.22361151045592664</v>
      </c>
      <c r="R50" s="110">
        <f t="shared" ref="R50" si="36">IFERROR(R49/S49-1,0)</f>
        <v>0.32357236896239616</v>
      </c>
      <c r="S50" s="110">
        <f t="shared" ref="S50" si="37">IFERROR(S49/T49-1,0)</f>
        <v>0.36339924274295332</v>
      </c>
      <c r="T50" s="110">
        <f t="shared" ref="T50" si="38">IFERROR(T49/U49-1,0)</f>
        <v>0.30625927350662208</v>
      </c>
      <c r="U50" s="110">
        <f>IFERROR(U49/#REF!-1,0)</f>
        <v>0</v>
      </c>
      <c r="V50" s="100"/>
      <c r="W50" s="101"/>
      <c r="X50" s="101"/>
      <c r="Y50" s="101"/>
      <c r="Z50" s="101"/>
      <c r="AA50" s="101"/>
      <c r="AB50" s="101"/>
    </row>
    <row r="51" spans="2:28" s="95" customFormat="1" x14ac:dyDescent="0.3">
      <c r="D51" s="107" t="s">
        <v>13</v>
      </c>
      <c r="E51" s="97"/>
      <c r="F51" s="98"/>
      <c r="G51" s="98"/>
      <c r="H51" s="98"/>
      <c r="I51" s="98"/>
      <c r="J51" s="99"/>
      <c r="K51" s="29"/>
      <c r="L51" s="29"/>
      <c r="M51" s="15"/>
      <c r="N51" s="110">
        <f>IFERROR(N49/N$42,0)</f>
        <v>0.56434025216346062</v>
      </c>
      <c r="O51" s="110">
        <f t="shared" ref="O51:U51" si="39">IFERROR(O49/O$42,0)</f>
        <v>0.55548844704419431</v>
      </c>
      <c r="P51" s="110">
        <f t="shared" si="39"/>
        <v>0.57060082395895007</v>
      </c>
      <c r="Q51" s="110">
        <f t="shared" si="39"/>
        <v>0.554957177598421</v>
      </c>
      <c r="R51" s="110">
        <f t="shared" si="39"/>
        <v>0.5388735343383585</v>
      </c>
      <c r="S51" s="110">
        <f t="shared" si="39"/>
        <v>0.56021388895291213</v>
      </c>
      <c r="T51" s="110">
        <f t="shared" si="39"/>
        <v>0.5958389037433155</v>
      </c>
      <c r="U51" s="110">
        <f t="shared" si="39"/>
        <v>0.57002192753471859</v>
      </c>
      <c r="V51" s="102"/>
      <c r="W51" s="101"/>
      <c r="X51" s="101"/>
      <c r="Y51" s="101"/>
      <c r="Z51" s="101"/>
      <c r="AA51" s="101"/>
      <c r="AB51" s="101"/>
    </row>
    <row r="52" spans="2:28" s="95" customFormat="1" x14ac:dyDescent="0.3">
      <c r="D52" s="107" t="s">
        <v>245</v>
      </c>
      <c r="E52" s="97"/>
      <c r="F52" s="98"/>
      <c r="G52" s="98"/>
      <c r="H52" s="98"/>
      <c r="I52" s="98"/>
      <c r="J52" s="99"/>
      <c r="K52" s="146"/>
      <c r="L52" s="146"/>
      <c r="M52" s="15"/>
      <c r="N52" s="136">
        <f>N49-O49</f>
        <v>82520</v>
      </c>
      <c r="O52" s="136">
        <f t="shared" ref="O52:U52" si="40">O49-P49</f>
        <v>33854</v>
      </c>
      <c r="P52" s="136">
        <f t="shared" si="40"/>
        <v>27581</v>
      </c>
      <c r="Q52" s="136">
        <f t="shared" si="40"/>
        <v>28775</v>
      </c>
      <c r="R52" s="136">
        <f t="shared" si="40"/>
        <v>31459</v>
      </c>
      <c r="S52" s="136">
        <f t="shared" si="40"/>
        <v>25914</v>
      </c>
      <c r="T52" s="136">
        <f t="shared" si="40"/>
        <v>16719</v>
      </c>
      <c r="U52" s="136">
        <f t="shared" si="40"/>
        <v>54591</v>
      </c>
      <c r="V52" s="102"/>
      <c r="W52" s="101"/>
      <c r="X52" s="101"/>
      <c r="Y52" s="101"/>
      <c r="Z52" s="101"/>
      <c r="AA52" s="101"/>
      <c r="AB52" s="101"/>
    </row>
    <row r="53" spans="2:28" s="25" customFormat="1" outlineLevel="1" x14ac:dyDescent="0.3">
      <c r="B53" s="42"/>
      <c r="C53" s="42"/>
      <c r="D53" s="108" t="s">
        <v>253</v>
      </c>
      <c r="E53" s="6"/>
      <c r="F53" s="41"/>
      <c r="G53" s="41"/>
      <c r="H53" s="41"/>
      <c r="I53" s="41"/>
      <c r="J53" s="7"/>
      <c r="K53" s="64">
        <f>L53+K56</f>
        <v>386005.82525000005</v>
      </c>
      <c r="L53" s="64">
        <f>N53+L56</f>
        <v>269543.73875000002</v>
      </c>
      <c r="M53" s="15"/>
      <c r="N53" s="103">
        <v>172492</v>
      </c>
      <c r="O53" s="103">
        <v>113156</v>
      </c>
      <c r="P53" s="103">
        <f>P$49*P55</f>
        <v>99921.060000000012</v>
      </c>
      <c r="Q53" s="103">
        <f t="shared" ref="Q53:U53" si="41">Q$49*Q55</f>
        <v>85027.32</v>
      </c>
      <c r="R53" s="103">
        <f t="shared" si="41"/>
        <v>69488.820000000007</v>
      </c>
      <c r="S53" s="103">
        <f t="shared" si="41"/>
        <v>52500.960000000006</v>
      </c>
      <c r="T53" s="103">
        <f t="shared" si="41"/>
        <v>38507.4</v>
      </c>
      <c r="U53" s="103">
        <f t="shared" si="41"/>
        <v>29479.140000000003</v>
      </c>
      <c r="V53" s="41"/>
      <c r="W53" s="27"/>
      <c r="X53" s="27"/>
      <c r="Y53" s="27"/>
      <c r="Z53" s="27"/>
      <c r="AA53" s="27"/>
      <c r="AB53" s="27"/>
    </row>
    <row r="54" spans="2:28" s="95" customFormat="1" outlineLevel="1" x14ac:dyDescent="0.3">
      <c r="D54" s="109" t="s">
        <v>19</v>
      </c>
      <c r="E54" s="97"/>
      <c r="F54" s="98"/>
      <c r="G54" s="98"/>
      <c r="H54" s="98"/>
      <c r="I54" s="98"/>
      <c r="J54" s="99"/>
      <c r="K54" s="29">
        <f t="shared" ref="K54" si="42">IFERROR(K53/L53-1,0)</f>
        <v>0.43207119942792604</v>
      </c>
      <c r="L54" s="29">
        <f>IFERROR(L53/N53-1,0)</f>
        <v>0.56264486903740485</v>
      </c>
      <c r="M54" s="15"/>
      <c r="N54" s="110">
        <f>IFERROR(N53/O53-1,0)</f>
        <v>0.52437343136908332</v>
      </c>
      <c r="O54" s="110">
        <f t="shared" ref="O54" si="43">IFERROR(O53/P53-1,0)</f>
        <v>0.13245395915535707</v>
      </c>
      <c r="P54" s="110">
        <f t="shared" ref="P54" si="44">IFERROR(P53/Q53-1,0)</f>
        <v>0.17516417076299717</v>
      </c>
      <c r="Q54" s="110">
        <f t="shared" ref="Q54" si="45">IFERROR(Q53/R53-1,0)</f>
        <v>0.22361151045592664</v>
      </c>
      <c r="R54" s="110">
        <f t="shared" ref="R54" si="46">IFERROR(R53/S53-1,0)</f>
        <v>0.32357236896239616</v>
      </c>
      <c r="S54" s="110">
        <f t="shared" ref="S54" si="47">IFERROR(S53/T53-1,0)</f>
        <v>0.36339924274295332</v>
      </c>
      <c r="T54" s="110">
        <f t="shared" ref="T54" si="48">IFERROR(T53/U53-1,0)</f>
        <v>0.30625927350662185</v>
      </c>
      <c r="U54" s="110">
        <f t="shared" ref="U54" si="49">IFERROR(U53/V53-1,0)</f>
        <v>0</v>
      </c>
      <c r="V54" s="100"/>
      <c r="W54" s="101"/>
      <c r="X54" s="101"/>
      <c r="Y54" s="101"/>
      <c r="Z54" s="101"/>
      <c r="AA54" s="101"/>
      <c r="AB54" s="101"/>
    </row>
    <row r="55" spans="2:28" s="95" customFormat="1" outlineLevel="1" x14ac:dyDescent="0.3">
      <c r="D55" s="109" t="s">
        <v>13</v>
      </c>
      <c r="E55" s="97"/>
      <c r="F55" s="98"/>
      <c r="G55" s="98"/>
      <c r="H55" s="98"/>
      <c r="I55" s="98"/>
      <c r="J55" s="99"/>
      <c r="K55" s="29">
        <f t="shared" ref="K55:L55" si="50">IFERROR(K53/K$49,0)</f>
        <v>0</v>
      </c>
      <c r="L55" s="29">
        <f t="shared" si="50"/>
        <v>0</v>
      </c>
      <c r="M55" s="15"/>
      <c r="N55" s="110">
        <f>IFERROR(N53/N$49,0)</f>
        <v>0.57227790440359239</v>
      </c>
      <c r="O55" s="110">
        <f>IFERROR(O53/O$49,0)</f>
        <v>0.51694663602764823</v>
      </c>
      <c r="P55" s="138">
        <v>0.54</v>
      </c>
      <c r="Q55" s="138">
        <v>0.54</v>
      </c>
      <c r="R55" s="138">
        <v>0.54</v>
      </c>
      <c r="S55" s="138">
        <v>0.54</v>
      </c>
      <c r="T55" s="138">
        <v>0.54</v>
      </c>
      <c r="U55" s="138">
        <v>0.54</v>
      </c>
      <c r="V55" s="102"/>
      <c r="W55" s="101"/>
      <c r="X55" s="101"/>
      <c r="Y55" s="101"/>
      <c r="Z55" s="101"/>
      <c r="AA55" s="101"/>
      <c r="AB55" s="101"/>
    </row>
    <row r="56" spans="2:28" s="95" customFormat="1" x14ac:dyDescent="0.3">
      <c r="D56" s="109" t="s">
        <v>245</v>
      </c>
      <c r="E56" s="97"/>
      <c r="F56" s="98"/>
      <c r="G56" s="98"/>
      <c r="H56" s="98"/>
      <c r="I56" s="98"/>
      <c r="J56" s="99"/>
      <c r="K56" s="146">
        <f t="shared" ref="K56" si="51">K57*K39</f>
        <v>116462.08650000002</v>
      </c>
      <c r="L56" s="146">
        <f>L57*L39</f>
        <v>97051.738750000019</v>
      </c>
      <c r="M56" s="15"/>
      <c r="N56" s="136">
        <f>N53-O53</f>
        <v>59336</v>
      </c>
      <c r="O56" s="136">
        <f t="shared" ref="O56:U56" si="52">O53-P53</f>
        <v>13234.939999999988</v>
      </c>
      <c r="P56" s="136">
        <f t="shared" si="52"/>
        <v>14893.740000000005</v>
      </c>
      <c r="Q56" s="136">
        <f t="shared" si="52"/>
        <v>15538.5</v>
      </c>
      <c r="R56" s="136">
        <f t="shared" si="52"/>
        <v>16987.86</v>
      </c>
      <c r="S56" s="136">
        <f t="shared" si="52"/>
        <v>13993.560000000005</v>
      </c>
      <c r="T56" s="136">
        <f t="shared" si="52"/>
        <v>9028.2599999999984</v>
      </c>
      <c r="U56" s="136">
        <f t="shared" si="52"/>
        <v>29479.140000000003</v>
      </c>
      <c r="V56" s="102"/>
      <c r="W56" s="101"/>
      <c r="X56" s="101"/>
      <c r="Y56" s="101"/>
      <c r="Z56" s="101"/>
      <c r="AA56" s="101"/>
      <c r="AB56" s="101"/>
    </row>
    <row r="57" spans="2:28" s="95" customFormat="1" x14ac:dyDescent="0.3">
      <c r="D57" s="142" t="s">
        <v>289</v>
      </c>
      <c r="E57" s="143"/>
      <c r="F57" s="144"/>
      <c r="G57" s="98"/>
      <c r="H57" s="98"/>
      <c r="I57" s="98"/>
      <c r="J57" s="99"/>
      <c r="K57" s="28">
        <f t="shared" ref="K57" si="53">1-K48-K62-K67-K72-K77</f>
        <v>0.47500000000000009</v>
      </c>
      <c r="L57" s="28">
        <f>1-L48-L62-L67-L72-L77</f>
        <v>0.47500000000000009</v>
      </c>
      <c r="M57" s="15"/>
      <c r="N57" s="110"/>
      <c r="O57" s="110"/>
      <c r="P57" s="110"/>
      <c r="Q57" s="110"/>
      <c r="R57" s="110"/>
      <c r="S57" s="110"/>
      <c r="T57" s="110"/>
      <c r="U57" s="110"/>
      <c r="V57" s="102"/>
      <c r="W57" s="101"/>
      <c r="X57" s="101"/>
      <c r="Y57" s="101"/>
      <c r="Z57" s="101"/>
      <c r="AA57" s="101"/>
      <c r="AB57" s="101"/>
    </row>
    <row r="58" spans="2:28" s="25" customFormat="1" outlineLevel="1" x14ac:dyDescent="0.3">
      <c r="B58" s="42"/>
      <c r="C58" s="42"/>
      <c r="D58" s="108" t="s">
        <v>252</v>
      </c>
      <c r="E58" s="6"/>
      <c r="F58" s="41"/>
      <c r="G58" s="41"/>
      <c r="H58" s="41"/>
      <c r="I58" s="41"/>
      <c r="J58" s="7"/>
      <c r="K58" s="64">
        <f>K61+L58</f>
        <v>101505.22319999999</v>
      </c>
      <c r="L58" s="64">
        <f>L61+N58</f>
        <v>81890.555999999997</v>
      </c>
      <c r="M58" s="15"/>
      <c r="N58" s="103">
        <v>65545</v>
      </c>
      <c r="O58" s="103">
        <v>52228</v>
      </c>
      <c r="P58" s="103">
        <f>P$49*P60</f>
        <v>42558.97</v>
      </c>
      <c r="Q58" s="103">
        <f t="shared" ref="Q58:U58" si="54">Q$49*Q60</f>
        <v>36215.340000000004</v>
      </c>
      <c r="R58" s="103">
        <f t="shared" si="54"/>
        <v>29597.09</v>
      </c>
      <c r="S58" s="103">
        <f t="shared" si="54"/>
        <v>22361.52</v>
      </c>
      <c r="T58" s="103">
        <f t="shared" si="54"/>
        <v>16401.3</v>
      </c>
      <c r="U58" s="103">
        <f t="shared" si="54"/>
        <v>12555.93</v>
      </c>
      <c r="V58" s="41"/>
      <c r="W58" s="27"/>
      <c r="X58" s="27"/>
      <c r="Y58" s="27"/>
      <c r="Z58" s="27"/>
      <c r="AA58" s="27"/>
      <c r="AB58" s="27"/>
    </row>
    <row r="59" spans="2:28" s="95" customFormat="1" outlineLevel="1" x14ac:dyDescent="0.3">
      <c r="D59" s="109" t="s">
        <v>19</v>
      </c>
      <c r="E59" s="97"/>
      <c r="F59" s="98"/>
      <c r="G59" s="98"/>
      <c r="H59" s="98"/>
      <c r="I59" s="98"/>
      <c r="J59" s="99"/>
      <c r="K59" s="29">
        <f t="shared" ref="K59" si="55">IFERROR(K58/L58-1,0)</f>
        <v>0.2395229457228254</v>
      </c>
      <c r="L59" s="29">
        <f>IFERROR(L58/N58-1,0)</f>
        <v>0.2493791440994737</v>
      </c>
      <c r="M59" s="15"/>
      <c r="N59" s="110">
        <f>IFERROR(N58/O58-1,0)</f>
        <v>0.25497817262770917</v>
      </c>
      <c r="O59" s="110">
        <f t="shared" ref="O59" si="56">IFERROR(O58/P58-1,0)</f>
        <v>0.22719135355014464</v>
      </c>
      <c r="P59" s="110">
        <f t="shared" ref="P59" si="57">IFERROR(P58/Q58-1,0)</f>
        <v>0.17516417076299695</v>
      </c>
      <c r="Q59" s="110">
        <f t="shared" ref="Q59" si="58">IFERROR(Q58/R58-1,0)</f>
        <v>0.22361151045592664</v>
      </c>
      <c r="R59" s="110">
        <f t="shared" ref="R59" si="59">IFERROR(R58/S58-1,0)</f>
        <v>0.32357236896239616</v>
      </c>
      <c r="S59" s="110">
        <f t="shared" ref="S59" si="60">IFERROR(S58/T58-1,0)</f>
        <v>0.36339924274295332</v>
      </c>
      <c r="T59" s="110">
        <f t="shared" ref="T59" si="61">IFERROR(T58/U58-1,0)</f>
        <v>0.30625927350662185</v>
      </c>
      <c r="U59" s="110">
        <f t="shared" ref="U59" si="62">IFERROR(U58/V58-1,0)</f>
        <v>0</v>
      </c>
      <c r="V59" s="100"/>
      <c r="W59" s="101"/>
      <c r="X59" s="101"/>
      <c r="Y59" s="101"/>
      <c r="Z59" s="101"/>
      <c r="AA59" s="101"/>
      <c r="AB59" s="101"/>
    </row>
    <row r="60" spans="2:28" s="95" customFormat="1" outlineLevel="1" x14ac:dyDescent="0.3">
      <c r="D60" s="109" t="s">
        <v>13</v>
      </c>
      <c r="E60" s="97"/>
      <c r="F60" s="98"/>
      <c r="G60" s="98"/>
      <c r="H60" s="98"/>
      <c r="I60" s="98"/>
      <c r="J60" s="99"/>
      <c r="K60" s="29">
        <f t="shared" ref="K60:L60" si="63">IFERROR(K58/K$49,0)</f>
        <v>0</v>
      </c>
      <c r="L60" s="29">
        <f t="shared" si="63"/>
        <v>0</v>
      </c>
      <c r="M60" s="15"/>
      <c r="N60" s="110">
        <f>IFERROR(N58/N$49,0)</f>
        <v>0.21745910096777513</v>
      </c>
      <c r="O60" s="110">
        <f>IFERROR(O58/O$49,0)</f>
        <v>0.23860059481116344</v>
      </c>
      <c r="P60" s="138">
        <v>0.23</v>
      </c>
      <c r="Q60" s="138">
        <v>0.23</v>
      </c>
      <c r="R60" s="138">
        <v>0.23</v>
      </c>
      <c r="S60" s="138">
        <v>0.23</v>
      </c>
      <c r="T60" s="138">
        <v>0.23</v>
      </c>
      <c r="U60" s="138">
        <v>0.23</v>
      </c>
      <c r="V60" s="102"/>
      <c r="W60" s="101"/>
      <c r="X60" s="101"/>
      <c r="Y60" s="101"/>
      <c r="Z60" s="101"/>
      <c r="AA60" s="101"/>
      <c r="AB60" s="101"/>
    </row>
    <row r="61" spans="2:28" s="95" customFormat="1" x14ac:dyDescent="0.3">
      <c r="D61" s="109" t="s">
        <v>245</v>
      </c>
      <c r="E61" s="97"/>
      <c r="F61" s="98"/>
      <c r="G61" s="98"/>
      <c r="H61" s="98"/>
      <c r="I61" s="98"/>
      <c r="J61" s="99"/>
      <c r="K61" s="146">
        <f t="shared" ref="K61" si="64">K$39*K62</f>
        <v>19614.6672</v>
      </c>
      <c r="L61" s="146">
        <f>L$39*L62</f>
        <v>16345.556</v>
      </c>
      <c r="M61" s="15"/>
      <c r="N61" s="136">
        <f>N58-O58</f>
        <v>13317</v>
      </c>
      <c r="O61" s="136">
        <f t="shared" ref="O61:U61" si="65">O58-P58</f>
        <v>9669.0299999999988</v>
      </c>
      <c r="P61" s="136">
        <f t="shared" si="65"/>
        <v>6343.6299999999974</v>
      </c>
      <c r="Q61" s="136">
        <f t="shared" si="65"/>
        <v>6618.2500000000036</v>
      </c>
      <c r="R61" s="136">
        <f t="shared" si="65"/>
        <v>7235.57</v>
      </c>
      <c r="S61" s="136">
        <f t="shared" si="65"/>
        <v>5960.2200000000012</v>
      </c>
      <c r="T61" s="136">
        <f t="shared" si="65"/>
        <v>3845.369999999999</v>
      </c>
      <c r="U61" s="136">
        <f t="shared" si="65"/>
        <v>12555.93</v>
      </c>
      <c r="V61" s="102"/>
      <c r="W61" s="101"/>
      <c r="X61" s="101"/>
      <c r="Y61" s="101"/>
      <c r="Z61" s="101"/>
      <c r="AA61" s="101"/>
      <c r="AB61" s="101"/>
    </row>
    <row r="62" spans="2:28" s="95" customFormat="1" x14ac:dyDescent="0.3">
      <c r="D62" s="142" t="s">
        <v>289</v>
      </c>
      <c r="E62" s="143"/>
      <c r="F62" s="144"/>
      <c r="G62" s="98"/>
      <c r="H62" s="98"/>
      <c r="I62" s="98"/>
      <c r="J62" s="99"/>
      <c r="K62" s="29">
        <v>0.08</v>
      </c>
      <c r="L62" s="29">
        <v>0.08</v>
      </c>
      <c r="M62" s="15"/>
      <c r="N62" s="110"/>
      <c r="O62" s="110"/>
      <c r="P62" s="110"/>
      <c r="Q62" s="110"/>
      <c r="R62" s="110"/>
      <c r="S62" s="110"/>
      <c r="T62" s="110"/>
      <c r="U62" s="110"/>
      <c r="V62" s="102"/>
      <c r="W62" s="101"/>
      <c r="X62" s="101"/>
      <c r="Y62" s="101"/>
      <c r="Z62" s="101"/>
      <c r="AA62" s="101"/>
      <c r="AB62" s="101"/>
    </row>
    <row r="63" spans="2:28" s="25" customFormat="1" outlineLevel="1" x14ac:dyDescent="0.3">
      <c r="B63" s="42"/>
      <c r="C63" s="42"/>
      <c r="D63" s="108" t="s">
        <v>251</v>
      </c>
      <c r="E63" s="6"/>
      <c r="F63" s="41"/>
      <c r="G63" s="41"/>
      <c r="H63" s="41"/>
      <c r="I63" s="41"/>
      <c r="J63" s="7"/>
      <c r="K63" s="64">
        <f>K66+L63</f>
        <v>90346.167400000006</v>
      </c>
      <c r="L63" s="64">
        <f>L66+N63</f>
        <v>75635.167000000001</v>
      </c>
      <c r="M63" s="15"/>
      <c r="N63" s="103">
        <v>63376</v>
      </c>
      <c r="O63" s="103">
        <v>53509</v>
      </c>
      <c r="P63" s="103">
        <f>P$49*P65</f>
        <v>42558.97</v>
      </c>
      <c r="Q63" s="103">
        <f t="shared" ref="Q63:U63" si="66">Q$49*Q65</f>
        <v>36215.340000000004</v>
      </c>
      <c r="R63" s="103">
        <f t="shared" si="66"/>
        <v>29597.09</v>
      </c>
      <c r="S63" s="103">
        <f t="shared" si="66"/>
        <v>22361.52</v>
      </c>
      <c r="T63" s="103">
        <f t="shared" si="66"/>
        <v>16401.3</v>
      </c>
      <c r="U63" s="103">
        <f t="shared" si="66"/>
        <v>12555.93</v>
      </c>
      <c r="V63" s="41"/>
      <c r="W63" s="27"/>
      <c r="X63" s="27"/>
      <c r="Y63" s="27"/>
      <c r="Z63" s="27"/>
      <c r="AA63" s="27"/>
      <c r="AB63" s="27"/>
    </row>
    <row r="64" spans="2:28" s="95" customFormat="1" outlineLevel="1" x14ac:dyDescent="0.3">
      <c r="D64" s="109" t="s">
        <v>19</v>
      </c>
      <c r="E64" s="97"/>
      <c r="F64" s="98"/>
      <c r="G64" s="98"/>
      <c r="H64" s="98"/>
      <c r="I64" s="98"/>
      <c r="J64" s="99"/>
      <c r="K64" s="29">
        <f t="shared" ref="K64" si="67">IFERROR(K63/L63-1,0)</f>
        <v>0.19449947667861966</v>
      </c>
      <c r="L64" s="29">
        <f>IFERROR(L63/N63-1,0)</f>
        <v>0.19343548030800295</v>
      </c>
      <c r="M64" s="15"/>
      <c r="N64" s="110">
        <f>IFERROR(N63/O63-1,0)</f>
        <v>0.18439888616868183</v>
      </c>
      <c r="O64" s="110">
        <f t="shared" ref="O64" si="68">IFERROR(O63/P63-1,0)</f>
        <v>0.25729076620040381</v>
      </c>
      <c r="P64" s="110">
        <f t="shared" ref="P64" si="69">IFERROR(P63/Q63-1,0)</f>
        <v>0.17516417076299695</v>
      </c>
      <c r="Q64" s="110">
        <f t="shared" ref="Q64" si="70">IFERROR(Q63/R63-1,0)</f>
        <v>0.22361151045592664</v>
      </c>
      <c r="R64" s="110">
        <f t="shared" ref="R64" si="71">IFERROR(R63/S63-1,0)</f>
        <v>0.32357236896239616</v>
      </c>
      <c r="S64" s="110">
        <f t="shared" ref="S64" si="72">IFERROR(S63/T63-1,0)</f>
        <v>0.36339924274295332</v>
      </c>
      <c r="T64" s="110">
        <f t="shared" ref="T64" si="73">IFERROR(T63/U63-1,0)</f>
        <v>0.30625927350662185</v>
      </c>
      <c r="U64" s="110">
        <f t="shared" ref="U64" si="74">IFERROR(U63/V63-1,0)</f>
        <v>0</v>
      </c>
      <c r="V64" s="100"/>
      <c r="W64" s="101"/>
      <c r="X64" s="101"/>
      <c r="Y64" s="101"/>
      <c r="Z64" s="101"/>
      <c r="AA64" s="101"/>
      <c r="AB64" s="101"/>
    </row>
    <row r="65" spans="2:28" s="95" customFormat="1" outlineLevel="1" x14ac:dyDescent="0.3">
      <c r="D65" s="109" t="s">
        <v>13</v>
      </c>
      <c r="E65" s="97"/>
      <c r="F65" s="98"/>
      <c r="G65" s="98"/>
      <c r="H65" s="98"/>
      <c r="I65" s="98"/>
      <c r="J65" s="99"/>
      <c r="K65" s="29">
        <f t="shared" ref="K65:L65" si="75">IFERROR(K63/K$49,0)</f>
        <v>0</v>
      </c>
      <c r="L65" s="29">
        <f t="shared" si="75"/>
        <v>0</v>
      </c>
      <c r="M65" s="15"/>
      <c r="N65" s="110">
        <f>IFERROR(N63/N$49,0)</f>
        <v>0.21026299462863249</v>
      </c>
      <c r="O65" s="110">
        <f>IFERROR(O63/O$49,0)</f>
        <v>0.24445276916118835</v>
      </c>
      <c r="P65" s="138">
        <v>0.23</v>
      </c>
      <c r="Q65" s="138">
        <v>0.23</v>
      </c>
      <c r="R65" s="138">
        <v>0.23</v>
      </c>
      <c r="S65" s="138">
        <v>0.23</v>
      </c>
      <c r="T65" s="138">
        <v>0.23</v>
      </c>
      <c r="U65" s="138">
        <v>0.23</v>
      </c>
      <c r="V65" s="102"/>
      <c r="W65" s="101"/>
      <c r="X65" s="101"/>
      <c r="Y65" s="101"/>
      <c r="Z65" s="101"/>
      <c r="AA65" s="101"/>
      <c r="AB65" s="101"/>
    </row>
    <row r="66" spans="2:28" s="95" customFormat="1" x14ac:dyDescent="0.3">
      <c r="D66" s="109" t="s">
        <v>245</v>
      </c>
      <c r="E66" s="97"/>
      <c r="F66" s="98"/>
      <c r="G66" s="98"/>
      <c r="H66" s="98"/>
      <c r="I66" s="98"/>
      <c r="J66" s="99"/>
      <c r="K66" s="146">
        <f t="shared" ref="K66" si="76">K$39*K67</f>
        <v>14711.000399999999</v>
      </c>
      <c r="L66" s="146">
        <f>L$39*L67</f>
        <v>12259.166999999999</v>
      </c>
      <c r="M66" s="15"/>
      <c r="N66" s="136">
        <f>N63-O63</f>
        <v>9867</v>
      </c>
      <c r="O66" s="136">
        <f t="shared" ref="O66:U66" si="77">O63-P63</f>
        <v>10950.029999999999</v>
      </c>
      <c r="P66" s="136">
        <f t="shared" si="77"/>
        <v>6343.6299999999974</v>
      </c>
      <c r="Q66" s="136">
        <f t="shared" si="77"/>
        <v>6618.2500000000036</v>
      </c>
      <c r="R66" s="136">
        <f t="shared" si="77"/>
        <v>7235.57</v>
      </c>
      <c r="S66" s="136">
        <f t="shared" si="77"/>
        <v>5960.2200000000012</v>
      </c>
      <c r="T66" s="136">
        <f t="shared" si="77"/>
        <v>3845.369999999999</v>
      </c>
      <c r="U66" s="136">
        <f t="shared" si="77"/>
        <v>12555.93</v>
      </c>
      <c r="V66" s="102"/>
      <c r="W66" s="101"/>
      <c r="X66" s="101"/>
      <c r="Y66" s="101"/>
      <c r="Z66" s="101"/>
      <c r="AA66" s="101"/>
      <c r="AB66" s="101"/>
    </row>
    <row r="67" spans="2:28" s="95" customFormat="1" x14ac:dyDescent="0.3">
      <c r="D67" s="142" t="s">
        <v>289</v>
      </c>
      <c r="E67" s="143"/>
      <c r="F67" s="144"/>
      <c r="G67" s="98"/>
      <c r="H67" s="98"/>
      <c r="I67" s="98"/>
      <c r="J67" s="99"/>
      <c r="K67" s="29">
        <v>0.06</v>
      </c>
      <c r="L67" s="29">
        <v>0.06</v>
      </c>
      <c r="M67" s="15"/>
      <c r="N67" s="110"/>
      <c r="O67" s="110"/>
      <c r="P67" s="110"/>
      <c r="Q67" s="110"/>
      <c r="R67" s="110"/>
      <c r="S67" s="110"/>
      <c r="T67" s="110"/>
      <c r="U67" s="110"/>
      <c r="V67" s="102"/>
      <c r="W67" s="101"/>
      <c r="X67" s="101"/>
      <c r="Y67" s="101"/>
      <c r="Z67" s="101"/>
      <c r="AA67" s="101"/>
      <c r="AB67" s="101"/>
    </row>
    <row r="68" spans="2:28" s="25" customFormat="1" x14ac:dyDescent="0.3">
      <c r="B68" s="42"/>
      <c r="C68" s="42"/>
      <c r="D68" s="106" t="s">
        <v>250</v>
      </c>
      <c r="E68" s="6"/>
      <c r="F68" s="41"/>
      <c r="G68" s="41"/>
      <c r="H68" s="41"/>
      <c r="I68" s="41"/>
      <c r="J68" s="7"/>
      <c r="K68" s="64">
        <f>K71+L68</f>
        <v>8066.5139499999996</v>
      </c>
      <c r="L68" s="64">
        <f>L71+N68</f>
        <v>6840.5972499999998</v>
      </c>
      <c r="M68" s="15"/>
      <c r="N68" s="103">
        <v>5819</v>
      </c>
      <c r="O68" s="103">
        <v>5487</v>
      </c>
      <c r="P68" s="103">
        <v>5116</v>
      </c>
      <c r="Q68" s="103">
        <v>4602</v>
      </c>
      <c r="R68" s="103">
        <v>4118</v>
      </c>
      <c r="S68" s="103">
        <v>3772</v>
      </c>
      <c r="T68" s="103">
        <v>3111</v>
      </c>
      <c r="U68" s="103">
        <v>2577</v>
      </c>
      <c r="V68" s="41"/>
      <c r="W68" s="27"/>
      <c r="X68" s="27"/>
      <c r="Y68" s="27"/>
      <c r="Z68" s="27"/>
      <c r="AA68" s="27"/>
      <c r="AB68" s="27"/>
    </row>
    <row r="69" spans="2:28" s="95" customFormat="1" x14ac:dyDescent="0.3">
      <c r="D69" s="107" t="s">
        <v>19</v>
      </c>
      <c r="E69" s="97"/>
      <c r="F69" s="98"/>
      <c r="G69" s="98"/>
      <c r="H69" s="98"/>
      <c r="I69" s="98"/>
      <c r="J69" s="99"/>
      <c r="K69" s="29">
        <f t="shared" ref="K69" si="78">IFERROR(K68/L68-1,0)</f>
        <v>0.17921193942531843</v>
      </c>
      <c r="L69" s="29">
        <f>IFERROR(L68/N68-1,0)</f>
        <v>0.17556233888984352</v>
      </c>
      <c r="M69" s="15"/>
      <c r="N69" s="110">
        <f>IFERROR(N68/O68-1,0)</f>
        <v>6.0506652086750545E-2</v>
      </c>
      <c r="O69" s="110">
        <f t="shared" ref="O69" si="79">IFERROR(O68/P68-1,0)</f>
        <v>7.2517591868647369E-2</v>
      </c>
      <c r="P69" s="110">
        <f t="shared" ref="P69" si="80">IFERROR(P68/Q68-1,0)</f>
        <v>0.11169056931768795</v>
      </c>
      <c r="Q69" s="110">
        <f t="shared" ref="Q69" si="81">IFERROR(Q68/R68-1,0)</f>
        <v>0.11753278290432245</v>
      </c>
      <c r="R69" s="110">
        <f t="shared" ref="R69" si="82">IFERROR(R68/S68-1,0)</f>
        <v>9.1728525980911968E-2</v>
      </c>
      <c r="S69" s="110">
        <f t="shared" ref="S69" si="83">IFERROR(S68/T68-1,0)</f>
        <v>0.21247187399549983</v>
      </c>
      <c r="T69" s="110">
        <f t="shared" ref="T69" si="84">IFERROR(T68/U68-1,0)</f>
        <v>0.2072176949941793</v>
      </c>
      <c r="U69" s="110">
        <f>IFERROR(U68/#REF!-1,0)</f>
        <v>0</v>
      </c>
      <c r="V69" s="100"/>
      <c r="W69" s="101"/>
      <c r="X69" s="101"/>
      <c r="Y69" s="101"/>
      <c r="Z69" s="101"/>
      <c r="AA69" s="101"/>
      <c r="AB69" s="101"/>
    </row>
    <row r="70" spans="2:28" s="95" customFormat="1" x14ac:dyDescent="0.3">
      <c r="D70" s="107" t="s">
        <v>13</v>
      </c>
      <c r="E70" s="97"/>
      <c r="F70" s="98"/>
      <c r="G70" s="98"/>
      <c r="H70" s="98"/>
      <c r="I70" s="98"/>
      <c r="J70" s="99"/>
      <c r="K70" s="29">
        <f t="shared" ref="K70:L70" si="85">IFERROR(K68/K$42,0)</f>
        <v>0</v>
      </c>
      <c r="L70" s="29">
        <f t="shared" si="85"/>
        <v>0</v>
      </c>
      <c r="M70" s="15"/>
      <c r="N70" s="110">
        <f>IFERROR(N68/N$42,0)</f>
        <v>1.089500428760265E-2</v>
      </c>
      <c r="O70" s="110">
        <f t="shared" ref="O70:U70" si="86">IFERROR(O68/O$42,0)</f>
        <v>1.3924452170382308E-2</v>
      </c>
      <c r="P70" s="110">
        <f t="shared" si="86"/>
        <v>1.5776100256562068E-2</v>
      </c>
      <c r="Q70" s="110">
        <f t="shared" si="86"/>
        <v>1.6219645437563882E-2</v>
      </c>
      <c r="R70" s="110">
        <f t="shared" si="86"/>
        <v>1.7244556113902847E-2</v>
      </c>
      <c r="S70" s="110">
        <f t="shared" si="86"/>
        <v>2.1734620969414802E-2</v>
      </c>
      <c r="T70" s="110">
        <f t="shared" si="86"/>
        <v>2.5994318181818181E-2</v>
      </c>
      <c r="U70" s="110">
        <f t="shared" si="86"/>
        <v>2.6908217604677875E-2</v>
      </c>
      <c r="V70" s="102"/>
      <c r="W70" s="101"/>
      <c r="X70" s="101"/>
      <c r="Y70" s="101"/>
      <c r="Z70" s="101"/>
      <c r="AA70" s="101"/>
      <c r="AB70" s="101"/>
    </row>
    <row r="71" spans="2:28" s="95" customFormat="1" x14ac:dyDescent="0.3">
      <c r="D71" s="107" t="s">
        <v>245</v>
      </c>
      <c r="E71" s="97"/>
      <c r="F71" s="98"/>
      <c r="G71" s="98"/>
      <c r="H71" s="98"/>
      <c r="I71" s="98"/>
      <c r="J71" s="99"/>
      <c r="K71" s="146">
        <f t="shared" ref="K71" si="87">K$39*K72</f>
        <v>1225.9167</v>
      </c>
      <c r="L71" s="146">
        <f>L$39*L72</f>
        <v>1021.59725</v>
      </c>
      <c r="M71" s="15"/>
      <c r="N71" s="136">
        <f>N68-O68</f>
        <v>332</v>
      </c>
      <c r="O71" s="136">
        <f t="shared" ref="O71:U71" si="88">O68-P68</f>
        <v>371</v>
      </c>
      <c r="P71" s="136">
        <f t="shared" si="88"/>
        <v>514</v>
      </c>
      <c r="Q71" s="136">
        <f t="shared" si="88"/>
        <v>484</v>
      </c>
      <c r="R71" s="136">
        <f t="shared" si="88"/>
        <v>346</v>
      </c>
      <c r="S71" s="136">
        <f t="shared" si="88"/>
        <v>661</v>
      </c>
      <c r="T71" s="136">
        <f t="shared" si="88"/>
        <v>534</v>
      </c>
      <c r="U71" s="136">
        <f t="shared" si="88"/>
        <v>2577</v>
      </c>
      <c r="V71" s="102"/>
      <c r="W71" s="101"/>
      <c r="X71" s="101"/>
      <c r="Y71" s="101"/>
      <c r="Z71" s="101"/>
      <c r="AA71" s="101"/>
      <c r="AB71" s="101"/>
    </row>
    <row r="72" spans="2:28" s="95" customFormat="1" x14ac:dyDescent="0.3">
      <c r="D72" s="141" t="s">
        <v>289</v>
      </c>
      <c r="E72" s="143"/>
      <c r="F72" s="144"/>
      <c r="G72" s="98"/>
      <c r="H72" s="98"/>
      <c r="I72" s="98"/>
      <c r="J72" s="99"/>
      <c r="K72" s="28">
        <v>5.0000000000000001E-3</v>
      </c>
      <c r="L72" s="28">
        <v>5.0000000000000001E-3</v>
      </c>
      <c r="M72" s="15"/>
      <c r="N72" s="110"/>
      <c r="O72" s="110"/>
      <c r="P72" s="110"/>
      <c r="Q72" s="110"/>
      <c r="R72" s="110"/>
      <c r="S72" s="110"/>
      <c r="T72" s="110"/>
      <c r="U72" s="110"/>
      <c r="V72" s="102"/>
      <c r="W72" s="101"/>
      <c r="X72" s="101"/>
      <c r="Y72" s="101"/>
      <c r="Z72" s="101"/>
      <c r="AA72" s="101"/>
      <c r="AB72" s="101"/>
    </row>
    <row r="73" spans="2:28" s="25" customFormat="1" x14ac:dyDescent="0.3">
      <c r="B73" s="42"/>
      <c r="C73" s="42"/>
      <c r="D73" s="106" t="s">
        <v>249</v>
      </c>
      <c r="E73" s="6"/>
      <c r="F73" s="41"/>
      <c r="G73" s="41"/>
      <c r="H73" s="41"/>
      <c r="I73" s="41"/>
      <c r="J73" s="7"/>
      <c r="K73" s="64">
        <f>K76+L73</f>
        <v>139170.4185</v>
      </c>
      <c r="L73" s="64">
        <f>L76+N73</f>
        <v>102392.9175</v>
      </c>
      <c r="M73" s="15"/>
      <c r="N73" s="103">
        <v>71745</v>
      </c>
      <c r="O73" s="103">
        <v>46636</v>
      </c>
      <c r="P73" s="103">
        <v>28840</v>
      </c>
      <c r="Q73" s="103">
        <v>30020</v>
      </c>
      <c r="R73" s="103">
        <v>24895</v>
      </c>
      <c r="S73" s="103">
        <v>15228</v>
      </c>
      <c r="T73" s="103">
        <v>6036</v>
      </c>
      <c r="U73" s="103">
        <v>6861</v>
      </c>
      <c r="V73" s="41"/>
      <c r="W73" s="27"/>
      <c r="X73" s="27"/>
      <c r="Y73" s="27"/>
      <c r="Z73" s="27"/>
      <c r="AA73" s="27"/>
      <c r="AB73" s="27"/>
    </row>
    <row r="74" spans="2:28" s="95" customFormat="1" x14ac:dyDescent="0.3">
      <c r="D74" s="107" t="s">
        <v>19</v>
      </c>
      <c r="E74" s="97"/>
      <c r="F74" s="98"/>
      <c r="G74" s="98"/>
      <c r="H74" s="98"/>
      <c r="I74" s="98"/>
      <c r="J74" s="99"/>
      <c r="K74" s="29">
        <f t="shared" ref="K74" si="89">IFERROR(K73/L73-1,0)</f>
        <v>0.35918012591056403</v>
      </c>
      <c r="L74" s="29">
        <f>IFERROR(L73/N73-1,0)</f>
        <v>0.42717844449090525</v>
      </c>
      <c r="M74" s="15"/>
      <c r="N74" s="110">
        <f>IFERROR(N73/O73-1,0)</f>
        <v>0.53840380821682809</v>
      </c>
      <c r="O74" s="110">
        <f t="shared" ref="O74" si="90">IFERROR(O73/P73-1,0)</f>
        <v>0.61705963938973651</v>
      </c>
      <c r="P74" s="110">
        <f t="shared" ref="P74" si="91">IFERROR(P73/Q73-1,0)</f>
        <v>-3.9307128580945982E-2</v>
      </c>
      <c r="Q74" s="110">
        <f t="shared" ref="Q74" si="92">IFERROR(Q73/R73-1,0)</f>
        <v>0.20586463145209888</v>
      </c>
      <c r="R74" s="110">
        <f t="shared" ref="R74" si="93">IFERROR(R73/S73-1,0)</f>
        <v>0.63481744155503028</v>
      </c>
      <c r="S74" s="110">
        <f t="shared" ref="S74" si="94">IFERROR(S73/T73-1,0)</f>
        <v>1.5228628230616303</v>
      </c>
      <c r="T74" s="110">
        <f t="shared" ref="T74" si="95">IFERROR(T73/U73-1,0)</f>
        <v>-0.12024486226497599</v>
      </c>
      <c r="U74" s="110">
        <f>IFERROR(U73/#REF!-1,0)</f>
        <v>0</v>
      </c>
      <c r="V74" s="100"/>
      <c r="W74" s="101"/>
      <c r="X74" s="101"/>
      <c r="Y74" s="101"/>
      <c r="Z74" s="101"/>
      <c r="AA74" s="101"/>
      <c r="AB74" s="101"/>
    </row>
    <row r="75" spans="2:28" s="95" customFormat="1" x14ac:dyDescent="0.3">
      <c r="D75" s="107" t="s">
        <v>13</v>
      </c>
      <c r="E75" s="97"/>
      <c r="F75" s="98"/>
      <c r="G75" s="98"/>
      <c r="H75" s="98"/>
      <c r="I75" s="98"/>
      <c r="J75" s="99"/>
      <c r="K75" s="29">
        <f t="shared" ref="K75:L75" si="96">IFERROR(K73/K$42,0)</f>
        <v>0</v>
      </c>
      <c r="L75" s="29">
        <f t="shared" si="96"/>
        <v>0</v>
      </c>
      <c r="M75" s="15"/>
      <c r="N75" s="110">
        <f>IFERROR(N73/N$42,0)</f>
        <v>0.13432928039423478</v>
      </c>
      <c r="O75" s="110">
        <f t="shared" ref="O75:U75" si="97">IFERROR(O73/O$42,0)</f>
        <v>0.11834896143939298</v>
      </c>
      <c r="P75" s="110">
        <f t="shared" si="97"/>
        <v>8.893329386224591E-2</v>
      </c>
      <c r="Q75" s="110">
        <f t="shared" si="97"/>
        <v>0.10580481443625983</v>
      </c>
      <c r="R75" s="110">
        <f t="shared" si="97"/>
        <v>0.10425041876046902</v>
      </c>
      <c r="S75" s="110">
        <f t="shared" si="97"/>
        <v>8.7745177126789128E-2</v>
      </c>
      <c r="T75" s="110">
        <f t="shared" si="97"/>
        <v>5.0434491978609629E-2</v>
      </c>
      <c r="U75" s="110">
        <f t="shared" si="97"/>
        <v>7.1640388430615015E-2</v>
      </c>
      <c r="V75" s="102"/>
      <c r="W75" s="101"/>
      <c r="X75" s="101"/>
      <c r="Y75" s="101"/>
      <c r="Z75" s="101"/>
      <c r="AA75" s="101"/>
      <c r="AB75" s="101"/>
    </row>
    <row r="76" spans="2:28" s="95" customFormat="1" x14ac:dyDescent="0.3">
      <c r="D76" s="107" t="s">
        <v>245</v>
      </c>
      <c r="E76" s="97"/>
      <c r="F76" s="98"/>
      <c r="G76" s="98"/>
      <c r="H76" s="98"/>
      <c r="I76" s="98"/>
      <c r="J76" s="99"/>
      <c r="K76" s="146">
        <f t="shared" ref="K76" si="98">K$39*K77</f>
        <v>36777.500999999997</v>
      </c>
      <c r="L76" s="146">
        <f>L$39*L77</f>
        <v>30647.9175</v>
      </c>
      <c r="M76" s="15"/>
      <c r="N76" s="136">
        <f>N73-O73</f>
        <v>25109</v>
      </c>
      <c r="O76" s="136">
        <f t="shared" ref="O76:U76" si="99">O73-P73</f>
        <v>17796</v>
      </c>
      <c r="P76" s="136">
        <f t="shared" si="99"/>
        <v>-1180</v>
      </c>
      <c r="Q76" s="136">
        <f t="shared" si="99"/>
        <v>5125</v>
      </c>
      <c r="R76" s="136">
        <f t="shared" si="99"/>
        <v>9667</v>
      </c>
      <c r="S76" s="136">
        <f t="shared" si="99"/>
        <v>9192</v>
      </c>
      <c r="T76" s="136">
        <f t="shared" si="99"/>
        <v>-825</v>
      </c>
      <c r="U76" s="136">
        <f t="shared" si="99"/>
        <v>6861</v>
      </c>
      <c r="V76" s="102"/>
      <c r="W76" s="101"/>
      <c r="X76" s="101"/>
      <c r="Y76" s="101"/>
      <c r="Z76" s="101"/>
      <c r="AA76" s="101"/>
      <c r="AB76" s="101"/>
    </row>
    <row r="77" spans="2:28" s="95" customFormat="1" x14ac:dyDescent="0.3">
      <c r="D77" s="141" t="s">
        <v>289</v>
      </c>
      <c r="E77" s="143"/>
      <c r="F77" s="144"/>
      <c r="G77" s="98"/>
      <c r="H77" s="98"/>
      <c r="I77" s="98"/>
      <c r="J77" s="99"/>
      <c r="K77" s="29">
        <v>0.15</v>
      </c>
      <c r="L77" s="29">
        <v>0.15</v>
      </c>
      <c r="M77" s="15"/>
      <c r="N77" s="110"/>
      <c r="O77" s="110"/>
      <c r="P77" s="110"/>
      <c r="Q77" s="110"/>
      <c r="R77" s="110"/>
      <c r="S77" s="110"/>
      <c r="T77" s="110"/>
      <c r="U77" s="110"/>
      <c r="V77" s="102"/>
      <c r="W77" s="101"/>
      <c r="X77" s="101"/>
      <c r="Y77" s="101"/>
      <c r="Z77" s="101"/>
      <c r="AA77" s="101"/>
      <c r="AB77" s="101"/>
    </row>
    <row r="78" spans="2:28" s="25" customFormat="1" x14ac:dyDescent="0.3">
      <c r="B78" s="42"/>
      <c r="C78" s="42"/>
      <c r="D78" s="32"/>
      <c r="E78" s="6"/>
      <c r="F78" s="45"/>
      <c r="G78" s="45"/>
      <c r="H78" s="45"/>
      <c r="I78" s="45"/>
      <c r="J78" s="7"/>
      <c r="K78" s="29"/>
      <c r="L78" s="29"/>
      <c r="M78" s="15"/>
      <c r="N78" s="45"/>
      <c r="O78" s="45"/>
      <c r="P78" s="45"/>
      <c r="Q78" s="45"/>
      <c r="R78" s="45"/>
      <c r="S78" s="45"/>
      <c r="T78" s="45"/>
      <c r="U78" s="45"/>
      <c r="V78" s="41"/>
      <c r="W78" s="27"/>
      <c r="X78" s="27"/>
      <c r="Y78" s="27"/>
      <c r="Z78" s="27"/>
      <c r="AA78" s="27"/>
      <c r="AB78" s="27"/>
    </row>
    <row r="79" spans="2:28" s="25" customFormat="1" x14ac:dyDescent="0.3">
      <c r="B79" s="42"/>
      <c r="C79" s="42"/>
      <c r="D79" s="4" t="s">
        <v>255</v>
      </c>
      <c r="E79" s="6"/>
      <c r="F79" s="45"/>
      <c r="G79" s="45"/>
      <c r="H79" s="45"/>
      <c r="I79" s="45"/>
      <c r="J79" s="7"/>
      <c r="K79" s="147" t="e">
        <f>AVERAGE(L79:O79)</f>
        <v>#REF!</v>
      </c>
      <c r="L79" s="147" t="e">
        <f>AVERAGE(N79:P79)</f>
        <v>#REF!</v>
      </c>
      <c r="M79" s="15"/>
      <c r="N79" s="49" t="e">
        <f>Z16</f>
        <v>#REF!</v>
      </c>
      <c r="O79" s="49" t="e">
        <f>AD16</f>
        <v>#REF!</v>
      </c>
      <c r="P79" s="49" t="e">
        <f>AH16</f>
        <v>#REF!</v>
      </c>
      <c r="Q79" s="49" t="e">
        <f>AL16</f>
        <v>#REF!</v>
      </c>
      <c r="R79" s="49" t="e">
        <f>AP16</f>
        <v>#REF!</v>
      </c>
      <c r="S79" s="49" t="e">
        <f>AT16</f>
        <v>#REF!</v>
      </c>
      <c r="T79" s="49" t="e">
        <f>AX16</f>
        <v>#REF!</v>
      </c>
      <c r="U79" s="49"/>
      <c r="V79" s="41"/>
      <c r="W79" s="27"/>
      <c r="X79" s="27"/>
      <c r="Y79" s="27"/>
      <c r="Z79" s="27"/>
      <c r="AA79" s="27"/>
      <c r="AB79" s="27"/>
    </row>
    <row r="80" spans="2:28" s="25" customFormat="1" x14ac:dyDescent="0.3">
      <c r="B80" s="42"/>
      <c r="C80" s="42"/>
      <c r="D80" s="4" t="s">
        <v>256</v>
      </c>
      <c r="E80" s="6"/>
      <c r="F80" s="45"/>
      <c r="G80" s="45"/>
      <c r="H80" s="45"/>
      <c r="I80" s="45"/>
      <c r="J80" s="7"/>
      <c r="K80" s="148">
        <f>AVERAGE(L80:O80)</f>
        <v>0.94555555555555559</v>
      </c>
      <c r="L80" s="148">
        <f>AVERAGE(N80:P80)</f>
        <v>0.95666666666666667</v>
      </c>
      <c r="M80" s="15"/>
      <c r="N80" s="132">
        <v>0.93</v>
      </c>
      <c r="O80" s="132">
        <v>0.95</v>
      </c>
      <c r="P80" s="132">
        <v>0.99</v>
      </c>
      <c r="Q80" s="132">
        <v>0.96</v>
      </c>
      <c r="R80" s="132">
        <v>1</v>
      </c>
      <c r="S80" s="132">
        <v>0.95</v>
      </c>
      <c r="T80" s="132">
        <v>1.04</v>
      </c>
      <c r="U80" s="45"/>
      <c r="V80" s="41"/>
      <c r="W80" s="27"/>
      <c r="X80" s="27"/>
      <c r="Y80" s="27"/>
      <c r="Z80" s="27"/>
      <c r="AA80" s="27"/>
      <c r="AB80" s="27"/>
    </row>
    <row r="81" spans="2:28" s="25" customFormat="1" x14ac:dyDescent="0.3">
      <c r="B81" s="42"/>
      <c r="C81" s="42"/>
      <c r="D81" s="61"/>
      <c r="E81" s="6"/>
      <c r="F81" s="45"/>
      <c r="G81" s="45"/>
      <c r="H81" s="45"/>
      <c r="I81" s="45"/>
      <c r="J81" s="7"/>
      <c r="K81" s="29"/>
      <c r="L81" s="29"/>
      <c r="M81" s="15"/>
      <c r="N81" s="45"/>
      <c r="O81" s="45"/>
      <c r="P81" s="45"/>
      <c r="Q81" s="45"/>
      <c r="R81" s="45"/>
      <c r="S81" s="45"/>
      <c r="T81" s="45"/>
      <c r="U81" s="45"/>
      <c r="V81" s="41"/>
      <c r="W81" s="27"/>
      <c r="X81" s="27"/>
      <c r="Y81" s="27"/>
      <c r="Z81" s="27"/>
      <c r="AA81" s="27"/>
      <c r="AB81" s="27"/>
    </row>
    <row r="82" spans="2:28" s="25" customFormat="1" x14ac:dyDescent="0.3">
      <c r="B82" s="42"/>
      <c r="C82" s="42"/>
      <c r="D82" s="61"/>
      <c r="E82" s="32"/>
      <c r="F82" s="45"/>
      <c r="G82" s="45"/>
      <c r="H82" s="45"/>
      <c r="I82" s="45"/>
      <c r="J82" s="7"/>
      <c r="K82" s="29"/>
      <c r="L82" s="29"/>
      <c r="M82" s="15"/>
      <c r="N82" s="45"/>
      <c r="O82" s="45"/>
      <c r="P82" s="45"/>
      <c r="Q82" s="45"/>
      <c r="R82" s="45"/>
      <c r="S82" s="45"/>
      <c r="T82" s="45"/>
      <c r="U82" s="45"/>
      <c r="V82" s="41"/>
      <c r="W82" s="27"/>
      <c r="X82" s="27"/>
      <c r="Y82" s="27"/>
      <c r="Z82" s="27"/>
      <c r="AA82" s="27"/>
      <c r="AB82" s="27"/>
    </row>
    <row r="83" spans="2:28" s="25" customFormat="1" x14ac:dyDescent="0.3">
      <c r="B83" s="127"/>
      <c r="C83" s="128" t="s">
        <v>282</v>
      </c>
      <c r="D83" s="127"/>
      <c r="E83" s="6"/>
      <c r="F83" s="130"/>
      <c r="G83" s="130"/>
      <c r="H83" s="130"/>
      <c r="I83" s="130"/>
      <c r="K83" s="31"/>
      <c r="L83" s="31"/>
      <c r="M83" s="15"/>
      <c r="N83" s="129"/>
      <c r="O83" s="129"/>
      <c r="P83" s="129"/>
      <c r="Q83" s="36"/>
      <c r="R83" s="36"/>
      <c r="S83" s="36"/>
      <c r="T83" s="36"/>
      <c r="U83" s="36"/>
      <c r="V83" s="36"/>
      <c r="W83" s="27"/>
      <c r="X83" s="27"/>
      <c r="Y83" s="27"/>
      <c r="Z83" s="27"/>
      <c r="AA83" s="27"/>
      <c r="AB83" s="27"/>
    </row>
    <row r="84" spans="2:28" s="25" customFormat="1" x14ac:dyDescent="0.3">
      <c r="B84" s="42"/>
      <c r="C84" s="42"/>
      <c r="D84" s="61"/>
      <c r="E84" s="32"/>
      <c r="F84" s="45"/>
      <c r="G84" s="45"/>
      <c r="H84" s="45"/>
      <c r="I84" s="45"/>
      <c r="J84" s="7"/>
      <c r="K84" s="29"/>
      <c r="L84" s="29"/>
      <c r="M84" s="15"/>
      <c r="N84" s="45"/>
      <c r="O84" s="45"/>
      <c r="P84" s="45"/>
      <c r="Q84" s="45"/>
      <c r="R84" s="45"/>
      <c r="S84" s="45"/>
      <c r="T84" s="45"/>
      <c r="U84" s="45"/>
      <c r="V84" s="41"/>
      <c r="W84" s="27"/>
      <c r="X84" s="27"/>
      <c r="Y84" s="27"/>
      <c r="Z84" s="27"/>
      <c r="AA84" s="27"/>
      <c r="AB84" s="27"/>
    </row>
    <row r="85" spans="2:28" s="25" customFormat="1" x14ac:dyDescent="0.3">
      <c r="B85" s="42"/>
      <c r="C85" s="42"/>
      <c r="D85" s="6" t="s">
        <v>247</v>
      </c>
      <c r="E85" s="32"/>
      <c r="F85" s="45"/>
      <c r="G85" s="45"/>
      <c r="H85" s="45"/>
      <c r="I85" s="45"/>
      <c r="J85" s="7"/>
      <c r="K85" s="64">
        <f>((K44*(1-$I$17))/K30)*K80</f>
        <v>6431.3342905222926</v>
      </c>
      <c r="L85" s="64">
        <f>((L44*(1-$I$17))/L30)*L80</f>
        <v>4877.4579687312498</v>
      </c>
      <c r="M85" s="15"/>
      <c r="N85" s="135">
        <f t="shared" ref="N85:U85" si="100">((N44*(1-$I$17))/N30)*N80</f>
        <v>3426.2350874999997</v>
      </c>
      <c r="O85" s="135">
        <f t="shared" si="100"/>
        <v>2776.0674374999994</v>
      </c>
      <c r="P85" s="135">
        <f t="shared" si="100"/>
        <v>2475.7016624999997</v>
      </c>
      <c r="Q85" s="135">
        <f t="shared" si="100"/>
        <v>2089.62</v>
      </c>
      <c r="R85" s="135">
        <f t="shared" si="100"/>
        <v>1926.22</v>
      </c>
      <c r="S85" s="135">
        <f t="shared" si="100"/>
        <v>1293.3727499999998</v>
      </c>
      <c r="T85" s="135">
        <f t="shared" si="100"/>
        <v>968.80809999999997</v>
      </c>
      <c r="U85" s="135">
        <f t="shared" si="100"/>
        <v>0</v>
      </c>
      <c r="V85" s="41"/>
      <c r="W85" s="27"/>
      <c r="X85" s="27"/>
      <c r="Y85" s="27"/>
      <c r="Z85" s="27"/>
      <c r="AA85" s="27"/>
      <c r="AB85" s="27"/>
    </row>
    <row r="86" spans="2:28" s="95" customFormat="1" x14ac:dyDescent="0.3">
      <c r="D86" s="96" t="s">
        <v>19</v>
      </c>
      <c r="E86" s="97"/>
      <c r="F86" s="98"/>
      <c r="G86" s="98"/>
      <c r="H86" s="98"/>
      <c r="I86" s="98"/>
      <c r="J86" s="99"/>
      <c r="K86" s="29">
        <f t="shared" ref="K86" si="101">IFERROR(K85/L85-1,0)</f>
        <v>0.31858323162449431</v>
      </c>
      <c r="L86" s="29">
        <f>IFERROR(L85/N85-1,0)</f>
        <v>0.42356196938317936</v>
      </c>
      <c r="M86" s="15"/>
      <c r="N86" s="110">
        <f>IFERROR(N85/O85-1,0)</f>
        <v>0.23420455901658932</v>
      </c>
      <c r="O86" s="110">
        <f t="shared" ref="O86" si="102">IFERROR(O85/P85-1,0)</f>
        <v>0.12132551330788632</v>
      </c>
      <c r="P86" s="110">
        <f t="shared" ref="P86" si="103">IFERROR(P85/Q85-1,0)</f>
        <v>0.18476166121112914</v>
      </c>
      <c r="Q86" s="110">
        <f t="shared" ref="Q86" si="104">IFERROR(Q85/R85-1,0)</f>
        <v>8.4829354902347553E-2</v>
      </c>
      <c r="R86" s="110">
        <f t="shared" ref="R86" si="105">IFERROR(R85/S85-1,0)</f>
        <v>0.48929997172122297</v>
      </c>
      <c r="S86" s="110">
        <f t="shared" ref="S86" si="106">IFERROR(S85/T85-1,0)</f>
        <v>0.33501438520177507</v>
      </c>
      <c r="T86" s="110">
        <f t="shared" ref="T86" si="107">IFERROR(T85/U85-1,0)</f>
        <v>0</v>
      </c>
      <c r="U86" s="110">
        <f>IFERROR(U85/#REF!-1,0)</f>
        <v>0</v>
      </c>
      <c r="V86" s="100"/>
      <c r="W86" s="101"/>
      <c r="X86" s="101"/>
      <c r="Y86" s="101"/>
      <c r="Z86" s="101"/>
      <c r="AA86" s="101"/>
      <c r="AB86" s="101"/>
    </row>
    <row r="87" spans="2:28" s="25" customFormat="1" x14ac:dyDescent="0.3">
      <c r="B87" s="42"/>
      <c r="C87" s="42"/>
      <c r="D87" s="134" t="s">
        <v>283</v>
      </c>
      <c r="E87" s="32"/>
      <c r="F87" s="45"/>
      <c r="G87" s="45"/>
      <c r="H87" s="45"/>
      <c r="I87" s="45"/>
      <c r="J87" s="7"/>
      <c r="K87" s="146">
        <f>((L44*(1-$I$17))/K30)*K80</f>
        <v>4820.809211835417</v>
      </c>
      <c r="L87" s="146">
        <f>((N44*(1-$I$17))/L30)*L80</f>
        <v>3524.4783874999998</v>
      </c>
      <c r="M87" s="15"/>
      <c r="N87" s="136">
        <f t="shared" ref="N87:U87" si="108">((O44*(1-$I$17))/N30)*N80</f>
        <v>2717.6239124999997</v>
      </c>
      <c r="O87" s="136">
        <f t="shared" si="108"/>
        <v>2375.6733124999996</v>
      </c>
      <c r="P87" s="136">
        <f t="shared" si="108"/>
        <v>2154.9206250000002</v>
      </c>
      <c r="Q87" s="136">
        <f t="shared" si="108"/>
        <v>1849.1712</v>
      </c>
      <c r="R87" s="136">
        <f t="shared" si="108"/>
        <v>1361.4449999999999</v>
      </c>
      <c r="S87" s="136">
        <f t="shared" si="108"/>
        <v>884.96893749999992</v>
      </c>
      <c r="T87" s="136">
        <f t="shared" si="108"/>
        <v>784.00269999999989</v>
      </c>
      <c r="U87" s="136">
        <f t="shared" si="108"/>
        <v>0</v>
      </c>
      <c r="V87" s="41"/>
      <c r="W87" s="27"/>
      <c r="X87" s="27"/>
      <c r="Y87" s="27"/>
      <c r="Z87" s="27"/>
      <c r="AA87" s="27"/>
      <c r="AB87" s="27"/>
    </row>
    <row r="88" spans="2:28" s="25" customFormat="1" x14ac:dyDescent="0.3">
      <c r="B88" s="42"/>
      <c r="C88" s="42"/>
      <c r="D88" s="134" t="s">
        <v>284</v>
      </c>
      <c r="E88" s="32"/>
      <c r="F88" s="45"/>
      <c r="G88" s="45"/>
      <c r="H88" s="45"/>
      <c r="I88" s="45"/>
      <c r="J88" s="7"/>
      <c r="K88" s="146" t="e">
        <f>(((K44-L44)*(1-$I$17))/K30)*K79</f>
        <v>#REF!</v>
      </c>
      <c r="L88" s="146" t="e">
        <f>(((L44-N44)*(1-$I$17))/L30)*L79</f>
        <v>#REF!</v>
      </c>
      <c r="M88" s="15"/>
      <c r="N88" s="136" t="e">
        <f t="shared" ref="N88:U88" si="109">(((N44-O44)*(1-$I$17))/N30)*N79</f>
        <v>#REF!</v>
      </c>
      <c r="O88" s="136" t="e">
        <f t="shared" si="109"/>
        <v>#REF!</v>
      </c>
      <c r="P88" s="136" t="e">
        <f t="shared" si="109"/>
        <v>#REF!</v>
      </c>
      <c r="Q88" s="136" t="e">
        <f t="shared" si="109"/>
        <v>#REF!</v>
      </c>
      <c r="R88" s="136" t="e">
        <f t="shared" si="109"/>
        <v>#REF!</v>
      </c>
      <c r="S88" s="136" t="e">
        <f t="shared" si="109"/>
        <v>#REF!</v>
      </c>
      <c r="T88" s="136" t="e">
        <f t="shared" si="109"/>
        <v>#REF!</v>
      </c>
      <c r="U88" s="136">
        <f t="shared" si="109"/>
        <v>0</v>
      </c>
      <c r="V88" s="41"/>
      <c r="W88" s="27"/>
      <c r="X88" s="27"/>
      <c r="Y88" s="27"/>
      <c r="Z88" s="27"/>
      <c r="AA88" s="27"/>
      <c r="AB88" s="27"/>
    </row>
    <row r="89" spans="2:28" s="25" customFormat="1" x14ac:dyDescent="0.3">
      <c r="B89" s="42"/>
      <c r="C89" s="42"/>
      <c r="D89" s="35" t="s">
        <v>253</v>
      </c>
      <c r="E89" s="32"/>
      <c r="F89" s="45"/>
      <c r="G89" s="45"/>
      <c r="H89" s="45"/>
      <c r="I89" s="45"/>
      <c r="J89" s="7"/>
      <c r="K89" s="64" t="e">
        <f t="shared" ref="K89:L89" si="110">SUM(K91:K92)</f>
        <v>#REF!</v>
      </c>
      <c r="L89" s="64" t="e">
        <f t="shared" si="110"/>
        <v>#REF!</v>
      </c>
      <c r="M89" s="15"/>
      <c r="N89" s="135" t="e">
        <f>SUM(N91:N92)</f>
        <v>#REF!</v>
      </c>
      <c r="O89" s="135" t="e">
        <f t="shared" ref="O89:U89" si="111">SUM(O91:O92)</f>
        <v>#REF!</v>
      </c>
      <c r="P89" s="135" t="e">
        <f t="shared" si="111"/>
        <v>#REF!</v>
      </c>
      <c r="Q89" s="135" t="e">
        <f t="shared" si="111"/>
        <v>#REF!</v>
      </c>
      <c r="R89" s="135" t="e">
        <f t="shared" si="111"/>
        <v>#REF!</v>
      </c>
      <c r="S89" s="135" t="e">
        <f t="shared" si="111"/>
        <v>#REF!</v>
      </c>
      <c r="T89" s="135" t="e">
        <f t="shared" si="111"/>
        <v>#REF!</v>
      </c>
      <c r="U89" s="135">
        <f t="shared" si="111"/>
        <v>0</v>
      </c>
      <c r="V89" s="41"/>
      <c r="W89" s="27"/>
      <c r="X89" s="27"/>
      <c r="Y89" s="27"/>
      <c r="Z89" s="27"/>
      <c r="AA89" s="27"/>
      <c r="AB89" s="27"/>
    </row>
    <row r="90" spans="2:28" s="95" customFormat="1" x14ac:dyDescent="0.3">
      <c r="D90" s="96" t="s">
        <v>19</v>
      </c>
      <c r="E90" s="97"/>
      <c r="F90" s="98"/>
      <c r="G90" s="98"/>
      <c r="H90" s="98"/>
      <c r="I90" s="98"/>
      <c r="J90" s="99"/>
      <c r="K90" s="29">
        <f t="shared" ref="K90" si="112">IFERROR(K89/L89-1,0)</f>
        <v>0</v>
      </c>
      <c r="L90" s="29">
        <f>IFERROR(L89/N89-1,0)</f>
        <v>0</v>
      </c>
      <c r="M90" s="15"/>
      <c r="N90" s="110">
        <f>IFERROR(N89/O89-1,0)</f>
        <v>0</v>
      </c>
      <c r="O90" s="110">
        <f t="shared" ref="O90" si="113">IFERROR(O89/P89-1,0)</f>
        <v>0</v>
      </c>
      <c r="P90" s="110">
        <f t="shared" ref="P90" si="114">IFERROR(P89/Q89-1,0)</f>
        <v>0</v>
      </c>
      <c r="Q90" s="110">
        <f t="shared" ref="Q90" si="115">IFERROR(Q89/R89-1,0)</f>
        <v>0</v>
      </c>
      <c r="R90" s="110">
        <f t="shared" ref="R90" si="116">IFERROR(R89/S89-1,0)</f>
        <v>0</v>
      </c>
      <c r="S90" s="110">
        <f t="shared" ref="S90" si="117">IFERROR(S89/T89-1,0)</f>
        <v>0</v>
      </c>
      <c r="T90" s="110">
        <f t="shared" ref="T90" si="118">IFERROR(T89/U89-1,0)</f>
        <v>0</v>
      </c>
      <c r="U90" s="110">
        <f>IFERROR(U89/#REF!-1,0)</f>
        <v>0</v>
      </c>
      <c r="V90" s="100"/>
      <c r="W90" s="101"/>
      <c r="X90" s="101"/>
      <c r="Y90" s="101"/>
      <c r="Z90" s="101"/>
      <c r="AA90" s="101"/>
      <c r="AB90" s="101"/>
    </row>
    <row r="91" spans="2:28" s="32" customFormat="1" x14ac:dyDescent="0.3">
      <c r="B91" s="44"/>
      <c r="C91" s="44"/>
      <c r="D91" s="134" t="s">
        <v>283</v>
      </c>
      <c r="F91" s="45"/>
      <c r="G91" s="45"/>
      <c r="H91" s="45"/>
      <c r="I91" s="45"/>
      <c r="J91" s="7"/>
      <c r="K91" s="146">
        <f>(L53/K31)*K$80</f>
        <v>44713.785901803123</v>
      </c>
      <c r="L91" s="146">
        <f>(N53/L31)*L$80</f>
        <v>28950.411695906434</v>
      </c>
      <c r="M91" s="15"/>
      <c r="N91" s="136">
        <f t="shared" ref="N91:U91" si="119">(O53/N31)*N$80</f>
        <v>18462.294736842108</v>
      </c>
      <c r="O91" s="136">
        <f t="shared" si="119"/>
        <v>15820.834500000001</v>
      </c>
      <c r="P91" s="136">
        <f t="shared" si="119"/>
        <v>15304.917600000001</v>
      </c>
      <c r="Q91" s="136">
        <f t="shared" si="119"/>
        <v>12128.957672727272</v>
      </c>
      <c r="R91" s="136">
        <f t="shared" si="119"/>
        <v>11666.880000000001</v>
      </c>
      <c r="S91" s="136">
        <f t="shared" si="119"/>
        <v>8129.34</v>
      </c>
      <c r="T91" s="136">
        <f t="shared" si="119"/>
        <v>7664.5764000000008</v>
      </c>
      <c r="U91" s="136">
        <f t="shared" si="119"/>
        <v>0</v>
      </c>
      <c r="V91" s="41"/>
      <c r="W91" s="34"/>
      <c r="X91" s="34"/>
      <c r="Y91" s="34"/>
      <c r="Z91" s="34"/>
      <c r="AA91" s="34"/>
      <c r="AB91" s="34"/>
    </row>
    <row r="92" spans="2:28" s="32" customFormat="1" x14ac:dyDescent="0.3">
      <c r="B92" s="44"/>
      <c r="C92" s="44"/>
      <c r="D92" s="134" t="s">
        <v>284</v>
      </c>
      <c r="F92" s="45"/>
      <c r="G92" s="45"/>
      <c r="H92" s="45"/>
      <c r="I92" s="45"/>
      <c r="J92" s="7"/>
      <c r="K92" s="146" t="e">
        <f>((K53-L53)/K31)*K$79</f>
        <v>#REF!</v>
      </c>
      <c r="L92" s="146" t="e">
        <f>((L53-N53)/L31)*L$79</f>
        <v>#REF!</v>
      </c>
      <c r="M92" s="15"/>
      <c r="N92" s="136" t="e">
        <f t="shared" ref="N92:U92" si="120">((N53-O53)/N31)*N$79</f>
        <v>#REF!</v>
      </c>
      <c r="O92" s="136" t="e">
        <f t="shared" si="120"/>
        <v>#REF!</v>
      </c>
      <c r="P92" s="136" t="e">
        <f t="shared" si="120"/>
        <v>#REF!</v>
      </c>
      <c r="Q92" s="136" t="e">
        <f t="shared" si="120"/>
        <v>#REF!</v>
      </c>
      <c r="R92" s="136" t="e">
        <f t="shared" si="120"/>
        <v>#REF!</v>
      </c>
      <c r="S92" s="136" t="e">
        <f t="shared" si="120"/>
        <v>#REF!</v>
      </c>
      <c r="T92" s="136" t="e">
        <f t="shared" si="120"/>
        <v>#REF!</v>
      </c>
      <c r="U92" s="136">
        <f t="shared" si="120"/>
        <v>0</v>
      </c>
      <c r="V92" s="41"/>
      <c r="W92" s="33"/>
      <c r="X92" s="33"/>
      <c r="Y92" s="33"/>
      <c r="Z92" s="33"/>
      <c r="AA92" s="33"/>
      <c r="AB92" s="33"/>
    </row>
    <row r="93" spans="2:28" s="32" customFormat="1" x14ac:dyDescent="0.3">
      <c r="B93" s="44"/>
      <c r="C93" s="44"/>
      <c r="D93" s="35" t="s">
        <v>252</v>
      </c>
      <c r="F93" s="45"/>
      <c r="G93" s="45"/>
      <c r="H93" s="45"/>
      <c r="I93" s="45"/>
      <c r="J93" s="7"/>
      <c r="K93" s="64" t="e">
        <f t="shared" ref="K93:L93" si="121">K95+K96</f>
        <v>#REF!</v>
      </c>
      <c r="L93" s="64" t="e">
        <f t="shared" si="121"/>
        <v>#REF!</v>
      </c>
      <c r="M93" s="15"/>
      <c r="N93" s="135" t="e">
        <f t="shared" ref="N93:U93" si="122">N95+N96</f>
        <v>#REF!</v>
      </c>
      <c r="O93" s="135" t="e">
        <f t="shared" si="122"/>
        <v>#REF!</v>
      </c>
      <c r="P93" s="135" t="e">
        <f t="shared" si="122"/>
        <v>#REF!</v>
      </c>
      <c r="Q93" s="135" t="e">
        <f t="shared" si="122"/>
        <v>#REF!</v>
      </c>
      <c r="R93" s="135" t="e">
        <f t="shared" si="122"/>
        <v>#REF!</v>
      </c>
      <c r="S93" s="135" t="e">
        <f t="shared" si="122"/>
        <v>#REF!</v>
      </c>
      <c r="T93" s="135" t="e">
        <f t="shared" si="122"/>
        <v>#REF!</v>
      </c>
      <c r="U93" s="135">
        <f t="shared" si="122"/>
        <v>0</v>
      </c>
      <c r="V93" s="45"/>
      <c r="W93" s="33"/>
      <c r="X93" s="33"/>
      <c r="Y93" s="33"/>
      <c r="Z93" s="33"/>
      <c r="AA93" s="33"/>
      <c r="AB93" s="33"/>
    </row>
    <row r="94" spans="2:28" s="95" customFormat="1" x14ac:dyDescent="0.3">
      <c r="D94" s="96" t="s">
        <v>19</v>
      </c>
      <c r="E94" s="97"/>
      <c r="F94" s="98"/>
      <c r="G94" s="98"/>
      <c r="H94" s="98"/>
      <c r="I94" s="98"/>
      <c r="J94" s="99"/>
      <c r="K94" s="29">
        <f t="shared" ref="K94" si="123">IFERROR(K93/L93-1,0)</f>
        <v>0</v>
      </c>
      <c r="L94" s="29">
        <f>IFERROR(L93/N93-1,0)</f>
        <v>0</v>
      </c>
      <c r="M94" s="15"/>
      <c r="N94" s="110">
        <f>IFERROR(N93/O93-1,0)</f>
        <v>0</v>
      </c>
      <c r="O94" s="110">
        <f t="shared" ref="O94" si="124">IFERROR(O93/P93-1,0)</f>
        <v>0</v>
      </c>
      <c r="P94" s="110">
        <f t="shared" ref="P94" si="125">IFERROR(P93/Q93-1,0)</f>
        <v>0</v>
      </c>
      <c r="Q94" s="110">
        <f t="shared" ref="Q94" si="126">IFERROR(Q93/R93-1,0)</f>
        <v>0</v>
      </c>
      <c r="R94" s="110">
        <f t="shared" ref="R94" si="127">IFERROR(R93/S93-1,0)</f>
        <v>0</v>
      </c>
      <c r="S94" s="110">
        <f t="shared" ref="S94" si="128">IFERROR(S93/T93-1,0)</f>
        <v>0</v>
      </c>
      <c r="T94" s="110">
        <f t="shared" ref="T94" si="129">IFERROR(T93/U93-1,0)</f>
        <v>0</v>
      </c>
      <c r="U94" s="110">
        <f>IFERROR(U93/#REF!-1,0)</f>
        <v>0</v>
      </c>
      <c r="V94" s="100"/>
      <c r="W94" s="101"/>
      <c r="X94" s="101"/>
      <c r="Y94" s="101"/>
      <c r="Z94" s="101"/>
      <c r="AA94" s="101"/>
      <c r="AB94" s="101"/>
    </row>
    <row r="95" spans="2:28" s="32" customFormat="1" x14ac:dyDescent="0.3">
      <c r="B95" s="44"/>
      <c r="C95" s="44"/>
      <c r="D95" s="134" t="s">
        <v>283</v>
      </c>
      <c r="F95" s="45"/>
      <c r="G95" s="45"/>
      <c r="H95" s="45"/>
      <c r="I95" s="45"/>
      <c r="J95" s="7"/>
      <c r="K95" s="146">
        <f>(L58/K32)*K$80</f>
        <v>6733.223493333333</v>
      </c>
      <c r="L95" s="146">
        <f>(N58/L32)*L$80</f>
        <v>5452.5840579710139</v>
      </c>
      <c r="M95" s="15"/>
      <c r="N95" s="136">
        <f t="shared" ref="N95:U95" si="130">(O58/N32)*N$80</f>
        <v>4223.655652173913</v>
      </c>
      <c r="O95" s="136">
        <f t="shared" si="130"/>
        <v>4043.1021499999997</v>
      </c>
      <c r="P95" s="136">
        <f t="shared" si="130"/>
        <v>3585.3186600000004</v>
      </c>
      <c r="Q95" s="136">
        <f t="shared" si="130"/>
        <v>2841.3206399999999</v>
      </c>
      <c r="R95" s="136">
        <f t="shared" si="130"/>
        <v>2236.152</v>
      </c>
      <c r="S95" s="136">
        <f t="shared" si="130"/>
        <v>1558.1234999999999</v>
      </c>
      <c r="T95" s="136">
        <f t="shared" si="130"/>
        <v>1305.81672</v>
      </c>
      <c r="U95" s="136">
        <f t="shared" si="130"/>
        <v>0</v>
      </c>
      <c r="V95" s="45"/>
      <c r="W95" s="33"/>
      <c r="X95" s="33"/>
      <c r="Y95" s="33"/>
      <c r="Z95" s="33"/>
      <c r="AA95" s="33"/>
      <c r="AB95" s="33"/>
    </row>
    <row r="96" spans="2:28" s="32" customFormat="1" x14ac:dyDescent="0.3">
      <c r="B96" s="44"/>
      <c r="C96" s="44"/>
      <c r="D96" s="134" t="s">
        <v>284</v>
      </c>
      <c r="F96" s="45"/>
      <c r="G96" s="45"/>
      <c r="H96" s="45"/>
      <c r="I96" s="45"/>
      <c r="J96" s="7"/>
      <c r="K96" s="146" t="e">
        <f>((K58-L58)/K32)*K$79</f>
        <v>#REF!</v>
      </c>
      <c r="L96" s="146" t="e">
        <f>((L58-N58)/L32)*L$79</f>
        <v>#REF!</v>
      </c>
      <c r="M96" s="15"/>
      <c r="N96" s="136" t="e">
        <f t="shared" ref="N96:U96" si="131">((N58-O58)/N32)*N$79</f>
        <v>#REF!</v>
      </c>
      <c r="O96" s="136" t="e">
        <f t="shared" si="131"/>
        <v>#REF!</v>
      </c>
      <c r="P96" s="136" t="e">
        <f t="shared" si="131"/>
        <v>#REF!</v>
      </c>
      <c r="Q96" s="136" t="e">
        <f t="shared" si="131"/>
        <v>#REF!</v>
      </c>
      <c r="R96" s="136" t="e">
        <f t="shared" si="131"/>
        <v>#REF!</v>
      </c>
      <c r="S96" s="136" t="e">
        <f t="shared" si="131"/>
        <v>#REF!</v>
      </c>
      <c r="T96" s="136" t="e">
        <f t="shared" si="131"/>
        <v>#REF!</v>
      </c>
      <c r="U96" s="136">
        <f t="shared" si="131"/>
        <v>0</v>
      </c>
      <c r="V96" s="45"/>
      <c r="W96" s="33"/>
      <c r="X96" s="33"/>
      <c r="Y96" s="33"/>
      <c r="Z96" s="33"/>
      <c r="AA96" s="33"/>
      <c r="AB96" s="33"/>
    </row>
    <row r="97" spans="1:28" s="32" customFormat="1" x14ac:dyDescent="0.3">
      <c r="B97" s="44"/>
      <c r="C97" s="44"/>
      <c r="D97" s="35" t="s">
        <v>251</v>
      </c>
      <c r="F97" s="45"/>
      <c r="G97" s="45"/>
      <c r="H97" s="45"/>
      <c r="I97" s="45"/>
      <c r="J97" s="7"/>
      <c r="K97" s="64" t="e">
        <f t="shared" ref="K97:L97" si="132">K99+K100</f>
        <v>#REF!</v>
      </c>
      <c r="L97" s="64" t="e">
        <f t="shared" si="132"/>
        <v>#REF!</v>
      </c>
      <c r="M97" s="15"/>
      <c r="N97" s="135" t="e">
        <f t="shared" ref="N97:U97" si="133">N99+N100</f>
        <v>#REF!</v>
      </c>
      <c r="O97" s="135" t="e">
        <f t="shared" si="133"/>
        <v>#REF!</v>
      </c>
      <c r="P97" s="135" t="e">
        <f t="shared" si="133"/>
        <v>#REF!</v>
      </c>
      <c r="Q97" s="135" t="e">
        <f t="shared" si="133"/>
        <v>#REF!</v>
      </c>
      <c r="R97" s="135" t="e">
        <f t="shared" si="133"/>
        <v>#REF!</v>
      </c>
      <c r="S97" s="135" t="e">
        <f t="shared" si="133"/>
        <v>#REF!</v>
      </c>
      <c r="T97" s="135" t="e">
        <f t="shared" si="133"/>
        <v>#REF!</v>
      </c>
      <c r="U97" s="135">
        <f t="shared" si="133"/>
        <v>0</v>
      </c>
      <c r="V97" s="45"/>
      <c r="W97" s="33"/>
      <c r="X97" s="33"/>
      <c r="Y97" s="33"/>
      <c r="Z97" s="33"/>
      <c r="AA97" s="33"/>
      <c r="AB97" s="33"/>
    </row>
    <row r="98" spans="1:28" s="95" customFormat="1" x14ac:dyDescent="0.3">
      <c r="D98" s="96" t="s">
        <v>19</v>
      </c>
      <c r="E98" s="97"/>
      <c r="F98" s="98"/>
      <c r="G98" s="98"/>
      <c r="H98" s="98"/>
      <c r="I98" s="98"/>
      <c r="J98" s="99"/>
      <c r="K98" s="29">
        <f t="shared" ref="K98" si="134">IFERROR(K97/L97-1,0)</f>
        <v>0</v>
      </c>
      <c r="L98" s="29">
        <f>IFERROR(L97/N97-1,0)</f>
        <v>0</v>
      </c>
      <c r="M98" s="15"/>
      <c r="N98" s="110">
        <f>IFERROR(N97/O97-1,0)</f>
        <v>0</v>
      </c>
      <c r="O98" s="110">
        <f t="shared" ref="O98" si="135">IFERROR(O97/P97-1,0)</f>
        <v>0</v>
      </c>
      <c r="P98" s="110">
        <f t="shared" ref="P98" si="136">IFERROR(P97/Q97-1,0)</f>
        <v>0</v>
      </c>
      <c r="Q98" s="110">
        <f t="shared" ref="Q98" si="137">IFERROR(Q97/R97-1,0)</f>
        <v>0</v>
      </c>
      <c r="R98" s="110">
        <f t="shared" ref="R98" si="138">IFERROR(R97/S97-1,0)</f>
        <v>0</v>
      </c>
      <c r="S98" s="110">
        <f t="shared" ref="S98" si="139">IFERROR(S97/T97-1,0)</f>
        <v>0</v>
      </c>
      <c r="T98" s="110">
        <f t="shared" ref="T98" si="140">IFERROR(T97/U97-1,0)</f>
        <v>0</v>
      </c>
      <c r="U98" s="110">
        <f>IFERROR(U97/#REF!-1,0)</f>
        <v>0</v>
      </c>
      <c r="V98" s="100"/>
      <c r="W98" s="101"/>
      <c r="X98" s="101"/>
      <c r="Y98" s="101"/>
      <c r="Z98" s="101"/>
      <c r="AA98" s="101"/>
      <c r="AB98" s="101"/>
    </row>
    <row r="99" spans="1:28" s="32" customFormat="1" x14ac:dyDescent="0.3">
      <c r="B99" s="44"/>
      <c r="C99" s="44"/>
      <c r="D99" s="134" t="s">
        <v>283</v>
      </c>
      <c r="F99" s="45"/>
      <c r="G99" s="45"/>
      <c r="H99" s="45"/>
      <c r="I99" s="45"/>
      <c r="J99" s="7"/>
      <c r="K99" s="146">
        <f>(L63/K33)*K$80</f>
        <v>11002.654208034188</v>
      </c>
      <c r="L99" s="146">
        <f>(N63/L33)*L$80</f>
        <v>9327.6471794871795</v>
      </c>
      <c r="M99" s="15"/>
      <c r="N99" s="136">
        <f t="shared" ref="N99:U99" si="141">(O63/N33)*N$80</f>
        <v>7655.9030769230767</v>
      </c>
      <c r="O99" s="136">
        <f t="shared" si="141"/>
        <v>6220.157153846154</v>
      </c>
      <c r="P99" s="136">
        <f t="shared" si="141"/>
        <v>5515.874861538462</v>
      </c>
      <c r="Q99" s="136">
        <f t="shared" si="141"/>
        <v>4371.2625230769227</v>
      </c>
      <c r="R99" s="136">
        <f t="shared" si="141"/>
        <v>3440.2338461538461</v>
      </c>
      <c r="S99" s="136">
        <f t="shared" si="141"/>
        <v>2397.1130769230767</v>
      </c>
      <c r="T99" s="136">
        <f t="shared" si="141"/>
        <v>2611.6334400000001</v>
      </c>
      <c r="U99" s="136">
        <f t="shared" si="141"/>
        <v>0</v>
      </c>
      <c r="V99" s="45"/>
      <c r="W99" s="33"/>
      <c r="X99" s="33"/>
      <c r="Y99" s="33"/>
      <c r="Z99" s="33"/>
      <c r="AA99" s="33"/>
      <c r="AB99" s="33"/>
    </row>
    <row r="100" spans="1:28" s="32" customFormat="1" x14ac:dyDescent="0.3">
      <c r="B100" s="44"/>
      <c r="C100" s="44"/>
      <c r="D100" s="134" t="s">
        <v>284</v>
      </c>
      <c r="F100" s="45"/>
      <c r="G100" s="45"/>
      <c r="H100" s="45"/>
      <c r="I100" s="45"/>
      <c r="J100" s="7"/>
      <c r="K100" s="146" t="e">
        <f>((K63-L63)/K33)*K$79</f>
        <v>#REF!</v>
      </c>
      <c r="L100" s="146" t="e">
        <f>((L63-N63)/L33)*L$79</f>
        <v>#REF!</v>
      </c>
      <c r="M100" s="15"/>
      <c r="N100" s="136" t="e">
        <f t="shared" ref="N100:U100" si="142">((N63-O63)/N33)*N$79</f>
        <v>#REF!</v>
      </c>
      <c r="O100" s="136" t="e">
        <f t="shared" si="142"/>
        <v>#REF!</v>
      </c>
      <c r="P100" s="136" t="e">
        <f t="shared" si="142"/>
        <v>#REF!</v>
      </c>
      <c r="Q100" s="136" t="e">
        <f t="shared" si="142"/>
        <v>#REF!</v>
      </c>
      <c r="R100" s="136" t="e">
        <f t="shared" si="142"/>
        <v>#REF!</v>
      </c>
      <c r="S100" s="136" t="e">
        <f t="shared" si="142"/>
        <v>#REF!</v>
      </c>
      <c r="T100" s="136" t="e">
        <f t="shared" si="142"/>
        <v>#REF!</v>
      </c>
      <c r="U100" s="136">
        <f t="shared" si="142"/>
        <v>0</v>
      </c>
      <c r="V100" s="45"/>
      <c r="W100" s="33"/>
      <c r="X100" s="33"/>
      <c r="Y100" s="33"/>
      <c r="Z100" s="33"/>
      <c r="AA100" s="33"/>
      <c r="AB100" s="33"/>
    </row>
    <row r="101" spans="1:28" s="32" customFormat="1" x14ac:dyDescent="0.3">
      <c r="B101" s="44"/>
      <c r="C101" s="44"/>
      <c r="D101" s="35" t="s">
        <v>250</v>
      </c>
      <c r="F101" s="45"/>
      <c r="G101" s="45"/>
      <c r="H101" s="45"/>
      <c r="I101" s="45"/>
      <c r="J101" s="7"/>
      <c r="K101" s="64" t="e">
        <f t="shared" ref="K101:L101" si="143">K103+K104</f>
        <v>#REF!</v>
      </c>
      <c r="L101" s="64" t="e">
        <f t="shared" si="143"/>
        <v>#REF!</v>
      </c>
      <c r="M101" s="15"/>
      <c r="N101" s="135" t="e">
        <f t="shared" ref="N101:U101" si="144">N103+N104</f>
        <v>#REF!</v>
      </c>
      <c r="O101" s="135" t="e">
        <f t="shared" si="144"/>
        <v>#REF!</v>
      </c>
      <c r="P101" s="135" t="e">
        <f t="shared" si="144"/>
        <v>#REF!</v>
      </c>
      <c r="Q101" s="135" t="e">
        <f t="shared" si="144"/>
        <v>#REF!</v>
      </c>
      <c r="R101" s="135" t="e">
        <f t="shared" si="144"/>
        <v>#REF!</v>
      </c>
      <c r="S101" s="135" t="e">
        <f t="shared" si="144"/>
        <v>#REF!</v>
      </c>
      <c r="T101" s="135" t="e">
        <f t="shared" si="144"/>
        <v>#REF!</v>
      </c>
      <c r="U101" s="135">
        <f t="shared" si="144"/>
        <v>0</v>
      </c>
      <c r="V101" s="45"/>
      <c r="W101" s="33"/>
      <c r="X101" s="33"/>
      <c r="Y101" s="33"/>
      <c r="Z101" s="33"/>
      <c r="AA101" s="33"/>
      <c r="AB101" s="33"/>
    </row>
    <row r="102" spans="1:28" s="95" customFormat="1" x14ac:dyDescent="0.3">
      <c r="D102" s="96" t="s">
        <v>19</v>
      </c>
      <c r="E102" s="97"/>
      <c r="F102" s="98"/>
      <c r="G102" s="98"/>
      <c r="H102" s="98"/>
      <c r="I102" s="98"/>
      <c r="J102" s="99"/>
      <c r="K102" s="29">
        <f t="shared" ref="K102" si="145">IFERROR(K101/L101-1,0)</f>
        <v>0</v>
      </c>
      <c r="L102" s="29">
        <f>IFERROR(L101/N101-1,0)</f>
        <v>0</v>
      </c>
      <c r="M102" s="15"/>
      <c r="N102" s="110">
        <f>IFERROR(N101/O101-1,0)</f>
        <v>0</v>
      </c>
      <c r="O102" s="110">
        <f t="shared" ref="O102" si="146">IFERROR(O101/P101-1,0)</f>
        <v>0</v>
      </c>
      <c r="P102" s="110">
        <f t="shared" ref="P102" si="147">IFERROR(P101/Q101-1,0)</f>
        <v>0</v>
      </c>
      <c r="Q102" s="110">
        <f t="shared" ref="Q102" si="148">IFERROR(Q101/R101-1,0)</f>
        <v>0</v>
      </c>
      <c r="R102" s="110">
        <f t="shared" ref="R102" si="149">IFERROR(R101/S101-1,0)</f>
        <v>0</v>
      </c>
      <c r="S102" s="110">
        <f t="shared" ref="S102" si="150">IFERROR(S101/T101-1,0)</f>
        <v>0</v>
      </c>
      <c r="T102" s="110">
        <f t="shared" ref="T102" si="151">IFERROR(T101/U101-1,0)</f>
        <v>0</v>
      </c>
      <c r="U102" s="110">
        <f>IFERROR(U101/#REF!-1,0)</f>
        <v>0</v>
      </c>
      <c r="V102" s="100"/>
      <c r="W102" s="101"/>
      <c r="X102" s="101"/>
      <c r="Y102" s="101"/>
      <c r="Z102" s="101"/>
      <c r="AA102" s="101"/>
      <c r="AB102" s="101"/>
    </row>
    <row r="103" spans="1:28" s="32" customFormat="1" x14ac:dyDescent="0.3">
      <c r="B103" s="44"/>
      <c r="C103" s="44"/>
      <c r="D103" s="134" t="s">
        <v>283</v>
      </c>
      <c r="F103" s="45"/>
      <c r="G103" s="45"/>
      <c r="H103" s="45"/>
      <c r="I103" s="45"/>
      <c r="J103" s="7"/>
      <c r="K103" s="146">
        <f>(L68/K33)*K$80</f>
        <v>995.10226662393165</v>
      </c>
      <c r="L103" s="146">
        <f>(N68/L33)*L$80</f>
        <v>856.43743589743599</v>
      </c>
      <c r="M103" s="15"/>
      <c r="N103" s="136">
        <f t="shared" ref="N103:U103" si="152">(O68/N33)*N$80</f>
        <v>785.06307692307701</v>
      </c>
      <c r="O103" s="136">
        <f t="shared" si="152"/>
        <v>747.72307692307686</v>
      </c>
      <c r="P103" s="136">
        <f t="shared" si="152"/>
        <v>700.92</v>
      </c>
      <c r="Q103" s="136">
        <f t="shared" si="152"/>
        <v>608.1969230769231</v>
      </c>
      <c r="R103" s="136">
        <f t="shared" si="152"/>
        <v>580.30769230769226</v>
      </c>
      <c r="S103" s="136">
        <f t="shared" si="152"/>
        <v>454.68461538461537</v>
      </c>
      <c r="T103" s="136">
        <f t="shared" si="152"/>
        <v>536.01599999999996</v>
      </c>
      <c r="U103" s="136">
        <f t="shared" si="152"/>
        <v>0</v>
      </c>
      <c r="V103" s="45"/>
      <c r="W103" s="33"/>
      <c r="X103" s="33"/>
      <c r="Y103" s="33"/>
      <c r="Z103" s="33"/>
      <c r="AA103" s="33"/>
      <c r="AB103" s="33"/>
    </row>
    <row r="104" spans="1:28" s="32" customFormat="1" x14ac:dyDescent="0.3">
      <c r="B104" s="44"/>
      <c r="C104" s="44"/>
      <c r="D104" s="134" t="s">
        <v>284</v>
      </c>
      <c r="F104" s="45"/>
      <c r="G104" s="45"/>
      <c r="H104" s="45"/>
      <c r="I104" s="45"/>
      <c r="J104" s="7"/>
      <c r="K104" s="146" t="e">
        <f>((K68-L68)/K33)*K$79</f>
        <v>#REF!</v>
      </c>
      <c r="L104" s="146" t="e">
        <f>((L68-N68)/L33)*L$79</f>
        <v>#REF!</v>
      </c>
      <c r="M104" s="15"/>
      <c r="N104" s="136" t="e">
        <f t="shared" ref="N104:U104" si="153">((N68-O68)/N33)*N$79</f>
        <v>#REF!</v>
      </c>
      <c r="O104" s="136" t="e">
        <f t="shared" si="153"/>
        <v>#REF!</v>
      </c>
      <c r="P104" s="136" t="e">
        <f t="shared" si="153"/>
        <v>#REF!</v>
      </c>
      <c r="Q104" s="136" t="e">
        <f t="shared" si="153"/>
        <v>#REF!</v>
      </c>
      <c r="R104" s="136" t="e">
        <f t="shared" si="153"/>
        <v>#REF!</v>
      </c>
      <c r="S104" s="136" t="e">
        <f t="shared" si="153"/>
        <v>#REF!</v>
      </c>
      <c r="T104" s="136" t="e">
        <f t="shared" si="153"/>
        <v>#REF!</v>
      </c>
      <c r="U104" s="136">
        <f t="shared" si="153"/>
        <v>0</v>
      </c>
      <c r="V104" s="45"/>
      <c r="W104" s="33"/>
      <c r="X104" s="33"/>
      <c r="Y104" s="33"/>
      <c r="Z104" s="33"/>
      <c r="AA104" s="33"/>
      <c r="AB104" s="33"/>
    </row>
    <row r="105" spans="1:28" s="32" customFormat="1" x14ac:dyDescent="0.3">
      <c r="A105" s="62"/>
      <c r="B105" s="44"/>
      <c r="C105" s="44"/>
      <c r="D105" s="133"/>
      <c r="F105" s="45"/>
      <c r="G105" s="45"/>
      <c r="H105" s="45"/>
      <c r="I105" s="45"/>
      <c r="J105" s="7"/>
      <c r="K105" s="30"/>
      <c r="L105" s="30"/>
      <c r="M105" s="15"/>
      <c r="N105" s="45"/>
      <c r="O105" s="45"/>
      <c r="P105" s="45"/>
      <c r="Q105" s="45"/>
      <c r="R105" s="45"/>
      <c r="S105" s="45"/>
      <c r="T105" s="45"/>
      <c r="U105" s="45"/>
      <c r="V105" s="45"/>
      <c r="W105" s="33"/>
      <c r="X105" s="33"/>
      <c r="Y105" s="33"/>
      <c r="Z105" s="33"/>
      <c r="AA105" s="33"/>
      <c r="AB105" s="33"/>
    </row>
    <row r="106" spans="1:28" s="32" customFormat="1" x14ac:dyDescent="0.3">
      <c r="B106" s="44"/>
      <c r="C106" s="44"/>
      <c r="D106" s="3"/>
      <c r="F106" s="45"/>
      <c r="G106" s="45"/>
      <c r="H106" s="45"/>
      <c r="I106" s="45"/>
      <c r="J106" s="7"/>
      <c r="K106" s="30"/>
      <c r="L106" s="30"/>
      <c r="M106" s="15"/>
      <c r="N106" s="45"/>
      <c r="O106" s="45"/>
      <c r="P106" s="45"/>
      <c r="Q106" s="45"/>
      <c r="R106" s="45"/>
      <c r="S106" s="45"/>
      <c r="T106" s="45"/>
      <c r="U106" s="45"/>
      <c r="V106" s="45"/>
      <c r="W106" s="33"/>
      <c r="X106" s="33"/>
      <c r="Y106" s="33"/>
      <c r="Z106" s="33"/>
      <c r="AA106" s="33"/>
      <c r="AB106" s="33"/>
    </row>
    <row r="107" spans="1:28" s="32" customFormat="1" x14ac:dyDescent="0.3">
      <c r="A107" s="62"/>
      <c r="B107" s="44"/>
      <c r="C107" s="44"/>
      <c r="D107" s="35" t="s">
        <v>291</v>
      </c>
      <c r="F107" s="45"/>
      <c r="G107" s="45"/>
      <c r="H107" s="45"/>
      <c r="I107" s="45"/>
      <c r="J107" s="7"/>
      <c r="K107" s="64" t="e">
        <f t="shared" ref="K107:L107" si="154">K85+K89+K93+K97+K101</f>
        <v>#REF!</v>
      </c>
      <c r="L107" s="64" t="e">
        <f t="shared" si="154"/>
        <v>#REF!</v>
      </c>
      <c r="M107" s="15"/>
      <c r="N107" s="45" t="e">
        <f>N85+N89+N93+N97+N101</f>
        <v>#REF!</v>
      </c>
      <c r="O107" s="45" t="e">
        <f t="shared" ref="O107:V107" si="155">O85+O89+O93+O97+O101</f>
        <v>#REF!</v>
      </c>
      <c r="P107" s="45" t="e">
        <f t="shared" si="155"/>
        <v>#REF!</v>
      </c>
      <c r="Q107" s="45" t="e">
        <f t="shared" si="155"/>
        <v>#REF!</v>
      </c>
      <c r="R107" s="45" t="e">
        <f t="shared" si="155"/>
        <v>#REF!</v>
      </c>
      <c r="S107" s="45" t="e">
        <f t="shared" si="155"/>
        <v>#REF!</v>
      </c>
      <c r="T107" s="45" t="e">
        <f t="shared" si="155"/>
        <v>#REF!</v>
      </c>
      <c r="U107" s="45">
        <f t="shared" si="155"/>
        <v>0</v>
      </c>
      <c r="V107" s="45">
        <f t="shared" si="155"/>
        <v>0</v>
      </c>
      <c r="W107" s="33"/>
      <c r="X107" s="33"/>
      <c r="Y107" s="33"/>
      <c r="Z107" s="33"/>
      <c r="AA107" s="33"/>
      <c r="AB107" s="33"/>
    </row>
    <row r="108" spans="1:28" s="32" customFormat="1" x14ac:dyDescent="0.3">
      <c r="B108" s="44"/>
      <c r="C108" s="44"/>
      <c r="D108" s="63"/>
      <c r="F108" s="45"/>
      <c r="G108" s="45"/>
      <c r="H108" s="45"/>
      <c r="I108" s="45"/>
      <c r="J108" s="7"/>
      <c r="K108" s="30"/>
      <c r="L108" s="30"/>
      <c r="M108" s="15"/>
      <c r="N108" s="45"/>
      <c r="O108" s="45"/>
      <c r="P108" s="45"/>
      <c r="Q108" s="45"/>
      <c r="R108" s="45"/>
      <c r="S108" s="45"/>
      <c r="T108" s="45"/>
      <c r="U108" s="45"/>
      <c r="V108" s="45"/>
      <c r="W108" s="33"/>
      <c r="X108" s="33"/>
      <c r="Y108" s="33"/>
      <c r="Z108" s="33"/>
      <c r="AA108" s="33"/>
      <c r="AB108" s="33"/>
    </row>
    <row r="109" spans="1:28" s="32" customFormat="1" x14ac:dyDescent="0.3">
      <c r="A109" s="62"/>
      <c r="B109" s="44"/>
      <c r="C109" s="44"/>
      <c r="D109" s="61"/>
      <c r="F109" s="45"/>
      <c r="G109" s="45"/>
      <c r="H109" s="45"/>
      <c r="I109" s="45"/>
      <c r="J109" s="7"/>
      <c r="K109" s="30"/>
      <c r="L109" s="30"/>
      <c r="M109" s="15"/>
      <c r="N109" s="45"/>
      <c r="O109" s="45"/>
      <c r="P109" s="45"/>
      <c r="Q109" s="45"/>
      <c r="R109" s="45"/>
      <c r="S109" s="45"/>
      <c r="T109" s="45"/>
      <c r="U109" s="45"/>
      <c r="V109" s="45"/>
      <c r="W109" s="33"/>
      <c r="X109" s="33"/>
      <c r="Y109" s="33"/>
      <c r="Z109" s="33"/>
      <c r="AA109" s="33"/>
      <c r="AB109" s="33"/>
    </row>
    <row r="110" spans="1:28" s="32" customFormat="1" x14ac:dyDescent="0.3">
      <c r="B110" s="44"/>
      <c r="C110" s="44"/>
      <c r="D110" s="63"/>
      <c r="F110" s="45"/>
      <c r="G110" s="45"/>
      <c r="H110" s="45"/>
      <c r="I110" s="45"/>
      <c r="J110" s="7"/>
      <c r="K110" s="30"/>
      <c r="L110" s="30"/>
      <c r="M110" s="15"/>
      <c r="N110" s="45"/>
      <c r="O110" s="45"/>
      <c r="P110" s="45"/>
      <c r="Q110" s="45"/>
      <c r="R110" s="45"/>
      <c r="S110" s="45"/>
      <c r="T110" s="45"/>
      <c r="U110" s="45"/>
      <c r="V110" s="45"/>
      <c r="W110" s="33"/>
      <c r="X110" s="33"/>
      <c r="Y110" s="33"/>
      <c r="Z110" s="33"/>
      <c r="AA110" s="33"/>
      <c r="AB110" s="33"/>
    </row>
    <row r="111" spans="1:28" s="32" customFormat="1" x14ac:dyDescent="0.3">
      <c r="A111" s="62"/>
      <c r="B111" s="44"/>
      <c r="C111" s="44"/>
      <c r="D111" s="61"/>
      <c r="F111" s="45"/>
      <c r="G111" s="45"/>
      <c r="H111" s="45"/>
      <c r="I111" s="45"/>
      <c r="J111" s="7"/>
      <c r="K111" s="30"/>
      <c r="L111" s="30"/>
      <c r="M111" s="15"/>
      <c r="N111" s="45"/>
      <c r="O111" s="45"/>
      <c r="P111" s="45"/>
      <c r="Q111" s="45"/>
      <c r="R111" s="45"/>
      <c r="S111" s="45"/>
      <c r="T111" s="45"/>
      <c r="U111" s="45"/>
      <c r="V111" s="45"/>
      <c r="W111" s="33"/>
      <c r="X111" s="33"/>
      <c r="Y111" s="33"/>
      <c r="Z111" s="33"/>
      <c r="AA111" s="33"/>
      <c r="AB111" s="33"/>
    </row>
    <row r="112" spans="1:28" s="32" customFormat="1" x14ac:dyDescent="0.3">
      <c r="B112" s="44"/>
      <c r="C112" s="44"/>
      <c r="D112" s="63"/>
      <c r="F112" s="45"/>
      <c r="G112" s="45"/>
      <c r="H112" s="45"/>
      <c r="I112" s="45"/>
      <c r="J112" s="7"/>
      <c r="K112" s="30"/>
      <c r="L112" s="30"/>
      <c r="M112" s="15"/>
      <c r="N112" s="45"/>
      <c r="O112" s="45"/>
      <c r="P112" s="45"/>
      <c r="Q112" s="45"/>
      <c r="R112" s="45"/>
      <c r="S112" s="45"/>
      <c r="T112" s="45"/>
      <c r="U112" s="45"/>
      <c r="V112" s="45"/>
      <c r="W112" s="33"/>
      <c r="X112" s="33"/>
      <c r="Y112" s="33"/>
      <c r="Z112" s="33"/>
      <c r="AA112" s="33"/>
      <c r="AB112" s="33"/>
    </row>
    <row r="113" spans="1:28" s="32" customFormat="1" x14ac:dyDescent="0.3">
      <c r="A113" s="62"/>
      <c r="B113" s="44"/>
      <c r="C113" s="44"/>
      <c r="D113" s="61"/>
      <c r="F113" s="45"/>
      <c r="G113" s="45"/>
      <c r="H113" s="45"/>
      <c r="I113" s="45"/>
      <c r="J113" s="7"/>
      <c r="K113" s="30"/>
      <c r="L113" s="30"/>
      <c r="M113" s="15"/>
      <c r="N113" s="45"/>
      <c r="O113" s="45"/>
      <c r="P113" s="45"/>
      <c r="Q113" s="45"/>
      <c r="R113" s="45"/>
      <c r="S113" s="45"/>
      <c r="T113" s="45"/>
      <c r="U113" s="45"/>
      <c r="V113" s="45"/>
      <c r="W113" s="33"/>
      <c r="X113" s="33"/>
      <c r="Y113" s="33"/>
      <c r="Z113" s="33"/>
      <c r="AA113" s="33"/>
      <c r="AB113" s="33"/>
    </row>
    <row r="114" spans="1:28" s="32" customFormat="1" x14ac:dyDescent="0.3">
      <c r="B114" s="44"/>
      <c r="C114" s="44"/>
      <c r="D114" s="63"/>
      <c r="F114" s="45"/>
      <c r="G114" s="45"/>
      <c r="H114" s="45"/>
      <c r="I114" s="45"/>
      <c r="J114" s="7"/>
      <c r="K114" s="30"/>
      <c r="L114" s="30"/>
      <c r="M114" s="15"/>
      <c r="N114" s="45"/>
      <c r="O114" s="45"/>
      <c r="P114" s="45"/>
      <c r="Q114" s="45"/>
      <c r="R114" s="45"/>
      <c r="S114" s="45"/>
      <c r="T114" s="45"/>
      <c r="U114" s="45"/>
      <c r="V114" s="45"/>
      <c r="W114" s="33"/>
      <c r="X114" s="33"/>
      <c r="Y114" s="33"/>
      <c r="Z114" s="33"/>
      <c r="AA114" s="33"/>
      <c r="AB114" s="33"/>
    </row>
    <row r="115" spans="1:28" s="32" customFormat="1" x14ac:dyDescent="0.3">
      <c r="A115" s="62"/>
      <c r="B115" s="44"/>
      <c r="C115" s="44"/>
      <c r="D115" s="61"/>
      <c r="F115" s="45"/>
      <c r="G115" s="45"/>
      <c r="H115" s="45"/>
      <c r="I115" s="45"/>
      <c r="J115" s="7"/>
      <c r="K115" s="30"/>
      <c r="L115" s="30"/>
      <c r="M115" s="15"/>
      <c r="N115" s="45"/>
      <c r="O115" s="45"/>
      <c r="P115" s="45"/>
      <c r="Q115" s="45"/>
      <c r="R115" s="45"/>
      <c r="S115" s="45"/>
      <c r="T115" s="45"/>
      <c r="U115" s="45"/>
      <c r="V115" s="45"/>
      <c r="W115" s="33"/>
      <c r="X115" s="33"/>
      <c r="Y115" s="33"/>
      <c r="Z115" s="33"/>
      <c r="AA115" s="33"/>
      <c r="AB115" s="33"/>
    </row>
    <row r="116" spans="1:28" s="32" customFormat="1" x14ac:dyDescent="0.3">
      <c r="B116" s="44"/>
      <c r="C116" s="44"/>
      <c r="D116" s="63"/>
      <c r="F116" s="45"/>
      <c r="G116" s="45"/>
      <c r="H116" s="45"/>
      <c r="I116" s="45"/>
      <c r="J116" s="7"/>
      <c r="K116" s="30"/>
      <c r="L116" s="30"/>
      <c r="M116" s="15"/>
      <c r="N116" s="45"/>
      <c r="O116" s="45"/>
      <c r="P116" s="45"/>
      <c r="Q116" s="45"/>
      <c r="R116" s="45"/>
      <c r="S116" s="45"/>
      <c r="T116" s="45"/>
      <c r="U116" s="45"/>
      <c r="V116" s="45"/>
      <c r="W116" s="33"/>
      <c r="X116" s="33"/>
      <c r="Y116" s="33"/>
      <c r="Z116" s="33"/>
      <c r="AA116" s="33"/>
      <c r="AB116" s="33"/>
    </row>
    <row r="117" spans="1:28" x14ac:dyDescent="0.3">
      <c r="K117" s="29"/>
      <c r="L117" s="29"/>
      <c r="M117" s="15"/>
    </row>
    <row r="118" spans="1:28" x14ac:dyDescent="0.3">
      <c r="K118" s="29"/>
      <c r="L118" s="29"/>
      <c r="M118" s="29"/>
    </row>
    <row r="119" spans="1:28" x14ac:dyDescent="0.3">
      <c r="K119" s="29"/>
      <c r="L119" s="29"/>
      <c r="M119" s="29"/>
    </row>
    <row r="120" spans="1:28" x14ac:dyDescent="0.3">
      <c r="K120" s="29"/>
      <c r="L120" s="29"/>
      <c r="M120" s="29"/>
    </row>
    <row r="121" spans="1:28" x14ac:dyDescent="0.3">
      <c r="K121" s="29"/>
      <c r="L121" s="29"/>
      <c r="M121" s="29"/>
    </row>
    <row r="122" spans="1:28" x14ac:dyDescent="0.3">
      <c r="K122" s="29"/>
      <c r="L122" s="29"/>
      <c r="M122" s="29"/>
    </row>
    <row r="123" spans="1:28" x14ac:dyDescent="0.3">
      <c r="K123" s="29"/>
      <c r="L123" s="29"/>
      <c r="M123" s="29"/>
    </row>
    <row r="124" spans="1:28" x14ac:dyDescent="0.3">
      <c r="K124" s="29"/>
      <c r="L124" s="29"/>
      <c r="M124" s="29"/>
    </row>
    <row r="125" spans="1:28" x14ac:dyDescent="0.3">
      <c r="K125" s="29"/>
      <c r="L125" s="29"/>
      <c r="M125" s="29"/>
    </row>
    <row r="126" spans="1:28" x14ac:dyDescent="0.3">
      <c r="K126" s="29"/>
      <c r="L126" s="29"/>
      <c r="M126" s="29"/>
    </row>
    <row r="145" spans="5:21" s="5" customFormat="1" x14ac:dyDescent="0.3">
      <c r="E145" s="6"/>
      <c r="J145" s="7"/>
      <c r="T145" s="7"/>
      <c r="U145" s="7"/>
    </row>
    <row r="146" spans="5:21" s="5" customFormat="1" x14ac:dyDescent="0.3">
      <c r="E146" s="6"/>
      <c r="J146" s="7"/>
      <c r="T146" s="7"/>
      <c r="U146" s="7"/>
    </row>
    <row r="147" spans="5:21" s="5" customFormat="1" x14ac:dyDescent="0.3">
      <c r="E147" s="6"/>
      <c r="J147" s="7"/>
      <c r="T147" s="7"/>
      <c r="U147" s="7"/>
    </row>
    <row r="148" spans="5:21" s="5" customFormat="1" x14ac:dyDescent="0.3">
      <c r="E148" s="6"/>
      <c r="J148" s="7"/>
      <c r="T148" s="7"/>
      <c r="U148" s="7"/>
    </row>
    <row r="149" spans="5:21" s="5" customFormat="1" x14ac:dyDescent="0.3">
      <c r="E149" s="6"/>
      <c r="J149" s="7"/>
      <c r="T149" s="7"/>
      <c r="U149" s="7"/>
    </row>
    <row r="150" spans="5:21" s="5" customFormat="1" x14ac:dyDescent="0.3">
      <c r="E150" s="6"/>
      <c r="J150" s="7"/>
      <c r="T150" s="7"/>
      <c r="U150" s="7"/>
    </row>
    <row r="151" spans="5:21" s="5" customFormat="1" x14ac:dyDescent="0.3">
      <c r="E151" s="6"/>
      <c r="J151" s="7"/>
      <c r="T151" s="7"/>
      <c r="U151" s="7"/>
    </row>
    <row r="152" spans="5:21" s="5" customFormat="1" x14ac:dyDescent="0.3">
      <c r="E152" s="6"/>
      <c r="T152" s="7"/>
      <c r="U152" s="7"/>
    </row>
    <row r="153" spans="5:21" s="5" customFormat="1" x14ac:dyDescent="0.3">
      <c r="E153" s="6"/>
      <c r="T153" s="7"/>
      <c r="U153" s="7"/>
    </row>
    <row r="154" spans="5:21" s="5" customFormat="1" x14ac:dyDescent="0.3">
      <c r="E154" s="6"/>
      <c r="T154" s="7"/>
      <c r="U154" s="7"/>
    </row>
    <row r="155" spans="5:21" s="5" customFormat="1" x14ac:dyDescent="0.3">
      <c r="E155" s="6"/>
      <c r="T155" s="7"/>
      <c r="U155" s="7"/>
    </row>
    <row r="156" spans="5:21" s="5" customFormat="1" x14ac:dyDescent="0.3">
      <c r="E156" s="6"/>
      <c r="T156" s="7"/>
      <c r="U156" s="7"/>
    </row>
    <row r="157" spans="5:21" s="5" customFormat="1" x14ac:dyDescent="0.3">
      <c r="E157" s="6"/>
      <c r="T157" s="7"/>
      <c r="U157" s="7"/>
    </row>
    <row r="158" spans="5:21" s="5" customFormat="1" x14ac:dyDescent="0.3">
      <c r="E158" s="6"/>
      <c r="T158" s="7"/>
      <c r="U158" s="7"/>
    </row>
    <row r="159" spans="5:21" s="5" customFormat="1" x14ac:dyDescent="0.3">
      <c r="E159" s="6"/>
      <c r="T159" s="7"/>
      <c r="U159" s="7"/>
    </row>
    <row r="160" spans="5:21" s="5" customFormat="1" x14ac:dyDescent="0.3">
      <c r="E160" s="6"/>
      <c r="T160" s="7"/>
      <c r="U160" s="7"/>
    </row>
    <row r="161" spans="6:22" x14ac:dyDescent="0.3"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V161" s="5"/>
    </row>
    <row r="162" spans="6:22" x14ac:dyDescent="0.3"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V162" s="5"/>
    </row>
  </sheetData>
  <mergeCells count="1">
    <mergeCell ref="B10:H10"/>
  </mergeCells>
  <conditionalFormatting sqref="V78:V82 V21:V25 N21:U26 N106:U106 N34:U40 N44:U45 N49:U50 N68:U69 N73:U74 V34:V41 B40:D41 F41:I41 K21:L21 H21:I21 I25 H23:H24 G21:G26 G27:I28 F20:F28 F29:I29 Q26:V29 N30:V33 F83:I83 Q83:V83 S107:U107 S109:U109 S111:U111 S113:U113 S115:U115 N108:U108 N110:U110 N112:U112 N114:U114 N116:U116 V84:V85 V95:V97 V91:V93 S105:U105 V99:V101 V103:V116 V87:V89 N58:U59 N53:U54 N63:U64 N13:XFD19 F34:I35">
    <cfRule type="expression" dxfId="245" priority="340">
      <formula>MOD(ROW(),2)=1</formula>
    </cfRule>
  </conditionalFormatting>
  <conditionalFormatting sqref="B91:C91 B21:D25 B34:D34 B27:D28 B26 B36:D38 B35 D35">
    <cfRule type="expression" dxfId="244" priority="338">
      <formula>MOD(ROW(),2)=1</formula>
    </cfRule>
  </conditionalFormatting>
  <conditionalFormatting sqref="B39:C39 B78:C82 B84:C85 B87:C89">
    <cfRule type="expression" dxfId="243" priority="337">
      <formula>MOD(ROW(),2)=1</formula>
    </cfRule>
  </conditionalFormatting>
  <conditionalFormatting sqref="B92:C92">
    <cfRule type="expression" dxfId="242" priority="336">
      <formula>MOD(ROW(),2)=1</formula>
    </cfRule>
  </conditionalFormatting>
  <conditionalFormatting sqref="B93:C93">
    <cfRule type="expression" dxfId="241" priority="334">
      <formula>MOD(ROW(),2)=1</formula>
    </cfRule>
  </conditionalFormatting>
  <conditionalFormatting sqref="B95:C95">
    <cfRule type="expression" dxfId="240" priority="333">
      <formula>MOD(ROW(),2)=1</formula>
    </cfRule>
  </conditionalFormatting>
  <conditionalFormatting sqref="B96:C96">
    <cfRule type="expression" dxfId="239" priority="332">
      <formula>MOD(ROW(),2)=1</formula>
    </cfRule>
  </conditionalFormatting>
  <conditionalFormatting sqref="B97:C97">
    <cfRule type="expression" dxfId="238" priority="331">
      <formula>MOD(ROW(),2)=1</formula>
    </cfRule>
  </conditionalFormatting>
  <conditionalFormatting sqref="B105:C105">
    <cfRule type="expression" dxfId="237" priority="330">
      <formula>MOD(ROW(),2)=1</formula>
    </cfRule>
  </conditionalFormatting>
  <conditionalFormatting sqref="B106:C106">
    <cfRule type="expression" dxfId="236" priority="329">
      <formula>MOD(ROW(),2)=1</formula>
    </cfRule>
  </conditionalFormatting>
  <conditionalFormatting sqref="D105:D106 D108:D116">
    <cfRule type="expression" dxfId="235" priority="328">
      <formula>MOD(ROW(),2)=1</formula>
    </cfRule>
  </conditionalFormatting>
  <conditionalFormatting sqref="N26:P28 N93 N105:R105 N97">
    <cfRule type="expression" dxfId="234" priority="327">
      <formula>MOD(ROW(),2)=1</formula>
    </cfRule>
  </conditionalFormatting>
  <conditionalFormatting sqref="N78:N82 N84:N85 N85:U85 N89:U89 N79:T79">
    <cfRule type="expression" dxfId="233" priority="325">
      <formula>MOD(ROW(),2)=1</formula>
    </cfRule>
  </conditionalFormatting>
  <conditionalFormatting sqref="P82:R82 P81:Q81 O81:O82 R84:S84 R85:T85 O89:U89 O84:Q85 O79:P80">
    <cfRule type="expression" dxfId="232" priority="324">
      <formula>MOD(ROW(),2)=1</formula>
    </cfRule>
  </conditionalFormatting>
  <conditionalFormatting sqref="R82 R84:R85">
    <cfRule type="expression" dxfId="231" priority="323">
      <formula>MOD(ROW(),2)=1</formula>
    </cfRule>
  </conditionalFormatting>
  <conditionalFormatting sqref="F39:I39">
    <cfRule type="expression" dxfId="230" priority="322">
      <formula>MOD(ROW(),2)=1</formula>
    </cfRule>
  </conditionalFormatting>
  <conditionalFormatting sqref="F91:I93 F95:I97 F99:I101 F103:I106">
    <cfRule type="expression" dxfId="229" priority="321">
      <formula>MOD(ROW(),2)=1</formula>
    </cfRule>
  </conditionalFormatting>
  <conditionalFormatting sqref="F78:I82 F84:I85 F87:I89">
    <cfRule type="expression" dxfId="228" priority="320">
      <formula>MOD(ROW(),2)=1</formula>
    </cfRule>
  </conditionalFormatting>
  <conditionalFormatting sqref="V43 V45:V48 V50:V52 V59:V62 V64:V67 V74:V77 V69:V72 V54:V57">
    <cfRule type="expression" dxfId="227" priority="319">
      <formula>MOD(ROW(),2)=1</formula>
    </cfRule>
  </conditionalFormatting>
  <conditionalFormatting sqref="B43:C43 B45:C48 B50:C52 B59:C62 B64:C67 B74:C77 B69:C72 B54:C57">
    <cfRule type="expression" dxfId="226" priority="318">
      <formula>MOD(ROW(),2)=1</formula>
    </cfRule>
  </conditionalFormatting>
  <conditionalFormatting sqref="D79:D82 D84 D94:D96 D90:D92 D86:D88 D43 D50:D52 D59:D62 D64:D67 D74:D77 D45:D48 D69:D72 D54:D57">
    <cfRule type="expression" dxfId="225" priority="317">
      <formula>MOD(ROW(),2)=1</formula>
    </cfRule>
  </conditionalFormatting>
  <conditionalFormatting sqref="F46:I46 F51:I51 F60:I60 F65:I65 F70:I70 F75:I75 F55:I55">
    <cfRule type="expression" dxfId="224" priority="314">
      <formula>MOD(ROW(),2)=1</formula>
    </cfRule>
  </conditionalFormatting>
  <conditionalFormatting sqref="F40:I40">
    <cfRule type="expression" dxfId="223" priority="313">
      <formula>MOD(ROW(),2)=1</formula>
    </cfRule>
  </conditionalFormatting>
  <conditionalFormatting sqref="U85 T84 S82 R81 Q80 O78 N41 P79:T79">
    <cfRule type="expression" dxfId="222" priority="312">
      <formula>MOD(ROW(),2)=1</formula>
    </cfRule>
  </conditionalFormatting>
  <conditionalFormatting sqref="O41:U41 Q78:Q79 P78 U84 R78:R80 S78:S81 T78:U82">
    <cfRule type="expression" dxfId="221" priority="311">
      <formula>MOD(ROW(),2)=1</formula>
    </cfRule>
  </conditionalFormatting>
  <conditionalFormatting sqref="F36:I38">
    <cfRule type="expression" dxfId="220" priority="310">
      <formula>MOD(ROW(),2)=1</formula>
    </cfRule>
  </conditionalFormatting>
  <conditionalFormatting sqref="H25:H26">
    <cfRule type="expression" dxfId="219" priority="309">
      <formula>MOD(ROW(),2)=1</formula>
    </cfRule>
  </conditionalFormatting>
  <conditionalFormatting sqref="H22">
    <cfRule type="expression" dxfId="218" priority="308">
      <formula>MOD(ROW(),2)=1</formula>
    </cfRule>
  </conditionalFormatting>
  <conditionalFormatting sqref="F22">
    <cfRule type="expression" dxfId="217" priority="306">
      <formula>MOD(ROW(),2)=1</formula>
    </cfRule>
  </conditionalFormatting>
  <conditionalFormatting sqref="I26">
    <cfRule type="expression" dxfId="216" priority="305">
      <formula>MOD(ROW(),2)=1</formula>
    </cfRule>
  </conditionalFormatting>
  <conditionalFormatting sqref="D39">
    <cfRule type="expression" dxfId="215" priority="300">
      <formula>MOD(ROW(),2)=1</formula>
    </cfRule>
  </conditionalFormatting>
  <conditionalFormatting sqref="V44">
    <cfRule type="expression" dxfId="214" priority="285">
      <formula>MOD(ROW(),2)=1</formula>
    </cfRule>
  </conditionalFormatting>
  <conditionalFormatting sqref="B44:C44">
    <cfRule type="expression" dxfId="213" priority="284">
      <formula>MOD(ROW(),2)=1</formula>
    </cfRule>
  </conditionalFormatting>
  <conditionalFormatting sqref="F44:I44">
    <cfRule type="expression" dxfId="212" priority="283">
      <formula>MOD(ROW(),2)=1</formula>
    </cfRule>
  </conditionalFormatting>
  <conditionalFormatting sqref="N46:U46 N51:U51 N70:U70 N75:U75 N60:U60 N65:U65 N55:U55">
    <cfRule type="expression" dxfId="211" priority="282">
      <formula>MOD(ROW(),2)=1</formula>
    </cfRule>
  </conditionalFormatting>
  <conditionalFormatting sqref="F45:I45">
    <cfRule type="expression" dxfId="210" priority="280">
      <formula>MOD(ROW(),2)=1</formula>
    </cfRule>
  </conditionalFormatting>
  <conditionalFormatting sqref="D44">
    <cfRule type="expression" dxfId="209" priority="279">
      <formula>MOD(ROW(),2)=1</formula>
    </cfRule>
  </conditionalFormatting>
  <conditionalFormatting sqref="D78">
    <cfRule type="expression" dxfId="208" priority="277">
      <formula>MOD(ROW(),2)=1</formula>
    </cfRule>
  </conditionalFormatting>
  <conditionalFormatting sqref="V49">
    <cfRule type="expression" dxfId="207" priority="269">
      <formula>MOD(ROW(),2)=1</formula>
    </cfRule>
  </conditionalFormatting>
  <conditionalFormatting sqref="B49:C49">
    <cfRule type="expression" dxfId="206" priority="268">
      <formula>MOD(ROW(),2)=1</formula>
    </cfRule>
  </conditionalFormatting>
  <conditionalFormatting sqref="F49:I49">
    <cfRule type="expression" dxfId="205" priority="267">
      <formula>MOD(ROW(),2)=1</formula>
    </cfRule>
  </conditionalFormatting>
  <conditionalFormatting sqref="F50:I50">
    <cfRule type="expression" dxfId="204" priority="265">
      <formula>MOD(ROW(),2)=1</formula>
    </cfRule>
  </conditionalFormatting>
  <conditionalFormatting sqref="D49">
    <cfRule type="expression" dxfId="203" priority="264">
      <formula>MOD(ROW(),2)=1</formula>
    </cfRule>
  </conditionalFormatting>
  <conditionalFormatting sqref="V58">
    <cfRule type="expression" dxfId="202" priority="255">
      <formula>MOD(ROW(),2)=1</formula>
    </cfRule>
  </conditionalFormatting>
  <conditionalFormatting sqref="B58:C58">
    <cfRule type="expression" dxfId="201" priority="254">
      <formula>MOD(ROW(),2)=1</formula>
    </cfRule>
  </conditionalFormatting>
  <conditionalFormatting sqref="F58:I58">
    <cfRule type="expression" dxfId="200" priority="253">
      <formula>MOD(ROW(),2)=1</formula>
    </cfRule>
  </conditionalFormatting>
  <conditionalFormatting sqref="F59:I59">
    <cfRule type="expression" dxfId="199" priority="251">
      <formula>MOD(ROW(),2)=1</formula>
    </cfRule>
  </conditionalFormatting>
  <conditionalFormatting sqref="D58">
    <cfRule type="expression" dxfId="198" priority="250">
      <formula>MOD(ROW(),2)=1</formula>
    </cfRule>
  </conditionalFormatting>
  <conditionalFormatting sqref="V63">
    <cfRule type="expression" dxfId="197" priority="241">
      <formula>MOD(ROW(),2)=1</formula>
    </cfRule>
  </conditionalFormatting>
  <conditionalFormatting sqref="B63:C63">
    <cfRule type="expression" dxfId="196" priority="240">
      <formula>MOD(ROW(),2)=1</formula>
    </cfRule>
  </conditionalFormatting>
  <conditionalFormatting sqref="F63:I63">
    <cfRule type="expression" dxfId="195" priority="239">
      <formula>MOD(ROW(),2)=1</formula>
    </cfRule>
  </conditionalFormatting>
  <conditionalFormatting sqref="F64:I64">
    <cfRule type="expression" dxfId="194" priority="237">
      <formula>MOD(ROW(),2)=1</formula>
    </cfRule>
  </conditionalFormatting>
  <conditionalFormatting sqref="D63">
    <cfRule type="expression" dxfId="193" priority="236">
      <formula>MOD(ROW(),2)=1</formula>
    </cfRule>
  </conditionalFormatting>
  <conditionalFormatting sqref="V68">
    <cfRule type="expression" dxfId="192" priority="227">
      <formula>MOD(ROW(),2)=1</formula>
    </cfRule>
  </conditionalFormatting>
  <conditionalFormatting sqref="B68:C68">
    <cfRule type="expression" dxfId="191" priority="226">
      <formula>MOD(ROW(),2)=1</formula>
    </cfRule>
  </conditionalFormatting>
  <conditionalFormatting sqref="F68:I68">
    <cfRule type="expression" dxfId="190" priority="225">
      <formula>MOD(ROW(),2)=1</formula>
    </cfRule>
  </conditionalFormatting>
  <conditionalFormatting sqref="F69:I69">
    <cfRule type="expression" dxfId="189" priority="223">
      <formula>MOD(ROW(),2)=1</formula>
    </cfRule>
  </conditionalFormatting>
  <conditionalFormatting sqref="D68">
    <cfRule type="expression" dxfId="188" priority="222">
      <formula>MOD(ROW(),2)=1</formula>
    </cfRule>
  </conditionalFormatting>
  <conditionalFormatting sqref="V73">
    <cfRule type="expression" dxfId="187" priority="213">
      <formula>MOD(ROW(),2)=1</formula>
    </cfRule>
  </conditionalFormatting>
  <conditionalFormatting sqref="B73:C73">
    <cfRule type="expression" dxfId="186" priority="212">
      <formula>MOD(ROW(),2)=1</formula>
    </cfRule>
  </conditionalFormatting>
  <conditionalFormatting sqref="F73:I73">
    <cfRule type="expression" dxfId="185" priority="211">
      <formula>MOD(ROW(),2)=1</formula>
    </cfRule>
  </conditionalFormatting>
  <conditionalFormatting sqref="F74:I74">
    <cfRule type="expression" dxfId="184" priority="209">
      <formula>MOD(ROW(),2)=1</formula>
    </cfRule>
  </conditionalFormatting>
  <conditionalFormatting sqref="D73">
    <cfRule type="expression" dxfId="183" priority="208">
      <formula>MOD(ROW(),2)=1</formula>
    </cfRule>
  </conditionalFormatting>
  <conditionalFormatting sqref="V53">
    <cfRule type="expression" dxfId="182" priority="206">
      <formula>MOD(ROW(),2)=1</formula>
    </cfRule>
  </conditionalFormatting>
  <conditionalFormatting sqref="B53:C53">
    <cfRule type="expression" dxfId="181" priority="205">
      <formula>MOD(ROW(),2)=1</formula>
    </cfRule>
  </conditionalFormatting>
  <conditionalFormatting sqref="F53:I53">
    <cfRule type="expression" dxfId="180" priority="204">
      <formula>MOD(ROW(),2)=1</formula>
    </cfRule>
  </conditionalFormatting>
  <conditionalFormatting sqref="F54:I54">
    <cfRule type="expression" dxfId="179" priority="202">
      <formula>MOD(ROW(),2)=1</formula>
    </cfRule>
  </conditionalFormatting>
  <conditionalFormatting sqref="D53">
    <cfRule type="expression" dxfId="178" priority="201">
      <formula>MOD(ROW(),2)=1</formula>
    </cfRule>
  </conditionalFormatting>
  <conditionalFormatting sqref="N42:U43">
    <cfRule type="expression" dxfId="177" priority="195">
      <formula>MOD(ROW(),2)=1</formula>
    </cfRule>
  </conditionalFormatting>
  <conditionalFormatting sqref="V42">
    <cfRule type="expression" dxfId="176" priority="194">
      <formula>MOD(ROW(),2)=1</formula>
    </cfRule>
  </conditionalFormatting>
  <conditionalFormatting sqref="B42:C42">
    <cfRule type="expression" dxfId="175" priority="193">
      <formula>MOD(ROW(),2)=1</formula>
    </cfRule>
  </conditionalFormatting>
  <conditionalFormatting sqref="F42:I42">
    <cfRule type="expression" dxfId="174" priority="192">
      <formula>MOD(ROW(),2)=1</formula>
    </cfRule>
  </conditionalFormatting>
  <conditionalFormatting sqref="F43:I43">
    <cfRule type="expression" dxfId="173" priority="190">
      <formula>MOD(ROW(),2)=1</formula>
    </cfRule>
  </conditionalFormatting>
  <conditionalFormatting sqref="D42">
    <cfRule type="expression" dxfId="172" priority="189">
      <formula>MOD(ROW(),2)=1</formula>
    </cfRule>
  </conditionalFormatting>
  <conditionalFormatting sqref="I22:I24">
    <cfRule type="expression" dxfId="171" priority="187">
      <formula>MOD(ROW(),2)=1</formula>
    </cfRule>
  </conditionalFormatting>
  <conditionalFormatting sqref="F14 F13:I13 K13:L13">
    <cfRule type="expression" dxfId="170" priority="186">
      <formula>MOD(ROW(),2)=1</formula>
    </cfRule>
  </conditionalFormatting>
  <conditionalFormatting sqref="B13:D19">
    <cfRule type="expression" dxfId="169" priority="185">
      <formula>MOD(ROW(),2)=1</formula>
    </cfRule>
  </conditionalFormatting>
  <conditionalFormatting sqref="G15 F14:F15 I15 F16:G19 I18:I19">
    <cfRule type="expression" dxfId="168" priority="184">
      <formula>MOD(ROW(),2)=1</formula>
    </cfRule>
  </conditionalFormatting>
  <conditionalFormatting sqref="G14">
    <cfRule type="expression" dxfId="167" priority="183">
      <formula>MOD(ROW(),2)=1</formula>
    </cfRule>
  </conditionalFormatting>
  <conditionalFormatting sqref="I14">
    <cfRule type="expression" dxfId="166" priority="182">
      <formula>MOD(ROW(),2)=1</formula>
    </cfRule>
  </conditionalFormatting>
  <conditionalFormatting sqref="H14:H19">
    <cfRule type="expression" dxfId="165" priority="177">
      <formula>MOD(ROW(),2)=1</formula>
    </cfRule>
  </conditionalFormatting>
  <conditionalFormatting sqref="F31 F30:I30">
    <cfRule type="expression" dxfId="164" priority="176">
      <formula>MOD(ROW(),2)=1</formula>
    </cfRule>
  </conditionalFormatting>
  <conditionalFormatting sqref="B30:D33">
    <cfRule type="expression" dxfId="163" priority="175">
      <formula>MOD(ROW(),2)=1</formula>
    </cfRule>
  </conditionalFormatting>
  <conditionalFormatting sqref="G32 F31:F32 I32:I33 F33:G33">
    <cfRule type="expression" dxfId="162" priority="174">
      <formula>MOD(ROW(),2)=1</formula>
    </cfRule>
  </conditionalFormatting>
  <conditionalFormatting sqref="G31">
    <cfRule type="expression" dxfId="161" priority="173">
      <formula>MOD(ROW(),2)=1</formula>
    </cfRule>
  </conditionalFormatting>
  <conditionalFormatting sqref="I31">
    <cfRule type="expression" dxfId="160" priority="172">
      <formula>MOD(ROW(),2)=1</formula>
    </cfRule>
  </conditionalFormatting>
  <conditionalFormatting sqref="H31:H33">
    <cfRule type="expression" dxfId="159" priority="167">
      <formula>MOD(ROW(),2)=1</formula>
    </cfRule>
  </conditionalFormatting>
  <conditionalFormatting sqref="B29:D29">
    <cfRule type="expression" dxfId="158" priority="166">
      <formula>MOD(ROW(),2)=1</formula>
    </cfRule>
  </conditionalFormatting>
  <conditionalFormatting sqref="N29:P29">
    <cfRule type="expression" dxfId="157" priority="165">
      <formula>MOD(ROW(),2)=1</formula>
    </cfRule>
  </conditionalFormatting>
  <conditionalFormatting sqref="K14:L19 K22:L29 K40:L43 K75:L78 K69:L72 K64:L67 K59:L62 K46:L51 K54:L56 K81:L84 K86:L88 K90:L92 K94:L96 K98:L100 K102:L106 K118:M126 K108:L117 K34:L38">
    <cfRule type="cellIs" dxfId="156" priority="9816" operator="equal">
      <formula>0</formula>
    </cfRule>
    <cfRule type="expression" dxfId="155" priority="9817">
      <formula>MOD(ROW(),2)=1</formula>
    </cfRule>
    <cfRule type="cellIs" dxfId="154" priority="9818" operator="equal">
      <formula>#REF!</formula>
    </cfRule>
    <cfRule type="expression" dxfId="153" priority="9819">
      <formula>_xlfn.ISFORMULA(K14)=FALSE</formula>
    </cfRule>
  </conditionalFormatting>
  <conditionalFormatting sqref="B83:D83">
    <cfRule type="expression" dxfId="152" priority="160">
      <formula>MOD(ROW(),2)=1</formula>
    </cfRule>
  </conditionalFormatting>
  <conditionalFormatting sqref="N83:P83">
    <cfRule type="expression" dxfId="151" priority="159">
      <formula>MOD(ROW(),2)=1</formula>
    </cfRule>
  </conditionalFormatting>
  <conditionalFormatting sqref="D85">
    <cfRule type="expression" dxfId="150" priority="158">
      <formula>MOD(ROW(),2)=1</formula>
    </cfRule>
  </conditionalFormatting>
  <conditionalFormatting sqref="D89">
    <cfRule type="expression" dxfId="149" priority="156">
      <formula>MOD(ROW(),2)=1</formula>
    </cfRule>
  </conditionalFormatting>
  <conditionalFormatting sqref="D93">
    <cfRule type="expression" dxfId="148" priority="154">
      <formula>MOD(ROW(),2)=1</formula>
    </cfRule>
  </conditionalFormatting>
  <conditionalFormatting sqref="D97">
    <cfRule type="expression" dxfId="147" priority="153">
      <formula>MOD(ROW(),2)=1</formula>
    </cfRule>
  </conditionalFormatting>
  <conditionalFormatting sqref="B107:C107 B109:C109 B111:C111 B113:C113 B115:C115">
    <cfRule type="expression" dxfId="146" priority="152">
      <formula>MOD(ROW(),2)=1</formula>
    </cfRule>
  </conditionalFormatting>
  <conditionalFormatting sqref="B108:C108 B110:C110 B112:C112 B114:C114 B116:C116">
    <cfRule type="expression" dxfId="145" priority="151">
      <formula>MOD(ROW(),2)=1</formula>
    </cfRule>
  </conditionalFormatting>
  <conditionalFormatting sqref="N107:R107 N109:R109 N111:R111 N113:R113 N115:R115">
    <cfRule type="expression" dxfId="144" priority="150">
      <formula>MOD(ROW(),2)=1</formula>
    </cfRule>
  </conditionalFormatting>
  <conditionalFormatting sqref="F107:I116">
    <cfRule type="expression" dxfId="143" priority="149">
      <formula>MOD(ROW(),2)=1</formula>
    </cfRule>
  </conditionalFormatting>
  <conditionalFormatting sqref="D107">
    <cfRule type="expression" dxfId="142" priority="148">
      <formula>MOD(ROW(),2)=1</formula>
    </cfRule>
  </conditionalFormatting>
  <conditionalFormatting sqref="O93:U93">
    <cfRule type="expression" dxfId="141" priority="147">
      <formula>MOD(ROW(),2)=1</formula>
    </cfRule>
  </conditionalFormatting>
  <conditionalFormatting sqref="N94:U94">
    <cfRule type="expression" dxfId="140" priority="146">
      <formula>MOD(ROW(),2)=1</formula>
    </cfRule>
  </conditionalFormatting>
  <conditionalFormatting sqref="V94">
    <cfRule type="expression" dxfId="139" priority="145">
      <formula>MOD(ROW(),2)=1</formula>
    </cfRule>
  </conditionalFormatting>
  <conditionalFormatting sqref="B94:C94">
    <cfRule type="expression" dxfId="138" priority="144">
      <formula>MOD(ROW(),2)=1</formula>
    </cfRule>
  </conditionalFormatting>
  <conditionalFormatting sqref="F94:I94">
    <cfRule type="expression" dxfId="137" priority="143">
      <formula>MOD(ROW(),2)=1</formula>
    </cfRule>
  </conditionalFormatting>
  <conditionalFormatting sqref="N90:U90">
    <cfRule type="expression" dxfId="136" priority="142">
      <formula>MOD(ROW(),2)=1</formula>
    </cfRule>
  </conditionalFormatting>
  <conditionalFormatting sqref="V90">
    <cfRule type="expression" dxfId="135" priority="141">
      <formula>MOD(ROW(),2)=1</formula>
    </cfRule>
  </conditionalFormatting>
  <conditionalFormatting sqref="B90:C90">
    <cfRule type="expression" dxfId="134" priority="140">
      <formula>MOD(ROW(),2)=1</formula>
    </cfRule>
  </conditionalFormatting>
  <conditionalFormatting sqref="F90:I90">
    <cfRule type="expression" dxfId="133" priority="139">
      <formula>MOD(ROW(),2)=1</formula>
    </cfRule>
  </conditionalFormatting>
  <conditionalFormatting sqref="N91:U92">
    <cfRule type="expression" dxfId="132" priority="138">
      <formula>MOD(ROW(),2)=1</formula>
    </cfRule>
  </conditionalFormatting>
  <conditionalFormatting sqref="N95:U96">
    <cfRule type="expression" dxfId="131" priority="137">
      <formula>MOD(ROW(),2)=1</formula>
    </cfRule>
  </conditionalFormatting>
  <conditionalFormatting sqref="B99:C99">
    <cfRule type="expression" dxfId="130" priority="136">
      <formula>MOD(ROW(),2)=1</formula>
    </cfRule>
  </conditionalFormatting>
  <conditionalFormatting sqref="B100:C100 B104:C104">
    <cfRule type="expression" dxfId="129" priority="135">
      <formula>MOD(ROW(),2)=1</formula>
    </cfRule>
  </conditionalFormatting>
  <conditionalFormatting sqref="D98:D100 D102:D104">
    <cfRule type="expression" dxfId="128" priority="134">
      <formula>MOD(ROW(),2)=1</formula>
    </cfRule>
  </conditionalFormatting>
  <conditionalFormatting sqref="N98:U98">
    <cfRule type="expression" dxfId="127" priority="133">
      <formula>MOD(ROW(),2)=1</formula>
    </cfRule>
  </conditionalFormatting>
  <conditionalFormatting sqref="V98">
    <cfRule type="expression" dxfId="126" priority="132">
      <formula>MOD(ROW(),2)=1</formula>
    </cfRule>
  </conditionalFormatting>
  <conditionalFormatting sqref="B98:C98">
    <cfRule type="expression" dxfId="125" priority="131">
      <formula>MOD(ROW(),2)=1</formula>
    </cfRule>
  </conditionalFormatting>
  <conditionalFormatting sqref="F98:I98">
    <cfRule type="expression" dxfId="124" priority="130">
      <formula>MOD(ROW(),2)=1</formula>
    </cfRule>
  </conditionalFormatting>
  <conditionalFormatting sqref="N99:U100 N103:U104">
    <cfRule type="expression" dxfId="123" priority="129">
      <formula>MOD(ROW(),2)=1</formula>
    </cfRule>
  </conditionalFormatting>
  <conditionalFormatting sqref="O97:U97">
    <cfRule type="expression" dxfId="122" priority="128">
      <formula>MOD(ROW(),2)=1</formula>
    </cfRule>
  </conditionalFormatting>
  <conditionalFormatting sqref="B101:C101">
    <cfRule type="expression" dxfId="121" priority="127">
      <formula>MOD(ROW(),2)=1</formula>
    </cfRule>
  </conditionalFormatting>
  <conditionalFormatting sqref="N101">
    <cfRule type="expression" dxfId="120" priority="126">
      <formula>MOD(ROW(),2)=1</formula>
    </cfRule>
  </conditionalFormatting>
  <conditionalFormatting sqref="D101">
    <cfRule type="expression" dxfId="119" priority="125">
      <formula>MOD(ROW(),2)=1</formula>
    </cfRule>
  </conditionalFormatting>
  <conditionalFormatting sqref="B103:C103">
    <cfRule type="expression" dxfId="118" priority="124">
      <formula>MOD(ROW(),2)=1</formula>
    </cfRule>
  </conditionalFormatting>
  <conditionalFormatting sqref="N102:U102">
    <cfRule type="expression" dxfId="117" priority="123">
      <formula>MOD(ROW(),2)=1</formula>
    </cfRule>
  </conditionalFormatting>
  <conditionalFormatting sqref="V102">
    <cfRule type="expression" dxfId="116" priority="122">
      <formula>MOD(ROW(),2)=1</formula>
    </cfRule>
  </conditionalFormatting>
  <conditionalFormatting sqref="B102:C102">
    <cfRule type="expression" dxfId="115" priority="121">
      <formula>MOD(ROW(),2)=1</formula>
    </cfRule>
  </conditionalFormatting>
  <conditionalFormatting sqref="F102:I102">
    <cfRule type="expression" dxfId="114" priority="120">
      <formula>MOD(ROW(),2)=1</formula>
    </cfRule>
  </conditionalFormatting>
  <conditionalFormatting sqref="O101:U101">
    <cfRule type="expression" dxfId="113" priority="119">
      <formula>MOD(ROW(),2)=1</formula>
    </cfRule>
  </conditionalFormatting>
  <conditionalFormatting sqref="I16:I17">
    <cfRule type="expression" dxfId="112" priority="118">
      <formula>MOD(ROW(),2)=1</formula>
    </cfRule>
  </conditionalFormatting>
  <conditionalFormatting sqref="N87:U88">
    <cfRule type="expression" dxfId="111" priority="117">
      <formula>MOD(ROW(),2)=1</formula>
    </cfRule>
  </conditionalFormatting>
  <conditionalFormatting sqref="N86:U86">
    <cfRule type="expression" dxfId="110" priority="116">
      <formula>MOD(ROW(),2)=1</formula>
    </cfRule>
  </conditionalFormatting>
  <conditionalFormatting sqref="V86">
    <cfRule type="expression" dxfId="109" priority="115">
      <formula>MOD(ROW(),2)=1</formula>
    </cfRule>
  </conditionalFormatting>
  <conditionalFormatting sqref="B86:C86">
    <cfRule type="expression" dxfId="108" priority="114">
      <formula>MOD(ROW(),2)=1</formula>
    </cfRule>
  </conditionalFormatting>
  <conditionalFormatting sqref="F86:I86">
    <cfRule type="expression" dxfId="107" priority="113">
      <formula>MOD(ROW(),2)=1</formula>
    </cfRule>
  </conditionalFormatting>
  <conditionalFormatting sqref="Q79:T79">
    <cfRule type="expression" dxfId="106" priority="112">
      <formula>MOD(ROW(),2)=1</formula>
    </cfRule>
  </conditionalFormatting>
  <conditionalFormatting sqref="C35">
    <cfRule type="expression" dxfId="105" priority="111">
      <formula>MOD(ROW(),2)=1</formula>
    </cfRule>
  </conditionalFormatting>
  <conditionalFormatting sqref="K39:L39">
    <cfRule type="cellIs" dxfId="104" priority="107" operator="equal">
      <formula>0</formula>
    </cfRule>
    <cfRule type="expression" dxfId="103" priority="108">
      <formula>MOD(ROW(),2)=1</formula>
    </cfRule>
    <cfRule type="cellIs" dxfId="102" priority="109" operator="equal">
      <formula>$AC39</formula>
    </cfRule>
    <cfRule type="expression" dxfId="101" priority="110">
      <formula>_xlfn.ISFORMULA(K39)=FALSE</formula>
    </cfRule>
  </conditionalFormatting>
  <conditionalFormatting sqref="K30:L33">
    <cfRule type="cellIs" dxfId="100" priority="99" operator="equal">
      <formula>0</formula>
    </cfRule>
    <cfRule type="expression" dxfId="99" priority="100">
      <formula>MOD(ROW(),2)=1</formula>
    </cfRule>
    <cfRule type="cellIs" dxfId="98" priority="101" operator="equal">
      <formula>$AC30</formula>
    </cfRule>
    <cfRule type="expression" dxfId="97" priority="102">
      <formula>_xlfn.ISFORMULA(K30)=FALSE</formula>
    </cfRule>
  </conditionalFormatting>
  <conditionalFormatting sqref="F47:I47">
    <cfRule type="expression" dxfId="96" priority="96">
      <formula>MOD(ROW(),2)=1</formula>
    </cfRule>
  </conditionalFormatting>
  <conditionalFormatting sqref="N47:U47">
    <cfRule type="expression" dxfId="95" priority="95">
      <formula>MOD(ROW(),2)=1</formula>
    </cfRule>
  </conditionalFormatting>
  <conditionalFormatting sqref="F48:I48">
    <cfRule type="expression" dxfId="94" priority="94">
      <formula>MOD(ROW(),2)=1</formula>
    </cfRule>
  </conditionalFormatting>
  <conditionalFormatting sqref="N48:U48">
    <cfRule type="expression" dxfId="93" priority="93">
      <formula>MOD(ROW(),2)=1</formula>
    </cfRule>
  </conditionalFormatting>
  <conditionalFormatting sqref="F52:I52">
    <cfRule type="expression" dxfId="92" priority="90">
      <formula>MOD(ROW(),2)=1</formula>
    </cfRule>
  </conditionalFormatting>
  <conditionalFormatting sqref="N52:U52">
    <cfRule type="expression" dxfId="91" priority="89">
      <formula>MOD(ROW(),2)=1</formula>
    </cfRule>
  </conditionalFormatting>
  <conditionalFormatting sqref="F56:I56">
    <cfRule type="expression" dxfId="90" priority="88">
      <formula>MOD(ROW(),2)=1</formula>
    </cfRule>
  </conditionalFormatting>
  <conditionalFormatting sqref="N56:U56">
    <cfRule type="expression" dxfId="89" priority="87">
      <formula>MOD(ROW(),2)=1</formula>
    </cfRule>
  </conditionalFormatting>
  <conditionalFormatting sqref="F61:I61">
    <cfRule type="expression" dxfId="88" priority="86">
      <formula>MOD(ROW(),2)=1</formula>
    </cfRule>
  </conditionalFormatting>
  <conditionalFormatting sqref="N61:U61">
    <cfRule type="expression" dxfId="87" priority="85">
      <formula>MOD(ROW(),2)=1</formula>
    </cfRule>
  </conditionalFormatting>
  <conditionalFormatting sqref="F66:I66">
    <cfRule type="expression" dxfId="86" priority="84">
      <formula>MOD(ROW(),2)=1</formula>
    </cfRule>
  </conditionalFormatting>
  <conditionalFormatting sqref="N66:U66">
    <cfRule type="expression" dxfId="85" priority="83">
      <formula>MOD(ROW(),2)=1</formula>
    </cfRule>
  </conditionalFormatting>
  <conditionalFormatting sqref="F71:I71">
    <cfRule type="expression" dxfId="84" priority="82">
      <formula>MOD(ROW(),2)=1</formula>
    </cfRule>
  </conditionalFormatting>
  <conditionalFormatting sqref="N71:U71">
    <cfRule type="expression" dxfId="83" priority="81">
      <formula>MOD(ROW(),2)=1</formula>
    </cfRule>
  </conditionalFormatting>
  <conditionalFormatting sqref="F76:I76">
    <cfRule type="expression" dxfId="82" priority="80">
      <formula>MOD(ROW(),2)=1</formula>
    </cfRule>
  </conditionalFormatting>
  <conditionalFormatting sqref="N76:U76">
    <cfRule type="expression" dxfId="81" priority="79">
      <formula>MOD(ROW(),2)=1</formula>
    </cfRule>
  </conditionalFormatting>
  <conditionalFormatting sqref="F62:I62">
    <cfRule type="expression" dxfId="80" priority="78">
      <formula>MOD(ROW(),2)=1</formula>
    </cfRule>
  </conditionalFormatting>
  <conditionalFormatting sqref="N62:U62">
    <cfRule type="expression" dxfId="79" priority="77">
      <formula>MOD(ROW(),2)=1</formula>
    </cfRule>
  </conditionalFormatting>
  <conditionalFormatting sqref="F67:I67">
    <cfRule type="expression" dxfId="78" priority="76">
      <formula>MOD(ROW(),2)=1</formula>
    </cfRule>
  </conditionalFormatting>
  <conditionalFormatting sqref="N67:U67">
    <cfRule type="expression" dxfId="77" priority="75">
      <formula>MOD(ROW(),2)=1</formula>
    </cfRule>
  </conditionalFormatting>
  <conditionalFormatting sqref="F77:I77">
    <cfRule type="expression" dxfId="76" priority="74">
      <formula>MOD(ROW(),2)=1</formula>
    </cfRule>
  </conditionalFormatting>
  <conditionalFormatting sqref="N77:U77">
    <cfRule type="expression" dxfId="75" priority="73">
      <formula>MOD(ROW(),2)=1</formula>
    </cfRule>
  </conditionalFormatting>
  <conditionalFormatting sqref="K44:L44">
    <cfRule type="cellIs" dxfId="74" priority="69" operator="equal">
      <formula>0</formula>
    </cfRule>
    <cfRule type="expression" dxfId="73" priority="70">
      <formula>MOD(ROW(),2)=1</formula>
    </cfRule>
    <cfRule type="cellIs" dxfId="72" priority="71" operator="equal">
      <formula>$AC44</formula>
    </cfRule>
    <cfRule type="expression" dxfId="71" priority="72">
      <formula>_xlfn.ISFORMULA(K44)=FALSE</formula>
    </cfRule>
  </conditionalFormatting>
  <conditionalFormatting sqref="K45:L45">
    <cfRule type="expression" dxfId="70" priority="68">
      <formula>MOD(ROW(),2)=1</formula>
    </cfRule>
  </conditionalFormatting>
  <conditionalFormatting sqref="K73:L73">
    <cfRule type="cellIs" dxfId="69" priority="64" operator="equal">
      <formula>0</formula>
    </cfRule>
    <cfRule type="expression" dxfId="68" priority="65">
      <formula>MOD(ROW(),2)=1</formula>
    </cfRule>
    <cfRule type="cellIs" dxfId="67" priority="66" operator="equal">
      <formula>$AC73</formula>
    </cfRule>
    <cfRule type="expression" dxfId="66" priority="67">
      <formula>_xlfn.ISFORMULA(K73)=FALSE</formula>
    </cfRule>
  </conditionalFormatting>
  <conditionalFormatting sqref="F72:I72">
    <cfRule type="expression" dxfId="65" priority="63">
      <formula>MOD(ROW(),2)=1</formula>
    </cfRule>
  </conditionalFormatting>
  <conditionalFormatting sqref="N72:U72">
    <cfRule type="expression" dxfId="64" priority="62">
      <formula>MOD(ROW(),2)=1</formula>
    </cfRule>
  </conditionalFormatting>
  <conditionalFormatting sqref="K68:L68">
    <cfRule type="cellIs" dxfId="63" priority="58" operator="equal">
      <formula>0</formula>
    </cfRule>
    <cfRule type="expression" dxfId="62" priority="59">
      <formula>MOD(ROW(),2)=1</formula>
    </cfRule>
    <cfRule type="cellIs" dxfId="61" priority="60" operator="equal">
      <formula>$AC68</formula>
    </cfRule>
    <cfRule type="expression" dxfId="60" priority="61">
      <formula>_xlfn.ISFORMULA(K68)=FALSE</formula>
    </cfRule>
  </conditionalFormatting>
  <conditionalFormatting sqref="K63:L63">
    <cfRule type="cellIs" dxfId="59" priority="53" operator="equal">
      <formula>0</formula>
    </cfRule>
    <cfRule type="expression" dxfId="58" priority="54">
      <formula>MOD(ROW(),2)=1</formula>
    </cfRule>
    <cfRule type="cellIs" dxfId="57" priority="55" operator="equal">
      <formula>$AC63</formula>
    </cfRule>
    <cfRule type="expression" dxfId="56" priority="56">
      <formula>_xlfn.ISFORMULA(K63)=FALSE</formula>
    </cfRule>
  </conditionalFormatting>
  <conditionalFormatting sqref="K58:L58">
    <cfRule type="cellIs" dxfId="55" priority="49" operator="equal">
      <formula>0</formula>
    </cfRule>
    <cfRule type="expression" dxfId="54" priority="50">
      <formula>MOD(ROW(),2)=1</formula>
    </cfRule>
    <cfRule type="cellIs" dxfId="53" priority="51" operator="equal">
      <formula>$AC58</formula>
    </cfRule>
    <cfRule type="expression" dxfId="52" priority="52">
      <formula>_xlfn.ISFORMULA(K58)=FALSE</formula>
    </cfRule>
  </conditionalFormatting>
  <conditionalFormatting sqref="F57:I57">
    <cfRule type="expression" dxfId="51" priority="48">
      <formula>MOD(ROW(),2)=1</formula>
    </cfRule>
  </conditionalFormatting>
  <conditionalFormatting sqref="N57:U57">
    <cfRule type="expression" dxfId="50" priority="47">
      <formula>MOD(ROW(),2)=1</formula>
    </cfRule>
  </conditionalFormatting>
  <conditionalFormatting sqref="K57:L57">
    <cfRule type="expression" dxfId="49" priority="46">
      <formula>MOD(ROW(),2)=1</formula>
    </cfRule>
  </conditionalFormatting>
  <conditionalFormatting sqref="K53:L53">
    <cfRule type="cellIs" dxfId="48" priority="38" operator="equal">
      <formula>0</formula>
    </cfRule>
    <cfRule type="expression" dxfId="47" priority="39">
      <formula>MOD(ROW(),2)=1</formula>
    </cfRule>
    <cfRule type="cellIs" dxfId="46" priority="40" operator="equal">
      <formula>$AC53</formula>
    </cfRule>
    <cfRule type="expression" dxfId="45" priority="41">
      <formula>_xlfn.ISFORMULA(K53)=FALSE</formula>
    </cfRule>
  </conditionalFormatting>
  <conditionalFormatting sqref="K52:L52">
    <cfRule type="cellIs" dxfId="44" priority="34" operator="equal">
      <formula>0</formula>
    </cfRule>
    <cfRule type="expression" dxfId="43" priority="35">
      <formula>MOD(ROW(),2)=1</formula>
    </cfRule>
    <cfRule type="cellIs" dxfId="42" priority="36" operator="equal">
      <formula>#REF!</formula>
    </cfRule>
    <cfRule type="expression" dxfId="41" priority="37">
      <formula>_xlfn.ISFORMULA(K52)=FALSE</formula>
    </cfRule>
  </conditionalFormatting>
  <conditionalFormatting sqref="K74:L74">
    <cfRule type="cellIs" dxfId="40" priority="30" operator="equal">
      <formula>0</formula>
    </cfRule>
    <cfRule type="expression" dxfId="39" priority="31">
      <formula>MOD(ROW(),2)=1</formula>
    </cfRule>
    <cfRule type="cellIs" dxfId="38" priority="32" operator="equal">
      <formula>#REF!</formula>
    </cfRule>
    <cfRule type="expression" dxfId="37" priority="33">
      <formula>_xlfn.ISFORMULA(K74)=FALSE</formula>
    </cfRule>
  </conditionalFormatting>
  <conditionalFormatting sqref="K79:L79">
    <cfRule type="expression" dxfId="36" priority="29">
      <formula>MOD(ROW(),2)=1</formula>
    </cfRule>
  </conditionalFormatting>
  <conditionalFormatting sqref="K80:L80">
    <cfRule type="cellIs" dxfId="35" priority="25" operator="equal">
      <formula>0</formula>
    </cfRule>
    <cfRule type="expression" dxfId="34" priority="26">
      <formula>MOD(ROW(),2)=1</formula>
    </cfRule>
    <cfRule type="cellIs" dxfId="33" priority="27" operator="equal">
      <formula>$AC80</formula>
    </cfRule>
    <cfRule type="expression" dxfId="32" priority="28">
      <formula>_xlfn.ISFORMULA(K80)=FALSE</formula>
    </cfRule>
  </conditionalFormatting>
  <conditionalFormatting sqref="K85:L85">
    <cfRule type="cellIs" dxfId="31" priority="21" operator="equal">
      <formula>0</formula>
    </cfRule>
    <cfRule type="expression" dxfId="30" priority="22">
      <formula>MOD(ROW(),2)=1</formula>
    </cfRule>
    <cfRule type="cellIs" dxfId="29" priority="23" operator="equal">
      <formula>$AC85</formula>
    </cfRule>
    <cfRule type="expression" dxfId="28" priority="24">
      <formula>_xlfn.ISFORMULA(K85)=FALSE</formula>
    </cfRule>
  </conditionalFormatting>
  <conditionalFormatting sqref="K89:L89">
    <cfRule type="cellIs" dxfId="27" priority="17" operator="equal">
      <formula>0</formula>
    </cfRule>
    <cfRule type="expression" dxfId="26" priority="18">
      <formula>MOD(ROW(),2)=1</formula>
    </cfRule>
    <cfRule type="cellIs" dxfId="25" priority="19" operator="equal">
      <formula>$AC89</formula>
    </cfRule>
    <cfRule type="expression" dxfId="24" priority="20">
      <formula>_xlfn.ISFORMULA(K89)=FALSE</formula>
    </cfRule>
  </conditionalFormatting>
  <conditionalFormatting sqref="K93:L93">
    <cfRule type="cellIs" dxfId="23" priority="13" operator="equal">
      <formula>0</formula>
    </cfRule>
    <cfRule type="expression" dxfId="22" priority="14">
      <formula>MOD(ROW(),2)=1</formula>
    </cfRule>
    <cfRule type="cellIs" dxfId="21" priority="15" operator="equal">
      <formula>$AC93</formula>
    </cfRule>
    <cfRule type="expression" dxfId="20" priority="16">
      <formula>_xlfn.ISFORMULA(K93)=FALSE</formula>
    </cfRule>
  </conditionalFormatting>
  <conditionalFormatting sqref="K97:L97">
    <cfRule type="cellIs" dxfId="19" priority="9" operator="equal">
      <formula>0</formula>
    </cfRule>
    <cfRule type="expression" dxfId="18" priority="10">
      <formula>MOD(ROW(),2)=1</formula>
    </cfRule>
    <cfRule type="cellIs" dxfId="17" priority="11" operator="equal">
      <formula>$AC97</formula>
    </cfRule>
    <cfRule type="expression" dxfId="16" priority="12">
      <formula>_xlfn.ISFORMULA(K97)=FALSE</formula>
    </cfRule>
  </conditionalFormatting>
  <conditionalFormatting sqref="K101:L101">
    <cfRule type="cellIs" dxfId="15" priority="5" operator="equal">
      <formula>0</formula>
    </cfRule>
    <cfRule type="expression" dxfId="14" priority="6">
      <formula>MOD(ROW(),2)=1</formula>
    </cfRule>
    <cfRule type="cellIs" dxfId="13" priority="7" operator="equal">
      <formula>$AC101</formula>
    </cfRule>
    <cfRule type="expression" dxfId="12" priority="8">
      <formula>_xlfn.ISFORMULA(K101)=FALSE</formula>
    </cfRule>
  </conditionalFormatting>
  <conditionalFormatting sqref="K107:L107">
    <cfRule type="cellIs" dxfId="11" priority="1" operator="equal">
      <formula>0</formula>
    </cfRule>
    <cfRule type="expression" dxfId="10" priority="2">
      <formula>MOD(ROW(),2)=1</formula>
    </cfRule>
    <cfRule type="cellIs" dxfId="9" priority="3" operator="equal">
      <formula>$AC107</formula>
    </cfRule>
    <cfRule type="expression" dxfId="8" priority="4">
      <formula>_xlfn.ISFORMULA(K107)=FALSE</formula>
    </cfRule>
  </conditionalFormatting>
  <pageMargins left="0.7" right="0.7" top="0.75" bottom="0.75" header="0.3" footer="0.3"/>
  <pageSetup scale="10" fitToWidth="0" orientation="landscape" r:id="rId1"/>
  <ignoredErrors>
    <ignoredError sqref="L80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503FE-6190-4698-BCC5-266CD33D5EA1}">
  <sheetPr codeName="Sheet11"/>
  <dimension ref="A1:GA365"/>
  <sheetViews>
    <sheetView showGridLines="0" tabSelected="1" zoomScale="115" zoomScaleNormal="115" workbookViewId="0">
      <pane xSplit="1" ySplit="1" topLeftCell="B2" activePane="bottomRight" state="frozen"/>
      <selection activeCell="K22" sqref="K22"/>
      <selection pane="topRight" activeCell="K22" sqref="K22"/>
      <selection pane="bottomLeft" activeCell="K22" sqref="K22"/>
      <selection pane="bottomRight" activeCell="A50" sqref="A2:XFD50"/>
    </sheetView>
  </sheetViews>
  <sheetFormatPr defaultColWidth="9.140625" defaultRowHeight="16.5" outlineLevelCol="1" x14ac:dyDescent="0.3"/>
  <cols>
    <col min="1" max="1" width="28.7109375" style="1" bestFit="1" customWidth="1"/>
    <col min="2" max="2" width="22" style="1" bestFit="1" customWidth="1"/>
    <col min="3" max="3" width="47.28515625" style="1" bestFit="1" customWidth="1"/>
    <col min="4" max="4" width="24.85546875" style="1" bestFit="1" customWidth="1"/>
    <col min="5" max="5" width="9.42578125" style="1" bestFit="1" customWidth="1"/>
    <col min="6" max="6" width="6.140625" style="1" bestFit="1" customWidth="1"/>
    <col min="7" max="7" width="9.42578125" style="1" bestFit="1" customWidth="1"/>
    <col min="8" max="8" width="2.42578125" style="1" bestFit="1" customWidth="1"/>
    <col min="9" max="12" width="8.28515625" style="1" bestFit="1" customWidth="1" outlineLevel="1"/>
    <col min="13" max="15" width="9.42578125" style="1" bestFit="1" customWidth="1" outlineLevel="1"/>
    <col min="16" max="18" width="10" style="1" bestFit="1" customWidth="1" outlineLevel="1"/>
    <col min="19" max="20" width="11" style="1" bestFit="1" customWidth="1" outlineLevel="1"/>
    <col min="21" max="36" width="5.42578125" style="1" bestFit="1" customWidth="1" outlineLevel="1"/>
    <col min="37" max="37" width="2.140625" style="1" bestFit="1" customWidth="1"/>
    <col min="38" max="108" width="10.140625" style="1" bestFit="1" customWidth="1" outlineLevel="1"/>
    <col min="109" max="117" width="10.140625" bestFit="1" customWidth="1" outlineLevel="1"/>
    <col min="118" max="133" width="10.140625" style="1" bestFit="1" customWidth="1" outlineLevel="1"/>
    <col min="134" max="134" width="2.140625" style="1" bestFit="1" customWidth="1"/>
    <col min="135" max="136" width="14" style="83" customWidth="1" outlineLevel="1"/>
    <col min="137" max="137" width="12.85546875" style="67" bestFit="1" customWidth="1" outlineLevel="1"/>
    <col min="138" max="138" width="5.140625" style="67" customWidth="1" outlineLevel="1"/>
    <col min="139" max="139" width="15.85546875" style="67" customWidth="1" outlineLevel="1"/>
    <col min="140" max="140" width="8.140625" style="67" bestFit="1" customWidth="1" outlineLevel="1"/>
    <col min="141" max="141" width="5.42578125" style="67" bestFit="1" customWidth="1" outlineLevel="1"/>
    <col min="142" max="142" width="8.140625" style="67" bestFit="1" customWidth="1" outlineLevel="1"/>
    <col min="143" max="143" width="11.42578125" style="67" bestFit="1" customWidth="1" outlineLevel="1"/>
    <col min="144" max="144" width="10.7109375" style="67" customWidth="1" outlineLevel="1"/>
    <col min="145" max="154" width="13.85546875" style="67" customWidth="1" outlineLevel="1"/>
    <col min="155" max="155" width="9.140625" style="1" outlineLevel="1"/>
    <col min="156" max="16384" width="9.140625" style="1"/>
  </cols>
  <sheetData>
    <row r="1" spans="1:183" x14ac:dyDescent="0.3">
      <c r="B1" s="1" t="s">
        <v>241</v>
      </c>
      <c r="C1" s="1" t="s">
        <v>211</v>
      </c>
      <c r="D1" s="1" t="s">
        <v>212</v>
      </c>
      <c r="E1" s="1" t="s">
        <v>213</v>
      </c>
      <c r="F1" s="1" t="s">
        <v>214</v>
      </c>
      <c r="G1" s="1" t="s">
        <v>215</v>
      </c>
      <c r="I1" s="70">
        <v>2018</v>
      </c>
      <c r="J1" s="70">
        <f>I1+1</f>
        <v>2019</v>
      </c>
      <c r="K1" s="70">
        <f t="shared" ref="K1:AJ1" si="0">J1+1</f>
        <v>2020</v>
      </c>
      <c r="L1" s="70">
        <f t="shared" si="0"/>
        <v>2021</v>
      </c>
      <c r="M1" s="70">
        <f t="shared" si="0"/>
        <v>2022</v>
      </c>
      <c r="N1" s="70">
        <f t="shared" si="0"/>
        <v>2023</v>
      </c>
      <c r="O1" s="70">
        <f t="shared" si="0"/>
        <v>2024</v>
      </c>
      <c r="P1" s="70">
        <f t="shared" si="0"/>
        <v>2025</v>
      </c>
      <c r="Q1" s="70">
        <f t="shared" si="0"/>
        <v>2026</v>
      </c>
      <c r="R1" s="70">
        <f t="shared" si="0"/>
        <v>2027</v>
      </c>
      <c r="S1" s="70">
        <f t="shared" si="0"/>
        <v>2028</v>
      </c>
      <c r="T1" s="70">
        <f>S1+1</f>
        <v>2029</v>
      </c>
      <c r="U1" s="70">
        <f t="shared" si="0"/>
        <v>2030</v>
      </c>
      <c r="V1" s="70">
        <f t="shared" si="0"/>
        <v>2031</v>
      </c>
      <c r="W1" s="70">
        <f t="shared" si="0"/>
        <v>2032</v>
      </c>
      <c r="X1" s="70">
        <f t="shared" si="0"/>
        <v>2033</v>
      </c>
      <c r="Y1" s="70">
        <f t="shared" si="0"/>
        <v>2034</v>
      </c>
      <c r="Z1" s="70">
        <f t="shared" si="0"/>
        <v>2035</v>
      </c>
      <c r="AA1" s="70">
        <f t="shared" si="0"/>
        <v>2036</v>
      </c>
      <c r="AB1" s="70">
        <f t="shared" si="0"/>
        <v>2037</v>
      </c>
      <c r="AC1" s="70">
        <f t="shared" si="0"/>
        <v>2038</v>
      </c>
      <c r="AD1" s="70">
        <f t="shared" si="0"/>
        <v>2039</v>
      </c>
      <c r="AE1" s="70">
        <f t="shared" si="0"/>
        <v>2040</v>
      </c>
      <c r="AF1" s="70">
        <f t="shared" si="0"/>
        <v>2041</v>
      </c>
      <c r="AG1" s="70">
        <f t="shared" si="0"/>
        <v>2042</v>
      </c>
      <c r="AH1" s="70">
        <f t="shared" si="0"/>
        <v>2043</v>
      </c>
      <c r="AI1" s="70">
        <f t="shared" si="0"/>
        <v>2044</v>
      </c>
      <c r="AJ1" s="70">
        <f t="shared" si="0"/>
        <v>2045</v>
      </c>
      <c r="AK1" s="70"/>
      <c r="AL1" s="70" t="s">
        <v>55</v>
      </c>
      <c r="AM1" s="70" t="s">
        <v>56</v>
      </c>
      <c r="AN1" s="70" t="s">
        <v>57</v>
      </c>
      <c r="AO1" s="70" t="s">
        <v>58</v>
      </c>
      <c r="AP1" s="70" t="s">
        <v>59</v>
      </c>
      <c r="AQ1" s="70" t="s">
        <v>60</v>
      </c>
      <c r="AR1" s="70" t="s">
        <v>61</v>
      </c>
      <c r="AS1" s="70" t="s">
        <v>62</v>
      </c>
      <c r="AT1" s="70" t="s">
        <v>63</v>
      </c>
      <c r="AU1" s="70" t="s">
        <v>64</v>
      </c>
      <c r="AV1" s="70" t="s">
        <v>65</v>
      </c>
      <c r="AW1" s="70" t="s">
        <v>66</v>
      </c>
      <c r="AX1" s="70" t="s">
        <v>67</v>
      </c>
      <c r="AY1" s="70" t="s">
        <v>68</v>
      </c>
      <c r="AZ1" s="70" t="s">
        <v>69</v>
      </c>
      <c r="BA1" s="70" t="s">
        <v>70</v>
      </c>
      <c r="BB1" s="70" t="s">
        <v>71</v>
      </c>
      <c r="BC1" s="70" t="s">
        <v>72</v>
      </c>
      <c r="BD1" s="70" t="s">
        <v>73</v>
      </c>
      <c r="BE1" s="70" t="s">
        <v>74</v>
      </c>
      <c r="BF1" s="70" t="s">
        <v>75</v>
      </c>
      <c r="BG1" s="70" t="s">
        <v>76</v>
      </c>
      <c r="BH1" s="70" t="s">
        <v>77</v>
      </c>
      <c r="BI1" s="70" t="s">
        <v>78</v>
      </c>
      <c r="BJ1" s="70" t="s">
        <v>79</v>
      </c>
      <c r="BK1" s="70" t="s">
        <v>80</v>
      </c>
      <c r="BL1" s="70" t="s">
        <v>81</v>
      </c>
      <c r="BM1" s="70" t="s">
        <v>82</v>
      </c>
      <c r="BN1" s="70" t="s">
        <v>83</v>
      </c>
      <c r="BO1" s="70" t="s">
        <v>84</v>
      </c>
      <c r="BP1" s="70" t="s">
        <v>85</v>
      </c>
      <c r="BQ1" s="70" t="s">
        <v>86</v>
      </c>
      <c r="BR1" s="70" t="s">
        <v>87</v>
      </c>
      <c r="BS1" s="70" t="s">
        <v>88</v>
      </c>
      <c r="BT1" s="70" t="s">
        <v>89</v>
      </c>
      <c r="BU1" s="70" t="s">
        <v>90</v>
      </c>
      <c r="BV1" s="70" t="s">
        <v>91</v>
      </c>
      <c r="BW1" s="70" t="s">
        <v>92</v>
      </c>
      <c r="BX1" s="70" t="s">
        <v>93</v>
      </c>
      <c r="BY1" s="70" t="s">
        <v>94</v>
      </c>
      <c r="BZ1" s="70" t="s">
        <v>95</v>
      </c>
      <c r="CA1" s="70" t="s">
        <v>96</v>
      </c>
      <c r="CB1" s="70" t="s">
        <v>97</v>
      </c>
      <c r="CC1" s="70" t="s">
        <v>98</v>
      </c>
      <c r="CD1" s="70" t="s">
        <v>99</v>
      </c>
      <c r="CE1" s="70" t="s">
        <v>100</v>
      </c>
      <c r="CF1" s="70" t="s">
        <v>101</v>
      </c>
      <c r="CG1" s="70" t="s">
        <v>102</v>
      </c>
      <c r="CH1" s="70" t="s">
        <v>103</v>
      </c>
      <c r="CI1" s="70" t="s">
        <v>104</v>
      </c>
      <c r="CJ1" s="70" t="s">
        <v>105</v>
      </c>
      <c r="CK1" s="70" t="s">
        <v>106</v>
      </c>
      <c r="CL1" s="70" t="s">
        <v>107</v>
      </c>
      <c r="CM1" s="70" t="s">
        <v>108</v>
      </c>
      <c r="CN1" s="70" t="s">
        <v>109</v>
      </c>
      <c r="CO1" s="70" t="s">
        <v>110</v>
      </c>
      <c r="CP1" s="70" t="s">
        <v>111</v>
      </c>
      <c r="CQ1" s="70" t="s">
        <v>112</v>
      </c>
      <c r="CR1" s="70" t="s">
        <v>113</v>
      </c>
      <c r="CS1" s="70" t="s">
        <v>114</v>
      </c>
      <c r="CT1" s="70" t="s">
        <v>115</v>
      </c>
      <c r="CU1" s="70" t="s">
        <v>116</v>
      </c>
      <c r="CV1" s="70" t="s">
        <v>117</v>
      </c>
      <c r="CW1" s="70" t="s">
        <v>118</v>
      </c>
      <c r="CX1" s="70" t="s">
        <v>119</v>
      </c>
      <c r="CY1" s="70" t="s">
        <v>120</v>
      </c>
      <c r="CZ1" s="70" t="s">
        <v>121</v>
      </c>
      <c r="DA1" s="70" t="s">
        <v>122</v>
      </c>
      <c r="DB1" s="70" t="s">
        <v>123</v>
      </c>
      <c r="DC1" s="70" t="s">
        <v>124</v>
      </c>
      <c r="DD1" s="70" t="s">
        <v>125</v>
      </c>
      <c r="DE1" s="70" t="s">
        <v>126</v>
      </c>
      <c r="DF1" s="70" t="s">
        <v>127</v>
      </c>
      <c r="DG1" s="70" t="s">
        <v>128</v>
      </c>
      <c r="DH1" s="70" t="s">
        <v>129</v>
      </c>
      <c r="DI1" s="70" t="s">
        <v>130</v>
      </c>
      <c r="DJ1" s="70" t="s">
        <v>131</v>
      </c>
      <c r="DK1" s="70" t="s">
        <v>132</v>
      </c>
      <c r="DL1" s="70" t="s">
        <v>133</v>
      </c>
      <c r="DM1" s="70" t="s">
        <v>134</v>
      </c>
      <c r="DN1" s="70" t="s">
        <v>135</v>
      </c>
      <c r="DO1" s="70" t="s">
        <v>136</v>
      </c>
      <c r="DP1" s="70" t="s">
        <v>137</v>
      </c>
      <c r="DQ1" s="70" t="s">
        <v>138</v>
      </c>
      <c r="DR1" s="70" t="s">
        <v>139</v>
      </c>
      <c r="DS1" s="70" t="s">
        <v>140</v>
      </c>
      <c r="DT1" s="70" t="s">
        <v>141</v>
      </c>
      <c r="DU1" s="70" t="s">
        <v>142</v>
      </c>
      <c r="DV1" s="70" t="s">
        <v>143</v>
      </c>
      <c r="DW1" s="70" t="s">
        <v>144</v>
      </c>
      <c r="DX1" s="70" t="s">
        <v>145</v>
      </c>
      <c r="DY1" s="70" t="s">
        <v>146</v>
      </c>
      <c r="DZ1" s="70" t="s">
        <v>147</v>
      </c>
      <c r="EA1" s="70" t="s">
        <v>148</v>
      </c>
      <c r="EB1" s="70" t="s">
        <v>149</v>
      </c>
      <c r="EC1" s="70" t="s">
        <v>150</v>
      </c>
      <c r="ED1" s="70"/>
      <c r="EE1" s="71" t="s">
        <v>151</v>
      </c>
      <c r="EF1" s="71" t="s">
        <v>159</v>
      </c>
      <c r="EG1" s="72" t="s">
        <v>152</v>
      </c>
      <c r="EH1" s="72" t="s">
        <v>153</v>
      </c>
      <c r="EI1" s="72" t="s">
        <v>161</v>
      </c>
      <c r="EJ1" s="72" t="s">
        <v>16</v>
      </c>
      <c r="EK1" s="72" t="s">
        <v>154</v>
      </c>
      <c r="EL1" s="70" t="s">
        <v>23</v>
      </c>
      <c r="EM1" s="70" t="s">
        <v>31</v>
      </c>
      <c r="EN1" s="67" t="s">
        <v>155</v>
      </c>
      <c r="EO1" s="67" t="s">
        <v>1</v>
      </c>
      <c r="EP1" s="67" t="s">
        <v>7</v>
      </c>
      <c r="EQ1" s="67" t="s">
        <v>18</v>
      </c>
      <c r="ER1" s="67" t="s">
        <v>162</v>
      </c>
      <c r="ES1" s="67" t="s">
        <v>8</v>
      </c>
      <c r="ET1" s="67" t="s">
        <v>163</v>
      </c>
      <c r="EU1" s="67" t="s">
        <v>164</v>
      </c>
      <c r="EV1" s="67" t="s">
        <v>165</v>
      </c>
      <c r="EW1" s="67" t="s">
        <v>160</v>
      </c>
      <c r="EX1" s="67" t="s">
        <v>0</v>
      </c>
      <c r="EY1" s="1" t="s">
        <v>242</v>
      </c>
    </row>
    <row r="2" spans="1:183" x14ac:dyDescent="0.3">
      <c r="B2" s="1" t="s">
        <v>12</v>
      </c>
      <c r="I2" s="87" t="str">
        <f>IFERROR(IFERROR(INDEX(#REF!,MATCH(I3,#REF!,0)),INDEX(#REF!,MATCH(I3,#REF!,0))),"")</f>
        <v/>
      </c>
      <c r="J2" s="87" t="str">
        <f>IFERROR(IFERROR(INDEX(#REF!,MATCH(J3,#REF!,0)),INDEX(#REF!,MATCH(J3,#REF!,0))),"")</f>
        <v/>
      </c>
      <c r="K2" s="87" t="str">
        <f>IFERROR(IFERROR(INDEX(#REF!,MATCH(K3,#REF!,0)),INDEX(#REF!,MATCH(K3,#REF!,0))),"")</f>
        <v/>
      </c>
      <c r="L2" s="87" t="str">
        <f>IFERROR(IFERROR(INDEX(#REF!,MATCH(L3,#REF!,0)),INDEX(#REF!,MATCH(L3,#REF!,0))),"")</f>
        <v/>
      </c>
      <c r="M2" s="87" t="str">
        <f>IFERROR(IFERROR(INDEX(#REF!,MATCH(M3,#REF!,0)),INDEX(#REF!,MATCH(M3,#REF!,0))),"")</f>
        <v/>
      </c>
      <c r="N2" s="87" t="str">
        <f>IFERROR(IFERROR(INDEX(#REF!,MATCH(N3,#REF!,0)),INDEX(#REF!,MATCH(N3,#REF!,0))),"")</f>
        <v/>
      </c>
      <c r="O2" s="87" t="str">
        <f>IFERROR(IFERROR(INDEX(#REF!,MATCH(O3,#REF!,0)),INDEX(#REF!,MATCH(O3,#REF!,0))),"")</f>
        <v/>
      </c>
      <c r="P2" s="87" t="str">
        <f>IFERROR(IFERROR(INDEX(#REF!,MATCH(P3,#REF!,0)),INDEX(#REF!,MATCH(P3,#REF!,0))),"")</f>
        <v/>
      </c>
      <c r="Q2" s="87" t="str">
        <f>IFERROR(IFERROR(INDEX(#REF!,MATCH(Q3,#REF!,0)),INDEX(#REF!,MATCH(Q3,#REF!,0))),"")</f>
        <v/>
      </c>
      <c r="R2" s="87" t="str">
        <f>IFERROR(IFERROR(INDEX(#REF!,MATCH(R3,#REF!,0)),INDEX(#REF!,MATCH(R3,#REF!,0))),"")</f>
        <v/>
      </c>
      <c r="S2" s="87" t="str">
        <f>IFERROR(IFERROR(INDEX(#REF!,MATCH(S3,#REF!,0)),INDEX(#REF!,MATCH(S3,#REF!,0))),"")</f>
        <v/>
      </c>
      <c r="T2" s="87" t="str">
        <f>IFERROR(IFERROR(INDEX(#REF!,MATCH(T3,#REF!,0)),INDEX(#REF!,MATCH(T3,#REF!,0))),"")</f>
        <v/>
      </c>
      <c r="U2" s="87" t="str">
        <f>IFERROR(IFERROR(INDEX(#REF!,MATCH(U3,#REF!,0)),INDEX(#REF!,MATCH(U3,#REF!,0))),"")</f>
        <v/>
      </c>
      <c r="V2" s="87" t="str">
        <f>IFERROR(IFERROR(INDEX(#REF!,MATCH(V3,#REF!,0)),INDEX(#REF!,MATCH(V3,#REF!,0))),"")</f>
        <v/>
      </c>
      <c r="W2" s="87" t="str">
        <f>IFERROR(IFERROR(INDEX(#REF!,MATCH(W3,#REF!,0)),INDEX(#REF!,MATCH(W3,#REF!,0))),"")</f>
        <v/>
      </c>
      <c r="X2" s="87" t="str">
        <f>IFERROR(IFERROR(INDEX(#REF!,MATCH(X3,#REF!,0)),INDEX(#REF!,MATCH(X3,#REF!,0))),"")</f>
        <v/>
      </c>
      <c r="Y2" s="87" t="str">
        <f>IFERROR(IFERROR(INDEX(#REF!,MATCH(Y3,#REF!,0)),INDEX(#REF!,MATCH(Y3,#REF!,0))),"")</f>
        <v/>
      </c>
      <c r="Z2" s="87" t="str">
        <f>IFERROR(IFERROR(INDEX(#REF!,MATCH(Z3,#REF!,0)),INDEX(#REF!,MATCH(Z3,#REF!,0))),"")</f>
        <v/>
      </c>
      <c r="AA2" s="87" t="str">
        <f>IFERROR(IFERROR(INDEX(#REF!,MATCH(AA3,#REF!,0)),INDEX(#REF!,MATCH(AA3,#REF!,0))),"")</f>
        <v/>
      </c>
      <c r="AB2" s="87" t="str">
        <f>IFERROR(IFERROR(INDEX(#REF!,MATCH(AB3,#REF!,0)),INDEX(#REF!,MATCH(AB3,#REF!,0))),"")</f>
        <v/>
      </c>
      <c r="AC2" s="87" t="str">
        <f>IFERROR(IFERROR(INDEX(#REF!,MATCH(AC3,#REF!,0)),INDEX(#REF!,MATCH(AC3,#REF!,0))),"")</f>
        <v/>
      </c>
      <c r="AD2" s="87" t="str">
        <f>IFERROR(IFERROR(INDEX(#REF!,MATCH(AD3,#REF!,0)),INDEX(#REF!,MATCH(AD3,#REF!,0))),"")</f>
        <v/>
      </c>
      <c r="AE2" s="87" t="str">
        <f>IFERROR(IFERROR(INDEX(#REF!,MATCH(AE3,#REF!,0)),INDEX(#REF!,MATCH(AE3,#REF!,0))),"")</f>
        <v/>
      </c>
      <c r="AF2" s="87" t="str">
        <f>IFERROR(IFERROR(INDEX(#REF!,MATCH(AF3,#REF!,0)),INDEX(#REF!,MATCH(AF3,#REF!,0))),"")</f>
        <v/>
      </c>
      <c r="AG2" s="87" t="str">
        <f>IFERROR(IFERROR(INDEX(#REF!,MATCH(AG3,#REF!,0)),INDEX(#REF!,MATCH(AG3,#REF!,0))),"")</f>
        <v/>
      </c>
      <c r="AH2" s="87" t="str">
        <f>IFERROR(IFERROR(INDEX(#REF!,MATCH(AH3,#REF!,0)),INDEX(#REF!,MATCH(AH3,#REF!,0))),"")</f>
        <v/>
      </c>
      <c r="AI2" s="87" t="str">
        <f>IFERROR(IFERROR(INDEX(#REF!,MATCH(AI3,#REF!,0)),INDEX(#REF!,MATCH(AI3,#REF!,0))),"")</f>
        <v/>
      </c>
      <c r="AJ2" s="87" t="str">
        <f>IFERROR(IFERROR(INDEX(#REF!,MATCH(AJ3,#REF!,0)),INDEX(#REF!,MATCH(AJ3,#REF!,0))),"")</f>
        <v/>
      </c>
      <c r="AL2" s="87" t="str">
        <f>IFERROR(IFERROR(INDEX(#REF!,MATCH(AL3,#REF!,0)),INDEX(#REF!,MATCH(AL3,#REF!,0))),"")</f>
        <v/>
      </c>
      <c r="AM2" s="87" t="str">
        <f>IFERROR(IFERROR(INDEX(#REF!,MATCH(AM3,#REF!,0)),INDEX(#REF!,MATCH(AM3,#REF!,0))),"")</f>
        <v/>
      </c>
      <c r="AN2" s="87" t="str">
        <f>IFERROR(IFERROR(INDEX(#REF!,MATCH(AN3,#REF!,0)),INDEX(#REF!,MATCH(AN3,#REF!,0))),"")</f>
        <v/>
      </c>
      <c r="AO2" s="87" t="str">
        <f>IFERROR(IFERROR(INDEX(#REF!,MATCH(AO3,#REF!,0)),INDEX(#REF!,MATCH(AO3,#REF!,0))),"")</f>
        <v/>
      </c>
      <c r="AP2" s="87" t="str">
        <f>IFERROR(IFERROR(INDEX(#REF!,MATCH(AP3,#REF!,0)),INDEX(#REF!,MATCH(AP3,#REF!,0))),"")</f>
        <v/>
      </c>
      <c r="AQ2" s="87" t="str">
        <f>IFERROR(IFERROR(INDEX(#REF!,MATCH(AQ3,#REF!,0)),INDEX(#REF!,MATCH(AQ3,#REF!,0))),"")</f>
        <v/>
      </c>
      <c r="AR2" s="87" t="str">
        <f>IFERROR(IFERROR(INDEX(#REF!,MATCH(AR3,#REF!,0)),INDEX(#REF!,MATCH(AR3,#REF!,0))),"")</f>
        <v/>
      </c>
      <c r="AS2" s="87" t="str">
        <f>IFERROR(IFERROR(INDEX(#REF!,MATCH(AS3,#REF!,0)),INDEX(#REF!,MATCH(AS3,#REF!,0))),"")</f>
        <v/>
      </c>
      <c r="AT2" s="87" t="str">
        <f>IFERROR(IFERROR(INDEX(#REF!,MATCH(AT3,#REF!,0)),INDEX(#REF!,MATCH(AT3,#REF!,0))),"")</f>
        <v/>
      </c>
      <c r="AU2" s="87" t="str">
        <f>IFERROR(IFERROR(INDEX(#REF!,MATCH(AU3,#REF!,0)),INDEX(#REF!,MATCH(AU3,#REF!,0))),"")</f>
        <v/>
      </c>
      <c r="AV2" s="87" t="str">
        <f>IFERROR(IFERROR(INDEX(#REF!,MATCH(AV3,#REF!,0)),INDEX(#REF!,MATCH(AV3,#REF!,0))),"")</f>
        <v/>
      </c>
      <c r="AW2" s="87" t="str">
        <f>IFERROR(IFERROR(INDEX(#REF!,MATCH(AW3,#REF!,0)),INDEX(#REF!,MATCH(AW3,#REF!,0))),"")</f>
        <v/>
      </c>
      <c r="AX2" s="87" t="str">
        <f>IFERROR(IFERROR(INDEX(#REF!,MATCH(AX3,#REF!,0)),INDEX(#REF!,MATCH(AX3,#REF!,0))),"")</f>
        <v/>
      </c>
      <c r="AY2" s="87" t="str">
        <f>IFERROR(IFERROR(INDEX(#REF!,MATCH(AY3,#REF!,0)),INDEX(#REF!,MATCH(AY3,#REF!,0))),"")</f>
        <v/>
      </c>
      <c r="AZ2" s="87" t="str">
        <f>IFERROR(IFERROR(INDEX(#REF!,MATCH(AZ3,#REF!,0)),INDEX(#REF!,MATCH(AZ3,#REF!,0))),"")</f>
        <v/>
      </c>
      <c r="BA2" s="87" t="str">
        <f>IFERROR(IFERROR(INDEX(#REF!,MATCH(BA3,#REF!,0)),INDEX(#REF!,MATCH(BA3,#REF!,0))),"")</f>
        <v/>
      </c>
      <c r="BB2" s="87" t="str">
        <f>IFERROR(IFERROR(INDEX(#REF!,MATCH(BB3,#REF!,0)),INDEX(#REF!,MATCH(BB3,#REF!,0))),"")</f>
        <v/>
      </c>
      <c r="BC2" s="87" t="str">
        <f>IFERROR(IFERROR(INDEX(#REF!,MATCH(BC3,#REF!,0)),INDEX(#REF!,MATCH(BC3,#REF!,0))),"")</f>
        <v/>
      </c>
      <c r="BD2" s="87" t="str">
        <f>IFERROR(IFERROR(INDEX(#REF!,MATCH(BD3,#REF!,0)),INDEX(#REF!,MATCH(BD3,#REF!,0))),"")</f>
        <v/>
      </c>
      <c r="BE2" s="87" t="str">
        <f>IFERROR(IFERROR(INDEX(#REF!,MATCH(BE3,#REF!,0)),INDEX(#REF!,MATCH(BE3,#REF!,0))),"")</f>
        <v/>
      </c>
      <c r="BF2" s="87" t="str">
        <f>IFERROR(IFERROR(INDEX(#REF!,MATCH(BF3,#REF!,0)),INDEX(#REF!,MATCH(BF3,#REF!,0))),"")</f>
        <v/>
      </c>
      <c r="BG2" s="87" t="str">
        <f>IFERROR(IFERROR(INDEX(#REF!,MATCH(BG3,#REF!,0)),INDEX(#REF!,MATCH(BG3,#REF!,0))),"")</f>
        <v/>
      </c>
      <c r="BH2" s="87" t="str">
        <f>IFERROR(IFERROR(INDEX(#REF!,MATCH(BH3,#REF!,0)),INDEX(#REF!,MATCH(BH3,#REF!,0))),"")</f>
        <v/>
      </c>
      <c r="BI2" s="87" t="str">
        <f>IFERROR(IFERROR(INDEX(#REF!,MATCH(BI3,#REF!,0)),INDEX(#REF!,MATCH(BI3,#REF!,0))),"")</f>
        <v/>
      </c>
      <c r="BJ2" s="87" t="str">
        <f>IFERROR(IFERROR(INDEX(#REF!,MATCH(BJ3,#REF!,0)),INDEX(#REF!,MATCH(BJ3,#REF!,0))),"")</f>
        <v/>
      </c>
      <c r="BK2" s="87" t="str">
        <f>IFERROR(IFERROR(INDEX(#REF!,MATCH(BK3,#REF!,0)),INDEX(#REF!,MATCH(BK3,#REF!,0))),"")</f>
        <v/>
      </c>
      <c r="BL2" s="87" t="str">
        <f>IFERROR(IFERROR(INDEX(#REF!,MATCH(BL3,#REF!,0)),INDEX(#REF!,MATCH(BL3,#REF!,0))),"")</f>
        <v/>
      </c>
      <c r="BM2" s="87" t="str">
        <f>IFERROR(IFERROR(INDEX(#REF!,MATCH(BM3,#REF!,0)),INDEX(#REF!,MATCH(BM3,#REF!,0))),"")</f>
        <v/>
      </c>
      <c r="BN2" s="87" t="str">
        <f>IFERROR(IFERROR(INDEX(#REF!,MATCH(BN3,#REF!,0)),INDEX(#REF!,MATCH(BN3,#REF!,0))),"")</f>
        <v/>
      </c>
      <c r="BO2" s="87" t="str">
        <f>IFERROR(IFERROR(INDEX(#REF!,MATCH(BO3,#REF!,0)),INDEX(#REF!,MATCH(BO3,#REF!,0))),"")</f>
        <v/>
      </c>
      <c r="BP2" s="87" t="str">
        <f>IFERROR(IFERROR(INDEX(#REF!,MATCH(BP3,#REF!,0)),INDEX(#REF!,MATCH(BP3,#REF!,0))),"")</f>
        <v/>
      </c>
      <c r="BQ2" s="87" t="str">
        <f>IFERROR(IFERROR(INDEX(#REF!,MATCH(BQ3,#REF!,0)),INDEX(#REF!,MATCH(BQ3,#REF!,0))),"")</f>
        <v/>
      </c>
      <c r="BR2" s="87" t="str">
        <f>IFERROR(IFERROR(INDEX(#REF!,MATCH(BR3,#REF!,0)),INDEX(#REF!,MATCH(BR3,#REF!,0))),"")</f>
        <v/>
      </c>
      <c r="BS2" s="87" t="str">
        <f>IFERROR(IFERROR(INDEX(#REF!,MATCH(BS3,#REF!,0)),INDEX(#REF!,MATCH(BS3,#REF!,0))),"")</f>
        <v/>
      </c>
      <c r="BT2" s="87" t="str">
        <f>IFERROR(IFERROR(INDEX(#REF!,MATCH(BT3,#REF!,0)),INDEX(#REF!,MATCH(BT3,#REF!,0))),"")</f>
        <v/>
      </c>
      <c r="BU2" s="87" t="str">
        <f>IFERROR(IFERROR(INDEX(#REF!,MATCH(BU3,#REF!,0)),INDEX(#REF!,MATCH(BU3,#REF!,0))),"")</f>
        <v/>
      </c>
      <c r="BV2" s="87" t="str">
        <f>IFERROR(IFERROR(INDEX(#REF!,MATCH(BV3,#REF!,0)),INDEX(#REF!,MATCH(BV3,#REF!,0))),"")</f>
        <v/>
      </c>
      <c r="BW2" s="87" t="str">
        <f>IFERROR(IFERROR(INDEX(#REF!,MATCH(BW3,#REF!,0)),INDEX(#REF!,MATCH(BW3,#REF!,0))),"")</f>
        <v/>
      </c>
      <c r="BX2" s="87" t="str">
        <f>IFERROR(IFERROR(INDEX(#REF!,MATCH(BX3,#REF!,0)),INDEX(#REF!,MATCH(BX3,#REF!,0))),"")</f>
        <v/>
      </c>
      <c r="BY2" s="87" t="str">
        <f>IFERROR(IFERROR(INDEX(#REF!,MATCH(BY3,#REF!,0)),INDEX(#REF!,MATCH(BY3,#REF!,0))),"")</f>
        <v/>
      </c>
      <c r="BZ2" s="87" t="str">
        <f>IFERROR(IFERROR(INDEX(#REF!,MATCH(BZ3,#REF!,0)),INDEX(#REF!,MATCH(BZ3,#REF!,0))),"")</f>
        <v/>
      </c>
      <c r="CA2" s="87" t="str">
        <f>IFERROR(IFERROR(INDEX(#REF!,MATCH(CA3,#REF!,0)),INDEX(#REF!,MATCH(CA3,#REF!,0))),"")</f>
        <v/>
      </c>
      <c r="CB2" s="87" t="str">
        <f>IFERROR(IFERROR(INDEX(#REF!,MATCH(CB3,#REF!,0)),INDEX(#REF!,MATCH(CB3,#REF!,0))),"")</f>
        <v/>
      </c>
      <c r="CC2" s="87" t="str">
        <f>IFERROR(IFERROR(INDEX(#REF!,MATCH(CC3,#REF!,0)),INDEX(#REF!,MATCH(CC3,#REF!,0))),"")</f>
        <v/>
      </c>
      <c r="CD2" s="87" t="str">
        <f>IFERROR(IFERROR(INDEX(#REF!,MATCH(CD3,#REF!,0)),INDEX(#REF!,MATCH(CD3,#REF!,0))),"")</f>
        <v/>
      </c>
      <c r="CE2" s="87" t="str">
        <f>IFERROR(IFERROR(INDEX(#REF!,MATCH(CE3,#REF!,0)),INDEX(#REF!,MATCH(CE3,#REF!,0))),"")</f>
        <v/>
      </c>
      <c r="CF2" s="87" t="str">
        <f>IFERROR(IFERROR(INDEX(#REF!,MATCH(CF3,#REF!,0)),INDEX(#REF!,MATCH(CF3,#REF!,0))),"")</f>
        <v/>
      </c>
      <c r="CG2" s="87" t="str">
        <f>IFERROR(IFERROR(INDEX(#REF!,MATCH(CG3,#REF!,0)),INDEX(#REF!,MATCH(CG3,#REF!,0))),"")</f>
        <v/>
      </c>
      <c r="CH2" s="87" t="str">
        <f>IFERROR(IFERROR(INDEX(#REF!,MATCH(CH3,#REF!,0)),INDEX(#REF!,MATCH(CH3,#REF!,0))),"")</f>
        <v/>
      </c>
      <c r="CI2" s="87" t="str">
        <f>IFERROR(IFERROR(INDEX(#REF!,MATCH(CI3,#REF!,0)),INDEX(#REF!,MATCH(CI3,#REF!,0))),"")</f>
        <v/>
      </c>
      <c r="CJ2" s="87" t="str">
        <f>IFERROR(IFERROR(INDEX(#REF!,MATCH(CJ3,#REF!,0)),INDEX(#REF!,MATCH(CJ3,#REF!,0))),"")</f>
        <v/>
      </c>
      <c r="CK2" s="87" t="str">
        <f>IFERROR(IFERROR(INDEX(#REF!,MATCH(CK3,#REF!,0)),INDEX(#REF!,MATCH(CK3,#REF!,0))),"")</f>
        <v/>
      </c>
      <c r="CL2" s="87" t="str">
        <f>IFERROR(IFERROR(INDEX(#REF!,MATCH(CL3,#REF!,0)),INDEX(#REF!,MATCH(CL3,#REF!,0))),"")</f>
        <v/>
      </c>
      <c r="CM2" s="87" t="str">
        <f>IFERROR(IFERROR(INDEX(#REF!,MATCH(CM3,#REF!,0)),INDEX(#REF!,MATCH(CM3,#REF!,0))),"")</f>
        <v/>
      </c>
      <c r="CN2" s="87" t="str">
        <f>IFERROR(IFERROR(INDEX(#REF!,MATCH(CN3,#REF!,0)),INDEX(#REF!,MATCH(CN3,#REF!,0))),"")</f>
        <v/>
      </c>
      <c r="CO2" s="87" t="str">
        <f>IFERROR(IFERROR(INDEX(#REF!,MATCH(CO3,#REF!,0)),INDEX(#REF!,MATCH(CO3,#REF!,0))),"")</f>
        <v/>
      </c>
      <c r="CP2" s="87" t="str">
        <f>IFERROR(IFERROR(INDEX(#REF!,MATCH(CP3,#REF!,0)),INDEX(#REF!,MATCH(CP3,#REF!,0))),"")</f>
        <v/>
      </c>
      <c r="CQ2" s="87" t="str">
        <f>IFERROR(IFERROR(INDEX(#REF!,MATCH(CQ3,#REF!,0)),INDEX(#REF!,MATCH(CQ3,#REF!,0))),"")</f>
        <v/>
      </c>
      <c r="CR2" s="87" t="str">
        <f>IFERROR(IFERROR(INDEX(#REF!,MATCH(CR3,#REF!,0)),INDEX(#REF!,MATCH(CR3,#REF!,0))),"")</f>
        <v/>
      </c>
      <c r="CS2" s="87" t="str">
        <f>IFERROR(IFERROR(INDEX(#REF!,MATCH(CS3,#REF!,0)),INDEX(#REF!,MATCH(CS3,#REF!,0))),"")</f>
        <v/>
      </c>
      <c r="CT2" s="87" t="str">
        <f>IFERROR(IFERROR(INDEX(#REF!,MATCH(CT3,#REF!,0)),INDEX(#REF!,MATCH(CT3,#REF!,0))),"")</f>
        <v/>
      </c>
      <c r="CU2" s="87" t="str">
        <f>IFERROR(IFERROR(INDEX(#REF!,MATCH(CU3,#REF!,0)),INDEX(#REF!,MATCH(CU3,#REF!,0))),"")</f>
        <v/>
      </c>
      <c r="CV2" s="87" t="str">
        <f>IFERROR(IFERROR(INDEX(#REF!,MATCH(CV3,#REF!,0)),INDEX(#REF!,MATCH(CV3,#REF!,0))),"")</f>
        <v/>
      </c>
      <c r="CW2" s="87" t="str">
        <f>IFERROR(IFERROR(INDEX(#REF!,MATCH(CW3,#REF!,0)),INDEX(#REF!,MATCH(CW3,#REF!,0))),"")</f>
        <v/>
      </c>
      <c r="CX2" s="87" t="str">
        <f>IFERROR(IFERROR(INDEX(#REF!,MATCH(CX3,#REF!,0)),INDEX(#REF!,MATCH(CX3,#REF!,0))),"")</f>
        <v/>
      </c>
      <c r="CY2" s="87" t="str">
        <f>IFERROR(IFERROR(INDEX(#REF!,MATCH(CY3,#REF!,0)),INDEX(#REF!,MATCH(CY3,#REF!,0))),"")</f>
        <v/>
      </c>
      <c r="CZ2" s="87" t="str">
        <f>IFERROR(IFERROR(INDEX(#REF!,MATCH(CZ3,#REF!,0)),INDEX(#REF!,MATCH(CZ3,#REF!,0))),"")</f>
        <v/>
      </c>
      <c r="DA2" s="87" t="str">
        <f>IFERROR(IFERROR(INDEX(#REF!,MATCH(DA3,#REF!,0)),INDEX(#REF!,MATCH(DA3,#REF!,0))),"")</f>
        <v/>
      </c>
      <c r="DB2" s="87" t="str">
        <f>IFERROR(IFERROR(INDEX(#REF!,MATCH(DB3,#REF!,0)),INDEX(#REF!,MATCH(DB3,#REF!,0))),"")</f>
        <v/>
      </c>
      <c r="DC2" s="87" t="str">
        <f>IFERROR(IFERROR(INDEX(#REF!,MATCH(DC3,#REF!,0)),INDEX(#REF!,MATCH(DC3,#REF!,0))),"")</f>
        <v/>
      </c>
      <c r="DD2" s="87" t="str">
        <f>IFERROR(IFERROR(INDEX(#REF!,MATCH(DD3,#REF!,0)),INDEX(#REF!,MATCH(DD3,#REF!,0))),"")</f>
        <v/>
      </c>
      <c r="DE2" s="87" t="str">
        <f>IFERROR(IFERROR(INDEX(#REF!,MATCH(DE3,#REF!,0)),INDEX(#REF!,MATCH(DE3,#REF!,0))),"")</f>
        <v/>
      </c>
      <c r="DF2" s="87" t="str">
        <f>IFERROR(IFERROR(INDEX(#REF!,MATCH(DF3,#REF!,0)),INDEX(#REF!,MATCH(DF3,#REF!,0))),"")</f>
        <v/>
      </c>
      <c r="DG2" s="87" t="str">
        <f>IFERROR(IFERROR(INDEX(#REF!,MATCH(DG3,#REF!,0)),INDEX(#REF!,MATCH(DG3,#REF!,0))),"")</f>
        <v/>
      </c>
      <c r="DH2" s="87" t="str">
        <f>IFERROR(IFERROR(INDEX(#REF!,MATCH(DH3,#REF!,0)),INDEX(#REF!,MATCH(DH3,#REF!,0))),"")</f>
        <v/>
      </c>
      <c r="DI2" s="87" t="str">
        <f>IFERROR(IFERROR(INDEX(#REF!,MATCH(DI3,#REF!,0)),INDEX(#REF!,MATCH(DI3,#REF!,0))),"")</f>
        <v/>
      </c>
      <c r="DJ2" s="87" t="str">
        <f>IFERROR(IFERROR(INDEX(#REF!,MATCH(DJ3,#REF!,0)),INDEX(#REF!,MATCH(DJ3,#REF!,0))),"")</f>
        <v/>
      </c>
      <c r="DK2" s="87" t="str">
        <f>IFERROR(IFERROR(INDEX(#REF!,MATCH(DK3,#REF!,0)),INDEX(#REF!,MATCH(DK3,#REF!,0))),"")</f>
        <v/>
      </c>
      <c r="DL2" s="87" t="str">
        <f>IFERROR(IFERROR(INDEX(#REF!,MATCH(DL3,#REF!,0)),INDEX(#REF!,MATCH(DL3,#REF!,0))),"")</f>
        <v/>
      </c>
      <c r="DM2" s="87" t="str">
        <f>IFERROR(IFERROR(INDEX(#REF!,MATCH(DM3,#REF!,0)),INDEX(#REF!,MATCH(DM3,#REF!,0))),"")</f>
        <v/>
      </c>
      <c r="DN2" s="87" t="str">
        <f>IFERROR(IFERROR(INDEX(#REF!,MATCH(DN3,#REF!,0)),INDEX(#REF!,MATCH(DN3,#REF!,0))),"")</f>
        <v/>
      </c>
      <c r="DO2" s="87" t="str">
        <f>IFERROR(IFERROR(INDEX(#REF!,MATCH(DO3,#REF!,0)),INDEX(#REF!,MATCH(DO3,#REF!,0))),"")</f>
        <v/>
      </c>
      <c r="DP2" s="87" t="str">
        <f>IFERROR(IFERROR(INDEX(#REF!,MATCH(DP3,#REF!,0)),INDEX(#REF!,MATCH(DP3,#REF!,0))),"")</f>
        <v/>
      </c>
      <c r="DQ2" s="87" t="str">
        <f>IFERROR(IFERROR(INDEX(#REF!,MATCH(DQ3,#REF!,0)),INDEX(#REF!,MATCH(DQ3,#REF!,0))),"")</f>
        <v/>
      </c>
      <c r="DR2" s="87" t="str">
        <f>IFERROR(IFERROR(INDEX(#REF!,MATCH(DR3,#REF!,0)),INDEX(#REF!,MATCH(DR3,#REF!,0))),"")</f>
        <v/>
      </c>
      <c r="DS2" s="87" t="str">
        <f>IFERROR(IFERROR(INDEX(#REF!,MATCH(DS3,#REF!,0)),INDEX(#REF!,MATCH(DS3,#REF!,0))),"")</f>
        <v/>
      </c>
      <c r="DT2" s="87" t="str">
        <f>IFERROR(IFERROR(INDEX(#REF!,MATCH(DT3,#REF!,0)),INDEX(#REF!,MATCH(DT3,#REF!,0))),"")</f>
        <v/>
      </c>
      <c r="DU2" s="87" t="str">
        <f>IFERROR(IFERROR(INDEX(#REF!,MATCH(DU3,#REF!,0)),INDEX(#REF!,MATCH(DU3,#REF!,0))),"")</f>
        <v/>
      </c>
      <c r="DV2" s="87" t="str">
        <f>IFERROR(IFERROR(INDEX(#REF!,MATCH(DV3,#REF!,0)),INDEX(#REF!,MATCH(DV3,#REF!,0))),"")</f>
        <v/>
      </c>
      <c r="DW2" s="87" t="str">
        <f>IFERROR(IFERROR(INDEX(#REF!,MATCH(DW3,#REF!,0)),INDEX(#REF!,MATCH(DW3,#REF!,0))),"")</f>
        <v/>
      </c>
      <c r="DX2" s="87" t="str">
        <f>IFERROR(IFERROR(INDEX(#REF!,MATCH(DX3,#REF!,0)),INDEX(#REF!,MATCH(DX3,#REF!,0))),"")</f>
        <v/>
      </c>
      <c r="DY2" s="87" t="str">
        <f>IFERROR(IFERROR(INDEX(#REF!,MATCH(DY3,#REF!,0)),INDEX(#REF!,MATCH(DY3,#REF!,0))),"")</f>
        <v/>
      </c>
      <c r="DZ2" s="87" t="str">
        <f>IFERROR(IFERROR(INDEX(#REF!,MATCH(DZ3,#REF!,0)),INDEX(#REF!,MATCH(DZ3,#REF!,0))),"")</f>
        <v/>
      </c>
      <c r="EA2" s="87" t="str">
        <f>IFERROR(IFERROR(INDEX(#REF!,MATCH(EA3,#REF!,0)),INDEX(#REF!,MATCH(EA3,#REF!,0))),"")</f>
        <v/>
      </c>
      <c r="EB2" s="87" t="str">
        <f>IFERROR(IFERROR(INDEX(#REF!,MATCH(EB3,#REF!,0)),INDEX(#REF!,MATCH(EB3,#REF!,0))),"")</f>
        <v/>
      </c>
      <c r="EC2" s="87" t="str">
        <f>IFERROR(IFERROR(INDEX(#REF!,MATCH(EC3,#REF!,0)),INDEX(#REF!,MATCH(EC3,#REF!,0))),"")</f>
        <v/>
      </c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</row>
    <row r="3" spans="1:183" s="2" customFormat="1" ht="15" x14ac:dyDescent="0.3">
      <c r="A3" s="73"/>
      <c r="B3" s="73" t="str">
        <f>B1</f>
        <v>sm_code</v>
      </c>
      <c r="C3" s="73" t="str">
        <f>C1</f>
        <v>metric</v>
      </c>
      <c r="D3" s="73" t="str">
        <f>D1</f>
        <v>segment</v>
      </c>
      <c r="E3" s="73" t="str">
        <f>E1</f>
        <v>unit</v>
      </c>
      <c r="F3" s="73" t="str">
        <f>F1</f>
        <v>scale</v>
      </c>
      <c r="G3" s="73" t="str">
        <f>G1</f>
        <v>source</v>
      </c>
      <c r="H3" s="73">
        <f>H1</f>
        <v>0</v>
      </c>
      <c r="I3" s="73">
        <f>I1</f>
        <v>2018</v>
      </c>
      <c r="J3" s="73">
        <f>J1</f>
        <v>2019</v>
      </c>
      <c r="K3" s="73">
        <f>K1</f>
        <v>2020</v>
      </c>
      <c r="L3" s="73">
        <f>L1</f>
        <v>2021</v>
      </c>
      <c r="M3" s="73">
        <f>M1</f>
        <v>2022</v>
      </c>
      <c r="N3" s="73">
        <f>N1</f>
        <v>2023</v>
      </c>
      <c r="O3" s="73">
        <f>O1</f>
        <v>2024</v>
      </c>
      <c r="P3" s="73">
        <f>P1</f>
        <v>2025</v>
      </c>
      <c r="Q3" s="73">
        <f>Q1</f>
        <v>2026</v>
      </c>
      <c r="R3" s="73">
        <f>R1</f>
        <v>2027</v>
      </c>
      <c r="S3" s="73">
        <f>S1</f>
        <v>2028</v>
      </c>
      <c r="T3" s="73">
        <f>T1</f>
        <v>2029</v>
      </c>
      <c r="U3" s="73">
        <f>U1</f>
        <v>2030</v>
      </c>
      <c r="V3" s="73">
        <f>V1</f>
        <v>2031</v>
      </c>
      <c r="W3" s="73">
        <f>W1</f>
        <v>2032</v>
      </c>
      <c r="X3" s="73">
        <f>X1</f>
        <v>2033</v>
      </c>
      <c r="Y3" s="73">
        <f>Y1</f>
        <v>2034</v>
      </c>
      <c r="Z3" s="73">
        <f>Z1</f>
        <v>2035</v>
      </c>
      <c r="AA3" s="73">
        <f>AA1</f>
        <v>2036</v>
      </c>
      <c r="AB3" s="73">
        <f>AB1</f>
        <v>2037</v>
      </c>
      <c r="AC3" s="73">
        <f>AC1</f>
        <v>2038</v>
      </c>
      <c r="AD3" s="73">
        <f>AD1</f>
        <v>2039</v>
      </c>
      <c r="AE3" s="73">
        <f>AE1</f>
        <v>2040</v>
      </c>
      <c r="AF3" s="73">
        <f>AF1</f>
        <v>2041</v>
      </c>
      <c r="AG3" s="73">
        <f>AG1</f>
        <v>2042</v>
      </c>
      <c r="AH3" s="73">
        <f>AH1</f>
        <v>2043</v>
      </c>
      <c r="AI3" s="73">
        <f>AI1</f>
        <v>2044</v>
      </c>
      <c r="AJ3" s="73">
        <f>AJ1</f>
        <v>2045</v>
      </c>
      <c r="AK3" s="73">
        <f>AK1</f>
        <v>0</v>
      </c>
      <c r="AL3" s="73" t="str">
        <f>AL1</f>
        <v>Q1 - 2022</v>
      </c>
      <c r="AM3" s="73" t="str">
        <f>AM1</f>
        <v>Q2 - 2022</v>
      </c>
      <c r="AN3" s="73" t="str">
        <f>AN1</f>
        <v>Q3 - 2022</v>
      </c>
      <c r="AO3" s="73" t="str">
        <f>AO1</f>
        <v>Q4 - 2022</v>
      </c>
      <c r="AP3" s="73" t="str">
        <f>AP1</f>
        <v>Q1 - 2023</v>
      </c>
      <c r="AQ3" s="73" t="str">
        <f>AQ1</f>
        <v>Q2 - 2023</v>
      </c>
      <c r="AR3" s="73" t="str">
        <f>AR1</f>
        <v>Q3 - 2023</v>
      </c>
      <c r="AS3" s="73" t="str">
        <f>AS1</f>
        <v>Q4 - 2023</v>
      </c>
      <c r="AT3" s="73" t="str">
        <f>AT1</f>
        <v>Q1 - 2024</v>
      </c>
      <c r="AU3" s="73" t="str">
        <f>AU1</f>
        <v>Q2 - 2024</v>
      </c>
      <c r="AV3" s="73" t="str">
        <f>AV1</f>
        <v>Q3 - 2024</v>
      </c>
      <c r="AW3" s="73" t="str">
        <f>AW1</f>
        <v>Q4 - 2024</v>
      </c>
      <c r="AX3" s="73" t="str">
        <f>AX1</f>
        <v>Q1 - 2025</v>
      </c>
      <c r="AY3" s="73" t="str">
        <f>AY1</f>
        <v>Q2 - 2025</v>
      </c>
      <c r="AZ3" s="73" t="str">
        <f>AZ1</f>
        <v>Q3 - 2025</v>
      </c>
      <c r="BA3" s="73" t="str">
        <f>BA1</f>
        <v>Q4 - 2025</v>
      </c>
      <c r="BB3" s="73" t="str">
        <f>BB1</f>
        <v>Q1 - 2026</v>
      </c>
      <c r="BC3" s="73" t="str">
        <f>BC1</f>
        <v>Q2 - 2026</v>
      </c>
      <c r="BD3" s="73" t="str">
        <f>BD1</f>
        <v>Q3 - 2026</v>
      </c>
      <c r="BE3" s="73" t="str">
        <f>BE1</f>
        <v>Q4 - 2026</v>
      </c>
      <c r="BF3" s="73" t="str">
        <f>BF1</f>
        <v>Q1 - 2027</v>
      </c>
      <c r="BG3" s="73" t="str">
        <f>BG1</f>
        <v>Q2 - 2027</v>
      </c>
      <c r="BH3" s="73" t="str">
        <f>BH1</f>
        <v>Q3 - 2027</v>
      </c>
      <c r="BI3" s="73" t="str">
        <f>BI1</f>
        <v>Q4 - 2027</v>
      </c>
      <c r="BJ3" s="73" t="str">
        <f>BJ1</f>
        <v>Q1 - 2028</v>
      </c>
      <c r="BK3" s="73" t="str">
        <f>BK1</f>
        <v>Q2 - 2028</v>
      </c>
      <c r="BL3" s="73" t="str">
        <f>BL1</f>
        <v>Q3 - 2028</v>
      </c>
      <c r="BM3" s="73" t="str">
        <f>BM1</f>
        <v>Q4 - 2028</v>
      </c>
      <c r="BN3" s="73" t="str">
        <f>BN1</f>
        <v>Q1 - 2029</v>
      </c>
      <c r="BO3" s="73" t="str">
        <f>BO1</f>
        <v>Q2 - 2029</v>
      </c>
      <c r="BP3" s="73" t="str">
        <f>BP1</f>
        <v>Q3 - 2029</v>
      </c>
      <c r="BQ3" s="73" t="str">
        <f>BQ1</f>
        <v>Q4 - 2029</v>
      </c>
      <c r="BR3" s="73" t="str">
        <f>BR1</f>
        <v>Q1 - 2030</v>
      </c>
      <c r="BS3" s="73" t="str">
        <f>BS1</f>
        <v>Q2 - 2030</v>
      </c>
      <c r="BT3" s="73" t="str">
        <f>BT1</f>
        <v>Q3 - 2030</v>
      </c>
      <c r="BU3" s="73" t="str">
        <f>BU1</f>
        <v>Q4 - 2030</v>
      </c>
      <c r="BV3" s="73" t="str">
        <f>BV1</f>
        <v>Q1 - 2031</v>
      </c>
      <c r="BW3" s="73" t="str">
        <f>BW1</f>
        <v>Q2 - 2031</v>
      </c>
      <c r="BX3" s="73" t="str">
        <f>BX1</f>
        <v>Q3 - 2031</v>
      </c>
      <c r="BY3" s="73" t="str">
        <f>BY1</f>
        <v>Q4 - 2031</v>
      </c>
      <c r="BZ3" s="73" t="str">
        <f>BZ1</f>
        <v>Q1 - 2032</v>
      </c>
      <c r="CA3" s="73" t="str">
        <f>CA1</f>
        <v>Q2 - 2032</v>
      </c>
      <c r="CB3" s="73" t="str">
        <f>CB1</f>
        <v>Q3 - 2032</v>
      </c>
      <c r="CC3" s="73" t="str">
        <f>CC1</f>
        <v>Q4 - 2032</v>
      </c>
      <c r="CD3" s="73" t="str">
        <f>CD1</f>
        <v>Q1 - 2033</v>
      </c>
      <c r="CE3" s="73" t="str">
        <f>CE1</f>
        <v>Q2 - 2033</v>
      </c>
      <c r="CF3" s="73" t="str">
        <f>CF1</f>
        <v>Q3 - 2033</v>
      </c>
      <c r="CG3" s="73" t="str">
        <f>CG1</f>
        <v>Q4 - 2033</v>
      </c>
      <c r="CH3" s="73" t="str">
        <f>CH1</f>
        <v>Q1 - 2034</v>
      </c>
      <c r="CI3" s="73" t="str">
        <f>CI1</f>
        <v>Q2 - 2034</v>
      </c>
      <c r="CJ3" s="73" t="str">
        <f>CJ1</f>
        <v>Q3 - 2034</v>
      </c>
      <c r="CK3" s="73" t="str">
        <f>CK1</f>
        <v>Q4 - 2034</v>
      </c>
      <c r="CL3" s="73" t="str">
        <f>CL1</f>
        <v>Q1 - 2035</v>
      </c>
      <c r="CM3" s="73" t="str">
        <f>CM1</f>
        <v>Q2 - 2035</v>
      </c>
      <c r="CN3" s="73" t="str">
        <f>CN1</f>
        <v>Q3 - 2035</v>
      </c>
      <c r="CO3" s="73" t="str">
        <f>CO1</f>
        <v>Q4 - 2035</v>
      </c>
      <c r="CP3" s="73" t="str">
        <f>CP1</f>
        <v>Q1 - 2036</v>
      </c>
      <c r="CQ3" s="73" t="str">
        <f>CQ1</f>
        <v>Q2 - 2036</v>
      </c>
      <c r="CR3" s="73" t="str">
        <f>CR1</f>
        <v>Q3 - 2036</v>
      </c>
      <c r="CS3" s="73" t="str">
        <f>CS1</f>
        <v>Q4 - 2036</v>
      </c>
      <c r="CT3" s="73" t="str">
        <f>CT1</f>
        <v>Q1 - 2037</v>
      </c>
      <c r="CU3" s="73" t="str">
        <f>CU1</f>
        <v>Q2 - 2037</v>
      </c>
      <c r="CV3" s="73" t="str">
        <f>CV1</f>
        <v>Q3 - 2037</v>
      </c>
      <c r="CW3" s="73" t="str">
        <f>CW1</f>
        <v>Q4 - 2037</v>
      </c>
      <c r="CX3" s="73" t="str">
        <f>CX1</f>
        <v>Q1 - 2038</v>
      </c>
      <c r="CY3" s="73" t="str">
        <f>CY1</f>
        <v>Q2 - 2038</v>
      </c>
      <c r="CZ3" s="73" t="str">
        <f>CZ1</f>
        <v>Q3 - 2038</v>
      </c>
      <c r="DA3" s="73" t="str">
        <f>DA1</f>
        <v>Q4 - 2038</v>
      </c>
      <c r="DB3" s="73" t="str">
        <f>DB1</f>
        <v>Q1 - 2039</v>
      </c>
      <c r="DC3" s="73" t="str">
        <f>DC1</f>
        <v>Q2 - 2039</v>
      </c>
      <c r="DD3" s="73" t="str">
        <f>DD1</f>
        <v>Q3 - 2039</v>
      </c>
      <c r="DE3" s="73" t="str">
        <f>DE1</f>
        <v>Q4 - 2039</v>
      </c>
      <c r="DF3" s="73" t="str">
        <f>DF1</f>
        <v>Q1 - 2040</v>
      </c>
      <c r="DG3" s="73" t="str">
        <f>DG1</f>
        <v>Q2 - 2040</v>
      </c>
      <c r="DH3" s="73" t="str">
        <f>DH1</f>
        <v>Q3 - 2040</v>
      </c>
      <c r="DI3" s="73" t="str">
        <f>DI1</f>
        <v>Q4 - 2040</v>
      </c>
      <c r="DJ3" s="73" t="str">
        <f>DJ1</f>
        <v>Q1 - 2041</v>
      </c>
      <c r="DK3" s="73" t="str">
        <f>DK1</f>
        <v>Q2 - 2041</v>
      </c>
      <c r="DL3" s="73" t="str">
        <f>DL1</f>
        <v>Q3 - 2041</v>
      </c>
      <c r="DM3" s="73" t="str">
        <f>DM1</f>
        <v>Q4 - 2041</v>
      </c>
      <c r="DN3" s="73" t="str">
        <f>DN1</f>
        <v>Q1 - 2042</v>
      </c>
      <c r="DO3" s="73" t="str">
        <f>DO1</f>
        <v>Q2 - 2042</v>
      </c>
      <c r="DP3" s="73" t="str">
        <f>DP1</f>
        <v>Q3 - 2042</v>
      </c>
      <c r="DQ3" s="73" t="str">
        <f>DQ1</f>
        <v>Q4 - 2042</v>
      </c>
      <c r="DR3" s="73" t="str">
        <f>DR1</f>
        <v>Q1 - 2043</v>
      </c>
      <c r="DS3" s="73" t="str">
        <f>DS1</f>
        <v>Q2 - 2043</v>
      </c>
      <c r="DT3" s="73" t="str">
        <f>DT1</f>
        <v>Q3 - 2043</v>
      </c>
      <c r="DU3" s="73" t="str">
        <f>DU1</f>
        <v>Q4 - 2043</v>
      </c>
      <c r="DV3" s="73" t="str">
        <f>DV1</f>
        <v>Q1 - 2044</v>
      </c>
      <c r="DW3" s="73" t="str">
        <f>DW1</f>
        <v>Q2 - 2044</v>
      </c>
      <c r="DX3" s="73" t="str">
        <f>DX1</f>
        <v>Q3 - 2044</v>
      </c>
      <c r="DY3" s="73" t="str">
        <f>DY1</f>
        <v>Q4 - 2044</v>
      </c>
      <c r="DZ3" s="73" t="str">
        <f>DZ1</f>
        <v>Q1 - 2045</v>
      </c>
      <c r="EA3" s="73" t="str">
        <f>EA1</f>
        <v>Q2 - 2045</v>
      </c>
      <c r="EB3" s="73" t="str">
        <f>EB1</f>
        <v>Q3 - 2045</v>
      </c>
      <c r="EC3" s="73" t="str">
        <f>EC1</f>
        <v>Q4 - 2045</v>
      </c>
      <c r="ED3" s="73">
        <f>ED1</f>
        <v>0</v>
      </c>
      <c r="EE3" s="79" t="str">
        <f>EE1</f>
        <v>Snapshot Date</v>
      </c>
      <c r="EF3" s="79" t="str">
        <f>EF1</f>
        <v>Time</v>
      </c>
      <c r="EG3" s="79" t="str">
        <f>EG1</f>
        <v>After Quarter</v>
      </c>
      <c r="EH3" s="79" t="str">
        <f>EH1</f>
        <v>Case</v>
      </c>
      <c r="EI3" s="79" t="str">
        <f>EI1</f>
        <v>Multiple Type</v>
      </c>
      <c r="EJ3" s="79" t="str">
        <f>EJ1</f>
        <v>Multiple</v>
      </c>
      <c r="EK3" s="79" t="str">
        <f>EK1</f>
        <v xml:space="preserve">Year </v>
      </c>
      <c r="EL3" s="79" t="str">
        <f>EL1</f>
        <v>Type</v>
      </c>
      <c r="EM3" s="79" t="str">
        <f>EM1</f>
        <v>Price Target</v>
      </c>
      <c r="EN3" s="79" t="str">
        <f>EN1</f>
        <v>Fair Value</v>
      </c>
      <c r="EO3" s="79" t="str">
        <f>EO1</f>
        <v>Current Price</v>
      </c>
      <c r="EP3" s="79" t="str">
        <f>EP1</f>
        <v>WACC</v>
      </c>
      <c r="EQ3" s="79" t="str">
        <f>EQ1</f>
        <v>COE</v>
      </c>
      <c r="ER3" s="79" t="str">
        <f>ER1</f>
        <v>COD</v>
      </c>
      <c r="ES3" s="79" t="str">
        <f>ES1</f>
        <v>Equity to Total Capital</v>
      </c>
      <c r="ET3" s="79" t="str">
        <f>ET1</f>
        <v>Beta</v>
      </c>
      <c r="EU3" s="79" t="str">
        <f>EU1</f>
        <v>Avg Market Return</v>
      </c>
      <c r="EV3" s="79" t="str">
        <f>EV1</f>
        <v>RFR</v>
      </c>
      <c r="EW3" s="79" t="str">
        <f>EW1</f>
        <v>ID</v>
      </c>
      <c r="EX3" s="79" t="str">
        <f>EX1</f>
        <v>Ticker</v>
      </c>
      <c r="EY3" s="79" t="str">
        <f>EY1</f>
        <v>period_type</v>
      </c>
      <c r="EZ3" s="74"/>
      <c r="FA3" s="74"/>
      <c r="FB3" s="74"/>
      <c r="FC3" s="74"/>
      <c r="FD3" s="68"/>
      <c r="FH3" s="73"/>
      <c r="FI3" s="74"/>
      <c r="FJ3" s="74"/>
      <c r="FK3" s="74"/>
      <c r="FL3" s="74"/>
      <c r="FM3" s="74"/>
      <c r="FN3" s="74"/>
      <c r="FO3" s="74"/>
      <c r="FP3" s="74"/>
      <c r="FQ3" s="74"/>
      <c r="FR3" s="74"/>
      <c r="FS3" s="74"/>
      <c r="FT3" s="74"/>
      <c r="FU3" s="74"/>
      <c r="FV3" s="74"/>
      <c r="FW3" s="74"/>
      <c r="FX3" s="74"/>
      <c r="FY3" s="74"/>
      <c r="FZ3" s="74"/>
      <c r="GA3" s="68"/>
    </row>
    <row r="4" spans="1:183" s="2" customFormat="1" ht="15" x14ac:dyDescent="0.3">
      <c r="A4" s="73" t="s">
        <v>10</v>
      </c>
      <c r="B4" s="73" t="s">
        <v>228</v>
      </c>
      <c r="C4" s="73" t="s">
        <v>34</v>
      </c>
      <c r="D4" s="73" t="s">
        <v>48</v>
      </c>
      <c r="E4" s="73" t="s">
        <v>178</v>
      </c>
      <c r="F4" s="73" t="s">
        <v>210</v>
      </c>
      <c r="G4" s="73" t="s">
        <v>216</v>
      </c>
      <c r="H4" s="73"/>
      <c r="I4" s="74">
        <v>0</v>
      </c>
      <c r="J4" s="74">
        <v>0</v>
      </c>
      <c r="K4" s="74">
        <v>0</v>
      </c>
      <c r="L4" s="74">
        <v>0</v>
      </c>
      <c r="M4" s="74">
        <v>513983</v>
      </c>
      <c r="N4" s="74">
        <v>574785</v>
      </c>
      <c r="O4" s="74">
        <v>637959</v>
      </c>
      <c r="P4" s="74">
        <v>716924</v>
      </c>
      <c r="Q4" s="74">
        <v>823035.39999999991</v>
      </c>
      <c r="R4" s="74">
        <v>941960.20849999995</v>
      </c>
      <c r="S4" s="74">
        <v>1115059.7646399997</v>
      </c>
      <c r="T4" s="74">
        <v>1321558.2789109997</v>
      </c>
      <c r="U4" s="74">
        <v>0</v>
      </c>
      <c r="V4" s="74">
        <v>0</v>
      </c>
      <c r="W4" s="74">
        <v>0</v>
      </c>
      <c r="X4" s="74">
        <v>0</v>
      </c>
      <c r="Y4" s="74">
        <v>0</v>
      </c>
      <c r="Z4" s="74">
        <v>0</v>
      </c>
      <c r="AA4" s="74">
        <v>0</v>
      </c>
      <c r="AB4" s="74">
        <v>0</v>
      </c>
      <c r="AC4" s="74">
        <v>0</v>
      </c>
      <c r="AD4" s="74">
        <v>0</v>
      </c>
      <c r="AE4" s="74">
        <v>0</v>
      </c>
      <c r="AF4" s="74">
        <v>0</v>
      </c>
      <c r="AG4" s="74">
        <v>0</v>
      </c>
      <c r="AH4" s="74">
        <v>0</v>
      </c>
      <c r="AI4" s="74">
        <v>0</v>
      </c>
      <c r="AJ4" s="74">
        <v>0</v>
      </c>
      <c r="AK4" s="74"/>
      <c r="AL4" s="74">
        <v>0</v>
      </c>
      <c r="AM4" s="74">
        <v>0</v>
      </c>
      <c r="AN4" s="74">
        <v>0</v>
      </c>
      <c r="AO4" s="74">
        <v>0</v>
      </c>
      <c r="AP4" s="74">
        <v>0</v>
      </c>
      <c r="AQ4" s="74">
        <v>0</v>
      </c>
      <c r="AR4" s="74">
        <v>0</v>
      </c>
      <c r="AS4" s="74">
        <v>0</v>
      </c>
      <c r="AT4" s="74">
        <v>0</v>
      </c>
      <c r="AU4" s="74">
        <v>0</v>
      </c>
      <c r="AV4" s="74">
        <v>0</v>
      </c>
      <c r="AW4" s="74">
        <v>0</v>
      </c>
      <c r="AX4" s="74">
        <v>0</v>
      </c>
      <c r="AY4" s="74">
        <v>0</v>
      </c>
      <c r="AZ4" s="74">
        <v>0</v>
      </c>
      <c r="BA4" s="74">
        <v>0</v>
      </c>
      <c r="BB4" s="74">
        <v>0</v>
      </c>
      <c r="BC4" s="74">
        <v>0</v>
      </c>
      <c r="BD4" s="74">
        <v>0</v>
      </c>
      <c r="BE4" s="74">
        <v>0</v>
      </c>
      <c r="BF4" s="74">
        <v>0</v>
      </c>
      <c r="BG4" s="74">
        <v>0</v>
      </c>
      <c r="BH4" s="74">
        <v>0</v>
      </c>
      <c r="BI4" s="74">
        <v>0</v>
      </c>
      <c r="BJ4" s="74">
        <v>0</v>
      </c>
      <c r="BK4" s="74">
        <v>0</v>
      </c>
      <c r="BL4" s="74">
        <v>0</v>
      </c>
      <c r="BM4" s="74">
        <v>0</v>
      </c>
      <c r="BN4" s="74">
        <v>0</v>
      </c>
      <c r="BO4" s="74">
        <v>0</v>
      </c>
      <c r="BP4" s="74">
        <v>0</v>
      </c>
      <c r="BQ4" s="74">
        <v>0</v>
      </c>
      <c r="BR4" s="74">
        <v>0</v>
      </c>
      <c r="BS4" s="74">
        <v>0</v>
      </c>
      <c r="BT4" s="74">
        <v>0</v>
      </c>
      <c r="BU4" s="74">
        <v>0</v>
      </c>
      <c r="BV4" s="74">
        <v>0</v>
      </c>
      <c r="BW4" s="74">
        <v>0</v>
      </c>
      <c r="BX4" s="74">
        <v>0</v>
      </c>
      <c r="BY4" s="74">
        <v>0</v>
      </c>
      <c r="BZ4" s="74">
        <v>0</v>
      </c>
      <c r="CA4" s="74">
        <v>0</v>
      </c>
      <c r="CB4" s="74">
        <v>0</v>
      </c>
      <c r="CC4" s="74">
        <v>0</v>
      </c>
      <c r="CD4" s="74">
        <v>0</v>
      </c>
      <c r="CE4" s="74">
        <v>0</v>
      </c>
      <c r="CF4" s="74">
        <v>0</v>
      </c>
      <c r="CG4" s="74">
        <v>0</v>
      </c>
      <c r="CH4" s="74">
        <v>0</v>
      </c>
      <c r="CI4" s="74">
        <v>0</v>
      </c>
      <c r="CJ4" s="74">
        <v>0</v>
      </c>
      <c r="CK4" s="74">
        <v>0</v>
      </c>
      <c r="CL4" s="74">
        <v>0</v>
      </c>
      <c r="CM4" s="74">
        <v>0</v>
      </c>
      <c r="CN4" s="74">
        <v>0</v>
      </c>
      <c r="CO4" s="74">
        <v>0</v>
      </c>
      <c r="CP4" s="74">
        <v>0</v>
      </c>
      <c r="CQ4" s="74">
        <v>0</v>
      </c>
      <c r="CR4" s="74">
        <v>0</v>
      </c>
      <c r="CS4" s="74">
        <v>0</v>
      </c>
      <c r="CT4" s="74">
        <v>0</v>
      </c>
      <c r="CU4" s="74">
        <v>0</v>
      </c>
      <c r="CV4" s="74">
        <v>0</v>
      </c>
      <c r="CW4" s="74">
        <v>0</v>
      </c>
      <c r="CX4" s="74">
        <v>0</v>
      </c>
      <c r="CY4" s="74">
        <v>0</v>
      </c>
      <c r="CZ4" s="74">
        <v>0</v>
      </c>
      <c r="DA4" s="74">
        <v>0</v>
      </c>
      <c r="DB4" s="74">
        <v>0</v>
      </c>
      <c r="DC4" s="74">
        <v>0</v>
      </c>
      <c r="DD4" s="74">
        <v>0</v>
      </c>
      <c r="DE4" s="74">
        <v>0</v>
      </c>
      <c r="DF4" s="74">
        <v>0</v>
      </c>
      <c r="DG4" s="74">
        <v>0</v>
      </c>
      <c r="DH4" s="74">
        <v>0</v>
      </c>
      <c r="DI4" s="74">
        <v>0</v>
      </c>
      <c r="DJ4" s="74">
        <v>0</v>
      </c>
      <c r="DK4" s="74">
        <v>0</v>
      </c>
      <c r="DL4" s="74">
        <v>0</v>
      </c>
      <c r="DM4" s="74">
        <v>0</v>
      </c>
      <c r="DN4" s="74">
        <v>0</v>
      </c>
      <c r="DO4" s="74">
        <v>0</v>
      </c>
      <c r="DP4" s="74">
        <v>0</v>
      </c>
      <c r="DQ4" s="74">
        <v>0</v>
      </c>
      <c r="DR4" s="74">
        <v>0</v>
      </c>
      <c r="DS4" s="74">
        <v>0</v>
      </c>
      <c r="DT4" s="74">
        <v>0</v>
      </c>
      <c r="DU4" s="74">
        <v>0</v>
      </c>
      <c r="DV4" s="74">
        <v>0</v>
      </c>
      <c r="DW4" s="74">
        <v>0</v>
      </c>
      <c r="DX4" s="74">
        <v>0</v>
      </c>
      <c r="DY4" s="74">
        <v>0</v>
      </c>
      <c r="DZ4" s="74">
        <v>0</v>
      </c>
      <c r="EA4" s="74">
        <v>0</v>
      </c>
      <c r="EB4" s="74">
        <v>0</v>
      </c>
      <c r="EC4" s="74">
        <v>0</v>
      </c>
      <c r="ED4" s="74"/>
      <c r="EE4" s="80">
        <v>46147</v>
      </c>
      <c r="EF4" s="81">
        <v>46147.490582986109</v>
      </c>
      <c r="EG4" s="66" t="s">
        <v>71</v>
      </c>
      <c r="EH4" s="66" t="s">
        <v>209</v>
      </c>
      <c r="EI4" s="66" t="s">
        <v>6</v>
      </c>
      <c r="EJ4" s="66">
        <v>12</v>
      </c>
      <c r="EK4" s="66">
        <v>2027</v>
      </c>
      <c r="EL4" s="66" t="s">
        <v>24</v>
      </c>
      <c r="EM4" s="82">
        <v>290.68389790090976</v>
      </c>
      <c r="EN4" s="82">
        <v>257.5814628146079</v>
      </c>
      <c r="EO4" s="77">
        <v>273.51499999999999</v>
      </c>
      <c r="EP4" s="84">
        <v>0.20185877210205863</v>
      </c>
      <c r="EQ4" s="84">
        <v>0.20646392611324274</v>
      </c>
      <c r="ER4" s="84">
        <v>3.7812199999999997E-2</v>
      </c>
      <c r="ES4" s="85">
        <v>0.97269429659977535</v>
      </c>
      <c r="ET4" s="86">
        <v>1.4621999999999999</v>
      </c>
      <c r="EU4" s="85">
        <v>0.15269873395245903</v>
      </c>
      <c r="EV4" s="85">
        <v>3.6374216079711912E-2</v>
      </c>
      <c r="EW4" s="76">
        <v>3</v>
      </c>
      <c r="EX4" s="76" t="s">
        <v>32</v>
      </c>
      <c r="EY4" s="74" t="s">
        <v>243</v>
      </c>
      <c r="EZ4" s="74"/>
      <c r="FA4" s="74"/>
      <c r="FB4" s="74"/>
      <c r="FC4" s="74"/>
      <c r="FD4" s="68"/>
      <c r="FH4" s="73"/>
      <c r="FI4" s="74"/>
      <c r="FJ4" s="74"/>
      <c r="FK4" s="74"/>
      <c r="FL4" s="74"/>
      <c r="FM4" s="74"/>
      <c r="FN4" s="74"/>
      <c r="FO4" s="74"/>
      <c r="FP4" s="74"/>
      <c r="FQ4" s="74"/>
      <c r="FR4" s="74"/>
      <c r="FS4" s="74"/>
      <c r="FT4" s="74"/>
      <c r="FU4" s="74"/>
      <c r="FV4" s="74"/>
      <c r="FW4" s="74"/>
      <c r="FX4" s="74"/>
      <c r="FY4" s="74"/>
      <c r="FZ4" s="74"/>
      <c r="GA4" s="68"/>
    </row>
    <row r="5" spans="1:183" s="2" customFormat="1" ht="15" x14ac:dyDescent="0.3">
      <c r="A5" s="73" t="s">
        <v>3</v>
      </c>
      <c r="B5" s="73" t="s">
        <v>3</v>
      </c>
      <c r="C5" s="73" t="s">
        <v>39</v>
      </c>
      <c r="D5" s="73" t="s">
        <v>48</v>
      </c>
      <c r="E5" s="73" t="s">
        <v>178</v>
      </c>
      <c r="F5" s="73" t="s">
        <v>210</v>
      </c>
      <c r="G5" s="73" t="s">
        <v>216</v>
      </c>
      <c r="H5" s="73"/>
      <c r="I5" s="74">
        <v>0</v>
      </c>
      <c r="J5" s="74">
        <v>0</v>
      </c>
      <c r="K5" s="74">
        <v>0</v>
      </c>
      <c r="L5" s="74">
        <v>0</v>
      </c>
      <c r="M5" s="74">
        <v>74238.399999999994</v>
      </c>
      <c r="N5" s="74">
        <v>107032.32000000001</v>
      </c>
      <c r="O5" s="74">
        <v>144163.64000000001</v>
      </c>
      <c r="P5" s="74">
        <v>168024.215</v>
      </c>
      <c r="Q5" s="74">
        <v>208442.61066672436</v>
      </c>
      <c r="R5" s="74">
        <v>261050.3487612381</v>
      </c>
      <c r="S5" s="74">
        <v>291994.09026812541</v>
      </c>
      <c r="T5" s="74">
        <v>353793.01836455555</v>
      </c>
      <c r="U5" s="74">
        <v>0</v>
      </c>
      <c r="V5" s="74">
        <v>0</v>
      </c>
      <c r="W5" s="74">
        <v>0</v>
      </c>
      <c r="X5" s="74">
        <v>0</v>
      </c>
      <c r="Y5" s="74">
        <v>0</v>
      </c>
      <c r="Z5" s="74">
        <v>0</v>
      </c>
      <c r="AA5" s="74">
        <v>0</v>
      </c>
      <c r="AB5" s="74">
        <v>0</v>
      </c>
      <c r="AC5" s="74">
        <v>0</v>
      </c>
      <c r="AD5" s="74">
        <v>0</v>
      </c>
      <c r="AE5" s="74">
        <v>0</v>
      </c>
      <c r="AF5" s="74">
        <v>0</v>
      </c>
      <c r="AG5" s="74">
        <v>0</v>
      </c>
      <c r="AH5" s="74">
        <v>0</v>
      </c>
      <c r="AI5" s="74">
        <v>0</v>
      </c>
      <c r="AJ5" s="74">
        <v>0</v>
      </c>
      <c r="AK5" s="74"/>
      <c r="AL5" s="74">
        <v>0</v>
      </c>
      <c r="AM5" s="74">
        <v>0</v>
      </c>
      <c r="AN5" s="74">
        <v>0</v>
      </c>
      <c r="AO5" s="74">
        <v>0</v>
      </c>
      <c r="AP5" s="74">
        <v>0</v>
      </c>
      <c r="AQ5" s="74">
        <v>0</v>
      </c>
      <c r="AR5" s="74">
        <v>0</v>
      </c>
      <c r="AS5" s="74">
        <v>0</v>
      </c>
      <c r="AT5" s="74">
        <v>0</v>
      </c>
      <c r="AU5" s="74">
        <v>0</v>
      </c>
      <c r="AV5" s="74">
        <v>0</v>
      </c>
      <c r="AW5" s="74">
        <v>0</v>
      </c>
      <c r="AX5" s="74">
        <v>0</v>
      </c>
      <c r="AY5" s="74">
        <v>0</v>
      </c>
      <c r="AZ5" s="74">
        <v>0</v>
      </c>
      <c r="BA5" s="74">
        <v>0</v>
      </c>
      <c r="BB5" s="74">
        <v>0</v>
      </c>
      <c r="BC5" s="74">
        <v>0</v>
      </c>
      <c r="BD5" s="74">
        <v>0</v>
      </c>
      <c r="BE5" s="74">
        <v>0</v>
      </c>
      <c r="BF5" s="74">
        <v>0</v>
      </c>
      <c r="BG5" s="74">
        <v>0</v>
      </c>
      <c r="BH5" s="74">
        <v>0</v>
      </c>
      <c r="BI5" s="74">
        <v>0</v>
      </c>
      <c r="BJ5" s="74">
        <v>0</v>
      </c>
      <c r="BK5" s="74">
        <v>0</v>
      </c>
      <c r="BL5" s="74">
        <v>0</v>
      </c>
      <c r="BM5" s="74">
        <v>0</v>
      </c>
      <c r="BN5" s="74">
        <v>0</v>
      </c>
      <c r="BO5" s="74">
        <v>0</v>
      </c>
      <c r="BP5" s="74">
        <v>0</v>
      </c>
      <c r="BQ5" s="74">
        <v>0</v>
      </c>
      <c r="BR5" s="74">
        <v>0</v>
      </c>
      <c r="BS5" s="74">
        <v>0</v>
      </c>
      <c r="BT5" s="74">
        <v>0</v>
      </c>
      <c r="BU5" s="74">
        <v>0</v>
      </c>
      <c r="BV5" s="74">
        <v>0</v>
      </c>
      <c r="BW5" s="74">
        <v>0</v>
      </c>
      <c r="BX5" s="74">
        <v>0</v>
      </c>
      <c r="BY5" s="74">
        <v>0</v>
      </c>
      <c r="BZ5" s="74">
        <v>0</v>
      </c>
      <c r="CA5" s="74">
        <v>0</v>
      </c>
      <c r="CB5" s="74">
        <v>0</v>
      </c>
      <c r="CC5" s="74">
        <v>0</v>
      </c>
      <c r="CD5" s="74">
        <v>0</v>
      </c>
      <c r="CE5" s="74">
        <v>0</v>
      </c>
      <c r="CF5" s="74">
        <v>0</v>
      </c>
      <c r="CG5" s="74">
        <v>0</v>
      </c>
      <c r="CH5" s="74">
        <v>0</v>
      </c>
      <c r="CI5" s="74">
        <v>0</v>
      </c>
      <c r="CJ5" s="74">
        <v>0</v>
      </c>
      <c r="CK5" s="74">
        <v>0</v>
      </c>
      <c r="CL5" s="74">
        <v>0</v>
      </c>
      <c r="CM5" s="74">
        <v>0</v>
      </c>
      <c r="CN5" s="74">
        <v>0</v>
      </c>
      <c r="CO5" s="74">
        <v>0</v>
      </c>
      <c r="CP5" s="74">
        <v>0</v>
      </c>
      <c r="CQ5" s="74">
        <v>0</v>
      </c>
      <c r="CR5" s="74">
        <v>0</v>
      </c>
      <c r="CS5" s="74">
        <v>0</v>
      </c>
      <c r="CT5" s="74">
        <v>0</v>
      </c>
      <c r="CU5" s="74">
        <v>0</v>
      </c>
      <c r="CV5" s="74">
        <v>0</v>
      </c>
      <c r="CW5" s="74">
        <v>0</v>
      </c>
      <c r="CX5" s="74">
        <v>0</v>
      </c>
      <c r="CY5" s="74">
        <v>0</v>
      </c>
      <c r="CZ5" s="74">
        <v>0</v>
      </c>
      <c r="DA5" s="74">
        <v>0</v>
      </c>
      <c r="DB5" s="74">
        <v>0</v>
      </c>
      <c r="DC5" s="74">
        <v>0</v>
      </c>
      <c r="DD5" s="74">
        <v>0</v>
      </c>
      <c r="DE5" s="74">
        <v>0</v>
      </c>
      <c r="DF5" s="74">
        <v>0</v>
      </c>
      <c r="DG5" s="74">
        <v>0</v>
      </c>
      <c r="DH5" s="74">
        <v>0</v>
      </c>
      <c r="DI5" s="74">
        <v>0</v>
      </c>
      <c r="DJ5" s="74">
        <v>0</v>
      </c>
      <c r="DK5" s="74">
        <v>0</v>
      </c>
      <c r="DL5" s="74">
        <v>0</v>
      </c>
      <c r="DM5" s="74">
        <v>0</v>
      </c>
      <c r="DN5" s="74">
        <v>0</v>
      </c>
      <c r="DO5" s="74">
        <v>0</v>
      </c>
      <c r="DP5" s="74">
        <v>0</v>
      </c>
      <c r="DQ5" s="74">
        <v>0</v>
      </c>
      <c r="DR5" s="74">
        <v>0</v>
      </c>
      <c r="DS5" s="74">
        <v>0</v>
      </c>
      <c r="DT5" s="74">
        <v>0</v>
      </c>
      <c r="DU5" s="74">
        <v>0</v>
      </c>
      <c r="DV5" s="74">
        <v>0</v>
      </c>
      <c r="DW5" s="74">
        <v>0</v>
      </c>
      <c r="DX5" s="74">
        <v>0</v>
      </c>
      <c r="DY5" s="74">
        <v>0</v>
      </c>
      <c r="DZ5" s="74">
        <v>0</v>
      </c>
      <c r="EA5" s="74">
        <v>0</v>
      </c>
      <c r="EB5" s="74">
        <v>0</v>
      </c>
      <c r="EC5" s="74">
        <v>0</v>
      </c>
      <c r="ED5" s="74"/>
      <c r="EE5" s="80">
        <v>46147</v>
      </c>
      <c r="EF5" s="81">
        <v>46147.490582986109</v>
      </c>
      <c r="EG5" s="66" t="s">
        <v>71</v>
      </c>
      <c r="EH5" s="66" t="s">
        <v>209</v>
      </c>
      <c r="EI5" s="66" t="s">
        <v>6</v>
      </c>
      <c r="EJ5" s="66">
        <v>12</v>
      </c>
      <c r="EK5" s="66">
        <v>2027</v>
      </c>
      <c r="EL5" s="66" t="s">
        <v>24</v>
      </c>
      <c r="EM5" s="82">
        <v>290.68389790090976</v>
      </c>
      <c r="EN5" s="82">
        <v>257.5814628146079</v>
      </c>
      <c r="EO5" s="77">
        <v>273.51499999999999</v>
      </c>
      <c r="EP5" s="84">
        <v>0.20185877210205863</v>
      </c>
      <c r="EQ5" s="84">
        <v>0.20646392611324274</v>
      </c>
      <c r="ER5" s="84">
        <v>3.7812199999999997E-2</v>
      </c>
      <c r="ES5" s="85">
        <v>0.97269429659977535</v>
      </c>
      <c r="ET5" s="86">
        <v>1.4621999999999999</v>
      </c>
      <c r="EU5" s="85">
        <v>0.15269873395245903</v>
      </c>
      <c r="EV5" s="85">
        <v>3.6374216079711912E-2</v>
      </c>
      <c r="EW5" s="76">
        <v>3</v>
      </c>
      <c r="EX5" s="76" t="s">
        <v>32</v>
      </c>
      <c r="EY5" s="74" t="s">
        <v>243</v>
      </c>
      <c r="EZ5" s="74"/>
      <c r="FA5" s="74"/>
      <c r="FB5" s="74"/>
      <c r="FC5" s="74"/>
      <c r="FD5" s="68"/>
      <c r="FH5" s="73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4"/>
      <c r="FY5" s="74"/>
      <c r="FZ5" s="74"/>
      <c r="GA5" s="68"/>
    </row>
    <row r="6" spans="1:183" s="2" customFormat="1" ht="15" x14ac:dyDescent="0.3">
      <c r="A6" s="73" t="s">
        <v>14</v>
      </c>
      <c r="B6" s="73" t="s">
        <v>229</v>
      </c>
      <c r="C6" s="73" t="s">
        <v>35</v>
      </c>
      <c r="D6" s="73" t="s">
        <v>48</v>
      </c>
      <c r="E6" s="73" t="s">
        <v>178</v>
      </c>
      <c r="F6" s="73" t="s">
        <v>210</v>
      </c>
      <c r="G6" s="73" t="s">
        <v>216</v>
      </c>
      <c r="H6" s="73"/>
      <c r="I6" s="74">
        <v>12420</v>
      </c>
      <c r="J6" s="74">
        <v>14540</v>
      </c>
      <c r="K6" s="74">
        <v>22899</v>
      </c>
      <c r="L6" s="74">
        <v>24879</v>
      </c>
      <c r="M6" s="74">
        <v>12248</v>
      </c>
      <c r="N6" s="74">
        <v>36852</v>
      </c>
      <c r="O6" s="74">
        <v>68593</v>
      </c>
      <c r="P6" s="74">
        <v>79975</v>
      </c>
      <c r="Q6" s="74">
        <v>0</v>
      </c>
      <c r="R6" s="74">
        <v>0</v>
      </c>
      <c r="S6" s="74">
        <v>0</v>
      </c>
      <c r="T6" s="74">
        <v>0</v>
      </c>
      <c r="U6" s="74">
        <v>0</v>
      </c>
      <c r="V6" s="74">
        <v>0</v>
      </c>
      <c r="W6" s="74">
        <v>0</v>
      </c>
      <c r="X6" s="74">
        <v>0</v>
      </c>
      <c r="Y6" s="74">
        <v>0</v>
      </c>
      <c r="Z6" s="74">
        <v>0</v>
      </c>
      <c r="AA6" s="74">
        <v>0</v>
      </c>
      <c r="AB6" s="74">
        <v>0</v>
      </c>
      <c r="AC6" s="74">
        <v>0</v>
      </c>
      <c r="AD6" s="74">
        <v>0</v>
      </c>
      <c r="AE6" s="74">
        <v>0</v>
      </c>
      <c r="AF6" s="74">
        <v>0</v>
      </c>
      <c r="AG6" s="74">
        <v>0</v>
      </c>
      <c r="AH6" s="74">
        <v>0</v>
      </c>
      <c r="AI6" s="74">
        <v>0</v>
      </c>
      <c r="AJ6" s="74">
        <v>0</v>
      </c>
      <c r="AK6" s="74"/>
      <c r="AL6" s="74">
        <v>112000</v>
      </c>
      <c r="AM6" s="74">
        <v>116000</v>
      </c>
      <c r="AN6" s="74">
        <v>125000</v>
      </c>
      <c r="AO6" s="74">
        <v>0</v>
      </c>
      <c r="AP6" s="74">
        <v>121000</v>
      </c>
      <c r="AQ6" s="74">
        <v>134250</v>
      </c>
      <c r="AR6" s="74">
        <v>138000</v>
      </c>
      <c r="AS6" s="74">
        <v>160000</v>
      </c>
      <c r="AT6" s="74">
        <v>138000</v>
      </c>
      <c r="AU6" s="74">
        <v>144000</v>
      </c>
      <c r="AV6" s="74">
        <v>154000</v>
      </c>
      <c r="AW6" s="74">
        <v>181500</v>
      </c>
      <c r="AX6" s="74">
        <v>151000</v>
      </c>
      <c r="AY6" s="74">
        <v>159000</v>
      </c>
      <c r="AZ6" s="74">
        <v>174000</v>
      </c>
      <c r="BA6" s="74">
        <v>206000</v>
      </c>
      <c r="BB6" s="74">
        <v>173500</v>
      </c>
      <c r="BC6" s="74">
        <v>194000</v>
      </c>
      <c r="BD6" s="74">
        <v>0</v>
      </c>
      <c r="BE6" s="74">
        <v>0</v>
      </c>
      <c r="BF6" s="74">
        <v>0</v>
      </c>
      <c r="BG6" s="74">
        <v>0</v>
      </c>
      <c r="BH6" s="74">
        <v>0</v>
      </c>
      <c r="BI6" s="74">
        <v>0</v>
      </c>
      <c r="BJ6" s="74">
        <v>0</v>
      </c>
      <c r="BK6" s="74">
        <v>0</v>
      </c>
      <c r="BL6" s="74">
        <v>0</v>
      </c>
      <c r="BM6" s="74">
        <v>0</v>
      </c>
      <c r="BN6" s="74">
        <v>0</v>
      </c>
      <c r="BO6" s="74">
        <v>0</v>
      </c>
      <c r="BP6" s="74">
        <v>0</v>
      </c>
      <c r="BQ6" s="74">
        <v>0</v>
      </c>
      <c r="BR6" s="74">
        <v>0</v>
      </c>
      <c r="BS6" s="74">
        <v>0</v>
      </c>
      <c r="BT6" s="74">
        <v>0</v>
      </c>
      <c r="BU6" s="74">
        <v>0</v>
      </c>
      <c r="BV6" s="74">
        <v>0</v>
      </c>
      <c r="BW6" s="74">
        <v>0</v>
      </c>
      <c r="BX6" s="74">
        <v>0</v>
      </c>
      <c r="BY6" s="74">
        <v>0</v>
      </c>
      <c r="BZ6" s="74">
        <v>0</v>
      </c>
      <c r="CA6" s="74">
        <v>0</v>
      </c>
      <c r="CB6" s="74">
        <v>0</v>
      </c>
      <c r="CC6" s="74">
        <v>0</v>
      </c>
      <c r="CD6" s="74">
        <v>0</v>
      </c>
      <c r="CE6" s="74">
        <v>0</v>
      </c>
      <c r="CF6" s="74">
        <v>0</v>
      </c>
      <c r="CG6" s="74">
        <v>0</v>
      </c>
      <c r="CH6" s="74">
        <v>0</v>
      </c>
      <c r="CI6" s="74">
        <v>0</v>
      </c>
      <c r="CJ6" s="74">
        <v>0</v>
      </c>
      <c r="CK6" s="74">
        <v>0</v>
      </c>
      <c r="CL6" s="74">
        <v>0</v>
      </c>
      <c r="CM6" s="74">
        <v>0</v>
      </c>
      <c r="CN6" s="74">
        <v>0</v>
      </c>
      <c r="CO6" s="74">
        <v>0</v>
      </c>
      <c r="CP6" s="74">
        <v>0</v>
      </c>
      <c r="CQ6" s="74">
        <v>0</v>
      </c>
      <c r="CR6" s="74">
        <v>0</v>
      </c>
      <c r="CS6" s="74">
        <v>0</v>
      </c>
      <c r="CT6" s="74">
        <v>0</v>
      </c>
      <c r="CU6" s="74">
        <v>0</v>
      </c>
      <c r="CV6" s="74">
        <v>0</v>
      </c>
      <c r="CW6" s="74">
        <v>0</v>
      </c>
      <c r="CX6" s="74">
        <v>0</v>
      </c>
      <c r="CY6" s="74">
        <v>0</v>
      </c>
      <c r="CZ6" s="74">
        <v>0</v>
      </c>
      <c r="DA6" s="74">
        <v>0</v>
      </c>
      <c r="DB6" s="74">
        <v>0</v>
      </c>
      <c r="DC6" s="74">
        <v>0</v>
      </c>
      <c r="DD6" s="74">
        <v>0</v>
      </c>
      <c r="DE6" s="74">
        <v>0</v>
      </c>
      <c r="DF6" s="74">
        <v>0</v>
      </c>
      <c r="DG6" s="74">
        <v>0</v>
      </c>
      <c r="DH6" s="74">
        <v>0</v>
      </c>
      <c r="DI6" s="74">
        <v>0</v>
      </c>
      <c r="DJ6" s="74">
        <v>0</v>
      </c>
      <c r="DK6" s="74">
        <v>0</v>
      </c>
      <c r="DL6" s="74">
        <v>0</v>
      </c>
      <c r="DM6" s="74">
        <v>0</v>
      </c>
      <c r="DN6" s="74">
        <v>0</v>
      </c>
      <c r="DO6" s="74">
        <v>0</v>
      </c>
      <c r="DP6" s="74">
        <v>0</v>
      </c>
      <c r="DQ6" s="74">
        <v>0</v>
      </c>
      <c r="DR6" s="74">
        <v>0</v>
      </c>
      <c r="DS6" s="74">
        <v>0</v>
      </c>
      <c r="DT6" s="74">
        <v>0</v>
      </c>
      <c r="DU6" s="74">
        <v>0</v>
      </c>
      <c r="DV6" s="74">
        <v>0</v>
      </c>
      <c r="DW6" s="74">
        <v>0</v>
      </c>
      <c r="DX6" s="74">
        <v>0</v>
      </c>
      <c r="DY6" s="74">
        <v>0</v>
      </c>
      <c r="DZ6" s="74">
        <v>0</v>
      </c>
      <c r="EA6" s="74">
        <v>0</v>
      </c>
      <c r="EB6" s="74">
        <v>0</v>
      </c>
      <c r="EC6" s="74">
        <v>0</v>
      </c>
      <c r="ED6" s="74"/>
      <c r="EE6" s="80">
        <v>46147</v>
      </c>
      <c r="EF6" s="81">
        <v>46147.490582986109</v>
      </c>
      <c r="EG6" s="66" t="s">
        <v>71</v>
      </c>
      <c r="EH6" s="66" t="s">
        <v>209</v>
      </c>
      <c r="EI6" s="66" t="s">
        <v>6</v>
      </c>
      <c r="EJ6" s="66">
        <v>12</v>
      </c>
      <c r="EK6" s="66">
        <v>2027</v>
      </c>
      <c r="EL6" s="66" t="s">
        <v>24</v>
      </c>
      <c r="EM6" s="82">
        <v>290.68389790090976</v>
      </c>
      <c r="EN6" s="82">
        <v>257.5814628146079</v>
      </c>
      <c r="EO6" s="77">
        <v>273.51499999999999</v>
      </c>
      <c r="EP6" s="84">
        <v>0.20185877210205863</v>
      </c>
      <c r="EQ6" s="84">
        <v>0.20646392611324274</v>
      </c>
      <c r="ER6" s="84">
        <v>3.7812199999999997E-2</v>
      </c>
      <c r="ES6" s="85">
        <v>0.97269429659977535</v>
      </c>
      <c r="ET6" s="86">
        <v>1.4621999999999999</v>
      </c>
      <c r="EU6" s="85">
        <v>0.15269873395245903</v>
      </c>
      <c r="EV6" s="85">
        <v>3.6374216079711912E-2</v>
      </c>
      <c r="EW6" s="76">
        <v>3</v>
      </c>
      <c r="EX6" s="76" t="s">
        <v>32</v>
      </c>
      <c r="EY6" s="74" t="s">
        <v>243</v>
      </c>
      <c r="EZ6" s="74"/>
      <c r="FA6" s="74"/>
      <c r="FB6" s="74"/>
      <c r="FC6" s="74"/>
      <c r="FD6" s="68"/>
      <c r="FH6" s="73"/>
      <c r="FI6" s="74"/>
      <c r="FJ6" s="74"/>
      <c r="FK6" s="74"/>
      <c r="FL6" s="74"/>
      <c r="FM6" s="74"/>
      <c r="FN6" s="74"/>
      <c r="FO6" s="74"/>
      <c r="FP6" s="74"/>
      <c r="FQ6" s="74"/>
      <c r="FR6" s="74"/>
      <c r="FS6" s="74"/>
      <c r="FT6" s="74"/>
      <c r="FU6" s="74"/>
      <c r="FV6" s="74"/>
      <c r="FW6" s="74"/>
      <c r="FX6" s="74"/>
      <c r="FY6" s="74"/>
      <c r="FZ6" s="74"/>
      <c r="GA6" s="68"/>
    </row>
    <row r="7" spans="1:183" s="2" customFormat="1" ht="15" x14ac:dyDescent="0.3">
      <c r="A7" s="73" t="s">
        <v>11</v>
      </c>
      <c r="B7" s="73" t="s">
        <v>230</v>
      </c>
      <c r="C7" s="73" t="s">
        <v>40</v>
      </c>
      <c r="D7" s="73" t="s">
        <v>48</v>
      </c>
      <c r="E7" s="73" t="s">
        <v>178</v>
      </c>
      <c r="F7" s="73" t="s">
        <v>210</v>
      </c>
      <c r="G7" s="73" t="s">
        <v>216</v>
      </c>
      <c r="H7" s="73"/>
      <c r="I7" s="74">
        <v>0</v>
      </c>
      <c r="J7" s="74">
        <v>0</v>
      </c>
      <c r="K7" s="74">
        <v>0</v>
      </c>
      <c r="L7" s="74">
        <v>0</v>
      </c>
      <c r="M7" s="74">
        <v>11317.95671630112</v>
      </c>
      <c r="N7" s="74">
        <v>29377.149503859389</v>
      </c>
      <c r="O7" s="74">
        <v>54772.648132663642</v>
      </c>
      <c r="P7" s="74">
        <v>64969.207999999999</v>
      </c>
      <c r="Q7" s="74">
        <v>85902.252870000011</v>
      </c>
      <c r="R7" s="74">
        <v>108303.8907912616</v>
      </c>
      <c r="S7" s="74">
        <v>114955.41042506168</v>
      </c>
      <c r="T7" s="74">
        <v>147509.74204706919</v>
      </c>
      <c r="U7" s="74">
        <v>0</v>
      </c>
      <c r="V7" s="74">
        <v>0</v>
      </c>
      <c r="W7" s="74">
        <v>0</v>
      </c>
      <c r="X7" s="74">
        <v>0</v>
      </c>
      <c r="Y7" s="74">
        <v>0</v>
      </c>
      <c r="Z7" s="74">
        <v>0</v>
      </c>
      <c r="AA7" s="74">
        <v>0</v>
      </c>
      <c r="AB7" s="74">
        <v>0</v>
      </c>
      <c r="AC7" s="74">
        <v>0</v>
      </c>
      <c r="AD7" s="74">
        <v>0</v>
      </c>
      <c r="AE7" s="74">
        <v>0</v>
      </c>
      <c r="AF7" s="74">
        <v>0</v>
      </c>
      <c r="AG7" s="74">
        <v>0</v>
      </c>
      <c r="AH7" s="74">
        <v>0</v>
      </c>
      <c r="AI7" s="74">
        <v>0</v>
      </c>
      <c r="AJ7" s="74">
        <v>0</v>
      </c>
      <c r="AK7" s="74"/>
      <c r="AL7" s="74">
        <v>0</v>
      </c>
      <c r="AM7" s="74">
        <v>0</v>
      </c>
      <c r="AN7" s="74">
        <v>0</v>
      </c>
      <c r="AO7" s="74">
        <v>0</v>
      </c>
      <c r="AP7" s="74">
        <v>0</v>
      </c>
      <c r="AQ7" s="74">
        <v>0</v>
      </c>
      <c r="AR7" s="74">
        <v>0</v>
      </c>
      <c r="AS7" s="74">
        <v>0</v>
      </c>
      <c r="AT7" s="74">
        <v>0</v>
      </c>
      <c r="AU7" s="74">
        <v>0</v>
      </c>
      <c r="AV7" s="74">
        <v>0</v>
      </c>
      <c r="AW7" s="74">
        <v>0</v>
      </c>
      <c r="AX7" s="74">
        <v>0</v>
      </c>
      <c r="AY7" s="74">
        <v>0</v>
      </c>
      <c r="AZ7" s="74">
        <v>0</v>
      </c>
      <c r="BA7" s="74">
        <v>0</v>
      </c>
      <c r="BB7" s="74">
        <v>0</v>
      </c>
      <c r="BC7" s="74">
        <v>0</v>
      </c>
      <c r="BD7" s="74">
        <v>0</v>
      </c>
      <c r="BE7" s="74">
        <v>0</v>
      </c>
      <c r="BF7" s="74">
        <v>0</v>
      </c>
      <c r="BG7" s="74">
        <v>0</v>
      </c>
      <c r="BH7" s="74">
        <v>0</v>
      </c>
      <c r="BI7" s="74">
        <v>0</v>
      </c>
      <c r="BJ7" s="74">
        <v>0</v>
      </c>
      <c r="BK7" s="74">
        <v>0</v>
      </c>
      <c r="BL7" s="74">
        <v>0</v>
      </c>
      <c r="BM7" s="74">
        <v>0</v>
      </c>
      <c r="BN7" s="74">
        <v>0</v>
      </c>
      <c r="BO7" s="74">
        <v>0</v>
      </c>
      <c r="BP7" s="74">
        <v>0</v>
      </c>
      <c r="BQ7" s="74">
        <v>0</v>
      </c>
      <c r="BR7" s="74">
        <v>0</v>
      </c>
      <c r="BS7" s="74">
        <v>0</v>
      </c>
      <c r="BT7" s="74">
        <v>0</v>
      </c>
      <c r="BU7" s="74">
        <v>0</v>
      </c>
      <c r="BV7" s="74">
        <v>0</v>
      </c>
      <c r="BW7" s="74">
        <v>0</v>
      </c>
      <c r="BX7" s="74">
        <v>0</v>
      </c>
      <c r="BY7" s="74">
        <v>0</v>
      </c>
      <c r="BZ7" s="74">
        <v>0</v>
      </c>
      <c r="CA7" s="74">
        <v>0</v>
      </c>
      <c r="CB7" s="74">
        <v>0</v>
      </c>
      <c r="CC7" s="74">
        <v>0</v>
      </c>
      <c r="CD7" s="74">
        <v>0</v>
      </c>
      <c r="CE7" s="74">
        <v>0</v>
      </c>
      <c r="CF7" s="74">
        <v>0</v>
      </c>
      <c r="CG7" s="74">
        <v>0</v>
      </c>
      <c r="CH7" s="74">
        <v>0</v>
      </c>
      <c r="CI7" s="74">
        <v>0</v>
      </c>
      <c r="CJ7" s="74">
        <v>0</v>
      </c>
      <c r="CK7" s="74">
        <v>0</v>
      </c>
      <c r="CL7" s="74">
        <v>0</v>
      </c>
      <c r="CM7" s="74">
        <v>0</v>
      </c>
      <c r="CN7" s="74">
        <v>0</v>
      </c>
      <c r="CO7" s="74">
        <v>0</v>
      </c>
      <c r="CP7" s="74">
        <v>0</v>
      </c>
      <c r="CQ7" s="74">
        <v>0</v>
      </c>
      <c r="CR7" s="74">
        <v>0</v>
      </c>
      <c r="CS7" s="74">
        <v>0</v>
      </c>
      <c r="CT7" s="74">
        <v>0</v>
      </c>
      <c r="CU7" s="74">
        <v>0</v>
      </c>
      <c r="CV7" s="74">
        <v>0</v>
      </c>
      <c r="CW7" s="74">
        <v>0</v>
      </c>
      <c r="CX7" s="74">
        <v>0</v>
      </c>
      <c r="CY7" s="74">
        <v>0</v>
      </c>
      <c r="CZ7" s="74">
        <v>0</v>
      </c>
      <c r="DA7" s="74">
        <v>0</v>
      </c>
      <c r="DB7" s="74">
        <v>0</v>
      </c>
      <c r="DC7" s="74">
        <v>0</v>
      </c>
      <c r="DD7" s="74">
        <v>0</v>
      </c>
      <c r="DE7" s="74">
        <v>0</v>
      </c>
      <c r="DF7" s="74">
        <v>0</v>
      </c>
      <c r="DG7" s="74">
        <v>0</v>
      </c>
      <c r="DH7" s="74">
        <v>0</v>
      </c>
      <c r="DI7" s="74">
        <v>0</v>
      </c>
      <c r="DJ7" s="74">
        <v>0</v>
      </c>
      <c r="DK7" s="74">
        <v>0</v>
      </c>
      <c r="DL7" s="74">
        <v>0</v>
      </c>
      <c r="DM7" s="74">
        <v>0</v>
      </c>
      <c r="DN7" s="74">
        <v>0</v>
      </c>
      <c r="DO7" s="74">
        <v>0</v>
      </c>
      <c r="DP7" s="74">
        <v>0</v>
      </c>
      <c r="DQ7" s="74">
        <v>0</v>
      </c>
      <c r="DR7" s="74">
        <v>0</v>
      </c>
      <c r="DS7" s="74">
        <v>0</v>
      </c>
      <c r="DT7" s="74">
        <v>0</v>
      </c>
      <c r="DU7" s="74">
        <v>0</v>
      </c>
      <c r="DV7" s="74">
        <v>0</v>
      </c>
      <c r="DW7" s="74">
        <v>0</v>
      </c>
      <c r="DX7" s="74">
        <v>0</v>
      </c>
      <c r="DY7" s="74">
        <v>0</v>
      </c>
      <c r="DZ7" s="74">
        <v>0</v>
      </c>
      <c r="EA7" s="74">
        <v>0</v>
      </c>
      <c r="EB7" s="74">
        <v>0</v>
      </c>
      <c r="EC7" s="74">
        <v>0</v>
      </c>
      <c r="ED7" s="74"/>
      <c r="EE7" s="80">
        <v>46147</v>
      </c>
      <c r="EF7" s="81">
        <v>46147.490582986109</v>
      </c>
      <c r="EG7" s="66" t="s">
        <v>71</v>
      </c>
      <c r="EH7" s="66" t="s">
        <v>209</v>
      </c>
      <c r="EI7" s="66" t="s">
        <v>2</v>
      </c>
      <c r="EJ7" s="66">
        <v>29</v>
      </c>
      <c r="EK7" s="66">
        <v>2027</v>
      </c>
      <c r="EL7" s="66" t="s">
        <v>24</v>
      </c>
      <c r="EM7" s="82">
        <v>291.95147087321232</v>
      </c>
      <c r="EN7" s="82">
        <v>258.05495167789337</v>
      </c>
      <c r="EO7" s="77">
        <v>273.51499999999999</v>
      </c>
      <c r="EP7" s="84">
        <v>0.20185877210205863</v>
      </c>
      <c r="EQ7" s="84">
        <v>0.20646392611324274</v>
      </c>
      <c r="ER7" s="84">
        <v>3.7812199999999997E-2</v>
      </c>
      <c r="ES7" s="85">
        <v>0.97269429659977535</v>
      </c>
      <c r="ET7" s="86">
        <v>1.4621999999999999</v>
      </c>
      <c r="EU7" s="85">
        <v>0.15269873395245903</v>
      </c>
      <c r="EV7" s="85">
        <v>3.6374216079711912E-2</v>
      </c>
      <c r="EW7" s="76">
        <v>3</v>
      </c>
      <c r="EX7" s="76" t="s">
        <v>32</v>
      </c>
      <c r="EY7" s="74" t="s">
        <v>243</v>
      </c>
      <c r="EZ7" s="74"/>
      <c r="FA7" s="74"/>
      <c r="FB7" s="74"/>
      <c r="FC7" s="74"/>
      <c r="FD7" s="68"/>
      <c r="FH7" s="73"/>
      <c r="FI7" s="74"/>
      <c r="FJ7" s="74"/>
      <c r="FK7" s="74"/>
      <c r="FL7" s="74"/>
      <c r="FM7" s="74"/>
      <c r="FN7" s="74"/>
      <c r="FO7" s="74"/>
      <c r="FP7" s="74"/>
      <c r="FQ7" s="74"/>
      <c r="FR7" s="74"/>
      <c r="FS7" s="74"/>
      <c r="FT7" s="74"/>
      <c r="FU7" s="74"/>
      <c r="FV7" s="74"/>
      <c r="FW7" s="74"/>
      <c r="FX7" s="74"/>
      <c r="FY7" s="74"/>
      <c r="FZ7" s="74"/>
      <c r="GA7" s="68"/>
    </row>
    <row r="8" spans="1:183" s="2" customFormat="1" ht="15" x14ac:dyDescent="0.3">
      <c r="A8" s="73" t="s">
        <v>156</v>
      </c>
      <c r="B8" s="73" t="s">
        <v>231</v>
      </c>
      <c r="C8" s="73" t="s">
        <v>41</v>
      </c>
      <c r="D8" s="73" t="s">
        <v>48</v>
      </c>
      <c r="E8" s="73" t="s">
        <v>217</v>
      </c>
      <c r="F8" s="73" t="s">
        <v>218</v>
      </c>
      <c r="G8" s="73" t="s">
        <v>216</v>
      </c>
      <c r="H8" s="73"/>
      <c r="I8" s="74">
        <v>0</v>
      </c>
      <c r="J8" s="74">
        <v>0</v>
      </c>
      <c r="K8" s="74">
        <v>0</v>
      </c>
      <c r="L8" s="74">
        <v>0</v>
      </c>
      <c r="M8" s="74">
        <v>10189</v>
      </c>
      <c r="N8" s="74">
        <v>10492</v>
      </c>
      <c r="O8" s="74">
        <v>10721</v>
      </c>
      <c r="P8" s="74">
        <v>10827</v>
      </c>
      <c r="Q8" s="74">
        <v>10827</v>
      </c>
      <c r="R8" s="74">
        <v>10827</v>
      </c>
      <c r="S8" s="74">
        <v>10827</v>
      </c>
      <c r="T8" s="74">
        <v>10827</v>
      </c>
      <c r="U8" s="74">
        <v>0</v>
      </c>
      <c r="V8" s="74">
        <v>0</v>
      </c>
      <c r="W8" s="74">
        <v>0</v>
      </c>
      <c r="X8" s="74">
        <v>0</v>
      </c>
      <c r="Y8" s="74">
        <v>0</v>
      </c>
      <c r="Z8" s="74">
        <v>0</v>
      </c>
      <c r="AA8" s="74">
        <v>0</v>
      </c>
      <c r="AB8" s="74">
        <v>0</v>
      </c>
      <c r="AC8" s="74">
        <v>0</v>
      </c>
      <c r="AD8" s="74">
        <v>0</v>
      </c>
      <c r="AE8" s="74">
        <v>0</v>
      </c>
      <c r="AF8" s="74">
        <v>0</v>
      </c>
      <c r="AG8" s="74">
        <v>0</v>
      </c>
      <c r="AH8" s="74">
        <v>0</v>
      </c>
      <c r="AI8" s="74">
        <v>0</v>
      </c>
      <c r="AJ8" s="74">
        <v>0</v>
      </c>
      <c r="AK8" s="74"/>
      <c r="AL8" s="74">
        <v>0</v>
      </c>
      <c r="AM8" s="74">
        <v>0</v>
      </c>
      <c r="AN8" s="74">
        <v>0</v>
      </c>
      <c r="AO8" s="74">
        <v>0</v>
      </c>
      <c r="AP8" s="74">
        <v>0</v>
      </c>
      <c r="AQ8" s="74">
        <v>0</v>
      </c>
      <c r="AR8" s="74">
        <v>0</v>
      </c>
      <c r="AS8" s="74">
        <v>0</v>
      </c>
      <c r="AT8" s="74">
        <v>0</v>
      </c>
      <c r="AU8" s="74">
        <v>0</v>
      </c>
      <c r="AV8" s="74">
        <v>0</v>
      </c>
      <c r="AW8" s="74">
        <v>0</v>
      </c>
      <c r="AX8" s="74">
        <v>0</v>
      </c>
      <c r="AY8" s="74">
        <v>0</v>
      </c>
      <c r="AZ8" s="74">
        <v>0</v>
      </c>
      <c r="BA8" s="74">
        <v>0</v>
      </c>
      <c r="BB8" s="74">
        <v>0</v>
      </c>
      <c r="BC8" s="74">
        <v>0</v>
      </c>
      <c r="BD8" s="74">
        <v>0</v>
      </c>
      <c r="BE8" s="74">
        <v>0</v>
      </c>
      <c r="BF8" s="74">
        <v>0</v>
      </c>
      <c r="BG8" s="74">
        <v>0</v>
      </c>
      <c r="BH8" s="74">
        <v>0</v>
      </c>
      <c r="BI8" s="74">
        <v>0</v>
      </c>
      <c r="BJ8" s="74">
        <v>0</v>
      </c>
      <c r="BK8" s="74">
        <v>0</v>
      </c>
      <c r="BL8" s="74">
        <v>0</v>
      </c>
      <c r="BM8" s="74">
        <v>0</v>
      </c>
      <c r="BN8" s="74">
        <v>0</v>
      </c>
      <c r="BO8" s="74">
        <v>0</v>
      </c>
      <c r="BP8" s="74">
        <v>0</v>
      </c>
      <c r="BQ8" s="74">
        <v>0</v>
      </c>
      <c r="BR8" s="74">
        <v>0</v>
      </c>
      <c r="BS8" s="74">
        <v>0</v>
      </c>
      <c r="BT8" s="74">
        <v>0</v>
      </c>
      <c r="BU8" s="74">
        <v>0</v>
      </c>
      <c r="BV8" s="74">
        <v>0</v>
      </c>
      <c r="BW8" s="74">
        <v>0</v>
      </c>
      <c r="BX8" s="74">
        <v>0</v>
      </c>
      <c r="BY8" s="74">
        <v>0</v>
      </c>
      <c r="BZ8" s="74">
        <v>0</v>
      </c>
      <c r="CA8" s="74">
        <v>0</v>
      </c>
      <c r="CB8" s="74">
        <v>0</v>
      </c>
      <c r="CC8" s="74">
        <v>0</v>
      </c>
      <c r="CD8" s="74">
        <v>0</v>
      </c>
      <c r="CE8" s="74">
        <v>0</v>
      </c>
      <c r="CF8" s="74">
        <v>0</v>
      </c>
      <c r="CG8" s="74">
        <v>0</v>
      </c>
      <c r="CH8" s="74">
        <v>0</v>
      </c>
      <c r="CI8" s="74">
        <v>0</v>
      </c>
      <c r="CJ8" s="74">
        <v>0</v>
      </c>
      <c r="CK8" s="74">
        <v>0</v>
      </c>
      <c r="CL8" s="74">
        <v>0</v>
      </c>
      <c r="CM8" s="74">
        <v>0</v>
      </c>
      <c r="CN8" s="74">
        <v>0</v>
      </c>
      <c r="CO8" s="74">
        <v>0</v>
      </c>
      <c r="CP8" s="74">
        <v>0</v>
      </c>
      <c r="CQ8" s="74">
        <v>0</v>
      </c>
      <c r="CR8" s="74">
        <v>0</v>
      </c>
      <c r="CS8" s="74">
        <v>0</v>
      </c>
      <c r="CT8" s="74">
        <v>0</v>
      </c>
      <c r="CU8" s="74">
        <v>0</v>
      </c>
      <c r="CV8" s="74">
        <v>0</v>
      </c>
      <c r="CW8" s="74">
        <v>0</v>
      </c>
      <c r="CX8" s="74">
        <v>0</v>
      </c>
      <c r="CY8" s="74">
        <v>0</v>
      </c>
      <c r="CZ8" s="74">
        <v>0</v>
      </c>
      <c r="DA8" s="74">
        <v>0</v>
      </c>
      <c r="DB8" s="74">
        <v>0</v>
      </c>
      <c r="DC8" s="74">
        <v>0</v>
      </c>
      <c r="DD8" s="74">
        <v>0</v>
      </c>
      <c r="DE8" s="74">
        <v>0</v>
      </c>
      <c r="DF8" s="74">
        <v>0</v>
      </c>
      <c r="DG8" s="74">
        <v>0</v>
      </c>
      <c r="DH8" s="74">
        <v>0</v>
      </c>
      <c r="DI8" s="74">
        <v>0</v>
      </c>
      <c r="DJ8" s="74">
        <v>0</v>
      </c>
      <c r="DK8" s="74">
        <v>0</v>
      </c>
      <c r="DL8" s="74">
        <v>0</v>
      </c>
      <c r="DM8" s="74">
        <v>0</v>
      </c>
      <c r="DN8" s="74">
        <v>0</v>
      </c>
      <c r="DO8" s="74">
        <v>0</v>
      </c>
      <c r="DP8" s="74">
        <v>0</v>
      </c>
      <c r="DQ8" s="74">
        <v>0</v>
      </c>
      <c r="DR8" s="74">
        <v>0</v>
      </c>
      <c r="DS8" s="74">
        <v>0</v>
      </c>
      <c r="DT8" s="74">
        <v>0</v>
      </c>
      <c r="DU8" s="74">
        <v>0</v>
      </c>
      <c r="DV8" s="74">
        <v>0</v>
      </c>
      <c r="DW8" s="74">
        <v>0</v>
      </c>
      <c r="DX8" s="74">
        <v>0</v>
      </c>
      <c r="DY8" s="74">
        <v>0</v>
      </c>
      <c r="DZ8" s="74">
        <v>0</v>
      </c>
      <c r="EA8" s="74">
        <v>0</v>
      </c>
      <c r="EB8" s="74">
        <v>0</v>
      </c>
      <c r="EC8" s="74">
        <v>0</v>
      </c>
      <c r="ED8" s="74"/>
      <c r="EE8" s="80">
        <v>46147</v>
      </c>
      <c r="EF8" s="81">
        <v>46147.490582986109</v>
      </c>
      <c r="EG8" s="66" t="s">
        <v>71</v>
      </c>
      <c r="EH8" s="66" t="s">
        <v>209</v>
      </c>
      <c r="EI8" s="66" t="s">
        <v>2</v>
      </c>
      <c r="EJ8" s="66">
        <v>29</v>
      </c>
      <c r="EK8" s="66">
        <v>2027</v>
      </c>
      <c r="EL8" s="66" t="s">
        <v>24</v>
      </c>
      <c r="EM8" s="82">
        <v>291.95147087321232</v>
      </c>
      <c r="EN8" s="82">
        <v>258.05495167789337</v>
      </c>
      <c r="EO8" s="77">
        <v>273.51499999999999</v>
      </c>
      <c r="EP8" s="84">
        <v>0.20185877210205863</v>
      </c>
      <c r="EQ8" s="84">
        <v>0.20646392611324274</v>
      </c>
      <c r="ER8" s="84">
        <v>3.7812199999999997E-2</v>
      </c>
      <c r="ES8" s="85">
        <v>0.97269429659977535</v>
      </c>
      <c r="ET8" s="86">
        <v>1.4621999999999999</v>
      </c>
      <c r="EU8" s="85">
        <v>0.15269873395245903</v>
      </c>
      <c r="EV8" s="85">
        <v>3.6374216079711912E-2</v>
      </c>
      <c r="EW8" s="76">
        <v>3</v>
      </c>
      <c r="EX8" s="76" t="s">
        <v>32</v>
      </c>
      <c r="EY8" s="74" t="s">
        <v>243</v>
      </c>
      <c r="EZ8" s="74"/>
      <c r="FA8" s="74"/>
      <c r="FB8" s="74"/>
      <c r="FC8" s="74"/>
      <c r="FD8" s="68"/>
      <c r="FH8" s="73"/>
      <c r="FI8" s="74"/>
      <c r="FJ8" s="74"/>
      <c r="FK8" s="74"/>
      <c r="FL8" s="74"/>
      <c r="FM8" s="74"/>
      <c r="FN8" s="74"/>
      <c r="FO8" s="74"/>
      <c r="FP8" s="74"/>
      <c r="FQ8" s="74"/>
      <c r="FR8" s="74"/>
      <c r="FS8" s="74"/>
      <c r="FT8" s="74"/>
      <c r="FU8" s="74"/>
      <c r="FV8" s="74"/>
      <c r="FW8" s="74"/>
      <c r="FX8" s="74"/>
      <c r="FY8" s="74"/>
      <c r="FZ8" s="74"/>
      <c r="GA8" s="68"/>
    </row>
    <row r="9" spans="1:183" s="2" customFormat="1" ht="15" x14ac:dyDescent="0.3">
      <c r="A9" s="73" t="s">
        <v>4</v>
      </c>
      <c r="B9" s="73" t="s">
        <v>232</v>
      </c>
      <c r="C9" s="73" t="s">
        <v>38</v>
      </c>
      <c r="D9" s="73" t="s">
        <v>48</v>
      </c>
      <c r="E9" s="73" t="s">
        <v>178</v>
      </c>
      <c r="F9" s="73" t="s">
        <v>210</v>
      </c>
      <c r="G9" s="73" t="s">
        <v>216</v>
      </c>
      <c r="H9" s="73"/>
      <c r="I9" s="74">
        <v>0</v>
      </c>
      <c r="J9" s="74">
        <v>0</v>
      </c>
      <c r="K9" s="74">
        <v>0</v>
      </c>
      <c r="L9" s="74">
        <v>0</v>
      </c>
      <c r="M9" s="74">
        <v>41921</v>
      </c>
      <c r="N9" s="74">
        <v>48663</v>
      </c>
      <c r="O9" s="74">
        <v>52796</v>
      </c>
      <c r="P9" s="74">
        <v>65756</v>
      </c>
      <c r="Q9" s="74">
        <v>84922.049369224347</v>
      </c>
      <c r="R9" s="74">
        <v>109042.33454094813</v>
      </c>
      <c r="S9" s="74">
        <v>124666.92237188293</v>
      </c>
      <c r="T9" s="74">
        <v>146287.92914104238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  <c r="AD9" s="74">
        <v>0</v>
      </c>
      <c r="AE9" s="74">
        <v>0</v>
      </c>
      <c r="AF9" s="74">
        <v>0</v>
      </c>
      <c r="AG9" s="74">
        <v>0</v>
      </c>
      <c r="AH9" s="74">
        <v>0</v>
      </c>
      <c r="AI9" s="74">
        <v>0</v>
      </c>
      <c r="AJ9" s="74">
        <v>0</v>
      </c>
      <c r="AK9" s="74"/>
      <c r="AL9" s="74">
        <v>0</v>
      </c>
      <c r="AM9" s="74">
        <v>0</v>
      </c>
      <c r="AN9" s="74">
        <v>0</v>
      </c>
      <c r="AO9" s="74">
        <v>0</v>
      </c>
      <c r="AP9" s="74">
        <v>0</v>
      </c>
      <c r="AQ9" s="74">
        <v>0</v>
      </c>
      <c r="AR9" s="74">
        <v>0</v>
      </c>
      <c r="AS9" s="74">
        <v>0</v>
      </c>
      <c r="AT9" s="74">
        <v>0</v>
      </c>
      <c r="AU9" s="74">
        <v>0</v>
      </c>
      <c r="AV9" s="74">
        <v>0</v>
      </c>
      <c r="AW9" s="74">
        <v>0</v>
      </c>
      <c r="AX9" s="74">
        <v>0</v>
      </c>
      <c r="AY9" s="74">
        <v>0</v>
      </c>
      <c r="AZ9" s="74">
        <v>0</v>
      </c>
      <c r="BA9" s="74">
        <v>0</v>
      </c>
      <c r="BB9" s="74">
        <v>0</v>
      </c>
      <c r="BC9" s="74">
        <v>0</v>
      </c>
      <c r="BD9" s="74">
        <v>0</v>
      </c>
      <c r="BE9" s="74">
        <v>0</v>
      </c>
      <c r="BF9" s="74">
        <v>0</v>
      </c>
      <c r="BG9" s="74">
        <v>0</v>
      </c>
      <c r="BH9" s="74">
        <v>0</v>
      </c>
      <c r="BI9" s="74">
        <v>0</v>
      </c>
      <c r="BJ9" s="74">
        <v>0</v>
      </c>
      <c r="BK9" s="74">
        <v>0</v>
      </c>
      <c r="BL9" s="74">
        <v>0</v>
      </c>
      <c r="BM9" s="74">
        <v>0</v>
      </c>
      <c r="BN9" s="74">
        <v>0</v>
      </c>
      <c r="BO9" s="74">
        <v>0</v>
      </c>
      <c r="BP9" s="74">
        <v>0</v>
      </c>
      <c r="BQ9" s="74">
        <v>0</v>
      </c>
      <c r="BR9" s="74">
        <v>0</v>
      </c>
      <c r="BS9" s="74">
        <v>0</v>
      </c>
      <c r="BT9" s="74">
        <v>0</v>
      </c>
      <c r="BU9" s="74">
        <v>0</v>
      </c>
      <c r="BV9" s="74">
        <v>0</v>
      </c>
      <c r="BW9" s="74">
        <v>0</v>
      </c>
      <c r="BX9" s="74">
        <v>0</v>
      </c>
      <c r="BY9" s="74">
        <v>0</v>
      </c>
      <c r="BZ9" s="74">
        <v>0</v>
      </c>
      <c r="CA9" s="74">
        <v>0</v>
      </c>
      <c r="CB9" s="74">
        <v>0</v>
      </c>
      <c r="CC9" s="74">
        <v>0</v>
      </c>
      <c r="CD9" s="74">
        <v>0</v>
      </c>
      <c r="CE9" s="74">
        <v>0</v>
      </c>
      <c r="CF9" s="74">
        <v>0</v>
      </c>
      <c r="CG9" s="74">
        <v>0</v>
      </c>
      <c r="CH9" s="74">
        <v>0</v>
      </c>
      <c r="CI9" s="74">
        <v>0</v>
      </c>
      <c r="CJ9" s="74">
        <v>0</v>
      </c>
      <c r="CK9" s="74">
        <v>0</v>
      </c>
      <c r="CL9" s="74">
        <v>0</v>
      </c>
      <c r="CM9" s="74">
        <v>0</v>
      </c>
      <c r="CN9" s="74">
        <v>0</v>
      </c>
      <c r="CO9" s="74">
        <v>0</v>
      </c>
      <c r="CP9" s="74">
        <v>0</v>
      </c>
      <c r="CQ9" s="74">
        <v>0</v>
      </c>
      <c r="CR9" s="74">
        <v>0</v>
      </c>
      <c r="CS9" s="74">
        <v>0</v>
      </c>
      <c r="CT9" s="74">
        <v>0</v>
      </c>
      <c r="CU9" s="74">
        <v>0</v>
      </c>
      <c r="CV9" s="74">
        <v>0</v>
      </c>
      <c r="CW9" s="74">
        <v>0</v>
      </c>
      <c r="CX9" s="74">
        <v>0</v>
      </c>
      <c r="CY9" s="74">
        <v>0</v>
      </c>
      <c r="CZ9" s="74">
        <v>0</v>
      </c>
      <c r="DA9" s="74">
        <v>0</v>
      </c>
      <c r="DB9" s="74">
        <v>0</v>
      </c>
      <c r="DC9" s="74">
        <v>0</v>
      </c>
      <c r="DD9" s="74">
        <v>0</v>
      </c>
      <c r="DE9" s="74">
        <v>0</v>
      </c>
      <c r="DF9" s="74">
        <v>0</v>
      </c>
      <c r="DG9" s="74">
        <v>0</v>
      </c>
      <c r="DH9" s="74">
        <v>0</v>
      </c>
      <c r="DI9" s="74">
        <v>0</v>
      </c>
      <c r="DJ9" s="74">
        <v>0</v>
      </c>
      <c r="DK9" s="74">
        <v>0</v>
      </c>
      <c r="DL9" s="74">
        <v>0</v>
      </c>
      <c r="DM9" s="74">
        <v>0</v>
      </c>
      <c r="DN9" s="74">
        <v>0</v>
      </c>
      <c r="DO9" s="74">
        <v>0</v>
      </c>
      <c r="DP9" s="74">
        <v>0</v>
      </c>
      <c r="DQ9" s="74">
        <v>0</v>
      </c>
      <c r="DR9" s="74">
        <v>0</v>
      </c>
      <c r="DS9" s="74">
        <v>0</v>
      </c>
      <c r="DT9" s="74">
        <v>0</v>
      </c>
      <c r="DU9" s="74">
        <v>0</v>
      </c>
      <c r="DV9" s="74">
        <v>0</v>
      </c>
      <c r="DW9" s="74">
        <v>0</v>
      </c>
      <c r="DX9" s="74">
        <v>0</v>
      </c>
      <c r="DY9" s="74">
        <v>0</v>
      </c>
      <c r="DZ9" s="74">
        <v>0</v>
      </c>
      <c r="EA9" s="74">
        <v>0</v>
      </c>
      <c r="EB9" s="74">
        <v>0</v>
      </c>
      <c r="EC9" s="74">
        <v>0</v>
      </c>
      <c r="ED9" s="74"/>
      <c r="EE9" s="80">
        <v>46147</v>
      </c>
      <c r="EF9" s="81">
        <v>46147.490582986109</v>
      </c>
      <c r="EG9" s="66" t="s">
        <v>71</v>
      </c>
      <c r="EH9" s="66" t="s">
        <v>209</v>
      </c>
      <c r="EI9" s="66" t="s">
        <v>6</v>
      </c>
      <c r="EJ9" s="66">
        <v>12</v>
      </c>
      <c r="EK9" s="66">
        <v>2027</v>
      </c>
      <c r="EL9" s="66" t="s">
        <v>24</v>
      </c>
      <c r="EM9" s="82">
        <v>290.68389790090976</v>
      </c>
      <c r="EN9" s="82">
        <v>257.5814628146079</v>
      </c>
      <c r="EO9" s="77">
        <v>273.51499999999999</v>
      </c>
      <c r="EP9" s="84">
        <v>0.20185877210205863</v>
      </c>
      <c r="EQ9" s="84">
        <v>0.20646392611324274</v>
      </c>
      <c r="ER9" s="84">
        <v>3.7812199999999997E-2</v>
      </c>
      <c r="ES9" s="85">
        <v>0.97269429659977535</v>
      </c>
      <c r="ET9" s="86">
        <v>1.4621999999999999</v>
      </c>
      <c r="EU9" s="85">
        <v>0.15269873395245903</v>
      </c>
      <c r="EV9" s="85">
        <v>3.6374216079711912E-2</v>
      </c>
      <c r="EW9" s="76">
        <v>3</v>
      </c>
      <c r="EX9" s="76" t="s">
        <v>32</v>
      </c>
      <c r="EY9" s="74" t="s">
        <v>243</v>
      </c>
      <c r="EZ9" s="74"/>
      <c r="FA9" s="74"/>
      <c r="FB9" s="74"/>
      <c r="FC9" s="74"/>
      <c r="FD9" s="68"/>
      <c r="FH9" s="73"/>
      <c r="FI9" s="74"/>
      <c r="FJ9" s="74"/>
      <c r="FK9" s="74"/>
      <c r="FL9" s="74"/>
      <c r="FM9" s="74"/>
      <c r="FN9" s="74"/>
      <c r="FO9" s="74"/>
      <c r="FP9" s="74"/>
      <c r="FQ9" s="74"/>
      <c r="FR9" s="74"/>
      <c r="FS9" s="74"/>
      <c r="FT9" s="74"/>
      <c r="FU9" s="74"/>
      <c r="FV9" s="74"/>
      <c r="FW9" s="74"/>
      <c r="FX9" s="74"/>
      <c r="FY9" s="74"/>
      <c r="FZ9" s="74"/>
      <c r="GA9" s="68"/>
    </row>
    <row r="10" spans="1:183" s="2" customFormat="1" ht="15" x14ac:dyDescent="0.3">
      <c r="A10" s="73" t="s">
        <v>15</v>
      </c>
      <c r="B10" s="73" t="s">
        <v>233</v>
      </c>
      <c r="C10" s="73" t="s">
        <v>36</v>
      </c>
      <c r="D10" s="73" t="s">
        <v>48</v>
      </c>
      <c r="E10" s="73" t="s">
        <v>178</v>
      </c>
      <c r="F10" s="73" t="s">
        <v>210</v>
      </c>
      <c r="G10" s="73" t="s">
        <v>216</v>
      </c>
      <c r="H10" s="73"/>
      <c r="I10" s="74">
        <v>0</v>
      </c>
      <c r="J10" s="74">
        <v>0</v>
      </c>
      <c r="K10" s="74">
        <v>0</v>
      </c>
      <c r="L10" s="74">
        <v>0</v>
      </c>
      <c r="M10" s="74">
        <v>3707.6987562945856</v>
      </c>
      <c r="N10" s="74">
        <v>2100.7799999999997</v>
      </c>
      <c r="O10" s="74">
        <v>2603.4</v>
      </c>
      <c r="P10" s="74">
        <v>3542.07</v>
      </c>
      <c r="Q10" s="74">
        <v>3690.87</v>
      </c>
      <c r="R10" s="74">
        <v>4195.8702659304981</v>
      </c>
      <c r="S10" s="74">
        <v>4536.0928379917232</v>
      </c>
      <c r="T10" s="74">
        <v>9315.7166265310825</v>
      </c>
      <c r="U10" s="74">
        <v>0</v>
      </c>
      <c r="V10" s="74">
        <v>0</v>
      </c>
      <c r="W10" s="74">
        <v>0</v>
      </c>
      <c r="X10" s="74">
        <v>0</v>
      </c>
      <c r="Y10" s="74">
        <v>0</v>
      </c>
      <c r="Z10" s="74">
        <v>0</v>
      </c>
      <c r="AA10" s="74">
        <v>0</v>
      </c>
      <c r="AB10" s="74">
        <v>0</v>
      </c>
      <c r="AC10" s="74">
        <v>0</v>
      </c>
      <c r="AD10" s="74">
        <v>0</v>
      </c>
      <c r="AE10" s="74">
        <v>0</v>
      </c>
      <c r="AF10" s="74">
        <v>0</v>
      </c>
      <c r="AG10" s="74">
        <v>0</v>
      </c>
      <c r="AH10" s="74">
        <v>0</v>
      </c>
      <c r="AI10" s="74">
        <v>0</v>
      </c>
      <c r="AJ10" s="74">
        <v>0</v>
      </c>
      <c r="AK10" s="74"/>
      <c r="AL10" s="74">
        <v>0</v>
      </c>
      <c r="AM10" s="74">
        <v>0</v>
      </c>
      <c r="AN10" s="74">
        <v>0</v>
      </c>
      <c r="AO10" s="74">
        <v>0</v>
      </c>
      <c r="AP10" s="74">
        <v>0</v>
      </c>
      <c r="AQ10" s="74">
        <v>0</v>
      </c>
      <c r="AR10" s="74">
        <v>0</v>
      </c>
      <c r="AS10" s="74">
        <v>0</v>
      </c>
      <c r="AT10" s="74">
        <v>0</v>
      </c>
      <c r="AU10" s="74">
        <v>0</v>
      </c>
      <c r="AV10" s="74">
        <v>0</v>
      </c>
      <c r="AW10" s="74">
        <v>0</v>
      </c>
      <c r="AX10" s="74">
        <v>0</v>
      </c>
      <c r="AY10" s="74">
        <v>0</v>
      </c>
      <c r="AZ10" s="74">
        <v>0</v>
      </c>
      <c r="BA10" s="74">
        <v>0</v>
      </c>
      <c r="BB10" s="74">
        <v>0</v>
      </c>
      <c r="BC10" s="74">
        <v>0</v>
      </c>
      <c r="BD10" s="74">
        <v>0</v>
      </c>
      <c r="BE10" s="74">
        <v>0</v>
      </c>
      <c r="BF10" s="74">
        <v>0</v>
      </c>
      <c r="BG10" s="74">
        <v>0</v>
      </c>
      <c r="BH10" s="74">
        <v>0</v>
      </c>
      <c r="BI10" s="74">
        <v>0</v>
      </c>
      <c r="BJ10" s="74">
        <v>0</v>
      </c>
      <c r="BK10" s="74">
        <v>0</v>
      </c>
      <c r="BL10" s="74">
        <v>0</v>
      </c>
      <c r="BM10" s="74">
        <v>0</v>
      </c>
      <c r="BN10" s="74">
        <v>0</v>
      </c>
      <c r="BO10" s="74">
        <v>0</v>
      </c>
      <c r="BP10" s="74">
        <v>0</v>
      </c>
      <c r="BQ10" s="74">
        <v>0</v>
      </c>
      <c r="BR10" s="74">
        <v>0</v>
      </c>
      <c r="BS10" s="74">
        <v>0</v>
      </c>
      <c r="BT10" s="74">
        <v>0</v>
      </c>
      <c r="BU10" s="74">
        <v>0</v>
      </c>
      <c r="BV10" s="74">
        <v>0</v>
      </c>
      <c r="BW10" s="74">
        <v>0</v>
      </c>
      <c r="BX10" s="74">
        <v>0</v>
      </c>
      <c r="BY10" s="74">
        <v>0</v>
      </c>
      <c r="BZ10" s="74">
        <v>0</v>
      </c>
      <c r="CA10" s="74">
        <v>0</v>
      </c>
      <c r="CB10" s="74">
        <v>0</v>
      </c>
      <c r="CC10" s="74">
        <v>0</v>
      </c>
      <c r="CD10" s="74">
        <v>0</v>
      </c>
      <c r="CE10" s="74">
        <v>0</v>
      </c>
      <c r="CF10" s="74">
        <v>0</v>
      </c>
      <c r="CG10" s="74">
        <v>0</v>
      </c>
      <c r="CH10" s="74">
        <v>0</v>
      </c>
      <c r="CI10" s="74">
        <v>0</v>
      </c>
      <c r="CJ10" s="74">
        <v>0</v>
      </c>
      <c r="CK10" s="74">
        <v>0</v>
      </c>
      <c r="CL10" s="74">
        <v>0</v>
      </c>
      <c r="CM10" s="74">
        <v>0</v>
      </c>
      <c r="CN10" s="74">
        <v>0</v>
      </c>
      <c r="CO10" s="74">
        <v>0</v>
      </c>
      <c r="CP10" s="74">
        <v>0</v>
      </c>
      <c r="CQ10" s="74">
        <v>0</v>
      </c>
      <c r="CR10" s="74">
        <v>0</v>
      </c>
      <c r="CS10" s="74">
        <v>0</v>
      </c>
      <c r="CT10" s="74">
        <v>0</v>
      </c>
      <c r="CU10" s="74">
        <v>0</v>
      </c>
      <c r="CV10" s="74">
        <v>0</v>
      </c>
      <c r="CW10" s="74">
        <v>0</v>
      </c>
      <c r="CX10" s="74">
        <v>0</v>
      </c>
      <c r="CY10" s="74">
        <v>0</v>
      </c>
      <c r="CZ10" s="74">
        <v>0</v>
      </c>
      <c r="DA10" s="74">
        <v>0</v>
      </c>
      <c r="DB10" s="74">
        <v>0</v>
      </c>
      <c r="DC10" s="74">
        <v>0</v>
      </c>
      <c r="DD10" s="74">
        <v>0</v>
      </c>
      <c r="DE10" s="74">
        <v>0</v>
      </c>
      <c r="DF10" s="74">
        <v>0</v>
      </c>
      <c r="DG10" s="74">
        <v>0</v>
      </c>
      <c r="DH10" s="74">
        <v>0</v>
      </c>
      <c r="DI10" s="74">
        <v>0</v>
      </c>
      <c r="DJ10" s="74">
        <v>0</v>
      </c>
      <c r="DK10" s="74">
        <v>0</v>
      </c>
      <c r="DL10" s="74">
        <v>0</v>
      </c>
      <c r="DM10" s="74">
        <v>0</v>
      </c>
      <c r="DN10" s="74">
        <v>0</v>
      </c>
      <c r="DO10" s="74">
        <v>0</v>
      </c>
      <c r="DP10" s="74">
        <v>0</v>
      </c>
      <c r="DQ10" s="74">
        <v>0</v>
      </c>
      <c r="DR10" s="74">
        <v>0</v>
      </c>
      <c r="DS10" s="74">
        <v>0</v>
      </c>
      <c r="DT10" s="74">
        <v>0</v>
      </c>
      <c r="DU10" s="74">
        <v>0</v>
      </c>
      <c r="DV10" s="74">
        <v>0</v>
      </c>
      <c r="DW10" s="74">
        <v>0</v>
      </c>
      <c r="DX10" s="74">
        <v>0</v>
      </c>
      <c r="DY10" s="74">
        <v>0</v>
      </c>
      <c r="DZ10" s="74">
        <v>0</v>
      </c>
      <c r="EA10" s="74">
        <v>0</v>
      </c>
      <c r="EB10" s="74">
        <v>0</v>
      </c>
      <c r="EC10" s="74">
        <v>0</v>
      </c>
      <c r="ED10" s="74"/>
      <c r="EE10" s="80">
        <v>46147</v>
      </c>
      <c r="EF10" s="81">
        <v>46147.490582986109</v>
      </c>
      <c r="EG10" s="66" t="s">
        <v>71</v>
      </c>
      <c r="EH10" s="66" t="s">
        <v>209</v>
      </c>
      <c r="EI10" s="66" t="s">
        <v>2</v>
      </c>
      <c r="EJ10" s="66">
        <v>29</v>
      </c>
      <c r="EK10" s="66">
        <v>2027</v>
      </c>
      <c r="EL10" s="66" t="s">
        <v>24</v>
      </c>
      <c r="EM10" s="82">
        <v>291.95147087321232</v>
      </c>
      <c r="EN10" s="82">
        <v>258.05495167789337</v>
      </c>
      <c r="EO10" s="77">
        <v>273.51499999999999</v>
      </c>
      <c r="EP10" s="84">
        <v>0.20185877210205863</v>
      </c>
      <c r="EQ10" s="84">
        <v>0.20646392611324274</v>
      </c>
      <c r="ER10" s="84">
        <v>3.7812199999999997E-2</v>
      </c>
      <c r="ES10" s="85">
        <v>0.97269429659977535</v>
      </c>
      <c r="ET10" s="86">
        <v>1.4621999999999999</v>
      </c>
      <c r="EU10" s="85">
        <v>0.15269873395245903</v>
      </c>
      <c r="EV10" s="85">
        <v>3.6374216079711912E-2</v>
      </c>
      <c r="EW10" s="76">
        <v>3</v>
      </c>
      <c r="EX10" s="76" t="s">
        <v>32</v>
      </c>
      <c r="EY10" s="74" t="s">
        <v>243</v>
      </c>
      <c r="EZ10" s="74"/>
      <c r="FA10" s="74"/>
      <c r="FB10" s="74"/>
      <c r="FC10" s="74"/>
      <c r="FD10" s="68"/>
      <c r="FH10" s="73"/>
      <c r="FI10" s="74"/>
      <c r="FJ10" s="74"/>
      <c r="FK10" s="74"/>
      <c r="FL10" s="74"/>
      <c r="FM10" s="74"/>
      <c r="FN10" s="74"/>
      <c r="FO10" s="74"/>
      <c r="FP10" s="74"/>
      <c r="FQ10" s="74"/>
      <c r="FR10" s="74"/>
      <c r="FS10" s="74"/>
      <c r="FT10" s="74"/>
      <c r="FU10" s="74"/>
      <c r="FV10" s="74"/>
      <c r="FW10" s="74"/>
      <c r="FX10" s="74"/>
      <c r="FY10" s="74"/>
      <c r="FZ10" s="74"/>
      <c r="GA10" s="68"/>
    </row>
    <row r="11" spans="1:183" s="2" customFormat="1" ht="15" x14ac:dyDescent="0.3">
      <c r="A11" s="73" t="s">
        <v>9</v>
      </c>
      <c r="B11" s="73" t="s">
        <v>234</v>
      </c>
      <c r="C11" s="73" t="s">
        <v>37</v>
      </c>
      <c r="D11" s="73" t="s">
        <v>48</v>
      </c>
      <c r="E11" s="73" t="s">
        <v>178</v>
      </c>
      <c r="F11" s="73" t="s">
        <v>210</v>
      </c>
      <c r="G11" s="73" t="s">
        <v>216</v>
      </c>
      <c r="H11" s="73"/>
      <c r="I11" s="74">
        <v>0</v>
      </c>
      <c r="J11" s="74">
        <v>0</v>
      </c>
      <c r="K11" s="74">
        <v>0</v>
      </c>
      <c r="L11" s="74">
        <v>0</v>
      </c>
      <c r="M11" s="74">
        <v>2053.2456227573853</v>
      </c>
      <c r="N11" s="74">
        <v>2867.1867660158814</v>
      </c>
      <c r="O11" s="74">
        <v>2730.6307069806985</v>
      </c>
      <c r="P11" s="74">
        <v>2305.6</v>
      </c>
      <c r="Q11" s="74">
        <v>3312.4</v>
      </c>
      <c r="R11" s="74">
        <v>2839.2</v>
      </c>
      <c r="S11" s="74">
        <v>3868.2027617748367</v>
      </c>
      <c r="T11" s="74">
        <v>3868.2027617748367</v>
      </c>
      <c r="U11" s="74">
        <v>0</v>
      </c>
      <c r="V11" s="74">
        <v>0</v>
      </c>
      <c r="W11" s="74">
        <v>0</v>
      </c>
      <c r="X11" s="74">
        <v>0</v>
      </c>
      <c r="Y11" s="74">
        <v>0</v>
      </c>
      <c r="Z11" s="74">
        <v>0</v>
      </c>
      <c r="AA11" s="74">
        <v>0</v>
      </c>
      <c r="AB11" s="74">
        <v>0</v>
      </c>
      <c r="AC11" s="74">
        <v>0</v>
      </c>
      <c r="AD11" s="74">
        <v>0</v>
      </c>
      <c r="AE11" s="74">
        <v>0</v>
      </c>
      <c r="AF11" s="74">
        <v>0</v>
      </c>
      <c r="AG11" s="74">
        <v>0</v>
      </c>
      <c r="AH11" s="74">
        <v>0</v>
      </c>
      <c r="AI11" s="74">
        <v>0</v>
      </c>
      <c r="AJ11" s="74">
        <v>0</v>
      </c>
      <c r="AK11" s="74"/>
      <c r="AL11" s="74">
        <v>0</v>
      </c>
      <c r="AM11" s="74">
        <v>0</v>
      </c>
      <c r="AN11" s="74">
        <v>0</v>
      </c>
      <c r="AO11" s="74">
        <v>0</v>
      </c>
      <c r="AP11" s="74">
        <v>0</v>
      </c>
      <c r="AQ11" s="74">
        <v>0</v>
      </c>
      <c r="AR11" s="74">
        <v>0</v>
      </c>
      <c r="AS11" s="74">
        <v>0</v>
      </c>
      <c r="AT11" s="74">
        <v>0</v>
      </c>
      <c r="AU11" s="74">
        <v>0</v>
      </c>
      <c r="AV11" s="74">
        <v>0</v>
      </c>
      <c r="AW11" s="74">
        <v>0</v>
      </c>
      <c r="AX11" s="74">
        <v>0</v>
      </c>
      <c r="AY11" s="74">
        <v>0</v>
      </c>
      <c r="AZ11" s="74">
        <v>0</v>
      </c>
      <c r="BA11" s="74">
        <v>0</v>
      </c>
      <c r="BB11" s="74">
        <v>0</v>
      </c>
      <c r="BC11" s="74">
        <v>0</v>
      </c>
      <c r="BD11" s="74">
        <v>0</v>
      </c>
      <c r="BE11" s="74">
        <v>0</v>
      </c>
      <c r="BF11" s="74">
        <v>0</v>
      </c>
      <c r="BG11" s="74">
        <v>0</v>
      </c>
      <c r="BH11" s="74">
        <v>0</v>
      </c>
      <c r="BI11" s="74">
        <v>0</v>
      </c>
      <c r="BJ11" s="74">
        <v>0</v>
      </c>
      <c r="BK11" s="74">
        <v>0</v>
      </c>
      <c r="BL11" s="74">
        <v>0</v>
      </c>
      <c r="BM11" s="74">
        <v>0</v>
      </c>
      <c r="BN11" s="74">
        <v>0</v>
      </c>
      <c r="BO11" s="74">
        <v>0</v>
      </c>
      <c r="BP11" s="74">
        <v>0</v>
      </c>
      <c r="BQ11" s="74">
        <v>0</v>
      </c>
      <c r="BR11" s="74">
        <v>0</v>
      </c>
      <c r="BS11" s="74">
        <v>0</v>
      </c>
      <c r="BT11" s="74">
        <v>0</v>
      </c>
      <c r="BU11" s="74">
        <v>0</v>
      </c>
      <c r="BV11" s="74">
        <v>0</v>
      </c>
      <c r="BW11" s="74">
        <v>0</v>
      </c>
      <c r="BX11" s="74">
        <v>0</v>
      </c>
      <c r="BY11" s="74">
        <v>0</v>
      </c>
      <c r="BZ11" s="74">
        <v>0</v>
      </c>
      <c r="CA11" s="74">
        <v>0</v>
      </c>
      <c r="CB11" s="74">
        <v>0</v>
      </c>
      <c r="CC11" s="74">
        <v>0</v>
      </c>
      <c r="CD11" s="74">
        <v>0</v>
      </c>
      <c r="CE11" s="74">
        <v>0</v>
      </c>
      <c r="CF11" s="74">
        <v>0</v>
      </c>
      <c r="CG11" s="74">
        <v>0</v>
      </c>
      <c r="CH11" s="74">
        <v>0</v>
      </c>
      <c r="CI11" s="74">
        <v>0</v>
      </c>
      <c r="CJ11" s="74">
        <v>0</v>
      </c>
      <c r="CK11" s="74">
        <v>0</v>
      </c>
      <c r="CL11" s="74">
        <v>0</v>
      </c>
      <c r="CM11" s="74">
        <v>0</v>
      </c>
      <c r="CN11" s="74">
        <v>0</v>
      </c>
      <c r="CO11" s="74">
        <v>0</v>
      </c>
      <c r="CP11" s="74">
        <v>0</v>
      </c>
      <c r="CQ11" s="74">
        <v>0</v>
      </c>
      <c r="CR11" s="74">
        <v>0</v>
      </c>
      <c r="CS11" s="74">
        <v>0</v>
      </c>
      <c r="CT11" s="74">
        <v>0</v>
      </c>
      <c r="CU11" s="74">
        <v>0</v>
      </c>
      <c r="CV11" s="74">
        <v>0</v>
      </c>
      <c r="CW11" s="74">
        <v>0</v>
      </c>
      <c r="CX11" s="74">
        <v>0</v>
      </c>
      <c r="CY11" s="74">
        <v>0</v>
      </c>
      <c r="CZ11" s="74">
        <v>0</v>
      </c>
      <c r="DA11" s="74">
        <v>0</v>
      </c>
      <c r="DB11" s="74">
        <v>0</v>
      </c>
      <c r="DC11" s="74">
        <v>0</v>
      </c>
      <c r="DD11" s="74">
        <v>0</v>
      </c>
      <c r="DE11" s="74">
        <v>0</v>
      </c>
      <c r="DF11" s="74">
        <v>0</v>
      </c>
      <c r="DG11" s="74">
        <v>0</v>
      </c>
      <c r="DH11" s="74">
        <v>0</v>
      </c>
      <c r="DI11" s="74">
        <v>0</v>
      </c>
      <c r="DJ11" s="74">
        <v>0</v>
      </c>
      <c r="DK11" s="74">
        <v>0</v>
      </c>
      <c r="DL11" s="74">
        <v>0</v>
      </c>
      <c r="DM11" s="74">
        <v>0</v>
      </c>
      <c r="DN11" s="74">
        <v>0</v>
      </c>
      <c r="DO11" s="74">
        <v>0</v>
      </c>
      <c r="DP11" s="74">
        <v>0</v>
      </c>
      <c r="DQ11" s="74">
        <v>0</v>
      </c>
      <c r="DR11" s="74">
        <v>0</v>
      </c>
      <c r="DS11" s="74">
        <v>0</v>
      </c>
      <c r="DT11" s="74">
        <v>0</v>
      </c>
      <c r="DU11" s="74">
        <v>0</v>
      </c>
      <c r="DV11" s="74">
        <v>0</v>
      </c>
      <c r="DW11" s="74">
        <v>0</v>
      </c>
      <c r="DX11" s="74">
        <v>0</v>
      </c>
      <c r="DY11" s="74">
        <v>0</v>
      </c>
      <c r="DZ11" s="74">
        <v>0</v>
      </c>
      <c r="EA11" s="74">
        <v>0</v>
      </c>
      <c r="EB11" s="74">
        <v>0</v>
      </c>
      <c r="EC11" s="74">
        <v>0</v>
      </c>
      <c r="ED11" s="74"/>
      <c r="EE11" s="80">
        <v>46147</v>
      </c>
      <c r="EF11" s="81">
        <v>46147.490582986109</v>
      </c>
      <c r="EG11" s="66" t="s">
        <v>71</v>
      </c>
      <c r="EH11" s="66" t="s">
        <v>209</v>
      </c>
      <c r="EI11" s="66" t="s">
        <v>2</v>
      </c>
      <c r="EJ11" s="66">
        <v>29</v>
      </c>
      <c r="EK11" s="66">
        <v>2027</v>
      </c>
      <c r="EL11" s="66" t="s">
        <v>24</v>
      </c>
      <c r="EM11" s="82">
        <v>291.95147087321232</v>
      </c>
      <c r="EN11" s="82">
        <v>258.05495167789337</v>
      </c>
      <c r="EO11" s="77">
        <v>273.51499999999999</v>
      </c>
      <c r="EP11" s="84">
        <v>0.20185877210205863</v>
      </c>
      <c r="EQ11" s="84">
        <v>0.20646392611324274</v>
      </c>
      <c r="ER11" s="84">
        <v>3.7812199999999997E-2</v>
      </c>
      <c r="ES11" s="85">
        <v>0.97269429659977535</v>
      </c>
      <c r="ET11" s="86">
        <v>1.4621999999999999</v>
      </c>
      <c r="EU11" s="85">
        <v>0.15269873395245903</v>
      </c>
      <c r="EV11" s="85">
        <v>3.6374216079711912E-2</v>
      </c>
      <c r="EW11" s="76">
        <v>3</v>
      </c>
      <c r="EX11" s="76" t="s">
        <v>32</v>
      </c>
      <c r="EY11" s="74" t="s">
        <v>243</v>
      </c>
      <c r="EZ11" s="74"/>
      <c r="FA11" s="74"/>
      <c r="FB11" s="74"/>
      <c r="FC11" s="74"/>
      <c r="FD11" s="68"/>
      <c r="FH11" s="73"/>
      <c r="FI11" s="74"/>
      <c r="FJ11" s="74"/>
      <c r="FK11" s="74"/>
      <c r="FL11" s="74"/>
      <c r="FM11" s="74"/>
      <c r="FN11" s="74"/>
      <c r="FO11" s="74"/>
      <c r="FP11" s="74"/>
      <c r="FQ11" s="74"/>
      <c r="FR11" s="74"/>
      <c r="FS11" s="74"/>
      <c r="FT11" s="74"/>
      <c r="FU11" s="74"/>
      <c r="FV11" s="74"/>
      <c r="FW11" s="74"/>
      <c r="FX11" s="74"/>
      <c r="FY11" s="74"/>
      <c r="FZ11" s="74"/>
      <c r="GA11" s="68"/>
    </row>
    <row r="12" spans="1:183" s="2" customFormat="1" ht="15" x14ac:dyDescent="0.3">
      <c r="A12" s="73" t="s">
        <v>21</v>
      </c>
      <c r="B12" s="73" t="s">
        <v>235</v>
      </c>
      <c r="C12" s="73" t="s">
        <v>219</v>
      </c>
      <c r="D12" s="73" t="s">
        <v>48</v>
      </c>
      <c r="E12" s="73" t="s">
        <v>220</v>
      </c>
      <c r="F12" s="73" t="s">
        <v>218</v>
      </c>
      <c r="G12" s="73" t="s">
        <v>216</v>
      </c>
      <c r="H12" s="73"/>
      <c r="I12" s="75">
        <v>0</v>
      </c>
      <c r="J12" s="75">
        <v>0</v>
      </c>
      <c r="K12" s="75">
        <v>0</v>
      </c>
      <c r="L12" s="75">
        <v>0</v>
      </c>
      <c r="M12" s="75">
        <v>0.18590457862210244</v>
      </c>
      <c r="N12" s="75">
        <v>0.18590457862210244</v>
      </c>
      <c r="O12" s="75">
        <v>0.2</v>
      </c>
      <c r="P12" s="75">
        <v>0.2</v>
      </c>
      <c r="Q12" s="75">
        <v>0.16</v>
      </c>
      <c r="R12" s="75">
        <v>0.16</v>
      </c>
      <c r="S12" s="75">
        <v>0.2</v>
      </c>
      <c r="T12" s="75">
        <v>0.2</v>
      </c>
      <c r="U12" s="75">
        <v>0</v>
      </c>
      <c r="V12" s="75">
        <v>0</v>
      </c>
      <c r="W12" s="75">
        <v>0</v>
      </c>
      <c r="X12" s="75">
        <v>0</v>
      </c>
      <c r="Y12" s="75">
        <v>0</v>
      </c>
      <c r="Z12" s="75">
        <v>0</v>
      </c>
      <c r="AA12" s="75">
        <v>0</v>
      </c>
      <c r="AB12" s="75">
        <v>0</v>
      </c>
      <c r="AC12" s="75">
        <v>0</v>
      </c>
      <c r="AD12" s="75">
        <v>0</v>
      </c>
      <c r="AE12" s="75">
        <v>0</v>
      </c>
      <c r="AF12" s="75">
        <v>0</v>
      </c>
      <c r="AG12" s="75">
        <v>0</v>
      </c>
      <c r="AH12" s="75">
        <v>0</v>
      </c>
      <c r="AI12" s="75">
        <v>0</v>
      </c>
      <c r="AJ12" s="75">
        <v>0</v>
      </c>
      <c r="AK12" s="75"/>
      <c r="AL12" s="74">
        <v>0</v>
      </c>
      <c r="AM12" s="74">
        <v>0</v>
      </c>
      <c r="AN12" s="74">
        <v>0</v>
      </c>
      <c r="AO12" s="74">
        <v>0</v>
      </c>
      <c r="AP12" s="74">
        <v>0</v>
      </c>
      <c r="AQ12" s="74">
        <v>0</v>
      </c>
      <c r="AR12" s="74">
        <v>0</v>
      </c>
      <c r="AS12" s="74">
        <v>0</v>
      </c>
      <c r="AT12" s="74">
        <v>0</v>
      </c>
      <c r="AU12" s="74">
        <v>0</v>
      </c>
      <c r="AV12" s="74">
        <v>0</v>
      </c>
      <c r="AW12" s="74">
        <v>0</v>
      </c>
      <c r="AX12" s="74">
        <v>0</v>
      </c>
      <c r="AY12" s="74">
        <v>0</v>
      </c>
      <c r="AZ12" s="74">
        <v>0</v>
      </c>
      <c r="BA12" s="74">
        <v>0</v>
      </c>
      <c r="BB12" s="74">
        <v>0</v>
      </c>
      <c r="BC12" s="74">
        <v>0</v>
      </c>
      <c r="BD12" s="74">
        <v>0</v>
      </c>
      <c r="BE12" s="74">
        <v>0</v>
      </c>
      <c r="BF12" s="74">
        <v>0</v>
      </c>
      <c r="BG12" s="74">
        <v>0</v>
      </c>
      <c r="BH12" s="74">
        <v>0</v>
      </c>
      <c r="BI12" s="74">
        <v>0</v>
      </c>
      <c r="BJ12" s="74">
        <v>0</v>
      </c>
      <c r="BK12" s="74">
        <v>0</v>
      </c>
      <c r="BL12" s="74">
        <v>0</v>
      </c>
      <c r="BM12" s="74">
        <v>0</v>
      </c>
      <c r="BN12" s="74">
        <v>0</v>
      </c>
      <c r="BO12" s="74">
        <v>0</v>
      </c>
      <c r="BP12" s="74">
        <v>0</v>
      </c>
      <c r="BQ12" s="74">
        <v>0</v>
      </c>
      <c r="BR12" s="74">
        <v>0</v>
      </c>
      <c r="BS12" s="74">
        <v>0</v>
      </c>
      <c r="BT12" s="74">
        <v>0</v>
      </c>
      <c r="BU12" s="74">
        <v>0</v>
      </c>
      <c r="BV12" s="74">
        <v>0</v>
      </c>
      <c r="BW12" s="74">
        <v>0</v>
      </c>
      <c r="BX12" s="74">
        <v>0</v>
      </c>
      <c r="BY12" s="74">
        <v>0</v>
      </c>
      <c r="BZ12" s="74">
        <v>0</v>
      </c>
      <c r="CA12" s="74">
        <v>0</v>
      </c>
      <c r="CB12" s="74">
        <v>0</v>
      </c>
      <c r="CC12" s="74">
        <v>0</v>
      </c>
      <c r="CD12" s="74">
        <v>0</v>
      </c>
      <c r="CE12" s="74">
        <v>0</v>
      </c>
      <c r="CF12" s="74">
        <v>0</v>
      </c>
      <c r="CG12" s="74">
        <v>0</v>
      </c>
      <c r="CH12" s="74">
        <v>0</v>
      </c>
      <c r="CI12" s="74">
        <v>0</v>
      </c>
      <c r="CJ12" s="74">
        <v>0</v>
      </c>
      <c r="CK12" s="74">
        <v>0</v>
      </c>
      <c r="CL12" s="74">
        <v>0</v>
      </c>
      <c r="CM12" s="74">
        <v>0</v>
      </c>
      <c r="CN12" s="74">
        <v>0</v>
      </c>
      <c r="CO12" s="74">
        <v>0</v>
      </c>
      <c r="CP12" s="74">
        <v>0</v>
      </c>
      <c r="CQ12" s="74">
        <v>0</v>
      </c>
      <c r="CR12" s="74">
        <v>0</v>
      </c>
      <c r="CS12" s="74">
        <v>0</v>
      </c>
      <c r="CT12" s="74">
        <v>0</v>
      </c>
      <c r="CU12" s="74">
        <v>0</v>
      </c>
      <c r="CV12" s="74">
        <v>0</v>
      </c>
      <c r="CW12" s="74">
        <v>0</v>
      </c>
      <c r="CX12" s="74">
        <v>0</v>
      </c>
      <c r="CY12" s="74">
        <v>0</v>
      </c>
      <c r="CZ12" s="74">
        <v>0</v>
      </c>
      <c r="DA12" s="74">
        <v>0</v>
      </c>
      <c r="DB12" s="74">
        <v>0</v>
      </c>
      <c r="DC12" s="74">
        <v>0</v>
      </c>
      <c r="DD12" s="74">
        <v>0</v>
      </c>
      <c r="DE12" s="74">
        <v>0</v>
      </c>
      <c r="DF12" s="74">
        <v>0</v>
      </c>
      <c r="DG12" s="74">
        <v>0</v>
      </c>
      <c r="DH12" s="74">
        <v>0</v>
      </c>
      <c r="DI12" s="74">
        <v>0</v>
      </c>
      <c r="DJ12" s="74">
        <v>0</v>
      </c>
      <c r="DK12" s="74">
        <v>0</v>
      </c>
      <c r="DL12" s="74">
        <v>0</v>
      </c>
      <c r="DM12" s="74">
        <v>0</v>
      </c>
      <c r="DN12" s="74">
        <v>0</v>
      </c>
      <c r="DO12" s="74">
        <v>0</v>
      </c>
      <c r="DP12" s="74">
        <v>0</v>
      </c>
      <c r="DQ12" s="74">
        <v>0</v>
      </c>
      <c r="DR12" s="74">
        <v>0</v>
      </c>
      <c r="DS12" s="74">
        <v>0</v>
      </c>
      <c r="DT12" s="74">
        <v>0</v>
      </c>
      <c r="DU12" s="74">
        <v>0</v>
      </c>
      <c r="DV12" s="74">
        <v>0</v>
      </c>
      <c r="DW12" s="74">
        <v>0</v>
      </c>
      <c r="DX12" s="74">
        <v>0</v>
      </c>
      <c r="DY12" s="74">
        <v>0</v>
      </c>
      <c r="DZ12" s="74">
        <v>0</v>
      </c>
      <c r="EA12" s="74">
        <v>0</v>
      </c>
      <c r="EB12" s="74">
        <v>0</v>
      </c>
      <c r="EC12" s="74">
        <v>0</v>
      </c>
      <c r="ED12" s="74"/>
      <c r="EE12" s="80">
        <v>46147</v>
      </c>
      <c r="EF12" s="81">
        <v>46147.490582986109</v>
      </c>
      <c r="EG12" s="66" t="s">
        <v>71</v>
      </c>
      <c r="EH12" s="66" t="s">
        <v>209</v>
      </c>
      <c r="EI12" s="66" t="s">
        <v>2</v>
      </c>
      <c r="EJ12" s="66">
        <v>29</v>
      </c>
      <c r="EK12" s="66">
        <v>2027</v>
      </c>
      <c r="EL12" s="66" t="s">
        <v>24</v>
      </c>
      <c r="EM12" s="82">
        <v>291.95147087321232</v>
      </c>
      <c r="EN12" s="82">
        <v>258.05495167789337</v>
      </c>
      <c r="EO12" s="77">
        <v>273.51499999999999</v>
      </c>
      <c r="EP12" s="84">
        <v>0.20185877210205863</v>
      </c>
      <c r="EQ12" s="84">
        <v>0.20646392611324274</v>
      </c>
      <c r="ER12" s="84">
        <v>3.7812199999999997E-2</v>
      </c>
      <c r="ES12" s="85">
        <v>0.97269429659977535</v>
      </c>
      <c r="ET12" s="86">
        <v>1.4621999999999999</v>
      </c>
      <c r="EU12" s="85">
        <v>0.15269873395245903</v>
      </c>
      <c r="EV12" s="85">
        <v>3.6374216079711912E-2</v>
      </c>
      <c r="EW12" s="76">
        <v>3</v>
      </c>
      <c r="EX12" s="76" t="s">
        <v>32</v>
      </c>
      <c r="EY12" s="74" t="s">
        <v>243</v>
      </c>
      <c r="EZ12" s="74"/>
      <c r="FA12" s="74"/>
      <c r="FB12" s="74"/>
      <c r="FC12" s="74"/>
      <c r="FD12" s="68"/>
      <c r="FH12" s="73"/>
      <c r="FI12" s="74"/>
      <c r="FJ12" s="74"/>
      <c r="FK12" s="74"/>
      <c r="FL12" s="74"/>
      <c r="FM12" s="74"/>
      <c r="FN12" s="74"/>
      <c r="FO12" s="74"/>
      <c r="FP12" s="74"/>
      <c r="FQ12" s="74"/>
      <c r="FR12" s="74"/>
      <c r="FS12" s="74"/>
      <c r="FT12" s="74"/>
      <c r="FU12" s="74"/>
      <c r="FV12" s="74"/>
      <c r="FW12" s="74"/>
      <c r="FX12" s="74"/>
      <c r="FY12" s="74"/>
      <c r="FZ12" s="74"/>
      <c r="GA12" s="68"/>
    </row>
    <row r="13" spans="1:183" s="2" customFormat="1" ht="15" x14ac:dyDescent="0.3">
      <c r="A13" s="73" t="s">
        <v>22</v>
      </c>
      <c r="B13" s="73" t="s">
        <v>22</v>
      </c>
      <c r="C13" s="73" t="s">
        <v>42</v>
      </c>
      <c r="D13" s="73" t="s">
        <v>48</v>
      </c>
      <c r="E13" s="73" t="s">
        <v>178</v>
      </c>
      <c r="F13" s="73" t="s">
        <v>210</v>
      </c>
      <c r="G13" s="73" t="s">
        <v>216</v>
      </c>
      <c r="H13" s="73"/>
      <c r="I13" s="74">
        <v>0</v>
      </c>
      <c r="J13" s="74">
        <v>0</v>
      </c>
      <c r="K13" s="74">
        <v>0</v>
      </c>
      <c r="L13" s="74">
        <v>0</v>
      </c>
      <c r="M13" s="74">
        <v>67789.724762138096</v>
      </c>
      <c r="N13" s="74">
        <v>102020.07182903719</v>
      </c>
      <c r="O13" s="74">
        <v>129003.48114466183</v>
      </c>
      <c r="P13" s="74">
        <v>154338.70520560996</v>
      </c>
      <c r="Q13" s="74">
        <v>188904.59219768323</v>
      </c>
      <c r="R13" s="74">
        <v>244960.20348454083</v>
      </c>
      <c r="S13" s="74">
        <v>313984.18276579637</v>
      </c>
      <c r="T13" s="74">
        <v>334501.50519428146</v>
      </c>
      <c r="U13" s="74">
        <v>0</v>
      </c>
      <c r="V13" s="74">
        <v>0</v>
      </c>
      <c r="W13" s="74">
        <v>0</v>
      </c>
      <c r="X13" s="74">
        <v>0</v>
      </c>
      <c r="Y13" s="74">
        <v>0</v>
      </c>
      <c r="Z13" s="74">
        <v>0</v>
      </c>
      <c r="AA13" s="74">
        <v>0</v>
      </c>
      <c r="AB13" s="74">
        <v>0</v>
      </c>
      <c r="AC13" s="74">
        <v>0</v>
      </c>
      <c r="AD13" s="74">
        <v>0</v>
      </c>
      <c r="AE13" s="74">
        <v>0</v>
      </c>
      <c r="AF13" s="74">
        <v>0</v>
      </c>
      <c r="AG13" s="74">
        <v>0</v>
      </c>
      <c r="AH13" s="74">
        <v>0</v>
      </c>
      <c r="AI13" s="74">
        <v>0</v>
      </c>
      <c r="AJ13" s="74">
        <v>0</v>
      </c>
      <c r="AK13" s="74"/>
      <c r="AL13" s="74">
        <v>0</v>
      </c>
      <c r="AM13" s="74">
        <v>0</v>
      </c>
      <c r="AN13" s="74">
        <v>0</v>
      </c>
      <c r="AO13" s="74">
        <v>0</v>
      </c>
      <c r="AP13" s="74">
        <v>0</v>
      </c>
      <c r="AQ13" s="74">
        <v>0</v>
      </c>
      <c r="AR13" s="74">
        <v>0</v>
      </c>
      <c r="AS13" s="74">
        <v>0</v>
      </c>
      <c r="AT13" s="74">
        <v>0</v>
      </c>
      <c r="AU13" s="74">
        <v>0</v>
      </c>
      <c r="AV13" s="74">
        <v>0</v>
      </c>
      <c r="AW13" s="74">
        <v>0</v>
      </c>
      <c r="AX13" s="74">
        <v>0</v>
      </c>
      <c r="AY13" s="74">
        <v>0</v>
      </c>
      <c r="AZ13" s="74">
        <v>0</v>
      </c>
      <c r="BA13" s="74">
        <v>0</v>
      </c>
      <c r="BB13" s="74">
        <v>0</v>
      </c>
      <c r="BC13" s="74">
        <v>0</v>
      </c>
      <c r="BD13" s="74">
        <v>0</v>
      </c>
      <c r="BE13" s="74">
        <v>0</v>
      </c>
      <c r="BF13" s="74">
        <v>0</v>
      </c>
      <c r="BG13" s="74">
        <v>0</v>
      </c>
      <c r="BH13" s="74">
        <v>0</v>
      </c>
      <c r="BI13" s="74">
        <v>0</v>
      </c>
      <c r="BJ13" s="74">
        <v>0</v>
      </c>
      <c r="BK13" s="74">
        <v>0</v>
      </c>
      <c r="BL13" s="74">
        <v>0</v>
      </c>
      <c r="BM13" s="74">
        <v>0</v>
      </c>
      <c r="BN13" s="74">
        <v>0</v>
      </c>
      <c r="BO13" s="74">
        <v>0</v>
      </c>
      <c r="BP13" s="74">
        <v>0</v>
      </c>
      <c r="BQ13" s="74">
        <v>0</v>
      </c>
      <c r="BR13" s="74">
        <v>0</v>
      </c>
      <c r="BS13" s="74">
        <v>0</v>
      </c>
      <c r="BT13" s="74">
        <v>0</v>
      </c>
      <c r="BU13" s="74">
        <v>0</v>
      </c>
      <c r="BV13" s="74">
        <v>0</v>
      </c>
      <c r="BW13" s="74">
        <v>0</v>
      </c>
      <c r="BX13" s="74">
        <v>0</v>
      </c>
      <c r="BY13" s="74">
        <v>0</v>
      </c>
      <c r="BZ13" s="74">
        <v>0</v>
      </c>
      <c r="CA13" s="74">
        <v>0</v>
      </c>
      <c r="CB13" s="74">
        <v>0</v>
      </c>
      <c r="CC13" s="74">
        <v>0</v>
      </c>
      <c r="CD13" s="74">
        <v>0</v>
      </c>
      <c r="CE13" s="74">
        <v>0</v>
      </c>
      <c r="CF13" s="74">
        <v>0</v>
      </c>
      <c r="CG13" s="74">
        <v>0</v>
      </c>
      <c r="CH13" s="74">
        <v>0</v>
      </c>
      <c r="CI13" s="74">
        <v>0</v>
      </c>
      <c r="CJ13" s="74">
        <v>0</v>
      </c>
      <c r="CK13" s="74">
        <v>0</v>
      </c>
      <c r="CL13" s="74">
        <v>0</v>
      </c>
      <c r="CM13" s="74">
        <v>0</v>
      </c>
      <c r="CN13" s="74">
        <v>0</v>
      </c>
      <c r="CO13" s="74">
        <v>0</v>
      </c>
      <c r="CP13" s="74">
        <v>0</v>
      </c>
      <c r="CQ13" s="74">
        <v>0</v>
      </c>
      <c r="CR13" s="74">
        <v>0</v>
      </c>
      <c r="CS13" s="74">
        <v>0</v>
      </c>
      <c r="CT13" s="74">
        <v>0</v>
      </c>
      <c r="CU13" s="74">
        <v>0</v>
      </c>
      <c r="CV13" s="74">
        <v>0</v>
      </c>
      <c r="CW13" s="74">
        <v>0</v>
      </c>
      <c r="CX13" s="74">
        <v>0</v>
      </c>
      <c r="CY13" s="74">
        <v>0</v>
      </c>
      <c r="CZ13" s="74">
        <v>0</v>
      </c>
      <c r="DA13" s="74">
        <v>0</v>
      </c>
      <c r="DB13" s="74">
        <v>0</v>
      </c>
      <c r="DC13" s="74">
        <v>0</v>
      </c>
      <c r="DD13" s="74">
        <v>0</v>
      </c>
      <c r="DE13" s="74">
        <v>0</v>
      </c>
      <c r="DF13" s="74">
        <v>0</v>
      </c>
      <c r="DG13" s="74">
        <v>0</v>
      </c>
      <c r="DH13" s="74">
        <v>0</v>
      </c>
      <c r="DI13" s="74">
        <v>0</v>
      </c>
      <c r="DJ13" s="74">
        <v>0</v>
      </c>
      <c r="DK13" s="74">
        <v>0</v>
      </c>
      <c r="DL13" s="74">
        <v>0</v>
      </c>
      <c r="DM13" s="74">
        <v>0</v>
      </c>
      <c r="DN13" s="74">
        <v>0</v>
      </c>
      <c r="DO13" s="74">
        <v>0</v>
      </c>
      <c r="DP13" s="74">
        <v>0</v>
      </c>
      <c r="DQ13" s="74">
        <v>0</v>
      </c>
      <c r="DR13" s="74">
        <v>0</v>
      </c>
      <c r="DS13" s="74">
        <v>0</v>
      </c>
      <c r="DT13" s="74">
        <v>0</v>
      </c>
      <c r="DU13" s="74">
        <v>0</v>
      </c>
      <c r="DV13" s="74">
        <v>0</v>
      </c>
      <c r="DW13" s="74">
        <v>0</v>
      </c>
      <c r="DX13" s="74">
        <v>0</v>
      </c>
      <c r="DY13" s="74">
        <v>0</v>
      </c>
      <c r="DZ13" s="74">
        <v>0</v>
      </c>
      <c r="EA13" s="74">
        <v>0</v>
      </c>
      <c r="EB13" s="74">
        <v>0</v>
      </c>
      <c r="EC13" s="74">
        <v>0</v>
      </c>
      <c r="ED13" s="74"/>
      <c r="EE13" s="80">
        <v>46147</v>
      </c>
      <c r="EF13" s="81">
        <v>46147.490582986109</v>
      </c>
      <c r="EG13" s="66" t="s">
        <v>71</v>
      </c>
      <c r="EH13" s="66" t="s">
        <v>209</v>
      </c>
      <c r="EI13" s="66" t="s">
        <v>6</v>
      </c>
      <c r="EJ13" s="66">
        <v>12</v>
      </c>
      <c r="EK13" s="66">
        <v>2027</v>
      </c>
      <c r="EL13" s="66" t="s">
        <v>24</v>
      </c>
      <c r="EM13" s="82">
        <v>290.68389790090976</v>
      </c>
      <c r="EN13" s="82">
        <v>257.5814628146079</v>
      </c>
      <c r="EO13" s="77">
        <v>273.51499999999999</v>
      </c>
      <c r="EP13" s="84">
        <v>0.20185877210205863</v>
      </c>
      <c r="EQ13" s="84">
        <v>0.20646392611324274</v>
      </c>
      <c r="ER13" s="84">
        <v>3.7812199999999997E-2</v>
      </c>
      <c r="ES13" s="85">
        <v>0.97269429659977535</v>
      </c>
      <c r="ET13" s="86">
        <v>1.4621999999999999</v>
      </c>
      <c r="EU13" s="85">
        <v>0.15269873395245903</v>
      </c>
      <c r="EV13" s="85">
        <v>3.6374216079711912E-2</v>
      </c>
      <c r="EW13" s="76">
        <v>3</v>
      </c>
      <c r="EX13" s="76" t="s">
        <v>32</v>
      </c>
      <c r="EY13" s="74" t="s">
        <v>243</v>
      </c>
      <c r="EZ13" s="74"/>
      <c r="FA13" s="74"/>
      <c r="FB13" s="74"/>
      <c r="FC13" s="74"/>
      <c r="FD13" s="68"/>
      <c r="FH13" s="73"/>
      <c r="FI13" s="74"/>
      <c r="FJ13" s="74"/>
      <c r="FK13" s="74"/>
      <c r="FL13" s="74"/>
      <c r="FM13" s="74"/>
      <c r="FN13" s="74"/>
      <c r="FO13" s="74"/>
      <c r="FP13" s="74"/>
      <c r="FQ13" s="74"/>
      <c r="FR13" s="74"/>
      <c r="FS13" s="74"/>
      <c r="FT13" s="74"/>
      <c r="FU13" s="74"/>
      <c r="FV13" s="74"/>
      <c r="FW13" s="74"/>
      <c r="FX13" s="74"/>
      <c r="FY13" s="74"/>
      <c r="FZ13" s="74"/>
      <c r="GA13" s="68"/>
    </row>
    <row r="14" spans="1:183" s="2" customFormat="1" ht="15" x14ac:dyDescent="0.3">
      <c r="A14" s="73" t="s">
        <v>5</v>
      </c>
      <c r="B14" s="73" t="s">
        <v>236</v>
      </c>
      <c r="C14" s="73" t="s">
        <v>43</v>
      </c>
      <c r="D14" s="73" t="s">
        <v>48</v>
      </c>
      <c r="E14" s="73" t="s">
        <v>178</v>
      </c>
      <c r="F14" s="73" t="s">
        <v>210</v>
      </c>
      <c r="G14" s="73" t="s">
        <v>216</v>
      </c>
      <c r="H14" s="73"/>
      <c r="I14" s="74">
        <v>0</v>
      </c>
      <c r="J14" s="74">
        <v>0</v>
      </c>
      <c r="K14" s="74">
        <v>0</v>
      </c>
      <c r="L14" s="74">
        <v>0</v>
      </c>
      <c r="M14" s="74">
        <v>-63645</v>
      </c>
      <c r="N14" s="74">
        <v>-52729</v>
      </c>
      <c r="O14" s="74">
        <v>-82999</v>
      </c>
      <c r="P14" s="74">
        <v>-131819</v>
      </c>
      <c r="Q14" s="74">
        <v>-205758.84999999998</v>
      </c>
      <c r="R14" s="74">
        <v>-230780.25108249998</v>
      </c>
      <c r="S14" s="74">
        <v>-150795.1870527096</v>
      </c>
      <c r="T14" s="74">
        <v>-178721.028404949</v>
      </c>
      <c r="U14" s="74">
        <v>0</v>
      </c>
      <c r="V14" s="74">
        <v>0</v>
      </c>
      <c r="W14" s="74">
        <v>0</v>
      </c>
      <c r="X14" s="74">
        <v>0</v>
      </c>
      <c r="Y14" s="74">
        <v>0</v>
      </c>
      <c r="Z14" s="74">
        <v>0</v>
      </c>
      <c r="AA14" s="74">
        <v>0</v>
      </c>
      <c r="AB14" s="74">
        <v>0</v>
      </c>
      <c r="AC14" s="74">
        <v>0</v>
      </c>
      <c r="AD14" s="74">
        <v>0</v>
      </c>
      <c r="AE14" s="74">
        <v>0</v>
      </c>
      <c r="AF14" s="74">
        <v>0</v>
      </c>
      <c r="AG14" s="74">
        <v>0</v>
      </c>
      <c r="AH14" s="74">
        <v>0</v>
      </c>
      <c r="AI14" s="74">
        <v>0</v>
      </c>
      <c r="AJ14" s="74">
        <v>0</v>
      </c>
      <c r="AK14" s="74"/>
      <c r="AL14" s="74">
        <v>0</v>
      </c>
      <c r="AM14" s="74">
        <v>0</v>
      </c>
      <c r="AN14" s="74">
        <v>0</v>
      </c>
      <c r="AO14" s="74">
        <v>0</v>
      </c>
      <c r="AP14" s="74">
        <v>0</v>
      </c>
      <c r="AQ14" s="74">
        <v>0</v>
      </c>
      <c r="AR14" s="74">
        <v>0</v>
      </c>
      <c r="AS14" s="74">
        <v>0</v>
      </c>
      <c r="AT14" s="74">
        <v>0</v>
      </c>
      <c r="AU14" s="74">
        <v>0</v>
      </c>
      <c r="AV14" s="74">
        <v>0</v>
      </c>
      <c r="AW14" s="74">
        <v>0</v>
      </c>
      <c r="AX14" s="74">
        <v>0</v>
      </c>
      <c r="AY14" s="74">
        <v>0</v>
      </c>
      <c r="AZ14" s="74">
        <v>0</v>
      </c>
      <c r="BA14" s="74">
        <v>0</v>
      </c>
      <c r="BB14" s="74">
        <v>0</v>
      </c>
      <c r="BC14" s="74">
        <v>0</v>
      </c>
      <c r="BD14" s="74">
        <v>0</v>
      </c>
      <c r="BE14" s="74">
        <v>0</v>
      </c>
      <c r="BF14" s="74">
        <v>0</v>
      </c>
      <c r="BG14" s="74">
        <v>0</v>
      </c>
      <c r="BH14" s="74">
        <v>0</v>
      </c>
      <c r="BI14" s="74">
        <v>0</v>
      </c>
      <c r="BJ14" s="74">
        <v>0</v>
      </c>
      <c r="BK14" s="74">
        <v>0</v>
      </c>
      <c r="BL14" s="74">
        <v>0</v>
      </c>
      <c r="BM14" s="74">
        <v>0</v>
      </c>
      <c r="BN14" s="74">
        <v>0</v>
      </c>
      <c r="BO14" s="74">
        <v>0</v>
      </c>
      <c r="BP14" s="74">
        <v>0</v>
      </c>
      <c r="BQ14" s="74">
        <v>0</v>
      </c>
      <c r="BR14" s="74">
        <v>0</v>
      </c>
      <c r="BS14" s="74">
        <v>0</v>
      </c>
      <c r="BT14" s="74">
        <v>0</v>
      </c>
      <c r="BU14" s="74">
        <v>0</v>
      </c>
      <c r="BV14" s="74">
        <v>0</v>
      </c>
      <c r="BW14" s="74">
        <v>0</v>
      </c>
      <c r="BX14" s="74">
        <v>0</v>
      </c>
      <c r="BY14" s="74">
        <v>0</v>
      </c>
      <c r="BZ14" s="74">
        <v>0</v>
      </c>
      <c r="CA14" s="74">
        <v>0</v>
      </c>
      <c r="CB14" s="74">
        <v>0</v>
      </c>
      <c r="CC14" s="74">
        <v>0</v>
      </c>
      <c r="CD14" s="74">
        <v>0</v>
      </c>
      <c r="CE14" s="74">
        <v>0</v>
      </c>
      <c r="CF14" s="74">
        <v>0</v>
      </c>
      <c r="CG14" s="74">
        <v>0</v>
      </c>
      <c r="CH14" s="74">
        <v>0</v>
      </c>
      <c r="CI14" s="74">
        <v>0</v>
      </c>
      <c r="CJ14" s="74">
        <v>0</v>
      </c>
      <c r="CK14" s="74">
        <v>0</v>
      </c>
      <c r="CL14" s="74">
        <v>0</v>
      </c>
      <c r="CM14" s="74">
        <v>0</v>
      </c>
      <c r="CN14" s="74">
        <v>0</v>
      </c>
      <c r="CO14" s="74">
        <v>0</v>
      </c>
      <c r="CP14" s="74">
        <v>0</v>
      </c>
      <c r="CQ14" s="74">
        <v>0</v>
      </c>
      <c r="CR14" s="74">
        <v>0</v>
      </c>
      <c r="CS14" s="74">
        <v>0</v>
      </c>
      <c r="CT14" s="74">
        <v>0</v>
      </c>
      <c r="CU14" s="74">
        <v>0</v>
      </c>
      <c r="CV14" s="74">
        <v>0</v>
      </c>
      <c r="CW14" s="74">
        <v>0</v>
      </c>
      <c r="CX14" s="74">
        <v>0</v>
      </c>
      <c r="CY14" s="74">
        <v>0</v>
      </c>
      <c r="CZ14" s="74">
        <v>0</v>
      </c>
      <c r="DA14" s="74">
        <v>0</v>
      </c>
      <c r="DB14" s="74">
        <v>0</v>
      </c>
      <c r="DC14" s="74">
        <v>0</v>
      </c>
      <c r="DD14" s="74">
        <v>0</v>
      </c>
      <c r="DE14" s="74">
        <v>0</v>
      </c>
      <c r="DF14" s="74">
        <v>0</v>
      </c>
      <c r="DG14" s="74">
        <v>0</v>
      </c>
      <c r="DH14" s="74">
        <v>0</v>
      </c>
      <c r="DI14" s="74">
        <v>0</v>
      </c>
      <c r="DJ14" s="74">
        <v>0</v>
      </c>
      <c r="DK14" s="74">
        <v>0</v>
      </c>
      <c r="DL14" s="74">
        <v>0</v>
      </c>
      <c r="DM14" s="74">
        <v>0</v>
      </c>
      <c r="DN14" s="74">
        <v>0</v>
      </c>
      <c r="DO14" s="74">
        <v>0</v>
      </c>
      <c r="DP14" s="74">
        <v>0</v>
      </c>
      <c r="DQ14" s="74">
        <v>0</v>
      </c>
      <c r="DR14" s="74">
        <v>0</v>
      </c>
      <c r="DS14" s="74">
        <v>0</v>
      </c>
      <c r="DT14" s="74">
        <v>0</v>
      </c>
      <c r="DU14" s="74">
        <v>0</v>
      </c>
      <c r="DV14" s="74">
        <v>0</v>
      </c>
      <c r="DW14" s="74">
        <v>0</v>
      </c>
      <c r="DX14" s="74">
        <v>0</v>
      </c>
      <c r="DY14" s="74">
        <v>0</v>
      </c>
      <c r="DZ14" s="74">
        <v>0</v>
      </c>
      <c r="EA14" s="74">
        <v>0</v>
      </c>
      <c r="EB14" s="74">
        <v>0</v>
      </c>
      <c r="EC14" s="74">
        <v>0</v>
      </c>
      <c r="ED14" s="74"/>
      <c r="EE14" s="80">
        <v>46147</v>
      </c>
      <c r="EF14" s="81">
        <v>46147.490582986109</v>
      </c>
      <c r="EG14" s="66" t="s">
        <v>71</v>
      </c>
      <c r="EH14" s="66" t="s">
        <v>209</v>
      </c>
      <c r="EI14" s="66" t="s">
        <v>6</v>
      </c>
      <c r="EJ14" s="66">
        <v>12</v>
      </c>
      <c r="EK14" s="66">
        <v>2027</v>
      </c>
      <c r="EL14" s="66" t="s">
        <v>24</v>
      </c>
      <c r="EM14" s="82">
        <v>290.68389790090976</v>
      </c>
      <c r="EN14" s="82">
        <v>257.5814628146079</v>
      </c>
      <c r="EO14" s="77">
        <v>273.51499999999999</v>
      </c>
      <c r="EP14" s="84">
        <v>0.20185877210205863</v>
      </c>
      <c r="EQ14" s="84">
        <v>0.20646392611324274</v>
      </c>
      <c r="ER14" s="84">
        <v>3.7812199999999997E-2</v>
      </c>
      <c r="ES14" s="85">
        <v>0.97269429659977535</v>
      </c>
      <c r="ET14" s="86">
        <v>1.4621999999999999</v>
      </c>
      <c r="EU14" s="85">
        <v>0.15269873395245903</v>
      </c>
      <c r="EV14" s="85">
        <v>3.6374216079711912E-2</v>
      </c>
      <c r="EW14" s="76">
        <v>3</v>
      </c>
      <c r="EX14" s="76" t="s">
        <v>32</v>
      </c>
      <c r="EY14" s="74" t="s">
        <v>243</v>
      </c>
      <c r="EZ14" s="74"/>
      <c r="FA14" s="74"/>
      <c r="FB14" s="74"/>
      <c r="FC14" s="74"/>
      <c r="FD14" s="68"/>
      <c r="FH14" s="73"/>
      <c r="FI14" s="74"/>
      <c r="FJ14" s="74"/>
      <c r="FK14" s="74"/>
      <c r="FL14" s="74"/>
      <c r="FM14" s="74"/>
      <c r="FN14" s="74"/>
      <c r="FO14" s="74"/>
      <c r="FP14" s="74"/>
      <c r="FQ14" s="74"/>
      <c r="FR14" s="74"/>
      <c r="FS14" s="74"/>
      <c r="FT14" s="74"/>
      <c r="FU14" s="74"/>
      <c r="FV14" s="74"/>
      <c r="FW14" s="74"/>
      <c r="FX14" s="74"/>
      <c r="FY14" s="74"/>
      <c r="FZ14" s="74"/>
      <c r="GA14" s="68"/>
    </row>
    <row r="15" spans="1:183" s="2" customFormat="1" ht="15" x14ac:dyDescent="0.3">
      <c r="A15" s="73" t="s">
        <v>25</v>
      </c>
      <c r="B15" s="73" t="s">
        <v>25</v>
      </c>
      <c r="C15" s="73" t="s">
        <v>221</v>
      </c>
      <c r="D15" s="73" t="s">
        <v>48</v>
      </c>
      <c r="E15" s="73" t="s">
        <v>178</v>
      </c>
      <c r="F15" s="73" t="s">
        <v>210</v>
      </c>
      <c r="G15" s="73" t="s">
        <v>216</v>
      </c>
      <c r="H15" s="73"/>
      <c r="I15" s="74">
        <v>0</v>
      </c>
      <c r="J15" s="74">
        <v>0</v>
      </c>
      <c r="K15" s="74">
        <v>0</v>
      </c>
      <c r="L15" s="74">
        <v>0</v>
      </c>
      <c r="M15" s="74">
        <v>4144.7247621380957</v>
      </c>
      <c r="N15" s="74">
        <v>49291.071829037188</v>
      </c>
      <c r="O15" s="74">
        <v>46004.481144661826</v>
      </c>
      <c r="P15" s="74">
        <v>22519.705205609964</v>
      </c>
      <c r="Q15" s="74">
        <v>-16854.257802316744</v>
      </c>
      <c r="R15" s="74">
        <v>14179.952402040857</v>
      </c>
      <c r="S15" s="74">
        <v>163188.99571308677</v>
      </c>
      <c r="T15" s="74">
        <v>155780.47678933246</v>
      </c>
      <c r="U15" s="74">
        <v>0</v>
      </c>
      <c r="V15" s="74">
        <v>0</v>
      </c>
      <c r="W15" s="74">
        <v>0</v>
      </c>
      <c r="X15" s="74">
        <v>0</v>
      </c>
      <c r="Y15" s="74">
        <v>0</v>
      </c>
      <c r="Z15" s="74">
        <v>0</v>
      </c>
      <c r="AA15" s="74">
        <v>0</v>
      </c>
      <c r="AB15" s="74">
        <v>0</v>
      </c>
      <c r="AC15" s="74">
        <v>0</v>
      </c>
      <c r="AD15" s="74">
        <v>0</v>
      </c>
      <c r="AE15" s="74">
        <v>0</v>
      </c>
      <c r="AF15" s="74">
        <v>0</v>
      </c>
      <c r="AG15" s="74">
        <v>0</v>
      </c>
      <c r="AH15" s="74">
        <v>0</v>
      </c>
      <c r="AI15" s="74">
        <v>0</v>
      </c>
      <c r="AJ15" s="74">
        <v>0</v>
      </c>
      <c r="AK15" s="74"/>
      <c r="AL15" s="74">
        <v>1544.55753902979</v>
      </c>
      <c r="AM15" s="74">
        <v>5150.6308149322304</v>
      </c>
      <c r="AN15" s="74">
        <v>-166.08702342050856</v>
      </c>
      <c r="AO15" s="74" t="s">
        <v>48</v>
      </c>
      <c r="AP15" s="74" t="s">
        <v>48</v>
      </c>
      <c r="AQ15" s="74">
        <v>-79.566000000000713</v>
      </c>
      <c r="AR15" s="74">
        <v>1180.1005999999998</v>
      </c>
      <c r="AS15" s="74">
        <v>161.52347999999984</v>
      </c>
      <c r="AT15" s="74">
        <v>2070.4946999999993</v>
      </c>
      <c r="AU15" s="74">
        <v>3409.4532000000036</v>
      </c>
      <c r="AV15" s="74">
        <v>-3044.5814999999984</v>
      </c>
      <c r="AW15" s="74">
        <v>1311.7639999999992</v>
      </c>
      <c r="AX15" s="74">
        <v>1611.6348500000022</v>
      </c>
      <c r="AY15" s="74">
        <v>1927.9616999999998</v>
      </c>
      <c r="AZ15" s="74">
        <v>2824.1491999999998</v>
      </c>
      <c r="BA15" s="74">
        <v>1944.1461000000018</v>
      </c>
      <c r="BB15" s="74">
        <v>2420.5272499999992</v>
      </c>
      <c r="BC15" s="74">
        <v>1817.0650500000011</v>
      </c>
      <c r="BD15" s="74" t="s">
        <v>48</v>
      </c>
      <c r="BE15" s="74" t="s">
        <v>48</v>
      </c>
      <c r="BF15" s="74" t="s">
        <v>48</v>
      </c>
      <c r="BG15" s="74" t="s">
        <v>48</v>
      </c>
      <c r="BH15" s="74" t="s">
        <v>48</v>
      </c>
      <c r="BI15" s="74" t="s">
        <v>48</v>
      </c>
      <c r="BJ15" s="74" t="s">
        <v>48</v>
      </c>
      <c r="BK15" s="74" t="s">
        <v>48</v>
      </c>
      <c r="BL15" s="74" t="s">
        <v>48</v>
      </c>
      <c r="BM15" s="74" t="s">
        <v>48</v>
      </c>
      <c r="BN15" s="74" t="s">
        <v>48</v>
      </c>
      <c r="BO15" s="74" t="s">
        <v>48</v>
      </c>
      <c r="BP15" s="74" t="s">
        <v>48</v>
      </c>
      <c r="BQ15" s="74" t="s">
        <v>48</v>
      </c>
      <c r="BR15" s="74">
        <v>0</v>
      </c>
      <c r="BS15" s="74">
        <v>0</v>
      </c>
      <c r="BT15" s="74">
        <v>0</v>
      </c>
      <c r="BU15" s="74">
        <v>0</v>
      </c>
      <c r="BV15" s="74">
        <v>0</v>
      </c>
      <c r="BW15" s="74">
        <v>0</v>
      </c>
      <c r="BX15" s="74">
        <v>0</v>
      </c>
      <c r="BY15" s="74">
        <v>0</v>
      </c>
      <c r="BZ15" s="74">
        <v>0</v>
      </c>
      <c r="CA15" s="74">
        <v>0</v>
      </c>
      <c r="CB15" s="74">
        <v>0</v>
      </c>
      <c r="CC15" s="74">
        <v>0</v>
      </c>
      <c r="CD15" s="74">
        <v>0</v>
      </c>
      <c r="CE15" s="74">
        <v>0</v>
      </c>
      <c r="CF15" s="74">
        <v>0</v>
      </c>
      <c r="CG15" s="74">
        <v>0</v>
      </c>
      <c r="CH15" s="74">
        <v>0</v>
      </c>
      <c r="CI15" s="74">
        <v>0</v>
      </c>
      <c r="CJ15" s="74">
        <v>0</v>
      </c>
      <c r="CK15" s="74">
        <v>0</v>
      </c>
      <c r="CL15" s="74">
        <v>0</v>
      </c>
      <c r="CM15" s="74">
        <v>0</v>
      </c>
      <c r="CN15" s="74">
        <v>0</v>
      </c>
      <c r="CO15" s="74">
        <v>0</v>
      </c>
      <c r="CP15" s="74">
        <v>0</v>
      </c>
      <c r="CQ15" s="74">
        <v>0</v>
      </c>
      <c r="CR15" s="74">
        <v>0</v>
      </c>
      <c r="CS15" s="74">
        <v>0</v>
      </c>
      <c r="CT15" s="74">
        <v>0</v>
      </c>
      <c r="CU15" s="74">
        <v>0</v>
      </c>
      <c r="CV15" s="74">
        <v>0</v>
      </c>
      <c r="CW15" s="74">
        <v>0</v>
      </c>
      <c r="CX15" s="74">
        <v>0</v>
      </c>
      <c r="CY15" s="74">
        <v>0</v>
      </c>
      <c r="CZ15" s="74">
        <v>0</v>
      </c>
      <c r="DA15" s="74">
        <v>0</v>
      </c>
      <c r="DB15" s="74">
        <v>0</v>
      </c>
      <c r="DC15" s="74">
        <v>0</v>
      </c>
      <c r="DD15" s="74">
        <v>0</v>
      </c>
      <c r="DE15" s="74">
        <v>0</v>
      </c>
      <c r="DF15" s="74">
        <v>0</v>
      </c>
      <c r="DG15" s="74">
        <v>0</v>
      </c>
      <c r="DH15" s="74">
        <v>0</v>
      </c>
      <c r="DI15" s="74">
        <v>0</v>
      </c>
      <c r="DJ15" s="74">
        <v>0</v>
      </c>
      <c r="DK15" s="74">
        <v>0</v>
      </c>
      <c r="DL15" s="74">
        <v>0</v>
      </c>
      <c r="DM15" s="74">
        <v>0</v>
      </c>
      <c r="DN15" s="74">
        <v>0</v>
      </c>
      <c r="DO15" s="74">
        <v>0</v>
      </c>
      <c r="DP15" s="74">
        <v>0</v>
      </c>
      <c r="DQ15" s="74">
        <v>0</v>
      </c>
      <c r="DR15" s="74">
        <v>0</v>
      </c>
      <c r="DS15" s="74">
        <v>0</v>
      </c>
      <c r="DT15" s="74">
        <v>0</v>
      </c>
      <c r="DU15" s="74">
        <v>0</v>
      </c>
      <c r="DV15" s="74">
        <v>0</v>
      </c>
      <c r="DW15" s="74">
        <v>0</v>
      </c>
      <c r="DX15" s="74">
        <v>0</v>
      </c>
      <c r="DY15" s="74">
        <v>0</v>
      </c>
      <c r="DZ15" s="74">
        <v>0</v>
      </c>
      <c r="EA15" s="74">
        <v>0</v>
      </c>
      <c r="EB15" s="74">
        <v>0</v>
      </c>
      <c r="EC15" s="74">
        <v>0</v>
      </c>
      <c r="ED15" s="74"/>
      <c r="EE15" s="80">
        <v>46147</v>
      </c>
      <c r="EF15" s="81">
        <v>46147.490582986109</v>
      </c>
      <c r="EG15" s="66" t="s">
        <v>71</v>
      </c>
      <c r="EH15" s="66" t="s">
        <v>209</v>
      </c>
      <c r="EI15" s="66" t="s">
        <v>6</v>
      </c>
      <c r="EJ15" s="66">
        <v>12</v>
      </c>
      <c r="EK15" s="66">
        <v>2027</v>
      </c>
      <c r="EL15" s="66" t="s">
        <v>24</v>
      </c>
      <c r="EM15" s="82">
        <v>290.68389790090976</v>
      </c>
      <c r="EN15" s="82">
        <v>257.5814628146079</v>
      </c>
      <c r="EO15" s="77">
        <v>273.51499999999999</v>
      </c>
      <c r="EP15" s="84">
        <v>0.20185877210205863</v>
      </c>
      <c r="EQ15" s="84">
        <v>0.20646392611324274</v>
      </c>
      <c r="ER15" s="84">
        <v>3.7812199999999997E-2</v>
      </c>
      <c r="ES15" s="85">
        <v>0.97269429659977535</v>
      </c>
      <c r="ET15" s="86">
        <v>1.4621999999999999</v>
      </c>
      <c r="EU15" s="85">
        <v>0.15269873395245903</v>
      </c>
      <c r="EV15" s="85">
        <v>3.6374216079711912E-2</v>
      </c>
      <c r="EW15" s="76">
        <v>3</v>
      </c>
      <c r="EX15" s="76" t="s">
        <v>32</v>
      </c>
      <c r="EY15" s="74" t="s">
        <v>243</v>
      </c>
      <c r="EZ15" s="74"/>
      <c r="FA15" s="74"/>
      <c r="FB15" s="74"/>
      <c r="FC15" s="74"/>
      <c r="FD15" s="68"/>
      <c r="FH15" s="73"/>
      <c r="FI15" s="74"/>
      <c r="FJ15" s="74"/>
      <c r="FK15" s="74"/>
      <c r="FL15" s="74"/>
      <c r="FM15" s="74"/>
      <c r="FN15" s="74"/>
      <c r="FO15" s="74"/>
      <c r="FP15" s="74"/>
      <c r="FQ15" s="74"/>
      <c r="FR15" s="74"/>
      <c r="FS15" s="74"/>
      <c r="FT15" s="74"/>
      <c r="FU15" s="74"/>
      <c r="FV15" s="74"/>
      <c r="FW15" s="74"/>
      <c r="FX15" s="74"/>
      <c r="FY15" s="74"/>
      <c r="FZ15" s="74"/>
      <c r="GA15" s="68"/>
    </row>
    <row r="16" spans="1:183" s="2" customFormat="1" ht="15" x14ac:dyDescent="0.3">
      <c r="A16" s="73" t="s">
        <v>179</v>
      </c>
      <c r="B16" s="73" t="s">
        <v>237</v>
      </c>
      <c r="C16" s="73" t="s">
        <v>222</v>
      </c>
      <c r="D16" s="73" t="s">
        <v>48</v>
      </c>
      <c r="E16" s="73" t="s">
        <v>178</v>
      </c>
      <c r="F16" s="73" t="s">
        <v>210</v>
      </c>
      <c r="G16" s="73" t="s">
        <v>223</v>
      </c>
      <c r="H16" s="73"/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0</v>
      </c>
      <c r="O16" s="74">
        <v>0</v>
      </c>
      <c r="P16" s="74">
        <v>0</v>
      </c>
      <c r="Q16" s="74">
        <v>819962.6617647059</v>
      </c>
      <c r="R16" s="74">
        <v>925181.2</v>
      </c>
      <c r="S16" s="74">
        <v>1023818.1538461538</v>
      </c>
      <c r="T16" s="74">
        <v>1152886.1818181819</v>
      </c>
      <c r="U16" s="74">
        <v>1287115.1428571427</v>
      </c>
      <c r="V16" s="74">
        <v>0</v>
      </c>
      <c r="W16" s="74">
        <v>0</v>
      </c>
      <c r="X16" s="74">
        <v>0</v>
      </c>
      <c r="Y16" s="74">
        <v>0</v>
      </c>
      <c r="Z16" s="74">
        <v>0</v>
      </c>
      <c r="AA16" s="74">
        <v>0</v>
      </c>
      <c r="AB16" s="74">
        <v>0</v>
      </c>
      <c r="AC16" s="74">
        <v>0</v>
      </c>
      <c r="AD16" s="74">
        <v>0</v>
      </c>
      <c r="AE16" s="74">
        <v>0</v>
      </c>
      <c r="AF16" s="74">
        <v>0</v>
      </c>
      <c r="AG16" s="74">
        <v>0</v>
      </c>
      <c r="AH16" s="74">
        <v>0</v>
      </c>
      <c r="AI16" s="74">
        <v>0</v>
      </c>
      <c r="AJ16" s="74">
        <v>0</v>
      </c>
      <c r="AK16" s="74"/>
      <c r="AL16" s="74">
        <v>0</v>
      </c>
      <c r="AM16" s="74">
        <v>0</v>
      </c>
      <c r="AN16" s="74">
        <v>0</v>
      </c>
      <c r="AO16" s="74">
        <v>0</v>
      </c>
      <c r="AP16" s="74">
        <v>0</v>
      </c>
      <c r="AQ16" s="74">
        <v>0</v>
      </c>
      <c r="AR16" s="74">
        <v>0</v>
      </c>
      <c r="AS16" s="74">
        <v>0</v>
      </c>
      <c r="AT16" s="74">
        <v>0</v>
      </c>
      <c r="AU16" s="74">
        <v>0</v>
      </c>
      <c r="AV16" s="74">
        <v>0</v>
      </c>
      <c r="AW16" s="74">
        <v>0</v>
      </c>
      <c r="AX16" s="74">
        <v>0</v>
      </c>
      <c r="AY16" s="74">
        <v>0</v>
      </c>
      <c r="AZ16" s="74">
        <v>0</v>
      </c>
      <c r="BA16" s="74">
        <v>0</v>
      </c>
      <c r="BB16" s="74">
        <v>0</v>
      </c>
      <c r="BC16" s="74">
        <v>0</v>
      </c>
      <c r="BD16" s="74">
        <v>0</v>
      </c>
      <c r="BE16" s="74">
        <v>0</v>
      </c>
      <c r="BF16" s="74">
        <v>0</v>
      </c>
      <c r="BG16" s="74">
        <v>0</v>
      </c>
      <c r="BH16" s="74">
        <v>0</v>
      </c>
      <c r="BI16" s="74">
        <v>0</v>
      </c>
      <c r="BJ16" s="74">
        <v>0</v>
      </c>
      <c r="BK16" s="74">
        <v>0</v>
      </c>
      <c r="BL16" s="74">
        <v>0</v>
      </c>
      <c r="BM16" s="74">
        <v>0</v>
      </c>
      <c r="BN16" s="74">
        <v>0</v>
      </c>
      <c r="BO16" s="74">
        <v>0</v>
      </c>
      <c r="BP16" s="74">
        <v>0</v>
      </c>
      <c r="BQ16" s="74">
        <v>0</v>
      </c>
      <c r="BR16" s="74">
        <v>0</v>
      </c>
      <c r="BS16" s="74">
        <v>0</v>
      </c>
      <c r="BT16" s="74">
        <v>0</v>
      </c>
      <c r="BU16" s="74">
        <v>0</v>
      </c>
      <c r="BV16" s="74">
        <v>0</v>
      </c>
      <c r="BW16" s="74">
        <v>0</v>
      </c>
      <c r="BX16" s="74">
        <v>0</v>
      </c>
      <c r="BY16" s="74">
        <v>0</v>
      </c>
      <c r="BZ16" s="74">
        <v>0</v>
      </c>
      <c r="CA16" s="74">
        <v>0</v>
      </c>
      <c r="CB16" s="74">
        <v>0</v>
      </c>
      <c r="CC16" s="74">
        <v>0</v>
      </c>
      <c r="CD16" s="74">
        <v>0</v>
      </c>
      <c r="CE16" s="74">
        <v>0</v>
      </c>
      <c r="CF16" s="74">
        <v>0</v>
      </c>
      <c r="CG16" s="74">
        <v>0</v>
      </c>
      <c r="CH16" s="74">
        <v>0</v>
      </c>
      <c r="CI16" s="74">
        <v>0</v>
      </c>
      <c r="CJ16" s="74">
        <v>0</v>
      </c>
      <c r="CK16" s="74">
        <v>0</v>
      </c>
      <c r="CL16" s="74">
        <v>0</v>
      </c>
      <c r="CM16" s="74">
        <v>0</v>
      </c>
      <c r="CN16" s="74">
        <v>0</v>
      </c>
      <c r="CO16" s="74">
        <v>0</v>
      </c>
      <c r="CP16" s="74">
        <v>0</v>
      </c>
      <c r="CQ16" s="74">
        <v>0</v>
      </c>
      <c r="CR16" s="74">
        <v>0</v>
      </c>
      <c r="CS16" s="74">
        <v>0</v>
      </c>
      <c r="CT16" s="74">
        <v>0</v>
      </c>
      <c r="CU16" s="74">
        <v>0</v>
      </c>
      <c r="CV16" s="74">
        <v>0</v>
      </c>
      <c r="CW16" s="74">
        <v>0</v>
      </c>
      <c r="CX16" s="74">
        <v>0</v>
      </c>
      <c r="CY16" s="74">
        <v>0</v>
      </c>
      <c r="CZ16" s="74">
        <v>0</v>
      </c>
      <c r="DA16" s="74">
        <v>0</v>
      </c>
      <c r="DB16" s="74">
        <v>0</v>
      </c>
      <c r="DC16" s="74">
        <v>0</v>
      </c>
      <c r="DD16" s="74">
        <v>0</v>
      </c>
      <c r="DE16" s="74">
        <v>0</v>
      </c>
      <c r="DF16" s="74">
        <v>0</v>
      </c>
      <c r="DG16" s="74">
        <v>0</v>
      </c>
      <c r="DH16" s="74">
        <v>0</v>
      </c>
      <c r="DI16" s="74">
        <v>0</v>
      </c>
      <c r="DJ16" s="74">
        <v>0</v>
      </c>
      <c r="DK16" s="74">
        <v>0</v>
      </c>
      <c r="DL16" s="74">
        <v>0</v>
      </c>
      <c r="DM16" s="74">
        <v>0</v>
      </c>
      <c r="DN16" s="74">
        <v>0</v>
      </c>
      <c r="DO16" s="74">
        <v>0</v>
      </c>
      <c r="DP16" s="74">
        <v>0</v>
      </c>
      <c r="DQ16" s="74">
        <v>0</v>
      </c>
      <c r="DR16" s="74">
        <v>0</v>
      </c>
      <c r="DS16" s="74">
        <v>0</v>
      </c>
      <c r="DT16" s="74">
        <v>0</v>
      </c>
      <c r="DU16" s="74">
        <v>0</v>
      </c>
      <c r="DV16" s="74">
        <v>0</v>
      </c>
      <c r="DW16" s="74">
        <v>0</v>
      </c>
      <c r="DX16" s="74">
        <v>0</v>
      </c>
      <c r="DY16" s="74">
        <v>0</v>
      </c>
      <c r="DZ16" s="74">
        <v>0</v>
      </c>
      <c r="EA16" s="74">
        <v>0</v>
      </c>
      <c r="EB16" s="74">
        <v>0</v>
      </c>
      <c r="EC16" s="74">
        <v>0</v>
      </c>
      <c r="ED16" s="74"/>
      <c r="EE16" s="80">
        <v>46147</v>
      </c>
      <c r="EF16" s="81">
        <v>46147.490582986109</v>
      </c>
      <c r="EG16" s="66" t="s">
        <v>71</v>
      </c>
      <c r="EH16" s="66" t="s">
        <v>209</v>
      </c>
      <c r="EI16" s="66" t="s">
        <v>6</v>
      </c>
      <c r="EJ16" s="66">
        <v>12</v>
      </c>
      <c r="EK16" s="66">
        <v>2027</v>
      </c>
      <c r="EL16" s="66" t="s">
        <v>24</v>
      </c>
      <c r="EM16" s="82">
        <v>290.68389790090976</v>
      </c>
      <c r="EN16" s="82">
        <v>257.5814628146079</v>
      </c>
      <c r="EO16" s="77">
        <v>273.51499999999999</v>
      </c>
      <c r="EP16" s="84">
        <v>0.20185877210205863</v>
      </c>
      <c r="EQ16" s="84">
        <v>0.20646392611324274</v>
      </c>
      <c r="ER16" s="84">
        <v>3.7812199999999997E-2</v>
      </c>
      <c r="ES16" s="85">
        <v>0.97269429659977535</v>
      </c>
      <c r="ET16" s="86">
        <v>1.4621999999999999</v>
      </c>
      <c r="EU16" s="85">
        <v>0.15269873395245903</v>
      </c>
      <c r="EV16" s="85">
        <v>3.6374216079711912E-2</v>
      </c>
      <c r="EW16" s="76">
        <v>3</v>
      </c>
      <c r="EX16" s="76" t="s">
        <v>32</v>
      </c>
      <c r="EY16" s="74" t="s">
        <v>243</v>
      </c>
      <c r="EZ16" s="74"/>
      <c r="FA16" s="74"/>
      <c r="FB16" s="74"/>
      <c r="FC16" s="74"/>
      <c r="FD16" s="68"/>
      <c r="FH16" s="73"/>
      <c r="FI16" s="74"/>
      <c r="FJ16" s="74"/>
      <c r="FK16" s="74"/>
      <c r="FL16" s="74"/>
      <c r="FM16" s="74"/>
      <c r="FN16" s="74"/>
      <c r="FO16" s="74"/>
      <c r="FP16" s="74"/>
      <c r="FQ16" s="74"/>
      <c r="FR16" s="74"/>
      <c r="FS16" s="74"/>
      <c r="FT16" s="74"/>
      <c r="FU16" s="74"/>
      <c r="FV16" s="74"/>
      <c r="FW16" s="74"/>
      <c r="FX16" s="74"/>
      <c r="FY16" s="74"/>
      <c r="FZ16" s="74"/>
      <c r="GA16" s="68"/>
    </row>
    <row r="17" spans="1:183" s="2" customFormat="1" ht="15" x14ac:dyDescent="0.3">
      <c r="A17" s="73" t="s">
        <v>180</v>
      </c>
      <c r="B17" s="73" t="s">
        <v>238</v>
      </c>
      <c r="C17" s="73" t="s">
        <v>224</v>
      </c>
      <c r="D17" s="73" t="s">
        <v>48</v>
      </c>
      <c r="E17" s="73" t="s">
        <v>178</v>
      </c>
      <c r="F17" s="73" t="s">
        <v>210</v>
      </c>
      <c r="G17" s="73" t="s">
        <v>223</v>
      </c>
      <c r="H17" s="73"/>
      <c r="I17" s="74">
        <v>0</v>
      </c>
      <c r="J17" s="74">
        <v>0</v>
      </c>
      <c r="K17" s="74">
        <v>0</v>
      </c>
      <c r="L17" s="74">
        <v>0</v>
      </c>
      <c r="M17" s="74">
        <v>0</v>
      </c>
      <c r="N17" s="74">
        <v>0</v>
      </c>
      <c r="O17" s="74">
        <v>0</v>
      </c>
      <c r="P17" s="74">
        <v>0</v>
      </c>
      <c r="Q17" s="74">
        <v>210933.214285714</v>
      </c>
      <c r="R17" s="74">
        <v>266809.25</v>
      </c>
      <c r="S17" s="74">
        <v>328907.66666666698</v>
      </c>
      <c r="T17" s="74">
        <v>377472.4375</v>
      </c>
      <c r="U17" s="74">
        <v>441832.4375</v>
      </c>
      <c r="V17" s="74">
        <v>0</v>
      </c>
      <c r="W17" s="74">
        <v>0</v>
      </c>
      <c r="X17" s="74">
        <v>0</v>
      </c>
      <c r="Y17" s="74">
        <v>0</v>
      </c>
      <c r="Z17" s="74">
        <v>0</v>
      </c>
      <c r="AA17" s="74">
        <v>0</v>
      </c>
      <c r="AB17" s="74">
        <v>0</v>
      </c>
      <c r="AC17" s="74">
        <v>0</v>
      </c>
      <c r="AD17" s="74">
        <v>0</v>
      </c>
      <c r="AE17" s="74">
        <v>0</v>
      </c>
      <c r="AF17" s="74">
        <v>0</v>
      </c>
      <c r="AG17" s="74">
        <v>0</v>
      </c>
      <c r="AH17" s="74">
        <v>0</v>
      </c>
      <c r="AI17" s="74">
        <v>0</v>
      </c>
      <c r="AJ17" s="74">
        <v>0</v>
      </c>
      <c r="AK17" s="74"/>
      <c r="AL17" s="74">
        <v>0</v>
      </c>
      <c r="AM17" s="74">
        <v>0</v>
      </c>
      <c r="AN17" s="74">
        <v>0</v>
      </c>
      <c r="AO17" s="74">
        <v>0</v>
      </c>
      <c r="AP17" s="74">
        <v>0</v>
      </c>
      <c r="AQ17" s="74">
        <v>0</v>
      </c>
      <c r="AR17" s="74">
        <v>0</v>
      </c>
      <c r="AS17" s="74">
        <v>0</v>
      </c>
      <c r="AT17" s="74">
        <v>0</v>
      </c>
      <c r="AU17" s="74">
        <v>0</v>
      </c>
      <c r="AV17" s="74">
        <v>0</v>
      </c>
      <c r="AW17" s="74">
        <v>0</v>
      </c>
      <c r="AX17" s="74">
        <v>0</v>
      </c>
      <c r="AY17" s="74">
        <v>0</v>
      </c>
      <c r="AZ17" s="74">
        <v>0</v>
      </c>
      <c r="BA17" s="74">
        <v>0</v>
      </c>
      <c r="BB17" s="74">
        <v>0</v>
      </c>
      <c r="BC17" s="74">
        <v>0</v>
      </c>
      <c r="BD17" s="74">
        <v>0</v>
      </c>
      <c r="BE17" s="74">
        <v>0</v>
      </c>
      <c r="BF17" s="74">
        <v>0</v>
      </c>
      <c r="BG17" s="74">
        <v>0</v>
      </c>
      <c r="BH17" s="74">
        <v>0</v>
      </c>
      <c r="BI17" s="74">
        <v>0</v>
      </c>
      <c r="BJ17" s="74">
        <v>0</v>
      </c>
      <c r="BK17" s="74">
        <v>0</v>
      </c>
      <c r="BL17" s="74">
        <v>0</v>
      </c>
      <c r="BM17" s="74">
        <v>0</v>
      </c>
      <c r="BN17" s="74">
        <v>0</v>
      </c>
      <c r="BO17" s="74">
        <v>0</v>
      </c>
      <c r="BP17" s="74">
        <v>0</v>
      </c>
      <c r="BQ17" s="74">
        <v>0</v>
      </c>
      <c r="BR17" s="74">
        <v>0</v>
      </c>
      <c r="BS17" s="74">
        <v>0</v>
      </c>
      <c r="BT17" s="74">
        <v>0</v>
      </c>
      <c r="BU17" s="74">
        <v>0</v>
      </c>
      <c r="BV17" s="74">
        <v>0</v>
      </c>
      <c r="BW17" s="74">
        <v>0</v>
      </c>
      <c r="BX17" s="74">
        <v>0</v>
      </c>
      <c r="BY17" s="74">
        <v>0</v>
      </c>
      <c r="BZ17" s="74">
        <v>0</v>
      </c>
      <c r="CA17" s="74">
        <v>0</v>
      </c>
      <c r="CB17" s="74">
        <v>0</v>
      </c>
      <c r="CC17" s="74">
        <v>0</v>
      </c>
      <c r="CD17" s="74">
        <v>0</v>
      </c>
      <c r="CE17" s="74">
        <v>0</v>
      </c>
      <c r="CF17" s="74">
        <v>0</v>
      </c>
      <c r="CG17" s="74">
        <v>0</v>
      </c>
      <c r="CH17" s="74">
        <v>0</v>
      </c>
      <c r="CI17" s="74">
        <v>0</v>
      </c>
      <c r="CJ17" s="74">
        <v>0</v>
      </c>
      <c r="CK17" s="74">
        <v>0</v>
      </c>
      <c r="CL17" s="74">
        <v>0</v>
      </c>
      <c r="CM17" s="74">
        <v>0</v>
      </c>
      <c r="CN17" s="74">
        <v>0</v>
      </c>
      <c r="CO17" s="74">
        <v>0</v>
      </c>
      <c r="CP17" s="74">
        <v>0</v>
      </c>
      <c r="CQ17" s="74">
        <v>0</v>
      </c>
      <c r="CR17" s="74">
        <v>0</v>
      </c>
      <c r="CS17" s="74">
        <v>0</v>
      </c>
      <c r="CT17" s="74">
        <v>0</v>
      </c>
      <c r="CU17" s="74">
        <v>0</v>
      </c>
      <c r="CV17" s="74">
        <v>0</v>
      </c>
      <c r="CW17" s="74">
        <v>0</v>
      </c>
      <c r="CX17" s="74">
        <v>0</v>
      </c>
      <c r="CY17" s="74">
        <v>0</v>
      </c>
      <c r="CZ17" s="74">
        <v>0</v>
      </c>
      <c r="DA17" s="74">
        <v>0</v>
      </c>
      <c r="DB17" s="74">
        <v>0</v>
      </c>
      <c r="DC17" s="74">
        <v>0</v>
      </c>
      <c r="DD17" s="74">
        <v>0</v>
      </c>
      <c r="DE17" s="74">
        <v>0</v>
      </c>
      <c r="DF17" s="74">
        <v>0</v>
      </c>
      <c r="DG17" s="74">
        <v>0</v>
      </c>
      <c r="DH17" s="74">
        <v>0</v>
      </c>
      <c r="DI17" s="74">
        <v>0</v>
      </c>
      <c r="DJ17" s="74">
        <v>0</v>
      </c>
      <c r="DK17" s="74">
        <v>0</v>
      </c>
      <c r="DL17" s="74">
        <v>0</v>
      </c>
      <c r="DM17" s="74">
        <v>0</v>
      </c>
      <c r="DN17" s="74">
        <v>0</v>
      </c>
      <c r="DO17" s="74">
        <v>0</v>
      </c>
      <c r="DP17" s="74">
        <v>0</v>
      </c>
      <c r="DQ17" s="74">
        <v>0</v>
      </c>
      <c r="DR17" s="74">
        <v>0</v>
      </c>
      <c r="DS17" s="74">
        <v>0</v>
      </c>
      <c r="DT17" s="74">
        <v>0</v>
      </c>
      <c r="DU17" s="74">
        <v>0</v>
      </c>
      <c r="DV17" s="74">
        <v>0</v>
      </c>
      <c r="DW17" s="74">
        <v>0</v>
      </c>
      <c r="DX17" s="74">
        <v>0</v>
      </c>
      <c r="DY17" s="74">
        <v>0</v>
      </c>
      <c r="DZ17" s="74">
        <v>0</v>
      </c>
      <c r="EA17" s="74">
        <v>0</v>
      </c>
      <c r="EB17" s="74">
        <v>0</v>
      </c>
      <c r="EC17" s="74">
        <v>0</v>
      </c>
      <c r="ED17" s="74"/>
      <c r="EE17" s="80">
        <v>46147</v>
      </c>
      <c r="EF17" s="81">
        <v>46147.490582986109</v>
      </c>
      <c r="EG17" s="66" t="s">
        <v>71</v>
      </c>
      <c r="EH17" s="66" t="s">
        <v>209</v>
      </c>
      <c r="EI17" s="66" t="s">
        <v>6</v>
      </c>
      <c r="EJ17" s="66">
        <v>12</v>
      </c>
      <c r="EK17" s="66">
        <v>2027</v>
      </c>
      <c r="EL17" s="66" t="s">
        <v>24</v>
      </c>
      <c r="EM17" s="82">
        <v>290.68389790090976</v>
      </c>
      <c r="EN17" s="82">
        <v>257.5814628146079</v>
      </c>
      <c r="EO17" s="77">
        <v>273.51499999999999</v>
      </c>
      <c r="EP17" s="84">
        <v>0.20185877210205863</v>
      </c>
      <c r="EQ17" s="84">
        <v>0.20646392611324274</v>
      </c>
      <c r="ER17" s="84">
        <v>3.7812199999999997E-2</v>
      </c>
      <c r="ES17" s="85">
        <v>0.97269429659977535</v>
      </c>
      <c r="ET17" s="86">
        <v>1.4621999999999999</v>
      </c>
      <c r="EU17" s="85">
        <v>0.15269873395245903</v>
      </c>
      <c r="EV17" s="85">
        <v>3.6374216079711912E-2</v>
      </c>
      <c r="EW17" s="76">
        <v>3</v>
      </c>
      <c r="EX17" s="76" t="s">
        <v>32</v>
      </c>
      <c r="EY17" s="74" t="s">
        <v>243</v>
      </c>
      <c r="EZ17" s="74"/>
      <c r="FA17" s="74"/>
      <c r="FB17" s="74"/>
      <c r="FC17" s="74"/>
      <c r="FD17" s="68"/>
      <c r="FH17" s="73"/>
      <c r="FI17" s="74"/>
      <c r="FJ17" s="74"/>
      <c r="FK17" s="74"/>
      <c r="FL17" s="74"/>
      <c r="FM17" s="74"/>
      <c r="FN17" s="74"/>
      <c r="FO17" s="74"/>
      <c r="FP17" s="74"/>
      <c r="FQ17" s="74"/>
      <c r="FR17" s="74"/>
      <c r="FS17" s="74"/>
      <c r="FT17" s="74"/>
      <c r="FU17" s="74"/>
      <c r="FV17" s="74"/>
      <c r="FW17" s="74"/>
      <c r="FX17" s="74"/>
      <c r="FY17" s="74"/>
      <c r="FZ17" s="74"/>
      <c r="GA17" s="68"/>
    </row>
    <row r="18" spans="1:183" s="2" customFormat="1" ht="15" x14ac:dyDescent="0.3">
      <c r="A18" s="73" t="s">
        <v>207</v>
      </c>
      <c r="B18" s="73" t="s">
        <v>239</v>
      </c>
      <c r="C18" s="73" t="s">
        <v>225</v>
      </c>
      <c r="D18" s="73" t="s">
        <v>48</v>
      </c>
      <c r="E18" s="73" t="s">
        <v>178</v>
      </c>
      <c r="F18" s="73" t="s">
        <v>210</v>
      </c>
      <c r="G18" s="73" t="s">
        <v>223</v>
      </c>
      <c r="H18" s="73"/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</v>
      </c>
      <c r="P18" s="74">
        <v>0</v>
      </c>
      <c r="Q18" s="74">
        <v>10887.420722156725</v>
      </c>
      <c r="R18" s="74">
        <v>10992.134923782234</v>
      </c>
      <c r="S18" s="74">
        <v>11063.690340455287</v>
      </c>
      <c r="T18" s="74">
        <v>11103.648338149931</v>
      </c>
      <c r="U18" s="74">
        <v>11192.59558922693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0</v>
      </c>
      <c r="AC18" s="74">
        <v>0</v>
      </c>
      <c r="AD18" s="74">
        <v>0</v>
      </c>
      <c r="AE18" s="74">
        <v>0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74"/>
      <c r="AL18" s="74">
        <v>0</v>
      </c>
      <c r="AM18" s="74">
        <v>0</v>
      </c>
      <c r="AN18" s="74">
        <v>0</v>
      </c>
      <c r="AO18" s="74">
        <v>0</v>
      </c>
      <c r="AP18" s="74">
        <v>0</v>
      </c>
      <c r="AQ18" s="74">
        <v>0</v>
      </c>
      <c r="AR18" s="74">
        <v>0</v>
      </c>
      <c r="AS18" s="74">
        <v>0</v>
      </c>
      <c r="AT18" s="74">
        <v>0</v>
      </c>
      <c r="AU18" s="74">
        <v>0</v>
      </c>
      <c r="AV18" s="74">
        <v>0</v>
      </c>
      <c r="AW18" s="74">
        <v>0</v>
      </c>
      <c r="AX18" s="74">
        <v>0</v>
      </c>
      <c r="AY18" s="74">
        <v>0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74">
        <v>0</v>
      </c>
      <c r="BZ18" s="74">
        <v>0</v>
      </c>
      <c r="CA18" s="74">
        <v>0</v>
      </c>
      <c r="CB18" s="74">
        <v>0</v>
      </c>
      <c r="CC18" s="74">
        <v>0</v>
      </c>
      <c r="CD18" s="74">
        <v>0</v>
      </c>
      <c r="CE18" s="74">
        <v>0</v>
      </c>
      <c r="CF18" s="74">
        <v>0</v>
      </c>
      <c r="CG18" s="74">
        <v>0</v>
      </c>
      <c r="CH18" s="74">
        <v>0</v>
      </c>
      <c r="CI18" s="74">
        <v>0</v>
      </c>
      <c r="CJ18" s="74">
        <v>0</v>
      </c>
      <c r="CK18" s="74">
        <v>0</v>
      </c>
      <c r="CL18" s="74">
        <v>0</v>
      </c>
      <c r="CM18" s="74">
        <v>0</v>
      </c>
      <c r="CN18" s="74">
        <v>0</v>
      </c>
      <c r="CO18" s="74">
        <v>0</v>
      </c>
      <c r="CP18" s="74">
        <v>0</v>
      </c>
      <c r="CQ18" s="74">
        <v>0</v>
      </c>
      <c r="CR18" s="74">
        <v>0</v>
      </c>
      <c r="CS18" s="74">
        <v>0</v>
      </c>
      <c r="CT18" s="74">
        <v>0</v>
      </c>
      <c r="CU18" s="74">
        <v>0</v>
      </c>
      <c r="CV18" s="74">
        <v>0</v>
      </c>
      <c r="CW18" s="74">
        <v>0</v>
      </c>
      <c r="CX18" s="74">
        <v>0</v>
      </c>
      <c r="CY18" s="74">
        <v>0</v>
      </c>
      <c r="CZ18" s="74">
        <v>0</v>
      </c>
      <c r="DA18" s="74">
        <v>0</v>
      </c>
      <c r="DB18" s="74">
        <v>0</v>
      </c>
      <c r="DC18" s="74">
        <v>0</v>
      </c>
      <c r="DD18" s="74">
        <v>0</v>
      </c>
      <c r="DE18" s="74">
        <v>0</v>
      </c>
      <c r="DF18" s="74">
        <v>0</v>
      </c>
      <c r="DG18" s="74">
        <v>0</v>
      </c>
      <c r="DH18" s="74">
        <v>0</v>
      </c>
      <c r="DI18" s="74">
        <v>0</v>
      </c>
      <c r="DJ18" s="74">
        <v>0</v>
      </c>
      <c r="DK18" s="74">
        <v>0</v>
      </c>
      <c r="DL18" s="74">
        <v>0</v>
      </c>
      <c r="DM18" s="74">
        <v>0</v>
      </c>
      <c r="DN18" s="74">
        <v>0</v>
      </c>
      <c r="DO18" s="74">
        <v>0</v>
      </c>
      <c r="DP18" s="74">
        <v>0</v>
      </c>
      <c r="DQ18" s="74">
        <v>0</v>
      </c>
      <c r="DR18" s="74">
        <v>0</v>
      </c>
      <c r="DS18" s="74">
        <v>0</v>
      </c>
      <c r="DT18" s="74">
        <v>0</v>
      </c>
      <c r="DU18" s="74">
        <v>0</v>
      </c>
      <c r="DV18" s="74">
        <v>0</v>
      </c>
      <c r="DW18" s="74">
        <v>0</v>
      </c>
      <c r="DX18" s="74">
        <v>0</v>
      </c>
      <c r="DY18" s="74">
        <v>0</v>
      </c>
      <c r="DZ18" s="74">
        <v>0</v>
      </c>
      <c r="EA18" s="74">
        <v>0</v>
      </c>
      <c r="EB18" s="74">
        <v>0</v>
      </c>
      <c r="EC18" s="74">
        <v>0</v>
      </c>
      <c r="ED18" s="74"/>
      <c r="EE18" s="80">
        <v>46147</v>
      </c>
      <c r="EF18" s="81">
        <v>46147.490582986109</v>
      </c>
      <c r="EG18" s="66" t="s">
        <v>71</v>
      </c>
      <c r="EH18" s="66" t="s">
        <v>209</v>
      </c>
      <c r="EI18" s="66" t="s">
        <v>6</v>
      </c>
      <c r="EJ18" s="66">
        <v>12</v>
      </c>
      <c r="EK18" s="66">
        <v>2027</v>
      </c>
      <c r="EL18" s="66" t="s">
        <v>24</v>
      </c>
      <c r="EM18" s="82">
        <v>290.68389790090976</v>
      </c>
      <c r="EN18" s="82">
        <v>257.5814628146079</v>
      </c>
      <c r="EO18" s="77">
        <v>273.51499999999999</v>
      </c>
      <c r="EP18" s="84">
        <v>0.20185877210205863</v>
      </c>
      <c r="EQ18" s="84">
        <v>0.20646392611324274</v>
      </c>
      <c r="ER18" s="84">
        <v>3.7812199999999997E-2</v>
      </c>
      <c r="ES18" s="85">
        <v>0.97269429659977535</v>
      </c>
      <c r="ET18" s="86">
        <v>1.4621999999999999</v>
      </c>
      <c r="EU18" s="85">
        <v>0.15269873395245903</v>
      </c>
      <c r="EV18" s="85">
        <v>3.6374216079711912E-2</v>
      </c>
      <c r="EW18" s="76">
        <v>3</v>
      </c>
      <c r="EX18" s="76" t="s">
        <v>32</v>
      </c>
      <c r="EY18" s="74" t="s">
        <v>243</v>
      </c>
      <c r="EZ18" s="74"/>
      <c r="FA18" s="74"/>
      <c r="FB18" s="74"/>
      <c r="FC18" s="74"/>
      <c r="FD18" s="68"/>
      <c r="FH18" s="73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68"/>
    </row>
    <row r="19" spans="1:183" s="2" customFormat="1" ht="15" x14ac:dyDescent="0.3">
      <c r="A19" s="73" t="s">
        <v>208</v>
      </c>
      <c r="B19" s="73" t="s">
        <v>240</v>
      </c>
      <c r="C19" s="73" t="s">
        <v>226</v>
      </c>
      <c r="D19" s="73" t="s">
        <v>48</v>
      </c>
      <c r="E19" s="73" t="s">
        <v>178</v>
      </c>
      <c r="F19" s="73" t="s">
        <v>210</v>
      </c>
      <c r="G19" s="73" t="s">
        <v>223</v>
      </c>
      <c r="H19" s="73"/>
      <c r="I19" s="74">
        <v>0</v>
      </c>
      <c r="J19" s="74">
        <v>0</v>
      </c>
      <c r="K19" s="74">
        <v>0</v>
      </c>
      <c r="L19" s="74">
        <v>0</v>
      </c>
      <c r="M19" s="74">
        <v>0</v>
      </c>
      <c r="N19" s="74">
        <v>0</v>
      </c>
      <c r="O19" s="74">
        <v>0</v>
      </c>
      <c r="P19" s="74">
        <v>0</v>
      </c>
      <c r="Q19" s="74">
        <v>92867.732142857145</v>
      </c>
      <c r="R19" s="74">
        <v>107941.76363636363</v>
      </c>
      <c r="S19" s="74">
        <v>135110.35294117648</v>
      </c>
      <c r="T19" s="74">
        <v>159930.71428571429</v>
      </c>
      <c r="U19" s="74">
        <v>195639.52631578947</v>
      </c>
      <c r="V19" s="74">
        <v>0</v>
      </c>
      <c r="W19" s="74">
        <v>0</v>
      </c>
      <c r="X19" s="74">
        <v>0</v>
      </c>
      <c r="Y19" s="74">
        <v>0</v>
      </c>
      <c r="Z19" s="74">
        <v>0</v>
      </c>
      <c r="AA19" s="74">
        <v>0</v>
      </c>
      <c r="AB19" s="74">
        <v>0</v>
      </c>
      <c r="AC19" s="74">
        <v>0</v>
      </c>
      <c r="AD19" s="74">
        <v>0</v>
      </c>
      <c r="AE19" s="74">
        <v>0</v>
      </c>
      <c r="AF19" s="74">
        <v>0</v>
      </c>
      <c r="AG19" s="74">
        <v>0</v>
      </c>
      <c r="AH19" s="74">
        <v>0</v>
      </c>
      <c r="AI19" s="74">
        <v>0</v>
      </c>
      <c r="AJ19" s="74">
        <v>0</v>
      </c>
      <c r="AK19" s="74"/>
      <c r="AL19" s="74">
        <v>0</v>
      </c>
      <c r="AM19" s="74">
        <v>0</v>
      </c>
      <c r="AN19" s="74">
        <v>0</v>
      </c>
      <c r="AO19" s="74">
        <v>0</v>
      </c>
      <c r="AP19" s="74">
        <v>0</v>
      </c>
      <c r="AQ19" s="74">
        <v>0</v>
      </c>
      <c r="AR19" s="74">
        <v>0</v>
      </c>
      <c r="AS19" s="74">
        <v>0</v>
      </c>
      <c r="AT19" s="74">
        <v>0</v>
      </c>
      <c r="AU19" s="74">
        <v>0</v>
      </c>
      <c r="AV19" s="74">
        <v>0</v>
      </c>
      <c r="AW19" s="74">
        <v>0</v>
      </c>
      <c r="AX19" s="74">
        <v>0</v>
      </c>
      <c r="AY19" s="74">
        <v>0</v>
      </c>
      <c r="AZ19" s="74">
        <v>0</v>
      </c>
      <c r="BA19" s="74">
        <v>0</v>
      </c>
      <c r="BB19" s="74">
        <v>0</v>
      </c>
      <c r="BC19" s="74">
        <v>0</v>
      </c>
      <c r="BD19" s="74">
        <v>0</v>
      </c>
      <c r="BE19" s="74">
        <v>0</v>
      </c>
      <c r="BF19" s="74">
        <v>0</v>
      </c>
      <c r="BG19" s="74">
        <v>0</v>
      </c>
      <c r="BH19" s="74">
        <v>0</v>
      </c>
      <c r="BI19" s="74">
        <v>0</v>
      </c>
      <c r="BJ19" s="74">
        <v>0</v>
      </c>
      <c r="BK19" s="74">
        <v>0</v>
      </c>
      <c r="BL19" s="74">
        <v>0</v>
      </c>
      <c r="BM19" s="74">
        <v>0</v>
      </c>
      <c r="BN19" s="74">
        <v>0</v>
      </c>
      <c r="BO19" s="74">
        <v>0</v>
      </c>
      <c r="BP19" s="74">
        <v>0</v>
      </c>
      <c r="BQ19" s="74">
        <v>0</v>
      </c>
      <c r="BR19" s="74">
        <v>0</v>
      </c>
      <c r="BS19" s="74">
        <v>0</v>
      </c>
      <c r="BT19" s="74">
        <v>0</v>
      </c>
      <c r="BU19" s="74">
        <v>0</v>
      </c>
      <c r="BV19" s="74">
        <v>0</v>
      </c>
      <c r="BW19" s="74">
        <v>0</v>
      </c>
      <c r="BX19" s="74">
        <v>0</v>
      </c>
      <c r="BY19" s="74">
        <v>0</v>
      </c>
      <c r="BZ19" s="74">
        <v>0</v>
      </c>
      <c r="CA19" s="74">
        <v>0</v>
      </c>
      <c r="CB19" s="74">
        <v>0</v>
      </c>
      <c r="CC19" s="74">
        <v>0</v>
      </c>
      <c r="CD19" s="74">
        <v>0</v>
      </c>
      <c r="CE19" s="74">
        <v>0</v>
      </c>
      <c r="CF19" s="74">
        <v>0</v>
      </c>
      <c r="CG19" s="74">
        <v>0</v>
      </c>
      <c r="CH19" s="74">
        <v>0</v>
      </c>
      <c r="CI19" s="74">
        <v>0</v>
      </c>
      <c r="CJ19" s="74">
        <v>0</v>
      </c>
      <c r="CK19" s="74">
        <v>0</v>
      </c>
      <c r="CL19" s="74">
        <v>0</v>
      </c>
      <c r="CM19" s="74">
        <v>0</v>
      </c>
      <c r="CN19" s="74">
        <v>0</v>
      </c>
      <c r="CO19" s="74">
        <v>0</v>
      </c>
      <c r="CP19" s="74">
        <v>0</v>
      </c>
      <c r="CQ19" s="74">
        <v>0</v>
      </c>
      <c r="CR19" s="74">
        <v>0</v>
      </c>
      <c r="CS19" s="74">
        <v>0</v>
      </c>
      <c r="CT19" s="74">
        <v>0</v>
      </c>
      <c r="CU19" s="74">
        <v>0</v>
      </c>
      <c r="CV19" s="74">
        <v>0</v>
      </c>
      <c r="CW19" s="74">
        <v>0</v>
      </c>
      <c r="CX19" s="74">
        <v>0</v>
      </c>
      <c r="CY19" s="74">
        <v>0</v>
      </c>
      <c r="CZ19" s="74">
        <v>0</v>
      </c>
      <c r="DA19" s="74">
        <v>0</v>
      </c>
      <c r="DB19" s="74">
        <v>0</v>
      </c>
      <c r="DC19" s="74">
        <v>0</v>
      </c>
      <c r="DD19" s="74">
        <v>0</v>
      </c>
      <c r="DE19" s="74">
        <v>0</v>
      </c>
      <c r="DF19" s="74">
        <v>0</v>
      </c>
      <c r="DG19" s="74">
        <v>0</v>
      </c>
      <c r="DH19" s="74">
        <v>0</v>
      </c>
      <c r="DI19" s="74">
        <v>0</v>
      </c>
      <c r="DJ19" s="74">
        <v>0</v>
      </c>
      <c r="DK19" s="74">
        <v>0</v>
      </c>
      <c r="DL19" s="74">
        <v>0</v>
      </c>
      <c r="DM19" s="74">
        <v>0</v>
      </c>
      <c r="DN19" s="74">
        <v>0</v>
      </c>
      <c r="DO19" s="74">
        <v>0</v>
      </c>
      <c r="DP19" s="74">
        <v>0</v>
      </c>
      <c r="DQ19" s="74">
        <v>0</v>
      </c>
      <c r="DR19" s="74">
        <v>0</v>
      </c>
      <c r="DS19" s="74">
        <v>0</v>
      </c>
      <c r="DT19" s="74">
        <v>0</v>
      </c>
      <c r="DU19" s="74">
        <v>0</v>
      </c>
      <c r="DV19" s="74">
        <v>0</v>
      </c>
      <c r="DW19" s="74">
        <v>0</v>
      </c>
      <c r="DX19" s="74">
        <v>0</v>
      </c>
      <c r="DY19" s="74">
        <v>0</v>
      </c>
      <c r="DZ19" s="74">
        <v>0</v>
      </c>
      <c r="EA19" s="74">
        <v>0</v>
      </c>
      <c r="EB19" s="74">
        <v>0</v>
      </c>
      <c r="EC19" s="74">
        <v>0</v>
      </c>
      <c r="ED19" s="74"/>
      <c r="EE19" s="80">
        <v>46147</v>
      </c>
      <c r="EF19" s="81">
        <v>46147.490582986109</v>
      </c>
      <c r="EG19" s="66" t="s">
        <v>71</v>
      </c>
      <c r="EH19" s="66" t="s">
        <v>209</v>
      </c>
      <c r="EI19" s="66" t="s">
        <v>6</v>
      </c>
      <c r="EJ19" s="66">
        <v>12</v>
      </c>
      <c r="EK19" s="66">
        <v>2027</v>
      </c>
      <c r="EL19" s="66" t="s">
        <v>24</v>
      </c>
      <c r="EM19" s="82">
        <v>290.68389790090976</v>
      </c>
      <c r="EN19" s="82">
        <v>257.5814628146079</v>
      </c>
      <c r="EO19" s="77">
        <v>273.51499999999999</v>
      </c>
      <c r="EP19" s="84">
        <v>0.20185877210205863</v>
      </c>
      <c r="EQ19" s="84">
        <v>0.20646392611324274</v>
      </c>
      <c r="ER19" s="84">
        <v>3.7812199999999997E-2</v>
      </c>
      <c r="ES19" s="85">
        <v>0.97269429659977535</v>
      </c>
      <c r="ET19" s="86">
        <v>1.4621999999999999</v>
      </c>
      <c r="EU19" s="85">
        <v>0.15269873395245903</v>
      </c>
      <c r="EV19" s="85">
        <v>3.6374216079711912E-2</v>
      </c>
      <c r="EW19" s="76">
        <v>3</v>
      </c>
      <c r="EX19" s="76" t="s">
        <v>32</v>
      </c>
      <c r="EY19" s="74" t="s">
        <v>243</v>
      </c>
      <c r="EZ19" s="74"/>
      <c r="FA19" s="74"/>
      <c r="FB19" s="74"/>
      <c r="FC19" s="74"/>
      <c r="FD19" s="68"/>
      <c r="FH19" s="73"/>
      <c r="FI19" s="74"/>
      <c r="FJ19" s="74"/>
      <c r="FK19" s="74"/>
      <c r="FL19" s="74"/>
      <c r="FM19" s="74"/>
      <c r="FN19" s="74"/>
      <c r="FO19" s="74"/>
      <c r="FP19" s="74"/>
      <c r="FQ19" s="74"/>
      <c r="FR19" s="74"/>
      <c r="FS19" s="74"/>
      <c r="FT19" s="74"/>
      <c r="FU19" s="74"/>
      <c r="FV19" s="74"/>
      <c r="FW19" s="74"/>
      <c r="FX19" s="74"/>
      <c r="FY19" s="74"/>
      <c r="FZ19" s="74"/>
      <c r="GA19" s="68"/>
    </row>
    <row r="20" spans="1:183" s="2" customFormat="1" ht="15" x14ac:dyDescent="0.3">
      <c r="A20" s="73" t="s">
        <v>49</v>
      </c>
      <c r="B20" s="73" t="s">
        <v>50</v>
      </c>
      <c r="C20" s="73" t="s">
        <v>222</v>
      </c>
      <c r="D20" s="73" t="s">
        <v>45</v>
      </c>
      <c r="E20" s="73" t="s">
        <v>178</v>
      </c>
      <c r="F20" s="73" t="s">
        <v>210</v>
      </c>
      <c r="G20" s="73" t="s">
        <v>227</v>
      </c>
      <c r="H20" s="73"/>
      <c r="I20" s="74">
        <v>0</v>
      </c>
      <c r="J20" s="74">
        <v>0</v>
      </c>
      <c r="K20" s="74">
        <v>0</v>
      </c>
      <c r="L20" s="74">
        <v>0</v>
      </c>
      <c r="M20" s="74">
        <v>307464.71000000002</v>
      </c>
      <c r="N20" s="74">
        <v>353785.60000000009</v>
      </c>
      <c r="O20" s="74">
        <v>390473.88</v>
      </c>
      <c r="P20" s="74">
        <v>423912</v>
      </c>
      <c r="Q20" s="74">
        <v>475281.88</v>
      </c>
      <c r="R20" s="74">
        <v>520433.65859999997</v>
      </c>
      <c r="S20" s="74">
        <v>598498.70738999988</v>
      </c>
      <c r="T20" s="74">
        <v>688273.51349849976</v>
      </c>
      <c r="U20" s="74">
        <v>0</v>
      </c>
      <c r="V20" s="74">
        <v>0</v>
      </c>
      <c r="W20" s="74">
        <v>0</v>
      </c>
      <c r="X20" s="74">
        <v>0</v>
      </c>
      <c r="Y20" s="74">
        <v>0</v>
      </c>
      <c r="Z20" s="74">
        <v>0</v>
      </c>
      <c r="AA20" s="74">
        <v>0</v>
      </c>
      <c r="AB20" s="74">
        <v>0</v>
      </c>
      <c r="AC20" s="74">
        <v>0</v>
      </c>
      <c r="AD20" s="74">
        <v>0</v>
      </c>
      <c r="AE20" s="74">
        <v>0</v>
      </c>
      <c r="AF20" s="74">
        <v>0</v>
      </c>
      <c r="AG20" s="74">
        <v>0</v>
      </c>
      <c r="AH20" s="74">
        <v>0</v>
      </c>
      <c r="AI20" s="74">
        <v>0</v>
      </c>
      <c r="AJ20" s="74">
        <v>0</v>
      </c>
      <c r="AK20" s="74"/>
      <c r="AL20" s="74">
        <v>68227.960000000006</v>
      </c>
      <c r="AM20" s="74">
        <v>71603</v>
      </c>
      <c r="AN20" s="74">
        <v>75390.549999999988</v>
      </c>
      <c r="AO20" s="74">
        <v>92243.200000000012</v>
      </c>
      <c r="AP20" s="74">
        <v>77553.280000000013</v>
      </c>
      <c r="AQ20" s="74">
        <v>83361.600000000006</v>
      </c>
      <c r="AR20" s="74">
        <v>88304.16</v>
      </c>
      <c r="AS20" s="74">
        <v>104566.56000000001</v>
      </c>
      <c r="AT20" s="74">
        <v>86106.72</v>
      </c>
      <c r="AU20" s="74">
        <v>91626.060000000012</v>
      </c>
      <c r="AV20" s="74">
        <v>96675.700000000012</v>
      </c>
      <c r="AW20" s="74">
        <v>116065.40000000001</v>
      </c>
      <c r="AX20" s="74">
        <v>92384.87000000001</v>
      </c>
      <c r="AY20" s="74">
        <v>98135.97</v>
      </c>
      <c r="AZ20" s="74">
        <v>105090.70000000001</v>
      </c>
      <c r="BA20" s="74">
        <v>128300.46</v>
      </c>
      <c r="BB20" s="74">
        <v>103104.57</v>
      </c>
      <c r="BC20" s="74">
        <v>116579.22</v>
      </c>
      <c r="BD20" s="74">
        <v>114768.36</v>
      </c>
      <c r="BE20" s="74">
        <v>139791.30000000002</v>
      </c>
      <c r="BF20" s="74">
        <v>119764.45</v>
      </c>
      <c r="BG20" s="74">
        <v>134066.103</v>
      </c>
      <c r="BH20" s="74">
        <v>131983.614</v>
      </c>
      <c r="BI20" s="74">
        <v>160759.995</v>
      </c>
      <c r="BJ20" s="74">
        <v>132514.97059687503</v>
      </c>
      <c r="BK20" s="74">
        <v>147968.08477920899</v>
      </c>
      <c r="BL20" s="74">
        <v>145791.35618844428</v>
      </c>
      <c r="BM20" s="74">
        <v>178162.18792216139</v>
      </c>
      <c r="BN20" s="74">
        <v>146622.95390903272</v>
      </c>
      <c r="BO20" s="74">
        <v>163311.63227163526</v>
      </c>
      <c r="BP20" s="74">
        <v>161043.62424312634</v>
      </c>
      <c r="BQ20" s="74">
        <v>197448.15994309747</v>
      </c>
      <c r="BR20" s="74">
        <v>0</v>
      </c>
      <c r="BS20" s="74">
        <v>0</v>
      </c>
      <c r="BT20" s="74">
        <v>0</v>
      </c>
      <c r="BU20" s="74">
        <v>0</v>
      </c>
      <c r="BV20" s="74">
        <v>0</v>
      </c>
      <c r="BW20" s="74">
        <v>0</v>
      </c>
      <c r="BX20" s="74">
        <v>0</v>
      </c>
      <c r="BY20" s="74">
        <v>0</v>
      </c>
      <c r="BZ20" s="74">
        <v>0</v>
      </c>
      <c r="CA20" s="74">
        <v>0</v>
      </c>
      <c r="CB20" s="74">
        <v>0</v>
      </c>
      <c r="CC20" s="74">
        <v>0</v>
      </c>
      <c r="CD20" s="74">
        <v>0</v>
      </c>
      <c r="CE20" s="74">
        <v>0</v>
      </c>
      <c r="CF20" s="74">
        <v>0</v>
      </c>
      <c r="CG20" s="74">
        <v>0</v>
      </c>
      <c r="CH20" s="74">
        <v>0</v>
      </c>
      <c r="CI20" s="74">
        <v>0</v>
      </c>
      <c r="CJ20" s="74">
        <v>0</v>
      </c>
      <c r="CK20" s="74">
        <v>0</v>
      </c>
      <c r="CL20" s="74">
        <v>0</v>
      </c>
      <c r="CM20" s="74">
        <v>0</v>
      </c>
      <c r="CN20" s="74">
        <v>0</v>
      </c>
      <c r="CO20" s="74">
        <v>0</v>
      </c>
      <c r="CP20" s="74">
        <v>0</v>
      </c>
      <c r="CQ20" s="74">
        <v>0</v>
      </c>
      <c r="CR20" s="74">
        <v>0</v>
      </c>
      <c r="CS20" s="74">
        <v>0</v>
      </c>
      <c r="CT20" s="74">
        <v>0</v>
      </c>
      <c r="CU20" s="74">
        <v>0</v>
      </c>
      <c r="CV20" s="74">
        <v>0</v>
      </c>
      <c r="CW20" s="74">
        <v>0</v>
      </c>
      <c r="CX20" s="74">
        <v>0</v>
      </c>
      <c r="CY20" s="74">
        <v>0</v>
      </c>
      <c r="CZ20" s="74">
        <v>0</v>
      </c>
      <c r="DA20" s="74">
        <v>0</v>
      </c>
      <c r="DB20" s="74">
        <v>0</v>
      </c>
      <c r="DC20" s="74">
        <v>0</v>
      </c>
      <c r="DD20" s="74">
        <v>0</v>
      </c>
      <c r="DE20" s="74">
        <v>0</v>
      </c>
      <c r="DF20" s="74">
        <v>0</v>
      </c>
      <c r="DG20" s="74">
        <v>0</v>
      </c>
      <c r="DH20" s="74">
        <v>0</v>
      </c>
      <c r="DI20" s="74">
        <v>0</v>
      </c>
      <c r="DJ20" s="74">
        <v>0</v>
      </c>
      <c r="DK20" s="74">
        <v>0</v>
      </c>
      <c r="DL20" s="74">
        <v>0</v>
      </c>
      <c r="DM20" s="74">
        <v>0</v>
      </c>
      <c r="DN20" s="74">
        <v>0</v>
      </c>
      <c r="DO20" s="74">
        <v>0</v>
      </c>
      <c r="DP20" s="74">
        <v>0</v>
      </c>
      <c r="DQ20" s="74">
        <v>0</v>
      </c>
      <c r="DR20" s="74">
        <v>0</v>
      </c>
      <c r="DS20" s="74">
        <v>0</v>
      </c>
      <c r="DT20" s="74">
        <v>0</v>
      </c>
      <c r="DU20" s="74">
        <v>0</v>
      </c>
      <c r="DV20" s="74">
        <v>0</v>
      </c>
      <c r="DW20" s="74">
        <v>0</v>
      </c>
      <c r="DX20" s="74">
        <v>0</v>
      </c>
      <c r="DY20" s="74">
        <v>0</v>
      </c>
      <c r="DZ20" s="74">
        <v>0</v>
      </c>
      <c r="EA20" s="74">
        <v>0</v>
      </c>
      <c r="EB20" s="74">
        <v>0</v>
      </c>
      <c r="EC20" s="74">
        <v>0</v>
      </c>
      <c r="ED20" s="74"/>
      <c r="EE20" s="80">
        <v>46147</v>
      </c>
      <c r="EF20" s="81">
        <v>46147.490582986109</v>
      </c>
      <c r="EG20" s="66" t="s">
        <v>71</v>
      </c>
      <c r="EH20" s="66" t="s">
        <v>209</v>
      </c>
      <c r="EI20" s="66" t="s">
        <v>6</v>
      </c>
      <c r="EJ20" s="66">
        <v>12</v>
      </c>
      <c r="EK20" s="66">
        <v>2027</v>
      </c>
      <c r="EL20" s="66" t="s">
        <v>24</v>
      </c>
      <c r="EM20" s="82">
        <v>290.68389790090976</v>
      </c>
      <c r="EN20" s="82">
        <v>257.5814628146079</v>
      </c>
      <c r="EO20" s="77">
        <v>273.51499999999999</v>
      </c>
      <c r="EP20" s="84">
        <v>0.20185877210205863</v>
      </c>
      <c r="EQ20" s="84">
        <v>0.20646392611324274</v>
      </c>
      <c r="ER20" s="84">
        <v>3.7812199999999997E-2</v>
      </c>
      <c r="ES20" s="85">
        <v>0.97269429659977535</v>
      </c>
      <c r="ET20" s="86">
        <v>1.4621999999999999</v>
      </c>
      <c r="EU20" s="85">
        <v>0.15269873395245903</v>
      </c>
      <c r="EV20" s="85">
        <v>3.6374216079711912E-2</v>
      </c>
      <c r="EW20" s="76">
        <v>3</v>
      </c>
      <c r="EX20" s="76" t="s">
        <v>32</v>
      </c>
      <c r="EY20" s="74" t="s">
        <v>243</v>
      </c>
      <c r="EZ20" s="74"/>
      <c r="FA20" s="74"/>
      <c r="FB20" s="74"/>
      <c r="FC20" s="74"/>
      <c r="FD20" s="68"/>
      <c r="FH20" s="73"/>
      <c r="FI20" s="74"/>
      <c r="FJ20" s="74"/>
      <c r="FK20" s="74"/>
      <c r="FL20" s="74"/>
      <c r="FM20" s="74"/>
      <c r="FN20" s="74"/>
      <c r="FO20" s="74"/>
      <c r="FP20" s="74"/>
      <c r="FQ20" s="74"/>
      <c r="FR20" s="74"/>
      <c r="FS20" s="74"/>
      <c r="FT20" s="74"/>
      <c r="FU20" s="74"/>
      <c r="FV20" s="74"/>
      <c r="FW20" s="74"/>
      <c r="FX20" s="74"/>
      <c r="FY20" s="74"/>
      <c r="FZ20" s="74"/>
      <c r="GA20" s="68"/>
    </row>
    <row r="21" spans="1:183" s="2" customFormat="1" ht="15" x14ac:dyDescent="0.3">
      <c r="A21" s="73" t="s">
        <v>29</v>
      </c>
      <c r="B21" s="73" t="s">
        <v>51</v>
      </c>
      <c r="C21" s="73" t="s">
        <v>224</v>
      </c>
      <c r="D21" s="73" t="s">
        <v>46</v>
      </c>
      <c r="E21" s="73" t="s">
        <v>178</v>
      </c>
      <c r="F21" s="73" t="s">
        <v>210</v>
      </c>
      <c r="G21" s="73" t="s">
        <v>227</v>
      </c>
      <c r="H21" s="73"/>
      <c r="I21" s="74">
        <v>0</v>
      </c>
      <c r="J21" s="74">
        <v>0</v>
      </c>
      <c r="K21" s="74">
        <v>0</v>
      </c>
      <c r="L21" s="74">
        <v>0</v>
      </c>
      <c r="M21" s="74">
        <v>121932.95999999999</v>
      </c>
      <c r="N21" s="74">
        <v>126327.24</v>
      </c>
      <c r="O21" s="74">
        <v>146048.72000000003</v>
      </c>
      <c r="P21" s="74">
        <v>158889.74000000002</v>
      </c>
      <c r="Q21" s="74">
        <v>183948.97999999998</v>
      </c>
      <c r="R21" s="74">
        <v>206942.60249999998</v>
      </c>
      <c r="S21" s="74">
        <v>248331.12299999996</v>
      </c>
      <c r="T21" s="74">
        <v>297997.34759999992</v>
      </c>
      <c r="U21" s="74">
        <v>0</v>
      </c>
      <c r="V21" s="74">
        <v>0</v>
      </c>
      <c r="W21" s="74">
        <v>0</v>
      </c>
      <c r="X21" s="74">
        <v>0</v>
      </c>
      <c r="Y21" s="74">
        <v>0</v>
      </c>
      <c r="Z21" s="74">
        <v>0</v>
      </c>
      <c r="AA21" s="74">
        <v>0</v>
      </c>
      <c r="AB21" s="74">
        <v>0</v>
      </c>
      <c r="AC21" s="74">
        <v>0</v>
      </c>
      <c r="AD21" s="74">
        <v>0</v>
      </c>
      <c r="AE21" s="74">
        <v>0</v>
      </c>
      <c r="AF21" s="74">
        <v>0</v>
      </c>
      <c r="AG21" s="74">
        <v>0</v>
      </c>
      <c r="AH21" s="74">
        <v>0</v>
      </c>
      <c r="AI21" s="74">
        <v>0</v>
      </c>
      <c r="AJ21" s="74">
        <v>0</v>
      </c>
      <c r="AK21" s="74"/>
      <c r="AL21" s="74">
        <v>28503.57</v>
      </c>
      <c r="AM21" s="74">
        <v>28570.53</v>
      </c>
      <c r="AN21" s="74">
        <v>32059.500000000004</v>
      </c>
      <c r="AO21" s="74">
        <v>32799.360000000001</v>
      </c>
      <c r="AP21" s="74">
        <v>30196.95</v>
      </c>
      <c r="AQ21" s="74">
        <v>28418.25</v>
      </c>
      <c r="AR21" s="74">
        <v>30492.000000000004</v>
      </c>
      <c r="AS21" s="74">
        <v>37220.04</v>
      </c>
      <c r="AT21" s="74">
        <v>33491.449999999997</v>
      </c>
      <c r="AU21" s="74">
        <v>33260.640000000007</v>
      </c>
      <c r="AV21" s="74">
        <v>35029.33</v>
      </c>
      <c r="AW21" s="74">
        <v>44267.3</v>
      </c>
      <c r="AX21" s="74">
        <v>33531.75</v>
      </c>
      <c r="AY21" s="74">
        <v>34512.670000000006</v>
      </c>
      <c r="AZ21" s="74">
        <v>40912.320000000007</v>
      </c>
      <c r="BA21" s="74">
        <v>49932.999999999993</v>
      </c>
      <c r="BB21" s="74">
        <v>39545.339999999997</v>
      </c>
      <c r="BC21" s="74">
        <v>43377.979999999996</v>
      </c>
      <c r="BD21" s="74">
        <v>44985.600000000006</v>
      </c>
      <c r="BE21" s="74">
        <v>55796.4</v>
      </c>
      <c r="BF21" s="74">
        <v>47746.799999999996</v>
      </c>
      <c r="BG21" s="74">
        <v>52053.575999999994</v>
      </c>
      <c r="BH21" s="74">
        <v>53982.720000000008</v>
      </c>
      <c r="BI21" s="74">
        <v>66955.679999999993</v>
      </c>
      <c r="BJ21" s="74">
        <v>52980.970382995605</v>
      </c>
      <c r="BK21" s="74">
        <v>57647.038169332394</v>
      </c>
      <c r="BL21" s="74">
        <v>61454.067355602558</v>
      </c>
      <c r="BM21" s="74">
        <v>76162.448305817088</v>
      </c>
      <c r="BN21" s="74">
        <v>58788.928739179537</v>
      </c>
      <c r="BO21" s="74">
        <v>63841.550668804506</v>
      </c>
      <c r="BP21" s="74">
        <v>69959.468410390124</v>
      </c>
      <c r="BQ21" s="74">
        <v>86635.197072694355</v>
      </c>
      <c r="BR21" s="74">
        <v>0</v>
      </c>
      <c r="BS21" s="74">
        <v>0</v>
      </c>
      <c r="BT21" s="74">
        <v>0</v>
      </c>
      <c r="BU21" s="74">
        <v>0</v>
      </c>
      <c r="BV21" s="74">
        <v>0</v>
      </c>
      <c r="BW21" s="74">
        <v>0</v>
      </c>
      <c r="BX21" s="74">
        <v>0</v>
      </c>
      <c r="BY21" s="74">
        <v>0</v>
      </c>
      <c r="BZ21" s="74">
        <v>0</v>
      </c>
      <c r="CA21" s="74">
        <v>0</v>
      </c>
      <c r="CB21" s="74">
        <v>0</v>
      </c>
      <c r="CC21" s="74">
        <v>0</v>
      </c>
      <c r="CD21" s="74">
        <v>0</v>
      </c>
      <c r="CE21" s="74">
        <v>0</v>
      </c>
      <c r="CF21" s="74">
        <v>0</v>
      </c>
      <c r="CG21" s="74">
        <v>0</v>
      </c>
      <c r="CH21" s="74">
        <v>0</v>
      </c>
      <c r="CI21" s="74">
        <v>0</v>
      </c>
      <c r="CJ21" s="74">
        <v>0</v>
      </c>
      <c r="CK21" s="74">
        <v>0</v>
      </c>
      <c r="CL21" s="74">
        <v>0</v>
      </c>
      <c r="CM21" s="74">
        <v>0</v>
      </c>
      <c r="CN21" s="74">
        <v>0</v>
      </c>
      <c r="CO21" s="74">
        <v>0</v>
      </c>
      <c r="CP21" s="74">
        <v>0</v>
      </c>
      <c r="CQ21" s="74">
        <v>0</v>
      </c>
      <c r="CR21" s="74">
        <v>0</v>
      </c>
      <c r="CS21" s="74">
        <v>0</v>
      </c>
      <c r="CT21" s="74">
        <v>0</v>
      </c>
      <c r="CU21" s="74">
        <v>0</v>
      </c>
      <c r="CV21" s="74">
        <v>0</v>
      </c>
      <c r="CW21" s="74">
        <v>0</v>
      </c>
      <c r="CX21" s="74">
        <v>0</v>
      </c>
      <c r="CY21" s="74">
        <v>0</v>
      </c>
      <c r="CZ21" s="74">
        <v>0</v>
      </c>
      <c r="DA21" s="74">
        <v>0</v>
      </c>
      <c r="DB21" s="74">
        <v>0</v>
      </c>
      <c r="DC21" s="74">
        <v>0</v>
      </c>
      <c r="DD21" s="74">
        <v>0</v>
      </c>
      <c r="DE21" s="74">
        <v>0</v>
      </c>
      <c r="DF21" s="74">
        <v>0</v>
      </c>
      <c r="DG21" s="74">
        <v>0</v>
      </c>
      <c r="DH21" s="74">
        <v>0</v>
      </c>
      <c r="DI21" s="74">
        <v>0</v>
      </c>
      <c r="DJ21" s="74">
        <v>0</v>
      </c>
      <c r="DK21" s="74">
        <v>0</v>
      </c>
      <c r="DL21" s="74">
        <v>0</v>
      </c>
      <c r="DM21" s="74">
        <v>0</v>
      </c>
      <c r="DN21" s="74">
        <v>0</v>
      </c>
      <c r="DO21" s="74">
        <v>0</v>
      </c>
      <c r="DP21" s="74">
        <v>0</v>
      </c>
      <c r="DQ21" s="74">
        <v>0</v>
      </c>
      <c r="DR21" s="74">
        <v>0</v>
      </c>
      <c r="DS21" s="74">
        <v>0</v>
      </c>
      <c r="DT21" s="74">
        <v>0</v>
      </c>
      <c r="DU21" s="74">
        <v>0</v>
      </c>
      <c r="DV21" s="74">
        <v>0</v>
      </c>
      <c r="DW21" s="74">
        <v>0</v>
      </c>
      <c r="DX21" s="74">
        <v>0</v>
      </c>
      <c r="DY21" s="74">
        <v>0</v>
      </c>
      <c r="DZ21" s="74">
        <v>0</v>
      </c>
      <c r="EA21" s="74">
        <v>0</v>
      </c>
      <c r="EB21" s="74">
        <v>0</v>
      </c>
      <c r="EC21" s="74">
        <v>0</v>
      </c>
      <c r="ED21" s="74"/>
      <c r="EE21" s="80">
        <v>46147</v>
      </c>
      <c r="EF21" s="81">
        <v>46147.490582986109</v>
      </c>
      <c r="EG21" s="66" t="s">
        <v>71</v>
      </c>
      <c r="EH21" s="66" t="s">
        <v>209</v>
      </c>
      <c r="EI21" s="66" t="s">
        <v>6</v>
      </c>
      <c r="EJ21" s="66">
        <v>12</v>
      </c>
      <c r="EK21" s="66">
        <v>2027</v>
      </c>
      <c r="EL21" s="66" t="s">
        <v>24</v>
      </c>
      <c r="EM21" s="82">
        <v>290.68389790090976</v>
      </c>
      <c r="EN21" s="82">
        <v>257.5814628146079</v>
      </c>
      <c r="EO21" s="77">
        <v>273.51499999999999</v>
      </c>
      <c r="EP21" s="84">
        <v>0.20185877210205863</v>
      </c>
      <c r="EQ21" s="84">
        <v>0.20646392611324274</v>
      </c>
      <c r="ER21" s="84">
        <v>3.7812199999999997E-2</v>
      </c>
      <c r="ES21" s="85">
        <v>0.97269429659977535</v>
      </c>
      <c r="ET21" s="86">
        <v>1.4621999999999999</v>
      </c>
      <c r="EU21" s="85">
        <v>0.15269873395245903</v>
      </c>
      <c r="EV21" s="85">
        <v>3.6374216079711912E-2</v>
      </c>
      <c r="EW21" s="76">
        <v>3</v>
      </c>
      <c r="EX21" s="76" t="s">
        <v>32</v>
      </c>
      <c r="EY21" s="74" t="s">
        <v>243</v>
      </c>
      <c r="EZ21" s="74"/>
      <c r="FA21" s="74"/>
      <c r="FB21" s="74"/>
      <c r="FC21" s="74"/>
      <c r="FD21" s="68"/>
      <c r="FH21" s="73"/>
      <c r="FI21" s="74"/>
      <c r="FJ21" s="74"/>
      <c r="FK21" s="74"/>
      <c r="FL21" s="74"/>
      <c r="FM21" s="74"/>
      <c r="FN21" s="74"/>
      <c r="FO21" s="74"/>
      <c r="FP21" s="74"/>
      <c r="FQ21" s="74"/>
      <c r="FR21" s="74"/>
      <c r="FS21" s="74"/>
      <c r="FT21" s="74"/>
      <c r="FU21" s="74"/>
      <c r="FV21" s="74"/>
      <c r="FW21" s="74"/>
      <c r="FX21" s="74"/>
      <c r="FY21" s="74"/>
      <c r="FZ21" s="74"/>
      <c r="GA21" s="68"/>
    </row>
    <row r="22" spans="1:183" s="2" customFormat="1" ht="15" x14ac:dyDescent="0.3">
      <c r="A22" s="73" t="s">
        <v>28</v>
      </c>
      <c r="B22" s="73" t="s">
        <v>27</v>
      </c>
      <c r="C22" s="73" t="s">
        <v>225</v>
      </c>
      <c r="D22" s="73" t="s">
        <v>44</v>
      </c>
      <c r="E22" s="73" t="s">
        <v>178</v>
      </c>
      <c r="F22" s="73" t="s">
        <v>210</v>
      </c>
      <c r="G22" s="73" t="s">
        <v>227</v>
      </c>
      <c r="H22" s="73"/>
      <c r="I22" s="74">
        <v>0</v>
      </c>
      <c r="J22" s="74">
        <v>0</v>
      </c>
      <c r="K22" s="74">
        <v>0</v>
      </c>
      <c r="L22" s="74">
        <v>0</v>
      </c>
      <c r="M22" s="74">
        <v>79396.34</v>
      </c>
      <c r="N22" s="74">
        <v>90433.76</v>
      </c>
      <c r="O22" s="74">
        <v>103491.48000000001</v>
      </c>
      <c r="P22" s="74">
        <v>127052.86999999998</v>
      </c>
      <c r="Q22" s="74">
        <v>163804.53999999998</v>
      </c>
      <c r="R22" s="74">
        <v>214583.94739999998</v>
      </c>
      <c r="S22" s="74">
        <v>268229.93424999999</v>
      </c>
      <c r="T22" s="74">
        <v>335287.41781249997</v>
      </c>
      <c r="U22" s="74">
        <v>0</v>
      </c>
      <c r="V22" s="74">
        <v>0</v>
      </c>
      <c r="W22" s="74">
        <v>0</v>
      </c>
      <c r="X22" s="74">
        <v>0</v>
      </c>
      <c r="Y22" s="74">
        <v>0</v>
      </c>
      <c r="Z22" s="74">
        <v>0</v>
      </c>
      <c r="AA22" s="74">
        <v>0</v>
      </c>
      <c r="AB22" s="74">
        <v>0</v>
      </c>
      <c r="AC22" s="74">
        <v>0</v>
      </c>
      <c r="AD22" s="74">
        <v>0</v>
      </c>
      <c r="AE22" s="74">
        <v>0</v>
      </c>
      <c r="AF22" s="74">
        <v>0</v>
      </c>
      <c r="AG22" s="74">
        <v>0</v>
      </c>
      <c r="AH22" s="74">
        <v>0</v>
      </c>
      <c r="AI22" s="74">
        <v>0</v>
      </c>
      <c r="AJ22" s="74">
        <v>0</v>
      </c>
      <c r="AK22" s="74"/>
      <c r="AL22" s="74">
        <v>17148.810000000001</v>
      </c>
      <c r="AM22" s="74">
        <v>18807.43</v>
      </c>
      <c r="AN22" s="74">
        <v>21748.5</v>
      </c>
      <c r="AO22" s="74">
        <v>21691.599999999999</v>
      </c>
      <c r="AP22" s="74">
        <v>21207.149999999998</v>
      </c>
      <c r="AQ22" s="74">
        <v>22699.85</v>
      </c>
      <c r="AR22" s="74">
        <v>22797.18</v>
      </c>
      <c r="AS22" s="74">
        <v>23729.58</v>
      </c>
      <c r="AT22" s="74">
        <v>24130.019999999997</v>
      </c>
      <c r="AU22" s="74">
        <v>25239.600000000002</v>
      </c>
      <c r="AV22" s="74">
        <v>26287.260000000002</v>
      </c>
      <c r="AW22" s="74">
        <v>27834.6</v>
      </c>
      <c r="AX22" s="74">
        <v>29042.92</v>
      </c>
      <c r="AY22" s="74">
        <v>30223.149999999998</v>
      </c>
      <c r="AZ22" s="74">
        <v>32667.879999999997</v>
      </c>
      <c r="BA22" s="74">
        <v>35118.92</v>
      </c>
      <c r="BB22" s="74">
        <v>36583.75</v>
      </c>
      <c r="BC22" s="74">
        <v>39826.17</v>
      </c>
      <c r="BD22" s="74">
        <v>41917.620000000003</v>
      </c>
      <c r="BE22" s="74">
        <v>44473.75</v>
      </c>
      <c r="BF22" s="74">
        <v>46983.75</v>
      </c>
      <c r="BG22" s="74">
        <v>49782.712499999994</v>
      </c>
      <c r="BH22" s="74">
        <v>52397.025000000001</v>
      </c>
      <c r="BI22" s="74">
        <v>55592.1875</v>
      </c>
      <c r="BJ22" s="74">
        <v>58729.6875</v>
      </c>
      <c r="BK22" s="74">
        <v>62228.390624999993</v>
      </c>
      <c r="BL22" s="74">
        <v>65496.28125</v>
      </c>
      <c r="BM22" s="74">
        <v>69490.234375</v>
      </c>
      <c r="BN22" s="74">
        <v>73412.109375</v>
      </c>
      <c r="BO22" s="74">
        <v>77785.488281249985</v>
      </c>
      <c r="BP22" s="74">
        <v>81870.3515625</v>
      </c>
      <c r="BQ22" s="74">
        <v>86862.79296875</v>
      </c>
      <c r="BR22" s="74">
        <v>0</v>
      </c>
      <c r="BS22" s="74">
        <v>0</v>
      </c>
      <c r="BT22" s="74">
        <v>0</v>
      </c>
      <c r="BU22" s="74">
        <v>0</v>
      </c>
      <c r="BV22" s="74">
        <v>0</v>
      </c>
      <c r="BW22" s="74">
        <v>0</v>
      </c>
      <c r="BX22" s="74">
        <v>0</v>
      </c>
      <c r="BY22" s="74">
        <v>0</v>
      </c>
      <c r="BZ22" s="74">
        <v>0</v>
      </c>
      <c r="CA22" s="74">
        <v>0</v>
      </c>
      <c r="CB22" s="74">
        <v>0</v>
      </c>
      <c r="CC22" s="74">
        <v>0</v>
      </c>
      <c r="CD22" s="74">
        <v>0</v>
      </c>
      <c r="CE22" s="74">
        <v>0</v>
      </c>
      <c r="CF22" s="74">
        <v>0</v>
      </c>
      <c r="CG22" s="74">
        <v>0</v>
      </c>
      <c r="CH22" s="74">
        <v>0</v>
      </c>
      <c r="CI22" s="74">
        <v>0</v>
      </c>
      <c r="CJ22" s="74">
        <v>0</v>
      </c>
      <c r="CK22" s="74">
        <v>0</v>
      </c>
      <c r="CL22" s="74">
        <v>0</v>
      </c>
      <c r="CM22" s="74">
        <v>0</v>
      </c>
      <c r="CN22" s="74">
        <v>0</v>
      </c>
      <c r="CO22" s="74">
        <v>0</v>
      </c>
      <c r="CP22" s="74">
        <v>0</v>
      </c>
      <c r="CQ22" s="74">
        <v>0</v>
      </c>
      <c r="CR22" s="74">
        <v>0</v>
      </c>
      <c r="CS22" s="74">
        <v>0</v>
      </c>
      <c r="CT22" s="74">
        <v>0</v>
      </c>
      <c r="CU22" s="74">
        <v>0</v>
      </c>
      <c r="CV22" s="74">
        <v>0</v>
      </c>
      <c r="CW22" s="74">
        <v>0</v>
      </c>
      <c r="CX22" s="74">
        <v>0</v>
      </c>
      <c r="CY22" s="74">
        <v>0</v>
      </c>
      <c r="CZ22" s="74">
        <v>0</v>
      </c>
      <c r="DA22" s="74">
        <v>0</v>
      </c>
      <c r="DB22" s="74">
        <v>0</v>
      </c>
      <c r="DC22" s="74">
        <v>0</v>
      </c>
      <c r="DD22" s="74">
        <v>0</v>
      </c>
      <c r="DE22" s="74">
        <v>0</v>
      </c>
      <c r="DF22" s="74">
        <v>0</v>
      </c>
      <c r="DG22" s="74">
        <v>0</v>
      </c>
      <c r="DH22" s="74">
        <v>0</v>
      </c>
      <c r="DI22" s="74">
        <v>0</v>
      </c>
      <c r="DJ22" s="74">
        <v>0</v>
      </c>
      <c r="DK22" s="74">
        <v>0</v>
      </c>
      <c r="DL22" s="74">
        <v>0</v>
      </c>
      <c r="DM22" s="74">
        <v>0</v>
      </c>
      <c r="DN22" s="74">
        <v>0</v>
      </c>
      <c r="DO22" s="74">
        <v>0</v>
      </c>
      <c r="DP22" s="74">
        <v>0</v>
      </c>
      <c r="DQ22" s="74">
        <v>0</v>
      </c>
      <c r="DR22" s="74">
        <v>0</v>
      </c>
      <c r="DS22" s="74">
        <v>0</v>
      </c>
      <c r="DT22" s="74">
        <v>0</v>
      </c>
      <c r="DU22" s="74">
        <v>0</v>
      </c>
      <c r="DV22" s="74">
        <v>0</v>
      </c>
      <c r="DW22" s="74">
        <v>0</v>
      </c>
      <c r="DX22" s="74">
        <v>0</v>
      </c>
      <c r="DY22" s="74">
        <v>0</v>
      </c>
      <c r="DZ22" s="74">
        <v>0</v>
      </c>
      <c r="EA22" s="74">
        <v>0</v>
      </c>
      <c r="EB22" s="74">
        <v>0</v>
      </c>
      <c r="EC22" s="74">
        <v>0</v>
      </c>
      <c r="ED22" s="74"/>
      <c r="EE22" s="80">
        <v>46147</v>
      </c>
      <c r="EF22" s="81">
        <v>46147.490582986109</v>
      </c>
      <c r="EG22" s="66" t="s">
        <v>71</v>
      </c>
      <c r="EH22" s="66" t="s">
        <v>209</v>
      </c>
      <c r="EI22" s="66" t="s">
        <v>6</v>
      </c>
      <c r="EJ22" s="66">
        <v>12</v>
      </c>
      <c r="EK22" s="66">
        <v>2027</v>
      </c>
      <c r="EL22" s="66" t="s">
        <v>24</v>
      </c>
      <c r="EM22" s="82">
        <v>290.68389790090976</v>
      </c>
      <c r="EN22" s="82">
        <v>257.5814628146079</v>
      </c>
      <c r="EO22" s="77">
        <v>273.51499999999999</v>
      </c>
      <c r="EP22" s="84">
        <v>0.20185877210205863</v>
      </c>
      <c r="EQ22" s="84">
        <v>0.20646392611324274</v>
      </c>
      <c r="ER22" s="84">
        <v>3.7812199999999997E-2</v>
      </c>
      <c r="ES22" s="85">
        <v>0.97269429659977535</v>
      </c>
      <c r="ET22" s="86">
        <v>1.4621999999999999</v>
      </c>
      <c r="EU22" s="85">
        <v>0.15269873395245903</v>
      </c>
      <c r="EV22" s="85">
        <v>3.6374216079711912E-2</v>
      </c>
      <c r="EW22" s="76">
        <v>3</v>
      </c>
      <c r="EX22" s="76" t="s">
        <v>32</v>
      </c>
      <c r="EY22" s="74" t="s">
        <v>243</v>
      </c>
      <c r="EZ22" s="74"/>
      <c r="FA22" s="74"/>
      <c r="FB22" s="74"/>
      <c r="FC22" s="74"/>
      <c r="FD22" s="68"/>
      <c r="FH22" s="73"/>
      <c r="FI22" s="74"/>
      <c r="FJ22" s="74"/>
      <c r="FK22" s="74"/>
      <c r="FL22" s="74"/>
      <c r="FM22" s="74"/>
      <c r="FN22" s="74"/>
      <c r="FO22" s="74"/>
      <c r="FP22" s="74"/>
      <c r="FQ22" s="74"/>
      <c r="FR22" s="74"/>
      <c r="FS22" s="74"/>
      <c r="FT22" s="74"/>
      <c r="FU22" s="74"/>
      <c r="FV22" s="74"/>
      <c r="FW22" s="74"/>
      <c r="FX22" s="74"/>
      <c r="FY22" s="74"/>
      <c r="FZ22" s="74"/>
      <c r="GA22" s="68"/>
    </row>
    <row r="23" spans="1:183" s="2" customFormat="1" ht="15" x14ac:dyDescent="0.3">
      <c r="A23" s="73" t="s">
        <v>158</v>
      </c>
      <c r="B23" s="73" t="s">
        <v>52</v>
      </c>
      <c r="C23" s="73" t="s">
        <v>226</v>
      </c>
      <c r="D23" s="73" t="s">
        <v>45</v>
      </c>
      <c r="E23" s="73" t="s">
        <v>178</v>
      </c>
      <c r="F23" s="73" t="s">
        <v>210</v>
      </c>
      <c r="G23" s="73" t="s">
        <v>227</v>
      </c>
      <c r="H23" s="73"/>
      <c r="I23" s="74">
        <v>0</v>
      </c>
      <c r="J23" s="74">
        <v>0</v>
      </c>
      <c r="K23" s="74">
        <v>0</v>
      </c>
      <c r="L23" s="74">
        <v>0</v>
      </c>
      <c r="M23" s="74">
        <v>933.48495703875847</v>
      </c>
      <c r="N23" s="74">
        <v>4679.4932800000006</v>
      </c>
      <c r="O23" s="74">
        <v>22945.054300000003</v>
      </c>
      <c r="P23" s="74">
        <v>31205.969850000001</v>
      </c>
      <c r="Q23" s="74">
        <v>35769.749300000003</v>
      </c>
      <c r="R23" s="74">
        <v>41634.692687999996</v>
      </c>
      <c r="S23" s="74">
        <v>41894.909517299995</v>
      </c>
      <c r="T23" s="74">
        <v>48179.14594489499</v>
      </c>
      <c r="U23" s="74">
        <v>0</v>
      </c>
      <c r="V23" s="74">
        <v>0</v>
      </c>
      <c r="W23" s="74">
        <v>0</v>
      </c>
      <c r="X23" s="74">
        <v>0</v>
      </c>
      <c r="Y23" s="74">
        <v>0</v>
      </c>
      <c r="Z23" s="74">
        <v>0</v>
      </c>
      <c r="AA23" s="74">
        <v>0</v>
      </c>
      <c r="AB23" s="74">
        <v>0</v>
      </c>
      <c r="AC23" s="74">
        <v>0</v>
      </c>
      <c r="AD23" s="74">
        <v>0</v>
      </c>
      <c r="AE23" s="74">
        <v>0</v>
      </c>
      <c r="AF23" s="74">
        <v>0</v>
      </c>
      <c r="AG23" s="74">
        <v>0</v>
      </c>
      <c r="AH23" s="74">
        <v>0</v>
      </c>
      <c r="AI23" s="74">
        <v>0</v>
      </c>
      <c r="AJ23" s="74">
        <v>0</v>
      </c>
      <c r="AK23" s="74"/>
      <c r="AL23" s="74">
        <v>1063.1928787024451</v>
      </c>
      <c r="AM23" s="74">
        <v>1839.3190783363132</v>
      </c>
      <c r="AN23" s="74">
        <v>-1507.8109999999997</v>
      </c>
      <c r="AO23" s="74">
        <v>-461.21600000000007</v>
      </c>
      <c r="AP23" s="74">
        <v>-1551.0656000000004</v>
      </c>
      <c r="AQ23" s="74">
        <v>-833.6160000000001</v>
      </c>
      <c r="AR23" s="74">
        <v>3090.6456000000003</v>
      </c>
      <c r="AS23" s="74">
        <v>3973.5292800000002</v>
      </c>
      <c r="AT23" s="74">
        <v>5166.4031999999997</v>
      </c>
      <c r="AU23" s="74">
        <v>5497.5636000000004</v>
      </c>
      <c r="AV23" s="74">
        <v>5317.1635000000006</v>
      </c>
      <c r="AW23" s="74">
        <v>6963.924</v>
      </c>
      <c r="AX23" s="74">
        <v>6005.0165500000012</v>
      </c>
      <c r="AY23" s="74">
        <v>5888.1581999999999</v>
      </c>
      <c r="AZ23" s="74">
        <v>8407.2560000000012</v>
      </c>
      <c r="BA23" s="74">
        <v>10905.539100000002</v>
      </c>
      <c r="BB23" s="74">
        <v>7217.3199000000013</v>
      </c>
      <c r="BC23" s="74">
        <v>8160.5454000000009</v>
      </c>
      <c r="BD23" s="74">
        <v>7459.9434000000001</v>
      </c>
      <c r="BE23" s="74">
        <v>11882.260500000002</v>
      </c>
      <c r="BF23" s="74">
        <v>7185.8669999999993</v>
      </c>
      <c r="BG23" s="74">
        <v>8043.9661799999994</v>
      </c>
      <c r="BH23" s="74">
        <v>7919.0168400000002</v>
      </c>
      <c r="BI23" s="74">
        <v>9645.5996999999988</v>
      </c>
      <c r="BJ23" s="74">
        <v>7950.8982358125022</v>
      </c>
      <c r="BK23" s="74">
        <v>8878.0850867525387</v>
      </c>
      <c r="BL23" s="74">
        <v>8747.481371306656</v>
      </c>
      <c r="BM23" s="74">
        <v>10689.731275329683</v>
      </c>
      <c r="BN23" s="74">
        <v>8797.377234541962</v>
      </c>
      <c r="BO23" s="74">
        <v>9798.6979362981147</v>
      </c>
      <c r="BP23" s="74">
        <v>9662.6174545875801</v>
      </c>
      <c r="BQ23" s="74">
        <v>11846.889596585848</v>
      </c>
      <c r="BR23" s="74">
        <v>0</v>
      </c>
      <c r="BS23" s="74">
        <v>0</v>
      </c>
      <c r="BT23" s="74">
        <v>0</v>
      </c>
      <c r="BU23" s="74">
        <v>0</v>
      </c>
      <c r="BV23" s="74">
        <v>0</v>
      </c>
      <c r="BW23" s="74">
        <v>0</v>
      </c>
      <c r="BX23" s="74">
        <v>0</v>
      </c>
      <c r="BY23" s="74">
        <v>0</v>
      </c>
      <c r="BZ23" s="74">
        <v>0</v>
      </c>
      <c r="CA23" s="74">
        <v>0</v>
      </c>
      <c r="CB23" s="74">
        <v>0</v>
      </c>
      <c r="CC23" s="74">
        <v>0</v>
      </c>
      <c r="CD23" s="74">
        <v>0</v>
      </c>
      <c r="CE23" s="74">
        <v>0</v>
      </c>
      <c r="CF23" s="74">
        <v>0</v>
      </c>
      <c r="CG23" s="74">
        <v>0</v>
      </c>
      <c r="CH23" s="74">
        <v>0</v>
      </c>
      <c r="CI23" s="74">
        <v>0</v>
      </c>
      <c r="CJ23" s="74">
        <v>0</v>
      </c>
      <c r="CK23" s="74">
        <v>0</v>
      </c>
      <c r="CL23" s="74">
        <v>0</v>
      </c>
      <c r="CM23" s="74">
        <v>0</v>
      </c>
      <c r="CN23" s="74">
        <v>0</v>
      </c>
      <c r="CO23" s="74">
        <v>0</v>
      </c>
      <c r="CP23" s="74">
        <v>0</v>
      </c>
      <c r="CQ23" s="74">
        <v>0</v>
      </c>
      <c r="CR23" s="74">
        <v>0</v>
      </c>
      <c r="CS23" s="74">
        <v>0</v>
      </c>
      <c r="CT23" s="74">
        <v>0</v>
      </c>
      <c r="CU23" s="74">
        <v>0</v>
      </c>
      <c r="CV23" s="74">
        <v>0</v>
      </c>
      <c r="CW23" s="74">
        <v>0</v>
      </c>
      <c r="CX23" s="74">
        <v>0</v>
      </c>
      <c r="CY23" s="74">
        <v>0</v>
      </c>
      <c r="CZ23" s="74">
        <v>0</v>
      </c>
      <c r="DA23" s="74">
        <v>0</v>
      </c>
      <c r="DB23" s="74">
        <v>0</v>
      </c>
      <c r="DC23" s="74">
        <v>0</v>
      </c>
      <c r="DD23" s="74">
        <v>0</v>
      </c>
      <c r="DE23" s="74">
        <v>0</v>
      </c>
      <c r="DF23" s="74">
        <v>0</v>
      </c>
      <c r="DG23" s="74">
        <v>0</v>
      </c>
      <c r="DH23" s="74">
        <v>0</v>
      </c>
      <c r="DI23" s="74">
        <v>0</v>
      </c>
      <c r="DJ23" s="74">
        <v>0</v>
      </c>
      <c r="DK23" s="74">
        <v>0</v>
      </c>
      <c r="DL23" s="74">
        <v>0</v>
      </c>
      <c r="DM23" s="74">
        <v>0</v>
      </c>
      <c r="DN23" s="74">
        <v>0</v>
      </c>
      <c r="DO23" s="74">
        <v>0</v>
      </c>
      <c r="DP23" s="74">
        <v>0</v>
      </c>
      <c r="DQ23" s="74">
        <v>0</v>
      </c>
      <c r="DR23" s="74">
        <v>0</v>
      </c>
      <c r="DS23" s="74">
        <v>0</v>
      </c>
      <c r="DT23" s="74">
        <v>0</v>
      </c>
      <c r="DU23" s="74">
        <v>0</v>
      </c>
      <c r="DV23" s="74">
        <v>0</v>
      </c>
      <c r="DW23" s="74">
        <v>0</v>
      </c>
      <c r="DX23" s="74">
        <v>0</v>
      </c>
      <c r="DY23" s="74">
        <v>0</v>
      </c>
      <c r="DZ23" s="74">
        <v>0</v>
      </c>
      <c r="EA23" s="74">
        <v>0</v>
      </c>
      <c r="EB23" s="74">
        <v>0</v>
      </c>
      <c r="EC23" s="74">
        <v>0</v>
      </c>
      <c r="ED23" s="74"/>
      <c r="EE23" s="80">
        <v>46147</v>
      </c>
      <c r="EF23" s="81">
        <v>46147.490582986109</v>
      </c>
      <c r="EG23" s="66" t="s">
        <v>71</v>
      </c>
      <c r="EH23" s="66" t="s">
        <v>209</v>
      </c>
      <c r="EI23" s="66" t="s">
        <v>6</v>
      </c>
      <c r="EJ23" s="66">
        <v>12</v>
      </c>
      <c r="EK23" s="66">
        <v>2027</v>
      </c>
      <c r="EL23" s="66" t="s">
        <v>24</v>
      </c>
      <c r="EM23" s="82">
        <v>290.68389790090976</v>
      </c>
      <c r="EN23" s="82">
        <v>257.5814628146079</v>
      </c>
      <c r="EO23" s="77">
        <v>273.51499999999999</v>
      </c>
      <c r="EP23" s="84">
        <v>0.20185877210205863</v>
      </c>
      <c r="EQ23" s="84">
        <v>0.20646392611324274</v>
      </c>
      <c r="ER23" s="84">
        <v>3.7812199999999997E-2</v>
      </c>
      <c r="ES23" s="85">
        <v>0.97269429659977535</v>
      </c>
      <c r="ET23" s="86">
        <v>1.4621999999999999</v>
      </c>
      <c r="EU23" s="85">
        <v>0.15269873395245903</v>
      </c>
      <c r="EV23" s="85">
        <v>3.6374216079711912E-2</v>
      </c>
      <c r="EW23" s="76">
        <v>3</v>
      </c>
      <c r="EX23" s="76" t="s">
        <v>32</v>
      </c>
      <c r="EY23" s="74" t="s">
        <v>243</v>
      </c>
      <c r="EZ23" s="74"/>
      <c r="FA23" s="74"/>
      <c r="FB23" s="74"/>
      <c r="FC23" s="74"/>
      <c r="FD23" s="68"/>
      <c r="FH23" s="73"/>
      <c r="FI23" s="74"/>
      <c r="FJ23" s="74"/>
      <c r="FK23" s="74"/>
      <c r="FL23" s="74"/>
      <c r="FM23" s="74"/>
      <c r="FN23" s="74"/>
      <c r="FO23" s="74"/>
      <c r="FP23" s="74"/>
      <c r="FQ23" s="74"/>
      <c r="FR23" s="74"/>
      <c r="FS23" s="74"/>
      <c r="FT23" s="74"/>
      <c r="FU23" s="74"/>
      <c r="FV23" s="74"/>
      <c r="FW23" s="74"/>
      <c r="FX23" s="74"/>
      <c r="FY23" s="74"/>
      <c r="FZ23" s="74"/>
      <c r="GA23" s="68"/>
    </row>
    <row r="24" spans="1:183" s="2" customFormat="1" ht="15" x14ac:dyDescent="0.3">
      <c r="A24" s="73" t="s">
        <v>33</v>
      </c>
      <c r="B24" s="73" t="s">
        <v>53</v>
      </c>
      <c r="C24" s="73" t="s">
        <v>47</v>
      </c>
      <c r="D24" s="73" t="s">
        <v>46</v>
      </c>
      <c r="E24" s="73" t="s">
        <v>178</v>
      </c>
      <c r="F24" s="73" t="s">
        <v>210</v>
      </c>
      <c r="G24" s="73" t="s">
        <v>227</v>
      </c>
      <c r="H24" s="73"/>
      <c r="I24" s="74">
        <v>0</v>
      </c>
      <c r="J24" s="74">
        <v>0</v>
      </c>
      <c r="K24" s="74">
        <v>0</v>
      </c>
      <c r="L24" s="74">
        <v>0</v>
      </c>
      <c r="M24" s="74">
        <v>-6861.2493518291294</v>
      </c>
      <c r="N24" s="74">
        <v>-4285.0007999999998</v>
      </c>
      <c r="O24" s="74">
        <v>3466.7897000000012</v>
      </c>
      <c r="P24" s="74">
        <v>5752.2470499999999</v>
      </c>
      <c r="Q24" s="74">
        <v>6716.1489000000001</v>
      </c>
      <c r="R24" s="74">
        <v>8691.5893049999995</v>
      </c>
      <c r="S24" s="74">
        <v>9933.2449199999992</v>
      </c>
      <c r="T24" s="74">
        <v>13409.880641999996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  <c r="Z24" s="74">
        <v>0</v>
      </c>
      <c r="AA24" s="74">
        <v>0</v>
      </c>
      <c r="AB24" s="74">
        <v>0</v>
      </c>
      <c r="AC24" s="74">
        <v>0</v>
      </c>
      <c r="AD24" s="74">
        <v>0</v>
      </c>
      <c r="AE24" s="74">
        <v>0</v>
      </c>
      <c r="AF24" s="74">
        <v>0</v>
      </c>
      <c r="AG24" s="74">
        <v>0</v>
      </c>
      <c r="AH24" s="74">
        <v>0</v>
      </c>
      <c r="AI24" s="74">
        <v>0</v>
      </c>
      <c r="AJ24" s="74">
        <v>0</v>
      </c>
      <c r="AK24" s="74"/>
      <c r="AL24" s="74">
        <v>-561.37574877648774</v>
      </c>
      <c r="AM24" s="74">
        <v>-797.96840305264084</v>
      </c>
      <c r="AN24" s="74">
        <v>-3205.9500000000007</v>
      </c>
      <c r="AO24" s="74">
        <v>-2295.9552000000003</v>
      </c>
      <c r="AP24" s="74">
        <v>-1509.8475000000001</v>
      </c>
      <c r="AQ24" s="74">
        <v>-1420.9125000000001</v>
      </c>
      <c r="AR24" s="74">
        <v>-609.84</v>
      </c>
      <c r="AS24" s="74">
        <v>-744.4008</v>
      </c>
      <c r="AT24" s="74">
        <v>-334.91449999999998</v>
      </c>
      <c r="AU24" s="74">
        <v>1330.4256000000003</v>
      </c>
      <c r="AV24" s="74">
        <v>700.58660000000009</v>
      </c>
      <c r="AW24" s="74">
        <v>1770.6920000000002</v>
      </c>
      <c r="AX24" s="74">
        <v>1005.9525</v>
      </c>
      <c r="AY24" s="74">
        <v>862.81675000000018</v>
      </c>
      <c r="AZ24" s="74">
        <v>1636.4928000000002</v>
      </c>
      <c r="BA24" s="74">
        <v>2246.9849999999997</v>
      </c>
      <c r="BB24" s="74">
        <v>1581.8136</v>
      </c>
      <c r="BC24" s="74">
        <v>1518.2293</v>
      </c>
      <c r="BD24" s="74">
        <v>1709.4528000000003</v>
      </c>
      <c r="BE24" s="74">
        <v>2064.4668000000001</v>
      </c>
      <c r="BF24" s="74">
        <v>2387.3399999999997</v>
      </c>
      <c r="BG24" s="74">
        <v>2602.6787999999997</v>
      </c>
      <c r="BH24" s="74">
        <v>2699.1360000000004</v>
      </c>
      <c r="BI24" s="74">
        <v>3347.7839999999997</v>
      </c>
      <c r="BJ24" s="74">
        <v>2649.0485191497805</v>
      </c>
      <c r="BK24" s="74">
        <v>2882.35190846662</v>
      </c>
      <c r="BL24" s="74">
        <v>3072.7033677801282</v>
      </c>
      <c r="BM24" s="74">
        <v>3808.1224152908544</v>
      </c>
      <c r="BN24" s="74">
        <v>2939.4464369589768</v>
      </c>
      <c r="BO24" s="74">
        <v>3192.0775334402256</v>
      </c>
      <c r="BP24" s="74">
        <v>3497.9734205195064</v>
      </c>
      <c r="BQ24" s="74">
        <v>4331.7598536347177</v>
      </c>
      <c r="BR24" s="74">
        <v>0</v>
      </c>
      <c r="BS24" s="74">
        <v>0</v>
      </c>
      <c r="BT24" s="74">
        <v>0</v>
      </c>
      <c r="BU24" s="74">
        <v>0</v>
      </c>
      <c r="BV24" s="74">
        <v>0</v>
      </c>
      <c r="BW24" s="74">
        <v>0</v>
      </c>
      <c r="BX24" s="74">
        <v>0</v>
      </c>
      <c r="BY24" s="74">
        <v>0</v>
      </c>
      <c r="BZ24" s="74">
        <v>0</v>
      </c>
      <c r="CA24" s="74">
        <v>0</v>
      </c>
      <c r="CB24" s="74">
        <v>0</v>
      </c>
      <c r="CC24" s="74">
        <v>0</v>
      </c>
      <c r="CD24" s="74">
        <v>0</v>
      </c>
      <c r="CE24" s="74">
        <v>0</v>
      </c>
      <c r="CF24" s="74">
        <v>0</v>
      </c>
      <c r="CG24" s="74">
        <v>0</v>
      </c>
      <c r="CH24" s="74">
        <v>0</v>
      </c>
      <c r="CI24" s="74">
        <v>0</v>
      </c>
      <c r="CJ24" s="74">
        <v>0</v>
      </c>
      <c r="CK24" s="74">
        <v>0</v>
      </c>
      <c r="CL24" s="74">
        <v>0</v>
      </c>
      <c r="CM24" s="74">
        <v>0</v>
      </c>
      <c r="CN24" s="74">
        <v>0</v>
      </c>
      <c r="CO24" s="74">
        <v>0</v>
      </c>
      <c r="CP24" s="74">
        <v>0</v>
      </c>
      <c r="CQ24" s="74">
        <v>0</v>
      </c>
      <c r="CR24" s="74">
        <v>0</v>
      </c>
      <c r="CS24" s="74">
        <v>0</v>
      </c>
      <c r="CT24" s="74">
        <v>0</v>
      </c>
      <c r="CU24" s="74">
        <v>0</v>
      </c>
      <c r="CV24" s="74">
        <v>0</v>
      </c>
      <c r="CW24" s="74">
        <v>0</v>
      </c>
      <c r="CX24" s="74">
        <v>0</v>
      </c>
      <c r="CY24" s="74">
        <v>0</v>
      </c>
      <c r="CZ24" s="74">
        <v>0</v>
      </c>
      <c r="DA24" s="74">
        <v>0</v>
      </c>
      <c r="DB24" s="74">
        <v>0</v>
      </c>
      <c r="DC24" s="74">
        <v>0</v>
      </c>
      <c r="DD24" s="74">
        <v>0</v>
      </c>
      <c r="DE24" s="74">
        <v>0</v>
      </c>
      <c r="DF24" s="74">
        <v>0</v>
      </c>
      <c r="DG24" s="74">
        <v>0</v>
      </c>
      <c r="DH24" s="74">
        <v>0</v>
      </c>
      <c r="DI24" s="74">
        <v>0</v>
      </c>
      <c r="DJ24" s="74">
        <v>0</v>
      </c>
      <c r="DK24" s="74">
        <v>0</v>
      </c>
      <c r="DL24" s="74">
        <v>0</v>
      </c>
      <c r="DM24" s="74">
        <v>0</v>
      </c>
      <c r="DN24" s="74">
        <v>0</v>
      </c>
      <c r="DO24" s="74">
        <v>0</v>
      </c>
      <c r="DP24" s="74">
        <v>0</v>
      </c>
      <c r="DQ24" s="74">
        <v>0</v>
      </c>
      <c r="DR24" s="74">
        <v>0</v>
      </c>
      <c r="DS24" s="74">
        <v>0</v>
      </c>
      <c r="DT24" s="74">
        <v>0</v>
      </c>
      <c r="DU24" s="74">
        <v>0</v>
      </c>
      <c r="DV24" s="74">
        <v>0</v>
      </c>
      <c r="DW24" s="74">
        <v>0</v>
      </c>
      <c r="DX24" s="74">
        <v>0</v>
      </c>
      <c r="DY24" s="74">
        <v>0</v>
      </c>
      <c r="DZ24" s="74">
        <v>0</v>
      </c>
      <c r="EA24" s="74">
        <v>0</v>
      </c>
      <c r="EB24" s="74">
        <v>0</v>
      </c>
      <c r="EC24" s="74">
        <v>0</v>
      </c>
      <c r="ED24" s="74"/>
      <c r="EE24" s="80">
        <v>46147</v>
      </c>
      <c r="EF24" s="81">
        <v>46147.490582986109</v>
      </c>
      <c r="EG24" s="66" t="s">
        <v>71</v>
      </c>
      <c r="EH24" s="66" t="s">
        <v>209</v>
      </c>
      <c r="EI24" s="66" t="s">
        <v>6</v>
      </c>
      <c r="EJ24" s="66">
        <v>12</v>
      </c>
      <c r="EK24" s="66">
        <v>2027</v>
      </c>
      <c r="EL24" s="66" t="s">
        <v>24</v>
      </c>
      <c r="EM24" s="82">
        <v>290.68389790090976</v>
      </c>
      <c r="EN24" s="82">
        <v>257.5814628146079</v>
      </c>
      <c r="EO24" s="77">
        <v>273.51499999999999</v>
      </c>
      <c r="EP24" s="84">
        <v>0.20185877210205863</v>
      </c>
      <c r="EQ24" s="84">
        <v>0.20646392611324274</v>
      </c>
      <c r="ER24" s="84">
        <v>3.7812199999999997E-2</v>
      </c>
      <c r="ES24" s="85">
        <v>0.97269429659977535</v>
      </c>
      <c r="ET24" s="86">
        <v>1.4621999999999999</v>
      </c>
      <c r="EU24" s="85">
        <v>0.15269873395245903</v>
      </c>
      <c r="EV24" s="85">
        <v>3.6374216079711912E-2</v>
      </c>
      <c r="EW24" s="76">
        <v>3</v>
      </c>
      <c r="EX24" s="76" t="s">
        <v>32</v>
      </c>
      <c r="EY24" s="74" t="s">
        <v>243</v>
      </c>
      <c r="EZ24" s="74"/>
      <c r="FA24" s="74"/>
      <c r="FB24" s="74"/>
      <c r="FC24" s="74"/>
      <c r="FD24" s="68"/>
      <c r="FH24" s="73"/>
      <c r="FI24" s="74"/>
      <c r="FJ24" s="74"/>
      <c r="FK24" s="74"/>
      <c r="FL24" s="74"/>
      <c r="FM24" s="74"/>
      <c r="FN24" s="74"/>
      <c r="FO24" s="74"/>
      <c r="FP24" s="74"/>
      <c r="FQ24" s="74"/>
      <c r="FR24" s="74"/>
      <c r="FS24" s="74"/>
      <c r="FT24" s="74"/>
      <c r="FU24" s="74"/>
      <c r="FV24" s="74"/>
      <c r="FW24" s="74"/>
      <c r="FX24" s="74"/>
      <c r="FY24" s="74"/>
      <c r="FZ24" s="74"/>
      <c r="GA24" s="68"/>
    </row>
    <row r="25" spans="1:183" s="2" customFormat="1" ht="15" x14ac:dyDescent="0.3">
      <c r="A25" s="73" t="s">
        <v>157</v>
      </c>
      <c r="B25" s="73" t="s">
        <v>54</v>
      </c>
      <c r="C25" s="73" t="s">
        <v>47</v>
      </c>
      <c r="D25" s="73" t="s">
        <v>44</v>
      </c>
      <c r="E25" s="73" t="s">
        <v>178</v>
      </c>
      <c r="F25" s="73" t="s">
        <v>210</v>
      </c>
      <c r="G25" s="73" t="s">
        <v>227</v>
      </c>
      <c r="H25" s="73"/>
      <c r="I25" s="74">
        <v>0</v>
      </c>
      <c r="J25" s="74">
        <v>0</v>
      </c>
      <c r="K25" s="74">
        <v>0</v>
      </c>
      <c r="L25" s="74">
        <v>0</v>
      </c>
      <c r="M25" s="74">
        <v>22372.599525331883</v>
      </c>
      <c r="N25" s="74">
        <v>22396.3685</v>
      </c>
      <c r="O25" s="74">
        <v>35335.286400000005</v>
      </c>
      <c r="P25" s="74">
        <v>44099.674950000001</v>
      </c>
      <c r="Q25" s="74">
        <v>59400.183550000002</v>
      </c>
      <c r="R25" s="74">
        <v>77250.221063999983</v>
      </c>
      <c r="S25" s="74">
        <v>91198.177645000003</v>
      </c>
      <c r="T25" s="74">
        <v>117350.59623437499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  <c r="Z25" s="74">
        <v>0</v>
      </c>
      <c r="AA25" s="74">
        <v>0</v>
      </c>
      <c r="AB25" s="74">
        <v>0</v>
      </c>
      <c r="AC25" s="74">
        <v>0</v>
      </c>
      <c r="AD25" s="74">
        <v>0</v>
      </c>
      <c r="AE25" s="74">
        <v>0</v>
      </c>
      <c r="AF25" s="74">
        <v>0</v>
      </c>
      <c r="AG25" s="74">
        <v>0</v>
      </c>
      <c r="AH25" s="74">
        <v>0</v>
      </c>
      <c r="AI25" s="74">
        <v>0</v>
      </c>
      <c r="AJ25" s="74">
        <v>0</v>
      </c>
      <c r="AK25" s="74"/>
      <c r="AL25" s="74">
        <v>5542.7404091038325</v>
      </c>
      <c r="AM25" s="74">
        <v>5109.2801396485584</v>
      </c>
      <c r="AN25" s="74">
        <v>6297.678976579492</v>
      </c>
      <c r="AO25" s="74">
        <v>5422.9</v>
      </c>
      <c r="AP25" s="74">
        <v>5089.7159999999994</v>
      </c>
      <c r="AQ25" s="74">
        <v>5674.9624999999996</v>
      </c>
      <c r="AR25" s="74">
        <v>5699.2950000000001</v>
      </c>
      <c r="AS25" s="74">
        <v>5932.3950000000004</v>
      </c>
      <c r="AT25" s="74">
        <v>7239.0059999999985</v>
      </c>
      <c r="AU25" s="74">
        <v>8581.4640000000018</v>
      </c>
      <c r="AV25" s="74">
        <v>8937.6684000000005</v>
      </c>
      <c r="AW25" s="74">
        <v>10577.147999999999</v>
      </c>
      <c r="AX25" s="74">
        <v>10600.665799999999</v>
      </c>
      <c r="AY25" s="74">
        <v>10426.986749999998</v>
      </c>
      <c r="AZ25" s="74">
        <v>10780.4004</v>
      </c>
      <c r="BA25" s="74">
        <v>12291.621999999999</v>
      </c>
      <c r="BB25" s="74">
        <v>12621.393749999999</v>
      </c>
      <c r="BC25" s="74">
        <v>14138.290349999999</v>
      </c>
      <c r="BD25" s="74">
        <v>15090.343200000001</v>
      </c>
      <c r="BE25" s="74">
        <v>16010.55</v>
      </c>
      <c r="BF25" s="74">
        <v>14095.125</v>
      </c>
      <c r="BG25" s="74">
        <v>14934.813749999998</v>
      </c>
      <c r="BH25" s="74">
        <v>15719.1075</v>
      </c>
      <c r="BI25" s="74">
        <v>16677.65625</v>
      </c>
      <c r="BJ25" s="74">
        <v>17618.90625</v>
      </c>
      <c r="BK25" s="74">
        <v>18668.517187499998</v>
      </c>
      <c r="BL25" s="74">
        <v>19648.884374999998</v>
      </c>
      <c r="BM25" s="74">
        <v>20847.0703125</v>
      </c>
      <c r="BN25" s="74">
        <v>22023.6328125</v>
      </c>
      <c r="BO25" s="74">
        <v>23335.646484374996</v>
      </c>
      <c r="BP25" s="74">
        <v>24561.10546875</v>
      </c>
      <c r="BQ25" s="74">
        <v>26058.837890625</v>
      </c>
      <c r="BR25" s="74">
        <v>0</v>
      </c>
      <c r="BS25" s="74">
        <v>0</v>
      </c>
      <c r="BT25" s="74">
        <v>0</v>
      </c>
      <c r="BU25" s="74">
        <v>0</v>
      </c>
      <c r="BV25" s="74">
        <v>0</v>
      </c>
      <c r="BW25" s="74">
        <v>0</v>
      </c>
      <c r="BX25" s="74">
        <v>0</v>
      </c>
      <c r="BY25" s="74">
        <v>0</v>
      </c>
      <c r="BZ25" s="74">
        <v>0</v>
      </c>
      <c r="CA25" s="74">
        <v>0</v>
      </c>
      <c r="CB25" s="74">
        <v>0</v>
      </c>
      <c r="CC25" s="74">
        <v>0</v>
      </c>
      <c r="CD25" s="74">
        <v>0</v>
      </c>
      <c r="CE25" s="74">
        <v>0</v>
      </c>
      <c r="CF25" s="74">
        <v>0</v>
      </c>
      <c r="CG25" s="74">
        <v>0</v>
      </c>
      <c r="CH25" s="74">
        <v>0</v>
      </c>
      <c r="CI25" s="74">
        <v>0</v>
      </c>
      <c r="CJ25" s="74">
        <v>0</v>
      </c>
      <c r="CK25" s="74">
        <v>0</v>
      </c>
      <c r="CL25" s="74">
        <v>0</v>
      </c>
      <c r="CM25" s="74">
        <v>0</v>
      </c>
      <c r="CN25" s="74">
        <v>0</v>
      </c>
      <c r="CO25" s="74">
        <v>0</v>
      </c>
      <c r="CP25" s="74">
        <v>0</v>
      </c>
      <c r="CQ25" s="74">
        <v>0</v>
      </c>
      <c r="CR25" s="74">
        <v>0</v>
      </c>
      <c r="CS25" s="74">
        <v>0</v>
      </c>
      <c r="CT25" s="74">
        <v>0</v>
      </c>
      <c r="CU25" s="74">
        <v>0</v>
      </c>
      <c r="CV25" s="74">
        <v>0</v>
      </c>
      <c r="CW25" s="74">
        <v>0</v>
      </c>
      <c r="CX25" s="74">
        <v>0</v>
      </c>
      <c r="CY25" s="74">
        <v>0</v>
      </c>
      <c r="CZ25" s="74">
        <v>0</v>
      </c>
      <c r="DA25" s="74">
        <v>0</v>
      </c>
      <c r="DB25" s="74">
        <v>0</v>
      </c>
      <c r="DC25" s="74">
        <v>0</v>
      </c>
      <c r="DD25" s="74">
        <v>0</v>
      </c>
      <c r="DE25" s="74">
        <v>0</v>
      </c>
      <c r="DF25" s="74">
        <v>0</v>
      </c>
      <c r="DG25" s="74">
        <v>0</v>
      </c>
      <c r="DH25" s="74">
        <v>0</v>
      </c>
      <c r="DI25" s="74">
        <v>0</v>
      </c>
      <c r="DJ25" s="74">
        <v>0</v>
      </c>
      <c r="DK25" s="74">
        <v>0</v>
      </c>
      <c r="DL25" s="74">
        <v>0</v>
      </c>
      <c r="DM25" s="74">
        <v>0</v>
      </c>
      <c r="DN25" s="74">
        <v>0</v>
      </c>
      <c r="DO25" s="74">
        <v>0</v>
      </c>
      <c r="DP25" s="74">
        <v>0</v>
      </c>
      <c r="DQ25" s="74">
        <v>0</v>
      </c>
      <c r="DR25" s="74">
        <v>0</v>
      </c>
      <c r="DS25" s="74">
        <v>0</v>
      </c>
      <c r="DT25" s="74">
        <v>0</v>
      </c>
      <c r="DU25" s="74">
        <v>0</v>
      </c>
      <c r="DV25" s="74">
        <v>0</v>
      </c>
      <c r="DW25" s="74">
        <v>0</v>
      </c>
      <c r="DX25" s="74">
        <v>0</v>
      </c>
      <c r="DY25" s="74">
        <v>0</v>
      </c>
      <c r="DZ25" s="74">
        <v>0</v>
      </c>
      <c r="EA25" s="74">
        <v>0</v>
      </c>
      <c r="EB25" s="74">
        <v>0</v>
      </c>
      <c r="EC25" s="74">
        <v>0</v>
      </c>
      <c r="ED25" s="74"/>
      <c r="EE25" s="80">
        <v>46147</v>
      </c>
      <c r="EF25" s="81">
        <v>46147.490582986109</v>
      </c>
      <c r="EG25" s="66" t="s">
        <v>71</v>
      </c>
      <c r="EH25" s="66" t="s">
        <v>209</v>
      </c>
      <c r="EI25" s="66" t="s">
        <v>6</v>
      </c>
      <c r="EJ25" s="66">
        <v>12</v>
      </c>
      <c r="EK25" s="66">
        <v>2027</v>
      </c>
      <c r="EL25" s="66" t="s">
        <v>24</v>
      </c>
      <c r="EM25" s="82">
        <v>290.68389790090976</v>
      </c>
      <c r="EN25" s="82">
        <v>257.5814628146079</v>
      </c>
      <c r="EO25" s="77">
        <v>273.51499999999999</v>
      </c>
      <c r="EP25" s="84">
        <v>0.20185877210205863</v>
      </c>
      <c r="EQ25" s="84">
        <v>0.20646392611324274</v>
      </c>
      <c r="ER25" s="84">
        <v>3.7812199999999997E-2</v>
      </c>
      <c r="ES25" s="85">
        <v>0.97269429659977535</v>
      </c>
      <c r="ET25" s="86">
        <v>1.4621999999999999</v>
      </c>
      <c r="EU25" s="85">
        <v>0.15269873395245903</v>
      </c>
      <c r="EV25" s="85">
        <v>3.6374216079711912E-2</v>
      </c>
      <c r="EW25" s="76">
        <v>3</v>
      </c>
      <c r="EX25" s="76" t="s">
        <v>32</v>
      </c>
      <c r="EY25" s="74" t="s">
        <v>243</v>
      </c>
      <c r="EZ25" s="74"/>
      <c r="FA25" s="74"/>
      <c r="FB25" s="74"/>
      <c r="FC25" s="74"/>
      <c r="FD25" s="68"/>
      <c r="FH25" s="73"/>
      <c r="FI25" s="74"/>
      <c r="FJ25" s="74"/>
      <c r="FK25" s="74"/>
      <c r="FL25" s="74"/>
      <c r="FM25" s="74"/>
      <c r="FN25" s="74"/>
      <c r="FO25" s="74"/>
      <c r="FP25" s="74"/>
      <c r="FQ25" s="74"/>
      <c r="FR25" s="74"/>
      <c r="FS25" s="74"/>
      <c r="FT25" s="74"/>
      <c r="FU25" s="74"/>
      <c r="FV25" s="74"/>
      <c r="FW25" s="74"/>
      <c r="FX25" s="74"/>
      <c r="FY25" s="74"/>
      <c r="FZ25" s="74"/>
      <c r="GA25" s="68"/>
    </row>
    <row r="26" spans="1:183" s="2" customFormat="1" ht="15" x14ac:dyDescent="0.3">
      <c r="A26" s="73" t="s">
        <v>196</v>
      </c>
      <c r="B26" s="73" t="s">
        <v>205</v>
      </c>
      <c r="C26" s="73" t="s">
        <v>205</v>
      </c>
      <c r="D26" s="73" t="s">
        <v>48</v>
      </c>
      <c r="E26" s="73" t="s">
        <v>178</v>
      </c>
      <c r="F26" s="73" t="s">
        <v>210</v>
      </c>
      <c r="G26" s="73" t="s">
        <v>227</v>
      </c>
      <c r="H26" s="73"/>
      <c r="I26" s="74">
        <v>0</v>
      </c>
      <c r="J26" s="74">
        <v>0</v>
      </c>
      <c r="K26" s="74">
        <v>0</v>
      </c>
      <c r="L26" s="74">
        <v>0</v>
      </c>
      <c r="M26" s="74">
        <v>72089.525380541512</v>
      </c>
      <c r="N26" s="74">
        <v>87498.869980000003</v>
      </c>
      <c r="O26" s="74">
        <v>133105.82840000003</v>
      </c>
      <c r="P26" s="74">
        <v>164218.10510000002</v>
      </c>
      <c r="Q26" s="74">
        <v>202655.77675000002</v>
      </c>
      <c r="R26" s="74">
        <v>264156.43429699889</v>
      </c>
      <c r="S26" s="74">
        <v>295569.74857018294</v>
      </c>
      <c r="T26" s="74">
        <v>358266.50893508736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  <c r="Z26" s="74">
        <v>0</v>
      </c>
      <c r="AA26" s="74">
        <v>0</v>
      </c>
      <c r="AB26" s="74">
        <v>0</v>
      </c>
      <c r="AC26" s="74">
        <v>0</v>
      </c>
      <c r="AD26" s="74">
        <v>0</v>
      </c>
      <c r="AE26" s="74">
        <v>0</v>
      </c>
      <c r="AF26" s="74">
        <v>0</v>
      </c>
      <c r="AG26" s="74">
        <v>0</v>
      </c>
      <c r="AH26" s="74">
        <v>0</v>
      </c>
      <c r="AI26" s="74">
        <v>0</v>
      </c>
      <c r="AJ26" s="74">
        <v>0</v>
      </c>
      <c r="AK26" s="74"/>
      <c r="AL26" s="74">
        <v>6044.55753902979</v>
      </c>
      <c r="AM26" s="74">
        <v>6150.6308149322304</v>
      </c>
      <c r="AN26" s="74">
        <v>1583.9179765794916</v>
      </c>
      <c r="AO26" s="74">
        <v>2665.7287999999994</v>
      </c>
      <c r="AP26" s="74">
        <v>2028.8028999999988</v>
      </c>
      <c r="AQ26" s="74">
        <v>3420.4339999999993</v>
      </c>
      <c r="AR26" s="74">
        <v>8180.1005999999998</v>
      </c>
      <c r="AS26" s="74">
        <v>9161.5234799999998</v>
      </c>
      <c r="AT26" s="74">
        <v>12070.494699999999</v>
      </c>
      <c r="AU26" s="74">
        <v>15409.453200000004</v>
      </c>
      <c r="AV26" s="74">
        <v>14955.418500000002</v>
      </c>
      <c r="AW26" s="74">
        <v>19311.763999999999</v>
      </c>
      <c r="AX26" s="74">
        <v>17611.634850000002</v>
      </c>
      <c r="AY26" s="74">
        <v>17177.9617</v>
      </c>
      <c r="AZ26" s="74">
        <v>20824.1492</v>
      </c>
      <c r="BA26" s="74">
        <v>25444.146100000002</v>
      </c>
      <c r="BB26" s="74">
        <v>21420.527249999999</v>
      </c>
      <c r="BC26" s="74">
        <v>23817.065050000001</v>
      </c>
      <c r="BD26" s="74">
        <v>24259.739400000002</v>
      </c>
      <c r="BE26" s="74">
        <v>29957.277300000002</v>
      </c>
      <c r="BF26" s="74">
        <v>23668.331999999999</v>
      </c>
      <c r="BG26" s="74">
        <v>25581.458729999998</v>
      </c>
      <c r="BH26" s="74">
        <v>26337.260340000001</v>
      </c>
      <c r="BI26" s="74">
        <v>29671.039949999998</v>
      </c>
      <c r="BJ26" s="74">
        <v>28218.853004962282</v>
      </c>
      <c r="BK26" s="74">
        <v>30428.954182719157</v>
      </c>
      <c r="BL26" s="74">
        <v>31469.069114086782</v>
      </c>
      <c r="BM26" s="74">
        <v>35344.924003120541</v>
      </c>
      <c r="BN26" s="74">
        <v>33760.456484000941</v>
      </c>
      <c r="BO26" s="74">
        <v>36326.421954113335</v>
      </c>
      <c r="BP26" s="74">
        <v>37721.696343857082</v>
      </c>
      <c r="BQ26" s="74">
        <v>42237.487340845568</v>
      </c>
      <c r="BR26" s="74">
        <v>0</v>
      </c>
      <c r="BS26" s="74">
        <v>0</v>
      </c>
      <c r="BT26" s="74">
        <v>0</v>
      </c>
      <c r="BU26" s="74">
        <v>0</v>
      </c>
      <c r="BV26" s="74">
        <v>0</v>
      </c>
      <c r="BW26" s="74">
        <v>0</v>
      </c>
      <c r="BX26" s="74">
        <v>0</v>
      </c>
      <c r="BY26" s="74">
        <v>0</v>
      </c>
      <c r="BZ26" s="74">
        <v>0</v>
      </c>
      <c r="CA26" s="74">
        <v>0</v>
      </c>
      <c r="CB26" s="74">
        <v>0</v>
      </c>
      <c r="CC26" s="74">
        <v>0</v>
      </c>
      <c r="CD26" s="74">
        <v>0</v>
      </c>
      <c r="CE26" s="74">
        <v>0</v>
      </c>
      <c r="CF26" s="74">
        <v>0</v>
      </c>
      <c r="CG26" s="74">
        <v>0</v>
      </c>
      <c r="CH26" s="74">
        <v>0</v>
      </c>
      <c r="CI26" s="74">
        <v>0</v>
      </c>
      <c r="CJ26" s="74">
        <v>0</v>
      </c>
      <c r="CK26" s="74">
        <v>0</v>
      </c>
      <c r="CL26" s="74">
        <v>0</v>
      </c>
      <c r="CM26" s="74">
        <v>0</v>
      </c>
      <c r="CN26" s="74">
        <v>0</v>
      </c>
      <c r="CO26" s="74">
        <v>0</v>
      </c>
      <c r="CP26" s="74">
        <v>0</v>
      </c>
      <c r="CQ26" s="74">
        <v>0</v>
      </c>
      <c r="CR26" s="74">
        <v>0</v>
      </c>
      <c r="CS26" s="74">
        <v>0</v>
      </c>
      <c r="CT26" s="74">
        <v>0</v>
      </c>
      <c r="CU26" s="74">
        <v>0</v>
      </c>
      <c r="CV26" s="74">
        <v>0</v>
      </c>
      <c r="CW26" s="74">
        <v>0</v>
      </c>
      <c r="CX26" s="74">
        <v>0</v>
      </c>
      <c r="CY26" s="74">
        <v>0</v>
      </c>
      <c r="CZ26" s="74">
        <v>0</v>
      </c>
      <c r="DA26" s="74">
        <v>0</v>
      </c>
      <c r="DB26" s="74">
        <v>0</v>
      </c>
      <c r="DC26" s="74">
        <v>0</v>
      </c>
      <c r="DD26" s="74">
        <v>0</v>
      </c>
      <c r="DE26" s="74">
        <v>0</v>
      </c>
      <c r="DF26" s="74">
        <v>0</v>
      </c>
      <c r="DG26" s="74">
        <v>0</v>
      </c>
      <c r="DH26" s="74">
        <v>0</v>
      </c>
      <c r="DI26" s="74">
        <v>0</v>
      </c>
      <c r="DJ26" s="74">
        <v>0</v>
      </c>
      <c r="DK26" s="74">
        <v>0</v>
      </c>
      <c r="DL26" s="74">
        <v>0</v>
      </c>
      <c r="DM26" s="74">
        <v>0</v>
      </c>
      <c r="DN26" s="74">
        <v>0</v>
      </c>
      <c r="DO26" s="74">
        <v>0</v>
      </c>
      <c r="DP26" s="74">
        <v>0</v>
      </c>
      <c r="DQ26" s="74">
        <v>0</v>
      </c>
      <c r="DR26" s="74">
        <v>0</v>
      </c>
      <c r="DS26" s="74">
        <v>0</v>
      </c>
      <c r="DT26" s="74">
        <v>0</v>
      </c>
      <c r="DU26" s="74">
        <v>0</v>
      </c>
      <c r="DV26" s="74">
        <v>0</v>
      </c>
      <c r="DW26" s="74">
        <v>0</v>
      </c>
      <c r="DX26" s="74">
        <v>0</v>
      </c>
      <c r="DY26" s="74">
        <v>0</v>
      </c>
      <c r="DZ26" s="74">
        <v>0</v>
      </c>
      <c r="EA26" s="74">
        <v>0</v>
      </c>
      <c r="EB26" s="74">
        <v>0</v>
      </c>
      <c r="EC26" s="74">
        <v>0</v>
      </c>
      <c r="ED26" s="74"/>
      <c r="EE26" s="80">
        <v>46147</v>
      </c>
      <c r="EF26" s="81">
        <v>46147.490582986109</v>
      </c>
      <c r="EG26" s="66" t="s">
        <v>71</v>
      </c>
      <c r="EH26" s="66" t="s">
        <v>209</v>
      </c>
      <c r="EI26" s="66" t="s">
        <v>6</v>
      </c>
      <c r="EJ26" s="66">
        <v>12</v>
      </c>
      <c r="EK26" s="66">
        <v>2027</v>
      </c>
      <c r="EL26" s="66" t="s">
        <v>24</v>
      </c>
      <c r="EM26" s="82">
        <v>290.68389790090976</v>
      </c>
      <c r="EN26" s="82">
        <v>257.5814628146079</v>
      </c>
      <c r="EO26" s="77">
        <v>273.51499999999999</v>
      </c>
      <c r="EP26" s="84">
        <v>0.20185877210205863</v>
      </c>
      <c r="EQ26" s="84">
        <v>0.20646392611324274</v>
      </c>
      <c r="ER26" s="84">
        <v>3.7812199999999997E-2</v>
      </c>
      <c r="ES26" s="85">
        <v>0.97269429659977535</v>
      </c>
      <c r="ET26" s="86">
        <v>1.4621999999999999</v>
      </c>
      <c r="EU26" s="85">
        <v>0.15269873395245903</v>
      </c>
      <c r="EV26" s="85">
        <v>3.6374216079711912E-2</v>
      </c>
      <c r="EW26" s="76">
        <v>3</v>
      </c>
      <c r="EX26" s="76" t="s">
        <v>32</v>
      </c>
      <c r="EY26" s="74" t="s">
        <v>243</v>
      </c>
      <c r="EZ26" s="74"/>
      <c r="FA26" s="74"/>
      <c r="FB26" s="74"/>
      <c r="FC26" s="74"/>
      <c r="FD26" s="68"/>
      <c r="FH26" s="73"/>
      <c r="FI26" s="74"/>
      <c r="FJ26" s="74"/>
      <c r="FK26" s="74"/>
      <c r="FL26" s="74"/>
      <c r="FM26" s="74"/>
      <c r="FN26" s="74"/>
      <c r="FO26" s="74"/>
      <c r="FP26" s="74"/>
      <c r="FQ26" s="74"/>
      <c r="FR26" s="74"/>
      <c r="FS26" s="74"/>
      <c r="FT26" s="74"/>
      <c r="FU26" s="74"/>
      <c r="FV26" s="74"/>
      <c r="FW26" s="74"/>
      <c r="FX26" s="74"/>
      <c r="FY26" s="74"/>
      <c r="FZ26" s="74"/>
      <c r="GA26" s="68"/>
    </row>
    <row r="27" spans="1:183" s="2" customFormat="1" ht="15" x14ac:dyDescent="0.3">
      <c r="A27" s="73" t="s">
        <v>181</v>
      </c>
      <c r="B27" s="73" t="s">
        <v>193</v>
      </c>
      <c r="C27" s="73" t="s">
        <v>193</v>
      </c>
      <c r="D27" s="73" t="s">
        <v>48</v>
      </c>
      <c r="E27" s="73" t="s">
        <v>178</v>
      </c>
      <c r="F27" s="73" t="s">
        <v>210</v>
      </c>
      <c r="G27" s="73" t="s">
        <v>227</v>
      </c>
      <c r="H27" s="73"/>
      <c r="I27" s="74">
        <v>0</v>
      </c>
      <c r="J27" s="74">
        <v>0</v>
      </c>
      <c r="K27" s="74">
        <v>0</v>
      </c>
      <c r="L27" s="74">
        <v>0</v>
      </c>
      <c r="M27" s="74">
        <v>14315.884957038757</v>
      </c>
      <c r="N27" s="74">
        <v>19091.653279999999</v>
      </c>
      <c r="O27" s="74">
        <v>37926.174300000006</v>
      </c>
      <c r="P27" s="74">
        <v>47692.529850000006</v>
      </c>
      <c r="Q27" s="74">
        <v>55296.629300000001</v>
      </c>
      <c r="R27" s="74">
        <v>62083.179137999992</v>
      </c>
      <c r="S27" s="74">
        <v>63982.522333304616</v>
      </c>
      <c r="T27" s="74">
        <v>74274.82587074372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  <c r="Z27" s="74">
        <v>0</v>
      </c>
      <c r="AA27" s="74">
        <v>0</v>
      </c>
      <c r="AB27" s="74">
        <v>0</v>
      </c>
      <c r="AC27" s="74">
        <v>0</v>
      </c>
      <c r="AD27" s="74">
        <v>0</v>
      </c>
      <c r="AE27" s="74">
        <v>0</v>
      </c>
      <c r="AF27" s="74">
        <v>0</v>
      </c>
      <c r="AG27" s="74">
        <v>0</v>
      </c>
      <c r="AH27" s="74">
        <v>0</v>
      </c>
      <c r="AI27" s="74">
        <v>0</v>
      </c>
      <c r="AJ27" s="74">
        <v>0</v>
      </c>
      <c r="AK27" s="74"/>
      <c r="AL27" s="74">
        <v>1063.1928787024451</v>
      </c>
      <c r="AM27" s="74">
        <v>1839.3190783363132</v>
      </c>
      <c r="AN27" s="74">
        <v>-1507.8109999999997</v>
      </c>
      <c r="AO27" s="74">
        <v>-461.21600000000007</v>
      </c>
      <c r="AP27" s="74">
        <v>-1551.0656000000004</v>
      </c>
      <c r="AQ27" s="74">
        <v>-833.6160000000001</v>
      </c>
      <c r="AR27" s="74">
        <v>3090.6456000000003</v>
      </c>
      <c r="AS27" s="74">
        <v>3973.5292800000002</v>
      </c>
      <c r="AT27" s="74">
        <v>5166.4031999999997</v>
      </c>
      <c r="AU27" s="74">
        <v>5497.5636000000004</v>
      </c>
      <c r="AV27" s="74">
        <v>5317.1635000000006</v>
      </c>
      <c r="AW27" s="74">
        <v>6963.924</v>
      </c>
      <c r="AX27" s="74">
        <v>6005.0165500000012</v>
      </c>
      <c r="AY27" s="74">
        <v>5888.1581999999999</v>
      </c>
      <c r="AZ27" s="74">
        <v>8407.2560000000012</v>
      </c>
      <c r="BA27" s="74">
        <v>10905.539100000002</v>
      </c>
      <c r="BB27" s="74">
        <v>7217.3199000000013</v>
      </c>
      <c r="BC27" s="74">
        <v>8160.5454000000009</v>
      </c>
      <c r="BD27" s="74">
        <v>7459.9434000000001</v>
      </c>
      <c r="BE27" s="74">
        <v>11882.260500000002</v>
      </c>
      <c r="BF27" s="74">
        <v>7185.8669999999993</v>
      </c>
      <c r="BG27" s="74">
        <v>8043.9661799999994</v>
      </c>
      <c r="BH27" s="74">
        <v>7919.0168400000002</v>
      </c>
      <c r="BI27" s="74">
        <v>9645.5996999999988</v>
      </c>
      <c r="BJ27" s="74">
        <v>7950.8982358125022</v>
      </c>
      <c r="BK27" s="74">
        <v>8878.0850867525387</v>
      </c>
      <c r="BL27" s="74">
        <v>8747.481371306656</v>
      </c>
      <c r="BM27" s="74">
        <v>10689.731275329683</v>
      </c>
      <c r="BN27" s="74">
        <v>8797.377234541962</v>
      </c>
      <c r="BO27" s="74">
        <v>9798.6979362981147</v>
      </c>
      <c r="BP27" s="74">
        <v>9662.6174545875801</v>
      </c>
      <c r="BQ27" s="74">
        <v>11846.889596585848</v>
      </c>
      <c r="BR27" s="74">
        <v>0</v>
      </c>
      <c r="BS27" s="74">
        <v>0</v>
      </c>
      <c r="BT27" s="74">
        <v>0</v>
      </c>
      <c r="BU27" s="74">
        <v>0</v>
      </c>
      <c r="BV27" s="74">
        <v>0</v>
      </c>
      <c r="BW27" s="74">
        <v>0</v>
      </c>
      <c r="BX27" s="74">
        <v>0</v>
      </c>
      <c r="BY27" s="74">
        <v>0</v>
      </c>
      <c r="BZ27" s="74">
        <v>0</v>
      </c>
      <c r="CA27" s="74">
        <v>0</v>
      </c>
      <c r="CB27" s="74">
        <v>0</v>
      </c>
      <c r="CC27" s="74">
        <v>0</v>
      </c>
      <c r="CD27" s="74">
        <v>0</v>
      </c>
      <c r="CE27" s="74">
        <v>0</v>
      </c>
      <c r="CF27" s="74">
        <v>0</v>
      </c>
      <c r="CG27" s="74">
        <v>0</v>
      </c>
      <c r="CH27" s="74">
        <v>0</v>
      </c>
      <c r="CI27" s="74">
        <v>0</v>
      </c>
      <c r="CJ27" s="74">
        <v>0</v>
      </c>
      <c r="CK27" s="74">
        <v>0</v>
      </c>
      <c r="CL27" s="74">
        <v>0</v>
      </c>
      <c r="CM27" s="74">
        <v>0</v>
      </c>
      <c r="CN27" s="74">
        <v>0</v>
      </c>
      <c r="CO27" s="74">
        <v>0</v>
      </c>
      <c r="CP27" s="74">
        <v>0</v>
      </c>
      <c r="CQ27" s="74">
        <v>0</v>
      </c>
      <c r="CR27" s="74">
        <v>0</v>
      </c>
      <c r="CS27" s="74">
        <v>0</v>
      </c>
      <c r="CT27" s="74">
        <v>0</v>
      </c>
      <c r="CU27" s="74">
        <v>0</v>
      </c>
      <c r="CV27" s="74">
        <v>0</v>
      </c>
      <c r="CW27" s="74">
        <v>0</v>
      </c>
      <c r="CX27" s="74">
        <v>0</v>
      </c>
      <c r="CY27" s="74">
        <v>0</v>
      </c>
      <c r="CZ27" s="74">
        <v>0</v>
      </c>
      <c r="DA27" s="74">
        <v>0</v>
      </c>
      <c r="DB27" s="74">
        <v>0</v>
      </c>
      <c r="DC27" s="74">
        <v>0</v>
      </c>
      <c r="DD27" s="74">
        <v>0</v>
      </c>
      <c r="DE27" s="74">
        <v>0</v>
      </c>
      <c r="DF27" s="74">
        <v>0</v>
      </c>
      <c r="DG27" s="74">
        <v>0</v>
      </c>
      <c r="DH27" s="74">
        <v>0</v>
      </c>
      <c r="DI27" s="74">
        <v>0</v>
      </c>
      <c r="DJ27" s="74">
        <v>0</v>
      </c>
      <c r="DK27" s="74">
        <v>0</v>
      </c>
      <c r="DL27" s="74">
        <v>0</v>
      </c>
      <c r="DM27" s="74">
        <v>0</v>
      </c>
      <c r="DN27" s="74">
        <v>0</v>
      </c>
      <c r="DO27" s="74">
        <v>0</v>
      </c>
      <c r="DP27" s="74">
        <v>0</v>
      </c>
      <c r="DQ27" s="74">
        <v>0</v>
      </c>
      <c r="DR27" s="74">
        <v>0</v>
      </c>
      <c r="DS27" s="74">
        <v>0</v>
      </c>
      <c r="DT27" s="74">
        <v>0</v>
      </c>
      <c r="DU27" s="74">
        <v>0</v>
      </c>
      <c r="DV27" s="74">
        <v>0</v>
      </c>
      <c r="DW27" s="74">
        <v>0</v>
      </c>
      <c r="DX27" s="74">
        <v>0</v>
      </c>
      <c r="DY27" s="74">
        <v>0</v>
      </c>
      <c r="DZ27" s="74">
        <v>0</v>
      </c>
      <c r="EA27" s="74">
        <v>0</v>
      </c>
      <c r="EB27" s="74">
        <v>0</v>
      </c>
      <c r="EC27" s="74">
        <v>0</v>
      </c>
      <c r="ED27" s="74"/>
      <c r="EE27" s="80">
        <v>46147</v>
      </c>
      <c r="EF27" s="81">
        <v>46147.490582986109</v>
      </c>
      <c r="EG27" s="66" t="s">
        <v>71</v>
      </c>
      <c r="EH27" s="66" t="s">
        <v>209</v>
      </c>
      <c r="EI27" s="66" t="s">
        <v>6</v>
      </c>
      <c r="EJ27" s="66">
        <v>12</v>
      </c>
      <c r="EK27" s="66">
        <v>2027</v>
      </c>
      <c r="EL27" s="66" t="s">
        <v>24</v>
      </c>
      <c r="EM27" s="82">
        <v>290.68389790090976</v>
      </c>
      <c r="EN27" s="82">
        <v>257.5814628146079</v>
      </c>
      <c r="EO27" s="77">
        <v>273.51499999999999</v>
      </c>
      <c r="EP27" s="84">
        <v>0.20185877210205863</v>
      </c>
      <c r="EQ27" s="84">
        <v>0.20646392611324274</v>
      </c>
      <c r="ER27" s="84">
        <v>3.7812199999999997E-2</v>
      </c>
      <c r="ES27" s="85">
        <v>0.97269429659977535</v>
      </c>
      <c r="ET27" s="86">
        <v>1.4621999999999999</v>
      </c>
      <c r="EU27" s="85">
        <v>0.15269873395245903</v>
      </c>
      <c r="EV27" s="85">
        <v>3.6374216079711912E-2</v>
      </c>
      <c r="EW27" s="76">
        <v>3</v>
      </c>
      <c r="EX27" s="76" t="s">
        <v>32</v>
      </c>
      <c r="EY27" s="74" t="s">
        <v>243</v>
      </c>
      <c r="EZ27" s="74"/>
      <c r="FA27" s="74"/>
      <c r="FB27" s="74"/>
      <c r="FC27" s="74"/>
      <c r="FD27" s="68"/>
      <c r="FH27" s="73"/>
      <c r="FI27" s="74"/>
      <c r="FJ27" s="74"/>
      <c r="FK27" s="74"/>
      <c r="FL27" s="74"/>
      <c r="FM27" s="74"/>
      <c r="FN27" s="74"/>
      <c r="FO27" s="74"/>
      <c r="FP27" s="74"/>
      <c r="FQ27" s="74"/>
      <c r="FR27" s="74"/>
      <c r="FS27" s="74"/>
      <c r="FT27" s="74"/>
      <c r="FU27" s="74"/>
      <c r="FV27" s="74"/>
      <c r="FW27" s="74"/>
      <c r="FX27" s="74"/>
      <c r="FY27" s="74"/>
      <c r="FZ27" s="74"/>
      <c r="GA27" s="68"/>
    </row>
    <row r="28" spans="1:183" s="2" customFormat="1" ht="15" x14ac:dyDescent="0.3">
      <c r="A28" s="73" t="s">
        <v>182</v>
      </c>
      <c r="B28" s="73" t="s">
        <v>195</v>
      </c>
      <c r="C28" s="73" t="s">
        <v>195</v>
      </c>
      <c r="D28" s="73" t="s">
        <v>48</v>
      </c>
      <c r="E28" s="73" t="s">
        <v>178</v>
      </c>
      <c r="F28" s="73" t="s">
        <v>210</v>
      </c>
      <c r="G28" s="73" t="s">
        <v>227</v>
      </c>
      <c r="H28" s="73"/>
      <c r="I28" s="74">
        <v>0</v>
      </c>
      <c r="J28" s="74">
        <v>0</v>
      </c>
      <c r="K28" s="74">
        <v>0</v>
      </c>
      <c r="L28" s="74">
        <v>0</v>
      </c>
      <c r="M28" s="74">
        <v>-2734.8293518291293</v>
      </c>
      <c r="N28" s="74">
        <v>150.92920000000049</v>
      </c>
      <c r="O28" s="74">
        <v>8094.6197000000011</v>
      </c>
      <c r="P28" s="74">
        <v>10619.66705</v>
      </c>
      <c r="Q28" s="74">
        <v>12536.2289</v>
      </c>
      <c r="R28" s="74">
        <v>15165.553289416672</v>
      </c>
      <c r="S28" s="74">
        <v>17104.524448012602</v>
      </c>
      <c r="T28" s="74">
        <v>21242.35419535706</v>
      </c>
      <c r="U28" s="74">
        <v>0</v>
      </c>
      <c r="V28" s="74">
        <v>0</v>
      </c>
      <c r="W28" s="74">
        <v>0</v>
      </c>
      <c r="X28" s="74">
        <v>0</v>
      </c>
      <c r="Y28" s="74">
        <v>0</v>
      </c>
      <c r="Z28" s="74">
        <v>0</v>
      </c>
      <c r="AA28" s="74">
        <v>0</v>
      </c>
      <c r="AB28" s="74">
        <v>0</v>
      </c>
      <c r="AC28" s="74">
        <v>0</v>
      </c>
      <c r="AD28" s="74">
        <v>0</v>
      </c>
      <c r="AE28" s="74">
        <v>0</v>
      </c>
      <c r="AF28" s="74">
        <v>0</v>
      </c>
      <c r="AG28" s="74">
        <v>0</v>
      </c>
      <c r="AH28" s="74">
        <v>0</v>
      </c>
      <c r="AI28" s="74">
        <v>0</v>
      </c>
      <c r="AJ28" s="74">
        <v>0</v>
      </c>
      <c r="AK28" s="74"/>
      <c r="AL28" s="74">
        <v>-561.37574877648774</v>
      </c>
      <c r="AM28" s="74">
        <v>-797.96840305264084</v>
      </c>
      <c r="AN28" s="74">
        <v>-3205.9500000000007</v>
      </c>
      <c r="AO28" s="74">
        <v>-2295.9552000000003</v>
      </c>
      <c r="AP28" s="74">
        <v>-1509.8475000000001</v>
      </c>
      <c r="AQ28" s="74">
        <v>-1420.9125000000001</v>
      </c>
      <c r="AR28" s="74">
        <v>-609.84</v>
      </c>
      <c r="AS28" s="74">
        <v>-744.4008</v>
      </c>
      <c r="AT28" s="74">
        <v>-334.91449999999998</v>
      </c>
      <c r="AU28" s="74">
        <v>1330.4256000000003</v>
      </c>
      <c r="AV28" s="74">
        <v>700.58660000000009</v>
      </c>
      <c r="AW28" s="74">
        <v>1770.6920000000002</v>
      </c>
      <c r="AX28" s="74">
        <v>1005.9525</v>
      </c>
      <c r="AY28" s="74">
        <v>862.81675000000018</v>
      </c>
      <c r="AZ28" s="74">
        <v>1636.4928000000002</v>
      </c>
      <c r="BA28" s="74">
        <v>2246.9849999999997</v>
      </c>
      <c r="BB28" s="74">
        <v>1581.8136</v>
      </c>
      <c r="BC28" s="74">
        <v>1518.2293</v>
      </c>
      <c r="BD28" s="74">
        <v>1709.4528000000003</v>
      </c>
      <c r="BE28" s="74">
        <v>2064.4668000000001</v>
      </c>
      <c r="BF28" s="74">
        <v>2387.3399999999997</v>
      </c>
      <c r="BG28" s="74">
        <v>2602.6787999999997</v>
      </c>
      <c r="BH28" s="74">
        <v>2699.1360000000004</v>
      </c>
      <c r="BI28" s="74">
        <v>3347.7839999999997</v>
      </c>
      <c r="BJ28" s="74">
        <v>2649.0485191497805</v>
      </c>
      <c r="BK28" s="74">
        <v>2882.35190846662</v>
      </c>
      <c r="BL28" s="74">
        <v>3072.7033677801282</v>
      </c>
      <c r="BM28" s="74">
        <v>3808.1224152908544</v>
      </c>
      <c r="BN28" s="74">
        <v>2939.4464369589768</v>
      </c>
      <c r="BO28" s="74">
        <v>3192.0775334402256</v>
      </c>
      <c r="BP28" s="74">
        <v>3497.9734205195064</v>
      </c>
      <c r="BQ28" s="74">
        <v>4331.7598536347177</v>
      </c>
      <c r="BR28" s="74">
        <v>0</v>
      </c>
      <c r="BS28" s="74">
        <v>0</v>
      </c>
      <c r="BT28" s="74">
        <v>0</v>
      </c>
      <c r="BU28" s="74">
        <v>0</v>
      </c>
      <c r="BV28" s="74">
        <v>0</v>
      </c>
      <c r="BW28" s="74">
        <v>0</v>
      </c>
      <c r="BX28" s="74">
        <v>0</v>
      </c>
      <c r="BY28" s="74">
        <v>0</v>
      </c>
      <c r="BZ28" s="74">
        <v>0</v>
      </c>
      <c r="CA28" s="74">
        <v>0</v>
      </c>
      <c r="CB28" s="74">
        <v>0</v>
      </c>
      <c r="CC28" s="74">
        <v>0</v>
      </c>
      <c r="CD28" s="74">
        <v>0</v>
      </c>
      <c r="CE28" s="74">
        <v>0</v>
      </c>
      <c r="CF28" s="74">
        <v>0</v>
      </c>
      <c r="CG28" s="74">
        <v>0</v>
      </c>
      <c r="CH28" s="74">
        <v>0</v>
      </c>
      <c r="CI28" s="74">
        <v>0</v>
      </c>
      <c r="CJ28" s="74">
        <v>0</v>
      </c>
      <c r="CK28" s="74">
        <v>0</v>
      </c>
      <c r="CL28" s="74">
        <v>0</v>
      </c>
      <c r="CM28" s="74">
        <v>0</v>
      </c>
      <c r="CN28" s="74">
        <v>0</v>
      </c>
      <c r="CO28" s="74">
        <v>0</v>
      </c>
      <c r="CP28" s="74">
        <v>0</v>
      </c>
      <c r="CQ28" s="74">
        <v>0</v>
      </c>
      <c r="CR28" s="74">
        <v>0</v>
      </c>
      <c r="CS28" s="74">
        <v>0</v>
      </c>
      <c r="CT28" s="74">
        <v>0</v>
      </c>
      <c r="CU28" s="74">
        <v>0</v>
      </c>
      <c r="CV28" s="74">
        <v>0</v>
      </c>
      <c r="CW28" s="74">
        <v>0</v>
      </c>
      <c r="CX28" s="74">
        <v>0</v>
      </c>
      <c r="CY28" s="74">
        <v>0</v>
      </c>
      <c r="CZ28" s="74">
        <v>0</v>
      </c>
      <c r="DA28" s="74">
        <v>0</v>
      </c>
      <c r="DB28" s="74">
        <v>0</v>
      </c>
      <c r="DC28" s="74">
        <v>0</v>
      </c>
      <c r="DD28" s="74">
        <v>0</v>
      </c>
      <c r="DE28" s="74">
        <v>0</v>
      </c>
      <c r="DF28" s="74">
        <v>0</v>
      </c>
      <c r="DG28" s="74">
        <v>0</v>
      </c>
      <c r="DH28" s="74">
        <v>0</v>
      </c>
      <c r="DI28" s="74">
        <v>0</v>
      </c>
      <c r="DJ28" s="74">
        <v>0</v>
      </c>
      <c r="DK28" s="74">
        <v>0</v>
      </c>
      <c r="DL28" s="74">
        <v>0</v>
      </c>
      <c r="DM28" s="74">
        <v>0</v>
      </c>
      <c r="DN28" s="74">
        <v>0</v>
      </c>
      <c r="DO28" s="74">
        <v>0</v>
      </c>
      <c r="DP28" s="74">
        <v>0</v>
      </c>
      <c r="DQ28" s="74">
        <v>0</v>
      </c>
      <c r="DR28" s="74">
        <v>0</v>
      </c>
      <c r="DS28" s="74">
        <v>0</v>
      </c>
      <c r="DT28" s="74">
        <v>0</v>
      </c>
      <c r="DU28" s="74">
        <v>0</v>
      </c>
      <c r="DV28" s="74">
        <v>0</v>
      </c>
      <c r="DW28" s="74">
        <v>0</v>
      </c>
      <c r="DX28" s="74">
        <v>0</v>
      </c>
      <c r="DY28" s="74">
        <v>0</v>
      </c>
      <c r="DZ28" s="74">
        <v>0</v>
      </c>
      <c r="EA28" s="74">
        <v>0</v>
      </c>
      <c r="EB28" s="74">
        <v>0</v>
      </c>
      <c r="EC28" s="74">
        <v>0</v>
      </c>
      <c r="ED28" s="74"/>
      <c r="EE28" s="80">
        <v>46147</v>
      </c>
      <c r="EF28" s="81">
        <v>46147.490582986109</v>
      </c>
      <c r="EG28" s="66" t="s">
        <v>71</v>
      </c>
      <c r="EH28" s="66" t="s">
        <v>209</v>
      </c>
      <c r="EI28" s="66" t="s">
        <v>6</v>
      </c>
      <c r="EJ28" s="66">
        <v>12</v>
      </c>
      <c r="EK28" s="66">
        <v>2027</v>
      </c>
      <c r="EL28" s="66" t="s">
        <v>24</v>
      </c>
      <c r="EM28" s="82">
        <v>290.68389790090976</v>
      </c>
      <c r="EN28" s="82">
        <v>257.5814628146079</v>
      </c>
      <c r="EO28" s="77">
        <v>273.51499999999999</v>
      </c>
      <c r="EP28" s="84">
        <v>0.20185877210205863</v>
      </c>
      <c r="EQ28" s="84">
        <v>0.20646392611324274</v>
      </c>
      <c r="ER28" s="84">
        <v>3.7812199999999997E-2</v>
      </c>
      <c r="ES28" s="85">
        <v>0.97269429659977535</v>
      </c>
      <c r="ET28" s="86">
        <v>1.4621999999999999</v>
      </c>
      <c r="EU28" s="85">
        <v>0.15269873395245903</v>
      </c>
      <c r="EV28" s="85">
        <v>3.6374216079711912E-2</v>
      </c>
      <c r="EW28" s="76">
        <v>3</v>
      </c>
      <c r="EX28" s="76" t="s">
        <v>32</v>
      </c>
      <c r="EY28" s="74" t="s">
        <v>243</v>
      </c>
      <c r="EZ28" s="74"/>
      <c r="FA28" s="74"/>
      <c r="FB28" s="74"/>
      <c r="FC28" s="74"/>
      <c r="FD28" s="68"/>
      <c r="FH28" s="73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68"/>
    </row>
    <row r="29" spans="1:183" s="2" customFormat="1" ht="15" x14ac:dyDescent="0.3">
      <c r="A29" s="73" t="s">
        <v>183</v>
      </c>
      <c r="B29" s="73" t="s">
        <v>194</v>
      </c>
      <c r="C29" s="73" t="s">
        <v>194</v>
      </c>
      <c r="D29" s="73" t="s">
        <v>48</v>
      </c>
      <c r="E29" s="73" t="s">
        <v>178</v>
      </c>
      <c r="F29" s="73" t="s">
        <v>210</v>
      </c>
      <c r="G29" s="73" t="s">
        <v>227</v>
      </c>
      <c r="H29" s="73"/>
      <c r="I29" s="74">
        <v>0</v>
      </c>
      <c r="J29" s="74">
        <v>0</v>
      </c>
      <c r="K29" s="74">
        <v>0</v>
      </c>
      <c r="L29" s="74">
        <v>0</v>
      </c>
      <c r="M29" s="74">
        <v>30848.619525331884</v>
      </c>
      <c r="N29" s="74">
        <v>34219.872499999998</v>
      </c>
      <c r="O29" s="74">
        <v>49584.682400000005</v>
      </c>
      <c r="P29" s="74">
        <v>65793.542950000003</v>
      </c>
      <c r="Q29" s="74">
        <v>101212.28354999999</v>
      </c>
      <c r="R29" s="74">
        <v>142466.46098495991</v>
      </c>
      <c r="S29" s="74">
        <v>166247.20900851674</v>
      </c>
      <c r="T29" s="74">
        <v>213990.0768258454</v>
      </c>
      <c r="U29" s="74">
        <v>0</v>
      </c>
      <c r="V29" s="74">
        <v>0</v>
      </c>
      <c r="W29" s="74">
        <v>0</v>
      </c>
      <c r="X29" s="74">
        <v>0</v>
      </c>
      <c r="Y29" s="74">
        <v>0</v>
      </c>
      <c r="Z29" s="74">
        <v>0</v>
      </c>
      <c r="AA29" s="74">
        <v>0</v>
      </c>
      <c r="AB29" s="74">
        <v>0</v>
      </c>
      <c r="AC29" s="74">
        <v>0</v>
      </c>
      <c r="AD29" s="74">
        <v>0</v>
      </c>
      <c r="AE29" s="74">
        <v>0</v>
      </c>
      <c r="AF29" s="74">
        <v>0</v>
      </c>
      <c r="AG29" s="74">
        <v>0</v>
      </c>
      <c r="AH29" s="74">
        <v>0</v>
      </c>
      <c r="AI29" s="74">
        <v>0</v>
      </c>
      <c r="AJ29" s="74">
        <v>0</v>
      </c>
      <c r="AK29" s="74"/>
      <c r="AL29" s="74">
        <v>5542.7404091038325</v>
      </c>
      <c r="AM29" s="74">
        <v>5109.2801396485584</v>
      </c>
      <c r="AN29" s="74">
        <v>6297.678976579492</v>
      </c>
      <c r="AO29" s="74">
        <v>5422.9</v>
      </c>
      <c r="AP29" s="74">
        <v>5089.7159999999994</v>
      </c>
      <c r="AQ29" s="74">
        <v>5674.9624999999996</v>
      </c>
      <c r="AR29" s="74">
        <v>5699.2950000000001</v>
      </c>
      <c r="AS29" s="74">
        <v>5932.3950000000004</v>
      </c>
      <c r="AT29" s="74">
        <v>7239.0059999999985</v>
      </c>
      <c r="AU29" s="74">
        <v>8581.4640000000018</v>
      </c>
      <c r="AV29" s="74">
        <v>8937.6684000000005</v>
      </c>
      <c r="AW29" s="74">
        <v>10577.147999999999</v>
      </c>
      <c r="AX29" s="74">
        <v>10600.665799999999</v>
      </c>
      <c r="AY29" s="74">
        <v>10426.986749999998</v>
      </c>
      <c r="AZ29" s="74">
        <v>10780.4004</v>
      </c>
      <c r="BA29" s="74">
        <v>12291.621999999999</v>
      </c>
      <c r="BB29" s="74">
        <v>12621.393749999999</v>
      </c>
      <c r="BC29" s="74">
        <v>14138.290349999999</v>
      </c>
      <c r="BD29" s="74">
        <v>15090.343200000001</v>
      </c>
      <c r="BE29" s="74">
        <v>16010.55</v>
      </c>
      <c r="BF29" s="74">
        <v>14095.125</v>
      </c>
      <c r="BG29" s="74">
        <v>14934.813749999998</v>
      </c>
      <c r="BH29" s="74">
        <v>15719.1075</v>
      </c>
      <c r="BI29" s="74">
        <v>16677.65625</v>
      </c>
      <c r="BJ29" s="74">
        <v>17618.90625</v>
      </c>
      <c r="BK29" s="74">
        <v>18668.517187499998</v>
      </c>
      <c r="BL29" s="74">
        <v>19648.884374999998</v>
      </c>
      <c r="BM29" s="74">
        <v>20847.0703125</v>
      </c>
      <c r="BN29" s="74">
        <v>22023.6328125</v>
      </c>
      <c r="BO29" s="74">
        <v>23335.646484374996</v>
      </c>
      <c r="BP29" s="74">
        <v>24561.10546875</v>
      </c>
      <c r="BQ29" s="74">
        <v>26058.837890625</v>
      </c>
      <c r="BR29" s="74">
        <v>0</v>
      </c>
      <c r="BS29" s="74">
        <v>0</v>
      </c>
      <c r="BT29" s="74">
        <v>0</v>
      </c>
      <c r="BU29" s="74">
        <v>0</v>
      </c>
      <c r="BV29" s="74">
        <v>0</v>
      </c>
      <c r="BW29" s="74">
        <v>0</v>
      </c>
      <c r="BX29" s="74">
        <v>0</v>
      </c>
      <c r="BY29" s="74">
        <v>0</v>
      </c>
      <c r="BZ29" s="74">
        <v>0</v>
      </c>
      <c r="CA29" s="74">
        <v>0</v>
      </c>
      <c r="CB29" s="74">
        <v>0</v>
      </c>
      <c r="CC29" s="74">
        <v>0</v>
      </c>
      <c r="CD29" s="74">
        <v>0</v>
      </c>
      <c r="CE29" s="74">
        <v>0</v>
      </c>
      <c r="CF29" s="74">
        <v>0</v>
      </c>
      <c r="CG29" s="74">
        <v>0</v>
      </c>
      <c r="CH29" s="74">
        <v>0</v>
      </c>
      <c r="CI29" s="74">
        <v>0</v>
      </c>
      <c r="CJ29" s="74">
        <v>0</v>
      </c>
      <c r="CK29" s="74">
        <v>0</v>
      </c>
      <c r="CL29" s="74">
        <v>0</v>
      </c>
      <c r="CM29" s="74">
        <v>0</v>
      </c>
      <c r="CN29" s="74">
        <v>0</v>
      </c>
      <c r="CO29" s="74">
        <v>0</v>
      </c>
      <c r="CP29" s="74">
        <v>0</v>
      </c>
      <c r="CQ29" s="74">
        <v>0</v>
      </c>
      <c r="CR29" s="74">
        <v>0</v>
      </c>
      <c r="CS29" s="74">
        <v>0</v>
      </c>
      <c r="CT29" s="74">
        <v>0</v>
      </c>
      <c r="CU29" s="74">
        <v>0</v>
      </c>
      <c r="CV29" s="74">
        <v>0</v>
      </c>
      <c r="CW29" s="74">
        <v>0</v>
      </c>
      <c r="CX29" s="74">
        <v>0</v>
      </c>
      <c r="CY29" s="74">
        <v>0</v>
      </c>
      <c r="CZ29" s="74">
        <v>0</v>
      </c>
      <c r="DA29" s="74">
        <v>0</v>
      </c>
      <c r="DB29" s="74">
        <v>0</v>
      </c>
      <c r="DC29" s="74">
        <v>0</v>
      </c>
      <c r="DD29" s="74">
        <v>0</v>
      </c>
      <c r="DE29" s="74">
        <v>0</v>
      </c>
      <c r="DF29" s="74">
        <v>0</v>
      </c>
      <c r="DG29" s="74">
        <v>0</v>
      </c>
      <c r="DH29" s="74">
        <v>0</v>
      </c>
      <c r="DI29" s="74">
        <v>0</v>
      </c>
      <c r="DJ29" s="74">
        <v>0</v>
      </c>
      <c r="DK29" s="74">
        <v>0</v>
      </c>
      <c r="DL29" s="74">
        <v>0</v>
      </c>
      <c r="DM29" s="74">
        <v>0</v>
      </c>
      <c r="DN29" s="74">
        <v>0</v>
      </c>
      <c r="DO29" s="74">
        <v>0</v>
      </c>
      <c r="DP29" s="74">
        <v>0</v>
      </c>
      <c r="DQ29" s="74">
        <v>0</v>
      </c>
      <c r="DR29" s="74">
        <v>0</v>
      </c>
      <c r="DS29" s="74">
        <v>0</v>
      </c>
      <c r="DT29" s="74">
        <v>0</v>
      </c>
      <c r="DU29" s="74">
        <v>0</v>
      </c>
      <c r="DV29" s="74">
        <v>0</v>
      </c>
      <c r="DW29" s="74">
        <v>0</v>
      </c>
      <c r="DX29" s="74">
        <v>0</v>
      </c>
      <c r="DY29" s="74">
        <v>0</v>
      </c>
      <c r="DZ29" s="74">
        <v>0</v>
      </c>
      <c r="EA29" s="74">
        <v>0</v>
      </c>
      <c r="EB29" s="74">
        <v>0</v>
      </c>
      <c r="EC29" s="74">
        <v>0</v>
      </c>
      <c r="ED29" s="74"/>
      <c r="EE29" s="80">
        <v>46147</v>
      </c>
      <c r="EF29" s="81">
        <v>46147.490582986109</v>
      </c>
      <c r="EG29" s="66" t="s">
        <v>71</v>
      </c>
      <c r="EH29" s="66" t="s">
        <v>209</v>
      </c>
      <c r="EI29" s="66" t="s">
        <v>6</v>
      </c>
      <c r="EJ29" s="66">
        <v>12</v>
      </c>
      <c r="EK29" s="66">
        <v>2027</v>
      </c>
      <c r="EL29" s="66" t="s">
        <v>24</v>
      </c>
      <c r="EM29" s="82">
        <v>290.68389790090976</v>
      </c>
      <c r="EN29" s="82">
        <v>257.5814628146079</v>
      </c>
      <c r="EO29" s="77">
        <v>273.51499999999999</v>
      </c>
      <c r="EP29" s="84">
        <v>0.20185877210205863</v>
      </c>
      <c r="EQ29" s="84">
        <v>0.20646392611324274</v>
      </c>
      <c r="ER29" s="84">
        <v>3.7812199999999997E-2</v>
      </c>
      <c r="ES29" s="85">
        <v>0.97269429659977535</v>
      </c>
      <c r="ET29" s="86">
        <v>1.4621999999999999</v>
      </c>
      <c r="EU29" s="85">
        <v>0.15269873395245903</v>
      </c>
      <c r="EV29" s="85">
        <v>3.6374216079711912E-2</v>
      </c>
      <c r="EW29" s="76">
        <v>3</v>
      </c>
      <c r="EX29" s="76" t="s">
        <v>32</v>
      </c>
      <c r="EY29" s="74" t="s">
        <v>243</v>
      </c>
      <c r="EZ29" s="74"/>
      <c r="FA29" s="74"/>
      <c r="FB29" s="74"/>
      <c r="FC29" s="74"/>
      <c r="FD29" s="68"/>
      <c r="FH29" s="73"/>
      <c r="FI29" s="74"/>
      <c r="FJ29" s="74"/>
      <c r="FK29" s="74"/>
      <c r="FL29" s="74"/>
      <c r="FM29" s="74"/>
      <c r="FN29" s="74"/>
      <c r="FO29" s="74"/>
      <c r="FP29" s="74"/>
      <c r="FQ29" s="74"/>
      <c r="FR29" s="74"/>
      <c r="FS29" s="74"/>
      <c r="FT29" s="74"/>
      <c r="FU29" s="74"/>
      <c r="FV29" s="74"/>
      <c r="FW29" s="74"/>
      <c r="FX29" s="74"/>
      <c r="FY29" s="74"/>
      <c r="FZ29" s="74"/>
      <c r="GA29" s="68"/>
    </row>
    <row r="30" spans="1:183" s="2" customFormat="1" ht="15" x14ac:dyDescent="0.3">
      <c r="A30" s="73" t="s">
        <v>197</v>
      </c>
      <c r="B30" s="73" t="s">
        <v>204</v>
      </c>
      <c r="C30" s="73" t="s">
        <v>204</v>
      </c>
      <c r="D30" s="73" t="s">
        <v>48</v>
      </c>
      <c r="E30" s="73" t="s">
        <v>178</v>
      </c>
      <c r="F30" s="73" t="s">
        <v>210</v>
      </c>
      <c r="G30" s="73" t="s">
        <v>227</v>
      </c>
      <c r="H30" s="73"/>
      <c r="I30" s="74">
        <v>0</v>
      </c>
      <c r="J30" s="74">
        <v>0</v>
      </c>
      <c r="K30" s="74">
        <v>0</v>
      </c>
      <c r="L30" s="74">
        <v>0</v>
      </c>
      <c r="M30" s="74">
        <v>16940</v>
      </c>
      <c r="N30" s="74">
        <v>19772.75</v>
      </c>
      <c r="O30" s="74">
        <v>21500</v>
      </c>
      <c r="P30" s="74">
        <v>22366</v>
      </c>
      <c r="Q30" s="74">
        <v>13034.75</v>
      </c>
      <c r="R30" s="74">
        <v>26543.996923122337</v>
      </c>
      <c r="S30" s="74">
        <v>20358.998664348986</v>
      </c>
      <c r="T30" s="74">
        <v>15720.295070366174</v>
      </c>
      <c r="U30" s="74">
        <v>0</v>
      </c>
      <c r="V30" s="74">
        <v>0</v>
      </c>
      <c r="W30" s="74">
        <v>0</v>
      </c>
      <c r="X30" s="74">
        <v>0</v>
      </c>
      <c r="Y30" s="74">
        <v>0</v>
      </c>
      <c r="Z30" s="74">
        <v>0</v>
      </c>
      <c r="AA30" s="74">
        <v>0</v>
      </c>
      <c r="AB30" s="74">
        <v>0</v>
      </c>
      <c r="AC30" s="74">
        <v>0</v>
      </c>
      <c r="AD30" s="74">
        <v>0</v>
      </c>
      <c r="AE30" s="74">
        <v>0</v>
      </c>
      <c r="AF30" s="74">
        <v>0</v>
      </c>
      <c r="AG30" s="74">
        <v>0</v>
      </c>
      <c r="AH30" s="74">
        <v>0</v>
      </c>
      <c r="AI30" s="74">
        <v>0</v>
      </c>
      <c r="AJ30" s="74">
        <v>0</v>
      </c>
      <c r="AK30" s="74"/>
      <c r="AL30" s="74">
        <v>0</v>
      </c>
      <c r="AM30" s="74">
        <v>0</v>
      </c>
      <c r="AN30" s="74">
        <v>0</v>
      </c>
      <c r="AO30" s="74">
        <v>0</v>
      </c>
      <c r="AP30" s="74">
        <v>0</v>
      </c>
      <c r="AQ30" s="74">
        <v>0</v>
      </c>
      <c r="AR30" s="74">
        <v>0</v>
      </c>
      <c r="AS30" s="74">
        <v>0</v>
      </c>
      <c r="AT30" s="74">
        <v>0</v>
      </c>
      <c r="AU30" s="74">
        <v>0</v>
      </c>
      <c r="AV30" s="74">
        <v>0</v>
      </c>
      <c r="AW30" s="74">
        <v>0</v>
      </c>
      <c r="AX30" s="74">
        <v>0</v>
      </c>
      <c r="AY30" s="74">
        <v>0</v>
      </c>
      <c r="AZ30" s="74">
        <v>0</v>
      </c>
      <c r="BA30" s="74">
        <v>0</v>
      </c>
      <c r="BB30" s="74">
        <v>0</v>
      </c>
      <c r="BC30" s="74">
        <v>0</v>
      </c>
      <c r="BD30" s="74">
        <v>0</v>
      </c>
      <c r="BE30" s="74">
        <v>0</v>
      </c>
      <c r="BF30" s="74">
        <v>0</v>
      </c>
      <c r="BG30" s="74">
        <v>0</v>
      </c>
      <c r="BH30" s="74">
        <v>0</v>
      </c>
      <c r="BI30" s="74">
        <v>0</v>
      </c>
      <c r="BJ30" s="74">
        <v>0</v>
      </c>
      <c r="BK30" s="74">
        <v>0</v>
      </c>
      <c r="BL30" s="74">
        <v>0</v>
      </c>
      <c r="BM30" s="74">
        <v>0</v>
      </c>
      <c r="BN30" s="74">
        <v>0</v>
      </c>
      <c r="BO30" s="74">
        <v>0</v>
      </c>
      <c r="BP30" s="74">
        <v>0</v>
      </c>
      <c r="BQ30" s="74">
        <v>0</v>
      </c>
      <c r="BR30" s="74">
        <v>0</v>
      </c>
      <c r="BS30" s="74">
        <v>0</v>
      </c>
      <c r="BT30" s="74">
        <v>0</v>
      </c>
      <c r="BU30" s="74">
        <v>0</v>
      </c>
      <c r="BV30" s="74">
        <v>0</v>
      </c>
      <c r="BW30" s="74">
        <v>0</v>
      </c>
      <c r="BX30" s="74">
        <v>0</v>
      </c>
      <c r="BY30" s="74">
        <v>0</v>
      </c>
      <c r="BZ30" s="74">
        <v>0</v>
      </c>
      <c r="CA30" s="74">
        <v>0</v>
      </c>
      <c r="CB30" s="74">
        <v>0</v>
      </c>
      <c r="CC30" s="74">
        <v>0</v>
      </c>
      <c r="CD30" s="74">
        <v>0</v>
      </c>
      <c r="CE30" s="74">
        <v>0</v>
      </c>
      <c r="CF30" s="74">
        <v>0</v>
      </c>
      <c r="CG30" s="74">
        <v>0</v>
      </c>
      <c r="CH30" s="74">
        <v>0</v>
      </c>
      <c r="CI30" s="74">
        <v>0</v>
      </c>
      <c r="CJ30" s="74">
        <v>0</v>
      </c>
      <c r="CK30" s="74">
        <v>0</v>
      </c>
      <c r="CL30" s="74">
        <v>0</v>
      </c>
      <c r="CM30" s="74">
        <v>0</v>
      </c>
      <c r="CN30" s="74">
        <v>0</v>
      </c>
      <c r="CO30" s="74">
        <v>0</v>
      </c>
      <c r="CP30" s="74">
        <v>0</v>
      </c>
      <c r="CQ30" s="74">
        <v>0</v>
      </c>
      <c r="CR30" s="74">
        <v>0</v>
      </c>
      <c r="CS30" s="74">
        <v>0</v>
      </c>
      <c r="CT30" s="74">
        <v>0</v>
      </c>
      <c r="CU30" s="74">
        <v>0</v>
      </c>
      <c r="CV30" s="74">
        <v>0</v>
      </c>
      <c r="CW30" s="74">
        <v>0</v>
      </c>
      <c r="CX30" s="74">
        <v>0</v>
      </c>
      <c r="CY30" s="74">
        <v>0</v>
      </c>
      <c r="CZ30" s="74">
        <v>0</v>
      </c>
      <c r="DA30" s="74">
        <v>0</v>
      </c>
      <c r="DB30" s="74">
        <v>0</v>
      </c>
      <c r="DC30" s="74">
        <v>0</v>
      </c>
      <c r="DD30" s="74">
        <v>0</v>
      </c>
      <c r="DE30" s="74">
        <v>0</v>
      </c>
      <c r="DF30" s="74">
        <v>0</v>
      </c>
      <c r="DG30" s="74">
        <v>0</v>
      </c>
      <c r="DH30" s="74">
        <v>0</v>
      </c>
      <c r="DI30" s="74">
        <v>0</v>
      </c>
      <c r="DJ30" s="74">
        <v>0</v>
      </c>
      <c r="DK30" s="74">
        <v>0</v>
      </c>
      <c r="DL30" s="74">
        <v>0</v>
      </c>
      <c r="DM30" s="74">
        <v>0</v>
      </c>
      <c r="DN30" s="74">
        <v>0</v>
      </c>
      <c r="DO30" s="74">
        <v>0</v>
      </c>
      <c r="DP30" s="74">
        <v>0</v>
      </c>
      <c r="DQ30" s="74">
        <v>0</v>
      </c>
      <c r="DR30" s="74">
        <v>0</v>
      </c>
      <c r="DS30" s="74">
        <v>0</v>
      </c>
      <c r="DT30" s="74">
        <v>0</v>
      </c>
      <c r="DU30" s="74">
        <v>0</v>
      </c>
      <c r="DV30" s="74">
        <v>0</v>
      </c>
      <c r="DW30" s="74">
        <v>0</v>
      </c>
      <c r="DX30" s="74">
        <v>0</v>
      </c>
      <c r="DY30" s="74">
        <v>0</v>
      </c>
      <c r="DZ30" s="74">
        <v>0</v>
      </c>
      <c r="EA30" s="74">
        <v>0</v>
      </c>
      <c r="EB30" s="74">
        <v>0</v>
      </c>
      <c r="EC30" s="74">
        <v>0</v>
      </c>
      <c r="ED30" s="74"/>
      <c r="EE30" s="80">
        <v>46147</v>
      </c>
      <c r="EF30" s="81">
        <v>46147.490582986109</v>
      </c>
      <c r="EG30" s="66" t="s">
        <v>71</v>
      </c>
      <c r="EH30" s="66" t="s">
        <v>209</v>
      </c>
      <c r="EI30" s="66" t="s">
        <v>6</v>
      </c>
      <c r="EJ30" s="66">
        <v>12</v>
      </c>
      <c r="EK30" s="66">
        <v>2027</v>
      </c>
      <c r="EL30" s="66" t="s">
        <v>24</v>
      </c>
      <c r="EM30" s="82">
        <v>290.68389790090976</v>
      </c>
      <c r="EN30" s="82">
        <v>257.5814628146079</v>
      </c>
      <c r="EO30" s="77">
        <v>273.51499999999999</v>
      </c>
      <c r="EP30" s="84">
        <v>0.20185877210205863</v>
      </c>
      <c r="EQ30" s="84">
        <v>0.20646392611324274</v>
      </c>
      <c r="ER30" s="84">
        <v>3.7812199999999997E-2</v>
      </c>
      <c r="ES30" s="85">
        <v>0.97269429659977535</v>
      </c>
      <c r="ET30" s="86">
        <v>1.4621999999999999</v>
      </c>
      <c r="EU30" s="85">
        <v>0.15269873395245903</v>
      </c>
      <c r="EV30" s="85">
        <v>3.6374216079711912E-2</v>
      </c>
      <c r="EW30" s="76">
        <v>3</v>
      </c>
      <c r="EX30" s="76" t="s">
        <v>32</v>
      </c>
      <c r="EY30" s="74" t="s">
        <v>243</v>
      </c>
      <c r="EZ30" s="74"/>
      <c r="FA30" s="74"/>
      <c r="FB30" s="74"/>
      <c r="FC30" s="74"/>
      <c r="FD30" s="68"/>
      <c r="FH30" s="73"/>
      <c r="FI30" s="74"/>
      <c r="FJ30" s="74"/>
      <c r="FK30" s="74"/>
      <c r="FL30" s="74"/>
      <c r="FM30" s="74"/>
      <c r="FN30" s="74"/>
      <c r="FO30" s="74"/>
      <c r="FP30" s="74"/>
      <c r="FQ30" s="74"/>
      <c r="FR30" s="74"/>
      <c r="FS30" s="74"/>
      <c r="FT30" s="74"/>
      <c r="FU30" s="74"/>
      <c r="FV30" s="74"/>
      <c r="FW30" s="74"/>
      <c r="FX30" s="74"/>
      <c r="FY30" s="74"/>
      <c r="FZ30" s="74"/>
      <c r="GA30" s="68"/>
    </row>
    <row r="31" spans="1:183" s="2" customFormat="1" ht="15" x14ac:dyDescent="0.3">
      <c r="A31" s="73" t="s">
        <v>184</v>
      </c>
      <c r="B31" s="73" t="s">
        <v>166</v>
      </c>
      <c r="C31" s="73" t="s">
        <v>166</v>
      </c>
      <c r="D31" s="73" t="s">
        <v>48</v>
      </c>
      <c r="E31" s="73" t="s">
        <v>178</v>
      </c>
      <c r="F31" s="73" t="s">
        <v>210</v>
      </c>
      <c r="G31" s="73" t="s">
        <v>227</v>
      </c>
      <c r="H31" s="73"/>
      <c r="I31" s="74">
        <v>0</v>
      </c>
      <c r="J31" s="74">
        <v>0</v>
      </c>
      <c r="K31" s="74">
        <v>0</v>
      </c>
      <c r="L31" s="74">
        <v>0</v>
      </c>
      <c r="M31" s="74">
        <v>13382.4</v>
      </c>
      <c r="N31" s="74">
        <v>14412.16</v>
      </c>
      <c r="O31" s="74">
        <v>14981.12</v>
      </c>
      <c r="P31" s="74">
        <v>16486.560000000001</v>
      </c>
      <c r="Q31" s="74">
        <v>19526.88</v>
      </c>
      <c r="R31" s="74">
        <v>20448.48645</v>
      </c>
      <c r="S31" s="74">
        <v>22087.612816004625</v>
      </c>
      <c r="T31" s="74">
        <v>26095.679925848734</v>
      </c>
      <c r="U31" s="74">
        <v>0</v>
      </c>
      <c r="V31" s="74">
        <v>0</v>
      </c>
      <c r="W31" s="74">
        <v>0</v>
      </c>
      <c r="X31" s="74">
        <v>0</v>
      </c>
      <c r="Y31" s="74">
        <v>0</v>
      </c>
      <c r="Z31" s="74">
        <v>0</v>
      </c>
      <c r="AA31" s="74">
        <v>0</v>
      </c>
      <c r="AB31" s="74">
        <v>0</v>
      </c>
      <c r="AC31" s="74">
        <v>0</v>
      </c>
      <c r="AD31" s="74">
        <v>0</v>
      </c>
      <c r="AE31" s="74">
        <v>0</v>
      </c>
      <c r="AF31" s="74">
        <v>0</v>
      </c>
      <c r="AG31" s="74">
        <v>0</v>
      </c>
      <c r="AH31" s="74">
        <v>0</v>
      </c>
      <c r="AI31" s="74">
        <v>0</v>
      </c>
      <c r="AJ31" s="74">
        <v>0</v>
      </c>
      <c r="AK31" s="74"/>
      <c r="AL31" s="74">
        <v>0</v>
      </c>
      <c r="AM31" s="74">
        <v>0</v>
      </c>
      <c r="AN31" s="74">
        <v>0</v>
      </c>
      <c r="AO31" s="74">
        <v>0</v>
      </c>
      <c r="AP31" s="74">
        <v>0</v>
      </c>
      <c r="AQ31" s="74">
        <v>0</v>
      </c>
      <c r="AR31" s="74">
        <v>0</v>
      </c>
      <c r="AS31" s="74">
        <v>0</v>
      </c>
      <c r="AT31" s="74">
        <v>0</v>
      </c>
      <c r="AU31" s="74">
        <v>0</v>
      </c>
      <c r="AV31" s="74">
        <v>0</v>
      </c>
      <c r="AW31" s="74">
        <v>0</v>
      </c>
      <c r="AX31" s="74">
        <v>0</v>
      </c>
      <c r="AY31" s="74">
        <v>0</v>
      </c>
      <c r="AZ31" s="74">
        <v>0</v>
      </c>
      <c r="BA31" s="74">
        <v>0</v>
      </c>
      <c r="BB31" s="74">
        <v>0</v>
      </c>
      <c r="BC31" s="74">
        <v>0</v>
      </c>
      <c r="BD31" s="74">
        <v>0</v>
      </c>
      <c r="BE31" s="74">
        <v>0</v>
      </c>
      <c r="BF31" s="74">
        <v>0</v>
      </c>
      <c r="BG31" s="74">
        <v>0</v>
      </c>
      <c r="BH31" s="74">
        <v>0</v>
      </c>
      <c r="BI31" s="74">
        <v>0</v>
      </c>
      <c r="BJ31" s="74">
        <v>0</v>
      </c>
      <c r="BK31" s="74">
        <v>0</v>
      </c>
      <c r="BL31" s="74">
        <v>0</v>
      </c>
      <c r="BM31" s="74">
        <v>0</v>
      </c>
      <c r="BN31" s="74">
        <v>0</v>
      </c>
      <c r="BO31" s="74">
        <v>0</v>
      </c>
      <c r="BP31" s="74">
        <v>0</v>
      </c>
      <c r="BQ31" s="74">
        <v>0</v>
      </c>
      <c r="BR31" s="74">
        <v>0</v>
      </c>
      <c r="BS31" s="74">
        <v>0</v>
      </c>
      <c r="BT31" s="74">
        <v>0</v>
      </c>
      <c r="BU31" s="74">
        <v>0</v>
      </c>
      <c r="BV31" s="74">
        <v>0</v>
      </c>
      <c r="BW31" s="74">
        <v>0</v>
      </c>
      <c r="BX31" s="74">
        <v>0</v>
      </c>
      <c r="BY31" s="74">
        <v>0</v>
      </c>
      <c r="BZ31" s="74">
        <v>0</v>
      </c>
      <c r="CA31" s="74">
        <v>0</v>
      </c>
      <c r="CB31" s="74">
        <v>0</v>
      </c>
      <c r="CC31" s="74">
        <v>0</v>
      </c>
      <c r="CD31" s="74">
        <v>0</v>
      </c>
      <c r="CE31" s="74">
        <v>0</v>
      </c>
      <c r="CF31" s="74">
        <v>0</v>
      </c>
      <c r="CG31" s="74">
        <v>0</v>
      </c>
      <c r="CH31" s="74">
        <v>0</v>
      </c>
      <c r="CI31" s="74">
        <v>0</v>
      </c>
      <c r="CJ31" s="74">
        <v>0</v>
      </c>
      <c r="CK31" s="74">
        <v>0</v>
      </c>
      <c r="CL31" s="74">
        <v>0</v>
      </c>
      <c r="CM31" s="74">
        <v>0</v>
      </c>
      <c r="CN31" s="74">
        <v>0</v>
      </c>
      <c r="CO31" s="74">
        <v>0</v>
      </c>
      <c r="CP31" s="74">
        <v>0</v>
      </c>
      <c r="CQ31" s="74">
        <v>0</v>
      </c>
      <c r="CR31" s="74">
        <v>0</v>
      </c>
      <c r="CS31" s="74">
        <v>0</v>
      </c>
      <c r="CT31" s="74">
        <v>0</v>
      </c>
      <c r="CU31" s="74">
        <v>0</v>
      </c>
      <c r="CV31" s="74">
        <v>0</v>
      </c>
      <c r="CW31" s="74">
        <v>0</v>
      </c>
      <c r="CX31" s="74">
        <v>0</v>
      </c>
      <c r="CY31" s="74">
        <v>0</v>
      </c>
      <c r="CZ31" s="74">
        <v>0</v>
      </c>
      <c r="DA31" s="74">
        <v>0</v>
      </c>
      <c r="DB31" s="74">
        <v>0</v>
      </c>
      <c r="DC31" s="74">
        <v>0</v>
      </c>
      <c r="DD31" s="74">
        <v>0</v>
      </c>
      <c r="DE31" s="74">
        <v>0</v>
      </c>
      <c r="DF31" s="74">
        <v>0</v>
      </c>
      <c r="DG31" s="74">
        <v>0</v>
      </c>
      <c r="DH31" s="74">
        <v>0</v>
      </c>
      <c r="DI31" s="74">
        <v>0</v>
      </c>
      <c r="DJ31" s="74">
        <v>0</v>
      </c>
      <c r="DK31" s="74">
        <v>0</v>
      </c>
      <c r="DL31" s="74">
        <v>0</v>
      </c>
      <c r="DM31" s="74">
        <v>0</v>
      </c>
      <c r="DN31" s="74">
        <v>0</v>
      </c>
      <c r="DO31" s="74">
        <v>0</v>
      </c>
      <c r="DP31" s="74">
        <v>0</v>
      </c>
      <c r="DQ31" s="74">
        <v>0</v>
      </c>
      <c r="DR31" s="74">
        <v>0</v>
      </c>
      <c r="DS31" s="74">
        <v>0</v>
      </c>
      <c r="DT31" s="74">
        <v>0</v>
      </c>
      <c r="DU31" s="74">
        <v>0</v>
      </c>
      <c r="DV31" s="74">
        <v>0</v>
      </c>
      <c r="DW31" s="74">
        <v>0</v>
      </c>
      <c r="DX31" s="74">
        <v>0</v>
      </c>
      <c r="DY31" s="74">
        <v>0</v>
      </c>
      <c r="DZ31" s="74">
        <v>0</v>
      </c>
      <c r="EA31" s="74">
        <v>0</v>
      </c>
      <c r="EB31" s="74">
        <v>0</v>
      </c>
      <c r="EC31" s="74">
        <v>0</v>
      </c>
      <c r="ED31" s="74"/>
      <c r="EE31" s="80">
        <v>46147</v>
      </c>
      <c r="EF31" s="81">
        <v>46147.490582986109</v>
      </c>
      <c r="EG31" s="66" t="s">
        <v>71</v>
      </c>
      <c r="EH31" s="66" t="s">
        <v>209</v>
      </c>
      <c r="EI31" s="66" t="s">
        <v>6</v>
      </c>
      <c r="EJ31" s="66">
        <v>12</v>
      </c>
      <c r="EK31" s="66">
        <v>2027</v>
      </c>
      <c r="EL31" s="66" t="s">
        <v>24</v>
      </c>
      <c r="EM31" s="82">
        <v>290.68389790090976</v>
      </c>
      <c r="EN31" s="82">
        <v>257.5814628146079</v>
      </c>
      <c r="EO31" s="77">
        <v>273.51499999999999</v>
      </c>
      <c r="EP31" s="84">
        <v>0.20185877210205863</v>
      </c>
      <c r="EQ31" s="84">
        <v>0.20646392611324274</v>
      </c>
      <c r="ER31" s="84">
        <v>3.7812199999999997E-2</v>
      </c>
      <c r="ES31" s="85">
        <v>0.97269429659977535</v>
      </c>
      <c r="ET31" s="86">
        <v>1.4621999999999999</v>
      </c>
      <c r="EU31" s="85">
        <v>0.15269873395245903</v>
      </c>
      <c r="EV31" s="85">
        <v>3.6374216079711912E-2</v>
      </c>
      <c r="EW31" s="76">
        <v>3</v>
      </c>
      <c r="EX31" s="76" t="s">
        <v>32</v>
      </c>
      <c r="EY31" s="74" t="s">
        <v>243</v>
      </c>
      <c r="EZ31" s="74"/>
      <c r="FA31" s="74"/>
      <c r="FB31" s="74"/>
      <c r="FC31" s="74"/>
      <c r="FD31" s="68"/>
      <c r="FH31" s="73"/>
      <c r="FI31" s="74"/>
      <c r="FJ31" s="74"/>
      <c r="FK31" s="74"/>
      <c r="FL31" s="74"/>
      <c r="FM31" s="74"/>
      <c r="FN31" s="74"/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/>
      <c r="GA31" s="68"/>
    </row>
    <row r="32" spans="1:183" s="2" customFormat="1" ht="15" x14ac:dyDescent="0.3">
      <c r="A32" s="73" t="s">
        <v>185</v>
      </c>
      <c r="B32" s="73" t="s">
        <v>168</v>
      </c>
      <c r="C32" s="73" t="s">
        <v>168</v>
      </c>
      <c r="D32" s="73" t="s">
        <v>48</v>
      </c>
      <c r="E32" s="73" t="s">
        <v>178</v>
      </c>
      <c r="F32" s="73" t="s">
        <v>210</v>
      </c>
      <c r="G32" s="73" t="s">
        <v>227</v>
      </c>
      <c r="H32" s="73"/>
      <c r="I32" s="74">
        <v>0</v>
      </c>
      <c r="J32" s="74">
        <v>0</v>
      </c>
      <c r="K32" s="74">
        <v>0</v>
      </c>
      <c r="L32" s="74">
        <v>0</v>
      </c>
      <c r="M32" s="74">
        <v>4126.42</v>
      </c>
      <c r="N32" s="74">
        <v>4435.93</v>
      </c>
      <c r="O32" s="74">
        <v>4627.83</v>
      </c>
      <c r="P32" s="74">
        <v>4867.42</v>
      </c>
      <c r="Q32" s="74">
        <v>5820.08</v>
      </c>
      <c r="R32" s="74">
        <v>6473.9639844166713</v>
      </c>
      <c r="S32" s="74">
        <v>7171.279528012602</v>
      </c>
      <c r="T32" s="74">
        <v>7832.473553357062</v>
      </c>
      <c r="U32" s="74">
        <v>0</v>
      </c>
      <c r="V32" s="74">
        <v>0</v>
      </c>
      <c r="W32" s="74">
        <v>0</v>
      </c>
      <c r="X32" s="74">
        <v>0</v>
      </c>
      <c r="Y32" s="74">
        <v>0</v>
      </c>
      <c r="Z32" s="74">
        <v>0</v>
      </c>
      <c r="AA32" s="74">
        <v>0</v>
      </c>
      <c r="AB32" s="74">
        <v>0</v>
      </c>
      <c r="AC32" s="74">
        <v>0</v>
      </c>
      <c r="AD32" s="74">
        <v>0</v>
      </c>
      <c r="AE32" s="74">
        <v>0</v>
      </c>
      <c r="AF32" s="74">
        <v>0</v>
      </c>
      <c r="AG32" s="74">
        <v>0</v>
      </c>
      <c r="AH32" s="74">
        <v>0</v>
      </c>
      <c r="AI32" s="74">
        <v>0</v>
      </c>
      <c r="AJ32" s="74">
        <v>0</v>
      </c>
      <c r="AK32" s="74"/>
      <c r="AL32" s="74">
        <v>0</v>
      </c>
      <c r="AM32" s="74">
        <v>0</v>
      </c>
      <c r="AN32" s="74">
        <v>0</v>
      </c>
      <c r="AO32" s="74">
        <v>0</v>
      </c>
      <c r="AP32" s="74">
        <v>0</v>
      </c>
      <c r="AQ32" s="74">
        <v>0</v>
      </c>
      <c r="AR32" s="74">
        <v>0</v>
      </c>
      <c r="AS32" s="74">
        <v>0</v>
      </c>
      <c r="AT32" s="74">
        <v>0</v>
      </c>
      <c r="AU32" s="74">
        <v>0</v>
      </c>
      <c r="AV32" s="74">
        <v>0</v>
      </c>
      <c r="AW32" s="74">
        <v>0</v>
      </c>
      <c r="AX32" s="74">
        <v>0</v>
      </c>
      <c r="AY32" s="74">
        <v>0</v>
      </c>
      <c r="AZ32" s="74">
        <v>0</v>
      </c>
      <c r="BA32" s="74">
        <v>0</v>
      </c>
      <c r="BB32" s="74">
        <v>0</v>
      </c>
      <c r="BC32" s="74">
        <v>0</v>
      </c>
      <c r="BD32" s="74">
        <v>0</v>
      </c>
      <c r="BE32" s="74">
        <v>0</v>
      </c>
      <c r="BF32" s="74">
        <v>0</v>
      </c>
      <c r="BG32" s="74">
        <v>0</v>
      </c>
      <c r="BH32" s="74">
        <v>0</v>
      </c>
      <c r="BI32" s="74">
        <v>0</v>
      </c>
      <c r="BJ32" s="74">
        <v>0</v>
      </c>
      <c r="BK32" s="74">
        <v>0</v>
      </c>
      <c r="BL32" s="74">
        <v>0</v>
      </c>
      <c r="BM32" s="74">
        <v>0</v>
      </c>
      <c r="BN32" s="74">
        <v>0</v>
      </c>
      <c r="BO32" s="74">
        <v>0</v>
      </c>
      <c r="BP32" s="74">
        <v>0</v>
      </c>
      <c r="BQ32" s="74">
        <v>0</v>
      </c>
      <c r="BR32" s="74">
        <v>0</v>
      </c>
      <c r="BS32" s="74">
        <v>0</v>
      </c>
      <c r="BT32" s="74">
        <v>0</v>
      </c>
      <c r="BU32" s="74">
        <v>0</v>
      </c>
      <c r="BV32" s="74">
        <v>0</v>
      </c>
      <c r="BW32" s="74">
        <v>0</v>
      </c>
      <c r="BX32" s="74">
        <v>0</v>
      </c>
      <c r="BY32" s="74">
        <v>0</v>
      </c>
      <c r="BZ32" s="74">
        <v>0</v>
      </c>
      <c r="CA32" s="74">
        <v>0</v>
      </c>
      <c r="CB32" s="74">
        <v>0</v>
      </c>
      <c r="CC32" s="74">
        <v>0</v>
      </c>
      <c r="CD32" s="74">
        <v>0</v>
      </c>
      <c r="CE32" s="74">
        <v>0</v>
      </c>
      <c r="CF32" s="74">
        <v>0</v>
      </c>
      <c r="CG32" s="74">
        <v>0</v>
      </c>
      <c r="CH32" s="74">
        <v>0</v>
      </c>
      <c r="CI32" s="74">
        <v>0</v>
      </c>
      <c r="CJ32" s="74">
        <v>0</v>
      </c>
      <c r="CK32" s="74">
        <v>0</v>
      </c>
      <c r="CL32" s="74">
        <v>0</v>
      </c>
      <c r="CM32" s="74">
        <v>0</v>
      </c>
      <c r="CN32" s="74">
        <v>0</v>
      </c>
      <c r="CO32" s="74">
        <v>0</v>
      </c>
      <c r="CP32" s="74">
        <v>0</v>
      </c>
      <c r="CQ32" s="74">
        <v>0</v>
      </c>
      <c r="CR32" s="74">
        <v>0</v>
      </c>
      <c r="CS32" s="74">
        <v>0</v>
      </c>
      <c r="CT32" s="74">
        <v>0</v>
      </c>
      <c r="CU32" s="74">
        <v>0</v>
      </c>
      <c r="CV32" s="74">
        <v>0</v>
      </c>
      <c r="CW32" s="74">
        <v>0</v>
      </c>
      <c r="CX32" s="74">
        <v>0</v>
      </c>
      <c r="CY32" s="74">
        <v>0</v>
      </c>
      <c r="CZ32" s="74">
        <v>0</v>
      </c>
      <c r="DA32" s="74">
        <v>0</v>
      </c>
      <c r="DB32" s="74">
        <v>0</v>
      </c>
      <c r="DC32" s="74">
        <v>0</v>
      </c>
      <c r="DD32" s="74">
        <v>0</v>
      </c>
      <c r="DE32" s="74">
        <v>0</v>
      </c>
      <c r="DF32" s="74">
        <v>0</v>
      </c>
      <c r="DG32" s="74">
        <v>0</v>
      </c>
      <c r="DH32" s="74">
        <v>0</v>
      </c>
      <c r="DI32" s="74">
        <v>0</v>
      </c>
      <c r="DJ32" s="74">
        <v>0</v>
      </c>
      <c r="DK32" s="74">
        <v>0</v>
      </c>
      <c r="DL32" s="74">
        <v>0</v>
      </c>
      <c r="DM32" s="74">
        <v>0</v>
      </c>
      <c r="DN32" s="74">
        <v>0</v>
      </c>
      <c r="DO32" s="74">
        <v>0</v>
      </c>
      <c r="DP32" s="74">
        <v>0</v>
      </c>
      <c r="DQ32" s="74">
        <v>0</v>
      </c>
      <c r="DR32" s="74">
        <v>0</v>
      </c>
      <c r="DS32" s="74">
        <v>0</v>
      </c>
      <c r="DT32" s="74">
        <v>0</v>
      </c>
      <c r="DU32" s="74">
        <v>0</v>
      </c>
      <c r="DV32" s="74">
        <v>0</v>
      </c>
      <c r="DW32" s="74">
        <v>0</v>
      </c>
      <c r="DX32" s="74">
        <v>0</v>
      </c>
      <c r="DY32" s="74">
        <v>0</v>
      </c>
      <c r="DZ32" s="74">
        <v>0</v>
      </c>
      <c r="EA32" s="74">
        <v>0</v>
      </c>
      <c r="EB32" s="74">
        <v>0</v>
      </c>
      <c r="EC32" s="74">
        <v>0</v>
      </c>
      <c r="ED32" s="74"/>
      <c r="EE32" s="80">
        <v>46147</v>
      </c>
      <c r="EF32" s="81">
        <v>46147.490582986109</v>
      </c>
      <c r="EG32" s="66" t="s">
        <v>71</v>
      </c>
      <c r="EH32" s="66" t="s">
        <v>209</v>
      </c>
      <c r="EI32" s="66" t="s">
        <v>6</v>
      </c>
      <c r="EJ32" s="66">
        <v>12</v>
      </c>
      <c r="EK32" s="66">
        <v>2027</v>
      </c>
      <c r="EL32" s="66" t="s">
        <v>24</v>
      </c>
      <c r="EM32" s="82">
        <v>290.68389790090976</v>
      </c>
      <c r="EN32" s="82">
        <v>257.5814628146079</v>
      </c>
      <c r="EO32" s="77">
        <v>273.51499999999999</v>
      </c>
      <c r="EP32" s="84">
        <v>0.20185877210205863</v>
      </c>
      <c r="EQ32" s="84">
        <v>0.20646392611324274</v>
      </c>
      <c r="ER32" s="84">
        <v>3.7812199999999997E-2</v>
      </c>
      <c r="ES32" s="85">
        <v>0.97269429659977535</v>
      </c>
      <c r="ET32" s="86">
        <v>1.4621999999999999</v>
      </c>
      <c r="EU32" s="85">
        <v>0.15269873395245903</v>
      </c>
      <c r="EV32" s="85">
        <v>3.6374216079711912E-2</v>
      </c>
      <c r="EW32" s="76">
        <v>3</v>
      </c>
      <c r="EX32" s="76" t="s">
        <v>32</v>
      </c>
      <c r="EY32" s="74" t="s">
        <v>243</v>
      </c>
      <c r="EZ32" s="74"/>
      <c r="FA32" s="74"/>
      <c r="FB32" s="74"/>
      <c r="FC32" s="74"/>
      <c r="FD32" s="68"/>
      <c r="FH32" s="73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68"/>
    </row>
    <row r="33" spans="1:183" s="2" customFormat="1" ht="15" x14ac:dyDescent="0.3">
      <c r="A33" s="73" t="s">
        <v>186</v>
      </c>
      <c r="B33" s="73" t="s">
        <v>172</v>
      </c>
      <c r="C33" s="73" t="s">
        <v>172</v>
      </c>
      <c r="D33" s="73" t="s">
        <v>48</v>
      </c>
      <c r="E33" s="73" t="s">
        <v>178</v>
      </c>
      <c r="F33" s="73" t="s">
        <v>210</v>
      </c>
      <c r="G33" s="73" t="s">
        <v>227</v>
      </c>
      <c r="H33" s="73"/>
      <c r="I33" s="74">
        <v>0</v>
      </c>
      <c r="J33" s="74">
        <v>0</v>
      </c>
      <c r="K33" s="74">
        <v>0</v>
      </c>
      <c r="L33" s="74">
        <v>0</v>
      </c>
      <c r="M33" s="74">
        <v>8476.02</v>
      </c>
      <c r="N33" s="74">
        <v>11823.504000000001</v>
      </c>
      <c r="O33" s="74">
        <v>14249.396000000001</v>
      </c>
      <c r="P33" s="74">
        <v>21693.868000000002</v>
      </c>
      <c r="Q33" s="74">
        <v>41812.1</v>
      </c>
      <c r="R33" s="74">
        <v>65216.239920959932</v>
      </c>
      <c r="S33" s="74">
        <v>75049.031363516726</v>
      </c>
      <c r="T33" s="74">
        <v>96639.480591470405</v>
      </c>
      <c r="U33" s="74">
        <v>0</v>
      </c>
      <c r="V33" s="74">
        <v>0</v>
      </c>
      <c r="W33" s="74">
        <v>0</v>
      </c>
      <c r="X33" s="74">
        <v>0</v>
      </c>
      <c r="Y33" s="74">
        <v>0</v>
      </c>
      <c r="Z33" s="74">
        <v>0</v>
      </c>
      <c r="AA33" s="74">
        <v>0</v>
      </c>
      <c r="AB33" s="74">
        <v>0</v>
      </c>
      <c r="AC33" s="74">
        <v>0</v>
      </c>
      <c r="AD33" s="74">
        <v>0</v>
      </c>
      <c r="AE33" s="74">
        <v>0</v>
      </c>
      <c r="AF33" s="74">
        <v>0</v>
      </c>
      <c r="AG33" s="74">
        <v>0</v>
      </c>
      <c r="AH33" s="74">
        <v>0</v>
      </c>
      <c r="AI33" s="74">
        <v>0</v>
      </c>
      <c r="AJ33" s="74">
        <v>0</v>
      </c>
      <c r="AK33" s="74"/>
      <c r="AL33" s="74">
        <v>0</v>
      </c>
      <c r="AM33" s="74">
        <v>0</v>
      </c>
      <c r="AN33" s="74">
        <v>0</v>
      </c>
      <c r="AO33" s="74">
        <v>0</v>
      </c>
      <c r="AP33" s="74">
        <v>0</v>
      </c>
      <c r="AQ33" s="74">
        <v>0</v>
      </c>
      <c r="AR33" s="74">
        <v>0</v>
      </c>
      <c r="AS33" s="74">
        <v>0</v>
      </c>
      <c r="AT33" s="74">
        <v>0</v>
      </c>
      <c r="AU33" s="74">
        <v>0</v>
      </c>
      <c r="AV33" s="74">
        <v>0</v>
      </c>
      <c r="AW33" s="74">
        <v>0</v>
      </c>
      <c r="AX33" s="74">
        <v>0</v>
      </c>
      <c r="AY33" s="74">
        <v>0</v>
      </c>
      <c r="AZ33" s="74">
        <v>0</v>
      </c>
      <c r="BA33" s="74">
        <v>0</v>
      </c>
      <c r="BB33" s="74">
        <v>0</v>
      </c>
      <c r="BC33" s="74">
        <v>0</v>
      </c>
      <c r="BD33" s="74">
        <v>0</v>
      </c>
      <c r="BE33" s="74">
        <v>0</v>
      </c>
      <c r="BF33" s="74">
        <v>0</v>
      </c>
      <c r="BG33" s="74">
        <v>0</v>
      </c>
      <c r="BH33" s="74">
        <v>0</v>
      </c>
      <c r="BI33" s="74">
        <v>0</v>
      </c>
      <c r="BJ33" s="74">
        <v>0</v>
      </c>
      <c r="BK33" s="74">
        <v>0</v>
      </c>
      <c r="BL33" s="74">
        <v>0</v>
      </c>
      <c r="BM33" s="74">
        <v>0</v>
      </c>
      <c r="BN33" s="74">
        <v>0</v>
      </c>
      <c r="BO33" s="74">
        <v>0</v>
      </c>
      <c r="BP33" s="74">
        <v>0</v>
      </c>
      <c r="BQ33" s="74">
        <v>0</v>
      </c>
      <c r="BR33" s="74">
        <v>0</v>
      </c>
      <c r="BS33" s="74">
        <v>0</v>
      </c>
      <c r="BT33" s="74">
        <v>0</v>
      </c>
      <c r="BU33" s="74">
        <v>0</v>
      </c>
      <c r="BV33" s="74">
        <v>0</v>
      </c>
      <c r="BW33" s="74">
        <v>0</v>
      </c>
      <c r="BX33" s="74">
        <v>0</v>
      </c>
      <c r="BY33" s="74">
        <v>0</v>
      </c>
      <c r="BZ33" s="74">
        <v>0</v>
      </c>
      <c r="CA33" s="74">
        <v>0</v>
      </c>
      <c r="CB33" s="74">
        <v>0</v>
      </c>
      <c r="CC33" s="74">
        <v>0</v>
      </c>
      <c r="CD33" s="74">
        <v>0</v>
      </c>
      <c r="CE33" s="74">
        <v>0</v>
      </c>
      <c r="CF33" s="74">
        <v>0</v>
      </c>
      <c r="CG33" s="74">
        <v>0</v>
      </c>
      <c r="CH33" s="74">
        <v>0</v>
      </c>
      <c r="CI33" s="74">
        <v>0</v>
      </c>
      <c r="CJ33" s="74">
        <v>0</v>
      </c>
      <c r="CK33" s="74">
        <v>0</v>
      </c>
      <c r="CL33" s="74">
        <v>0</v>
      </c>
      <c r="CM33" s="74">
        <v>0</v>
      </c>
      <c r="CN33" s="74">
        <v>0</v>
      </c>
      <c r="CO33" s="74">
        <v>0</v>
      </c>
      <c r="CP33" s="74">
        <v>0</v>
      </c>
      <c r="CQ33" s="74">
        <v>0</v>
      </c>
      <c r="CR33" s="74">
        <v>0</v>
      </c>
      <c r="CS33" s="74">
        <v>0</v>
      </c>
      <c r="CT33" s="74">
        <v>0</v>
      </c>
      <c r="CU33" s="74">
        <v>0</v>
      </c>
      <c r="CV33" s="74">
        <v>0</v>
      </c>
      <c r="CW33" s="74">
        <v>0</v>
      </c>
      <c r="CX33" s="74">
        <v>0</v>
      </c>
      <c r="CY33" s="74">
        <v>0</v>
      </c>
      <c r="CZ33" s="74">
        <v>0</v>
      </c>
      <c r="DA33" s="74">
        <v>0</v>
      </c>
      <c r="DB33" s="74">
        <v>0</v>
      </c>
      <c r="DC33" s="74">
        <v>0</v>
      </c>
      <c r="DD33" s="74">
        <v>0</v>
      </c>
      <c r="DE33" s="74">
        <v>0</v>
      </c>
      <c r="DF33" s="74">
        <v>0</v>
      </c>
      <c r="DG33" s="74">
        <v>0</v>
      </c>
      <c r="DH33" s="74">
        <v>0</v>
      </c>
      <c r="DI33" s="74">
        <v>0</v>
      </c>
      <c r="DJ33" s="74">
        <v>0</v>
      </c>
      <c r="DK33" s="74">
        <v>0</v>
      </c>
      <c r="DL33" s="74">
        <v>0</v>
      </c>
      <c r="DM33" s="74">
        <v>0</v>
      </c>
      <c r="DN33" s="74">
        <v>0</v>
      </c>
      <c r="DO33" s="74">
        <v>0</v>
      </c>
      <c r="DP33" s="74">
        <v>0</v>
      </c>
      <c r="DQ33" s="74">
        <v>0</v>
      </c>
      <c r="DR33" s="74">
        <v>0</v>
      </c>
      <c r="DS33" s="74">
        <v>0</v>
      </c>
      <c r="DT33" s="74">
        <v>0</v>
      </c>
      <c r="DU33" s="74">
        <v>0</v>
      </c>
      <c r="DV33" s="74">
        <v>0</v>
      </c>
      <c r="DW33" s="74">
        <v>0</v>
      </c>
      <c r="DX33" s="74">
        <v>0</v>
      </c>
      <c r="DY33" s="74">
        <v>0</v>
      </c>
      <c r="DZ33" s="74">
        <v>0</v>
      </c>
      <c r="EA33" s="74">
        <v>0</v>
      </c>
      <c r="EB33" s="74">
        <v>0</v>
      </c>
      <c r="EC33" s="74">
        <v>0</v>
      </c>
      <c r="ED33" s="74"/>
      <c r="EE33" s="80">
        <v>46147</v>
      </c>
      <c r="EF33" s="81">
        <v>46147.490582986109</v>
      </c>
      <c r="EG33" s="66" t="s">
        <v>71</v>
      </c>
      <c r="EH33" s="66" t="s">
        <v>209</v>
      </c>
      <c r="EI33" s="66" t="s">
        <v>6</v>
      </c>
      <c r="EJ33" s="66">
        <v>12</v>
      </c>
      <c r="EK33" s="66">
        <v>2027</v>
      </c>
      <c r="EL33" s="66" t="s">
        <v>24</v>
      </c>
      <c r="EM33" s="82">
        <v>290.68389790090976</v>
      </c>
      <c r="EN33" s="82">
        <v>257.5814628146079</v>
      </c>
      <c r="EO33" s="77">
        <v>273.51499999999999</v>
      </c>
      <c r="EP33" s="84">
        <v>0.20185877210205863</v>
      </c>
      <c r="EQ33" s="84">
        <v>0.20646392611324274</v>
      </c>
      <c r="ER33" s="84">
        <v>3.7812199999999997E-2</v>
      </c>
      <c r="ES33" s="85">
        <v>0.97269429659977535</v>
      </c>
      <c r="ET33" s="86">
        <v>1.4621999999999999</v>
      </c>
      <c r="EU33" s="85">
        <v>0.15269873395245903</v>
      </c>
      <c r="EV33" s="85">
        <v>3.6374216079711912E-2</v>
      </c>
      <c r="EW33" s="76">
        <v>3</v>
      </c>
      <c r="EX33" s="76" t="s">
        <v>32</v>
      </c>
      <c r="EY33" s="74" t="s">
        <v>243</v>
      </c>
      <c r="EZ33" s="74"/>
      <c r="FA33" s="74"/>
      <c r="FB33" s="74"/>
      <c r="FC33" s="74"/>
      <c r="FD33" s="68"/>
      <c r="FH33" s="73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68"/>
    </row>
    <row r="34" spans="1:183" s="2" customFormat="1" ht="15" x14ac:dyDescent="0.3">
      <c r="A34" s="73" t="s">
        <v>177</v>
      </c>
      <c r="B34" s="73" t="s">
        <v>203</v>
      </c>
      <c r="C34" s="73" t="s">
        <v>203</v>
      </c>
      <c r="D34" s="73" t="s">
        <v>48</v>
      </c>
      <c r="E34" s="73" t="s">
        <v>178</v>
      </c>
      <c r="F34" s="73" t="s">
        <v>210</v>
      </c>
      <c r="G34" s="73" t="s">
        <v>227</v>
      </c>
      <c r="H34" s="73"/>
      <c r="I34" s="74">
        <v>0</v>
      </c>
      <c r="J34" s="74">
        <v>0</v>
      </c>
      <c r="K34" s="74">
        <v>0</v>
      </c>
      <c r="L34" s="74">
        <v>0</v>
      </c>
      <c r="M34" s="74">
        <v>16940</v>
      </c>
      <c r="N34" s="74">
        <v>19772.75</v>
      </c>
      <c r="O34" s="74">
        <v>21500</v>
      </c>
      <c r="P34" s="74">
        <v>22366</v>
      </c>
      <c r="Q34" s="74">
        <v>13034.75</v>
      </c>
      <c r="R34" s="74">
        <v>26543.996923122337</v>
      </c>
      <c r="S34" s="74">
        <v>20358.998664348986</v>
      </c>
      <c r="T34" s="74">
        <v>15720.295070366174</v>
      </c>
      <c r="U34" s="74">
        <v>0</v>
      </c>
      <c r="V34" s="74">
        <v>0</v>
      </c>
      <c r="W34" s="74">
        <v>0</v>
      </c>
      <c r="X34" s="74">
        <v>0</v>
      </c>
      <c r="Y34" s="74">
        <v>0</v>
      </c>
      <c r="Z34" s="74">
        <v>0</v>
      </c>
      <c r="AA34" s="74">
        <v>0</v>
      </c>
      <c r="AB34" s="74">
        <v>0</v>
      </c>
      <c r="AC34" s="74">
        <v>0</v>
      </c>
      <c r="AD34" s="74">
        <v>0</v>
      </c>
      <c r="AE34" s="74">
        <v>0</v>
      </c>
      <c r="AF34" s="74">
        <v>0</v>
      </c>
      <c r="AG34" s="74">
        <v>0</v>
      </c>
      <c r="AH34" s="74">
        <v>0</v>
      </c>
      <c r="AI34" s="74">
        <v>0</v>
      </c>
      <c r="AJ34" s="74">
        <v>0</v>
      </c>
      <c r="AK34" s="74"/>
      <c r="AL34" s="74">
        <v>0</v>
      </c>
      <c r="AM34" s="74">
        <v>0</v>
      </c>
      <c r="AN34" s="74">
        <v>0</v>
      </c>
      <c r="AO34" s="74">
        <v>0</v>
      </c>
      <c r="AP34" s="74">
        <v>0</v>
      </c>
      <c r="AQ34" s="74">
        <v>0</v>
      </c>
      <c r="AR34" s="74">
        <v>0</v>
      </c>
      <c r="AS34" s="74">
        <v>0</v>
      </c>
      <c r="AT34" s="74">
        <v>0</v>
      </c>
      <c r="AU34" s="74">
        <v>0</v>
      </c>
      <c r="AV34" s="74">
        <v>0</v>
      </c>
      <c r="AW34" s="74">
        <v>0</v>
      </c>
      <c r="AX34" s="74">
        <v>0</v>
      </c>
      <c r="AY34" s="74">
        <v>0</v>
      </c>
      <c r="AZ34" s="74">
        <v>0</v>
      </c>
      <c r="BA34" s="74">
        <v>0</v>
      </c>
      <c r="BB34" s="74">
        <v>0</v>
      </c>
      <c r="BC34" s="74">
        <v>0</v>
      </c>
      <c r="BD34" s="74">
        <v>0</v>
      </c>
      <c r="BE34" s="74">
        <v>0</v>
      </c>
      <c r="BF34" s="74">
        <v>0</v>
      </c>
      <c r="BG34" s="74">
        <v>0</v>
      </c>
      <c r="BH34" s="74">
        <v>0</v>
      </c>
      <c r="BI34" s="74">
        <v>0</v>
      </c>
      <c r="BJ34" s="74">
        <v>0</v>
      </c>
      <c r="BK34" s="74">
        <v>0</v>
      </c>
      <c r="BL34" s="74">
        <v>0</v>
      </c>
      <c r="BM34" s="74">
        <v>0</v>
      </c>
      <c r="BN34" s="74">
        <v>0</v>
      </c>
      <c r="BO34" s="74">
        <v>0</v>
      </c>
      <c r="BP34" s="74">
        <v>0</v>
      </c>
      <c r="BQ34" s="74">
        <v>0</v>
      </c>
      <c r="BR34" s="74">
        <v>0</v>
      </c>
      <c r="BS34" s="74">
        <v>0</v>
      </c>
      <c r="BT34" s="74">
        <v>0</v>
      </c>
      <c r="BU34" s="74">
        <v>0</v>
      </c>
      <c r="BV34" s="74">
        <v>0</v>
      </c>
      <c r="BW34" s="74">
        <v>0</v>
      </c>
      <c r="BX34" s="74">
        <v>0</v>
      </c>
      <c r="BY34" s="74">
        <v>0</v>
      </c>
      <c r="BZ34" s="74">
        <v>0</v>
      </c>
      <c r="CA34" s="74">
        <v>0</v>
      </c>
      <c r="CB34" s="74">
        <v>0</v>
      </c>
      <c r="CC34" s="74">
        <v>0</v>
      </c>
      <c r="CD34" s="74">
        <v>0</v>
      </c>
      <c r="CE34" s="74">
        <v>0</v>
      </c>
      <c r="CF34" s="74">
        <v>0</v>
      </c>
      <c r="CG34" s="74">
        <v>0</v>
      </c>
      <c r="CH34" s="74">
        <v>0</v>
      </c>
      <c r="CI34" s="74">
        <v>0</v>
      </c>
      <c r="CJ34" s="74">
        <v>0</v>
      </c>
      <c r="CK34" s="74">
        <v>0</v>
      </c>
      <c r="CL34" s="74">
        <v>0</v>
      </c>
      <c r="CM34" s="74">
        <v>0</v>
      </c>
      <c r="CN34" s="74">
        <v>0</v>
      </c>
      <c r="CO34" s="74">
        <v>0</v>
      </c>
      <c r="CP34" s="74">
        <v>0</v>
      </c>
      <c r="CQ34" s="74">
        <v>0</v>
      </c>
      <c r="CR34" s="74">
        <v>0</v>
      </c>
      <c r="CS34" s="74">
        <v>0</v>
      </c>
      <c r="CT34" s="74">
        <v>0</v>
      </c>
      <c r="CU34" s="74">
        <v>0</v>
      </c>
      <c r="CV34" s="74">
        <v>0</v>
      </c>
      <c r="CW34" s="74">
        <v>0</v>
      </c>
      <c r="CX34" s="74">
        <v>0</v>
      </c>
      <c r="CY34" s="74">
        <v>0</v>
      </c>
      <c r="CZ34" s="74">
        <v>0</v>
      </c>
      <c r="DA34" s="74">
        <v>0</v>
      </c>
      <c r="DB34" s="74">
        <v>0</v>
      </c>
      <c r="DC34" s="74">
        <v>0</v>
      </c>
      <c r="DD34" s="74">
        <v>0</v>
      </c>
      <c r="DE34" s="74">
        <v>0</v>
      </c>
      <c r="DF34" s="74">
        <v>0</v>
      </c>
      <c r="DG34" s="74">
        <v>0</v>
      </c>
      <c r="DH34" s="74">
        <v>0</v>
      </c>
      <c r="DI34" s="74">
        <v>0</v>
      </c>
      <c r="DJ34" s="74">
        <v>0</v>
      </c>
      <c r="DK34" s="74">
        <v>0</v>
      </c>
      <c r="DL34" s="74">
        <v>0</v>
      </c>
      <c r="DM34" s="74">
        <v>0</v>
      </c>
      <c r="DN34" s="74">
        <v>0</v>
      </c>
      <c r="DO34" s="74">
        <v>0</v>
      </c>
      <c r="DP34" s="74">
        <v>0</v>
      </c>
      <c r="DQ34" s="74">
        <v>0</v>
      </c>
      <c r="DR34" s="74">
        <v>0</v>
      </c>
      <c r="DS34" s="74">
        <v>0</v>
      </c>
      <c r="DT34" s="74">
        <v>0</v>
      </c>
      <c r="DU34" s="74">
        <v>0</v>
      </c>
      <c r="DV34" s="74">
        <v>0</v>
      </c>
      <c r="DW34" s="74">
        <v>0</v>
      </c>
      <c r="DX34" s="74">
        <v>0</v>
      </c>
      <c r="DY34" s="74">
        <v>0</v>
      </c>
      <c r="DZ34" s="74">
        <v>0</v>
      </c>
      <c r="EA34" s="74">
        <v>0</v>
      </c>
      <c r="EB34" s="74">
        <v>0</v>
      </c>
      <c r="EC34" s="74">
        <v>0</v>
      </c>
      <c r="ED34" s="74"/>
      <c r="EE34" s="80">
        <v>46147</v>
      </c>
      <c r="EF34" s="81">
        <v>46147.490582986109</v>
      </c>
      <c r="EG34" s="66" t="s">
        <v>71</v>
      </c>
      <c r="EH34" s="66" t="s">
        <v>209</v>
      </c>
      <c r="EI34" s="66" t="s">
        <v>6</v>
      </c>
      <c r="EJ34" s="66">
        <v>12</v>
      </c>
      <c r="EK34" s="66">
        <v>2027</v>
      </c>
      <c r="EL34" s="66" t="s">
        <v>24</v>
      </c>
      <c r="EM34" s="82">
        <v>290.68389790090976</v>
      </c>
      <c r="EN34" s="82">
        <v>257.5814628146079</v>
      </c>
      <c r="EO34" s="77">
        <v>273.51499999999999</v>
      </c>
      <c r="EP34" s="84">
        <v>0.20185877210205863</v>
      </c>
      <c r="EQ34" s="84">
        <v>0.20646392611324274</v>
      </c>
      <c r="ER34" s="84">
        <v>3.7812199999999997E-2</v>
      </c>
      <c r="ES34" s="85">
        <v>0.97269429659977535</v>
      </c>
      <c r="ET34" s="86">
        <v>1.4621999999999999</v>
      </c>
      <c r="EU34" s="85">
        <v>0.15269873395245903</v>
      </c>
      <c r="EV34" s="85">
        <v>3.6374216079711912E-2</v>
      </c>
      <c r="EW34" s="76">
        <v>3</v>
      </c>
      <c r="EX34" s="76" t="s">
        <v>32</v>
      </c>
      <c r="EY34" s="74" t="s">
        <v>243</v>
      </c>
      <c r="EZ34" s="74"/>
      <c r="FA34" s="74"/>
      <c r="FB34" s="74"/>
      <c r="FC34" s="74"/>
      <c r="FD34" s="68"/>
      <c r="FH34" s="73"/>
      <c r="FI34" s="74"/>
      <c r="FJ34" s="74"/>
      <c r="FK34" s="74"/>
      <c r="FL34" s="74"/>
      <c r="FM34" s="74"/>
      <c r="FN34" s="74"/>
      <c r="FO34" s="74"/>
      <c r="FP34" s="74"/>
      <c r="FQ34" s="74"/>
      <c r="FR34" s="74"/>
      <c r="FS34" s="74"/>
      <c r="FT34" s="74"/>
      <c r="FU34" s="74"/>
      <c r="FV34" s="74"/>
      <c r="FW34" s="74"/>
      <c r="FX34" s="74"/>
      <c r="FY34" s="74"/>
      <c r="FZ34" s="74"/>
      <c r="GA34" s="68"/>
    </row>
    <row r="35" spans="1:183" s="2" customFormat="1" ht="15" x14ac:dyDescent="0.3">
      <c r="A35" s="73" t="s">
        <v>187</v>
      </c>
      <c r="B35" s="73" t="s">
        <v>167</v>
      </c>
      <c r="C35" s="73" t="s">
        <v>167</v>
      </c>
      <c r="D35" s="73" t="s">
        <v>48</v>
      </c>
      <c r="E35" s="73" t="s">
        <v>178</v>
      </c>
      <c r="F35" s="73" t="s">
        <v>210</v>
      </c>
      <c r="G35" s="73" t="s">
        <v>227</v>
      </c>
      <c r="H35" s="73"/>
      <c r="I35" s="74">
        <v>0</v>
      </c>
      <c r="J35" s="74">
        <v>0</v>
      </c>
      <c r="K35" s="74">
        <v>0</v>
      </c>
      <c r="L35" s="74">
        <v>0</v>
      </c>
      <c r="M35" s="74">
        <v>-41136.700000000004</v>
      </c>
      <c r="N35" s="74">
        <v>-26050.2</v>
      </c>
      <c r="O35" s="74">
        <v>-19281.900000000001</v>
      </c>
      <c r="P35" s="74">
        <v>-33600.239999999998</v>
      </c>
      <c r="Q35" s="74">
        <v>-43102.799999999996</v>
      </c>
      <c r="R35" s="74">
        <v>-44893.364050028875</v>
      </c>
      <c r="S35" s="74">
        <v>-47138.03225253032</v>
      </c>
      <c r="T35" s="74">
        <v>-49494.93386515684</v>
      </c>
      <c r="U35" s="74">
        <v>0</v>
      </c>
      <c r="V35" s="74">
        <v>0</v>
      </c>
      <c r="W35" s="74">
        <v>0</v>
      </c>
      <c r="X35" s="74">
        <v>0</v>
      </c>
      <c r="Y35" s="74">
        <v>0</v>
      </c>
      <c r="Z35" s="74">
        <v>0</v>
      </c>
      <c r="AA35" s="74">
        <v>0</v>
      </c>
      <c r="AB35" s="74">
        <v>0</v>
      </c>
      <c r="AC35" s="74">
        <v>0</v>
      </c>
      <c r="AD35" s="74">
        <v>0</v>
      </c>
      <c r="AE35" s="74">
        <v>0</v>
      </c>
      <c r="AF35" s="74">
        <v>0</v>
      </c>
      <c r="AG35" s="74">
        <v>0</v>
      </c>
      <c r="AH35" s="74">
        <v>0</v>
      </c>
      <c r="AI35" s="74">
        <v>0</v>
      </c>
      <c r="AJ35" s="74">
        <v>0</v>
      </c>
      <c r="AK35" s="74"/>
      <c r="AL35" s="74">
        <v>0</v>
      </c>
      <c r="AM35" s="74">
        <v>0</v>
      </c>
      <c r="AN35" s="74">
        <v>0</v>
      </c>
      <c r="AO35" s="74">
        <v>0</v>
      </c>
      <c r="AP35" s="74">
        <v>0</v>
      </c>
      <c r="AQ35" s="74">
        <v>0</v>
      </c>
      <c r="AR35" s="74">
        <v>0</v>
      </c>
      <c r="AS35" s="74">
        <v>0</v>
      </c>
      <c r="AT35" s="74">
        <v>0</v>
      </c>
      <c r="AU35" s="74">
        <v>0</v>
      </c>
      <c r="AV35" s="74">
        <v>0</v>
      </c>
      <c r="AW35" s="74">
        <v>0</v>
      </c>
      <c r="AX35" s="74">
        <v>0</v>
      </c>
      <c r="AY35" s="74">
        <v>0</v>
      </c>
      <c r="AZ35" s="74">
        <v>0</v>
      </c>
      <c r="BA35" s="74">
        <v>0</v>
      </c>
      <c r="BB35" s="74">
        <v>0</v>
      </c>
      <c r="BC35" s="74">
        <v>0</v>
      </c>
      <c r="BD35" s="74">
        <v>0</v>
      </c>
      <c r="BE35" s="74">
        <v>0</v>
      </c>
      <c r="BF35" s="74">
        <v>0</v>
      </c>
      <c r="BG35" s="74">
        <v>0</v>
      </c>
      <c r="BH35" s="74">
        <v>0</v>
      </c>
      <c r="BI35" s="74">
        <v>0</v>
      </c>
      <c r="BJ35" s="74">
        <v>0</v>
      </c>
      <c r="BK35" s="74">
        <v>0</v>
      </c>
      <c r="BL35" s="74">
        <v>0</v>
      </c>
      <c r="BM35" s="74">
        <v>0</v>
      </c>
      <c r="BN35" s="74">
        <v>0</v>
      </c>
      <c r="BO35" s="74">
        <v>0</v>
      </c>
      <c r="BP35" s="74">
        <v>0</v>
      </c>
      <c r="BQ35" s="74">
        <v>0</v>
      </c>
      <c r="BR35" s="74">
        <v>0</v>
      </c>
      <c r="BS35" s="74">
        <v>0</v>
      </c>
      <c r="BT35" s="74">
        <v>0</v>
      </c>
      <c r="BU35" s="74">
        <v>0</v>
      </c>
      <c r="BV35" s="74">
        <v>0</v>
      </c>
      <c r="BW35" s="74">
        <v>0</v>
      </c>
      <c r="BX35" s="74">
        <v>0</v>
      </c>
      <c r="BY35" s="74">
        <v>0</v>
      </c>
      <c r="BZ35" s="74">
        <v>0</v>
      </c>
      <c r="CA35" s="74">
        <v>0</v>
      </c>
      <c r="CB35" s="74">
        <v>0</v>
      </c>
      <c r="CC35" s="74">
        <v>0</v>
      </c>
      <c r="CD35" s="74">
        <v>0</v>
      </c>
      <c r="CE35" s="74">
        <v>0</v>
      </c>
      <c r="CF35" s="74">
        <v>0</v>
      </c>
      <c r="CG35" s="74">
        <v>0</v>
      </c>
      <c r="CH35" s="74">
        <v>0</v>
      </c>
      <c r="CI35" s="74">
        <v>0</v>
      </c>
      <c r="CJ35" s="74">
        <v>0</v>
      </c>
      <c r="CK35" s="74">
        <v>0</v>
      </c>
      <c r="CL35" s="74">
        <v>0</v>
      </c>
      <c r="CM35" s="74">
        <v>0</v>
      </c>
      <c r="CN35" s="74">
        <v>0</v>
      </c>
      <c r="CO35" s="74">
        <v>0</v>
      </c>
      <c r="CP35" s="74">
        <v>0</v>
      </c>
      <c r="CQ35" s="74">
        <v>0</v>
      </c>
      <c r="CR35" s="74">
        <v>0</v>
      </c>
      <c r="CS35" s="74">
        <v>0</v>
      </c>
      <c r="CT35" s="74">
        <v>0</v>
      </c>
      <c r="CU35" s="74">
        <v>0</v>
      </c>
      <c r="CV35" s="74">
        <v>0</v>
      </c>
      <c r="CW35" s="74">
        <v>0</v>
      </c>
      <c r="CX35" s="74">
        <v>0</v>
      </c>
      <c r="CY35" s="74">
        <v>0</v>
      </c>
      <c r="CZ35" s="74">
        <v>0</v>
      </c>
      <c r="DA35" s="74">
        <v>0</v>
      </c>
      <c r="DB35" s="74">
        <v>0</v>
      </c>
      <c r="DC35" s="74">
        <v>0</v>
      </c>
      <c r="DD35" s="74">
        <v>0</v>
      </c>
      <c r="DE35" s="74">
        <v>0</v>
      </c>
      <c r="DF35" s="74">
        <v>0</v>
      </c>
      <c r="DG35" s="74">
        <v>0</v>
      </c>
      <c r="DH35" s="74">
        <v>0</v>
      </c>
      <c r="DI35" s="74">
        <v>0</v>
      </c>
      <c r="DJ35" s="74">
        <v>0</v>
      </c>
      <c r="DK35" s="74">
        <v>0</v>
      </c>
      <c r="DL35" s="74">
        <v>0</v>
      </c>
      <c r="DM35" s="74">
        <v>0</v>
      </c>
      <c r="DN35" s="74">
        <v>0</v>
      </c>
      <c r="DO35" s="74">
        <v>0</v>
      </c>
      <c r="DP35" s="74">
        <v>0</v>
      </c>
      <c r="DQ35" s="74">
        <v>0</v>
      </c>
      <c r="DR35" s="74">
        <v>0</v>
      </c>
      <c r="DS35" s="74">
        <v>0</v>
      </c>
      <c r="DT35" s="74">
        <v>0</v>
      </c>
      <c r="DU35" s="74">
        <v>0</v>
      </c>
      <c r="DV35" s="74">
        <v>0</v>
      </c>
      <c r="DW35" s="74">
        <v>0</v>
      </c>
      <c r="DX35" s="74">
        <v>0</v>
      </c>
      <c r="DY35" s="74">
        <v>0</v>
      </c>
      <c r="DZ35" s="74">
        <v>0</v>
      </c>
      <c r="EA35" s="74">
        <v>0</v>
      </c>
      <c r="EB35" s="74">
        <v>0</v>
      </c>
      <c r="EC35" s="74">
        <v>0</v>
      </c>
      <c r="ED35" s="74"/>
      <c r="EE35" s="80">
        <v>46147</v>
      </c>
      <c r="EF35" s="81">
        <v>46147.490582986109</v>
      </c>
      <c r="EG35" s="66" t="s">
        <v>71</v>
      </c>
      <c r="EH35" s="66" t="s">
        <v>209</v>
      </c>
      <c r="EI35" s="66" t="s">
        <v>6</v>
      </c>
      <c r="EJ35" s="66">
        <v>12</v>
      </c>
      <c r="EK35" s="66">
        <v>2027</v>
      </c>
      <c r="EL35" s="66" t="s">
        <v>24</v>
      </c>
      <c r="EM35" s="82">
        <v>290.68389790090976</v>
      </c>
      <c r="EN35" s="82">
        <v>257.5814628146079</v>
      </c>
      <c r="EO35" s="77">
        <v>273.51499999999999</v>
      </c>
      <c r="EP35" s="84">
        <v>0.20185877210205863</v>
      </c>
      <c r="EQ35" s="84">
        <v>0.20646392611324274</v>
      </c>
      <c r="ER35" s="84">
        <v>3.7812199999999997E-2</v>
      </c>
      <c r="ES35" s="85">
        <v>0.97269429659977535</v>
      </c>
      <c r="ET35" s="86">
        <v>1.4621999999999999</v>
      </c>
      <c r="EU35" s="85">
        <v>0.15269873395245903</v>
      </c>
      <c r="EV35" s="85">
        <v>3.6374216079711912E-2</v>
      </c>
      <c r="EW35" s="76">
        <v>3</v>
      </c>
      <c r="EX35" s="76" t="s">
        <v>32</v>
      </c>
      <c r="EY35" s="74" t="s">
        <v>243</v>
      </c>
      <c r="EZ35" s="74"/>
      <c r="FA35" s="74"/>
      <c r="FB35" s="74"/>
      <c r="FC35" s="74"/>
      <c r="FD35" s="68"/>
      <c r="FH35" s="73"/>
      <c r="FI35" s="74"/>
      <c r="FJ35" s="74"/>
      <c r="FK35" s="74"/>
      <c r="FL35" s="74"/>
      <c r="FM35" s="74"/>
      <c r="FN35" s="74"/>
      <c r="FO35" s="74"/>
      <c r="FP35" s="74"/>
      <c r="FQ35" s="74"/>
      <c r="FR35" s="74"/>
      <c r="FS35" s="74"/>
      <c r="FT35" s="74"/>
      <c r="FU35" s="74"/>
      <c r="FV35" s="74"/>
      <c r="FW35" s="74"/>
      <c r="FX35" s="74"/>
      <c r="FY35" s="74"/>
      <c r="FZ35" s="74"/>
      <c r="GA35" s="68"/>
    </row>
    <row r="36" spans="1:183" s="2" customFormat="1" ht="15" x14ac:dyDescent="0.3">
      <c r="A36" s="73" t="s">
        <v>188</v>
      </c>
      <c r="B36" s="73" t="s">
        <v>169</v>
      </c>
      <c r="C36" s="73" t="s">
        <v>169</v>
      </c>
      <c r="D36" s="73" t="s">
        <v>48</v>
      </c>
      <c r="E36" s="73" t="s">
        <v>178</v>
      </c>
      <c r="F36" s="73" t="s">
        <v>210</v>
      </c>
      <c r="G36" s="73" t="s">
        <v>227</v>
      </c>
      <c r="H36" s="73"/>
      <c r="I36" s="74">
        <v>0</v>
      </c>
      <c r="J36" s="74">
        <v>0</v>
      </c>
      <c r="K36" s="74">
        <v>0</v>
      </c>
      <c r="L36" s="74">
        <v>0</v>
      </c>
      <c r="M36" s="74">
        <v>-11284.900000000001</v>
      </c>
      <c r="N36" s="74">
        <v>-7382.1</v>
      </c>
      <c r="O36" s="74">
        <v>-4558.4000000000005</v>
      </c>
      <c r="P36" s="74">
        <v>-9765.2099999999991</v>
      </c>
      <c r="Q36" s="74">
        <v>-9902.1</v>
      </c>
      <c r="R36" s="74">
        <v>-10144.045792816309</v>
      </c>
      <c r="S36" s="74">
        <v>-10651.248082457125</v>
      </c>
      <c r="T36" s="74">
        <v>-11183.810486579981</v>
      </c>
      <c r="U36" s="74">
        <v>0</v>
      </c>
      <c r="V36" s="74">
        <v>0</v>
      </c>
      <c r="W36" s="74">
        <v>0</v>
      </c>
      <c r="X36" s="74">
        <v>0</v>
      </c>
      <c r="Y36" s="74">
        <v>0</v>
      </c>
      <c r="Z36" s="74">
        <v>0</v>
      </c>
      <c r="AA36" s="74">
        <v>0</v>
      </c>
      <c r="AB36" s="74">
        <v>0</v>
      </c>
      <c r="AC36" s="74">
        <v>0</v>
      </c>
      <c r="AD36" s="74">
        <v>0</v>
      </c>
      <c r="AE36" s="74">
        <v>0</v>
      </c>
      <c r="AF36" s="74">
        <v>0</v>
      </c>
      <c r="AG36" s="74">
        <v>0</v>
      </c>
      <c r="AH36" s="74">
        <v>0</v>
      </c>
      <c r="AI36" s="74">
        <v>0</v>
      </c>
      <c r="AJ36" s="74">
        <v>0</v>
      </c>
      <c r="AK36" s="74"/>
      <c r="AL36" s="74">
        <v>0</v>
      </c>
      <c r="AM36" s="74">
        <v>0</v>
      </c>
      <c r="AN36" s="74">
        <v>0</v>
      </c>
      <c r="AO36" s="74">
        <v>0</v>
      </c>
      <c r="AP36" s="74">
        <v>0</v>
      </c>
      <c r="AQ36" s="74">
        <v>0</v>
      </c>
      <c r="AR36" s="74">
        <v>0</v>
      </c>
      <c r="AS36" s="74">
        <v>0</v>
      </c>
      <c r="AT36" s="74">
        <v>0</v>
      </c>
      <c r="AU36" s="74">
        <v>0</v>
      </c>
      <c r="AV36" s="74">
        <v>0</v>
      </c>
      <c r="AW36" s="74">
        <v>0</v>
      </c>
      <c r="AX36" s="74">
        <v>0</v>
      </c>
      <c r="AY36" s="74">
        <v>0</v>
      </c>
      <c r="AZ36" s="74">
        <v>0</v>
      </c>
      <c r="BA36" s="74">
        <v>0</v>
      </c>
      <c r="BB36" s="74">
        <v>0</v>
      </c>
      <c r="BC36" s="74">
        <v>0</v>
      </c>
      <c r="BD36" s="74">
        <v>0</v>
      </c>
      <c r="BE36" s="74">
        <v>0</v>
      </c>
      <c r="BF36" s="74">
        <v>0</v>
      </c>
      <c r="BG36" s="74">
        <v>0</v>
      </c>
      <c r="BH36" s="74">
        <v>0</v>
      </c>
      <c r="BI36" s="74">
        <v>0</v>
      </c>
      <c r="BJ36" s="74">
        <v>0</v>
      </c>
      <c r="BK36" s="74">
        <v>0</v>
      </c>
      <c r="BL36" s="74">
        <v>0</v>
      </c>
      <c r="BM36" s="74">
        <v>0</v>
      </c>
      <c r="BN36" s="74">
        <v>0</v>
      </c>
      <c r="BO36" s="74">
        <v>0</v>
      </c>
      <c r="BP36" s="74">
        <v>0</v>
      </c>
      <c r="BQ36" s="74">
        <v>0</v>
      </c>
      <c r="BR36" s="74">
        <v>0</v>
      </c>
      <c r="BS36" s="74">
        <v>0</v>
      </c>
      <c r="BT36" s="74">
        <v>0</v>
      </c>
      <c r="BU36" s="74">
        <v>0</v>
      </c>
      <c r="BV36" s="74">
        <v>0</v>
      </c>
      <c r="BW36" s="74">
        <v>0</v>
      </c>
      <c r="BX36" s="74">
        <v>0</v>
      </c>
      <c r="BY36" s="74">
        <v>0</v>
      </c>
      <c r="BZ36" s="74">
        <v>0</v>
      </c>
      <c r="CA36" s="74">
        <v>0</v>
      </c>
      <c r="CB36" s="74">
        <v>0</v>
      </c>
      <c r="CC36" s="74">
        <v>0</v>
      </c>
      <c r="CD36" s="74">
        <v>0</v>
      </c>
      <c r="CE36" s="74">
        <v>0</v>
      </c>
      <c r="CF36" s="74">
        <v>0</v>
      </c>
      <c r="CG36" s="74">
        <v>0</v>
      </c>
      <c r="CH36" s="74">
        <v>0</v>
      </c>
      <c r="CI36" s="74">
        <v>0</v>
      </c>
      <c r="CJ36" s="74">
        <v>0</v>
      </c>
      <c r="CK36" s="74">
        <v>0</v>
      </c>
      <c r="CL36" s="74">
        <v>0</v>
      </c>
      <c r="CM36" s="74">
        <v>0</v>
      </c>
      <c r="CN36" s="74">
        <v>0</v>
      </c>
      <c r="CO36" s="74">
        <v>0</v>
      </c>
      <c r="CP36" s="74">
        <v>0</v>
      </c>
      <c r="CQ36" s="74">
        <v>0</v>
      </c>
      <c r="CR36" s="74">
        <v>0</v>
      </c>
      <c r="CS36" s="74">
        <v>0</v>
      </c>
      <c r="CT36" s="74">
        <v>0</v>
      </c>
      <c r="CU36" s="74">
        <v>0</v>
      </c>
      <c r="CV36" s="74">
        <v>0</v>
      </c>
      <c r="CW36" s="74">
        <v>0</v>
      </c>
      <c r="CX36" s="74">
        <v>0</v>
      </c>
      <c r="CY36" s="74">
        <v>0</v>
      </c>
      <c r="CZ36" s="74">
        <v>0</v>
      </c>
      <c r="DA36" s="74">
        <v>0</v>
      </c>
      <c r="DB36" s="74">
        <v>0</v>
      </c>
      <c r="DC36" s="74">
        <v>0</v>
      </c>
      <c r="DD36" s="74">
        <v>0</v>
      </c>
      <c r="DE36" s="74">
        <v>0</v>
      </c>
      <c r="DF36" s="74">
        <v>0</v>
      </c>
      <c r="DG36" s="74">
        <v>0</v>
      </c>
      <c r="DH36" s="74">
        <v>0</v>
      </c>
      <c r="DI36" s="74">
        <v>0</v>
      </c>
      <c r="DJ36" s="74">
        <v>0</v>
      </c>
      <c r="DK36" s="74">
        <v>0</v>
      </c>
      <c r="DL36" s="74">
        <v>0</v>
      </c>
      <c r="DM36" s="74">
        <v>0</v>
      </c>
      <c r="DN36" s="74">
        <v>0</v>
      </c>
      <c r="DO36" s="74">
        <v>0</v>
      </c>
      <c r="DP36" s="74">
        <v>0</v>
      </c>
      <c r="DQ36" s="74">
        <v>0</v>
      </c>
      <c r="DR36" s="74">
        <v>0</v>
      </c>
      <c r="DS36" s="74">
        <v>0</v>
      </c>
      <c r="DT36" s="74">
        <v>0</v>
      </c>
      <c r="DU36" s="74">
        <v>0</v>
      </c>
      <c r="DV36" s="74">
        <v>0</v>
      </c>
      <c r="DW36" s="74">
        <v>0</v>
      </c>
      <c r="DX36" s="74">
        <v>0</v>
      </c>
      <c r="DY36" s="74">
        <v>0</v>
      </c>
      <c r="DZ36" s="74">
        <v>0</v>
      </c>
      <c r="EA36" s="74">
        <v>0</v>
      </c>
      <c r="EB36" s="74">
        <v>0</v>
      </c>
      <c r="EC36" s="74">
        <v>0</v>
      </c>
      <c r="ED36" s="74"/>
      <c r="EE36" s="80">
        <v>46147</v>
      </c>
      <c r="EF36" s="81">
        <v>46147.490582986109</v>
      </c>
      <c r="EG36" s="66" t="s">
        <v>71</v>
      </c>
      <c r="EH36" s="66" t="s">
        <v>209</v>
      </c>
      <c r="EI36" s="66" t="s">
        <v>6</v>
      </c>
      <c r="EJ36" s="66">
        <v>12</v>
      </c>
      <c r="EK36" s="66">
        <v>2027</v>
      </c>
      <c r="EL36" s="66" t="s">
        <v>24</v>
      </c>
      <c r="EM36" s="82">
        <v>290.68389790090976</v>
      </c>
      <c r="EN36" s="82">
        <v>257.5814628146079</v>
      </c>
      <c r="EO36" s="77">
        <v>273.51499999999999</v>
      </c>
      <c r="EP36" s="84">
        <v>0.20185877210205863</v>
      </c>
      <c r="EQ36" s="84">
        <v>0.20646392611324274</v>
      </c>
      <c r="ER36" s="84">
        <v>3.7812199999999997E-2</v>
      </c>
      <c r="ES36" s="85">
        <v>0.97269429659977535</v>
      </c>
      <c r="ET36" s="86">
        <v>1.4621999999999999</v>
      </c>
      <c r="EU36" s="85">
        <v>0.15269873395245903</v>
      </c>
      <c r="EV36" s="85">
        <v>3.6374216079711912E-2</v>
      </c>
      <c r="EW36" s="76">
        <v>3</v>
      </c>
      <c r="EX36" s="76" t="s">
        <v>32</v>
      </c>
      <c r="EY36" s="74" t="s">
        <v>243</v>
      </c>
      <c r="EZ36" s="74"/>
      <c r="FA36" s="74"/>
      <c r="FB36" s="74"/>
      <c r="FC36" s="74"/>
      <c r="FD36" s="68"/>
      <c r="FH36" s="73"/>
      <c r="FI36" s="74"/>
      <c r="FJ36" s="74"/>
      <c r="FK36" s="74"/>
      <c r="FL36" s="74"/>
      <c r="FM36" s="74"/>
      <c r="FN36" s="74"/>
      <c r="FO36" s="74"/>
      <c r="FP36" s="74"/>
      <c r="FQ36" s="74"/>
      <c r="FR36" s="74"/>
      <c r="FS36" s="74"/>
      <c r="FT36" s="74"/>
      <c r="FU36" s="74"/>
      <c r="FV36" s="74"/>
      <c r="FW36" s="74"/>
      <c r="FX36" s="74"/>
      <c r="FY36" s="74"/>
      <c r="FZ36" s="74"/>
      <c r="GA36" s="68"/>
    </row>
    <row r="37" spans="1:183" s="2" customFormat="1" ht="15" x14ac:dyDescent="0.3">
      <c r="A37" s="73" t="s">
        <v>189</v>
      </c>
      <c r="B37" s="73" t="s">
        <v>173</v>
      </c>
      <c r="C37" s="73" t="s">
        <v>173</v>
      </c>
      <c r="D37" s="73" t="s">
        <v>48</v>
      </c>
      <c r="E37" s="73" t="s">
        <v>178</v>
      </c>
      <c r="F37" s="73" t="s">
        <v>210</v>
      </c>
      <c r="G37" s="73" t="s">
        <v>227</v>
      </c>
      <c r="H37" s="73"/>
      <c r="I37" s="74">
        <v>0</v>
      </c>
      <c r="J37" s="74">
        <v>0</v>
      </c>
      <c r="K37" s="74">
        <v>0</v>
      </c>
      <c r="L37" s="74">
        <v>0</v>
      </c>
      <c r="M37" s="74">
        <v>-24251.7</v>
      </c>
      <c r="N37" s="74">
        <v>-30530.500000000004</v>
      </c>
      <c r="O37" s="74">
        <v>-27327.300000000003</v>
      </c>
      <c r="P37" s="74">
        <v>-80433.17</v>
      </c>
      <c r="Q37" s="74">
        <v>-115795.2</v>
      </c>
      <c r="R37" s="74">
        <v>-176385.12815939245</v>
      </c>
      <c r="S37" s="74">
        <v>-185204.38456736208</v>
      </c>
      <c r="T37" s="74">
        <v>-194464.60379573019</v>
      </c>
      <c r="U37" s="74">
        <v>0</v>
      </c>
      <c r="V37" s="74">
        <v>0</v>
      </c>
      <c r="W37" s="74">
        <v>0</v>
      </c>
      <c r="X37" s="74">
        <v>0</v>
      </c>
      <c r="Y37" s="74">
        <v>0</v>
      </c>
      <c r="Z37" s="74">
        <v>0</v>
      </c>
      <c r="AA37" s="74">
        <v>0</v>
      </c>
      <c r="AB37" s="74">
        <v>0</v>
      </c>
      <c r="AC37" s="74">
        <v>0</v>
      </c>
      <c r="AD37" s="74">
        <v>0</v>
      </c>
      <c r="AE37" s="74">
        <v>0</v>
      </c>
      <c r="AF37" s="74">
        <v>0</v>
      </c>
      <c r="AG37" s="74">
        <v>0</v>
      </c>
      <c r="AH37" s="74">
        <v>0</v>
      </c>
      <c r="AI37" s="74">
        <v>0</v>
      </c>
      <c r="AJ37" s="74">
        <v>0</v>
      </c>
      <c r="AK37" s="74"/>
      <c r="AL37" s="74">
        <v>0</v>
      </c>
      <c r="AM37" s="74">
        <v>0</v>
      </c>
      <c r="AN37" s="74">
        <v>0</v>
      </c>
      <c r="AO37" s="74">
        <v>0</v>
      </c>
      <c r="AP37" s="74">
        <v>0</v>
      </c>
      <c r="AQ37" s="74">
        <v>0</v>
      </c>
      <c r="AR37" s="74">
        <v>0</v>
      </c>
      <c r="AS37" s="74">
        <v>0</v>
      </c>
      <c r="AT37" s="74">
        <v>0</v>
      </c>
      <c r="AU37" s="74">
        <v>0</v>
      </c>
      <c r="AV37" s="74">
        <v>0</v>
      </c>
      <c r="AW37" s="74">
        <v>0</v>
      </c>
      <c r="AX37" s="74">
        <v>0</v>
      </c>
      <c r="AY37" s="74">
        <v>0</v>
      </c>
      <c r="AZ37" s="74">
        <v>0</v>
      </c>
      <c r="BA37" s="74">
        <v>0</v>
      </c>
      <c r="BB37" s="74">
        <v>0</v>
      </c>
      <c r="BC37" s="74">
        <v>0</v>
      </c>
      <c r="BD37" s="74">
        <v>0</v>
      </c>
      <c r="BE37" s="74">
        <v>0</v>
      </c>
      <c r="BF37" s="74">
        <v>0</v>
      </c>
      <c r="BG37" s="74">
        <v>0</v>
      </c>
      <c r="BH37" s="74">
        <v>0</v>
      </c>
      <c r="BI37" s="74">
        <v>0</v>
      </c>
      <c r="BJ37" s="74">
        <v>0</v>
      </c>
      <c r="BK37" s="74">
        <v>0</v>
      </c>
      <c r="BL37" s="74">
        <v>0</v>
      </c>
      <c r="BM37" s="74">
        <v>0</v>
      </c>
      <c r="BN37" s="74">
        <v>0</v>
      </c>
      <c r="BO37" s="74">
        <v>0</v>
      </c>
      <c r="BP37" s="74">
        <v>0</v>
      </c>
      <c r="BQ37" s="74">
        <v>0</v>
      </c>
      <c r="BR37" s="74">
        <v>0</v>
      </c>
      <c r="BS37" s="74">
        <v>0</v>
      </c>
      <c r="BT37" s="74">
        <v>0</v>
      </c>
      <c r="BU37" s="74">
        <v>0</v>
      </c>
      <c r="BV37" s="74">
        <v>0</v>
      </c>
      <c r="BW37" s="74">
        <v>0</v>
      </c>
      <c r="BX37" s="74">
        <v>0</v>
      </c>
      <c r="BY37" s="74">
        <v>0</v>
      </c>
      <c r="BZ37" s="74">
        <v>0</v>
      </c>
      <c r="CA37" s="74">
        <v>0</v>
      </c>
      <c r="CB37" s="74">
        <v>0</v>
      </c>
      <c r="CC37" s="74">
        <v>0</v>
      </c>
      <c r="CD37" s="74">
        <v>0</v>
      </c>
      <c r="CE37" s="74">
        <v>0</v>
      </c>
      <c r="CF37" s="74">
        <v>0</v>
      </c>
      <c r="CG37" s="74">
        <v>0</v>
      </c>
      <c r="CH37" s="74">
        <v>0</v>
      </c>
      <c r="CI37" s="74">
        <v>0</v>
      </c>
      <c r="CJ37" s="74">
        <v>0</v>
      </c>
      <c r="CK37" s="74">
        <v>0</v>
      </c>
      <c r="CL37" s="74">
        <v>0</v>
      </c>
      <c r="CM37" s="74">
        <v>0</v>
      </c>
      <c r="CN37" s="74">
        <v>0</v>
      </c>
      <c r="CO37" s="74">
        <v>0</v>
      </c>
      <c r="CP37" s="74">
        <v>0</v>
      </c>
      <c r="CQ37" s="74">
        <v>0</v>
      </c>
      <c r="CR37" s="74">
        <v>0</v>
      </c>
      <c r="CS37" s="74">
        <v>0</v>
      </c>
      <c r="CT37" s="74">
        <v>0</v>
      </c>
      <c r="CU37" s="74">
        <v>0</v>
      </c>
      <c r="CV37" s="74">
        <v>0</v>
      </c>
      <c r="CW37" s="74">
        <v>0</v>
      </c>
      <c r="CX37" s="74">
        <v>0</v>
      </c>
      <c r="CY37" s="74">
        <v>0</v>
      </c>
      <c r="CZ37" s="74">
        <v>0</v>
      </c>
      <c r="DA37" s="74">
        <v>0</v>
      </c>
      <c r="DB37" s="74">
        <v>0</v>
      </c>
      <c r="DC37" s="74">
        <v>0</v>
      </c>
      <c r="DD37" s="74">
        <v>0</v>
      </c>
      <c r="DE37" s="74">
        <v>0</v>
      </c>
      <c r="DF37" s="74">
        <v>0</v>
      </c>
      <c r="DG37" s="74">
        <v>0</v>
      </c>
      <c r="DH37" s="74">
        <v>0</v>
      </c>
      <c r="DI37" s="74">
        <v>0</v>
      </c>
      <c r="DJ37" s="74">
        <v>0</v>
      </c>
      <c r="DK37" s="74">
        <v>0</v>
      </c>
      <c r="DL37" s="74">
        <v>0</v>
      </c>
      <c r="DM37" s="74">
        <v>0</v>
      </c>
      <c r="DN37" s="74">
        <v>0</v>
      </c>
      <c r="DO37" s="74">
        <v>0</v>
      </c>
      <c r="DP37" s="74">
        <v>0</v>
      </c>
      <c r="DQ37" s="74">
        <v>0</v>
      </c>
      <c r="DR37" s="74">
        <v>0</v>
      </c>
      <c r="DS37" s="74">
        <v>0</v>
      </c>
      <c r="DT37" s="74">
        <v>0</v>
      </c>
      <c r="DU37" s="74">
        <v>0</v>
      </c>
      <c r="DV37" s="74">
        <v>0</v>
      </c>
      <c r="DW37" s="74">
        <v>0</v>
      </c>
      <c r="DX37" s="74">
        <v>0</v>
      </c>
      <c r="DY37" s="74">
        <v>0</v>
      </c>
      <c r="DZ37" s="74">
        <v>0</v>
      </c>
      <c r="EA37" s="74">
        <v>0</v>
      </c>
      <c r="EB37" s="74">
        <v>0</v>
      </c>
      <c r="EC37" s="74">
        <v>0</v>
      </c>
      <c r="ED37" s="74"/>
      <c r="EE37" s="80">
        <v>46147</v>
      </c>
      <c r="EF37" s="81">
        <v>46147.490582986109</v>
      </c>
      <c r="EG37" s="66" t="s">
        <v>71</v>
      </c>
      <c r="EH37" s="66" t="s">
        <v>209</v>
      </c>
      <c r="EI37" s="66" t="s">
        <v>6</v>
      </c>
      <c r="EJ37" s="66">
        <v>12</v>
      </c>
      <c r="EK37" s="66">
        <v>2027</v>
      </c>
      <c r="EL37" s="66" t="s">
        <v>24</v>
      </c>
      <c r="EM37" s="82">
        <v>290.68389790090976</v>
      </c>
      <c r="EN37" s="82">
        <v>257.5814628146079</v>
      </c>
      <c r="EO37" s="77">
        <v>273.51499999999999</v>
      </c>
      <c r="EP37" s="84">
        <v>0.20185877210205863</v>
      </c>
      <c r="EQ37" s="84">
        <v>0.20646392611324274</v>
      </c>
      <c r="ER37" s="84">
        <v>3.7812199999999997E-2</v>
      </c>
      <c r="ES37" s="85">
        <v>0.97269429659977535</v>
      </c>
      <c r="ET37" s="86">
        <v>1.4621999999999999</v>
      </c>
      <c r="EU37" s="85">
        <v>0.15269873395245903</v>
      </c>
      <c r="EV37" s="85">
        <v>3.6374216079711912E-2</v>
      </c>
      <c r="EW37" s="76">
        <v>3</v>
      </c>
      <c r="EX37" s="76" t="s">
        <v>32</v>
      </c>
      <c r="EY37" s="74" t="s">
        <v>243</v>
      </c>
      <c r="EZ37" s="74"/>
      <c r="FA37" s="74"/>
      <c r="FB37" s="74"/>
      <c r="FC37" s="74"/>
      <c r="FD37" s="68"/>
      <c r="FH37" s="73"/>
      <c r="FI37" s="74"/>
      <c r="FJ37" s="74"/>
      <c r="FK37" s="74"/>
      <c r="FL37" s="74"/>
      <c r="FM37" s="74"/>
      <c r="FN37" s="74"/>
      <c r="FO37" s="74"/>
      <c r="FP37" s="74"/>
      <c r="FQ37" s="74"/>
      <c r="FR37" s="74"/>
      <c r="FS37" s="74"/>
      <c r="FT37" s="74"/>
      <c r="FU37" s="74"/>
      <c r="FV37" s="74"/>
      <c r="FW37" s="74"/>
      <c r="FX37" s="74"/>
      <c r="FY37" s="74"/>
      <c r="FZ37" s="74"/>
      <c r="GA37" s="68"/>
    </row>
    <row r="38" spans="1:183" s="2" customFormat="1" ht="15" x14ac:dyDescent="0.3">
      <c r="A38" s="73" t="s">
        <v>198</v>
      </c>
      <c r="B38" s="73" t="s">
        <v>175</v>
      </c>
      <c r="C38" s="73" t="s">
        <v>175</v>
      </c>
      <c r="D38" s="73" t="s">
        <v>48</v>
      </c>
      <c r="E38" s="73" t="s">
        <v>178</v>
      </c>
      <c r="F38" s="73" t="s">
        <v>210</v>
      </c>
      <c r="G38" s="73" t="s">
        <v>227</v>
      </c>
      <c r="H38" s="73"/>
      <c r="I38" s="74">
        <v>0</v>
      </c>
      <c r="J38" s="74">
        <v>0</v>
      </c>
      <c r="K38" s="74">
        <v>0</v>
      </c>
      <c r="L38" s="74">
        <v>0</v>
      </c>
      <c r="M38" s="74">
        <v>-2884.2000000000003</v>
      </c>
      <c r="N38" s="74">
        <v>-2956.8</v>
      </c>
      <c r="O38" s="74">
        <v>-2010.8000000000002</v>
      </c>
      <c r="P38" s="74">
        <v>-2674.26</v>
      </c>
      <c r="Q38" s="74">
        <v>-2436</v>
      </c>
      <c r="R38" s="74">
        <v>-1804.0038880289362</v>
      </c>
      <c r="S38" s="74">
        <v>-1804.184288417739</v>
      </c>
      <c r="T38" s="74">
        <v>-1804.3647068465807</v>
      </c>
      <c r="U38" s="74">
        <v>0</v>
      </c>
      <c r="V38" s="74">
        <v>0</v>
      </c>
      <c r="W38" s="74">
        <v>0</v>
      </c>
      <c r="X38" s="74">
        <v>0</v>
      </c>
      <c r="Y38" s="74">
        <v>0</v>
      </c>
      <c r="Z38" s="74">
        <v>0</v>
      </c>
      <c r="AA38" s="74">
        <v>0</v>
      </c>
      <c r="AB38" s="74">
        <v>0</v>
      </c>
      <c r="AC38" s="74">
        <v>0</v>
      </c>
      <c r="AD38" s="74">
        <v>0</v>
      </c>
      <c r="AE38" s="74">
        <v>0</v>
      </c>
      <c r="AF38" s="74">
        <v>0</v>
      </c>
      <c r="AG38" s="74">
        <v>0</v>
      </c>
      <c r="AH38" s="74">
        <v>0</v>
      </c>
      <c r="AI38" s="74">
        <v>0</v>
      </c>
      <c r="AJ38" s="74">
        <v>0</v>
      </c>
      <c r="AK38" s="74"/>
      <c r="AL38" s="74">
        <v>0</v>
      </c>
      <c r="AM38" s="74">
        <v>0</v>
      </c>
      <c r="AN38" s="74">
        <v>0</v>
      </c>
      <c r="AO38" s="74">
        <v>0</v>
      </c>
      <c r="AP38" s="74">
        <v>0</v>
      </c>
      <c r="AQ38" s="74">
        <v>0</v>
      </c>
      <c r="AR38" s="74">
        <v>0</v>
      </c>
      <c r="AS38" s="74">
        <v>0</v>
      </c>
      <c r="AT38" s="74">
        <v>0</v>
      </c>
      <c r="AU38" s="74">
        <v>0</v>
      </c>
      <c r="AV38" s="74">
        <v>0</v>
      </c>
      <c r="AW38" s="74">
        <v>0</v>
      </c>
      <c r="AX38" s="74">
        <v>0</v>
      </c>
      <c r="AY38" s="74">
        <v>0</v>
      </c>
      <c r="AZ38" s="74">
        <v>0</v>
      </c>
      <c r="BA38" s="74">
        <v>0</v>
      </c>
      <c r="BB38" s="74">
        <v>0</v>
      </c>
      <c r="BC38" s="74">
        <v>0</v>
      </c>
      <c r="BD38" s="74">
        <v>0</v>
      </c>
      <c r="BE38" s="74">
        <v>0</v>
      </c>
      <c r="BF38" s="74">
        <v>0</v>
      </c>
      <c r="BG38" s="74">
        <v>0</v>
      </c>
      <c r="BH38" s="74">
        <v>0</v>
      </c>
      <c r="BI38" s="74">
        <v>0</v>
      </c>
      <c r="BJ38" s="74">
        <v>0</v>
      </c>
      <c r="BK38" s="74">
        <v>0</v>
      </c>
      <c r="BL38" s="74">
        <v>0</v>
      </c>
      <c r="BM38" s="74">
        <v>0</v>
      </c>
      <c r="BN38" s="74">
        <v>0</v>
      </c>
      <c r="BO38" s="74">
        <v>0</v>
      </c>
      <c r="BP38" s="74">
        <v>0</v>
      </c>
      <c r="BQ38" s="74">
        <v>0</v>
      </c>
      <c r="BR38" s="74">
        <v>0</v>
      </c>
      <c r="BS38" s="74">
        <v>0</v>
      </c>
      <c r="BT38" s="74">
        <v>0</v>
      </c>
      <c r="BU38" s="74">
        <v>0</v>
      </c>
      <c r="BV38" s="74">
        <v>0</v>
      </c>
      <c r="BW38" s="74">
        <v>0</v>
      </c>
      <c r="BX38" s="74">
        <v>0</v>
      </c>
      <c r="BY38" s="74">
        <v>0</v>
      </c>
      <c r="BZ38" s="74">
        <v>0</v>
      </c>
      <c r="CA38" s="74">
        <v>0</v>
      </c>
      <c r="CB38" s="74">
        <v>0</v>
      </c>
      <c r="CC38" s="74">
        <v>0</v>
      </c>
      <c r="CD38" s="74">
        <v>0</v>
      </c>
      <c r="CE38" s="74">
        <v>0</v>
      </c>
      <c r="CF38" s="74">
        <v>0</v>
      </c>
      <c r="CG38" s="74">
        <v>0</v>
      </c>
      <c r="CH38" s="74">
        <v>0</v>
      </c>
      <c r="CI38" s="74">
        <v>0</v>
      </c>
      <c r="CJ38" s="74">
        <v>0</v>
      </c>
      <c r="CK38" s="74">
        <v>0</v>
      </c>
      <c r="CL38" s="74">
        <v>0</v>
      </c>
      <c r="CM38" s="74">
        <v>0</v>
      </c>
      <c r="CN38" s="74">
        <v>0</v>
      </c>
      <c r="CO38" s="74">
        <v>0</v>
      </c>
      <c r="CP38" s="74">
        <v>0</v>
      </c>
      <c r="CQ38" s="74">
        <v>0</v>
      </c>
      <c r="CR38" s="74">
        <v>0</v>
      </c>
      <c r="CS38" s="74">
        <v>0</v>
      </c>
      <c r="CT38" s="74">
        <v>0</v>
      </c>
      <c r="CU38" s="74">
        <v>0</v>
      </c>
      <c r="CV38" s="74">
        <v>0</v>
      </c>
      <c r="CW38" s="74">
        <v>0</v>
      </c>
      <c r="CX38" s="74">
        <v>0</v>
      </c>
      <c r="CY38" s="74">
        <v>0</v>
      </c>
      <c r="CZ38" s="74">
        <v>0</v>
      </c>
      <c r="DA38" s="74">
        <v>0</v>
      </c>
      <c r="DB38" s="74">
        <v>0</v>
      </c>
      <c r="DC38" s="74">
        <v>0</v>
      </c>
      <c r="DD38" s="74">
        <v>0</v>
      </c>
      <c r="DE38" s="74">
        <v>0</v>
      </c>
      <c r="DF38" s="74">
        <v>0</v>
      </c>
      <c r="DG38" s="74">
        <v>0</v>
      </c>
      <c r="DH38" s="74">
        <v>0</v>
      </c>
      <c r="DI38" s="74">
        <v>0</v>
      </c>
      <c r="DJ38" s="74">
        <v>0</v>
      </c>
      <c r="DK38" s="74">
        <v>0</v>
      </c>
      <c r="DL38" s="74">
        <v>0</v>
      </c>
      <c r="DM38" s="74">
        <v>0</v>
      </c>
      <c r="DN38" s="74">
        <v>0</v>
      </c>
      <c r="DO38" s="74">
        <v>0</v>
      </c>
      <c r="DP38" s="74">
        <v>0</v>
      </c>
      <c r="DQ38" s="74">
        <v>0</v>
      </c>
      <c r="DR38" s="74">
        <v>0</v>
      </c>
      <c r="DS38" s="74">
        <v>0</v>
      </c>
      <c r="DT38" s="74">
        <v>0</v>
      </c>
      <c r="DU38" s="74">
        <v>0</v>
      </c>
      <c r="DV38" s="74">
        <v>0</v>
      </c>
      <c r="DW38" s="74">
        <v>0</v>
      </c>
      <c r="DX38" s="74">
        <v>0</v>
      </c>
      <c r="DY38" s="74">
        <v>0</v>
      </c>
      <c r="DZ38" s="74">
        <v>0</v>
      </c>
      <c r="EA38" s="74">
        <v>0</v>
      </c>
      <c r="EB38" s="74">
        <v>0</v>
      </c>
      <c r="EC38" s="74">
        <v>0</v>
      </c>
      <c r="ED38" s="74"/>
      <c r="EE38" s="80">
        <v>46147</v>
      </c>
      <c r="EF38" s="81">
        <v>46147.490582986109</v>
      </c>
      <c r="EG38" s="66" t="s">
        <v>71</v>
      </c>
      <c r="EH38" s="66" t="s">
        <v>209</v>
      </c>
      <c r="EI38" s="66" t="s">
        <v>6</v>
      </c>
      <c r="EJ38" s="66">
        <v>12</v>
      </c>
      <c r="EK38" s="66">
        <v>2027</v>
      </c>
      <c r="EL38" s="66" t="s">
        <v>24</v>
      </c>
      <c r="EM38" s="82">
        <v>290.68389790090976</v>
      </c>
      <c r="EN38" s="82">
        <v>257.5814628146079</v>
      </c>
      <c r="EO38" s="77">
        <v>273.51499999999999</v>
      </c>
      <c r="EP38" s="84">
        <v>0.20185877210205863</v>
      </c>
      <c r="EQ38" s="84">
        <v>0.20646392611324274</v>
      </c>
      <c r="ER38" s="84">
        <v>3.7812199999999997E-2</v>
      </c>
      <c r="ES38" s="85">
        <v>0.97269429659977535</v>
      </c>
      <c r="ET38" s="86">
        <v>1.4621999999999999</v>
      </c>
      <c r="EU38" s="85">
        <v>0.15269873395245903</v>
      </c>
      <c r="EV38" s="85">
        <v>3.6374216079711912E-2</v>
      </c>
      <c r="EW38" s="76">
        <v>3</v>
      </c>
      <c r="EX38" s="76" t="s">
        <v>32</v>
      </c>
      <c r="EY38" s="74" t="s">
        <v>243</v>
      </c>
      <c r="EZ38" s="74"/>
      <c r="FA38" s="74"/>
      <c r="FB38" s="74"/>
      <c r="FC38" s="74"/>
      <c r="FD38" s="68"/>
      <c r="FH38" s="73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74"/>
      <c r="GA38" s="68"/>
    </row>
    <row r="39" spans="1:183" s="2" customFormat="1" ht="15" x14ac:dyDescent="0.3">
      <c r="A39" s="73" t="s">
        <v>199</v>
      </c>
      <c r="B39" s="73" t="s">
        <v>202</v>
      </c>
      <c r="C39" s="73" t="s">
        <v>202</v>
      </c>
      <c r="D39" s="73" t="s">
        <v>48</v>
      </c>
      <c r="E39" s="73" t="s">
        <v>178</v>
      </c>
      <c r="F39" s="73" t="s">
        <v>210</v>
      </c>
      <c r="G39" s="73" t="s">
        <v>227</v>
      </c>
      <c r="H39" s="73"/>
      <c r="I39" s="74">
        <v>0</v>
      </c>
      <c r="J39" s="74">
        <v>0</v>
      </c>
      <c r="K39" s="74">
        <v>0</v>
      </c>
      <c r="L39" s="74">
        <v>0</v>
      </c>
      <c r="M39" s="74">
        <v>12399.2</v>
      </c>
      <c r="N39" s="74">
        <v>-3089.9</v>
      </c>
      <c r="O39" s="74">
        <v>-4823.5</v>
      </c>
      <c r="P39" s="74">
        <v>-1789.4499999999998</v>
      </c>
      <c r="Q39" s="74">
        <v>0</v>
      </c>
      <c r="R39" s="74">
        <v>0</v>
      </c>
      <c r="S39" s="74">
        <v>0</v>
      </c>
      <c r="T39" s="74">
        <v>0</v>
      </c>
      <c r="U39" s="74">
        <v>0</v>
      </c>
      <c r="V39" s="74">
        <v>0</v>
      </c>
      <c r="W39" s="74">
        <v>0</v>
      </c>
      <c r="X39" s="74">
        <v>0</v>
      </c>
      <c r="Y39" s="74">
        <v>0</v>
      </c>
      <c r="Z39" s="74">
        <v>0</v>
      </c>
      <c r="AA39" s="74">
        <v>0</v>
      </c>
      <c r="AB39" s="74">
        <v>0</v>
      </c>
      <c r="AC39" s="74">
        <v>0</v>
      </c>
      <c r="AD39" s="74">
        <v>0</v>
      </c>
      <c r="AE39" s="74">
        <v>0</v>
      </c>
      <c r="AF39" s="74">
        <v>0</v>
      </c>
      <c r="AG39" s="74">
        <v>0</v>
      </c>
      <c r="AH39" s="74">
        <v>0</v>
      </c>
      <c r="AI39" s="74">
        <v>0</v>
      </c>
      <c r="AJ39" s="74">
        <v>0</v>
      </c>
      <c r="AK39" s="74"/>
      <c r="AL39" s="74">
        <v>0</v>
      </c>
      <c r="AM39" s="74">
        <v>0</v>
      </c>
      <c r="AN39" s="74">
        <v>0</v>
      </c>
      <c r="AO39" s="74">
        <v>0</v>
      </c>
      <c r="AP39" s="74">
        <v>0</v>
      </c>
      <c r="AQ39" s="74">
        <v>0</v>
      </c>
      <c r="AR39" s="74">
        <v>0</v>
      </c>
      <c r="AS39" s="74">
        <v>0</v>
      </c>
      <c r="AT39" s="74">
        <v>0</v>
      </c>
      <c r="AU39" s="74">
        <v>0</v>
      </c>
      <c r="AV39" s="74">
        <v>0</v>
      </c>
      <c r="AW39" s="74">
        <v>0</v>
      </c>
      <c r="AX39" s="74">
        <v>0</v>
      </c>
      <c r="AY39" s="74">
        <v>0</v>
      </c>
      <c r="AZ39" s="74">
        <v>0</v>
      </c>
      <c r="BA39" s="74">
        <v>0</v>
      </c>
      <c r="BB39" s="74">
        <v>0</v>
      </c>
      <c r="BC39" s="74">
        <v>0</v>
      </c>
      <c r="BD39" s="74">
        <v>0</v>
      </c>
      <c r="BE39" s="74">
        <v>0</v>
      </c>
      <c r="BF39" s="74">
        <v>0</v>
      </c>
      <c r="BG39" s="74">
        <v>0</v>
      </c>
      <c r="BH39" s="74">
        <v>0</v>
      </c>
      <c r="BI39" s="74">
        <v>0</v>
      </c>
      <c r="BJ39" s="74">
        <v>0</v>
      </c>
      <c r="BK39" s="74">
        <v>0</v>
      </c>
      <c r="BL39" s="74">
        <v>0</v>
      </c>
      <c r="BM39" s="74">
        <v>0</v>
      </c>
      <c r="BN39" s="74">
        <v>0</v>
      </c>
      <c r="BO39" s="74">
        <v>0</v>
      </c>
      <c r="BP39" s="74">
        <v>0</v>
      </c>
      <c r="BQ39" s="74">
        <v>0</v>
      </c>
      <c r="BR39" s="74">
        <v>0</v>
      </c>
      <c r="BS39" s="74">
        <v>0</v>
      </c>
      <c r="BT39" s="74">
        <v>0</v>
      </c>
      <c r="BU39" s="74">
        <v>0</v>
      </c>
      <c r="BV39" s="74">
        <v>0</v>
      </c>
      <c r="BW39" s="74">
        <v>0</v>
      </c>
      <c r="BX39" s="74">
        <v>0</v>
      </c>
      <c r="BY39" s="74">
        <v>0</v>
      </c>
      <c r="BZ39" s="74">
        <v>0</v>
      </c>
      <c r="CA39" s="74">
        <v>0</v>
      </c>
      <c r="CB39" s="74">
        <v>0</v>
      </c>
      <c r="CC39" s="74">
        <v>0</v>
      </c>
      <c r="CD39" s="74">
        <v>0</v>
      </c>
      <c r="CE39" s="74">
        <v>0</v>
      </c>
      <c r="CF39" s="74">
        <v>0</v>
      </c>
      <c r="CG39" s="74">
        <v>0</v>
      </c>
      <c r="CH39" s="74">
        <v>0</v>
      </c>
      <c r="CI39" s="74">
        <v>0</v>
      </c>
      <c r="CJ39" s="74">
        <v>0</v>
      </c>
      <c r="CK39" s="74">
        <v>0</v>
      </c>
      <c r="CL39" s="74">
        <v>0</v>
      </c>
      <c r="CM39" s="74">
        <v>0</v>
      </c>
      <c r="CN39" s="74">
        <v>0</v>
      </c>
      <c r="CO39" s="74">
        <v>0</v>
      </c>
      <c r="CP39" s="74">
        <v>0</v>
      </c>
      <c r="CQ39" s="74">
        <v>0</v>
      </c>
      <c r="CR39" s="74">
        <v>0</v>
      </c>
      <c r="CS39" s="74">
        <v>0</v>
      </c>
      <c r="CT39" s="74">
        <v>0</v>
      </c>
      <c r="CU39" s="74">
        <v>0</v>
      </c>
      <c r="CV39" s="74">
        <v>0</v>
      </c>
      <c r="CW39" s="74">
        <v>0</v>
      </c>
      <c r="CX39" s="74">
        <v>0</v>
      </c>
      <c r="CY39" s="74">
        <v>0</v>
      </c>
      <c r="CZ39" s="74">
        <v>0</v>
      </c>
      <c r="DA39" s="74">
        <v>0</v>
      </c>
      <c r="DB39" s="74">
        <v>0</v>
      </c>
      <c r="DC39" s="74">
        <v>0</v>
      </c>
      <c r="DD39" s="74">
        <v>0</v>
      </c>
      <c r="DE39" s="74">
        <v>0</v>
      </c>
      <c r="DF39" s="74">
        <v>0</v>
      </c>
      <c r="DG39" s="74">
        <v>0</v>
      </c>
      <c r="DH39" s="74">
        <v>0</v>
      </c>
      <c r="DI39" s="74">
        <v>0</v>
      </c>
      <c r="DJ39" s="74">
        <v>0</v>
      </c>
      <c r="DK39" s="74">
        <v>0</v>
      </c>
      <c r="DL39" s="74">
        <v>0</v>
      </c>
      <c r="DM39" s="74">
        <v>0</v>
      </c>
      <c r="DN39" s="74">
        <v>0</v>
      </c>
      <c r="DO39" s="74">
        <v>0</v>
      </c>
      <c r="DP39" s="74">
        <v>0</v>
      </c>
      <c r="DQ39" s="74">
        <v>0</v>
      </c>
      <c r="DR39" s="74">
        <v>0</v>
      </c>
      <c r="DS39" s="74">
        <v>0</v>
      </c>
      <c r="DT39" s="74">
        <v>0</v>
      </c>
      <c r="DU39" s="74">
        <v>0</v>
      </c>
      <c r="DV39" s="74">
        <v>0</v>
      </c>
      <c r="DW39" s="74">
        <v>0</v>
      </c>
      <c r="DX39" s="74">
        <v>0</v>
      </c>
      <c r="DY39" s="74">
        <v>0</v>
      </c>
      <c r="DZ39" s="74">
        <v>0</v>
      </c>
      <c r="EA39" s="74">
        <v>0</v>
      </c>
      <c r="EB39" s="74">
        <v>0</v>
      </c>
      <c r="EC39" s="74">
        <v>0</v>
      </c>
      <c r="ED39" s="74"/>
      <c r="EE39" s="80">
        <v>46147</v>
      </c>
      <c r="EF39" s="81">
        <v>46147.490582986109</v>
      </c>
      <c r="EG39" s="66" t="s">
        <v>71</v>
      </c>
      <c r="EH39" s="66" t="s">
        <v>209</v>
      </c>
      <c r="EI39" s="66" t="s">
        <v>6</v>
      </c>
      <c r="EJ39" s="66">
        <v>12</v>
      </c>
      <c r="EK39" s="66">
        <v>2027</v>
      </c>
      <c r="EL39" s="66" t="s">
        <v>24</v>
      </c>
      <c r="EM39" s="82">
        <v>290.68389790090976</v>
      </c>
      <c r="EN39" s="82">
        <v>257.5814628146079</v>
      </c>
      <c r="EO39" s="77">
        <v>273.51499999999999</v>
      </c>
      <c r="EP39" s="84">
        <v>0.20185877210205863</v>
      </c>
      <c r="EQ39" s="84">
        <v>0.20646392611324274</v>
      </c>
      <c r="ER39" s="84">
        <v>3.7812199999999997E-2</v>
      </c>
      <c r="ES39" s="85">
        <v>0.97269429659977535</v>
      </c>
      <c r="ET39" s="86">
        <v>1.4621999999999999</v>
      </c>
      <c r="EU39" s="85">
        <v>0.15269873395245903</v>
      </c>
      <c r="EV39" s="85">
        <v>3.6374216079711912E-2</v>
      </c>
      <c r="EW39" s="76">
        <v>3</v>
      </c>
      <c r="EX39" s="76" t="s">
        <v>32</v>
      </c>
      <c r="EY39" s="74" t="s">
        <v>243</v>
      </c>
      <c r="EZ39" s="74"/>
      <c r="FA39" s="74"/>
      <c r="FB39" s="74"/>
      <c r="FC39" s="74"/>
      <c r="FD39" s="68"/>
      <c r="FH39" s="73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74"/>
      <c r="GA39" s="68"/>
    </row>
    <row r="40" spans="1:183" s="2" customFormat="1" ht="15" x14ac:dyDescent="0.3">
      <c r="A40" s="73" t="s">
        <v>190</v>
      </c>
      <c r="B40" s="73" t="s">
        <v>171</v>
      </c>
      <c r="C40" s="73" t="s">
        <v>171</v>
      </c>
      <c r="D40" s="73" t="s">
        <v>48</v>
      </c>
      <c r="E40" s="73" t="s">
        <v>178</v>
      </c>
      <c r="F40" s="73" t="s">
        <v>210</v>
      </c>
      <c r="G40" s="73" t="s">
        <v>227</v>
      </c>
      <c r="H40" s="73"/>
      <c r="I40" s="74">
        <v>0</v>
      </c>
      <c r="J40" s="74">
        <v>0</v>
      </c>
      <c r="K40" s="74">
        <v>0</v>
      </c>
      <c r="L40" s="74">
        <v>0</v>
      </c>
      <c r="M40" s="74">
        <v>111394.30000000002</v>
      </c>
      <c r="N40" s="74">
        <v>101714.04</v>
      </c>
      <c r="O40" s="74">
        <v>97932.78</v>
      </c>
      <c r="P40" s="74">
        <v>120154.68</v>
      </c>
      <c r="Q40" s="74">
        <v>145618.91999999998</v>
      </c>
      <c r="R40" s="74">
        <v>138047.58010002889</v>
      </c>
      <c r="S40" s="74">
        <v>163097.99953655459</v>
      </c>
      <c r="T40" s="74">
        <v>186497.2534758627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  <c r="AA40" s="74">
        <v>0</v>
      </c>
      <c r="AB40" s="74">
        <v>0</v>
      </c>
      <c r="AC40" s="74">
        <v>0</v>
      </c>
      <c r="AD40" s="74">
        <v>0</v>
      </c>
      <c r="AE40" s="74">
        <v>0</v>
      </c>
      <c r="AF40" s="74">
        <v>0</v>
      </c>
      <c r="AG40" s="74">
        <v>0</v>
      </c>
      <c r="AH40" s="74">
        <v>0</v>
      </c>
      <c r="AI40" s="74">
        <v>0</v>
      </c>
      <c r="AJ40" s="74">
        <v>0</v>
      </c>
      <c r="AK40" s="74"/>
      <c r="AL40" s="74">
        <v>0</v>
      </c>
      <c r="AM40" s="74">
        <v>0</v>
      </c>
      <c r="AN40" s="74">
        <v>0</v>
      </c>
      <c r="AO40" s="74">
        <v>0</v>
      </c>
      <c r="AP40" s="74">
        <v>0</v>
      </c>
      <c r="AQ40" s="74">
        <v>0</v>
      </c>
      <c r="AR40" s="74">
        <v>0</v>
      </c>
      <c r="AS40" s="74">
        <v>0</v>
      </c>
      <c r="AT40" s="74">
        <v>0</v>
      </c>
      <c r="AU40" s="74">
        <v>0</v>
      </c>
      <c r="AV40" s="74">
        <v>0</v>
      </c>
      <c r="AW40" s="74">
        <v>0</v>
      </c>
      <c r="AX40" s="74">
        <v>0</v>
      </c>
      <c r="AY40" s="74">
        <v>0</v>
      </c>
      <c r="AZ40" s="74">
        <v>0</v>
      </c>
      <c r="BA40" s="74">
        <v>0</v>
      </c>
      <c r="BB40" s="74">
        <v>0</v>
      </c>
      <c r="BC40" s="74">
        <v>0</v>
      </c>
      <c r="BD40" s="74">
        <v>0</v>
      </c>
      <c r="BE40" s="74">
        <v>0</v>
      </c>
      <c r="BF40" s="74">
        <v>0</v>
      </c>
      <c r="BG40" s="74">
        <v>0</v>
      </c>
      <c r="BH40" s="74">
        <v>0</v>
      </c>
      <c r="BI40" s="74">
        <v>0</v>
      </c>
      <c r="BJ40" s="74">
        <v>0</v>
      </c>
      <c r="BK40" s="74">
        <v>0</v>
      </c>
      <c r="BL40" s="74">
        <v>0</v>
      </c>
      <c r="BM40" s="74">
        <v>0</v>
      </c>
      <c r="BN40" s="74">
        <v>0</v>
      </c>
      <c r="BO40" s="74">
        <v>0</v>
      </c>
      <c r="BP40" s="74">
        <v>0</v>
      </c>
      <c r="BQ40" s="74">
        <v>0</v>
      </c>
      <c r="BR40" s="74">
        <v>0</v>
      </c>
      <c r="BS40" s="74">
        <v>0</v>
      </c>
      <c r="BT40" s="74">
        <v>0</v>
      </c>
      <c r="BU40" s="74">
        <v>0</v>
      </c>
      <c r="BV40" s="74">
        <v>0</v>
      </c>
      <c r="BW40" s="74">
        <v>0</v>
      </c>
      <c r="BX40" s="74">
        <v>0</v>
      </c>
      <c r="BY40" s="74">
        <v>0</v>
      </c>
      <c r="BZ40" s="74">
        <v>0</v>
      </c>
      <c r="CA40" s="74">
        <v>0</v>
      </c>
      <c r="CB40" s="74">
        <v>0</v>
      </c>
      <c r="CC40" s="74">
        <v>0</v>
      </c>
      <c r="CD40" s="74">
        <v>0</v>
      </c>
      <c r="CE40" s="74">
        <v>0</v>
      </c>
      <c r="CF40" s="74">
        <v>0</v>
      </c>
      <c r="CG40" s="74">
        <v>0</v>
      </c>
      <c r="CH40" s="74">
        <v>0</v>
      </c>
      <c r="CI40" s="74">
        <v>0</v>
      </c>
      <c r="CJ40" s="74">
        <v>0</v>
      </c>
      <c r="CK40" s="74">
        <v>0</v>
      </c>
      <c r="CL40" s="74">
        <v>0</v>
      </c>
      <c r="CM40" s="74">
        <v>0</v>
      </c>
      <c r="CN40" s="74">
        <v>0</v>
      </c>
      <c r="CO40" s="74">
        <v>0</v>
      </c>
      <c r="CP40" s="74">
        <v>0</v>
      </c>
      <c r="CQ40" s="74">
        <v>0</v>
      </c>
      <c r="CR40" s="74">
        <v>0</v>
      </c>
      <c r="CS40" s="74">
        <v>0</v>
      </c>
      <c r="CT40" s="74">
        <v>0</v>
      </c>
      <c r="CU40" s="74">
        <v>0</v>
      </c>
      <c r="CV40" s="74">
        <v>0</v>
      </c>
      <c r="CW40" s="74">
        <v>0</v>
      </c>
      <c r="CX40" s="74">
        <v>0</v>
      </c>
      <c r="CY40" s="74">
        <v>0</v>
      </c>
      <c r="CZ40" s="74">
        <v>0</v>
      </c>
      <c r="DA40" s="74">
        <v>0</v>
      </c>
      <c r="DB40" s="74">
        <v>0</v>
      </c>
      <c r="DC40" s="74">
        <v>0</v>
      </c>
      <c r="DD40" s="74">
        <v>0</v>
      </c>
      <c r="DE40" s="74">
        <v>0</v>
      </c>
      <c r="DF40" s="74">
        <v>0</v>
      </c>
      <c r="DG40" s="74">
        <v>0</v>
      </c>
      <c r="DH40" s="74">
        <v>0</v>
      </c>
      <c r="DI40" s="74">
        <v>0</v>
      </c>
      <c r="DJ40" s="74">
        <v>0</v>
      </c>
      <c r="DK40" s="74">
        <v>0</v>
      </c>
      <c r="DL40" s="74">
        <v>0</v>
      </c>
      <c r="DM40" s="74">
        <v>0</v>
      </c>
      <c r="DN40" s="74">
        <v>0</v>
      </c>
      <c r="DO40" s="74">
        <v>0</v>
      </c>
      <c r="DP40" s="74">
        <v>0</v>
      </c>
      <c r="DQ40" s="74">
        <v>0</v>
      </c>
      <c r="DR40" s="74">
        <v>0</v>
      </c>
      <c r="DS40" s="74">
        <v>0</v>
      </c>
      <c r="DT40" s="74">
        <v>0</v>
      </c>
      <c r="DU40" s="74">
        <v>0</v>
      </c>
      <c r="DV40" s="74">
        <v>0</v>
      </c>
      <c r="DW40" s="74">
        <v>0</v>
      </c>
      <c r="DX40" s="74">
        <v>0</v>
      </c>
      <c r="DY40" s="74">
        <v>0</v>
      </c>
      <c r="DZ40" s="74">
        <v>0</v>
      </c>
      <c r="EA40" s="74">
        <v>0</v>
      </c>
      <c r="EB40" s="74">
        <v>0</v>
      </c>
      <c r="EC40" s="74">
        <v>0</v>
      </c>
      <c r="ED40" s="74"/>
      <c r="EE40" s="80">
        <v>46147</v>
      </c>
      <c r="EF40" s="81">
        <v>46147.490582986109</v>
      </c>
      <c r="EG40" s="66" t="s">
        <v>71</v>
      </c>
      <c r="EH40" s="66" t="s">
        <v>209</v>
      </c>
      <c r="EI40" s="66" t="s">
        <v>6</v>
      </c>
      <c r="EJ40" s="66">
        <v>12</v>
      </c>
      <c r="EK40" s="66">
        <v>2027</v>
      </c>
      <c r="EL40" s="66" t="s">
        <v>24</v>
      </c>
      <c r="EM40" s="82">
        <v>290.68389790090976</v>
      </c>
      <c r="EN40" s="82">
        <v>257.5814628146079</v>
      </c>
      <c r="EO40" s="77">
        <v>273.51499999999999</v>
      </c>
      <c r="EP40" s="84">
        <v>0.20185877210205863</v>
      </c>
      <c r="EQ40" s="84">
        <v>0.20646392611324274</v>
      </c>
      <c r="ER40" s="84">
        <v>3.7812199999999997E-2</v>
      </c>
      <c r="ES40" s="85">
        <v>0.97269429659977535</v>
      </c>
      <c r="ET40" s="86">
        <v>1.4621999999999999</v>
      </c>
      <c r="EU40" s="85">
        <v>0.15269873395245903</v>
      </c>
      <c r="EV40" s="85">
        <v>3.6374216079711912E-2</v>
      </c>
      <c r="EW40" s="76">
        <v>3</v>
      </c>
      <c r="EX40" s="76" t="s">
        <v>32</v>
      </c>
      <c r="EY40" s="74" t="s">
        <v>243</v>
      </c>
      <c r="EZ40" s="74"/>
      <c r="FA40" s="74"/>
      <c r="FB40" s="74"/>
      <c r="FC40" s="74"/>
      <c r="FD40" s="68"/>
      <c r="FH40" s="73"/>
      <c r="FI40" s="74"/>
      <c r="FJ40" s="74"/>
      <c r="FK40" s="74"/>
      <c r="FL40" s="74"/>
      <c r="FM40" s="74"/>
      <c r="FN40" s="74"/>
      <c r="FO40" s="74"/>
      <c r="FP40" s="74"/>
      <c r="FQ40" s="74"/>
      <c r="FR40" s="74"/>
      <c r="FS40" s="74"/>
      <c r="FT40" s="74"/>
      <c r="FU40" s="74"/>
      <c r="FV40" s="74"/>
      <c r="FW40" s="74"/>
      <c r="FX40" s="74"/>
      <c r="FY40" s="74"/>
      <c r="FZ40" s="74"/>
      <c r="GA40" s="68"/>
    </row>
    <row r="41" spans="1:183" x14ac:dyDescent="0.3">
      <c r="A41" s="73" t="s">
        <v>191</v>
      </c>
      <c r="B41" s="73" t="s">
        <v>170</v>
      </c>
      <c r="C41" s="73" t="s">
        <v>170</v>
      </c>
      <c r="D41" s="73" t="s">
        <v>48</v>
      </c>
      <c r="E41" s="73" t="s">
        <v>178</v>
      </c>
      <c r="F41" s="73" t="s">
        <v>210</v>
      </c>
      <c r="G41" s="73" t="s">
        <v>227</v>
      </c>
      <c r="H41" s="73"/>
      <c r="I41" s="74">
        <v>0</v>
      </c>
      <c r="J41" s="74">
        <v>0</v>
      </c>
      <c r="K41" s="74">
        <v>0</v>
      </c>
      <c r="L41" s="74">
        <v>0</v>
      </c>
      <c r="M41" s="74">
        <v>28876.480000000003</v>
      </c>
      <c r="N41" s="74">
        <v>26293.17</v>
      </c>
      <c r="O41" s="74">
        <v>24287.57</v>
      </c>
      <c r="P41" s="74">
        <v>30515.79</v>
      </c>
      <c r="Q41" s="74">
        <v>34714.019999999997</v>
      </c>
      <c r="R41" s="74">
        <v>37743.576463224221</v>
      </c>
      <c r="S41" s="74">
        <v>41223.545017668745</v>
      </c>
      <c r="T41" s="74">
        <v>44574.881950891664</v>
      </c>
      <c r="U41" s="74">
        <v>0</v>
      </c>
      <c r="V41" s="74">
        <v>0</v>
      </c>
      <c r="W41" s="74">
        <v>0</v>
      </c>
      <c r="X41" s="74">
        <v>0</v>
      </c>
      <c r="Y41" s="74">
        <v>0</v>
      </c>
      <c r="Z41" s="74">
        <v>0</v>
      </c>
      <c r="AA41" s="74">
        <v>0</v>
      </c>
      <c r="AB41" s="74">
        <v>0</v>
      </c>
      <c r="AC41" s="74">
        <v>0</v>
      </c>
      <c r="AD41" s="74">
        <v>0</v>
      </c>
      <c r="AE41" s="74">
        <v>0</v>
      </c>
      <c r="AF41" s="74">
        <v>0</v>
      </c>
      <c r="AG41" s="74">
        <v>0</v>
      </c>
      <c r="AH41" s="74">
        <v>0</v>
      </c>
      <c r="AI41" s="74">
        <v>0</v>
      </c>
      <c r="AJ41" s="74">
        <v>0</v>
      </c>
      <c r="AL41" s="74">
        <v>0</v>
      </c>
      <c r="AM41" s="74">
        <v>0</v>
      </c>
      <c r="AN41" s="74">
        <v>0</v>
      </c>
      <c r="AO41" s="74">
        <v>0</v>
      </c>
      <c r="AP41" s="74">
        <v>0</v>
      </c>
      <c r="AQ41" s="74">
        <v>0</v>
      </c>
      <c r="AR41" s="74">
        <v>0</v>
      </c>
      <c r="AS41" s="74">
        <v>0</v>
      </c>
      <c r="AT41" s="74">
        <v>0</v>
      </c>
      <c r="AU41" s="74">
        <v>0</v>
      </c>
      <c r="AV41" s="74">
        <v>0</v>
      </c>
      <c r="AW41" s="74">
        <v>0</v>
      </c>
      <c r="AX41" s="74">
        <v>0</v>
      </c>
      <c r="AY41" s="74">
        <v>0</v>
      </c>
      <c r="AZ41" s="74">
        <v>0</v>
      </c>
      <c r="BA41" s="74">
        <v>0</v>
      </c>
      <c r="BB41" s="74">
        <v>0</v>
      </c>
      <c r="BC41" s="74">
        <v>0</v>
      </c>
      <c r="BD41" s="74">
        <v>0</v>
      </c>
      <c r="BE41" s="74">
        <v>0</v>
      </c>
      <c r="BF41" s="74">
        <v>0</v>
      </c>
      <c r="BG41" s="74">
        <v>0</v>
      </c>
      <c r="BH41" s="74">
        <v>0</v>
      </c>
      <c r="BI41" s="74">
        <v>0</v>
      </c>
      <c r="BJ41" s="74">
        <v>0</v>
      </c>
      <c r="BK41" s="74">
        <v>0</v>
      </c>
      <c r="BL41" s="74">
        <v>0</v>
      </c>
      <c r="BM41" s="74">
        <v>0</v>
      </c>
      <c r="BN41" s="74">
        <v>0</v>
      </c>
      <c r="BO41" s="74">
        <v>0</v>
      </c>
      <c r="BP41" s="74">
        <v>0</v>
      </c>
      <c r="BQ41" s="74">
        <v>0</v>
      </c>
      <c r="BR41" s="74">
        <v>0</v>
      </c>
      <c r="BS41" s="74">
        <v>0</v>
      </c>
      <c r="BT41" s="74">
        <v>0</v>
      </c>
      <c r="BU41" s="74">
        <v>0</v>
      </c>
      <c r="BV41" s="74">
        <v>0</v>
      </c>
      <c r="BW41" s="74">
        <v>0</v>
      </c>
      <c r="BX41" s="74">
        <v>0</v>
      </c>
      <c r="BY41" s="74">
        <v>0</v>
      </c>
      <c r="BZ41" s="74">
        <v>0</v>
      </c>
      <c r="CA41" s="74">
        <v>0</v>
      </c>
      <c r="CB41" s="74">
        <v>0</v>
      </c>
      <c r="CC41" s="74">
        <v>0</v>
      </c>
      <c r="CD41" s="74">
        <v>0</v>
      </c>
      <c r="CE41" s="74">
        <v>0</v>
      </c>
      <c r="CF41" s="74">
        <v>0</v>
      </c>
      <c r="CG41" s="74">
        <v>0</v>
      </c>
      <c r="CH41" s="74">
        <v>0</v>
      </c>
      <c r="CI41" s="74">
        <v>0</v>
      </c>
      <c r="CJ41" s="74">
        <v>0</v>
      </c>
      <c r="CK41" s="74">
        <v>0</v>
      </c>
      <c r="CL41" s="74">
        <v>0</v>
      </c>
      <c r="CM41" s="74">
        <v>0</v>
      </c>
      <c r="CN41" s="74">
        <v>0</v>
      </c>
      <c r="CO41" s="74">
        <v>0</v>
      </c>
      <c r="CP41" s="74">
        <v>0</v>
      </c>
      <c r="CQ41" s="74">
        <v>0</v>
      </c>
      <c r="CR41" s="74">
        <v>0</v>
      </c>
      <c r="CS41" s="74">
        <v>0</v>
      </c>
      <c r="CT41" s="74">
        <v>0</v>
      </c>
      <c r="CU41" s="74">
        <v>0</v>
      </c>
      <c r="CV41" s="74">
        <v>0</v>
      </c>
      <c r="CW41" s="74">
        <v>0</v>
      </c>
      <c r="CX41" s="74">
        <v>0</v>
      </c>
      <c r="CY41" s="74">
        <v>0</v>
      </c>
      <c r="CZ41" s="74">
        <v>0</v>
      </c>
      <c r="DA41" s="74">
        <v>0</v>
      </c>
      <c r="DB41" s="74">
        <v>0</v>
      </c>
      <c r="DC41" s="74">
        <v>0</v>
      </c>
      <c r="DD41" s="74">
        <v>0</v>
      </c>
      <c r="DE41" s="74">
        <v>0</v>
      </c>
      <c r="DF41" s="74">
        <v>0</v>
      </c>
      <c r="DG41" s="74">
        <v>0</v>
      </c>
      <c r="DH41" s="74">
        <v>0</v>
      </c>
      <c r="DI41" s="74">
        <v>0</v>
      </c>
      <c r="DJ41" s="74">
        <v>0</v>
      </c>
      <c r="DK41" s="74">
        <v>0</v>
      </c>
      <c r="DL41" s="74">
        <v>0</v>
      </c>
      <c r="DM41" s="74">
        <v>0</v>
      </c>
      <c r="DN41" s="74">
        <v>0</v>
      </c>
      <c r="DO41" s="74">
        <v>0</v>
      </c>
      <c r="DP41" s="74">
        <v>0</v>
      </c>
      <c r="DQ41" s="74">
        <v>0</v>
      </c>
      <c r="DR41" s="74">
        <v>0</v>
      </c>
      <c r="DS41" s="74">
        <v>0</v>
      </c>
      <c r="DT41" s="74">
        <v>0</v>
      </c>
      <c r="DU41" s="74">
        <v>0</v>
      </c>
      <c r="DV41" s="74">
        <v>0</v>
      </c>
      <c r="DW41" s="74">
        <v>0</v>
      </c>
      <c r="DX41" s="74">
        <v>0</v>
      </c>
      <c r="DY41" s="74">
        <v>0</v>
      </c>
      <c r="DZ41" s="74">
        <v>0</v>
      </c>
      <c r="EA41" s="74">
        <v>0</v>
      </c>
      <c r="EB41" s="74">
        <v>0</v>
      </c>
      <c r="EC41" s="74">
        <v>0</v>
      </c>
      <c r="EE41" s="80">
        <v>46147</v>
      </c>
      <c r="EF41" s="81">
        <v>46147.490582986109</v>
      </c>
      <c r="EG41" s="66" t="s">
        <v>71</v>
      </c>
      <c r="EH41" s="66" t="s">
        <v>209</v>
      </c>
      <c r="EI41" s="66" t="s">
        <v>6</v>
      </c>
      <c r="EJ41" s="66">
        <v>12</v>
      </c>
      <c r="EK41" s="66">
        <v>2027</v>
      </c>
      <c r="EL41" s="66" t="s">
        <v>24</v>
      </c>
      <c r="EM41" s="82">
        <v>290.68389790090976</v>
      </c>
      <c r="EN41" s="82">
        <v>257.5814628146079</v>
      </c>
      <c r="EO41" s="77">
        <v>273.51499999999999</v>
      </c>
      <c r="EP41" s="84">
        <v>0.20185877210205863</v>
      </c>
      <c r="EQ41" s="84">
        <v>0.20646392611324274</v>
      </c>
      <c r="ER41" s="84">
        <v>3.7812199999999997E-2</v>
      </c>
      <c r="ES41" s="85">
        <v>0.97269429659977535</v>
      </c>
      <c r="ET41" s="86">
        <v>1.4621999999999999</v>
      </c>
      <c r="EU41" s="85">
        <v>0.15269873395245903</v>
      </c>
      <c r="EV41" s="85">
        <v>3.6374216079711912E-2</v>
      </c>
      <c r="EW41" s="76">
        <v>3</v>
      </c>
      <c r="EX41" s="76" t="s">
        <v>32</v>
      </c>
      <c r="EY41" s="74" t="s">
        <v>243</v>
      </c>
    </row>
    <row r="42" spans="1:183" x14ac:dyDescent="0.3">
      <c r="A42" s="73" t="s">
        <v>192</v>
      </c>
      <c r="B42" s="73" t="s">
        <v>174</v>
      </c>
      <c r="C42" s="73" t="s">
        <v>174</v>
      </c>
      <c r="D42" s="73" t="s">
        <v>48</v>
      </c>
      <c r="E42" s="73" t="s">
        <v>178</v>
      </c>
      <c r="F42" s="73" t="s">
        <v>210</v>
      </c>
      <c r="G42" s="73" t="s">
        <v>227</v>
      </c>
      <c r="H42" s="73"/>
      <c r="I42" s="74">
        <v>0</v>
      </c>
      <c r="J42" s="74">
        <v>0</v>
      </c>
      <c r="K42" s="74">
        <v>0</v>
      </c>
      <c r="L42" s="74">
        <v>0</v>
      </c>
      <c r="M42" s="74">
        <v>59020.679999999993</v>
      </c>
      <c r="N42" s="74">
        <v>79030.995999999999</v>
      </c>
      <c r="O42" s="74">
        <v>85778.90400000001</v>
      </c>
      <c r="P42" s="74">
        <v>169422.30199999997</v>
      </c>
      <c r="Q42" s="74">
        <v>264038.10000000003</v>
      </c>
      <c r="R42" s="74">
        <v>382903.22124243225</v>
      </c>
      <c r="S42" s="74">
        <v>493058.57444627758</v>
      </c>
      <c r="T42" s="74">
        <v>590883.69765053736</v>
      </c>
      <c r="U42" s="74">
        <v>0</v>
      </c>
      <c r="V42" s="74">
        <v>0</v>
      </c>
      <c r="W42" s="74">
        <v>0</v>
      </c>
      <c r="X42" s="74">
        <v>0</v>
      </c>
      <c r="Y42" s="74">
        <v>0</v>
      </c>
      <c r="Z42" s="74">
        <v>0</v>
      </c>
      <c r="AA42" s="74">
        <v>0</v>
      </c>
      <c r="AB42" s="74">
        <v>0</v>
      </c>
      <c r="AC42" s="74">
        <v>0</v>
      </c>
      <c r="AD42" s="74">
        <v>0</v>
      </c>
      <c r="AE42" s="74">
        <v>0</v>
      </c>
      <c r="AF42" s="74">
        <v>0</v>
      </c>
      <c r="AG42" s="74">
        <v>0</v>
      </c>
      <c r="AH42" s="74">
        <v>0</v>
      </c>
      <c r="AI42" s="74">
        <v>0</v>
      </c>
      <c r="AJ42" s="74">
        <v>0</v>
      </c>
      <c r="AL42" s="74">
        <v>0</v>
      </c>
      <c r="AM42" s="74">
        <v>0</v>
      </c>
      <c r="AN42" s="74">
        <v>0</v>
      </c>
      <c r="AO42" s="74">
        <v>0</v>
      </c>
      <c r="AP42" s="74">
        <v>0</v>
      </c>
      <c r="AQ42" s="74">
        <v>0</v>
      </c>
      <c r="AR42" s="74">
        <v>0</v>
      </c>
      <c r="AS42" s="74">
        <v>0</v>
      </c>
      <c r="AT42" s="74">
        <v>0</v>
      </c>
      <c r="AU42" s="74">
        <v>0</v>
      </c>
      <c r="AV42" s="74">
        <v>0</v>
      </c>
      <c r="AW42" s="74">
        <v>0</v>
      </c>
      <c r="AX42" s="74">
        <v>0</v>
      </c>
      <c r="AY42" s="74">
        <v>0</v>
      </c>
      <c r="AZ42" s="74">
        <v>0</v>
      </c>
      <c r="BA42" s="74">
        <v>0</v>
      </c>
      <c r="BB42" s="74">
        <v>0</v>
      </c>
      <c r="BC42" s="74">
        <v>0</v>
      </c>
      <c r="BD42" s="74">
        <v>0</v>
      </c>
      <c r="BE42" s="74">
        <v>0</v>
      </c>
      <c r="BF42" s="74">
        <v>0</v>
      </c>
      <c r="BG42" s="74">
        <v>0</v>
      </c>
      <c r="BH42" s="74">
        <v>0</v>
      </c>
      <c r="BI42" s="74">
        <v>0</v>
      </c>
      <c r="BJ42" s="74">
        <v>0</v>
      </c>
      <c r="BK42" s="74">
        <v>0</v>
      </c>
      <c r="BL42" s="74">
        <v>0</v>
      </c>
      <c r="BM42" s="74">
        <v>0</v>
      </c>
      <c r="BN42" s="74">
        <v>0</v>
      </c>
      <c r="BO42" s="74">
        <v>0</v>
      </c>
      <c r="BP42" s="74">
        <v>0</v>
      </c>
      <c r="BQ42" s="74">
        <v>0</v>
      </c>
      <c r="BR42" s="74">
        <v>0</v>
      </c>
      <c r="BS42" s="74">
        <v>0</v>
      </c>
      <c r="BT42" s="74">
        <v>0</v>
      </c>
      <c r="BU42" s="74">
        <v>0</v>
      </c>
      <c r="BV42" s="74">
        <v>0</v>
      </c>
      <c r="BW42" s="74">
        <v>0</v>
      </c>
      <c r="BX42" s="74">
        <v>0</v>
      </c>
      <c r="BY42" s="74">
        <v>0</v>
      </c>
      <c r="BZ42" s="74">
        <v>0</v>
      </c>
      <c r="CA42" s="74">
        <v>0</v>
      </c>
      <c r="CB42" s="74">
        <v>0</v>
      </c>
      <c r="CC42" s="74">
        <v>0</v>
      </c>
      <c r="CD42" s="74">
        <v>0</v>
      </c>
      <c r="CE42" s="74">
        <v>0</v>
      </c>
      <c r="CF42" s="74">
        <v>0</v>
      </c>
      <c r="CG42" s="74">
        <v>0</v>
      </c>
      <c r="CH42" s="74">
        <v>0</v>
      </c>
      <c r="CI42" s="74">
        <v>0</v>
      </c>
      <c r="CJ42" s="74">
        <v>0</v>
      </c>
      <c r="CK42" s="74">
        <v>0</v>
      </c>
      <c r="CL42" s="74">
        <v>0</v>
      </c>
      <c r="CM42" s="74">
        <v>0</v>
      </c>
      <c r="CN42" s="74">
        <v>0</v>
      </c>
      <c r="CO42" s="74">
        <v>0</v>
      </c>
      <c r="CP42" s="74">
        <v>0</v>
      </c>
      <c r="CQ42" s="74">
        <v>0</v>
      </c>
      <c r="CR42" s="74">
        <v>0</v>
      </c>
      <c r="CS42" s="74">
        <v>0</v>
      </c>
      <c r="CT42" s="74">
        <v>0</v>
      </c>
      <c r="CU42" s="74">
        <v>0</v>
      </c>
      <c r="CV42" s="74">
        <v>0</v>
      </c>
      <c r="CW42" s="74">
        <v>0</v>
      </c>
      <c r="CX42" s="74">
        <v>0</v>
      </c>
      <c r="CY42" s="74">
        <v>0</v>
      </c>
      <c r="CZ42" s="74">
        <v>0</v>
      </c>
      <c r="DA42" s="74">
        <v>0</v>
      </c>
      <c r="DB42" s="74">
        <v>0</v>
      </c>
      <c r="DC42" s="74">
        <v>0</v>
      </c>
      <c r="DD42" s="74">
        <v>0</v>
      </c>
      <c r="DE42" s="74">
        <v>0</v>
      </c>
      <c r="DF42" s="74">
        <v>0</v>
      </c>
      <c r="DG42" s="74">
        <v>0</v>
      </c>
      <c r="DH42" s="74">
        <v>0</v>
      </c>
      <c r="DI42" s="74">
        <v>0</v>
      </c>
      <c r="DJ42" s="74">
        <v>0</v>
      </c>
      <c r="DK42" s="74">
        <v>0</v>
      </c>
      <c r="DL42" s="74">
        <v>0</v>
      </c>
      <c r="DM42" s="74">
        <v>0</v>
      </c>
      <c r="DN42" s="74">
        <v>0</v>
      </c>
      <c r="DO42" s="74">
        <v>0</v>
      </c>
      <c r="DP42" s="74">
        <v>0</v>
      </c>
      <c r="DQ42" s="74">
        <v>0</v>
      </c>
      <c r="DR42" s="74">
        <v>0</v>
      </c>
      <c r="DS42" s="74">
        <v>0</v>
      </c>
      <c r="DT42" s="74">
        <v>0</v>
      </c>
      <c r="DU42" s="74">
        <v>0</v>
      </c>
      <c r="DV42" s="74">
        <v>0</v>
      </c>
      <c r="DW42" s="74">
        <v>0</v>
      </c>
      <c r="DX42" s="74">
        <v>0</v>
      </c>
      <c r="DY42" s="74">
        <v>0</v>
      </c>
      <c r="DZ42" s="74">
        <v>0</v>
      </c>
      <c r="EA42" s="74">
        <v>0</v>
      </c>
      <c r="EB42" s="74">
        <v>0</v>
      </c>
      <c r="EC42" s="74">
        <v>0</v>
      </c>
      <c r="EE42" s="80">
        <v>46147</v>
      </c>
      <c r="EF42" s="81">
        <v>46147.490582986109</v>
      </c>
      <c r="EG42" s="66" t="s">
        <v>71</v>
      </c>
      <c r="EH42" s="66" t="s">
        <v>209</v>
      </c>
      <c r="EI42" s="66" t="s">
        <v>6</v>
      </c>
      <c r="EJ42" s="66">
        <v>12</v>
      </c>
      <c r="EK42" s="66">
        <v>2027</v>
      </c>
      <c r="EL42" s="66" t="s">
        <v>24</v>
      </c>
      <c r="EM42" s="82">
        <v>290.68389790090976</v>
      </c>
      <c r="EN42" s="82">
        <v>257.5814628146079</v>
      </c>
      <c r="EO42" s="77">
        <v>273.51499999999999</v>
      </c>
      <c r="EP42" s="84">
        <v>0.20185877210205863</v>
      </c>
      <c r="EQ42" s="84">
        <v>0.20646392611324274</v>
      </c>
      <c r="ER42" s="84">
        <v>3.7812199999999997E-2</v>
      </c>
      <c r="ES42" s="85">
        <v>0.97269429659977535</v>
      </c>
      <c r="ET42" s="86">
        <v>1.4621999999999999</v>
      </c>
      <c r="EU42" s="85">
        <v>0.15269873395245903</v>
      </c>
      <c r="EV42" s="85">
        <v>3.6374216079711912E-2</v>
      </c>
      <c r="EW42" s="76">
        <v>3</v>
      </c>
      <c r="EX42" s="76" t="s">
        <v>32</v>
      </c>
      <c r="EY42" s="74" t="s">
        <v>243</v>
      </c>
    </row>
    <row r="43" spans="1:183" s="2" customFormat="1" ht="15" x14ac:dyDescent="0.3">
      <c r="A43" s="73" t="s">
        <v>200</v>
      </c>
      <c r="B43" s="73" t="s">
        <v>176</v>
      </c>
      <c r="C43" s="73" t="s">
        <v>176</v>
      </c>
      <c r="D43" s="73" t="s">
        <v>48</v>
      </c>
      <c r="E43" s="73" t="s">
        <v>178</v>
      </c>
      <c r="F43" s="73" t="s">
        <v>210</v>
      </c>
      <c r="G43" s="73" t="s">
        <v>227</v>
      </c>
      <c r="H43" s="73"/>
      <c r="I43" s="74">
        <v>0</v>
      </c>
      <c r="J43" s="74">
        <v>0</v>
      </c>
      <c r="K43" s="74">
        <v>0</v>
      </c>
      <c r="L43" s="74">
        <v>0</v>
      </c>
      <c r="M43" s="74">
        <v>11642.7</v>
      </c>
      <c r="N43" s="74">
        <v>12682.8</v>
      </c>
      <c r="O43" s="74">
        <v>12126.05</v>
      </c>
      <c r="P43" s="74">
        <v>12666.51</v>
      </c>
      <c r="Q43" s="74">
        <v>13157.25</v>
      </c>
      <c r="R43" s="74">
        <v>16297.449438762807</v>
      </c>
      <c r="S43" s="74">
        <v>14027.271367489844</v>
      </c>
      <c r="T43" s="74">
        <v>12324.818232463964</v>
      </c>
      <c r="U43" s="74">
        <v>0</v>
      </c>
      <c r="V43" s="74">
        <v>0</v>
      </c>
      <c r="W43" s="74">
        <v>0</v>
      </c>
      <c r="X43" s="74">
        <v>0</v>
      </c>
      <c r="Y43" s="74">
        <v>0</v>
      </c>
      <c r="Z43" s="74">
        <v>0</v>
      </c>
      <c r="AA43" s="74">
        <v>0</v>
      </c>
      <c r="AB43" s="74">
        <v>0</v>
      </c>
      <c r="AC43" s="74">
        <v>0</v>
      </c>
      <c r="AD43" s="74">
        <v>0</v>
      </c>
      <c r="AE43" s="74">
        <v>0</v>
      </c>
      <c r="AF43" s="74">
        <v>0</v>
      </c>
      <c r="AG43" s="74">
        <v>0</v>
      </c>
      <c r="AH43" s="74">
        <v>0</v>
      </c>
      <c r="AI43" s="74">
        <v>0</v>
      </c>
      <c r="AJ43" s="74">
        <v>0</v>
      </c>
      <c r="AK43" s="74"/>
      <c r="AL43" s="74">
        <v>0</v>
      </c>
      <c r="AM43" s="74">
        <v>0</v>
      </c>
      <c r="AN43" s="74">
        <v>0</v>
      </c>
      <c r="AO43" s="74">
        <v>0</v>
      </c>
      <c r="AP43" s="74">
        <v>0</v>
      </c>
      <c r="AQ43" s="74">
        <v>0</v>
      </c>
      <c r="AR43" s="74">
        <v>0</v>
      </c>
      <c r="AS43" s="74">
        <v>0</v>
      </c>
      <c r="AT43" s="74">
        <v>0</v>
      </c>
      <c r="AU43" s="74">
        <v>0</v>
      </c>
      <c r="AV43" s="74">
        <v>0</v>
      </c>
      <c r="AW43" s="74">
        <v>0</v>
      </c>
      <c r="AX43" s="74">
        <v>0</v>
      </c>
      <c r="AY43" s="74">
        <v>0</v>
      </c>
      <c r="AZ43" s="74">
        <v>0</v>
      </c>
      <c r="BA43" s="74">
        <v>0</v>
      </c>
      <c r="BB43" s="74">
        <v>0</v>
      </c>
      <c r="BC43" s="74">
        <v>0</v>
      </c>
      <c r="BD43" s="74">
        <v>0</v>
      </c>
      <c r="BE43" s="74">
        <v>0</v>
      </c>
      <c r="BF43" s="74">
        <v>0</v>
      </c>
      <c r="BG43" s="74">
        <v>0</v>
      </c>
      <c r="BH43" s="74">
        <v>0</v>
      </c>
      <c r="BI43" s="74">
        <v>0</v>
      </c>
      <c r="BJ43" s="74">
        <v>0</v>
      </c>
      <c r="BK43" s="74">
        <v>0</v>
      </c>
      <c r="BL43" s="74">
        <v>0</v>
      </c>
      <c r="BM43" s="74">
        <v>0</v>
      </c>
      <c r="BN43" s="74">
        <v>0</v>
      </c>
      <c r="BO43" s="74">
        <v>0</v>
      </c>
      <c r="BP43" s="74">
        <v>0</v>
      </c>
      <c r="BQ43" s="74">
        <v>0</v>
      </c>
      <c r="BR43" s="74">
        <v>0</v>
      </c>
      <c r="BS43" s="74">
        <v>0</v>
      </c>
      <c r="BT43" s="74">
        <v>0</v>
      </c>
      <c r="BU43" s="74">
        <v>0</v>
      </c>
      <c r="BV43" s="74">
        <v>0</v>
      </c>
      <c r="BW43" s="74">
        <v>0</v>
      </c>
      <c r="BX43" s="74">
        <v>0</v>
      </c>
      <c r="BY43" s="74">
        <v>0</v>
      </c>
      <c r="BZ43" s="74">
        <v>0</v>
      </c>
      <c r="CA43" s="74">
        <v>0</v>
      </c>
      <c r="CB43" s="74">
        <v>0</v>
      </c>
      <c r="CC43" s="74">
        <v>0</v>
      </c>
      <c r="CD43" s="74">
        <v>0</v>
      </c>
      <c r="CE43" s="74">
        <v>0</v>
      </c>
      <c r="CF43" s="74">
        <v>0</v>
      </c>
      <c r="CG43" s="74">
        <v>0</v>
      </c>
      <c r="CH43" s="74">
        <v>0</v>
      </c>
      <c r="CI43" s="74">
        <v>0</v>
      </c>
      <c r="CJ43" s="74">
        <v>0</v>
      </c>
      <c r="CK43" s="74">
        <v>0</v>
      </c>
      <c r="CL43" s="74">
        <v>0</v>
      </c>
      <c r="CM43" s="74">
        <v>0</v>
      </c>
      <c r="CN43" s="74">
        <v>0</v>
      </c>
      <c r="CO43" s="74">
        <v>0</v>
      </c>
      <c r="CP43" s="74">
        <v>0</v>
      </c>
      <c r="CQ43" s="74">
        <v>0</v>
      </c>
      <c r="CR43" s="74">
        <v>0</v>
      </c>
      <c r="CS43" s="74">
        <v>0</v>
      </c>
      <c r="CT43" s="74">
        <v>0</v>
      </c>
      <c r="CU43" s="74">
        <v>0</v>
      </c>
      <c r="CV43" s="74">
        <v>0</v>
      </c>
      <c r="CW43" s="74">
        <v>0</v>
      </c>
      <c r="CX43" s="74">
        <v>0</v>
      </c>
      <c r="CY43" s="74">
        <v>0</v>
      </c>
      <c r="CZ43" s="74">
        <v>0</v>
      </c>
      <c r="DA43" s="74">
        <v>0</v>
      </c>
      <c r="DB43" s="74">
        <v>0</v>
      </c>
      <c r="DC43" s="74">
        <v>0</v>
      </c>
      <c r="DD43" s="74">
        <v>0</v>
      </c>
      <c r="DE43" s="74">
        <v>0</v>
      </c>
      <c r="DF43" s="74">
        <v>0</v>
      </c>
      <c r="DG43" s="74">
        <v>0</v>
      </c>
      <c r="DH43" s="74">
        <v>0</v>
      </c>
      <c r="DI43" s="74">
        <v>0</v>
      </c>
      <c r="DJ43" s="74">
        <v>0</v>
      </c>
      <c r="DK43" s="74">
        <v>0</v>
      </c>
      <c r="DL43" s="74">
        <v>0</v>
      </c>
      <c r="DM43" s="74">
        <v>0</v>
      </c>
      <c r="DN43" s="74">
        <v>0</v>
      </c>
      <c r="DO43" s="74">
        <v>0</v>
      </c>
      <c r="DP43" s="74">
        <v>0</v>
      </c>
      <c r="DQ43" s="74">
        <v>0</v>
      </c>
      <c r="DR43" s="74">
        <v>0</v>
      </c>
      <c r="DS43" s="74">
        <v>0</v>
      </c>
      <c r="DT43" s="74">
        <v>0</v>
      </c>
      <c r="DU43" s="74">
        <v>0</v>
      </c>
      <c r="DV43" s="74">
        <v>0</v>
      </c>
      <c r="DW43" s="74">
        <v>0</v>
      </c>
      <c r="DX43" s="74">
        <v>0</v>
      </c>
      <c r="DY43" s="74">
        <v>0</v>
      </c>
      <c r="DZ43" s="74">
        <v>0</v>
      </c>
      <c r="EA43" s="74">
        <v>0</v>
      </c>
      <c r="EB43" s="74">
        <v>0</v>
      </c>
      <c r="EC43" s="74">
        <v>0</v>
      </c>
      <c r="ED43" s="74"/>
      <c r="EE43" s="80">
        <v>46147</v>
      </c>
      <c r="EF43" s="81">
        <v>46147.490582986109</v>
      </c>
      <c r="EG43" s="66" t="s">
        <v>71</v>
      </c>
      <c r="EH43" s="66" t="s">
        <v>209</v>
      </c>
      <c r="EI43" s="66" t="s">
        <v>6</v>
      </c>
      <c r="EJ43" s="66">
        <v>12</v>
      </c>
      <c r="EK43" s="66">
        <v>2027</v>
      </c>
      <c r="EL43" s="66" t="s">
        <v>24</v>
      </c>
      <c r="EM43" s="82">
        <v>290.68389790090976</v>
      </c>
      <c r="EN43" s="82">
        <v>257.5814628146079</v>
      </c>
      <c r="EO43" s="77">
        <v>273.51499999999999</v>
      </c>
      <c r="EP43" s="84">
        <v>0.20185877210205863</v>
      </c>
      <c r="EQ43" s="84">
        <v>0.20646392611324274</v>
      </c>
      <c r="ER43" s="84">
        <v>3.7812199999999997E-2</v>
      </c>
      <c r="ES43" s="85">
        <v>0.97269429659977535</v>
      </c>
      <c r="ET43" s="86">
        <v>1.4621999999999999</v>
      </c>
      <c r="EU43" s="85">
        <v>0.15269873395245903</v>
      </c>
      <c r="EV43" s="85">
        <v>3.6374216079711912E-2</v>
      </c>
      <c r="EW43" s="76">
        <v>3</v>
      </c>
      <c r="EX43" s="76" t="s">
        <v>32</v>
      </c>
      <c r="EY43" s="74" t="s">
        <v>243</v>
      </c>
      <c r="EZ43" s="74"/>
      <c r="FA43" s="74"/>
      <c r="FB43" s="74"/>
      <c r="FC43" s="74"/>
      <c r="FD43" s="68"/>
      <c r="FH43" s="73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68"/>
    </row>
    <row r="44" spans="1:183" s="2" customFormat="1" ht="15" x14ac:dyDescent="0.3">
      <c r="A44" s="73" t="s">
        <v>201</v>
      </c>
      <c r="B44" s="73" t="s">
        <v>206</v>
      </c>
      <c r="C44" s="73" t="s">
        <v>206</v>
      </c>
      <c r="D44" s="73" t="s">
        <v>48</v>
      </c>
      <c r="E44" s="73" t="s">
        <v>178</v>
      </c>
      <c r="F44" s="73" t="s">
        <v>210</v>
      </c>
      <c r="G44" s="73" t="s">
        <v>227</v>
      </c>
      <c r="H44" s="73"/>
      <c r="I44" s="74">
        <v>0</v>
      </c>
      <c r="J44" s="74">
        <v>0</v>
      </c>
      <c r="K44" s="74">
        <v>0</v>
      </c>
      <c r="L44" s="74">
        <v>0</v>
      </c>
      <c r="M44" s="74">
        <v>54460.7</v>
      </c>
      <c r="N44" s="74">
        <v>52682.149999999994</v>
      </c>
      <c r="O44" s="74">
        <v>59208.25</v>
      </c>
      <c r="P44" s="74">
        <v>58895.199999999997</v>
      </c>
      <c r="Q44" s="74">
        <v>28383</v>
      </c>
      <c r="R44" s="74">
        <v>65138.545218633139</v>
      </c>
      <c r="S44" s="74">
        <v>48853.908913974854</v>
      </c>
      <c r="T44" s="74">
        <v>36640.43168548114</v>
      </c>
      <c r="U44" s="74">
        <v>0</v>
      </c>
      <c r="V44" s="74">
        <v>0</v>
      </c>
      <c r="W44" s="74">
        <v>0</v>
      </c>
      <c r="X44" s="74">
        <v>0</v>
      </c>
      <c r="Y44" s="74">
        <v>0</v>
      </c>
      <c r="Z44" s="74">
        <v>0</v>
      </c>
      <c r="AA44" s="74">
        <v>0</v>
      </c>
      <c r="AB44" s="74">
        <v>0</v>
      </c>
      <c r="AC44" s="74">
        <v>0</v>
      </c>
      <c r="AD44" s="74">
        <v>0</v>
      </c>
      <c r="AE44" s="74">
        <v>0</v>
      </c>
      <c r="AF44" s="74">
        <v>0</v>
      </c>
      <c r="AG44" s="74">
        <v>0</v>
      </c>
      <c r="AH44" s="74">
        <v>0</v>
      </c>
      <c r="AI44" s="74">
        <v>0</v>
      </c>
      <c r="AJ44" s="74">
        <v>0</v>
      </c>
      <c r="AK44" s="74"/>
      <c r="AL44" s="74">
        <v>0</v>
      </c>
      <c r="AM44" s="74">
        <v>0</v>
      </c>
      <c r="AN44" s="74">
        <v>0</v>
      </c>
      <c r="AO44" s="74">
        <v>0</v>
      </c>
      <c r="AP44" s="74">
        <v>0</v>
      </c>
      <c r="AQ44" s="74">
        <v>0</v>
      </c>
      <c r="AR44" s="74">
        <v>0</v>
      </c>
      <c r="AS44" s="74">
        <v>0</v>
      </c>
      <c r="AT44" s="74">
        <v>0</v>
      </c>
      <c r="AU44" s="74">
        <v>0</v>
      </c>
      <c r="AV44" s="74">
        <v>0</v>
      </c>
      <c r="AW44" s="74">
        <v>0</v>
      </c>
      <c r="AX44" s="74">
        <v>0</v>
      </c>
      <c r="AY44" s="74">
        <v>0</v>
      </c>
      <c r="AZ44" s="74">
        <v>0</v>
      </c>
      <c r="BA44" s="74">
        <v>0</v>
      </c>
      <c r="BB44" s="74">
        <v>0</v>
      </c>
      <c r="BC44" s="74">
        <v>0</v>
      </c>
      <c r="BD44" s="74">
        <v>0</v>
      </c>
      <c r="BE44" s="74">
        <v>0</v>
      </c>
      <c r="BF44" s="74">
        <v>0</v>
      </c>
      <c r="BG44" s="74">
        <v>0</v>
      </c>
      <c r="BH44" s="74">
        <v>0</v>
      </c>
      <c r="BI44" s="74">
        <v>0</v>
      </c>
      <c r="BJ44" s="74">
        <v>0</v>
      </c>
      <c r="BK44" s="74">
        <v>0</v>
      </c>
      <c r="BL44" s="74">
        <v>0</v>
      </c>
      <c r="BM44" s="74">
        <v>0</v>
      </c>
      <c r="BN44" s="74">
        <v>0</v>
      </c>
      <c r="BO44" s="74">
        <v>0</v>
      </c>
      <c r="BP44" s="74">
        <v>0</v>
      </c>
      <c r="BQ44" s="74">
        <v>0</v>
      </c>
      <c r="BR44" s="74">
        <v>0</v>
      </c>
      <c r="BS44" s="74">
        <v>0</v>
      </c>
      <c r="BT44" s="74">
        <v>0</v>
      </c>
      <c r="BU44" s="74">
        <v>0</v>
      </c>
      <c r="BV44" s="74">
        <v>0</v>
      </c>
      <c r="BW44" s="74">
        <v>0</v>
      </c>
      <c r="BX44" s="74">
        <v>0</v>
      </c>
      <c r="BY44" s="74">
        <v>0</v>
      </c>
      <c r="BZ44" s="74">
        <v>0</v>
      </c>
      <c r="CA44" s="74">
        <v>0</v>
      </c>
      <c r="CB44" s="74">
        <v>0</v>
      </c>
      <c r="CC44" s="74">
        <v>0</v>
      </c>
      <c r="CD44" s="74">
        <v>0</v>
      </c>
      <c r="CE44" s="74">
        <v>0</v>
      </c>
      <c r="CF44" s="74">
        <v>0</v>
      </c>
      <c r="CG44" s="74">
        <v>0</v>
      </c>
      <c r="CH44" s="74">
        <v>0</v>
      </c>
      <c r="CI44" s="74">
        <v>0</v>
      </c>
      <c r="CJ44" s="74">
        <v>0</v>
      </c>
      <c r="CK44" s="74">
        <v>0</v>
      </c>
      <c r="CL44" s="74">
        <v>0</v>
      </c>
      <c r="CM44" s="74">
        <v>0</v>
      </c>
      <c r="CN44" s="74">
        <v>0</v>
      </c>
      <c r="CO44" s="74">
        <v>0</v>
      </c>
      <c r="CP44" s="74">
        <v>0</v>
      </c>
      <c r="CQ44" s="74">
        <v>0</v>
      </c>
      <c r="CR44" s="74">
        <v>0</v>
      </c>
      <c r="CS44" s="74">
        <v>0</v>
      </c>
      <c r="CT44" s="74">
        <v>0</v>
      </c>
      <c r="CU44" s="74">
        <v>0</v>
      </c>
      <c r="CV44" s="74">
        <v>0</v>
      </c>
      <c r="CW44" s="74">
        <v>0</v>
      </c>
      <c r="CX44" s="74">
        <v>0</v>
      </c>
      <c r="CY44" s="74">
        <v>0</v>
      </c>
      <c r="CZ44" s="74">
        <v>0</v>
      </c>
      <c r="DA44" s="74">
        <v>0</v>
      </c>
      <c r="DB44" s="74">
        <v>0</v>
      </c>
      <c r="DC44" s="74">
        <v>0</v>
      </c>
      <c r="DD44" s="74">
        <v>0</v>
      </c>
      <c r="DE44" s="74">
        <v>0</v>
      </c>
      <c r="DF44" s="74">
        <v>0</v>
      </c>
      <c r="DG44" s="74">
        <v>0</v>
      </c>
      <c r="DH44" s="74">
        <v>0</v>
      </c>
      <c r="DI44" s="74">
        <v>0</v>
      </c>
      <c r="DJ44" s="74">
        <v>0</v>
      </c>
      <c r="DK44" s="74">
        <v>0</v>
      </c>
      <c r="DL44" s="74">
        <v>0</v>
      </c>
      <c r="DM44" s="74">
        <v>0</v>
      </c>
      <c r="DN44" s="74">
        <v>0</v>
      </c>
      <c r="DO44" s="74">
        <v>0</v>
      </c>
      <c r="DP44" s="74">
        <v>0</v>
      </c>
      <c r="DQ44" s="74">
        <v>0</v>
      </c>
      <c r="DR44" s="74">
        <v>0</v>
      </c>
      <c r="DS44" s="74">
        <v>0</v>
      </c>
      <c r="DT44" s="74">
        <v>0</v>
      </c>
      <c r="DU44" s="74">
        <v>0</v>
      </c>
      <c r="DV44" s="74">
        <v>0</v>
      </c>
      <c r="DW44" s="74">
        <v>0</v>
      </c>
      <c r="DX44" s="74">
        <v>0</v>
      </c>
      <c r="DY44" s="74">
        <v>0</v>
      </c>
      <c r="DZ44" s="74">
        <v>0</v>
      </c>
      <c r="EA44" s="74">
        <v>0</v>
      </c>
      <c r="EB44" s="74">
        <v>0</v>
      </c>
      <c r="EC44" s="74">
        <v>0</v>
      </c>
      <c r="ED44" s="74"/>
      <c r="EE44" s="80">
        <v>46147</v>
      </c>
      <c r="EF44" s="81">
        <v>46147.490582986109</v>
      </c>
      <c r="EG44" s="66" t="s">
        <v>71</v>
      </c>
      <c r="EH44" s="66" t="s">
        <v>209</v>
      </c>
      <c r="EI44" s="66" t="s">
        <v>6</v>
      </c>
      <c r="EJ44" s="66">
        <v>12</v>
      </c>
      <c r="EK44" s="66">
        <v>2027</v>
      </c>
      <c r="EL44" s="66" t="s">
        <v>24</v>
      </c>
      <c r="EM44" s="82">
        <v>290.68389790090976</v>
      </c>
      <c r="EN44" s="82">
        <v>257.5814628146079</v>
      </c>
      <c r="EO44" s="77">
        <v>273.51499999999999</v>
      </c>
      <c r="EP44" s="84">
        <v>0.20185877210205863</v>
      </c>
      <c r="EQ44" s="84">
        <v>0.20646392611324274</v>
      </c>
      <c r="ER44" s="84">
        <v>3.7812199999999997E-2</v>
      </c>
      <c r="ES44" s="85">
        <v>0.97269429659977535</v>
      </c>
      <c r="ET44" s="86">
        <v>1.4621999999999999</v>
      </c>
      <c r="EU44" s="85">
        <v>0.15269873395245903</v>
      </c>
      <c r="EV44" s="85">
        <v>3.6374216079711912E-2</v>
      </c>
      <c r="EW44" s="76">
        <v>3</v>
      </c>
      <c r="EX44" s="76" t="s">
        <v>32</v>
      </c>
      <c r="EY44" s="74" t="s">
        <v>243</v>
      </c>
      <c r="EZ44" s="74"/>
      <c r="FA44" s="74"/>
      <c r="FB44" s="74"/>
      <c r="FC44" s="74"/>
      <c r="FD44" s="68"/>
      <c r="FH44" s="73"/>
      <c r="FI44" s="74"/>
      <c r="FJ44" s="74"/>
      <c r="FK44" s="74"/>
      <c r="FL44" s="74"/>
      <c r="FM44" s="74"/>
      <c r="FN44" s="74"/>
      <c r="FO44" s="74"/>
      <c r="FP44" s="74"/>
      <c r="FQ44" s="74"/>
      <c r="FR44" s="74"/>
      <c r="FS44" s="74"/>
      <c r="FT44" s="74"/>
      <c r="FU44" s="74"/>
      <c r="FV44" s="74"/>
      <c r="FW44" s="74"/>
      <c r="FX44" s="74"/>
      <c r="FY44" s="74"/>
      <c r="FZ44" s="74"/>
      <c r="GA44" s="68"/>
    </row>
    <row r="45" spans="1:183" s="2" customFormat="1" ht="15" x14ac:dyDescent="0.3">
      <c r="A45" s="73" t="s">
        <v>10</v>
      </c>
      <c r="B45" s="73" t="s">
        <v>228</v>
      </c>
      <c r="C45" s="73" t="s">
        <v>34</v>
      </c>
      <c r="D45" s="73" t="s">
        <v>48</v>
      </c>
      <c r="E45" s="73" t="s">
        <v>178</v>
      </c>
      <c r="F45" s="73" t="s">
        <v>210</v>
      </c>
      <c r="G45" s="73" t="s">
        <v>216</v>
      </c>
      <c r="H45" s="73"/>
      <c r="I45" s="74">
        <v>0</v>
      </c>
      <c r="J45" s="74">
        <v>0</v>
      </c>
      <c r="K45" s="74">
        <v>0</v>
      </c>
      <c r="L45" s="74">
        <v>0</v>
      </c>
      <c r="M45" s="74">
        <v>513983</v>
      </c>
      <c r="N45" s="74">
        <v>574785</v>
      </c>
      <c r="O45" s="74">
        <v>637959</v>
      </c>
      <c r="P45" s="74">
        <v>716924</v>
      </c>
      <c r="Q45" s="74">
        <v>818015.32</v>
      </c>
      <c r="R45" s="74">
        <v>927372.40910000005</v>
      </c>
      <c r="S45" s="74">
        <v>1096753.2887949999</v>
      </c>
      <c r="T45" s="74">
        <v>1298589.5359227499</v>
      </c>
      <c r="U45" s="74">
        <v>0</v>
      </c>
      <c r="V45" s="74">
        <v>0</v>
      </c>
      <c r="W45" s="74">
        <v>0</v>
      </c>
      <c r="X45" s="74">
        <v>0</v>
      </c>
      <c r="Y45" s="74">
        <v>0</v>
      </c>
      <c r="Z45" s="74">
        <v>0</v>
      </c>
      <c r="AA45" s="74">
        <v>0</v>
      </c>
      <c r="AB45" s="74">
        <v>0</v>
      </c>
      <c r="AC45" s="74">
        <v>0</v>
      </c>
      <c r="AD45" s="74">
        <v>0</v>
      </c>
      <c r="AE45" s="74">
        <v>0</v>
      </c>
      <c r="AF45" s="74">
        <v>0</v>
      </c>
      <c r="AG45" s="74">
        <v>0</v>
      </c>
      <c r="AH45" s="74">
        <v>0</v>
      </c>
      <c r="AI45" s="74">
        <v>0</v>
      </c>
      <c r="AJ45" s="74">
        <v>0</v>
      </c>
      <c r="AK45" s="74"/>
      <c r="AL45" s="74">
        <v>0</v>
      </c>
      <c r="AM45" s="74">
        <v>0</v>
      </c>
      <c r="AN45" s="74">
        <v>0</v>
      </c>
      <c r="AO45" s="74">
        <v>0</v>
      </c>
      <c r="AP45" s="74">
        <v>0</v>
      </c>
      <c r="AQ45" s="74">
        <v>0</v>
      </c>
      <c r="AR45" s="74">
        <v>0</v>
      </c>
      <c r="AS45" s="74">
        <v>0</v>
      </c>
      <c r="AT45" s="74">
        <v>0</v>
      </c>
      <c r="AU45" s="74">
        <v>0</v>
      </c>
      <c r="AV45" s="74">
        <v>0</v>
      </c>
      <c r="AW45" s="74">
        <v>0</v>
      </c>
      <c r="AX45" s="74">
        <v>0</v>
      </c>
      <c r="AY45" s="74">
        <v>0</v>
      </c>
      <c r="AZ45" s="74">
        <v>0</v>
      </c>
      <c r="BA45" s="74">
        <v>0</v>
      </c>
      <c r="BB45" s="74">
        <v>0</v>
      </c>
      <c r="BC45" s="74">
        <v>0</v>
      </c>
      <c r="BD45" s="74">
        <v>0</v>
      </c>
      <c r="BE45" s="74">
        <v>0</v>
      </c>
      <c r="BF45" s="74">
        <v>0</v>
      </c>
      <c r="BG45" s="74">
        <v>0</v>
      </c>
      <c r="BH45" s="74">
        <v>0</v>
      </c>
      <c r="BI45" s="74">
        <v>0</v>
      </c>
      <c r="BJ45" s="74">
        <v>0</v>
      </c>
      <c r="BK45" s="74">
        <v>0</v>
      </c>
      <c r="BL45" s="74">
        <v>0</v>
      </c>
      <c r="BM45" s="74">
        <v>0</v>
      </c>
      <c r="BN45" s="74">
        <v>0</v>
      </c>
      <c r="BO45" s="74">
        <v>0</v>
      </c>
      <c r="BP45" s="74">
        <v>0</v>
      </c>
      <c r="BQ45" s="74">
        <v>0</v>
      </c>
      <c r="BR45" s="74">
        <v>0</v>
      </c>
      <c r="BS45" s="74">
        <v>0</v>
      </c>
      <c r="BT45" s="74">
        <v>0</v>
      </c>
      <c r="BU45" s="74">
        <v>0</v>
      </c>
      <c r="BV45" s="74">
        <v>0</v>
      </c>
      <c r="BW45" s="74">
        <v>0</v>
      </c>
      <c r="BX45" s="74">
        <v>0</v>
      </c>
      <c r="BY45" s="74">
        <v>0</v>
      </c>
      <c r="BZ45" s="74">
        <v>0</v>
      </c>
      <c r="CA45" s="74">
        <v>0</v>
      </c>
      <c r="CB45" s="74">
        <v>0</v>
      </c>
      <c r="CC45" s="74">
        <v>0</v>
      </c>
      <c r="CD45" s="74">
        <v>0</v>
      </c>
      <c r="CE45" s="74">
        <v>0</v>
      </c>
      <c r="CF45" s="74">
        <v>0</v>
      </c>
      <c r="CG45" s="74">
        <v>0</v>
      </c>
      <c r="CH45" s="74">
        <v>0</v>
      </c>
      <c r="CI45" s="74">
        <v>0</v>
      </c>
      <c r="CJ45" s="74">
        <v>0</v>
      </c>
      <c r="CK45" s="74">
        <v>0</v>
      </c>
      <c r="CL45" s="74">
        <v>0</v>
      </c>
      <c r="CM45" s="74">
        <v>0</v>
      </c>
      <c r="CN45" s="74">
        <v>0</v>
      </c>
      <c r="CO45" s="74">
        <v>0</v>
      </c>
      <c r="CP45" s="74">
        <v>0</v>
      </c>
      <c r="CQ45" s="74">
        <v>0</v>
      </c>
      <c r="CR45" s="74">
        <v>0</v>
      </c>
      <c r="CS45" s="74">
        <v>0</v>
      </c>
      <c r="CT45" s="74">
        <v>0</v>
      </c>
      <c r="CU45" s="74">
        <v>0</v>
      </c>
      <c r="CV45" s="74">
        <v>0</v>
      </c>
      <c r="CW45" s="74">
        <v>0</v>
      </c>
      <c r="CX45" s="74">
        <v>0</v>
      </c>
      <c r="CY45" s="74">
        <v>0</v>
      </c>
      <c r="CZ45" s="74">
        <v>0</v>
      </c>
      <c r="DA45" s="74">
        <v>0</v>
      </c>
      <c r="DB45" s="74">
        <v>0</v>
      </c>
      <c r="DC45" s="74">
        <v>0</v>
      </c>
      <c r="DD45" s="74">
        <v>0</v>
      </c>
      <c r="DE45" s="74">
        <v>0</v>
      </c>
      <c r="DF45" s="74">
        <v>0</v>
      </c>
      <c r="DG45" s="74">
        <v>0</v>
      </c>
      <c r="DH45" s="74">
        <v>0</v>
      </c>
      <c r="DI45" s="74">
        <v>0</v>
      </c>
      <c r="DJ45" s="74">
        <v>0</v>
      </c>
      <c r="DK45" s="74">
        <v>0</v>
      </c>
      <c r="DL45" s="74">
        <v>0</v>
      </c>
      <c r="DM45" s="74">
        <v>0</v>
      </c>
      <c r="DN45" s="74">
        <v>0</v>
      </c>
      <c r="DO45" s="74">
        <v>0</v>
      </c>
      <c r="DP45" s="74">
        <v>0</v>
      </c>
      <c r="DQ45" s="74">
        <v>0</v>
      </c>
      <c r="DR45" s="74">
        <v>0</v>
      </c>
      <c r="DS45" s="74">
        <v>0</v>
      </c>
      <c r="DT45" s="74">
        <v>0</v>
      </c>
      <c r="DU45" s="74">
        <v>0</v>
      </c>
      <c r="DV45" s="74">
        <v>0</v>
      </c>
      <c r="DW45" s="74">
        <v>0</v>
      </c>
      <c r="DX45" s="74">
        <v>0</v>
      </c>
      <c r="DY45" s="74">
        <v>0</v>
      </c>
      <c r="DZ45" s="74">
        <v>0</v>
      </c>
      <c r="EA45" s="74">
        <v>0</v>
      </c>
      <c r="EB45" s="74">
        <v>0</v>
      </c>
      <c r="EC45" s="74">
        <v>0</v>
      </c>
      <c r="ED45" s="74"/>
      <c r="EE45" s="80">
        <v>46063</v>
      </c>
      <c r="EF45" s="81">
        <v>46063.452990393518</v>
      </c>
      <c r="EG45" s="66" t="s">
        <v>70</v>
      </c>
      <c r="EH45" s="66" t="s">
        <v>209</v>
      </c>
      <c r="EI45" s="66" t="s">
        <v>6</v>
      </c>
      <c r="EJ45" s="66">
        <v>10</v>
      </c>
      <c r="EK45" s="66">
        <v>2027</v>
      </c>
      <c r="EL45" s="66" t="s">
        <v>24</v>
      </c>
      <c r="EM45" s="82">
        <v>241.43667956123221</v>
      </c>
      <c r="EN45" s="82">
        <v>206.2708139959758</v>
      </c>
      <c r="EO45" s="77">
        <v>210.28039999999999</v>
      </c>
      <c r="EP45" s="84">
        <v>0.19403388859999032</v>
      </c>
      <c r="EQ45" s="84">
        <v>0.1985771238014705</v>
      </c>
      <c r="ER45" s="84">
        <v>3.7812199999999997E-2</v>
      </c>
      <c r="ES45" s="85">
        <v>0.97173988520598786</v>
      </c>
      <c r="ET45" s="86">
        <v>1.3944000000000001</v>
      </c>
      <c r="EU45" s="85">
        <v>0.15269873395245903</v>
      </c>
      <c r="EV45" s="85">
        <v>3.6374216079711912E-2</v>
      </c>
      <c r="EW45" s="76">
        <v>2</v>
      </c>
      <c r="EX45" s="76" t="s">
        <v>32</v>
      </c>
      <c r="EY45" s="74" t="s">
        <v>243</v>
      </c>
      <c r="EZ45" s="74"/>
      <c r="FA45" s="74"/>
      <c r="FB45" s="74"/>
      <c r="FC45" s="74"/>
      <c r="FD45" s="68"/>
      <c r="FH45" s="73"/>
      <c r="FI45" s="74"/>
      <c r="FJ45" s="74"/>
      <c r="FK45" s="74"/>
      <c r="FL45" s="74"/>
      <c r="FM45" s="74"/>
      <c r="FN45" s="74"/>
      <c r="FO45" s="74"/>
      <c r="FP45" s="74"/>
      <c r="FQ45" s="74"/>
      <c r="FR45" s="74"/>
      <c r="FS45" s="74"/>
      <c r="FT45" s="74"/>
      <c r="FU45" s="74"/>
      <c r="FV45" s="74"/>
      <c r="FW45" s="74"/>
      <c r="FX45" s="74"/>
      <c r="FY45" s="74"/>
      <c r="FZ45" s="74"/>
      <c r="GA45" s="68"/>
    </row>
    <row r="46" spans="1:183" s="2" customFormat="1" ht="15" x14ac:dyDescent="0.3">
      <c r="A46" s="73" t="s">
        <v>3</v>
      </c>
      <c r="B46" s="73" t="s">
        <v>3</v>
      </c>
      <c r="C46" s="73" t="s">
        <v>39</v>
      </c>
      <c r="D46" s="73" t="s">
        <v>48</v>
      </c>
      <c r="E46" s="73" t="s">
        <v>178</v>
      </c>
      <c r="F46" s="73" t="s">
        <v>210</v>
      </c>
      <c r="G46" s="73" t="s">
        <v>216</v>
      </c>
      <c r="H46" s="73"/>
      <c r="I46" s="74">
        <v>0</v>
      </c>
      <c r="J46" s="74">
        <v>0</v>
      </c>
      <c r="K46" s="74">
        <v>0</v>
      </c>
      <c r="L46" s="74">
        <v>0</v>
      </c>
      <c r="M46" s="74">
        <v>74238.399999999994</v>
      </c>
      <c r="N46" s="74">
        <v>107032.32000000001</v>
      </c>
      <c r="O46" s="74">
        <v>144163.64000000001</v>
      </c>
      <c r="P46" s="74">
        <v>168024.215</v>
      </c>
      <c r="Q46" s="74">
        <v>199876.8154586032</v>
      </c>
      <c r="R46" s="74">
        <v>259787.27655385295</v>
      </c>
      <c r="S46" s="74">
        <v>278012.88760275691</v>
      </c>
      <c r="T46" s="74">
        <v>338396.56595748226</v>
      </c>
      <c r="U46" s="74">
        <v>0</v>
      </c>
      <c r="V46" s="74">
        <v>0</v>
      </c>
      <c r="W46" s="74">
        <v>0</v>
      </c>
      <c r="X46" s="74">
        <v>0</v>
      </c>
      <c r="Y46" s="74">
        <v>0</v>
      </c>
      <c r="Z46" s="74">
        <v>0</v>
      </c>
      <c r="AA46" s="74">
        <v>0</v>
      </c>
      <c r="AB46" s="74">
        <v>0</v>
      </c>
      <c r="AC46" s="74">
        <v>0</v>
      </c>
      <c r="AD46" s="74">
        <v>0</v>
      </c>
      <c r="AE46" s="74">
        <v>0</v>
      </c>
      <c r="AF46" s="74">
        <v>0</v>
      </c>
      <c r="AG46" s="74">
        <v>0</v>
      </c>
      <c r="AH46" s="74">
        <v>0</v>
      </c>
      <c r="AI46" s="74">
        <v>0</v>
      </c>
      <c r="AJ46" s="74">
        <v>0</v>
      </c>
      <c r="AK46" s="74"/>
      <c r="AL46" s="74">
        <v>0</v>
      </c>
      <c r="AM46" s="74">
        <v>0</v>
      </c>
      <c r="AN46" s="74">
        <v>0</v>
      </c>
      <c r="AO46" s="74">
        <v>0</v>
      </c>
      <c r="AP46" s="74">
        <v>0</v>
      </c>
      <c r="AQ46" s="74">
        <v>0</v>
      </c>
      <c r="AR46" s="74">
        <v>0</v>
      </c>
      <c r="AS46" s="74">
        <v>0</v>
      </c>
      <c r="AT46" s="74">
        <v>0</v>
      </c>
      <c r="AU46" s="74">
        <v>0</v>
      </c>
      <c r="AV46" s="74">
        <v>0</v>
      </c>
      <c r="AW46" s="74">
        <v>0</v>
      </c>
      <c r="AX46" s="74">
        <v>0</v>
      </c>
      <c r="AY46" s="74">
        <v>0</v>
      </c>
      <c r="AZ46" s="74">
        <v>0</v>
      </c>
      <c r="BA46" s="74">
        <v>0</v>
      </c>
      <c r="BB46" s="74">
        <v>0</v>
      </c>
      <c r="BC46" s="74">
        <v>0</v>
      </c>
      <c r="BD46" s="74">
        <v>0</v>
      </c>
      <c r="BE46" s="74">
        <v>0</v>
      </c>
      <c r="BF46" s="74">
        <v>0</v>
      </c>
      <c r="BG46" s="74">
        <v>0</v>
      </c>
      <c r="BH46" s="74">
        <v>0</v>
      </c>
      <c r="BI46" s="74">
        <v>0</v>
      </c>
      <c r="BJ46" s="74">
        <v>0</v>
      </c>
      <c r="BK46" s="74">
        <v>0</v>
      </c>
      <c r="BL46" s="74">
        <v>0</v>
      </c>
      <c r="BM46" s="74">
        <v>0</v>
      </c>
      <c r="BN46" s="74">
        <v>0</v>
      </c>
      <c r="BO46" s="74">
        <v>0</v>
      </c>
      <c r="BP46" s="74">
        <v>0</v>
      </c>
      <c r="BQ46" s="74">
        <v>0</v>
      </c>
      <c r="BR46" s="74">
        <v>0</v>
      </c>
      <c r="BS46" s="74">
        <v>0</v>
      </c>
      <c r="BT46" s="74">
        <v>0</v>
      </c>
      <c r="BU46" s="74">
        <v>0</v>
      </c>
      <c r="BV46" s="74">
        <v>0</v>
      </c>
      <c r="BW46" s="74">
        <v>0</v>
      </c>
      <c r="BX46" s="74">
        <v>0</v>
      </c>
      <c r="BY46" s="74">
        <v>0</v>
      </c>
      <c r="BZ46" s="74">
        <v>0</v>
      </c>
      <c r="CA46" s="74">
        <v>0</v>
      </c>
      <c r="CB46" s="74">
        <v>0</v>
      </c>
      <c r="CC46" s="74">
        <v>0</v>
      </c>
      <c r="CD46" s="74">
        <v>0</v>
      </c>
      <c r="CE46" s="74">
        <v>0</v>
      </c>
      <c r="CF46" s="74">
        <v>0</v>
      </c>
      <c r="CG46" s="74">
        <v>0</v>
      </c>
      <c r="CH46" s="74">
        <v>0</v>
      </c>
      <c r="CI46" s="74">
        <v>0</v>
      </c>
      <c r="CJ46" s="74">
        <v>0</v>
      </c>
      <c r="CK46" s="74">
        <v>0</v>
      </c>
      <c r="CL46" s="74">
        <v>0</v>
      </c>
      <c r="CM46" s="74">
        <v>0</v>
      </c>
      <c r="CN46" s="74">
        <v>0</v>
      </c>
      <c r="CO46" s="74">
        <v>0</v>
      </c>
      <c r="CP46" s="74">
        <v>0</v>
      </c>
      <c r="CQ46" s="74">
        <v>0</v>
      </c>
      <c r="CR46" s="74">
        <v>0</v>
      </c>
      <c r="CS46" s="74">
        <v>0</v>
      </c>
      <c r="CT46" s="74">
        <v>0</v>
      </c>
      <c r="CU46" s="74">
        <v>0</v>
      </c>
      <c r="CV46" s="74">
        <v>0</v>
      </c>
      <c r="CW46" s="74">
        <v>0</v>
      </c>
      <c r="CX46" s="74">
        <v>0</v>
      </c>
      <c r="CY46" s="74">
        <v>0</v>
      </c>
      <c r="CZ46" s="74">
        <v>0</v>
      </c>
      <c r="DA46" s="74">
        <v>0</v>
      </c>
      <c r="DB46" s="74">
        <v>0</v>
      </c>
      <c r="DC46" s="74">
        <v>0</v>
      </c>
      <c r="DD46" s="74">
        <v>0</v>
      </c>
      <c r="DE46" s="74">
        <v>0</v>
      </c>
      <c r="DF46" s="74">
        <v>0</v>
      </c>
      <c r="DG46" s="74">
        <v>0</v>
      </c>
      <c r="DH46" s="74">
        <v>0</v>
      </c>
      <c r="DI46" s="74">
        <v>0</v>
      </c>
      <c r="DJ46" s="74">
        <v>0</v>
      </c>
      <c r="DK46" s="74">
        <v>0</v>
      </c>
      <c r="DL46" s="74">
        <v>0</v>
      </c>
      <c r="DM46" s="74">
        <v>0</v>
      </c>
      <c r="DN46" s="74">
        <v>0</v>
      </c>
      <c r="DO46" s="74">
        <v>0</v>
      </c>
      <c r="DP46" s="74">
        <v>0</v>
      </c>
      <c r="DQ46" s="74">
        <v>0</v>
      </c>
      <c r="DR46" s="74">
        <v>0</v>
      </c>
      <c r="DS46" s="74">
        <v>0</v>
      </c>
      <c r="DT46" s="74">
        <v>0</v>
      </c>
      <c r="DU46" s="74">
        <v>0</v>
      </c>
      <c r="DV46" s="74">
        <v>0</v>
      </c>
      <c r="DW46" s="74">
        <v>0</v>
      </c>
      <c r="DX46" s="74">
        <v>0</v>
      </c>
      <c r="DY46" s="74">
        <v>0</v>
      </c>
      <c r="DZ46" s="74">
        <v>0</v>
      </c>
      <c r="EA46" s="74">
        <v>0</v>
      </c>
      <c r="EB46" s="74">
        <v>0</v>
      </c>
      <c r="EC46" s="74">
        <v>0</v>
      </c>
      <c r="ED46" s="74"/>
      <c r="EE46" s="80">
        <v>46063</v>
      </c>
      <c r="EF46" s="81">
        <v>46063.452990393518</v>
      </c>
      <c r="EG46" s="66" t="s">
        <v>70</v>
      </c>
      <c r="EH46" s="66" t="s">
        <v>209</v>
      </c>
      <c r="EI46" s="66" t="s">
        <v>6</v>
      </c>
      <c r="EJ46" s="66">
        <v>10</v>
      </c>
      <c r="EK46" s="66">
        <v>2027</v>
      </c>
      <c r="EL46" s="66" t="s">
        <v>24</v>
      </c>
      <c r="EM46" s="82">
        <v>241.43667956123221</v>
      </c>
      <c r="EN46" s="82">
        <v>206.2708139959758</v>
      </c>
      <c r="EO46" s="77">
        <v>210.28039999999999</v>
      </c>
      <c r="EP46" s="84">
        <v>0.19403388859999032</v>
      </c>
      <c r="EQ46" s="84">
        <v>0.1985771238014705</v>
      </c>
      <c r="ER46" s="84">
        <v>3.7812199999999997E-2</v>
      </c>
      <c r="ES46" s="85">
        <v>0.97173988520598786</v>
      </c>
      <c r="ET46" s="86">
        <v>1.3944000000000001</v>
      </c>
      <c r="EU46" s="85">
        <v>0.15269873395245903</v>
      </c>
      <c r="EV46" s="85">
        <v>3.6374216079711912E-2</v>
      </c>
      <c r="EW46" s="76">
        <v>2</v>
      </c>
      <c r="EX46" s="76" t="s">
        <v>32</v>
      </c>
      <c r="EY46" s="74" t="s">
        <v>243</v>
      </c>
      <c r="EZ46" s="74"/>
      <c r="FA46" s="74"/>
      <c r="FB46" s="74"/>
      <c r="FC46" s="74"/>
      <c r="FD46" s="68"/>
      <c r="FH46" s="73"/>
      <c r="FI46" s="74"/>
      <c r="FJ46" s="74"/>
      <c r="FK46" s="74"/>
      <c r="FL46" s="74"/>
      <c r="FM46" s="74"/>
      <c r="FN46" s="74"/>
      <c r="FO46" s="74"/>
      <c r="FP46" s="74"/>
      <c r="FQ46" s="74"/>
      <c r="FR46" s="74"/>
      <c r="FS46" s="74"/>
      <c r="FT46" s="74"/>
      <c r="FU46" s="74"/>
      <c r="FV46" s="74"/>
      <c r="FW46" s="74"/>
      <c r="FX46" s="74"/>
      <c r="FY46" s="74"/>
      <c r="FZ46" s="74"/>
      <c r="GA46" s="68"/>
    </row>
    <row r="47" spans="1:183" s="2" customFormat="1" ht="15" x14ac:dyDescent="0.3">
      <c r="A47" s="73" t="s">
        <v>14</v>
      </c>
      <c r="B47" s="73" t="s">
        <v>229</v>
      </c>
      <c r="C47" s="73" t="s">
        <v>35</v>
      </c>
      <c r="D47" s="73" t="s">
        <v>48</v>
      </c>
      <c r="E47" s="73" t="s">
        <v>178</v>
      </c>
      <c r="F47" s="73" t="s">
        <v>210</v>
      </c>
      <c r="G47" s="73" t="s">
        <v>216</v>
      </c>
      <c r="H47" s="73"/>
      <c r="I47" s="74">
        <v>12420</v>
      </c>
      <c r="J47" s="74">
        <v>14540</v>
      </c>
      <c r="K47" s="74">
        <v>22899</v>
      </c>
      <c r="L47" s="74">
        <v>24879</v>
      </c>
      <c r="M47" s="74">
        <v>12248</v>
      </c>
      <c r="N47" s="74">
        <v>36852</v>
      </c>
      <c r="O47" s="74">
        <v>68593</v>
      </c>
      <c r="P47" s="74">
        <v>79975</v>
      </c>
      <c r="Q47" s="74">
        <v>0</v>
      </c>
      <c r="R47" s="74">
        <v>0</v>
      </c>
      <c r="S47" s="74">
        <v>0</v>
      </c>
      <c r="T47" s="74">
        <v>0</v>
      </c>
      <c r="U47" s="74">
        <v>0</v>
      </c>
      <c r="V47" s="74">
        <v>0</v>
      </c>
      <c r="W47" s="74">
        <v>0</v>
      </c>
      <c r="X47" s="74">
        <v>0</v>
      </c>
      <c r="Y47" s="74">
        <v>0</v>
      </c>
      <c r="Z47" s="74">
        <v>0</v>
      </c>
      <c r="AA47" s="74">
        <v>0</v>
      </c>
      <c r="AB47" s="74">
        <v>0</v>
      </c>
      <c r="AC47" s="74">
        <v>0</v>
      </c>
      <c r="AD47" s="74">
        <v>0</v>
      </c>
      <c r="AE47" s="74">
        <v>0</v>
      </c>
      <c r="AF47" s="74">
        <v>0</v>
      </c>
      <c r="AG47" s="74">
        <v>0</v>
      </c>
      <c r="AH47" s="74">
        <v>0</v>
      </c>
      <c r="AI47" s="74">
        <v>0</v>
      </c>
      <c r="AJ47" s="74">
        <v>0</v>
      </c>
      <c r="AK47" s="74"/>
      <c r="AL47" s="74">
        <v>112000</v>
      </c>
      <c r="AM47" s="74">
        <v>116000</v>
      </c>
      <c r="AN47" s="74">
        <v>125000</v>
      </c>
      <c r="AO47" s="74">
        <v>0</v>
      </c>
      <c r="AP47" s="74">
        <v>121000</v>
      </c>
      <c r="AQ47" s="74">
        <v>134250</v>
      </c>
      <c r="AR47" s="74">
        <v>138000</v>
      </c>
      <c r="AS47" s="74">
        <v>160000</v>
      </c>
      <c r="AT47" s="74">
        <v>138000</v>
      </c>
      <c r="AU47" s="74">
        <v>144000</v>
      </c>
      <c r="AV47" s="74">
        <v>154000</v>
      </c>
      <c r="AW47" s="74">
        <v>181500</v>
      </c>
      <c r="AX47" s="74">
        <v>151000</v>
      </c>
      <c r="AY47" s="74">
        <v>159000</v>
      </c>
      <c r="AZ47" s="74">
        <v>174000</v>
      </c>
      <c r="BA47" s="74">
        <v>206000</v>
      </c>
      <c r="BB47" s="74">
        <v>173500</v>
      </c>
      <c r="BC47" s="74">
        <v>0</v>
      </c>
      <c r="BD47" s="74">
        <v>0</v>
      </c>
      <c r="BE47" s="74">
        <v>0</v>
      </c>
      <c r="BF47" s="74">
        <v>0</v>
      </c>
      <c r="BG47" s="74">
        <v>0</v>
      </c>
      <c r="BH47" s="74">
        <v>0</v>
      </c>
      <c r="BI47" s="74">
        <v>0</v>
      </c>
      <c r="BJ47" s="74">
        <v>0</v>
      </c>
      <c r="BK47" s="74">
        <v>0</v>
      </c>
      <c r="BL47" s="74">
        <v>0</v>
      </c>
      <c r="BM47" s="74">
        <v>0</v>
      </c>
      <c r="BN47" s="74">
        <v>0</v>
      </c>
      <c r="BO47" s="74">
        <v>0</v>
      </c>
      <c r="BP47" s="74">
        <v>0</v>
      </c>
      <c r="BQ47" s="74">
        <v>0</v>
      </c>
      <c r="BR47" s="74">
        <v>0</v>
      </c>
      <c r="BS47" s="74">
        <v>0</v>
      </c>
      <c r="BT47" s="74">
        <v>0</v>
      </c>
      <c r="BU47" s="74">
        <v>0</v>
      </c>
      <c r="BV47" s="74">
        <v>0</v>
      </c>
      <c r="BW47" s="74">
        <v>0</v>
      </c>
      <c r="BX47" s="74">
        <v>0</v>
      </c>
      <c r="BY47" s="74">
        <v>0</v>
      </c>
      <c r="BZ47" s="74">
        <v>0</v>
      </c>
      <c r="CA47" s="74">
        <v>0</v>
      </c>
      <c r="CB47" s="74">
        <v>0</v>
      </c>
      <c r="CC47" s="74">
        <v>0</v>
      </c>
      <c r="CD47" s="74">
        <v>0</v>
      </c>
      <c r="CE47" s="74">
        <v>0</v>
      </c>
      <c r="CF47" s="74">
        <v>0</v>
      </c>
      <c r="CG47" s="74">
        <v>0</v>
      </c>
      <c r="CH47" s="74">
        <v>0</v>
      </c>
      <c r="CI47" s="74">
        <v>0</v>
      </c>
      <c r="CJ47" s="74">
        <v>0</v>
      </c>
      <c r="CK47" s="74">
        <v>0</v>
      </c>
      <c r="CL47" s="74">
        <v>0</v>
      </c>
      <c r="CM47" s="74">
        <v>0</v>
      </c>
      <c r="CN47" s="74">
        <v>0</v>
      </c>
      <c r="CO47" s="74">
        <v>0</v>
      </c>
      <c r="CP47" s="74">
        <v>0</v>
      </c>
      <c r="CQ47" s="74">
        <v>0</v>
      </c>
      <c r="CR47" s="74">
        <v>0</v>
      </c>
      <c r="CS47" s="74">
        <v>0</v>
      </c>
      <c r="CT47" s="74">
        <v>0</v>
      </c>
      <c r="CU47" s="74">
        <v>0</v>
      </c>
      <c r="CV47" s="74">
        <v>0</v>
      </c>
      <c r="CW47" s="74">
        <v>0</v>
      </c>
      <c r="CX47" s="74">
        <v>0</v>
      </c>
      <c r="CY47" s="74">
        <v>0</v>
      </c>
      <c r="CZ47" s="74">
        <v>0</v>
      </c>
      <c r="DA47" s="74">
        <v>0</v>
      </c>
      <c r="DB47" s="74">
        <v>0</v>
      </c>
      <c r="DC47" s="74">
        <v>0</v>
      </c>
      <c r="DD47" s="74">
        <v>0</v>
      </c>
      <c r="DE47" s="74">
        <v>0</v>
      </c>
      <c r="DF47" s="74">
        <v>0</v>
      </c>
      <c r="DG47" s="74">
        <v>0</v>
      </c>
      <c r="DH47" s="74">
        <v>0</v>
      </c>
      <c r="DI47" s="74">
        <v>0</v>
      </c>
      <c r="DJ47" s="74">
        <v>0</v>
      </c>
      <c r="DK47" s="74">
        <v>0</v>
      </c>
      <c r="DL47" s="74">
        <v>0</v>
      </c>
      <c r="DM47" s="74">
        <v>0</v>
      </c>
      <c r="DN47" s="74">
        <v>0</v>
      </c>
      <c r="DO47" s="74">
        <v>0</v>
      </c>
      <c r="DP47" s="74">
        <v>0</v>
      </c>
      <c r="DQ47" s="74">
        <v>0</v>
      </c>
      <c r="DR47" s="74">
        <v>0</v>
      </c>
      <c r="DS47" s="74">
        <v>0</v>
      </c>
      <c r="DT47" s="74">
        <v>0</v>
      </c>
      <c r="DU47" s="74">
        <v>0</v>
      </c>
      <c r="DV47" s="74">
        <v>0</v>
      </c>
      <c r="DW47" s="74">
        <v>0</v>
      </c>
      <c r="DX47" s="74">
        <v>0</v>
      </c>
      <c r="DY47" s="74">
        <v>0</v>
      </c>
      <c r="DZ47" s="74">
        <v>0</v>
      </c>
      <c r="EA47" s="74">
        <v>0</v>
      </c>
      <c r="EB47" s="74">
        <v>0</v>
      </c>
      <c r="EC47" s="74">
        <v>0</v>
      </c>
      <c r="ED47" s="74"/>
      <c r="EE47" s="80">
        <v>46063</v>
      </c>
      <c r="EF47" s="81">
        <v>46063.452990393518</v>
      </c>
      <c r="EG47" s="66" t="s">
        <v>70</v>
      </c>
      <c r="EH47" s="66" t="s">
        <v>209</v>
      </c>
      <c r="EI47" s="66" t="s">
        <v>6</v>
      </c>
      <c r="EJ47" s="66">
        <v>10</v>
      </c>
      <c r="EK47" s="66">
        <v>2027</v>
      </c>
      <c r="EL47" s="66" t="s">
        <v>24</v>
      </c>
      <c r="EM47" s="82">
        <v>241.43667956123221</v>
      </c>
      <c r="EN47" s="82">
        <v>206.2708139959758</v>
      </c>
      <c r="EO47" s="77">
        <v>210.28039999999999</v>
      </c>
      <c r="EP47" s="84">
        <v>0.19403388859999032</v>
      </c>
      <c r="EQ47" s="84">
        <v>0.1985771238014705</v>
      </c>
      <c r="ER47" s="84">
        <v>3.7812199999999997E-2</v>
      </c>
      <c r="ES47" s="85">
        <v>0.97173988520598786</v>
      </c>
      <c r="ET47" s="86">
        <v>1.3944000000000001</v>
      </c>
      <c r="EU47" s="85">
        <v>0.15269873395245903</v>
      </c>
      <c r="EV47" s="85">
        <v>3.6374216079711912E-2</v>
      </c>
      <c r="EW47" s="76">
        <v>2</v>
      </c>
      <c r="EX47" s="76" t="s">
        <v>32</v>
      </c>
      <c r="EY47" s="74" t="s">
        <v>243</v>
      </c>
      <c r="EZ47" s="74"/>
      <c r="FA47" s="74"/>
      <c r="FB47" s="74"/>
      <c r="FC47" s="74"/>
      <c r="FD47" s="68"/>
      <c r="FH47" s="73"/>
      <c r="FI47" s="74"/>
      <c r="FJ47" s="74"/>
      <c r="FK47" s="74"/>
      <c r="FL47" s="74"/>
      <c r="FM47" s="74"/>
      <c r="FN47" s="74"/>
      <c r="FO47" s="74"/>
      <c r="FP47" s="74"/>
      <c r="FQ47" s="74"/>
      <c r="FR47" s="74"/>
      <c r="FS47" s="74"/>
      <c r="FT47" s="74"/>
      <c r="FU47" s="74"/>
      <c r="FV47" s="74"/>
      <c r="FW47" s="74"/>
      <c r="FX47" s="74"/>
      <c r="FY47" s="74"/>
      <c r="FZ47" s="74"/>
      <c r="GA47" s="68"/>
    </row>
    <row r="48" spans="1:183" s="2" customFormat="1" ht="15" x14ac:dyDescent="0.3">
      <c r="A48" s="73" t="s">
        <v>11</v>
      </c>
      <c r="B48" s="73" t="s">
        <v>230</v>
      </c>
      <c r="C48" s="73" t="s">
        <v>40</v>
      </c>
      <c r="D48" s="73" t="s">
        <v>48</v>
      </c>
      <c r="E48" s="73" t="s">
        <v>178</v>
      </c>
      <c r="F48" s="73" t="s">
        <v>210</v>
      </c>
      <c r="G48" s="73" t="s">
        <v>216</v>
      </c>
      <c r="H48" s="73"/>
      <c r="I48" s="74">
        <v>0</v>
      </c>
      <c r="J48" s="74">
        <v>0</v>
      </c>
      <c r="K48" s="74">
        <v>0</v>
      </c>
      <c r="L48" s="74">
        <v>0</v>
      </c>
      <c r="M48" s="74">
        <v>11797.311458854736</v>
      </c>
      <c r="N48" s="74">
        <v>30645.127986118412</v>
      </c>
      <c r="O48" s="74">
        <v>54747.854184565913</v>
      </c>
      <c r="P48" s="74">
        <v>64969.207999999999</v>
      </c>
      <c r="Q48" s="74">
        <v>79983.496400000018</v>
      </c>
      <c r="R48" s="74">
        <v>98612.258021702379</v>
      </c>
      <c r="S48" s="74">
        <v>109376.79568387188</v>
      </c>
      <c r="T48" s="74">
        <v>140136.73683351351</v>
      </c>
      <c r="U48" s="74">
        <v>0</v>
      </c>
      <c r="V48" s="74">
        <v>0</v>
      </c>
      <c r="W48" s="74">
        <v>0</v>
      </c>
      <c r="X48" s="74">
        <v>0</v>
      </c>
      <c r="Y48" s="74">
        <v>0</v>
      </c>
      <c r="Z48" s="74">
        <v>0</v>
      </c>
      <c r="AA48" s="74">
        <v>0</v>
      </c>
      <c r="AB48" s="74">
        <v>0</v>
      </c>
      <c r="AC48" s="74">
        <v>0</v>
      </c>
      <c r="AD48" s="74">
        <v>0</v>
      </c>
      <c r="AE48" s="74">
        <v>0</v>
      </c>
      <c r="AF48" s="74">
        <v>0</v>
      </c>
      <c r="AG48" s="74">
        <v>0</v>
      </c>
      <c r="AH48" s="74">
        <v>0</v>
      </c>
      <c r="AI48" s="74">
        <v>0</v>
      </c>
      <c r="AJ48" s="74">
        <v>0</v>
      </c>
      <c r="AK48" s="74"/>
      <c r="AL48" s="74">
        <v>0</v>
      </c>
      <c r="AM48" s="74">
        <v>0</v>
      </c>
      <c r="AN48" s="74">
        <v>0</v>
      </c>
      <c r="AO48" s="74">
        <v>0</v>
      </c>
      <c r="AP48" s="74">
        <v>0</v>
      </c>
      <c r="AQ48" s="74">
        <v>0</v>
      </c>
      <c r="AR48" s="74">
        <v>0</v>
      </c>
      <c r="AS48" s="74">
        <v>0</v>
      </c>
      <c r="AT48" s="74">
        <v>0</v>
      </c>
      <c r="AU48" s="74">
        <v>0</v>
      </c>
      <c r="AV48" s="74">
        <v>0</v>
      </c>
      <c r="AW48" s="74">
        <v>0</v>
      </c>
      <c r="AX48" s="74">
        <v>0</v>
      </c>
      <c r="AY48" s="74">
        <v>0</v>
      </c>
      <c r="AZ48" s="74">
        <v>0</v>
      </c>
      <c r="BA48" s="74">
        <v>0</v>
      </c>
      <c r="BB48" s="74">
        <v>0</v>
      </c>
      <c r="BC48" s="74">
        <v>0</v>
      </c>
      <c r="BD48" s="74">
        <v>0</v>
      </c>
      <c r="BE48" s="74">
        <v>0</v>
      </c>
      <c r="BF48" s="74">
        <v>0</v>
      </c>
      <c r="BG48" s="74">
        <v>0</v>
      </c>
      <c r="BH48" s="74">
        <v>0</v>
      </c>
      <c r="BI48" s="74">
        <v>0</v>
      </c>
      <c r="BJ48" s="74">
        <v>0</v>
      </c>
      <c r="BK48" s="74">
        <v>0</v>
      </c>
      <c r="BL48" s="74">
        <v>0</v>
      </c>
      <c r="BM48" s="74">
        <v>0</v>
      </c>
      <c r="BN48" s="74">
        <v>0</v>
      </c>
      <c r="BO48" s="74">
        <v>0</v>
      </c>
      <c r="BP48" s="74">
        <v>0</v>
      </c>
      <c r="BQ48" s="74">
        <v>0</v>
      </c>
      <c r="BR48" s="74">
        <v>0</v>
      </c>
      <c r="BS48" s="74">
        <v>0</v>
      </c>
      <c r="BT48" s="74">
        <v>0</v>
      </c>
      <c r="BU48" s="74">
        <v>0</v>
      </c>
      <c r="BV48" s="74">
        <v>0</v>
      </c>
      <c r="BW48" s="74">
        <v>0</v>
      </c>
      <c r="BX48" s="74">
        <v>0</v>
      </c>
      <c r="BY48" s="74">
        <v>0</v>
      </c>
      <c r="BZ48" s="74">
        <v>0</v>
      </c>
      <c r="CA48" s="74">
        <v>0</v>
      </c>
      <c r="CB48" s="74">
        <v>0</v>
      </c>
      <c r="CC48" s="74">
        <v>0</v>
      </c>
      <c r="CD48" s="74">
        <v>0</v>
      </c>
      <c r="CE48" s="74">
        <v>0</v>
      </c>
      <c r="CF48" s="74">
        <v>0</v>
      </c>
      <c r="CG48" s="74">
        <v>0</v>
      </c>
      <c r="CH48" s="74">
        <v>0</v>
      </c>
      <c r="CI48" s="74">
        <v>0</v>
      </c>
      <c r="CJ48" s="74">
        <v>0</v>
      </c>
      <c r="CK48" s="74">
        <v>0</v>
      </c>
      <c r="CL48" s="74">
        <v>0</v>
      </c>
      <c r="CM48" s="74">
        <v>0</v>
      </c>
      <c r="CN48" s="74">
        <v>0</v>
      </c>
      <c r="CO48" s="74">
        <v>0</v>
      </c>
      <c r="CP48" s="74">
        <v>0</v>
      </c>
      <c r="CQ48" s="74">
        <v>0</v>
      </c>
      <c r="CR48" s="74">
        <v>0</v>
      </c>
      <c r="CS48" s="74">
        <v>0</v>
      </c>
      <c r="CT48" s="74">
        <v>0</v>
      </c>
      <c r="CU48" s="74">
        <v>0</v>
      </c>
      <c r="CV48" s="74">
        <v>0</v>
      </c>
      <c r="CW48" s="74">
        <v>0</v>
      </c>
      <c r="CX48" s="74">
        <v>0</v>
      </c>
      <c r="CY48" s="74">
        <v>0</v>
      </c>
      <c r="CZ48" s="74">
        <v>0</v>
      </c>
      <c r="DA48" s="74">
        <v>0</v>
      </c>
      <c r="DB48" s="74">
        <v>0</v>
      </c>
      <c r="DC48" s="74">
        <v>0</v>
      </c>
      <c r="DD48" s="74">
        <v>0</v>
      </c>
      <c r="DE48" s="74">
        <v>0</v>
      </c>
      <c r="DF48" s="74">
        <v>0</v>
      </c>
      <c r="DG48" s="74">
        <v>0</v>
      </c>
      <c r="DH48" s="74">
        <v>0</v>
      </c>
      <c r="DI48" s="74">
        <v>0</v>
      </c>
      <c r="DJ48" s="74">
        <v>0</v>
      </c>
      <c r="DK48" s="74">
        <v>0</v>
      </c>
      <c r="DL48" s="74">
        <v>0</v>
      </c>
      <c r="DM48" s="74">
        <v>0</v>
      </c>
      <c r="DN48" s="74">
        <v>0</v>
      </c>
      <c r="DO48" s="74">
        <v>0</v>
      </c>
      <c r="DP48" s="74">
        <v>0</v>
      </c>
      <c r="DQ48" s="74">
        <v>0</v>
      </c>
      <c r="DR48" s="74">
        <v>0</v>
      </c>
      <c r="DS48" s="74">
        <v>0</v>
      </c>
      <c r="DT48" s="74">
        <v>0</v>
      </c>
      <c r="DU48" s="74">
        <v>0</v>
      </c>
      <c r="DV48" s="74">
        <v>0</v>
      </c>
      <c r="DW48" s="74">
        <v>0</v>
      </c>
      <c r="DX48" s="74">
        <v>0</v>
      </c>
      <c r="DY48" s="74">
        <v>0</v>
      </c>
      <c r="DZ48" s="74">
        <v>0</v>
      </c>
      <c r="EA48" s="74">
        <v>0</v>
      </c>
      <c r="EB48" s="74">
        <v>0</v>
      </c>
      <c r="EC48" s="74">
        <v>0</v>
      </c>
      <c r="ED48" s="74"/>
      <c r="EE48" s="80">
        <v>46063</v>
      </c>
      <c r="EF48" s="81">
        <v>46063.452990393518</v>
      </c>
      <c r="EG48" s="66" t="s">
        <v>70</v>
      </c>
      <c r="EH48" s="66" t="s">
        <v>209</v>
      </c>
      <c r="EI48" s="66" t="s">
        <v>2</v>
      </c>
      <c r="EJ48" s="66">
        <v>28</v>
      </c>
      <c r="EK48" s="66">
        <v>2027</v>
      </c>
      <c r="EL48" s="66" t="s">
        <v>24</v>
      </c>
      <c r="EM48" s="82">
        <v>254.85816788386427</v>
      </c>
      <c r="EN48" s="82">
        <v>217.00464264911662</v>
      </c>
      <c r="EO48" s="77">
        <v>210.28039999999999</v>
      </c>
      <c r="EP48" s="84">
        <v>0.19403388859999032</v>
      </c>
      <c r="EQ48" s="84">
        <v>0.1985771238014705</v>
      </c>
      <c r="ER48" s="84">
        <v>3.7812199999999997E-2</v>
      </c>
      <c r="ES48" s="85">
        <v>0.97173988520598786</v>
      </c>
      <c r="ET48" s="86">
        <v>1.3944000000000001</v>
      </c>
      <c r="EU48" s="85">
        <v>0.15269873395245903</v>
      </c>
      <c r="EV48" s="85">
        <v>3.6374216079711912E-2</v>
      </c>
      <c r="EW48" s="76">
        <v>2</v>
      </c>
      <c r="EX48" s="76" t="s">
        <v>32</v>
      </c>
      <c r="EY48" s="74" t="s">
        <v>243</v>
      </c>
      <c r="EZ48" s="74"/>
      <c r="FA48" s="74"/>
      <c r="FB48" s="74"/>
      <c r="FC48" s="74"/>
      <c r="FD48" s="68"/>
      <c r="FH48" s="73"/>
      <c r="FI48" s="74"/>
      <c r="FJ48" s="74"/>
      <c r="FK48" s="74"/>
      <c r="FL48" s="74"/>
      <c r="FM48" s="74"/>
      <c r="FN48" s="74"/>
      <c r="FO48" s="74"/>
      <c r="FP48" s="74"/>
      <c r="FQ48" s="74"/>
      <c r="FR48" s="74"/>
      <c r="FS48" s="74"/>
      <c r="FT48" s="74"/>
      <c r="FU48" s="74"/>
      <c r="FV48" s="74"/>
      <c r="FW48" s="74"/>
      <c r="FX48" s="74"/>
      <c r="FY48" s="74"/>
      <c r="FZ48" s="74"/>
      <c r="GA48" s="68"/>
    </row>
    <row r="49" spans="1:183" s="2" customFormat="1" ht="15" x14ac:dyDescent="0.3">
      <c r="A49" s="73" t="s">
        <v>156</v>
      </c>
      <c r="B49" s="73" t="s">
        <v>231</v>
      </c>
      <c r="C49" s="73" t="s">
        <v>41</v>
      </c>
      <c r="D49" s="73" t="s">
        <v>48</v>
      </c>
      <c r="E49" s="73" t="s">
        <v>217</v>
      </c>
      <c r="F49" s="73" t="s">
        <v>218</v>
      </c>
      <c r="G49" s="73" t="s">
        <v>216</v>
      </c>
      <c r="H49" s="73"/>
      <c r="I49" s="74">
        <v>0</v>
      </c>
      <c r="J49" s="74">
        <v>0</v>
      </c>
      <c r="K49" s="74">
        <v>0</v>
      </c>
      <c r="L49" s="74">
        <v>0</v>
      </c>
      <c r="M49" s="74">
        <v>10189</v>
      </c>
      <c r="N49" s="74">
        <v>10492</v>
      </c>
      <c r="O49" s="74">
        <v>10721</v>
      </c>
      <c r="P49" s="74">
        <v>10827</v>
      </c>
      <c r="Q49" s="74">
        <v>10827</v>
      </c>
      <c r="R49" s="74">
        <v>10827</v>
      </c>
      <c r="S49" s="74">
        <v>10827</v>
      </c>
      <c r="T49" s="74">
        <v>10827</v>
      </c>
      <c r="U49" s="74">
        <v>0</v>
      </c>
      <c r="V49" s="74">
        <v>0</v>
      </c>
      <c r="W49" s="74">
        <v>0</v>
      </c>
      <c r="X49" s="74">
        <v>0</v>
      </c>
      <c r="Y49" s="74">
        <v>0</v>
      </c>
      <c r="Z49" s="74">
        <v>0</v>
      </c>
      <c r="AA49" s="74">
        <v>0</v>
      </c>
      <c r="AB49" s="74">
        <v>0</v>
      </c>
      <c r="AC49" s="74">
        <v>0</v>
      </c>
      <c r="AD49" s="74">
        <v>0</v>
      </c>
      <c r="AE49" s="74">
        <v>0</v>
      </c>
      <c r="AF49" s="74">
        <v>0</v>
      </c>
      <c r="AG49" s="74">
        <v>0</v>
      </c>
      <c r="AH49" s="74">
        <v>0</v>
      </c>
      <c r="AI49" s="74">
        <v>0</v>
      </c>
      <c r="AJ49" s="74">
        <v>0</v>
      </c>
      <c r="AK49" s="74"/>
      <c r="AL49" s="74">
        <v>0</v>
      </c>
      <c r="AM49" s="74">
        <v>0</v>
      </c>
      <c r="AN49" s="74">
        <v>0</v>
      </c>
      <c r="AO49" s="74">
        <v>0</v>
      </c>
      <c r="AP49" s="74">
        <v>0</v>
      </c>
      <c r="AQ49" s="74">
        <v>0</v>
      </c>
      <c r="AR49" s="74">
        <v>0</v>
      </c>
      <c r="AS49" s="74">
        <v>0</v>
      </c>
      <c r="AT49" s="74">
        <v>0</v>
      </c>
      <c r="AU49" s="74">
        <v>0</v>
      </c>
      <c r="AV49" s="74">
        <v>0</v>
      </c>
      <c r="AW49" s="74">
        <v>0</v>
      </c>
      <c r="AX49" s="74">
        <v>0</v>
      </c>
      <c r="AY49" s="74">
        <v>0</v>
      </c>
      <c r="AZ49" s="74">
        <v>0</v>
      </c>
      <c r="BA49" s="74">
        <v>0</v>
      </c>
      <c r="BB49" s="74">
        <v>0</v>
      </c>
      <c r="BC49" s="74">
        <v>0</v>
      </c>
      <c r="BD49" s="74">
        <v>0</v>
      </c>
      <c r="BE49" s="74">
        <v>0</v>
      </c>
      <c r="BF49" s="74">
        <v>0</v>
      </c>
      <c r="BG49" s="74">
        <v>0</v>
      </c>
      <c r="BH49" s="74">
        <v>0</v>
      </c>
      <c r="BI49" s="74">
        <v>0</v>
      </c>
      <c r="BJ49" s="74">
        <v>0</v>
      </c>
      <c r="BK49" s="74">
        <v>0</v>
      </c>
      <c r="BL49" s="74">
        <v>0</v>
      </c>
      <c r="BM49" s="74">
        <v>0</v>
      </c>
      <c r="BN49" s="74">
        <v>0</v>
      </c>
      <c r="BO49" s="74">
        <v>0</v>
      </c>
      <c r="BP49" s="74">
        <v>0</v>
      </c>
      <c r="BQ49" s="74">
        <v>0</v>
      </c>
      <c r="BR49" s="74">
        <v>0</v>
      </c>
      <c r="BS49" s="74">
        <v>0</v>
      </c>
      <c r="BT49" s="74">
        <v>0</v>
      </c>
      <c r="BU49" s="74">
        <v>0</v>
      </c>
      <c r="BV49" s="74">
        <v>0</v>
      </c>
      <c r="BW49" s="74">
        <v>0</v>
      </c>
      <c r="BX49" s="74">
        <v>0</v>
      </c>
      <c r="BY49" s="74">
        <v>0</v>
      </c>
      <c r="BZ49" s="74">
        <v>0</v>
      </c>
      <c r="CA49" s="74">
        <v>0</v>
      </c>
      <c r="CB49" s="74">
        <v>0</v>
      </c>
      <c r="CC49" s="74">
        <v>0</v>
      </c>
      <c r="CD49" s="74">
        <v>0</v>
      </c>
      <c r="CE49" s="74">
        <v>0</v>
      </c>
      <c r="CF49" s="74">
        <v>0</v>
      </c>
      <c r="CG49" s="74">
        <v>0</v>
      </c>
      <c r="CH49" s="74">
        <v>0</v>
      </c>
      <c r="CI49" s="74">
        <v>0</v>
      </c>
      <c r="CJ49" s="74">
        <v>0</v>
      </c>
      <c r="CK49" s="74">
        <v>0</v>
      </c>
      <c r="CL49" s="74">
        <v>0</v>
      </c>
      <c r="CM49" s="74">
        <v>0</v>
      </c>
      <c r="CN49" s="74">
        <v>0</v>
      </c>
      <c r="CO49" s="74">
        <v>0</v>
      </c>
      <c r="CP49" s="74">
        <v>0</v>
      </c>
      <c r="CQ49" s="74">
        <v>0</v>
      </c>
      <c r="CR49" s="74">
        <v>0</v>
      </c>
      <c r="CS49" s="74">
        <v>0</v>
      </c>
      <c r="CT49" s="74">
        <v>0</v>
      </c>
      <c r="CU49" s="74">
        <v>0</v>
      </c>
      <c r="CV49" s="74">
        <v>0</v>
      </c>
      <c r="CW49" s="74">
        <v>0</v>
      </c>
      <c r="CX49" s="74">
        <v>0</v>
      </c>
      <c r="CY49" s="74">
        <v>0</v>
      </c>
      <c r="CZ49" s="74">
        <v>0</v>
      </c>
      <c r="DA49" s="74">
        <v>0</v>
      </c>
      <c r="DB49" s="74">
        <v>0</v>
      </c>
      <c r="DC49" s="74">
        <v>0</v>
      </c>
      <c r="DD49" s="74">
        <v>0</v>
      </c>
      <c r="DE49" s="74">
        <v>0</v>
      </c>
      <c r="DF49" s="74">
        <v>0</v>
      </c>
      <c r="DG49" s="74">
        <v>0</v>
      </c>
      <c r="DH49" s="74">
        <v>0</v>
      </c>
      <c r="DI49" s="74">
        <v>0</v>
      </c>
      <c r="DJ49" s="74">
        <v>0</v>
      </c>
      <c r="DK49" s="74">
        <v>0</v>
      </c>
      <c r="DL49" s="74">
        <v>0</v>
      </c>
      <c r="DM49" s="74">
        <v>0</v>
      </c>
      <c r="DN49" s="74">
        <v>0</v>
      </c>
      <c r="DO49" s="74">
        <v>0</v>
      </c>
      <c r="DP49" s="74">
        <v>0</v>
      </c>
      <c r="DQ49" s="74">
        <v>0</v>
      </c>
      <c r="DR49" s="74">
        <v>0</v>
      </c>
      <c r="DS49" s="74">
        <v>0</v>
      </c>
      <c r="DT49" s="74">
        <v>0</v>
      </c>
      <c r="DU49" s="74">
        <v>0</v>
      </c>
      <c r="DV49" s="74">
        <v>0</v>
      </c>
      <c r="DW49" s="74">
        <v>0</v>
      </c>
      <c r="DX49" s="74">
        <v>0</v>
      </c>
      <c r="DY49" s="74">
        <v>0</v>
      </c>
      <c r="DZ49" s="74">
        <v>0</v>
      </c>
      <c r="EA49" s="74">
        <v>0</v>
      </c>
      <c r="EB49" s="74">
        <v>0</v>
      </c>
      <c r="EC49" s="74">
        <v>0</v>
      </c>
      <c r="ED49" s="74"/>
      <c r="EE49" s="80">
        <v>46063</v>
      </c>
      <c r="EF49" s="81">
        <v>46063.452990393518</v>
      </c>
      <c r="EG49" s="66" t="s">
        <v>70</v>
      </c>
      <c r="EH49" s="66" t="s">
        <v>209</v>
      </c>
      <c r="EI49" s="66" t="s">
        <v>2</v>
      </c>
      <c r="EJ49" s="66">
        <v>28</v>
      </c>
      <c r="EK49" s="66">
        <v>2027</v>
      </c>
      <c r="EL49" s="66" t="s">
        <v>24</v>
      </c>
      <c r="EM49" s="82">
        <v>254.85816788386427</v>
      </c>
      <c r="EN49" s="82">
        <v>217.00464264911662</v>
      </c>
      <c r="EO49" s="77">
        <v>210.28039999999999</v>
      </c>
      <c r="EP49" s="84">
        <v>0.19403388859999032</v>
      </c>
      <c r="EQ49" s="84">
        <v>0.1985771238014705</v>
      </c>
      <c r="ER49" s="84">
        <v>3.7812199999999997E-2</v>
      </c>
      <c r="ES49" s="85">
        <v>0.97173988520598786</v>
      </c>
      <c r="ET49" s="86">
        <v>1.3944000000000001</v>
      </c>
      <c r="EU49" s="85">
        <v>0.15269873395245903</v>
      </c>
      <c r="EV49" s="85">
        <v>3.6374216079711912E-2</v>
      </c>
      <c r="EW49" s="76">
        <v>2</v>
      </c>
      <c r="EX49" s="76" t="s">
        <v>32</v>
      </c>
      <c r="EY49" s="74" t="s">
        <v>243</v>
      </c>
      <c r="EZ49" s="74"/>
      <c r="FA49" s="74"/>
      <c r="FB49" s="74"/>
      <c r="FC49" s="74"/>
      <c r="FD49" s="68"/>
      <c r="FH49" s="73"/>
      <c r="FI49" s="74"/>
      <c r="FJ49" s="74"/>
      <c r="FK49" s="74"/>
      <c r="FL49" s="74"/>
      <c r="FM49" s="74"/>
      <c r="FN49" s="74"/>
      <c r="FO49" s="74"/>
      <c r="FP49" s="74"/>
      <c r="FQ49" s="74"/>
      <c r="FR49" s="74"/>
      <c r="FS49" s="74"/>
      <c r="FT49" s="74"/>
      <c r="FU49" s="74"/>
      <c r="FV49" s="74"/>
      <c r="FW49" s="74"/>
      <c r="FX49" s="74"/>
      <c r="FY49" s="74"/>
      <c r="FZ49" s="74"/>
      <c r="GA49" s="68"/>
    </row>
    <row r="50" spans="1:183" s="2" customFormat="1" ht="15" x14ac:dyDescent="0.3">
      <c r="A50" s="73" t="s">
        <v>4</v>
      </c>
      <c r="B50" s="73" t="s">
        <v>232</v>
      </c>
      <c r="C50" s="73" t="s">
        <v>38</v>
      </c>
      <c r="D50" s="73" t="s">
        <v>48</v>
      </c>
      <c r="E50" s="73" t="s">
        <v>178</v>
      </c>
      <c r="F50" s="73" t="s">
        <v>210</v>
      </c>
      <c r="G50" s="73" t="s">
        <v>216</v>
      </c>
      <c r="H50" s="73"/>
      <c r="I50" s="74">
        <v>0</v>
      </c>
      <c r="J50" s="74">
        <v>0</v>
      </c>
      <c r="K50" s="74">
        <v>0</v>
      </c>
      <c r="L50" s="74">
        <v>0</v>
      </c>
      <c r="M50" s="74">
        <v>41921</v>
      </c>
      <c r="N50" s="74">
        <v>48663</v>
      </c>
      <c r="O50" s="74">
        <v>52796</v>
      </c>
      <c r="P50" s="74">
        <v>65756</v>
      </c>
      <c r="Q50" s="74">
        <v>79130.916323603175</v>
      </c>
      <c r="R50" s="74">
        <v>113437.72081850293</v>
      </c>
      <c r="S50" s="74">
        <v>117681.66298262688</v>
      </c>
      <c r="T50" s="74">
        <v>139876.09094893956</v>
      </c>
      <c r="U50" s="74">
        <v>0</v>
      </c>
      <c r="V50" s="74">
        <v>0</v>
      </c>
      <c r="W50" s="74">
        <v>0</v>
      </c>
      <c r="X50" s="74">
        <v>0</v>
      </c>
      <c r="Y50" s="74">
        <v>0</v>
      </c>
      <c r="Z50" s="74">
        <v>0</v>
      </c>
      <c r="AA50" s="74">
        <v>0</v>
      </c>
      <c r="AB50" s="74">
        <v>0</v>
      </c>
      <c r="AC50" s="74">
        <v>0</v>
      </c>
      <c r="AD50" s="74">
        <v>0</v>
      </c>
      <c r="AE50" s="74">
        <v>0</v>
      </c>
      <c r="AF50" s="74">
        <v>0</v>
      </c>
      <c r="AG50" s="74">
        <v>0</v>
      </c>
      <c r="AH50" s="74">
        <v>0</v>
      </c>
      <c r="AI50" s="74">
        <v>0</v>
      </c>
      <c r="AJ50" s="74">
        <v>0</v>
      </c>
      <c r="AK50" s="74"/>
      <c r="AL50" s="74">
        <v>0</v>
      </c>
      <c r="AM50" s="74">
        <v>0</v>
      </c>
      <c r="AN50" s="74">
        <v>0</v>
      </c>
      <c r="AO50" s="74">
        <v>0</v>
      </c>
      <c r="AP50" s="74">
        <v>0</v>
      </c>
      <c r="AQ50" s="74">
        <v>0</v>
      </c>
      <c r="AR50" s="74">
        <v>0</v>
      </c>
      <c r="AS50" s="74">
        <v>0</v>
      </c>
      <c r="AT50" s="74">
        <v>0</v>
      </c>
      <c r="AU50" s="74">
        <v>0</v>
      </c>
      <c r="AV50" s="74">
        <v>0</v>
      </c>
      <c r="AW50" s="74">
        <v>0</v>
      </c>
      <c r="AX50" s="74">
        <v>0</v>
      </c>
      <c r="AY50" s="74">
        <v>0</v>
      </c>
      <c r="AZ50" s="74">
        <v>0</v>
      </c>
      <c r="BA50" s="74">
        <v>0</v>
      </c>
      <c r="BB50" s="74">
        <v>0</v>
      </c>
      <c r="BC50" s="74">
        <v>0</v>
      </c>
      <c r="BD50" s="74">
        <v>0</v>
      </c>
      <c r="BE50" s="74">
        <v>0</v>
      </c>
      <c r="BF50" s="74">
        <v>0</v>
      </c>
      <c r="BG50" s="74">
        <v>0</v>
      </c>
      <c r="BH50" s="74">
        <v>0</v>
      </c>
      <c r="BI50" s="74">
        <v>0</v>
      </c>
      <c r="BJ50" s="74">
        <v>0</v>
      </c>
      <c r="BK50" s="74">
        <v>0</v>
      </c>
      <c r="BL50" s="74">
        <v>0</v>
      </c>
      <c r="BM50" s="74">
        <v>0</v>
      </c>
      <c r="BN50" s="74">
        <v>0</v>
      </c>
      <c r="BO50" s="74">
        <v>0</v>
      </c>
      <c r="BP50" s="74">
        <v>0</v>
      </c>
      <c r="BQ50" s="74">
        <v>0</v>
      </c>
      <c r="BR50" s="74">
        <v>0</v>
      </c>
      <c r="BS50" s="74">
        <v>0</v>
      </c>
      <c r="BT50" s="74">
        <v>0</v>
      </c>
      <c r="BU50" s="74">
        <v>0</v>
      </c>
      <c r="BV50" s="74">
        <v>0</v>
      </c>
      <c r="BW50" s="74">
        <v>0</v>
      </c>
      <c r="BX50" s="74">
        <v>0</v>
      </c>
      <c r="BY50" s="74">
        <v>0</v>
      </c>
      <c r="BZ50" s="74">
        <v>0</v>
      </c>
      <c r="CA50" s="74">
        <v>0</v>
      </c>
      <c r="CB50" s="74">
        <v>0</v>
      </c>
      <c r="CC50" s="74">
        <v>0</v>
      </c>
      <c r="CD50" s="74">
        <v>0</v>
      </c>
      <c r="CE50" s="74">
        <v>0</v>
      </c>
      <c r="CF50" s="74">
        <v>0</v>
      </c>
      <c r="CG50" s="74">
        <v>0</v>
      </c>
      <c r="CH50" s="74">
        <v>0</v>
      </c>
      <c r="CI50" s="74">
        <v>0</v>
      </c>
      <c r="CJ50" s="74">
        <v>0</v>
      </c>
      <c r="CK50" s="74">
        <v>0</v>
      </c>
      <c r="CL50" s="74">
        <v>0</v>
      </c>
      <c r="CM50" s="74">
        <v>0</v>
      </c>
      <c r="CN50" s="74">
        <v>0</v>
      </c>
      <c r="CO50" s="74">
        <v>0</v>
      </c>
      <c r="CP50" s="74">
        <v>0</v>
      </c>
      <c r="CQ50" s="74">
        <v>0</v>
      </c>
      <c r="CR50" s="74">
        <v>0</v>
      </c>
      <c r="CS50" s="74">
        <v>0</v>
      </c>
      <c r="CT50" s="74">
        <v>0</v>
      </c>
      <c r="CU50" s="74">
        <v>0</v>
      </c>
      <c r="CV50" s="74">
        <v>0</v>
      </c>
      <c r="CW50" s="74">
        <v>0</v>
      </c>
      <c r="CX50" s="74">
        <v>0</v>
      </c>
      <c r="CY50" s="74">
        <v>0</v>
      </c>
      <c r="CZ50" s="74">
        <v>0</v>
      </c>
      <c r="DA50" s="74">
        <v>0</v>
      </c>
      <c r="DB50" s="74">
        <v>0</v>
      </c>
      <c r="DC50" s="74">
        <v>0</v>
      </c>
      <c r="DD50" s="74">
        <v>0</v>
      </c>
      <c r="DE50" s="74">
        <v>0</v>
      </c>
      <c r="DF50" s="74">
        <v>0</v>
      </c>
      <c r="DG50" s="74">
        <v>0</v>
      </c>
      <c r="DH50" s="74">
        <v>0</v>
      </c>
      <c r="DI50" s="74">
        <v>0</v>
      </c>
      <c r="DJ50" s="74">
        <v>0</v>
      </c>
      <c r="DK50" s="74">
        <v>0</v>
      </c>
      <c r="DL50" s="74">
        <v>0</v>
      </c>
      <c r="DM50" s="74">
        <v>0</v>
      </c>
      <c r="DN50" s="74">
        <v>0</v>
      </c>
      <c r="DO50" s="74">
        <v>0</v>
      </c>
      <c r="DP50" s="74">
        <v>0</v>
      </c>
      <c r="DQ50" s="74">
        <v>0</v>
      </c>
      <c r="DR50" s="74">
        <v>0</v>
      </c>
      <c r="DS50" s="74">
        <v>0</v>
      </c>
      <c r="DT50" s="74">
        <v>0</v>
      </c>
      <c r="DU50" s="74">
        <v>0</v>
      </c>
      <c r="DV50" s="74">
        <v>0</v>
      </c>
      <c r="DW50" s="74">
        <v>0</v>
      </c>
      <c r="DX50" s="74">
        <v>0</v>
      </c>
      <c r="DY50" s="74">
        <v>0</v>
      </c>
      <c r="DZ50" s="74">
        <v>0</v>
      </c>
      <c r="EA50" s="74">
        <v>0</v>
      </c>
      <c r="EB50" s="74">
        <v>0</v>
      </c>
      <c r="EC50" s="74">
        <v>0</v>
      </c>
      <c r="ED50" s="74"/>
      <c r="EE50" s="80">
        <v>46063</v>
      </c>
      <c r="EF50" s="81">
        <v>46063.452990393518</v>
      </c>
      <c r="EG50" s="66" t="s">
        <v>70</v>
      </c>
      <c r="EH50" s="66" t="s">
        <v>209</v>
      </c>
      <c r="EI50" s="66" t="s">
        <v>6</v>
      </c>
      <c r="EJ50" s="66">
        <v>10</v>
      </c>
      <c r="EK50" s="66">
        <v>2027</v>
      </c>
      <c r="EL50" s="66" t="s">
        <v>24</v>
      </c>
      <c r="EM50" s="82">
        <v>241.43667956123221</v>
      </c>
      <c r="EN50" s="82">
        <v>206.2708139959758</v>
      </c>
      <c r="EO50" s="77">
        <v>210.28039999999999</v>
      </c>
      <c r="EP50" s="84">
        <v>0.19403388859999032</v>
      </c>
      <c r="EQ50" s="84">
        <v>0.1985771238014705</v>
      </c>
      <c r="ER50" s="84">
        <v>3.7812199999999997E-2</v>
      </c>
      <c r="ES50" s="85">
        <v>0.97173988520598786</v>
      </c>
      <c r="ET50" s="86">
        <v>1.3944000000000001</v>
      </c>
      <c r="EU50" s="85">
        <v>0.15269873395245903</v>
      </c>
      <c r="EV50" s="85">
        <v>3.6374216079711912E-2</v>
      </c>
      <c r="EW50" s="76">
        <v>2</v>
      </c>
      <c r="EX50" s="76" t="s">
        <v>32</v>
      </c>
      <c r="EY50" s="74" t="s">
        <v>243</v>
      </c>
      <c r="EZ50" s="74"/>
      <c r="FA50" s="74"/>
      <c r="FB50" s="74"/>
      <c r="FC50" s="74"/>
      <c r="FD50" s="68"/>
      <c r="FH50" s="73"/>
      <c r="FI50" s="74"/>
      <c r="FJ50" s="74"/>
      <c r="FK50" s="74"/>
      <c r="FL50" s="74"/>
      <c r="FM50" s="74"/>
      <c r="FN50" s="74"/>
      <c r="FO50" s="74"/>
      <c r="FP50" s="74"/>
      <c r="FQ50" s="74"/>
      <c r="FR50" s="74"/>
      <c r="FS50" s="74"/>
      <c r="FT50" s="74"/>
      <c r="FU50" s="74"/>
      <c r="FV50" s="74"/>
      <c r="FW50" s="74"/>
      <c r="FX50" s="74"/>
      <c r="FY50" s="74"/>
      <c r="FZ50" s="74"/>
      <c r="GA50" s="68"/>
    </row>
    <row r="51" spans="1:183" s="2" customFormat="1" ht="15" x14ac:dyDescent="0.3">
      <c r="A51" s="73" t="s">
        <v>15</v>
      </c>
      <c r="B51" s="73" t="s">
        <v>233</v>
      </c>
      <c r="C51" s="73" t="s">
        <v>36</v>
      </c>
      <c r="D51" s="73" t="s">
        <v>48</v>
      </c>
      <c r="E51" s="73" t="s">
        <v>178</v>
      </c>
      <c r="F51" s="73" t="s">
        <v>210</v>
      </c>
      <c r="G51" s="73" t="s">
        <v>216</v>
      </c>
      <c r="H51" s="73"/>
      <c r="I51" s="74">
        <v>0</v>
      </c>
      <c r="J51" s="74">
        <v>0</v>
      </c>
      <c r="K51" s="74">
        <v>0</v>
      </c>
      <c r="L51" s="74">
        <v>0</v>
      </c>
      <c r="M51" s="74">
        <v>3707.6987562945856</v>
      </c>
      <c r="N51" s="74">
        <v>2100.7799999999997</v>
      </c>
      <c r="O51" s="74">
        <v>2603.4</v>
      </c>
      <c r="P51" s="74">
        <v>3542.07</v>
      </c>
      <c r="Q51" s="74">
        <v>3690.87</v>
      </c>
      <c r="R51" s="74">
        <v>3550.2827721279587</v>
      </c>
      <c r="S51" s="74">
        <v>3816.6173672240002</v>
      </c>
      <c r="T51" s="74">
        <v>8273.3702553335334</v>
      </c>
      <c r="U51" s="74">
        <v>0</v>
      </c>
      <c r="V51" s="74">
        <v>0</v>
      </c>
      <c r="W51" s="74">
        <v>0</v>
      </c>
      <c r="X51" s="74">
        <v>0</v>
      </c>
      <c r="Y51" s="74">
        <v>0</v>
      </c>
      <c r="Z51" s="74">
        <v>0</v>
      </c>
      <c r="AA51" s="74">
        <v>0</v>
      </c>
      <c r="AB51" s="74">
        <v>0</v>
      </c>
      <c r="AC51" s="74">
        <v>0</v>
      </c>
      <c r="AD51" s="74">
        <v>0</v>
      </c>
      <c r="AE51" s="74">
        <v>0</v>
      </c>
      <c r="AF51" s="74">
        <v>0</v>
      </c>
      <c r="AG51" s="74">
        <v>0</v>
      </c>
      <c r="AH51" s="74">
        <v>0</v>
      </c>
      <c r="AI51" s="74">
        <v>0</v>
      </c>
      <c r="AJ51" s="74">
        <v>0</v>
      </c>
      <c r="AK51" s="74"/>
      <c r="AL51" s="74">
        <v>0</v>
      </c>
      <c r="AM51" s="74">
        <v>0</v>
      </c>
      <c r="AN51" s="74">
        <v>0</v>
      </c>
      <c r="AO51" s="74">
        <v>0</v>
      </c>
      <c r="AP51" s="74">
        <v>0</v>
      </c>
      <c r="AQ51" s="74">
        <v>0</v>
      </c>
      <c r="AR51" s="74">
        <v>0</v>
      </c>
      <c r="AS51" s="74">
        <v>0</v>
      </c>
      <c r="AT51" s="74">
        <v>0</v>
      </c>
      <c r="AU51" s="74">
        <v>0</v>
      </c>
      <c r="AV51" s="74">
        <v>0</v>
      </c>
      <c r="AW51" s="74">
        <v>0</v>
      </c>
      <c r="AX51" s="74">
        <v>0</v>
      </c>
      <c r="AY51" s="74">
        <v>0</v>
      </c>
      <c r="AZ51" s="74">
        <v>0</v>
      </c>
      <c r="BA51" s="74">
        <v>0</v>
      </c>
      <c r="BB51" s="74">
        <v>0</v>
      </c>
      <c r="BC51" s="74">
        <v>0</v>
      </c>
      <c r="BD51" s="74">
        <v>0</v>
      </c>
      <c r="BE51" s="74">
        <v>0</v>
      </c>
      <c r="BF51" s="74">
        <v>0</v>
      </c>
      <c r="BG51" s="74">
        <v>0</v>
      </c>
      <c r="BH51" s="74">
        <v>0</v>
      </c>
      <c r="BI51" s="74">
        <v>0</v>
      </c>
      <c r="BJ51" s="74">
        <v>0</v>
      </c>
      <c r="BK51" s="74">
        <v>0</v>
      </c>
      <c r="BL51" s="74">
        <v>0</v>
      </c>
      <c r="BM51" s="74">
        <v>0</v>
      </c>
      <c r="BN51" s="74">
        <v>0</v>
      </c>
      <c r="BO51" s="74">
        <v>0</v>
      </c>
      <c r="BP51" s="74">
        <v>0</v>
      </c>
      <c r="BQ51" s="74">
        <v>0</v>
      </c>
      <c r="BR51" s="74">
        <v>0</v>
      </c>
      <c r="BS51" s="74">
        <v>0</v>
      </c>
      <c r="BT51" s="74">
        <v>0</v>
      </c>
      <c r="BU51" s="74">
        <v>0</v>
      </c>
      <c r="BV51" s="74">
        <v>0</v>
      </c>
      <c r="BW51" s="74">
        <v>0</v>
      </c>
      <c r="BX51" s="74">
        <v>0</v>
      </c>
      <c r="BY51" s="74">
        <v>0</v>
      </c>
      <c r="BZ51" s="74">
        <v>0</v>
      </c>
      <c r="CA51" s="74">
        <v>0</v>
      </c>
      <c r="CB51" s="74">
        <v>0</v>
      </c>
      <c r="CC51" s="74">
        <v>0</v>
      </c>
      <c r="CD51" s="74">
        <v>0</v>
      </c>
      <c r="CE51" s="74">
        <v>0</v>
      </c>
      <c r="CF51" s="74">
        <v>0</v>
      </c>
      <c r="CG51" s="74">
        <v>0</v>
      </c>
      <c r="CH51" s="74">
        <v>0</v>
      </c>
      <c r="CI51" s="74">
        <v>0</v>
      </c>
      <c r="CJ51" s="74">
        <v>0</v>
      </c>
      <c r="CK51" s="74">
        <v>0</v>
      </c>
      <c r="CL51" s="74">
        <v>0</v>
      </c>
      <c r="CM51" s="74">
        <v>0</v>
      </c>
      <c r="CN51" s="74">
        <v>0</v>
      </c>
      <c r="CO51" s="74">
        <v>0</v>
      </c>
      <c r="CP51" s="74">
        <v>0</v>
      </c>
      <c r="CQ51" s="74">
        <v>0</v>
      </c>
      <c r="CR51" s="74">
        <v>0</v>
      </c>
      <c r="CS51" s="74">
        <v>0</v>
      </c>
      <c r="CT51" s="74">
        <v>0</v>
      </c>
      <c r="CU51" s="74">
        <v>0</v>
      </c>
      <c r="CV51" s="74">
        <v>0</v>
      </c>
      <c r="CW51" s="74">
        <v>0</v>
      </c>
      <c r="CX51" s="74">
        <v>0</v>
      </c>
      <c r="CY51" s="74">
        <v>0</v>
      </c>
      <c r="CZ51" s="74">
        <v>0</v>
      </c>
      <c r="DA51" s="74">
        <v>0</v>
      </c>
      <c r="DB51" s="74">
        <v>0</v>
      </c>
      <c r="DC51" s="74">
        <v>0</v>
      </c>
      <c r="DD51" s="74">
        <v>0</v>
      </c>
      <c r="DE51" s="74">
        <v>0</v>
      </c>
      <c r="DF51" s="74">
        <v>0</v>
      </c>
      <c r="DG51" s="74">
        <v>0</v>
      </c>
      <c r="DH51" s="74">
        <v>0</v>
      </c>
      <c r="DI51" s="74">
        <v>0</v>
      </c>
      <c r="DJ51" s="74">
        <v>0</v>
      </c>
      <c r="DK51" s="74">
        <v>0</v>
      </c>
      <c r="DL51" s="74">
        <v>0</v>
      </c>
      <c r="DM51" s="74">
        <v>0</v>
      </c>
      <c r="DN51" s="74">
        <v>0</v>
      </c>
      <c r="DO51" s="74">
        <v>0</v>
      </c>
      <c r="DP51" s="74">
        <v>0</v>
      </c>
      <c r="DQ51" s="74">
        <v>0</v>
      </c>
      <c r="DR51" s="74">
        <v>0</v>
      </c>
      <c r="DS51" s="74">
        <v>0</v>
      </c>
      <c r="DT51" s="74">
        <v>0</v>
      </c>
      <c r="DU51" s="74">
        <v>0</v>
      </c>
      <c r="DV51" s="74">
        <v>0</v>
      </c>
      <c r="DW51" s="74">
        <v>0</v>
      </c>
      <c r="DX51" s="74">
        <v>0</v>
      </c>
      <c r="DY51" s="74">
        <v>0</v>
      </c>
      <c r="DZ51" s="74">
        <v>0</v>
      </c>
      <c r="EA51" s="74">
        <v>0</v>
      </c>
      <c r="EB51" s="74">
        <v>0</v>
      </c>
      <c r="EC51" s="74">
        <v>0</v>
      </c>
      <c r="ED51" s="74"/>
      <c r="EE51" s="80">
        <v>46063</v>
      </c>
      <c r="EF51" s="81">
        <v>46063.452990393518</v>
      </c>
      <c r="EG51" s="66" t="s">
        <v>70</v>
      </c>
      <c r="EH51" s="66" t="s">
        <v>209</v>
      </c>
      <c r="EI51" s="66" t="s">
        <v>2</v>
      </c>
      <c r="EJ51" s="66">
        <v>28</v>
      </c>
      <c r="EK51" s="66">
        <v>2027</v>
      </c>
      <c r="EL51" s="66" t="s">
        <v>24</v>
      </c>
      <c r="EM51" s="82">
        <v>254.85816788386427</v>
      </c>
      <c r="EN51" s="82">
        <v>217.00464264911662</v>
      </c>
      <c r="EO51" s="77">
        <v>210.28039999999999</v>
      </c>
      <c r="EP51" s="84">
        <v>0.19403388859999032</v>
      </c>
      <c r="EQ51" s="84">
        <v>0.1985771238014705</v>
      </c>
      <c r="ER51" s="84">
        <v>3.7812199999999997E-2</v>
      </c>
      <c r="ES51" s="85">
        <v>0.97173988520598786</v>
      </c>
      <c r="ET51" s="86">
        <v>1.3944000000000001</v>
      </c>
      <c r="EU51" s="85">
        <v>0.15269873395245903</v>
      </c>
      <c r="EV51" s="85">
        <v>3.6374216079711912E-2</v>
      </c>
      <c r="EW51" s="76">
        <v>2</v>
      </c>
      <c r="EX51" s="76" t="s">
        <v>32</v>
      </c>
      <c r="EY51" s="74" t="s">
        <v>243</v>
      </c>
      <c r="EZ51" s="74"/>
      <c r="FA51" s="74"/>
      <c r="FB51" s="74"/>
      <c r="FC51" s="74"/>
      <c r="FD51" s="68"/>
      <c r="FH51" s="73"/>
      <c r="FI51" s="74"/>
      <c r="FJ51" s="74"/>
      <c r="FK51" s="74"/>
      <c r="FL51" s="74"/>
      <c r="FM51" s="74"/>
      <c r="FN51" s="74"/>
      <c r="FO51" s="74"/>
      <c r="FP51" s="7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68"/>
    </row>
    <row r="52" spans="1:183" s="2" customFormat="1" ht="15" x14ac:dyDescent="0.3">
      <c r="A52" s="73" t="s">
        <v>9</v>
      </c>
      <c r="B52" s="73" t="s">
        <v>234</v>
      </c>
      <c r="C52" s="73" t="s">
        <v>37</v>
      </c>
      <c r="D52" s="73" t="s">
        <v>48</v>
      </c>
      <c r="E52" s="73" t="s">
        <v>178</v>
      </c>
      <c r="F52" s="73" t="s">
        <v>210</v>
      </c>
      <c r="G52" s="73" t="s">
        <v>216</v>
      </c>
      <c r="H52" s="73"/>
      <c r="I52" s="74">
        <v>0</v>
      </c>
      <c r="J52" s="74">
        <v>0</v>
      </c>
      <c r="K52" s="74">
        <v>0</v>
      </c>
      <c r="L52" s="74">
        <v>0</v>
      </c>
      <c r="M52" s="74">
        <v>2076.5501414210225</v>
      </c>
      <c r="N52" s="74">
        <v>2899.7295883456418</v>
      </c>
      <c r="O52" s="74">
        <v>2761.6236060128531</v>
      </c>
      <c r="P52" s="74">
        <v>2305.6</v>
      </c>
      <c r="Q52" s="74">
        <v>2892.4</v>
      </c>
      <c r="R52" s="74">
        <v>2479.1999999999998</v>
      </c>
      <c r="S52" s="74">
        <v>3416.0665609044154</v>
      </c>
      <c r="T52" s="74">
        <v>3416.0665609044154</v>
      </c>
      <c r="U52" s="74">
        <v>0</v>
      </c>
      <c r="V52" s="74">
        <v>0</v>
      </c>
      <c r="W52" s="74">
        <v>0</v>
      </c>
      <c r="X52" s="74">
        <v>0</v>
      </c>
      <c r="Y52" s="74">
        <v>0</v>
      </c>
      <c r="Z52" s="74">
        <v>0</v>
      </c>
      <c r="AA52" s="74">
        <v>0</v>
      </c>
      <c r="AB52" s="74">
        <v>0</v>
      </c>
      <c r="AC52" s="74">
        <v>0</v>
      </c>
      <c r="AD52" s="74">
        <v>0</v>
      </c>
      <c r="AE52" s="74">
        <v>0</v>
      </c>
      <c r="AF52" s="74">
        <v>0</v>
      </c>
      <c r="AG52" s="74">
        <v>0</v>
      </c>
      <c r="AH52" s="74">
        <v>0</v>
      </c>
      <c r="AI52" s="74">
        <v>0</v>
      </c>
      <c r="AJ52" s="74">
        <v>0</v>
      </c>
      <c r="AK52" s="74"/>
      <c r="AL52" s="74">
        <v>0</v>
      </c>
      <c r="AM52" s="74">
        <v>0</v>
      </c>
      <c r="AN52" s="74">
        <v>0</v>
      </c>
      <c r="AO52" s="74">
        <v>0</v>
      </c>
      <c r="AP52" s="74">
        <v>0</v>
      </c>
      <c r="AQ52" s="74">
        <v>0</v>
      </c>
      <c r="AR52" s="74">
        <v>0</v>
      </c>
      <c r="AS52" s="74">
        <v>0</v>
      </c>
      <c r="AT52" s="74">
        <v>0</v>
      </c>
      <c r="AU52" s="74">
        <v>0</v>
      </c>
      <c r="AV52" s="74">
        <v>0</v>
      </c>
      <c r="AW52" s="74">
        <v>0</v>
      </c>
      <c r="AX52" s="74">
        <v>0</v>
      </c>
      <c r="AY52" s="74">
        <v>0</v>
      </c>
      <c r="AZ52" s="74">
        <v>0</v>
      </c>
      <c r="BA52" s="74">
        <v>0</v>
      </c>
      <c r="BB52" s="74">
        <v>0</v>
      </c>
      <c r="BC52" s="74">
        <v>0</v>
      </c>
      <c r="BD52" s="74">
        <v>0</v>
      </c>
      <c r="BE52" s="74">
        <v>0</v>
      </c>
      <c r="BF52" s="74">
        <v>0</v>
      </c>
      <c r="BG52" s="74">
        <v>0</v>
      </c>
      <c r="BH52" s="74">
        <v>0</v>
      </c>
      <c r="BI52" s="74">
        <v>0</v>
      </c>
      <c r="BJ52" s="74">
        <v>0</v>
      </c>
      <c r="BK52" s="74">
        <v>0</v>
      </c>
      <c r="BL52" s="74">
        <v>0</v>
      </c>
      <c r="BM52" s="74">
        <v>0</v>
      </c>
      <c r="BN52" s="74">
        <v>0</v>
      </c>
      <c r="BO52" s="74">
        <v>0</v>
      </c>
      <c r="BP52" s="74">
        <v>0</v>
      </c>
      <c r="BQ52" s="74">
        <v>0</v>
      </c>
      <c r="BR52" s="74">
        <v>0</v>
      </c>
      <c r="BS52" s="74">
        <v>0</v>
      </c>
      <c r="BT52" s="74">
        <v>0</v>
      </c>
      <c r="BU52" s="74">
        <v>0</v>
      </c>
      <c r="BV52" s="74">
        <v>0</v>
      </c>
      <c r="BW52" s="74">
        <v>0</v>
      </c>
      <c r="BX52" s="74">
        <v>0</v>
      </c>
      <c r="BY52" s="74">
        <v>0</v>
      </c>
      <c r="BZ52" s="74">
        <v>0</v>
      </c>
      <c r="CA52" s="74">
        <v>0</v>
      </c>
      <c r="CB52" s="74">
        <v>0</v>
      </c>
      <c r="CC52" s="74">
        <v>0</v>
      </c>
      <c r="CD52" s="74">
        <v>0</v>
      </c>
      <c r="CE52" s="74">
        <v>0</v>
      </c>
      <c r="CF52" s="74">
        <v>0</v>
      </c>
      <c r="CG52" s="74">
        <v>0</v>
      </c>
      <c r="CH52" s="74">
        <v>0</v>
      </c>
      <c r="CI52" s="74">
        <v>0</v>
      </c>
      <c r="CJ52" s="74">
        <v>0</v>
      </c>
      <c r="CK52" s="74">
        <v>0</v>
      </c>
      <c r="CL52" s="74">
        <v>0</v>
      </c>
      <c r="CM52" s="74">
        <v>0</v>
      </c>
      <c r="CN52" s="74">
        <v>0</v>
      </c>
      <c r="CO52" s="74">
        <v>0</v>
      </c>
      <c r="CP52" s="74">
        <v>0</v>
      </c>
      <c r="CQ52" s="74">
        <v>0</v>
      </c>
      <c r="CR52" s="74">
        <v>0</v>
      </c>
      <c r="CS52" s="74">
        <v>0</v>
      </c>
      <c r="CT52" s="74">
        <v>0</v>
      </c>
      <c r="CU52" s="74">
        <v>0</v>
      </c>
      <c r="CV52" s="74">
        <v>0</v>
      </c>
      <c r="CW52" s="74">
        <v>0</v>
      </c>
      <c r="CX52" s="74">
        <v>0</v>
      </c>
      <c r="CY52" s="74">
        <v>0</v>
      </c>
      <c r="CZ52" s="74">
        <v>0</v>
      </c>
      <c r="DA52" s="74">
        <v>0</v>
      </c>
      <c r="DB52" s="74">
        <v>0</v>
      </c>
      <c r="DC52" s="74">
        <v>0</v>
      </c>
      <c r="DD52" s="74">
        <v>0</v>
      </c>
      <c r="DE52" s="74">
        <v>0</v>
      </c>
      <c r="DF52" s="74">
        <v>0</v>
      </c>
      <c r="DG52" s="74">
        <v>0</v>
      </c>
      <c r="DH52" s="74">
        <v>0</v>
      </c>
      <c r="DI52" s="74">
        <v>0</v>
      </c>
      <c r="DJ52" s="74">
        <v>0</v>
      </c>
      <c r="DK52" s="74">
        <v>0</v>
      </c>
      <c r="DL52" s="74">
        <v>0</v>
      </c>
      <c r="DM52" s="74">
        <v>0</v>
      </c>
      <c r="DN52" s="74">
        <v>0</v>
      </c>
      <c r="DO52" s="74">
        <v>0</v>
      </c>
      <c r="DP52" s="74">
        <v>0</v>
      </c>
      <c r="DQ52" s="74">
        <v>0</v>
      </c>
      <c r="DR52" s="74">
        <v>0</v>
      </c>
      <c r="DS52" s="74">
        <v>0</v>
      </c>
      <c r="DT52" s="74">
        <v>0</v>
      </c>
      <c r="DU52" s="74">
        <v>0</v>
      </c>
      <c r="DV52" s="74">
        <v>0</v>
      </c>
      <c r="DW52" s="74">
        <v>0</v>
      </c>
      <c r="DX52" s="74">
        <v>0</v>
      </c>
      <c r="DY52" s="74">
        <v>0</v>
      </c>
      <c r="DZ52" s="74">
        <v>0</v>
      </c>
      <c r="EA52" s="74">
        <v>0</v>
      </c>
      <c r="EB52" s="74">
        <v>0</v>
      </c>
      <c r="EC52" s="74">
        <v>0</v>
      </c>
      <c r="ED52" s="74"/>
      <c r="EE52" s="80">
        <v>46063</v>
      </c>
      <c r="EF52" s="81">
        <v>46063.452990393518</v>
      </c>
      <c r="EG52" s="66" t="s">
        <v>70</v>
      </c>
      <c r="EH52" s="66" t="s">
        <v>209</v>
      </c>
      <c r="EI52" s="66" t="s">
        <v>2</v>
      </c>
      <c r="EJ52" s="66">
        <v>28</v>
      </c>
      <c r="EK52" s="66">
        <v>2027</v>
      </c>
      <c r="EL52" s="66" t="s">
        <v>24</v>
      </c>
      <c r="EM52" s="82">
        <v>254.85816788386427</v>
      </c>
      <c r="EN52" s="82">
        <v>217.00464264911662</v>
      </c>
      <c r="EO52" s="77">
        <v>210.28039999999999</v>
      </c>
      <c r="EP52" s="84">
        <v>0.19403388859999032</v>
      </c>
      <c r="EQ52" s="84">
        <v>0.1985771238014705</v>
      </c>
      <c r="ER52" s="84">
        <v>3.7812199999999997E-2</v>
      </c>
      <c r="ES52" s="85">
        <v>0.97173988520598786</v>
      </c>
      <c r="ET52" s="86">
        <v>1.3944000000000001</v>
      </c>
      <c r="EU52" s="85">
        <v>0.15269873395245903</v>
      </c>
      <c r="EV52" s="85">
        <v>3.6374216079711912E-2</v>
      </c>
      <c r="EW52" s="76">
        <v>2</v>
      </c>
      <c r="EX52" s="76" t="s">
        <v>32</v>
      </c>
      <c r="EY52" s="74" t="s">
        <v>243</v>
      </c>
      <c r="EZ52" s="74"/>
      <c r="FA52" s="74"/>
      <c r="FB52" s="74"/>
      <c r="FC52" s="74"/>
      <c r="FD52" s="68"/>
      <c r="FH52" s="73"/>
      <c r="FI52" s="74"/>
      <c r="FJ52" s="74"/>
      <c r="FK52" s="74"/>
      <c r="FL52" s="74"/>
      <c r="FM52" s="74"/>
      <c r="FN52" s="74"/>
      <c r="FO52" s="74"/>
      <c r="FP52" s="74"/>
      <c r="FQ52" s="74"/>
      <c r="FR52" s="74"/>
      <c r="FS52" s="74"/>
      <c r="FT52" s="74"/>
      <c r="FU52" s="74"/>
      <c r="FV52" s="74"/>
      <c r="FW52" s="74"/>
      <c r="FX52" s="74"/>
      <c r="FY52" s="74"/>
      <c r="FZ52" s="74"/>
      <c r="GA52" s="68"/>
    </row>
    <row r="53" spans="1:183" s="2" customFormat="1" ht="15" x14ac:dyDescent="0.3">
      <c r="A53" s="73" t="s">
        <v>21</v>
      </c>
      <c r="B53" s="73" t="s">
        <v>235</v>
      </c>
      <c r="C53" s="73" t="s">
        <v>219</v>
      </c>
      <c r="D53" s="73" t="s">
        <v>48</v>
      </c>
      <c r="E53" s="73" t="s">
        <v>220</v>
      </c>
      <c r="F53" s="73" t="s">
        <v>218</v>
      </c>
      <c r="G53" s="73" t="s">
        <v>216</v>
      </c>
      <c r="H53" s="73"/>
      <c r="I53" s="75">
        <v>0</v>
      </c>
      <c r="J53" s="75">
        <v>0</v>
      </c>
      <c r="K53" s="75">
        <v>0</v>
      </c>
      <c r="L53" s="75">
        <v>0</v>
      </c>
      <c r="M53" s="75">
        <v>0.15</v>
      </c>
      <c r="N53" s="75">
        <v>0.15</v>
      </c>
      <c r="O53" s="75">
        <v>0.2</v>
      </c>
      <c r="P53" s="75">
        <v>0.2</v>
      </c>
      <c r="Q53" s="75">
        <v>0.2</v>
      </c>
      <c r="R53" s="75">
        <v>0.2</v>
      </c>
      <c r="S53" s="75">
        <v>0.2</v>
      </c>
      <c r="T53" s="75">
        <v>0.2</v>
      </c>
      <c r="U53" s="75">
        <v>0</v>
      </c>
      <c r="V53" s="75">
        <v>0</v>
      </c>
      <c r="W53" s="75">
        <v>0</v>
      </c>
      <c r="X53" s="75">
        <v>0</v>
      </c>
      <c r="Y53" s="75">
        <v>0</v>
      </c>
      <c r="Z53" s="75">
        <v>0</v>
      </c>
      <c r="AA53" s="75">
        <v>0</v>
      </c>
      <c r="AB53" s="75">
        <v>0</v>
      </c>
      <c r="AC53" s="75">
        <v>0</v>
      </c>
      <c r="AD53" s="75">
        <v>0</v>
      </c>
      <c r="AE53" s="75">
        <v>0</v>
      </c>
      <c r="AF53" s="75">
        <v>0</v>
      </c>
      <c r="AG53" s="75">
        <v>0</v>
      </c>
      <c r="AH53" s="75">
        <v>0</v>
      </c>
      <c r="AI53" s="75">
        <v>0</v>
      </c>
      <c r="AJ53" s="75">
        <v>0</v>
      </c>
      <c r="AK53" s="75"/>
      <c r="AL53" s="74">
        <v>0</v>
      </c>
      <c r="AM53" s="74">
        <v>0</v>
      </c>
      <c r="AN53" s="74">
        <v>0</v>
      </c>
      <c r="AO53" s="74">
        <v>0</v>
      </c>
      <c r="AP53" s="74">
        <v>0</v>
      </c>
      <c r="AQ53" s="74">
        <v>0</v>
      </c>
      <c r="AR53" s="74">
        <v>0</v>
      </c>
      <c r="AS53" s="74">
        <v>0</v>
      </c>
      <c r="AT53" s="74">
        <v>0</v>
      </c>
      <c r="AU53" s="74">
        <v>0</v>
      </c>
      <c r="AV53" s="74">
        <v>0</v>
      </c>
      <c r="AW53" s="74">
        <v>0</v>
      </c>
      <c r="AX53" s="74">
        <v>0</v>
      </c>
      <c r="AY53" s="74">
        <v>0</v>
      </c>
      <c r="AZ53" s="74">
        <v>0</v>
      </c>
      <c r="BA53" s="74">
        <v>0</v>
      </c>
      <c r="BB53" s="74">
        <v>0</v>
      </c>
      <c r="BC53" s="74">
        <v>0</v>
      </c>
      <c r="BD53" s="74">
        <v>0</v>
      </c>
      <c r="BE53" s="74">
        <v>0</v>
      </c>
      <c r="BF53" s="74">
        <v>0</v>
      </c>
      <c r="BG53" s="74">
        <v>0</v>
      </c>
      <c r="BH53" s="74">
        <v>0</v>
      </c>
      <c r="BI53" s="74">
        <v>0</v>
      </c>
      <c r="BJ53" s="74">
        <v>0</v>
      </c>
      <c r="BK53" s="74">
        <v>0</v>
      </c>
      <c r="BL53" s="74">
        <v>0</v>
      </c>
      <c r="BM53" s="74">
        <v>0</v>
      </c>
      <c r="BN53" s="74">
        <v>0</v>
      </c>
      <c r="BO53" s="74">
        <v>0</v>
      </c>
      <c r="BP53" s="74">
        <v>0</v>
      </c>
      <c r="BQ53" s="74">
        <v>0</v>
      </c>
      <c r="BR53" s="74">
        <v>0</v>
      </c>
      <c r="BS53" s="74">
        <v>0</v>
      </c>
      <c r="BT53" s="74">
        <v>0</v>
      </c>
      <c r="BU53" s="74">
        <v>0</v>
      </c>
      <c r="BV53" s="74">
        <v>0</v>
      </c>
      <c r="BW53" s="74">
        <v>0</v>
      </c>
      <c r="BX53" s="74">
        <v>0</v>
      </c>
      <c r="BY53" s="74">
        <v>0</v>
      </c>
      <c r="BZ53" s="74">
        <v>0</v>
      </c>
      <c r="CA53" s="74">
        <v>0</v>
      </c>
      <c r="CB53" s="74">
        <v>0</v>
      </c>
      <c r="CC53" s="74">
        <v>0</v>
      </c>
      <c r="CD53" s="74">
        <v>0</v>
      </c>
      <c r="CE53" s="74">
        <v>0</v>
      </c>
      <c r="CF53" s="74">
        <v>0</v>
      </c>
      <c r="CG53" s="74">
        <v>0</v>
      </c>
      <c r="CH53" s="74">
        <v>0</v>
      </c>
      <c r="CI53" s="74">
        <v>0</v>
      </c>
      <c r="CJ53" s="74">
        <v>0</v>
      </c>
      <c r="CK53" s="74">
        <v>0</v>
      </c>
      <c r="CL53" s="74">
        <v>0</v>
      </c>
      <c r="CM53" s="74">
        <v>0</v>
      </c>
      <c r="CN53" s="74">
        <v>0</v>
      </c>
      <c r="CO53" s="74">
        <v>0</v>
      </c>
      <c r="CP53" s="74">
        <v>0</v>
      </c>
      <c r="CQ53" s="74">
        <v>0</v>
      </c>
      <c r="CR53" s="74">
        <v>0</v>
      </c>
      <c r="CS53" s="74">
        <v>0</v>
      </c>
      <c r="CT53" s="74">
        <v>0</v>
      </c>
      <c r="CU53" s="74">
        <v>0</v>
      </c>
      <c r="CV53" s="74">
        <v>0</v>
      </c>
      <c r="CW53" s="74">
        <v>0</v>
      </c>
      <c r="CX53" s="74">
        <v>0</v>
      </c>
      <c r="CY53" s="74">
        <v>0</v>
      </c>
      <c r="CZ53" s="74">
        <v>0</v>
      </c>
      <c r="DA53" s="74">
        <v>0</v>
      </c>
      <c r="DB53" s="74">
        <v>0</v>
      </c>
      <c r="DC53" s="74">
        <v>0</v>
      </c>
      <c r="DD53" s="74">
        <v>0</v>
      </c>
      <c r="DE53" s="74">
        <v>0</v>
      </c>
      <c r="DF53" s="74">
        <v>0</v>
      </c>
      <c r="DG53" s="74">
        <v>0</v>
      </c>
      <c r="DH53" s="74">
        <v>0</v>
      </c>
      <c r="DI53" s="74">
        <v>0</v>
      </c>
      <c r="DJ53" s="74">
        <v>0</v>
      </c>
      <c r="DK53" s="74">
        <v>0</v>
      </c>
      <c r="DL53" s="74">
        <v>0</v>
      </c>
      <c r="DM53" s="74">
        <v>0</v>
      </c>
      <c r="DN53" s="74">
        <v>0</v>
      </c>
      <c r="DO53" s="74">
        <v>0</v>
      </c>
      <c r="DP53" s="74">
        <v>0</v>
      </c>
      <c r="DQ53" s="74">
        <v>0</v>
      </c>
      <c r="DR53" s="74">
        <v>0</v>
      </c>
      <c r="DS53" s="74">
        <v>0</v>
      </c>
      <c r="DT53" s="74">
        <v>0</v>
      </c>
      <c r="DU53" s="74">
        <v>0</v>
      </c>
      <c r="DV53" s="74">
        <v>0</v>
      </c>
      <c r="DW53" s="74">
        <v>0</v>
      </c>
      <c r="DX53" s="74">
        <v>0</v>
      </c>
      <c r="DY53" s="74">
        <v>0</v>
      </c>
      <c r="DZ53" s="74">
        <v>0</v>
      </c>
      <c r="EA53" s="74">
        <v>0</v>
      </c>
      <c r="EB53" s="74">
        <v>0</v>
      </c>
      <c r="EC53" s="74">
        <v>0</v>
      </c>
      <c r="ED53" s="74"/>
      <c r="EE53" s="80">
        <v>46063</v>
      </c>
      <c r="EF53" s="81">
        <v>46063.452990393518</v>
      </c>
      <c r="EG53" s="66" t="s">
        <v>70</v>
      </c>
      <c r="EH53" s="66" t="s">
        <v>209</v>
      </c>
      <c r="EI53" s="66" t="s">
        <v>2</v>
      </c>
      <c r="EJ53" s="66">
        <v>28</v>
      </c>
      <c r="EK53" s="66">
        <v>2027</v>
      </c>
      <c r="EL53" s="66" t="s">
        <v>24</v>
      </c>
      <c r="EM53" s="82">
        <v>254.85816788386427</v>
      </c>
      <c r="EN53" s="82">
        <v>217.00464264911662</v>
      </c>
      <c r="EO53" s="77">
        <v>210.28039999999999</v>
      </c>
      <c r="EP53" s="84">
        <v>0.19403388859999032</v>
      </c>
      <c r="EQ53" s="84">
        <v>0.1985771238014705</v>
      </c>
      <c r="ER53" s="84">
        <v>3.7812199999999997E-2</v>
      </c>
      <c r="ES53" s="85">
        <v>0.97173988520598786</v>
      </c>
      <c r="ET53" s="86">
        <v>1.3944000000000001</v>
      </c>
      <c r="EU53" s="85">
        <v>0.15269873395245903</v>
      </c>
      <c r="EV53" s="85">
        <v>3.6374216079711912E-2</v>
      </c>
      <c r="EW53" s="76">
        <v>2</v>
      </c>
      <c r="EX53" s="76" t="s">
        <v>32</v>
      </c>
      <c r="EY53" s="74" t="s">
        <v>243</v>
      </c>
      <c r="EZ53" s="74"/>
      <c r="FA53" s="74"/>
      <c r="FB53" s="74"/>
      <c r="FC53" s="74"/>
      <c r="FD53" s="68"/>
      <c r="FH53" s="73"/>
      <c r="FI53" s="74"/>
      <c r="FJ53" s="74"/>
      <c r="FK53" s="74"/>
      <c r="FL53" s="74"/>
      <c r="FM53" s="74"/>
      <c r="FN53" s="74"/>
      <c r="FO53" s="74"/>
      <c r="FP53" s="74"/>
      <c r="FQ53" s="74"/>
      <c r="FR53" s="74"/>
      <c r="FS53" s="74"/>
      <c r="FT53" s="74"/>
      <c r="FU53" s="74"/>
      <c r="FV53" s="74"/>
      <c r="FW53" s="74"/>
      <c r="FX53" s="74"/>
      <c r="FY53" s="74"/>
      <c r="FZ53" s="74"/>
      <c r="GA53" s="68"/>
    </row>
    <row r="54" spans="1:183" s="2" customFormat="1" ht="15" x14ac:dyDescent="0.3">
      <c r="A54" s="73" t="s">
        <v>22</v>
      </c>
      <c r="B54" s="73" t="s">
        <v>22</v>
      </c>
      <c r="C54" s="73" t="s">
        <v>42</v>
      </c>
      <c r="D54" s="73" t="s">
        <v>48</v>
      </c>
      <c r="E54" s="73" t="s">
        <v>178</v>
      </c>
      <c r="F54" s="73" t="s">
        <v>210</v>
      </c>
      <c r="G54" s="73" t="s">
        <v>216</v>
      </c>
      <c r="H54" s="73"/>
      <c r="I54" s="74">
        <v>0</v>
      </c>
      <c r="J54" s="74">
        <v>0</v>
      </c>
      <c r="K54" s="74">
        <v>0</v>
      </c>
      <c r="L54" s="74">
        <v>0</v>
      </c>
      <c r="M54" s="74">
        <v>68269.079504691705</v>
      </c>
      <c r="N54" s="74">
        <v>103288.05031129622</v>
      </c>
      <c r="O54" s="74">
        <v>128978.68719656409</v>
      </c>
      <c r="P54" s="74">
        <v>154338.70520560996</v>
      </c>
      <c r="Q54" s="74">
        <v>177709.98907093194</v>
      </c>
      <c r="R54" s="74">
        <v>238563.26006603474</v>
      </c>
      <c r="S54" s="74">
        <v>300294.00564655307</v>
      </c>
      <c r="T54" s="74">
        <v>320084.03763054044</v>
      </c>
      <c r="U54" s="74">
        <v>0</v>
      </c>
      <c r="V54" s="74">
        <v>0</v>
      </c>
      <c r="W54" s="74">
        <v>0</v>
      </c>
      <c r="X54" s="74">
        <v>0</v>
      </c>
      <c r="Y54" s="74">
        <v>0</v>
      </c>
      <c r="Z54" s="74">
        <v>0</v>
      </c>
      <c r="AA54" s="74">
        <v>0</v>
      </c>
      <c r="AB54" s="74">
        <v>0</v>
      </c>
      <c r="AC54" s="74">
        <v>0</v>
      </c>
      <c r="AD54" s="74">
        <v>0</v>
      </c>
      <c r="AE54" s="74">
        <v>0</v>
      </c>
      <c r="AF54" s="74">
        <v>0</v>
      </c>
      <c r="AG54" s="74">
        <v>0</v>
      </c>
      <c r="AH54" s="74">
        <v>0</v>
      </c>
      <c r="AI54" s="74">
        <v>0</v>
      </c>
      <c r="AJ54" s="74">
        <v>0</v>
      </c>
      <c r="AK54" s="74"/>
      <c r="AL54" s="74">
        <v>0</v>
      </c>
      <c r="AM54" s="74">
        <v>0</v>
      </c>
      <c r="AN54" s="74">
        <v>0</v>
      </c>
      <c r="AO54" s="74">
        <v>0</v>
      </c>
      <c r="AP54" s="74">
        <v>0</v>
      </c>
      <c r="AQ54" s="74">
        <v>0</v>
      </c>
      <c r="AR54" s="74">
        <v>0</v>
      </c>
      <c r="AS54" s="74">
        <v>0</v>
      </c>
      <c r="AT54" s="74">
        <v>0</v>
      </c>
      <c r="AU54" s="74">
        <v>0</v>
      </c>
      <c r="AV54" s="74">
        <v>0</v>
      </c>
      <c r="AW54" s="74">
        <v>0</v>
      </c>
      <c r="AX54" s="74">
        <v>0</v>
      </c>
      <c r="AY54" s="74">
        <v>0</v>
      </c>
      <c r="AZ54" s="74">
        <v>0</v>
      </c>
      <c r="BA54" s="74">
        <v>0</v>
      </c>
      <c r="BB54" s="74">
        <v>0</v>
      </c>
      <c r="BC54" s="74">
        <v>0</v>
      </c>
      <c r="BD54" s="74">
        <v>0</v>
      </c>
      <c r="BE54" s="74">
        <v>0</v>
      </c>
      <c r="BF54" s="74">
        <v>0</v>
      </c>
      <c r="BG54" s="74">
        <v>0</v>
      </c>
      <c r="BH54" s="74">
        <v>0</v>
      </c>
      <c r="BI54" s="74">
        <v>0</v>
      </c>
      <c r="BJ54" s="74">
        <v>0</v>
      </c>
      <c r="BK54" s="74">
        <v>0</v>
      </c>
      <c r="BL54" s="74">
        <v>0</v>
      </c>
      <c r="BM54" s="74">
        <v>0</v>
      </c>
      <c r="BN54" s="74">
        <v>0</v>
      </c>
      <c r="BO54" s="74">
        <v>0</v>
      </c>
      <c r="BP54" s="74">
        <v>0</v>
      </c>
      <c r="BQ54" s="74">
        <v>0</v>
      </c>
      <c r="BR54" s="74">
        <v>0</v>
      </c>
      <c r="BS54" s="74">
        <v>0</v>
      </c>
      <c r="BT54" s="74">
        <v>0</v>
      </c>
      <c r="BU54" s="74">
        <v>0</v>
      </c>
      <c r="BV54" s="74">
        <v>0</v>
      </c>
      <c r="BW54" s="74">
        <v>0</v>
      </c>
      <c r="BX54" s="74">
        <v>0</v>
      </c>
      <c r="BY54" s="74">
        <v>0</v>
      </c>
      <c r="BZ54" s="74">
        <v>0</v>
      </c>
      <c r="CA54" s="74">
        <v>0</v>
      </c>
      <c r="CB54" s="74">
        <v>0</v>
      </c>
      <c r="CC54" s="74">
        <v>0</v>
      </c>
      <c r="CD54" s="74">
        <v>0</v>
      </c>
      <c r="CE54" s="74">
        <v>0</v>
      </c>
      <c r="CF54" s="74">
        <v>0</v>
      </c>
      <c r="CG54" s="74">
        <v>0</v>
      </c>
      <c r="CH54" s="74">
        <v>0</v>
      </c>
      <c r="CI54" s="74">
        <v>0</v>
      </c>
      <c r="CJ54" s="74">
        <v>0</v>
      </c>
      <c r="CK54" s="74">
        <v>0</v>
      </c>
      <c r="CL54" s="74">
        <v>0</v>
      </c>
      <c r="CM54" s="74">
        <v>0</v>
      </c>
      <c r="CN54" s="74">
        <v>0</v>
      </c>
      <c r="CO54" s="74">
        <v>0</v>
      </c>
      <c r="CP54" s="74">
        <v>0</v>
      </c>
      <c r="CQ54" s="74">
        <v>0</v>
      </c>
      <c r="CR54" s="74">
        <v>0</v>
      </c>
      <c r="CS54" s="74">
        <v>0</v>
      </c>
      <c r="CT54" s="74">
        <v>0</v>
      </c>
      <c r="CU54" s="74">
        <v>0</v>
      </c>
      <c r="CV54" s="74">
        <v>0</v>
      </c>
      <c r="CW54" s="74">
        <v>0</v>
      </c>
      <c r="CX54" s="74">
        <v>0</v>
      </c>
      <c r="CY54" s="74">
        <v>0</v>
      </c>
      <c r="CZ54" s="74">
        <v>0</v>
      </c>
      <c r="DA54" s="74">
        <v>0</v>
      </c>
      <c r="DB54" s="74">
        <v>0</v>
      </c>
      <c r="DC54" s="74">
        <v>0</v>
      </c>
      <c r="DD54" s="74">
        <v>0</v>
      </c>
      <c r="DE54" s="74">
        <v>0</v>
      </c>
      <c r="DF54" s="74">
        <v>0</v>
      </c>
      <c r="DG54" s="74">
        <v>0</v>
      </c>
      <c r="DH54" s="74">
        <v>0</v>
      </c>
      <c r="DI54" s="74">
        <v>0</v>
      </c>
      <c r="DJ54" s="74">
        <v>0</v>
      </c>
      <c r="DK54" s="74">
        <v>0</v>
      </c>
      <c r="DL54" s="74">
        <v>0</v>
      </c>
      <c r="DM54" s="74">
        <v>0</v>
      </c>
      <c r="DN54" s="74">
        <v>0</v>
      </c>
      <c r="DO54" s="74">
        <v>0</v>
      </c>
      <c r="DP54" s="74">
        <v>0</v>
      </c>
      <c r="DQ54" s="74">
        <v>0</v>
      </c>
      <c r="DR54" s="74">
        <v>0</v>
      </c>
      <c r="DS54" s="74">
        <v>0</v>
      </c>
      <c r="DT54" s="74">
        <v>0</v>
      </c>
      <c r="DU54" s="74">
        <v>0</v>
      </c>
      <c r="DV54" s="74">
        <v>0</v>
      </c>
      <c r="DW54" s="74">
        <v>0</v>
      </c>
      <c r="DX54" s="74">
        <v>0</v>
      </c>
      <c r="DY54" s="74">
        <v>0</v>
      </c>
      <c r="DZ54" s="74">
        <v>0</v>
      </c>
      <c r="EA54" s="74">
        <v>0</v>
      </c>
      <c r="EB54" s="74">
        <v>0</v>
      </c>
      <c r="EC54" s="74">
        <v>0</v>
      </c>
      <c r="ED54" s="74"/>
      <c r="EE54" s="80">
        <v>46063</v>
      </c>
      <c r="EF54" s="81">
        <v>46063.452990393518</v>
      </c>
      <c r="EG54" s="66" t="s">
        <v>70</v>
      </c>
      <c r="EH54" s="66" t="s">
        <v>209</v>
      </c>
      <c r="EI54" s="66" t="s">
        <v>6</v>
      </c>
      <c r="EJ54" s="66">
        <v>10</v>
      </c>
      <c r="EK54" s="66">
        <v>2027</v>
      </c>
      <c r="EL54" s="66" t="s">
        <v>24</v>
      </c>
      <c r="EM54" s="82">
        <v>241.43667956123221</v>
      </c>
      <c r="EN54" s="82">
        <v>206.2708139959758</v>
      </c>
      <c r="EO54" s="77">
        <v>210.28039999999999</v>
      </c>
      <c r="EP54" s="84">
        <v>0.19403388859999032</v>
      </c>
      <c r="EQ54" s="84">
        <v>0.1985771238014705</v>
      </c>
      <c r="ER54" s="84">
        <v>3.7812199999999997E-2</v>
      </c>
      <c r="ES54" s="85">
        <v>0.97173988520598786</v>
      </c>
      <c r="ET54" s="86">
        <v>1.3944000000000001</v>
      </c>
      <c r="EU54" s="85">
        <v>0.15269873395245903</v>
      </c>
      <c r="EV54" s="85">
        <v>3.6374216079711912E-2</v>
      </c>
      <c r="EW54" s="76">
        <v>2</v>
      </c>
      <c r="EX54" s="76" t="s">
        <v>32</v>
      </c>
      <c r="EY54" s="74" t="s">
        <v>243</v>
      </c>
      <c r="EZ54" s="74"/>
      <c r="FA54" s="74"/>
      <c r="FB54" s="74"/>
      <c r="FC54" s="74"/>
      <c r="FD54" s="68"/>
      <c r="FH54" s="73"/>
      <c r="FI54" s="74"/>
      <c r="FJ54" s="74"/>
      <c r="FK54" s="74"/>
      <c r="FL54" s="74"/>
      <c r="FM54" s="74"/>
      <c r="FN54" s="74"/>
      <c r="FO54" s="74"/>
      <c r="FP54" s="74"/>
      <c r="FQ54" s="74"/>
      <c r="FR54" s="74"/>
      <c r="FS54" s="74"/>
      <c r="FT54" s="74"/>
      <c r="FU54" s="74"/>
      <c r="FV54" s="74"/>
      <c r="FW54" s="74"/>
      <c r="FX54" s="74"/>
      <c r="FY54" s="74"/>
      <c r="FZ54" s="74"/>
      <c r="GA54" s="68"/>
    </row>
    <row r="55" spans="1:183" s="2" customFormat="1" ht="15" x14ac:dyDescent="0.3">
      <c r="A55" s="73" t="s">
        <v>5</v>
      </c>
      <c r="B55" s="73" t="s">
        <v>236</v>
      </c>
      <c r="C55" s="73" t="s">
        <v>43</v>
      </c>
      <c r="D55" s="73" t="s">
        <v>48</v>
      </c>
      <c r="E55" s="73" t="s">
        <v>178</v>
      </c>
      <c r="F55" s="73" t="s">
        <v>210</v>
      </c>
      <c r="G55" s="73" t="s">
        <v>216</v>
      </c>
      <c r="H55" s="73"/>
      <c r="I55" s="74">
        <v>0</v>
      </c>
      <c r="J55" s="74">
        <v>0</v>
      </c>
      <c r="K55" s="74">
        <v>0</v>
      </c>
      <c r="L55" s="74">
        <v>0</v>
      </c>
      <c r="M55" s="74">
        <v>-63645</v>
      </c>
      <c r="N55" s="74">
        <v>-52729</v>
      </c>
      <c r="O55" s="74">
        <v>-82999</v>
      </c>
      <c r="P55" s="74">
        <v>-131819</v>
      </c>
      <c r="Q55" s="74">
        <v>-204503.83</v>
      </c>
      <c r="R55" s="74">
        <v>-227206.24022950002</v>
      </c>
      <c r="S55" s="74">
        <v>-148319.50948199758</v>
      </c>
      <c r="T55" s="74">
        <v>-175614.84880353816</v>
      </c>
      <c r="U55" s="74">
        <v>0</v>
      </c>
      <c r="V55" s="74">
        <v>0</v>
      </c>
      <c r="W55" s="74">
        <v>0</v>
      </c>
      <c r="X55" s="74">
        <v>0</v>
      </c>
      <c r="Y55" s="74">
        <v>0</v>
      </c>
      <c r="Z55" s="74">
        <v>0</v>
      </c>
      <c r="AA55" s="74">
        <v>0</v>
      </c>
      <c r="AB55" s="74">
        <v>0</v>
      </c>
      <c r="AC55" s="74">
        <v>0</v>
      </c>
      <c r="AD55" s="74">
        <v>0</v>
      </c>
      <c r="AE55" s="74">
        <v>0</v>
      </c>
      <c r="AF55" s="74">
        <v>0</v>
      </c>
      <c r="AG55" s="74">
        <v>0</v>
      </c>
      <c r="AH55" s="74">
        <v>0</v>
      </c>
      <c r="AI55" s="74">
        <v>0</v>
      </c>
      <c r="AJ55" s="74">
        <v>0</v>
      </c>
      <c r="AK55" s="74"/>
      <c r="AL55" s="74">
        <v>0</v>
      </c>
      <c r="AM55" s="74">
        <v>0</v>
      </c>
      <c r="AN55" s="74">
        <v>0</v>
      </c>
      <c r="AO55" s="74">
        <v>0</v>
      </c>
      <c r="AP55" s="74">
        <v>0</v>
      </c>
      <c r="AQ55" s="74">
        <v>0</v>
      </c>
      <c r="AR55" s="74">
        <v>0</v>
      </c>
      <c r="AS55" s="74">
        <v>0</v>
      </c>
      <c r="AT55" s="74">
        <v>0</v>
      </c>
      <c r="AU55" s="74">
        <v>0</v>
      </c>
      <c r="AV55" s="74">
        <v>0</v>
      </c>
      <c r="AW55" s="74">
        <v>0</v>
      </c>
      <c r="AX55" s="74">
        <v>0</v>
      </c>
      <c r="AY55" s="74">
        <v>0</v>
      </c>
      <c r="AZ55" s="74">
        <v>0</v>
      </c>
      <c r="BA55" s="74">
        <v>0</v>
      </c>
      <c r="BB55" s="74">
        <v>0</v>
      </c>
      <c r="BC55" s="74">
        <v>0</v>
      </c>
      <c r="BD55" s="74">
        <v>0</v>
      </c>
      <c r="BE55" s="74">
        <v>0</v>
      </c>
      <c r="BF55" s="74">
        <v>0</v>
      </c>
      <c r="BG55" s="74">
        <v>0</v>
      </c>
      <c r="BH55" s="74">
        <v>0</v>
      </c>
      <c r="BI55" s="74">
        <v>0</v>
      </c>
      <c r="BJ55" s="74">
        <v>0</v>
      </c>
      <c r="BK55" s="74">
        <v>0</v>
      </c>
      <c r="BL55" s="74">
        <v>0</v>
      </c>
      <c r="BM55" s="74">
        <v>0</v>
      </c>
      <c r="BN55" s="74">
        <v>0</v>
      </c>
      <c r="BO55" s="74">
        <v>0</v>
      </c>
      <c r="BP55" s="74">
        <v>0</v>
      </c>
      <c r="BQ55" s="74">
        <v>0</v>
      </c>
      <c r="BR55" s="74">
        <v>0</v>
      </c>
      <c r="BS55" s="74">
        <v>0</v>
      </c>
      <c r="BT55" s="74">
        <v>0</v>
      </c>
      <c r="BU55" s="74">
        <v>0</v>
      </c>
      <c r="BV55" s="74">
        <v>0</v>
      </c>
      <c r="BW55" s="74">
        <v>0</v>
      </c>
      <c r="BX55" s="74">
        <v>0</v>
      </c>
      <c r="BY55" s="74">
        <v>0</v>
      </c>
      <c r="BZ55" s="74">
        <v>0</v>
      </c>
      <c r="CA55" s="74">
        <v>0</v>
      </c>
      <c r="CB55" s="74">
        <v>0</v>
      </c>
      <c r="CC55" s="74">
        <v>0</v>
      </c>
      <c r="CD55" s="74">
        <v>0</v>
      </c>
      <c r="CE55" s="74">
        <v>0</v>
      </c>
      <c r="CF55" s="74">
        <v>0</v>
      </c>
      <c r="CG55" s="74">
        <v>0</v>
      </c>
      <c r="CH55" s="74">
        <v>0</v>
      </c>
      <c r="CI55" s="74">
        <v>0</v>
      </c>
      <c r="CJ55" s="74">
        <v>0</v>
      </c>
      <c r="CK55" s="74">
        <v>0</v>
      </c>
      <c r="CL55" s="74">
        <v>0</v>
      </c>
      <c r="CM55" s="74">
        <v>0</v>
      </c>
      <c r="CN55" s="74">
        <v>0</v>
      </c>
      <c r="CO55" s="74">
        <v>0</v>
      </c>
      <c r="CP55" s="74">
        <v>0</v>
      </c>
      <c r="CQ55" s="74">
        <v>0</v>
      </c>
      <c r="CR55" s="74">
        <v>0</v>
      </c>
      <c r="CS55" s="74">
        <v>0</v>
      </c>
      <c r="CT55" s="74">
        <v>0</v>
      </c>
      <c r="CU55" s="74">
        <v>0</v>
      </c>
      <c r="CV55" s="74">
        <v>0</v>
      </c>
      <c r="CW55" s="74">
        <v>0</v>
      </c>
      <c r="CX55" s="74">
        <v>0</v>
      </c>
      <c r="CY55" s="74">
        <v>0</v>
      </c>
      <c r="CZ55" s="74">
        <v>0</v>
      </c>
      <c r="DA55" s="74">
        <v>0</v>
      </c>
      <c r="DB55" s="74">
        <v>0</v>
      </c>
      <c r="DC55" s="74">
        <v>0</v>
      </c>
      <c r="DD55" s="74">
        <v>0</v>
      </c>
      <c r="DE55" s="74">
        <v>0</v>
      </c>
      <c r="DF55" s="74">
        <v>0</v>
      </c>
      <c r="DG55" s="74">
        <v>0</v>
      </c>
      <c r="DH55" s="74">
        <v>0</v>
      </c>
      <c r="DI55" s="74">
        <v>0</v>
      </c>
      <c r="DJ55" s="74">
        <v>0</v>
      </c>
      <c r="DK55" s="74">
        <v>0</v>
      </c>
      <c r="DL55" s="74">
        <v>0</v>
      </c>
      <c r="DM55" s="74">
        <v>0</v>
      </c>
      <c r="DN55" s="74">
        <v>0</v>
      </c>
      <c r="DO55" s="74">
        <v>0</v>
      </c>
      <c r="DP55" s="74">
        <v>0</v>
      </c>
      <c r="DQ55" s="74">
        <v>0</v>
      </c>
      <c r="DR55" s="74">
        <v>0</v>
      </c>
      <c r="DS55" s="74">
        <v>0</v>
      </c>
      <c r="DT55" s="74">
        <v>0</v>
      </c>
      <c r="DU55" s="74">
        <v>0</v>
      </c>
      <c r="DV55" s="74">
        <v>0</v>
      </c>
      <c r="DW55" s="74">
        <v>0</v>
      </c>
      <c r="DX55" s="74">
        <v>0</v>
      </c>
      <c r="DY55" s="74">
        <v>0</v>
      </c>
      <c r="DZ55" s="74">
        <v>0</v>
      </c>
      <c r="EA55" s="74">
        <v>0</v>
      </c>
      <c r="EB55" s="74">
        <v>0</v>
      </c>
      <c r="EC55" s="74">
        <v>0</v>
      </c>
      <c r="ED55" s="74"/>
      <c r="EE55" s="80">
        <v>46063</v>
      </c>
      <c r="EF55" s="81">
        <v>46063.452990393518</v>
      </c>
      <c r="EG55" s="66" t="s">
        <v>70</v>
      </c>
      <c r="EH55" s="66" t="s">
        <v>209</v>
      </c>
      <c r="EI55" s="66" t="s">
        <v>6</v>
      </c>
      <c r="EJ55" s="66">
        <v>10</v>
      </c>
      <c r="EK55" s="66">
        <v>2027</v>
      </c>
      <c r="EL55" s="66" t="s">
        <v>24</v>
      </c>
      <c r="EM55" s="82">
        <v>241.43667956123221</v>
      </c>
      <c r="EN55" s="82">
        <v>206.2708139959758</v>
      </c>
      <c r="EO55" s="77">
        <v>210.28039999999999</v>
      </c>
      <c r="EP55" s="84">
        <v>0.19403388859999032</v>
      </c>
      <c r="EQ55" s="84">
        <v>0.1985771238014705</v>
      </c>
      <c r="ER55" s="84">
        <v>3.7812199999999997E-2</v>
      </c>
      <c r="ES55" s="85">
        <v>0.97173988520598786</v>
      </c>
      <c r="ET55" s="86">
        <v>1.3944000000000001</v>
      </c>
      <c r="EU55" s="85">
        <v>0.15269873395245903</v>
      </c>
      <c r="EV55" s="85">
        <v>3.6374216079711912E-2</v>
      </c>
      <c r="EW55" s="76">
        <v>2</v>
      </c>
      <c r="EX55" s="76" t="s">
        <v>32</v>
      </c>
      <c r="EY55" s="74" t="s">
        <v>243</v>
      </c>
      <c r="EZ55" s="74"/>
      <c r="FA55" s="74"/>
      <c r="FB55" s="74"/>
      <c r="FC55" s="74"/>
      <c r="FD55" s="68"/>
      <c r="FH55" s="73"/>
      <c r="FI55" s="74"/>
      <c r="FJ55" s="74"/>
      <c r="FK55" s="74"/>
      <c r="FL55" s="74"/>
      <c r="FM55" s="74"/>
      <c r="FN55" s="74"/>
      <c r="FO55" s="74"/>
      <c r="FP55" s="74"/>
      <c r="FQ55" s="74"/>
      <c r="FR55" s="74"/>
      <c r="FS55" s="74"/>
      <c r="FT55" s="74"/>
      <c r="FU55" s="74"/>
      <c r="FV55" s="74"/>
      <c r="FW55" s="74"/>
      <c r="FX55" s="74"/>
      <c r="FY55" s="74"/>
      <c r="FZ55" s="74"/>
      <c r="GA55" s="68"/>
    </row>
    <row r="56" spans="1:183" s="2" customFormat="1" ht="15" x14ac:dyDescent="0.3">
      <c r="A56" s="73" t="s">
        <v>25</v>
      </c>
      <c r="B56" s="73" t="s">
        <v>25</v>
      </c>
      <c r="C56" s="73" t="s">
        <v>221</v>
      </c>
      <c r="D56" s="73" t="s">
        <v>48</v>
      </c>
      <c r="E56" s="73" t="s">
        <v>178</v>
      </c>
      <c r="F56" s="73" t="s">
        <v>210</v>
      </c>
      <c r="G56" s="73" t="s">
        <v>216</v>
      </c>
      <c r="H56" s="73"/>
      <c r="I56" s="74">
        <v>0</v>
      </c>
      <c r="J56" s="74">
        <v>0</v>
      </c>
      <c r="K56" s="74">
        <v>0</v>
      </c>
      <c r="L56" s="74">
        <v>0</v>
      </c>
      <c r="M56" s="74">
        <v>4624.0795046917046</v>
      </c>
      <c r="N56" s="74">
        <v>50559.050311296218</v>
      </c>
      <c r="O56" s="74">
        <v>45979.687196564089</v>
      </c>
      <c r="P56" s="74">
        <v>22519.705205609964</v>
      </c>
      <c r="Q56" s="74">
        <v>-26793.840929068043</v>
      </c>
      <c r="R56" s="74">
        <v>11357.019836534717</v>
      </c>
      <c r="S56" s="74">
        <v>151974.49616455549</v>
      </c>
      <c r="T56" s="74">
        <v>144469.18882700228</v>
      </c>
      <c r="U56" s="74">
        <v>0</v>
      </c>
      <c r="V56" s="74">
        <v>0</v>
      </c>
      <c r="W56" s="74">
        <v>0</v>
      </c>
      <c r="X56" s="74">
        <v>0</v>
      </c>
      <c r="Y56" s="74">
        <v>0</v>
      </c>
      <c r="Z56" s="74">
        <v>0</v>
      </c>
      <c r="AA56" s="74">
        <v>0</v>
      </c>
      <c r="AB56" s="74">
        <v>0</v>
      </c>
      <c r="AC56" s="74">
        <v>0</v>
      </c>
      <c r="AD56" s="74">
        <v>0</v>
      </c>
      <c r="AE56" s="74">
        <v>0</v>
      </c>
      <c r="AF56" s="74">
        <v>0</v>
      </c>
      <c r="AG56" s="74">
        <v>0</v>
      </c>
      <c r="AH56" s="74">
        <v>0</v>
      </c>
      <c r="AI56" s="74">
        <v>0</v>
      </c>
      <c r="AJ56" s="74">
        <v>0</v>
      </c>
      <c r="AK56" s="74"/>
      <c r="AL56" s="74">
        <v>1544.55753902979</v>
      </c>
      <c r="AM56" s="74">
        <v>5150.6308149322304</v>
      </c>
      <c r="AN56" s="74">
        <v>-166.08702342050856</v>
      </c>
      <c r="AO56" s="74" t="s">
        <v>48</v>
      </c>
      <c r="AP56" s="74" t="s">
        <v>48</v>
      </c>
      <c r="AQ56" s="74">
        <v>-79.566000000000713</v>
      </c>
      <c r="AR56" s="74">
        <v>1180.1005999999998</v>
      </c>
      <c r="AS56" s="74">
        <v>161.52347999999984</v>
      </c>
      <c r="AT56" s="74">
        <v>2070.4946999999993</v>
      </c>
      <c r="AU56" s="74">
        <v>3409.4532000000036</v>
      </c>
      <c r="AV56" s="74">
        <v>-3044.5814999999984</v>
      </c>
      <c r="AW56" s="74">
        <v>1311.7639999999992</v>
      </c>
      <c r="AX56" s="74">
        <v>1611.6348500000022</v>
      </c>
      <c r="AY56" s="74">
        <v>1927.9616999999998</v>
      </c>
      <c r="AZ56" s="74">
        <v>2824.1491999999998</v>
      </c>
      <c r="BA56" s="74">
        <v>1944.1461000000018</v>
      </c>
      <c r="BB56" s="74">
        <v>2420.5272499999992</v>
      </c>
      <c r="BC56" s="74" t="s">
        <v>48</v>
      </c>
      <c r="BD56" s="74" t="s">
        <v>48</v>
      </c>
      <c r="BE56" s="74" t="s">
        <v>48</v>
      </c>
      <c r="BF56" s="74" t="s">
        <v>48</v>
      </c>
      <c r="BG56" s="74" t="s">
        <v>48</v>
      </c>
      <c r="BH56" s="74" t="s">
        <v>48</v>
      </c>
      <c r="BI56" s="74" t="s">
        <v>48</v>
      </c>
      <c r="BJ56" s="74" t="s">
        <v>48</v>
      </c>
      <c r="BK56" s="74" t="s">
        <v>48</v>
      </c>
      <c r="BL56" s="74" t="s">
        <v>48</v>
      </c>
      <c r="BM56" s="74" t="s">
        <v>48</v>
      </c>
      <c r="BN56" s="74" t="s">
        <v>48</v>
      </c>
      <c r="BO56" s="74" t="s">
        <v>48</v>
      </c>
      <c r="BP56" s="74" t="s">
        <v>48</v>
      </c>
      <c r="BQ56" s="74" t="s">
        <v>48</v>
      </c>
      <c r="BR56" s="74">
        <v>0</v>
      </c>
      <c r="BS56" s="74">
        <v>0</v>
      </c>
      <c r="BT56" s="74">
        <v>0</v>
      </c>
      <c r="BU56" s="74">
        <v>0</v>
      </c>
      <c r="BV56" s="74">
        <v>0</v>
      </c>
      <c r="BW56" s="74">
        <v>0</v>
      </c>
      <c r="BX56" s="74">
        <v>0</v>
      </c>
      <c r="BY56" s="74">
        <v>0</v>
      </c>
      <c r="BZ56" s="74">
        <v>0</v>
      </c>
      <c r="CA56" s="74">
        <v>0</v>
      </c>
      <c r="CB56" s="74">
        <v>0</v>
      </c>
      <c r="CC56" s="74">
        <v>0</v>
      </c>
      <c r="CD56" s="74">
        <v>0</v>
      </c>
      <c r="CE56" s="74">
        <v>0</v>
      </c>
      <c r="CF56" s="74">
        <v>0</v>
      </c>
      <c r="CG56" s="74">
        <v>0</v>
      </c>
      <c r="CH56" s="74">
        <v>0</v>
      </c>
      <c r="CI56" s="74">
        <v>0</v>
      </c>
      <c r="CJ56" s="74">
        <v>0</v>
      </c>
      <c r="CK56" s="74">
        <v>0</v>
      </c>
      <c r="CL56" s="74">
        <v>0</v>
      </c>
      <c r="CM56" s="74">
        <v>0</v>
      </c>
      <c r="CN56" s="74">
        <v>0</v>
      </c>
      <c r="CO56" s="74">
        <v>0</v>
      </c>
      <c r="CP56" s="74">
        <v>0</v>
      </c>
      <c r="CQ56" s="74">
        <v>0</v>
      </c>
      <c r="CR56" s="74">
        <v>0</v>
      </c>
      <c r="CS56" s="74">
        <v>0</v>
      </c>
      <c r="CT56" s="74">
        <v>0</v>
      </c>
      <c r="CU56" s="74">
        <v>0</v>
      </c>
      <c r="CV56" s="74">
        <v>0</v>
      </c>
      <c r="CW56" s="74">
        <v>0</v>
      </c>
      <c r="CX56" s="74">
        <v>0</v>
      </c>
      <c r="CY56" s="74">
        <v>0</v>
      </c>
      <c r="CZ56" s="74">
        <v>0</v>
      </c>
      <c r="DA56" s="74">
        <v>0</v>
      </c>
      <c r="DB56" s="74">
        <v>0</v>
      </c>
      <c r="DC56" s="74">
        <v>0</v>
      </c>
      <c r="DD56" s="74">
        <v>0</v>
      </c>
      <c r="DE56" s="74">
        <v>0</v>
      </c>
      <c r="DF56" s="74">
        <v>0</v>
      </c>
      <c r="DG56" s="74">
        <v>0</v>
      </c>
      <c r="DH56" s="74">
        <v>0</v>
      </c>
      <c r="DI56" s="74">
        <v>0</v>
      </c>
      <c r="DJ56" s="74">
        <v>0</v>
      </c>
      <c r="DK56" s="74">
        <v>0</v>
      </c>
      <c r="DL56" s="74">
        <v>0</v>
      </c>
      <c r="DM56" s="74">
        <v>0</v>
      </c>
      <c r="DN56" s="74">
        <v>0</v>
      </c>
      <c r="DO56" s="74">
        <v>0</v>
      </c>
      <c r="DP56" s="74">
        <v>0</v>
      </c>
      <c r="DQ56" s="74">
        <v>0</v>
      </c>
      <c r="DR56" s="74">
        <v>0</v>
      </c>
      <c r="DS56" s="74">
        <v>0</v>
      </c>
      <c r="DT56" s="74">
        <v>0</v>
      </c>
      <c r="DU56" s="74">
        <v>0</v>
      </c>
      <c r="DV56" s="74">
        <v>0</v>
      </c>
      <c r="DW56" s="74">
        <v>0</v>
      </c>
      <c r="DX56" s="74">
        <v>0</v>
      </c>
      <c r="DY56" s="74">
        <v>0</v>
      </c>
      <c r="DZ56" s="74">
        <v>0</v>
      </c>
      <c r="EA56" s="74">
        <v>0</v>
      </c>
      <c r="EB56" s="74">
        <v>0</v>
      </c>
      <c r="EC56" s="74">
        <v>0</v>
      </c>
      <c r="ED56" s="74"/>
      <c r="EE56" s="80">
        <v>46063</v>
      </c>
      <c r="EF56" s="81">
        <v>46063.452990393518</v>
      </c>
      <c r="EG56" s="66" t="s">
        <v>70</v>
      </c>
      <c r="EH56" s="66" t="s">
        <v>209</v>
      </c>
      <c r="EI56" s="66" t="s">
        <v>6</v>
      </c>
      <c r="EJ56" s="66">
        <v>10</v>
      </c>
      <c r="EK56" s="66">
        <v>2027</v>
      </c>
      <c r="EL56" s="66" t="s">
        <v>24</v>
      </c>
      <c r="EM56" s="82">
        <v>241.43667956123221</v>
      </c>
      <c r="EN56" s="82">
        <v>206.2708139959758</v>
      </c>
      <c r="EO56" s="77">
        <v>210.28039999999999</v>
      </c>
      <c r="EP56" s="84">
        <v>0.19403388859999032</v>
      </c>
      <c r="EQ56" s="84">
        <v>0.1985771238014705</v>
      </c>
      <c r="ER56" s="84">
        <v>3.7812199999999997E-2</v>
      </c>
      <c r="ES56" s="85">
        <v>0.97173988520598786</v>
      </c>
      <c r="ET56" s="86">
        <v>1.3944000000000001</v>
      </c>
      <c r="EU56" s="85">
        <v>0.15269873395245903</v>
      </c>
      <c r="EV56" s="85">
        <v>3.6374216079711912E-2</v>
      </c>
      <c r="EW56" s="76">
        <v>2</v>
      </c>
      <c r="EX56" s="76" t="s">
        <v>32</v>
      </c>
      <c r="EY56" s="74" t="s">
        <v>243</v>
      </c>
      <c r="EZ56" s="74"/>
      <c r="FA56" s="74"/>
      <c r="FB56" s="74"/>
      <c r="FC56" s="74"/>
      <c r="FD56" s="68"/>
      <c r="FH56" s="73"/>
      <c r="FI56" s="74"/>
      <c r="FJ56" s="74"/>
      <c r="FK56" s="74"/>
      <c r="FL56" s="74"/>
      <c r="FM56" s="74"/>
      <c r="FN56" s="74"/>
      <c r="FO56" s="74"/>
      <c r="FP56" s="74"/>
      <c r="FQ56" s="74"/>
      <c r="FR56" s="74"/>
      <c r="FS56" s="74"/>
      <c r="FT56" s="74"/>
      <c r="FU56" s="74"/>
      <c r="FV56" s="74"/>
      <c r="FW56" s="74"/>
      <c r="FX56" s="74"/>
      <c r="FY56" s="74"/>
      <c r="FZ56" s="74"/>
      <c r="GA56" s="68"/>
    </row>
    <row r="57" spans="1:183" s="2" customFormat="1" ht="15" x14ac:dyDescent="0.3">
      <c r="A57" s="73" t="s">
        <v>179</v>
      </c>
      <c r="B57" s="73" t="s">
        <v>237</v>
      </c>
      <c r="C57" s="73" t="s">
        <v>222</v>
      </c>
      <c r="D57" s="73" t="s">
        <v>48</v>
      </c>
      <c r="E57" s="73" t="s">
        <v>178</v>
      </c>
      <c r="F57" s="73" t="s">
        <v>210</v>
      </c>
      <c r="G57" s="73" t="s">
        <v>223</v>
      </c>
      <c r="H57" s="73"/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74">
        <v>0</v>
      </c>
      <c r="O57" s="74">
        <v>0</v>
      </c>
      <c r="P57" s="74">
        <v>0</v>
      </c>
      <c r="Q57" s="74">
        <v>800775.2205882353</v>
      </c>
      <c r="R57" s="74">
        <v>893669.54385964922</v>
      </c>
      <c r="S57" s="74">
        <v>994199.6551724138</v>
      </c>
      <c r="T57" s="74">
        <v>1092553.3157894737</v>
      </c>
      <c r="U57" s="74">
        <v>1204580.2631578948</v>
      </c>
      <c r="V57" s="74">
        <v>0</v>
      </c>
      <c r="W57" s="74">
        <v>0</v>
      </c>
      <c r="X57" s="74">
        <v>0</v>
      </c>
      <c r="Y57" s="74">
        <v>0</v>
      </c>
      <c r="Z57" s="74">
        <v>0</v>
      </c>
      <c r="AA57" s="74">
        <v>0</v>
      </c>
      <c r="AB57" s="74">
        <v>0</v>
      </c>
      <c r="AC57" s="74">
        <v>0</v>
      </c>
      <c r="AD57" s="74">
        <v>0</v>
      </c>
      <c r="AE57" s="74">
        <v>0</v>
      </c>
      <c r="AF57" s="74">
        <v>0</v>
      </c>
      <c r="AG57" s="74">
        <v>0</v>
      </c>
      <c r="AH57" s="74">
        <v>0</v>
      </c>
      <c r="AI57" s="74">
        <v>0</v>
      </c>
      <c r="AJ57" s="74">
        <v>0</v>
      </c>
      <c r="AK57" s="74"/>
      <c r="AL57" s="74">
        <v>0</v>
      </c>
      <c r="AM57" s="74">
        <v>0</v>
      </c>
      <c r="AN57" s="74">
        <v>0</v>
      </c>
      <c r="AO57" s="74">
        <v>0</v>
      </c>
      <c r="AP57" s="74">
        <v>0</v>
      </c>
      <c r="AQ57" s="74">
        <v>0</v>
      </c>
      <c r="AR57" s="74">
        <v>0</v>
      </c>
      <c r="AS57" s="74">
        <v>0</v>
      </c>
      <c r="AT57" s="74">
        <v>0</v>
      </c>
      <c r="AU57" s="74">
        <v>0</v>
      </c>
      <c r="AV57" s="74">
        <v>0</v>
      </c>
      <c r="AW57" s="74">
        <v>0</v>
      </c>
      <c r="AX57" s="74">
        <v>0</v>
      </c>
      <c r="AY57" s="74">
        <v>0</v>
      </c>
      <c r="AZ57" s="74">
        <v>0</v>
      </c>
      <c r="BA57" s="74">
        <v>0</v>
      </c>
      <c r="BB57" s="74">
        <v>0</v>
      </c>
      <c r="BC57" s="74">
        <v>0</v>
      </c>
      <c r="BD57" s="74">
        <v>0</v>
      </c>
      <c r="BE57" s="74">
        <v>0</v>
      </c>
      <c r="BF57" s="74">
        <v>0</v>
      </c>
      <c r="BG57" s="74">
        <v>0</v>
      </c>
      <c r="BH57" s="74">
        <v>0</v>
      </c>
      <c r="BI57" s="74">
        <v>0</v>
      </c>
      <c r="BJ57" s="74">
        <v>0</v>
      </c>
      <c r="BK57" s="74">
        <v>0</v>
      </c>
      <c r="BL57" s="74">
        <v>0</v>
      </c>
      <c r="BM57" s="74">
        <v>0</v>
      </c>
      <c r="BN57" s="74">
        <v>0</v>
      </c>
      <c r="BO57" s="74">
        <v>0</v>
      </c>
      <c r="BP57" s="74">
        <v>0</v>
      </c>
      <c r="BQ57" s="74">
        <v>0</v>
      </c>
      <c r="BR57" s="74">
        <v>0</v>
      </c>
      <c r="BS57" s="74">
        <v>0</v>
      </c>
      <c r="BT57" s="74">
        <v>0</v>
      </c>
      <c r="BU57" s="74">
        <v>0</v>
      </c>
      <c r="BV57" s="74">
        <v>0</v>
      </c>
      <c r="BW57" s="74">
        <v>0</v>
      </c>
      <c r="BX57" s="74">
        <v>0</v>
      </c>
      <c r="BY57" s="74">
        <v>0</v>
      </c>
      <c r="BZ57" s="74">
        <v>0</v>
      </c>
      <c r="CA57" s="74">
        <v>0</v>
      </c>
      <c r="CB57" s="74">
        <v>0</v>
      </c>
      <c r="CC57" s="74">
        <v>0</v>
      </c>
      <c r="CD57" s="74">
        <v>0</v>
      </c>
      <c r="CE57" s="74">
        <v>0</v>
      </c>
      <c r="CF57" s="74">
        <v>0</v>
      </c>
      <c r="CG57" s="74">
        <v>0</v>
      </c>
      <c r="CH57" s="74">
        <v>0</v>
      </c>
      <c r="CI57" s="74">
        <v>0</v>
      </c>
      <c r="CJ57" s="74">
        <v>0</v>
      </c>
      <c r="CK57" s="74">
        <v>0</v>
      </c>
      <c r="CL57" s="74">
        <v>0</v>
      </c>
      <c r="CM57" s="74">
        <v>0</v>
      </c>
      <c r="CN57" s="74">
        <v>0</v>
      </c>
      <c r="CO57" s="74">
        <v>0</v>
      </c>
      <c r="CP57" s="74">
        <v>0</v>
      </c>
      <c r="CQ57" s="74">
        <v>0</v>
      </c>
      <c r="CR57" s="74">
        <v>0</v>
      </c>
      <c r="CS57" s="74">
        <v>0</v>
      </c>
      <c r="CT57" s="74">
        <v>0</v>
      </c>
      <c r="CU57" s="74">
        <v>0</v>
      </c>
      <c r="CV57" s="74">
        <v>0</v>
      </c>
      <c r="CW57" s="74">
        <v>0</v>
      </c>
      <c r="CX57" s="74">
        <v>0</v>
      </c>
      <c r="CY57" s="74">
        <v>0</v>
      </c>
      <c r="CZ57" s="74">
        <v>0</v>
      </c>
      <c r="DA57" s="74">
        <v>0</v>
      </c>
      <c r="DB57" s="74">
        <v>0</v>
      </c>
      <c r="DC57" s="74">
        <v>0</v>
      </c>
      <c r="DD57" s="74">
        <v>0</v>
      </c>
      <c r="DE57" s="74">
        <v>0</v>
      </c>
      <c r="DF57" s="74">
        <v>0</v>
      </c>
      <c r="DG57" s="74">
        <v>0</v>
      </c>
      <c r="DH57" s="74">
        <v>0</v>
      </c>
      <c r="DI57" s="74">
        <v>0</v>
      </c>
      <c r="DJ57" s="74">
        <v>0</v>
      </c>
      <c r="DK57" s="74">
        <v>0</v>
      </c>
      <c r="DL57" s="74">
        <v>0</v>
      </c>
      <c r="DM57" s="74">
        <v>0</v>
      </c>
      <c r="DN57" s="74">
        <v>0</v>
      </c>
      <c r="DO57" s="74">
        <v>0</v>
      </c>
      <c r="DP57" s="74">
        <v>0</v>
      </c>
      <c r="DQ57" s="74">
        <v>0</v>
      </c>
      <c r="DR57" s="74">
        <v>0</v>
      </c>
      <c r="DS57" s="74">
        <v>0</v>
      </c>
      <c r="DT57" s="74">
        <v>0</v>
      </c>
      <c r="DU57" s="74">
        <v>0</v>
      </c>
      <c r="DV57" s="74">
        <v>0</v>
      </c>
      <c r="DW57" s="74">
        <v>0</v>
      </c>
      <c r="DX57" s="74">
        <v>0</v>
      </c>
      <c r="DY57" s="74">
        <v>0</v>
      </c>
      <c r="DZ57" s="74">
        <v>0</v>
      </c>
      <c r="EA57" s="74">
        <v>0</v>
      </c>
      <c r="EB57" s="74">
        <v>0</v>
      </c>
      <c r="EC57" s="74">
        <v>0</v>
      </c>
      <c r="ED57" s="74"/>
      <c r="EE57" s="80">
        <v>46063</v>
      </c>
      <c r="EF57" s="81">
        <v>46063.452990393518</v>
      </c>
      <c r="EG57" s="66" t="s">
        <v>70</v>
      </c>
      <c r="EH57" s="66" t="s">
        <v>209</v>
      </c>
      <c r="EI57" s="66" t="s">
        <v>6</v>
      </c>
      <c r="EJ57" s="66">
        <v>10</v>
      </c>
      <c r="EK57" s="66">
        <v>2027</v>
      </c>
      <c r="EL57" s="66" t="s">
        <v>24</v>
      </c>
      <c r="EM57" s="82">
        <v>241.43667956123221</v>
      </c>
      <c r="EN57" s="82">
        <v>206.2708139959758</v>
      </c>
      <c r="EO57" s="77">
        <v>210.28039999999999</v>
      </c>
      <c r="EP57" s="84">
        <v>0.19403388859999032</v>
      </c>
      <c r="EQ57" s="84">
        <v>0.1985771238014705</v>
      </c>
      <c r="ER57" s="84">
        <v>3.7812199999999997E-2</v>
      </c>
      <c r="ES57" s="85">
        <v>0.97173988520598786</v>
      </c>
      <c r="ET57" s="86">
        <v>1.3944000000000001</v>
      </c>
      <c r="EU57" s="85">
        <v>0.15269873395245903</v>
      </c>
      <c r="EV57" s="85">
        <v>3.6374216079711912E-2</v>
      </c>
      <c r="EW57" s="76">
        <v>2</v>
      </c>
      <c r="EX57" s="76" t="s">
        <v>32</v>
      </c>
      <c r="EY57" s="74" t="s">
        <v>243</v>
      </c>
      <c r="EZ57" s="74"/>
      <c r="FA57" s="74"/>
      <c r="FB57" s="74"/>
      <c r="FC57" s="74"/>
      <c r="FD57" s="68"/>
      <c r="FH57" s="73"/>
      <c r="FI57" s="74"/>
      <c r="FJ57" s="74"/>
      <c r="FK57" s="74"/>
      <c r="FL57" s="74"/>
      <c r="FM57" s="74"/>
      <c r="FN57" s="74"/>
      <c r="FO57" s="74"/>
      <c r="FP57" s="74"/>
      <c r="FQ57" s="74"/>
      <c r="FR57" s="74"/>
      <c r="FS57" s="74"/>
      <c r="FT57" s="74"/>
      <c r="FU57" s="74"/>
      <c r="FV57" s="74"/>
      <c r="FW57" s="74"/>
      <c r="FX57" s="74"/>
      <c r="FY57" s="74"/>
      <c r="FZ57" s="74"/>
      <c r="GA57" s="68"/>
    </row>
    <row r="58" spans="1:183" s="2" customFormat="1" ht="15" x14ac:dyDescent="0.3">
      <c r="A58" s="73" t="s">
        <v>180</v>
      </c>
      <c r="B58" s="73" t="s">
        <v>238</v>
      </c>
      <c r="C58" s="73" t="s">
        <v>224</v>
      </c>
      <c r="D58" s="73" t="s">
        <v>48</v>
      </c>
      <c r="E58" s="73" t="s">
        <v>178</v>
      </c>
      <c r="F58" s="73" t="s">
        <v>210</v>
      </c>
      <c r="G58" s="73" t="s">
        <v>223</v>
      </c>
      <c r="H58" s="73"/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74">
        <v>0</v>
      </c>
      <c r="P58" s="74">
        <v>0</v>
      </c>
      <c r="Q58" s="74">
        <v>205916.095238095</v>
      </c>
      <c r="R58" s="74">
        <v>254062.3</v>
      </c>
      <c r="S58" s="74">
        <v>308602.78260869597</v>
      </c>
      <c r="T58" s="74">
        <v>340575.25</v>
      </c>
      <c r="U58" s="74">
        <v>391413.66666666698</v>
      </c>
      <c r="V58" s="74">
        <v>0</v>
      </c>
      <c r="W58" s="74">
        <v>0</v>
      </c>
      <c r="X58" s="74">
        <v>0</v>
      </c>
      <c r="Y58" s="74">
        <v>0</v>
      </c>
      <c r="Z58" s="74">
        <v>0</v>
      </c>
      <c r="AA58" s="74">
        <v>0</v>
      </c>
      <c r="AB58" s="74">
        <v>0</v>
      </c>
      <c r="AC58" s="74">
        <v>0</v>
      </c>
      <c r="AD58" s="74">
        <v>0</v>
      </c>
      <c r="AE58" s="74">
        <v>0</v>
      </c>
      <c r="AF58" s="74">
        <v>0</v>
      </c>
      <c r="AG58" s="74">
        <v>0</v>
      </c>
      <c r="AH58" s="74">
        <v>0</v>
      </c>
      <c r="AI58" s="74">
        <v>0</v>
      </c>
      <c r="AJ58" s="74">
        <v>0</v>
      </c>
      <c r="AK58" s="74"/>
      <c r="AL58" s="74">
        <v>0</v>
      </c>
      <c r="AM58" s="74">
        <v>0</v>
      </c>
      <c r="AN58" s="74">
        <v>0</v>
      </c>
      <c r="AO58" s="74">
        <v>0</v>
      </c>
      <c r="AP58" s="74">
        <v>0</v>
      </c>
      <c r="AQ58" s="74">
        <v>0</v>
      </c>
      <c r="AR58" s="74">
        <v>0</v>
      </c>
      <c r="AS58" s="74">
        <v>0</v>
      </c>
      <c r="AT58" s="74">
        <v>0</v>
      </c>
      <c r="AU58" s="74">
        <v>0</v>
      </c>
      <c r="AV58" s="74">
        <v>0</v>
      </c>
      <c r="AW58" s="74">
        <v>0</v>
      </c>
      <c r="AX58" s="74">
        <v>0</v>
      </c>
      <c r="AY58" s="74">
        <v>0</v>
      </c>
      <c r="AZ58" s="74">
        <v>0</v>
      </c>
      <c r="BA58" s="74">
        <v>0</v>
      </c>
      <c r="BB58" s="74">
        <v>0</v>
      </c>
      <c r="BC58" s="74">
        <v>0</v>
      </c>
      <c r="BD58" s="74">
        <v>0</v>
      </c>
      <c r="BE58" s="74">
        <v>0</v>
      </c>
      <c r="BF58" s="74">
        <v>0</v>
      </c>
      <c r="BG58" s="74">
        <v>0</v>
      </c>
      <c r="BH58" s="74">
        <v>0</v>
      </c>
      <c r="BI58" s="74">
        <v>0</v>
      </c>
      <c r="BJ58" s="74">
        <v>0</v>
      </c>
      <c r="BK58" s="74">
        <v>0</v>
      </c>
      <c r="BL58" s="74">
        <v>0</v>
      </c>
      <c r="BM58" s="74">
        <v>0</v>
      </c>
      <c r="BN58" s="74">
        <v>0</v>
      </c>
      <c r="BO58" s="74">
        <v>0</v>
      </c>
      <c r="BP58" s="74">
        <v>0</v>
      </c>
      <c r="BQ58" s="74">
        <v>0</v>
      </c>
      <c r="BR58" s="74">
        <v>0</v>
      </c>
      <c r="BS58" s="74">
        <v>0</v>
      </c>
      <c r="BT58" s="74">
        <v>0</v>
      </c>
      <c r="BU58" s="74">
        <v>0</v>
      </c>
      <c r="BV58" s="74">
        <v>0</v>
      </c>
      <c r="BW58" s="74">
        <v>0</v>
      </c>
      <c r="BX58" s="74">
        <v>0</v>
      </c>
      <c r="BY58" s="74">
        <v>0</v>
      </c>
      <c r="BZ58" s="74">
        <v>0</v>
      </c>
      <c r="CA58" s="74">
        <v>0</v>
      </c>
      <c r="CB58" s="74">
        <v>0</v>
      </c>
      <c r="CC58" s="74">
        <v>0</v>
      </c>
      <c r="CD58" s="74">
        <v>0</v>
      </c>
      <c r="CE58" s="74">
        <v>0</v>
      </c>
      <c r="CF58" s="74">
        <v>0</v>
      </c>
      <c r="CG58" s="74">
        <v>0</v>
      </c>
      <c r="CH58" s="74">
        <v>0</v>
      </c>
      <c r="CI58" s="74">
        <v>0</v>
      </c>
      <c r="CJ58" s="74">
        <v>0</v>
      </c>
      <c r="CK58" s="74">
        <v>0</v>
      </c>
      <c r="CL58" s="74">
        <v>0</v>
      </c>
      <c r="CM58" s="74">
        <v>0</v>
      </c>
      <c r="CN58" s="74">
        <v>0</v>
      </c>
      <c r="CO58" s="74">
        <v>0</v>
      </c>
      <c r="CP58" s="74">
        <v>0</v>
      </c>
      <c r="CQ58" s="74">
        <v>0</v>
      </c>
      <c r="CR58" s="74">
        <v>0</v>
      </c>
      <c r="CS58" s="74">
        <v>0</v>
      </c>
      <c r="CT58" s="74">
        <v>0</v>
      </c>
      <c r="CU58" s="74">
        <v>0</v>
      </c>
      <c r="CV58" s="74">
        <v>0</v>
      </c>
      <c r="CW58" s="74">
        <v>0</v>
      </c>
      <c r="CX58" s="74">
        <v>0</v>
      </c>
      <c r="CY58" s="74">
        <v>0</v>
      </c>
      <c r="CZ58" s="74">
        <v>0</v>
      </c>
      <c r="DA58" s="74">
        <v>0</v>
      </c>
      <c r="DB58" s="74">
        <v>0</v>
      </c>
      <c r="DC58" s="74">
        <v>0</v>
      </c>
      <c r="DD58" s="74">
        <v>0</v>
      </c>
      <c r="DE58" s="74">
        <v>0</v>
      </c>
      <c r="DF58" s="74">
        <v>0</v>
      </c>
      <c r="DG58" s="74">
        <v>0</v>
      </c>
      <c r="DH58" s="74">
        <v>0</v>
      </c>
      <c r="DI58" s="74">
        <v>0</v>
      </c>
      <c r="DJ58" s="74">
        <v>0</v>
      </c>
      <c r="DK58" s="74">
        <v>0</v>
      </c>
      <c r="DL58" s="74">
        <v>0</v>
      </c>
      <c r="DM58" s="74">
        <v>0</v>
      </c>
      <c r="DN58" s="74">
        <v>0</v>
      </c>
      <c r="DO58" s="74">
        <v>0</v>
      </c>
      <c r="DP58" s="74">
        <v>0</v>
      </c>
      <c r="DQ58" s="74">
        <v>0</v>
      </c>
      <c r="DR58" s="74">
        <v>0</v>
      </c>
      <c r="DS58" s="74">
        <v>0</v>
      </c>
      <c r="DT58" s="74">
        <v>0</v>
      </c>
      <c r="DU58" s="74">
        <v>0</v>
      </c>
      <c r="DV58" s="74">
        <v>0</v>
      </c>
      <c r="DW58" s="74">
        <v>0</v>
      </c>
      <c r="DX58" s="74">
        <v>0</v>
      </c>
      <c r="DY58" s="74">
        <v>0</v>
      </c>
      <c r="DZ58" s="74">
        <v>0</v>
      </c>
      <c r="EA58" s="74">
        <v>0</v>
      </c>
      <c r="EB58" s="74">
        <v>0</v>
      </c>
      <c r="EC58" s="74">
        <v>0</v>
      </c>
      <c r="ED58" s="74"/>
      <c r="EE58" s="80">
        <v>46063</v>
      </c>
      <c r="EF58" s="81">
        <v>46063.452990393518</v>
      </c>
      <c r="EG58" s="66" t="s">
        <v>70</v>
      </c>
      <c r="EH58" s="66" t="s">
        <v>209</v>
      </c>
      <c r="EI58" s="66" t="s">
        <v>6</v>
      </c>
      <c r="EJ58" s="66">
        <v>10</v>
      </c>
      <c r="EK58" s="66">
        <v>2027</v>
      </c>
      <c r="EL58" s="66" t="s">
        <v>24</v>
      </c>
      <c r="EM58" s="82">
        <v>241.43667956123221</v>
      </c>
      <c r="EN58" s="82">
        <v>206.2708139959758</v>
      </c>
      <c r="EO58" s="77">
        <v>210.28039999999999</v>
      </c>
      <c r="EP58" s="84">
        <v>0.19403388859999032</v>
      </c>
      <c r="EQ58" s="84">
        <v>0.1985771238014705</v>
      </c>
      <c r="ER58" s="84">
        <v>3.7812199999999997E-2</v>
      </c>
      <c r="ES58" s="85">
        <v>0.97173988520598786</v>
      </c>
      <c r="ET58" s="86">
        <v>1.3944000000000001</v>
      </c>
      <c r="EU58" s="85">
        <v>0.15269873395245903</v>
      </c>
      <c r="EV58" s="85">
        <v>3.6374216079711912E-2</v>
      </c>
      <c r="EW58" s="76">
        <v>2</v>
      </c>
      <c r="EX58" s="76" t="s">
        <v>32</v>
      </c>
      <c r="EY58" s="74" t="s">
        <v>243</v>
      </c>
      <c r="EZ58" s="74"/>
      <c r="FA58" s="74"/>
      <c r="FB58" s="74"/>
      <c r="FC58" s="74"/>
      <c r="FD58" s="68"/>
      <c r="FH58" s="73"/>
      <c r="FI58" s="74"/>
      <c r="FJ58" s="74"/>
      <c r="FK58" s="74"/>
      <c r="FL58" s="74"/>
      <c r="FM58" s="74"/>
      <c r="FN58" s="74"/>
      <c r="FO58" s="74"/>
      <c r="FP58" s="74"/>
      <c r="FQ58" s="74"/>
      <c r="FR58" s="74"/>
      <c r="FS58" s="74"/>
      <c r="FT58" s="74"/>
      <c r="FU58" s="74"/>
      <c r="FV58" s="74"/>
      <c r="FW58" s="74"/>
      <c r="FX58" s="74"/>
      <c r="FY58" s="74"/>
      <c r="FZ58" s="74"/>
      <c r="GA58" s="68"/>
    </row>
    <row r="59" spans="1:183" s="2" customFormat="1" ht="15" x14ac:dyDescent="0.3">
      <c r="A59" s="73" t="s">
        <v>207</v>
      </c>
      <c r="B59" s="73" t="s">
        <v>239</v>
      </c>
      <c r="C59" s="73" t="s">
        <v>225</v>
      </c>
      <c r="D59" s="73" t="s">
        <v>48</v>
      </c>
      <c r="E59" s="73" t="s">
        <v>178</v>
      </c>
      <c r="F59" s="73" t="s">
        <v>210</v>
      </c>
      <c r="G59" s="73" t="s">
        <v>223</v>
      </c>
      <c r="H59" s="73"/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74">
        <v>0</v>
      </c>
      <c r="O59" s="74">
        <v>0</v>
      </c>
      <c r="P59" s="74">
        <v>0</v>
      </c>
      <c r="Q59" s="74">
        <v>10891.217320222588</v>
      </c>
      <c r="R59" s="74">
        <v>10983.300176320929</v>
      </c>
      <c r="S59" s="74">
        <v>11013.133421209612</v>
      </c>
      <c r="T59" s="74">
        <v>11010.615170378049</v>
      </c>
      <c r="U59" s="74">
        <v>11128.555554910985</v>
      </c>
      <c r="V59" s="74">
        <v>0</v>
      </c>
      <c r="W59" s="74">
        <v>0</v>
      </c>
      <c r="X59" s="74">
        <v>0</v>
      </c>
      <c r="Y59" s="74">
        <v>0</v>
      </c>
      <c r="Z59" s="74">
        <v>0</v>
      </c>
      <c r="AA59" s="74">
        <v>0</v>
      </c>
      <c r="AB59" s="74">
        <v>0</v>
      </c>
      <c r="AC59" s="74">
        <v>0</v>
      </c>
      <c r="AD59" s="74">
        <v>0</v>
      </c>
      <c r="AE59" s="74">
        <v>0</v>
      </c>
      <c r="AF59" s="74">
        <v>0</v>
      </c>
      <c r="AG59" s="74">
        <v>0</v>
      </c>
      <c r="AH59" s="74">
        <v>0</v>
      </c>
      <c r="AI59" s="74">
        <v>0</v>
      </c>
      <c r="AJ59" s="74">
        <v>0</v>
      </c>
      <c r="AK59" s="74"/>
      <c r="AL59" s="74">
        <v>0</v>
      </c>
      <c r="AM59" s="74">
        <v>0</v>
      </c>
      <c r="AN59" s="74">
        <v>0</v>
      </c>
      <c r="AO59" s="74">
        <v>0</v>
      </c>
      <c r="AP59" s="74">
        <v>0</v>
      </c>
      <c r="AQ59" s="74">
        <v>0</v>
      </c>
      <c r="AR59" s="74">
        <v>0</v>
      </c>
      <c r="AS59" s="74">
        <v>0</v>
      </c>
      <c r="AT59" s="74">
        <v>0</v>
      </c>
      <c r="AU59" s="74">
        <v>0</v>
      </c>
      <c r="AV59" s="74">
        <v>0</v>
      </c>
      <c r="AW59" s="74">
        <v>0</v>
      </c>
      <c r="AX59" s="74">
        <v>0</v>
      </c>
      <c r="AY59" s="74">
        <v>0</v>
      </c>
      <c r="AZ59" s="74">
        <v>0</v>
      </c>
      <c r="BA59" s="74">
        <v>0</v>
      </c>
      <c r="BB59" s="74">
        <v>0</v>
      </c>
      <c r="BC59" s="74">
        <v>0</v>
      </c>
      <c r="BD59" s="74">
        <v>0</v>
      </c>
      <c r="BE59" s="74">
        <v>0</v>
      </c>
      <c r="BF59" s="74">
        <v>0</v>
      </c>
      <c r="BG59" s="74">
        <v>0</v>
      </c>
      <c r="BH59" s="74">
        <v>0</v>
      </c>
      <c r="BI59" s="74">
        <v>0</v>
      </c>
      <c r="BJ59" s="74">
        <v>0</v>
      </c>
      <c r="BK59" s="74">
        <v>0</v>
      </c>
      <c r="BL59" s="74">
        <v>0</v>
      </c>
      <c r="BM59" s="74">
        <v>0</v>
      </c>
      <c r="BN59" s="74">
        <v>0</v>
      </c>
      <c r="BO59" s="74">
        <v>0</v>
      </c>
      <c r="BP59" s="74">
        <v>0</v>
      </c>
      <c r="BQ59" s="74">
        <v>0</v>
      </c>
      <c r="BR59" s="74">
        <v>0</v>
      </c>
      <c r="BS59" s="74">
        <v>0</v>
      </c>
      <c r="BT59" s="74">
        <v>0</v>
      </c>
      <c r="BU59" s="74">
        <v>0</v>
      </c>
      <c r="BV59" s="74">
        <v>0</v>
      </c>
      <c r="BW59" s="74">
        <v>0</v>
      </c>
      <c r="BX59" s="74">
        <v>0</v>
      </c>
      <c r="BY59" s="74">
        <v>0</v>
      </c>
      <c r="BZ59" s="74">
        <v>0</v>
      </c>
      <c r="CA59" s="74">
        <v>0</v>
      </c>
      <c r="CB59" s="74">
        <v>0</v>
      </c>
      <c r="CC59" s="74">
        <v>0</v>
      </c>
      <c r="CD59" s="74">
        <v>0</v>
      </c>
      <c r="CE59" s="74">
        <v>0</v>
      </c>
      <c r="CF59" s="74">
        <v>0</v>
      </c>
      <c r="CG59" s="74">
        <v>0</v>
      </c>
      <c r="CH59" s="74">
        <v>0</v>
      </c>
      <c r="CI59" s="74">
        <v>0</v>
      </c>
      <c r="CJ59" s="74">
        <v>0</v>
      </c>
      <c r="CK59" s="74">
        <v>0</v>
      </c>
      <c r="CL59" s="74">
        <v>0</v>
      </c>
      <c r="CM59" s="74">
        <v>0</v>
      </c>
      <c r="CN59" s="74">
        <v>0</v>
      </c>
      <c r="CO59" s="74">
        <v>0</v>
      </c>
      <c r="CP59" s="74">
        <v>0</v>
      </c>
      <c r="CQ59" s="74">
        <v>0</v>
      </c>
      <c r="CR59" s="74">
        <v>0</v>
      </c>
      <c r="CS59" s="74">
        <v>0</v>
      </c>
      <c r="CT59" s="74">
        <v>0</v>
      </c>
      <c r="CU59" s="74">
        <v>0</v>
      </c>
      <c r="CV59" s="74">
        <v>0</v>
      </c>
      <c r="CW59" s="74">
        <v>0</v>
      </c>
      <c r="CX59" s="74">
        <v>0</v>
      </c>
      <c r="CY59" s="74">
        <v>0</v>
      </c>
      <c r="CZ59" s="74">
        <v>0</v>
      </c>
      <c r="DA59" s="74">
        <v>0</v>
      </c>
      <c r="DB59" s="74">
        <v>0</v>
      </c>
      <c r="DC59" s="74">
        <v>0</v>
      </c>
      <c r="DD59" s="74">
        <v>0</v>
      </c>
      <c r="DE59" s="74">
        <v>0</v>
      </c>
      <c r="DF59" s="74">
        <v>0</v>
      </c>
      <c r="DG59" s="74">
        <v>0</v>
      </c>
      <c r="DH59" s="74">
        <v>0</v>
      </c>
      <c r="DI59" s="74">
        <v>0</v>
      </c>
      <c r="DJ59" s="74">
        <v>0</v>
      </c>
      <c r="DK59" s="74">
        <v>0</v>
      </c>
      <c r="DL59" s="74">
        <v>0</v>
      </c>
      <c r="DM59" s="74">
        <v>0</v>
      </c>
      <c r="DN59" s="74">
        <v>0</v>
      </c>
      <c r="DO59" s="74">
        <v>0</v>
      </c>
      <c r="DP59" s="74">
        <v>0</v>
      </c>
      <c r="DQ59" s="74">
        <v>0</v>
      </c>
      <c r="DR59" s="74">
        <v>0</v>
      </c>
      <c r="DS59" s="74">
        <v>0</v>
      </c>
      <c r="DT59" s="74">
        <v>0</v>
      </c>
      <c r="DU59" s="74">
        <v>0</v>
      </c>
      <c r="DV59" s="74">
        <v>0</v>
      </c>
      <c r="DW59" s="74">
        <v>0</v>
      </c>
      <c r="DX59" s="74">
        <v>0</v>
      </c>
      <c r="DY59" s="74">
        <v>0</v>
      </c>
      <c r="DZ59" s="74">
        <v>0</v>
      </c>
      <c r="EA59" s="74">
        <v>0</v>
      </c>
      <c r="EB59" s="74">
        <v>0</v>
      </c>
      <c r="EC59" s="74">
        <v>0</v>
      </c>
      <c r="ED59" s="74"/>
      <c r="EE59" s="80">
        <v>46063</v>
      </c>
      <c r="EF59" s="81">
        <v>46063.452990393518</v>
      </c>
      <c r="EG59" s="66" t="s">
        <v>70</v>
      </c>
      <c r="EH59" s="66" t="s">
        <v>209</v>
      </c>
      <c r="EI59" s="66" t="s">
        <v>6</v>
      </c>
      <c r="EJ59" s="66">
        <v>10</v>
      </c>
      <c r="EK59" s="66">
        <v>2027</v>
      </c>
      <c r="EL59" s="66" t="s">
        <v>24</v>
      </c>
      <c r="EM59" s="82">
        <v>241.43667956123221</v>
      </c>
      <c r="EN59" s="82">
        <v>206.2708139959758</v>
      </c>
      <c r="EO59" s="77">
        <v>210.28039999999999</v>
      </c>
      <c r="EP59" s="84">
        <v>0.19403388859999032</v>
      </c>
      <c r="EQ59" s="84">
        <v>0.1985771238014705</v>
      </c>
      <c r="ER59" s="84">
        <v>3.7812199999999997E-2</v>
      </c>
      <c r="ES59" s="85">
        <v>0.97173988520598786</v>
      </c>
      <c r="ET59" s="86">
        <v>1.3944000000000001</v>
      </c>
      <c r="EU59" s="85">
        <v>0.15269873395245903</v>
      </c>
      <c r="EV59" s="85">
        <v>3.6374216079711912E-2</v>
      </c>
      <c r="EW59" s="76">
        <v>2</v>
      </c>
      <c r="EX59" s="76" t="s">
        <v>32</v>
      </c>
      <c r="EY59" s="74" t="s">
        <v>243</v>
      </c>
      <c r="EZ59" s="74"/>
      <c r="FA59" s="74"/>
      <c r="FB59" s="74"/>
      <c r="FC59" s="74"/>
      <c r="FD59" s="68"/>
      <c r="FH59" s="73"/>
      <c r="FI59" s="74"/>
      <c r="FJ59" s="74"/>
      <c r="FK59" s="74"/>
      <c r="FL59" s="74"/>
      <c r="FM59" s="74"/>
      <c r="FN59" s="74"/>
      <c r="FO59" s="74"/>
      <c r="FP59" s="74"/>
      <c r="FQ59" s="74"/>
      <c r="FR59" s="74"/>
      <c r="FS59" s="74"/>
      <c r="FT59" s="74"/>
      <c r="FU59" s="74"/>
      <c r="FV59" s="74"/>
      <c r="FW59" s="74"/>
      <c r="FX59" s="74"/>
      <c r="FY59" s="74"/>
      <c r="FZ59" s="74"/>
      <c r="GA59" s="68"/>
    </row>
    <row r="60" spans="1:183" s="2" customFormat="1" ht="15" x14ac:dyDescent="0.3">
      <c r="A60" s="73" t="s">
        <v>208</v>
      </c>
      <c r="B60" s="73" t="s">
        <v>240</v>
      </c>
      <c r="C60" s="73" t="s">
        <v>226</v>
      </c>
      <c r="D60" s="73" t="s">
        <v>48</v>
      </c>
      <c r="E60" s="73" t="s">
        <v>178</v>
      </c>
      <c r="F60" s="73" t="s">
        <v>210</v>
      </c>
      <c r="G60" s="73" t="s">
        <v>223</v>
      </c>
      <c r="H60" s="73"/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74">
        <v>0</v>
      </c>
      <c r="P60" s="74">
        <v>0</v>
      </c>
      <c r="Q60" s="74">
        <v>84854.39682539682</v>
      </c>
      <c r="R60" s="74">
        <v>104484.81132075471</v>
      </c>
      <c r="S60" s="74">
        <v>128497.92592592591</v>
      </c>
      <c r="T60" s="74">
        <v>153778</v>
      </c>
      <c r="U60" s="74">
        <v>182041.33333333334</v>
      </c>
      <c r="V60" s="74">
        <v>0</v>
      </c>
      <c r="W60" s="74">
        <v>0</v>
      </c>
      <c r="X60" s="74">
        <v>0</v>
      </c>
      <c r="Y60" s="74">
        <v>0</v>
      </c>
      <c r="Z60" s="74">
        <v>0</v>
      </c>
      <c r="AA60" s="74">
        <v>0</v>
      </c>
      <c r="AB60" s="74">
        <v>0</v>
      </c>
      <c r="AC60" s="74">
        <v>0</v>
      </c>
      <c r="AD60" s="74">
        <v>0</v>
      </c>
      <c r="AE60" s="74">
        <v>0</v>
      </c>
      <c r="AF60" s="74">
        <v>0</v>
      </c>
      <c r="AG60" s="74">
        <v>0</v>
      </c>
      <c r="AH60" s="74">
        <v>0</v>
      </c>
      <c r="AI60" s="74">
        <v>0</v>
      </c>
      <c r="AJ60" s="74">
        <v>0</v>
      </c>
      <c r="AK60" s="74"/>
      <c r="AL60" s="74">
        <v>0</v>
      </c>
      <c r="AM60" s="74">
        <v>0</v>
      </c>
      <c r="AN60" s="74">
        <v>0</v>
      </c>
      <c r="AO60" s="74">
        <v>0</v>
      </c>
      <c r="AP60" s="74">
        <v>0</v>
      </c>
      <c r="AQ60" s="74">
        <v>0</v>
      </c>
      <c r="AR60" s="74">
        <v>0</v>
      </c>
      <c r="AS60" s="74">
        <v>0</v>
      </c>
      <c r="AT60" s="74">
        <v>0</v>
      </c>
      <c r="AU60" s="74">
        <v>0</v>
      </c>
      <c r="AV60" s="74">
        <v>0</v>
      </c>
      <c r="AW60" s="74">
        <v>0</v>
      </c>
      <c r="AX60" s="74">
        <v>0</v>
      </c>
      <c r="AY60" s="74">
        <v>0</v>
      </c>
      <c r="AZ60" s="74">
        <v>0</v>
      </c>
      <c r="BA60" s="74">
        <v>0</v>
      </c>
      <c r="BB60" s="74">
        <v>0</v>
      </c>
      <c r="BC60" s="74">
        <v>0</v>
      </c>
      <c r="BD60" s="74">
        <v>0</v>
      </c>
      <c r="BE60" s="74">
        <v>0</v>
      </c>
      <c r="BF60" s="74">
        <v>0</v>
      </c>
      <c r="BG60" s="74">
        <v>0</v>
      </c>
      <c r="BH60" s="74">
        <v>0</v>
      </c>
      <c r="BI60" s="74">
        <v>0</v>
      </c>
      <c r="BJ60" s="74">
        <v>0</v>
      </c>
      <c r="BK60" s="74">
        <v>0</v>
      </c>
      <c r="BL60" s="74">
        <v>0</v>
      </c>
      <c r="BM60" s="74">
        <v>0</v>
      </c>
      <c r="BN60" s="74">
        <v>0</v>
      </c>
      <c r="BO60" s="74">
        <v>0</v>
      </c>
      <c r="BP60" s="74">
        <v>0</v>
      </c>
      <c r="BQ60" s="74">
        <v>0</v>
      </c>
      <c r="BR60" s="74">
        <v>0</v>
      </c>
      <c r="BS60" s="74">
        <v>0</v>
      </c>
      <c r="BT60" s="74">
        <v>0</v>
      </c>
      <c r="BU60" s="74">
        <v>0</v>
      </c>
      <c r="BV60" s="74">
        <v>0</v>
      </c>
      <c r="BW60" s="74">
        <v>0</v>
      </c>
      <c r="BX60" s="74">
        <v>0</v>
      </c>
      <c r="BY60" s="74">
        <v>0</v>
      </c>
      <c r="BZ60" s="74">
        <v>0</v>
      </c>
      <c r="CA60" s="74">
        <v>0</v>
      </c>
      <c r="CB60" s="74">
        <v>0</v>
      </c>
      <c r="CC60" s="74">
        <v>0</v>
      </c>
      <c r="CD60" s="74">
        <v>0</v>
      </c>
      <c r="CE60" s="74">
        <v>0</v>
      </c>
      <c r="CF60" s="74">
        <v>0</v>
      </c>
      <c r="CG60" s="74">
        <v>0</v>
      </c>
      <c r="CH60" s="74">
        <v>0</v>
      </c>
      <c r="CI60" s="74">
        <v>0</v>
      </c>
      <c r="CJ60" s="74">
        <v>0</v>
      </c>
      <c r="CK60" s="74">
        <v>0</v>
      </c>
      <c r="CL60" s="74">
        <v>0</v>
      </c>
      <c r="CM60" s="74">
        <v>0</v>
      </c>
      <c r="CN60" s="74">
        <v>0</v>
      </c>
      <c r="CO60" s="74">
        <v>0</v>
      </c>
      <c r="CP60" s="74">
        <v>0</v>
      </c>
      <c r="CQ60" s="74">
        <v>0</v>
      </c>
      <c r="CR60" s="74">
        <v>0</v>
      </c>
      <c r="CS60" s="74">
        <v>0</v>
      </c>
      <c r="CT60" s="74">
        <v>0</v>
      </c>
      <c r="CU60" s="74">
        <v>0</v>
      </c>
      <c r="CV60" s="74">
        <v>0</v>
      </c>
      <c r="CW60" s="74">
        <v>0</v>
      </c>
      <c r="CX60" s="74">
        <v>0</v>
      </c>
      <c r="CY60" s="74">
        <v>0</v>
      </c>
      <c r="CZ60" s="74">
        <v>0</v>
      </c>
      <c r="DA60" s="74">
        <v>0</v>
      </c>
      <c r="DB60" s="74">
        <v>0</v>
      </c>
      <c r="DC60" s="74">
        <v>0</v>
      </c>
      <c r="DD60" s="74">
        <v>0</v>
      </c>
      <c r="DE60" s="74">
        <v>0</v>
      </c>
      <c r="DF60" s="74">
        <v>0</v>
      </c>
      <c r="DG60" s="74">
        <v>0</v>
      </c>
      <c r="DH60" s="74">
        <v>0</v>
      </c>
      <c r="DI60" s="74">
        <v>0</v>
      </c>
      <c r="DJ60" s="74">
        <v>0</v>
      </c>
      <c r="DK60" s="74">
        <v>0</v>
      </c>
      <c r="DL60" s="74">
        <v>0</v>
      </c>
      <c r="DM60" s="74">
        <v>0</v>
      </c>
      <c r="DN60" s="74">
        <v>0</v>
      </c>
      <c r="DO60" s="74">
        <v>0</v>
      </c>
      <c r="DP60" s="74">
        <v>0</v>
      </c>
      <c r="DQ60" s="74">
        <v>0</v>
      </c>
      <c r="DR60" s="74">
        <v>0</v>
      </c>
      <c r="DS60" s="74">
        <v>0</v>
      </c>
      <c r="DT60" s="74">
        <v>0</v>
      </c>
      <c r="DU60" s="74">
        <v>0</v>
      </c>
      <c r="DV60" s="74">
        <v>0</v>
      </c>
      <c r="DW60" s="74">
        <v>0</v>
      </c>
      <c r="DX60" s="74">
        <v>0</v>
      </c>
      <c r="DY60" s="74">
        <v>0</v>
      </c>
      <c r="DZ60" s="74">
        <v>0</v>
      </c>
      <c r="EA60" s="74">
        <v>0</v>
      </c>
      <c r="EB60" s="74">
        <v>0</v>
      </c>
      <c r="EC60" s="74">
        <v>0</v>
      </c>
      <c r="ED60" s="74"/>
      <c r="EE60" s="80">
        <v>46063</v>
      </c>
      <c r="EF60" s="81">
        <v>46063.452990393518</v>
      </c>
      <c r="EG60" s="66" t="s">
        <v>70</v>
      </c>
      <c r="EH60" s="66" t="s">
        <v>209</v>
      </c>
      <c r="EI60" s="66" t="s">
        <v>6</v>
      </c>
      <c r="EJ60" s="66">
        <v>10</v>
      </c>
      <c r="EK60" s="66">
        <v>2027</v>
      </c>
      <c r="EL60" s="66" t="s">
        <v>24</v>
      </c>
      <c r="EM60" s="82">
        <v>241.43667956123221</v>
      </c>
      <c r="EN60" s="82">
        <v>206.2708139959758</v>
      </c>
      <c r="EO60" s="77">
        <v>210.28039999999999</v>
      </c>
      <c r="EP60" s="84">
        <v>0.19403388859999032</v>
      </c>
      <c r="EQ60" s="84">
        <v>0.1985771238014705</v>
      </c>
      <c r="ER60" s="84">
        <v>3.7812199999999997E-2</v>
      </c>
      <c r="ES60" s="85">
        <v>0.97173988520598786</v>
      </c>
      <c r="ET60" s="86">
        <v>1.3944000000000001</v>
      </c>
      <c r="EU60" s="85">
        <v>0.15269873395245903</v>
      </c>
      <c r="EV60" s="85">
        <v>3.6374216079711912E-2</v>
      </c>
      <c r="EW60" s="76">
        <v>2</v>
      </c>
      <c r="EX60" s="76" t="s">
        <v>32</v>
      </c>
      <c r="EY60" s="74" t="s">
        <v>243</v>
      </c>
      <c r="EZ60" s="74"/>
      <c r="FA60" s="74"/>
      <c r="FB60" s="74"/>
      <c r="FC60" s="74"/>
      <c r="FD60" s="68"/>
      <c r="FH60" s="73"/>
      <c r="FI60" s="74"/>
      <c r="FJ60" s="74"/>
      <c r="FK60" s="74"/>
      <c r="FL60" s="74"/>
      <c r="FM60" s="74"/>
      <c r="FN60" s="74"/>
      <c r="FO60" s="74"/>
      <c r="FP60" s="74"/>
      <c r="FQ60" s="74"/>
      <c r="FR60" s="74"/>
      <c r="FS60" s="74"/>
      <c r="FT60" s="74"/>
      <c r="FU60" s="74"/>
      <c r="FV60" s="74"/>
      <c r="FW60" s="74"/>
      <c r="FX60" s="74"/>
      <c r="FY60" s="74"/>
      <c r="FZ60" s="74"/>
      <c r="GA60" s="68"/>
    </row>
    <row r="61" spans="1:183" s="2" customFormat="1" ht="15" x14ac:dyDescent="0.3">
      <c r="A61" s="73" t="s">
        <v>49</v>
      </c>
      <c r="B61" s="73" t="s">
        <v>50</v>
      </c>
      <c r="C61" s="73" t="s">
        <v>222</v>
      </c>
      <c r="D61" s="73" t="s">
        <v>45</v>
      </c>
      <c r="E61" s="73" t="s">
        <v>178</v>
      </c>
      <c r="F61" s="73" t="s">
        <v>210</v>
      </c>
      <c r="G61" s="73" t="s">
        <v>227</v>
      </c>
      <c r="H61" s="73"/>
      <c r="I61" s="74">
        <v>0</v>
      </c>
      <c r="J61" s="74">
        <v>0</v>
      </c>
      <c r="K61" s="74">
        <v>0</v>
      </c>
      <c r="L61" s="74">
        <v>0</v>
      </c>
      <c r="M61" s="74">
        <v>307464.71000000002</v>
      </c>
      <c r="N61" s="74">
        <v>353785.60000000009</v>
      </c>
      <c r="O61" s="74">
        <v>390473.88</v>
      </c>
      <c r="P61" s="74">
        <v>423912</v>
      </c>
      <c r="Q61" s="74">
        <v>473198.55</v>
      </c>
      <c r="R61" s="74">
        <v>520518.40500000003</v>
      </c>
      <c r="S61" s="74">
        <v>598596.16575000004</v>
      </c>
      <c r="T61" s="74">
        <v>688385.59061249997</v>
      </c>
      <c r="U61" s="74">
        <v>0</v>
      </c>
      <c r="V61" s="74">
        <v>0</v>
      </c>
      <c r="W61" s="74">
        <v>0</v>
      </c>
      <c r="X61" s="74">
        <v>0</v>
      </c>
      <c r="Y61" s="74">
        <v>0</v>
      </c>
      <c r="Z61" s="74">
        <v>0</v>
      </c>
      <c r="AA61" s="74">
        <v>0</v>
      </c>
      <c r="AB61" s="74">
        <v>0</v>
      </c>
      <c r="AC61" s="74">
        <v>0</v>
      </c>
      <c r="AD61" s="74">
        <v>0</v>
      </c>
      <c r="AE61" s="74">
        <v>0</v>
      </c>
      <c r="AF61" s="74">
        <v>0</v>
      </c>
      <c r="AG61" s="74">
        <v>0</v>
      </c>
      <c r="AH61" s="74">
        <v>0</v>
      </c>
      <c r="AI61" s="74">
        <v>0</v>
      </c>
      <c r="AJ61" s="74">
        <v>0</v>
      </c>
      <c r="AK61" s="74"/>
      <c r="AL61" s="74">
        <v>68227.960000000006</v>
      </c>
      <c r="AM61" s="74">
        <v>71603</v>
      </c>
      <c r="AN61" s="74">
        <v>75390.549999999988</v>
      </c>
      <c r="AO61" s="74">
        <v>92243.200000000012</v>
      </c>
      <c r="AP61" s="74">
        <v>77553.280000000013</v>
      </c>
      <c r="AQ61" s="74">
        <v>83361.600000000006</v>
      </c>
      <c r="AR61" s="74">
        <v>88304.16</v>
      </c>
      <c r="AS61" s="74">
        <v>104566.56000000001</v>
      </c>
      <c r="AT61" s="74">
        <v>86106.72</v>
      </c>
      <c r="AU61" s="74">
        <v>91626.060000000012</v>
      </c>
      <c r="AV61" s="74">
        <v>96675.700000000012</v>
      </c>
      <c r="AW61" s="74">
        <v>116065.40000000001</v>
      </c>
      <c r="AX61" s="74">
        <v>92384.87000000001</v>
      </c>
      <c r="AY61" s="74">
        <v>98135.97</v>
      </c>
      <c r="AZ61" s="74">
        <v>105090.70000000001</v>
      </c>
      <c r="BA61" s="74">
        <v>128300.46</v>
      </c>
      <c r="BB61" s="74">
        <v>103104.57</v>
      </c>
      <c r="BC61" s="74">
        <v>111075.48000000001</v>
      </c>
      <c r="BD61" s="74">
        <v>117956.37000000001</v>
      </c>
      <c r="BE61" s="74">
        <v>141062.13</v>
      </c>
      <c r="BF61" s="74">
        <v>118570.2555</v>
      </c>
      <c r="BG61" s="74">
        <v>127736.802</v>
      </c>
      <c r="BH61" s="74">
        <v>135649.82550000001</v>
      </c>
      <c r="BI61" s="74">
        <v>162221.44949999999</v>
      </c>
      <c r="BJ61" s="74">
        <v>130767.55950944788</v>
      </c>
      <c r="BK61" s="74">
        <v>140982.46704285147</v>
      </c>
      <c r="BL61" s="74">
        <v>149841.11608256772</v>
      </c>
      <c r="BM61" s="74">
        <v>179781.84417599923</v>
      </c>
      <c r="BN61" s="74">
        <v>144219.59831280782</v>
      </c>
      <c r="BO61" s="74">
        <v>155601.64104851082</v>
      </c>
      <c r="BP61" s="74">
        <v>165517.05824987983</v>
      </c>
      <c r="BQ61" s="74">
        <v>199243.14321530747</v>
      </c>
      <c r="BR61" s="74">
        <v>0</v>
      </c>
      <c r="BS61" s="74">
        <v>0</v>
      </c>
      <c r="BT61" s="74">
        <v>0</v>
      </c>
      <c r="BU61" s="74">
        <v>0</v>
      </c>
      <c r="BV61" s="74">
        <v>0</v>
      </c>
      <c r="BW61" s="74">
        <v>0</v>
      </c>
      <c r="BX61" s="74">
        <v>0</v>
      </c>
      <c r="BY61" s="74">
        <v>0</v>
      </c>
      <c r="BZ61" s="74">
        <v>0</v>
      </c>
      <c r="CA61" s="74">
        <v>0</v>
      </c>
      <c r="CB61" s="74">
        <v>0</v>
      </c>
      <c r="CC61" s="74">
        <v>0</v>
      </c>
      <c r="CD61" s="74">
        <v>0</v>
      </c>
      <c r="CE61" s="74">
        <v>0</v>
      </c>
      <c r="CF61" s="74">
        <v>0</v>
      </c>
      <c r="CG61" s="74">
        <v>0</v>
      </c>
      <c r="CH61" s="74">
        <v>0</v>
      </c>
      <c r="CI61" s="74">
        <v>0</v>
      </c>
      <c r="CJ61" s="74">
        <v>0</v>
      </c>
      <c r="CK61" s="74">
        <v>0</v>
      </c>
      <c r="CL61" s="74">
        <v>0</v>
      </c>
      <c r="CM61" s="74">
        <v>0</v>
      </c>
      <c r="CN61" s="74">
        <v>0</v>
      </c>
      <c r="CO61" s="74">
        <v>0</v>
      </c>
      <c r="CP61" s="74">
        <v>0</v>
      </c>
      <c r="CQ61" s="74">
        <v>0</v>
      </c>
      <c r="CR61" s="74">
        <v>0</v>
      </c>
      <c r="CS61" s="74">
        <v>0</v>
      </c>
      <c r="CT61" s="74">
        <v>0</v>
      </c>
      <c r="CU61" s="74">
        <v>0</v>
      </c>
      <c r="CV61" s="74">
        <v>0</v>
      </c>
      <c r="CW61" s="74">
        <v>0</v>
      </c>
      <c r="CX61" s="74">
        <v>0</v>
      </c>
      <c r="CY61" s="74">
        <v>0</v>
      </c>
      <c r="CZ61" s="74">
        <v>0</v>
      </c>
      <c r="DA61" s="74">
        <v>0</v>
      </c>
      <c r="DB61" s="74">
        <v>0</v>
      </c>
      <c r="DC61" s="74">
        <v>0</v>
      </c>
      <c r="DD61" s="74">
        <v>0</v>
      </c>
      <c r="DE61" s="74">
        <v>0</v>
      </c>
      <c r="DF61" s="74">
        <v>0</v>
      </c>
      <c r="DG61" s="74">
        <v>0</v>
      </c>
      <c r="DH61" s="74">
        <v>0</v>
      </c>
      <c r="DI61" s="74">
        <v>0</v>
      </c>
      <c r="DJ61" s="74">
        <v>0</v>
      </c>
      <c r="DK61" s="74">
        <v>0</v>
      </c>
      <c r="DL61" s="74">
        <v>0</v>
      </c>
      <c r="DM61" s="74">
        <v>0</v>
      </c>
      <c r="DN61" s="74">
        <v>0</v>
      </c>
      <c r="DO61" s="74">
        <v>0</v>
      </c>
      <c r="DP61" s="74">
        <v>0</v>
      </c>
      <c r="DQ61" s="74">
        <v>0</v>
      </c>
      <c r="DR61" s="74">
        <v>0</v>
      </c>
      <c r="DS61" s="74">
        <v>0</v>
      </c>
      <c r="DT61" s="74">
        <v>0</v>
      </c>
      <c r="DU61" s="74">
        <v>0</v>
      </c>
      <c r="DV61" s="74">
        <v>0</v>
      </c>
      <c r="DW61" s="74">
        <v>0</v>
      </c>
      <c r="DX61" s="74">
        <v>0</v>
      </c>
      <c r="DY61" s="74">
        <v>0</v>
      </c>
      <c r="DZ61" s="74">
        <v>0</v>
      </c>
      <c r="EA61" s="74">
        <v>0</v>
      </c>
      <c r="EB61" s="74">
        <v>0</v>
      </c>
      <c r="EC61" s="74">
        <v>0</v>
      </c>
      <c r="ED61" s="74"/>
      <c r="EE61" s="80">
        <v>46063</v>
      </c>
      <c r="EF61" s="81">
        <v>46063.452990393518</v>
      </c>
      <c r="EG61" s="66" t="s">
        <v>70</v>
      </c>
      <c r="EH61" s="66" t="s">
        <v>209</v>
      </c>
      <c r="EI61" s="66" t="s">
        <v>6</v>
      </c>
      <c r="EJ61" s="66">
        <v>10</v>
      </c>
      <c r="EK61" s="66">
        <v>2027</v>
      </c>
      <c r="EL61" s="66" t="s">
        <v>24</v>
      </c>
      <c r="EM61" s="82">
        <v>241.43667956123221</v>
      </c>
      <c r="EN61" s="82">
        <v>206.2708139959758</v>
      </c>
      <c r="EO61" s="77">
        <v>210.28039999999999</v>
      </c>
      <c r="EP61" s="84">
        <v>0.19403388859999032</v>
      </c>
      <c r="EQ61" s="84">
        <v>0.1985771238014705</v>
      </c>
      <c r="ER61" s="84">
        <v>3.7812199999999997E-2</v>
      </c>
      <c r="ES61" s="85">
        <v>0.97173988520598786</v>
      </c>
      <c r="ET61" s="86">
        <v>1.3944000000000001</v>
      </c>
      <c r="EU61" s="85">
        <v>0.15269873395245903</v>
      </c>
      <c r="EV61" s="85">
        <v>3.6374216079711912E-2</v>
      </c>
      <c r="EW61" s="76">
        <v>2</v>
      </c>
      <c r="EX61" s="76" t="s">
        <v>32</v>
      </c>
      <c r="EY61" s="74" t="s">
        <v>243</v>
      </c>
      <c r="EZ61" s="74"/>
      <c r="FA61" s="74"/>
      <c r="FB61" s="74"/>
      <c r="FC61" s="74"/>
      <c r="FD61" s="68"/>
      <c r="FH61" s="73"/>
      <c r="FI61" s="74"/>
      <c r="FJ61" s="74"/>
      <c r="FK61" s="74"/>
      <c r="FL61" s="74"/>
      <c r="FM61" s="74"/>
      <c r="FN61" s="74"/>
      <c r="FO61" s="74"/>
      <c r="FP61" s="74"/>
      <c r="FQ61" s="74"/>
      <c r="FR61" s="74"/>
      <c r="FS61" s="74"/>
      <c r="FT61" s="74"/>
      <c r="FU61" s="74"/>
      <c r="FV61" s="74"/>
      <c r="FW61" s="74"/>
      <c r="FX61" s="74"/>
      <c r="FY61" s="74"/>
      <c r="FZ61" s="74"/>
      <c r="GA61" s="68"/>
    </row>
    <row r="62" spans="1:183" s="2" customFormat="1" ht="15" x14ac:dyDescent="0.3">
      <c r="A62" s="73" t="s">
        <v>29</v>
      </c>
      <c r="B62" s="73" t="s">
        <v>51</v>
      </c>
      <c r="C62" s="73" t="s">
        <v>224</v>
      </c>
      <c r="D62" s="73" t="s">
        <v>46</v>
      </c>
      <c r="E62" s="73" t="s">
        <v>178</v>
      </c>
      <c r="F62" s="73" t="s">
        <v>210</v>
      </c>
      <c r="G62" s="73" t="s">
        <v>227</v>
      </c>
      <c r="H62" s="73"/>
      <c r="I62" s="74">
        <v>0</v>
      </c>
      <c r="J62" s="74">
        <v>0</v>
      </c>
      <c r="K62" s="74">
        <v>0</v>
      </c>
      <c r="L62" s="74">
        <v>0</v>
      </c>
      <c r="M62" s="74">
        <v>121932.95999999999</v>
      </c>
      <c r="N62" s="74">
        <v>126327.24</v>
      </c>
      <c r="O62" s="74">
        <v>146048.72000000003</v>
      </c>
      <c r="P62" s="74">
        <v>158889.74000000002</v>
      </c>
      <c r="Q62" s="74">
        <v>185899.68000000002</v>
      </c>
      <c r="R62" s="74">
        <v>208207.64160000003</v>
      </c>
      <c r="S62" s="74">
        <v>249849.16992000001</v>
      </c>
      <c r="T62" s="74">
        <v>299819.00390399998</v>
      </c>
      <c r="U62" s="74">
        <v>0</v>
      </c>
      <c r="V62" s="74">
        <v>0</v>
      </c>
      <c r="W62" s="74">
        <v>0</v>
      </c>
      <c r="X62" s="74">
        <v>0</v>
      </c>
      <c r="Y62" s="74">
        <v>0</v>
      </c>
      <c r="Z62" s="74">
        <v>0</v>
      </c>
      <c r="AA62" s="74">
        <v>0</v>
      </c>
      <c r="AB62" s="74">
        <v>0</v>
      </c>
      <c r="AC62" s="74">
        <v>0</v>
      </c>
      <c r="AD62" s="74">
        <v>0</v>
      </c>
      <c r="AE62" s="74">
        <v>0</v>
      </c>
      <c r="AF62" s="74">
        <v>0</v>
      </c>
      <c r="AG62" s="74">
        <v>0</v>
      </c>
      <c r="AH62" s="74">
        <v>0</v>
      </c>
      <c r="AI62" s="74">
        <v>0</v>
      </c>
      <c r="AJ62" s="74">
        <v>0</v>
      </c>
      <c r="AK62" s="74"/>
      <c r="AL62" s="74">
        <v>28503.57</v>
      </c>
      <c r="AM62" s="74">
        <v>28570.53</v>
      </c>
      <c r="AN62" s="74">
        <v>32059.500000000004</v>
      </c>
      <c r="AO62" s="74">
        <v>32799.360000000001</v>
      </c>
      <c r="AP62" s="74">
        <v>30196.95</v>
      </c>
      <c r="AQ62" s="74">
        <v>28418.25</v>
      </c>
      <c r="AR62" s="74">
        <v>30492.000000000004</v>
      </c>
      <c r="AS62" s="74">
        <v>37220.04</v>
      </c>
      <c r="AT62" s="74">
        <v>33491.449999999997</v>
      </c>
      <c r="AU62" s="74">
        <v>33260.640000000007</v>
      </c>
      <c r="AV62" s="74">
        <v>35029.33</v>
      </c>
      <c r="AW62" s="74">
        <v>44267.3</v>
      </c>
      <c r="AX62" s="74">
        <v>33531.75</v>
      </c>
      <c r="AY62" s="74">
        <v>34512.670000000006</v>
      </c>
      <c r="AZ62" s="74">
        <v>40912.320000000007</v>
      </c>
      <c r="BA62" s="74">
        <v>49932.999999999993</v>
      </c>
      <c r="BB62" s="74">
        <v>39545.339999999997</v>
      </c>
      <c r="BC62" s="74">
        <v>41907.540000000008</v>
      </c>
      <c r="BD62" s="74">
        <v>46621.440000000002</v>
      </c>
      <c r="BE62" s="74">
        <v>57825.360000000008</v>
      </c>
      <c r="BF62" s="74">
        <v>47454.407999999996</v>
      </c>
      <c r="BG62" s="74">
        <v>50289.04800000001</v>
      </c>
      <c r="BH62" s="74">
        <v>55945.728000000003</v>
      </c>
      <c r="BI62" s="74">
        <v>69390.432000000001</v>
      </c>
      <c r="BJ62" s="74">
        <v>49937.071313848239</v>
      </c>
      <c r="BK62" s="74">
        <v>55692.901282236395</v>
      </c>
      <c r="BL62" s="74">
        <v>63688.7607139881</v>
      </c>
      <c r="BM62" s="74">
        <v>78931.991880574074</v>
      </c>
      <c r="BN62" s="74">
        <v>52549.619656078416</v>
      </c>
      <c r="BO62" s="74">
        <v>61677.430307150134</v>
      </c>
      <c r="BP62" s="74">
        <v>72503.449079858852</v>
      </c>
      <c r="BQ62" s="74">
        <v>89785.567875337802</v>
      </c>
      <c r="BR62" s="74">
        <v>0</v>
      </c>
      <c r="BS62" s="74">
        <v>0</v>
      </c>
      <c r="BT62" s="74">
        <v>0</v>
      </c>
      <c r="BU62" s="74">
        <v>0</v>
      </c>
      <c r="BV62" s="74">
        <v>0</v>
      </c>
      <c r="BW62" s="74">
        <v>0</v>
      </c>
      <c r="BX62" s="74">
        <v>0</v>
      </c>
      <c r="BY62" s="74">
        <v>0</v>
      </c>
      <c r="BZ62" s="74">
        <v>0</v>
      </c>
      <c r="CA62" s="74">
        <v>0</v>
      </c>
      <c r="CB62" s="74">
        <v>0</v>
      </c>
      <c r="CC62" s="74">
        <v>0</v>
      </c>
      <c r="CD62" s="74">
        <v>0</v>
      </c>
      <c r="CE62" s="74">
        <v>0</v>
      </c>
      <c r="CF62" s="74">
        <v>0</v>
      </c>
      <c r="CG62" s="74">
        <v>0</v>
      </c>
      <c r="CH62" s="74">
        <v>0</v>
      </c>
      <c r="CI62" s="74">
        <v>0</v>
      </c>
      <c r="CJ62" s="74">
        <v>0</v>
      </c>
      <c r="CK62" s="74">
        <v>0</v>
      </c>
      <c r="CL62" s="74">
        <v>0</v>
      </c>
      <c r="CM62" s="74">
        <v>0</v>
      </c>
      <c r="CN62" s="74">
        <v>0</v>
      </c>
      <c r="CO62" s="74">
        <v>0</v>
      </c>
      <c r="CP62" s="74">
        <v>0</v>
      </c>
      <c r="CQ62" s="74">
        <v>0</v>
      </c>
      <c r="CR62" s="74">
        <v>0</v>
      </c>
      <c r="CS62" s="74">
        <v>0</v>
      </c>
      <c r="CT62" s="74">
        <v>0</v>
      </c>
      <c r="CU62" s="74">
        <v>0</v>
      </c>
      <c r="CV62" s="74">
        <v>0</v>
      </c>
      <c r="CW62" s="74">
        <v>0</v>
      </c>
      <c r="CX62" s="74">
        <v>0</v>
      </c>
      <c r="CY62" s="74">
        <v>0</v>
      </c>
      <c r="CZ62" s="74">
        <v>0</v>
      </c>
      <c r="DA62" s="74">
        <v>0</v>
      </c>
      <c r="DB62" s="74">
        <v>0</v>
      </c>
      <c r="DC62" s="74">
        <v>0</v>
      </c>
      <c r="DD62" s="74">
        <v>0</v>
      </c>
      <c r="DE62" s="74">
        <v>0</v>
      </c>
      <c r="DF62" s="74">
        <v>0</v>
      </c>
      <c r="DG62" s="74">
        <v>0</v>
      </c>
      <c r="DH62" s="74">
        <v>0</v>
      </c>
      <c r="DI62" s="74">
        <v>0</v>
      </c>
      <c r="DJ62" s="74">
        <v>0</v>
      </c>
      <c r="DK62" s="74">
        <v>0</v>
      </c>
      <c r="DL62" s="74">
        <v>0</v>
      </c>
      <c r="DM62" s="74">
        <v>0</v>
      </c>
      <c r="DN62" s="74">
        <v>0</v>
      </c>
      <c r="DO62" s="74">
        <v>0</v>
      </c>
      <c r="DP62" s="74">
        <v>0</v>
      </c>
      <c r="DQ62" s="74">
        <v>0</v>
      </c>
      <c r="DR62" s="74">
        <v>0</v>
      </c>
      <c r="DS62" s="74">
        <v>0</v>
      </c>
      <c r="DT62" s="74">
        <v>0</v>
      </c>
      <c r="DU62" s="74">
        <v>0</v>
      </c>
      <c r="DV62" s="74">
        <v>0</v>
      </c>
      <c r="DW62" s="74">
        <v>0</v>
      </c>
      <c r="DX62" s="74">
        <v>0</v>
      </c>
      <c r="DY62" s="74">
        <v>0</v>
      </c>
      <c r="DZ62" s="74">
        <v>0</v>
      </c>
      <c r="EA62" s="74">
        <v>0</v>
      </c>
      <c r="EB62" s="74">
        <v>0</v>
      </c>
      <c r="EC62" s="74">
        <v>0</v>
      </c>
      <c r="ED62" s="74"/>
      <c r="EE62" s="80">
        <v>46063</v>
      </c>
      <c r="EF62" s="81">
        <v>46063.452990393518</v>
      </c>
      <c r="EG62" s="66" t="s">
        <v>70</v>
      </c>
      <c r="EH62" s="66" t="s">
        <v>209</v>
      </c>
      <c r="EI62" s="66" t="s">
        <v>6</v>
      </c>
      <c r="EJ62" s="66">
        <v>10</v>
      </c>
      <c r="EK62" s="66">
        <v>2027</v>
      </c>
      <c r="EL62" s="66" t="s">
        <v>24</v>
      </c>
      <c r="EM62" s="82">
        <v>241.43667956123221</v>
      </c>
      <c r="EN62" s="82">
        <v>206.2708139959758</v>
      </c>
      <c r="EO62" s="77">
        <v>210.28039999999999</v>
      </c>
      <c r="EP62" s="84">
        <v>0.19403388859999032</v>
      </c>
      <c r="EQ62" s="84">
        <v>0.1985771238014705</v>
      </c>
      <c r="ER62" s="84">
        <v>3.7812199999999997E-2</v>
      </c>
      <c r="ES62" s="85">
        <v>0.97173988520598786</v>
      </c>
      <c r="ET62" s="86">
        <v>1.3944000000000001</v>
      </c>
      <c r="EU62" s="85">
        <v>0.15269873395245903</v>
      </c>
      <c r="EV62" s="85">
        <v>3.6374216079711912E-2</v>
      </c>
      <c r="EW62" s="76">
        <v>2</v>
      </c>
      <c r="EX62" s="76" t="s">
        <v>32</v>
      </c>
      <c r="EY62" s="74" t="s">
        <v>243</v>
      </c>
      <c r="EZ62" s="74"/>
      <c r="FA62" s="74"/>
      <c r="FB62" s="74"/>
      <c r="FC62" s="74"/>
      <c r="FD62" s="68"/>
      <c r="FH62" s="73"/>
      <c r="FI62" s="74"/>
      <c r="FJ62" s="74"/>
      <c r="FK62" s="74"/>
      <c r="FL62" s="74"/>
      <c r="FM62" s="74"/>
      <c r="FN62" s="74"/>
      <c r="FO62" s="74"/>
      <c r="FP62" s="74"/>
      <c r="FQ62" s="74"/>
      <c r="FR62" s="74"/>
      <c r="FS62" s="74"/>
      <c r="FT62" s="74"/>
      <c r="FU62" s="74"/>
      <c r="FV62" s="74"/>
      <c r="FW62" s="74"/>
      <c r="FX62" s="74"/>
      <c r="FY62" s="74"/>
      <c r="FZ62" s="74"/>
      <c r="GA62" s="68"/>
    </row>
    <row r="63" spans="1:183" s="2" customFormat="1" ht="15" x14ac:dyDescent="0.3">
      <c r="A63" s="73" t="s">
        <v>28</v>
      </c>
      <c r="B63" s="73" t="s">
        <v>27</v>
      </c>
      <c r="C63" s="73" t="s">
        <v>225</v>
      </c>
      <c r="D63" s="73" t="s">
        <v>44</v>
      </c>
      <c r="E63" s="73" t="s">
        <v>178</v>
      </c>
      <c r="F63" s="73" t="s">
        <v>210</v>
      </c>
      <c r="G63" s="73" t="s">
        <v>227</v>
      </c>
      <c r="H63" s="73"/>
      <c r="I63" s="74">
        <v>0</v>
      </c>
      <c r="J63" s="74">
        <v>0</v>
      </c>
      <c r="K63" s="74">
        <v>0</v>
      </c>
      <c r="L63" s="74">
        <v>0</v>
      </c>
      <c r="M63" s="74">
        <v>79396.34</v>
      </c>
      <c r="N63" s="74">
        <v>90433.76</v>
      </c>
      <c r="O63" s="74">
        <v>103491.48000000001</v>
      </c>
      <c r="P63" s="74">
        <v>127052.86999999998</v>
      </c>
      <c r="Q63" s="74">
        <v>158917.09</v>
      </c>
      <c r="R63" s="74">
        <v>198646.36249999999</v>
      </c>
      <c r="S63" s="74">
        <v>248307.953125</v>
      </c>
      <c r="T63" s="74">
        <v>310384.94140625</v>
      </c>
      <c r="U63" s="74">
        <v>0</v>
      </c>
      <c r="V63" s="74">
        <v>0</v>
      </c>
      <c r="W63" s="74">
        <v>0</v>
      </c>
      <c r="X63" s="74">
        <v>0</v>
      </c>
      <c r="Y63" s="74">
        <v>0</v>
      </c>
      <c r="Z63" s="74">
        <v>0</v>
      </c>
      <c r="AA63" s="74">
        <v>0</v>
      </c>
      <c r="AB63" s="74">
        <v>0</v>
      </c>
      <c r="AC63" s="74">
        <v>0</v>
      </c>
      <c r="AD63" s="74">
        <v>0</v>
      </c>
      <c r="AE63" s="74">
        <v>0</v>
      </c>
      <c r="AF63" s="74">
        <v>0</v>
      </c>
      <c r="AG63" s="74">
        <v>0</v>
      </c>
      <c r="AH63" s="74">
        <v>0</v>
      </c>
      <c r="AI63" s="74">
        <v>0</v>
      </c>
      <c r="AJ63" s="74">
        <v>0</v>
      </c>
      <c r="AK63" s="74"/>
      <c r="AL63" s="74">
        <v>17148.810000000001</v>
      </c>
      <c r="AM63" s="74">
        <v>18807.43</v>
      </c>
      <c r="AN63" s="74">
        <v>21748.5</v>
      </c>
      <c r="AO63" s="74">
        <v>21691.599999999999</v>
      </c>
      <c r="AP63" s="74">
        <v>21207.149999999998</v>
      </c>
      <c r="AQ63" s="74">
        <v>22699.85</v>
      </c>
      <c r="AR63" s="74">
        <v>22797.18</v>
      </c>
      <c r="AS63" s="74">
        <v>23729.58</v>
      </c>
      <c r="AT63" s="74">
        <v>24130.019999999997</v>
      </c>
      <c r="AU63" s="74">
        <v>25239.600000000002</v>
      </c>
      <c r="AV63" s="74">
        <v>26287.260000000002</v>
      </c>
      <c r="AW63" s="74">
        <v>27834.6</v>
      </c>
      <c r="AX63" s="74">
        <v>29042.92</v>
      </c>
      <c r="AY63" s="74">
        <v>30223.149999999998</v>
      </c>
      <c r="AZ63" s="74">
        <v>32667.879999999997</v>
      </c>
      <c r="BA63" s="74">
        <v>35118.92</v>
      </c>
      <c r="BB63" s="74">
        <v>36583.75</v>
      </c>
      <c r="BC63" s="74">
        <v>37973.79</v>
      </c>
      <c r="BD63" s="74">
        <v>40597.379999999997</v>
      </c>
      <c r="BE63" s="74">
        <v>43762.17</v>
      </c>
      <c r="BF63" s="74">
        <v>45729.6875</v>
      </c>
      <c r="BG63" s="74">
        <v>47467.237500000003</v>
      </c>
      <c r="BH63" s="74">
        <v>50746.724999999999</v>
      </c>
      <c r="BI63" s="74">
        <v>54702.712499999994</v>
      </c>
      <c r="BJ63" s="74">
        <v>57162.109375</v>
      </c>
      <c r="BK63" s="74">
        <v>59334.046875</v>
      </c>
      <c r="BL63" s="74">
        <v>63433.40625</v>
      </c>
      <c r="BM63" s="74">
        <v>68378.390625</v>
      </c>
      <c r="BN63" s="74">
        <v>71452.63671875</v>
      </c>
      <c r="BO63" s="74">
        <v>74167.55859375</v>
      </c>
      <c r="BP63" s="74">
        <v>79291.7578125</v>
      </c>
      <c r="BQ63" s="74">
        <v>85472.98828125</v>
      </c>
      <c r="BR63" s="74">
        <v>0</v>
      </c>
      <c r="BS63" s="74">
        <v>0</v>
      </c>
      <c r="BT63" s="74">
        <v>0</v>
      </c>
      <c r="BU63" s="74">
        <v>0</v>
      </c>
      <c r="BV63" s="74">
        <v>0</v>
      </c>
      <c r="BW63" s="74">
        <v>0</v>
      </c>
      <c r="BX63" s="74">
        <v>0</v>
      </c>
      <c r="BY63" s="74">
        <v>0</v>
      </c>
      <c r="BZ63" s="74">
        <v>0</v>
      </c>
      <c r="CA63" s="74">
        <v>0</v>
      </c>
      <c r="CB63" s="74">
        <v>0</v>
      </c>
      <c r="CC63" s="74">
        <v>0</v>
      </c>
      <c r="CD63" s="74">
        <v>0</v>
      </c>
      <c r="CE63" s="74">
        <v>0</v>
      </c>
      <c r="CF63" s="74">
        <v>0</v>
      </c>
      <c r="CG63" s="74">
        <v>0</v>
      </c>
      <c r="CH63" s="74">
        <v>0</v>
      </c>
      <c r="CI63" s="74">
        <v>0</v>
      </c>
      <c r="CJ63" s="74">
        <v>0</v>
      </c>
      <c r="CK63" s="74">
        <v>0</v>
      </c>
      <c r="CL63" s="74">
        <v>0</v>
      </c>
      <c r="CM63" s="74">
        <v>0</v>
      </c>
      <c r="CN63" s="74">
        <v>0</v>
      </c>
      <c r="CO63" s="74">
        <v>0</v>
      </c>
      <c r="CP63" s="74">
        <v>0</v>
      </c>
      <c r="CQ63" s="74">
        <v>0</v>
      </c>
      <c r="CR63" s="74">
        <v>0</v>
      </c>
      <c r="CS63" s="74">
        <v>0</v>
      </c>
      <c r="CT63" s="74">
        <v>0</v>
      </c>
      <c r="CU63" s="74">
        <v>0</v>
      </c>
      <c r="CV63" s="74">
        <v>0</v>
      </c>
      <c r="CW63" s="74">
        <v>0</v>
      </c>
      <c r="CX63" s="74">
        <v>0</v>
      </c>
      <c r="CY63" s="74">
        <v>0</v>
      </c>
      <c r="CZ63" s="74">
        <v>0</v>
      </c>
      <c r="DA63" s="74">
        <v>0</v>
      </c>
      <c r="DB63" s="74">
        <v>0</v>
      </c>
      <c r="DC63" s="74">
        <v>0</v>
      </c>
      <c r="DD63" s="74">
        <v>0</v>
      </c>
      <c r="DE63" s="74">
        <v>0</v>
      </c>
      <c r="DF63" s="74">
        <v>0</v>
      </c>
      <c r="DG63" s="74">
        <v>0</v>
      </c>
      <c r="DH63" s="74">
        <v>0</v>
      </c>
      <c r="DI63" s="74">
        <v>0</v>
      </c>
      <c r="DJ63" s="74">
        <v>0</v>
      </c>
      <c r="DK63" s="74">
        <v>0</v>
      </c>
      <c r="DL63" s="74">
        <v>0</v>
      </c>
      <c r="DM63" s="74">
        <v>0</v>
      </c>
      <c r="DN63" s="74">
        <v>0</v>
      </c>
      <c r="DO63" s="74">
        <v>0</v>
      </c>
      <c r="DP63" s="74">
        <v>0</v>
      </c>
      <c r="DQ63" s="74">
        <v>0</v>
      </c>
      <c r="DR63" s="74">
        <v>0</v>
      </c>
      <c r="DS63" s="74">
        <v>0</v>
      </c>
      <c r="DT63" s="74">
        <v>0</v>
      </c>
      <c r="DU63" s="74">
        <v>0</v>
      </c>
      <c r="DV63" s="74">
        <v>0</v>
      </c>
      <c r="DW63" s="74">
        <v>0</v>
      </c>
      <c r="DX63" s="74">
        <v>0</v>
      </c>
      <c r="DY63" s="74">
        <v>0</v>
      </c>
      <c r="DZ63" s="74">
        <v>0</v>
      </c>
      <c r="EA63" s="74">
        <v>0</v>
      </c>
      <c r="EB63" s="74">
        <v>0</v>
      </c>
      <c r="EC63" s="74">
        <v>0</v>
      </c>
      <c r="ED63" s="74"/>
      <c r="EE63" s="80">
        <v>46063</v>
      </c>
      <c r="EF63" s="81">
        <v>46063.452990393518</v>
      </c>
      <c r="EG63" s="66" t="s">
        <v>70</v>
      </c>
      <c r="EH63" s="66" t="s">
        <v>209</v>
      </c>
      <c r="EI63" s="66" t="s">
        <v>6</v>
      </c>
      <c r="EJ63" s="66">
        <v>10</v>
      </c>
      <c r="EK63" s="66">
        <v>2027</v>
      </c>
      <c r="EL63" s="66" t="s">
        <v>24</v>
      </c>
      <c r="EM63" s="82">
        <v>241.43667956123221</v>
      </c>
      <c r="EN63" s="82">
        <v>206.2708139959758</v>
      </c>
      <c r="EO63" s="77">
        <v>210.28039999999999</v>
      </c>
      <c r="EP63" s="84">
        <v>0.19403388859999032</v>
      </c>
      <c r="EQ63" s="84">
        <v>0.1985771238014705</v>
      </c>
      <c r="ER63" s="84">
        <v>3.7812199999999997E-2</v>
      </c>
      <c r="ES63" s="85">
        <v>0.97173988520598786</v>
      </c>
      <c r="ET63" s="86">
        <v>1.3944000000000001</v>
      </c>
      <c r="EU63" s="85">
        <v>0.15269873395245903</v>
      </c>
      <c r="EV63" s="85">
        <v>3.6374216079711912E-2</v>
      </c>
      <c r="EW63" s="76">
        <v>2</v>
      </c>
      <c r="EX63" s="76" t="s">
        <v>32</v>
      </c>
      <c r="EY63" s="74" t="s">
        <v>243</v>
      </c>
      <c r="EZ63" s="74"/>
      <c r="FA63" s="74"/>
      <c r="FB63" s="74"/>
      <c r="FC63" s="74"/>
      <c r="FD63" s="68"/>
      <c r="FH63" s="73"/>
      <c r="FI63" s="74"/>
      <c r="FJ63" s="74"/>
      <c r="FK63" s="74"/>
      <c r="FL63" s="74"/>
      <c r="FM63" s="74"/>
      <c r="FN63" s="74"/>
      <c r="FO63" s="74"/>
      <c r="FP63" s="74"/>
      <c r="FQ63" s="74"/>
      <c r="FR63" s="74"/>
      <c r="FS63" s="74"/>
      <c r="FT63" s="74"/>
      <c r="FU63" s="74"/>
      <c r="FV63" s="74"/>
      <c r="FW63" s="74"/>
      <c r="FX63" s="74"/>
      <c r="FY63" s="74"/>
      <c r="FZ63" s="74"/>
      <c r="GA63" s="68"/>
    </row>
    <row r="64" spans="1:183" s="2" customFormat="1" ht="15" x14ac:dyDescent="0.3">
      <c r="A64" s="73" t="s">
        <v>158</v>
      </c>
      <c r="B64" s="73" t="s">
        <v>52</v>
      </c>
      <c r="C64" s="73" t="s">
        <v>226</v>
      </c>
      <c r="D64" s="73" t="s">
        <v>45</v>
      </c>
      <c r="E64" s="73" t="s">
        <v>178</v>
      </c>
      <c r="F64" s="73" t="s">
        <v>210</v>
      </c>
      <c r="G64" s="73" t="s">
        <v>227</v>
      </c>
      <c r="H64" s="73"/>
      <c r="I64" s="74">
        <v>0</v>
      </c>
      <c r="J64" s="74">
        <v>0</v>
      </c>
      <c r="K64" s="74">
        <v>0</v>
      </c>
      <c r="L64" s="74">
        <v>0</v>
      </c>
      <c r="M64" s="74">
        <v>933.48495703875847</v>
      </c>
      <c r="N64" s="74">
        <v>4679.4932800000006</v>
      </c>
      <c r="O64" s="74">
        <v>22945.054300000003</v>
      </c>
      <c r="P64" s="74">
        <v>31205.969850000001</v>
      </c>
      <c r="Q64" s="74">
        <v>37530.148950000003</v>
      </c>
      <c r="R64" s="74">
        <v>44244.064425000004</v>
      </c>
      <c r="S64" s="74">
        <v>41901.731602500004</v>
      </c>
      <c r="T64" s="74">
        <v>48186.991342875001</v>
      </c>
      <c r="U64" s="74">
        <v>0</v>
      </c>
      <c r="V64" s="74">
        <v>0</v>
      </c>
      <c r="W64" s="74">
        <v>0</v>
      </c>
      <c r="X64" s="74">
        <v>0</v>
      </c>
      <c r="Y64" s="74">
        <v>0</v>
      </c>
      <c r="Z64" s="74">
        <v>0</v>
      </c>
      <c r="AA64" s="74">
        <v>0</v>
      </c>
      <c r="AB64" s="74">
        <v>0</v>
      </c>
      <c r="AC64" s="74">
        <v>0</v>
      </c>
      <c r="AD64" s="74">
        <v>0</v>
      </c>
      <c r="AE64" s="74">
        <v>0</v>
      </c>
      <c r="AF64" s="74">
        <v>0</v>
      </c>
      <c r="AG64" s="74">
        <v>0</v>
      </c>
      <c r="AH64" s="74">
        <v>0</v>
      </c>
      <c r="AI64" s="74">
        <v>0</v>
      </c>
      <c r="AJ64" s="74">
        <v>0</v>
      </c>
      <c r="AK64" s="74"/>
      <c r="AL64" s="74">
        <v>1063.1928787024451</v>
      </c>
      <c r="AM64" s="74">
        <v>1839.3190783363132</v>
      </c>
      <c r="AN64" s="74">
        <v>-1507.8109999999997</v>
      </c>
      <c r="AO64" s="74">
        <v>-461.21600000000007</v>
      </c>
      <c r="AP64" s="74">
        <v>-1551.0656000000004</v>
      </c>
      <c r="AQ64" s="74">
        <v>-833.6160000000001</v>
      </c>
      <c r="AR64" s="74">
        <v>3090.6456000000003</v>
      </c>
      <c r="AS64" s="74">
        <v>3973.5292800000002</v>
      </c>
      <c r="AT64" s="74">
        <v>5166.4031999999997</v>
      </c>
      <c r="AU64" s="74">
        <v>5497.5636000000004</v>
      </c>
      <c r="AV64" s="74">
        <v>5317.1635000000006</v>
      </c>
      <c r="AW64" s="74">
        <v>6963.924</v>
      </c>
      <c r="AX64" s="74">
        <v>6005.0165500000012</v>
      </c>
      <c r="AY64" s="74">
        <v>5888.1581999999999</v>
      </c>
      <c r="AZ64" s="74">
        <v>8407.2560000000012</v>
      </c>
      <c r="BA64" s="74">
        <v>10905.539100000002</v>
      </c>
      <c r="BB64" s="74">
        <v>7217.3199000000013</v>
      </c>
      <c r="BC64" s="74">
        <v>8886.0384000000013</v>
      </c>
      <c r="BD64" s="74">
        <v>9436.5096000000012</v>
      </c>
      <c r="BE64" s="74">
        <v>11990.281050000001</v>
      </c>
      <c r="BF64" s="74">
        <v>7114.21533</v>
      </c>
      <c r="BG64" s="74">
        <v>7664.2081199999993</v>
      </c>
      <c r="BH64" s="74">
        <v>8138.9895299999998</v>
      </c>
      <c r="BI64" s="74">
        <v>9733.2869699999992</v>
      </c>
      <c r="BJ64" s="74">
        <v>7846.0535705668726</v>
      </c>
      <c r="BK64" s="74">
        <v>8458.9480225710868</v>
      </c>
      <c r="BL64" s="74">
        <v>8990.4669649540629</v>
      </c>
      <c r="BM64" s="74">
        <v>10786.910650559954</v>
      </c>
      <c r="BN64" s="74">
        <v>8653.1758987684698</v>
      </c>
      <c r="BO64" s="74">
        <v>9336.0984629106497</v>
      </c>
      <c r="BP64" s="74">
        <v>9931.023494992789</v>
      </c>
      <c r="BQ64" s="74">
        <v>11954.588592918448</v>
      </c>
      <c r="BR64" s="74">
        <v>0</v>
      </c>
      <c r="BS64" s="74">
        <v>0</v>
      </c>
      <c r="BT64" s="74">
        <v>0</v>
      </c>
      <c r="BU64" s="74">
        <v>0</v>
      </c>
      <c r="BV64" s="74">
        <v>0</v>
      </c>
      <c r="BW64" s="74">
        <v>0</v>
      </c>
      <c r="BX64" s="74">
        <v>0</v>
      </c>
      <c r="BY64" s="74">
        <v>0</v>
      </c>
      <c r="BZ64" s="74">
        <v>0</v>
      </c>
      <c r="CA64" s="74">
        <v>0</v>
      </c>
      <c r="CB64" s="74">
        <v>0</v>
      </c>
      <c r="CC64" s="74">
        <v>0</v>
      </c>
      <c r="CD64" s="74">
        <v>0</v>
      </c>
      <c r="CE64" s="74">
        <v>0</v>
      </c>
      <c r="CF64" s="74">
        <v>0</v>
      </c>
      <c r="CG64" s="74">
        <v>0</v>
      </c>
      <c r="CH64" s="74">
        <v>0</v>
      </c>
      <c r="CI64" s="74">
        <v>0</v>
      </c>
      <c r="CJ64" s="74">
        <v>0</v>
      </c>
      <c r="CK64" s="74">
        <v>0</v>
      </c>
      <c r="CL64" s="74">
        <v>0</v>
      </c>
      <c r="CM64" s="74">
        <v>0</v>
      </c>
      <c r="CN64" s="74">
        <v>0</v>
      </c>
      <c r="CO64" s="74">
        <v>0</v>
      </c>
      <c r="CP64" s="74">
        <v>0</v>
      </c>
      <c r="CQ64" s="74">
        <v>0</v>
      </c>
      <c r="CR64" s="74">
        <v>0</v>
      </c>
      <c r="CS64" s="74">
        <v>0</v>
      </c>
      <c r="CT64" s="74">
        <v>0</v>
      </c>
      <c r="CU64" s="74">
        <v>0</v>
      </c>
      <c r="CV64" s="74">
        <v>0</v>
      </c>
      <c r="CW64" s="74">
        <v>0</v>
      </c>
      <c r="CX64" s="74">
        <v>0</v>
      </c>
      <c r="CY64" s="74">
        <v>0</v>
      </c>
      <c r="CZ64" s="74">
        <v>0</v>
      </c>
      <c r="DA64" s="74">
        <v>0</v>
      </c>
      <c r="DB64" s="74">
        <v>0</v>
      </c>
      <c r="DC64" s="74">
        <v>0</v>
      </c>
      <c r="DD64" s="74">
        <v>0</v>
      </c>
      <c r="DE64" s="74">
        <v>0</v>
      </c>
      <c r="DF64" s="74">
        <v>0</v>
      </c>
      <c r="DG64" s="74">
        <v>0</v>
      </c>
      <c r="DH64" s="74">
        <v>0</v>
      </c>
      <c r="DI64" s="74">
        <v>0</v>
      </c>
      <c r="DJ64" s="74">
        <v>0</v>
      </c>
      <c r="DK64" s="74">
        <v>0</v>
      </c>
      <c r="DL64" s="74">
        <v>0</v>
      </c>
      <c r="DM64" s="74">
        <v>0</v>
      </c>
      <c r="DN64" s="74">
        <v>0</v>
      </c>
      <c r="DO64" s="74">
        <v>0</v>
      </c>
      <c r="DP64" s="74">
        <v>0</v>
      </c>
      <c r="DQ64" s="74">
        <v>0</v>
      </c>
      <c r="DR64" s="74">
        <v>0</v>
      </c>
      <c r="DS64" s="74">
        <v>0</v>
      </c>
      <c r="DT64" s="74">
        <v>0</v>
      </c>
      <c r="DU64" s="74">
        <v>0</v>
      </c>
      <c r="DV64" s="74">
        <v>0</v>
      </c>
      <c r="DW64" s="74">
        <v>0</v>
      </c>
      <c r="DX64" s="74">
        <v>0</v>
      </c>
      <c r="DY64" s="74">
        <v>0</v>
      </c>
      <c r="DZ64" s="74">
        <v>0</v>
      </c>
      <c r="EA64" s="74">
        <v>0</v>
      </c>
      <c r="EB64" s="74">
        <v>0</v>
      </c>
      <c r="EC64" s="74">
        <v>0</v>
      </c>
      <c r="ED64" s="74"/>
      <c r="EE64" s="80">
        <v>46063</v>
      </c>
      <c r="EF64" s="81">
        <v>46063.452990393518</v>
      </c>
      <c r="EG64" s="66" t="s">
        <v>70</v>
      </c>
      <c r="EH64" s="66" t="s">
        <v>209</v>
      </c>
      <c r="EI64" s="66" t="s">
        <v>6</v>
      </c>
      <c r="EJ64" s="66">
        <v>10</v>
      </c>
      <c r="EK64" s="66">
        <v>2027</v>
      </c>
      <c r="EL64" s="66" t="s">
        <v>24</v>
      </c>
      <c r="EM64" s="82">
        <v>241.43667956123221</v>
      </c>
      <c r="EN64" s="82">
        <v>206.2708139959758</v>
      </c>
      <c r="EO64" s="77">
        <v>210.28039999999999</v>
      </c>
      <c r="EP64" s="84">
        <v>0.19403388859999032</v>
      </c>
      <c r="EQ64" s="84">
        <v>0.1985771238014705</v>
      </c>
      <c r="ER64" s="84">
        <v>3.7812199999999997E-2</v>
      </c>
      <c r="ES64" s="85">
        <v>0.97173988520598786</v>
      </c>
      <c r="ET64" s="86">
        <v>1.3944000000000001</v>
      </c>
      <c r="EU64" s="85">
        <v>0.15269873395245903</v>
      </c>
      <c r="EV64" s="85">
        <v>3.6374216079711912E-2</v>
      </c>
      <c r="EW64" s="76">
        <v>2</v>
      </c>
      <c r="EX64" s="76" t="s">
        <v>32</v>
      </c>
      <c r="EY64" s="74" t="s">
        <v>243</v>
      </c>
      <c r="EZ64" s="74"/>
      <c r="FA64" s="74"/>
      <c r="FB64" s="74"/>
      <c r="FC64" s="74"/>
      <c r="FD64" s="68"/>
      <c r="FH64" s="73"/>
      <c r="FI64" s="74"/>
      <c r="FJ64" s="74"/>
      <c r="FK64" s="74"/>
      <c r="FL64" s="74"/>
      <c r="FM64" s="74"/>
      <c r="FN64" s="74"/>
      <c r="FO64" s="74"/>
      <c r="FP64" s="74"/>
      <c r="FQ64" s="74"/>
      <c r="FR64" s="74"/>
      <c r="FS64" s="74"/>
      <c r="FT64" s="74"/>
      <c r="FU64" s="74"/>
      <c r="FV64" s="74"/>
      <c r="FW64" s="74"/>
      <c r="FX64" s="74"/>
      <c r="FY64" s="74"/>
      <c r="FZ64" s="74"/>
      <c r="GA64" s="68"/>
    </row>
    <row r="65" spans="1:183" s="2" customFormat="1" ht="15" x14ac:dyDescent="0.3">
      <c r="A65" s="73" t="s">
        <v>33</v>
      </c>
      <c r="B65" s="73" t="s">
        <v>53</v>
      </c>
      <c r="C65" s="73" t="s">
        <v>47</v>
      </c>
      <c r="D65" s="73" t="s">
        <v>46</v>
      </c>
      <c r="E65" s="73" t="s">
        <v>178</v>
      </c>
      <c r="F65" s="73" t="s">
        <v>210</v>
      </c>
      <c r="G65" s="73" t="s">
        <v>227</v>
      </c>
      <c r="H65" s="73"/>
      <c r="I65" s="74">
        <v>0</v>
      </c>
      <c r="J65" s="74">
        <v>0</v>
      </c>
      <c r="K65" s="74">
        <v>0</v>
      </c>
      <c r="L65" s="74">
        <v>0</v>
      </c>
      <c r="M65" s="74">
        <v>-6861.2493518291294</v>
      </c>
      <c r="N65" s="74">
        <v>-4285.0007999999998</v>
      </c>
      <c r="O65" s="74">
        <v>3466.7897000000012</v>
      </c>
      <c r="P65" s="74">
        <v>5752.2470499999999</v>
      </c>
      <c r="Q65" s="74">
        <v>7435.9872000000014</v>
      </c>
      <c r="R65" s="74">
        <v>10410.382080000003</v>
      </c>
      <c r="S65" s="74">
        <v>9993.9667968000012</v>
      </c>
      <c r="T65" s="74">
        <v>13491.855175679999</v>
      </c>
      <c r="U65" s="74">
        <v>0</v>
      </c>
      <c r="V65" s="74">
        <v>0</v>
      </c>
      <c r="W65" s="74">
        <v>0</v>
      </c>
      <c r="X65" s="74">
        <v>0</v>
      </c>
      <c r="Y65" s="74">
        <v>0</v>
      </c>
      <c r="Z65" s="74">
        <v>0</v>
      </c>
      <c r="AA65" s="74">
        <v>0</v>
      </c>
      <c r="AB65" s="74">
        <v>0</v>
      </c>
      <c r="AC65" s="74">
        <v>0</v>
      </c>
      <c r="AD65" s="74">
        <v>0</v>
      </c>
      <c r="AE65" s="74">
        <v>0</v>
      </c>
      <c r="AF65" s="74">
        <v>0</v>
      </c>
      <c r="AG65" s="74">
        <v>0</v>
      </c>
      <c r="AH65" s="74">
        <v>0</v>
      </c>
      <c r="AI65" s="74">
        <v>0</v>
      </c>
      <c r="AJ65" s="74">
        <v>0</v>
      </c>
      <c r="AK65" s="74"/>
      <c r="AL65" s="74">
        <v>-561.37574877648774</v>
      </c>
      <c r="AM65" s="74">
        <v>-797.96840305264084</v>
      </c>
      <c r="AN65" s="74">
        <v>-3205.9500000000007</v>
      </c>
      <c r="AO65" s="74">
        <v>-2295.9552000000003</v>
      </c>
      <c r="AP65" s="74">
        <v>-1509.8475000000001</v>
      </c>
      <c r="AQ65" s="74">
        <v>-1420.9125000000001</v>
      </c>
      <c r="AR65" s="74">
        <v>-609.84</v>
      </c>
      <c r="AS65" s="74">
        <v>-744.4008</v>
      </c>
      <c r="AT65" s="74">
        <v>-334.91449999999998</v>
      </c>
      <c r="AU65" s="74">
        <v>1330.4256000000003</v>
      </c>
      <c r="AV65" s="74">
        <v>700.58660000000009</v>
      </c>
      <c r="AW65" s="74">
        <v>1770.6920000000002</v>
      </c>
      <c r="AX65" s="74">
        <v>1005.9525</v>
      </c>
      <c r="AY65" s="74">
        <v>862.81675000000018</v>
      </c>
      <c r="AZ65" s="74">
        <v>1636.4928000000002</v>
      </c>
      <c r="BA65" s="74">
        <v>2246.9849999999997</v>
      </c>
      <c r="BB65" s="74">
        <v>1581.8136</v>
      </c>
      <c r="BC65" s="74">
        <v>1676.3016000000005</v>
      </c>
      <c r="BD65" s="74">
        <v>1864.8576</v>
      </c>
      <c r="BE65" s="74">
        <v>2313.0144000000005</v>
      </c>
      <c r="BF65" s="74">
        <v>2372.7203999999997</v>
      </c>
      <c r="BG65" s="74">
        <v>2514.4524000000006</v>
      </c>
      <c r="BH65" s="74">
        <v>2797.2864000000004</v>
      </c>
      <c r="BI65" s="74">
        <v>3469.5216</v>
      </c>
      <c r="BJ65" s="74">
        <v>2496.8535656924123</v>
      </c>
      <c r="BK65" s="74">
        <v>2784.6450641118199</v>
      </c>
      <c r="BL65" s="74">
        <v>3184.4380356994052</v>
      </c>
      <c r="BM65" s="74">
        <v>3946.5995940287039</v>
      </c>
      <c r="BN65" s="74">
        <v>2627.4809828039211</v>
      </c>
      <c r="BO65" s="74">
        <v>3083.8715153575067</v>
      </c>
      <c r="BP65" s="74">
        <v>3625.1724539929428</v>
      </c>
      <c r="BQ65" s="74">
        <v>4489.2783937668901</v>
      </c>
      <c r="BR65" s="74">
        <v>0</v>
      </c>
      <c r="BS65" s="74">
        <v>0</v>
      </c>
      <c r="BT65" s="74">
        <v>0</v>
      </c>
      <c r="BU65" s="74">
        <v>0</v>
      </c>
      <c r="BV65" s="74">
        <v>0</v>
      </c>
      <c r="BW65" s="74">
        <v>0</v>
      </c>
      <c r="BX65" s="74">
        <v>0</v>
      </c>
      <c r="BY65" s="74">
        <v>0</v>
      </c>
      <c r="BZ65" s="74">
        <v>0</v>
      </c>
      <c r="CA65" s="74">
        <v>0</v>
      </c>
      <c r="CB65" s="74">
        <v>0</v>
      </c>
      <c r="CC65" s="74">
        <v>0</v>
      </c>
      <c r="CD65" s="74">
        <v>0</v>
      </c>
      <c r="CE65" s="74">
        <v>0</v>
      </c>
      <c r="CF65" s="74">
        <v>0</v>
      </c>
      <c r="CG65" s="74">
        <v>0</v>
      </c>
      <c r="CH65" s="74">
        <v>0</v>
      </c>
      <c r="CI65" s="74">
        <v>0</v>
      </c>
      <c r="CJ65" s="74">
        <v>0</v>
      </c>
      <c r="CK65" s="74">
        <v>0</v>
      </c>
      <c r="CL65" s="74">
        <v>0</v>
      </c>
      <c r="CM65" s="74">
        <v>0</v>
      </c>
      <c r="CN65" s="74">
        <v>0</v>
      </c>
      <c r="CO65" s="74">
        <v>0</v>
      </c>
      <c r="CP65" s="74">
        <v>0</v>
      </c>
      <c r="CQ65" s="74">
        <v>0</v>
      </c>
      <c r="CR65" s="74">
        <v>0</v>
      </c>
      <c r="CS65" s="74">
        <v>0</v>
      </c>
      <c r="CT65" s="74">
        <v>0</v>
      </c>
      <c r="CU65" s="74">
        <v>0</v>
      </c>
      <c r="CV65" s="74">
        <v>0</v>
      </c>
      <c r="CW65" s="74">
        <v>0</v>
      </c>
      <c r="CX65" s="74">
        <v>0</v>
      </c>
      <c r="CY65" s="74">
        <v>0</v>
      </c>
      <c r="CZ65" s="74">
        <v>0</v>
      </c>
      <c r="DA65" s="74">
        <v>0</v>
      </c>
      <c r="DB65" s="74">
        <v>0</v>
      </c>
      <c r="DC65" s="74">
        <v>0</v>
      </c>
      <c r="DD65" s="74">
        <v>0</v>
      </c>
      <c r="DE65" s="74">
        <v>0</v>
      </c>
      <c r="DF65" s="74">
        <v>0</v>
      </c>
      <c r="DG65" s="74">
        <v>0</v>
      </c>
      <c r="DH65" s="74">
        <v>0</v>
      </c>
      <c r="DI65" s="74">
        <v>0</v>
      </c>
      <c r="DJ65" s="74">
        <v>0</v>
      </c>
      <c r="DK65" s="74">
        <v>0</v>
      </c>
      <c r="DL65" s="74">
        <v>0</v>
      </c>
      <c r="DM65" s="74">
        <v>0</v>
      </c>
      <c r="DN65" s="74">
        <v>0</v>
      </c>
      <c r="DO65" s="74">
        <v>0</v>
      </c>
      <c r="DP65" s="74">
        <v>0</v>
      </c>
      <c r="DQ65" s="74">
        <v>0</v>
      </c>
      <c r="DR65" s="74">
        <v>0</v>
      </c>
      <c r="DS65" s="74">
        <v>0</v>
      </c>
      <c r="DT65" s="74">
        <v>0</v>
      </c>
      <c r="DU65" s="74">
        <v>0</v>
      </c>
      <c r="DV65" s="74">
        <v>0</v>
      </c>
      <c r="DW65" s="74">
        <v>0</v>
      </c>
      <c r="DX65" s="74">
        <v>0</v>
      </c>
      <c r="DY65" s="74">
        <v>0</v>
      </c>
      <c r="DZ65" s="74">
        <v>0</v>
      </c>
      <c r="EA65" s="74">
        <v>0</v>
      </c>
      <c r="EB65" s="74">
        <v>0</v>
      </c>
      <c r="EC65" s="74">
        <v>0</v>
      </c>
      <c r="ED65" s="74"/>
      <c r="EE65" s="80">
        <v>46063</v>
      </c>
      <c r="EF65" s="81">
        <v>46063.452990393518</v>
      </c>
      <c r="EG65" s="66" t="s">
        <v>70</v>
      </c>
      <c r="EH65" s="66" t="s">
        <v>209</v>
      </c>
      <c r="EI65" s="66" t="s">
        <v>6</v>
      </c>
      <c r="EJ65" s="66">
        <v>10</v>
      </c>
      <c r="EK65" s="66">
        <v>2027</v>
      </c>
      <c r="EL65" s="66" t="s">
        <v>24</v>
      </c>
      <c r="EM65" s="82">
        <v>241.43667956123221</v>
      </c>
      <c r="EN65" s="82">
        <v>206.2708139959758</v>
      </c>
      <c r="EO65" s="77">
        <v>210.28039999999999</v>
      </c>
      <c r="EP65" s="84">
        <v>0.19403388859999032</v>
      </c>
      <c r="EQ65" s="84">
        <v>0.1985771238014705</v>
      </c>
      <c r="ER65" s="84">
        <v>3.7812199999999997E-2</v>
      </c>
      <c r="ES65" s="85">
        <v>0.97173988520598786</v>
      </c>
      <c r="ET65" s="86">
        <v>1.3944000000000001</v>
      </c>
      <c r="EU65" s="85">
        <v>0.15269873395245903</v>
      </c>
      <c r="EV65" s="85">
        <v>3.6374216079711912E-2</v>
      </c>
      <c r="EW65" s="76">
        <v>2</v>
      </c>
      <c r="EX65" s="76" t="s">
        <v>32</v>
      </c>
      <c r="EY65" s="74" t="s">
        <v>243</v>
      </c>
      <c r="EZ65" s="74"/>
      <c r="FA65" s="74"/>
      <c r="FB65" s="74"/>
      <c r="FC65" s="74"/>
      <c r="FD65" s="68"/>
      <c r="FH65" s="73"/>
      <c r="FI65" s="74"/>
      <c r="FJ65" s="74"/>
      <c r="FK65" s="74"/>
      <c r="FL65" s="74"/>
      <c r="FM65" s="74"/>
      <c r="FN65" s="74"/>
      <c r="FO65" s="74"/>
      <c r="FP65" s="74"/>
      <c r="FQ65" s="74"/>
      <c r="FR65" s="74"/>
      <c r="FS65" s="74"/>
      <c r="FT65" s="74"/>
      <c r="FU65" s="74"/>
      <c r="FV65" s="74"/>
      <c r="FW65" s="74"/>
      <c r="FX65" s="74"/>
      <c r="FY65" s="74"/>
      <c r="FZ65" s="74"/>
      <c r="GA65" s="68"/>
    </row>
    <row r="66" spans="1:183" s="2" customFormat="1" ht="15" x14ac:dyDescent="0.3">
      <c r="A66" s="73" t="s">
        <v>157</v>
      </c>
      <c r="B66" s="73" t="s">
        <v>54</v>
      </c>
      <c r="C66" s="73" t="s">
        <v>47</v>
      </c>
      <c r="D66" s="73" t="s">
        <v>44</v>
      </c>
      <c r="E66" s="73" t="s">
        <v>178</v>
      </c>
      <c r="F66" s="73" t="s">
        <v>210</v>
      </c>
      <c r="G66" s="73" t="s">
        <v>227</v>
      </c>
      <c r="H66" s="73"/>
      <c r="I66" s="74">
        <v>0</v>
      </c>
      <c r="J66" s="74">
        <v>0</v>
      </c>
      <c r="K66" s="74">
        <v>0</v>
      </c>
      <c r="L66" s="74">
        <v>0</v>
      </c>
      <c r="M66" s="74">
        <v>22372.599525331883</v>
      </c>
      <c r="N66" s="74">
        <v>22396.3685</v>
      </c>
      <c r="O66" s="74">
        <v>35335.286400000005</v>
      </c>
      <c r="P66" s="74">
        <v>44099.674950000001</v>
      </c>
      <c r="Q66" s="74">
        <v>54214.729350000009</v>
      </c>
      <c r="R66" s="74">
        <v>67539.763250000004</v>
      </c>
      <c r="S66" s="74">
        <v>84424.704062500008</v>
      </c>
      <c r="T66" s="74">
        <v>108634.7294921875</v>
      </c>
      <c r="U66" s="74">
        <v>0</v>
      </c>
      <c r="V66" s="74">
        <v>0</v>
      </c>
      <c r="W66" s="74">
        <v>0</v>
      </c>
      <c r="X66" s="74">
        <v>0</v>
      </c>
      <c r="Y66" s="74">
        <v>0</v>
      </c>
      <c r="Z66" s="74">
        <v>0</v>
      </c>
      <c r="AA66" s="74">
        <v>0</v>
      </c>
      <c r="AB66" s="74">
        <v>0</v>
      </c>
      <c r="AC66" s="74">
        <v>0</v>
      </c>
      <c r="AD66" s="74">
        <v>0</v>
      </c>
      <c r="AE66" s="74">
        <v>0</v>
      </c>
      <c r="AF66" s="74">
        <v>0</v>
      </c>
      <c r="AG66" s="74">
        <v>0</v>
      </c>
      <c r="AH66" s="74">
        <v>0</v>
      </c>
      <c r="AI66" s="74">
        <v>0</v>
      </c>
      <c r="AJ66" s="74">
        <v>0</v>
      </c>
      <c r="AK66" s="74"/>
      <c r="AL66" s="74">
        <v>5542.7404091038325</v>
      </c>
      <c r="AM66" s="74">
        <v>5109.2801396485584</v>
      </c>
      <c r="AN66" s="74">
        <v>6297.678976579492</v>
      </c>
      <c r="AO66" s="74">
        <v>5422.9</v>
      </c>
      <c r="AP66" s="74">
        <v>5089.7159999999994</v>
      </c>
      <c r="AQ66" s="74">
        <v>5674.9624999999996</v>
      </c>
      <c r="AR66" s="74">
        <v>5699.2950000000001</v>
      </c>
      <c r="AS66" s="74">
        <v>5932.3950000000004</v>
      </c>
      <c r="AT66" s="74">
        <v>7239.0059999999985</v>
      </c>
      <c r="AU66" s="74">
        <v>8581.4640000000018</v>
      </c>
      <c r="AV66" s="74">
        <v>8937.6684000000005</v>
      </c>
      <c r="AW66" s="74">
        <v>10577.147999999999</v>
      </c>
      <c r="AX66" s="74">
        <v>10600.665799999999</v>
      </c>
      <c r="AY66" s="74">
        <v>10426.986749999998</v>
      </c>
      <c r="AZ66" s="74">
        <v>10780.4004</v>
      </c>
      <c r="BA66" s="74">
        <v>12291.621999999999</v>
      </c>
      <c r="BB66" s="74">
        <v>12621.393749999999</v>
      </c>
      <c r="BC66" s="74">
        <v>12911.088600000001</v>
      </c>
      <c r="BD66" s="74">
        <v>13803.109200000001</v>
      </c>
      <c r="BE66" s="74">
        <v>14879.1378</v>
      </c>
      <c r="BF66" s="74">
        <v>13718.90625</v>
      </c>
      <c r="BG66" s="74">
        <v>14240.171250000001</v>
      </c>
      <c r="BH66" s="74">
        <v>15224.017499999998</v>
      </c>
      <c r="BI66" s="74">
        <v>16410.813749999998</v>
      </c>
      <c r="BJ66" s="74">
        <v>17148.6328125</v>
      </c>
      <c r="BK66" s="74">
        <v>17800.214062499999</v>
      </c>
      <c r="BL66" s="74">
        <v>19030.021874999999</v>
      </c>
      <c r="BM66" s="74">
        <v>20513.517187499998</v>
      </c>
      <c r="BN66" s="74">
        <v>21435.791015625</v>
      </c>
      <c r="BO66" s="74">
        <v>22250.267578125</v>
      </c>
      <c r="BP66" s="74">
        <v>23787.52734375</v>
      </c>
      <c r="BQ66" s="74">
        <v>25641.896484375</v>
      </c>
      <c r="BR66" s="74">
        <v>0</v>
      </c>
      <c r="BS66" s="74">
        <v>0</v>
      </c>
      <c r="BT66" s="74">
        <v>0</v>
      </c>
      <c r="BU66" s="74">
        <v>0</v>
      </c>
      <c r="BV66" s="74">
        <v>0</v>
      </c>
      <c r="BW66" s="74">
        <v>0</v>
      </c>
      <c r="BX66" s="74">
        <v>0</v>
      </c>
      <c r="BY66" s="74">
        <v>0</v>
      </c>
      <c r="BZ66" s="74">
        <v>0</v>
      </c>
      <c r="CA66" s="74">
        <v>0</v>
      </c>
      <c r="CB66" s="74">
        <v>0</v>
      </c>
      <c r="CC66" s="74">
        <v>0</v>
      </c>
      <c r="CD66" s="74">
        <v>0</v>
      </c>
      <c r="CE66" s="74">
        <v>0</v>
      </c>
      <c r="CF66" s="74">
        <v>0</v>
      </c>
      <c r="CG66" s="74">
        <v>0</v>
      </c>
      <c r="CH66" s="74">
        <v>0</v>
      </c>
      <c r="CI66" s="74">
        <v>0</v>
      </c>
      <c r="CJ66" s="74">
        <v>0</v>
      </c>
      <c r="CK66" s="74">
        <v>0</v>
      </c>
      <c r="CL66" s="74">
        <v>0</v>
      </c>
      <c r="CM66" s="74">
        <v>0</v>
      </c>
      <c r="CN66" s="74">
        <v>0</v>
      </c>
      <c r="CO66" s="74">
        <v>0</v>
      </c>
      <c r="CP66" s="74">
        <v>0</v>
      </c>
      <c r="CQ66" s="74">
        <v>0</v>
      </c>
      <c r="CR66" s="74">
        <v>0</v>
      </c>
      <c r="CS66" s="74">
        <v>0</v>
      </c>
      <c r="CT66" s="74">
        <v>0</v>
      </c>
      <c r="CU66" s="74">
        <v>0</v>
      </c>
      <c r="CV66" s="74">
        <v>0</v>
      </c>
      <c r="CW66" s="74">
        <v>0</v>
      </c>
      <c r="CX66" s="74">
        <v>0</v>
      </c>
      <c r="CY66" s="74">
        <v>0</v>
      </c>
      <c r="CZ66" s="74">
        <v>0</v>
      </c>
      <c r="DA66" s="74">
        <v>0</v>
      </c>
      <c r="DB66" s="74">
        <v>0</v>
      </c>
      <c r="DC66" s="74">
        <v>0</v>
      </c>
      <c r="DD66" s="74">
        <v>0</v>
      </c>
      <c r="DE66" s="74">
        <v>0</v>
      </c>
      <c r="DF66" s="74">
        <v>0</v>
      </c>
      <c r="DG66" s="74">
        <v>0</v>
      </c>
      <c r="DH66" s="74">
        <v>0</v>
      </c>
      <c r="DI66" s="74">
        <v>0</v>
      </c>
      <c r="DJ66" s="74">
        <v>0</v>
      </c>
      <c r="DK66" s="74">
        <v>0</v>
      </c>
      <c r="DL66" s="74">
        <v>0</v>
      </c>
      <c r="DM66" s="74">
        <v>0</v>
      </c>
      <c r="DN66" s="74">
        <v>0</v>
      </c>
      <c r="DO66" s="74">
        <v>0</v>
      </c>
      <c r="DP66" s="74">
        <v>0</v>
      </c>
      <c r="DQ66" s="74">
        <v>0</v>
      </c>
      <c r="DR66" s="74">
        <v>0</v>
      </c>
      <c r="DS66" s="74">
        <v>0</v>
      </c>
      <c r="DT66" s="74">
        <v>0</v>
      </c>
      <c r="DU66" s="74">
        <v>0</v>
      </c>
      <c r="DV66" s="74">
        <v>0</v>
      </c>
      <c r="DW66" s="74">
        <v>0</v>
      </c>
      <c r="DX66" s="74">
        <v>0</v>
      </c>
      <c r="DY66" s="74">
        <v>0</v>
      </c>
      <c r="DZ66" s="74">
        <v>0</v>
      </c>
      <c r="EA66" s="74">
        <v>0</v>
      </c>
      <c r="EB66" s="74">
        <v>0</v>
      </c>
      <c r="EC66" s="74">
        <v>0</v>
      </c>
      <c r="ED66" s="74"/>
      <c r="EE66" s="80">
        <v>46063</v>
      </c>
      <c r="EF66" s="81">
        <v>46063.452990393518</v>
      </c>
      <c r="EG66" s="66" t="s">
        <v>70</v>
      </c>
      <c r="EH66" s="66" t="s">
        <v>209</v>
      </c>
      <c r="EI66" s="66" t="s">
        <v>6</v>
      </c>
      <c r="EJ66" s="66">
        <v>10</v>
      </c>
      <c r="EK66" s="66">
        <v>2027</v>
      </c>
      <c r="EL66" s="66" t="s">
        <v>24</v>
      </c>
      <c r="EM66" s="82">
        <v>241.43667956123221</v>
      </c>
      <c r="EN66" s="82">
        <v>206.2708139959758</v>
      </c>
      <c r="EO66" s="77">
        <v>210.28039999999999</v>
      </c>
      <c r="EP66" s="84">
        <v>0.19403388859999032</v>
      </c>
      <c r="EQ66" s="84">
        <v>0.1985771238014705</v>
      </c>
      <c r="ER66" s="84">
        <v>3.7812199999999997E-2</v>
      </c>
      <c r="ES66" s="85">
        <v>0.97173988520598786</v>
      </c>
      <c r="ET66" s="86">
        <v>1.3944000000000001</v>
      </c>
      <c r="EU66" s="85">
        <v>0.15269873395245903</v>
      </c>
      <c r="EV66" s="85">
        <v>3.6374216079711912E-2</v>
      </c>
      <c r="EW66" s="76">
        <v>2</v>
      </c>
      <c r="EX66" s="76" t="s">
        <v>32</v>
      </c>
      <c r="EY66" s="74" t="s">
        <v>243</v>
      </c>
      <c r="EZ66" s="74"/>
      <c r="FA66" s="74"/>
      <c r="FB66" s="74"/>
      <c r="FC66" s="74"/>
      <c r="FD66" s="68"/>
      <c r="FH66" s="73"/>
      <c r="FI66" s="74"/>
      <c r="FJ66" s="74"/>
      <c r="FK66" s="74"/>
      <c r="FL66" s="74"/>
      <c r="FM66" s="74"/>
      <c r="FN66" s="74"/>
      <c r="FO66" s="74"/>
      <c r="FP66" s="74"/>
      <c r="FQ66" s="74"/>
      <c r="FR66" s="74"/>
      <c r="FS66" s="74"/>
      <c r="FT66" s="74"/>
      <c r="FU66" s="74"/>
      <c r="FV66" s="74"/>
      <c r="FW66" s="74"/>
      <c r="FX66" s="74"/>
      <c r="FY66" s="74"/>
      <c r="FZ66" s="74"/>
      <c r="GA66" s="68"/>
    </row>
    <row r="67" spans="1:183" s="2" customFormat="1" ht="15" x14ac:dyDescent="0.3">
      <c r="A67" s="73" t="s">
        <v>196</v>
      </c>
      <c r="B67" s="73" t="s">
        <v>205</v>
      </c>
      <c r="C67" s="73" t="s">
        <v>205</v>
      </c>
      <c r="D67" s="73" t="s">
        <v>48</v>
      </c>
      <c r="E67" s="73" t="s">
        <v>178</v>
      </c>
      <c r="F67" s="73" t="s">
        <v>210</v>
      </c>
      <c r="G67" s="73" t="s">
        <v>227</v>
      </c>
      <c r="H67" s="73"/>
      <c r="I67" s="74">
        <v>0</v>
      </c>
      <c r="J67" s="74">
        <v>0</v>
      </c>
      <c r="K67" s="74">
        <v>0</v>
      </c>
      <c r="L67" s="74">
        <v>0</v>
      </c>
      <c r="M67" s="74">
        <v>70490.279380541513</v>
      </c>
      <c r="N67" s="74">
        <v>86449.871980000011</v>
      </c>
      <c r="O67" s="74">
        <v>130132.33040000001</v>
      </c>
      <c r="P67" s="74">
        <v>160202.70098422383</v>
      </c>
      <c r="Q67" s="74">
        <v>198762.16482360321</v>
      </c>
      <c r="R67" s="74">
        <v>263453.10284650297</v>
      </c>
      <c r="S67" s="74">
        <v>281420.89766430191</v>
      </c>
      <c r="T67" s="74">
        <v>342654.40535775083</v>
      </c>
      <c r="U67" s="74">
        <v>0</v>
      </c>
      <c r="V67" s="74">
        <v>0</v>
      </c>
      <c r="W67" s="74">
        <v>0</v>
      </c>
      <c r="X67" s="74">
        <v>0</v>
      </c>
      <c r="Y67" s="74">
        <v>0</v>
      </c>
      <c r="Z67" s="74">
        <v>0</v>
      </c>
      <c r="AA67" s="74">
        <v>0</v>
      </c>
      <c r="AB67" s="74">
        <v>0</v>
      </c>
      <c r="AC67" s="74">
        <v>0</v>
      </c>
      <c r="AD67" s="74">
        <v>0</v>
      </c>
      <c r="AE67" s="74">
        <v>0</v>
      </c>
      <c r="AF67" s="74">
        <v>0</v>
      </c>
      <c r="AG67" s="74">
        <v>0</v>
      </c>
      <c r="AH67" s="74">
        <v>0</v>
      </c>
      <c r="AI67" s="74">
        <v>0</v>
      </c>
      <c r="AJ67" s="74">
        <v>0</v>
      </c>
      <c r="AK67" s="74"/>
      <c r="AL67" s="74">
        <v>6044.55753902979</v>
      </c>
      <c r="AM67" s="74">
        <v>6150.6308149322304</v>
      </c>
      <c r="AN67" s="74">
        <v>1583.9179765794916</v>
      </c>
      <c r="AO67" s="74">
        <v>2665.7287999999994</v>
      </c>
      <c r="AP67" s="74">
        <v>2028.8028999999988</v>
      </c>
      <c r="AQ67" s="74">
        <v>3420.4339999999993</v>
      </c>
      <c r="AR67" s="74">
        <v>8180.1005999999998</v>
      </c>
      <c r="AS67" s="74">
        <v>9161.5234799999998</v>
      </c>
      <c r="AT67" s="74">
        <v>12070.494699999999</v>
      </c>
      <c r="AU67" s="74">
        <v>15409.453200000004</v>
      </c>
      <c r="AV67" s="74">
        <v>14955.418500000002</v>
      </c>
      <c r="AW67" s="74">
        <v>19311.763999999999</v>
      </c>
      <c r="AX67" s="74">
        <v>17611.634850000002</v>
      </c>
      <c r="AY67" s="74">
        <v>17177.9617</v>
      </c>
      <c r="AZ67" s="74">
        <v>20824.1492</v>
      </c>
      <c r="BA67" s="74">
        <v>25444.146100000002</v>
      </c>
      <c r="BB67" s="74">
        <v>21420.527249999999</v>
      </c>
      <c r="BC67" s="74">
        <v>23473.428600000003</v>
      </c>
      <c r="BD67" s="74">
        <v>25104.4764</v>
      </c>
      <c r="BE67" s="74">
        <v>29182.433250000002</v>
      </c>
      <c r="BF67" s="74">
        <v>23205.841979999997</v>
      </c>
      <c r="BG67" s="74">
        <v>24418.831770000001</v>
      </c>
      <c r="BH67" s="74">
        <v>26160.293429999998</v>
      </c>
      <c r="BI67" s="74">
        <v>29613.622319999995</v>
      </c>
      <c r="BJ67" s="74">
        <v>27491.539948759284</v>
      </c>
      <c r="BK67" s="74">
        <v>29043.807149182907</v>
      </c>
      <c r="BL67" s="74">
        <v>31204.926875653466</v>
      </c>
      <c r="BM67" s="74">
        <v>35247.027432088653</v>
      </c>
      <c r="BN67" s="74">
        <v>32716.447897197391</v>
      </c>
      <c r="BO67" s="74">
        <v>34670.237556393156</v>
      </c>
      <c r="BP67" s="74">
        <v>37343.723292735733</v>
      </c>
      <c r="BQ67" s="74">
        <v>42085.763471060338</v>
      </c>
      <c r="BR67" s="74">
        <v>0</v>
      </c>
      <c r="BS67" s="74">
        <v>0</v>
      </c>
      <c r="BT67" s="74">
        <v>0</v>
      </c>
      <c r="BU67" s="74">
        <v>0</v>
      </c>
      <c r="BV67" s="74">
        <v>0</v>
      </c>
      <c r="BW67" s="74">
        <v>0</v>
      </c>
      <c r="BX67" s="74">
        <v>0</v>
      </c>
      <c r="BY67" s="74">
        <v>0</v>
      </c>
      <c r="BZ67" s="74">
        <v>0</v>
      </c>
      <c r="CA67" s="74">
        <v>0</v>
      </c>
      <c r="CB67" s="74">
        <v>0</v>
      </c>
      <c r="CC67" s="74">
        <v>0</v>
      </c>
      <c r="CD67" s="74">
        <v>0</v>
      </c>
      <c r="CE67" s="74">
        <v>0</v>
      </c>
      <c r="CF67" s="74">
        <v>0</v>
      </c>
      <c r="CG67" s="74">
        <v>0</v>
      </c>
      <c r="CH67" s="74">
        <v>0</v>
      </c>
      <c r="CI67" s="74">
        <v>0</v>
      </c>
      <c r="CJ67" s="74">
        <v>0</v>
      </c>
      <c r="CK67" s="74">
        <v>0</v>
      </c>
      <c r="CL67" s="74">
        <v>0</v>
      </c>
      <c r="CM67" s="74">
        <v>0</v>
      </c>
      <c r="CN67" s="74">
        <v>0</v>
      </c>
      <c r="CO67" s="74">
        <v>0</v>
      </c>
      <c r="CP67" s="74">
        <v>0</v>
      </c>
      <c r="CQ67" s="74">
        <v>0</v>
      </c>
      <c r="CR67" s="74">
        <v>0</v>
      </c>
      <c r="CS67" s="74">
        <v>0</v>
      </c>
      <c r="CT67" s="74">
        <v>0</v>
      </c>
      <c r="CU67" s="74">
        <v>0</v>
      </c>
      <c r="CV67" s="74">
        <v>0</v>
      </c>
      <c r="CW67" s="74">
        <v>0</v>
      </c>
      <c r="CX67" s="74">
        <v>0</v>
      </c>
      <c r="CY67" s="74">
        <v>0</v>
      </c>
      <c r="CZ67" s="74">
        <v>0</v>
      </c>
      <c r="DA67" s="74">
        <v>0</v>
      </c>
      <c r="DB67" s="74">
        <v>0</v>
      </c>
      <c r="DC67" s="74">
        <v>0</v>
      </c>
      <c r="DD67" s="74">
        <v>0</v>
      </c>
      <c r="DE67" s="74">
        <v>0</v>
      </c>
      <c r="DF67" s="74">
        <v>0</v>
      </c>
      <c r="DG67" s="74">
        <v>0</v>
      </c>
      <c r="DH67" s="74">
        <v>0</v>
      </c>
      <c r="DI67" s="74">
        <v>0</v>
      </c>
      <c r="DJ67" s="74">
        <v>0</v>
      </c>
      <c r="DK67" s="74">
        <v>0</v>
      </c>
      <c r="DL67" s="74">
        <v>0</v>
      </c>
      <c r="DM67" s="74">
        <v>0</v>
      </c>
      <c r="DN67" s="74">
        <v>0</v>
      </c>
      <c r="DO67" s="74">
        <v>0</v>
      </c>
      <c r="DP67" s="74">
        <v>0</v>
      </c>
      <c r="DQ67" s="74">
        <v>0</v>
      </c>
      <c r="DR67" s="74">
        <v>0</v>
      </c>
      <c r="DS67" s="74">
        <v>0</v>
      </c>
      <c r="DT67" s="74">
        <v>0</v>
      </c>
      <c r="DU67" s="74">
        <v>0</v>
      </c>
      <c r="DV67" s="74">
        <v>0</v>
      </c>
      <c r="DW67" s="74">
        <v>0</v>
      </c>
      <c r="DX67" s="74">
        <v>0</v>
      </c>
      <c r="DY67" s="74">
        <v>0</v>
      </c>
      <c r="DZ67" s="74">
        <v>0</v>
      </c>
      <c r="EA67" s="74">
        <v>0</v>
      </c>
      <c r="EB67" s="74">
        <v>0</v>
      </c>
      <c r="EC67" s="74">
        <v>0</v>
      </c>
      <c r="ED67" s="74"/>
      <c r="EE67" s="80">
        <v>46063</v>
      </c>
      <c r="EF67" s="81">
        <v>46063.452990393518</v>
      </c>
      <c r="EG67" s="66" t="s">
        <v>70</v>
      </c>
      <c r="EH67" s="66" t="s">
        <v>209</v>
      </c>
      <c r="EI67" s="66" t="s">
        <v>6</v>
      </c>
      <c r="EJ67" s="66">
        <v>10</v>
      </c>
      <c r="EK67" s="66">
        <v>2027</v>
      </c>
      <c r="EL67" s="66" t="s">
        <v>24</v>
      </c>
      <c r="EM67" s="82">
        <v>241.43667956123221</v>
      </c>
      <c r="EN67" s="82">
        <v>206.2708139959758</v>
      </c>
      <c r="EO67" s="77">
        <v>210.28039999999999</v>
      </c>
      <c r="EP67" s="84">
        <v>0.19403388859999032</v>
      </c>
      <c r="EQ67" s="84">
        <v>0.1985771238014705</v>
      </c>
      <c r="ER67" s="84">
        <v>3.7812199999999997E-2</v>
      </c>
      <c r="ES67" s="85">
        <v>0.97173988520598786</v>
      </c>
      <c r="ET67" s="86">
        <v>1.3944000000000001</v>
      </c>
      <c r="EU67" s="85">
        <v>0.15269873395245903</v>
      </c>
      <c r="EV67" s="85">
        <v>3.6374216079711912E-2</v>
      </c>
      <c r="EW67" s="76">
        <v>2</v>
      </c>
      <c r="EX67" s="76" t="s">
        <v>32</v>
      </c>
      <c r="EY67" s="74" t="s">
        <v>243</v>
      </c>
      <c r="EZ67" s="74"/>
      <c r="FA67" s="74"/>
      <c r="FB67" s="74"/>
      <c r="FC67" s="74"/>
      <c r="FD67" s="68"/>
      <c r="FH67" s="73"/>
      <c r="FI67" s="74"/>
      <c r="FJ67" s="74"/>
      <c r="FK67" s="74"/>
      <c r="FL67" s="74"/>
      <c r="FM67" s="74"/>
      <c r="FN67" s="74"/>
      <c r="FO67" s="74"/>
      <c r="FP67" s="74"/>
      <c r="FQ67" s="74"/>
      <c r="FR67" s="74"/>
      <c r="FS67" s="74"/>
      <c r="FT67" s="74"/>
      <c r="FU67" s="74"/>
      <c r="FV67" s="74"/>
      <c r="FW67" s="74"/>
      <c r="FX67" s="74"/>
      <c r="FY67" s="74"/>
      <c r="FZ67" s="74"/>
      <c r="GA67" s="68"/>
    </row>
    <row r="68" spans="1:183" s="2" customFormat="1" ht="15" x14ac:dyDescent="0.3">
      <c r="A68" s="73" t="s">
        <v>181</v>
      </c>
      <c r="B68" s="73" t="s">
        <v>193</v>
      </c>
      <c r="C68" s="73" t="s">
        <v>193</v>
      </c>
      <c r="D68" s="73" t="s">
        <v>48</v>
      </c>
      <c r="E68" s="73" t="s">
        <v>178</v>
      </c>
      <c r="F68" s="73" t="s">
        <v>210</v>
      </c>
      <c r="G68" s="73" t="s">
        <v>227</v>
      </c>
      <c r="H68" s="73"/>
      <c r="I68" s="74">
        <v>0</v>
      </c>
      <c r="J68" s="74">
        <v>0</v>
      </c>
      <c r="K68" s="74">
        <v>0</v>
      </c>
      <c r="L68" s="74">
        <v>0</v>
      </c>
      <c r="M68" s="74">
        <v>15345.644957038758</v>
      </c>
      <c r="N68" s="74">
        <v>19660.613280000001</v>
      </c>
      <c r="O68" s="74">
        <v>39431.614300000001</v>
      </c>
      <c r="P68" s="74">
        <v>48929.021850000005</v>
      </c>
      <c r="Q68" s="74">
        <v>56502.057870000004</v>
      </c>
      <c r="R68" s="74">
        <v>68861.117000779341</v>
      </c>
      <c r="S68" s="74">
        <v>69202.391782770355</v>
      </c>
      <c r="T68" s="74">
        <v>80944.988178922838</v>
      </c>
      <c r="U68" s="74">
        <v>0</v>
      </c>
      <c r="V68" s="74">
        <v>0</v>
      </c>
      <c r="W68" s="74">
        <v>0</v>
      </c>
      <c r="X68" s="74">
        <v>0</v>
      </c>
      <c r="Y68" s="74">
        <v>0</v>
      </c>
      <c r="Z68" s="74">
        <v>0</v>
      </c>
      <c r="AA68" s="74">
        <v>0</v>
      </c>
      <c r="AB68" s="74">
        <v>0</v>
      </c>
      <c r="AC68" s="74">
        <v>0</v>
      </c>
      <c r="AD68" s="74">
        <v>0</v>
      </c>
      <c r="AE68" s="74">
        <v>0</v>
      </c>
      <c r="AF68" s="74">
        <v>0</v>
      </c>
      <c r="AG68" s="74">
        <v>0</v>
      </c>
      <c r="AH68" s="74">
        <v>0</v>
      </c>
      <c r="AI68" s="74">
        <v>0</v>
      </c>
      <c r="AJ68" s="74">
        <v>0</v>
      </c>
      <c r="AK68" s="74"/>
      <c r="AL68" s="74">
        <v>1063.1928787024451</v>
      </c>
      <c r="AM68" s="74">
        <v>1839.3190783363132</v>
      </c>
      <c r="AN68" s="74">
        <v>-1507.8109999999997</v>
      </c>
      <c r="AO68" s="74">
        <v>-461.21600000000007</v>
      </c>
      <c r="AP68" s="74">
        <v>-1551.0656000000004</v>
      </c>
      <c r="AQ68" s="74">
        <v>-833.6160000000001</v>
      </c>
      <c r="AR68" s="74">
        <v>3090.6456000000003</v>
      </c>
      <c r="AS68" s="74">
        <v>3973.5292800000002</v>
      </c>
      <c r="AT68" s="74">
        <v>5166.4031999999997</v>
      </c>
      <c r="AU68" s="74">
        <v>5497.5636000000004</v>
      </c>
      <c r="AV68" s="74">
        <v>5317.1635000000006</v>
      </c>
      <c r="AW68" s="74">
        <v>6963.924</v>
      </c>
      <c r="AX68" s="74">
        <v>6005.0165500000012</v>
      </c>
      <c r="AY68" s="74">
        <v>5888.1581999999999</v>
      </c>
      <c r="AZ68" s="74">
        <v>8407.2560000000012</v>
      </c>
      <c r="BA68" s="74">
        <v>10905.539100000002</v>
      </c>
      <c r="BB68" s="74">
        <v>7217.3199000000013</v>
      </c>
      <c r="BC68" s="74">
        <v>8886.0384000000013</v>
      </c>
      <c r="BD68" s="74">
        <v>9436.5096000000012</v>
      </c>
      <c r="BE68" s="74">
        <v>11990.281050000001</v>
      </c>
      <c r="BF68" s="74">
        <v>7114.21533</v>
      </c>
      <c r="BG68" s="74">
        <v>7664.2081199999993</v>
      </c>
      <c r="BH68" s="74">
        <v>8138.9895299999998</v>
      </c>
      <c r="BI68" s="74">
        <v>9733.2869699999992</v>
      </c>
      <c r="BJ68" s="74">
        <v>7846.0535705668726</v>
      </c>
      <c r="BK68" s="74">
        <v>8458.9480225710868</v>
      </c>
      <c r="BL68" s="74">
        <v>8990.4669649540629</v>
      </c>
      <c r="BM68" s="74">
        <v>10786.910650559954</v>
      </c>
      <c r="BN68" s="74">
        <v>8653.1758987684698</v>
      </c>
      <c r="BO68" s="74">
        <v>9336.0984629106497</v>
      </c>
      <c r="BP68" s="74">
        <v>9931.023494992789</v>
      </c>
      <c r="BQ68" s="74">
        <v>11954.588592918448</v>
      </c>
      <c r="BR68" s="74">
        <v>0</v>
      </c>
      <c r="BS68" s="74">
        <v>0</v>
      </c>
      <c r="BT68" s="74">
        <v>0</v>
      </c>
      <c r="BU68" s="74">
        <v>0</v>
      </c>
      <c r="BV68" s="74">
        <v>0</v>
      </c>
      <c r="BW68" s="74">
        <v>0</v>
      </c>
      <c r="BX68" s="74">
        <v>0</v>
      </c>
      <c r="BY68" s="74">
        <v>0</v>
      </c>
      <c r="BZ68" s="74">
        <v>0</v>
      </c>
      <c r="CA68" s="74">
        <v>0</v>
      </c>
      <c r="CB68" s="74">
        <v>0</v>
      </c>
      <c r="CC68" s="74">
        <v>0</v>
      </c>
      <c r="CD68" s="74">
        <v>0</v>
      </c>
      <c r="CE68" s="74">
        <v>0</v>
      </c>
      <c r="CF68" s="74">
        <v>0</v>
      </c>
      <c r="CG68" s="74">
        <v>0</v>
      </c>
      <c r="CH68" s="74">
        <v>0</v>
      </c>
      <c r="CI68" s="74">
        <v>0</v>
      </c>
      <c r="CJ68" s="74">
        <v>0</v>
      </c>
      <c r="CK68" s="74">
        <v>0</v>
      </c>
      <c r="CL68" s="74">
        <v>0</v>
      </c>
      <c r="CM68" s="74">
        <v>0</v>
      </c>
      <c r="CN68" s="74">
        <v>0</v>
      </c>
      <c r="CO68" s="74">
        <v>0</v>
      </c>
      <c r="CP68" s="74">
        <v>0</v>
      </c>
      <c r="CQ68" s="74">
        <v>0</v>
      </c>
      <c r="CR68" s="74">
        <v>0</v>
      </c>
      <c r="CS68" s="74">
        <v>0</v>
      </c>
      <c r="CT68" s="74">
        <v>0</v>
      </c>
      <c r="CU68" s="74">
        <v>0</v>
      </c>
      <c r="CV68" s="74">
        <v>0</v>
      </c>
      <c r="CW68" s="74">
        <v>0</v>
      </c>
      <c r="CX68" s="74">
        <v>0</v>
      </c>
      <c r="CY68" s="74">
        <v>0</v>
      </c>
      <c r="CZ68" s="74">
        <v>0</v>
      </c>
      <c r="DA68" s="74">
        <v>0</v>
      </c>
      <c r="DB68" s="74">
        <v>0</v>
      </c>
      <c r="DC68" s="74">
        <v>0</v>
      </c>
      <c r="DD68" s="74">
        <v>0</v>
      </c>
      <c r="DE68" s="74">
        <v>0</v>
      </c>
      <c r="DF68" s="74">
        <v>0</v>
      </c>
      <c r="DG68" s="74">
        <v>0</v>
      </c>
      <c r="DH68" s="74">
        <v>0</v>
      </c>
      <c r="DI68" s="74">
        <v>0</v>
      </c>
      <c r="DJ68" s="74">
        <v>0</v>
      </c>
      <c r="DK68" s="74">
        <v>0</v>
      </c>
      <c r="DL68" s="74">
        <v>0</v>
      </c>
      <c r="DM68" s="74">
        <v>0</v>
      </c>
      <c r="DN68" s="74">
        <v>0</v>
      </c>
      <c r="DO68" s="74">
        <v>0</v>
      </c>
      <c r="DP68" s="74">
        <v>0</v>
      </c>
      <c r="DQ68" s="74">
        <v>0</v>
      </c>
      <c r="DR68" s="74">
        <v>0</v>
      </c>
      <c r="DS68" s="74">
        <v>0</v>
      </c>
      <c r="DT68" s="74">
        <v>0</v>
      </c>
      <c r="DU68" s="74">
        <v>0</v>
      </c>
      <c r="DV68" s="74">
        <v>0</v>
      </c>
      <c r="DW68" s="74">
        <v>0</v>
      </c>
      <c r="DX68" s="74">
        <v>0</v>
      </c>
      <c r="DY68" s="74">
        <v>0</v>
      </c>
      <c r="DZ68" s="74">
        <v>0</v>
      </c>
      <c r="EA68" s="74">
        <v>0</v>
      </c>
      <c r="EB68" s="74">
        <v>0</v>
      </c>
      <c r="EC68" s="74">
        <v>0</v>
      </c>
      <c r="ED68" s="74"/>
      <c r="EE68" s="80">
        <v>46063</v>
      </c>
      <c r="EF68" s="81">
        <v>46063.452990393518</v>
      </c>
      <c r="EG68" s="66" t="s">
        <v>70</v>
      </c>
      <c r="EH68" s="66" t="s">
        <v>209</v>
      </c>
      <c r="EI68" s="66" t="s">
        <v>6</v>
      </c>
      <c r="EJ68" s="66">
        <v>10</v>
      </c>
      <c r="EK68" s="66">
        <v>2027</v>
      </c>
      <c r="EL68" s="66" t="s">
        <v>24</v>
      </c>
      <c r="EM68" s="82">
        <v>241.43667956123221</v>
      </c>
      <c r="EN68" s="82">
        <v>206.2708139959758</v>
      </c>
      <c r="EO68" s="77">
        <v>210.28039999999999</v>
      </c>
      <c r="EP68" s="84">
        <v>0.19403388859999032</v>
      </c>
      <c r="EQ68" s="84">
        <v>0.1985771238014705</v>
      </c>
      <c r="ER68" s="84">
        <v>3.7812199999999997E-2</v>
      </c>
      <c r="ES68" s="85">
        <v>0.97173988520598786</v>
      </c>
      <c r="ET68" s="86">
        <v>1.3944000000000001</v>
      </c>
      <c r="EU68" s="85">
        <v>0.15269873395245903</v>
      </c>
      <c r="EV68" s="85">
        <v>3.6374216079711912E-2</v>
      </c>
      <c r="EW68" s="76">
        <v>2</v>
      </c>
      <c r="EX68" s="76" t="s">
        <v>32</v>
      </c>
      <c r="EY68" s="74" t="s">
        <v>243</v>
      </c>
      <c r="EZ68" s="74"/>
      <c r="FA68" s="74"/>
      <c r="FB68" s="74"/>
      <c r="FC68" s="74"/>
      <c r="FD68" s="68"/>
      <c r="FH68" s="73"/>
      <c r="FI68" s="74"/>
      <c r="FJ68" s="74"/>
      <c r="FK68" s="74"/>
      <c r="FL68" s="74"/>
      <c r="FM68" s="74"/>
      <c r="FN68" s="74"/>
      <c r="FO68" s="74"/>
      <c r="FP68" s="74"/>
      <c r="FQ68" s="74"/>
      <c r="FR68" s="74"/>
      <c r="FS68" s="74"/>
      <c r="FT68" s="74"/>
      <c r="FU68" s="74"/>
      <c r="FV68" s="74"/>
      <c r="FW68" s="74"/>
      <c r="FX68" s="74"/>
      <c r="FY68" s="74"/>
      <c r="FZ68" s="74"/>
      <c r="GA68" s="68"/>
    </row>
    <row r="69" spans="1:183" s="2" customFormat="1" ht="15" x14ac:dyDescent="0.3">
      <c r="A69" s="73" t="s">
        <v>182</v>
      </c>
      <c r="B69" s="73" t="s">
        <v>195</v>
      </c>
      <c r="C69" s="73" t="s">
        <v>195</v>
      </c>
      <c r="D69" s="73" t="s">
        <v>48</v>
      </c>
      <c r="E69" s="73" t="s">
        <v>178</v>
      </c>
      <c r="F69" s="73" t="s">
        <v>210</v>
      </c>
      <c r="G69" s="73" t="s">
        <v>227</v>
      </c>
      <c r="H69" s="73"/>
      <c r="I69" s="74">
        <v>0</v>
      </c>
      <c r="J69" s="74">
        <v>0</v>
      </c>
      <c r="K69" s="74">
        <v>0</v>
      </c>
      <c r="L69" s="74">
        <v>0</v>
      </c>
      <c r="M69" s="74">
        <v>-2425.3193518291291</v>
      </c>
      <c r="N69" s="74">
        <v>342.82920000000013</v>
      </c>
      <c r="O69" s="74">
        <v>8334.2097000000012</v>
      </c>
      <c r="P69" s="74">
        <v>11809.8270877493</v>
      </c>
      <c r="Q69" s="74">
        <v>14493.599561544059</v>
      </c>
      <c r="R69" s="74">
        <v>18195.397957102101</v>
      </c>
      <c r="S69" s="74">
        <v>18583.478798393389</v>
      </c>
      <c r="T69" s="74">
        <v>22847.191495168368</v>
      </c>
      <c r="U69" s="74">
        <v>0</v>
      </c>
      <c r="V69" s="74">
        <v>0</v>
      </c>
      <c r="W69" s="74">
        <v>0</v>
      </c>
      <c r="X69" s="74">
        <v>0</v>
      </c>
      <c r="Y69" s="74">
        <v>0</v>
      </c>
      <c r="Z69" s="74">
        <v>0</v>
      </c>
      <c r="AA69" s="74">
        <v>0</v>
      </c>
      <c r="AB69" s="74">
        <v>0</v>
      </c>
      <c r="AC69" s="74">
        <v>0</v>
      </c>
      <c r="AD69" s="74">
        <v>0</v>
      </c>
      <c r="AE69" s="74">
        <v>0</v>
      </c>
      <c r="AF69" s="74">
        <v>0</v>
      </c>
      <c r="AG69" s="74">
        <v>0</v>
      </c>
      <c r="AH69" s="74">
        <v>0</v>
      </c>
      <c r="AI69" s="74">
        <v>0</v>
      </c>
      <c r="AJ69" s="74">
        <v>0</v>
      </c>
      <c r="AK69" s="74"/>
      <c r="AL69" s="74">
        <v>-561.37574877648774</v>
      </c>
      <c r="AM69" s="74">
        <v>-797.96840305264084</v>
      </c>
      <c r="AN69" s="74">
        <v>-3205.9500000000007</v>
      </c>
      <c r="AO69" s="74">
        <v>-2295.9552000000003</v>
      </c>
      <c r="AP69" s="74">
        <v>-1509.8475000000001</v>
      </c>
      <c r="AQ69" s="74">
        <v>-1420.9125000000001</v>
      </c>
      <c r="AR69" s="74">
        <v>-609.84</v>
      </c>
      <c r="AS69" s="74">
        <v>-744.4008</v>
      </c>
      <c r="AT69" s="74">
        <v>-334.91449999999998</v>
      </c>
      <c r="AU69" s="74">
        <v>1330.4256000000003</v>
      </c>
      <c r="AV69" s="74">
        <v>700.58660000000009</v>
      </c>
      <c r="AW69" s="74">
        <v>1770.6920000000002</v>
      </c>
      <c r="AX69" s="74">
        <v>1005.9525</v>
      </c>
      <c r="AY69" s="74">
        <v>862.81675000000018</v>
      </c>
      <c r="AZ69" s="74">
        <v>1636.4928000000002</v>
      </c>
      <c r="BA69" s="74">
        <v>2246.9849999999997</v>
      </c>
      <c r="BB69" s="74">
        <v>1581.8136</v>
      </c>
      <c r="BC69" s="74">
        <v>1676.3016000000005</v>
      </c>
      <c r="BD69" s="74">
        <v>1864.8576</v>
      </c>
      <c r="BE69" s="74">
        <v>2313.0144000000005</v>
      </c>
      <c r="BF69" s="74">
        <v>2372.7203999999997</v>
      </c>
      <c r="BG69" s="74">
        <v>2514.4524000000006</v>
      </c>
      <c r="BH69" s="74">
        <v>2797.2864000000004</v>
      </c>
      <c r="BI69" s="74">
        <v>3469.5216</v>
      </c>
      <c r="BJ69" s="74">
        <v>2496.8535656924123</v>
      </c>
      <c r="BK69" s="74">
        <v>2784.6450641118199</v>
      </c>
      <c r="BL69" s="74">
        <v>3184.4380356994052</v>
      </c>
      <c r="BM69" s="74">
        <v>3946.5995940287039</v>
      </c>
      <c r="BN69" s="74">
        <v>2627.4809828039211</v>
      </c>
      <c r="BO69" s="74">
        <v>3083.8715153575067</v>
      </c>
      <c r="BP69" s="74">
        <v>3625.1724539929428</v>
      </c>
      <c r="BQ69" s="74">
        <v>4489.2783937668901</v>
      </c>
      <c r="BR69" s="74">
        <v>0</v>
      </c>
      <c r="BS69" s="74">
        <v>0</v>
      </c>
      <c r="BT69" s="74">
        <v>0</v>
      </c>
      <c r="BU69" s="74">
        <v>0</v>
      </c>
      <c r="BV69" s="74">
        <v>0</v>
      </c>
      <c r="BW69" s="74">
        <v>0</v>
      </c>
      <c r="BX69" s="74">
        <v>0</v>
      </c>
      <c r="BY69" s="74">
        <v>0</v>
      </c>
      <c r="BZ69" s="74">
        <v>0</v>
      </c>
      <c r="CA69" s="74">
        <v>0</v>
      </c>
      <c r="CB69" s="74">
        <v>0</v>
      </c>
      <c r="CC69" s="74">
        <v>0</v>
      </c>
      <c r="CD69" s="74">
        <v>0</v>
      </c>
      <c r="CE69" s="74">
        <v>0</v>
      </c>
      <c r="CF69" s="74">
        <v>0</v>
      </c>
      <c r="CG69" s="74">
        <v>0</v>
      </c>
      <c r="CH69" s="74">
        <v>0</v>
      </c>
      <c r="CI69" s="74">
        <v>0</v>
      </c>
      <c r="CJ69" s="74">
        <v>0</v>
      </c>
      <c r="CK69" s="74">
        <v>0</v>
      </c>
      <c r="CL69" s="74">
        <v>0</v>
      </c>
      <c r="CM69" s="74">
        <v>0</v>
      </c>
      <c r="CN69" s="74">
        <v>0</v>
      </c>
      <c r="CO69" s="74">
        <v>0</v>
      </c>
      <c r="CP69" s="74">
        <v>0</v>
      </c>
      <c r="CQ69" s="74">
        <v>0</v>
      </c>
      <c r="CR69" s="74">
        <v>0</v>
      </c>
      <c r="CS69" s="74">
        <v>0</v>
      </c>
      <c r="CT69" s="74">
        <v>0</v>
      </c>
      <c r="CU69" s="74">
        <v>0</v>
      </c>
      <c r="CV69" s="74">
        <v>0</v>
      </c>
      <c r="CW69" s="74">
        <v>0</v>
      </c>
      <c r="CX69" s="74">
        <v>0</v>
      </c>
      <c r="CY69" s="74">
        <v>0</v>
      </c>
      <c r="CZ69" s="74">
        <v>0</v>
      </c>
      <c r="DA69" s="74">
        <v>0</v>
      </c>
      <c r="DB69" s="74">
        <v>0</v>
      </c>
      <c r="DC69" s="74">
        <v>0</v>
      </c>
      <c r="DD69" s="74">
        <v>0</v>
      </c>
      <c r="DE69" s="74">
        <v>0</v>
      </c>
      <c r="DF69" s="74">
        <v>0</v>
      </c>
      <c r="DG69" s="74">
        <v>0</v>
      </c>
      <c r="DH69" s="74">
        <v>0</v>
      </c>
      <c r="DI69" s="74">
        <v>0</v>
      </c>
      <c r="DJ69" s="74">
        <v>0</v>
      </c>
      <c r="DK69" s="74">
        <v>0</v>
      </c>
      <c r="DL69" s="74">
        <v>0</v>
      </c>
      <c r="DM69" s="74">
        <v>0</v>
      </c>
      <c r="DN69" s="74">
        <v>0</v>
      </c>
      <c r="DO69" s="74">
        <v>0</v>
      </c>
      <c r="DP69" s="74">
        <v>0</v>
      </c>
      <c r="DQ69" s="74">
        <v>0</v>
      </c>
      <c r="DR69" s="74">
        <v>0</v>
      </c>
      <c r="DS69" s="74">
        <v>0</v>
      </c>
      <c r="DT69" s="74">
        <v>0</v>
      </c>
      <c r="DU69" s="74">
        <v>0</v>
      </c>
      <c r="DV69" s="74">
        <v>0</v>
      </c>
      <c r="DW69" s="74">
        <v>0</v>
      </c>
      <c r="DX69" s="74">
        <v>0</v>
      </c>
      <c r="DY69" s="74">
        <v>0</v>
      </c>
      <c r="DZ69" s="74">
        <v>0</v>
      </c>
      <c r="EA69" s="74">
        <v>0</v>
      </c>
      <c r="EB69" s="74">
        <v>0</v>
      </c>
      <c r="EC69" s="74">
        <v>0</v>
      </c>
      <c r="ED69" s="74"/>
      <c r="EE69" s="80">
        <v>46063</v>
      </c>
      <c r="EF69" s="81">
        <v>46063.452990393518</v>
      </c>
      <c r="EG69" s="66" t="s">
        <v>70</v>
      </c>
      <c r="EH69" s="66" t="s">
        <v>209</v>
      </c>
      <c r="EI69" s="66" t="s">
        <v>6</v>
      </c>
      <c r="EJ69" s="66">
        <v>10</v>
      </c>
      <c r="EK69" s="66">
        <v>2027</v>
      </c>
      <c r="EL69" s="66" t="s">
        <v>24</v>
      </c>
      <c r="EM69" s="82">
        <v>241.43667956123221</v>
      </c>
      <c r="EN69" s="82">
        <v>206.2708139959758</v>
      </c>
      <c r="EO69" s="77">
        <v>210.28039999999999</v>
      </c>
      <c r="EP69" s="84">
        <v>0.19403388859999032</v>
      </c>
      <c r="EQ69" s="84">
        <v>0.1985771238014705</v>
      </c>
      <c r="ER69" s="84">
        <v>3.7812199999999997E-2</v>
      </c>
      <c r="ES69" s="85">
        <v>0.97173988520598786</v>
      </c>
      <c r="ET69" s="86">
        <v>1.3944000000000001</v>
      </c>
      <c r="EU69" s="85">
        <v>0.15269873395245903</v>
      </c>
      <c r="EV69" s="85">
        <v>3.6374216079711912E-2</v>
      </c>
      <c r="EW69" s="76">
        <v>2</v>
      </c>
      <c r="EX69" s="76" t="s">
        <v>32</v>
      </c>
      <c r="EY69" s="74" t="s">
        <v>243</v>
      </c>
      <c r="EZ69" s="74"/>
      <c r="FA69" s="74"/>
      <c r="FB69" s="74"/>
      <c r="FC69" s="74"/>
      <c r="FD69" s="68"/>
      <c r="FH69" s="73"/>
      <c r="FI69" s="74"/>
      <c r="FJ69" s="74"/>
      <c r="FK69" s="74"/>
      <c r="FL69" s="74"/>
      <c r="FM69" s="74"/>
      <c r="FN69" s="74"/>
      <c r="FO69" s="74"/>
      <c r="FP69" s="74"/>
      <c r="FQ69" s="74"/>
      <c r="FR69" s="74"/>
      <c r="FS69" s="74"/>
      <c r="FT69" s="74"/>
      <c r="FU69" s="74"/>
      <c r="FV69" s="74"/>
      <c r="FW69" s="74"/>
      <c r="FX69" s="74"/>
      <c r="FY69" s="74"/>
      <c r="FZ69" s="74"/>
      <c r="GA69" s="68"/>
    </row>
    <row r="70" spans="1:183" s="2" customFormat="1" ht="15" x14ac:dyDescent="0.3">
      <c r="A70" s="73" t="s">
        <v>183</v>
      </c>
      <c r="B70" s="73" t="s">
        <v>194</v>
      </c>
      <c r="C70" s="73" t="s">
        <v>194</v>
      </c>
      <c r="D70" s="73" t="s">
        <v>48</v>
      </c>
      <c r="E70" s="73" t="s">
        <v>178</v>
      </c>
      <c r="F70" s="73" t="s">
        <v>210</v>
      </c>
      <c r="G70" s="73" t="s">
        <v>227</v>
      </c>
      <c r="H70" s="73"/>
      <c r="I70" s="74">
        <v>0</v>
      </c>
      <c r="J70" s="74">
        <v>0</v>
      </c>
      <c r="K70" s="74">
        <v>0</v>
      </c>
      <c r="L70" s="74">
        <v>0</v>
      </c>
      <c r="M70" s="74">
        <v>34196.103525331884</v>
      </c>
      <c r="N70" s="74">
        <v>36645.764500000005</v>
      </c>
      <c r="O70" s="74">
        <v>57029.154400000007</v>
      </c>
      <c r="P70" s="74">
        <v>76479.308160289773</v>
      </c>
      <c r="Q70" s="74">
        <v>103244.77426570273</v>
      </c>
      <c r="R70" s="74">
        <v>143034.90418934682</v>
      </c>
      <c r="S70" s="74">
        <v>161185.55296743839</v>
      </c>
      <c r="T70" s="74">
        <v>201749.16001177096</v>
      </c>
      <c r="U70" s="74">
        <v>0</v>
      </c>
      <c r="V70" s="74">
        <v>0</v>
      </c>
      <c r="W70" s="74">
        <v>0</v>
      </c>
      <c r="X70" s="74">
        <v>0</v>
      </c>
      <c r="Y70" s="74">
        <v>0</v>
      </c>
      <c r="Z70" s="74">
        <v>0</v>
      </c>
      <c r="AA70" s="74">
        <v>0</v>
      </c>
      <c r="AB70" s="74">
        <v>0</v>
      </c>
      <c r="AC70" s="74">
        <v>0</v>
      </c>
      <c r="AD70" s="74">
        <v>0</v>
      </c>
      <c r="AE70" s="74">
        <v>0</v>
      </c>
      <c r="AF70" s="74">
        <v>0</v>
      </c>
      <c r="AG70" s="74">
        <v>0</v>
      </c>
      <c r="AH70" s="74">
        <v>0</v>
      </c>
      <c r="AI70" s="74">
        <v>0</v>
      </c>
      <c r="AJ70" s="74">
        <v>0</v>
      </c>
      <c r="AK70" s="74"/>
      <c r="AL70" s="74">
        <v>5542.7404091038325</v>
      </c>
      <c r="AM70" s="74">
        <v>5109.2801396485584</v>
      </c>
      <c r="AN70" s="74">
        <v>6297.678976579492</v>
      </c>
      <c r="AO70" s="74">
        <v>5422.9</v>
      </c>
      <c r="AP70" s="74">
        <v>5089.7159999999994</v>
      </c>
      <c r="AQ70" s="74">
        <v>5674.9624999999996</v>
      </c>
      <c r="AR70" s="74">
        <v>5699.2950000000001</v>
      </c>
      <c r="AS70" s="74">
        <v>5932.3950000000004</v>
      </c>
      <c r="AT70" s="74">
        <v>7239.0059999999985</v>
      </c>
      <c r="AU70" s="74">
        <v>8581.4640000000018</v>
      </c>
      <c r="AV70" s="74">
        <v>8937.6684000000005</v>
      </c>
      <c r="AW70" s="74">
        <v>10577.147999999999</v>
      </c>
      <c r="AX70" s="74">
        <v>10600.665799999999</v>
      </c>
      <c r="AY70" s="74">
        <v>10426.986749999998</v>
      </c>
      <c r="AZ70" s="74">
        <v>10780.4004</v>
      </c>
      <c r="BA70" s="74">
        <v>12291.621999999999</v>
      </c>
      <c r="BB70" s="74">
        <v>12621.393749999999</v>
      </c>
      <c r="BC70" s="74">
        <v>12911.088600000001</v>
      </c>
      <c r="BD70" s="74">
        <v>13803.109200000001</v>
      </c>
      <c r="BE70" s="74">
        <v>14879.1378</v>
      </c>
      <c r="BF70" s="74">
        <v>13718.90625</v>
      </c>
      <c r="BG70" s="74">
        <v>14240.171250000001</v>
      </c>
      <c r="BH70" s="74">
        <v>15224.017499999998</v>
      </c>
      <c r="BI70" s="74">
        <v>16410.813749999998</v>
      </c>
      <c r="BJ70" s="74">
        <v>17148.6328125</v>
      </c>
      <c r="BK70" s="74">
        <v>17800.214062499999</v>
      </c>
      <c r="BL70" s="74">
        <v>19030.021874999999</v>
      </c>
      <c r="BM70" s="74">
        <v>20513.517187499998</v>
      </c>
      <c r="BN70" s="74">
        <v>21435.791015625</v>
      </c>
      <c r="BO70" s="74">
        <v>22250.267578125</v>
      </c>
      <c r="BP70" s="74">
        <v>23787.52734375</v>
      </c>
      <c r="BQ70" s="74">
        <v>25641.896484375</v>
      </c>
      <c r="BR70" s="74">
        <v>0</v>
      </c>
      <c r="BS70" s="74">
        <v>0</v>
      </c>
      <c r="BT70" s="74">
        <v>0</v>
      </c>
      <c r="BU70" s="74">
        <v>0</v>
      </c>
      <c r="BV70" s="74">
        <v>0</v>
      </c>
      <c r="BW70" s="74">
        <v>0</v>
      </c>
      <c r="BX70" s="74">
        <v>0</v>
      </c>
      <c r="BY70" s="74">
        <v>0</v>
      </c>
      <c r="BZ70" s="74">
        <v>0</v>
      </c>
      <c r="CA70" s="74">
        <v>0</v>
      </c>
      <c r="CB70" s="74">
        <v>0</v>
      </c>
      <c r="CC70" s="74">
        <v>0</v>
      </c>
      <c r="CD70" s="74">
        <v>0</v>
      </c>
      <c r="CE70" s="74">
        <v>0</v>
      </c>
      <c r="CF70" s="74">
        <v>0</v>
      </c>
      <c r="CG70" s="74">
        <v>0</v>
      </c>
      <c r="CH70" s="74">
        <v>0</v>
      </c>
      <c r="CI70" s="74">
        <v>0</v>
      </c>
      <c r="CJ70" s="74">
        <v>0</v>
      </c>
      <c r="CK70" s="74">
        <v>0</v>
      </c>
      <c r="CL70" s="74">
        <v>0</v>
      </c>
      <c r="CM70" s="74">
        <v>0</v>
      </c>
      <c r="CN70" s="74">
        <v>0</v>
      </c>
      <c r="CO70" s="74">
        <v>0</v>
      </c>
      <c r="CP70" s="74">
        <v>0</v>
      </c>
      <c r="CQ70" s="74">
        <v>0</v>
      </c>
      <c r="CR70" s="74">
        <v>0</v>
      </c>
      <c r="CS70" s="74">
        <v>0</v>
      </c>
      <c r="CT70" s="74">
        <v>0</v>
      </c>
      <c r="CU70" s="74">
        <v>0</v>
      </c>
      <c r="CV70" s="74">
        <v>0</v>
      </c>
      <c r="CW70" s="74">
        <v>0</v>
      </c>
      <c r="CX70" s="74">
        <v>0</v>
      </c>
      <c r="CY70" s="74">
        <v>0</v>
      </c>
      <c r="CZ70" s="74">
        <v>0</v>
      </c>
      <c r="DA70" s="74">
        <v>0</v>
      </c>
      <c r="DB70" s="74">
        <v>0</v>
      </c>
      <c r="DC70" s="74">
        <v>0</v>
      </c>
      <c r="DD70" s="74">
        <v>0</v>
      </c>
      <c r="DE70" s="74">
        <v>0</v>
      </c>
      <c r="DF70" s="74">
        <v>0</v>
      </c>
      <c r="DG70" s="74">
        <v>0</v>
      </c>
      <c r="DH70" s="74">
        <v>0</v>
      </c>
      <c r="DI70" s="74">
        <v>0</v>
      </c>
      <c r="DJ70" s="74">
        <v>0</v>
      </c>
      <c r="DK70" s="74">
        <v>0</v>
      </c>
      <c r="DL70" s="74">
        <v>0</v>
      </c>
      <c r="DM70" s="74">
        <v>0</v>
      </c>
      <c r="DN70" s="74">
        <v>0</v>
      </c>
      <c r="DO70" s="74">
        <v>0</v>
      </c>
      <c r="DP70" s="74">
        <v>0</v>
      </c>
      <c r="DQ70" s="74">
        <v>0</v>
      </c>
      <c r="DR70" s="74">
        <v>0</v>
      </c>
      <c r="DS70" s="74">
        <v>0</v>
      </c>
      <c r="DT70" s="74">
        <v>0</v>
      </c>
      <c r="DU70" s="74">
        <v>0</v>
      </c>
      <c r="DV70" s="74">
        <v>0</v>
      </c>
      <c r="DW70" s="74">
        <v>0</v>
      </c>
      <c r="DX70" s="74">
        <v>0</v>
      </c>
      <c r="DY70" s="74">
        <v>0</v>
      </c>
      <c r="DZ70" s="74">
        <v>0</v>
      </c>
      <c r="EA70" s="74">
        <v>0</v>
      </c>
      <c r="EB70" s="74">
        <v>0</v>
      </c>
      <c r="EC70" s="74">
        <v>0</v>
      </c>
      <c r="ED70" s="74"/>
      <c r="EE70" s="80">
        <v>46063</v>
      </c>
      <c r="EF70" s="81">
        <v>46063.452990393518</v>
      </c>
      <c r="EG70" s="66" t="s">
        <v>70</v>
      </c>
      <c r="EH70" s="66" t="s">
        <v>209</v>
      </c>
      <c r="EI70" s="66" t="s">
        <v>6</v>
      </c>
      <c r="EJ70" s="66">
        <v>10</v>
      </c>
      <c r="EK70" s="66">
        <v>2027</v>
      </c>
      <c r="EL70" s="66" t="s">
        <v>24</v>
      </c>
      <c r="EM70" s="82">
        <v>241.43667956123221</v>
      </c>
      <c r="EN70" s="82">
        <v>206.2708139959758</v>
      </c>
      <c r="EO70" s="77">
        <v>210.28039999999999</v>
      </c>
      <c r="EP70" s="84">
        <v>0.19403388859999032</v>
      </c>
      <c r="EQ70" s="84">
        <v>0.1985771238014705</v>
      </c>
      <c r="ER70" s="84">
        <v>3.7812199999999997E-2</v>
      </c>
      <c r="ES70" s="85">
        <v>0.97173988520598786</v>
      </c>
      <c r="ET70" s="86">
        <v>1.3944000000000001</v>
      </c>
      <c r="EU70" s="85">
        <v>0.15269873395245903</v>
      </c>
      <c r="EV70" s="85">
        <v>3.6374216079711912E-2</v>
      </c>
      <c r="EW70" s="76">
        <v>2</v>
      </c>
      <c r="EX70" s="76" t="s">
        <v>32</v>
      </c>
      <c r="EY70" s="74" t="s">
        <v>243</v>
      </c>
      <c r="EZ70" s="74"/>
      <c r="FA70" s="74"/>
      <c r="FB70" s="74"/>
      <c r="FC70" s="74"/>
      <c r="FD70" s="68"/>
      <c r="FH70" s="73"/>
      <c r="FI70" s="74"/>
      <c r="FJ70" s="74"/>
      <c r="FK70" s="74"/>
      <c r="FL70" s="74"/>
      <c r="FM70" s="74"/>
      <c r="FN70" s="74"/>
      <c r="FO70" s="74"/>
      <c r="FP70" s="74"/>
      <c r="FQ70" s="74"/>
      <c r="FR70" s="74"/>
      <c r="FS70" s="74"/>
      <c r="FT70" s="74"/>
      <c r="FU70" s="74"/>
      <c r="FV70" s="74"/>
      <c r="FW70" s="74"/>
      <c r="FX70" s="74"/>
      <c r="FY70" s="74"/>
      <c r="FZ70" s="74"/>
      <c r="GA70" s="68"/>
    </row>
    <row r="71" spans="1:183" s="2" customFormat="1" ht="15" x14ac:dyDescent="0.3">
      <c r="A71" s="73" t="s">
        <v>197</v>
      </c>
      <c r="B71" s="73" t="s">
        <v>204</v>
      </c>
      <c r="C71" s="73" t="s">
        <v>204</v>
      </c>
      <c r="D71" s="73" t="s">
        <v>48</v>
      </c>
      <c r="E71" s="73" t="s">
        <v>178</v>
      </c>
      <c r="F71" s="73" t="s">
        <v>210</v>
      </c>
      <c r="G71" s="73" t="s">
        <v>227</v>
      </c>
      <c r="H71" s="73"/>
      <c r="I71" s="74">
        <v>0</v>
      </c>
      <c r="J71" s="74">
        <v>0</v>
      </c>
      <c r="K71" s="74">
        <v>0</v>
      </c>
      <c r="L71" s="74">
        <v>0</v>
      </c>
      <c r="M71" s="74">
        <v>10654</v>
      </c>
      <c r="N71" s="74">
        <v>15537</v>
      </c>
      <c r="O71" s="74">
        <v>9337</v>
      </c>
      <c r="P71" s="74">
        <v>5238.1786361847553</v>
      </c>
      <c r="Q71" s="74">
        <v>4071.3501263563958</v>
      </c>
      <c r="R71" s="74">
        <v>5540.5114262746793</v>
      </c>
      <c r="S71" s="74">
        <v>5030.6418958247459</v>
      </c>
      <c r="T71" s="74">
        <v>4648.3272738199103</v>
      </c>
      <c r="U71" s="74">
        <v>0</v>
      </c>
      <c r="V71" s="74">
        <v>0</v>
      </c>
      <c r="W71" s="74">
        <v>0</v>
      </c>
      <c r="X71" s="74">
        <v>0</v>
      </c>
      <c r="Y71" s="74">
        <v>0</v>
      </c>
      <c r="Z71" s="74">
        <v>0</v>
      </c>
      <c r="AA71" s="74">
        <v>0</v>
      </c>
      <c r="AB71" s="74">
        <v>0</v>
      </c>
      <c r="AC71" s="74">
        <v>0</v>
      </c>
      <c r="AD71" s="74">
        <v>0</v>
      </c>
      <c r="AE71" s="74">
        <v>0</v>
      </c>
      <c r="AF71" s="74">
        <v>0</v>
      </c>
      <c r="AG71" s="74">
        <v>0</v>
      </c>
      <c r="AH71" s="74">
        <v>0</v>
      </c>
      <c r="AI71" s="74">
        <v>0</v>
      </c>
      <c r="AJ71" s="74">
        <v>0</v>
      </c>
      <c r="AK71" s="74"/>
      <c r="AL71" s="74">
        <v>0</v>
      </c>
      <c r="AM71" s="74">
        <v>0</v>
      </c>
      <c r="AN71" s="74">
        <v>0</v>
      </c>
      <c r="AO71" s="74">
        <v>0</v>
      </c>
      <c r="AP71" s="74">
        <v>0</v>
      </c>
      <c r="AQ71" s="74">
        <v>0</v>
      </c>
      <c r="AR71" s="74">
        <v>0</v>
      </c>
      <c r="AS71" s="74">
        <v>0</v>
      </c>
      <c r="AT71" s="74">
        <v>0</v>
      </c>
      <c r="AU71" s="74">
        <v>0</v>
      </c>
      <c r="AV71" s="74">
        <v>0</v>
      </c>
      <c r="AW71" s="74">
        <v>0</v>
      </c>
      <c r="AX71" s="74">
        <v>0</v>
      </c>
      <c r="AY71" s="74">
        <v>0</v>
      </c>
      <c r="AZ71" s="74">
        <v>0</v>
      </c>
      <c r="BA71" s="74">
        <v>0</v>
      </c>
      <c r="BB71" s="74">
        <v>0</v>
      </c>
      <c r="BC71" s="74">
        <v>0</v>
      </c>
      <c r="BD71" s="74">
        <v>0</v>
      </c>
      <c r="BE71" s="74">
        <v>0</v>
      </c>
      <c r="BF71" s="74">
        <v>0</v>
      </c>
      <c r="BG71" s="74">
        <v>0</v>
      </c>
      <c r="BH71" s="74">
        <v>0</v>
      </c>
      <c r="BI71" s="74">
        <v>0</v>
      </c>
      <c r="BJ71" s="74">
        <v>0</v>
      </c>
      <c r="BK71" s="74">
        <v>0</v>
      </c>
      <c r="BL71" s="74">
        <v>0</v>
      </c>
      <c r="BM71" s="74">
        <v>0</v>
      </c>
      <c r="BN71" s="74">
        <v>0</v>
      </c>
      <c r="BO71" s="74">
        <v>0</v>
      </c>
      <c r="BP71" s="74">
        <v>0</v>
      </c>
      <c r="BQ71" s="74">
        <v>0</v>
      </c>
      <c r="BR71" s="74">
        <v>0</v>
      </c>
      <c r="BS71" s="74">
        <v>0</v>
      </c>
      <c r="BT71" s="74">
        <v>0</v>
      </c>
      <c r="BU71" s="74">
        <v>0</v>
      </c>
      <c r="BV71" s="74">
        <v>0</v>
      </c>
      <c r="BW71" s="74">
        <v>0</v>
      </c>
      <c r="BX71" s="74">
        <v>0</v>
      </c>
      <c r="BY71" s="74">
        <v>0</v>
      </c>
      <c r="BZ71" s="74">
        <v>0</v>
      </c>
      <c r="CA71" s="74">
        <v>0</v>
      </c>
      <c r="CB71" s="74">
        <v>0</v>
      </c>
      <c r="CC71" s="74">
        <v>0</v>
      </c>
      <c r="CD71" s="74">
        <v>0</v>
      </c>
      <c r="CE71" s="74">
        <v>0</v>
      </c>
      <c r="CF71" s="74">
        <v>0</v>
      </c>
      <c r="CG71" s="74">
        <v>0</v>
      </c>
      <c r="CH71" s="74">
        <v>0</v>
      </c>
      <c r="CI71" s="74">
        <v>0</v>
      </c>
      <c r="CJ71" s="74">
        <v>0</v>
      </c>
      <c r="CK71" s="74">
        <v>0</v>
      </c>
      <c r="CL71" s="74">
        <v>0</v>
      </c>
      <c r="CM71" s="74">
        <v>0</v>
      </c>
      <c r="CN71" s="74">
        <v>0</v>
      </c>
      <c r="CO71" s="74">
        <v>0</v>
      </c>
      <c r="CP71" s="74">
        <v>0</v>
      </c>
      <c r="CQ71" s="74">
        <v>0</v>
      </c>
      <c r="CR71" s="74">
        <v>0</v>
      </c>
      <c r="CS71" s="74">
        <v>0</v>
      </c>
      <c r="CT71" s="74">
        <v>0</v>
      </c>
      <c r="CU71" s="74">
        <v>0</v>
      </c>
      <c r="CV71" s="74">
        <v>0</v>
      </c>
      <c r="CW71" s="74">
        <v>0</v>
      </c>
      <c r="CX71" s="74">
        <v>0</v>
      </c>
      <c r="CY71" s="74">
        <v>0</v>
      </c>
      <c r="CZ71" s="74">
        <v>0</v>
      </c>
      <c r="DA71" s="74">
        <v>0</v>
      </c>
      <c r="DB71" s="74">
        <v>0</v>
      </c>
      <c r="DC71" s="74">
        <v>0</v>
      </c>
      <c r="DD71" s="74">
        <v>0</v>
      </c>
      <c r="DE71" s="74">
        <v>0</v>
      </c>
      <c r="DF71" s="74">
        <v>0</v>
      </c>
      <c r="DG71" s="74">
        <v>0</v>
      </c>
      <c r="DH71" s="74">
        <v>0</v>
      </c>
      <c r="DI71" s="74">
        <v>0</v>
      </c>
      <c r="DJ71" s="74">
        <v>0</v>
      </c>
      <c r="DK71" s="74">
        <v>0</v>
      </c>
      <c r="DL71" s="74">
        <v>0</v>
      </c>
      <c r="DM71" s="74">
        <v>0</v>
      </c>
      <c r="DN71" s="74">
        <v>0</v>
      </c>
      <c r="DO71" s="74">
        <v>0</v>
      </c>
      <c r="DP71" s="74">
        <v>0</v>
      </c>
      <c r="DQ71" s="74">
        <v>0</v>
      </c>
      <c r="DR71" s="74">
        <v>0</v>
      </c>
      <c r="DS71" s="74">
        <v>0</v>
      </c>
      <c r="DT71" s="74">
        <v>0</v>
      </c>
      <c r="DU71" s="74">
        <v>0</v>
      </c>
      <c r="DV71" s="74">
        <v>0</v>
      </c>
      <c r="DW71" s="74">
        <v>0</v>
      </c>
      <c r="DX71" s="74">
        <v>0</v>
      </c>
      <c r="DY71" s="74">
        <v>0</v>
      </c>
      <c r="DZ71" s="74">
        <v>0</v>
      </c>
      <c r="EA71" s="74">
        <v>0</v>
      </c>
      <c r="EB71" s="74">
        <v>0</v>
      </c>
      <c r="EC71" s="74">
        <v>0</v>
      </c>
      <c r="ED71" s="74"/>
      <c r="EE71" s="80">
        <v>46063</v>
      </c>
      <c r="EF71" s="81">
        <v>46063.452990393518</v>
      </c>
      <c r="EG71" s="66" t="s">
        <v>70</v>
      </c>
      <c r="EH71" s="66" t="s">
        <v>209</v>
      </c>
      <c r="EI71" s="66" t="s">
        <v>6</v>
      </c>
      <c r="EJ71" s="66">
        <v>10</v>
      </c>
      <c r="EK71" s="66">
        <v>2027</v>
      </c>
      <c r="EL71" s="66" t="s">
        <v>24</v>
      </c>
      <c r="EM71" s="82">
        <v>241.43667956123221</v>
      </c>
      <c r="EN71" s="82">
        <v>206.2708139959758</v>
      </c>
      <c r="EO71" s="77">
        <v>210.28039999999999</v>
      </c>
      <c r="EP71" s="84">
        <v>0.19403388859999032</v>
      </c>
      <c r="EQ71" s="84">
        <v>0.1985771238014705</v>
      </c>
      <c r="ER71" s="84">
        <v>3.7812199999999997E-2</v>
      </c>
      <c r="ES71" s="85">
        <v>0.97173988520598786</v>
      </c>
      <c r="ET71" s="86">
        <v>1.3944000000000001</v>
      </c>
      <c r="EU71" s="85">
        <v>0.15269873395245903</v>
      </c>
      <c r="EV71" s="85">
        <v>3.6374216079711912E-2</v>
      </c>
      <c r="EW71" s="76">
        <v>2</v>
      </c>
      <c r="EX71" s="76" t="s">
        <v>32</v>
      </c>
      <c r="EY71" s="74" t="s">
        <v>243</v>
      </c>
      <c r="EZ71" s="74"/>
      <c r="FA71" s="74"/>
      <c r="FB71" s="74"/>
      <c r="FC71" s="74"/>
      <c r="FD71" s="68"/>
      <c r="FH71" s="73"/>
      <c r="FI71" s="74"/>
      <c r="FJ71" s="74"/>
      <c r="FK71" s="74"/>
      <c r="FL71" s="74"/>
      <c r="FM71" s="74"/>
      <c r="FN71" s="74"/>
      <c r="FO71" s="74"/>
      <c r="FP71" s="74"/>
      <c r="FQ71" s="74"/>
      <c r="FR71" s="74"/>
      <c r="FS71" s="74"/>
      <c r="FT71" s="74"/>
      <c r="FU71" s="74"/>
      <c r="FV71" s="74"/>
      <c r="FW71" s="74"/>
      <c r="FX71" s="74"/>
      <c r="FY71" s="74"/>
      <c r="FZ71" s="74"/>
      <c r="GA71" s="68"/>
    </row>
    <row r="72" spans="1:183" s="2" customFormat="1" ht="15" x14ac:dyDescent="0.3">
      <c r="A72" s="73" t="s">
        <v>184</v>
      </c>
      <c r="B72" s="73" t="s">
        <v>166</v>
      </c>
      <c r="C72" s="73" t="s">
        <v>166</v>
      </c>
      <c r="D72" s="73" t="s">
        <v>48</v>
      </c>
      <c r="E72" s="73" t="s">
        <v>178</v>
      </c>
      <c r="F72" s="73" t="s">
        <v>210</v>
      </c>
      <c r="G72" s="73" t="s">
        <v>227</v>
      </c>
      <c r="H72" s="73"/>
      <c r="I72" s="74">
        <v>0</v>
      </c>
      <c r="J72" s="74">
        <v>0</v>
      </c>
      <c r="K72" s="74">
        <v>0</v>
      </c>
      <c r="L72" s="74">
        <v>0</v>
      </c>
      <c r="M72" s="74">
        <v>14412.16</v>
      </c>
      <c r="N72" s="74">
        <v>14981.12</v>
      </c>
      <c r="O72" s="74">
        <v>16486.560000000001</v>
      </c>
      <c r="P72" s="74">
        <v>17723.052</v>
      </c>
      <c r="Q72" s="74">
        <v>18971.908920000002</v>
      </c>
      <c r="R72" s="74">
        <v>24617.052575779337</v>
      </c>
      <c r="S72" s="74">
        <v>27300.660180270348</v>
      </c>
      <c r="T72" s="74">
        <v>32757.996836047834</v>
      </c>
      <c r="U72" s="74">
        <v>0</v>
      </c>
      <c r="V72" s="74">
        <v>0</v>
      </c>
      <c r="W72" s="74">
        <v>0</v>
      </c>
      <c r="X72" s="74">
        <v>0</v>
      </c>
      <c r="Y72" s="74">
        <v>0</v>
      </c>
      <c r="Z72" s="74">
        <v>0</v>
      </c>
      <c r="AA72" s="74">
        <v>0</v>
      </c>
      <c r="AB72" s="74">
        <v>0</v>
      </c>
      <c r="AC72" s="74">
        <v>0</v>
      </c>
      <c r="AD72" s="74">
        <v>0</v>
      </c>
      <c r="AE72" s="74">
        <v>0</v>
      </c>
      <c r="AF72" s="74">
        <v>0</v>
      </c>
      <c r="AG72" s="74">
        <v>0</v>
      </c>
      <c r="AH72" s="74">
        <v>0</v>
      </c>
      <c r="AI72" s="74">
        <v>0</v>
      </c>
      <c r="AJ72" s="74">
        <v>0</v>
      </c>
      <c r="AK72" s="74"/>
      <c r="AL72" s="74">
        <v>0</v>
      </c>
      <c r="AM72" s="74">
        <v>0</v>
      </c>
      <c r="AN72" s="74">
        <v>0</v>
      </c>
      <c r="AO72" s="74">
        <v>0</v>
      </c>
      <c r="AP72" s="74">
        <v>0</v>
      </c>
      <c r="AQ72" s="74">
        <v>0</v>
      </c>
      <c r="AR72" s="74">
        <v>0</v>
      </c>
      <c r="AS72" s="74">
        <v>0</v>
      </c>
      <c r="AT72" s="74">
        <v>0</v>
      </c>
      <c r="AU72" s="74">
        <v>0</v>
      </c>
      <c r="AV72" s="74">
        <v>0</v>
      </c>
      <c r="AW72" s="74">
        <v>0</v>
      </c>
      <c r="AX72" s="74">
        <v>0</v>
      </c>
      <c r="AY72" s="74">
        <v>0</v>
      </c>
      <c r="AZ72" s="74">
        <v>0</v>
      </c>
      <c r="BA72" s="74">
        <v>0</v>
      </c>
      <c r="BB72" s="74">
        <v>0</v>
      </c>
      <c r="BC72" s="74">
        <v>0</v>
      </c>
      <c r="BD72" s="74">
        <v>0</v>
      </c>
      <c r="BE72" s="74">
        <v>0</v>
      </c>
      <c r="BF72" s="74">
        <v>0</v>
      </c>
      <c r="BG72" s="74">
        <v>0</v>
      </c>
      <c r="BH72" s="74">
        <v>0</v>
      </c>
      <c r="BI72" s="74">
        <v>0</v>
      </c>
      <c r="BJ72" s="74">
        <v>0</v>
      </c>
      <c r="BK72" s="74">
        <v>0</v>
      </c>
      <c r="BL72" s="74">
        <v>0</v>
      </c>
      <c r="BM72" s="74">
        <v>0</v>
      </c>
      <c r="BN72" s="74">
        <v>0</v>
      </c>
      <c r="BO72" s="74">
        <v>0</v>
      </c>
      <c r="BP72" s="74">
        <v>0</v>
      </c>
      <c r="BQ72" s="74">
        <v>0</v>
      </c>
      <c r="BR72" s="74">
        <v>0</v>
      </c>
      <c r="BS72" s="74">
        <v>0</v>
      </c>
      <c r="BT72" s="74">
        <v>0</v>
      </c>
      <c r="BU72" s="74">
        <v>0</v>
      </c>
      <c r="BV72" s="74">
        <v>0</v>
      </c>
      <c r="BW72" s="74">
        <v>0</v>
      </c>
      <c r="BX72" s="74">
        <v>0</v>
      </c>
      <c r="BY72" s="74">
        <v>0</v>
      </c>
      <c r="BZ72" s="74">
        <v>0</v>
      </c>
      <c r="CA72" s="74">
        <v>0</v>
      </c>
      <c r="CB72" s="74">
        <v>0</v>
      </c>
      <c r="CC72" s="74">
        <v>0</v>
      </c>
      <c r="CD72" s="74">
        <v>0</v>
      </c>
      <c r="CE72" s="74">
        <v>0</v>
      </c>
      <c r="CF72" s="74">
        <v>0</v>
      </c>
      <c r="CG72" s="74">
        <v>0</v>
      </c>
      <c r="CH72" s="74">
        <v>0</v>
      </c>
      <c r="CI72" s="74">
        <v>0</v>
      </c>
      <c r="CJ72" s="74">
        <v>0</v>
      </c>
      <c r="CK72" s="74">
        <v>0</v>
      </c>
      <c r="CL72" s="74">
        <v>0</v>
      </c>
      <c r="CM72" s="74">
        <v>0</v>
      </c>
      <c r="CN72" s="74">
        <v>0</v>
      </c>
      <c r="CO72" s="74">
        <v>0</v>
      </c>
      <c r="CP72" s="74">
        <v>0</v>
      </c>
      <c r="CQ72" s="74">
        <v>0</v>
      </c>
      <c r="CR72" s="74">
        <v>0</v>
      </c>
      <c r="CS72" s="74">
        <v>0</v>
      </c>
      <c r="CT72" s="74">
        <v>0</v>
      </c>
      <c r="CU72" s="74">
        <v>0</v>
      </c>
      <c r="CV72" s="74">
        <v>0</v>
      </c>
      <c r="CW72" s="74">
        <v>0</v>
      </c>
      <c r="CX72" s="74">
        <v>0</v>
      </c>
      <c r="CY72" s="74">
        <v>0</v>
      </c>
      <c r="CZ72" s="74">
        <v>0</v>
      </c>
      <c r="DA72" s="74">
        <v>0</v>
      </c>
      <c r="DB72" s="74">
        <v>0</v>
      </c>
      <c r="DC72" s="74">
        <v>0</v>
      </c>
      <c r="DD72" s="74">
        <v>0</v>
      </c>
      <c r="DE72" s="74">
        <v>0</v>
      </c>
      <c r="DF72" s="74">
        <v>0</v>
      </c>
      <c r="DG72" s="74">
        <v>0</v>
      </c>
      <c r="DH72" s="74">
        <v>0</v>
      </c>
      <c r="DI72" s="74">
        <v>0</v>
      </c>
      <c r="DJ72" s="74">
        <v>0</v>
      </c>
      <c r="DK72" s="74">
        <v>0</v>
      </c>
      <c r="DL72" s="74">
        <v>0</v>
      </c>
      <c r="DM72" s="74">
        <v>0</v>
      </c>
      <c r="DN72" s="74">
        <v>0</v>
      </c>
      <c r="DO72" s="74">
        <v>0</v>
      </c>
      <c r="DP72" s="74">
        <v>0</v>
      </c>
      <c r="DQ72" s="74">
        <v>0</v>
      </c>
      <c r="DR72" s="74">
        <v>0</v>
      </c>
      <c r="DS72" s="74">
        <v>0</v>
      </c>
      <c r="DT72" s="74">
        <v>0</v>
      </c>
      <c r="DU72" s="74">
        <v>0</v>
      </c>
      <c r="DV72" s="74">
        <v>0</v>
      </c>
      <c r="DW72" s="74">
        <v>0</v>
      </c>
      <c r="DX72" s="74">
        <v>0</v>
      </c>
      <c r="DY72" s="74">
        <v>0</v>
      </c>
      <c r="DZ72" s="74">
        <v>0</v>
      </c>
      <c r="EA72" s="74">
        <v>0</v>
      </c>
      <c r="EB72" s="74">
        <v>0</v>
      </c>
      <c r="EC72" s="74">
        <v>0</v>
      </c>
      <c r="ED72" s="74"/>
      <c r="EE72" s="80">
        <v>46063</v>
      </c>
      <c r="EF72" s="81">
        <v>46063.452990393518</v>
      </c>
      <c r="EG72" s="66" t="s">
        <v>70</v>
      </c>
      <c r="EH72" s="66" t="s">
        <v>209</v>
      </c>
      <c r="EI72" s="66" t="s">
        <v>6</v>
      </c>
      <c r="EJ72" s="66">
        <v>10</v>
      </c>
      <c r="EK72" s="66">
        <v>2027</v>
      </c>
      <c r="EL72" s="66" t="s">
        <v>24</v>
      </c>
      <c r="EM72" s="82">
        <v>241.43667956123221</v>
      </c>
      <c r="EN72" s="82">
        <v>206.2708139959758</v>
      </c>
      <c r="EO72" s="77">
        <v>210.28039999999999</v>
      </c>
      <c r="EP72" s="84">
        <v>0.19403388859999032</v>
      </c>
      <c r="EQ72" s="84">
        <v>0.1985771238014705</v>
      </c>
      <c r="ER72" s="84">
        <v>3.7812199999999997E-2</v>
      </c>
      <c r="ES72" s="85">
        <v>0.97173988520598786</v>
      </c>
      <c r="ET72" s="86">
        <v>1.3944000000000001</v>
      </c>
      <c r="EU72" s="85">
        <v>0.15269873395245903</v>
      </c>
      <c r="EV72" s="85">
        <v>3.6374216079711912E-2</v>
      </c>
      <c r="EW72" s="76">
        <v>2</v>
      </c>
      <c r="EX72" s="76" t="s">
        <v>32</v>
      </c>
      <c r="EY72" s="74" t="s">
        <v>243</v>
      </c>
      <c r="EZ72" s="74"/>
      <c r="FA72" s="74"/>
      <c r="FB72" s="74"/>
      <c r="FC72" s="74"/>
      <c r="FD72" s="68"/>
      <c r="FH72" s="73"/>
      <c r="FI72" s="74"/>
      <c r="FJ72" s="74"/>
      <c r="FK72" s="74"/>
      <c r="FL72" s="74"/>
      <c r="FM72" s="74"/>
      <c r="FN72" s="74"/>
      <c r="FO72" s="74"/>
      <c r="FP72" s="74"/>
      <c r="FQ72" s="74"/>
      <c r="FR72" s="74"/>
      <c r="FS72" s="74"/>
      <c r="FT72" s="74"/>
      <c r="FU72" s="74"/>
      <c r="FV72" s="74"/>
      <c r="FW72" s="74"/>
      <c r="FX72" s="74"/>
      <c r="FY72" s="74"/>
      <c r="FZ72" s="74"/>
      <c r="GA72" s="68"/>
    </row>
    <row r="73" spans="1:183" s="2" customFormat="1" ht="15" x14ac:dyDescent="0.3">
      <c r="A73" s="73" t="s">
        <v>185</v>
      </c>
      <c r="B73" s="73" t="s">
        <v>168</v>
      </c>
      <c r="C73" s="73" t="s">
        <v>168</v>
      </c>
      <c r="D73" s="73" t="s">
        <v>48</v>
      </c>
      <c r="E73" s="73" t="s">
        <v>178</v>
      </c>
      <c r="F73" s="73" t="s">
        <v>210</v>
      </c>
      <c r="G73" s="73" t="s">
        <v>227</v>
      </c>
      <c r="H73" s="73"/>
      <c r="I73" s="74">
        <v>0</v>
      </c>
      <c r="J73" s="74">
        <v>0</v>
      </c>
      <c r="K73" s="74">
        <v>0</v>
      </c>
      <c r="L73" s="74">
        <v>0</v>
      </c>
      <c r="M73" s="74">
        <v>4435.93</v>
      </c>
      <c r="N73" s="74">
        <v>4627.83</v>
      </c>
      <c r="O73" s="74">
        <v>4867.42</v>
      </c>
      <c r="P73" s="74">
        <v>6057.5800377492997</v>
      </c>
      <c r="Q73" s="74">
        <v>7057.6123615440574</v>
      </c>
      <c r="R73" s="74">
        <v>7785.0158771020979</v>
      </c>
      <c r="S73" s="74">
        <v>8589.512001593388</v>
      </c>
      <c r="T73" s="74">
        <v>9355.3363194883696</v>
      </c>
      <c r="U73" s="74">
        <v>0</v>
      </c>
      <c r="V73" s="74">
        <v>0</v>
      </c>
      <c r="W73" s="74">
        <v>0</v>
      </c>
      <c r="X73" s="74">
        <v>0</v>
      </c>
      <c r="Y73" s="74">
        <v>0</v>
      </c>
      <c r="Z73" s="74">
        <v>0</v>
      </c>
      <c r="AA73" s="74">
        <v>0</v>
      </c>
      <c r="AB73" s="74">
        <v>0</v>
      </c>
      <c r="AC73" s="74">
        <v>0</v>
      </c>
      <c r="AD73" s="74">
        <v>0</v>
      </c>
      <c r="AE73" s="74">
        <v>0</v>
      </c>
      <c r="AF73" s="74">
        <v>0</v>
      </c>
      <c r="AG73" s="74">
        <v>0</v>
      </c>
      <c r="AH73" s="74">
        <v>0</v>
      </c>
      <c r="AI73" s="74">
        <v>0</v>
      </c>
      <c r="AJ73" s="74">
        <v>0</v>
      </c>
      <c r="AK73" s="74"/>
      <c r="AL73" s="74">
        <v>0</v>
      </c>
      <c r="AM73" s="74">
        <v>0</v>
      </c>
      <c r="AN73" s="74">
        <v>0</v>
      </c>
      <c r="AO73" s="74">
        <v>0</v>
      </c>
      <c r="AP73" s="74">
        <v>0</v>
      </c>
      <c r="AQ73" s="74">
        <v>0</v>
      </c>
      <c r="AR73" s="74">
        <v>0</v>
      </c>
      <c r="AS73" s="74">
        <v>0</v>
      </c>
      <c r="AT73" s="74">
        <v>0</v>
      </c>
      <c r="AU73" s="74">
        <v>0</v>
      </c>
      <c r="AV73" s="74">
        <v>0</v>
      </c>
      <c r="AW73" s="74">
        <v>0</v>
      </c>
      <c r="AX73" s="74">
        <v>0</v>
      </c>
      <c r="AY73" s="74">
        <v>0</v>
      </c>
      <c r="AZ73" s="74">
        <v>0</v>
      </c>
      <c r="BA73" s="74">
        <v>0</v>
      </c>
      <c r="BB73" s="74">
        <v>0</v>
      </c>
      <c r="BC73" s="74">
        <v>0</v>
      </c>
      <c r="BD73" s="74">
        <v>0</v>
      </c>
      <c r="BE73" s="74">
        <v>0</v>
      </c>
      <c r="BF73" s="74">
        <v>0</v>
      </c>
      <c r="BG73" s="74">
        <v>0</v>
      </c>
      <c r="BH73" s="74">
        <v>0</v>
      </c>
      <c r="BI73" s="74">
        <v>0</v>
      </c>
      <c r="BJ73" s="74">
        <v>0</v>
      </c>
      <c r="BK73" s="74">
        <v>0</v>
      </c>
      <c r="BL73" s="74">
        <v>0</v>
      </c>
      <c r="BM73" s="74">
        <v>0</v>
      </c>
      <c r="BN73" s="74">
        <v>0</v>
      </c>
      <c r="BO73" s="74">
        <v>0</v>
      </c>
      <c r="BP73" s="74">
        <v>0</v>
      </c>
      <c r="BQ73" s="74">
        <v>0</v>
      </c>
      <c r="BR73" s="74">
        <v>0</v>
      </c>
      <c r="BS73" s="74">
        <v>0</v>
      </c>
      <c r="BT73" s="74">
        <v>0</v>
      </c>
      <c r="BU73" s="74">
        <v>0</v>
      </c>
      <c r="BV73" s="74">
        <v>0</v>
      </c>
      <c r="BW73" s="74">
        <v>0</v>
      </c>
      <c r="BX73" s="74">
        <v>0</v>
      </c>
      <c r="BY73" s="74">
        <v>0</v>
      </c>
      <c r="BZ73" s="74">
        <v>0</v>
      </c>
      <c r="CA73" s="74">
        <v>0</v>
      </c>
      <c r="CB73" s="74">
        <v>0</v>
      </c>
      <c r="CC73" s="74">
        <v>0</v>
      </c>
      <c r="CD73" s="74">
        <v>0</v>
      </c>
      <c r="CE73" s="74">
        <v>0</v>
      </c>
      <c r="CF73" s="74">
        <v>0</v>
      </c>
      <c r="CG73" s="74">
        <v>0</v>
      </c>
      <c r="CH73" s="74">
        <v>0</v>
      </c>
      <c r="CI73" s="74">
        <v>0</v>
      </c>
      <c r="CJ73" s="74">
        <v>0</v>
      </c>
      <c r="CK73" s="74">
        <v>0</v>
      </c>
      <c r="CL73" s="74">
        <v>0</v>
      </c>
      <c r="CM73" s="74">
        <v>0</v>
      </c>
      <c r="CN73" s="74">
        <v>0</v>
      </c>
      <c r="CO73" s="74">
        <v>0</v>
      </c>
      <c r="CP73" s="74">
        <v>0</v>
      </c>
      <c r="CQ73" s="74">
        <v>0</v>
      </c>
      <c r="CR73" s="74">
        <v>0</v>
      </c>
      <c r="CS73" s="74">
        <v>0</v>
      </c>
      <c r="CT73" s="74">
        <v>0</v>
      </c>
      <c r="CU73" s="74">
        <v>0</v>
      </c>
      <c r="CV73" s="74">
        <v>0</v>
      </c>
      <c r="CW73" s="74">
        <v>0</v>
      </c>
      <c r="CX73" s="74">
        <v>0</v>
      </c>
      <c r="CY73" s="74">
        <v>0</v>
      </c>
      <c r="CZ73" s="74">
        <v>0</v>
      </c>
      <c r="DA73" s="74">
        <v>0</v>
      </c>
      <c r="DB73" s="74">
        <v>0</v>
      </c>
      <c r="DC73" s="74">
        <v>0</v>
      </c>
      <c r="DD73" s="74">
        <v>0</v>
      </c>
      <c r="DE73" s="74">
        <v>0</v>
      </c>
      <c r="DF73" s="74">
        <v>0</v>
      </c>
      <c r="DG73" s="74">
        <v>0</v>
      </c>
      <c r="DH73" s="74">
        <v>0</v>
      </c>
      <c r="DI73" s="74">
        <v>0</v>
      </c>
      <c r="DJ73" s="74">
        <v>0</v>
      </c>
      <c r="DK73" s="74">
        <v>0</v>
      </c>
      <c r="DL73" s="74">
        <v>0</v>
      </c>
      <c r="DM73" s="74">
        <v>0</v>
      </c>
      <c r="DN73" s="74">
        <v>0</v>
      </c>
      <c r="DO73" s="74">
        <v>0</v>
      </c>
      <c r="DP73" s="74">
        <v>0</v>
      </c>
      <c r="DQ73" s="74">
        <v>0</v>
      </c>
      <c r="DR73" s="74">
        <v>0</v>
      </c>
      <c r="DS73" s="74">
        <v>0</v>
      </c>
      <c r="DT73" s="74">
        <v>0</v>
      </c>
      <c r="DU73" s="74">
        <v>0</v>
      </c>
      <c r="DV73" s="74">
        <v>0</v>
      </c>
      <c r="DW73" s="74">
        <v>0</v>
      </c>
      <c r="DX73" s="74">
        <v>0</v>
      </c>
      <c r="DY73" s="74">
        <v>0</v>
      </c>
      <c r="DZ73" s="74">
        <v>0</v>
      </c>
      <c r="EA73" s="74">
        <v>0</v>
      </c>
      <c r="EB73" s="74">
        <v>0</v>
      </c>
      <c r="EC73" s="74">
        <v>0</v>
      </c>
      <c r="ED73" s="74"/>
      <c r="EE73" s="80">
        <v>46063</v>
      </c>
      <c r="EF73" s="81">
        <v>46063.452990393518</v>
      </c>
      <c r="EG73" s="66" t="s">
        <v>70</v>
      </c>
      <c r="EH73" s="66" t="s">
        <v>209</v>
      </c>
      <c r="EI73" s="66" t="s">
        <v>6</v>
      </c>
      <c r="EJ73" s="66">
        <v>10</v>
      </c>
      <c r="EK73" s="66">
        <v>2027</v>
      </c>
      <c r="EL73" s="66" t="s">
        <v>24</v>
      </c>
      <c r="EM73" s="82">
        <v>241.43667956123221</v>
      </c>
      <c r="EN73" s="82">
        <v>206.2708139959758</v>
      </c>
      <c r="EO73" s="77">
        <v>210.28039999999999</v>
      </c>
      <c r="EP73" s="84">
        <v>0.19403388859999032</v>
      </c>
      <c r="EQ73" s="84">
        <v>0.1985771238014705</v>
      </c>
      <c r="ER73" s="84">
        <v>3.7812199999999997E-2</v>
      </c>
      <c r="ES73" s="85">
        <v>0.97173988520598786</v>
      </c>
      <c r="ET73" s="86">
        <v>1.3944000000000001</v>
      </c>
      <c r="EU73" s="85">
        <v>0.15269873395245903</v>
      </c>
      <c r="EV73" s="85">
        <v>3.6374216079711912E-2</v>
      </c>
      <c r="EW73" s="76">
        <v>2</v>
      </c>
      <c r="EX73" s="76" t="s">
        <v>32</v>
      </c>
      <c r="EY73" s="74" t="s">
        <v>243</v>
      </c>
      <c r="EZ73" s="74"/>
      <c r="FA73" s="74"/>
      <c r="FB73" s="74"/>
      <c r="FC73" s="74"/>
      <c r="FD73" s="68"/>
      <c r="FH73" s="73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68"/>
    </row>
    <row r="74" spans="1:183" s="2" customFormat="1" ht="15" x14ac:dyDescent="0.3">
      <c r="A74" s="73" t="s">
        <v>186</v>
      </c>
      <c r="B74" s="73" t="s">
        <v>172</v>
      </c>
      <c r="C74" s="73" t="s">
        <v>172</v>
      </c>
      <c r="D74" s="73" t="s">
        <v>48</v>
      </c>
      <c r="E74" s="73" t="s">
        <v>178</v>
      </c>
      <c r="F74" s="73" t="s">
        <v>210</v>
      </c>
      <c r="G74" s="73" t="s">
        <v>227</v>
      </c>
      <c r="H74" s="73"/>
      <c r="I74" s="74">
        <v>0</v>
      </c>
      <c r="J74" s="74">
        <v>0</v>
      </c>
      <c r="K74" s="74">
        <v>0</v>
      </c>
      <c r="L74" s="74">
        <v>0</v>
      </c>
      <c r="M74" s="74">
        <v>11823.504000000001</v>
      </c>
      <c r="N74" s="74">
        <v>14249.396000000001</v>
      </c>
      <c r="O74" s="74">
        <v>21693.868000000002</v>
      </c>
      <c r="P74" s="74">
        <v>32379.633210289769</v>
      </c>
      <c r="Q74" s="74">
        <v>49030.044915702725</v>
      </c>
      <c r="R74" s="74">
        <v>75495.14093934682</v>
      </c>
      <c r="S74" s="74">
        <v>76760.848904938379</v>
      </c>
      <c r="T74" s="74">
        <v>93114.430519583446</v>
      </c>
      <c r="U74" s="74">
        <v>0</v>
      </c>
      <c r="V74" s="74">
        <v>0</v>
      </c>
      <c r="W74" s="74">
        <v>0</v>
      </c>
      <c r="X74" s="74">
        <v>0</v>
      </c>
      <c r="Y74" s="74">
        <v>0</v>
      </c>
      <c r="Z74" s="74">
        <v>0</v>
      </c>
      <c r="AA74" s="74">
        <v>0</v>
      </c>
      <c r="AB74" s="74">
        <v>0</v>
      </c>
      <c r="AC74" s="74">
        <v>0</v>
      </c>
      <c r="AD74" s="74">
        <v>0</v>
      </c>
      <c r="AE74" s="74">
        <v>0</v>
      </c>
      <c r="AF74" s="74">
        <v>0</v>
      </c>
      <c r="AG74" s="74">
        <v>0</v>
      </c>
      <c r="AH74" s="74">
        <v>0</v>
      </c>
      <c r="AI74" s="74">
        <v>0</v>
      </c>
      <c r="AJ74" s="74">
        <v>0</v>
      </c>
      <c r="AK74" s="74"/>
      <c r="AL74" s="74">
        <v>0</v>
      </c>
      <c r="AM74" s="74">
        <v>0</v>
      </c>
      <c r="AN74" s="74">
        <v>0</v>
      </c>
      <c r="AO74" s="74">
        <v>0</v>
      </c>
      <c r="AP74" s="74">
        <v>0</v>
      </c>
      <c r="AQ74" s="74">
        <v>0</v>
      </c>
      <c r="AR74" s="74">
        <v>0</v>
      </c>
      <c r="AS74" s="74">
        <v>0</v>
      </c>
      <c r="AT74" s="74">
        <v>0</v>
      </c>
      <c r="AU74" s="74">
        <v>0</v>
      </c>
      <c r="AV74" s="74">
        <v>0</v>
      </c>
      <c r="AW74" s="74">
        <v>0</v>
      </c>
      <c r="AX74" s="74">
        <v>0</v>
      </c>
      <c r="AY74" s="74">
        <v>0</v>
      </c>
      <c r="AZ74" s="74">
        <v>0</v>
      </c>
      <c r="BA74" s="74">
        <v>0</v>
      </c>
      <c r="BB74" s="74">
        <v>0</v>
      </c>
      <c r="BC74" s="74">
        <v>0</v>
      </c>
      <c r="BD74" s="74">
        <v>0</v>
      </c>
      <c r="BE74" s="74">
        <v>0</v>
      </c>
      <c r="BF74" s="74">
        <v>0</v>
      </c>
      <c r="BG74" s="74">
        <v>0</v>
      </c>
      <c r="BH74" s="74">
        <v>0</v>
      </c>
      <c r="BI74" s="74">
        <v>0</v>
      </c>
      <c r="BJ74" s="74">
        <v>0</v>
      </c>
      <c r="BK74" s="74">
        <v>0</v>
      </c>
      <c r="BL74" s="74">
        <v>0</v>
      </c>
      <c r="BM74" s="74">
        <v>0</v>
      </c>
      <c r="BN74" s="74">
        <v>0</v>
      </c>
      <c r="BO74" s="74">
        <v>0</v>
      </c>
      <c r="BP74" s="74">
        <v>0</v>
      </c>
      <c r="BQ74" s="74">
        <v>0</v>
      </c>
      <c r="BR74" s="74">
        <v>0</v>
      </c>
      <c r="BS74" s="74">
        <v>0</v>
      </c>
      <c r="BT74" s="74">
        <v>0</v>
      </c>
      <c r="BU74" s="74">
        <v>0</v>
      </c>
      <c r="BV74" s="74">
        <v>0</v>
      </c>
      <c r="BW74" s="74">
        <v>0</v>
      </c>
      <c r="BX74" s="74">
        <v>0</v>
      </c>
      <c r="BY74" s="74">
        <v>0</v>
      </c>
      <c r="BZ74" s="74">
        <v>0</v>
      </c>
      <c r="CA74" s="74">
        <v>0</v>
      </c>
      <c r="CB74" s="74">
        <v>0</v>
      </c>
      <c r="CC74" s="74">
        <v>0</v>
      </c>
      <c r="CD74" s="74">
        <v>0</v>
      </c>
      <c r="CE74" s="74">
        <v>0</v>
      </c>
      <c r="CF74" s="74">
        <v>0</v>
      </c>
      <c r="CG74" s="74">
        <v>0</v>
      </c>
      <c r="CH74" s="74">
        <v>0</v>
      </c>
      <c r="CI74" s="74">
        <v>0</v>
      </c>
      <c r="CJ74" s="74">
        <v>0</v>
      </c>
      <c r="CK74" s="74">
        <v>0</v>
      </c>
      <c r="CL74" s="74">
        <v>0</v>
      </c>
      <c r="CM74" s="74">
        <v>0</v>
      </c>
      <c r="CN74" s="74">
        <v>0</v>
      </c>
      <c r="CO74" s="74">
        <v>0</v>
      </c>
      <c r="CP74" s="74">
        <v>0</v>
      </c>
      <c r="CQ74" s="74">
        <v>0</v>
      </c>
      <c r="CR74" s="74">
        <v>0</v>
      </c>
      <c r="CS74" s="74">
        <v>0</v>
      </c>
      <c r="CT74" s="74">
        <v>0</v>
      </c>
      <c r="CU74" s="74">
        <v>0</v>
      </c>
      <c r="CV74" s="74">
        <v>0</v>
      </c>
      <c r="CW74" s="74">
        <v>0</v>
      </c>
      <c r="CX74" s="74">
        <v>0</v>
      </c>
      <c r="CY74" s="74">
        <v>0</v>
      </c>
      <c r="CZ74" s="74">
        <v>0</v>
      </c>
      <c r="DA74" s="74">
        <v>0</v>
      </c>
      <c r="DB74" s="74">
        <v>0</v>
      </c>
      <c r="DC74" s="74">
        <v>0</v>
      </c>
      <c r="DD74" s="74">
        <v>0</v>
      </c>
      <c r="DE74" s="74">
        <v>0</v>
      </c>
      <c r="DF74" s="74">
        <v>0</v>
      </c>
      <c r="DG74" s="74">
        <v>0</v>
      </c>
      <c r="DH74" s="74">
        <v>0</v>
      </c>
      <c r="DI74" s="74">
        <v>0</v>
      </c>
      <c r="DJ74" s="74">
        <v>0</v>
      </c>
      <c r="DK74" s="74">
        <v>0</v>
      </c>
      <c r="DL74" s="74">
        <v>0</v>
      </c>
      <c r="DM74" s="74">
        <v>0</v>
      </c>
      <c r="DN74" s="74">
        <v>0</v>
      </c>
      <c r="DO74" s="74">
        <v>0</v>
      </c>
      <c r="DP74" s="74">
        <v>0</v>
      </c>
      <c r="DQ74" s="74">
        <v>0</v>
      </c>
      <c r="DR74" s="74">
        <v>0</v>
      </c>
      <c r="DS74" s="74">
        <v>0</v>
      </c>
      <c r="DT74" s="74">
        <v>0</v>
      </c>
      <c r="DU74" s="74">
        <v>0</v>
      </c>
      <c r="DV74" s="74">
        <v>0</v>
      </c>
      <c r="DW74" s="74">
        <v>0</v>
      </c>
      <c r="DX74" s="74">
        <v>0</v>
      </c>
      <c r="DY74" s="74">
        <v>0</v>
      </c>
      <c r="DZ74" s="74">
        <v>0</v>
      </c>
      <c r="EA74" s="74">
        <v>0</v>
      </c>
      <c r="EB74" s="74">
        <v>0</v>
      </c>
      <c r="EC74" s="74">
        <v>0</v>
      </c>
      <c r="ED74" s="74"/>
      <c r="EE74" s="80">
        <v>46063</v>
      </c>
      <c r="EF74" s="81">
        <v>46063.452990393518</v>
      </c>
      <c r="EG74" s="66" t="s">
        <v>70</v>
      </c>
      <c r="EH74" s="66" t="s">
        <v>209</v>
      </c>
      <c r="EI74" s="66" t="s">
        <v>6</v>
      </c>
      <c r="EJ74" s="66">
        <v>10</v>
      </c>
      <c r="EK74" s="66">
        <v>2027</v>
      </c>
      <c r="EL74" s="66" t="s">
        <v>24</v>
      </c>
      <c r="EM74" s="82">
        <v>241.43667956123221</v>
      </c>
      <c r="EN74" s="82">
        <v>206.2708139959758</v>
      </c>
      <c r="EO74" s="77">
        <v>210.28039999999999</v>
      </c>
      <c r="EP74" s="84">
        <v>0.19403388859999032</v>
      </c>
      <c r="EQ74" s="84">
        <v>0.1985771238014705</v>
      </c>
      <c r="ER74" s="84">
        <v>3.7812199999999997E-2</v>
      </c>
      <c r="ES74" s="85">
        <v>0.97173988520598786</v>
      </c>
      <c r="ET74" s="86">
        <v>1.3944000000000001</v>
      </c>
      <c r="EU74" s="85">
        <v>0.15269873395245903</v>
      </c>
      <c r="EV74" s="85">
        <v>3.6374216079711912E-2</v>
      </c>
      <c r="EW74" s="76">
        <v>2</v>
      </c>
      <c r="EX74" s="76" t="s">
        <v>32</v>
      </c>
      <c r="EY74" s="74" t="s">
        <v>243</v>
      </c>
      <c r="EZ74" s="74"/>
      <c r="FA74" s="74"/>
      <c r="FB74" s="74"/>
      <c r="FC74" s="74"/>
      <c r="FD74" s="68"/>
      <c r="FH74" s="73"/>
      <c r="FI74" s="74"/>
      <c r="FJ74" s="74"/>
      <c r="FK74" s="74"/>
      <c r="FL74" s="74"/>
      <c r="FM74" s="74"/>
      <c r="FN74" s="74"/>
      <c r="FO74" s="74"/>
      <c r="FP74" s="74"/>
      <c r="FQ74" s="74"/>
      <c r="FR74" s="74"/>
      <c r="FS74" s="74"/>
      <c r="FT74" s="74"/>
      <c r="FU74" s="74"/>
      <c r="FV74" s="74"/>
      <c r="FW74" s="74"/>
      <c r="FX74" s="74"/>
      <c r="FY74" s="74"/>
      <c r="FZ74" s="74"/>
      <c r="GA74" s="68"/>
    </row>
    <row r="75" spans="1:183" s="2" customFormat="1" ht="15" x14ac:dyDescent="0.3">
      <c r="A75" s="73" t="s">
        <v>177</v>
      </c>
      <c r="B75" s="73" t="s">
        <v>203</v>
      </c>
      <c r="C75" s="73" t="s">
        <v>203</v>
      </c>
      <c r="D75" s="73" t="s">
        <v>48</v>
      </c>
      <c r="E75" s="73" t="s">
        <v>178</v>
      </c>
      <c r="F75" s="73" t="s">
        <v>210</v>
      </c>
      <c r="G75" s="73" t="s">
        <v>227</v>
      </c>
      <c r="H75" s="73"/>
      <c r="I75" s="74">
        <v>0</v>
      </c>
      <c r="J75" s="74">
        <v>0</v>
      </c>
      <c r="K75" s="74">
        <v>0</v>
      </c>
      <c r="L75" s="74">
        <v>0</v>
      </c>
      <c r="M75" s="74">
        <v>10654</v>
      </c>
      <c r="N75" s="74">
        <v>15537</v>
      </c>
      <c r="O75" s="74">
        <v>9337</v>
      </c>
      <c r="P75" s="74">
        <v>5238.1786361847553</v>
      </c>
      <c r="Q75" s="74">
        <v>4071.3501263563958</v>
      </c>
      <c r="R75" s="74">
        <v>5540.5114262746793</v>
      </c>
      <c r="S75" s="74">
        <v>5030.6418958247459</v>
      </c>
      <c r="T75" s="74">
        <v>4648.3272738199103</v>
      </c>
      <c r="U75" s="74">
        <v>0</v>
      </c>
      <c r="V75" s="74">
        <v>0</v>
      </c>
      <c r="W75" s="74">
        <v>0</v>
      </c>
      <c r="X75" s="74">
        <v>0</v>
      </c>
      <c r="Y75" s="74">
        <v>0</v>
      </c>
      <c r="Z75" s="74">
        <v>0</v>
      </c>
      <c r="AA75" s="74">
        <v>0</v>
      </c>
      <c r="AB75" s="74">
        <v>0</v>
      </c>
      <c r="AC75" s="74">
        <v>0</v>
      </c>
      <c r="AD75" s="74">
        <v>0</v>
      </c>
      <c r="AE75" s="74">
        <v>0</v>
      </c>
      <c r="AF75" s="74">
        <v>0</v>
      </c>
      <c r="AG75" s="74">
        <v>0</v>
      </c>
      <c r="AH75" s="74">
        <v>0</v>
      </c>
      <c r="AI75" s="74">
        <v>0</v>
      </c>
      <c r="AJ75" s="74">
        <v>0</v>
      </c>
      <c r="AK75" s="74"/>
      <c r="AL75" s="74">
        <v>0</v>
      </c>
      <c r="AM75" s="74">
        <v>0</v>
      </c>
      <c r="AN75" s="74">
        <v>0</v>
      </c>
      <c r="AO75" s="74">
        <v>0</v>
      </c>
      <c r="AP75" s="74">
        <v>0</v>
      </c>
      <c r="AQ75" s="74">
        <v>0</v>
      </c>
      <c r="AR75" s="74">
        <v>0</v>
      </c>
      <c r="AS75" s="74">
        <v>0</v>
      </c>
      <c r="AT75" s="74">
        <v>0</v>
      </c>
      <c r="AU75" s="74">
        <v>0</v>
      </c>
      <c r="AV75" s="74">
        <v>0</v>
      </c>
      <c r="AW75" s="74">
        <v>0</v>
      </c>
      <c r="AX75" s="74">
        <v>0</v>
      </c>
      <c r="AY75" s="74">
        <v>0</v>
      </c>
      <c r="AZ75" s="74">
        <v>0</v>
      </c>
      <c r="BA75" s="74">
        <v>0</v>
      </c>
      <c r="BB75" s="74">
        <v>0</v>
      </c>
      <c r="BC75" s="74">
        <v>0</v>
      </c>
      <c r="BD75" s="74">
        <v>0</v>
      </c>
      <c r="BE75" s="74">
        <v>0</v>
      </c>
      <c r="BF75" s="74">
        <v>0</v>
      </c>
      <c r="BG75" s="74">
        <v>0</v>
      </c>
      <c r="BH75" s="74">
        <v>0</v>
      </c>
      <c r="BI75" s="74">
        <v>0</v>
      </c>
      <c r="BJ75" s="74">
        <v>0</v>
      </c>
      <c r="BK75" s="74">
        <v>0</v>
      </c>
      <c r="BL75" s="74">
        <v>0</v>
      </c>
      <c r="BM75" s="74">
        <v>0</v>
      </c>
      <c r="BN75" s="74">
        <v>0</v>
      </c>
      <c r="BO75" s="74">
        <v>0</v>
      </c>
      <c r="BP75" s="74">
        <v>0</v>
      </c>
      <c r="BQ75" s="74">
        <v>0</v>
      </c>
      <c r="BR75" s="74">
        <v>0</v>
      </c>
      <c r="BS75" s="74">
        <v>0</v>
      </c>
      <c r="BT75" s="74">
        <v>0</v>
      </c>
      <c r="BU75" s="74">
        <v>0</v>
      </c>
      <c r="BV75" s="74">
        <v>0</v>
      </c>
      <c r="BW75" s="74">
        <v>0</v>
      </c>
      <c r="BX75" s="74">
        <v>0</v>
      </c>
      <c r="BY75" s="74">
        <v>0</v>
      </c>
      <c r="BZ75" s="74">
        <v>0</v>
      </c>
      <c r="CA75" s="74">
        <v>0</v>
      </c>
      <c r="CB75" s="74">
        <v>0</v>
      </c>
      <c r="CC75" s="74">
        <v>0</v>
      </c>
      <c r="CD75" s="74">
        <v>0</v>
      </c>
      <c r="CE75" s="74">
        <v>0</v>
      </c>
      <c r="CF75" s="74">
        <v>0</v>
      </c>
      <c r="CG75" s="74">
        <v>0</v>
      </c>
      <c r="CH75" s="74">
        <v>0</v>
      </c>
      <c r="CI75" s="74">
        <v>0</v>
      </c>
      <c r="CJ75" s="74">
        <v>0</v>
      </c>
      <c r="CK75" s="74">
        <v>0</v>
      </c>
      <c r="CL75" s="74">
        <v>0</v>
      </c>
      <c r="CM75" s="74">
        <v>0</v>
      </c>
      <c r="CN75" s="74">
        <v>0</v>
      </c>
      <c r="CO75" s="74">
        <v>0</v>
      </c>
      <c r="CP75" s="74">
        <v>0</v>
      </c>
      <c r="CQ75" s="74">
        <v>0</v>
      </c>
      <c r="CR75" s="74">
        <v>0</v>
      </c>
      <c r="CS75" s="74">
        <v>0</v>
      </c>
      <c r="CT75" s="74">
        <v>0</v>
      </c>
      <c r="CU75" s="74">
        <v>0</v>
      </c>
      <c r="CV75" s="74">
        <v>0</v>
      </c>
      <c r="CW75" s="74">
        <v>0</v>
      </c>
      <c r="CX75" s="74">
        <v>0</v>
      </c>
      <c r="CY75" s="74">
        <v>0</v>
      </c>
      <c r="CZ75" s="74">
        <v>0</v>
      </c>
      <c r="DA75" s="74">
        <v>0</v>
      </c>
      <c r="DB75" s="74">
        <v>0</v>
      </c>
      <c r="DC75" s="74">
        <v>0</v>
      </c>
      <c r="DD75" s="74">
        <v>0</v>
      </c>
      <c r="DE75" s="74">
        <v>0</v>
      </c>
      <c r="DF75" s="74">
        <v>0</v>
      </c>
      <c r="DG75" s="74">
        <v>0</v>
      </c>
      <c r="DH75" s="74">
        <v>0</v>
      </c>
      <c r="DI75" s="74">
        <v>0</v>
      </c>
      <c r="DJ75" s="74">
        <v>0</v>
      </c>
      <c r="DK75" s="74">
        <v>0</v>
      </c>
      <c r="DL75" s="74">
        <v>0</v>
      </c>
      <c r="DM75" s="74">
        <v>0</v>
      </c>
      <c r="DN75" s="74">
        <v>0</v>
      </c>
      <c r="DO75" s="74">
        <v>0</v>
      </c>
      <c r="DP75" s="74">
        <v>0</v>
      </c>
      <c r="DQ75" s="74">
        <v>0</v>
      </c>
      <c r="DR75" s="74">
        <v>0</v>
      </c>
      <c r="DS75" s="74">
        <v>0</v>
      </c>
      <c r="DT75" s="74">
        <v>0</v>
      </c>
      <c r="DU75" s="74">
        <v>0</v>
      </c>
      <c r="DV75" s="74">
        <v>0</v>
      </c>
      <c r="DW75" s="74">
        <v>0</v>
      </c>
      <c r="DX75" s="74">
        <v>0</v>
      </c>
      <c r="DY75" s="74">
        <v>0</v>
      </c>
      <c r="DZ75" s="74">
        <v>0</v>
      </c>
      <c r="EA75" s="74">
        <v>0</v>
      </c>
      <c r="EB75" s="74">
        <v>0</v>
      </c>
      <c r="EC75" s="74">
        <v>0</v>
      </c>
      <c r="ED75" s="74"/>
      <c r="EE75" s="80">
        <v>46063</v>
      </c>
      <c r="EF75" s="81">
        <v>46063.452990393518</v>
      </c>
      <c r="EG75" s="66" t="s">
        <v>70</v>
      </c>
      <c r="EH75" s="66" t="s">
        <v>209</v>
      </c>
      <c r="EI75" s="66" t="s">
        <v>6</v>
      </c>
      <c r="EJ75" s="66">
        <v>10</v>
      </c>
      <c r="EK75" s="66">
        <v>2027</v>
      </c>
      <c r="EL75" s="66" t="s">
        <v>24</v>
      </c>
      <c r="EM75" s="82">
        <v>241.43667956123221</v>
      </c>
      <c r="EN75" s="82">
        <v>206.2708139959758</v>
      </c>
      <c r="EO75" s="77">
        <v>210.28039999999999</v>
      </c>
      <c r="EP75" s="84">
        <v>0.19403388859999032</v>
      </c>
      <c r="EQ75" s="84">
        <v>0.1985771238014705</v>
      </c>
      <c r="ER75" s="84">
        <v>3.7812199999999997E-2</v>
      </c>
      <c r="ES75" s="85">
        <v>0.97173988520598786</v>
      </c>
      <c r="ET75" s="86">
        <v>1.3944000000000001</v>
      </c>
      <c r="EU75" s="85">
        <v>0.15269873395245903</v>
      </c>
      <c r="EV75" s="85">
        <v>3.6374216079711912E-2</v>
      </c>
      <c r="EW75" s="76">
        <v>2</v>
      </c>
      <c r="EX75" s="76" t="s">
        <v>32</v>
      </c>
      <c r="EY75" s="74" t="s">
        <v>243</v>
      </c>
      <c r="EZ75" s="74"/>
      <c r="FA75" s="74"/>
      <c r="FB75" s="74"/>
      <c r="FC75" s="74"/>
      <c r="FD75" s="68"/>
      <c r="FH75" s="73"/>
      <c r="FI75" s="74"/>
      <c r="FJ75" s="74"/>
      <c r="FK75" s="74"/>
      <c r="FL75" s="74"/>
      <c r="FM75" s="74"/>
      <c r="FN75" s="74"/>
      <c r="FO75" s="74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68"/>
    </row>
    <row r="76" spans="1:183" s="2" customFormat="1" ht="15" x14ac:dyDescent="0.3">
      <c r="A76" s="73" t="s">
        <v>187</v>
      </c>
      <c r="B76" s="73" t="s">
        <v>167</v>
      </c>
      <c r="C76" s="73" t="s">
        <v>167</v>
      </c>
      <c r="D76" s="73" t="s">
        <v>48</v>
      </c>
      <c r="E76" s="73" t="s">
        <v>178</v>
      </c>
      <c r="F76" s="73" t="s">
        <v>210</v>
      </c>
      <c r="G76" s="73" t="s">
        <v>227</v>
      </c>
      <c r="H76" s="73"/>
      <c r="I76" s="74">
        <v>0</v>
      </c>
      <c r="J76" s="74">
        <v>0</v>
      </c>
      <c r="K76" s="74">
        <v>0</v>
      </c>
      <c r="L76" s="74">
        <v>0</v>
      </c>
      <c r="M76" s="74">
        <v>-26050.2</v>
      </c>
      <c r="N76" s="74">
        <v>-19281.900000000001</v>
      </c>
      <c r="O76" s="74">
        <v>-26782.800000000003</v>
      </c>
      <c r="P76" s="74">
        <v>-45062.1848580476</v>
      </c>
      <c r="Q76" s="74">
        <v>-54474.782579797808</v>
      </c>
      <c r="R76" s="74">
        <v>-58484.775503694909</v>
      </c>
      <c r="S76" s="74">
        <v>-61409.014278879658</v>
      </c>
      <c r="T76" s="74">
        <v>-64479.464992823647</v>
      </c>
      <c r="U76" s="74">
        <v>0</v>
      </c>
      <c r="V76" s="74">
        <v>0</v>
      </c>
      <c r="W76" s="74">
        <v>0</v>
      </c>
      <c r="X76" s="74">
        <v>0</v>
      </c>
      <c r="Y76" s="74">
        <v>0</v>
      </c>
      <c r="Z76" s="74">
        <v>0</v>
      </c>
      <c r="AA76" s="74">
        <v>0</v>
      </c>
      <c r="AB76" s="74">
        <v>0</v>
      </c>
      <c r="AC76" s="74">
        <v>0</v>
      </c>
      <c r="AD76" s="74">
        <v>0</v>
      </c>
      <c r="AE76" s="74">
        <v>0</v>
      </c>
      <c r="AF76" s="74">
        <v>0</v>
      </c>
      <c r="AG76" s="74">
        <v>0</v>
      </c>
      <c r="AH76" s="74">
        <v>0</v>
      </c>
      <c r="AI76" s="74">
        <v>0</v>
      </c>
      <c r="AJ76" s="74">
        <v>0</v>
      </c>
      <c r="AK76" s="74"/>
      <c r="AL76" s="74">
        <v>0</v>
      </c>
      <c r="AM76" s="74">
        <v>0</v>
      </c>
      <c r="AN76" s="74">
        <v>0</v>
      </c>
      <c r="AO76" s="74">
        <v>0</v>
      </c>
      <c r="AP76" s="74">
        <v>0</v>
      </c>
      <c r="AQ76" s="74">
        <v>0</v>
      </c>
      <c r="AR76" s="74">
        <v>0</v>
      </c>
      <c r="AS76" s="74">
        <v>0</v>
      </c>
      <c r="AT76" s="74">
        <v>0</v>
      </c>
      <c r="AU76" s="74">
        <v>0</v>
      </c>
      <c r="AV76" s="74">
        <v>0</v>
      </c>
      <c r="AW76" s="74">
        <v>0</v>
      </c>
      <c r="AX76" s="74">
        <v>0</v>
      </c>
      <c r="AY76" s="74">
        <v>0</v>
      </c>
      <c r="AZ76" s="74">
        <v>0</v>
      </c>
      <c r="BA76" s="74">
        <v>0</v>
      </c>
      <c r="BB76" s="74">
        <v>0</v>
      </c>
      <c r="BC76" s="74">
        <v>0</v>
      </c>
      <c r="BD76" s="74">
        <v>0</v>
      </c>
      <c r="BE76" s="74">
        <v>0</v>
      </c>
      <c r="BF76" s="74">
        <v>0</v>
      </c>
      <c r="BG76" s="74">
        <v>0</v>
      </c>
      <c r="BH76" s="74">
        <v>0</v>
      </c>
      <c r="BI76" s="74">
        <v>0</v>
      </c>
      <c r="BJ76" s="74">
        <v>0</v>
      </c>
      <c r="BK76" s="74">
        <v>0</v>
      </c>
      <c r="BL76" s="74">
        <v>0</v>
      </c>
      <c r="BM76" s="74">
        <v>0</v>
      </c>
      <c r="BN76" s="74">
        <v>0</v>
      </c>
      <c r="BO76" s="74">
        <v>0</v>
      </c>
      <c r="BP76" s="74">
        <v>0</v>
      </c>
      <c r="BQ76" s="74">
        <v>0</v>
      </c>
      <c r="BR76" s="74">
        <v>0</v>
      </c>
      <c r="BS76" s="74">
        <v>0</v>
      </c>
      <c r="BT76" s="74">
        <v>0</v>
      </c>
      <c r="BU76" s="74">
        <v>0</v>
      </c>
      <c r="BV76" s="74">
        <v>0</v>
      </c>
      <c r="BW76" s="74">
        <v>0</v>
      </c>
      <c r="BX76" s="74">
        <v>0</v>
      </c>
      <c r="BY76" s="74">
        <v>0</v>
      </c>
      <c r="BZ76" s="74">
        <v>0</v>
      </c>
      <c r="CA76" s="74">
        <v>0</v>
      </c>
      <c r="CB76" s="74">
        <v>0</v>
      </c>
      <c r="CC76" s="74">
        <v>0</v>
      </c>
      <c r="CD76" s="74">
        <v>0</v>
      </c>
      <c r="CE76" s="74">
        <v>0</v>
      </c>
      <c r="CF76" s="74">
        <v>0</v>
      </c>
      <c r="CG76" s="74">
        <v>0</v>
      </c>
      <c r="CH76" s="74">
        <v>0</v>
      </c>
      <c r="CI76" s="74">
        <v>0</v>
      </c>
      <c r="CJ76" s="74">
        <v>0</v>
      </c>
      <c r="CK76" s="74">
        <v>0</v>
      </c>
      <c r="CL76" s="74">
        <v>0</v>
      </c>
      <c r="CM76" s="74">
        <v>0</v>
      </c>
      <c r="CN76" s="74">
        <v>0</v>
      </c>
      <c r="CO76" s="74">
        <v>0</v>
      </c>
      <c r="CP76" s="74">
        <v>0</v>
      </c>
      <c r="CQ76" s="74">
        <v>0</v>
      </c>
      <c r="CR76" s="74">
        <v>0</v>
      </c>
      <c r="CS76" s="74">
        <v>0</v>
      </c>
      <c r="CT76" s="74">
        <v>0</v>
      </c>
      <c r="CU76" s="74">
        <v>0</v>
      </c>
      <c r="CV76" s="74">
        <v>0</v>
      </c>
      <c r="CW76" s="74">
        <v>0</v>
      </c>
      <c r="CX76" s="74">
        <v>0</v>
      </c>
      <c r="CY76" s="74">
        <v>0</v>
      </c>
      <c r="CZ76" s="74">
        <v>0</v>
      </c>
      <c r="DA76" s="74">
        <v>0</v>
      </c>
      <c r="DB76" s="74">
        <v>0</v>
      </c>
      <c r="DC76" s="74">
        <v>0</v>
      </c>
      <c r="DD76" s="74">
        <v>0</v>
      </c>
      <c r="DE76" s="74">
        <v>0</v>
      </c>
      <c r="DF76" s="74">
        <v>0</v>
      </c>
      <c r="DG76" s="74">
        <v>0</v>
      </c>
      <c r="DH76" s="74">
        <v>0</v>
      </c>
      <c r="DI76" s="74">
        <v>0</v>
      </c>
      <c r="DJ76" s="74">
        <v>0</v>
      </c>
      <c r="DK76" s="74">
        <v>0</v>
      </c>
      <c r="DL76" s="74">
        <v>0</v>
      </c>
      <c r="DM76" s="74">
        <v>0</v>
      </c>
      <c r="DN76" s="74">
        <v>0</v>
      </c>
      <c r="DO76" s="74">
        <v>0</v>
      </c>
      <c r="DP76" s="74">
        <v>0</v>
      </c>
      <c r="DQ76" s="74">
        <v>0</v>
      </c>
      <c r="DR76" s="74">
        <v>0</v>
      </c>
      <c r="DS76" s="74">
        <v>0</v>
      </c>
      <c r="DT76" s="74">
        <v>0</v>
      </c>
      <c r="DU76" s="74">
        <v>0</v>
      </c>
      <c r="DV76" s="74">
        <v>0</v>
      </c>
      <c r="DW76" s="74">
        <v>0</v>
      </c>
      <c r="DX76" s="74">
        <v>0</v>
      </c>
      <c r="DY76" s="74">
        <v>0</v>
      </c>
      <c r="DZ76" s="74">
        <v>0</v>
      </c>
      <c r="EA76" s="74">
        <v>0</v>
      </c>
      <c r="EB76" s="74">
        <v>0</v>
      </c>
      <c r="EC76" s="74">
        <v>0</v>
      </c>
      <c r="ED76" s="74"/>
      <c r="EE76" s="80">
        <v>46063</v>
      </c>
      <c r="EF76" s="81">
        <v>46063.452990393518</v>
      </c>
      <c r="EG76" s="66" t="s">
        <v>70</v>
      </c>
      <c r="EH76" s="66" t="s">
        <v>209</v>
      </c>
      <c r="EI76" s="66" t="s">
        <v>6</v>
      </c>
      <c r="EJ76" s="66">
        <v>10</v>
      </c>
      <c r="EK76" s="66">
        <v>2027</v>
      </c>
      <c r="EL76" s="66" t="s">
        <v>24</v>
      </c>
      <c r="EM76" s="82">
        <v>241.43667956123221</v>
      </c>
      <c r="EN76" s="82">
        <v>206.2708139959758</v>
      </c>
      <c r="EO76" s="77">
        <v>210.28039999999999</v>
      </c>
      <c r="EP76" s="84">
        <v>0.19403388859999032</v>
      </c>
      <c r="EQ76" s="84">
        <v>0.1985771238014705</v>
      </c>
      <c r="ER76" s="84">
        <v>3.7812199999999997E-2</v>
      </c>
      <c r="ES76" s="85">
        <v>0.97173988520598786</v>
      </c>
      <c r="ET76" s="86">
        <v>1.3944000000000001</v>
      </c>
      <c r="EU76" s="85">
        <v>0.15269873395245903</v>
      </c>
      <c r="EV76" s="85">
        <v>3.6374216079711912E-2</v>
      </c>
      <c r="EW76" s="76">
        <v>2</v>
      </c>
      <c r="EX76" s="76" t="s">
        <v>32</v>
      </c>
      <c r="EY76" s="74" t="s">
        <v>243</v>
      </c>
      <c r="EZ76" s="74"/>
      <c r="FA76" s="74"/>
      <c r="FB76" s="74"/>
      <c r="FC76" s="74"/>
      <c r="FD76" s="68"/>
      <c r="FH76" s="73"/>
      <c r="FI76" s="74"/>
      <c r="FJ76" s="74"/>
      <c r="FK76" s="74"/>
      <c r="FL76" s="74"/>
      <c r="FM76" s="74"/>
      <c r="FN76" s="74"/>
      <c r="FO76" s="74"/>
      <c r="FP76" s="74"/>
      <c r="FQ76" s="74"/>
      <c r="FR76" s="74"/>
      <c r="FS76" s="74"/>
      <c r="FT76" s="74"/>
      <c r="FU76" s="74"/>
      <c r="FV76" s="74"/>
      <c r="FW76" s="74"/>
      <c r="FX76" s="74"/>
      <c r="FY76" s="74"/>
      <c r="FZ76" s="74"/>
      <c r="GA76" s="68"/>
    </row>
    <row r="77" spans="1:183" s="2" customFormat="1" ht="15" x14ac:dyDescent="0.3">
      <c r="A77" s="73" t="s">
        <v>188</v>
      </c>
      <c r="B77" s="73" t="s">
        <v>169</v>
      </c>
      <c r="C77" s="73" t="s">
        <v>169</v>
      </c>
      <c r="D77" s="73" t="s">
        <v>48</v>
      </c>
      <c r="E77" s="73" t="s">
        <v>178</v>
      </c>
      <c r="F77" s="73" t="s">
        <v>210</v>
      </c>
      <c r="G77" s="73" t="s">
        <v>227</v>
      </c>
      <c r="H77" s="73"/>
      <c r="I77" s="74">
        <v>0</v>
      </c>
      <c r="J77" s="74">
        <v>0</v>
      </c>
      <c r="K77" s="74">
        <v>0</v>
      </c>
      <c r="L77" s="74">
        <v>0</v>
      </c>
      <c r="M77" s="74">
        <v>-7382.1</v>
      </c>
      <c r="N77" s="74">
        <v>-4558.4000000000005</v>
      </c>
      <c r="O77" s="74">
        <v>-7307.3</v>
      </c>
      <c r="P77" s="74">
        <v>-11659.01854314479</v>
      </c>
      <c r="Q77" s="74">
        <v>-12376.080539770399</v>
      </c>
      <c r="R77" s="74">
        <v>-12019.206006003633</v>
      </c>
      <c r="S77" s="74">
        <v>-12620.166306303816</v>
      </c>
      <c r="T77" s="74">
        <v>-13251.174621619008</v>
      </c>
      <c r="U77" s="74">
        <v>0</v>
      </c>
      <c r="V77" s="74">
        <v>0</v>
      </c>
      <c r="W77" s="74">
        <v>0</v>
      </c>
      <c r="X77" s="74">
        <v>0</v>
      </c>
      <c r="Y77" s="74">
        <v>0</v>
      </c>
      <c r="Z77" s="74">
        <v>0</v>
      </c>
      <c r="AA77" s="74">
        <v>0</v>
      </c>
      <c r="AB77" s="74">
        <v>0</v>
      </c>
      <c r="AC77" s="74">
        <v>0</v>
      </c>
      <c r="AD77" s="74">
        <v>0</v>
      </c>
      <c r="AE77" s="74">
        <v>0</v>
      </c>
      <c r="AF77" s="74">
        <v>0</v>
      </c>
      <c r="AG77" s="74">
        <v>0</v>
      </c>
      <c r="AH77" s="74">
        <v>0</v>
      </c>
      <c r="AI77" s="74">
        <v>0</v>
      </c>
      <c r="AJ77" s="74">
        <v>0</v>
      </c>
      <c r="AK77" s="74"/>
      <c r="AL77" s="74">
        <v>0</v>
      </c>
      <c r="AM77" s="74">
        <v>0</v>
      </c>
      <c r="AN77" s="74">
        <v>0</v>
      </c>
      <c r="AO77" s="74">
        <v>0</v>
      </c>
      <c r="AP77" s="74">
        <v>0</v>
      </c>
      <c r="AQ77" s="74">
        <v>0</v>
      </c>
      <c r="AR77" s="74">
        <v>0</v>
      </c>
      <c r="AS77" s="74">
        <v>0</v>
      </c>
      <c r="AT77" s="74">
        <v>0</v>
      </c>
      <c r="AU77" s="74">
        <v>0</v>
      </c>
      <c r="AV77" s="74">
        <v>0</v>
      </c>
      <c r="AW77" s="74">
        <v>0</v>
      </c>
      <c r="AX77" s="74">
        <v>0</v>
      </c>
      <c r="AY77" s="74">
        <v>0</v>
      </c>
      <c r="AZ77" s="74">
        <v>0</v>
      </c>
      <c r="BA77" s="74">
        <v>0</v>
      </c>
      <c r="BB77" s="74">
        <v>0</v>
      </c>
      <c r="BC77" s="74">
        <v>0</v>
      </c>
      <c r="BD77" s="74">
        <v>0</v>
      </c>
      <c r="BE77" s="74">
        <v>0</v>
      </c>
      <c r="BF77" s="74">
        <v>0</v>
      </c>
      <c r="BG77" s="74">
        <v>0</v>
      </c>
      <c r="BH77" s="74">
        <v>0</v>
      </c>
      <c r="BI77" s="74">
        <v>0</v>
      </c>
      <c r="BJ77" s="74">
        <v>0</v>
      </c>
      <c r="BK77" s="74">
        <v>0</v>
      </c>
      <c r="BL77" s="74">
        <v>0</v>
      </c>
      <c r="BM77" s="74">
        <v>0</v>
      </c>
      <c r="BN77" s="74">
        <v>0</v>
      </c>
      <c r="BO77" s="74">
        <v>0</v>
      </c>
      <c r="BP77" s="74">
        <v>0</v>
      </c>
      <c r="BQ77" s="74">
        <v>0</v>
      </c>
      <c r="BR77" s="74">
        <v>0</v>
      </c>
      <c r="BS77" s="74">
        <v>0</v>
      </c>
      <c r="BT77" s="74">
        <v>0</v>
      </c>
      <c r="BU77" s="74">
        <v>0</v>
      </c>
      <c r="BV77" s="74">
        <v>0</v>
      </c>
      <c r="BW77" s="74">
        <v>0</v>
      </c>
      <c r="BX77" s="74">
        <v>0</v>
      </c>
      <c r="BY77" s="74">
        <v>0</v>
      </c>
      <c r="BZ77" s="74">
        <v>0</v>
      </c>
      <c r="CA77" s="74">
        <v>0</v>
      </c>
      <c r="CB77" s="74">
        <v>0</v>
      </c>
      <c r="CC77" s="74">
        <v>0</v>
      </c>
      <c r="CD77" s="74">
        <v>0</v>
      </c>
      <c r="CE77" s="74">
        <v>0</v>
      </c>
      <c r="CF77" s="74">
        <v>0</v>
      </c>
      <c r="CG77" s="74">
        <v>0</v>
      </c>
      <c r="CH77" s="74">
        <v>0</v>
      </c>
      <c r="CI77" s="74">
        <v>0</v>
      </c>
      <c r="CJ77" s="74">
        <v>0</v>
      </c>
      <c r="CK77" s="74">
        <v>0</v>
      </c>
      <c r="CL77" s="74">
        <v>0</v>
      </c>
      <c r="CM77" s="74">
        <v>0</v>
      </c>
      <c r="CN77" s="74">
        <v>0</v>
      </c>
      <c r="CO77" s="74">
        <v>0</v>
      </c>
      <c r="CP77" s="74">
        <v>0</v>
      </c>
      <c r="CQ77" s="74">
        <v>0</v>
      </c>
      <c r="CR77" s="74">
        <v>0</v>
      </c>
      <c r="CS77" s="74">
        <v>0</v>
      </c>
      <c r="CT77" s="74">
        <v>0</v>
      </c>
      <c r="CU77" s="74">
        <v>0</v>
      </c>
      <c r="CV77" s="74">
        <v>0</v>
      </c>
      <c r="CW77" s="74">
        <v>0</v>
      </c>
      <c r="CX77" s="74">
        <v>0</v>
      </c>
      <c r="CY77" s="74">
        <v>0</v>
      </c>
      <c r="CZ77" s="74">
        <v>0</v>
      </c>
      <c r="DA77" s="74">
        <v>0</v>
      </c>
      <c r="DB77" s="74">
        <v>0</v>
      </c>
      <c r="DC77" s="74">
        <v>0</v>
      </c>
      <c r="DD77" s="74">
        <v>0</v>
      </c>
      <c r="DE77" s="74">
        <v>0</v>
      </c>
      <c r="DF77" s="74">
        <v>0</v>
      </c>
      <c r="DG77" s="74">
        <v>0</v>
      </c>
      <c r="DH77" s="74">
        <v>0</v>
      </c>
      <c r="DI77" s="74">
        <v>0</v>
      </c>
      <c r="DJ77" s="74">
        <v>0</v>
      </c>
      <c r="DK77" s="74">
        <v>0</v>
      </c>
      <c r="DL77" s="74">
        <v>0</v>
      </c>
      <c r="DM77" s="74">
        <v>0</v>
      </c>
      <c r="DN77" s="74">
        <v>0</v>
      </c>
      <c r="DO77" s="74">
        <v>0</v>
      </c>
      <c r="DP77" s="74">
        <v>0</v>
      </c>
      <c r="DQ77" s="74">
        <v>0</v>
      </c>
      <c r="DR77" s="74">
        <v>0</v>
      </c>
      <c r="DS77" s="74">
        <v>0</v>
      </c>
      <c r="DT77" s="74">
        <v>0</v>
      </c>
      <c r="DU77" s="74">
        <v>0</v>
      </c>
      <c r="DV77" s="74">
        <v>0</v>
      </c>
      <c r="DW77" s="74">
        <v>0</v>
      </c>
      <c r="DX77" s="74">
        <v>0</v>
      </c>
      <c r="DY77" s="74">
        <v>0</v>
      </c>
      <c r="DZ77" s="74">
        <v>0</v>
      </c>
      <c r="EA77" s="74">
        <v>0</v>
      </c>
      <c r="EB77" s="74">
        <v>0</v>
      </c>
      <c r="EC77" s="74">
        <v>0</v>
      </c>
      <c r="ED77" s="74"/>
      <c r="EE77" s="80">
        <v>46063</v>
      </c>
      <c r="EF77" s="81">
        <v>46063.452990393518</v>
      </c>
      <c r="EG77" s="66" t="s">
        <v>70</v>
      </c>
      <c r="EH77" s="66" t="s">
        <v>209</v>
      </c>
      <c r="EI77" s="66" t="s">
        <v>6</v>
      </c>
      <c r="EJ77" s="66">
        <v>10</v>
      </c>
      <c r="EK77" s="66">
        <v>2027</v>
      </c>
      <c r="EL77" s="66" t="s">
        <v>24</v>
      </c>
      <c r="EM77" s="82">
        <v>241.43667956123221</v>
      </c>
      <c r="EN77" s="82">
        <v>206.2708139959758</v>
      </c>
      <c r="EO77" s="77">
        <v>210.28039999999999</v>
      </c>
      <c r="EP77" s="84">
        <v>0.19403388859999032</v>
      </c>
      <c r="EQ77" s="84">
        <v>0.1985771238014705</v>
      </c>
      <c r="ER77" s="84">
        <v>3.7812199999999997E-2</v>
      </c>
      <c r="ES77" s="85">
        <v>0.97173988520598786</v>
      </c>
      <c r="ET77" s="86">
        <v>1.3944000000000001</v>
      </c>
      <c r="EU77" s="85">
        <v>0.15269873395245903</v>
      </c>
      <c r="EV77" s="85">
        <v>3.6374216079711912E-2</v>
      </c>
      <c r="EW77" s="76">
        <v>2</v>
      </c>
      <c r="EX77" s="76" t="s">
        <v>32</v>
      </c>
      <c r="EY77" s="74" t="s">
        <v>243</v>
      </c>
      <c r="EZ77" s="74"/>
      <c r="FA77" s="74"/>
      <c r="FB77" s="74"/>
      <c r="FC77" s="74"/>
      <c r="FD77" s="68"/>
      <c r="FH77" s="73"/>
      <c r="FI77" s="74"/>
      <c r="FJ77" s="74"/>
      <c r="FK77" s="74"/>
      <c r="FL77" s="74"/>
      <c r="FM77" s="74"/>
      <c r="FN77" s="74"/>
      <c r="FO77" s="74"/>
      <c r="FP77" s="74"/>
      <c r="FQ77" s="74"/>
      <c r="FR77" s="74"/>
      <c r="FS77" s="74"/>
      <c r="FT77" s="74"/>
      <c r="FU77" s="74"/>
      <c r="FV77" s="74"/>
      <c r="FW77" s="74"/>
      <c r="FX77" s="74"/>
      <c r="FY77" s="74"/>
      <c r="FZ77" s="74"/>
      <c r="GA77" s="68"/>
    </row>
    <row r="78" spans="1:183" s="2" customFormat="1" ht="15" x14ac:dyDescent="0.3">
      <c r="A78" s="73" t="s">
        <v>189</v>
      </c>
      <c r="B78" s="73" t="s">
        <v>173</v>
      </c>
      <c r="C78" s="73" t="s">
        <v>173</v>
      </c>
      <c r="D78" s="73" t="s">
        <v>48</v>
      </c>
      <c r="E78" s="73" t="s">
        <v>178</v>
      </c>
      <c r="F78" s="73" t="s">
        <v>210</v>
      </c>
      <c r="G78" s="73" t="s">
        <v>227</v>
      </c>
      <c r="H78" s="73"/>
      <c r="I78" s="74">
        <v>0</v>
      </c>
      <c r="J78" s="74">
        <v>0</v>
      </c>
      <c r="K78" s="74">
        <v>0</v>
      </c>
      <c r="L78" s="74">
        <v>0</v>
      </c>
      <c r="M78" s="74">
        <v>-30530.500000000004</v>
      </c>
      <c r="N78" s="74">
        <v>-27327.300000000003</v>
      </c>
      <c r="O78" s="74">
        <v>-58593.700000000004</v>
      </c>
      <c r="P78" s="74">
        <v>-122791.44815292784</v>
      </c>
      <c r="Q78" s="74">
        <v>-135977.63005994575</v>
      </c>
      <c r="R78" s="74">
        <v>-152569.03790093766</v>
      </c>
      <c r="S78" s="74">
        <v>-160197.48979598455</v>
      </c>
      <c r="T78" s="74">
        <v>-168207.36428578378</v>
      </c>
      <c r="U78" s="74">
        <v>0</v>
      </c>
      <c r="V78" s="74">
        <v>0</v>
      </c>
      <c r="W78" s="74">
        <v>0</v>
      </c>
      <c r="X78" s="74">
        <v>0</v>
      </c>
      <c r="Y78" s="74">
        <v>0</v>
      </c>
      <c r="Z78" s="74">
        <v>0</v>
      </c>
      <c r="AA78" s="74">
        <v>0</v>
      </c>
      <c r="AB78" s="74">
        <v>0</v>
      </c>
      <c r="AC78" s="74">
        <v>0</v>
      </c>
      <c r="AD78" s="74">
        <v>0</v>
      </c>
      <c r="AE78" s="74">
        <v>0</v>
      </c>
      <c r="AF78" s="74">
        <v>0</v>
      </c>
      <c r="AG78" s="74">
        <v>0</v>
      </c>
      <c r="AH78" s="74">
        <v>0</v>
      </c>
      <c r="AI78" s="74">
        <v>0</v>
      </c>
      <c r="AJ78" s="74">
        <v>0</v>
      </c>
      <c r="AK78" s="74"/>
      <c r="AL78" s="74">
        <v>0</v>
      </c>
      <c r="AM78" s="74">
        <v>0</v>
      </c>
      <c r="AN78" s="74">
        <v>0</v>
      </c>
      <c r="AO78" s="74">
        <v>0</v>
      </c>
      <c r="AP78" s="74">
        <v>0</v>
      </c>
      <c r="AQ78" s="74">
        <v>0</v>
      </c>
      <c r="AR78" s="74">
        <v>0</v>
      </c>
      <c r="AS78" s="74">
        <v>0</v>
      </c>
      <c r="AT78" s="74">
        <v>0</v>
      </c>
      <c r="AU78" s="74">
        <v>0</v>
      </c>
      <c r="AV78" s="74">
        <v>0</v>
      </c>
      <c r="AW78" s="74">
        <v>0</v>
      </c>
      <c r="AX78" s="74">
        <v>0</v>
      </c>
      <c r="AY78" s="74">
        <v>0</v>
      </c>
      <c r="AZ78" s="74">
        <v>0</v>
      </c>
      <c r="BA78" s="74">
        <v>0</v>
      </c>
      <c r="BB78" s="74">
        <v>0</v>
      </c>
      <c r="BC78" s="74">
        <v>0</v>
      </c>
      <c r="BD78" s="74">
        <v>0</v>
      </c>
      <c r="BE78" s="74">
        <v>0</v>
      </c>
      <c r="BF78" s="74">
        <v>0</v>
      </c>
      <c r="BG78" s="74">
        <v>0</v>
      </c>
      <c r="BH78" s="74">
        <v>0</v>
      </c>
      <c r="BI78" s="74">
        <v>0</v>
      </c>
      <c r="BJ78" s="74">
        <v>0</v>
      </c>
      <c r="BK78" s="74">
        <v>0</v>
      </c>
      <c r="BL78" s="74">
        <v>0</v>
      </c>
      <c r="BM78" s="74">
        <v>0</v>
      </c>
      <c r="BN78" s="74">
        <v>0</v>
      </c>
      <c r="BO78" s="74">
        <v>0</v>
      </c>
      <c r="BP78" s="74">
        <v>0</v>
      </c>
      <c r="BQ78" s="74">
        <v>0</v>
      </c>
      <c r="BR78" s="74">
        <v>0</v>
      </c>
      <c r="BS78" s="74">
        <v>0</v>
      </c>
      <c r="BT78" s="74">
        <v>0</v>
      </c>
      <c r="BU78" s="74">
        <v>0</v>
      </c>
      <c r="BV78" s="74">
        <v>0</v>
      </c>
      <c r="BW78" s="74">
        <v>0</v>
      </c>
      <c r="BX78" s="74">
        <v>0</v>
      </c>
      <c r="BY78" s="74">
        <v>0</v>
      </c>
      <c r="BZ78" s="74">
        <v>0</v>
      </c>
      <c r="CA78" s="74">
        <v>0</v>
      </c>
      <c r="CB78" s="74">
        <v>0</v>
      </c>
      <c r="CC78" s="74">
        <v>0</v>
      </c>
      <c r="CD78" s="74">
        <v>0</v>
      </c>
      <c r="CE78" s="74">
        <v>0</v>
      </c>
      <c r="CF78" s="74">
        <v>0</v>
      </c>
      <c r="CG78" s="74">
        <v>0</v>
      </c>
      <c r="CH78" s="74">
        <v>0</v>
      </c>
      <c r="CI78" s="74">
        <v>0</v>
      </c>
      <c r="CJ78" s="74">
        <v>0</v>
      </c>
      <c r="CK78" s="74">
        <v>0</v>
      </c>
      <c r="CL78" s="74">
        <v>0</v>
      </c>
      <c r="CM78" s="74">
        <v>0</v>
      </c>
      <c r="CN78" s="74">
        <v>0</v>
      </c>
      <c r="CO78" s="74">
        <v>0</v>
      </c>
      <c r="CP78" s="74">
        <v>0</v>
      </c>
      <c r="CQ78" s="74">
        <v>0</v>
      </c>
      <c r="CR78" s="74">
        <v>0</v>
      </c>
      <c r="CS78" s="74">
        <v>0</v>
      </c>
      <c r="CT78" s="74">
        <v>0</v>
      </c>
      <c r="CU78" s="74">
        <v>0</v>
      </c>
      <c r="CV78" s="74">
        <v>0</v>
      </c>
      <c r="CW78" s="74">
        <v>0</v>
      </c>
      <c r="CX78" s="74">
        <v>0</v>
      </c>
      <c r="CY78" s="74">
        <v>0</v>
      </c>
      <c r="CZ78" s="74">
        <v>0</v>
      </c>
      <c r="DA78" s="74">
        <v>0</v>
      </c>
      <c r="DB78" s="74">
        <v>0</v>
      </c>
      <c r="DC78" s="74">
        <v>0</v>
      </c>
      <c r="DD78" s="74">
        <v>0</v>
      </c>
      <c r="DE78" s="74">
        <v>0</v>
      </c>
      <c r="DF78" s="74">
        <v>0</v>
      </c>
      <c r="DG78" s="74">
        <v>0</v>
      </c>
      <c r="DH78" s="74">
        <v>0</v>
      </c>
      <c r="DI78" s="74">
        <v>0</v>
      </c>
      <c r="DJ78" s="74">
        <v>0</v>
      </c>
      <c r="DK78" s="74">
        <v>0</v>
      </c>
      <c r="DL78" s="74">
        <v>0</v>
      </c>
      <c r="DM78" s="74">
        <v>0</v>
      </c>
      <c r="DN78" s="74">
        <v>0</v>
      </c>
      <c r="DO78" s="74">
        <v>0</v>
      </c>
      <c r="DP78" s="74">
        <v>0</v>
      </c>
      <c r="DQ78" s="74">
        <v>0</v>
      </c>
      <c r="DR78" s="74">
        <v>0</v>
      </c>
      <c r="DS78" s="74">
        <v>0</v>
      </c>
      <c r="DT78" s="74">
        <v>0</v>
      </c>
      <c r="DU78" s="74">
        <v>0</v>
      </c>
      <c r="DV78" s="74">
        <v>0</v>
      </c>
      <c r="DW78" s="74">
        <v>0</v>
      </c>
      <c r="DX78" s="74">
        <v>0</v>
      </c>
      <c r="DY78" s="74">
        <v>0</v>
      </c>
      <c r="DZ78" s="74">
        <v>0</v>
      </c>
      <c r="EA78" s="74">
        <v>0</v>
      </c>
      <c r="EB78" s="74">
        <v>0</v>
      </c>
      <c r="EC78" s="74">
        <v>0</v>
      </c>
      <c r="ED78" s="74"/>
      <c r="EE78" s="80">
        <v>46063</v>
      </c>
      <c r="EF78" s="81">
        <v>46063.452990393518</v>
      </c>
      <c r="EG78" s="66" t="s">
        <v>70</v>
      </c>
      <c r="EH78" s="66" t="s">
        <v>209</v>
      </c>
      <c r="EI78" s="66" t="s">
        <v>6</v>
      </c>
      <c r="EJ78" s="66">
        <v>10</v>
      </c>
      <c r="EK78" s="66">
        <v>2027</v>
      </c>
      <c r="EL78" s="66" t="s">
        <v>24</v>
      </c>
      <c r="EM78" s="82">
        <v>241.43667956123221</v>
      </c>
      <c r="EN78" s="82">
        <v>206.2708139959758</v>
      </c>
      <c r="EO78" s="77">
        <v>210.28039999999999</v>
      </c>
      <c r="EP78" s="84">
        <v>0.19403388859999032</v>
      </c>
      <c r="EQ78" s="84">
        <v>0.1985771238014705</v>
      </c>
      <c r="ER78" s="84">
        <v>3.7812199999999997E-2</v>
      </c>
      <c r="ES78" s="85">
        <v>0.97173988520598786</v>
      </c>
      <c r="ET78" s="86">
        <v>1.3944000000000001</v>
      </c>
      <c r="EU78" s="85">
        <v>0.15269873395245903</v>
      </c>
      <c r="EV78" s="85">
        <v>3.6374216079711912E-2</v>
      </c>
      <c r="EW78" s="76">
        <v>2</v>
      </c>
      <c r="EX78" s="76" t="s">
        <v>32</v>
      </c>
      <c r="EY78" s="74" t="s">
        <v>243</v>
      </c>
      <c r="EZ78" s="74"/>
      <c r="FA78" s="74"/>
      <c r="FB78" s="74"/>
      <c r="FC78" s="74"/>
      <c r="FD78" s="68"/>
      <c r="FH78" s="73"/>
      <c r="FI78" s="74"/>
      <c r="FJ78" s="74"/>
      <c r="FK78" s="74"/>
      <c r="FL78" s="74"/>
      <c r="FM78" s="74"/>
      <c r="FN78" s="74"/>
      <c r="FO78" s="74"/>
      <c r="FP78" s="74"/>
      <c r="FQ78" s="74"/>
      <c r="FR78" s="74"/>
      <c r="FS78" s="74"/>
      <c r="FT78" s="74"/>
      <c r="FU78" s="74"/>
      <c r="FV78" s="74"/>
      <c r="FW78" s="74"/>
      <c r="FX78" s="74"/>
      <c r="FY78" s="74"/>
      <c r="FZ78" s="74"/>
      <c r="GA78" s="68"/>
    </row>
    <row r="79" spans="1:183" s="2" customFormat="1" ht="15" x14ac:dyDescent="0.3">
      <c r="A79" s="73" t="s">
        <v>198</v>
      </c>
      <c r="B79" s="73" t="s">
        <v>175</v>
      </c>
      <c r="C79" s="73" t="s">
        <v>175</v>
      </c>
      <c r="D79" s="73" t="s">
        <v>48</v>
      </c>
      <c r="E79" s="73" t="s">
        <v>178</v>
      </c>
      <c r="F79" s="73" t="s">
        <v>210</v>
      </c>
      <c r="G79" s="73" t="s">
        <v>227</v>
      </c>
      <c r="H79" s="73"/>
      <c r="I79" s="74">
        <v>0</v>
      </c>
      <c r="J79" s="74">
        <v>0</v>
      </c>
      <c r="K79" s="74">
        <v>0</v>
      </c>
      <c r="L79" s="74">
        <v>0</v>
      </c>
      <c r="M79" s="74">
        <v>-2956.8</v>
      </c>
      <c r="N79" s="74">
        <v>-2010.8000000000002</v>
      </c>
      <c r="O79" s="74">
        <v>-1643.4</v>
      </c>
      <c r="P79" s="74">
        <v>-4659.6755125205</v>
      </c>
      <c r="Q79" s="74">
        <v>-2875.9813078400439</v>
      </c>
      <c r="R79" s="74">
        <v>-3501.0333044749486</v>
      </c>
      <c r="S79" s="74">
        <v>-3501.383407805396</v>
      </c>
      <c r="T79" s="74">
        <v>-3501.7335461461766</v>
      </c>
      <c r="U79" s="74">
        <v>0</v>
      </c>
      <c r="V79" s="74">
        <v>0</v>
      </c>
      <c r="W79" s="74">
        <v>0</v>
      </c>
      <c r="X79" s="74">
        <v>0</v>
      </c>
      <c r="Y79" s="74">
        <v>0</v>
      </c>
      <c r="Z79" s="74">
        <v>0</v>
      </c>
      <c r="AA79" s="74">
        <v>0</v>
      </c>
      <c r="AB79" s="74">
        <v>0</v>
      </c>
      <c r="AC79" s="74">
        <v>0</v>
      </c>
      <c r="AD79" s="74">
        <v>0</v>
      </c>
      <c r="AE79" s="74">
        <v>0</v>
      </c>
      <c r="AF79" s="74">
        <v>0</v>
      </c>
      <c r="AG79" s="74">
        <v>0</v>
      </c>
      <c r="AH79" s="74">
        <v>0</v>
      </c>
      <c r="AI79" s="74">
        <v>0</v>
      </c>
      <c r="AJ79" s="74">
        <v>0</v>
      </c>
      <c r="AK79" s="74"/>
      <c r="AL79" s="74">
        <v>0</v>
      </c>
      <c r="AM79" s="74">
        <v>0</v>
      </c>
      <c r="AN79" s="74">
        <v>0</v>
      </c>
      <c r="AO79" s="74">
        <v>0</v>
      </c>
      <c r="AP79" s="74">
        <v>0</v>
      </c>
      <c r="AQ79" s="74">
        <v>0</v>
      </c>
      <c r="AR79" s="74">
        <v>0</v>
      </c>
      <c r="AS79" s="74">
        <v>0</v>
      </c>
      <c r="AT79" s="74">
        <v>0</v>
      </c>
      <c r="AU79" s="74">
        <v>0</v>
      </c>
      <c r="AV79" s="74">
        <v>0</v>
      </c>
      <c r="AW79" s="74">
        <v>0</v>
      </c>
      <c r="AX79" s="74">
        <v>0</v>
      </c>
      <c r="AY79" s="74">
        <v>0</v>
      </c>
      <c r="AZ79" s="74">
        <v>0</v>
      </c>
      <c r="BA79" s="74">
        <v>0</v>
      </c>
      <c r="BB79" s="74">
        <v>0</v>
      </c>
      <c r="BC79" s="74">
        <v>0</v>
      </c>
      <c r="BD79" s="74">
        <v>0</v>
      </c>
      <c r="BE79" s="74">
        <v>0</v>
      </c>
      <c r="BF79" s="74">
        <v>0</v>
      </c>
      <c r="BG79" s="74">
        <v>0</v>
      </c>
      <c r="BH79" s="74">
        <v>0</v>
      </c>
      <c r="BI79" s="74">
        <v>0</v>
      </c>
      <c r="BJ79" s="74">
        <v>0</v>
      </c>
      <c r="BK79" s="74">
        <v>0</v>
      </c>
      <c r="BL79" s="74">
        <v>0</v>
      </c>
      <c r="BM79" s="74">
        <v>0</v>
      </c>
      <c r="BN79" s="74">
        <v>0</v>
      </c>
      <c r="BO79" s="74">
        <v>0</v>
      </c>
      <c r="BP79" s="74">
        <v>0</v>
      </c>
      <c r="BQ79" s="74">
        <v>0</v>
      </c>
      <c r="BR79" s="74">
        <v>0</v>
      </c>
      <c r="BS79" s="74">
        <v>0</v>
      </c>
      <c r="BT79" s="74">
        <v>0</v>
      </c>
      <c r="BU79" s="74">
        <v>0</v>
      </c>
      <c r="BV79" s="74">
        <v>0</v>
      </c>
      <c r="BW79" s="74">
        <v>0</v>
      </c>
      <c r="BX79" s="74">
        <v>0</v>
      </c>
      <c r="BY79" s="74">
        <v>0</v>
      </c>
      <c r="BZ79" s="74">
        <v>0</v>
      </c>
      <c r="CA79" s="74">
        <v>0</v>
      </c>
      <c r="CB79" s="74">
        <v>0</v>
      </c>
      <c r="CC79" s="74">
        <v>0</v>
      </c>
      <c r="CD79" s="74">
        <v>0</v>
      </c>
      <c r="CE79" s="74">
        <v>0</v>
      </c>
      <c r="CF79" s="74">
        <v>0</v>
      </c>
      <c r="CG79" s="74">
        <v>0</v>
      </c>
      <c r="CH79" s="74">
        <v>0</v>
      </c>
      <c r="CI79" s="74">
        <v>0</v>
      </c>
      <c r="CJ79" s="74">
        <v>0</v>
      </c>
      <c r="CK79" s="74">
        <v>0</v>
      </c>
      <c r="CL79" s="74">
        <v>0</v>
      </c>
      <c r="CM79" s="74">
        <v>0</v>
      </c>
      <c r="CN79" s="74">
        <v>0</v>
      </c>
      <c r="CO79" s="74">
        <v>0</v>
      </c>
      <c r="CP79" s="74">
        <v>0</v>
      </c>
      <c r="CQ79" s="74">
        <v>0</v>
      </c>
      <c r="CR79" s="74">
        <v>0</v>
      </c>
      <c r="CS79" s="74">
        <v>0</v>
      </c>
      <c r="CT79" s="74">
        <v>0</v>
      </c>
      <c r="CU79" s="74">
        <v>0</v>
      </c>
      <c r="CV79" s="74">
        <v>0</v>
      </c>
      <c r="CW79" s="74">
        <v>0</v>
      </c>
      <c r="CX79" s="74">
        <v>0</v>
      </c>
      <c r="CY79" s="74">
        <v>0</v>
      </c>
      <c r="CZ79" s="74">
        <v>0</v>
      </c>
      <c r="DA79" s="74">
        <v>0</v>
      </c>
      <c r="DB79" s="74">
        <v>0</v>
      </c>
      <c r="DC79" s="74">
        <v>0</v>
      </c>
      <c r="DD79" s="74">
        <v>0</v>
      </c>
      <c r="DE79" s="74">
        <v>0</v>
      </c>
      <c r="DF79" s="74">
        <v>0</v>
      </c>
      <c r="DG79" s="74">
        <v>0</v>
      </c>
      <c r="DH79" s="74">
        <v>0</v>
      </c>
      <c r="DI79" s="74">
        <v>0</v>
      </c>
      <c r="DJ79" s="74">
        <v>0</v>
      </c>
      <c r="DK79" s="74">
        <v>0</v>
      </c>
      <c r="DL79" s="74">
        <v>0</v>
      </c>
      <c r="DM79" s="74">
        <v>0</v>
      </c>
      <c r="DN79" s="74">
        <v>0</v>
      </c>
      <c r="DO79" s="74">
        <v>0</v>
      </c>
      <c r="DP79" s="74">
        <v>0</v>
      </c>
      <c r="DQ79" s="74">
        <v>0</v>
      </c>
      <c r="DR79" s="74">
        <v>0</v>
      </c>
      <c r="DS79" s="74">
        <v>0</v>
      </c>
      <c r="DT79" s="74">
        <v>0</v>
      </c>
      <c r="DU79" s="74">
        <v>0</v>
      </c>
      <c r="DV79" s="74">
        <v>0</v>
      </c>
      <c r="DW79" s="74">
        <v>0</v>
      </c>
      <c r="DX79" s="74">
        <v>0</v>
      </c>
      <c r="DY79" s="74">
        <v>0</v>
      </c>
      <c r="DZ79" s="74">
        <v>0</v>
      </c>
      <c r="EA79" s="74">
        <v>0</v>
      </c>
      <c r="EB79" s="74">
        <v>0</v>
      </c>
      <c r="EC79" s="74">
        <v>0</v>
      </c>
      <c r="ED79" s="74"/>
      <c r="EE79" s="80">
        <v>46063</v>
      </c>
      <c r="EF79" s="81">
        <v>46063.452990393518</v>
      </c>
      <c r="EG79" s="66" t="s">
        <v>70</v>
      </c>
      <c r="EH79" s="66" t="s">
        <v>209</v>
      </c>
      <c r="EI79" s="66" t="s">
        <v>6</v>
      </c>
      <c r="EJ79" s="66">
        <v>10</v>
      </c>
      <c r="EK79" s="66">
        <v>2027</v>
      </c>
      <c r="EL79" s="66" t="s">
        <v>24</v>
      </c>
      <c r="EM79" s="82">
        <v>241.43667956123221</v>
      </c>
      <c r="EN79" s="82">
        <v>206.2708139959758</v>
      </c>
      <c r="EO79" s="77">
        <v>210.28039999999999</v>
      </c>
      <c r="EP79" s="84">
        <v>0.19403388859999032</v>
      </c>
      <c r="EQ79" s="84">
        <v>0.1985771238014705</v>
      </c>
      <c r="ER79" s="84">
        <v>3.7812199999999997E-2</v>
      </c>
      <c r="ES79" s="85">
        <v>0.97173988520598786</v>
      </c>
      <c r="ET79" s="86">
        <v>1.3944000000000001</v>
      </c>
      <c r="EU79" s="85">
        <v>0.15269873395245903</v>
      </c>
      <c r="EV79" s="85">
        <v>3.6374216079711912E-2</v>
      </c>
      <c r="EW79" s="76">
        <v>2</v>
      </c>
      <c r="EX79" s="76" t="s">
        <v>32</v>
      </c>
      <c r="EY79" s="74" t="s">
        <v>243</v>
      </c>
      <c r="EZ79" s="74"/>
      <c r="FA79" s="74"/>
      <c r="FB79" s="74"/>
      <c r="FC79" s="74"/>
      <c r="FD79" s="68"/>
      <c r="FH79" s="73"/>
      <c r="FI79" s="74"/>
      <c r="FJ79" s="74"/>
      <c r="FK79" s="74"/>
      <c r="FL79" s="74"/>
      <c r="FM79" s="74"/>
      <c r="FN79" s="74"/>
      <c r="FO79" s="74"/>
      <c r="FP79" s="74"/>
      <c r="FQ79" s="74"/>
      <c r="FR79" s="74"/>
      <c r="FS79" s="74"/>
      <c r="FT79" s="74"/>
      <c r="FU79" s="74"/>
      <c r="FV79" s="74"/>
      <c r="FW79" s="74"/>
      <c r="FX79" s="74"/>
      <c r="FY79" s="74"/>
      <c r="FZ79" s="74"/>
      <c r="GA79" s="68"/>
    </row>
    <row r="80" spans="1:183" s="2" customFormat="1" ht="15" x14ac:dyDescent="0.3">
      <c r="A80" s="73" t="s">
        <v>199</v>
      </c>
      <c r="B80" s="73" t="s">
        <v>202</v>
      </c>
      <c r="C80" s="73" t="s">
        <v>202</v>
      </c>
      <c r="D80" s="73" t="s">
        <v>48</v>
      </c>
      <c r="E80" s="73" t="s">
        <v>178</v>
      </c>
      <c r="F80" s="73" t="s">
        <v>210</v>
      </c>
      <c r="G80" s="73" t="s">
        <v>227</v>
      </c>
      <c r="H80" s="73"/>
      <c r="I80" s="74">
        <v>0</v>
      </c>
      <c r="J80" s="74">
        <v>0</v>
      </c>
      <c r="K80" s="74">
        <v>0</v>
      </c>
      <c r="L80" s="74">
        <v>0</v>
      </c>
      <c r="M80" s="74">
        <v>-238.70000000000002</v>
      </c>
      <c r="N80" s="74">
        <v>-16831.100000000002</v>
      </c>
      <c r="O80" s="74">
        <v>36325.300000000003</v>
      </c>
      <c r="P80" s="74">
        <v>-26980.247312632619</v>
      </c>
      <c r="Q80" s="74">
        <v>0</v>
      </c>
      <c r="R80" s="74">
        <v>0</v>
      </c>
      <c r="S80" s="74">
        <v>0</v>
      </c>
      <c r="T80" s="74">
        <v>0</v>
      </c>
      <c r="U80" s="74">
        <v>0</v>
      </c>
      <c r="V80" s="74">
        <v>0</v>
      </c>
      <c r="W80" s="74">
        <v>0</v>
      </c>
      <c r="X80" s="74">
        <v>0</v>
      </c>
      <c r="Y80" s="74">
        <v>0</v>
      </c>
      <c r="Z80" s="74">
        <v>0</v>
      </c>
      <c r="AA80" s="74">
        <v>0</v>
      </c>
      <c r="AB80" s="74">
        <v>0</v>
      </c>
      <c r="AC80" s="74">
        <v>0</v>
      </c>
      <c r="AD80" s="74">
        <v>0</v>
      </c>
      <c r="AE80" s="74">
        <v>0</v>
      </c>
      <c r="AF80" s="74">
        <v>0</v>
      </c>
      <c r="AG80" s="74">
        <v>0</v>
      </c>
      <c r="AH80" s="74">
        <v>0</v>
      </c>
      <c r="AI80" s="74">
        <v>0</v>
      </c>
      <c r="AJ80" s="74">
        <v>0</v>
      </c>
      <c r="AK80" s="74"/>
      <c r="AL80" s="74">
        <v>0</v>
      </c>
      <c r="AM80" s="74">
        <v>0</v>
      </c>
      <c r="AN80" s="74">
        <v>0</v>
      </c>
      <c r="AO80" s="74">
        <v>0</v>
      </c>
      <c r="AP80" s="74">
        <v>0</v>
      </c>
      <c r="AQ80" s="74">
        <v>0</v>
      </c>
      <c r="AR80" s="74">
        <v>0</v>
      </c>
      <c r="AS80" s="74">
        <v>0</v>
      </c>
      <c r="AT80" s="74">
        <v>0</v>
      </c>
      <c r="AU80" s="74">
        <v>0</v>
      </c>
      <c r="AV80" s="74">
        <v>0</v>
      </c>
      <c r="AW80" s="74">
        <v>0</v>
      </c>
      <c r="AX80" s="74">
        <v>0</v>
      </c>
      <c r="AY80" s="74">
        <v>0</v>
      </c>
      <c r="AZ80" s="74">
        <v>0</v>
      </c>
      <c r="BA80" s="74">
        <v>0</v>
      </c>
      <c r="BB80" s="74">
        <v>0</v>
      </c>
      <c r="BC80" s="74">
        <v>0</v>
      </c>
      <c r="BD80" s="74">
        <v>0</v>
      </c>
      <c r="BE80" s="74">
        <v>0</v>
      </c>
      <c r="BF80" s="74">
        <v>0</v>
      </c>
      <c r="BG80" s="74">
        <v>0</v>
      </c>
      <c r="BH80" s="74">
        <v>0</v>
      </c>
      <c r="BI80" s="74">
        <v>0</v>
      </c>
      <c r="BJ80" s="74">
        <v>0</v>
      </c>
      <c r="BK80" s="74">
        <v>0</v>
      </c>
      <c r="BL80" s="74">
        <v>0</v>
      </c>
      <c r="BM80" s="74">
        <v>0</v>
      </c>
      <c r="BN80" s="74">
        <v>0</v>
      </c>
      <c r="BO80" s="74">
        <v>0</v>
      </c>
      <c r="BP80" s="74">
        <v>0</v>
      </c>
      <c r="BQ80" s="74">
        <v>0</v>
      </c>
      <c r="BR80" s="74">
        <v>0</v>
      </c>
      <c r="BS80" s="74">
        <v>0</v>
      </c>
      <c r="BT80" s="74">
        <v>0</v>
      </c>
      <c r="BU80" s="74">
        <v>0</v>
      </c>
      <c r="BV80" s="74">
        <v>0</v>
      </c>
      <c r="BW80" s="74">
        <v>0</v>
      </c>
      <c r="BX80" s="74">
        <v>0</v>
      </c>
      <c r="BY80" s="74">
        <v>0</v>
      </c>
      <c r="BZ80" s="74">
        <v>0</v>
      </c>
      <c r="CA80" s="74">
        <v>0</v>
      </c>
      <c r="CB80" s="74">
        <v>0</v>
      </c>
      <c r="CC80" s="74">
        <v>0</v>
      </c>
      <c r="CD80" s="74">
        <v>0</v>
      </c>
      <c r="CE80" s="74">
        <v>0</v>
      </c>
      <c r="CF80" s="74">
        <v>0</v>
      </c>
      <c r="CG80" s="74">
        <v>0</v>
      </c>
      <c r="CH80" s="74">
        <v>0</v>
      </c>
      <c r="CI80" s="74">
        <v>0</v>
      </c>
      <c r="CJ80" s="74">
        <v>0</v>
      </c>
      <c r="CK80" s="74">
        <v>0</v>
      </c>
      <c r="CL80" s="74">
        <v>0</v>
      </c>
      <c r="CM80" s="74">
        <v>0</v>
      </c>
      <c r="CN80" s="74">
        <v>0</v>
      </c>
      <c r="CO80" s="74">
        <v>0</v>
      </c>
      <c r="CP80" s="74">
        <v>0</v>
      </c>
      <c r="CQ80" s="74">
        <v>0</v>
      </c>
      <c r="CR80" s="74">
        <v>0</v>
      </c>
      <c r="CS80" s="74">
        <v>0</v>
      </c>
      <c r="CT80" s="74">
        <v>0</v>
      </c>
      <c r="CU80" s="74">
        <v>0</v>
      </c>
      <c r="CV80" s="74">
        <v>0</v>
      </c>
      <c r="CW80" s="74">
        <v>0</v>
      </c>
      <c r="CX80" s="74">
        <v>0</v>
      </c>
      <c r="CY80" s="74">
        <v>0</v>
      </c>
      <c r="CZ80" s="74">
        <v>0</v>
      </c>
      <c r="DA80" s="74">
        <v>0</v>
      </c>
      <c r="DB80" s="74">
        <v>0</v>
      </c>
      <c r="DC80" s="74">
        <v>0</v>
      </c>
      <c r="DD80" s="74">
        <v>0</v>
      </c>
      <c r="DE80" s="74">
        <v>0</v>
      </c>
      <c r="DF80" s="74">
        <v>0</v>
      </c>
      <c r="DG80" s="74">
        <v>0</v>
      </c>
      <c r="DH80" s="74">
        <v>0</v>
      </c>
      <c r="DI80" s="74">
        <v>0</v>
      </c>
      <c r="DJ80" s="74">
        <v>0</v>
      </c>
      <c r="DK80" s="74">
        <v>0</v>
      </c>
      <c r="DL80" s="74">
        <v>0</v>
      </c>
      <c r="DM80" s="74">
        <v>0</v>
      </c>
      <c r="DN80" s="74">
        <v>0</v>
      </c>
      <c r="DO80" s="74">
        <v>0</v>
      </c>
      <c r="DP80" s="74">
        <v>0</v>
      </c>
      <c r="DQ80" s="74">
        <v>0</v>
      </c>
      <c r="DR80" s="74">
        <v>0</v>
      </c>
      <c r="DS80" s="74">
        <v>0</v>
      </c>
      <c r="DT80" s="74">
        <v>0</v>
      </c>
      <c r="DU80" s="74">
        <v>0</v>
      </c>
      <c r="DV80" s="74">
        <v>0</v>
      </c>
      <c r="DW80" s="74">
        <v>0</v>
      </c>
      <c r="DX80" s="74">
        <v>0</v>
      </c>
      <c r="DY80" s="74">
        <v>0</v>
      </c>
      <c r="DZ80" s="74">
        <v>0</v>
      </c>
      <c r="EA80" s="74">
        <v>0</v>
      </c>
      <c r="EB80" s="74">
        <v>0</v>
      </c>
      <c r="EC80" s="74">
        <v>0</v>
      </c>
      <c r="ED80" s="74"/>
      <c r="EE80" s="80">
        <v>46063</v>
      </c>
      <c r="EF80" s="81">
        <v>46063.452990393518</v>
      </c>
      <c r="EG80" s="66" t="s">
        <v>70</v>
      </c>
      <c r="EH80" s="66" t="s">
        <v>209</v>
      </c>
      <c r="EI80" s="66" t="s">
        <v>6</v>
      </c>
      <c r="EJ80" s="66">
        <v>10</v>
      </c>
      <c r="EK80" s="66">
        <v>2027</v>
      </c>
      <c r="EL80" s="66" t="s">
        <v>24</v>
      </c>
      <c r="EM80" s="82">
        <v>241.43667956123221</v>
      </c>
      <c r="EN80" s="82">
        <v>206.2708139959758</v>
      </c>
      <c r="EO80" s="77">
        <v>210.28039999999999</v>
      </c>
      <c r="EP80" s="84">
        <v>0.19403388859999032</v>
      </c>
      <c r="EQ80" s="84">
        <v>0.1985771238014705</v>
      </c>
      <c r="ER80" s="84">
        <v>3.7812199999999997E-2</v>
      </c>
      <c r="ES80" s="85">
        <v>0.97173988520598786</v>
      </c>
      <c r="ET80" s="86">
        <v>1.3944000000000001</v>
      </c>
      <c r="EU80" s="85">
        <v>0.15269873395245903</v>
      </c>
      <c r="EV80" s="85">
        <v>3.6374216079711912E-2</v>
      </c>
      <c r="EW80" s="76">
        <v>2</v>
      </c>
      <c r="EX80" s="76" t="s">
        <v>32</v>
      </c>
      <c r="EY80" s="74" t="s">
        <v>243</v>
      </c>
      <c r="EZ80" s="74"/>
      <c r="FA80" s="74"/>
      <c r="FB80" s="74"/>
      <c r="FC80" s="74"/>
      <c r="FD80" s="68"/>
      <c r="FH80" s="73"/>
      <c r="FI80" s="74"/>
      <c r="FJ80" s="74"/>
      <c r="FK80" s="74"/>
      <c r="FL80" s="74"/>
      <c r="FM80" s="74"/>
      <c r="FN80" s="74"/>
      <c r="FO80" s="74"/>
      <c r="FP80" s="74"/>
      <c r="FQ80" s="74"/>
      <c r="FR80" s="74"/>
      <c r="FS80" s="74"/>
      <c r="FT80" s="74"/>
      <c r="FU80" s="74"/>
      <c r="FV80" s="74"/>
      <c r="FW80" s="74"/>
      <c r="FX80" s="74"/>
      <c r="FY80" s="74"/>
      <c r="FZ80" s="74"/>
      <c r="GA80" s="68"/>
    </row>
    <row r="81" spans="1:183" s="2" customFormat="1" ht="15" x14ac:dyDescent="0.3">
      <c r="A81" s="73" t="s">
        <v>190</v>
      </c>
      <c r="B81" s="73" t="s">
        <v>171</v>
      </c>
      <c r="C81" s="73" t="s">
        <v>171</v>
      </c>
      <c r="D81" s="73" t="s">
        <v>48</v>
      </c>
      <c r="E81" s="73" t="s">
        <v>178</v>
      </c>
      <c r="F81" s="73" t="s">
        <v>210</v>
      </c>
      <c r="G81" s="73" t="s">
        <v>227</v>
      </c>
      <c r="H81" s="73"/>
      <c r="I81" s="74">
        <v>0</v>
      </c>
      <c r="J81" s="74">
        <v>0</v>
      </c>
      <c r="K81" s="74">
        <v>0</v>
      </c>
      <c r="L81" s="74">
        <v>0</v>
      </c>
      <c r="M81" s="74">
        <v>101714.04</v>
      </c>
      <c r="N81" s="74">
        <v>97932.78</v>
      </c>
      <c r="O81" s="74">
        <v>113337.24</v>
      </c>
      <c r="P81" s="74">
        <v>138108.20785804759</v>
      </c>
      <c r="Q81" s="74">
        <v>154077.30440979783</v>
      </c>
      <c r="R81" s="74">
        <v>170629.12612668966</v>
      </c>
      <c r="S81" s="74">
        <v>204737.48022529896</v>
      </c>
      <c r="T81" s="74">
        <v>236458.9483820748</v>
      </c>
      <c r="U81" s="74">
        <v>0</v>
      </c>
      <c r="V81" s="74">
        <v>0</v>
      </c>
      <c r="W81" s="74">
        <v>0</v>
      </c>
      <c r="X81" s="74">
        <v>0</v>
      </c>
      <c r="Y81" s="74">
        <v>0</v>
      </c>
      <c r="Z81" s="74">
        <v>0</v>
      </c>
      <c r="AA81" s="74">
        <v>0</v>
      </c>
      <c r="AB81" s="74">
        <v>0</v>
      </c>
      <c r="AC81" s="74">
        <v>0</v>
      </c>
      <c r="AD81" s="74">
        <v>0</v>
      </c>
      <c r="AE81" s="74">
        <v>0</v>
      </c>
      <c r="AF81" s="74">
        <v>0</v>
      </c>
      <c r="AG81" s="74">
        <v>0</v>
      </c>
      <c r="AH81" s="74">
        <v>0</v>
      </c>
      <c r="AI81" s="74">
        <v>0</v>
      </c>
      <c r="AJ81" s="74">
        <v>0</v>
      </c>
      <c r="AK81" s="74"/>
      <c r="AL81" s="74">
        <v>0</v>
      </c>
      <c r="AM81" s="74">
        <v>0</v>
      </c>
      <c r="AN81" s="74">
        <v>0</v>
      </c>
      <c r="AO81" s="74">
        <v>0</v>
      </c>
      <c r="AP81" s="74">
        <v>0</v>
      </c>
      <c r="AQ81" s="74">
        <v>0</v>
      </c>
      <c r="AR81" s="74">
        <v>0</v>
      </c>
      <c r="AS81" s="74">
        <v>0</v>
      </c>
      <c r="AT81" s="74">
        <v>0</v>
      </c>
      <c r="AU81" s="74">
        <v>0</v>
      </c>
      <c r="AV81" s="74">
        <v>0</v>
      </c>
      <c r="AW81" s="74">
        <v>0</v>
      </c>
      <c r="AX81" s="74">
        <v>0</v>
      </c>
      <c r="AY81" s="74">
        <v>0</v>
      </c>
      <c r="AZ81" s="74">
        <v>0</v>
      </c>
      <c r="BA81" s="74">
        <v>0</v>
      </c>
      <c r="BB81" s="74">
        <v>0</v>
      </c>
      <c r="BC81" s="74">
        <v>0</v>
      </c>
      <c r="BD81" s="74">
        <v>0</v>
      </c>
      <c r="BE81" s="74">
        <v>0</v>
      </c>
      <c r="BF81" s="74">
        <v>0</v>
      </c>
      <c r="BG81" s="74">
        <v>0</v>
      </c>
      <c r="BH81" s="74">
        <v>0</v>
      </c>
      <c r="BI81" s="74">
        <v>0</v>
      </c>
      <c r="BJ81" s="74">
        <v>0</v>
      </c>
      <c r="BK81" s="74">
        <v>0</v>
      </c>
      <c r="BL81" s="74">
        <v>0</v>
      </c>
      <c r="BM81" s="74">
        <v>0</v>
      </c>
      <c r="BN81" s="74">
        <v>0</v>
      </c>
      <c r="BO81" s="74">
        <v>0</v>
      </c>
      <c r="BP81" s="74">
        <v>0</v>
      </c>
      <c r="BQ81" s="74">
        <v>0</v>
      </c>
      <c r="BR81" s="74">
        <v>0</v>
      </c>
      <c r="BS81" s="74">
        <v>0</v>
      </c>
      <c r="BT81" s="74">
        <v>0</v>
      </c>
      <c r="BU81" s="74">
        <v>0</v>
      </c>
      <c r="BV81" s="74">
        <v>0</v>
      </c>
      <c r="BW81" s="74">
        <v>0</v>
      </c>
      <c r="BX81" s="74">
        <v>0</v>
      </c>
      <c r="BY81" s="74">
        <v>0</v>
      </c>
      <c r="BZ81" s="74">
        <v>0</v>
      </c>
      <c r="CA81" s="74">
        <v>0</v>
      </c>
      <c r="CB81" s="74">
        <v>0</v>
      </c>
      <c r="CC81" s="74">
        <v>0</v>
      </c>
      <c r="CD81" s="74">
        <v>0</v>
      </c>
      <c r="CE81" s="74">
        <v>0</v>
      </c>
      <c r="CF81" s="74">
        <v>0</v>
      </c>
      <c r="CG81" s="74">
        <v>0</v>
      </c>
      <c r="CH81" s="74">
        <v>0</v>
      </c>
      <c r="CI81" s="74">
        <v>0</v>
      </c>
      <c r="CJ81" s="74">
        <v>0</v>
      </c>
      <c r="CK81" s="74">
        <v>0</v>
      </c>
      <c r="CL81" s="74">
        <v>0</v>
      </c>
      <c r="CM81" s="74">
        <v>0</v>
      </c>
      <c r="CN81" s="74">
        <v>0</v>
      </c>
      <c r="CO81" s="74">
        <v>0</v>
      </c>
      <c r="CP81" s="74">
        <v>0</v>
      </c>
      <c r="CQ81" s="74">
        <v>0</v>
      </c>
      <c r="CR81" s="74">
        <v>0</v>
      </c>
      <c r="CS81" s="74">
        <v>0</v>
      </c>
      <c r="CT81" s="74">
        <v>0</v>
      </c>
      <c r="CU81" s="74">
        <v>0</v>
      </c>
      <c r="CV81" s="74">
        <v>0</v>
      </c>
      <c r="CW81" s="74">
        <v>0</v>
      </c>
      <c r="CX81" s="74">
        <v>0</v>
      </c>
      <c r="CY81" s="74">
        <v>0</v>
      </c>
      <c r="CZ81" s="74">
        <v>0</v>
      </c>
      <c r="DA81" s="74">
        <v>0</v>
      </c>
      <c r="DB81" s="74">
        <v>0</v>
      </c>
      <c r="DC81" s="74">
        <v>0</v>
      </c>
      <c r="DD81" s="74">
        <v>0</v>
      </c>
      <c r="DE81" s="74">
        <v>0</v>
      </c>
      <c r="DF81" s="74">
        <v>0</v>
      </c>
      <c r="DG81" s="74">
        <v>0</v>
      </c>
      <c r="DH81" s="74">
        <v>0</v>
      </c>
      <c r="DI81" s="74">
        <v>0</v>
      </c>
      <c r="DJ81" s="74">
        <v>0</v>
      </c>
      <c r="DK81" s="74">
        <v>0</v>
      </c>
      <c r="DL81" s="74">
        <v>0</v>
      </c>
      <c r="DM81" s="74">
        <v>0</v>
      </c>
      <c r="DN81" s="74">
        <v>0</v>
      </c>
      <c r="DO81" s="74">
        <v>0</v>
      </c>
      <c r="DP81" s="74">
        <v>0</v>
      </c>
      <c r="DQ81" s="74">
        <v>0</v>
      </c>
      <c r="DR81" s="74">
        <v>0</v>
      </c>
      <c r="DS81" s="74">
        <v>0</v>
      </c>
      <c r="DT81" s="74">
        <v>0</v>
      </c>
      <c r="DU81" s="74">
        <v>0</v>
      </c>
      <c r="DV81" s="74">
        <v>0</v>
      </c>
      <c r="DW81" s="74">
        <v>0</v>
      </c>
      <c r="DX81" s="74">
        <v>0</v>
      </c>
      <c r="DY81" s="74">
        <v>0</v>
      </c>
      <c r="DZ81" s="74">
        <v>0</v>
      </c>
      <c r="EA81" s="74">
        <v>0</v>
      </c>
      <c r="EB81" s="74">
        <v>0</v>
      </c>
      <c r="EC81" s="74">
        <v>0</v>
      </c>
      <c r="ED81" s="74"/>
      <c r="EE81" s="80">
        <v>46063</v>
      </c>
      <c r="EF81" s="81">
        <v>46063.452990393518</v>
      </c>
      <c r="EG81" s="66" t="s">
        <v>70</v>
      </c>
      <c r="EH81" s="66" t="s">
        <v>209</v>
      </c>
      <c r="EI81" s="66" t="s">
        <v>6</v>
      </c>
      <c r="EJ81" s="66">
        <v>10</v>
      </c>
      <c r="EK81" s="66">
        <v>2027</v>
      </c>
      <c r="EL81" s="66" t="s">
        <v>24</v>
      </c>
      <c r="EM81" s="82">
        <v>241.43667956123221</v>
      </c>
      <c r="EN81" s="82">
        <v>206.2708139959758</v>
      </c>
      <c r="EO81" s="77">
        <v>210.28039999999999</v>
      </c>
      <c r="EP81" s="84">
        <v>0.19403388859999032</v>
      </c>
      <c r="EQ81" s="84">
        <v>0.1985771238014705</v>
      </c>
      <c r="ER81" s="84">
        <v>3.7812199999999997E-2</v>
      </c>
      <c r="ES81" s="85">
        <v>0.97173988520598786</v>
      </c>
      <c r="ET81" s="86">
        <v>1.3944000000000001</v>
      </c>
      <c r="EU81" s="85">
        <v>0.15269873395245903</v>
      </c>
      <c r="EV81" s="85">
        <v>3.6374216079711912E-2</v>
      </c>
      <c r="EW81" s="76">
        <v>2</v>
      </c>
      <c r="EX81" s="76" t="s">
        <v>32</v>
      </c>
      <c r="EY81" s="74" t="s">
        <v>243</v>
      </c>
      <c r="EZ81" s="74"/>
      <c r="FA81" s="74"/>
      <c r="FB81" s="74"/>
      <c r="FC81" s="74"/>
      <c r="FD81" s="68"/>
      <c r="FH81" s="73"/>
      <c r="FI81" s="74"/>
      <c r="FJ81" s="74"/>
      <c r="FK81" s="74"/>
      <c r="FL81" s="74"/>
      <c r="FM81" s="74"/>
      <c r="FN81" s="74"/>
      <c r="FO81" s="74"/>
      <c r="FP81" s="74"/>
      <c r="FQ81" s="74"/>
      <c r="FR81" s="74"/>
      <c r="FS81" s="74"/>
      <c r="FT81" s="74"/>
      <c r="FU81" s="74"/>
      <c r="FV81" s="74"/>
      <c r="FW81" s="74"/>
      <c r="FX81" s="74"/>
      <c r="FY81" s="74"/>
      <c r="FZ81" s="74"/>
      <c r="GA81" s="68"/>
    </row>
    <row r="82" spans="1:183" x14ac:dyDescent="0.3">
      <c r="A82" s="73" t="s">
        <v>191</v>
      </c>
      <c r="B82" s="73" t="s">
        <v>170</v>
      </c>
      <c r="C82" s="73" t="s">
        <v>170</v>
      </c>
      <c r="D82" s="73" t="s">
        <v>48</v>
      </c>
      <c r="E82" s="73" t="s">
        <v>178</v>
      </c>
      <c r="F82" s="73" t="s">
        <v>210</v>
      </c>
      <c r="G82" s="73" t="s">
        <v>227</v>
      </c>
      <c r="H82" s="73"/>
      <c r="I82" s="74">
        <v>0</v>
      </c>
      <c r="J82" s="74">
        <v>0</v>
      </c>
      <c r="K82" s="74">
        <v>0</v>
      </c>
      <c r="L82" s="74">
        <v>0</v>
      </c>
      <c r="M82" s="74">
        <v>26293.17</v>
      </c>
      <c r="N82" s="74">
        <v>24287.57</v>
      </c>
      <c r="O82" s="74">
        <v>28057.880000000005</v>
      </c>
      <c r="P82" s="74">
        <v>37483.438704076012</v>
      </c>
      <c r="Q82" s="74">
        <v>42463.796396879276</v>
      </c>
      <c r="R82" s="74">
        <v>45207.957903123097</v>
      </c>
      <c r="S82" s="74">
        <v>49238.612207833525</v>
      </c>
      <c r="T82" s="74">
        <v>53134.450509964161</v>
      </c>
      <c r="U82" s="74">
        <v>0</v>
      </c>
      <c r="V82" s="74">
        <v>0</v>
      </c>
      <c r="W82" s="74">
        <v>0</v>
      </c>
      <c r="X82" s="74">
        <v>0</v>
      </c>
      <c r="Y82" s="74">
        <v>0</v>
      </c>
      <c r="Z82" s="74">
        <v>0</v>
      </c>
      <c r="AA82" s="74">
        <v>0</v>
      </c>
      <c r="AB82" s="74">
        <v>0</v>
      </c>
      <c r="AC82" s="74">
        <v>0</v>
      </c>
      <c r="AD82" s="74">
        <v>0</v>
      </c>
      <c r="AE82" s="74">
        <v>0</v>
      </c>
      <c r="AF82" s="74">
        <v>0</v>
      </c>
      <c r="AG82" s="74">
        <v>0</v>
      </c>
      <c r="AH82" s="74">
        <v>0</v>
      </c>
      <c r="AI82" s="74">
        <v>0</v>
      </c>
      <c r="AJ82" s="74">
        <v>0</v>
      </c>
      <c r="AL82" s="74">
        <v>0</v>
      </c>
      <c r="AM82" s="74">
        <v>0</v>
      </c>
      <c r="AN82" s="74">
        <v>0</v>
      </c>
      <c r="AO82" s="74">
        <v>0</v>
      </c>
      <c r="AP82" s="74">
        <v>0</v>
      </c>
      <c r="AQ82" s="74">
        <v>0</v>
      </c>
      <c r="AR82" s="74">
        <v>0</v>
      </c>
      <c r="AS82" s="74">
        <v>0</v>
      </c>
      <c r="AT82" s="74">
        <v>0</v>
      </c>
      <c r="AU82" s="74">
        <v>0</v>
      </c>
      <c r="AV82" s="74">
        <v>0</v>
      </c>
      <c r="AW82" s="74">
        <v>0</v>
      </c>
      <c r="AX82" s="74">
        <v>0</v>
      </c>
      <c r="AY82" s="74">
        <v>0</v>
      </c>
      <c r="AZ82" s="74">
        <v>0</v>
      </c>
      <c r="BA82" s="74">
        <v>0</v>
      </c>
      <c r="BB82" s="74">
        <v>0</v>
      </c>
      <c r="BC82" s="74">
        <v>0</v>
      </c>
      <c r="BD82" s="74">
        <v>0</v>
      </c>
      <c r="BE82" s="74">
        <v>0</v>
      </c>
      <c r="BF82" s="74">
        <v>0</v>
      </c>
      <c r="BG82" s="74">
        <v>0</v>
      </c>
      <c r="BH82" s="74">
        <v>0</v>
      </c>
      <c r="BI82" s="74">
        <v>0</v>
      </c>
      <c r="BJ82" s="74">
        <v>0</v>
      </c>
      <c r="BK82" s="74">
        <v>0</v>
      </c>
      <c r="BL82" s="74">
        <v>0</v>
      </c>
      <c r="BM82" s="74">
        <v>0</v>
      </c>
      <c r="BN82" s="74">
        <v>0</v>
      </c>
      <c r="BO82" s="74">
        <v>0</v>
      </c>
      <c r="BP82" s="74">
        <v>0</v>
      </c>
      <c r="BQ82" s="74">
        <v>0</v>
      </c>
      <c r="BR82" s="74">
        <v>0</v>
      </c>
      <c r="BS82" s="74">
        <v>0</v>
      </c>
      <c r="BT82" s="74">
        <v>0</v>
      </c>
      <c r="BU82" s="74">
        <v>0</v>
      </c>
      <c r="BV82" s="74">
        <v>0</v>
      </c>
      <c r="BW82" s="74">
        <v>0</v>
      </c>
      <c r="BX82" s="74">
        <v>0</v>
      </c>
      <c r="BY82" s="74">
        <v>0</v>
      </c>
      <c r="BZ82" s="74">
        <v>0</v>
      </c>
      <c r="CA82" s="74">
        <v>0</v>
      </c>
      <c r="CB82" s="74">
        <v>0</v>
      </c>
      <c r="CC82" s="74">
        <v>0</v>
      </c>
      <c r="CD82" s="74">
        <v>0</v>
      </c>
      <c r="CE82" s="74">
        <v>0</v>
      </c>
      <c r="CF82" s="74">
        <v>0</v>
      </c>
      <c r="CG82" s="74">
        <v>0</v>
      </c>
      <c r="CH82" s="74">
        <v>0</v>
      </c>
      <c r="CI82" s="74">
        <v>0</v>
      </c>
      <c r="CJ82" s="74">
        <v>0</v>
      </c>
      <c r="CK82" s="74">
        <v>0</v>
      </c>
      <c r="CL82" s="74">
        <v>0</v>
      </c>
      <c r="CM82" s="74">
        <v>0</v>
      </c>
      <c r="CN82" s="74">
        <v>0</v>
      </c>
      <c r="CO82" s="74">
        <v>0</v>
      </c>
      <c r="CP82" s="74">
        <v>0</v>
      </c>
      <c r="CQ82" s="74">
        <v>0</v>
      </c>
      <c r="CR82" s="74">
        <v>0</v>
      </c>
      <c r="CS82" s="74">
        <v>0</v>
      </c>
      <c r="CT82" s="74">
        <v>0</v>
      </c>
      <c r="CU82" s="74">
        <v>0</v>
      </c>
      <c r="CV82" s="74">
        <v>0</v>
      </c>
      <c r="CW82" s="74">
        <v>0</v>
      </c>
      <c r="CX82" s="74">
        <v>0</v>
      </c>
      <c r="CY82" s="74">
        <v>0</v>
      </c>
      <c r="CZ82" s="74">
        <v>0</v>
      </c>
      <c r="DA82" s="74">
        <v>0</v>
      </c>
      <c r="DB82" s="74">
        <v>0</v>
      </c>
      <c r="DC82" s="74">
        <v>0</v>
      </c>
      <c r="DD82" s="74">
        <v>0</v>
      </c>
      <c r="DE82" s="74">
        <v>0</v>
      </c>
      <c r="DF82" s="74">
        <v>0</v>
      </c>
      <c r="DG82" s="74">
        <v>0</v>
      </c>
      <c r="DH82" s="74">
        <v>0</v>
      </c>
      <c r="DI82" s="74">
        <v>0</v>
      </c>
      <c r="DJ82" s="74">
        <v>0</v>
      </c>
      <c r="DK82" s="74">
        <v>0</v>
      </c>
      <c r="DL82" s="74">
        <v>0</v>
      </c>
      <c r="DM82" s="74">
        <v>0</v>
      </c>
      <c r="DN82" s="74">
        <v>0</v>
      </c>
      <c r="DO82" s="74">
        <v>0</v>
      </c>
      <c r="DP82" s="74">
        <v>0</v>
      </c>
      <c r="DQ82" s="74">
        <v>0</v>
      </c>
      <c r="DR82" s="74">
        <v>0</v>
      </c>
      <c r="DS82" s="74">
        <v>0</v>
      </c>
      <c r="DT82" s="74">
        <v>0</v>
      </c>
      <c r="DU82" s="74">
        <v>0</v>
      </c>
      <c r="DV82" s="74">
        <v>0</v>
      </c>
      <c r="DW82" s="74">
        <v>0</v>
      </c>
      <c r="DX82" s="74">
        <v>0</v>
      </c>
      <c r="DY82" s="74">
        <v>0</v>
      </c>
      <c r="DZ82" s="74">
        <v>0</v>
      </c>
      <c r="EA82" s="74">
        <v>0</v>
      </c>
      <c r="EB82" s="74">
        <v>0</v>
      </c>
      <c r="EC82" s="74">
        <v>0</v>
      </c>
      <c r="EE82" s="80">
        <v>46063</v>
      </c>
      <c r="EF82" s="81">
        <v>46063.452990393518</v>
      </c>
      <c r="EG82" s="66" t="s">
        <v>70</v>
      </c>
      <c r="EH82" s="66" t="s">
        <v>209</v>
      </c>
      <c r="EI82" s="66" t="s">
        <v>6</v>
      </c>
      <c r="EJ82" s="66">
        <v>10</v>
      </c>
      <c r="EK82" s="66">
        <v>2027</v>
      </c>
      <c r="EL82" s="66" t="s">
        <v>24</v>
      </c>
      <c r="EM82" s="82">
        <v>241.43667956123221</v>
      </c>
      <c r="EN82" s="82">
        <v>206.2708139959758</v>
      </c>
      <c r="EO82" s="77">
        <v>210.28039999999999</v>
      </c>
      <c r="EP82" s="84">
        <v>0.19403388859999032</v>
      </c>
      <c r="EQ82" s="84">
        <v>0.1985771238014705</v>
      </c>
      <c r="ER82" s="84">
        <v>3.7812199999999997E-2</v>
      </c>
      <c r="ES82" s="85">
        <v>0.97173988520598786</v>
      </c>
      <c r="ET82" s="86">
        <v>1.3944000000000001</v>
      </c>
      <c r="EU82" s="85">
        <v>0.15269873395245903</v>
      </c>
      <c r="EV82" s="85">
        <v>3.6374216079711912E-2</v>
      </c>
      <c r="EW82" s="76">
        <v>2</v>
      </c>
      <c r="EX82" s="76" t="s">
        <v>32</v>
      </c>
      <c r="EY82" s="74" t="s">
        <v>243</v>
      </c>
    </row>
    <row r="83" spans="1:183" x14ac:dyDescent="0.3">
      <c r="A83" s="73" t="s">
        <v>192</v>
      </c>
      <c r="B83" s="73" t="s">
        <v>174</v>
      </c>
      <c r="C83" s="73" t="s">
        <v>174</v>
      </c>
      <c r="D83" s="73" t="s">
        <v>48</v>
      </c>
      <c r="E83" s="73" t="s">
        <v>178</v>
      </c>
      <c r="F83" s="73" t="s">
        <v>210</v>
      </c>
      <c r="G83" s="73" t="s">
        <v>227</v>
      </c>
      <c r="H83" s="73"/>
      <c r="I83" s="74">
        <v>0</v>
      </c>
      <c r="J83" s="74">
        <v>0</v>
      </c>
      <c r="K83" s="74">
        <v>0</v>
      </c>
      <c r="L83" s="74">
        <v>0</v>
      </c>
      <c r="M83" s="74">
        <v>79030.995999999999</v>
      </c>
      <c r="N83" s="74">
        <v>85778.90400000001</v>
      </c>
      <c r="O83" s="74">
        <v>147582.83199999999</v>
      </c>
      <c r="P83" s="74">
        <v>255614.02519921854</v>
      </c>
      <c r="Q83" s="74">
        <v>309811.42567016452</v>
      </c>
      <c r="R83" s="74">
        <v>391636.98420886928</v>
      </c>
      <c r="S83" s="74">
        <v>475073.62509991549</v>
      </c>
      <c r="T83" s="74">
        <v>550166.55886611587</v>
      </c>
      <c r="U83" s="74">
        <v>0</v>
      </c>
      <c r="V83" s="74">
        <v>0</v>
      </c>
      <c r="W83" s="74">
        <v>0</v>
      </c>
      <c r="X83" s="74">
        <v>0</v>
      </c>
      <c r="Y83" s="74">
        <v>0</v>
      </c>
      <c r="Z83" s="74">
        <v>0</v>
      </c>
      <c r="AA83" s="74">
        <v>0</v>
      </c>
      <c r="AB83" s="74">
        <v>0</v>
      </c>
      <c r="AC83" s="74">
        <v>0</v>
      </c>
      <c r="AD83" s="74">
        <v>0</v>
      </c>
      <c r="AE83" s="74">
        <v>0</v>
      </c>
      <c r="AF83" s="74">
        <v>0</v>
      </c>
      <c r="AG83" s="74">
        <v>0</v>
      </c>
      <c r="AH83" s="74">
        <v>0</v>
      </c>
      <c r="AI83" s="74">
        <v>0</v>
      </c>
      <c r="AJ83" s="74">
        <v>0</v>
      </c>
      <c r="AL83" s="74">
        <v>0</v>
      </c>
      <c r="AM83" s="74">
        <v>0</v>
      </c>
      <c r="AN83" s="74">
        <v>0</v>
      </c>
      <c r="AO83" s="74">
        <v>0</v>
      </c>
      <c r="AP83" s="74">
        <v>0</v>
      </c>
      <c r="AQ83" s="74">
        <v>0</v>
      </c>
      <c r="AR83" s="74">
        <v>0</v>
      </c>
      <c r="AS83" s="74">
        <v>0</v>
      </c>
      <c r="AT83" s="74">
        <v>0</v>
      </c>
      <c r="AU83" s="74">
        <v>0</v>
      </c>
      <c r="AV83" s="74">
        <v>0</v>
      </c>
      <c r="AW83" s="74">
        <v>0</v>
      </c>
      <c r="AX83" s="74">
        <v>0</v>
      </c>
      <c r="AY83" s="74">
        <v>0</v>
      </c>
      <c r="AZ83" s="74">
        <v>0</v>
      </c>
      <c r="BA83" s="74">
        <v>0</v>
      </c>
      <c r="BB83" s="74">
        <v>0</v>
      </c>
      <c r="BC83" s="74">
        <v>0</v>
      </c>
      <c r="BD83" s="74">
        <v>0</v>
      </c>
      <c r="BE83" s="74">
        <v>0</v>
      </c>
      <c r="BF83" s="74">
        <v>0</v>
      </c>
      <c r="BG83" s="74">
        <v>0</v>
      </c>
      <c r="BH83" s="74">
        <v>0</v>
      </c>
      <c r="BI83" s="74">
        <v>0</v>
      </c>
      <c r="BJ83" s="74">
        <v>0</v>
      </c>
      <c r="BK83" s="74">
        <v>0</v>
      </c>
      <c r="BL83" s="74">
        <v>0</v>
      </c>
      <c r="BM83" s="74">
        <v>0</v>
      </c>
      <c r="BN83" s="74">
        <v>0</v>
      </c>
      <c r="BO83" s="74">
        <v>0</v>
      </c>
      <c r="BP83" s="74">
        <v>0</v>
      </c>
      <c r="BQ83" s="74">
        <v>0</v>
      </c>
      <c r="BR83" s="74">
        <v>0</v>
      </c>
      <c r="BS83" s="74">
        <v>0</v>
      </c>
      <c r="BT83" s="74">
        <v>0</v>
      </c>
      <c r="BU83" s="74">
        <v>0</v>
      </c>
      <c r="BV83" s="74">
        <v>0</v>
      </c>
      <c r="BW83" s="74">
        <v>0</v>
      </c>
      <c r="BX83" s="74">
        <v>0</v>
      </c>
      <c r="BY83" s="74">
        <v>0</v>
      </c>
      <c r="BZ83" s="74">
        <v>0</v>
      </c>
      <c r="CA83" s="74">
        <v>0</v>
      </c>
      <c r="CB83" s="74">
        <v>0</v>
      </c>
      <c r="CC83" s="74">
        <v>0</v>
      </c>
      <c r="CD83" s="74">
        <v>0</v>
      </c>
      <c r="CE83" s="74">
        <v>0</v>
      </c>
      <c r="CF83" s="74">
        <v>0</v>
      </c>
      <c r="CG83" s="74">
        <v>0</v>
      </c>
      <c r="CH83" s="74">
        <v>0</v>
      </c>
      <c r="CI83" s="74">
        <v>0</v>
      </c>
      <c r="CJ83" s="74">
        <v>0</v>
      </c>
      <c r="CK83" s="74">
        <v>0</v>
      </c>
      <c r="CL83" s="74">
        <v>0</v>
      </c>
      <c r="CM83" s="74">
        <v>0</v>
      </c>
      <c r="CN83" s="74">
        <v>0</v>
      </c>
      <c r="CO83" s="74">
        <v>0</v>
      </c>
      <c r="CP83" s="74">
        <v>0</v>
      </c>
      <c r="CQ83" s="74">
        <v>0</v>
      </c>
      <c r="CR83" s="74">
        <v>0</v>
      </c>
      <c r="CS83" s="74">
        <v>0</v>
      </c>
      <c r="CT83" s="74">
        <v>0</v>
      </c>
      <c r="CU83" s="74">
        <v>0</v>
      </c>
      <c r="CV83" s="74">
        <v>0</v>
      </c>
      <c r="CW83" s="74">
        <v>0</v>
      </c>
      <c r="CX83" s="74">
        <v>0</v>
      </c>
      <c r="CY83" s="74">
        <v>0</v>
      </c>
      <c r="CZ83" s="74">
        <v>0</v>
      </c>
      <c r="DA83" s="74">
        <v>0</v>
      </c>
      <c r="DB83" s="74">
        <v>0</v>
      </c>
      <c r="DC83" s="74">
        <v>0</v>
      </c>
      <c r="DD83" s="74">
        <v>0</v>
      </c>
      <c r="DE83" s="74">
        <v>0</v>
      </c>
      <c r="DF83" s="74">
        <v>0</v>
      </c>
      <c r="DG83" s="74">
        <v>0</v>
      </c>
      <c r="DH83" s="74">
        <v>0</v>
      </c>
      <c r="DI83" s="74">
        <v>0</v>
      </c>
      <c r="DJ83" s="74">
        <v>0</v>
      </c>
      <c r="DK83" s="74">
        <v>0</v>
      </c>
      <c r="DL83" s="74">
        <v>0</v>
      </c>
      <c r="DM83" s="74">
        <v>0</v>
      </c>
      <c r="DN83" s="74">
        <v>0</v>
      </c>
      <c r="DO83" s="74">
        <v>0</v>
      </c>
      <c r="DP83" s="74">
        <v>0</v>
      </c>
      <c r="DQ83" s="74">
        <v>0</v>
      </c>
      <c r="DR83" s="74">
        <v>0</v>
      </c>
      <c r="DS83" s="74">
        <v>0</v>
      </c>
      <c r="DT83" s="74">
        <v>0</v>
      </c>
      <c r="DU83" s="74">
        <v>0</v>
      </c>
      <c r="DV83" s="74">
        <v>0</v>
      </c>
      <c r="DW83" s="74">
        <v>0</v>
      </c>
      <c r="DX83" s="74">
        <v>0</v>
      </c>
      <c r="DY83" s="74">
        <v>0</v>
      </c>
      <c r="DZ83" s="74">
        <v>0</v>
      </c>
      <c r="EA83" s="74">
        <v>0</v>
      </c>
      <c r="EB83" s="74">
        <v>0</v>
      </c>
      <c r="EC83" s="74">
        <v>0</v>
      </c>
      <c r="EE83" s="80">
        <v>46063</v>
      </c>
      <c r="EF83" s="81">
        <v>46063.452990393518</v>
      </c>
      <c r="EG83" s="66" t="s">
        <v>70</v>
      </c>
      <c r="EH83" s="66" t="s">
        <v>209</v>
      </c>
      <c r="EI83" s="66" t="s">
        <v>6</v>
      </c>
      <c r="EJ83" s="66">
        <v>10</v>
      </c>
      <c r="EK83" s="66">
        <v>2027</v>
      </c>
      <c r="EL83" s="66" t="s">
        <v>24</v>
      </c>
      <c r="EM83" s="82">
        <v>241.43667956123221</v>
      </c>
      <c r="EN83" s="82">
        <v>206.2708139959758</v>
      </c>
      <c r="EO83" s="77">
        <v>210.28039999999999</v>
      </c>
      <c r="EP83" s="84">
        <v>0.19403388859999032</v>
      </c>
      <c r="EQ83" s="84">
        <v>0.1985771238014705</v>
      </c>
      <c r="ER83" s="84">
        <v>3.7812199999999997E-2</v>
      </c>
      <c r="ES83" s="85">
        <v>0.97173988520598786</v>
      </c>
      <c r="ET83" s="86">
        <v>1.3944000000000001</v>
      </c>
      <c r="EU83" s="85">
        <v>0.15269873395245903</v>
      </c>
      <c r="EV83" s="85">
        <v>3.6374216079711912E-2</v>
      </c>
      <c r="EW83" s="76">
        <v>2</v>
      </c>
      <c r="EX83" s="76" t="s">
        <v>32</v>
      </c>
      <c r="EY83" s="74" t="s">
        <v>243</v>
      </c>
    </row>
    <row r="84" spans="1:183" s="2" customFormat="1" ht="15" x14ac:dyDescent="0.3">
      <c r="A84" s="73" t="s">
        <v>200</v>
      </c>
      <c r="B84" s="73" t="s">
        <v>176</v>
      </c>
      <c r="C84" s="73" t="s">
        <v>176</v>
      </c>
      <c r="D84" s="73" t="s">
        <v>48</v>
      </c>
      <c r="E84" s="73" t="s">
        <v>178</v>
      </c>
      <c r="F84" s="73" t="s">
        <v>210</v>
      </c>
      <c r="G84" s="73" t="s">
        <v>227</v>
      </c>
      <c r="H84" s="73"/>
      <c r="I84" s="74">
        <v>0</v>
      </c>
      <c r="J84" s="74">
        <v>0</v>
      </c>
      <c r="K84" s="74">
        <v>0</v>
      </c>
      <c r="L84" s="74">
        <v>0</v>
      </c>
      <c r="M84" s="74">
        <v>12682.8</v>
      </c>
      <c r="N84" s="74">
        <v>12126.05</v>
      </c>
      <c r="O84" s="74">
        <v>11635.65</v>
      </c>
      <c r="P84" s="74">
        <v>19703.641264263242</v>
      </c>
      <c r="Q84" s="74">
        <v>37202.699132177157</v>
      </c>
      <c r="R84" s="74">
        <v>44141.952844895408</v>
      </c>
      <c r="S84" s="74">
        <v>36607.848041476958</v>
      </c>
      <c r="T84" s="74">
        <v>30957.619577253896</v>
      </c>
      <c r="U84" s="74">
        <v>0</v>
      </c>
      <c r="V84" s="74">
        <v>0</v>
      </c>
      <c r="W84" s="74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0</v>
      </c>
      <c r="AC84" s="74">
        <v>0</v>
      </c>
      <c r="AD84" s="74">
        <v>0</v>
      </c>
      <c r="AE84" s="74">
        <v>0</v>
      </c>
      <c r="AF84" s="74">
        <v>0</v>
      </c>
      <c r="AG84" s="74">
        <v>0</v>
      </c>
      <c r="AH84" s="74">
        <v>0</v>
      </c>
      <c r="AI84" s="74">
        <v>0</v>
      </c>
      <c r="AJ84" s="74">
        <v>0</v>
      </c>
      <c r="AK84" s="74"/>
      <c r="AL84" s="74">
        <v>0</v>
      </c>
      <c r="AM84" s="74">
        <v>0</v>
      </c>
      <c r="AN84" s="74">
        <v>0</v>
      </c>
      <c r="AO84" s="74">
        <v>0</v>
      </c>
      <c r="AP84" s="74">
        <v>0</v>
      </c>
      <c r="AQ84" s="74">
        <v>0</v>
      </c>
      <c r="AR84" s="74">
        <v>0</v>
      </c>
      <c r="AS84" s="74">
        <v>0</v>
      </c>
      <c r="AT84" s="74">
        <v>0</v>
      </c>
      <c r="AU84" s="74">
        <v>0</v>
      </c>
      <c r="AV84" s="74">
        <v>0</v>
      </c>
      <c r="AW84" s="74">
        <v>0</v>
      </c>
      <c r="AX84" s="74">
        <v>0</v>
      </c>
      <c r="AY84" s="74">
        <v>0</v>
      </c>
      <c r="AZ84" s="74">
        <v>0</v>
      </c>
      <c r="BA84" s="74">
        <v>0</v>
      </c>
      <c r="BB84" s="74">
        <v>0</v>
      </c>
      <c r="BC84" s="74">
        <v>0</v>
      </c>
      <c r="BD84" s="74">
        <v>0</v>
      </c>
      <c r="BE84" s="74">
        <v>0</v>
      </c>
      <c r="BF84" s="74">
        <v>0</v>
      </c>
      <c r="BG84" s="74">
        <v>0</v>
      </c>
      <c r="BH84" s="74">
        <v>0</v>
      </c>
      <c r="BI84" s="74">
        <v>0</v>
      </c>
      <c r="BJ84" s="74">
        <v>0</v>
      </c>
      <c r="BK84" s="74">
        <v>0</v>
      </c>
      <c r="BL84" s="74">
        <v>0</v>
      </c>
      <c r="BM84" s="74">
        <v>0</v>
      </c>
      <c r="BN84" s="74">
        <v>0</v>
      </c>
      <c r="BO84" s="74">
        <v>0</v>
      </c>
      <c r="BP84" s="74">
        <v>0</v>
      </c>
      <c r="BQ84" s="74">
        <v>0</v>
      </c>
      <c r="BR84" s="74">
        <v>0</v>
      </c>
      <c r="BS84" s="74">
        <v>0</v>
      </c>
      <c r="BT84" s="74">
        <v>0</v>
      </c>
      <c r="BU84" s="74">
        <v>0</v>
      </c>
      <c r="BV84" s="74">
        <v>0</v>
      </c>
      <c r="BW84" s="74">
        <v>0</v>
      </c>
      <c r="BX84" s="74">
        <v>0</v>
      </c>
      <c r="BY84" s="74">
        <v>0</v>
      </c>
      <c r="BZ84" s="74">
        <v>0</v>
      </c>
      <c r="CA84" s="74">
        <v>0</v>
      </c>
      <c r="CB84" s="74">
        <v>0</v>
      </c>
      <c r="CC84" s="74">
        <v>0</v>
      </c>
      <c r="CD84" s="74">
        <v>0</v>
      </c>
      <c r="CE84" s="74">
        <v>0</v>
      </c>
      <c r="CF84" s="74">
        <v>0</v>
      </c>
      <c r="CG84" s="74">
        <v>0</v>
      </c>
      <c r="CH84" s="74">
        <v>0</v>
      </c>
      <c r="CI84" s="74">
        <v>0</v>
      </c>
      <c r="CJ84" s="74">
        <v>0</v>
      </c>
      <c r="CK84" s="74">
        <v>0</v>
      </c>
      <c r="CL84" s="74">
        <v>0</v>
      </c>
      <c r="CM84" s="74">
        <v>0</v>
      </c>
      <c r="CN84" s="74">
        <v>0</v>
      </c>
      <c r="CO84" s="74">
        <v>0</v>
      </c>
      <c r="CP84" s="74">
        <v>0</v>
      </c>
      <c r="CQ84" s="74">
        <v>0</v>
      </c>
      <c r="CR84" s="74">
        <v>0</v>
      </c>
      <c r="CS84" s="74">
        <v>0</v>
      </c>
      <c r="CT84" s="74">
        <v>0</v>
      </c>
      <c r="CU84" s="74">
        <v>0</v>
      </c>
      <c r="CV84" s="74">
        <v>0</v>
      </c>
      <c r="CW84" s="74">
        <v>0</v>
      </c>
      <c r="CX84" s="74">
        <v>0</v>
      </c>
      <c r="CY84" s="74">
        <v>0</v>
      </c>
      <c r="CZ84" s="74">
        <v>0</v>
      </c>
      <c r="DA84" s="74">
        <v>0</v>
      </c>
      <c r="DB84" s="74">
        <v>0</v>
      </c>
      <c r="DC84" s="74">
        <v>0</v>
      </c>
      <c r="DD84" s="74">
        <v>0</v>
      </c>
      <c r="DE84" s="74">
        <v>0</v>
      </c>
      <c r="DF84" s="74">
        <v>0</v>
      </c>
      <c r="DG84" s="74">
        <v>0</v>
      </c>
      <c r="DH84" s="74">
        <v>0</v>
      </c>
      <c r="DI84" s="74">
        <v>0</v>
      </c>
      <c r="DJ84" s="74">
        <v>0</v>
      </c>
      <c r="DK84" s="74">
        <v>0</v>
      </c>
      <c r="DL84" s="74">
        <v>0</v>
      </c>
      <c r="DM84" s="74">
        <v>0</v>
      </c>
      <c r="DN84" s="74">
        <v>0</v>
      </c>
      <c r="DO84" s="74">
        <v>0</v>
      </c>
      <c r="DP84" s="74">
        <v>0</v>
      </c>
      <c r="DQ84" s="74">
        <v>0</v>
      </c>
      <c r="DR84" s="74">
        <v>0</v>
      </c>
      <c r="DS84" s="74">
        <v>0</v>
      </c>
      <c r="DT84" s="74">
        <v>0</v>
      </c>
      <c r="DU84" s="74">
        <v>0</v>
      </c>
      <c r="DV84" s="74">
        <v>0</v>
      </c>
      <c r="DW84" s="74">
        <v>0</v>
      </c>
      <c r="DX84" s="74">
        <v>0</v>
      </c>
      <c r="DY84" s="74">
        <v>0</v>
      </c>
      <c r="DZ84" s="74">
        <v>0</v>
      </c>
      <c r="EA84" s="74">
        <v>0</v>
      </c>
      <c r="EB84" s="74">
        <v>0</v>
      </c>
      <c r="EC84" s="74">
        <v>0</v>
      </c>
      <c r="ED84" s="74"/>
      <c r="EE84" s="80">
        <v>46063</v>
      </c>
      <c r="EF84" s="81">
        <v>46063.452990393518</v>
      </c>
      <c r="EG84" s="66" t="s">
        <v>70</v>
      </c>
      <c r="EH84" s="66" t="s">
        <v>209</v>
      </c>
      <c r="EI84" s="66" t="s">
        <v>6</v>
      </c>
      <c r="EJ84" s="66">
        <v>10</v>
      </c>
      <c r="EK84" s="66">
        <v>2027</v>
      </c>
      <c r="EL84" s="66" t="s">
        <v>24</v>
      </c>
      <c r="EM84" s="82">
        <v>241.43667956123221</v>
      </c>
      <c r="EN84" s="82">
        <v>206.2708139959758</v>
      </c>
      <c r="EO84" s="77">
        <v>210.28039999999999</v>
      </c>
      <c r="EP84" s="84">
        <v>0.19403388859999032</v>
      </c>
      <c r="EQ84" s="84">
        <v>0.1985771238014705</v>
      </c>
      <c r="ER84" s="84">
        <v>3.7812199999999997E-2</v>
      </c>
      <c r="ES84" s="85">
        <v>0.97173988520598786</v>
      </c>
      <c r="ET84" s="86">
        <v>1.3944000000000001</v>
      </c>
      <c r="EU84" s="85">
        <v>0.15269873395245903</v>
      </c>
      <c r="EV84" s="85">
        <v>3.6374216079711912E-2</v>
      </c>
      <c r="EW84" s="76">
        <v>2</v>
      </c>
      <c r="EX84" s="76" t="s">
        <v>32</v>
      </c>
      <c r="EY84" s="74" t="s">
        <v>243</v>
      </c>
      <c r="EZ84" s="74"/>
      <c r="FA84" s="74"/>
      <c r="FB84" s="74"/>
      <c r="FC84" s="74"/>
      <c r="FD84" s="68"/>
      <c r="FH84" s="73"/>
      <c r="FI84" s="74"/>
      <c r="FJ84" s="74"/>
      <c r="FK84" s="74"/>
      <c r="FL84" s="74"/>
      <c r="FM84" s="74"/>
      <c r="FN84" s="74"/>
      <c r="FO84" s="74"/>
      <c r="FP84" s="74"/>
      <c r="FQ84" s="74"/>
      <c r="FR84" s="74"/>
      <c r="FS84" s="74"/>
      <c r="FT84" s="74"/>
      <c r="FU84" s="74"/>
      <c r="FV84" s="74"/>
      <c r="FW84" s="74"/>
      <c r="FX84" s="74"/>
      <c r="FY84" s="74"/>
      <c r="FZ84" s="74"/>
      <c r="GA84" s="68"/>
    </row>
    <row r="85" spans="1:183" s="2" customFormat="1" ht="15" x14ac:dyDescent="0.3">
      <c r="A85" s="73" t="s">
        <v>201</v>
      </c>
      <c r="B85" s="73" t="s">
        <v>206</v>
      </c>
      <c r="C85" s="73" t="s">
        <v>206</v>
      </c>
      <c r="D85" s="73" t="s">
        <v>48</v>
      </c>
      <c r="E85" s="73" t="s">
        <v>178</v>
      </c>
      <c r="F85" s="73" t="s">
        <v>210</v>
      </c>
      <c r="G85" s="73" t="s">
        <v>227</v>
      </c>
      <c r="H85" s="73"/>
      <c r="I85" s="74">
        <v>0</v>
      </c>
      <c r="J85" s="74">
        <v>0</v>
      </c>
      <c r="K85" s="74">
        <v>0</v>
      </c>
      <c r="L85" s="74">
        <v>0</v>
      </c>
      <c r="M85" s="74">
        <v>22474.7</v>
      </c>
      <c r="N85" s="74">
        <v>53326.850000000006</v>
      </c>
      <c r="O85" s="74">
        <v>54344.05</v>
      </c>
      <c r="P85" s="74">
        <v>27650.81746944414</v>
      </c>
      <c r="Q85" s="74">
        <v>-22112.667445267929</v>
      </c>
      <c r="R85" s="74">
        <v>-24019.385261596424</v>
      </c>
      <c r="S85" s="74">
        <v>-18014.538946197317</v>
      </c>
      <c r="T85" s="74">
        <v>-13510.904209647988</v>
      </c>
      <c r="U85" s="74">
        <v>0</v>
      </c>
      <c r="V85" s="74">
        <v>0</v>
      </c>
      <c r="W85" s="74">
        <v>0</v>
      </c>
      <c r="X85" s="74">
        <v>0</v>
      </c>
      <c r="Y85" s="74">
        <v>0</v>
      </c>
      <c r="Z85" s="74">
        <v>0</v>
      </c>
      <c r="AA85" s="74">
        <v>0</v>
      </c>
      <c r="AB85" s="74">
        <v>0</v>
      </c>
      <c r="AC85" s="74">
        <v>0</v>
      </c>
      <c r="AD85" s="74">
        <v>0</v>
      </c>
      <c r="AE85" s="74">
        <v>0</v>
      </c>
      <c r="AF85" s="74">
        <v>0</v>
      </c>
      <c r="AG85" s="74">
        <v>0</v>
      </c>
      <c r="AH85" s="74">
        <v>0</v>
      </c>
      <c r="AI85" s="74">
        <v>0</v>
      </c>
      <c r="AJ85" s="74">
        <v>0</v>
      </c>
      <c r="AK85" s="74"/>
      <c r="AL85" s="74">
        <v>0</v>
      </c>
      <c r="AM85" s="74">
        <v>0</v>
      </c>
      <c r="AN85" s="74">
        <v>0</v>
      </c>
      <c r="AO85" s="74">
        <v>0</v>
      </c>
      <c r="AP85" s="74">
        <v>0</v>
      </c>
      <c r="AQ85" s="74">
        <v>0</v>
      </c>
      <c r="AR85" s="74">
        <v>0</v>
      </c>
      <c r="AS85" s="74">
        <v>0</v>
      </c>
      <c r="AT85" s="74">
        <v>0</v>
      </c>
      <c r="AU85" s="74">
        <v>0</v>
      </c>
      <c r="AV85" s="74">
        <v>0</v>
      </c>
      <c r="AW85" s="74">
        <v>0</v>
      </c>
      <c r="AX85" s="74">
        <v>0</v>
      </c>
      <c r="AY85" s="74">
        <v>0</v>
      </c>
      <c r="AZ85" s="74">
        <v>0</v>
      </c>
      <c r="BA85" s="74">
        <v>0</v>
      </c>
      <c r="BB85" s="74">
        <v>0</v>
      </c>
      <c r="BC85" s="74">
        <v>0</v>
      </c>
      <c r="BD85" s="74">
        <v>0</v>
      </c>
      <c r="BE85" s="74">
        <v>0</v>
      </c>
      <c r="BF85" s="74">
        <v>0</v>
      </c>
      <c r="BG85" s="74">
        <v>0</v>
      </c>
      <c r="BH85" s="74">
        <v>0</v>
      </c>
      <c r="BI85" s="74">
        <v>0</v>
      </c>
      <c r="BJ85" s="74">
        <v>0</v>
      </c>
      <c r="BK85" s="74">
        <v>0</v>
      </c>
      <c r="BL85" s="74">
        <v>0</v>
      </c>
      <c r="BM85" s="74">
        <v>0</v>
      </c>
      <c r="BN85" s="74">
        <v>0</v>
      </c>
      <c r="BO85" s="74">
        <v>0</v>
      </c>
      <c r="BP85" s="74">
        <v>0</v>
      </c>
      <c r="BQ85" s="74">
        <v>0</v>
      </c>
      <c r="BR85" s="74">
        <v>0</v>
      </c>
      <c r="BS85" s="74">
        <v>0</v>
      </c>
      <c r="BT85" s="74">
        <v>0</v>
      </c>
      <c r="BU85" s="74">
        <v>0</v>
      </c>
      <c r="BV85" s="74">
        <v>0</v>
      </c>
      <c r="BW85" s="74">
        <v>0</v>
      </c>
      <c r="BX85" s="74">
        <v>0</v>
      </c>
      <c r="BY85" s="74">
        <v>0</v>
      </c>
      <c r="BZ85" s="74">
        <v>0</v>
      </c>
      <c r="CA85" s="74">
        <v>0</v>
      </c>
      <c r="CB85" s="74">
        <v>0</v>
      </c>
      <c r="CC85" s="74">
        <v>0</v>
      </c>
      <c r="CD85" s="74">
        <v>0</v>
      </c>
      <c r="CE85" s="74">
        <v>0</v>
      </c>
      <c r="CF85" s="74">
        <v>0</v>
      </c>
      <c r="CG85" s="74">
        <v>0</v>
      </c>
      <c r="CH85" s="74">
        <v>0</v>
      </c>
      <c r="CI85" s="74">
        <v>0</v>
      </c>
      <c r="CJ85" s="74">
        <v>0</v>
      </c>
      <c r="CK85" s="74">
        <v>0</v>
      </c>
      <c r="CL85" s="74">
        <v>0</v>
      </c>
      <c r="CM85" s="74">
        <v>0</v>
      </c>
      <c r="CN85" s="74">
        <v>0</v>
      </c>
      <c r="CO85" s="74">
        <v>0</v>
      </c>
      <c r="CP85" s="74">
        <v>0</v>
      </c>
      <c r="CQ85" s="74">
        <v>0</v>
      </c>
      <c r="CR85" s="74">
        <v>0</v>
      </c>
      <c r="CS85" s="74">
        <v>0</v>
      </c>
      <c r="CT85" s="74">
        <v>0</v>
      </c>
      <c r="CU85" s="74">
        <v>0</v>
      </c>
      <c r="CV85" s="74">
        <v>0</v>
      </c>
      <c r="CW85" s="74">
        <v>0</v>
      </c>
      <c r="CX85" s="74">
        <v>0</v>
      </c>
      <c r="CY85" s="74">
        <v>0</v>
      </c>
      <c r="CZ85" s="74">
        <v>0</v>
      </c>
      <c r="DA85" s="74">
        <v>0</v>
      </c>
      <c r="DB85" s="74">
        <v>0</v>
      </c>
      <c r="DC85" s="74">
        <v>0</v>
      </c>
      <c r="DD85" s="74">
        <v>0</v>
      </c>
      <c r="DE85" s="74">
        <v>0</v>
      </c>
      <c r="DF85" s="74">
        <v>0</v>
      </c>
      <c r="DG85" s="74">
        <v>0</v>
      </c>
      <c r="DH85" s="74">
        <v>0</v>
      </c>
      <c r="DI85" s="74">
        <v>0</v>
      </c>
      <c r="DJ85" s="74">
        <v>0</v>
      </c>
      <c r="DK85" s="74">
        <v>0</v>
      </c>
      <c r="DL85" s="74">
        <v>0</v>
      </c>
      <c r="DM85" s="74">
        <v>0</v>
      </c>
      <c r="DN85" s="74">
        <v>0</v>
      </c>
      <c r="DO85" s="74">
        <v>0</v>
      </c>
      <c r="DP85" s="74">
        <v>0</v>
      </c>
      <c r="DQ85" s="74">
        <v>0</v>
      </c>
      <c r="DR85" s="74">
        <v>0</v>
      </c>
      <c r="DS85" s="74">
        <v>0</v>
      </c>
      <c r="DT85" s="74">
        <v>0</v>
      </c>
      <c r="DU85" s="74">
        <v>0</v>
      </c>
      <c r="DV85" s="74">
        <v>0</v>
      </c>
      <c r="DW85" s="74">
        <v>0</v>
      </c>
      <c r="DX85" s="74">
        <v>0</v>
      </c>
      <c r="DY85" s="74">
        <v>0</v>
      </c>
      <c r="DZ85" s="74">
        <v>0</v>
      </c>
      <c r="EA85" s="74">
        <v>0</v>
      </c>
      <c r="EB85" s="74">
        <v>0</v>
      </c>
      <c r="EC85" s="74">
        <v>0</v>
      </c>
      <c r="ED85" s="74"/>
      <c r="EE85" s="80">
        <v>46063</v>
      </c>
      <c r="EF85" s="81">
        <v>46063.452990393518</v>
      </c>
      <c r="EG85" s="66" t="s">
        <v>70</v>
      </c>
      <c r="EH85" s="66" t="s">
        <v>209</v>
      </c>
      <c r="EI85" s="66" t="s">
        <v>6</v>
      </c>
      <c r="EJ85" s="66">
        <v>10</v>
      </c>
      <c r="EK85" s="66">
        <v>2027</v>
      </c>
      <c r="EL85" s="66" t="s">
        <v>24</v>
      </c>
      <c r="EM85" s="82">
        <v>241.43667956123221</v>
      </c>
      <c r="EN85" s="82">
        <v>206.2708139959758</v>
      </c>
      <c r="EO85" s="77">
        <v>210.28039999999999</v>
      </c>
      <c r="EP85" s="84">
        <v>0.19403388859999032</v>
      </c>
      <c r="EQ85" s="84">
        <v>0.1985771238014705</v>
      </c>
      <c r="ER85" s="84">
        <v>3.7812199999999997E-2</v>
      </c>
      <c r="ES85" s="85">
        <v>0.97173988520598786</v>
      </c>
      <c r="ET85" s="86">
        <v>1.3944000000000001</v>
      </c>
      <c r="EU85" s="85">
        <v>0.15269873395245903</v>
      </c>
      <c r="EV85" s="85">
        <v>3.6374216079711912E-2</v>
      </c>
      <c r="EW85" s="76">
        <v>2</v>
      </c>
      <c r="EX85" s="76" t="s">
        <v>32</v>
      </c>
      <c r="EY85" s="74" t="s">
        <v>243</v>
      </c>
      <c r="EZ85" s="74"/>
      <c r="FA85" s="74"/>
      <c r="FB85" s="74"/>
      <c r="FC85" s="74"/>
      <c r="FD85" s="68"/>
      <c r="FH85" s="73"/>
      <c r="FI85" s="74"/>
      <c r="FJ85" s="74"/>
      <c r="FK85" s="74"/>
      <c r="FL85" s="74"/>
      <c r="FM85" s="74"/>
      <c r="FN85" s="74"/>
      <c r="FO85" s="74"/>
      <c r="FP85" s="74"/>
      <c r="FQ85" s="74"/>
      <c r="FR85" s="74"/>
      <c r="FS85" s="74"/>
      <c r="FT85" s="74"/>
      <c r="FU85" s="74"/>
      <c r="FV85" s="74"/>
      <c r="FW85" s="74"/>
      <c r="FX85" s="74"/>
      <c r="FY85" s="74"/>
      <c r="FZ85" s="74"/>
      <c r="GA85" s="68"/>
    </row>
    <row r="86" spans="1:183" s="2" customFormat="1" ht="15" x14ac:dyDescent="0.3">
      <c r="A86" s="73" t="s">
        <v>10</v>
      </c>
      <c r="B86" s="73" t="s">
        <v>228</v>
      </c>
      <c r="C86" s="73" t="s">
        <v>34</v>
      </c>
      <c r="D86" s="73" t="s">
        <v>48</v>
      </c>
      <c r="E86" s="73" t="s">
        <v>178</v>
      </c>
      <c r="F86" s="73" t="s">
        <v>210</v>
      </c>
      <c r="G86" s="73" t="s">
        <v>216</v>
      </c>
      <c r="H86" s="73"/>
      <c r="I86" s="74">
        <v>0</v>
      </c>
      <c r="J86" s="74">
        <v>0</v>
      </c>
      <c r="K86" s="74">
        <v>0</v>
      </c>
      <c r="L86" s="74">
        <v>0</v>
      </c>
      <c r="M86" s="74">
        <v>513983</v>
      </c>
      <c r="N86" s="74">
        <v>574785</v>
      </c>
      <c r="O86" s="74">
        <v>637959</v>
      </c>
      <c r="P86" s="74">
        <v>716890.38</v>
      </c>
      <c r="Q86" s="74">
        <v>805681.13460000011</v>
      </c>
      <c r="R86" s="74">
        <v>909802.84158000012</v>
      </c>
      <c r="S86" s="74">
        <v>1075129.1148090002</v>
      </c>
      <c r="T86" s="74">
        <v>1271972.0935303501</v>
      </c>
      <c r="U86" s="74">
        <v>0</v>
      </c>
      <c r="V86" s="74">
        <v>0</v>
      </c>
      <c r="W86" s="74">
        <v>0</v>
      </c>
      <c r="X86" s="74">
        <v>0</v>
      </c>
      <c r="Y86" s="74">
        <v>0</v>
      </c>
      <c r="Z86" s="74">
        <v>0</v>
      </c>
      <c r="AA86" s="74">
        <v>0</v>
      </c>
      <c r="AB86" s="74">
        <v>0</v>
      </c>
      <c r="AC86" s="74">
        <v>0</v>
      </c>
      <c r="AD86" s="74">
        <v>0</v>
      </c>
      <c r="AE86" s="74">
        <v>0</v>
      </c>
      <c r="AF86" s="74">
        <v>0</v>
      </c>
      <c r="AG86" s="74">
        <v>0</v>
      </c>
      <c r="AH86" s="74">
        <v>0</v>
      </c>
      <c r="AI86" s="74">
        <v>0</v>
      </c>
      <c r="AJ86" s="74">
        <v>0</v>
      </c>
      <c r="AK86" s="74"/>
      <c r="AL86" s="74">
        <v>53.270487794002264</v>
      </c>
      <c r="AM86" s="74">
        <v>51.284549361544116</v>
      </c>
      <c r="AN86" s="74">
        <v>58.272801883414566</v>
      </c>
      <c r="AO86" s="74">
        <v>56.056705425742585</v>
      </c>
      <c r="AP86" s="74">
        <v>47.931510061680804</v>
      </c>
      <c r="AQ86" s="74">
        <v>44.146061315880118</v>
      </c>
      <c r="AR86" s="74">
        <v>42.584772754001968</v>
      </c>
      <c r="AS86" s="74">
        <v>45.911013057305738</v>
      </c>
      <c r="AT86" s="74">
        <v>42.265657344725604</v>
      </c>
      <c r="AU86" s="74">
        <v>41.072612991880085</v>
      </c>
      <c r="AV86" s="74">
        <v>54.851827996876224</v>
      </c>
      <c r="AW86" s="74">
        <v>55.098058471760794</v>
      </c>
      <c r="AX86" s="74">
        <v>49.090277224653541</v>
      </c>
      <c r="AY86" s="74">
        <v>46.909728148635317</v>
      </c>
      <c r="AZ86" s="74">
        <v>57.18150416513086</v>
      </c>
      <c r="BA86" s="74">
        <v>64.633211281872164</v>
      </c>
      <c r="BB86" s="74">
        <v>61.643130898021305</v>
      </c>
      <c r="BC86" s="74">
        <v>58.877151770657676</v>
      </c>
      <c r="BD86" s="74">
        <v>65.388441391304355</v>
      </c>
      <c r="BE86" s="74">
        <v>0.20774266385105111</v>
      </c>
      <c r="BF86" s="74">
        <v>0.17435013604278704</v>
      </c>
      <c r="BG86" s="74">
        <v>0.17416137357795902</v>
      </c>
      <c r="BH86" s="74">
        <v>0.17438757267379512</v>
      </c>
      <c r="BI86" s="74">
        <v>0.17304554257106797</v>
      </c>
      <c r="BJ86" s="74">
        <v>0.1152432707888198</v>
      </c>
      <c r="BK86" s="74">
        <v>0.12830210854308621</v>
      </c>
      <c r="BL86" s="74">
        <v>0.13646408600673499</v>
      </c>
      <c r="BM86" s="74">
        <v>0.1211235565696358</v>
      </c>
      <c r="BN86" s="74">
        <v>0.11886329473274571</v>
      </c>
      <c r="BO86" s="74">
        <v>0.13084155992232671</v>
      </c>
      <c r="BP86" s="74">
        <v>0.13881761344818933</v>
      </c>
      <c r="BQ86" s="74">
        <v>0.12434926133223279</v>
      </c>
      <c r="BR86" s="74">
        <v>0</v>
      </c>
      <c r="BS86" s="74">
        <v>0</v>
      </c>
      <c r="BT86" s="74">
        <v>0</v>
      </c>
      <c r="BU86" s="74">
        <v>0</v>
      </c>
      <c r="BV86" s="74">
        <v>0</v>
      </c>
      <c r="BW86" s="74">
        <v>0</v>
      </c>
      <c r="BX86" s="74">
        <v>0</v>
      </c>
      <c r="BY86" s="74">
        <v>0</v>
      </c>
      <c r="BZ86" s="74">
        <v>0</v>
      </c>
      <c r="CA86" s="74">
        <v>0</v>
      </c>
      <c r="CB86" s="74">
        <v>0</v>
      </c>
      <c r="CC86" s="74">
        <v>0</v>
      </c>
      <c r="CD86" s="74">
        <v>0</v>
      </c>
      <c r="CE86" s="74">
        <v>0</v>
      </c>
      <c r="CF86" s="74">
        <v>0</v>
      </c>
      <c r="CG86" s="74">
        <v>0</v>
      </c>
      <c r="CH86" s="74">
        <v>0</v>
      </c>
      <c r="CI86" s="74">
        <v>0</v>
      </c>
      <c r="CJ86" s="74">
        <v>0</v>
      </c>
      <c r="CK86" s="74">
        <v>0</v>
      </c>
      <c r="CL86" s="74">
        <v>0</v>
      </c>
      <c r="CM86" s="74">
        <v>0</v>
      </c>
      <c r="CN86" s="74">
        <v>0</v>
      </c>
      <c r="CO86" s="74">
        <v>0</v>
      </c>
      <c r="CP86" s="74">
        <v>0</v>
      </c>
      <c r="CQ86" s="74">
        <v>0</v>
      </c>
      <c r="CR86" s="74">
        <v>0</v>
      </c>
      <c r="CS86" s="74">
        <v>0</v>
      </c>
      <c r="CT86" s="74">
        <v>0</v>
      </c>
      <c r="CU86" s="74">
        <v>0</v>
      </c>
      <c r="CV86" s="74">
        <v>0</v>
      </c>
      <c r="CW86" s="74">
        <v>0</v>
      </c>
      <c r="CX86" s="74">
        <v>0</v>
      </c>
      <c r="CY86" s="74">
        <v>0</v>
      </c>
      <c r="CZ86" s="74">
        <v>0</v>
      </c>
      <c r="DA86" s="74">
        <v>0</v>
      </c>
      <c r="DB86" s="74">
        <v>0</v>
      </c>
      <c r="DC86" s="74">
        <v>0</v>
      </c>
      <c r="DD86" s="74">
        <v>0</v>
      </c>
      <c r="DE86" s="74">
        <v>0</v>
      </c>
      <c r="DF86" s="74">
        <v>0</v>
      </c>
      <c r="DG86" s="74">
        <v>0</v>
      </c>
      <c r="DH86" s="74">
        <v>0</v>
      </c>
      <c r="DI86" s="74">
        <v>0</v>
      </c>
      <c r="DJ86" s="74">
        <v>0</v>
      </c>
      <c r="DK86" s="74">
        <v>0</v>
      </c>
      <c r="DL86" s="74">
        <v>0</v>
      </c>
      <c r="DM86" s="74">
        <v>0</v>
      </c>
      <c r="DN86" s="74">
        <v>0</v>
      </c>
      <c r="DO86" s="74">
        <v>0</v>
      </c>
      <c r="DP86" s="74">
        <v>0</v>
      </c>
      <c r="DQ86" s="74">
        <v>0</v>
      </c>
      <c r="DR86" s="74">
        <v>0</v>
      </c>
      <c r="DS86" s="74">
        <v>0</v>
      </c>
      <c r="DT86" s="74">
        <v>0</v>
      </c>
      <c r="DU86" s="74">
        <v>0</v>
      </c>
      <c r="DV86" s="74">
        <v>0</v>
      </c>
      <c r="DW86" s="74">
        <v>0</v>
      </c>
      <c r="DX86" s="74">
        <v>0</v>
      </c>
      <c r="DY86" s="74">
        <v>0</v>
      </c>
      <c r="DZ86" s="74">
        <v>0</v>
      </c>
      <c r="EA86" s="74">
        <v>0</v>
      </c>
      <c r="EB86" s="74">
        <v>0</v>
      </c>
      <c r="EC86" s="74">
        <v>0</v>
      </c>
      <c r="ED86" s="74"/>
      <c r="EE86" s="80">
        <v>46009</v>
      </c>
      <c r="EF86" s="81">
        <v>46009.5211724537</v>
      </c>
      <c r="EG86" s="66" t="s">
        <v>69</v>
      </c>
      <c r="EH86" s="66" t="s">
        <v>209</v>
      </c>
      <c r="EI86" s="66" t="s">
        <v>6</v>
      </c>
      <c r="EJ86" s="66">
        <v>15</v>
      </c>
      <c r="EK86" s="66">
        <v>2027</v>
      </c>
      <c r="EL86" s="66" t="s">
        <v>24</v>
      </c>
      <c r="EM86" s="82">
        <v>338.17657095145614</v>
      </c>
      <c r="EN86" s="82">
        <v>337.5739809825738</v>
      </c>
      <c r="EO86" s="77">
        <v>227.1146</v>
      </c>
      <c r="EP86" s="84">
        <v>0.13999758052366426</v>
      </c>
      <c r="EQ86" s="84">
        <v>0.14268534690246426</v>
      </c>
      <c r="ER86" s="84">
        <v>4.8599999999999997E-2</v>
      </c>
      <c r="ES86" s="85">
        <v>0.97143267823005075</v>
      </c>
      <c r="ET86" s="86">
        <v>1.3804000000000001</v>
      </c>
      <c r="EU86" s="85">
        <v>0.11535261294006394</v>
      </c>
      <c r="EV86" s="85">
        <v>4.3499999999999997E-2</v>
      </c>
      <c r="EW86" s="76">
        <v>1</v>
      </c>
      <c r="EX86" s="76" t="s">
        <v>32</v>
      </c>
      <c r="EY86" s="74" t="s">
        <v>243</v>
      </c>
      <c r="EZ86" s="74"/>
      <c r="FA86" s="74"/>
      <c r="FB86" s="74"/>
      <c r="FC86" s="74"/>
      <c r="FD86" s="68"/>
      <c r="FH86" s="73"/>
      <c r="FI86" s="74"/>
      <c r="FJ86" s="74"/>
      <c r="FK86" s="74"/>
      <c r="FL86" s="74"/>
      <c r="FM86" s="74"/>
      <c r="FN86" s="74"/>
      <c r="FO86" s="74"/>
      <c r="FP86" s="74"/>
      <c r="FQ86" s="74"/>
      <c r="FR86" s="74"/>
      <c r="FS86" s="74"/>
      <c r="FT86" s="74"/>
      <c r="FU86" s="74"/>
      <c r="FV86" s="74"/>
      <c r="FW86" s="74"/>
      <c r="FX86" s="74"/>
      <c r="FY86" s="74"/>
      <c r="FZ86" s="74"/>
      <c r="GA86" s="68"/>
    </row>
    <row r="87" spans="1:183" s="2" customFormat="1" ht="15" x14ac:dyDescent="0.3">
      <c r="A87" s="73" t="s">
        <v>3</v>
      </c>
      <c r="B87" s="73" t="s">
        <v>3</v>
      </c>
      <c r="C87" s="73" t="s">
        <v>39</v>
      </c>
      <c r="D87" s="73" t="s">
        <v>48</v>
      </c>
      <c r="E87" s="73" t="s">
        <v>178</v>
      </c>
      <c r="F87" s="73" t="s">
        <v>210</v>
      </c>
      <c r="G87" s="73" t="s">
        <v>216</v>
      </c>
      <c r="H87" s="73"/>
      <c r="I87" s="74">
        <v>0</v>
      </c>
      <c r="J87" s="74">
        <v>0</v>
      </c>
      <c r="K87" s="74">
        <v>0</v>
      </c>
      <c r="L87" s="74">
        <v>0</v>
      </c>
      <c r="M87" s="74">
        <v>74238.399999999994</v>
      </c>
      <c r="N87" s="74">
        <v>107032.32000000001</v>
      </c>
      <c r="O87" s="74">
        <v>144163.64000000001</v>
      </c>
      <c r="P87" s="74">
        <v>168131.6822865</v>
      </c>
      <c r="Q87" s="74">
        <v>198532.52014534493</v>
      </c>
      <c r="R87" s="74">
        <v>237442.24869997316</v>
      </c>
      <c r="S87" s="74">
        <v>258486.9387367926</v>
      </c>
      <c r="T87" s="74">
        <v>308643.11125184945</v>
      </c>
      <c r="U87" s="74">
        <v>0</v>
      </c>
      <c r="V87" s="74">
        <v>0</v>
      </c>
      <c r="W87" s="74">
        <v>0</v>
      </c>
      <c r="X87" s="74">
        <v>0</v>
      </c>
      <c r="Y87" s="74">
        <v>0</v>
      </c>
      <c r="Z87" s="74">
        <v>0</v>
      </c>
      <c r="AA87" s="74">
        <v>0</v>
      </c>
      <c r="AB87" s="74">
        <v>0</v>
      </c>
      <c r="AC87" s="74">
        <v>0</v>
      </c>
      <c r="AD87" s="74">
        <v>0</v>
      </c>
      <c r="AE87" s="74">
        <v>0</v>
      </c>
      <c r="AF87" s="74">
        <v>0</v>
      </c>
      <c r="AG87" s="74">
        <v>0</v>
      </c>
      <c r="AH87" s="74">
        <v>0</v>
      </c>
      <c r="AI87" s="74">
        <v>0</v>
      </c>
      <c r="AJ87" s="74">
        <v>0</v>
      </c>
      <c r="AK87" s="74"/>
      <c r="AL87" s="74">
        <v>0</v>
      </c>
      <c r="AM87" s="74">
        <v>0</v>
      </c>
      <c r="AN87" s="74">
        <v>0</v>
      </c>
      <c r="AO87" s="74">
        <v>0</v>
      </c>
      <c r="AP87" s="74">
        <v>0</v>
      </c>
      <c r="AQ87" s="74">
        <v>0</v>
      </c>
      <c r="AR87" s="74">
        <v>0</v>
      </c>
      <c r="AS87" s="74">
        <v>0</v>
      </c>
      <c r="AT87" s="74">
        <v>0</v>
      </c>
      <c r="AU87" s="74">
        <v>0</v>
      </c>
      <c r="AV87" s="74">
        <v>0</v>
      </c>
      <c r="AW87" s="74">
        <v>0</v>
      </c>
      <c r="AX87" s="74">
        <v>0</v>
      </c>
      <c r="AY87" s="74">
        <v>0</v>
      </c>
      <c r="AZ87" s="74">
        <v>0</v>
      </c>
      <c r="BA87" s="74">
        <v>0</v>
      </c>
      <c r="BB87" s="74">
        <v>0</v>
      </c>
      <c r="BC87" s="74">
        <v>0</v>
      </c>
      <c r="BD87" s="74">
        <v>0</v>
      </c>
      <c r="BE87" s="74">
        <v>0</v>
      </c>
      <c r="BF87" s="74">
        <v>0</v>
      </c>
      <c r="BG87" s="74">
        <v>0</v>
      </c>
      <c r="BH87" s="74">
        <v>0</v>
      </c>
      <c r="BI87" s="74">
        <v>0</v>
      </c>
      <c r="BJ87" s="74">
        <v>0</v>
      </c>
      <c r="BK87" s="74">
        <v>0</v>
      </c>
      <c r="BL87" s="74">
        <v>0</v>
      </c>
      <c r="BM87" s="74">
        <v>0</v>
      </c>
      <c r="BN87" s="74">
        <v>0</v>
      </c>
      <c r="BO87" s="74">
        <v>0</v>
      </c>
      <c r="BP87" s="74">
        <v>0</v>
      </c>
      <c r="BQ87" s="74">
        <v>0</v>
      </c>
      <c r="BR87" s="74">
        <v>0</v>
      </c>
      <c r="BS87" s="74">
        <v>0</v>
      </c>
      <c r="BT87" s="74">
        <v>0</v>
      </c>
      <c r="BU87" s="74">
        <v>0</v>
      </c>
      <c r="BV87" s="74">
        <v>0</v>
      </c>
      <c r="BW87" s="74">
        <v>0</v>
      </c>
      <c r="BX87" s="74">
        <v>0</v>
      </c>
      <c r="BY87" s="74">
        <v>0</v>
      </c>
      <c r="BZ87" s="74">
        <v>0</v>
      </c>
      <c r="CA87" s="74">
        <v>0</v>
      </c>
      <c r="CB87" s="74">
        <v>0</v>
      </c>
      <c r="CC87" s="74">
        <v>0</v>
      </c>
      <c r="CD87" s="74">
        <v>0</v>
      </c>
      <c r="CE87" s="74">
        <v>0</v>
      </c>
      <c r="CF87" s="74">
        <v>0</v>
      </c>
      <c r="CG87" s="74">
        <v>0</v>
      </c>
      <c r="CH87" s="74">
        <v>0</v>
      </c>
      <c r="CI87" s="74">
        <v>0</v>
      </c>
      <c r="CJ87" s="74">
        <v>0</v>
      </c>
      <c r="CK87" s="74">
        <v>0</v>
      </c>
      <c r="CL87" s="74">
        <v>0</v>
      </c>
      <c r="CM87" s="74">
        <v>0</v>
      </c>
      <c r="CN87" s="74">
        <v>0</v>
      </c>
      <c r="CO87" s="74">
        <v>0</v>
      </c>
      <c r="CP87" s="74">
        <v>0</v>
      </c>
      <c r="CQ87" s="74">
        <v>0</v>
      </c>
      <c r="CR87" s="74">
        <v>0</v>
      </c>
      <c r="CS87" s="74">
        <v>0</v>
      </c>
      <c r="CT87" s="74">
        <v>0</v>
      </c>
      <c r="CU87" s="74">
        <v>0</v>
      </c>
      <c r="CV87" s="74">
        <v>0</v>
      </c>
      <c r="CW87" s="74">
        <v>0</v>
      </c>
      <c r="CX87" s="74">
        <v>0</v>
      </c>
      <c r="CY87" s="74">
        <v>0</v>
      </c>
      <c r="CZ87" s="74">
        <v>0</v>
      </c>
      <c r="DA87" s="74">
        <v>0</v>
      </c>
      <c r="DB87" s="74">
        <v>0</v>
      </c>
      <c r="DC87" s="74">
        <v>0</v>
      </c>
      <c r="DD87" s="74">
        <v>0</v>
      </c>
      <c r="DE87" s="74">
        <v>0</v>
      </c>
      <c r="DF87" s="74">
        <v>0</v>
      </c>
      <c r="DG87" s="74">
        <v>0</v>
      </c>
      <c r="DH87" s="74">
        <v>0</v>
      </c>
      <c r="DI87" s="74">
        <v>0</v>
      </c>
      <c r="DJ87" s="74">
        <v>0</v>
      </c>
      <c r="DK87" s="74">
        <v>0</v>
      </c>
      <c r="DL87" s="74">
        <v>0</v>
      </c>
      <c r="DM87" s="74">
        <v>0</v>
      </c>
      <c r="DN87" s="74">
        <v>0</v>
      </c>
      <c r="DO87" s="74">
        <v>0</v>
      </c>
      <c r="DP87" s="74">
        <v>0</v>
      </c>
      <c r="DQ87" s="74">
        <v>0</v>
      </c>
      <c r="DR87" s="74">
        <v>0</v>
      </c>
      <c r="DS87" s="74">
        <v>0</v>
      </c>
      <c r="DT87" s="74">
        <v>0</v>
      </c>
      <c r="DU87" s="74">
        <v>0</v>
      </c>
      <c r="DV87" s="74">
        <v>0</v>
      </c>
      <c r="DW87" s="74">
        <v>0</v>
      </c>
      <c r="DX87" s="74">
        <v>0</v>
      </c>
      <c r="DY87" s="74">
        <v>0</v>
      </c>
      <c r="DZ87" s="74">
        <v>0</v>
      </c>
      <c r="EA87" s="74">
        <v>0</v>
      </c>
      <c r="EB87" s="74">
        <v>0</v>
      </c>
      <c r="EC87" s="74">
        <v>0</v>
      </c>
      <c r="ED87" s="74"/>
      <c r="EE87" s="80">
        <v>46009</v>
      </c>
      <c r="EF87" s="81">
        <v>46009.5211724537</v>
      </c>
      <c r="EG87" s="66" t="s">
        <v>69</v>
      </c>
      <c r="EH87" s="66" t="s">
        <v>209</v>
      </c>
      <c r="EI87" s="66" t="s">
        <v>6</v>
      </c>
      <c r="EJ87" s="66">
        <v>15</v>
      </c>
      <c r="EK87" s="66">
        <v>2027</v>
      </c>
      <c r="EL87" s="66" t="s">
        <v>24</v>
      </c>
      <c r="EM87" s="82">
        <v>338.17657095145614</v>
      </c>
      <c r="EN87" s="82">
        <v>337.5739809825738</v>
      </c>
      <c r="EO87" s="77">
        <v>227.1146</v>
      </c>
      <c r="EP87" s="84">
        <v>0.13999758052366426</v>
      </c>
      <c r="EQ87" s="84">
        <v>0.14268534690246426</v>
      </c>
      <c r="ER87" s="84">
        <v>4.8599999999999997E-2</v>
      </c>
      <c r="ES87" s="85">
        <v>0.97143267823005075</v>
      </c>
      <c r="ET87" s="86">
        <v>1.3804000000000001</v>
      </c>
      <c r="EU87" s="85">
        <v>0.11535261294006394</v>
      </c>
      <c r="EV87" s="85">
        <v>4.3499999999999997E-2</v>
      </c>
      <c r="EW87" s="76">
        <v>1</v>
      </c>
      <c r="EX87" s="76" t="s">
        <v>32</v>
      </c>
      <c r="EY87" s="74" t="s">
        <v>243</v>
      </c>
      <c r="EZ87" s="74"/>
      <c r="FA87" s="74"/>
      <c r="FB87" s="74"/>
      <c r="FC87" s="74"/>
      <c r="FD87" s="68"/>
      <c r="FH87" s="73"/>
      <c r="FI87" s="74"/>
      <c r="FJ87" s="74"/>
      <c r="FK87" s="74"/>
      <c r="FL87" s="74"/>
      <c r="FM87" s="74"/>
      <c r="FN87" s="74"/>
      <c r="FO87" s="74"/>
      <c r="FP87" s="74"/>
      <c r="FQ87" s="74"/>
      <c r="FR87" s="74"/>
      <c r="FS87" s="74"/>
      <c r="FT87" s="74"/>
      <c r="FU87" s="74"/>
      <c r="FV87" s="74"/>
      <c r="FW87" s="74"/>
      <c r="FX87" s="74"/>
      <c r="FY87" s="74"/>
      <c r="FZ87" s="74"/>
      <c r="GA87" s="68"/>
    </row>
    <row r="88" spans="1:183" s="2" customFormat="1" ht="15" x14ac:dyDescent="0.3">
      <c r="A88" s="73" t="s">
        <v>14</v>
      </c>
      <c r="B88" s="73" t="s">
        <v>229</v>
      </c>
      <c r="C88" s="73" t="s">
        <v>35</v>
      </c>
      <c r="D88" s="73" t="s">
        <v>48</v>
      </c>
      <c r="E88" s="73" t="s">
        <v>178</v>
      </c>
      <c r="F88" s="73" t="s">
        <v>210</v>
      </c>
      <c r="G88" s="73" t="s">
        <v>216</v>
      </c>
      <c r="H88" s="73"/>
      <c r="I88" s="74">
        <v>12420</v>
      </c>
      <c r="J88" s="74">
        <v>14540</v>
      </c>
      <c r="K88" s="74">
        <v>22899</v>
      </c>
      <c r="L88" s="74">
        <v>24879</v>
      </c>
      <c r="M88" s="74">
        <v>12248</v>
      </c>
      <c r="N88" s="74">
        <v>36852</v>
      </c>
      <c r="O88" s="74">
        <v>68593</v>
      </c>
      <c r="P88" s="74">
        <v>0</v>
      </c>
      <c r="Q88" s="74">
        <v>0</v>
      </c>
      <c r="R88" s="74">
        <v>0</v>
      </c>
      <c r="S88" s="74">
        <v>0</v>
      </c>
      <c r="T88" s="74">
        <v>0</v>
      </c>
      <c r="U88" s="74">
        <v>0</v>
      </c>
      <c r="V88" s="74">
        <v>0</v>
      </c>
      <c r="W88" s="74">
        <v>0</v>
      </c>
      <c r="X88" s="74">
        <v>0</v>
      </c>
      <c r="Y88" s="74">
        <v>0</v>
      </c>
      <c r="Z88" s="74">
        <v>0</v>
      </c>
      <c r="AA88" s="74">
        <v>0</v>
      </c>
      <c r="AB88" s="74">
        <v>0</v>
      </c>
      <c r="AC88" s="74">
        <v>0</v>
      </c>
      <c r="AD88" s="74">
        <v>0</v>
      </c>
      <c r="AE88" s="74">
        <v>0</v>
      </c>
      <c r="AF88" s="74">
        <v>0</v>
      </c>
      <c r="AG88" s="74">
        <v>0</v>
      </c>
      <c r="AH88" s="74">
        <v>0</v>
      </c>
      <c r="AI88" s="74">
        <v>0</v>
      </c>
      <c r="AJ88" s="74">
        <v>0</v>
      </c>
      <c r="AK88" s="74"/>
      <c r="AL88" s="74">
        <v>112000</v>
      </c>
      <c r="AM88" s="74">
        <v>116000</v>
      </c>
      <c r="AN88" s="74">
        <v>125000</v>
      </c>
      <c r="AO88" s="74">
        <v>0</v>
      </c>
      <c r="AP88" s="74">
        <v>121000</v>
      </c>
      <c r="AQ88" s="74">
        <v>134250</v>
      </c>
      <c r="AR88" s="74">
        <v>138000</v>
      </c>
      <c r="AS88" s="74">
        <v>160000</v>
      </c>
      <c r="AT88" s="74">
        <v>138000</v>
      </c>
      <c r="AU88" s="74">
        <v>144000</v>
      </c>
      <c r="AV88" s="74">
        <v>154000</v>
      </c>
      <c r="AW88" s="74">
        <v>181500</v>
      </c>
      <c r="AX88" s="74">
        <v>151000</v>
      </c>
      <c r="AY88" s="74">
        <v>159000</v>
      </c>
      <c r="AZ88" s="74">
        <v>174000</v>
      </c>
      <c r="BA88" s="74">
        <v>206000</v>
      </c>
      <c r="BB88" s="74">
        <v>0</v>
      </c>
      <c r="BC88" s="74">
        <v>0</v>
      </c>
      <c r="BD88" s="74">
        <v>0</v>
      </c>
      <c r="BE88" s="74">
        <v>0</v>
      </c>
      <c r="BF88" s="74">
        <v>0</v>
      </c>
      <c r="BG88" s="74">
        <v>0</v>
      </c>
      <c r="BH88" s="74">
        <v>0</v>
      </c>
      <c r="BI88" s="74">
        <v>0</v>
      </c>
      <c r="BJ88" s="74">
        <v>0</v>
      </c>
      <c r="BK88" s="74">
        <v>0</v>
      </c>
      <c r="BL88" s="74">
        <v>0</v>
      </c>
      <c r="BM88" s="74">
        <v>0</v>
      </c>
      <c r="BN88" s="74">
        <v>0</v>
      </c>
      <c r="BO88" s="74">
        <v>0</v>
      </c>
      <c r="BP88" s="74">
        <v>0</v>
      </c>
      <c r="BQ88" s="74">
        <v>0</v>
      </c>
      <c r="BR88" s="74">
        <v>0</v>
      </c>
      <c r="BS88" s="74">
        <v>0</v>
      </c>
      <c r="BT88" s="74">
        <v>0</v>
      </c>
      <c r="BU88" s="74">
        <v>0</v>
      </c>
      <c r="BV88" s="74">
        <v>0</v>
      </c>
      <c r="BW88" s="74">
        <v>0</v>
      </c>
      <c r="BX88" s="74">
        <v>0</v>
      </c>
      <c r="BY88" s="74">
        <v>0</v>
      </c>
      <c r="BZ88" s="74">
        <v>0</v>
      </c>
      <c r="CA88" s="74">
        <v>0</v>
      </c>
      <c r="CB88" s="74">
        <v>0</v>
      </c>
      <c r="CC88" s="74">
        <v>0</v>
      </c>
      <c r="CD88" s="74">
        <v>0</v>
      </c>
      <c r="CE88" s="74">
        <v>0</v>
      </c>
      <c r="CF88" s="74">
        <v>0</v>
      </c>
      <c r="CG88" s="74">
        <v>0</v>
      </c>
      <c r="CH88" s="74">
        <v>0</v>
      </c>
      <c r="CI88" s="74">
        <v>0</v>
      </c>
      <c r="CJ88" s="74">
        <v>0</v>
      </c>
      <c r="CK88" s="74">
        <v>0</v>
      </c>
      <c r="CL88" s="74">
        <v>0</v>
      </c>
      <c r="CM88" s="74">
        <v>0</v>
      </c>
      <c r="CN88" s="74">
        <v>0</v>
      </c>
      <c r="CO88" s="74">
        <v>0</v>
      </c>
      <c r="CP88" s="74">
        <v>0</v>
      </c>
      <c r="CQ88" s="74">
        <v>0</v>
      </c>
      <c r="CR88" s="74">
        <v>0</v>
      </c>
      <c r="CS88" s="74">
        <v>0</v>
      </c>
      <c r="CT88" s="74">
        <v>0</v>
      </c>
      <c r="CU88" s="74">
        <v>0</v>
      </c>
      <c r="CV88" s="74">
        <v>0</v>
      </c>
      <c r="CW88" s="74">
        <v>0</v>
      </c>
      <c r="CX88" s="74">
        <v>0</v>
      </c>
      <c r="CY88" s="74">
        <v>0</v>
      </c>
      <c r="CZ88" s="74">
        <v>0</v>
      </c>
      <c r="DA88" s="74">
        <v>0</v>
      </c>
      <c r="DB88" s="74">
        <v>0</v>
      </c>
      <c r="DC88" s="74">
        <v>0</v>
      </c>
      <c r="DD88" s="74">
        <v>0</v>
      </c>
      <c r="DE88" s="74">
        <v>0</v>
      </c>
      <c r="DF88" s="74">
        <v>0</v>
      </c>
      <c r="DG88" s="74">
        <v>0</v>
      </c>
      <c r="DH88" s="74">
        <v>0</v>
      </c>
      <c r="DI88" s="74">
        <v>0</v>
      </c>
      <c r="DJ88" s="74">
        <v>0</v>
      </c>
      <c r="DK88" s="74">
        <v>0</v>
      </c>
      <c r="DL88" s="74">
        <v>0</v>
      </c>
      <c r="DM88" s="74">
        <v>0</v>
      </c>
      <c r="DN88" s="74">
        <v>0</v>
      </c>
      <c r="DO88" s="74">
        <v>0</v>
      </c>
      <c r="DP88" s="74">
        <v>0</v>
      </c>
      <c r="DQ88" s="74">
        <v>0</v>
      </c>
      <c r="DR88" s="74">
        <v>0</v>
      </c>
      <c r="DS88" s="74">
        <v>0</v>
      </c>
      <c r="DT88" s="74">
        <v>0</v>
      </c>
      <c r="DU88" s="74">
        <v>0</v>
      </c>
      <c r="DV88" s="74">
        <v>0</v>
      </c>
      <c r="DW88" s="74">
        <v>0</v>
      </c>
      <c r="DX88" s="74">
        <v>0</v>
      </c>
      <c r="DY88" s="74">
        <v>0</v>
      </c>
      <c r="DZ88" s="74">
        <v>0</v>
      </c>
      <c r="EA88" s="74">
        <v>0</v>
      </c>
      <c r="EB88" s="74">
        <v>0</v>
      </c>
      <c r="EC88" s="74">
        <v>0</v>
      </c>
      <c r="ED88" s="74"/>
      <c r="EE88" s="80">
        <v>46009</v>
      </c>
      <c r="EF88" s="81">
        <v>46009.5211724537</v>
      </c>
      <c r="EG88" s="66" t="s">
        <v>69</v>
      </c>
      <c r="EH88" s="66" t="s">
        <v>209</v>
      </c>
      <c r="EI88" s="66" t="s">
        <v>6</v>
      </c>
      <c r="EJ88" s="66">
        <v>15</v>
      </c>
      <c r="EK88" s="66">
        <v>2027</v>
      </c>
      <c r="EL88" s="66" t="s">
        <v>24</v>
      </c>
      <c r="EM88" s="82">
        <v>338.17657095145614</v>
      </c>
      <c r="EN88" s="82">
        <v>337.5739809825738</v>
      </c>
      <c r="EO88" s="77">
        <v>227.1146</v>
      </c>
      <c r="EP88" s="84">
        <v>0.13999758052366426</v>
      </c>
      <c r="EQ88" s="84">
        <v>0.14268534690246426</v>
      </c>
      <c r="ER88" s="84">
        <v>4.8599999999999997E-2</v>
      </c>
      <c r="ES88" s="85">
        <v>0.97143267823005075</v>
      </c>
      <c r="ET88" s="86">
        <v>1.3804000000000001</v>
      </c>
      <c r="EU88" s="85">
        <v>0.11535261294006394</v>
      </c>
      <c r="EV88" s="85">
        <v>4.3499999999999997E-2</v>
      </c>
      <c r="EW88" s="76">
        <v>1</v>
      </c>
      <c r="EX88" s="76" t="s">
        <v>32</v>
      </c>
      <c r="EY88" s="74" t="s">
        <v>243</v>
      </c>
      <c r="EZ88" s="74"/>
      <c r="FA88" s="74"/>
      <c r="FB88" s="74"/>
      <c r="FC88" s="74"/>
      <c r="FD88" s="68"/>
      <c r="FH88" s="73"/>
      <c r="FI88" s="74"/>
      <c r="FJ88" s="74"/>
      <c r="FK88" s="74"/>
      <c r="FL88" s="74"/>
      <c r="FM88" s="74"/>
      <c r="FN88" s="74"/>
      <c r="FO88" s="74"/>
      <c r="FP88" s="74"/>
      <c r="FQ88" s="74"/>
      <c r="FR88" s="74"/>
      <c r="FS88" s="74"/>
      <c r="FT88" s="74"/>
      <c r="FU88" s="74"/>
      <c r="FV88" s="74"/>
      <c r="FW88" s="74"/>
      <c r="FX88" s="74"/>
      <c r="FY88" s="74"/>
      <c r="FZ88" s="74"/>
      <c r="GA88" s="68"/>
    </row>
    <row r="89" spans="1:183" s="2" customFormat="1" ht="15" x14ac:dyDescent="0.3">
      <c r="A89" s="73" t="s">
        <v>11</v>
      </c>
      <c r="B89" s="73" t="s">
        <v>230</v>
      </c>
      <c r="C89" s="73" t="s">
        <v>40</v>
      </c>
      <c r="D89" s="73" t="s">
        <v>48</v>
      </c>
      <c r="E89" s="73" t="s">
        <v>178</v>
      </c>
      <c r="F89" s="73" t="s">
        <v>210</v>
      </c>
      <c r="G89" s="73" t="s">
        <v>216</v>
      </c>
      <c r="H89" s="73"/>
      <c r="I89" s="74">
        <v>0</v>
      </c>
      <c r="J89" s="74">
        <v>0</v>
      </c>
      <c r="K89" s="74">
        <v>0</v>
      </c>
      <c r="L89" s="74">
        <v>0</v>
      </c>
      <c r="M89" s="74">
        <v>9391.6298948740914</v>
      </c>
      <c r="N89" s="74">
        <v>25653.988593817325</v>
      </c>
      <c r="O89" s="74">
        <v>54763.831316500124</v>
      </c>
      <c r="P89" s="74">
        <v>65049.548880000002</v>
      </c>
      <c r="Q89" s="74">
        <v>77850.156700563137</v>
      </c>
      <c r="R89" s="74">
        <v>99503.394936052879</v>
      </c>
      <c r="S89" s="74">
        <v>109170.68130798041</v>
      </c>
      <c r="T89" s="74">
        <v>138144.97286727588</v>
      </c>
      <c r="U89" s="74">
        <v>0</v>
      </c>
      <c r="V89" s="74">
        <v>0</v>
      </c>
      <c r="W89" s="74">
        <v>0</v>
      </c>
      <c r="X89" s="74">
        <v>0</v>
      </c>
      <c r="Y89" s="74">
        <v>0</v>
      </c>
      <c r="Z89" s="74">
        <v>0</v>
      </c>
      <c r="AA89" s="74">
        <v>0</v>
      </c>
      <c r="AB89" s="74">
        <v>0</v>
      </c>
      <c r="AC89" s="74">
        <v>0</v>
      </c>
      <c r="AD89" s="74">
        <v>0</v>
      </c>
      <c r="AE89" s="74">
        <v>0</v>
      </c>
      <c r="AF89" s="74">
        <v>0</v>
      </c>
      <c r="AG89" s="74">
        <v>0</v>
      </c>
      <c r="AH89" s="74">
        <v>0</v>
      </c>
      <c r="AI89" s="74">
        <v>0</v>
      </c>
      <c r="AJ89" s="74">
        <v>0</v>
      </c>
      <c r="AK89" s="74"/>
      <c r="AL89" s="74">
        <v>0</v>
      </c>
      <c r="AM89" s="74">
        <v>0</v>
      </c>
      <c r="AN89" s="74">
        <v>0</v>
      </c>
      <c r="AO89" s="74">
        <v>0</v>
      </c>
      <c r="AP89" s="74">
        <v>0</v>
      </c>
      <c r="AQ89" s="74">
        <v>0</v>
      </c>
      <c r="AR89" s="74">
        <v>0</v>
      </c>
      <c r="AS89" s="74">
        <v>0</v>
      </c>
      <c r="AT89" s="74">
        <v>0</v>
      </c>
      <c r="AU89" s="74">
        <v>0</v>
      </c>
      <c r="AV89" s="74">
        <v>0</v>
      </c>
      <c r="AW89" s="74">
        <v>0</v>
      </c>
      <c r="AX89" s="74">
        <v>0</v>
      </c>
      <c r="AY89" s="74">
        <v>0</v>
      </c>
      <c r="AZ89" s="74">
        <v>0</v>
      </c>
      <c r="BA89" s="74">
        <v>0</v>
      </c>
      <c r="BB89" s="74">
        <v>0</v>
      </c>
      <c r="BC89" s="74">
        <v>0</v>
      </c>
      <c r="BD89" s="74">
        <v>0</v>
      </c>
      <c r="BE89" s="74">
        <v>0</v>
      </c>
      <c r="BF89" s="74">
        <v>0</v>
      </c>
      <c r="BG89" s="74">
        <v>0</v>
      </c>
      <c r="BH89" s="74">
        <v>0</v>
      </c>
      <c r="BI89" s="74">
        <v>0</v>
      </c>
      <c r="BJ89" s="74">
        <v>0</v>
      </c>
      <c r="BK89" s="74">
        <v>0</v>
      </c>
      <c r="BL89" s="74">
        <v>0</v>
      </c>
      <c r="BM89" s="74">
        <v>0</v>
      </c>
      <c r="BN89" s="74">
        <v>0</v>
      </c>
      <c r="BO89" s="74">
        <v>0</v>
      </c>
      <c r="BP89" s="74">
        <v>0</v>
      </c>
      <c r="BQ89" s="74">
        <v>0</v>
      </c>
      <c r="BR89" s="74">
        <v>0</v>
      </c>
      <c r="BS89" s="74">
        <v>0</v>
      </c>
      <c r="BT89" s="74">
        <v>0</v>
      </c>
      <c r="BU89" s="74">
        <v>0</v>
      </c>
      <c r="BV89" s="74">
        <v>0</v>
      </c>
      <c r="BW89" s="74">
        <v>0</v>
      </c>
      <c r="BX89" s="74">
        <v>0</v>
      </c>
      <c r="BY89" s="74">
        <v>0</v>
      </c>
      <c r="BZ89" s="74">
        <v>0</v>
      </c>
      <c r="CA89" s="74">
        <v>0</v>
      </c>
      <c r="CB89" s="74">
        <v>0</v>
      </c>
      <c r="CC89" s="74">
        <v>0</v>
      </c>
      <c r="CD89" s="74">
        <v>0</v>
      </c>
      <c r="CE89" s="74">
        <v>0</v>
      </c>
      <c r="CF89" s="74">
        <v>0</v>
      </c>
      <c r="CG89" s="74">
        <v>0</v>
      </c>
      <c r="CH89" s="74">
        <v>0</v>
      </c>
      <c r="CI89" s="74">
        <v>0</v>
      </c>
      <c r="CJ89" s="74">
        <v>0</v>
      </c>
      <c r="CK89" s="74">
        <v>0</v>
      </c>
      <c r="CL89" s="74">
        <v>0</v>
      </c>
      <c r="CM89" s="74">
        <v>0</v>
      </c>
      <c r="CN89" s="74">
        <v>0</v>
      </c>
      <c r="CO89" s="74">
        <v>0</v>
      </c>
      <c r="CP89" s="74">
        <v>0</v>
      </c>
      <c r="CQ89" s="74">
        <v>0</v>
      </c>
      <c r="CR89" s="74">
        <v>0</v>
      </c>
      <c r="CS89" s="74">
        <v>0</v>
      </c>
      <c r="CT89" s="74">
        <v>0</v>
      </c>
      <c r="CU89" s="74">
        <v>0</v>
      </c>
      <c r="CV89" s="74">
        <v>0</v>
      </c>
      <c r="CW89" s="74">
        <v>0</v>
      </c>
      <c r="CX89" s="74">
        <v>0</v>
      </c>
      <c r="CY89" s="74">
        <v>0</v>
      </c>
      <c r="CZ89" s="74">
        <v>0</v>
      </c>
      <c r="DA89" s="74">
        <v>0</v>
      </c>
      <c r="DB89" s="74">
        <v>0</v>
      </c>
      <c r="DC89" s="74">
        <v>0</v>
      </c>
      <c r="DD89" s="74">
        <v>0</v>
      </c>
      <c r="DE89" s="74">
        <v>0</v>
      </c>
      <c r="DF89" s="74">
        <v>0</v>
      </c>
      <c r="DG89" s="74">
        <v>0</v>
      </c>
      <c r="DH89" s="74">
        <v>0</v>
      </c>
      <c r="DI89" s="74">
        <v>0</v>
      </c>
      <c r="DJ89" s="74">
        <v>0</v>
      </c>
      <c r="DK89" s="74">
        <v>0</v>
      </c>
      <c r="DL89" s="74">
        <v>0</v>
      </c>
      <c r="DM89" s="74">
        <v>0</v>
      </c>
      <c r="DN89" s="74">
        <v>0</v>
      </c>
      <c r="DO89" s="74">
        <v>0</v>
      </c>
      <c r="DP89" s="74">
        <v>0</v>
      </c>
      <c r="DQ89" s="74">
        <v>0</v>
      </c>
      <c r="DR89" s="74">
        <v>0</v>
      </c>
      <c r="DS89" s="74">
        <v>0</v>
      </c>
      <c r="DT89" s="74">
        <v>0</v>
      </c>
      <c r="DU89" s="74">
        <v>0</v>
      </c>
      <c r="DV89" s="74">
        <v>0</v>
      </c>
      <c r="DW89" s="74">
        <v>0</v>
      </c>
      <c r="DX89" s="74">
        <v>0</v>
      </c>
      <c r="DY89" s="74">
        <v>0</v>
      </c>
      <c r="DZ89" s="74">
        <v>0</v>
      </c>
      <c r="EA89" s="74">
        <v>0</v>
      </c>
      <c r="EB89" s="74">
        <v>0</v>
      </c>
      <c r="EC89" s="74">
        <v>0</v>
      </c>
      <c r="ED89" s="74"/>
      <c r="EE89" s="80">
        <v>46009</v>
      </c>
      <c r="EF89" s="81">
        <v>46009.5211724537</v>
      </c>
      <c r="EG89" s="66" t="s">
        <v>69</v>
      </c>
      <c r="EH89" s="66" t="s">
        <v>209</v>
      </c>
      <c r="EI89" s="66" t="s">
        <v>2</v>
      </c>
      <c r="EJ89" s="66">
        <v>25</v>
      </c>
      <c r="EK89" s="66">
        <v>2027</v>
      </c>
      <c r="EL89" s="66" t="s">
        <v>17</v>
      </c>
      <c r="EM89" s="82">
        <v>240.4183253682296</v>
      </c>
      <c r="EN89" s="82">
        <v>212.45093904866016</v>
      </c>
      <c r="EO89" s="77">
        <v>227.1146</v>
      </c>
      <c r="EP89" s="84">
        <v>0.13999758052366426</v>
      </c>
      <c r="EQ89" s="84">
        <v>0.14268534690246426</v>
      </c>
      <c r="ER89" s="84">
        <v>4.8599999999999997E-2</v>
      </c>
      <c r="ES89" s="85">
        <v>0.97143267823005075</v>
      </c>
      <c r="ET89" s="86">
        <v>1.3804000000000001</v>
      </c>
      <c r="EU89" s="85">
        <v>0.11535261294006394</v>
      </c>
      <c r="EV89" s="85">
        <v>4.3499999999999997E-2</v>
      </c>
      <c r="EW89" s="76">
        <v>1</v>
      </c>
      <c r="EX89" s="76" t="s">
        <v>32</v>
      </c>
      <c r="EY89" s="74" t="s">
        <v>243</v>
      </c>
      <c r="EZ89" s="74"/>
      <c r="FA89" s="74"/>
      <c r="FB89" s="74"/>
      <c r="FC89" s="74"/>
      <c r="FD89" s="68"/>
      <c r="FH89" s="73"/>
      <c r="FI89" s="74"/>
      <c r="FJ89" s="74"/>
      <c r="FK89" s="74"/>
      <c r="FL89" s="74"/>
      <c r="FM89" s="74"/>
      <c r="FN89" s="74"/>
      <c r="FO89" s="74"/>
      <c r="FP89" s="74"/>
      <c r="FQ89" s="74"/>
      <c r="FR89" s="74"/>
      <c r="FS89" s="74"/>
      <c r="FT89" s="74"/>
      <c r="FU89" s="74"/>
      <c r="FV89" s="74"/>
      <c r="FW89" s="74"/>
      <c r="FX89" s="74"/>
      <c r="FY89" s="74"/>
      <c r="FZ89" s="74"/>
      <c r="GA89" s="68"/>
    </row>
    <row r="90" spans="1:183" s="2" customFormat="1" ht="15" x14ac:dyDescent="0.3">
      <c r="A90" s="73" t="s">
        <v>156</v>
      </c>
      <c r="B90" s="73" t="s">
        <v>231</v>
      </c>
      <c r="C90" s="73" t="s">
        <v>41</v>
      </c>
      <c r="D90" s="73" t="s">
        <v>48</v>
      </c>
      <c r="E90" s="73" t="s">
        <v>217</v>
      </c>
      <c r="F90" s="73" t="s">
        <v>218</v>
      </c>
      <c r="G90" s="73" t="s">
        <v>216</v>
      </c>
      <c r="H90" s="73"/>
      <c r="I90" s="74">
        <v>0</v>
      </c>
      <c r="J90" s="74">
        <v>0</v>
      </c>
      <c r="K90" s="74">
        <v>0</v>
      </c>
      <c r="L90" s="74">
        <v>0</v>
      </c>
      <c r="M90" s="74">
        <v>10189</v>
      </c>
      <c r="N90" s="74">
        <v>10492</v>
      </c>
      <c r="O90" s="74">
        <v>10721</v>
      </c>
      <c r="P90" s="74">
        <v>10721</v>
      </c>
      <c r="Q90" s="74">
        <v>10721</v>
      </c>
      <c r="R90" s="74">
        <v>10721</v>
      </c>
      <c r="S90" s="74">
        <v>10721</v>
      </c>
      <c r="T90" s="74">
        <v>10721</v>
      </c>
      <c r="U90" s="74">
        <v>0</v>
      </c>
      <c r="V90" s="74">
        <v>0</v>
      </c>
      <c r="W90" s="74">
        <v>0</v>
      </c>
      <c r="X90" s="74">
        <v>0</v>
      </c>
      <c r="Y90" s="74">
        <v>0</v>
      </c>
      <c r="Z90" s="74">
        <v>0</v>
      </c>
      <c r="AA90" s="74">
        <v>0</v>
      </c>
      <c r="AB90" s="74">
        <v>0</v>
      </c>
      <c r="AC90" s="74">
        <v>0</v>
      </c>
      <c r="AD90" s="74">
        <v>0</v>
      </c>
      <c r="AE90" s="74">
        <v>0</v>
      </c>
      <c r="AF90" s="74">
        <v>0</v>
      </c>
      <c r="AG90" s="74">
        <v>0</v>
      </c>
      <c r="AH90" s="74">
        <v>0</v>
      </c>
      <c r="AI90" s="74">
        <v>0</v>
      </c>
      <c r="AJ90" s="74">
        <v>0</v>
      </c>
      <c r="AK90" s="74"/>
      <c r="AL90" s="74">
        <v>0</v>
      </c>
      <c r="AM90" s="74">
        <v>0</v>
      </c>
      <c r="AN90" s="74">
        <v>0</v>
      </c>
      <c r="AO90" s="74">
        <v>0</v>
      </c>
      <c r="AP90" s="74">
        <v>0</v>
      </c>
      <c r="AQ90" s="74">
        <v>0</v>
      </c>
      <c r="AR90" s="74">
        <v>0</v>
      </c>
      <c r="AS90" s="74">
        <v>0</v>
      </c>
      <c r="AT90" s="74">
        <v>0</v>
      </c>
      <c r="AU90" s="74">
        <v>0</v>
      </c>
      <c r="AV90" s="74">
        <v>0</v>
      </c>
      <c r="AW90" s="74">
        <v>0</v>
      </c>
      <c r="AX90" s="74">
        <v>0</v>
      </c>
      <c r="AY90" s="74">
        <v>0</v>
      </c>
      <c r="AZ90" s="74">
        <v>0</v>
      </c>
      <c r="BA90" s="74">
        <v>0</v>
      </c>
      <c r="BB90" s="74">
        <v>0</v>
      </c>
      <c r="BC90" s="74">
        <v>0</v>
      </c>
      <c r="BD90" s="74">
        <v>0</v>
      </c>
      <c r="BE90" s="74">
        <v>0</v>
      </c>
      <c r="BF90" s="74">
        <v>0</v>
      </c>
      <c r="BG90" s="74">
        <v>0</v>
      </c>
      <c r="BH90" s="74">
        <v>0</v>
      </c>
      <c r="BI90" s="74">
        <v>0</v>
      </c>
      <c r="BJ90" s="74">
        <v>0</v>
      </c>
      <c r="BK90" s="74">
        <v>0</v>
      </c>
      <c r="BL90" s="74">
        <v>0</v>
      </c>
      <c r="BM90" s="74">
        <v>0</v>
      </c>
      <c r="BN90" s="74">
        <v>0</v>
      </c>
      <c r="BO90" s="74">
        <v>0</v>
      </c>
      <c r="BP90" s="74">
        <v>0</v>
      </c>
      <c r="BQ90" s="74">
        <v>0</v>
      </c>
      <c r="BR90" s="74">
        <v>0</v>
      </c>
      <c r="BS90" s="74">
        <v>0</v>
      </c>
      <c r="BT90" s="74">
        <v>0</v>
      </c>
      <c r="BU90" s="74">
        <v>0</v>
      </c>
      <c r="BV90" s="74">
        <v>0</v>
      </c>
      <c r="BW90" s="74">
        <v>0</v>
      </c>
      <c r="BX90" s="74">
        <v>0</v>
      </c>
      <c r="BY90" s="74">
        <v>0</v>
      </c>
      <c r="BZ90" s="74">
        <v>0</v>
      </c>
      <c r="CA90" s="74">
        <v>0</v>
      </c>
      <c r="CB90" s="74">
        <v>0</v>
      </c>
      <c r="CC90" s="74">
        <v>0</v>
      </c>
      <c r="CD90" s="74">
        <v>0</v>
      </c>
      <c r="CE90" s="74">
        <v>0</v>
      </c>
      <c r="CF90" s="74">
        <v>0</v>
      </c>
      <c r="CG90" s="74">
        <v>0</v>
      </c>
      <c r="CH90" s="74">
        <v>0</v>
      </c>
      <c r="CI90" s="74">
        <v>0</v>
      </c>
      <c r="CJ90" s="74">
        <v>0</v>
      </c>
      <c r="CK90" s="74">
        <v>0</v>
      </c>
      <c r="CL90" s="74">
        <v>0</v>
      </c>
      <c r="CM90" s="74">
        <v>0</v>
      </c>
      <c r="CN90" s="74">
        <v>0</v>
      </c>
      <c r="CO90" s="74">
        <v>0</v>
      </c>
      <c r="CP90" s="74">
        <v>0</v>
      </c>
      <c r="CQ90" s="74">
        <v>0</v>
      </c>
      <c r="CR90" s="74">
        <v>0</v>
      </c>
      <c r="CS90" s="74">
        <v>0</v>
      </c>
      <c r="CT90" s="74">
        <v>0</v>
      </c>
      <c r="CU90" s="74">
        <v>0</v>
      </c>
      <c r="CV90" s="74">
        <v>0</v>
      </c>
      <c r="CW90" s="74">
        <v>0</v>
      </c>
      <c r="CX90" s="74">
        <v>0</v>
      </c>
      <c r="CY90" s="74">
        <v>0</v>
      </c>
      <c r="CZ90" s="74">
        <v>0</v>
      </c>
      <c r="DA90" s="74">
        <v>0</v>
      </c>
      <c r="DB90" s="74">
        <v>0</v>
      </c>
      <c r="DC90" s="74">
        <v>0</v>
      </c>
      <c r="DD90" s="74">
        <v>0</v>
      </c>
      <c r="DE90" s="74">
        <v>0</v>
      </c>
      <c r="DF90" s="74">
        <v>0</v>
      </c>
      <c r="DG90" s="74">
        <v>0</v>
      </c>
      <c r="DH90" s="74">
        <v>0</v>
      </c>
      <c r="DI90" s="74">
        <v>0</v>
      </c>
      <c r="DJ90" s="74">
        <v>0</v>
      </c>
      <c r="DK90" s="74">
        <v>0</v>
      </c>
      <c r="DL90" s="74">
        <v>0</v>
      </c>
      <c r="DM90" s="74">
        <v>0</v>
      </c>
      <c r="DN90" s="74">
        <v>0</v>
      </c>
      <c r="DO90" s="74">
        <v>0</v>
      </c>
      <c r="DP90" s="74">
        <v>0</v>
      </c>
      <c r="DQ90" s="74">
        <v>0</v>
      </c>
      <c r="DR90" s="74">
        <v>0</v>
      </c>
      <c r="DS90" s="74">
        <v>0</v>
      </c>
      <c r="DT90" s="74">
        <v>0</v>
      </c>
      <c r="DU90" s="74">
        <v>0</v>
      </c>
      <c r="DV90" s="74">
        <v>0</v>
      </c>
      <c r="DW90" s="74">
        <v>0</v>
      </c>
      <c r="DX90" s="74">
        <v>0</v>
      </c>
      <c r="DY90" s="74">
        <v>0</v>
      </c>
      <c r="DZ90" s="74">
        <v>0</v>
      </c>
      <c r="EA90" s="74">
        <v>0</v>
      </c>
      <c r="EB90" s="74">
        <v>0</v>
      </c>
      <c r="EC90" s="74">
        <v>0</v>
      </c>
      <c r="ED90" s="74"/>
      <c r="EE90" s="80">
        <v>46009</v>
      </c>
      <c r="EF90" s="81">
        <v>46009.5211724537</v>
      </c>
      <c r="EG90" s="66" t="s">
        <v>69</v>
      </c>
      <c r="EH90" s="66" t="s">
        <v>209</v>
      </c>
      <c r="EI90" s="66" t="s">
        <v>2</v>
      </c>
      <c r="EJ90" s="66">
        <v>25</v>
      </c>
      <c r="EK90" s="66">
        <v>2027</v>
      </c>
      <c r="EL90" s="66" t="s">
        <v>17</v>
      </c>
      <c r="EM90" s="82">
        <v>240.4183253682296</v>
      </c>
      <c r="EN90" s="82">
        <v>212.45093904866016</v>
      </c>
      <c r="EO90" s="77">
        <v>227.1146</v>
      </c>
      <c r="EP90" s="84">
        <v>0.13999758052366426</v>
      </c>
      <c r="EQ90" s="84">
        <v>0.14268534690246426</v>
      </c>
      <c r="ER90" s="84">
        <v>4.8599999999999997E-2</v>
      </c>
      <c r="ES90" s="85">
        <v>0.97143267823005075</v>
      </c>
      <c r="ET90" s="86">
        <v>1.3804000000000001</v>
      </c>
      <c r="EU90" s="85">
        <v>0.11535261294006394</v>
      </c>
      <c r="EV90" s="85">
        <v>4.3499999999999997E-2</v>
      </c>
      <c r="EW90" s="76">
        <v>1</v>
      </c>
      <c r="EX90" s="76" t="s">
        <v>32</v>
      </c>
      <c r="EY90" s="74" t="s">
        <v>243</v>
      </c>
      <c r="EZ90" s="74"/>
      <c r="FA90" s="74"/>
      <c r="FB90" s="74"/>
      <c r="FC90" s="74"/>
      <c r="FD90" s="68"/>
      <c r="FH90" s="73"/>
      <c r="FI90" s="74"/>
      <c r="FJ90" s="74"/>
      <c r="FK90" s="74"/>
      <c r="FL90" s="74"/>
      <c r="FM90" s="74"/>
      <c r="FN90" s="74"/>
      <c r="FO90" s="74"/>
      <c r="FP90" s="74"/>
      <c r="FQ90" s="74"/>
      <c r="FR90" s="74"/>
      <c r="FS90" s="74"/>
      <c r="FT90" s="74"/>
      <c r="FU90" s="74"/>
      <c r="FV90" s="74"/>
      <c r="FW90" s="74"/>
      <c r="FX90" s="74"/>
      <c r="FY90" s="74"/>
      <c r="FZ90" s="74"/>
      <c r="GA90" s="68"/>
    </row>
    <row r="91" spans="1:183" s="2" customFormat="1" ht="15" x14ac:dyDescent="0.3">
      <c r="A91" s="73" t="s">
        <v>4</v>
      </c>
      <c r="B91" s="73" t="s">
        <v>232</v>
      </c>
      <c r="C91" s="73" t="s">
        <v>38</v>
      </c>
      <c r="D91" s="73" t="s">
        <v>48</v>
      </c>
      <c r="E91" s="73" t="s">
        <v>178</v>
      </c>
      <c r="F91" s="73" t="s">
        <v>210</v>
      </c>
      <c r="G91" s="73" t="s">
        <v>216</v>
      </c>
      <c r="H91" s="73"/>
      <c r="I91" s="74">
        <v>0</v>
      </c>
      <c r="J91" s="74">
        <v>0</v>
      </c>
      <c r="K91" s="74">
        <v>0</v>
      </c>
      <c r="L91" s="74">
        <v>0</v>
      </c>
      <c r="M91" s="74">
        <v>41921</v>
      </c>
      <c r="N91" s="74">
        <v>48663</v>
      </c>
      <c r="O91" s="74">
        <v>52796</v>
      </c>
      <c r="P91" s="74">
        <v>65413.848000000005</v>
      </c>
      <c r="Q91" s="74">
        <v>81402.235732358939</v>
      </c>
      <c r="R91" s="74">
        <v>95219.887965950649</v>
      </c>
      <c r="S91" s="74">
        <v>102899.96737990333</v>
      </c>
      <c r="T91" s="74">
        <v>116241.92749199431</v>
      </c>
      <c r="U91" s="74">
        <v>0</v>
      </c>
      <c r="V91" s="74">
        <v>0</v>
      </c>
      <c r="W91" s="74">
        <v>0</v>
      </c>
      <c r="X91" s="74">
        <v>0</v>
      </c>
      <c r="Y91" s="74">
        <v>0</v>
      </c>
      <c r="Z91" s="74">
        <v>0</v>
      </c>
      <c r="AA91" s="74">
        <v>0</v>
      </c>
      <c r="AB91" s="74">
        <v>0</v>
      </c>
      <c r="AC91" s="74">
        <v>0</v>
      </c>
      <c r="AD91" s="74">
        <v>0</v>
      </c>
      <c r="AE91" s="74">
        <v>0</v>
      </c>
      <c r="AF91" s="74">
        <v>0</v>
      </c>
      <c r="AG91" s="74">
        <v>0</v>
      </c>
      <c r="AH91" s="74">
        <v>0</v>
      </c>
      <c r="AI91" s="74">
        <v>0</v>
      </c>
      <c r="AJ91" s="74">
        <v>0</v>
      </c>
      <c r="AK91" s="74"/>
      <c r="AL91" s="74">
        <v>0</v>
      </c>
      <c r="AM91" s="74">
        <v>0</v>
      </c>
      <c r="AN91" s="74">
        <v>0</v>
      </c>
      <c r="AO91" s="74">
        <v>0</v>
      </c>
      <c r="AP91" s="74">
        <v>0</v>
      </c>
      <c r="AQ91" s="74">
        <v>0</v>
      </c>
      <c r="AR91" s="74">
        <v>0</v>
      </c>
      <c r="AS91" s="74">
        <v>0</v>
      </c>
      <c r="AT91" s="74">
        <v>0</v>
      </c>
      <c r="AU91" s="74">
        <v>0</v>
      </c>
      <c r="AV91" s="74">
        <v>0</v>
      </c>
      <c r="AW91" s="74">
        <v>0</v>
      </c>
      <c r="AX91" s="74">
        <v>0</v>
      </c>
      <c r="AY91" s="74">
        <v>0</v>
      </c>
      <c r="AZ91" s="74">
        <v>0</v>
      </c>
      <c r="BA91" s="74">
        <v>0</v>
      </c>
      <c r="BB91" s="74">
        <v>0</v>
      </c>
      <c r="BC91" s="74">
        <v>0</v>
      </c>
      <c r="BD91" s="74">
        <v>0</v>
      </c>
      <c r="BE91" s="74">
        <v>0</v>
      </c>
      <c r="BF91" s="74">
        <v>0</v>
      </c>
      <c r="BG91" s="74">
        <v>0</v>
      </c>
      <c r="BH91" s="74">
        <v>0</v>
      </c>
      <c r="BI91" s="74">
        <v>0</v>
      </c>
      <c r="BJ91" s="74">
        <v>0</v>
      </c>
      <c r="BK91" s="74">
        <v>0</v>
      </c>
      <c r="BL91" s="74">
        <v>0</v>
      </c>
      <c r="BM91" s="74">
        <v>0</v>
      </c>
      <c r="BN91" s="74">
        <v>0</v>
      </c>
      <c r="BO91" s="74">
        <v>0</v>
      </c>
      <c r="BP91" s="74">
        <v>0</v>
      </c>
      <c r="BQ91" s="74">
        <v>0</v>
      </c>
      <c r="BR91" s="74">
        <v>0</v>
      </c>
      <c r="BS91" s="74">
        <v>0</v>
      </c>
      <c r="BT91" s="74">
        <v>0</v>
      </c>
      <c r="BU91" s="74">
        <v>0</v>
      </c>
      <c r="BV91" s="74">
        <v>0</v>
      </c>
      <c r="BW91" s="74">
        <v>0</v>
      </c>
      <c r="BX91" s="74">
        <v>0</v>
      </c>
      <c r="BY91" s="74">
        <v>0</v>
      </c>
      <c r="BZ91" s="74">
        <v>0</v>
      </c>
      <c r="CA91" s="74">
        <v>0</v>
      </c>
      <c r="CB91" s="74">
        <v>0</v>
      </c>
      <c r="CC91" s="74">
        <v>0</v>
      </c>
      <c r="CD91" s="74">
        <v>0</v>
      </c>
      <c r="CE91" s="74">
        <v>0</v>
      </c>
      <c r="CF91" s="74">
        <v>0</v>
      </c>
      <c r="CG91" s="74">
        <v>0</v>
      </c>
      <c r="CH91" s="74">
        <v>0</v>
      </c>
      <c r="CI91" s="74">
        <v>0</v>
      </c>
      <c r="CJ91" s="74">
        <v>0</v>
      </c>
      <c r="CK91" s="74">
        <v>0</v>
      </c>
      <c r="CL91" s="74">
        <v>0</v>
      </c>
      <c r="CM91" s="74">
        <v>0</v>
      </c>
      <c r="CN91" s="74">
        <v>0</v>
      </c>
      <c r="CO91" s="74">
        <v>0</v>
      </c>
      <c r="CP91" s="74">
        <v>0</v>
      </c>
      <c r="CQ91" s="74">
        <v>0</v>
      </c>
      <c r="CR91" s="74">
        <v>0</v>
      </c>
      <c r="CS91" s="74">
        <v>0</v>
      </c>
      <c r="CT91" s="74">
        <v>0</v>
      </c>
      <c r="CU91" s="74">
        <v>0</v>
      </c>
      <c r="CV91" s="74">
        <v>0</v>
      </c>
      <c r="CW91" s="74">
        <v>0</v>
      </c>
      <c r="CX91" s="74">
        <v>0</v>
      </c>
      <c r="CY91" s="74">
        <v>0</v>
      </c>
      <c r="CZ91" s="74">
        <v>0</v>
      </c>
      <c r="DA91" s="74">
        <v>0</v>
      </c>
      <c r="DB91" s="74">
        <v>0</v>
      </c>
      <c r="DC91" s="74">
        <v>0</v>
      </c>
      <c r="DD91" s="74">
        <v>0</v>
      </c>
      <c r="DE91" s="74">
        <v>0</v>
      </c>
      <c r="DF91" s="74">
        <v>0</v>
      </c>
      <c r="DG91" s="74">
        <v>0</v>
      </c>
      <c r="DH91" s="74">
        <v>0</v>
      </c>
      <c r="DI91" s="74">
        <v>0</v>
      </c>
      <c r="DJ91" s="74">
        <v>0</v>
      </c>
      <c r="DK91" s="74">
        <v>0</v>
      </c>
      <c r="DL91" s="74">
        <v>0</v>
      </c>
      <c r="DM91" s="74">
        <v>0</v>
      </c>
      <c r="DN91" s="74">
        <v>0</v>
      </c>
      <c r="DO91" s="74">
        <v>0</v>
      </c>
      <c r="DP91" s="74">
        <v>0</v>
      </c>
      <c r="DQ91" s="74">
        <v>0</v>
      </c>
      <c r="DR91" s="74">
        <v>0</v>
      </c>
      <c r="DS91" s="74">
        <v>0</v>
      </c>
      <c r="DT91" s="74">
        <v>0</v>
      </c>
      <c r="DU91" s="74">
        <v>0</v>
      </c>
      <c r="DV91" s="74">
        <v>0</v>
      </c>
      <c r="DW91" s="74">
        <v>0</v>
      </c>
      <c r="DX91" s="74">
        <v>0</v>
      </c>
      <c r="DY91" s="74">
        <v>0</v>
      </c>
      <c r="DZ91" s="74">
        <v>0</v>
      </c>
      <c r="EA91" s="74">
        <v>0</v>
      </c>
      <c r="EB91" s="74">
        <v>0</v>
      </c>
      <c r="EC91" s="74">
        <v>0</v>
      </c>
      <c r="ED91" s="74"/>
      <c r="EE91" s="80">
        <v>46009</v>
      </c>
      <c r="EF91" s="81">
        <v>46009.5211724537</v>
      </c>
      <c r="EG91" s="66" t="s">
        <v>69</v>
      </c>
      <c r="EH91" s="66" t="s">
        <v>209</v>
      </c>
      <c r="EI91" s="66" t="s">
        <v>6</v>
      </c>
      <c r="EJ91" s="66">
        <v>15</v>
      </c>
      <c r="EK91" s="66">
        <v>2027</v>
      </c>
      <c r="EL91" s="66" t="s">
        <v>24</v>
      </c>
      <c r="EM91" s="82">
        <v>338.17657095145614</v>
      </c>
      <c r="EN91" s="82">
        <v>337.5739809825738</v>
      </c>
      <c r="EO91" s="77">
        <v>227.1146</v>
      </c>
      <c r="EP91" s="84">
        <v>0.13999758052366426</v>
      </c>
      <c r="EQ91" s="84">
        <v>0.14268534690246426</v>
      </c>
      <c r="ER91" s="84">
        <v>4.8599999999999997E-2</v>
      </c>
      <c r="ES91" s="85">
        <v>0.97143267823005075</v>
      </c>
      <c r="ET91" s="86">
        <v>1.3804000000000001</v>
      </c>
      <c r="EU91" s="85">
        <v>0.11535261294006394</v>
      </c>
      <c r="EV91" s="85">
        <v>4.3499999999999997E-2</v>
      </c>
      <c r="EW91" s="76">
        <v>1</v>
      </c>
      <c r="EX91" s="76" t="s">
        <v>32</v>
      </c>
      <c r="EY91" s="74" t="s">
        <v>243</v>
      </c>
      <c r="EZ91" s="74"/>
      <c r="FA91" s="74"/>
      <c r="FB91" s="74"/>
      <c r="FC91" s="74"/>
      <c r="FD91" s="68"/>
      <c r="FH91" s="73"/>
      <c r="FI91" s="74"/>
      <c r="FJ91" s="74"/>
      <c r="FK91" s="74"/>
      <c r="FL91" s="74"/>
      <c r="FM91" s="74"/>
      <c r="FN91" s="74"/>
      <c r="FO91" s="74"/>
      <c r="FP91" s="74"/>
      <c r="FQ91" s="74"/>
      <c r="FR91" s="74"/>
      <c r="FS91" s="74"/>
      <c r="FT91" s="74"/>
      <c r="FU91" s="74"/>
      <c r="FV91" s="74"/>
      <c r="FW91" s="74"/>
      <c r="FX91" s="74"/>
      <c r="FY91" s="74"/>
      <c r="FZ91" s="74"/>
      <c r="GA91" s="68"/>
    </row>
    <row r="92" spans="1:183" s="2" customFormat="1" ht="15" x14ac:dyDescent="0.3">
      <c r="A92" s="73" t="s">
        <v>15</v>
      </c>
      <c r="B92" s="73" t="s">
        <v>233</v>
      </c>
      <c r="C92" s="73" t="s">
        <v>36</v>
      </c>
      <c r="D92" s="73" t="s">
        <v>48</v>
      </c>
      <c r="E92" s="73" t="s">
        <v>178</v>
      </c>
      <c r="F92" s="73" t="s">
        <v>210</v>
      </c>
      <c r="G92" s="73" t="s">
        <v>216</v>
      </c>
      <c r="H92" s="73"/>
      <c r="I92" s="74">
        <v>0</v>
      </c>
      <c r="J92" s="74">
        <v>0</v>
      </c>
      <c r="K92" s="74">
        <v>0</v>
      </c>
      <c r="L92" s="74">
        <v>0</v>
      </c>
      <c r="M92" s="74">
        <v>3019.7905412527007</v>
      </c>
      <c r="N92" s="74">
        <v>2100.7799999999997</v>
      </c>
      <c r="O92" s="74">
        <v>2603.4</v>
      </c>
      <c r="P92" s="74">
        <v>3542.07</v>
      </c>
      <c r="Q92" s="74">
        <v>3816.0435819039362</v>
      </c>
      <c r="R92" s="74">
        <v>4580.044581340936</v>
      </c>
      <c r="S92" s="74">
        <v>7195.9948107203654</v>
      </c>
      <c r="T92" s="74">
        <v>10702.948557345226</v>
      </c>
      <c r="U92" s="74">
        <v>0</v>
      </c>
      <c r="V92" s="74">
        <v>0</v>
      </c>
      <c r="W92" s="74">
        <v>0</v>
      </c>
      <c r="X92" s="74">
        <v>0</v>
      </c>
      <c r="Y92" s="74">
        <v>0</v>
      </c>
      <c r="Z92" s="74">
        <v>0</v>
      </c>
      <c r="AA92" s="74">
        <v>0</v>
      </c>
      <c r="AB92" s="74">
        <v>0</v>
      </c>
      <c r="AC92" s="74">
        <v>0</v>
      </c>
      <c r="AD92" s="74">
        <v>0</v>
      </c>
      <c r="AE92" s="74">
        <v>0</v>
      </c>
      <c r="AF92" s="74">
        <v>0</v>
      </c>
      <c r="AG92" s="74">
        <v>0</v>
      </c>
      <c r="AH92" s="74">
        <v>0</v>
      </c>
      <c r="AI92" s="74">
        <v>0</v>
      </c>
      <c r="AJ92" s="74">
        <v>0</v>
      </c>
      <c r="AK92" s="74"/>
      <c r="AL92" s="74">
        <v>0</v>
      </c>
      <c r="AM92" s="74">
        <v>0</v>
      </c>
      <c r="AN92" s="74">
        <v>0</v>
      </c>
      <c r="AO92" s="74">
        <v>0</v>
      </c>
      <c r="AP92" s="74">
        <v>0</v>
      </c>
      <c r="AQ92" s="74">
        <v>0</v>
      </c>
      <c r="AR92" s="74">
        <v>0</v>
      </c>
      <c r="AS92" s="74">
        <v>0</v>
      </c>
      <c r="AT92" s="74">
        <v>0</v>
      </c>
      <c r="AU92" s="74">
        <v>0</v>
      </c>
      <c r="AV92" s="74">
        <v>0</v>
      </c>
      <c r="AW92" s="74">
        <v>0</v>
      </c>
      <c r="AX92" s="74">
        <v>0</v>
      </c>
      <c r="AY92" s="74">
        <v>0</v>
      </c>
      <c r="AZ92" s="74">
        <v>0</v>
      </c>
      <c r="BA92" s="74">
        <v>0</v>
      </c>
      <c r="BB92" s="74">
        <v>0</v>
      </c>
      <c r="BC92" s="74">
        <v>0</v>
      </c>
      <c r="BD92" s="74">
        <v>0</v>
      </c>
      <c r="BE92" s="74">
        <v>0</v>
      </c>
      <c r="BF92" s="74">
        <v>0</v>
      </c>
      <c r="BG92" s="74">
        <v>0</v>
      </c>
      <c r="BH92" s="74">
        <v>0</v>
      </c>
      <c r="BI92" s="74">
        <v>0</v>
      </c>
      <c r="BJ92" s="74">
        <v>0</v>
      </c>
      <c r="BK92" s="74">
        <v>0</v>
      </c>
      <c r="BL92" s="74">
        <v>0</v>
      </c>
      <c r="BM92" s="74">
        <v>0</v>
      </c>
      <c r="BN92" s="74">
        <v>0</v>
      </c>
      <c r="BO92" s="74">
        <v>0</v>
      </c>
      <c r="BP92" s="74">
        <v>0</v>
      </c>
      <c r="BQ92" s="74">
        <v>0</v>
      </c>
      <c r="BR92" s="74">
        <v>0</v>
      </c>
      <c r="BS92" s="74">
        <v>0</v>
      </c>
      <c r="BT92" s="74">
        <v>0</v>
      </c>
      <c r="BU92" s="74">
        <v>0</v>
      </c>
      <c r="BV92" s="74">
        <v>0</v>
      </c>
      <c r="BW92" s="74">
        <v>0</v>
      </c>
      <c r="BX92" s="74">
        <v>0</v>
      </c>
      <c r="BY92" s="74">
        <v>0</v>
      </c>
      <c r="BZ92" s="74">
        <v>0</v>
      </c>
      <c r="CA92" s="74">
        <v>0</v>
      </c>
      <c r="CB92" s="74">
        <v>0</v>
      </c>
      <c r="CC92" s="74">
        <v>0</v>
      </c>
      <c r="CD92" s="74">
        <v>0</v>
      </c>
      <c r="CE92" s="74">
        <v>0</v>
      </c>
      <c r="CF92" s="74">
        <v>0</v>
      </c>
      <c r="CG92" s="74">
        <v>0</v>
      </c>
      <c r="CH92" s="74">
        <v>0</v>
      </c>
      <c r="CI92" s="74">
        <v>0</v>
      </c>
      <c r="CJ92" s="74">
        <v>0</v>
      </c>
      <c r="CK92" s="74">
        <v>0</v>
      </c>
      <c r="CL92" s="74">
        <v>0</v>
      </c>
      <c r="CM92" s="74">
        <v>0</v>
      </c>
      <c r="CN92" s="74">
        <v>0</v>
      </c>
      <c r="CO92" s="74">
        <v>0</v>
      </c>
      <c r="CP92" s="74">
        <v>0</v>
      </c>
      <c r="CQ92" s="74">
        <v>0</v>
      </c>
      <c r="CR92" s="74">
        <v>0</v>
      </c>
      <c r="CS92" s="74">
        <v>0</v>
      </c>
      <c r="CT92" s="74">
        <v>0</v>
      </c>
      <c r="CU92" s="74">
        <v>0</v>
      </c>
      <c r="CV92" s="74">
        <v>0</v>
      </c>
      <c r="CW92" s="74">
        <v>0</v>
      </c>
      <c r="CX92" s="74">
        <v>0</v>
      </c>
      <c r="CY92" s="74">
        <v>0</v>
      </c>
      <c r="CZ92" s="74">
        <v>0</v>
      </c>
      <c r="DA92" s="74">
        <v>0</v>
      </c>
      <c r="DB92" s="74">
        <v>0</v>
      </c>
      <c r="DC92" s="74">
        <v>0</v>
      </c>
      <c r="DD92" s="74">
        <v>0</v>
      </c>
      <c r="DE92" s="74">
        <v>0</v>
      </c>
      <c r="DF92" s="74">
        <v>0</v>
      </c>
      <c r="DG92" s="74">
        <v>0</v>
      </c>
      <c r="DH92" s="74">
        <v>0</v>
      </c>
      <c r="DI92" s="74">
        <v>0</v>
      </c>
      <c r="DJ92" s="74">
        <v>0</v>
      </c>
      <c r="DK92" s="74">
        <v>0</v>
      </c>
      <c r="DL92" s="74">
        <v>0</v>
      </c>
      <c r="DM92" s="74">
        <v>0</v>
      </c>
      <c r="DN92" s="74">
        <v>0</v>
      </c>
      <c r="DO92" s="74">
        <v>0</v>
      </c>
      <c r="DP92" s="74">
        <v>0</v>
      </c>
      <c r="DQ92" s="74">
        <v>0</v>
      </c>
      <c r="DR92" s="74">
        <v>0</v>
      </c>
      <c r="DS92" s="74">
        <v>0</v>
      </c>
      <c r="DT92" s="74">
        <v>0</v>
      </c>
      <c r="DU92" s="74">
        <v>0</v>
      </c>
      <c r="DV92" s="74">
        <v>0</v>
      </c>
      <c r="DW92" s="74">
        <v>0</v>
      </c>
      <c r="DX92" s="74">
        <v>0</v>
      </c>
      <c r="DY92" s="74">
        <v>0</v>
      </c>
      <c r="DZ92" s="74">
        <v>0</v>
      </c>
      <c r="EA92" s="74">
        <v>0</v>
      </c>
      <c r="EB92" s="74">
        <v>0</v>
      </c>
      <c r="EC92" s="74">
        <v>0</v>
      </c>
      <c r="ED92" s="74"/>
      <c r="EE92" s="80">
        <v>46009</v>
      </c>
      <c r="EF92" s="81">
        <v>46009.5211724537</v>
      </c>
      <c r="EG92" s="66" t="s">
        <v>69</v>
      </c>
      <c r="EH92" s="66" t="s">
        <v>209</v>
      </c>
      <c r="EI92" s="66" t="s">
        <v>2</v>
      </c>
      <c r="EJ92" s="66">
        <v>25</v>
      </c>
      <c r="EK92" s="66">
        <v>2027</v>
      </c>
      <c r="EL92" s="66" t="s">
        <v>17</v>
      </c>
      <c r="EM92" s="82">
        <v>240.4183253682296</v>
      </c>
      <c r="EN92" s="82">
        <v>212.45093904866016</v>
      </c>
      <c r="EO92" s="77">
        <v>227.1146</v>
      </c>
      <c r="EP92" s="84">
        <v>0.13999758052366426</v>
      </c>
      <c r="EQ92" s="84">
        <v>0.14268534690246426</v>
      </c>
      <c r="ER92" s="84">
        <v>4.8599999999999997E-2</v>
      </c>
      <c r="ES92" s="85">
        <v>0.97143267823005075</v>
      </c>
      <c r="ET92" s="86">
        <v>1.3804000000000001</v>
      </c>
      <c r="EU92" s="85">
        <v>0.11535261294006394</v>
      </c>
      <c r="EV92" s="85">
        <v>4.3499999999999997E-2</v>
      </c>
      <c r="EW92" s="76">
        <v>1</v>
      </c>
      <c r="EX92" s="76" t="s">
        <v>32</v>
      </c>
      <c r="EY92" s="74" t="s">
        <v>243</v>
      </c>
      <c r="EZ92" s="74"/>
      <c r="FA92" s="74"/>
      <c r="FB92" s="74"/>
      <c r="FC92" s="74"/>
      <c r="FD92" s="68"/>
      <c r="FH92" s="73"/>
      <c r="FI92" s="74"/>
      <c r="FJ92" s="74"/>
      <c r="FK92" s="74"/>
      <c r="FL92" s="74"/>
      <c r="FM92" s="74"/>
      <c r="FN92" s="74"/>
      <c r="FO92" s="74"/>
      <c r="FP92" s="74"/>
      <c r="FQ92" s="74"/>
      <c r="FR92" s="74"/>
      <c r="FS92" s="74"/>
      <c r="FT92" s="74"/>
      <c r="FU92" s="74"/>
      <c r="FV92" s="74"/>
      <c r="FW92" s="74"/>
      <c r="FX92" s="74"/>
      <c r="FY92" s="74"/>
      <c r="FZ92" s="74"/>
      <c r="GA92" s="68"/>
    </row>
    <row r="93" spans="1:183" s="2" customFormat="1" ht="15" x14ac:dyDescent="0.3">
      <c r="A93" s="73" t="s">
        <v>9</v>
      </c>
      <c r="B93" s="73" t="s">
        <v>234</v>
      </c>
      <c r="C93" s="73" t="s">
        <v>37</v>
      </c>
      <c r="D93" s="73" t="s">
        <v>48</v>
      </c>
      <c r="E93" s="73" t="s">
        <v>178</v>
      </c>
      <c r="F93" s="73" t="s">
        <v>210</v>
      </c>
      <c r="G93" s="73" t="s">
        <v>216</v>
      </c>
      <c r="H93" s="73"/>
      <c r="I93" s="74">
        <v>0</v>
      </c>
      <c r="J93" s="74">
        <v>0</v>
      </c>
      <c r="K93" s="74">
        <v>0</v>
      </c>
      <c r="L93" s="74">
        <v>0</v>
      </c>
      <c r="M93" s="74">
        <v>2061.5327925145671</v>
      </c>
      <c r="N93" s="74">
        <v>2878.7591094277768</v>
      </c>
      <c r="O93" s="74">
        <v>2741.6518921531442</v>
      </c>
      <c r="P93" s="74">
        <v>2672.32</v>
      </c>
      <c r="Q93" s="74">
        <v>2338.2800000000002</v>
      </c>
      <c r="R93" s="74">
        <v>2741.6518921531442</v>
      </c>
      <c r="S93" s="74">
        <v>2741.6518921531442</v>
      </c>
      <c r="T93" s="74">
        <v>2741.6518921531442</v>
      </c>
      <c r="U93" s="74">
        <v>0</v>
      </c>
      <c r="V93" s="74">
        <v>0</v>
      </c>
      <c r="W93" s="74">
        <v>0</v>
      </c>
      <c r="X93" s="74">
        <v>0</v>
      </c>
      <c r="Y93" s="74">
        <v>0</v>
      </c>
      <c r="Z93" s="74">
        <v>0</v>
      </c>
      <c r="AA93" s="74">
        <v>0</v>
      </c>
      <c r="AB93" s="74">
        <v>0</v>
      </c>
      <c r="AC93" s="74">
        <v>0</v>
      </c>
      <c r="AD93" s="74">
        <v>0</v>
      </c>
      <c r="AE93" s="74">
        <v>0</v>
      </c>
      <c r="AF93" s="74">
        <v>0</v>
      </c>
      <c r="AG93" s="74">
        <v>0</v>
      </c>
      <c r="AH93" s="74">
        <v>0</v>
      </c>
      <c r="AI93" s="74">
        <v>0</v>
      </c>
      <c r="AJ93" s="74">
        <v>0</v>
      </c>
      <c r="AK93" s="74"/>
      <c r="AL93" s="74">
        <v>0</v>
      </c>
      <c r="AM93" s="74">
        <v>0</v>
      </c>
      <c r="AN93" s="74">
        <v>0</v>
      </c>
      <c r="AO93" s="74">
        <v>0</v>
      </c>
      <c r="AP93" s="74">
        <v>0</v>
      </c>
      <c r="AQ93" s="74">
        <v>0</v>
      </c>
      <c r="AR93" s="74">
        <v>0</v>
      </c>
      <c r="AS93" s="74">
        <v>0</v>
      </c>
      <c r="AT93" s="74">
        <v>0</v>
      </c>
      <c r="AU93" s="74">
        <v>0</v>
      </c>
      <c r="AV93" s="74">
        <v>0</v>
      </c>
      <c r="AW93" s="74">
        <v>0</v>
      </c>
      <c r="AX93" s="74">
        <v>0</v>
      </c>
      <c r="AY93" s="74">
        <v>0</v>
      </c>
      <c r="AZ93" s="74">
        <v>0</v>
      </c>
      <c r="BA93" s="74">
        <v>0</v>
      </c>
      <c r="BB93" s="74">
        <v>0</v>
      </c>
      <c r="BC93" s="74">
        <v>0</v>
      </c>
      <c r="BD93" s="74">
        <v>0</v>
      </c>
      <c r="BE93" s="74">
        <v>0</v>
      </c>
      <c r="BF93" s="74">
        <v>0</v>
      </c>
      <c r="BG93" s="74">
        <v>0</v>
      </c>
      <c r="BH93" s="74">
        <v>0</v>
      </c>
      <c r="BI93" s="74">
        <v>0</v>
      </c>
      <c r="BJ93" s="74">
        <v>0</v>
      </c>
      <c r="BK93" s="74">
        <v>0</v>
      </c>
      <c r="BL93" s="74">
        <v>0</v>
      </c>
      <c r="BM93" s="74">
        <v>0</v>
      </c>
      <c r="BN93" s="74">
        <v>0</v>
      </c>
      <c r="BO93" s="74">
        <v>0</v>
      </c>
      <c r="BP93" s="74">
        <v>0</v>
      </c>
      <c r="BQ93" s="74">
        <v>0</v>
      </c>
      <c r="BR93" s="74">
        <v>0</v>
      </c>
      <c r="BS93" s="74">
        <v>0</v>
      </c>
      <c r="BT93" s="74">
        <v>0</v>
      </c>
      <c r="BU93" s="74">
        <v>0</v>
      </c>
      <c r="BV93" s="74">
        <v>0</v>
      </c>
      <c r="BW93" s="74">
        <v>0</v>
      </c>
      <c r="BX93" s="74">
        <v>0</v>
      </c>
      <c r="BY93" s="74">
        <v>0</v>
      </c>
      <c r="BZ93" s="74">
        <v>0</v>
      </c>
      <c r="CA93" s="74">
        <v>0</v>
      </c>
      <c r="CB93" s="74">
        <v>0</v>
      </c>
      <c r="CC93" s="74">
        <v>0</v>
      </c>
      <c r="CD93" s="74">
        <v>0</v>
      </c>
      <c r="CE93" s="74">
        <v>0</v>
      </c>
      <c r="CF93" s="74">
        <v>0</v>
      </c>
      <c r="CG93" s="74">
        <v>0</v>
      </c>
      <c r="CH93" s="74">
        <v>0</v>
      </c>
      <c r="CI93" s="74">
        <v>0</v>
      </c>
      <c r="CJ93" s="74">
        <v>0</v>
      </c>
      <c r="CK93" s="74">
        <v>0</v>
      </c>
      <c r="CL93" s="74">
        <v>0</v>
      </c>
      <c r="CM93" s="74">
        <v>0</v>
      </c>
      <c r="CN93" s="74">
        <v>0</v>
      </c>
      <c r="CO93" s="74">
        <v>0</v>
      </c>
      <c r="CP93" s="74">
        <v>0</v>
      </c>
      <c r="CQ93" s="74">
        <v>0</v>
      </c>
      <c r="CR93" s="74">
        <v>0</v>
      </c>
      <c r="CS93" s="74">
        <v>0</v>
      </c>
      <c r="CT93" s="74">
        <v>0</v>
      </c>
      <c r="CU93" s="74">
        <v>0</v>
      </c>
      <c r="CV93" s="74">
        <v>0</v>
      </c>
      <c r="CW93" s="74">
        <v>0</v>
      </c>
      <c r="CX93" s="74">
        <v>0</v>
      </c>
      <c r="CY93" s="74">
        <v>0</v>
      </c>
      <c r="CZ93" s="74">
        <v>0</v>
      </c>
      <c r="DA93" s="74">
        <v>0</v>
      </c>
      <c r="DB93" s="74">
        <v>0</v>
      </c>
      <c r="DC93" s="74">
        <v>0</v>
      </c>
      <c r="DD93" s="74">
        <v>0</v>
      </c>
      <c r="DE93" s="74">
        <v>0</v>
      </c>
      <c r="DF93" s="74">
        <v>0</v>
      </c>
      <c r="DG93" s="74">
        <v>0</v>
      </c>
      <c r="DH93" s="74">
        <v>0</v>
      </c>
      <c r="DI93" s="74">
        <v>0</v>
      </c>
      <c r="DJ93" s="74">
        <v>0</v>
      </c>
      <c r="DK93" s="74">
        <v>0</v>
      </c>
      <c r="DL93" s="74">
        <v>0</v>
      </c>
      <c r="DM93" s="74">
        <v>0</v>
      </c>
      <c r="DN93" s="74">
        <v>0</v>
      </c>
      <c r="DO93" s="74">
        <v>0</v>
      </c>
      <c r="DP93" s="74">
        <v>0</v>
      </c>
      <c r="DQ93" s="74">
        <v>0</v>
      </c>
      <c r="DR93" s="74">
        <v>0</v>
      </c>
      <c r="DS93" s="74">
        <v>0</v>
      </c>
      <c r="DT93" s="74">
        <v>0</v>
      </c>
      <c r="DU93" s="74">
        <v>0</v>
      </c>
      <c r="DV93" s="74">
        <v>0</v>
      </c>
      <c r="DW93" s="74">
        <v>0</v>
      </c>
      <c r="DX93" s="74">
        <v>0</v>
      </c>
      <c r="DY93" s="74">
        <v>0</v>
      </c>
      <c r="DZ93" s="74">
        <v>0</v>
      </c>
      <c r="EA93" s="74">
        <v>0</v>
      </c>
      <c r="EB93" s="74">
        <v>0</v>
      </c>
      <c r="EC93" s="74">
        <v>0</v>
      </c>
      <c r="ED93" s="74"/>
      <c r="EE93" s="80">
        <v>46009</v>
      </c>
      <c r="EF93" s="81">
        <v>46009.5211724537</v>
      </c>
      <c r="EG93" s="66" t="s">
        <v>69</v>
      </c>
      <c r="EH93" s="66" t="s">
        <v>209</v>
      </c>
      <c r="EI93" s="66" t="s">
        <v>2</v>
      </c>
      <c r="EJ93" s="66">
        <v>25</v>
      </c>
      <c r="EK93" s="66">
        <v>2027</v>
      </c>
      <c r="EL93" s="66" t="s">
        <v>17</v>
      </c>
      <c r="EM93" s="82">
        <v>240.4183253682296</v>
      </c>
      <c r="EN93" s="82">
        <v>212.45093904866016</v>
      </c>
      <c r="EO93" s="77">
        <v>227.1146</v>
      </c>
      <c r="EP93" s="84">
        <v>0.13999758052366426</v>
      </c>
      <c r="EQ93" s="84">
        <v>0.14268534690246426</v>
      </c>
      <c r="ER93" s="84">
        <v>4.8599999999999997E-2</v>
      </c>
      <c r="ES93" s="85">
        <v>0.97143267823005075</v>
      </c>
      <c r="ET93" s="86">
        <v>1.3804000000000001</v>
      </c>
      <c r="EU93" s="85">
        <v>0.11535261294006394</v>
      </c>
      <c r="EV93" s="85">
        <v>4.3499999999999997E-2</v>
      </c>
      <c r="EW93" s="76">
        <v>1</v>
      </c>
      <c r="EX93" s="76" t="s">
        <v>32</v>
      </c>
      <c r="EY93" s="74" t="s">
        <v>243</v>
      </c>
      <c r="EZ93" s="74"/>
      <c r="FA93" s="74"/>
      <c r="FB93" s="74"/>
      <c r="FC93" s="74"/>
      <c r="FD93" s="68"/>
      <c r="FH93" s="73"/>
      <c r="FI93" s="74"/>
      <c r="FJ93" s="74"/>
      <c r="FK93" s="74"/>
      <c r="FL93" s="74"/>
      <c r="FM93" s="74"/>
      <c r="FN93" s="74"/>
      <c r="FO93" s="74"/>
      <c r="FP93" s="74"/>
      <c r="FQ93" s="74"/>
      <c r="FR93" s="74"/>
      <c r="FS93" s="74"/>
      <c r="FT93" s="74"/>
      <c r="FU93" s="74"/>
      <c r="FV93" s="74"/>
      <c r="FW93" s="74"/>
      <c r="FX93" s="74"/>
      <c r="FY93" s="74"/>
      <c r="FZ93" s="74"/>
      <c r="GA93" s="68"/>
    </row>
    <row r="94" spans="1:183" s="2" customFormat="1" ht="15" x14ac:dyDescent="0.3">
      <c r="A94" s="73" t="s">
        <v>21</v>
      </c>
      <c r="B94" s="73" t="s">
        <v>235</v>
      </c>
      <c r="C94" s="73" t="s">
        <v>219</v>
      </c>
      <c r="D94" s="73" t="s">
        <v>48</v>
      </c>
      <c r="E94" s="73" t="s">
        <v>220</v>
      </c>
      <c r="F94" s="73" t="s">
        <v>218</v>
      </c>
      <c r="G94" s="73" t="s">
        <v>216</v>
      </c>
      <c r="H94" s="73"/>
      <c r="I94" s="75">
        <v>0</v>
      </c>
      <c r="J94" s="75">
        <v>0</v>
      </c>
      <c r="K94" s="75">
        <v>0</v>
      </c>
      <c r="L94" s="75">
        <v>0</v>
      </c>
      <c r="M94" s="75">
        <v>0.28885223281008116</v>
      </c>
      <c r="N94" s="75">
        <v>0.28885223281008116</v>
      </c>
      <c r="O94" s="75">
        <v>0.2</v>
      </c>
      <c r="P94" s="75">
        <v>0.2</v>
      </c>
      <c r="Q94" s="75">
        <v>0.19999999999999998</v>
      </c>
      <c r="R94" s="75">
        <v>0.2</v>
      </c>
      <c r="S94" s="75">
        <v>0.2</v>
      </c>
      <c r="T94" s="75">
        <v>0.20000000000000004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75">
        <v>0</v>
      </c>
      <c r="AH94" s="75">
        <v>0</v>
      </c>
      <c r="AI94" s="75">
        <v>0</v>
      </c>
      <c r="AJ94" s="75">
        <v>0</v>
      </c>
      <c r="AK94" s="75"/>
      <c r="AL94" s="74">
        <v>0</v>
      </c>
      <c r="AM94" s="74">
        <v>0</v>
      </c>
      <c r="AN94" s="74">
        <v>0</v>
      </c>
      <c r="AO94" s="74">
        <v>0</v>
      </c>
      <c r="AP94" s="74">
        <v>0</v>
      </c>
      <c r="AQ94" s="74">
        <v>0</v>
      </c>
      <c r="AR94" s="74">
        <v>0</v>
      </c>
      <c r="AS94" s="74">
        <v>0</v>
      </c>
      <c r="AT94" s="74">
        <v>0</v>
      </c>
      <c r="AU94" s="74">
        <v>0</v>
      </c>
      <c r="AV94" s="74">
        <v>0</v>
      </c>
      <c r="AW94" s="74">
        <v>0</v>
      </c>
      <c r="AX94" s="74">
        <v>0</v>
      </c>
      <c r="AY94" s="74">
        <v>0</v>
      </c>
      <c r="AZ94" s="74">
        <v>0</v>
      </c>
      <c r="BA94" s="74">
        <v>0</v>
      </c>
      <c r="BB94" s="74">
        <v>0</v>
      </c>
      <c r="BC94" s="74">
        <v>0</v>
      </c>
      <c r="BD94" s="74">
        <v>0</v>
      </c>
      <c r="BE94" s="74">
        <v>0</v>
      </c>
      <c r="BF94" s="74">
        <v>0</v>
      </c>
      <c r="BG94" s="74">
        <v>0</v>
      </c>
      <c r="BH94" s="74">
        <v>0</v>
      </c>
      <c r="BI94" s="74">
        <v>0</v>
      </c>
      <c r="BJ94" s="74">
        <v>0</v>
      </c>
      <c r="BK94" s="74">
        <v>0</v>
      </c>
      <c r="BL94" s="74">
        <v>0</v>
      </c>
      <c r="BM94" s="74">
        <v>0</v>
      </c>
      <c r="BN94" s="74">
        <v>0</v>
      </c>
      <c r="BO94" s="74">
        <v>0</v>
      </c>
      <c r="BP94" s="74">
        <v>0</v>
      </c>
      <c r="BQ94" s="74">
        <v>0</v>
      </c>
      <c r="BR94" s="74">
        <v>0</v>
      </c>
      <c r="BS94" s="74">
        <v>0</v>
      </c>
      <c r="BT94" s="74">
        <v>0</v>
      </c>
      <c r="BU94" s="74">
        <v>0</v>
      </c>
      <c r="BV94" s="74">
        <v>0</v>
      </c>
      <c r="BW94" s="74">
        <v>0</v>
      </c>
      <c r="BX94" s="74">
        <v>0</v>
      </c>
      <c r="BY94" s="74">
        <v>0</v>
      </c>
      <c r="BZ94" s="74">
        <v>0</v>
      </c>
      <c r="CA94" s="74">
        <v>0</v>
      </c>
      <c r="CB94" s="74">
        <v>0</v>
      </c>
      <c r="CC94" s="74">
        <v>0</v>
      </c>
      <c r="CD94" s="74">
        <v>0</v>
      </c>
      <c r="CE94" s="74">
        <v>0</v>
      </c>
      <c r="CF94" s="74">
        <v>0</v>
      </c>
      <c r="CG94" s="74">
        <v>0</v>
      </c>
      <c r="CH94" s="74">
        <v>0</v>
      </c>
      <c r="CI94" s="74">
        <v>0</v>
      </c>
      <c r="CJ94" s="74">
        <v>0</v>
      </c>
      <c r="CK94" s="74">
        <v>0</v>
      </c>
      <c r="CL94" s="74">
        <v>0</v>
      </c>
      <c r="CM94" s="74">
        <v>0</v>
      </c>
      <c r="CN94" s="74">
        <v>0</v>
      </c>
      <c r="CO94" s="74">
        <v>0</v>
      </c>
      <c r="CP94" s="74">
        <v>0</v>
      </c>
      <c r="CQ94" s="74">
        <v>0</v>
      </c>
      <c r="CR94" s="74">
        <v>0</v>
      </c>
      <c r="CS94" s="74">
        <v>0</v>
      </c>
      <c r="CT94" s="74">
        <v>0</v>
      </c>
      <c r="CU94" s="74">
        <v>0</v>
      </c>
      <c r="CV94" s="74">
        <v>0</v>
      </c>
      <c r="CW94" s="74">
        <v>0</v>
      </c>
      <c r="CX94" s="74">
        <v>0</v>
      </c>
      <c r="CY94" s="74">
        <v>0</v>
      </c>
      <c r="CZ94" s="74">
        <v>0</v>
      </c>
      <c r="DA94" s="74">
        <v>0</v>
      </c>
      <c r="DB94" s="74">
        <v>0</v>
      </c>
      <c r="DC94" s="74">
        <v>0</v>
      </c>
      <c r="DD94" s="74">
        <v>0</v>
      </c>
      <c r="DE94" s="74">
        <v>0</v>
      </c>
      <c r="DF94" s="74">
        <v>0</v>
      </c>
      <c r="DG94" s="74">
        <v>0</v>
      </c>
      <c r="DH94" s="74">
        <v>0</v>
      </c>
      <c r="DI94" s="74">
        <v>0</v>
      </c>
      <c r="DJ94" s="74">
        <v>0</v>
      </c>
      <c r="DK94" s="74">
        <v>0</v>
      </c>
      <c r="DL94" s="74">
        <v>0</v>
      </c>
      <c r="DM94" s="74">
        <v>0</v>
      </c>
      <c r="DN94" s="74">
        <v>0</v>
      </c>
      <c r="DO94" s="74">
        <v>0</v>
      </c>
      <c r="DP94" s="74">
        <v>0</v>
      </c>
      <c r="DQ94" s="74">
        <v>0</v>
      </c>
      <c r="DR94" s="74">
        <v>0</v>
      </c>
      <c r="DS94" s="74">
        <v>0</v>
      </c>
      <c r="DT94" s="74">
        <v>0</v>
      </c>
      <c r="DU94" s="74">
        <v>0</v>
      </c>
      <c r="DV94" s="74">
        <v>0</v>
      </c>
      <c r="DW94" s="74">
        <v>0</v>
      </c>
      <c r="DX94" s="74">
        <v>0</v>
      </c>
      <c r="DY94" s="74">
        <v>0</v>
      </c>
      <c r="DZ94" s="74">
        <v>0</v>
      </c>
      <c r="EA94" s="74">
        <v>0</v>
      </c>
      <c r="EB94" s="74">
        <v>0</v>
      </c>
      <c r="EC94" s="74">
        <v>0</v>
      </c>
      <c r="ED94" s="74"/>
      <c r="EE94" s="80">
        <v>46009</v>
      </c>
      <c r="EF94" s="81">
        <v>46009.5211724537</v>
      </c>
      <c r="EG94" s="66" t="s">
        <v>69</v>
      </c>
      <c r="EH94" s="66" t="s">
        <v>209</v>
      </c>
      <c r="EI94" s="66" t="s">
        <v>2</v>
      </c>
      <c r="EJ94" s="66">
        <v>25</v>
      </c>
      <c r="EK94" s="66">
        <v>2027</v>
      </c>
      <c r="EL94" s="66" t="s">
        <v>17</v>
      </c>
      <c r="EM94" s="82">
        <v>240.4183253682296</v>
      </c>
      <c r="EN94" s="82">
        <v>212.45093904866016</v>
      </c>
      <c r="EO94" s="77">
        <v>227.1146</v>
      </c>
      <c r="EP94" s="84">
        <v>0.13999758052366426</v>
      </c>
      <c r="EQ94" s="84">
        <v>0.14268534690246426</v>
      </c>
      <c r="ER94" s="84">
        <v>4.8599999999999997E-2</v>
      </c>
      <c r="ES94" s="85">
        <v>0.97143267823005075</v>
      </c>
      <c r="ET94" s="86">
        <v>1.3804000000000001</v>
      </c>
      <c r="EU94" s="85">
        <v>0.11535261294006394</v>
      </c>
      <c r="EV94" s="85">
        <v>4.3499999999999997E-2</v>
      </c>
      <c r="EW94" s="76">
        <v>1</v>
      </c>
      <c r="EX94" s="76" t="s">
        <v>32</v>
      </c>
      <c r="EY94" s="74" t="s">
        <v>243</v>
      </c>
      <c r="EZ94" s="74"/>
      <c r="FA94" s="74"/>
      <c r="FB94" s="74"/>
      <c r="FC94" s="74"/>
      <c r="FD94" s="68"/>
      <c r="FH94" s="73"/>
      <c r="FI94" s="74"/>
      <c r="FJ94" s="74"/>
      <c r="FK94" s="74"/>
      <c r="FL94" s="74"/>
      <c r="FM94" s="74"/>
      <c r="FN94" s="74"/>
      <c r="FO94" s="74"/>
      <c r="FP94" s="74"/>
      <c r="FQ94" s="74"/>
      <c r="FR94" s="74"/>
      <c r="FS94" s="74"/>
      <c r="FT94" s="74"/>
      <c r="FU94" s="74"/>
      <c r="FV94" s="74"/>
      <c r="FW94" s="74"/>
      <c r="FX94" s="74"/>
      <c r="FY94" s="74"/>
      <c r="FZ94" s="74"/>
      <c r="GA94" s="68"/>
    </row>
    <row r="95" spans="1:183" s="2" customFormat="1" ht="15" x14ac:dyDescent="0.3">
      <c r="A95" s="73" t="s">
        <v>22</v>
      </c>
      <c r="B95" s="73" t="s">
        <v>22</v>
      </c>
      <c r="C95" s="73" t="s">
        <v>42</v>
      </c>
      <c r="D95" s="73" t="s">
        <v>48</v>
      </c>
      <c r="E95" s="73" t="s">
        <v>178</v>
      </c>
      <c r="F95" s="73" t="s">
        <v>210</v>
      </c>
      <c r="G95" s="73" t="s">
        <v>216</v>
      </c>
      <c r="H95" s="73"/>
      <c r="I95" s="74">
        <v>0</v>
      </c>
      <c r="J95" s="74">
        <v>0</v>
      </c>
      <c r="K95" s="74">
        <v>0</v>
      </c>
      <c r="L95" s="74">
        <v>0</v>
      </c>
      <c r="M95" s="74">
        <v>64003.065821009244</v>
      </c>
      <c r="N95" s="74">
        <v>96471.724858084141</v>
      </c>
      <c r="O95" s="74">
        <v>124434.08848396518</v>
      </c>
      <c r="P95" s="74">
        <v>154127.58923013121</v>
      </c>
      <c r="Q95" s="74">
        <v>178467.35215143333</v>
      </c>
      <c r="R95" s="74">
        <v>253704.50435586748</v>
      </c>
      <c r="S95" s="74">
        <v>243518.20698872409</v>
      </c>
      <c r="T95" s="74">
        <v>291437.96012043679</v>
      </c>
      <c r="U95" s="74">
        <v>0</v>
      </c>
      <c r="V95" s="74">
        <v>0</v>
      </c>
      <c r="W95" s="74">
        <v>0</v>
      </c>
      <c r="X95" s="74">
        <v>0</v>
      </c>
      <c r="Y95" s="74">
        <v>0</v>
      </c>
      <c r="Z95" s="74">
        <v>0</v>
      </c>
      <c r="AA95" s="74">
        <v>0</v>
      </c>
      <c r="AB95" s="74">
        <v>0</v>
      </c>
      <c r="AC95" s="74">
        <v>0</v>
      </c>
      <c r="AD95" s="74">
        <v>0</v>
      </c>
      <c r="AE95" s="74">
        <v>0</v>
      </c>
      <c r="AF95" s="74">
        <v>0</v>
      </c>
      <c r="AG95" s="74">
        <v>0</v>
      </c>
      <c r="AH95" s="74">
        <v>0</v>
      </c>
      <c r="AI95" s="74">
        <v>0</v>
      </c>
      <c r="AJ95" s="74">
        <v>0</v>
      </c>
      <c r="AK95" s="74"/>
      <c r="AL95" s="74">
        <v>0</v>
      </c>
      <c r="AM95" s="74">
        <v>0</v>
      </c>
      <c r="AN95" s="74">
        <v>0</v>
      </c>
      <c r="AO95" s="74">
        <v>0</v>
      </c>
      <c r="AP95" s="74">
        <v>0</v>
      </c>
      <c r="AQ95" s="74">
        <v>0</v>
      </c>
      <c r="AR95" s="74">
        <v>0</v>
      </c>
      <c r="AS95" s="74">
        <v>0</v>
      </c>
      <c r="AT95" s="74">
        <v>0</v>
      </c>
      <c r="AU95" s="74">
        <v>0</v>
      </c>
      <c r="AV95" s="74">
        <v>0</v>
      </c>
      <c r="AW95" s="74">
        <v>0</v>
      </c>
      <c r="AX95" s="74">
        <v>0</v>
      </c>
      <c r="AY95" s="74">
        <v>0</v>
      </c>
      <c r="AZ95" s="74">
        <v>0</v>
      </c>
      <c r="BA95" s="74">
        <v>0</v>
      </c>
      <c r="BB95" s="74">
        <v>0</v>
      </c>
      <c r="BC95" s="74">
        <v>0</v>
      </c>
      <c r="BD95" s="74">
        <v>0</v>
      </c>
      <c r="BE95" s="74">
        <v>0</v>
      </c>
      <c r="BF95" s="74">
        <v>0</v>
      </c>
      <c r="BG95" s="74">
        <v>0</v>
      </c>
      <c r="BH95" s="74">
        <v>0</v>
      </c>
      <c r="BI95" s="74">
        <v>0</v>
      </c>
      <c r="BJ95" s="74">
        <v>0</v>
      </c>
      <c r="BK95" s="74">
        <v>0</v>
      </c>
      <c r="BL95" s="74">
        <v>0</v>
      </c>
      <c r="BM95" s="74">
        <v>0</v>
      </c>
      <c r="BN95" s="74">
        <v>0</v>
      </c>
      <c r="BO95" s="74">
        <v>0</v>
      </c>
      <c r="BP95" s="74">
        <v>0</v>
      </c>
      <c r="BQ95" s="74">
        <v>0</v>
      </c>
      <c r="BR95" s="74">
        <v>0</v>
      </c>
      <c r="BS95" s="74">
        <v>0</v>
      </c>
      <c r="BT95" s="74">
        <v>0</v>
      </c>
      <c r="BU95" s="74">
        <v>0</v>
      </c>
      <c r="BV95" s="74">
        <v>0</v>
      </c>
      <c r="BW95" s="74">
        <v>0</v>
      </c>
      <c r="BX95" s="74">
        <v>0</v>
      </c>
      <c r="BY95" s="74">
        <v>0</v>
      </c>
      <c r="BZ95" s="74">
        <v>0</v>
      </c>
      <c r="CA95" s="74">
        <v>0</v>
      </c>
      <c r="CB95" s="74">
        <v>0</v>
      </c>
      <c r="CC95" s="74">
        <v>0</v>
      </c>
      <c r="CD95" s="74">
        <v>0</v>
      </c>
      <c r="CE95" s="74">
        <v>0</v>
      </c>
      <c r="CF95" s="74">
        <v>0</v>
      </c>
      <c r="CG95" s="74">
        <v>0</v>
      </c>
      <c r="CH95" s="74">
        <v>0</v>
      </c>
      <c r="CI95" s="74">
        <v>0</v>
      </c>
      <c r="CJ95" s="74">
        <v>0</v>
      </c>
      <c r="CK95" s="74">
        <v>0</v>
      </c>
      <c r="CL95" s="74">
        <v>0</v>
      </c>
      <c r="CM95" s="74">
        <v>0</v>
      </c>
      <c r="CN95" s="74">
        <v>0</v>
      </c>
      <c r="CO95" s="74">
        <v>0</v>
      </c>
      <c r="CP95" s="74">
        <v>0</v>
      </c>
      <c r="CQ95" s="74">
        <v>0</v>
      </c>
      <c r="CR95" s="74">
        <v>0</v>
      </c>
      <c r="CS95" s="74">
        <v>0</v>
      </c>
      <c r="CT95" s="74">
        <v>0</v>
      </c>
      <c r="CU95" s="74">
        <v>0</v>
      </c>
      <c r="CV95" s="74">
        <v>0</v>
      </c>
      <c r="CW95" s="74">
        <v>0</v>
      </c>
      <c r="CX95" s="74">
        <v>0</v>
      </c>
      <c r="CY95" s="74">
        <v>0</v>
      </c>
      <c r="CZ95" s="74">
        <v>0</v>
      </c>
      <c r="DA95" s="74">
        <v>0</v>
      </c>
      <c r="DB95" s="74">
        <v>0</v>
      </c>
      <c r="DC95" s="74">
        <v>0</v>
      </c>
      <c r="DD95" s="74">
        <v>0</v>
      </c>
      <c r="DE95" s="74">
        <v>0</v>
      </c>
      <c r="DF95" s="74">
        <v>0</v>
      </c>
      <c r="DG95" s="74">
        <v>0</v>
      </c>
      <c r="DH95" s="74">
        <v>0</v>
      </c>
      <c r="DI95" s="74">
        <v>0</v>
      </c>
      <c r="DJ95" s="74">
        <v>0</v>
      </c>
      <c r="DK95" s="74">
        <v>0</v>
      </c>
      <c r="DL95" s="74">
        <v>0</v>
      </c>
      <c r="DM95" s="74">
        <v>0</v>
      </c>
      <c r="DN95" s="74">
        <v>0</v>
      </c>
      <c r="DO95" s="74">
        <v>0</v>
      </c>
      <c r="DP95" s="74">
        <v>0</v>
      </c>
      <c r="DQ95" s="74">
        <v>0</v>
      </c>
      <c r="DR95" s="74">
        <v>0</v>
      </c>
      <c r="DS95" s="74">
        <v>0</v>
      </c>
      <c r="DT95" s="74">
        <v>0</v>
      </c>
      <c r="DU95" s="74">
        <v>0</v>
      </c>
      <c r="DV95" s="74">
        <v>0</v>
      </c>
      <c r="DW95" s="74">
        <v>0</v>
      </c>
      <c r="DX95" s="74">
        <v>0</v>
      </c>
      <c r="DY95" s="74">
        <v>0</v>
      </c>
      <c r="DZ95" s="74">
        <v>0</v>
      </c>
      <c r="EA95" s="74">
        <v>0</v>
      </c>
      <c r="EB95" s="74">
        <v>0</v>
      </c>
      <c r="EC95" s="74">
        <v>0</v>
      </c>
      <c r="ED95" s="74"/>
      <c r="EE95" s="80">
        <v>46009</v>
      </c>
      <c r="EF95" s="81">
        <v>46009.5211724537</v>
      </c>
      <c r="EG95" s="66" t="s">
        <v>69</v>
      </c>
      <c r="EH95" s="66" t="s">
        <v>209</v>
      </c>
      <c r="EI95" s="66" t="s">
        <v>6</v>
      </c>
      <c r="EJ95" s="66">
        <v>15</v>
      </c>
      <c r="EK95" s="66">
        <v>2027</v>
      </c>
      <c r="EL95" s="66" t="s">
        <v>24</v>
      </c>
      <c r="EM95" s="82">
        <v>338.17657095145614</v>
      </c>
      <c r="EN95" s="82">
        <v>337.5739809825738</v>
      </c>
      <c r="EO95" s="77">
        <v>227.1146</v>
      </c>
      <c r="EP95" s="84">
        <v>0.13999758052366426</v>
      </c>
      <c r="EQ95" s="84">
        <v>0.14268534690246426</v>
      </c>
      <c r="ER95" s="84">
        <v>4.8599999999999997E-2</v>
      </c>
      <c r="ES95" s="85">
        <v>0.97143267823005075</v>
      </c>
      <c r="ET95" s="86">
        <v>1.3804000000000001</v>
      </c>
      <c r="EU95" s="85">
        <v>0.11535261294006394</v>
      </c>
      <c r="EV95" s="85">
        <v>4.3499999999999997E-2</v>
      </c>
      <c r="EW95" s="76">
        <v>1</v>
      </c>
      <c r="EX95" s="76" t="s">
        <v>32</v>
      </c>
      <c r="EY95" s="74" t="s">
        <v>243</v>
      </c>
      <c r="EZ95" s="74"/>
      <c r="FA95" s="74"/>
      <c r="FB95" s="74"/>
      <c r="FC95" s="74"/>
      <c r="FD95" s="68"/>
      <c r="FH95" s="73"/>
      <c r="FI95" s="74"/>
      <c r="FJ95" s="74"/>
      <c r="FK95" s="74"/>
      <c r="FL95" s="74"/>
      <c r="FM95" s="74"/>
      <c r="FN95" s="74"/>
      <c r="FO95" s="74"/>
      <c r="FP95" s="74"/>
      <c r="FQ95" s="74"/>
      <c r="FR95" s="74"/>
      <c r="FS95" s="74"/>
      <c r="FT95" s="74"/>
      <c r="FU95" s="74"/>
      <c r="FV95" s="74"/>
      <c r="FW95" s="74"/>
      <c r="FX95" s="74"/>
      <c r="FY95" s="74"/>
      <c r="FZ95" s="74"/>
      <c r="GA95" s="68"/>
    </row>
    <row r="96" spans="1:183" s="2" customFormat="1" ht="15" x14ac:dyDescent="0.3">
      <c r="A96" s="73" t="s">
        <v>5</v>
      </c>
      <c r="B96" s="73" t="s">
        <v>236</v>
      </c>
      <c r="C96" s="73" t="s">
        <v>43</v>
      </c>
      <c r="D96" s="73" t="s">
        <v>48</v>
      </c>
      <c r="E96" s="73" t="s">
        <v>178</v>
      </c>
      <c r="F96" s="73" t="s">
        <v>210</v>
      </c>
      <c r="G96" s="73" t="s">
        <v>216</v>
      </c>
      <c r="H96" s="73"/>
      <c r="I96" s="74">
        <v>0</v>
      </c>
      <c r="J96" s="74">
        <v>0</v>
      </c>
      <c r="K96" s="74">
        <v>0</v>
      </c>
      <c r="L96" s="74">
        <v>0</v>
      </c>
      <c r="M96" s="74">
        <v>-63645</v>
      </c>
      <c r="N96" s="74">
        <v>-52729</v>
      </c>
      <c r="O96" s="74">
        <v>-82999</v>
      </c>
      <c r="P96" s="74">
        <v>-125455.81649999999</v>
      </c>
      <c r="Q96" s="74">
        <v>-150662.37217020002</v>
      </c>
      <c r="R96" s="74">
        <v>-163764.51148440002</v>
      </c>
      <c r="S96" s="74">
        <v>-123878.09687574231</v>
      </c>
      <c r="T96" s="74">
        <v>-146558.65984392594</v>
      </c>
      <c r="U96" s="74">
        <v>0</v>
      </c>
      <c r="V96" s="74">
        <v>0</v>
      </c>
      <c r="W96" s="74">
        <v>0</v>
      </c>
      <c r="X96" s="74">
        <v>0</v>
      </c>
      <c r="Y96" s="74">
        <v>0</v>
      </c>
      <c r="Z96" s="74">
        <v>0</v>
      </c>
      <c r="AA96" s="74">
        <v>0</v>
      </c>
      <c r="AB96" s="74">
        <v>0</v>
      </c>
      <c r="AC96" s="74">
        <v>0</v>
      </c>
      <c r="AD96" s="74">
        <v>0</v>
      </c>
      <c r="AE96" s="74">
        <v>0</v>
      </c>
      <c r="AF96" s="74">
        <v>0</v>
      </c>
      <c r="AG96" s="74">
        <v>0</v>
      </c>
      <c r="AH96" s="74">
        <v>0</v>
      </c>
      <c r="AI96" s="74">
        <v>0</v>
      </c>
      <c r="AJ96" s="74">
        <v>0</v>
      </c>
      <c r="AK96" s="74"/>
      <c r="AL96" s="74">
        <v>0</v>
      </c>
      <c r="AM96" s="74">
        <v>0</v>
      </c>
      <c r="AN96" s="74">
        <v>0</v>
      </c>
      <c r="AO96" s="74">
        <v>0</v>
      </c>
      <c r="AP96" s="74">
        <v>0</v>
      </c>
      <c r="AQ96" s="74">
        <v>0</v>
      </c>
      <c r="AR96" s="74">
        <v>0</v>
      </c>
      <c r="AS96" s="74">
        <v>0</v>
      </c>
      <c r="AT96" s="74">
        <v>0</v>
      </c>
      <c r="AU96" s="74">
        <v>0</v>
      </c>
      <c r="AV96" s="74">
        <v>0</v>
      </c>
      <c r="AW96" s="74">
        <v>0</v>
      </c>
      <c r="AX96" s="74">
        <v>0</v>
      </c>
      <c r="AY96" s="74">
        <v>0</v>
      </c>
      <c r="AZ96" s="74">
        <v>0</v>
      </c>
      <c r="BA96" s="74">
        <v>0</v>
      </c>
      <c r="BB96" s="74">
        <v>0</v>
      </c>
      <c r="BC96" s="74">
        <v>0</v>
      </c>
      <c r="BD96" s="74">
        <v>0</v>
      </c>
      <c r="BE96" s="74">
        <v>0</v>
      </c>
      <c r="BF96" s="74">
        <v>0</v>
      </c>
      <c r="BG96" s="74">
        <v>0</v>
      </c>
      <c r="BH96" s="74">
        <v>0</v>
      </c>
      <c r="BI96" s="74">
        <v>0</v>
      </c>
      <c r="BJ96" s="74">
        <v>0</v>
      </c>
      <c r="BK96" s="74">
        <v>0</v>
      </c>
      <c r="BL96" s="74">
        <v>0</v>
      </c>
      <c r="BM96" s="74">
        <v>0</v>
      </c>
      <c r="BN96" s="74">
        <v>0</v>
      </c>
      <c r="BO96" s="74">
        <v>0</v>
      </c>
      <c r="BP96" s="74">
        <v>0</v>
      </c>
      <c r="BQ96" s="74">
        <v>0</v>
      </c>
      <c r="BR96" s="74">
        <v>0</v>
      </c>
      <c r="BS96" s="74">
        <v>0</v>
      </c>
      <c r="BT96" s="74">
        <v>0</v>
      </c>
      <c r="BU96" s="74">
        <v>0</v>
      </c>
      <c r="BV96" s="74">
        <v>0</v>
      </c>
      <c r="BW96" s="74">
        <v>0</v>
      </c>
      <c r="BX96" s="74">
        <v>0</v>
      </c>
      <c r="BY96" s="74">
        <v>0</v>
      </c>
      <c r="BZ96" s="74">
        <v>0</v>
      </c>
      <c r="CA96" s="74">
        <v>0</v>
      </c>
      <c r="CB96" s="74">
        <v>0</v>
      </c>
      <c r="CC96" s="74">
        <v>0</v>
      </c>
      <c r="CD96" s="74">
        <v>0</v>
      </c>
      <c r="CE96" s="74">
        <v>0</v>
      </c>
      <c r="CF96" s="74">
        <v>0</v>
      </c>
      <c r="CG96" s="74">
        <v>0</v>
      </c>
      <c r="CH96" s="74">
        <v>0</v>
      </c>
      <c r="CI96" s="74">
        <v>0</v>
      </c>
      <c r="CJ96" s="74">
        <v>0</v>
      </c>
      <c r="CK96" s="74">
        <v>0</v>
      </c>
      <c r="CL96" s="74">
        <v>0</v>
      </c>
      <c r="CM96" s="74">
        <v>0</v>
      </c>
      <c r="CN96" s="74">
        <v>0</v>
      </c>
      <c r="CO96" s="74">
        <v>0</v>
      </c>
      <c r="CP96" s="74">
        <v>0</v>
      </c>
      <c r="CQ96" s="74">
        <v>0</v>
      </c>
      <c r="CR96" s="74">
        <v>0</v>
      </c>
      <c r="CS96" s="74">
        <v>0</v>
      </c>
      <c r="CT96" s="74">
        <v>0</v>
      </c>
      <c r="CU96" s="74">
        <v>0</v>
      </c>
      <c r="CV96" s="74">
        <v>0</v>
      </c>
      <c r="CW96" s="74">
        <v>0</v>
      </c>
      <c r="CX96" s="74">
        <v>0</v>
      </c>
      <c r="CY96" s="74">
        <v>0</v>
      </c>
      <c r="CZ96" s="74">
        <v>0</v>
      </c>
      <c r="DA96" s="74">
        <v>0</v>
      </c>
      <c r="DB96" s="74">
        <v>0</v>
      </c>
      <c r="DC96" s="74">
        <v>0</v>
      </c>
      <c r="DD96" s="74">
        <v>0</v>
      </c>
      <c r="DE96" s="74">
        <v>0</v>
      </c>
      <c r="DF96" s="74">
        <v>0</v>
      </c>
      <c r="DG96" s="74">
        <v>0</v>
      </c>
      <c r="DH96" s="74">
        <v>0</v>
      </c>
      <c r="DI96" s="74">
        <v>0</v>
      </c>
      <c r="DJ96" s="74">
        <v>0</v>
      </c>
      <c r="DK96" s="74">
        <v>0</v>
      </c>
      <c r="DL96" s="74">
        <v>0</v>
      </c>
      <c r="DM96" s="74">
        <v>0</v>
      </c>
      <c r="DN96" s="74">
        <v>0</v>
      </c>
      <c r="DO96" s="74">
        <v>0</v>
      </c>
      <c r="DP96" s="74">
        <v>0</v>
      </c>
      <c r="DQ96" s="74">
        <v>0</v>
      </c>
      <c r="DR96" s="74">
        <v>0</v>
      </c>
      <c r="DS96" s="74">
        <v>0</v>
      </c>
      <c r="DT96" s="74">
        <v>0</v>
      </c>
      <c r="DU96" s="74">
        <v>0</v>
      </c>
      <c r="DV96" s="74">
        <v>0</v>
      </c>
      <c r="DW96" s="74">
        <v>0</v>
      </c>
      <c r="DX96" s="74">
        <v>0</v>
      </c>
      <c r="DY96" s="74">
        <v>0</v>
      </c>
      <c r="DZ96" s="74">
        <v>0</v>
      </c>
      <c r="EA96" s="74">
        <v>0</v>
      </c>
      <c r="EB96" s="74">
        <v>0</v>
      </c>
      <c r="EC96" s="74">
        <v>0</v>
      </c>
      <c r="ED96" s="74"/>
      <c r="EE96" s="80">
        <v>46009</v>
      </c>
      <c r="EF96" s="81">
        <v>46009.5211724537</v>
      </c>
      <c r="EG96" s="66" t="s">
        <v>69</v>
      </c>
      <c r="EH96" s="66" t="s">
        <v>209</v>
      </c>
      <c r="EI96" s="66" t="s">
        <v>6</v>
      </c>
      <c r="EJ96" s="66">
        <v>15</v>
      </c>
      <c r="EK96" s="66">
        <v>2027</v>
      </c>
      <c r="EL96" s="66" t="s">
        <v>24</v>
      </c>
      <c r="EM96" s="82">
        <v>338.17657095145614</v>
      </c>
      <c r="EN96" s="82">
        <v>337.5739809825738</v>
      </c>
      <c r="EO96" s="77">
        <v>227.1146</v>
      </c>
      <c r="EP96" s="84">
        <v>0.13999758052366426</v>
      </c>
      <c r="EQ96" s="84">
        <v>0.14268534690246426</v>
      </c>
      <c r="ER96" s="84">
        <v>4.8599999999999997E-2</v>
      </c>
      <c r="ES96" s="85">
        <v>0.97143267823005075</v>
      </c>
      <c r="ET96" s="86">
        <v>1.3804000000000001</v>
      </c>
      <c r="EU96" s="85">
        <v>0.11535261294006394</v>
      </c>
      <c r="EV96" s="85">
        <v>4.3499999999999997E-2</v>
      </c>
      <c r="EW96" s="76">
        <v>1</v>
      </c>
      <c r="EX96" s="76" t="s">
        <v>32</v>
      </c>
      <c r="EY96" s="74" t="s">
        <v>243</v>
      </c>
      <c r="EZ96" s="74"/>
      <c r="FA96" s="74"/>
      <c r="FB96" s="74"/>
      <c r="FC96" s="74"/>
      <c r="FD96" s="68"/>
      <c r="FH96" s="73"/>
      <c r="FI96" s="74"/>
      <c r="FJ96" s="74"/>
      <c r="FK96" s="74"/>
      <c r="FL96" s="74"/>
      <c r="FM96" s="74"/>
      <c r="FN96" s="74"/>
      <c r="FO96" s="74"/>
      <c r="FP96" s="74"/>
      <c r="FQ96" s="74"/>
      <c r="FR96" s="74"/>
      <c r="FS96" s="74"/>
      <c r="FT96" s="74"/>
      <c r="FU96" s="74"/>
      <c r="FV96" s="74"/>
      <c r="FW96" s="74"/>
      <c r="FX96" s="74"/>
      <c r="FY96" s="74"/>
      <c r="FZ96" s="74"/>
      <c r="GA96" s="68"/>
    </row>
    <row r="97" spans="1:183" s="2" customFormat="1" ht="15" x14ac:dyDescent="0.3">
      <c r="A97" s="73" t="s">
        <v>25</v>
      </c>
      <c r="B97" s="73" t="s">
        <v>25</v>
      </c>
      <c r="C97" s="73" t="s">
        <v>221</v>
      </c>
      <c r="D97" s="73" t="s">
        <v>48</v>
      </c>
      <c r="E97" s="73" t="s">
        <v>178</v>
      </c>
      <c r="F97" s="73" t="s">
        <v>210</v>
      </c>
      <c r="G97" s="73" t="s">
        <v>216</v>
      </c>
      <c r="H97" s="73"/>
      <c r="I97" s="74">
        <v>0</v>
      </c>
      <c r="J97" s="74">
        <v>0</v>
      </c>
      <c r="K97" s="74">
        <v>0</v>
      </c>
      <c r="L97" s="74">
        <v>0</v>
      </c>
      <c r="M97" s="74">
        <v>358.06582100924425</v>
      </c>
      <c r="N97" s="74">
        <v>43742.724858084141</v>
      </c>
      <c r="O97" s="74">
        <v>41435.088483965184</v>
      </c>
      <c r="P97" s="74">
        <v>28671.772730131226</v>
      </c>
      <c r="Q97" s="74">
        <v>27804.979981233308</v>
      </c>
      <c r="R97" s="74">
        <v>89939.992871467461</v>
      </c>
      <c r="S97" s="74">
        <v>119640.11011298178</v>
      </c>
      <c r="T97" s="74">
        <v>144879.30027651085</v>
      </c>
      <c r="U97" s="74">
        <v>0</v>
      </c>
      <c r="V97" s="74">
        <v>0</v>
      </c>
      <c r="W97" s="74">
        <v>0</v>
      </c>
      <c r="X97" s="74">
        <v>0</v>
      </c>
      <c r="Y97" s="74">
        <v>0</v>
      </c>
      <c r="Z97" s="74">
        <v>0</v>
      </c>
      <c r="AA97" s="74">
        <v>0</v>
      </c>
      <c r="AB97" s="74">
        <v>0</v>
      </c>
      <c r="AC97" s="74">
        <v>0</v>
      </c>
      <c r="AD97" s="74">
        <v>0</v>
      </c>
      <c r="AE97" s="74">
        <v>0</v>
      </c>
      <c r="AF97" s="74">
        <v>0</v>
      </c>
      <c r="AG97" s="74">
        <v>0</v>
      </c>
      <c r="AH97" s="74">
        <v>0</v>
      </c>
      <c r="AI97" s="74">
        <v>0</v>
      </c>
      <c r="AJ97" s="74">
        <v>0</v>
      </c>
      <c r="AK97" s="74"/>
      <c r="AL97" s="74">
        <v>1544.55753902979</v>
      </c>
      <c r="AM97" s="74">
        <v>5150.6308149322304</v>
      </c>
      <c r="AN97" s="74">
        <v>-166.08702342050856</v>
      </c>
      <c r="AO97" s="74" t="s">
        <v>48</v>
      </c>
      <c r="AP97" s="74" t="s">
        <v>48</v>
      </c>
      <c r="AQ97" s="74">
        <v>-79.566000000000713</v>
      </c>
      <c r="AR97" s="74">
        <v>1180.1005999999998</v>
      </c>
      <c r="AS97" s="74">
        <v>161.52347999999984</v>
      </c>
      <c r="AT97" s="74">
        <v>2070.4946999999993</v>
      </c>
      <c r="AU97" s="74">
        <v>3409.4532000000036</v>
      </c>
      <c r="AV97" s="74">
        <v>-3044.5814999999984</v>
      </c>
      <c r="AW97" s="74">
        <v>1311.7639999999992</v>
      </c>
      <c r="AX97" s="74">
        <v>1611.6348500000022</v>
      </c>
      <c r="AY97" s="74">
        <v>1927.9616999999998</v>
      </c>
      <c r="AZ97" s="74">
        <v>2824.1491999999998</v>
      </c>
      <c r="BA97" s="74">
        <v>1944.1461000000018</v>
      </c>
      <c r="BB97" s="74" t="s">
        <v>48</v>
      </c>
      <c r="BC97" s="74" t="s">
        <v>48</v>
      </c>
      <c r="BD97" s="74" t="s">
        <v>48</v>
      </c>
      <c r="BE97" s="74" t="s">
        <v>48</v>
      </c>
      <c r="BF97" s="74" t="s">
        <v>48</v>
      </c>
      <c r="BG97" s="74" t="s">
        <v>48</v>
      </c>
      <c r="BH97" s="74" t="s">
        <v>48</v>
      </c>
      <c r="BI97" s="74" t="s">
        <v>48</v>
      </c>
      <c r="BJ97" s="74" t="s">
        <v>48</v>
      </c>
      <c r="BK97" s="74" t="s">
        <v>48</v>
      </c>
      <c r="BL97" s="74" t="s">
        <v>48</v>
      </c>
      <c r="BM97" s="74" t="s">
        <v>48</v>
      </c>
      <c r="BN97" s="74" t="s">
        <v>48</v>
      </c>
      <c r="BO97" s="74" t="s">
        <v>48</v>
      </c>
      <c r="BP97" s="74" t="s">
        <v>48</v>
      </c>
      <c r="BQ97" s="74" t="s">
        <v>48</v>
      </c>
      <c r="BR97" s="74">
        <v>0</v>
      </c>
      <c r="BS97" s="74">
        <v>0</v>
      </c>
      <c r="BT97" s="74">
        <v>0</v>
      </c>
      <c r="BU97" s="74">
        <v>0</v>
      </c>
      <c r="BV97" s="74">
        <v>0</v>
      </c>
      <c r="BW97" s="74">
        <v>0</v>
      </c>
      <c r="BX97" s="74">
        <v>0</v>
      </c>
      <c r="BY97" s="74">
        <v>0</v>
      </c>
      <c r="BZ97" s="74">
        <v>0</v>
      </c>
      <c r="CA97" s="74">
        <v>0</v>
      </c>
      <c r="CB97" s="74">
        <v>0</v>
      </c>
      <c r="CC97" s="74">
        <v>0</v>
      </c>
      <c r="CD97" s="74">
        <v>0</v>
      </c>
      <c r="CE97" s="74">
        <v>0</v>
      </c>
      <c r="CF97" s="74">
        <v>0</v>
      </c>
      <c r="CG97" s="74">
        <v>0</v>
      </c>
      <c r="CH97" s="74">
        <v>0</v>
      </c>
      <c r="CI97" s="74">
        <v>0</v>
      </c>
      <c r="CJ97" s="74">
        <v>0</v>
      </c>
      <c r="CK97" s="74">
        <v>0</v>
      </c>
      <c r="CL97" s="74">
        <v>0</v>
      </c>
      <c r="CM97" s="74">
        <v>0</v>
      </c>
      <c r="CN97" s="74">
        <v>0</v>
      </c>
      <c r="CO97" s="74">
        <v>0</v>
      </c>
      <c r="CP97" s="74">
        <v>0</v>
      </c>
      <c r="CQ97" s="74">
        <v>0</v>
      </c>
      <c r="CR97" s="74">
        <v>0</v>
      </c>
      <c r="CS97" s="74">
        <v>0</v>
      </c>
      <c r="CT97" s="74">
        <v>0</v>
      </c>
      <c r="CU97" s="74">
        <v>0</v>
      </c>
      <c r="CV97" s="74">
        <v>0</v>
      </c>
      <c r="CW97" s="74">
        <v>0</v>
      </c>
      <c r="CX97" s="74">
        <v>0</v>
      </c>
      <c r="CY97" s="74">
        <v>0</v>
      </c>
      <c r="CZ97" s="74">
        <v>0</v>
      </c>
      <c r="DA97" s="74">
        <v>0</v>
      </c>
      <c r="DB97" s="74">
        <v>0</v>
      </c>
      <c r="DC97" s="74">
        <v>0</v>
      </c>
      <c r="DD97" s="74">
        <v>0</v>
      </c>
      <c r="DE97" s="74">
        <v>0</v>
      </c>
      <c r="DF97" s="74">
        <v>0</v>
      </c>
      <c r="DG97" s="74">
        <v>0</v>
      </c>
      <c r="DH97" s="74">
        <v>0</v>
      </c>
      <c r="DI97" s="74">
        <v>0</v>
      </c>
      <c r="DJ97" s="74">
        <v>0</v>
      </c>
      <c r="DK97" s="74">
        <v>0</v>
      </c>
      <c r="DL97" s="74">
        <v>0</v>
      </c>
      <c r="DM97" s="74">
        <v>0</v>
      </c>
      <c r="DN97" s="74">
        <v>0</v>
      </c>
      <c r="DO97" s="74">
        <v>0</v>
      </c>
      <c r="DP97" s="74">
        <v>0</v>
      </c>
      <c r="DQ97" s="74">
        <v>0</v>
      </c>
      <c r="DR97" s="74">
        <v>0</v>
      </c>
      <c r="DS97" s="74">
        <v>0</v>
      </c>
      <c r="DT97" s="74">
        <v>0</v>
      </c>
      <c r="DU97" s="74">
        <v>0</v>
      </c>
      <c r="DV97" s="74">
        <v>0</v>
      </c>
      <c r="DW97" s="74">
        <v>0</v>
      </c>
      <c r="DX97" s="74">
        <v>0</v>
      </c>
      <c r="DY97" s="74">
        <v>0</v>
      </c>
      <c r="DZ97" s="74">
        <v>0</v>
      </c>
      <c r="EA97" s="74">
        <v>0</v>
      </c>
      <c r="EB97" s="74">
        <v>0</v>
      </c>
      <c r="EC97" s="74">
        <v>0</v>
      </c>
      <c r="ED97" s="74"/>
      <c r="EE97" s="80">
        <v>46009</v>
      </c>
      <c r="EF97" s="81">
        <v>46009.5211724537</v>
      </c>
      <c r="EG97" s="66" t="s">
        <v>69</v>
      </c>
      <c r="EH97" s="66" t="s">
        <v>209</v>
      </c>
      <c r="EI97" s="66" t="s">
        <v>6</v>
      </c>
      <c r="EJ97" s="66">
        <v>15</v>
      </c>
      <c r="EK97" s="66">
        <v>2027</v>
      </c>
      <c r="EL97" s="66" t="s">
        <v>24</v>
      </c>
      <c r="EM97" s="82">
        <v>338.17657095145614</v>
      </c>
      <c r="EN97" s="82">
        <v>337.5739809825738</v>
      </c>
      <c r="EO97" s="77">
        <v>227.1146</v>
      </c>
      <c r="EP97" s="84">
        <v>0.13999758052366426</v>
      </c>
      <c r="EQ97" s="84">
        <v>0.14268534690246426</v>
      </c>
      <c r="ER97" s="84">
        <v>4.8599999999999997E-2</v>
      </c>
      <c r="ES97" s="85">
        <v>0.97143267823005075</v>
      </c>
      <c r="ET97" s="86">
        <v>1.3804000000000001</v>
      </c>
      <c r="EU97" s="85">
        <v>0.11535261294006394</v>
      </c>
      <c r="EV97" s="85">
        <v>4.3499999999999997E-2</v>
      </c>
      <c r="EW97" s="76">
        <v>1</v>
      </c>
      <c r="EX97" s="76" t="s">
        <v>32</v>
      </c>
      <c r="EY97" s="74" t="s">
        <v>243</v>
      </c>
      <c r="EZ97" s="74"/>
      <c r="FA97" s="74"/>
      <c r="FB97" s="74"/>
      <c r="FC97" s="74"/>
      <c r="FD97" s="68"/>
      <c r="FH97" s="73"/>
      <c r="FI97" s="74"/>
      <c r="FJ97" s="74"/>
      <c r="FK97" s="74"/>
      <c r="FL97" s="74"/>
      <c r="FM97" s="74"/>
      <c r="FN97" s="74"/>
      <c r="FO97" s="74"/>
      <c r="FP97" s="74"/>
      <c r="FQ97" s="74"/>
      <c r="FR97" s="74"/>
      <c r="FS97" s="74"/>
      <c r="FT97" s="74"/>
      <c r="FU97" s="74"/>
      <c r="FV97" s="74"/>
      <c r="FW97" s="74"/>
      <c r="FX97" s="74"/>
      <c r="FY97" s="74"/>
      <c r="FZ97" s="74"/>
      <c r="GA97" s="68"/>
    </row>
    <row r="98" spans="1:183" s="2" customFormat="1" ht="15" x14ac:dyDescent="0.3">
      <c r="A98" s="73" t="s">
        <v>179</v>
      </c>
      <c r="B98" s="73" t="s">
        <v>237</v>
      </c>
      <c r="C98" s="73" t="s">
        <v>222</v>
      </c>
      <c r="D98" s="73" t="s">
        <v>48</v>
      </c>
      <c r="E98" s="73" t="s">
        <v>178</v>
      </c>
      <c r="F98" s="73" t="s">
        <v>210</v>
      </c>
      <c r="G98" s="73" t="s">
        <v>223</v>
      </c>
      <c r="H98" s="73"/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74">
        <v>0</v>
      </c>
      <c r="P98" s="74">
        <v>714538.640625</v>
      </c>
      <c r="Q98" s="74">
        <v>795333.28125</v>
      </c>
      <c r="R98" s="74">
        <v>884621.70212765958</v>
      </c>
      <c r="S98" s="74">
        <v>978632.95238095243</v>
      </c>
      <c r="T98" s="74">
        <v>1078471.5</v>
      </c>
      <c r="U98" s="74">
        <v>0</v>
      </c>
      <c r="V98" s="74">
        <v>0</v>
      </c>
      <c r="W98" s="74">
        <v>0</v>
      </c>
      <c r="X98" s="74">
        <v>0</v>
      </c>
      <c r="Y98" s="74">
        <v>0</v>
      </c>
      <c r="Z98" s="74">
        <v>0</v>
      </c>
      <c r="AA98" s="74">
        <v>0</v>
      </c>
      <c r="AB98" s="74">
        <v>0</v>
      </c>
      <c r="AC98" s="74">
        <v>0</v>
      </c>
      <c r="AD98" s="74">
        <v>0</v>
      </c>
      <c r="AE98" s="74">
        <v>0</v>
      </c>
      <c r="AF98" s="74">
        <v>0</v>
      </c>
      <c r="AG98" s="74">
        <v>0</v>
      </c>
      <c r="AH98" s="74">
        <v>0</v>
      </c>
      <c r="AI98" s="74">
        <v>0</v>
      </c>
      <c r="AJ98" s="74">
        <v>0</v>
      </c>
      <c r="AK98" s="74"/>
      <c r="AL98" s="74">
        <v>0</v>
      </c>
      <c r="AM98" s="74">
        <v>0</v>
      </c>
      <c r="AN98" s="74">
        <v>0</v>
      </c>
      <c r="AO98" s="74">
        <v>0</v>
      </c>
      <c r="AP98" s="74">
        <v>0</v>
      </c>
      <c r="AQ98" s="74">
        <v>0</v>
      </c>
      <c r="AR98" s="74">
        <v>0</v>
      </c>
      <c r="AS98" s="74">
        <v>0</v>
      </c>
      <c r="AT98" s="74">
        <v>0</v>
      </c>
      <c r="AU98" s="74">
        <v>0</v>
      </c>
      <c r="AV98" s="74">
        <v>0</v>
      </c>
      <c r="AW98" s="74">
        <v>0</v>
      </c>
      <c r="AX98" s="74">
        <v>0</v>
      </c>
      <c r="AY98" s="74">
        <v>0</v>
      </c>
      <c r="AZ98" s="74">
        <v>0</v>
      </c>
      <c r="BA98" s="74">
        <v>0</v>
      </c>
      <c r="BB98" s="74">
        <v>0</v>
      </c>
      <c r="BC98" s="74">
        <v>0</v>
      </c>
      <c r="BD98" s="74">
        <v>0</v>
      </c>
      <c r="BE98" s="74">
        <v>0</v>
      </c>
      <c r="BF98" s="74">
        <v>0</v>
      </c>
      <c r="BG98" s="74">
        <v>0</v>
      </c>
      <c r="BH98" s="74">
        <v>0</v>
      </c>
      <c r="BI98" s="74">
        <v>0</v>
      </c>
      <c r="BJ98" s="74">
        <v>0</v>
      </c>
      <c r="BK98" s="74">
        <v>0</v>
      </c>
      <c r="BL98" s="74">
        <v>0</v>
      </c>
      <c r="BM98" s="74">
        <v>0</v>
      </c>
      <c r="BN98" s="74">
        <v>0</v>
      </c>
      <c r="BO98" s="74">
        <v>0</v>
      </c>
      <c r="BP98" s="74">
        <v>0</v>
      </c>
      <c r="BQ98" s="74">
        <v>0</v>
      </c>
      <c r="BR98" s="74">
        <v>0</v>
      </c>
      <c r="BS98" s="74">
        <v>0</v>
      </c>
      <c r="BT98" s="74">
        <v>0</v>
      </c>
      <c r="BU98" s="74">
        <v>0</v>
      </c>
      <c r="BV98" s="74">
        <v>0</v>
      </c>
      <c r="BW98" s="74">
        <v>0</v>
      </c>
      <c r="BX98" s="74">
        <v>0</v>
      </c>
      <c r="BY98" s="74">
        <v>0</v>
      </c>
      <c r="BZ98" s="74">
        <v>0</v>
      </c>
      <c r="CA98" s="74">
        <v>0</v>
      </c>
      <c r="CB98" s="74">
        <v>0</v>
      </c>
      <c r="CC98" s="74">
        <v>0</v>
      </c>
      <c r="CD98" s="74">
        <v>0</v>
      </c>
      <c r="CE98" s="74">
        <v>0</v>
      </c>
      <c r="CF98" s="74">
        <v>0</v>
      </c>
      <c r="CG98" s="74">
        <v>0</v>
      </c>
      <c r="CH98" s="74">
        <v>0</v>
      </c>
      <c r="CI98" s="74">
        <v>0</v>
      </c>
      <c r="CJ98" s="74">
        <v>0</v>
      </c>
      <c r="CK98" s="74">
        <v>0</v>
      </c>
      <c r="CL98" s="74">
        <v>0</v>
      </c>
      <c r="CM98" s="74">
        <v>0</v>
      </c>
      <c r="CN98" s="74">
        <v>0</v>
      </c>
      <c r="CO98" s="74">
        <v>0</v>
      </c>
      <c r="CP98" s="74">
        <v>0</v>
      </c>
      <c r="CQ98" s="74">
        <v>0</v>
      </c>
      <c r="CR98" s="74">
        <v>0</v>
      </c>
      <c r="CS98" s="74">
        <v>0</v>
      </c>
      <c r="CT98" s="74">
        <v>0</v>
      </c>
      <c r="CU98" s="74">
        <v>0</v>
      </c>
      <c r="CV98" s="74">
        <v>0</v>
      </c>
      <c r="CW98" s="74">
        <v>0</v>
      </c>
      <c r="CX98" s="74">
        <v>0</v>
      </c>
      <c r="CY98" s="74">
        <v>0</v>
      </c>
      <c r="CZ98" s="74">
        <v>0</v>
      </c>
      <c r="DA98" s="74">
        <v>0</v>
      </c>
      <c r="DB98" s="74">
        <v>0</v>
      </c>
      <c r="DC98" s="74">
        <v>0</v>
      </c>
      <c r="DD98" s="74">
        <v>0</v>
      </c>
      <c r="DE98" s="74">
        <v>0</v>
      </c>
      <c r="DF98" s="74">
        <v>0</v>
      </c>
      <c r="DG98" s="74">
        <v>0</v>
      </c>
      <c r="DH98" s="74">
        <v>0</v>
      </c>
      <c r="DI98" s="74">
        <v>0</v>
      </c>
      <c r="DJ98" s="74">
        <v>0</v>
      </c>
      <c r="DK98" s="74">
        <v>0</v>
      </c>
      <c r="DL98" s="74">
        <v>0</v>
      </c>
      <c r="DM98" s="74">
        <v>0</v>
      </c>
      <c r="DN98" s="74">
        <v>0</v>
      </c>
      <c r="DO98" s="74">
        <v>0</v>
      </c>
      <c r="DP98" s="74">
        <v>0</v>
      </c>
      <c r="DQ98" s="74">
        <v>0</v>
      </c>
      <c r="DR98" s="74">
        <v>0</v>
      </c>
      <c r="DS98" s="74">
        <v>0</v>
      </c>
      <c r="DT98" s="74">
        <v>0</v>
      </c>
      <c r="DU98" s="74">
        <v>0</v>
      </c>
      <c r="DV98" s="74">
        <v>0</v>
      </c>
      <c r="DW98" s="74">
        <v>0</v>
      </c>
      <c r="DX98" s="74">
        <v>0</v>
      </c>
      <c r="DY98" s="74">
        <v>0</v>
      </c>
      <c r="DZ98" s="74">
        <v>0</v>
      </c>
      <c r="EA98" s="74">
        <v>0</v>
      </c>
      <c r="EB98" s="74">
        <v>0</v>
      </c>
      <c r="EC98" s="74">
        <v>0</v>
      </c>
      <c r="ED98" s="74"/>
      <c r="EE98" s="80">
        <v>46009</v>
      </c>
      <c r="EF98" s="81">
        <v>46009.5211724537</v>
      </c>
      <c r="EG98" s="66" t="s">
        <v>69</v>
      </c>
      <c r="EH98" s="66" t="s">
        <v>209</v>
      </c>
      <c r="EI98" s="66" t="s">
        <v>6</v>
      </c>
      <c r="EJ98" s="66">
        <v>15</v>
      </c>
      <c r="EK98" s="66">
        <v>2027</v>
      </c>
      <c r="EL98" s="66" t="s">
        <v>24</v>
      </c>
      <c r="EM98" s="82">
        <v>338.17657095145614</v>
      </c>
      <c r="EN98" s="82">
        <v>337.5739809825738</v>
      </c>
      <c r="EO98" s="77">
        <v>227.1146</v>
      </c>
      <c r="EP98" s="84">
        <v>0.13999758052366426</v>
      </c>
      <c r="EQ98" s="84">
        <v>0.14268534690246426</v>
      </c>
      <c r="ER98" s="84">
        <v>4.8599999999999997E-2</v>
      </c>
      <c r="ES98" s="85">
        <v>0.97143267823005075</v>
      </c>
      <c r="ET98" s="86">
        <v>1.3804000000000001</v>
      </c>
      <c r="EU98" s="85">
        <v>0.11535261294006394</v>
      </c>
      <c r="EV98" s="85">
        <v>4.3499999999999997E-2</v>
      </c>
      <c r="EW98" s="76">
        <v>1</v>
      </c>
      <c r="EX98" s="76" t="s">
        <v>32</v>
      </c>
      <c r="EY98" s="74" t="s">
        <v>243</v>
      </c>
      <c r="EZ98" s="74"/>
      <c r="FA98" s="74"/>
      <c r="FB98" s="74"/>
      <c r="FC98" s="74"/>
      <c r="FD98" s="68"/>
      <c r="FH98" s="73"/>
      <c r="FI98" s="74"/>
      <c r="FJ98" s="74"/>
      <c r="FK98" s="74"/>
      <c r="FL98" s="74"/>
      <c r="FM98" s="74"/>
      <c r="FN98" s="74"/>
      <c r="FO98" s="74"/>
      <c r="FP98" s="74"/>
      <c r="FQ98" s="74"/>
      <c r="FR98" s="74"/>
      <c r="FS98" s="74"/>
      <c r="FT98" s="74"/>
      <c r="FU98" s="74"/>
      <c r="FV98" s="74"/>
      <c r="FW98" s="74"/>
      <c r="FX98" s="74"/>
      <c r="FY98" s="74"/>
      <c r="FZ98" s="74"/>
      <c r="GA98" s="68"/>
    </row>
    <row r="99" spans="1:183" s="2" customFormat="1" ht="15" x14ac:dyDescent="0.3">
      <c r="A99" s="73" t="s">
        <v>180</v>
      </c>
      <c r="B99" s="73" t="s">
        <v>238</v>
      </c>
      <c r="C99" s="73" t="s">
        <v>224</v>
      </c>
      <c r="D99" s="73" t="s">
        <v>48</v>
      </c>
      <c r="E99" s="73" t="s">
        <v>178</v>
      </c>
      <c r="F99" s="73" t="s">
        <v>210</v>
      </c>
      <c r="G99" s="73" t="s">
        <v>223</v>
      </c>
      <c r="H99" s="73"/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74">
        <v>0</v>
      </c>
      <c r="O99" s="74">
        <v>0</v>
      </c>
      <c r="P99" s="74">
        <v>166225.25</v>
      </c>
      <c r="Q99" s="74">
        <v>202938</v>
      </c>
      <c r="R99" s="74">
        <v>245457.69696969699</v>
      </c>
      <c r="S99" s="74">
        <v>290513.52941176499</v>
      </c>
      <c r="T99" s="74">
        <v>330854.26666666701</v>
      </c>
      <c r="U99" s="74">
        <v>0</v>
      </c>
      <c r="V99" s="74">
        <v>0</v>
      </c>
      <c r="W99" s="74">
        <v>0</v>
      </c>
      <c r="X99" s="74">
        <v>0</v>
      </c>
      <c r="Y99" s="74">
        <v>0</v>
      </c>
      <c r="Z99" s="74">
        <v>0</v>
      </c>
      <c r="AA99" s="74">
        <v>0</v>
      </c>
      <c r="AB99" s="74">
        <v>0</v>
      </c>
      <c r="AC99" s="74">
        <v>0</v>
      </c>
      <c r="AD99" s="74">
        <v>0</v>
      </c>
      <c r="AE99" s="74">
        <v>0</v>
      </c>
      <c r="AF99" s="74">
        <v>0</v>
      </c>
      <c r="AG99" s="74">
        <v>0</v>
      </c>
      <c r="AH99" s="74">
        <v>0</v>
      </c>
      <c r="AI99" s="74">
        <v>0</v>
      </c>
      <c r="AJ99" s="74">
        <v>0</v>
      </c>
      <c r="AK99" s="74"/>
      <c r="AL99" s="74">
        <v>0</v>
      </c>
      <c r="AM99" s="74">
        <v>0</v>
      </c>
      <c r="AN99" s="74">
        <v>0</v>
      </c>
      <c r="AO99" s="74">
        <v>0</v>
      </c>
      <c r="AP99" s="74">
        <v>0</v>
      </c>
      <c r="AQ99" s="74">
        <v>0</v>
      </c>
      <c r="AR99" s="74">
        <v>0</v>
      </c>
      <c r="AS99" s="74">
        <v>0</v>
      </c>
      <c r="AT99" s="74">
        <v>0</v>
      </c>
      <c r="AU99" s="74">
        <v>0</v>
      </c>
      <c r="AV99" s="74">
        <v>0</v>
      </c>
      <c r="AW99" s="74">
        <v>0</v>
      </c>
      <c r="AX99" s="74">
        <v>0</v>
      </c>
      <c r="AY99" s="74">
        <v>0</v>
      </c>
      <c r="AZ99" s="74">
        <v>0</v>
      </c>
      <c r="BA99" s="74">
        <v>0</v>
      </c>
      <c r="BB99" s="74">
        <v>0</v>
      </c>
      <c r="BC99" s="74">
        <v>0</v>
      </c>
      <c r="BD99" s="74">
        <v>0</v>
      </c>
      <c r="BE99" s="74">
        <v>0</v>
      </c>
      <c r="BF99" s="74">
        <v>0</v>
      </c>
      <c r="BG99" s="74">
        <v>0</v>
      </c>
      <c r="BH99" s="74">
        <v>0</v>
      </c>
      <c r="BI99" s="74">
        <v>0</v>
      </c>
      <c r="BJ99" s="74">
        <v>0</v>
      </c>
      <c r="BK99" s="74">
        <v>0</v>
      </c>
      <c r="BL99" s="74">
        <v>0</v>
      </c>
      <c r="BM99" s="74">
        <v>0</v>
      </c>
      <c r="BN99" s="74">
        <v>0</v>
      </c>
      <c r="BO99" s="74">
        <v>0</v>
      </c>
      <c r="BP99" s="74">
        <v>0</v>
      </c>
      <c r="BQ99" s="74">
        <v>0</v>
      </c>
      <c r="BR99" s="74">
        <v>0</v>
      </c>
      <c r="BS99" s="74">
        <v>0</v>
      </c>
      <c r="BT99" s="74">
        <v>0</v>
      </c>
      <c r="BU99" s="74">
        <v>0</v>
      </c>
      <c r="BV99" s="74">
        <v>0</v>
      </c>
      <c r="BW99" s="74">
        <v>0</v>
      </c>
      <c r="BX99" s="74">
        <v>0</v>
      </c>
      <c r="BY99" s="74">
        <v>0</v>
      </c>
      <c r="BZ99" s="74">
        <v>0</v>
      </c>
      <c r="CA99" s="74">
        <v>0</v>
      </c>
      <c r="CB99" s="74">
        <v>0</v>
      </c>
      <c r="CC99" s="74">
        <v>0</v>
      </c>
      <c r="CD99" s="74">
        <v>0</v>
      </c>
      <c r="CE99" s="74">
        <v>0</v>
      </c>
      <c r="CF99" s="74">
        <v>0</v>
      </c>
      <c r="CG99" s="74">
        <v>0</v>
      </c>
      <c r="CH99" s="74">
        <v>0</v>
      </c>
      <c r="CI99" s="74">
        <v>0</v>
      </c>
      <c r="CJ99" s="74">
        <v>0</v>
      </c>
      <c r="CK99" s="74">
        <v>0</v>
      </c>
      <c r="CL99" s="74">
        <v>0</v>
      </c>
      <c r="CM99" s="74">
        <v>0</v>
      </c>
      <c r="CN99" s="74">
        <v>0</v>
      </c>
      <c r="CO99" s="74">
        <v>0</v>
      </c>
      <c r="CP99" s="74">
        <v>0</v>
      </c>
      <c r="CQ99" s="74">
        <v>0</v>
      </c>
      <c r="CR99" s="74">
        <v>0</v>
      </c>
      <c r="CS99" s="74">
        <v>0</v>
      </c>
      <c r="CT99" s="74">
        <v>0</v>
      </c>
      <c r="CU99" s="74">
        <v>0</v>
      </c>
      <c r="CV99" s="74">
        <v>0</v>
      </c>
      <c r="CW99" s="74">
        <v>0</v>
      </c>
      <c r="CX99" s="74">
        <v>0</v>
      </c>
      <c r="CY99" s="74">
        <v>0</v>
      </c>
      <c r="CZ99" s="74">
        <v>0</v>
      </c>
      <c r="DA99" s="74">
        <v>0</v>
      </c>
      <c r="DB99" s="74">
        <v>0</v>
      </c>
      <c r="DC99" s="74">
        <v>0</v>
      </c>
      <c r="DD99" s="74">
        <v>0</v>
      </c>
      <c r="DE99" s="74">
        <v>0</v>
      </c>
      <c r="DF99" s="74">
        <v>0</v>
      </c>
      <c r="DG99" s="74">
        <v>0</v>
      </c>
      <c r="DH99" s="74">
        <v>0</v>
      </c>
      <c r="DI99" s="74">
        <v>0</v>
      </c>
      <c r="DJ99" s="74">
        <v>0</v>
      </c>
      <c r="DK99" s="74">
        <v>0</v>
      </c>
      <c r="DL99" s="74">
        <v>0</v>
      </c>
      <c r="DM99" s="74">
        <v>0</v>
      </c>
      <c r="DN99" s="74">
        <v>0</v>
      </c>
      <c r="DO99" s="74">
        <v>0</v>
      </c>
      <c r="DP99" s="74">
        <v>0</v>
      </c>
      <c r="DQ99" s="74">
        <v>0</v>
      </c>
      <c r="DR99" s="74">
        <v>0</v>
      </c>
      <c r="DS99" s="74">
        <v>0</v>
      </c>
      <c r="DT99" s="74">
        <v>0</v>
      </c>
      <c r="DU99" s="74">
        <v>0</v>
      </c>
      <c r="DV99" s="74">
        <v>0</v>
      </c>
      <c r="DW99" s="74">
        <v>0</v>
      </c>
      <c r="DX99" s="74">
        <v>0</v>
      </c>
      <c r="DY99" s="74">
        <v>0</v>
      </c>
      <c r="DZ99" s="74">
        <v>0</v>
      </c>
      <c r="EA99" s="74">
        <v>0</v>
      </c>
      <c r="EB99" s="74">
        <v>0</v>
      </c>
      <c r="EC99" s="74">
        <v>0</v>
      </c>
      <c r="ED99" s="74"/>
      <c r="EE99" s="80">
        <v>46009</v>
      </c>
      <c r="EF99" s="81">
        <v>46009.5211724537</v>
      </c>
      <c r="EG99" s="66" t="s">
        <v>69</v>
      </c>
      <c r="EH99" s="66" t="s">
        <v>209</v>
      </c>
      <c r="EI99" s="66" t="s">
        <v>6</v>
      </c>
      <c r="EJ99" s="66">
        <v>15</v>
      </c>
      <c r="EK99" s="66">
        <v>2027</v>
      </c>
      <c r="EL99" s="66" t="s">
        <v>24</v>
      </c>
      <c r="EM99" s="82">
        <v>338.17657095145614</v>
      </c>
      <c r="EN99" s="82">
        <v>337.5739809825738</v>
      </c>
      <c r="EO99" s="77">
        <v>227.1146</v>
      </c>
      <c r="EP99" s="84">
        <v>0.13999758052366426</v>
      </c>
      <c r="EQ99" s="84">
        <v>0.14268534690246426</v>
      </c>
      <c r="ER99" s="84">
        <v>4.8599999999999997E-2</v>
      </c>
      <c r="ES99" s="85">
        <v>0.97143267823005075</v>
      </c>
      <c r="ET99" s="86">
        <v>1.3804000000000001</v>
      </c>
      <c r="EU99" s="85">
        <v>0.11535261294006394</v>
      </c>
      <c r="EV99" s="85">
        <v>4.3499999999999997E-2</v>
      </c>
      <c r="EW99" s="76">
        <v>1</v>
      </c>
      <c r="EX99" s="76" t="s">
        <v>32</v>
      </c>
      <c r="EY99" s="74" t="s">
        <v>243</v>
      </c>
      <c r="EZ99" s="74"/>
      <c r="FA99" s="74"/>
      <c r="FB99" s="74"/>
      <c r="FC99" s="74"/>
      <c r="FD99" s="68"/>
      <c r="FH99" s="73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68"/>
    </row>
    <row r="100" spans="1:183" s="2" customFormat="1" ht="15" x14ac:dyDescent="0.3">
      <c r="A100" s="73" t="s">
        <v>207</v>
      </c>
      <c r="B100" s="73" t="s">
        <v>239</v>
      </c>
      <c r="C100" s="73" t="s">
        <v>225</v>
      </c>
      <c r="D100" s="73" t="s">
        <v>48</v>
      </c>
      <c r="E100" s="73" t="s">
        <v>178</v>
      </c>
      <c r="F100" s="73" t="s">
        <v>210</v>
      </c>
      <c r="G100" s="73" t="s">
        <v>223</v>
      </c>
      <c r="H100" s="73"/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74">
        <v>0</v>
      </c>
      <c r="O100" s="74">
        <v>0</v>
      </c>
      <c r="P100" s="74">
        <v>10798.535941335587</v>
      </c>
      <c r="Q100" s="74">
        <v>10903.243008737525</v>
      </c>
      <c r="R100" s="74">
        <v>10991.364622945655</v>
      </c>
      <c r="S100" s="74">
        <v>10981.193602448286</v>
      </c>
      <c r="T100" s="74">
        <v>11020.078755796427</v>
      </c>
      <c r="U100" s="74">
        <v>0</v>
      </c>
      <c r="V100" s="74">
        <v>0</v>
      </c>
      <c r="W100" s="74">
        <v>0</v>
      </c>
      <c r="X100" s="74">
        <v>0</v>
      </c>
      <c r="Y100" s="74">
        <v>0</v>
      </c>
      <c r="Z100" s="74">
        <v>0</v>
      </c>
      <c r="AA100" s="74">
        <v>0</v>
      </c>
      <c r="AB100" s="74">
        <v>0</v>
      </c>
      <c r="AC100" s="74">
        <v>0</v>
      </c>
      <c r="AD100" s="74">
        <v>0</v>
      </c>
      <c r="AE100" s="74">
        <v>0</v>
      </c>
      <c r="AF100" s="74">
        <v>0</v>
      </c>
      <c r="AG100" s="74">
        <v>0</v>
      </c>
      <c r="AH100" s="74">
        <v>0</v>
      </c>
      <c r="AI100" s="74">
        <v>0</v>
      </c>
      <c r="AJ100" s="74">
        <v>0</v>
      </c>
      <c r="AK100" s="74"/>
      <c r="AL100" s="74">
        <v>0</v>
      </c>
      <c r="AM100" s="74">
        <v>0</v>
      </c>
      <c r="AN100" s="74">
        <v>0</v>
      </c>
      <c r="AO100" s="74">
        <v>0</v>
      </c>
      <c r="AP100" s="74">
        <v>0</v>
      </c>
      <c r="AQ100" s="74">
        <v>0</v>
      </c>
      <c r="AR100" s="74">
        <v>0</v>
      </c>
      <c r="AS100" s="74">
        <v>0</v>
      </c>
      <c r="AT100" s="74">
        <v>0</v>
      </c>
      <c r="AU100" s="74">
        <v>0</v>
      </c>
      <c r="AV100" s="74">
        <v>0</v>
      </c>
      <c r="AW100" s="74">
        <v>0</v>
      </c>
      <c r="AX100" s="74">
        <v>0</v>
      </c>
      <c r="AY100" s="74">
        <v>0</v>
      </c>
      <c r="AZ100" s="74">
        <v>0</v>
      </c>
      <c r="BA100" s="74">
        <v>0</v>
      </c>
      <c r="BB100" s="74">
        <v>0</v>
      </c>
      <c r="BC100" s="74">
        <v>0</v>
      </c>
      <c r="BD100" s="74">
        <v>0</v>
      </c>
      <c r="BE100" s="74">
        <v>0</v>
      </c>
      <c r="BF100" s="74">
        <v>0</v>
      </c>
      <c r="BG100" s="74">
        <v>0</v>
      </c>
      <c r="BH100" s="74">
        <v>0</v>
      </c>
      <c r="BI100" s="74">
        <v>0</v>
      </c>
      <c r="BJ100" s="74">
        <v>0</v>
      </c>
      <c r="BK100" s="74">
        <v>0</v>
      </c>
      <c r="BL100" s="74">
        <v>0</v>
      </c>
      <c r="BM100" s="74">
        <v>0</v>
      </c>
      <c r="BN100" s="74">
        <v>0</v>
      </c>
      <c r="BO100" s="74">
        <v>0</v>
      </c>
      <c r="BP100" s="74">
        <v>0</v>
      </c>
      <c r="BQ100" s="74">
        <v>0</v>
      </c>
      <c r="BR100" s="74">
        <v>0</v>
      </c>
      <c r="BS100" s="74">
        <v>0</v>
      </c>
      <c r="BT100" s="74">
        <v>0</v>
      </c>
      <c r="BU100" s="74">
        <v>0</v>
      </c>
      <c r="BV100" s="74">
        <v>0</v>
      </c>
      <c r="BW100" s="74">
        <v>0</v>
      </c>
      <c r="BX100" s="74">
        <v>0</v>
      </c>
      <c r="BY100" s="74">
        <v>0</v>
      </c>
      <c r="BZ100" s="74">
        <v>0</v>
      </c>
      <c r="CA100" s="74">
        <v>0</v>
      </c>
      <c r="CB100" s="74">
        <v>0</v>
      </c>
      <c r="CC100" s="74">
        <v>0</v>
      </c>
      <c r="CD100" s="74">
        <v>0</v>
      </c>
      <c r="CE100" s="74">
        <v>0</v>
      </c>
      <c r="CF100" s="74">
        <v>0</v>
      </c>
      <c r="CG100" s="74">
        <v>0</v>
      </c>
      <c r="CH100" s="74">
        <v>0</v>
      </c>
      <c r="CI100" s="74">
        <v>0</v>
      </c>
      <c r="CJ100" s="74">
        <v>0</v>
      </c>
      <c r="CK100" s="74">
        <v>0</v>
      </c>
      <c r="CL100" s="74">
        <v>0</v>
      </c>
      <c r="CM100" s="74">
        <v>0</v>
      </c>
      <c r="CN100" s="74">
        <v>0</v>
      </c>
      <c r="CO100" s="74">
        <v>0</v>
      </c>
      <c r="CP100" s="74">
        <v>0</v>
      </c>
      <c r="CQ100" s="74">
        <v>0</v>
      </c>
      <c r="CR100" s="74">
        <v>0</v>
      </c>
      <c r="CS100" s="74">
        <v>0</v>
      </c>
      <c r="CT100" s="74">
        <v>0</v>
      </c>
      <c r="CU100" s="74">
        <v>0</v>
      </c>
      <c r="CV100" s="74">
        <v>0</v>
      </c>
      <c r="CW100" s="74">
        <v>0</v>
      </c>
      <c r="CX100" s="74">
        <v>0</v>
      </c>
      <c r="CY100" s="74">
        <v>0</v>
      </c>
      <c r="CZ100" s="74">
        <v>0</v>
      </c>
      <c r="DA100" s="74">
        <v>0</v>
      </c>
      <c r="DB100" s="74">
        <v>0</v>
      </c>
      <c r="DC100" s="74">
        <v>0</v>
      </c>
      <c r="DD100" s="74">
        <v>0</v>
      </c>
      <c r="DE100" s="74">
        <v>0</v>
      </c>
      <c r="DF100" s="74">
        <v>0</v>
      </c>
      <c r="DG100" s="74">
        <v>0</v>
      </c>
      <c r="DH100" s="74">
        <v>0</v>
      </c>
      <c r="DI100" s="74">
        <v>0</v>
      </c>
      <c r="DJ100" s="74">
        <v>0</v>
      </c>
      <c r="DK100" s="74">
        <v>0</v>
      </c>
      <c r="DL100" s="74">
        <v>0</v>
      </c>
      <c r="DM100" s="74">
        <v>0</v>
      </c>
      <c r="DN100" s="74">
        <v>0</v>
      </c>
      <c r="DO100" s="74">
        <v>0</v>
      </c>
      <c r="DP100" s="74">
        <v>0</v>
      </c>
      <c r="DQ100" s="74">
        <v>0</v>
      </c>
      <c r="DR100" s="74">
        <v>0</v>
      </c>
      <c r="DS100" s="74">
        <v>0</v>
      </c>
      <c r="DT100" s="74">
        <v>0</v>
      </c>
      <c r="DU100" s="74">
        <v>0</v>
      </c>
      <c r="DV100" s="74">
        <v>0</v>
      </c>
      <c r="DW100" s="74">
        <v>0</v>
      </c>
      <c r="DX100" s="74">
        <v>0</v>
      </c>
      <c r="DY100" s="74">
        <v>0</v>
      </c>
      <c r="DZ100" s="74">
        <v>0</v>
      </c>
      <c r="EA100" s="74">
        <v>0</v>
      </c>
      <c r="EB100" s="74">
        <v>0</v>
      </c>
      <c r="EC100" s="74">
        <v>0</v>
      </c>
      <c r="ED100" s="74"/>
      <c r="EE100" s="80">
        <v>46009</v>
      </c>
      <c r="EF100" s="81">
        <v>46009.5211724537</v>
      </c>
      <c r="EG100" s="66" t="s">
        <v>69</v>
      </c>
      <c r="EH100" s="66" t="s">
        <v>209</v>
      </c>
      <c r="EI100" s="66" t="s">
        <v>6</v>
      </c>
      <c r="EJ100" s="66">
        <v>15</v>
      </c>
      <c r="EK100" s="66">
        <v>2027</v>
      </c>
      <c r="EL100" s="66" t="s">
        <v>24</v>
      </c>
      <c r="EM100" s="82">
        <v>338.17657095145614</v>
      </c>
      <c r="EN100" s="82">
        <v>337.5739809825738</v>
      </c>
      <c r="EO100" s="77">
        <v>227.1146</v>
      </c>
      <c r="EP100" s="84">
        <v>0.13999758052366426</v>
      </c>
      <c r="EQ100" s="84">
        <v>0.14268534690246426</v>
      </c>
      <c r="ER100" s="84">
        <v>4.8599999999999997E-2</v>
      </c>
      <c r="ES100" s="85">
        <v>0.97143267823005075</v>
      </c>
      <c r="ET100" s="86">
        <v>1.3804000000000001</v>
      </c>
      <c r="EU100" s="85">
        <v>0.11535261294006394</v>
      </c>
      <c r="EV100" s="85">
        <v>4.3499999999999997E-2</v>
      </c>
      <c r="EW100" s="76">
        <v>1</v>
      </c>
      <c r="EX100" s="76" t="s">
        <v>32</v>
      </c>
      <c r="EY100" s="74" t="s">
        <v>243</v>
      </c>
      <c r="EZ100" s="74"/>
      <c r="FA100" s="74"/>
      <c r="FB100" s="74"/>
      <c r="FC100" s="74"/>
      <c r="FD100" s="68"/>
      <c r="FH100" s="73"/>
      <c r="FI100" s="74"/>
      <c r="FJ100" s="74"/>
      <c r="FK100" s="74"/>
      <c r="FL100" s="74"/>
      <c r="FM100" s="74"/>
      <c r="FN100" s="74"/>
      <c r="FO100" s="74"/>
      <c r="FP100" s="74"/>
      <c r="FQ100" s="74"/>
      <c r="FR100" s="74"/>
      <c r="FS100" s="74"/>
      <c r="FT100" s="74"/>
      <c r="FU100" s="74"/>
      <c r="FV100" s="74"/>
      <c r="FW100" s="74"/>
      <c r="FX100" s="74"/>
      <c r="FY100" s="74"/>
      <c r="FZ100" s="74"/>
      <c r="GA100" s="68"/>
    </row>
    <row r="101" spans="1:183" s="2" customFormat="1" ht="15" x14ac:dyDescent="0.3">
      <c r="A101" s="73" t="s">
        <v>208</v>
      </c>
      <c r="B101" s="73" t="s">
        <v>240</v>
      </c>
      <c r="C101" s="73" t="s">
        <v>226</v>
      </c>
      <c r="D101" s="73" t="s">
        <v>48</v>
      </c>
      <c r="E101" s="73" t="s">
        <v>178</v>
      </c>
      <c r="F101" s="73" t="s">
        <v>210</v>
      </c>
      <c r="G101" s="73" t="s">
        <v>223</v>
      </c>
      <c r="H101" s="73"/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74">
        <v>0</v>
      </c>
      <c r="O101" s="74">
        <v>0</v>
      </c>
      <c r="P101" s="74">
        <v>76747.333333333328</v>
      </c>
      <c r="Q101" s="74">
        <v>86277.482758620696</v>
      </c>
      <c r="R101" s="74">
        <v>106349.68292682926</v>
      </c>
      <c r="S101" s="74">
        <v>127260.55</v>
      </c>
      <c r="T101" s="74">
        <v>151474.4705882353</v>
      </c>
      <c r="U101" s="74">
        <v>0</v>
      </c>
      <c r="V101" s="74">
        <v>0</v>
      </c>
      <c r="W101" s="74">
        <v>0</v>
      </c>
      <c r="X101" s="74">
        <v>0</v>
      </c>
      <c r="Y101" s="74">
        <v>0</v>
      </c>
      <c r="Z101" s="74">
        <v>0</v>
      </c>
      <c r="AA101" s="74">
        <v>0</v>
      </c>
      <c r="AB101" s="74">
        <v>0</v>
      </c>
      <c r="AC101" s="74">
        <v>0</v>
      </c>
      <c r="AD101" s="74">
        <v>0</v>
      </c>
      <c r="AE101" s="74">
        <v>0</v>
      </c>
      <c r="AF101" s="74">
        <v>0</v>
      </c>
      <c r="AG101" s="74">
        <v>0</v>
      </c>
      <c r="AH101" s="74">
        <v>0</v>
      </c>
      <c r="AI101" s="74">
        <v>0</v>
      </c>
      <c r="AJ101" s="74">
        <v>0</v>
      </c>
      <c r="AK101" s="74"/>
      <c r="AL101" s="74">
        <v>0</v>
      </c>
      <c r="AM101" s="74">
        <v>0</v>
      </c>
      <c r="AN101" s="74">
        <v>0</v>
      </c>
      <c r="AO101" s="74">
        <v>0</v>
      </c>
      <c r="AP101" s="74">
        <v>0</v>
      </c>
      <c r="AQ101" s="74">
        <v>0</v>
      </c>
      <c r="AR101" s="74">
        <v>0</v>
      </c>
      <c r="AS101" s="74">
        <v>0</v>
      </c>
      <c r="AT101" s="74">
        <v>0</v>
      </c>
      <c r="AU101" s="74">
        <v>0</v>
      </c>
      <c r="AV101" s="74">
        <v>0</v>
      </c>
      <c r="AW101" s="74">
        <v>0</v>
      </c>
      <c r="AX101" s="74">
        <v>0</v>
      </c>
      <c r="AY101" s="74">
        <v>0</v>
      </c>
      <c r="AZ101" s="74">
        <v>0</v>
      </c>
      <c r="BA101" s="74">
        <v>0</v>
      </c>
      <c r="BB101" s="74">
        <v>0</v>
      </c>
      <c r="BC101" s="74">
        <v>0</v>
      </c>
      <c r="BD101" s="74">
        <v>0</v>
      </c>
      <c r="BE101" s="74">
        <v>0</v>
      </c>
      <c r="BF101" s="74">
        <v>0</v>
      </c>
      <c r="BG101" s="74">
        <v>0</v>
      </c>
      <c r="BH101" s="74">
        <v>0</v>
      </c>
      <c r="BI101" s="74">
        <v>0</v>
      </c>
      <c r="BJ101" s="74">
        <v>0</v>
      </c>
      <c r="BK101" s="74">
        <v>0</v>
      </c>
      <c r="BL101" s="74">
        <v>0</v>
      </c>
      <c r="BM101" s="74">
        <v>0</v>
      </c>
      <c r="BN101" s="74">
        <v>0</v>
      </c>
      <c r="BO101" s="74">
        <v>0</v>
      </c>
      <c r="BP101" s="74">
        <v>0</v>
      </c>
      <c r="BQ101" s="74">
        <v>0</v>
      </c>
      <c r="BR101" s="74">
        <v>0</v>
      </c>
      <c r="BS101" s="74">
        <v>0</v>
      </c>
      <c r="BT101" s="74">
        <v>0</v>
      </c>
      <c r="BU101" s="74">
        <v>0</v>
      </c>
      <c r="BV101" s="74">
        <v>0</v>
      </c>
      <c r="BW101" s="74">
        <v>0</v>
      </c>
      <c r="BX101" s="74">
        <v>0</v>
      </c>
      <c r="BY101" s="74">
        <v>0</v>
      </c>
      <c r="BZ101" s="74">
        <v>0</v>
      </c>
      <c r="CA101" s="74">
        <v>0</v>
      </c>
      <c r="CB101" s="74">
        <v>0</v>
      </c>
      <c r="CC101" s="74">
        <v>0</v>
      </c>
      <c r="CD101" s="74">
        <v>0</v>
      </c>
      <c r="CE101" s="74">
        <v>0</v>
      </c>
      <c r="CF101" s="74">
        <v>0</v>
      </c>
      <c r="CG101" s="74">
        <v>0</v>
      </c>
      <c r="CH101" s="74">
        <v>0</v>
      </c>
      <c r="CI101" s="74">
        <v>0</v>
      </c>
      <c r="CJ101" s="74">
        <v>0</v>
      </c>
      <c r="CK101" s="74">
        <v>0</v>
      </c>
      <c r="CL101" s="74">
        <v>0</v>
      </c>
      <c r="CM101" s="74">
        <v>0</v>
      </c>
      <c r="CN101" s="74">
        <v>0</v>
      </c>
      <c r="CO101" s="74">
        <v>0</v>
      </c>
      <c r="CP101" s="74">
        <v>0</v>
      </c>
      <c r="CQ101" s="74">
        <v>0</v>
      </c>
      <c r="CR101" s="74">
        <v>0</v>
      </c>
      <c r="CS101" s="74">
        <v>0</v>
      </c>
      <c r="CT101" s="74">
        <v>0</v>
      </c>
      <c r="CU101" s="74">
        <v>0</v>
      </c>
      <c r="CV101" s="74">
        <v>0</v>
      </c>
      <c r="CW101" s="74">
        <v>0</v>
      </c>
      <c r="CX101" s="74">
        <v>0</v>
      </c>
      <c r="CY101" s="74">
        <v>0</v>
      </c>
      <c r="CZ101" s="74">
        <v>0</v>
      </c>
      <c r="DA101" s="74">
        <v>0</v>
      </c>
      <c r="DB101" s="74">
        <v>0</v>
      </c>
      <c r="DC101" s="74">
        <v>0</v>
      </c>
      <c r="DD101" s="74">
        <v>0</v>
      </c>
      <c r="DE101" s="74">
        <v>0</v>
      </c>
      <c r="DF101" s="74">
        <v>0</v>
      </c>
      <c r="DG101" s="74">
        <v>0</v>
      </c>
      <c r="DH101" s="74">
        <v>0</v>
      </c>
      <c r="DI101" s="74">
        <v>0</v>
      </c>
      <c r="DJ101" s="74">
        <v>0</v>
      </c>
      <c r="DK101" s="74">
        <v>0</v>
      </c>
      <c r="DL101" s="74">
        <v>0</v>
      </c>
      <c r="DM101" s="74">
        <v>0</v>
      </c>
      <c r="DN101" s="74">
        <v>0</v>
      </c>
      <c r="DO101" s="74">
        <v>0</v>
      </c>
      <c r="DP101" s="74">
        <v>0</v>
      </c>
      <c r="DQ101" s="74">
        <v>0</v>
      </c>
      <c r="DR101" s="74">
        <v>0</v>
      </c>
      <c r="DS101" s="74">
        <v>0</v>
      </c>
      <c r="DT101" s="74">
        <v>0</v>
      </c>
      <c r="DU101" s="74">
        <v>0</v>
      </c>
      <c r="DV101" s="74">
        <v>0</v>
      </c>
      <c r="DW101" s="74">
        <v>0</v>
      </c>
      <c r="DX101" s="74">
        <v>0</v>
      </c>
      <c r="DY101" s="74">
        <v>0</v>
      </c>
      <c r="DZ101" s="74">
        <v>0</v>
      </c>
      <c r="EA101" s="74">
        <v>0</v>
      </c>
      <c r="EB101" s="74">
        <v>0</v>
      </c>
      <c r="EC101" s="74">
        <v>0</v>
      </c>
      <c r="ED101" s="74"/>
      <c r="EE101" s="80">
        <v>46009</v>
      </c>
      <c r="EF101" s="81">
        <v>46009.5211724537</v>
      </c>
      <c r="EG101" s="66" t="s">
        <v>69</v>
      </c>
      <c r="EH101" s="66" t="s">
        <v>209</v>
      </c>
      <c r="EI101" s="66" t="s">
        <v>6</v>
      </c>
      <c r="EJ101" s="66">
        <v>15</v>
      </c>
      <c r="EK101" s="66">
        <v>2027</v>
      </c>
      <c r="EL101" s="66" t="s">
        <v>24</v>
      </c>
      <c r="EM101" s="82">
        <v>338.17657095145614</v>
      </c>
      <c r="EN101" s="82">
        <v>337.5739809825738</v>
      </c>
      <c r="EO101" s="77">
        <v>227.1146</v>
      </c>
      <c r="EP101" s="84">
        <v>0.13999758052366426</v>
      </c>
      <c r="EQ101" s="84">
        <v>0.14268534690246426</v>
      </c>
      <c r="ER101" s="84">
        <v>4.8599999999999997E-2</v>
      </c>
      <c r="ES101" s="85">
        <v>0.97143267823005075</v>
      </c>
      <c r="ET101" s="86">
        <v>1.3804000000000001</v>
      </c>
      <c r="EU101" s="85">
        <v>0.11535261294006394</v>
      </c>
      <c r="EV101" s="85">
        <v>4.3499999999999997E-2</v>
      </c>
      <c r="EW101" s="76">
        <v>1</v>
      </c>
      <c r="EX101" s="76" t="s">
        <v>32</v>
      </c>
      <c r="EY101" s="74" t="s">
        <v>243</v>
      </c>
      <c r="EZ101" s="74"/>
      <c r="FA101" s="74"/>
      <c r="FB101" s="74"/>
      <c r="FC101" s="74"/>
      <c r="FD101" s="68"/>
      <c r="FH101" s="73"/>
      <c r="FI101" s="74"/>
      <c r="FJ101" s="74"/>
      <c r="FK101" s="74"/>
      <c r="FL101" s="74"/>
      <c r="FM101" s="74"/>
      <c r="FN101" s="74"/>
      <c r="FO101" s="74"/>
      <c r="FP101" s="74"/>
      <c r="FQ101" s="74"/>
      <c r="FR101" s="74"/>
      <c r="FS101" s="74"/>
      <c r="FT101" s="74"/>
      <c r="FU101" s="74"/>
      <c r="FV101" s="74"/>
      <c r="FW101" s="74"/>
      <c r="FX101" s="74"/>
      <c r="FY101" s="74"/>
      <c r="FZ101" s="74"/>
      <c r="GA101" s="68"/>
    </row>
    <row r="102" spans="1:183" s="2" customFormat="1" ht="15" x14ac:dyDescent="0.3">
      <c r="A102" s="73" t="s">
        <v>49</v>
      </c>
      <c r="B102" s="73" t="s">
        <v>50</v>
      </c>
      <c r="C102" s="73" t="s">
        <v>222</v>
      </c>
      <c r="D102" s="73" t="s">
        <v>45</v>
      </c>
      <c r="E102" s="73" t="s">
        <v>178</v>
      </c>
      <c r="F102" s="73" t="s">
        <v>210</v>
      </c>
      <c r="G102" s="73" t="s">
        <v>227</v>
      </c>
      <c r="H102" s="73"/>
      <c r="I102" s="74">
        <v>0</v>
      </c>
      <c r="J102" s="74">
        <v>0</v>
      </c>
      <c r="K102" s="74">
        <v>0</v>
      </c>
      <c r="L102" s="74">
        <v>0</v>
      </c>
      <c r="M102" s="74">
        <v>307464.71000000002</v>
      </c>
      <c r="N102" s="74">
        <v>353785.60000000009</v>
      </c>
      <c r="O102" s="74">
        <v>390473.88</v>
      </c>
      <c r="P102" s="74">
        <v>427522.46</v>
      </c>
      <c r="Q102" s="74">
        <v>474549.93060000008</v>
      </c>
      <c r="R102" s="74">
        <v>522004.92366000015</v>
      </c>
      <c r="S102" s="74">
        <v>600305.66220900009</v>
      </c>
      <c r="T102" s="74">
        <v>690351.51154035004</v>
      </c>
      <c r="U102" s="74">
        <v>0</v>
      </c>
      <c r="V102" s="74">
        <v>0</v>
      </c>
      <c r="W102" s="74">
        <v>0</v>
      </c>
      <c r="X102" s="74">
        <v>0</v>
      </c>
      <c r="Y102" s="74">
        <v>0</v>
      </c>
      <c r="Z102" s="74">
        <v>0</v>
      </c>
      <c r="AA102" s="74">
        <v>0</v>
      </c>
      <c r="AB102" s="74">
        <v>0</v>
      </c>
      <c r="AC102" s="74">
        <v>0</v>
      </c>
      <c r="AD102" s="74">
        <v>0</v>
      </c>
      <c r="AE102" s="74">
        <v>0</v>
      </c>
      <c r="AF102" s="74">
        <v>0</v>
      </c>
      <c r="AG102" s="74">
        <v>0</v>
      </c>
      <c r="AH102" s="74">
        <v>0</v>
      </c>
      <c r="AI102" s="74">
        <v>0</v>
      </c>
      <c r="AJ102" s="74">
        <v>0</v>
      </c>
      <c r="AK102" s="74"/>
      <c r="AL102" s="74">
        <v>68227.960000000006</v>
      </c>
      <c r="AM102" s="74">
        <v>71603</v>
      </c>
      <c r="AN102" s="74">
        <v>75390.549999999988</v>
      </c>
      <c r="AO102" s="74">
        <v>92243.200000000012</v>
      </c>
      <c r="AP102" s="74">
        <v>77553.280000000013</v>
      </c>
      <c r="AQ102" s="74">
        <v>83361.600000000006</v>
      </c>
      <c r="AR102" s="74">
        <v>88304.16</v>
      </c>
      <c r="AS102" s="74">
        <v>104566.56000000001</v>
      </c>
      <c r="AT102" s="74">
        <v>86106.72</v>
      </c>
      <c r="AU102" s="74">
        <v>91626.060000000012</v>
      </c>
      <c r="AV102" s="74">
        <v>96675.700000000012</v>
      </c>
      <c r="AW102" s="74">
        <v>116065.40000000001</v>
      </c>
      <c r="AX102" s="74">
        <v>92384.87000000001</v>
      </c>
      <c r="AY102" s="74">
        <v>98135.97</v>
      </c>
      <c r="AZ102" s="74">
        <v>105090.70000000001</v>
      </c>
      <c r="BA102" s="74">
        <v>128300.46</v>
      </c>
      <c r="BB102" s="74">
        <v>106820.04999999999</v>
      </c>
      <c r="BC102" s="74">
        <v>115078.2</v>
      </c>
      <c r="BD102" s="74">
        <v>122207.04999999999</v>
      </c>
      <c r="BE102" s="74">
        <v>147545.52900000001</v>
      </c>
      <c r="BF102" s="74">
        <v>122843.05749999998</v>
      </c>
      <c r="BG102" s="74">
        <v>132339.93</v>
      </c>
      <c r="BH102" s="74">
        <v>140538.10749999998</v>
      </c>
      <c r="BI102" s="74">
        <v>169677.35834999999</v>
      </c>
      <c r="BJ102" s="74">
        <v>135479.90399627481</v>
      </c>
      <c r="BK102" s="74">
        <v>146062.91630565692</v>
      </c>
      <c r="BL102" s="74">
        <v>155240.79594139897</v>
      </c>
      <c r="BM102" s="74">
        <v>189970.8035586061</v>
      </c>
      <c r="BN102" s="74">
        <v>149416.7009547108</v>
      </c>
      <c r="BO102" s="74">
        <v>161208.90739260131</v>
      </c>
      <c r="BP102" s="74">
        <v>171481.63692555117</v>
      </c>
      <c r="BQ102" s="74">
        <v>212691.34877890153</v>
      </c>
      <c r="BR102" s="74">
        <v>0</v>
      </c>
      <c r="BS102" s="74">
        <v>0</v>
      </c>
      <c r="BT102" s="74">
        <v>0</v>
      </c>
      <c r="BU102" s="74">
        <v>0</v>
      </c>
      <c r="BV102" s="74">
        <v>0</v>
      </c>
      <c r="BW102" s="74">
        <v>0</v>
      </c>
      <c r="BX102" s="74">
        <v>0</v>
      </c>
      <c r="BY102" s="74">
        <v>0</v>
      </c>
      <c r="BZ102" s="74">
        <v>0</v>
      </c>
      <c r="CA102" s="74">
        <v>0</v>
      </c>
      <c r="CB102" s="74">
        <v>0</v>
      </c>
      <c r="CC102" s="74">
        <v>0</v>
      </c>
      <c r="CD102" s="74">
        <v>0</v>
      </c>
      <c r="CE102" s="74">
        <v>0</v>
      </c>
      <c r="CF102" s="74">
        <v>0</v>
      </c>
      <c r="CG102" s="74">
        <v>0</v>
      </c>
      <c r="CH102" s="74">
        <v>0</v>
      </c>
      <c r="CI102" s="74">
        <v>0</v>
      </c>
      <c r="CJ102" s="74">
        <v>0</v>
      </c>
      <c r="CK102" s="74">
        <v>0</v>
      </c>
      <c r="CL102" s="74">
        <v>0</v>
      </c>
      <c r="CM102" s="74">
        <v>0</v>
      </c>
      <c r="CN102" s="74">
        <v>0</v>
      </c>
      <c r="CO102" s="74">
        <v>0</v>
      </c>
      <c r="CP102" s="74">
        <v>0</v>
      </c>
      <c r="CQ102" s="74">
        <v>0</v>
      </c>
      <c r="CR102" s="74">
        <v>0</v>
      </c>
      <c r="CS102" s="74">
        <v>0</v>
      </c>
      <c r="CT102" s="74">
        <v>0</v>
      </c>
      <c r="CU102" s="74">
        <v>0</v>
      </c>
      <c r="CV102" s="74">
        <v>0</v>
      </c>
      <c r="CW102" s="74">
        <v>0</v>
      </c>
      <c r="CX102" s="74">
        <v>0</v>
      </c>
      <c r="CY102" s="74">
        <v>0</v>
      </c>
      <c r="CZ102" s="74">
        <v>0</v>
      </c>
      <c r="DA102" s="74">
        <v>0</v>
      </c>
      <c r="DB102" s="74">
        <v>0</v>
      </c>
      <c r="DC102" s="74">
        <v>0</v>
      </c>
      <c r="DD102" s="74">
        <v>0</v>
      </c>
      <c r="DE102" s="74">
        <v>0</v>
      </c>
      <c r="DF102" s="74">
        <v>0</v>
      </c>
      <c r="DG102" s="74">
        <v>0</v>
      </c>
      <c r="DH102" s="74">
        <v>0</v>
      </c>
      <c r="DI102" s="74">
        <v>0</v>
      </c>
      <c r="DJ102" s="74">
        <v>0</v>
      </c>
      <c r="DK102" s="74">
        <v>0</v>
      </c>
      <c r="DL102" s="74">
        <v>0</v>
      </c>
      <c r="DM102" s="74">
        <v>0</v>
      </c>
      <c r="DN102" s="74">
        <v>0</v>
      </c>
      <c r="DO102" s="74">
        <v>0</v>
      </c>
      <c r="DP102" s="74">
        <v>0</v>
      </c>
      <c r="DQ102" s="74">
        <v>0</v>
      </c>
      <c r="DR102" s="74">
        <v>0</v>
      </c>
      <c r="DS102" s="74">
        <v>0</v>
      </c>
      <c r="DT102" s="74">
        <v>0</v>
      </c>
      <c r="DU102" s="74">
        <v>0</v>
      </c>
      <c r="DV102" s="74">
        <v>0</v>
      </c>
      <c r="DW102" s="74">
        <v>0</v>
      </c>
      <c r="DX102" s="74">
        <v>0</v>
      </c>
      <c r="DY102" s="74">
        <v>0</v>
      </c>
      <c r="DZ102" s="74">
        <v>0</v>
      </c>
      <c r="EA102" s="74">
        <v>0</v>
      </c>
      <c r="EB102" s="74">
        <v>0</v>
      </c>
      <c r="EC102" s="74">
        <v>0</v>
      </c>
      <c r="ED102" s="74"/>
      <c r="EE102" s="80">
        <v>46009</v>
      </c>
      <c r="EF102" s="81">
        <v>46009.5211724537</v>
      </c>
      <c r="EG102" s="66" t="s">
        <v>69</v>
      </c>
      <c r="EH102" s="66" t="s">
        <v>209</v>
      </c>
      <c r="EI102" s="66" t="s">
        <v>6</v>
      </c>
      <c r="EJ102" s="66">
        <v>15</v>
      </c>
      <c r="EK102" s="66">
        <v>2027</v>
      </c>
      <c r="EL102" s="66" t="s">
        <v>24</v>
      </c>
      <c r="EM102" s="82">
        <v>338.17657095145614</v>
      </c>
      <c r="EN102" s="82">
        <v>337.5739809825738</v>
      </c>
      <c r="EO102" s="77">
        <v>227.1146</v>
      </c>
      <c r="EP102" s="84">
        <v>0.13999758052366426</v>
      </c>
      <c r="EQ102" s="84">
        <v>0.14268534690246426</v>
      </c>
      <c r="ER102" s="84">
        <v>4.8599999999999997E-2</v>
      </c>
      <c r="ES102" s="85">
        <v>0.97143267823005075</v>
      </c>
      <c r="ET102" s="86">
        <v>1.3804000000000001</v>
      </c>
      <c r="EU102" s="85">
        <v>0.11535261294006394</v>
      </c>
      <c r="EV102" s="85">
        <v>4.3499999999999997E-2</v>
      </c>
      <c r="EW102" s="76">
        <v>1</v>
      </c>
      <c r="EX102" s="76" t="s">
        <v>32</v>
      </c>
      <c r="EY102" s="74" t="s">
        <v>243</v>
      </c>
      <c r="EZ102" s="74"/>
      <c r="FA102" s="74"/>
      <c r="FB102" s="74"/>
      <c r="FC102" s="74"/>
      <c r="FD102" s="68"/>
      <c r="FH102" s="73"/>
      <c r="FI102" s="74"/>
      <c r="FJ102" s="74"/>
      <c r="FK102" s="74"/>
      <c r="FL102" s="74"/>
      <c r="FM102" s="74"/>
      <c r="FN102" s="74"/>
      <c r="FO102" s="74"/>
      <c r="FP102" s="74"/>
      <c r="FQ102" s="74"/>
      <c r="FR102" s="74"/>
      <c r="FS102" s="74"/>
      <c r="FT102" s="74"/>
      <c r="FU102" s="74"/>
      <c r="FV102" s="74"/>
      <c r="FW102" s="74"/>
      <c r="FX102" s="74"/>
      <c r="FY102" s="74"/>
      <c r="FZ102" s="74"/>
      <c r="GA102" s="68"/>
    </row>
    <row r="103" spans="1:183" s="2" customFormat="1" ht="15" x14ac:dyDescent="0.3">
      <c r="A103" s="73" t="s">
        <v>29</v>
      </c>
      <c r="B103" s="73" t="s">
        <v>51</v>
      </c>
      <c r="C103" s="73" t="s">
        <v>224</v>
      </c>
      <c r="D103" s="73" t="s">
        <v>46</v>
      </c>
      <c r="E103" s="73" t="s">
        <v>178</v>
      </c>
      <c r="F103" s="73" t="s">
        <v>210</v>
      </c>
      <c r="G103" s="73" t="s">
        <v>227</v>
      </c>
      <c r="H103" s="73"/>
      <c r="I103" s="74">
        <v>0</v>
      </c>
      <c r="J103" s="74">
        <v>0</v>
      </c>
      <c r="K103" s="74">
        <v>0</v>
      </c>
      <c r="L103" s="74">
        <v>0</v>
      </c>
      <c r="M103" s="74">
        <v>121932.95999999999</v>
      </c>
      <c r="N103" s="74">
        <v>126327.24</v>
      </c>
      <c r="O103" s="74">
        <v>146048.72000000003</v>
      </c>
      <c r="P103" s="74">
        <v>161103</v>
      </c>
      <c r="Q103" s="74">
        <v>177213.30000000002</v>
      </c>
      <c r="R103" s="74">
        <v>198478.89600000004</v>
      </c>
      <c r="S103" s="74">
        <v>238174.67520000003</v>
      </c>
      <c r="T103" s="74">
        <v>285809.61024000001</v>
      </c>
      <c r="U103" s="74">
        <v>0</v>
      </c>
      <c r="V103" s="74">
        <v>0</v>
      </c>
      <c r="W103" s="74">
        <v>0</v>
      </c>
      <c r="X103" s="74">
        <v>0</v>
      </c>
      <c r="Y103" s="74">
        <v>0</v>
      </c>
      <c r="Z103" s="74">
        <v>0</v>
      </c>
      <c r="AA103" s="74">
        <v>0</v>
      </c>
      <c r="AB103" s="74">
        <v>0</v>
      </c>
      <c r="AC103" s="74">
        <v>0</v>
      </c>
      <c r="AD103" s="74">
        <v>0</v>
      </c>
      <c r="AE103" s="74">
        <v>0</v>
      </c>
      <c r="AF103" s="74">
        <v>0</v>
      </c>
      <c r="AG103" s="74">
        <v>0</v>
      </c>
      <c r="AH103" s="74">
        <v>0</v>
      </c>
      <c r="AI103" s="74">
        <v>0</v>
      </c>
      <c r="AJ103" s="74">
        <v>0</v>
      </c>
      <c r="AK103" s="74"/>
      <c r="AL103" s="74">
        <v>28503.57</v>
      </c>
      <c r="AM103" s="74">
        <v>28570.53</v>
      </c>
      <c r="AN103" s="74">
        <v>32059.500000000004</v>
      </c>
      <c r="AO103" s="74">
        <v>32799.360000000001</v>
      </c>
      <c r="AP103" s="74">
        <v>30196.95</v>
      </c>
      <c r="AQ103" s="74">
        <v>28418.25</v>
      </c>
      <c r="AR103" s="74">
        <v>30492.000000000004</v>
      </c>
      <c r="AS103" s="74">
        <v>37220.04</v>
      </c>
      <c r="AT103" s="74">
        <v>33491.449999999997</v>
      </c>
      <c r="AU103" s="74">
        <v>33260.640000000007</v>
      </c>
      <c r="AV103" s="74">
        <v>35029.33</v>
      </c>
      <c r="AW103" s="74">
        <v>44267.3</v>
      </c>
      <c r="AX103" s="74">
        <v>33531.75</v>
      </c>
      <c r="AY103" s="74">
        <v>34512.670000000006</v>
      </c>
      <c r="AZ103" s="74">
        <v>40912.320000000007</v>
      </c>
      <c r="BA103" s="74">
        <v>49932.999999999993</v>
      </c>
      <c r="BB103" s="74">
        <v>40215.599999999999</v>
      </c>
      <c r="BC103" s="74">
        <v>44113.2</v>
      </c>
      <c r="BD103" s="74">
        <v>49075.199999999997</v>
      </c>
      <c r="BE103" s="74">
        <v>59919.599999999991</v>
      </c>
      <c r="BF103" s="74">
        <v>48258.719999999994</v>
      </c>
      <c r="BG103" s="74">
        <v>52935.839999999997</v>
      </c>
      <c r="BH103" s="74">
        <v>58890.239999999998</v>
      </c>
      <c r="BI103" s="74">
        <v>71903.51999999999</v>
      </c>
      <c r="BJ103" s="74">
        <v>50783.462353066003</v>
      </c>
      <c r="BK103" s="74">
        <v>58624.106612880401</v>
      </c>
      <c r="BL103" s="74">
        <v>67040.800751566407</v>
      </c>
      <c r="BM103" s="74">
        <v>75657.593887859344</v>
      </c>
      <c r="BN103" s="74">
        <v>53440.291175672966</v>
      </c>
      <c r="BO103" s="74">
        <v>64923.610849631703</v>
      </c>
      <c r="BP103" s="74">
        <v>76319.420084061931</v>
      </c>
      <c r="BQ103" s="74">
        <v>79607.667509188046</v>
      </c>
      <c r="BR103" s="74">
        <v>0</v>
      </c>
      <c r="BS103" s="74">
        <v>0</v>
      </c>
      <c r="BT103" s="74">
        <v>0</v>
      </c>
      <c r="BU103" s="74">
        <v>0</v>
      </c>
      <c r="BV103" s="74">
        <v>0</v>
      </c>
      <c r="BW103" s="74">
        <v>0</v>
      </c>
      <c r="BX103" s="74">
        <v>0</v>
      </c>
      <c r="BY103" s="74">
        <v>0</v>
      </c>
      <c r="BZ103" s="74">
        <v>0</v>
      </c>
      <c r="CA103" s="74">
        <v>0</v>
      </c>
      <c r="CB103" s="74">
        <v>0</v>
      </c>
      <c r="CC103" s="74">
        <v>0</v>
      </c>
      <c r="CD103" s="74">
        <v>0</v>
      </c>
      <c r="CE103" s="74">
        <v>0</v>
      </c>
      <c r="CF103" s="74">
        <v>0</v>
      </c>
      <c r="CG103" s="74">
        <v>0</v>
      </c>
      <c r="CH103" s="74">
        <v>0</v>
      </c>
      <c r="CI103" s="74">
        <v>0</v>
      </c>
      <c r="CJ103" s="74">
        <v>0</v>
      </c>
      <c r="CK103" s="74">
        <v>0</v>
      </c>
      <c r="CL103" s="74">
        <v>0</v>
      </c>
      <c r="CM103" s="74">
        <v>0</v>
      </c>
      <c r="CN103" s="74">
        <v>0</v>
      </c>
      <c r="CO103" s="74">
        <v>0</v>
      </c>
      <c r="CP103" s="74">
        <v>0</v>
      </c>
      <c r="CQ103" s="74">
        <v>0</v>
      </c>
      <c r="CR103" s="74">
        <v>0</v>
      </c>
      <c r="CS103" s="74">
        <v>0</v>
      </c>
      <c r="CT103" s="74">
        <v>0</v>
      </c>
      <c r="CU103" s="74">
        <v>0</v>
      </c>
      <c r="CV103" s="74">
        <v>0</v>
      </c>
      <c r="CW103" s="74">
        <v>0</v>
      </c>
      <c r="CX103" s="74">
        <v>0</v>
      </c>
      <c r="CY103" s="74">
        <v>0</v>
      </c>
      <c r="CZ103" s="74">
        <v>0</v>
      </c>
      <c r="DA103" s="74">
        <v>0</v>
      </c>
      <c r="DB103" s="74">
        <v>0</v>
      </c>
      <c r="DC103" s="74">
        <v>0</v>
      </c>
      <c r="DD103" s="74">
        <v>0</v>
      </c>
      <c r="DE103" s="74">
        <v>0</v>
      </c>
      <c r="DF103" s="74">
        <v>0</v>
      </c>
      <c r="DG103" s="74">
        <v>0</v>
      </c>
      <c r="DH103" s="74">
        <v>0</v>
      </c>
      <c r="DI103" s="74">
        <v>0</v>
      </c>
      <c r="DJ103" s="74">
        <v>0</v>
      </c>
      <c r="DK103" s="74">
        <v>0</v>
      </c>
      <c r="DL103" s="74">
        <v>0</v>
      </c>
      <c r="DM103" s="74">
        <v>0</v>
      </c>
      <c r="DN103" s="74">
        <v>0</v>
      </c>
      <c r="DO103" s="74">
        <v>0</v>
      </c>
      <c r="DP103" s="74">
        <v>0</v>
      </c>
      <c r="DQ103" s="74">
        <v>0</v>
      </c>
      <c r="DR103" s="74">
        <v>0</v>
      </c>
      <c r="DS103" s="74">
        <v>0</v>
      </c>
      <c r="DT103" s="74">
        <v>0</v>
      </c>
      <c r="DU103" s="74">
        <v>0</v>
      </c>
      <c r="DV103" s="74">
        <v>0</v>
      </c>
      <c r="DW103" s="74">
        <v>0</v>
      </c>
      <c r="DX103" s="74">
        <v>0</v>
      </c>
      <c r="DY103" s="74">
        <v>0</v>
      </c>
      <c r="DZ103" s="74">
        <v>0</v>
      </c>
      <c r="EA103" s="74">
        <v>0</v>
      </c>
      <c r="EB103" s="74">
        <v>0</v>
      </c>
      <c r="EC103" s="74">
        <v>0</v>
      </c>
      <c r="ED103" s="74"/>
      <c r="EE103" s="80">
        <v>46009</v>
      </c>
      <c r="EF103" s="81">
        <v>46009.5211724537</v>
      </c>
      <c r="EG103" s="66" t="s">
        <v>69</v>
      </c>
      <c r="EH103" s="66" t="s">
        <v>209</v>
      </c>
      <c r="EI103" s="66" t="s">
        <v>6</v>
      </c>
      <c r="EJ103" s="66">
        <v>15</v>
      </c>
      <c r="EK103" s="66">
        <v>2027</v>
      </c>
      <c r="EL103" s="66" t="s">
        <v>24</v>
      </c>
      <c r="EM103" s="82">
        <v>338.17657095145614</v>
      </c>
      <c r="EN103" s="82">
        <v>337.5739809825738</v>
      </c>
      <c r="EO103" s="77">
        <v>227.1146</v>
      </c>
      <c r="EP103" s="84">
        <v>0.13999758052366426</v>
      </c>
      <c r="EQ103" s="84">
        <v>0.14268534690246426</v>
      </c>
      <c r="ER103" s="84">
        <v>4.8599999999999997E-2</v>
      </c>
      <c r="ES103" s="85">
        <v>0.97143267823005075</v>
      </c>
      <c r="ET103" s="86">
        <v>1.3804000000000001</v>
      </c>
      <c r="EU103" s="85">
        <v>0.11535261294006394</v>
      </c>
      <c r="EV103" s="85">
        <v>4.3499999999999997E-2</v>
      </c>
      <c r="EW103" s="76">
        <v>1</v>
      </c>
      <c r="EX103" s="76" t="s">
        <v>32</v>
      </c>
      <c r="EY103" s="74" t="s">
        <v>243</v>
      </c>
      <c r="EZ103" s="74"/>
      <c r="FA103" s="74"/>
      <c r="FB103" s="74"/>
      <c r="FC103" s="74"/>
      <c r="FD103" s="68"/>
      <c r="FH103" s="73"/>
      <c r="FI103" s="74"/>
      <c r="FJ103" s="74"/>
      <c r="FK103" s="74"/>
      <c r="FL103" s="74"/>
      <c r="FM103" s="74"/>
      <c r="FN103" s="74"/>
      <c r="FO103" s="74"/>
      <c r="FP103" s="74"/>
      <c r="FQ103" s="74"/>
      <c r="FR103" s="74"/>
      <c r="FS103" s="74"/>
      <c r="FT103" s="74"/>
      <c r="FU103" s="74"/>
      <c r="FV103" s="74"/>
      <c r="FW103" s="74"/>
      <c r="FX103" s="74"/>
      <c r="FY103" s="74"/>
      <c r="FZ103" s="74"/>
      <c r="GA103" s="68"/>
    </row>
    <row r="104" spans="1:183" s="2" customFormat="1" ht="15" x14ac:dyDescent="0.3">
      <c r="A104" s="73" t="s">
        <v>28</v>
      </c>
      <c r="B104" s="73" t="s">
        <v>27</v>
      </c>
      <c r="C104" s="73" t="s">
        <v>225</v>
      </c>
      <c r="D104" s="73" t="s">
        <v>44</v>
      </c>
      <c r="E104" s="73" t="s">
        <v>178</v>
      </c>
      <c r="F104" s="73" t="s">
        <v>210</v>
      </c>
      <c r="G104" s="73" t="s">
        <v>227</v>
      </c>
      <c r="H104" s="73"/>
      <c r="I104" s="74">
        <v>0</v>
      </c>
      <c r="J104" s="74">
        <v>0</v>
      </c>
      <c r="K104" s="74">
        <v>0</v>
      </c>
      <c r="L104" s="74">
        <v>0</v>
      </c>
      <c r="M104" s="74">
        <v>79396.34</v>
      </c>
      <c r="N104" s="74">
        <v>90433.76</v>
      </c>
      <c r="O104" s="74">
        <v>103491.48000000001</v>
      </c>
      <c r="P104" s="74">
        <v>128264.92</v>
      </c>
      <c r="Q104" s="74">
        <v>153917.90399999998</v>
      </c>
      <c r="R104" s="74">
        <v>189319.02191999997</v>
      </c>
      <c r="S104" s="74">
        <v>236648.77739999996</v>
      </c>
      <c r="T104" s="74">
        <v>295810.97174999997</v>
      </c>
      <c r="U104" s="74">
        <v>0</v>
      </c>
      <c r="V104" s="74">
        <v>0</v>
      </c>
      <c r="W104" s="74">
        <v>0</v>
      </c>
      <c r="X104" s="74">
        <v>0</v>
      </c>
      <c r="Y104" s="74">
        <v>0</v>
      </c>
      <c r="Z104" s="74">
        <v>0</v>
      </c>
      <c r="AA104" s="74">
        <v>0</v>
      </c>
      <c r="AB104" s="74">
        <v>0</v>
      </c>
      <c r="AC104" s="74">
        <v>0</v>
      </c>
      <c r="AD104" s="74">
        <v>0</v>
      </c>
      <c r="AE104" s="74">
        <v>0</v>
      </c>
      <c r="AF104" s="74">
        <v>0</v>
      </c>
      <c r="AG104" s="74">
        <v>0</v>
      </c>
      <c r="AH104" s="74">
        <v>0</v>
      </c>
      <c r="AI104" s="74">
        <v>0</v>
      </c>
      <c r="AJ104" s="74">
        <v>0</v>
      </c>
      <c r="AK104" s="74"/>
      <c r="AL104" s="74">
        <v>17148.810000000001</v>
      </c>
      <c r="AM104" s="74">
        <v>18807.43</v>
      </c>
      <c r="AN104" s="74">
        <v>21748.5</v>
      </c>
      <c r="AO104" s="74">
        <v>21691.599999999999</v>
      </c>
      <c r="AP104" s="74">
        <v>21207.149999999998</v>
      </c>
      <c r="AQ104" s="74">
        <v>22699.85</v>
      </c>
      <c r="AR104" s="74">
        <v>22797.18</v>
      </c>
      <c r="AS104" s="74">
        <v>23729.58</v>
      </c>
      <c r="AT104" s="74">
        <v>24130.019999999997</v>
      </c>
      <c r="AU104" s="74">
        <v>25239.600000000002</v>
      </c>
      <c r="AV104" s="74">
        <v>26287.260000000002</v>
      </c>
      <c r="AW104" s="74">
        <v>27834.6</v>
      </c>
      <c r="AX104" s="74">
        <v>29042.92</v>
      </c>
      <c r="AY104" s="74">
        <v>30223.149999999998</v>
      </c>
      <c r="AZ104" s="74">
        <v>32667.879999999997</v>
      </c>
      <c r="BA104" s="74">
        <v>35118.92</v>
      </c>
      <c r="BB104" s="74">
        <v>36583.75</v>
      </c>
      <c r="BC104" s="74">
        <v>38591.25</v>
      </c>
      <c r="BD104" s="74">
        <v>41257.5</v>
      </c>
      <c r="BE104" s="74">
        <v>43898.649999999994</v>
      </c>
      <c r="BF104" s="74">
        <v>45729.6875</v>
      </c>
      <c r="BG104" s="74">
        <v>48239.0625</v>
      </c>
      <c r="BH104" s="74">
        <v>51571.875</v>
      </c>
      <c r="BI104" s="74">
        <v>54873.312499999993</v>
      </c>
      <c r="BJ104" s="74">
        <v>57162.109375</v>
      </c>
      <c r="BK104" s="74">
        <v>60298.828125</v>
      </c>
      <c r="BL104" s="74">
        <v>64464.84375</v>
      </c>
      <c r="BM104" s="74">
        <v>68591.640624999985</v>
      </c>
      <c r="BN104" s="74">
        <v>71452.63671875</v>
      </c>
      <c r="BO104" s="74">
        <v>75373.53515625</v>
      </c>
      <c r="BP104" s="74">
        <v>80581.0546875</v>
      </c>
      <c r="BQ104" s="74">
        <v>85739.550781249985</v>
      </c>
      <c r="BR104" s="74">
        <v>0</v>
      </c>
      <c r="BS104" s="74">
        <v>0</v>
      </c>
      <c r="BT104" s="74">
        <v>0</v>
      </c>
      <c r="BU104" s="74">
        <v>0</v>
      </c>
      <c r="BV104" s="74">
        <v>0</v>
      </c>
      <c r="BW104" s="74">
        <v>0</v>
      </c>
      <c r="BX104" s="74">
        <v>0</v>
      </c>
      <c r="BY104" s="74">
        <v>0</v>
      </c>
      <c r="BZ104" s="74">
        <v>0</v>
      </c>
      <c r="CA104" s="74">
        <v>0</v>
      </c>
      <c r="CB104" s="74">
        <v>0</v>
      </c>
      <c r="CC104" s="74">
        <v>0</v>
      </c>
      <c r="CD104" s="74">
        <v>0</v>
      </c>
      <c r="CE104" s="74">
        <v>0</v>
      </c>
      <c r="CF104" s="74">
        <v>0</v>
      </c>
      <c r="CG104" s="74">
        <v>0</v>
      </c>
      <c r="CH104" s="74">
        <v>0</v>
      </c>
      <c r="CI104" s="74">
        <v>0</v>
      </c>
      <c r="CJ104" s="74">
        <v>0</v>
      </c>
      <c r="CK104" s="74">
        <v>0</v>
      </c>
      <c r="CL104" s="74">
        <v>0</v>
      </c>
      <c r="CM104" s="74">
        <v>0</v>
      </c>
      <c r="CN104" s="74">
        <v>0</v>
      </c>
      <c r="CO104" s="74">
        <v>0</v>
      </c>
      <c r="CP104" s="74">
        <v>0</v>
      </c>
      <c r="CQ104" s="74">
        <v>0</v>
      </c>
      <c r="CR104" s="74">
        <v>0</v>
      </c>
      <c r="CS104" s="74">
        <v>0</v>
      </c>
      <c r="CT104" s="74">
        <v>0</v>
      </c>
      <c r="CU104" s="74">
        <v>0</v>
      </c>
      <c r="CV104" s="74">
        <v>0</v>
      </c>
      <c r="CW104" s="74">
        <v>0</v>
      </c>
      <c r="CX104" s="74">
        <v>0</v>
      </c>
      <c r="CY104" s="74">
        <v>0</v>
      </c>
      <c r="CZ104" s="74">
        <v>0</v>
      </c>
      <c r="DA104" s="74">
        <v>0</v>
      </c>
      <c r="DB104" s="74">
        <v>0</v>
      </c>
      <c r="DC104" s="74">
        <v>0</v>
      </c>
      <c r="DD104" s="74">
        <v>0</v>
      </c>
      <c r="DE104" s="74">
        <v>0</v>
      </c>
      <c r="DF104" s="74">
        <v>0</v>
      </c>
      <c r="DG104" s="74">
        <v>0</v>
      </c>
      <c r="DH104" s="74">
        <v>0</v>
      </c>
      <c r="DI104" s="74">
        <v>0</v>
      </c>
      <c r="DJ104" s="74">
        <v>0</v>
      </c>
      <c r="DK104" s="74">
        <v>0</v>
      </c>
      <c r="DL104" s="74">
        <v>0</v>
      </c>
      <c r="DM104" s="74">
        <v>0</v>
      </c>
      <c r="DN104" s="74">
        <v>0</v>
      </c>
      <c r="DO104" s="74">
        <v>0</v>
      </c>
      <c r="DP104" s="74">
        <v>0</v>
      </c>
      <c r="DQ104" s="74">
        <v>0</v>
      </c>
      <c r="DR104" s="74">
        <v>0</v>
      </c>
      <c r="DS104" s="74">
        <v>0</v>
      </c>
      <c r="DT104" s="74">
        <v>0</v>
      </c>
      <c r="DU104" s="74">
        <v>0</v>
      </c>
      <c r="DV104" s="74">
        <v>0</v>
      </c>
      <c r="DW104" s="74">
        <v>0</v>
      </c>
      <c r="DX104" s="74">
        <v>0</v>
      </c>
      <c r="DY104" s="74">
        <v>0</v>
      </c>
      <c r="DZ104" s="74">
        <v>0</v>
      </c>
      <c r="EA104" s="74">
        <v>0</v>
      </c>
      <c r="EB104" s="74">
        <v>0</v>
      </c>
      <c r="EC104" s="74">
        <v>0</v>
      </c>
      <c r="ED104" s="74"/>
      <c r="EE104" s="80">
        <v>46009</v>
      </c>
      <c r="EF104" s="81">
        <v>46009.5211724537</v>
      </c>
      <c r="EG104" s="66" t="s">
        <v>69</v>
      </c>
      <c r="EH104" s="66" t="s">
        <v>209</v>
      </c>
      <c r="EI104" s="66" t="s">
        <v>6</v>
      </c>
      <c r="EJ104" s="66">
        <v>15</v>
      </c>
      <c r="EK104" s="66">
        <v>2027</v>
      </c>
      <c r="EL104" s="66" t="s">
        <v>24</v>
      </c>
      <c r="EM104" s="82">
        <v>338.17657095145614</v>
      </c>
      <c r="EN104" s="82">
        <v>337.5739809825738</v>
      </c>
      <c r="EO104" s="77">
        <v>227.1146</v>
      </c>
      <c r="EP104" s="84">
        <v>0.13999758052366426</v>
      </c>
      <c r="EQ104" s="84">
        <v>0.14268534690246426</v>
      </c>
      <c r="ER104" s="84">
        <v>4.8599999999999997E-2</v>
      </c>
      <c r="ES104" s="85">
        <v>0.97143267823005075</v>
      </c>
      <c r="ET104" s="86">
        <v>1.3804000000000001</v>
      </c>
      <c r="EU104" s="85">
        <v>0.11535261294006394</v>
      </c>
      <c r="EV104" s="85">
        <v>4.3499999999999997E-2</v>
      </c>
      <c r="EW104" s="76">
        <v>1</v>
      </c>
      <c r="EX104" s="76" t="s">
        <v>32</v>
      </c>
      <c r="EY104" s="74" t="s">
        <v>243</v>
      </c>
      <c r="EZ104" s="74"/>
      <c r="FA104" s="74"/>
      <c r="FB104" s="74"/>
      <c r="FC104" s="74"/>
      <c r="FD104" s="68"/>
      <c r="FH104" s="73"/>
      <c r="FI104" s="74"/>
      <c r="FJ104" s="74"/>
      <c r="FK104" s="74"/>
      <c r="FL104" s="74"/>
      <c r="FM104" s="74"/>
      <c r="FN104" s="74"/>
      <c r="FO104" s="74"/>
      <c r="FP104" s="74"/>
      <c r="FQ104" s="74"/>
      <c r="FR104" s="74"/>
      <c r="FS104" s="74"/>
      <c r="FT104" s="74"/>
      <c r="FU104" s="74"/>
      <c r="FV104" s="74"/>
      <c r="FW104" s="74"/>
      <c r="FX104" s="74"/>
      <c r="FY104" s="74"/>
      <c r="FZ104" s="74"/>
      <c r="GA104" s="68"/>
    </row>
    <row r="105" spans="1:183" s="2" customFormat="1" ht="15" x14ac:dyDescent="0.3">
      <c r="A105" s="73" t="s">
        <v>158</v>
      </c>
      <c r="B105" s="73" t="s">
        <v>52</v>
      </c>
      <c r="C105" s="73" t="s">
        <v>226</v>
      </c>
      <c r="D105" s="73" t="s">
        <v>45</v>
      </c>
      <c r="E105" s="73" t="s">
        <v>178</v>
      </c>
      <c r="F105" s="73" t="s">
        <v>210</v>
      </c>
      <c r="G105" s="73" t="s">
        <v>227</v>
      </c>
      <c r="H105" s="73"/>
      <c r="I105" s="74">
        <v>0</v>
      </c>
      <c r="J105" s="74">
        <v>0</v>
      </c>
      <c r="K105" s="74">
        <v>0</v>
      </c>
      <c r="L105" s="74">
        <v>0</v>
      </c>
      <c r="M105" s="74">
        <v>933.48495703875847</v>
      </c>
      <c r="N105" s="74">
        <v>4679.4932800000006</v>
      </c>
      <c r="O105" s="74">
        <v>22945.054300000003</v>
      </c>
      <c r="P105" s="74">
        <v>29052.539100000002</v>
      </c>
      <c r="Q105" s="74">
        <v>34642.144933800002</v>
      </c>
      <c r="R105" s="74">
        <v>44370.418511100019</v>
      </c>
      <c r="S105" s="74">
        <v>42021.396354630007</v>
      </c>
      <c r="T105" s="74">
        <v>48324.605807824504</v>
      </c>
      <c r="U105" s="74">
        <v>0</v>
      </c>
      <c r="V105" s="74">
        <v>0</v>
      </c>
      <c r="W105" s="74">
        <v>0</v>
      </c>
      <c r="X105" s="74">
        <v>0</v>
      </c>
      <c r="Y105" s="74">
        <v>0</v>
      </c>
      <c r="Z105" s="74">
        <v>0</v>
      </c>
      <c r="AA105" s="74">
        <v>0</v>
      </c>
      <c r="AB105" s="74">
        <v>0</v>
      </c>
      <c r="AC105" s="74">
        <v>0</v>
      </c>
      <c r="AD105" s="74">
        <v>0</v>
      </c>
      <c r="AE105" s="74">
        <v>0</v>
      </c>
      <c r="AF105" s="74">
        <v>0</v>
      </c>
      <c r="AG105" s="74">
        <v>0</v>
      </c>
      <c r="AH105" s="74">
        <v>0</v>
      </c>
      <c r="AI105" s="74">
        <v>0</v>
      </c>
      <c r="AJ105" s="74">
        <v>0</v>
      </c>
      <c r="AK105" s="74"/>
      <c r="AL105" s="74">
        <v>1063.1928787024451</v>
      </c>
      <c r="AM105" s="74">
        <v>1839.3190783363132</v>
      </c>
      <c r="AN105" s="74">
        <v>-1507.8109999999997</v>
      </c>
      <c r="AO105" s="74">
        <v>-461.21600000000007</v>
      </c>
      <c r="AP105" s="74">
        <v>-1551.0656000000004</v>
      </c>
      <c r="AQ105" s="74">
        <v>-833.6160000000001</v>
      </c>
      <c r="AR105" s="74">
        <v>3090.6456000000003</v>
      </c>
      <c r="AS105" s="74">
        <v>3973.5292800000002</v>
      </c>
      <c r="AT105" s="74">
        <v>5166.4031999999997</v>
      </c>
      <c r="AU105" s="74">
        <v>5497.5636000000004</v>
      </c>
      <c r="AV105" s="74">
        <v>5317.1635000000006</v>
      </c>
      <c r="AW105" s="74">
        <v>6963.924</v>
      </c>
      <c r="AX105" s="74">
        <v>6005.0165500000012</v>
      </c>
      <c r="AY105" s="74">
        <v>5888.1581999999999</v>
      </c>
      <c r="AZ105" s="74">
        <v>8407.2560000000012</v>
      </c>
      <c r="BA105" s="74">
        <v>10905.539100000002</v>
      </c>
      <c r="BB105" s="74">
        <v>6409.2029999999986</v>
      </c>
      <c r="BC105" s="74">
        <v>6904.692</v>
      </c>
      <c r="BD105" s="74">
        <v>7332.4229999999989</v>
      </c>
      <c r="BE105" s="74">
        <v>8852.7317400000011</v>
      </c>
      <c r="BF105" s="74">
        <v>7370.5834499999983</v>
      </c>
      <c r="BG105" s="74">
        <v>7940.3957999999993</v>
      </c>
      <c r="BH105" s="74">
        <v>8432.2864499999996</v>
      </c>
      <c r="BI105" s="74">
        <v>10180.641501</v>
      </c>
      <c r="BJ105" s="74">
        <v>8128.7942397764882</v>
      </c>
      <c r="BK105" s="74">
        <v>8763.7749783394156</v>
      </c>
      <c r="BL105" s="74">
        <v>9314.4477564839381</v>
      </c>
      <c r="BM105" s="74">
        <v>11398.248213516366</v>
      </c>
      <c r="BN105" s="74">
        <v>8965.002057282647</v>
      </c>
      <c r="BO105" s="74">
        <v>9672.5344435560783</v>
      </c>
      <c r="BP105" s="74">
        <v>10288.89821553307</v>
      </c>
      <c r="BQ105" s="74">
        <v>12761.480926734092</v>
      </c>
      <c r="BR105" s="74">
        <v>0</v>
      </c>
      <c r="BS105" s="74">
        <v>0</v>
      </c>
      <c r="BT105" s="74">
        <v>0</v>
      </c>
      <c r="BU105" s="74">
        <v>0</v>
      </c>
      <c r="BV105" s="74">
        <v>0</v>
      </c>
      <c r="BW105" s="74">
        <v>0</v>
      </c>
      <c r="BX105" s="74">
        <v>0</v>
      </c>
      <c r="BY105" s="74">
        <v>0</v>
      </c>
      <c r="BZ105" s="74">
        <v>0</v>
      </c>
      <c r="CA105" s="74">
        <v>0</v>
      </c>
      <c r="CB105" s="74">
        <v>0</v>
      </c>
      <c r="CC105" s="74">
        <v>0</v>
      </c>
      <c r="CD105" s="74">
        <v>0</v>
      </c>
      <c r="CE105" s="74">
        <v>0</v>
      </c>
      <c r="CF105" s="74">
        <v>0</v>
      </c>
      <c r="CG105" s="74">
        <v>0</v>
      </c>
      <c r="CH105" s="74">
        <v>0</v>
      </c>
      <c r="CI105" s="74">
        <v>0</v>
      </c>
      <c r="CJ105" s="74">
        <v>0</v>
      </c>
      <c r="CK105" s="74">
        <v>0</v>
      </c>
      <c r="CL105" s="74">
        <v>0</v>
      </c>
      <c r="CM105" s="74">
        <v>0</v>
      </c>
      <c r="CN105" s="74">
        <v>0</v>
      </c>
      <c r="CO105" s="74">
        <v>0</v>
      </c>
      <c r="CP105" s="74">
        <v>0</v>
      </c>
      <c r="CQ105" s="74">
        <v>0</v>
      </c>
      <c r="CR105" s="74">
        <v>0</v>
      </c>
      <c r="CS105" s="74">
        <v>0</v>
      </c>
      <c r="CT105" s="74">
        <v>0</v>
      </c>
      <c r="CU105" s="74">
        <v>0</v>
      </c>
      <c r="CV105" s="74">
        <v>0</v>
      </c>
      <c r="CW105" s="74">
        <v>0</v>
      </c>
      <c r="CX105" s="74">
        <v>0</v>
      </c>
      <c r="CY105" s="74">
        <v>0</v>
      </c>
      <c r="CZ105" s="74">
        <v>0</v>
      </c>
      <c r="DA105" s="74">
        <v>0</v>
      </c>
      <c r="DB105" s="74">
        <v>0</v>
      </c>
      <c r="DC105" s="74">
        <v>0</v>
      </c>
      <c r="DD105" s="74">
        <v>0</v>
      </c>
      <c r="DE105" s="74">
        <v>0</v>
      </c>
      <c r="DF105" s="74">
        <v>0</v>
      </c>
      <c r="DG105" s="74">
        <v>0</v>
      </c>
      <c r="DH105" s="74">
        <v>0</v>
      </c>
      <c r="DI105" s="74">
        <v>0</v>
      </c>
      <c r="DJ105" s="74">
        <v>0</v>
      </c>
      <c r="DK105" s="74">
        <v>0</v>
      </c>
      <c r="DL105" s="74">
        <v>0</v>
      </c>
      <c r="DM105" s="74">
        <v>0</v>
      </c>
      <c r="DN105" s="74">
        <v>0</v>
      </c>
      <c r="DO105" s="74">
        <v>0</v>
      </c>
      <c r="DP105" s="74">
        <v>0</v>
      </c>
      <c r="DQ105" s="74">
        <v>0</v>
      </c>
      <c r="DR105" s="74">
        <v>0</v>
      </c>
      <c r="DS105" s="74">
        <v>0</v>
      </c>
      <c r="DT105" s="74">
        <v>0</v>
      </c>
      <c r="DU105" s="74">
        <v>0</v>
      </c>
      <c r="DV105" s="74">
        <v>0</v>
      </c>
      <c r="DW105" s="74">
        <v>0</v>
      </c>
      <c r="DX105" s="74">
        <v>0</v>
      </c>
      <c r="DY105" s="74">
        <v>0</v>
      </c>
      <c r="DZ105" s="74">
        <v>0</v>
      </c>
      <c r="EA105" s="74">
        <v>0</v>
      </c>
      <c r="EB105" s="74">
        <v>0</v>
      </c>
      <c r="EC105" s="74">
        <v>0</v>
      </c>
      <c r="ED105" s="74"/>
      <c r="EE105" s="80">
        <v>46009</v>
      </c>
      <c r="EF105" s="81">
        <v>46009.5211724537</v>
      </c>
      <c r="EG105" s="66" t="s">
        <v>69</v>
      </c>
      <c r="EH105" s="66" t="s">
        <v>209</v>
      </c>
      <c r="EI105" s="66" t="s">
        <v>6</v>
      </c>
      <c r="EJ105" s="66">
        <v>15</v>
      </c>
      <c r="EK105" s="66">
        <v>2027</v>
      </c>
      <c r="EL105" s="66" t="s">
        <v>24</v>
      </c>
      <c r="EM105" s="82">
        <v>338.17657095145614</v>
      </c>
      <c r="EN105" s="82">
        <v>337.5739809825738</v>
      </c>
      <c r="EO105" s="77">
        <v>227.1146</v>
      </c>
      <c r="EP105" s="84">
        <v>0.13999758052366426</v>
      </c>
      <c r="EQ105" s="84">
        <v>0.14268534690246426</v>
      </c>
      <c r="ER105" s="84">
        <v>4.8599999999999997E-2</v>
      </c>
      <c r="ES105" s="85">
        <v>0.97143267823005075</v>
      </c>
      <c r="ET105" s="86">
        <v>1.3804000000000001</v>
      </c>
      <c r="EU105" s="85">
        <v>0.11535261294006394</v>
      </c>
      <c r="EV105" s="85">
        <v>4.3499999999999997E-2</v>
      </c>
      <c r="EW105" s="76">
        <v>1</v>
      </c>
      <c r="EX105" s="76" t="s">
        <v>32</v>
      </c>
      <c r="EY105" s="74" t="s">
        <v>243</v>
      </c>
      <c r="EZ105" s="74"/>
      <c r="FA105" s="74"/>
      <c r="FB105" s="74"/>
      <c r="FC105" s="74"/>
      <c r="FD105" s="68"/>
      <c r="FH105" s="73"/>
      <c r="FI105" s="74"/>
      <c r="FJ105" s="74"/>
      <c r="FK105" s="74"/>
      <c r="FL105" s="74"/>
      <c r="FM105" s="74"/>
      <c r="FN105" s="74"/>
      <c r="FO105" s="74"/>
      <c r="FP105" s="74"/>
      <c r="FQ105" s="74"/>
      <c r="FR105" s="74"/>
      <c r="FS105" s="74"/>
      <c r="FT105" s="74"/>
      <c r="FU105" s="74"/>
      <c r="FV105" s="74"/>
      <c r="FW105" s="74"/>
      <c r="FX105" s="74"/>
      <c r="FY105" s="74"/>
      <c r="FZ105" s="74"/>
      <c r="GA105" s="68"/>
    </row>
    <row r="106" spans="1:183" s="2" customFormat="1" ht="15" x14ac:dyDescent="0.3">
      <c r="A106" s="73" t="s">
        <v>33</v>
      </c>
      <c r="B106" s="73" t="s">
        <v>53</v>
      </c>
      <c r="C106" s="73" t="s">
        <v>47</v>
      </c>
      <c r="D106" s="73" t="s">
        <v>46</v>
      </c>
      <c r="E106" s="73" t="s">
        <v>178</v>
      </c>
      <c r="F106" s="73" t="s">
        <v>210</v>
      </c>
      <c r="G106" s="73" t="s">
        <v>227</v>
      </c>
      <c r="H106" s="73"/>
      <c r="I106" s="74">
        <v>0</v>
      </c>
      <c r="J106" s="74">
        <v>0</v>
      </c>
      <c r="K106" s="74">
        <v>0</v>
      </c>
      <c r="L106" s="74">
        <v>0</v>
      </c>
      <c r="M106" s="74">
        <v>-6861.2493518291294</v>
      </c>
      <c r="N106" s="74">
        <v>-4285.0007999999998</v>
      </c>
      <c r="O106" s="74">
        <v>3466.7897000000012</v>
      </c>
      <c r="P106" s="74">
        <v>5956.9849999999997</v>
      </c>
      <c r="Q106" s="74">
        <v>8860.6650000000009</v>
      </c>
      <c r="R106" s="74">
        <v>11908.733760000001</v>
      </c>
      <c r="S106" s="74">
        <v>9526.9870080000019</v>
      </c>
      <c r="T106" s="74">
        <v>12861.432460800001</v>
      </c>
      <c r="U106" s="74">
        <v>0</v>
      </c>
      <c r="V106" s="74">
        <v>0</v>
      </c>
      <c r="W106" s="74">
        <v>0</v>
      </c>
      <c r="X106" s="74">
        <v>0</v>
      </c>
      <c r="Y106" s="74">
        <v>0</v>
      </c>
      <c r="Z106" s="74">
        <v>0</v>
      </c>
      <c r="AA106" s="74">
        <v>0</v>
      </c>
      <c r="AB106" s="74">
        <v>0</v>
      </c>
      <c r="AC106" s="74">
        <v>0</v>
      </c>
      <c r="AD106" s="74">
        <v>0</v>
      </c>
      <c r="AE106" s="74">
        <v>0</v>
      </c>
      <c r="AF106" s="74">
        <v>0</v>
      </c>
      <c r="AG106" s="74">
        <v>0</v>
      </c>
      <c r="AH106" s="74">
        <v>0</v>
      </c>
      <c r="AI106" s="74">
        <v>0</v>
      </c>
      <c r="AJ106" s="74">
        <v>0</v>
      </c>
      <c r="AK106" s="74"/>
      <c r="AL106" s="74">
        <v>-561.37574877648774</v>
      </c>
      <c r="AM106" s="74">
        <v>-797.96840305264084</v>
      </c>
      <c r="AN106" s="74">
        <v>-3205.9500000000007</v>
      </c>
      <c r="AO106" s="74">
        <v>-2295.9552000000003</v>
      </c>
      <c r="AP106" s="74">
        <v>-1509.8475000000001</v>
      </c>
      <c r="AQ106" s="74">
        <v>-1420.9125000000001</v>
      </c>
      <c r="AR106" s="74">
        <v>-609.84</v>
      </c>
      <c r="AS106" s="74">
        <v>-744.4008</v>
      </c>
      <c r="AT106" s="74">
        <v>-334.91449999999998</v>
      </c>
      <c r="AU106" s="74">
        <v>1330.4256000000003</v>
      </c>
      <c r="AV106" s="74">
        <v>700.58660000000009</v>
      </c>
      <c r="AW106" s="74">
        <v>1770.6920000000002</v>
      </c>
      <c r="AX106" s="74">
        <v>1005.9525</v>
      </c>
      <c r="AY106" s="74">
        <v>862.81675000000018</v>
      </c>
      <c r="AZ106" s="74">
        <v>1636.4928000000002</v>
      </c>
      <c r="BA106" s="74">
        <v>2246.9849999999997</v>
      </c>
      <c r="BB106" s="74">
        <v>1608.624</v>
      </c>
      <c r="BC106" s="74">
        <v>1764.528</v>
      </c>
      <c r="BD106" s="74">
        <v>1963.0079999999998</v>
      </c>
      <c r="BE106" s="74">
        <v>2396.7839999999997</v>
      </c>
      <c r="BF106" s="74">
        <v>2412.9359999999997</v>
      </c>
      <c r="BG106" s="74">
        <v>2646.7919999999999</v>
      </c>
      <c r="BH106" s="74">
        <v>2944.5120000000002</v>
      </c>
      <c r="BI106" s="74">
        <v>3595.1759999999995</v>
      </c>
      <c r="BJ106" s="74">
        <v>2539.1731176533003</v>
      </c>
      <c r="BK106" s="74">
        <v>2931.2053306440203</v>
      </c>
      <c r="BL106" s="74">
        <v>3352.0400375783206</v>
      </c>
      <c r="BM106" s="74">
        <v>3782.8796943929674</v>
      </c>
      <c r="BN106" s="74">
        <v>2672.0145587836487</v>
      </c>
      <c r="BO106" s="74">
        <v>3246.1805424815852</v>
      </c>
      <c r="BP106" s="74">
        <v>3815.9710042030965</v>
      </c>
      <c r="BQ106" s="74">
        <v>3980.3833754594025</v>
      </c>
      <c r="BR106" s="74">
        <v>0</v>
      </c>
      <c r="BS106" s="74">
        <v>0</v>
      </c>
      <c r="BT106" s="74">
        <v>0</v>
      </c>
      <c r="BU106" s="74">
        <v>0</v>
      </c>
      <c r="BV106" s="74">
        <v>0</v>
      </c>
      <c r="BW106" s="74">
        <v>0</v>
      </c>
      <c r="BX106" s="74">
        <v>0</v>
      </c>
      <c r="BY106" s="74">
        <v>0</v>
      </c>
      <c r="BZ106" s="74">
        <v>0</v>
      </c>
      <c r="CA106" s="74">
        <v>0</v>
      </c>
      <c r="CB106" s="74">
        <v>0</v>
      </c>
      <c r="CC106" s="74">
        <v>0</v>
      </c>
      <c r="CD106" s="74">
        <v>0</v>
      </c>
      <c r="CE106" s="74">
        <v>0</v>
      </c>
      <c r="CF106" s="74">
        <v>0</v>
      </c>
      <c r="CG106" s="74">
        <v>0</v>
      </c>
      <c r="CH106" s="74">
        <v>0</v>
      </c>
      <c r="CI106" s="74">
        <v>0</v>
      </c>
      <c r="CJ106" s="74">
        <v>0</v>
      </c>
      <c r="CK106" s="74">
        <v>0</v>
      </c>
      <c r="CL106" s="74">
        <v>0</v>
      </c>
      <c r="CM106" s="74">
        <v>0</v>
      </c>
      <c r="CN106" s="74">
        <v>0</v>
      </c>
      <c r="CO106" s="74">
        <v>0</v>
      </c>
      <c r="CP106" s="74">
        <v>0</v>
      </c>
      <c r="CQ106" s="74">
        <v>0</v>
      </c>
      <c r="CR106" s="74">
        <v>0</v>
      </c>
      <c r="CS106" s="74">
        <v>0</v>
      </c>
      <c r="CT106" s="74">
        <v>0</v>
      </c>
      <c r="CU106" s="74">
        <v>0</v>
      </c>
      <c r="CV106" s="74">
        <v>0</v>
      </c>
      <c r="CW106" s="74">
        <v>0</v>
      </c>
      <c r="CX106" s="74">
        <v>0</v>
      </c>
      <c r="CY106" s="74">
        <v>0</v>
      </c>
      <c r="CZ106" s="74">
        <v>0</v>
      </c>
      <c r="DA106" s="74">
        <v>0</v>
      </c>
      <c r="DB106" s="74">
        <v>0</v>
      </c>
      <c r="DC106" s="74">
        <v>0</v>
      </c>
      <c r="DD106" s="74">
        <v>0</v>
      </c>
      <c r="DE106" s="74">
        <v>0</v>
      </c>
      <c r="DF106" s="74">
        <v>0</v>
      </c>
      <c r="DG106" s="74">
        <v>0</v>
      </c>
      <c r="DH106" s="74">
        <v>0</v>
      </c>
      <c r="DI106" s="74">
        <v>0</v>
      </c>
      <c r="DJ106" s="74">
        <v>0</v>
      </c>
      <c r="DK106" s="74">
        <v>0</v>
      </c>
      <c r="DL106" s="74">
        <v>0</v>
      </c>
      <c r="DM106" s="74">
        <v>0</v>
      </c>
      <c r="DN106" s="74">
        <v>0</v>
      </c>
      <c r="DO106" s="74">
        <v>0</v>
      </c>
      <c r="DP106" s="74">
        <v>0</v>
      </c>
      <c r="DQ106" s="74">
        <v>0</v>
      </c>
      <c r="DR106" s="74">
        <v>0</v>
      </c>
      <c r="DS106" s="74">
        <v>0</v>
      </c>
      <c r="DT106" s="74">
        <v>0</v>
      </c>
      <c r="DU106" s="74">
        <v>0</v>
      </c>
      <c r="DV106" s="74">
        <v>0</v>
      </c>
      <c r="DW106" s="74">
        <v>0</v>
      </c>
      <c r="DX106" s="74">
        <v>0</v>
      </c>
      <c r="DY106" s="74">
        <v>0</v>
      </c>
      <c r="DZ106" s="74">
        <v>0</v>
      </c>
      <c r="EA106" s="74">
        <v>0</v>
      </c>
      <c r="EB106" s="74">
        <v>0</v>
      </c>
      <c r="EC106" s="74">
        <v>0</v>
      </c>
      <c r="ED106" s="74"/>
      <c r="EE106" s="80">
        <v>46009</v>
      </c>
      <c r="EF106" s="81">
        <v>46009.5211724537</v>
      </c>
      <c r="EG106" s="66" t="s">
        <v>69</v>
      </c>
      <c r="EH106" s="66" t="s">
        <v>209</v>
      </c>
      <c r="EI106" s="66" t="s">
        <v>6</v>
      </c>
      <c r="EJ106" s="66">
        <v>15</v>
      </c>
      <c r="EK106" s="66">
        <v>2027</v>
      </c>
      <c r="EL106" s="66" t="s">
        <v>24</v>
      </c>
      <c r="EM106" s="82">
        <v>338.17657095145614</v>
      </c>
      <c r="EN106" s="82">
        <v>337.5739809825738</v>
      </c>
      <c r="EO106" s="77">
        <v>227.1146</v>
      </c>
      <c r="EP106" s="84">
        <v>0.13999758052366426</v>
      </c>
      <c r="EQ106" s="84">
        <v>0.14268534690246426</v>
      </c>
      <c r="ER106" s="84">
        <v>4.8599999999999997E-2</v>
      </c>
      <c r="ES106" s="85">
        <v>0.97143267823005075</v>
      </c>
      <c r="ET106" s="86">
        <v>1.3804000000000001</v>
      </c>
      <c r="EU106" s="85">
        <v>0.11535261294006394</v>
      </c>
      <c r="EV106" s="85">
        <v>4.3499999999999997E-2</v>
      </c>
      <c r="EW106" s="76">
        <v>1</v>
      </c>
      <c r="EX106" s="76" t="s">
        <v>32</v>
      </c>
      <c r="EY106" s="74" t="s">
        <v>243</v>
      </c>
      <c r="EZ106" s="74"/>
      <c r="FA106" s="74"/>
      <c r="FB106" s="74"/>
      <c r="FC106" s="74"/>
      <c r="FD106" s="68"/>
      <c r="FH106" s="73"/>
      <c r="FI106" s="74"/>
      <c r="FJ106" s="74"/>
      <c r="FK106" s="74"/>
      <c r="FL106" s="74"/>
      <c r="FM106" s="74"/>
      <c r="FN106" s="74"/>
      <c r="FO106" s="74"/>
      <c r="FP106" s="74"/>
      <c r="FQ106" s="74"/>
      <c r="FR106" s="74"/>
      <c r="FS106" s="74"/>
      <c r="FT106" s="74"/>
      <c r="FU106" s="74"/>
      <c r="FV106" s="74"/>
      <c r="FW106" s="74"/>
      <c r="FX106" s="74"/>
      <c r="FY106" s="74"/>
      <c r="FZ106" s="74"/>
      <c r="GA106" s="68"/>
    </row>
    <row r="107" spans="1:183" s="2" customFormat="1" ht="15" x14ac:dyDescent="0.3">
      <c r="A107" s="73" t="s">
        <v>157</v>
      </c>
      <c r="B107" s="73" t="s">
        <v>54</v>
      </c>
      <c r="C107" s="73" t="s">
        <v>47</v>
      </c>
      <c r="D107" s="73" t="s">
        <v>44</v>
      </c>
      <c r="E107" s="73" t="s">
        <v>178</v>
      </c>
      <c r="F107" s="73" t="s">
        <v>210</v>
      </c>
      <c r="G107" s="73" t="s">
        <v>227</v>
      </c>
      <c r="H107" s="73"/>
      <c r="I107" s="74">
        <v>0</v>
      </c>
      <c r="J107" s="74">
        <v>0</v>
      </c>
      <c r="K107" s="74">
        <v>0</v>
      </c>
      <c r="L107" s="74">
        <v>0</v>
      </c>
      <c r="M107" s="74">
        <v>22372.599525331883</v>
      </c>
      <c r="N107" s="74">
        <v>22396.3685</v>
      </c>
      <c r="O107" s="74">
        <v>35335.286400000005</v>
      </c>
      <c r="P107" s="74">
        <v>45432.622000000003</v>
      </c>
      <c r="Q107" s="74">
        <v>52332.087359999998</v>
      </c>
      <c r="R107" s="74">
        <v>66261.657671999987</v>
      </c>
      <c r="S107" s="74">
        <v>80460.584315999993</v>
      </c>
      <c r="T107" s="74">
        <v>103533.84011249998</v>
      </c>
      <c r="U107" s="74">
        <v>0</v>
      </c>
      <c r="V107" s="74">
        <v>0</v>
      </c>
      <c r="W107" s="74">
        <v>0</v>
      </c>
      <c r="X107" s="74">
        <v>0</v>
      </c>
      <c r="Y107" s="74">
        <v>0</v>
      </c>
      <c r="Z107" s="74">
        <v>0</v>
      </c>
      <c r="AA107" s="74">
        <v>0</v>
      </c>
      <c r="AB107" s="74">
        <v>0</v>
      </c>
      <c r="AC107" s="74">
        <v>0</v>
      </c>
      <c r="AD107" s="74">
        <v>0</v>
      </c>
      <c r="AE107" s="74">
        <v>0</v>
      </c>
      <c r="AF107" s="74">
        <v>0</v>
      </c>
      <c r="AG107" s="74">
        <v>0</v>
      </c>
      <c r="AH107" s="74">
        <v>0</v>
      </c>
      <c r="AI107" s="74">
        <v>0</v>
      </c>
      <c r="AJ107" s="74">
        <v>0</v>
      </c>
      <c r="AK107" s="74"/>
      <c r="AL107" s="74">
        <v>5542.7404091038325</v>
      </c>
      <c r="AM107" s="74">
        <v>5109.2801396485584</v>
      </c>
      <c r="AN107" s="74">
        <v>6297.678976579492</v>
      </c>
      <c r="AO107" s="74">
        <v>5422.9</v>
      </c>
      <c r="AP107" s="74">
        <v>5089.7159999999994</v>
      </c>
      <c r="AQ107" s="74">
        <v>5674.9624999999996</v>
      </c>
      <c r="AR107" s="74">
        <v>5699.2950000000001</v>
      </c>
      <c r="AS107" s="74">
        <v>5932.3950000000004</v>
      </c>
      <c r="AT107" s="74">
        <v>7239.0059999999985</v>
      </c>
      <c r="AU107" s="74">
        <v>8581.4640000000018</v>
      </c>
      <c r="AV107" s="74">
        <v>8937.6684000000005</v>
      </c>
      <c r="AW107" s="74">
        <v>10577.147999999999</v>
      </c>
      <c r="AX107" s="74">
        <v>10600.665799999999</v>
      </c>
      <c r="AY107" s="74">
        <v>10426.986749999998</v>
      </c>
      <c r="AZ107" s="74">
        <v>10780.4004</v>
      </c>
      <c r="BA107" s="74">
        <v>12291.621999999999</v>
      </c>
      <c r="BB107" s="74">
        <v>10975.125</v>
      </c>
      <c r="BC107" s="74">
        <v>11577.375</v>
      </c>
      <c r="BD107" s="74">
        <v>12377.25</v>
      </c>
      <c r="BE107" s="74">
        <v>13169.594999999998</v>
      </c>
      <c r="BF107" s="74">
        <v>13718.90625</v>
      </c>
      <c r="BG107" s="74">
        <v>14471.71875</v>
      </c>
      <c r="BH107" s="74">
        <v>15471.5625</v>
      </c>
      <c r="BI107" s="74">
        <v>16461.993749999998</v>
      </c>
      <c r="BJ107" s="74">
        <v>17148.6328125</v>
      </c>
      <c r="BK107" s="74">
        <v>18089.6484375</v>
      </c>
      <c r="BL107" s="74">
        <v>19339.453125</v>
      </c>
      <c r="BM107" s="74">
        <v>20577.492187499996</v>
      </c>
      <c r="BN107" s="74">
        <v>21435.791015625</v>
      </c>
      <c r="BO107" s="74">
        <v>22612.060546875</v>
      </c>
      <c r="BP107" s="74">
        <v>24174.31640625</v>
      </c>
      <c r="BQ107" s="74">
        <v>25721.865234374996</v>
      </c>
      <c r="BR107" s="74">
        <v>0</v>
      </c>
      <c r="BS107" s="74">
        <v>0</v>
      </c>
      <c r="BT107" s="74">
        <v>0</v>
      </c>
      <c r="BU107" s="74">
        <v>0</v>
      </c>
      <c r="BV107" s="74">
        <v>0</v>
      </c>
      <c r="BW107" s="74">
        <v>0</v>
      </c>
      <c r="BX107" s="74">
        <v>0</v>
      </c>
      <c r="BY107" s="74">
        <v>0</v>
      </c>
      <c r="BZ107" s="74">
        <v>0</v>
      </c>
      <c r="CA107" s="74">
        <v>0</v>
      </c>
      <c r="CB107" s="74">
        <v>0</v>
      </c>
      <c r="CC107" s="74">
        <v>0</v>
      </c>
      <c r="CD107" s="74">
        <v>0</v>
      </c>
      <c r="CE107" s="74">
        <v>0</v>
      </c>
      <c r="CF107" s="74">
        <v>0</v>
      </c>
      <c r="CG107" s="74">
        <v>0</v>
      </c>
      <c r="CH107" s="74">
        <v>0</v>
      </c>
      <c r="CI107" s="74">
        <v>0</v>
      </c>
      <c r="CJ107" s="74">
        <v>0</v>
      </c>
      <c r="CK107" s="74">
        <v>0</v>
      </c>
      <c r="CL107" s="74">
        <v>0</v>
      </c>
      <c r="CM107" s="74">
        <v>0</v>
      </c>
      <c r="CN107" s="74">
        <v>0</v>
      </c>
      <c r="CO107" s="74">
        <v>0</v>
      </c>
      <c r="CP107" s="74">
        <v>0</v>
      </c>
      <c r="CQ107" s="74">
        <v>0</v>
      </c>
      <c r="CR107" s="74">
        <v>0</v>
      </c>
      <c r="CS107" s="74">
        <v>0</v>
      </c>
      <c r="CT107" s="74">
        <v>0</v>
      </c>
      <c r="CU107" s="74">
        <v>0</v>
      </c>
      <c r="CV107" s="74">
        <v>0</v>
      </c>
      <c r="CW107" s="74">
        <v>0</v>
      </c>
      <c r="CX107" s="74">
        <v>0</v>
      </c>
      <c r="CY107" s="74">
        <v>0</v>
      </c>
      <c r="CZ107" s="74">
        <v>0</v>
      </c>
      <c r="DA107" s="74">
        <v>0</v>
      </c>
      <c r="DB107" s="74">
        <v>0</v>
      </c>
      <c r="DC107" s="74">
        <v>0</v>
      </c>
      <c r="DD107" s="74">
        <v>0</v>
      </c>
      <c r="DE107" s="74">
        <v>0</v>
      </c>
      <c r="DF107" s="74">
        <v>0</v>
      </c>
      <c r="DG107" s="74">
        <v>0</v>
      </c>
      <c r="DH107" s="74">
        <v>0</v>
      </c>
      <c r="DI107" s="74">
        <v>0</v>
      </c>
      <c r="DJ107" s="74">
        <v>0</v>
      </c>
      <c r="DK107" s="74">
        <v>0</v>
      </c>
      <c r="DL107" s="74">
        <v>0</v>
      </c>
      <c r="DM107" s="74">
        <v>0</v>
      </c>
      <c r="DN107" s="74">
        <v>0</v>
      </c>
      <c r="DO107" s="74">
        <v>0</v>
      </c>
      <c r="DP107" s="74">
        <v>0</v>
      </c>
      <c r="DQ107" s="74">
        <v>0</v>
      </c>
      <c r="DR107" s="74">
        <v>0</v>
      </c>
      <c r="DS107" s="74">
        <v>0</v>
      </c>
      <c r="DT107" s="74">
        <v>0</v>
      </c>
      <c r="DU107" s="74">
        <v>0</v>
      </c>
      <c r="DV107" s="74">
        <v>0</v>
      </c>
      <c r="DW107" s="74">
        <v>0</v>
      </c>
      <c r="DX107" s="74">
        <v>0</v>
      </c>
      <c r="DY107" s="74">
        <v>0</v>
      </c>
      <c r="DZ107" s="74">
        <v>0</v>
      </c>
      <c r="EA107" s="74">
        <v>0</v>
      </c>
      <c r="EB107" s="74">
        <v>0</v>
      </c>
      <c r="EC107" s="74">
        <v>0</v>
      </c>
      <c r="ED107" s="74"/>
      <c r="EE107" s="80">
        <v>46009</v>
      </c>
      <c r="EF107" s="81">
        <v>46009.5211724537</v>
      </c>
      <c r="EG107" s="66" t="s">
        <v>69</v>
      </c>
      <c r="EH107" s="66" t="s">
        <v>209</v>
      </c>
      <c r="EI107" s="66" t="s">
        <v>6</v>
      </c>
      <c r="EJ107" s="66">
        <v>15</v>
      </c>
      <c r="EK107" s="66">
        <v>2027</v>
      </c>
      <c r="EL107" s="66" t="s">
        <v>24</v>
      </c>
      <c r="EM107" s="82">
        <v>338.17657095145614</v>
      </c>
      <c r="EN107" s="82">
        <v>337.5739809825738</v>
      </c>
      <c r="EO107" s="77">
        <v>227.1146</v>
      </c>
      <c r="EP107" s="84">
        <v>0.13999758052366426</v>
      </c>
      <c r="EQ107" s="84">
        <v>0.14268534690246426</v>
      </c>
      <c r="ER107" s="84">
        <v>4.8599999999999997E-2</v>
      </c>
      <c r="ES107" s="85">
        <v>0.97143267823005075</v>
      </c>
      <c r="ET107" s="86">
        <v>1.3804000000000001</v>
      </c>
      <c r="EU107" s="85">
        <v>0.11535261294006394</v>
      </c>
      <c r="EV107" s="85">
        <v>4.3499999999999997E-2</v>
      </c>
      <c r="EW107" s="76">
        <v>1</v>
      </c>
      <c r="EX107" s="76" t="s">
        <v>32</v>
      </c>
      <c r="EY107" s="74" t="s">
        <v>243</v>
      </c>
      <c r="EZ107" s="74"/>
      <c r="FA107" s="74"/>
      <c r="FB107" s="74"/>
      <c r="FC107" s="74"/>
      <c r="FD107" s="68"/>
      <c r="FH107" s="73"/>
      <c r="FI107" s="74"/>
      <c r="FJ107" s="74"/>
      <c r="FK107" s="74"/>
      <c r="FL107" s="74"/>
      <c r="FM107" s="74"/>
      <c r="FN107" s="74"/>
      <c r="FO107" s="74"/>
      <c r="FP107" s="74"/>
      <c r="FQ107" s="74"/>
      <c r="FR107" s="74"/>
      <c r="FS107" s="74"/>
      <c r="FT107" s="74"/>
      <c r="FU107" s="74"/>
      <c r="FV107" s="74"/>
      <c r="FW107" s="74"/>
      <c r="FX107" s="74"/>
      <c r="FY107" s="74"/>
      <c r="FZ107" s="74"/>
      <c r="GA107" s="68"/>
    </row>
    <row r="108" spans="1:183" s="2" customFormat="1" ht="15" x14ac:dyDescent="0.3">
      <c r="A108" s="73" t="s">
        <v>196</v>
      </c>
      <c r="B108" s="73" t="s">
        <v>205</v>
      </c>
      <c r="C108" s="73" t="s">
        <v>205</v>
      </c>
      <c r="D108" s="73" t="s">
        <v>48</v>
      </c>
      <c r="E108" s="73" t="s">
        <v>178</v>
      </c>
      <c r="F108" s="73" t="s">
        <v>210</v>
      </c>
      <c r="G108" s="73" t="s">
        <v>227</v>
      </c>
      <c r="H108" s="73"/>
      <c r="I108" s="74">
        <v>0</v>
      </c>
      <c r="J108" s="74">
        <v>0</v>
      </c>
      <c r="K108" s="74">
        <v>0</v>
      </c>
      <c r="L108" s="74">
        <v>0</v>
      </c>
      <c r="M108" s="74">
        <v>72089.525380541512</v>
      </c>
      <c r="N108" s="74">
        <v>87498.869980000003</v>
      </c>
      <c r="O108" s="74">
        <v>133105.82840000003</v>
      </c>
      <c r="P108" s="74">
        <v>163778.2536</v>
      </c>
      <c r="Q108" s="74">
        <v>197379.16139115897</v>
      </c>
      <c r="R108" s="74">
        <v>240505.76894855066</v>
      </c>
      <c r="S108" s="74">
        <v>261787.16292875836</v>
      </c>
      <c r="T108" s="74">
        <v>312761.10821137758</v>
      </c>
      <c r="U108" s="74">
        <v>0</v>
      </c>
      <c r="V108" s="74">
        <v>0</v>
      </c>
      <c r="W108" s="74">
        <v>0</v>
      </c>
      <c r="X108" s="74">
        <v>0</v>
      </c>
      <c r="Y108" s="74">
        <v>0</v>
      </c>
      <c r="Z108" s="74">
        <v>0</v>
      </c>
      <c r="AA108" s="74">
        <v>0</v>
      </c>
      <c r="AB108" s="74">
        <v>0</v>
      </c>
      <c r="AC108" s="74">
        <v>0</v>
      </c>
      <c r="AD108" s="74">
        <v>0</v>
      </c>
      <c r="AE108" s="74">
        <v>0</v>
      </c>
      <c r="AF108" s="74">
        <v>0</v>
      </c>
      <c r="AG108" s="74">
        <v>0</v>
      </c>
      <c r="AH108" s="74">
        <v>0</v>
      </c>
      <c r="AI108" s="74">
        <v>0</v>
      </c>
      <c r="AJ108" s="74">
        <v>0</v>
      </c>
      <c r="AK108" s="74"/>
      <c r="AL108" s="74">
        <v>6044.55753902979</v>
      </c>
      <c r="AM108" s="74">
        <v>6150.6308149322304</v>
      </c>
      <c r="AN108" s="74">
        <v>1583.9179765794916</v>
      </c>
      <c r="AO108" s="74">
        <v>2665.7287999999994</v>
      </c>
      <c r="AP108" s="74">
        <v>2028.8028999999988</v>
      </c>
      <c r="AQ108" s="74">
        <v>3420.4339999999993</v>
      </c>
      <c r="AR108" s="74">
        <v>8180.1005999999998</v>
      </c>
      <c r="AS108" s="74">
        <v>9161.5234799999998</v>
      </c>
      <c r="AT108" s="74">
        <v>12070.494699999999</v>
      </c>
      <c r="AU108" s="74">
        <v>15409.453200000004</v>
      </c>
      <c r="AV108" s="74">
        <v>14955.418500000002</v>
      </c>
      <c r="AW108" s="74">
        <v>19311.763999999999</v>
      </c>
      <c r="AX108" s="74">
        <v>17611.634850000002</v>
      </c>
      <c r="AY108" s="74">
        <v>17177.9617</v>
      </c>
      <c r="AZ108" s="74">
        <v>20824.1492</v>
      </c>
      <c r="BA108" s="74">
        <v>25444.146100000002</v>
      </c>
      <c r="BB108" s="74">
        <v>18992.951999999997</v>
      </c>
      <c r="BC108" s="74">
        <v>20246.595000000001</v>
      </c>
      <c r="BD108" s="74">
        <v>21672.680999999997</v>
      </c>
      <c r="BE108" s="74">
        <v>24419.110739999996</v>
      </c>
      <c r="BF108" s="74">
        <v>23502.4257</v>
      </c>
      <c r="BG108" s="74">
        <v>25058.90655</v>
      </c>
      <c r="BH108" s="74">
        <v>26848.360950000002</v>
      </c>
      <c r="BI108" s="74">
        <v>30237.811250999999</v>
      </c>
      <c r="BJ108" s="74">
        <v>27816.600169929789</v>
      </c>
      <c r="BK108" s="74">
        <v>29784.628746483435</v>
      </c>
      <c r="BL108" s="74">
        <v>32005.940919062261</v>
      </c>
      <c r="BM108" s="74">
        <v>35758.620095409329</v>
      </c>
      <c r="BN108" s="74">
        <v>33072.807631691292</v>
      </c>
      <c r="BO108" s="74">
        <v>35530.775532912667</v>
      </c>
      <c r="BP108" s="74">
        <v>38279.185625986167</v>
      </c>
      <c r="BQ108" s="74">
        <v>42463.729536568491</v>
      </c>
      <c r="BR108" s="74">
        <v>0</v>
      </c>
      <c r="BS108" s="74">
        <v>0</v>
      </c>
      <c r="BT108" s="74">
        <v>0</v>
      </c>
      <c r="BU108" s="74">
        <v>0</v>
      </c>
      <c r="BV108" s="74">
        <v>0</v>
      </c>
      <c r="BW108" s="74">
        <v>0</v>
      </c>
      <c r="BX108" s="74">
        <v>0</v>
      </c>
      <c r="BY108" s="74">
        <v>0</v>
      </c>
      <c r="BZ108" s="74">
        <v>0</v>
      </c>
      <c r="CA108" s="74">
        <v>0</v>
      </c>
      <c r="CB108" s="74">
        <v>0</v>
      </c>
      <c r="CC108" s="74">
        <v>0</v>
      </c>
      <c r="CD108" s="74">
        <v>0</v>
      </c>
      <c r="CE108" s="74">
        <v>0</v>
      </c>
      <c r="CF108" s="74">
        <v>0</v>
      </c>
      <c r="CG108" s="74">
        <v>0</v>
      </c>
      <c r="CH108" s="74">
        <v>0</v>
      </c>
      <c r="CI108" s="74">
        <v>0</v>
      </c>
      <c r="CJ108" s="74">
        <v>0</v>
      </c>
      <c r="CK108" s="74">
        <v>0</v>
      </c>
      <c r="CL108" s="74">
        <v>0</v>
      </c>
      <c r="CM108" s="74">
        <v>0</v>
      </c>
      <c r="CN108" s="74">
        <v>0</v>
      </c>
      <c r="CO108" s="74">
        <v>0</v>
      </c>
      <c r="CP108" s="74">
        <v>0</v>
      </c>
      <c r="CQ108" s="74">
        <v>0</v>
      </c>
      <c r="CR108" s="74">
        <v>0</v>
      </c>
      <c r="CS108" s="74">
        <v>0</v>
      </c>
      <c r="CT108" s="74">
        <v>0</v>
      </c>
      <c r="CU108" s="74">
        <v>0</v>
      </c>
      <c r="CV108" s="74">
        <v>0</v>
      </c>
      <c r="CW108" s="74">
        <v>0</v>
      </c>
      <c r="CX108" s="74">
        <v>0</v>
      </c>
      <c r="CY108" s="74">
        <v>0</v>
      </c>
      <c r="CZ108" s="74">
        <v>0</v>
      </c>
      <c r="DA108" s="74">
        <v>0</v>
      </c>
      <c r="DB108" s="74">
        <v>0</v>
      </c>
      <c r="DC108" s="74">
        <v>0</v>
      </c>
      <c r="DD108" s="74">
        <v>0</v>
      </c>
      <c r="DE108" s="74">
        <v>0</v>
      </c>
      <c r="DF108" s="74">
        <v>0</v>
      </c>
      <c r="DG108" s="74">
        <v>0</v>
      </c>
      <c r="DH108" s="74">
        <v>0</v>
      </c>
      <c r="DI108" s="74">
        <v>0</v>
      </c>
      <c r="DJ108" s="74">
        <v>0</v>
      </c>
      <c r="DK108" s="74">
        <v>0</v>
      </c>
      <c r="DL108" s="74">
        <v>0</v>
      </c>
      <c r="DM108" s="74">
        <v>0</v>
      </c>
      <c r="DN108" s="74">
        <v>0</v>
      </c>
      <c r="DO108" s="74">
        <v>0</v>
      </c>
      <c r="DP108" s="74">
        <v>0</v>
      </c>
      <c r="DQ108" s="74">
        <v>0</v>
      </c>
      <c r="DR108" s="74">
        <v>0</v>
      </c>
      <c r="DS108" s="74">
        <v>0</v>
      </c>
      <c r="DT108" s="74">
        <v>0</v>
      </c>
      <c r="DU108" s="74">
        <v>0</v>
      </c>
      <c r="DV108" s="74">
        <v>0</v>
      </c>
      <c r="DW108" s="74">
        <v>0</v>
      </c>
      <c r="DX108" s="74">
        <v>0</v>
      </c>
      <c r="DY108" s="74">
        <v>0</v>
      </c>
      <c r="DZ108" s="74">
        <v>0</v>
      </c>
      <c r="EA108" s="74">
        <v>0</v>
      </c>
      <c r="EB108" s="74">
        <v>0</v>
      </c>
      <c r="EC108" s="74">
        <v>0</v>
      </c>
      <c r="ED108" s="74"/>
      <c r="EE108" s="80">
        <v>46009</v>
      </c>
      <c r="EF108" s="81">
        <v>46009.5211724537</v>
      </c>
      <c r="EG108" s="66" t="s">
        <v>69</v>
      </c>
      <c r="EH108" s="66" t="s">
        <v>209</v>
      </c>
      <c r="EI108" s="66" t="s">
        <v>6</v>
      </c>
      <c r="EJ108" s="66">
        <v>15</v>
      </c>
      <c r="EK108" s="66">
        <v>2027</v>
      </c>
      <c r="EL108" s="66" t="s">
        <v>24</v>
      </c>
      <c r="EM108" s="82">
        <v>338.17657095145614</v>
      </c>
      <c r="EN108" s="82">
        <v>337.5739809825738</v>
      </c>
      <c r="EO108" s="77">
        <v>227.1146</v>
      </c>
      <c r="EP108" s="84">
        <v>0.13999758052366426</v>
      </c>
      <c r="EQ108" s="84">
        <v>0.14268534690246426</v>
      </c>
      <c r="ER108" s="84">
        <v>4.8599999999999997E-2</v>
      </c>
      <c r="ES108" s="85">
        <v>0.97143267823005075</v>
      </c>
      <c r="ET108" s="86">
        <v>1.3804000000000001</v>
      </c>
      <c r="EU108" s="85">
        <v>0.11535261294006394</v>
      </c>
      <c r="EV108" s="85">
        <v>4.3499999999999997E-2</v>
      </c>
      <c r="EW108" s="76">
        <v>1</v>
      </c>
      <c r="EX108" s="76" t="s">
        <v>32</v>
      </c>
      <c r="EY108" s="74" t="s">
        <v>243</v>
      </c>
      <c r="EZ108" s="74"/>
      <c r="FA108" s="74"/>
      <c r="FB108" s="74"/>
      <c r="FC108" s="74"/>
      <c r="FD108" s="68"/>
      <c r="FH108" s="73"/>
      <c r="FI108" s="74"/>
      <c r="FJ108" s="74"/>
      <c r="FK108" s="74"/>
      <c r="FL108" s="74"/>
      <c r="FM108" s="74"/>
      <c r="FN108" s="74"/>
      <c r="FO108" s="74"/>
      <c r="FP108" s="74"/>
      <c r="FQ108" s="74"/>
      <c r="FR108" s="74"/>
      <c r="FS108" s="74"/>
      <c r="FT108" s="74"/>
      <c r="FU108" s="74"/>
      <c r="FV108" s="74"/>
      <c r="FW108" s="74"/>
      <c r="FX108" s="74"/>
      <c r="FY108" s="74"/>
      <c r="FZ108" s="74"/>
      <c r="GA108" s="68"/>
    </row>
    <row r="109" spans="1:183" s="2" customFormat="1" ht="15" x14ac:dyDescent="0.3">
      <c r="A109" s="73" t="s">
        <v>181</v>
      </c>
      <c r="B109" s="73" t="s">
        <v>193</v>
      </c>
      <c r="C109" s="73" t="s">
        <v>193</v>
      </c>
      <c r="D109" s="73" t="s">
        <v>48</v>
      </c>
      <c r="E109" s="73" t="s">
        <v>178</v>
      </c>
      <c r="F109" s="73" t="s">
        <v>210</v>
      </c>
      <c r="G109" s="73" t="s">
        <v>227</v>
      </c>
      <c r="H109" s="73"/>
      <c r="I109" s="74">
        <v>0</v>
      </c>
      <c r="J109" s="74">
        <v>0</v>
      </c>
      <c r="K109" s="74">
        <v>0</v>
      </c>
      <c r="L109" s="74">
        <v>0</v>
      </c>
      <c r="M109" s="74">
        <v>14315.884957038757</v>
      </c>
      <c r="N109" s="74">
        <v>19091.653279999999</v>
      </c>
      <c r="O109" s="74">
        <v>37926.174300000006</v>
      </c>
      <c r="P109" s="74">
        <v>45539.099100000007</v>
      </c>
      <c r="Q109" s="74">
        <v>51854.792933800003</v>
      </c>
      <c r="R109" s="74">
        <v>65271.722857826375</v>
      </c>
      <c r="S109" s="74">
        <v>66665.440035279142</v>
      </c>
      <c r="T109" s="74">
        <v>76466.897930438718</v>
      </c>
      <c r="U109" s="74">
        <v>0</v>
      </c>
      <c r="V109" s="74">
        <v>0</v>
      </c>
      <c r="W109" s="74">
        <v>0</v>
      </c>
      <c r="X109" s="74">
        <v>0</v>
      </c>
      <c r="Y109" s="74">
        <v>0</v>
      </c>
      <c r="Z109" s="74">
        <v>0</v>
      </c>
      <c r="AA109" s="74">
        <v>0</v>
      </c>
      <c r="AB109" s="74">
        <v>0</v>
      </c>
      <c r="AC109" s="74">
        <v>0</v>
      </c>
      <c r="AD109" s="74">
        <v>0</v>
      </c>
      <c r="AE109" s="74">
        <v>0</v>
      </c>
      <c r="AF109" s="74">
        <v>0</v>
      </c>
      <c r="AG109" s="74">
        <v>0</v>
      </c>
      <c r="AH109" s="74">
        <v>0</v>
      </c>
      <c r="AI109" s="74">
        <v>0</v>
      </c>
      <c r="AJ109" s="74">
        <v>0</v>
      </c>
      <c r="AK109" s="74"/>
      <c r="AL109" s="74">
        <v>1063.1928787024451</v>
      </c>
      <c r="AM109" s="74">
        <v>1839.3190783363132</v>
      </c>
      <c r="AN109" s="74">
        <v>-1507.8109999999997</v>
      </c>
      <c r="AO109" s="74">
        <v>-461.21600000000007</v>
      </c>
      <c r="AP109" s="74">
        <v>-1551.0656000000004</v>
      </c>
      <c r="AQ109" s="74">
        <v>-833.6160000000001</v>
      </c>
      <c r="AR109" s="74">
        <v>3090.6456000000003</v>
      </c>
      <c r="AS109" s="74">
        <v>3973.5292800000002</v>
      </c>
      <c r="AT109" s="74">
        <v>5166.4031999999997</v>
      </c>
      <c r="AU109" s="74">
        <v>5497.5636000000004</v>
      </c>
      <c r="AV109" s="74">
        <v>5317.1635000000006</v>
      </c>
      <c r="AW109" s="74">
        <v>6963.924</v>
      </c>
      <c r="AX109" s="74">
        <v>6005.0165500000012</v>
      </c>
      <c r="AY109" s="74">
        <v>5888.1581999999999</v>
      </c>
      <c r="AZ109" s="74">
        <v>8407.2560000000012</v>
      </c>
      <c r="BA109" s="74">
        <v>10905.539100000002</v>
      </c>
      <c r="BB109" s="74">
        <v>6409.2029999999986</v>
      </c>
      <c r="BC109" s="74">
        <v>6904.692</v>
      </c>
      <c r="BD109" s="74">
        <v>7332.4229999999989</v>
      </c>
      <c r="BE109" s="74">
        <v>8852.7317400000011</v>
      </c>
      <c r="BF109" s="74">
        <v>7370.5834499999983</v>
      </c>
      <c r="BG109" s="74">
        <v>7940.3957999999993</v>
      </c>
      <c r="BH109" s="74">
        <v>8432.2864499999996</v>
      </c>
      <c r="BI109" s="74">
        <v>10180.641501</v>
      </c>
      <c r="BJ109" s="74">
        <v>8128.7942397764882</v>
      </c>
      <c r="BK109" s="74">
        <v>8763.7749783394156</v>
      </c>
      <c r="BL109" s="74">
        <v>9314.4477564839381</v>
      </c>
      <c r="BM109" s="74">
        <v>11398.248213516366</v>
      </c>
      <c r="BN109" s="74">
        <v>8965.002057282647</v>
      </c>
      <c r="BO109" s="74">
        <v>9672.5344435560783</v>
      </c>
      <c r="BP109" s="74">
        <v>10288.89821553307</v>
      </c>
      <c r="BQ109" s="74">
        <v>12761.480926734092</v>
      </c>
      <c r="BR109" s="74">
        <v>0</v>
      </c>
      <c r="BS109" s="74">
        <v>0</v>
      </c>
      <c r="BT109" s="74">
        <v>0</v>
      </c>
      <c r="BU109" s="74">
        <v>0</v>
      </c>
      <c r="BV109" s="74">
        <v>0</v>
      </c>
      <c r="BW109" s="74">
        <v>0</v>
      </c>
      <c r="BX109" s="74">
        <v>0</v>
      </c>
      <c r="BY109" s="74">
        <v>0</v>
      </c>
      <c r="BZ109" s="74">
        <v>0</v>
      </c>
      <c r="CA109" s="74">
        <v>0</v>
      </c>
      <c r="CB109" s="74">
        <v>0</v>
      </c>
      <c r="CC109" s="74">
        <v>0</v>
      </c>
      <c r="CD109" s="74">
        <v>0</v>
      </c>
      <c r="CE109" s="74">
        <v>0</v>
      </c>
      <c r="CF109" s="74">
        <v>0</v>
      </c>
      <c r="CG109" s="74">
        <v>0</v>
      </c>
      <c r="CH109" s="74">
        <v>0</v>
      </c>
      <c r="CI109" s="74">
        <v>0</v>
      </c>
      <c r="CJ109" s="74">
        <v>0</v>
      </c>
      <c r="CK109" s="74">
        <v>0</v>
      </c>
      <c r="CL109" s="74">
        <v>0</v>
      </c>
      <c r="CM109" s="74">
        <v>0</v>
      </c>
      <c r="CN109" s="74">
        <v>0</v>
      </c>
      <c r="CO109" s="74">
        <v>0</v>
      </c>
      <c r="CP109" s="74">
        <v>0</v>
      </c>
      <c r="CQ109" s="74">
        <v>0</v>
      </c>
      <c r="CR109" s="74">
        <v>0</v>
      </c>
      <c r="CS109" s="74">
        <v>0</v>
      </c>
      <c r="CT109" s="74">
        <v>0</v>
      </c>
      <c r="CU109" s="74">
        <v>0</v>
      </c>
      <c r="CV109" s="74">
        <v>0</v>
      </c>
      <c r="CW109" s="74">
        <v>0</v>
      </c>
      <c r="CX109" s="74">
        <v>0</v>
      </c>
      <c r="CY109" s="74">
        <v>0</v>
      </c>
      <c r="CZ109" s="74">
        <v>0</v>
      </c>
      <c r="DA109" s="74">
        <v>0</v>
      </c>
      <c r="DB109" s="74">
        <v>0</v>
      </c>
      <c r="DC109" s="74">
        <v>0</v>
      </c>
      <c r="DD109" s="74">
        <v>0</v>
      </c>
      <c r="DE109" s="74">
        <v>0</v>
      </c>
      <c r="DF109" s="74">
        <v>0</v>
      </c>
      <c r="DG109" s="74">
        <v>0</v>
      </c>
      <c r="DH109" s="74">
        <v>0</v>
      </c>
      <c r="DI109" s="74">
        <v>0</v>
      </c>
      <c r="DJ109" s="74">
        <v>0</v>
      </c>
      <c r="DK109" s="74">
        <v>0</v>
      </c>
      <c r="DL109" s="74">
        <v>0</v>
      </c>
      <c r="DM109" s="74">
        <v>0</v>
      </c>
      <c r="DN109" s="74">
        <v>0</v>
      </c>
      <c r="DO109" s="74">
        <v>0</v>
      </c>
      <c r="DP109" s="74">
        <v>0</v>
      </c>
      <c r="DQ109" s="74">
        <v>0</v>
      </c>
      <c r="DR109" s="74">
        <v>0</v>
      </c>
      <c r="DS109" s="74">
        <v>0</v>
      </c>
      <c r="DT109" s="74">
        <v>0</v>
      </c>
      <c r="DU109" s="74">
        <v>0</v>
      </c>
      <c r="DV109" s="74">
        <v>0</v>
      </c>
      <c r="DW109" s="74">
        <v>0</v>
      </c>
      <c r="DX109" s="74">
        <v>0</v>
      </c>
      <c r="DY109" s="74">
        <v>0</v>
      </c>
      <c r="DZ109" s="74">
        <v>0</v>
      </c>
      <c r="EA109" s="74">
        <v>0</v>
      </c>
      <c r="EB109" s="74">
        <v>0</v>
      </c>
      <c r="EC109" s="74">
        <v>0</v>
      </c>
      <c r="ED109" s="74"/>
      <c r="EE109" s="80">
        <v>46009</v>
      </c>
      <c r="EF109" s="81">
        <v>46009.5211724537</v>
      </c>
      <c r="EG109" s="66" t="s">
        <v>69</v>
      </c>
      <c r="EH109" s="66" t="s">
        <v>209</v>
      </c>
      <c r="EI109" s="66" t="s">
        <v>6</v>
      </c>
      <c r="EJ109" s="66">
        <v>15</v>
      </c>
      <c r="EK109" s="66">
        <v>2027</v>
      </c>
      <c r="EL109" s="66" t="s">
        <v>24</v>
      </c>
      <c r="EM109" s="82">
        <v>338.17657095145614</v>
      </c>
      <c r="EN109" s="82">
        <v>337.5739809825738</v>
      </c>
      <c r="EO109" s="77">
        <v>227.1146</v>
      </c>
      <c r="EP109" s="84">
        <v>0.13999758052366426</v>
      </c>
      <c r="EQ109" s="84">
        <v>0.14268534690246426</v>
      </c>
      <c r="ER109" s="84">
        <v>4.8599999999999997E-2</v>
      </c>
      <c r="ES109" s="85">
        <v>0.97143267823005075</v>
      </c>
      <c r="ET109" s="86">
        <v>1.3804000000000001</v>
      </c>
      <c r="EU109" s="85">
        <v>0.11535261294006394</v>
      </c>
      <c r="EV109" s="85">
        <v>4.3499999999999997E-2</v>
      </c>
      <c r="EW109" s="76">
        <v>1</v>
      </c>
      <c r="EX109" s="76" t="s">
        <v>32</v>
      </c>
      <c r="EY109" s="74" t="s">
        <v>243</v>
      </c>
      <c r="EZ109" s="74"/>
      <c r="FA109" s="74"/>
      <c r="FB109" s="74"/>
      <c r="FC109" s="74"/>
      <c r="FD109" s="68"/>
      <c r="FH109" s="73"/>
      <c r="FI109" s="74"/>
      <c r="FJ109" s="74"/>
      <c r="FK109" s="74"/>
      <c r="FL109" s="74"/>
      <c r="FM109" s="74"/>
      <c r="FN109" s="74"/>
      <c r="FO109" s="74"/>
      <c r="FP109" s="74"/>
      <c r="FQ109" s="74"/>
      <c r="FR109" s="74"/>
      <c r="FS109" s="74"/>
      <c r="FT109" s="74"/>
      <c r="FU109" s="74"/>
      <c r="FV109" s="74"/>
      <c r="FW109" s="74"/>
      <c r="FX109" s="74"/>
      <c r="FY109" s="74"/>
      <c r="FZ109" s="74"/>
      <c r="GA109" s="68"/>
    </row>
    <row r="110" spans="1:183" s="2" customFormat="1" ht="15" x14ac:dyDescent="0.3">
      <c r="A110" s="73" t="s">
        <v>182</v>
      </c>
      <c r="B110" s="73" t="s">
        <v>195</v>
      </c>
      <c r="C110" s="73" t="s">
        <v>195</v>
      </c>
      <c r="D110" s="73" t="s">
        <v>48</v>
      </c>
      <c r="E110" s="73" t="s">
        <v>178</v>
      </c>
      <c r="F110" s="73" t="s">
        <v>210</v>
      </c>
      <c r="G110" s="73" t="s">
        <v>227</v>
      </c>
      <c r="H110" s="73"/>
      <c r="I110" s="74">
        <v>0</v>
      </c>
      <c r="J110" s="74">
        <v>0</v>
      </c>
      <c r="K110" s="74">
        <v>0</v>
      </c>
      <c r="L110" s="74">
        <v>0</v>
      </c>
      <c r="M110" s="74">
        <v>-2734.8293518291293</v>
      </c>
      <c r="N110" s="74">
        <v>150.92920000000049</v>
      </c>
      <c r="O110" s="74">
        <v>8094.6197000000011</v>
      </c>
      <c r="P110" s="74">
        <v>10824.404999999999</v>
      </c>
      <c r="Q110" s="74">
        <v>14875.561402904379</v>
      </c>
      <c r="R110" s="74">
        <v>19188.944073526029</v>
      </c>
      <c r="S110" s="74">
        <v>18193.323223205589</v>
      </c>
      <c r="T110" s="74">
        <v>22788.998949428507</v>
      </c>
      <c r="U110" s="74">
        <v>0</v>
      </c>
      <c r="V110" s="74">
        <v>0</v>
      </c>
      <c r="W110" s="74">
        <v>0</v>
      </c>
      <c r="X110" s="74">
        <v>0</v>
      </c>
      <c r="Y110" s="74">
        <v>0</v>
      </c>
      <c r="Z110" s="74">
        <v>0</v>
      </c>
      <c r="AA110" s="74">
        <v>0</v>
      </c>
      <c r="AB110" s="74">
        <v>0</v>
      </c>
      <c r="AC110" s="74">
        <v>0</v>
      </c>
      <c r="AD110" s="74">
        <v>0</v>
      </c>
      <c r="AE110" s="74">
        <v>0</v>
      </c>
      <c r="AF110" s="74">
        <v>0</v>
      </c>
      <c r="AG110" s="74">
        <v>0</v>
      </c>
      <c r="AH110" s="74">
        <v>0</v>
      </c>
      <c r="AI110" s="74">
        <v>0</v>
      </c>
      <c r="AJ110" s="74">
        <v>0</v>
      </c>
      <c r="AK110" s="74"/>
      <c r="AL110" s="74">
        <v>-561.37574877648774</v>
      </c>
      <c r="AM110" s="74">
        <v>-797.96840305264084</v>
      </c>
      <c r="AN110" s="74">
        <v>-3205.9500000000007</v>
      </c>
      <c r="AO110" s="74">
        <v>-2295.9552000000003</v>
      </c>
      <c r="AP110" s="74">
        <v>-1509.8475000000001</v>
      </c>
      <c r="AQ110" s="74">
        <v>-1420.9125000000001</v>
      </c>
      <c r="AR110" s="74">
        <v>-609.84</v>
      </c>
      <c r="AS110" s="74">
        <v>-744.4008</v>
      </c>
      <c r="AT110" s="74">
        <v>-334.91449999999998</v>
      </c>
      <c r="AU110" s="74">
        <v>1330.4256000000003</v>
      </c>
      <c r="AV110" s="74">
        <v>700.58660000000009</v>
      </c>
      <c r="AW110" s="74">
        <v>1770.6920000000002</v>
      </c>
      <c r="AX110" s="74">
        <v>1005.9525</v>
      </c>
      <c r="AY110" s="74">
        <v>862.81675000000018</v>
      </c>
      <c r="AZ110" s="74">
        <v>1636.4928000000002</v>
      </c>
      <c r="BA110" s="74">
        <v>2246.9849999999997</v>
      </c>
      <c r="BB110" s="74">
        <v>1608.624</v>
      </c>
      <c r="BC110" s="74">
        <v>1764.528</v>
      </c>
      <c r="BD110" s="74">
        <v>1963.0079999999998</v>
      </c>
      <c r="BE110" s="74">
        <v>2396.7839999999997</v>
      </c>
      <c r="BF110" s="74">
        <v>2412.9359999999997</v>
      </c>
      <c r="BG110" s="74">
        <v>2646.7919999999999</v>
      </c>
      <c r="BH110" s="74">
        <v>2944.5120000000002</v>
      </c>
      <c r="BI110" s="74">
        <v>3595.1759999999995</v>
      </c>
      <c r="BJ110" s="74">
        <v>2539.1731176533003</v>
      </c>
      <c r="BK110" s="74">
        <v>2931.2053306440203</v>
      </c>
      <c r="BL110" s="74">
        <v>3352.0400375783206</v>
      </c>
      <c r="BM110" s="74">
        <v>3782.8796943929674</v>
      </c>
      <c r="BN110" s="74">
        <v>2672.0145587836487</v>
      </c>
      <c r="BO110" s="74">
        <v>3246.1805424815852</v>
      </c>
      <c r="BP110" s="74">
        <v>3815.9710042030965</v>
      </c>
      <c r="BQ110" s="74">
        <v>3980.3833754594025</v>
      </c>
      <c r="BR110" s="74">
        <v>0</v>
      </c>
      <c r="BS110" s="74">
        <v>0</v>
      </c>
      <c r="BT110" s="74">
        <v>0</v>
      </c>
      <c r="BU110" s="74">
        <v>0</v>
      </c>
      <c r="BV110" s="74">
        <v>0</v>
      </c>
      <c r="BW110" s="74">
        <v>0</v>
      </c>
      <c r="BX110" s="74">
        <v>0</v>
      </c>
      <c r="BY110" s="74">
        <v>0</v>
      </c>
      <c r="BZ110" s="74">
        <v>0</v>
      </c>
      <c r="CA110" s="74">
        <v>0</v>
      </c>
      <c r="CB110" s="74">
        <v>0</v>
      </c>
      <c r="CC110" s="74">
        <v>0</v>
      </c>
      <c r="CD110" s="74">
        <v>0</v>
      </c>
      <c r="CE110" s="74">
        <v>0</v>
      </c>
      <c r="CF110" s="74">
        <v>0</v>
      </c>
      <c r="CG110" s="74">
        <v>0</v>
      </c>
      <c r="CH110" s="74">
        <v>0</v>
      </c>
      <c r="CI110" s="74">
        <v>0</v>
      </c>
      <c r="CJ110" s="74">
        <v>0</v>
      </c>
      <c r="CK110" s="74">
        <v>0</v>
      </c>
      <c r="CL110" s="74">
        <v>0</v>
      </c>
      <c r="CM110" s="74">
        <v>0</v>
      </c>
      <c r="CN110" s="74">
        <v>0</v>
      </c>
      <c r="CO110" s="74">
        <v>0</v>
      </c>
      <c r="CP110" s="74">
        <v>0</v>
      </c>
      <c r="CQ110" s="74">
        <v>0</v>
      </c>
      <c r="CR110" s="74">
        <v>0</v>
      </c>
      <c r="CS110" s="74">
        <v>0</v>
      </c>
      <c r="CT110" s="74">
        <v>0</v>
      </c>
      <c r="CU110" s="74">
        <v>0</v>
      </c>
      <c r="CV110" s="74">
        <v>0</v>
      </c>
      <c r="CW110" s="74">
        <v>0</v>
      </c>
      <c r="CX110" s="74">
        <v>0</v>
      </c>
      <c r="CY110" s="74">
        <v>0</v>
      </c>
      <c r="CZ110" s="74">
        <v>0</v>
      </c>
      <c r="DA110" s="74">
        <v>0</v>
      </c>
      <c r="DB110" s="74">
        <v>0</v>
      </c>
      <c r="DC110" s="74">
        <v>0</v>
      </c>
      <c r="DD110" s="74">
        <v>0</v>
      </c>
      <c r="DE110" s="74">
        <v>0</v>
      </c>
      <c r="DF110" s="74">
        <v>0</v>
      </c>
      <c r="DG110" s="74">
        <v>0</v>
      </c>
      <c r="DH110" s="74">
        <v>0</v>
      </c>
      <c r="DI110" s="74">
        <v>0</v>
      </c>
      <c r="DJ110" s="74">
        <v>0</v>
      </c>
      <c r="DK110" s="74">
        <v>0</v>
      </c>
      <c r="DL110" s="74">
        <v>0</v>
      </c>
      <c r="DM110" s="74">
        <v>0</v>
      </c>
      <c r="DN110" s="74">
        <v>0</v>
      </c>
      <c r="DO110" s="74">
        <v>0</v>
      </c>
      <c r="DP110" s="74">
        <v>0</v>
      </c>
      <c r="DQ110" s="74">
        <v>0</v>
      </c>
      <c r="DR110" s="74">
        <v>0</v>
      </c>
      <c r="DS110" s="74">
        <v>0</v>
      </c>
      <c r="DT110" s="74">
        <v>0</v>
      </c>
      <c r="DU110" s="74">
        <v>0</v>
      </c>
      <c r="DV110" s="74">
        <v>0</v>
      </c>
      <c r="DW110" s="74">
        <v>0</v>
      </c>
      <c r="DX110" s="74">
        <v>0</v>
      </c>
      <c r="DY110" s="74">
        <v>0</v>
      </c>
      <c r="DZ110" s="74">
        <v>0</v>
      </c>
      <c r="EA110" s="74">
        <v>0</v>
      </c>
      <c r="EB110" s="74">
        <v>0</v>
      </c>
      <c r="EC110" s="74">
        <v>0</v>
      </c>
      <c r="ED110" s="74"/>
      <c r="EE110" s="80">
        <v>46009</v>
      </c>
      <c r="EF110" s="81">
        <v>46009.5211724537</v>
      </c>
      <c r="EG110" s="66" t="s">
        <v>69</v>
      </c>
      <c r="EH110" s="66" t="s">
        <v>209</v>
      </c>
      <c r="EI110" s="66" t="s">
        <v>6</v>
      </c>
      <c r="EJ110" s="66">
        <v>15</v>
      </c>
      <c r="EK110" s="66">
        <v>2027</v>
      </c>
      <c r="EL110" s="66" t="s">
        <v>24</v>
      </c>
      <c r="EM110" s="82">
        <v>338.17657095145614</v>
      </c>
      <c r="EN110" s="82">
        <v>337.5739809825738</v>
      </c>
      <c r="EO110" s="77">
        <v>227.1146</v>
      </c>
      <c r="EP110" s="84">
        <v>0.13999758052366426</v>
      </c>
      <c r="EQ110" s="84">
        <v>0.14268534690246426</v>
      </c>
      <c r="ER110" s="84">
        <v>4.8599999999999997E-2</v>
      </c>
      <c r="ES110" s="85">
        <v>0.97143267823005075</v>
      </c>
      <c r="ET110" s="86">
        <v>1.3804000000000001</v>
      </c>
      <c r="EU110" s="85">
        <v>0.11535261294006394</v>
      </c>
      <c r="EV110" s="85">
        <v>4.3499999999999997E-2</v>
      </c>
      <c r="EW110" s="76">
        <v>1</v>
      </c>
      <c r="EX110" s="76" t="s">
        <v>32</v>
      </c>
      <c r="EY110" s="74" t="s">
        <v>243</v>
      </c>
      <c r="EZ110" s="74"/>
      <c r="FA110" s="74"/>
      <c r="FB110" s="74"/>
      <c r="FC110" s="74"/>
      <c r="FD110" s="68"/>
      <c r="FH110" s="73"/>
      <c r="FI110" s="74"/>
      <c r="FJ110" s="74"/>
      <c r="FK110" s="74"/>
      <c r="FL110" s="74"/>
      <c r="FM110" s="74"/>
      <c r="FN110" s="74"/>
      <c r="FO110" s="74"/>
      <c r="FP110" s="74"/>
      <c r="FQ110" s="74"/>
      <c r="FR110" s="74"/>
      <c r="FS110" s="74"/>
      <c r="FT110" s="74"/>
      <c r="FU110" s="74"/>
      <c r="FV110" s="74"/>
      <c r="FW110" s="74"/>
      <c r="FX110" s="74"/>
      <c r="FY110" s="74"/>
      <c r="FZ110" s="74"/>
      <c r="GA110" s="68"/>
    </row>
    <row r="111" spans="1:183" s="2" customFormat="1" ht="15" x14ac:dyDescent="0.3">
      <c r="A111" s="73" t="s">
        <v>183</v>
      </c>
      <c r="B111" s="73" t="s">
        <v>194</v>
      </c>
      <c r="C111" s="73" t="s">
        <v>194</v>
      </c>
      <c r="D111" s="73" t="s">
        <v>48</v>
      </c>
      <c r="E111" s="73" t="s">
        <v>178</v>
      </c>
      <c r="F111" s="73" t="s">
        <v>210</v>
      </c>
      <c r="G111" s="73" t="s">
        <v>227</v>
      </c>
      <c r="H111" s="73"/>
      <c r="I111" s="74">
        <v>0</v>
      </c>
      <c r="J111" s="74">
        <v>0</v>
      </c>
      <c r="K111" s="74">
        <v>0</v>
      </c>
      <c r="L111" s="74">
        <v>0</v>
      </c>
      <c r="M111" s="74">
        <v>30848.619525331884</v>
      </c>
      <c r="N111" s="74">
        <v>34219.872499999998</v>
      </c>
      <c r="O111" s="74">
        <v>49584.682400000005</v>
      </c>
      <c r="P111" s="74">
        <v>67126.490000000005</v>
      </c>
      <c r="Q111" s="74">
        <v>87487.177475305361</v>
      </c>
      <c r="R111" s="74">
        <v>114858.29566995762</v>
      </c>
      <c r="S111" s="74">
        <v>134982.98420225797</v>
      </c>
      <c r="T111" s="74">
        <v>169159.61169260339</v>
      </c>
      <c r="U111" s="74">
        <v>0</v>
      </c>
      <c r="V111" s="74">
        <v>0</v>
      </c>
      <c r="W111" s="74">
        <v>0</v>
      </c>
      <c r="X111" s="74">
        <v>0</v>
      </c>
      <c r="Y111" s="74">
        <v>0</v>
      </c>
      <c r="Z111" s="74">
        <v>0</v>
      </c>
      <c r="AA111" s="74">
        <v>0</v>
      </c>
      <c r="AB111" s="74">
        <v>0</v>
      </c>
      <c r="AC111" s="74">
        <v>0</v>
      </c>
      <c r="AD111" s="74">
        <v>0</v>
      </c>
      <c r="AE111" s="74">
        <v>0</v>
      </c>
      <c r="AF111" s="74">
        <v>0</v>
      </c>
      <c r="AG111" s="74">
        <v>0</v>
      </c>
      <c r="AH111" s="74">
        <v>0</v>
      </c>
      <c r="AI111" s="74">
        <v>0</v>
      </c>
      <c r="AJ111" s="74">
        <v>0</v>
      </c>
      <c r="AK111" s="74"/>
      <c r="AL111" s="74">
        <v>5542.7404091038325</v>
      </c>
      <c r="AM111" s="74">
        <v>5109.2801396485584</v>
      </c>
      <c r="AN111" s="74">
        <v>6297.678976579492</v>
      </c>
      <c r="AO111" s="74">
        <v>5422.9</v>
      </c>
      <c r="AP111" s="74">
        <v>5089.7159999999994</v>
      </c>
      <c r="AQ111" s="74">
        <v>5674.9624999999996</v>
      </c>
      <c r="AR111" s="74">
        <v>5699.2950000000001</v>
      </c>
      <c r="AS111" s="74">
        <v>5932.3950000000004</v>
      </c>
      <c r="AT111" s="74">
        <v>7239.0059999999985</v>
      </c>
      <c r="AU111" s="74">
        <v>8581.4640000000018</v>
      </c>
      <c r="AV111" s="74">
        <v>8937.6684000000005</v>
      </c>
      <c r="AW111" s="74">
        <v>10577.147999999999</v>
      </c>
      <c r="AX111" s="74">
        <v>10600.665799999999</v>
      </c>
      <c r="AY111" s="74">
        <v>10426.986749999998</v>
      </c>
      <c r="AZ111" s="74">
        <v>10780.4004</v>
      </c>
      <c r="BA111" s="74">
        <v>12291.621999999999</v>
      </c>
      <c r="BB111" s="74">
        <v>10975.125</v>
      </c>
      <c r="BC111" s="74">
        <v>11577.375</v>
      </c>
      <c r="BD111" s="74">
        <v>12377.25</v>
      </c>
      <c r="BE111" s="74">
        <v>13169.594999999998</v>
      </c>
      <c r="BF111" s="74">
        <v>13718.90625</v>
      </c>
      <c r="BG111" s="74">
        <v>14471.71875</v>
      </c>
      <c r="BH111" s="74">
        <v>15471.5625</v>
      </c>
      <c r="BI111" s="74">
        <v>16461.993749999998</v>
      </c>
      <c r="BJ111" s="74">
        <v>17148.6328125</v>
      </c>
      <c r="BK111" s="74">
        <v>18089.6484375</v>
      </c>
      <c r="BL111" s="74">
        <v>19339.453125</v>
      </c>
      <c r="BM111" s="74">
        <v>20577.492187499996</v>
      </c>
      <c r="BN111" s="74">
        <v>21435.791015625</v>
      </c>
      <c r="BO111" s="74">
        <v>22612.060546875</v>
      </c>
      <c r="BP111" s="74">
        <v>24174.31640625</v>
      </c>
      <c r="BQ111" s="74">
        <v>25721.865234374996</v>
      </c>
      <c r="BR111" s="74">
        <v>0</v>
      </c>
      <c r="BS111" s="74">
        <v>0</v>
      </c>
      <c r="BT111" s="74">
        <v>0</v>
      </c>
      <c r="BU111" s="74">
        <v>0</v>
      </c>
      <c r="BV111" s="74">
        <v>0</v>
      </c>
      <c r="BW111" s="74">
        <v>0</v>
      </c>
      <c r="BX111" s="74">
        <v>0</v>
      </c>
      <c r="BY111" s="74">
        <v>0</v>
      </c>
      <c r="BZ111" s="74">
        <v>0</v>
      </c>
      <c r="CA111" s="74">
        <v>0</v>
      </c>
      <c r="CB111" s="74">
        <v>0</v>
      </c>
      <c r="CC111" s="74">
        <v>0</v>
      </c>
      <c r="CD111" s="74">
        <v>0</v>
      </c>
      <c r="CE111" s="74">
        <v>0</v>
      </c>
      <c r="CF111" s="74">
        <v>0</v>
      </c>
      <c r="CG111" s="74">
        <v>0</v>
      </c>
      <c r="CH111" s="74">
        <v>0</v>
      </c>
      <c r="CI111" s="74">
        <v>0</v>
      </c>
      <c r="CJ111" s="74">
        <v>0</v>
      </c>
      <c r="CK111" s="74">
        <v>0</v>
      </c>
      <c r="CL111" s="74">
        <v>0</v>
      </c>
      <c r="CM111" s="74">
        <v>0</v>
      </c>
      <c r="CN111" s="74">
        <v>0</v>
      </c>
      <c r="CO111" s="74">
        <v>0</v>
      </c>
      <c r="CP111" s="74">
        <v>0</v>
      </c>
      <c r="CQ111" s="74">
        <v>0</v>
      </c>
      <c r="CR111" s="74">
        <v>0</v>
      </c>
      <c r="CS111" s="74">
        <v>0</v>
      </c>
      <c r="CT111" s="74">
        <v>0</v>
      </c>
      <c r="CU111" s="74">
        <v>0</v>
      </c>
      <c r="CV111" s="74">
        <v>0</v>
      </c>
      <c r="CW111" s="74">
        <v>0</v>
      </c>
      <c r="CX111" s="74">
        <v>0</v>
      </c>
      <c r="CY111" s="74">
        <v>0</v>
      </c>
      <c r="CZ111" s="74">
        <v>0</v>
      </c>
      <c r="DA111" s="74">
        <v>0</v>
      </c>
      <c r="DB111" s="74">
        <v>0</v>
      </c>
      <c r="DC111" s="74">
        <v>0</v>
      </c>
      <c r="DD111" s="74">
        <v>0</v>
      </c>
      <c r="DE111" s="74">
        <v>0</v>
      </c>
      <c r="DF111" s="74">
        <v>0</v>
      </c>
      <c r="DG111" s="74">
        <v>0</v>
      </c>
      <c r="DH111" s="74">
        <v>0</v>
      </c>
      <c r="DI111" s="74">
        <v>0</v>
      </c>
      <c r="DJ111" s="74">
        <v>0</v>
      </c>
      <c r="DK111" s="74">
        <v>0</v>
      </c>
      <c r="DL111" s="74">
        <v>0</v>
      </c>
      <c r="DM111" s="74">
        <v>0</v>
      </c>
      <c r="DN111" s="74">
        <v>0</v>
      </c>
      <c r="DO111" s="74">
        <v>0</v>
      </c>
      <c r="DP111" s="74">
        <v>0</v>
      </c>
      <c r="DQ111" s="74">
        <v>0</v>
      </c>
      <c r="DR111" s="74">
        <v>0</v>
      </c>
      <c r="DS111" s="74">
        <v>0</v>
      </c>
      <c r="DT111" s="74">
        <v>0</v>
      </c>
      <c r="DU111" s="74">
        <v>0</v>
      </c>
      <c r="DV111" s="74">
        <v>0</v>
      </c>
      <c r="DW111" s="74">
        <v>0</v>
      </c>
      <c r="DX111" s="74">
        <v>0</v>
      </c>
      <c r="DY111" s="74">
        <v>0</v>
      </c>
      <c r="DZ111" s="74">
        <v>0</v>
      </c>
      <c r="EA111" s="74">
        <v>0</v>
      </c>
      <c r="EB111" s="74">
        <v>0</v>
      </c>
      <c r="EC111" s="74">
        <v>0</v>
      </c>
      <c r="ED111" s="74"/>
      <c r="EE111" s="80">
        <v>46009</v>
      </c>
      <c r="EF111" s="81">
        <v>46009.5211724537</v>
      </c>
      <c r="EG111" s="66" t="s">
        <v>69</v>
      </c>
      <c r="EH111" s="66" t="s">
        <v>209</v>
      </c>
      <c r="EI111" s="66" t="s">
        <v>6</v>
      </c>
      <c r="EJ111" s="66">
        <v>15</v>
      </c>
      <c r="EK111" s="66">
        <v>2027</v>
      </c>
      <c r="EL111" s="66" t="s">
        <v>24</v>
      </c>
      <c r="EM111" s="82">
        <v>338.17657095145614</v>
      </c>
      <c r="EN111" s="82">
        <v>337.5739809825738</v>
      </c>
      <c r="EO111" s="77">
        <v>227.1146</v>
      </c>
      <c r="EP111" s="84">
        <v>0.13999758052366426</v>
      </c>
      <c r="EQ111" s="84">
        <v>0.14268534690246426</v>
      </c>
      <c r="ER111" s="84">
        <v>4.8599999999999997E-2</v>
      </c>
      <c r="ES111" s="85">
        <v>0.97143267823005075</v>
      </c>
      <c r="ET111" s="86">
        <v>1.3804000000000001</v>
      </c>
      <c r="EU111" s="85">
        <v>0.11535261294006394</v>
      </c>
      <c r="EV111" s="85">
        <v>4.3499999999999997E-2</v>
      </c>
      <c r="EW111" s="76">
        <v>1</v>
      </c>
      <c r="EX111" s="76" t="s">
        <v>32</v>
      </c>
      <c r="EY111" s="74" t="s">
        <v>243</v>
      </c>
      <c r="EZ111" s="74"/>
      <c r="FA111" s="74"/>
      <c r="FB111" s="74"/>
      <c r="FC111" s="74"/>
      <c r="FD111" s="68"/>
      <c r="FH111" s="73"/>
      <c r="FI111" s="74"/>
      <c r="FJ111" s="74"/>
      <c r="FK111" s="74"/>
      <c r="FL111" s="74"/>
      <c r="FM111" s="74"/>
      <c r="FN111" s="74"/>
      <c r="FO111" s="74"/>
      <c r="FP111" s="74"/>
      <c r="FQ111" s="74"/>
      <c r="FR111" s="74"/>
      <c r="FS111" s="74"/>
      <c r="FT111" s="74"/>
      <c r="FU111" s="74"/>
      <c r="FV111" s="74"/>
      <c r="FW111" s="74"/>
      <c r="FX111" s="74"/>
      <c r="FY111" s="74"/>
      <c r="FZ111" s="74"/>
      <c r="GA111" s="68"/>
    </row>
    <row r="112" spans="1:183" s="2" customFormat="1" ht="15" x14ac:dyDescent="0.3">
      <c r="A112" s="73" t="s">
        <v>197</v>
      </c>
      <c r="B112" s="73" t="s">
        <v>204</v>
      </c>
      <c r="C112" s="73" t="s">
        <v>204</v>
      </c>
      <c r="D112" s="73" t="s">
        <v>48</v>
      </c>
      <c r="E112" s="73" t="s">
        <v>178</v>
      </c>
      <c r="F112" s="73" t="s">
        <v>210</v>
      </c>
      <c r="G112" s="73" t="s">
        <v>227</v>
      </c>
      <c r="H112" s="73"/>
      <c r="I112" s="74">
        <v>0</v>
      </c>
      <c r="J112" s="74">
        <v>0</v>
      </c>
      <c r="K112" s="74">
        <v>0</v>
      </c>
      <c r="L112" s="74">
        <v>0</v>
      </c>
      <c r="M112" s="74">
        <v>16940</v>
      </c>
      <c r="N112" s="74">
        <v>19772.75</v>
      </c>
      <c r="O112" s="74">
        <v>21500</v>
      </c>
      <c r="P112" s="74">
        <v>22366</v>
      </c>
      <c r="Q112" s="74">
        <v>23019.601214149196</v>
      </c>
      <c r="R112" s="74">
        <v>18441.73530774063</v>
      </c>
      <c r="S112" s="74">
        <v>15067.187597790644</v>
      </c>
      <c r="T112" s="74">
        <v>12546.29730064817</v>
      </c>
      <c r="U112" s="74">
        <v>0</v>
      </c>
      <c r="V112" s="74">
        <v>0</v>
      </c>
      <c r="W112" s="74">
        <v>0</v>
      </c>
      <c r="X112" s="74">
        <v>0</v>
      </c>
      <c r="Y112" s="74">
        <v>0</v>
      </c>
      <c r="Z112" s="74">
        <v>0</v>
      </c>
      <c r="AA112" s="74">
        <v>0</v>
      </c>
      <c r="AB112" s="74">
        <v>0</v>
      </c>
      <c r="AC112" s="74">
        <v>0</v>
      </c>
      <c r="AD112" s="74">
        <v>0</v>
      </c>
      <c r="AE112" s="74">
        <v>0</v>
      </c>
      <c r="AF112" s="74">
        <v>0</v>
      </c>
      <c r="AG112" s="74">
        <v>0</v>
      </c>
      <c r="AH112" s="74">
        <v>0</v>
      </c>
      <c r="AI112" s="74">
        <v>0</v>
      </c>
      <c r="AJ112" s="74">
        <v>0</v>
      </c>
      <c r="AK112" s="74"/>
      <c r="AL112" s="74">
        <v>0</v>
      </c>
      <c r="AM112" s="74">
        <v>0</v>
      </c>
      <c r="AN112" s="74">
        <v>0</v>
      </c>
      <c r="AO112" s="74">
        <v>0</v>
      </c>
      <c r="AP112" s="74">
        <v>0</v>
      </c>
      <c r="AQ112" s="74">
        <v>0</v>
      </c>
      <c r="AR112" s="74">
        <v>0</v>
      </c>
      <c r="AS112" s="74">
        <v>0</v>
      </c>
      <c r="AT112" s="74">
        <v>0</v>
      </c>
      <c r="AU112" s="74">
        <v>0</v>
      </c>
      <c r="AV112" s="74">
        <v>0</v>
      </c>
      <c r="AW112" s="74">
        <v>0</v>
      </c>
      <c r="AX112" s="74">
        <v>0</v>
      </c>
      <c r="AY112" s="74">
        <v>0</v>
      </c>
      <c r="AZ112" s="74">
        <v>0</v>
      </c>
      <c r="BA112" s="74">
        <v>0</v>
      </c>
      <c r="BB112" s="74">
        <v>0</v>
      </c>
      <c r="BC112" s="74">
        <v>0</v>
      </c>
      <c r="BD112" s="74">
        <v>0</v>
      </c>
      <c r="BE112" s="74">
        <v>0</v>
      </c>
      <c r="BF112" s="74">
        <v>0</v>
      </c>
      <c r="BG112" s="74">
        <v>0</v>
      </c>
      <c r="BH112" s="74">
        <v>0</v>
      </c>
      <c r="BI112" s="74">
        <v>0</v>
      </c>
      <c r="BJ112" s="74">
        <v>0</v>
      </c>
      <c r="BK112" s="74">
        <v>0</v>
      </c>
      <c r="BL112" s="74">
        <v>0</v>
      </c>
      <c r="BM112" s="74">
        <v>0</v>
      </c>
      <c r="BN112" s="74">
        <v>0</v>
      </c>
      <c r="BO112" s="74">
        <v>0</v>
      </c>
      <c r="BP112" s="74">
        <v>0</v>
      </c>
      <c r="BQ112" s="74">
        <v>0</v>
      </c>
      <c r="BR112" s="74">
        <v>0</v>
      </c>
      <c r="BS112" s="74">
        <v>0</v>
      </c>
      <c r="BT112" s="74">
        <v>0</v>
      </c>
      <c r="BU112" s="74">
        <v>0</v>
      </c>
      <c r="BV112" s="74">
        <v>0</v>
      </c>
      <c r="BW112" s="74">
        <v>0</v>
      </c>
      <c r="BX112" s="74">
        <v>0</v>
      </c>
      <c r="BY112" s="74">
        <v>0</v>
      </c>
      <c r="BZ112" s="74">
        <v>0</v>
      </c>
      <c r="CA112" s="74">
        <v>0</v>
      </c>
      <c r="CB112" s="74">
        <v>0</v>
      </c>
      <c r="CC112" s="74">
        <v>0</v>
      </c>
      <c r="CD112" s="74">
        <v>0</v>
      </c>
      <c r="CE112" s="74">
        <v>0</v>
      </c>
      <c r="CF112" s="74">
        <v>0</v>
      </c>
      <c r="CG112" s="74">
        <v>0</v>
      </c>
      <c r="CH112" s="74">
        <v>0</v>
      </c>
      <c r="CI112" s="74">
        <v>0</v>
      </c>
      <c r="CJ112" s="74">
        <v>0</v>
      </c>
      <c r="CK112" s="74">
        <v>0</v>
      </c>
      <c r="CL112" s="74">
        <v>0</v>
      </c>
      <c r="CM112" s="74">
        <v>0</v>
      </c>
      <c r="CN112" s="74">
        <v>0</v>
      </c>
      <c r="CO112" s="74">
        <v>0</v>
      </c>
      <c r="CP112" s="74">
        <v>0</v>
      </c>
      <c r="CQ112" s="74">
        <v>0</v>
      </c>
      <c r="CR112" s="74">
        <v>0</v>
      </c>
      <c r="CS112" s="74">
        <v>0</v>
      </c>
      <c r="CT112" s="74">
        <v>0</v>
      </c>
      <c r="CU112" s="74">
        <v>0</v>
      </c>
      <c r="CV112" s="74">
        <v>0</v>
      </c>
      <c r="CW112" s="74">
        <v>0</v>
      </c>
      <c r="CX112" s="74">
        <v>0</v>
      </c>
      <c r="CY112" s="74">
        <v>0</v>
      </c>
      <c r="CZ112" s="74">
        <v>0</v>
      </c>
      <c r="DA112" s="74">
        <v>0</v>
      </c>
      <c r="DB112" s="74">
        <v>0</v>
      </c>
      <c r="DC112" s="74">
        <v>0</v>
      </c>
      <c r="DD112" s="74">
        <v>0</v>
      </c>
      <c r="DE112" s="74">
        <v>0</v>
      </c>
      <c r="DF112" s="74">
        <v>0</v>
      </c>
      <c r="DG112" s="74">
        <v>0</v>
      </c>
      <c r="DH112" s="74">
        <v>0</v>
      </c>
      <c r="DI112" s="74">
        <v>0</v>
      </c>
      <c r="DJ112" s="74">
        <v>0</v>
      </c>
      <c r="DK112" s="74">
        <v>0</v>
      </c>
      <c r="DL112" s="74">
        <v>0</v>
      </c>
      <c r="DM112" s="74">
        <v>0</v>
      </c>
      <c r="DN112" s="74">
        <v>0</v>
      </c>
      <c r="DO112" s="74">
        <v>0</v>
      </c>
      <c r="DP112" s="74">
        <v>0</v>
      </c>
      <c r="DQ112" s="74">
        <v>0</v>
      </c>
      <c r="DR112" s="74">
        <v>0</v>
      </c>
      <c r="DS112" s="74">
        <v>0</v>
      </c>
      <c r="DT112" s="74">
        <v>0</v>
      </c>
      <c r="DU112" s="74">
        <v>0</v>
      </c>
      <c r="DV112" s="74">
        <v>0</v>
      </c>
      <c r="DW112" s="74">
        <v>0</v>
      </c>
      <c r="DX112" s="74">
        <v>0</v>
      </c>
      <c r="DY112" s="74">
        <v>0</v>
      </c>
      <c r="DZ112" s="74">
        <v>0</v>
      </c>
      <c r="EA112" s="74">
        <v>0</v>
      </c>
      <c r="EB112" s="74">
        <v>0</v>
      </c>
      <c r="EC112" s="74">
        <v>0</v>
      </c>
      <c r="ED112" s="74"/>
      <c r="EE112" s="80">
        <v>46009</v>
      </c>
      <c r="EF112" s="81">
        <v>46009.5211724537</v>
      </c>
      <c r="EG112" s="66" t="s">
        <v>69</v>
      </c>
      <c r="EH112" s="66" t="s">
        <v>209</v>
      </c>
      <c r="EI112" s="66" t="s">
        <v>6</v>
      </c>
      <c r="EJ112" s="66">
        <v>15</v>
      </c>
      <c r="EK112" s="66">
        <v>2027</v>
      </c>
      <c r="EL112" s="66" t="s">
        <v>24</v>
      </c>
      <c r="EM112" s="82">
        <v>338.17657095145614</v>
      </c>
      <c r="EN112" s="82">
        <v>337.5739809825738</v>
      </c>
      <c r="EO112" s="77">
        <v>227.1146</v>
      </c>
      <c r="EP112" s="84">
        <v>0.13999758052366426</v>
      </c>
      <c r="EQ112" s="84">
        <v>0.14268534690246426</v>
      </c>
      <c r="ER112" s="84">
        <v>4.8599999999999997E-2</v>
      </c>
      <c r="ES112" s="85">
        <v>0.97143267823005075</v>
      </c>
      <c r="ET112" s="86">
        <v>1.3804000000000001</v>
      </c>
      <c r="EU112" s="85">
        <v>0.11535261294006394</v>
      </c>
      <c r="EV112" s="85">
        <v>4.3499999999999997E-2</v>
      </c>
      <c r="EW112" s="76">
        <v>1</v>
      </c>
      <c r="EX112" s="76" t="s">
        <v>32</v>
      </c>
      <c r="EY112" s="74" t="s">
        <v>243</v>
      </c>
      <c r="EZ112" s="74"/>
      <c r="FA112" s="74"/>
      <c r="FB112" s="74"/>
      <c r="FC112" s="74"/>
      <c r="FD112" s="68"/>
      <c r="FH112" s="73"/>
      <c r="FI112" s="74"/>
      <c r="FJ112" s="74"/>
      <c r="FK112" s="74"/>
      <c r="FL112" s="74"/>
      <c r="FM112" s="74"/>
      <c r="FN112" s="74"/>
      <c r="FO112" s="74"/>
      <c r="FP112" s="74"/>
      <c r="FQ112" s="74"/>
      <c r="FR112" s="74"/>
      <c r="FS112" s="74"/>
      <c r="FT112" s="74"/>
      <c r="FU112" s="74"/>
      <c r="FV112" s="74"/>
      <c r="FW112" s="74"/>
      <c r="FX112" s="74"/>
      <c r="FY112" s="74"/>
      <c r="FZ112" s="74"/>
      <c r="GA112" s="68"/>
    </row>
    <row r="113" spans="1:183" s="2" customFormat="1" ht="15" x14ac:dyDescent="0.3">
      <c r="A113" s="73" t="s">
        <v>184</v>
      </c>
      <c r="B113" s="73" t="s">
        <v>166</v>
      </c>
      <c r="C113" s="73" t="s">
        <v>166</v>
      </c>
      <c r="D113" s="73" t="s">
        <v>48</v>
      </c>
      <c r="E113" s="73" t="s">
        <v>178</v>
      </c>
      <c r="F113" s="73" t="s">
        <v>210</v>
      </c>
      <c r="G113" s="73" t="s">
        <v>227</v>
      </c>
      <c r="H113" s="73"/>
      <c r="I113" s="74">
        <v>0</v>
      </c>
      <c r="J113" s="74">
        <v>0</v>
      </c>
      <c r="K113" s="74">
        <v>0</v>
      </c>
      <c r="L113" s="74">
        <v>0</v>
      </c>
      <c r="M113" s="74">
        <v>13382.4</v>
      </c>
      <c r="N113" s="74">
        <v>14412.16</v>
      </c>
      <c r="O113" s="74">
        <v>14981.12</v>
      </c>
      <c r="P113" s="74">
        <v>16486.560000000001</v>
      </c>
      <c r="Q113" s="74">
        <v>17212.648000000001</v>
      </c>
      <c r="R113" s="74">
        <v>20901.30434672636</v>
      </c>
      <c r="S113" s="74">
        <v>24644.043680649134</v>
      </c>
      <c r="T113" s="74">
        <v>28142.292122614217</v>
      </c>
      <c r="U113" s="74">
        <v>0</v>
      </c>
      <c r="V113" s="74">
        <v>0</v>
      </c>
      <c r="W113" s="74">
        <v>0</v>
      </c>
      <c r="X113" s="74">
        <v>0</v>
      </c>
      <c r="Y113" s="74">
        <v>0</v>
      </c>
      <c r="Z113" s="74">
        <v>0</v>
      </c>
      <c r="AA113" s="74">
        <v>0</v>
      </c>
      <c r="AB113" s="74">
        <v>0</v>
      </c>
      <c r="AC113" s="74">
        <v>0</v>
      </c>
      <c r="AD113" s="74">
        <v>0</v>
      </c>
      <c r="AE113" s="74">
        <v>0</v>
      </c>
      <c r="AF113" s="74">
        <v>0</v>
      </c>
      <c r="AG113" s="74">
        <v>0</v>
      </c>
      <c r="AH113" s="74">
        <v>0</v>
      </c>
      <c r="AI113" s="74">
        <v>0</v>
      </c>
      <c r="AJ113" s="74">
        <v>0</v>
      </c>
      <c r="AK113" s="74"/>
      <c r="AL113" s="74">
        <v>0</v>
      </c>
      <c r="AM113" s="74">
        <v>0</v>
      </c>
      <c r="AN113" s="74">
        <v>0</v>
      </c>
      <c r="AO113" s="74">
        <v>0</v>
      </c>
      <c r="AP113" s="74">
        <v>0</v>
      </c>
      <c r="AQ113" s="74">
        <v>0</v>
      </c>
      <c r="AR113" s="74">
        <v>0</v>
      </c>
      <c r="AS113" s="74">
        <v>0</v>
      </c>
      <c r="AT113" s="74">
        <v>0</v>
      </c>
      <c r="AU113" s="74">
        <v>0</v>
      </c>
      <c r="AV113" s="74">
        <v>0</v>
      </c>
      <c r="AW113" s="74">
        <v>0</v>
      </c>
      <c r="AX113" s="74">
        <v>0</v>
      </c>
      <c r="AY113" s="74">
        <v>0</v>
      </c>
      <c r="AZ113" s="74">
        <v>0</v>
      </c>
      <c r="BA113" s="74">
        <v>0</v>
      </c>
      <c r="BB113" s="74">
        <v>0</v>
      </c>
      <c r="BC113" s="74">
        <v>0</v>
      </c>
      <c r="BD113" s="74">
        <v>0</v>
      </c>
      <c r="BE113" s="74">
        <v>0</v>
      </c>
      <c r="BF113" s="74">
        <v>0</v>
      </c>
      <c r="BG113" s="74">
        <v>0</v>
      </c>
      <c r="BH113" s="74">
        <v>0</v>
      </c>
      <c r="BI113" s="74">
        <v>0</v>
      </c>
      <c r="BJ113" s="74">
        <v>0</v>
      </c>
      <c r="BK113" s="74">
        <v>0</v>
      </c>
      <c r="BL113" s="74">
        <v>0</v>
      </c>
      <c r="BM113" s="74">
        <v>0</v>
      </c>
      <c r="BN113" s="74">
        <v>0</v>
      </c>
      <c r="BO113" s="74">
        <v>0</v>
      </c>
      <c r="BP113" s="74">
        <v>0</v>
      </c>
      <c r="BQ113" s="74">
        <v>0</v>
      </c>
      <c r="BR113" s="74">
        <v>0</v>
      </c>
      <c r="BS113" s="74">
        <v>0</v>
      </c>
      <c r="BT113" s="74">
        <v>0</v>
      </c>
      <c r="BU113" s="74">
        <v>0</v>
      </c>
      <c r="BV113" s="74">
        <v>0</v>
      </c>
      <c r="BW113" s="74">
        <v>0</v>
      </c>
      <c r="BX113" s="74">
        <v>0</v>
      </c>
      <c r="BY113" s="74">
        <v>0</v>
      </c>
      <c r="BZ113" s="74">
        <v>0</v>
      </c>
      <c r="CA113" s="74">
        <v>0</v>
      </c>
      <c r="CB113" s="74">
        <v>0</v>
      </c>
      <c r="CC113" s="74">
        <v>0</v>
      </c>
      <c r="CD113" s="74">
        <v>0</v>
      </c>
      <c r="CE113" s="74">
        <v>0</v>
      </c>
      <c r="CF113" s="74">
        <v>0</v>
      </c>
      <c r="CG113" s="74">
        <v>0</v>
      </c>
      <c r="CH113" s="74">
        <v>0</v>
      </c>
      <c r="CI113" s="74">
        <v>0</v>
      </c>
      <c r="CJ113" s="74">
        <v>0</v>
      </c>
      <c r="CK113" s="74">
        <v>0</v>
      </c>
      <c r="CL113" s="74">
        <v>0</v>
      </c>
      <c r="CM113" s="74">
        <v>0</v>
      </c>
      <c r="CN113" s="74">
        <v>0</v>
      </c>
      <c r="CO113" s="74">
        <v>0</v>
      </c>
      <c r="CP113" s="74">
        <v>0</v>
      </c>
      <c r="CQ113" s="74">
        <v>0</v>
      </c>
      <c r="CR113" s="74">
        <v>0</v>
      </c>
      <c r="CS113" s="74">
        <v>0</v>
      </c>
      <c r="CT113" s="74">
        <v>0</v>
      </c>
      <c r="CU113" s="74">
        <v>0</v>
      </c>
      <c r="CV113" s="74">
        <v>0</v>
      </c>
      <c r="CW113" s="74">
        <v>0</v>
      </c>
      <c r="CX113" s="74">
        <v>0</v>
      </c>
      <c r="CY113" s="74">
        <v>0</v>
      </c>
      <c r="CZ113" s="74">
        <v>0</v>
      </c>
      <c r="DA113" s="74">
        <v>0</v>
      </c>
      <c r="DB113" s="74">
        <v>0</v>
      </c>
      <c r="DC113" s="74">
        <v>0</v>
      </c>
      <c r="DD113" s="74">
        <v>0</v>
      </c>
      <c r="DE113" s="74">
        <v>0</v>
      </c>
      <c r="DF113" s="74">
        <v>0</v>
      </c>
      <c r="DG113" s="74">
        <v>0</v>
      </c>
      <c r="DH113" s="74">
        <v>0</v>
      </c>
      <c r="DI113" s="74">
        <v>0</v>
      </c>
      <c r="DJ113" s="74">
        <v>0</v>
      </c>
      <c r="DK113" s="74">
        <v>0</v>
      </c>
      <c r="DL113" s="74">
        <v>0</v>
      </c>
      <c r="DM113" s="74">
        <v>0</v>
      </c>
      <c r="DN113" s="74">
        <v>0</v>
      </c>
      <c r="DO113" s="74">
        <v>0</v>
      </c>
      <c r="DP113" s="74">
        <v>0</v>
      </c>
      <c r="DQ113" s="74">
        <v>0</v>
      </c>
      <c r="DR113" s="74">
        <v>0</v>
      </c>
      <c r="DS113" s="74">
        <v>0</v>
      </c>
      <c r="DT113" s="74">
        <v>0</v>
      </c>
      <c r="DU113" s="74">
        <v>0</v>
      </c>
      <c r="DV113" s="74">
        <v>0</v>
      </c>
      <c r="DW113" s="74">
        <v>0</v>
      </c>
      <c r="DX113" s="74">
        <v>0</v>
      </c>
      <c r="DY113" s="74">
        <v>0</v>
      </c>
      <c r="DZ113" s="74">
        <v>0</v>
      </c>
      <c r="EA113" s="74">
        <v>0</v>
      </c>
      <c r="EB113" s="74">
        <v>0</v>
      </c>
      <c r="EC113" s="74">
        <v>0</v>
      </c>
      <c r="ED113" s="74"/>
      <c r="EE113" s="80">
        <v>46009</v>
      </c>
      <c r="EF113" s="81">
        <v>46009.5211724537</v>
      </c>
      <c r="EG113" s="66" t="s">
        <v>69</v>
      </c>
      <c r="EH113" s="66" t="s">
        <v>209</v>
      </c>
      <c r="EI113" s="66" t="s">
        <v>6</v>
      </c>
      <c r="EJ113" s="66">
        <v>15</v>
      </c>
      <c r="EK113" s="66">
        <v>2027</v>
      </c>
      <c r="EL113" s="66" t="s">
        <v>24</v>
      </c>
      <c r="EM113" s="82">
        <v>338.17657095145614</v>
      </c>
      <c r="EN113" s="82">
        <v>337.5739809825738</v>
      </c>
      <c r="EO113" s="77">
        <v>227.1146</v>
      </c>
      <c r="EP113" s="84">
        <v>0.13999758052366426</v>
      </c>
      <c r="EQ113" s="84">
        <v>0.14268534690246426</v>
      </c>
      <c r="ER113" s="84">
        <v>4.8599999999999997E-2</v>
      </c>
      <c r="ES113" s="85">
        <v>0.97143267823005075</v>
      </c>
      <c r="ET113" s="86">
        <v>1.3804000000000001</v>
      </c>
      <c r="EU113" s="85">
        <v>0.11535261294006394</v>
      </c>
      <c r="EV113" s="85">
        <v>4.3499999999999997E-2</v>
      </c>
      <c r="EW113" s="76">
        <v>1</v>
      </c>
      <c r="EX113" s="76" t="s">
        <v>32</v>
      </c>
      <c r="EY113" s="74" t="s">
        <v>243</v>
      </c>
      <c r="EZ113" s="74"/>
      <c r="FA113" s="74"/>
      <c r="FB113" s="74"/>
      <c r="FC113" s="74"/>
      <c r="FD113" s="68"/>
      <c r="FH113" s="73"/>
      <c r="FI113" s="74"/>
      <c r="FJ113" s="74"/>
      <c r="FK113" s="74"/>
      <c r="FL113" s="74"/>
      <c r="FM113" s="74"/>
      <c r="FN113" s="74"/>
      <c r="FO113" s="74"/>
      <c r="FP113" s="74"/>
      <c r="FQ113" s="74"/>
      <c r="FR113" s="74"/>
      <c r="FS113" s="74"/>
      <c r="FT113" s="74"/>
      <c r="FU113" s="74"/>
      <c r="FV113" s="74"/>
      <c r="FW113" s="74"/>
      <c r="FX113" s="74"/>
      <c r="FY113" s="74"/>
      <c r="FZ113" s="74"/>
      <c r="GA113" s="68"/>
    </row>
    <row r="114" spans="1:183" s="2" customFormat="1" ht="15" x14ac:dyDescent="0.3">
      <c r="A114" s="73" t="s">
        <v>185</v>
      </c>
      <c r="B114" s="73" t="s">
        <v>168</v>
      </c>
      <c r="C114" s="73" t="s">
        <v>168</v>
      </c>
      <c r="D114" s="73" t="s">
        <v>48</v>
      </c>
      <c r="E114" s="73" t="s">
        <v>178</v>
      </c>
      <c r="F114" s="73" t="s">
        <v>210</v>
      </c>
      <c r="G114" s="73" t="s">
        <v>227</v>
      </c>
      <c r="H114" s="73"/>
      <c r="I114" s="74">
        <v>0</v>
      </c>
      <c r="J114" s="74">
        <v>0</v>
      </c>
      <c r="K114" s="74">
        <v>0</v>
      </c>
      <c r="L114" s="74">
        <v>0</v>
      </c>
      <c r="M114" s="74">
        <v>4126.42</v>
      </c>
      <c r="N114" s="74">
        <v>4435.93</v>
      </c>
      <c r="O114" s="74">
        <v>4627.83</v>
      </c>
      <c r="P114" s="74">
        <v>4867.42</v>
      </c>
      <c r="Q114" s="74">
        <v>6014.8964029043782</v>
      </c>
      <c r="R114" s="74">
        <v>7280.2103135260286</v>
      </c>
      <c r="S114" s="74">
        <v>8666.3362152055888</v>
      </c>
      <c r="T114" s="74">
        <v>9927.5664886285067</v>
      </c>
      <c r="U114" s="74">
        <v>0</v>
      </c>
      <c r="V114" s="74">
        <v>0</v>
      </c>
      <c r="W114" s="74">
        <v>0</v>
      </c>
      <c r="X114" s="74">
        <v>0</v>
      </c>
      <c r="Y114" s="74">
        <v>0</v>
      </c>
      <c r="Z114" s="74">
        <v>0</v>
      </c>
      <c r="AA114" s="74">
        <v>0</v>
      </c>
      <c r="AB114" s="74">
        <v>0</v>
      </c>
      <c r="AC114" s="74">
        <v>0</v>
      </c>
      <c r="AD114" s="74">
        <v>0</v>
      </c>
      <c r="AE114" s="74">
        <v>0</v>
      </c>
      <c r="AF114" s="74">
        <v>0</v>
      </c>
      <c r="AG114" s="74">
        <v>0</v>
      </c>
      <c r="AH114" s="74">
        <v>0</v>
      </c>
      <c r="AI114" s="74">
        <v>0</v>
      </c>
      <c r="AJ114" s="74">
        <v>0</v>
      </c>
      <c r="AK114" s="74"/>
      <c r="AL114" s="74">
        <v>0</v>
      </c>
      <c r="AM114" s="74">
        <v>0</v>
      </c>
      <c r="AN114" s="74">
        <v>0</v>
      </c>
      <c r="AO114" s="74">
        <v>0</v>
      </c>
      <c r="AP114" s="74">
        <v>0</v>
      </c>
      <c r="AQ114" s="74">
        <v>0</v>
      </c>
      <c r="AR114" s="74">
        <v>0</v>
      </c>
      <c r="AS114" s="74">
        <v>0</v>
      </c>
      <c r="AT114" s="74">
        <v>0</v>
      </c>
      <c r="AU114" s="74">
        <v>0</v>
      </c>
      <c r="AV114" s="74">
        <v>0</v>
      </c>
      <c r="AW114" s="74">
        <v>0</v>
      </c>
      <c r="AX114" s="74">
        <v>0</v>
      </c>
      <c r="AY114" s="74">
        <v>0</v>
      </c>
      <c r="AZ114" s="74">
        <v>0</v>
      </c>
      <c r="BA114" s="74">
        <v>0</v>
      </c>
      <c r="BB114" s="74">
        <v>0</v>
      </c>
      <c r="BC114" s="74">
        <v>0</v>
      </c>
      <c r="BD114" s="74">
        <v>0</v>
      </c>
      <c r="BE114" s="74">
        <v>0</v>
      </c>
      <c r="BF114" s="74">
        <v>0</v>
      </c>
      <c r="BG114" s="74">
        <v>0</v>
      </c>
      <c r="BH114" s="74">
        <v>0</v>
      </c>
      <c r="BI114" s="74">
        <v>0</v>
      </c>
      <c r="BJ114" s="74">
        <v>0</v>
      </c>
      <c r="BK114" s="74">
        <v>0</v>
      </c>
      <c r="BL114" s="74">
        <v>0</v>
      </c>
      <c r="BM114" s="74">
        <v>0</v>
      </c>
      <c r="BN114" s="74">
        <v>0</v>
      </c>
      <c r="BO114" s="74">
        <v>0</v>
      </c>
      <c r="BP114" s="74">
        <v>0</v>
      </c>
      <c r="BQ114" s="74">
        <v>0</v>
      </c>
      <c r="BR114" s="74">
        <v>0</v>
      </c>
      <c r="BS114" s="74">
        <v>0</v>
      </c>
      <c r="BT114" s="74">
        <v>0</v>
      </c>
      <c r="BU114" s="74">
        <v>0</v>
      </c>
      <c r="BV114" s="74">
        <v>0</v>
      </c>
      <c r="BW114" s="74">
        <v>0</v>
      </c>
      <c r="BX114" s="74">
        <v>0</v>
      </c>
      <c r="BY114" s="74">
        <v>0</v>
      </c>
      <c r="BZ114" s="74">
        <v>0</v>
      </c>
      <c r="CA114" s="74">
        <v>0</v>
      </c>
      <c r="CB114" s="74">
        <v>0</v>
      </c>
      <c r="CC114" s="74">
        <v>0</v>
      </c>
      <c r="CD114" s="74">
        <v>0</v>
      </c>
      <c r="CE114" s="74">
        <v>0</v>
      </c>
      <c r="CF114" s="74">
        <v>0</v>
      </c>
      <c r="CG114" s="74">
        <v>0</v>
      </c>
      <c r="CH114" s="74">
        <v>0</v>
      </c>
      <c r="CI114" s="74">
        <v>0</v>
      </c>
      <c r="CJ114" s="74">
        <v>0</v>
      </c>
      <c r="CK114" s="74">
        <v>0</v>
      </c>
      <c r="CL114" s="74">
        <v>0</v>
      </c>
      <c r="CM114" s="74">
        <v>0</v>
      </c>
      <c r="CN114" s="74">
        <v>0</v>
      </c>
      <c r="CO114" s="74">
        <v>0</v>
      </c>
      <c r="CP114" s="74">
        <v>0</v>
      </c>
      <c r="CQ114" s="74">
        <v>0</v>
      </c>
      <c r="CR114" s="74">
        <v>0</v>
      </c>
      <c r="CS114" s="74">
        <v>0</v>
      </c>
      <c r="CT114" s="74">
        <v>0</v>
      </c>
      <c r="CU114" s="74">
        <v>0</v>
      </c>
      <c r="CV114" s="74">
        <v>0</v>
      </c>
      <c r="CW114" s="74">
        <v>0</v>
      </c>
      <c r="CX114" s="74">
        <v>0</v>
      </c>
      <c r="CY114" s="74">
        <v>0</v>
      </c>
      <c r="CZ114" s="74">
        <v>0</v>
      </c>
      <c r="DA114" s="74">
        <v>0</v>
      </c>
      <c r="DB114" s="74">
        <v>0</v>
      </c>
      <c r="DC114" s="74">
        <v>0</v>
      </c>
      <c r="DD114" s="74">
        <v>0</v>
      </c>
      <c r="DE114" s="74">
        <v>0</v>
      </c>
      <c r="DF114" s="74">
        <v>0</v>
      </c>
      <c r="DG114" s="74">
        <v>0</v>
      </c>
      <c r="DH114" s="74">
        <v>0</v>
      </c>
      <c r="DI114" s="74">
        <v>0</v>
      </c>
      <c r="DJ114" s="74">
        <v>0</v>
      </c>
      <c r="DK114" s="74">
        <v>0</v>
      </c>
      <c r="DL114" s="74">
        <v>0</v>
      </c>
      <c r="DM114" s="74">
        <v>0</v>
      </c>
      <c r="DN114" s="74">
        <v>0</v>
      </c>
      <c r="DO114" s="74">
        <v>0</v>
      </c>
      <c r="DP114" s="74">
        <v>0</v>
      </c>
      <c r="DQ114" s="74">
        <v>0</v>
      </c>
      <c r="DR114" s="74">
        <v>0</v>
      </c>
      <c r="DS114" s="74">
        <v>0</v>
      </c>
      <c r="DT114" s="74">
        <v>0</v>
      </c>
      <c r="DU114" s="74">
        <v>0</v>
      </c>
      <c r="DV114" s="74">
        <v>0</v>
      </c>
      <c r="DW114" s="74">
        <v>0</v>
      </c>
      <c r="DX114" s="74">
        <v>0</v>
      </c>
      <c r="DY114" s="74">
        <v>0</v>
      </c>
      <c r="DZ114" s="74">
        <v>0</v>
      </c>
      <c r="EA114" s="74">
        <v>0</v>
      </c>
      <c r="EB114" s="74">
        <v>0</v>
      </c>
      <c r="EC114" s="74">
        <v>0</v>
      </c>
      <c r="ED114" s="74"/>
      <c r="EE114" s="80">
        <v>46009</v>
      </c>
      <c r="EF114" s="81">
        <v>46009.5211724537</v>
      </c>
      <c r="EG114" s="66" t="s">
        <v>69</v>
      </c>
      <c r="EH114" s="66" t="s">
        <v>209</v>
      </c>
      <c r="EI114" s="66" t="s">
        <v>6</v>
      </c>
      <c r="EJ114" s="66">
        <v>15</v>
      </c>
      <c r="EK114" s="66">
        <v>2027</v>
      </c>
      <c r="EL114" s="66" t="s">
        <v>24</v>
      </c>
      <c r="EM114" s="82">
        <v>338.17657095145614</v>
      </c>
      <c r="EN114" s="82">
        <v>337.5739809825738</v>
      </c>
      <c r="EO114" s="77">
        <v>227.1146</v>
      </c>
      <c r="EP114" s="84">
        <v>0.13999758052366426</v>
      </c>
      <c r="EQ114" s="84">
        <v>0.14268534690246426</v>
      </c>
      <c r="ER114" s="84">
        <v>4.8599999999999997E-2</v>
      </c>
      <c r="ES114" s="85">
        <v>0.97143267823005075</v>
      </c>
      <c r="ET114" s="86">
        <v>1.3804000000000001</v>
      </c>
      <c r="EU114" s="85">
        <v>0.11535261294006394</v>
      </c>
      <c r="EV114" s="85">
        <v>4.3499999999999997E-2</v>
      </c>
      <c r="EW114" s="76">
        <v>1</v>
      </c>
      <c r="EX114" s="76" t="s">
        <v>32</v>
      </c>
      <c r="EY114" s="74" t="s">
        <v>243</v>
      </c>
      <c r="EZ114" s="74"/>
      <c r="FA114" s="74"/>
      <c r="FB114" s="74"/>
      <c r="FC114" s="74"/>
      <c r="FD114" s="68"/>
      <c r="FH114" s="73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68"/>
    </row>
    <row r="115" spans="1:183" s="2" customFormat="1" ht="15" x14ac:dyDescent="0.3">
      <c r="A115" s="73" t="s">
        <v>186</v>
      </c>
      <c r="B115" s="73" t="s">
        <v>172</v>
      </c>
      <c r="C115" s="73" t="s">
        <v>172</v>
      </c>
      <c r="D115" s="73" t="s">
        <v>48</v>
      </c>
      <c r="E115" s="73" t="s">
        <v>178</v>
      </c>
      <c r="F115" s="73" t="s">
        <v>210</v>
      </c>
      <c r="G115" s="73" t="s">
        <v>227</v>
      </c>
      <c r="H115" s="73"/>
      <c r="I115" s="74">
        <v>0</v>
      </c>
      <c r="J115" s="74">
        <v>0</v>
      </c>
      <c r="K115" s="74">
        <v>0</v>
      </c>
      <c r="L115" s="74">
        <v>0</v>
      </c>
      <c r="M115" s="74">
        <v>8476.02</v>
      </c>
      <c r="N115" s="74">
        <v>11823.504000000001</v>
      </c>
      <c r="O115" s="74">
        <v>14249.396000000001</v>
      </c>
      <c r="P115" s="74">
        <v>21693.868000000002</v>
      </c>
      <c r="Q115" s="74">
        <v>35155.090115305364</v>
      </c>
      <c r="R115" s="74">
        <v>48596.637997957623</v>
      </c>
      <c r="S115" s="74">
        <v>54522.399886257968</v>
      </c>
      <c r="T115" s="74">
        <v>65625.771580103406</v>
      </c>
      <c r="U115" s="74">
        <v>0</v>
      </c>
      <c r="V115" s="74">
        <v>0</v>
      </c>
      <c r="W115" s="74">
        <v>0</v>
      </c>
      <c r="X115" s="74">
        <v>0</v>
      </c>
      <c r="Y115" s="74">
        <v>0</v>
      </c>
      <c r="Z115" s="74">
        <v>0</v>
      </c>
      <c r="AA115" s="74">
        <v>0</v>
      </c>
      <c r="AB115" s="74">
        <v>0</v>
      </c>
      <c r="AC115" s="74">
        <v>0</v>
      </c>
      <c r="AD115" s="74">
        <v>0</v>
      </c>
      <c r="AE115" s="74">
        <v>0</v>
      </c>
      <c r="AF115" s="74">
        <v>0</v>
      </c>
      <c r="AG115" s="74">
        <v>0</v>
      </c>
      <c r="AH115" s="74">
        <v>0</v>
      </c>
      <c r="AI115" s="74">
        <v>0</v>
      </c>
      <c r="AJ115" s="74">
        <v>0</v>
      </c>
      <c r="AK115" s="74"/>
      <c r="AL115" s="74">
        <v>0</v>
      </c>
      <c r="AM115" s="74">
        <v>0</v>
      </c>
      <c r="AN115" s="74">
        <v>0</v>
      </c>
      <c r="AO115" s="74">
        <v>0</v>
      </c>
      <c r="AP115" s="74">
        <v>0</v>
      </c>
      <c r="AQ115" s="74">
        <v>0</v>
      </c>
      <c r="AR115" s="74">
        <v>0</v>
      </c>
      <c r="AS115" s="74">
        <v>0</v>
      </c>
      <c r="AT115" s="74">
        <v>0</v>
      </c>
      <c r="AU115" s="74">
        <v>0</v>
      </c>
      <c r="AV115" s="74">
        <v>0</v>
      </c>
      <c r="AW115" s="74">
        <v>0</v>
      </c>
      <c r="AX115" s="74">
        <v>0</v>
      </c>
      <c r="AY115" s="74">
        <v>0</v>
      </c>
      <c r="AZ115" s="74">
        <v>0</v>
      </c>
      <c r="BA115" s="74">
        <v>0</v>
      </c>
      <c r="BB115" s="74">
        <v>0</v>
      </c>
      <c r="BC115" s="74">
        <v>0</v>
      </c>
      <c r="BD115" s="74">
        <v>0</v>
      </c>
      <c r="BE115" s="74">
        <v>0</v>
      </c>
      <c r="BF115" s="74">
        <v>0</v>
      </c>
      <c r="BG115" s="74">
        <v>0</v>
      </c>
      <c r="BH115" s="74">
        <v>0</v>
      </c>
      <c r="BI115" s="74">
        <v>0</v>
      </c>
      <c r="BJ115" s="74">
        <v>0</v>
      </c>
      <c r="BK115" s="74">
        <v>0</v>
      </c>
      <c r="BL115" s="74">
        <v>0</v>
      </c>
      <c r="BM115" s="74">
        <v>0</v>
      </c>
      <c r="BN115" s="74">
        <v>0</v>
      </c>
      <c r="BO115" s="74">
        <v>0</v>
      </c>
      <c r="BP115" s="74">
        <v>0</v>
      </c>
      <c r="BQ115" s="74">
        <v>0</v>
      </c>
      <c r="BR115" s="74">
        <v>0</v>
      </c>
      <c r="BS115" s="74">
        <v>0</v>
      </c>
      <c r="BT115" s="74">
        <v>0</v>
      </c>
      <c r="BU115" s="74">
        <v>0</v>
      </c>
      <c r="BV115" s="74">
        <v>0</v>
      </c>
      <c r="BW115" s="74">
        <v>0</v>
      </c>
      <c r="BX115" s="74">
        <v>0</v>
      </c>
      <c r="BY115" s="74">
        <v>0</v>
      </c>
      <c r="BZ115" s="74">
        <v>0</v>
      </c>
      <c r="CA115" s="74">
        <v>0</v>
      </c>
      <c r="CB115" s="74">
        <v>0</v>
      </c>
      <c r="CC115" s="74">
        <v>0</v>
      </c>
      <c r="CD115" s="74">
        <v>0</v>
      </c>
      <c r="CE115" s="74">
        <v>0</v>
      </c>
      <c r="CF115" s="74">
        <v>0</v>
      </c>
      <c r="CG115" s="74">
        <v>0</v>
      </c>
      <c r="CH115" s="74">
        <v>0</v>
      </c>
      <c r="CI115" s="74">
        <v>0</v>
      </c>
      <c r="CJ115" s="74">
        <v>0</v>
      </c>
      <c r="CK115" s="74">
        <v>0</v>
      </c>
      <c r="CL115" s="74">
        <v>0</v>
      </c>
      <c r="CM115" s="74">
        <v>0</v>
      </c>
      <c r="CN115" s="74">
        <v>0</v>
      </c>
      <c r="CO115" s="74">
        <v>0</v>
      </c>
      <c r="CP115" s="74">
        <v>0</v>
      </c>
      <c r="CQ115" s="74">
        <v>0</v>
      </c>
      <c r="CR115" s="74">
        <v>0</v>
      </c>
      <c r="CS115" s="74">
        <v>0</v>
      </c>
      <c r="CT115" s="74">
        <v>0</v>
      </c>
      <c r="CU115" s="74">
        <v>0</v>
      </c>
      <c r="CV115" s="74">
        <v>0</v>
      </c>
      <c r="CW115" s="74">
        <v>0</v>
      </c>
      <c r="CX115" s="74">
        <v>0</v>
      </c>
      <c r="CY115" s="74">
        <v>0</v>
      </c>
      <c r="CZ115" s="74">
        <v>0</v>
      </c>
      <c r="DA115" s="74">
        <v>0</v>
      </c>
      <c r="DB115" s="74">
        <v>0</v>
      </c>
      <c r="DC115" s="74">
        <v>0</v>
      </c>
      <c r="DD115" s="74">
        <v>0</v>
      </c>
      <c r="DE115" s="74">
        <v>0</v>
      </c>
      <c r="DF115" s="74">
        <v>0</v>
      </c>
      <c r="DG115" s="74">
        <v>0</v>
      </c>
      <c r="DH115" s="74">
        <v>0</v>
      </c>
      <c r="DI115" s="74">
        <v>0</v>
      </c>
      <c r="DJ115" s="74">
        <v>0</v>
      </c>
      <c r="DK115" s="74">
        <v>0</v>
      </c>
      <c r="DL115" s="74">
        <v>0</v>
      </c>
      <c r="DM115" s="74">
        <v>0</v>
      </c>
      <c r="DN115" s="74">
        <v>0</v>
      </c>
      <c r="DO115" s="74">
        <v>0</v>
      </c>
      <c r="DP115" s="74">
        <v>0</v>
      </c>
      <c r="DQ115" s="74">
        <v>0</v>
      </c>
      <c r="DR115" s="74">
        <v>0</v>
      </c>
      <c r="DS115" s="74">
        <v>0</v>
      </c>
      <c r="DT115" s="74">
        <v>0</v>
      </c>
      <c r="DU115" s="74">
        <v>0</v>
      </c>
      <c r="DV115" s="74">
        <v>0</v>
      </c>
      <c r="DW115" s="74">
        <v>0</v>
      </c>
      <c r="DX115" s="74">
        <v>0</v>
      </c>
      <c r="DY115" s="74">
        <v>0</v>
      </c>
      <c r="DZ115" s="74">
        <v>0</v>
      </c>
      <c r="EA115" s="74">
        <v>0</v>
      </c>
      <c r="EB115" s="74">
        <v>0</v>
      </c>
      <c r="EC115" s="74">
        <v>0</v>
      </c>
      <c r="ED115" s="74"/>
      <c r="EE115" s="80">
        <v>46009</v>
      </c>
      <c r="EF115" s="81">
        <v>46009.5211724537</v>
      </c>
      <c r="EG115" s="66" t="s">
        <v>69</v>
      </c>
      <c r="EH115" s="66" t="s">
        <v>209</v>
      </c>
      <c r="EI115" s="66" t="s">
        <v>6</v>
      </c>
      <c r="EJ115" s="66">
        <v>15</v>
      </c>
      <c r="EK115" s="66">
        <v>2027</v>
      </c>
      <c r="EL115" s="66" t="s">
        <v>24</v>
      </c>
      <c r="EM115" s="82">
        <v>338.17657095145614</v>
      </c>
      <c r="EN115" s="82">
        <v>337.5739809825738</v>
      </c>
      <c r="EO115" s="77">
        <v>227.1146</v>
      </c>
      <c r="EP115" s="84">
        <v>0.13999758052366426</v>
      </c>
      <c r="EQ115" s="84">
        <v>0.14268534690246426</v>
      </c>
      <c r="ER115" s="84">
        <v>4.8599999999999997E-2</v>
      </c>
      <c r="ES115" s="85">
        <v>0.97143267823005075</v>
      </c>
      <c r="ET115" s="86">
        <v>1.3804000000000001</v>
      </c>
      <c r="EU115" s="85">
        <v>0.11535261294006394</v>
      </c>
      <c r="EV115" s="85">
        <v>4.3499999999999997E-2</v>
      </c>
      <c r="EW115" s="76">
        <v>1</v>
      </c>
      <c r="EX115" s="76" t="s">
        <v>32</v>
      </c>
      <c r="EY115" s="74" t="s">
        <v>243</v>
      </c>
      <c r="EZ115" s="74"/>
      <c r="FA115" s="74"/>
      <c r="FB115" s="74"/>
      <c r="FC115" s="74"/>
      <c r="FD115" s="68"/>
      <c r="FH115" s="73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68"/>
    </row>
    <row r="116" spans="1:183" s="2" customFormat="1" ht="15" x14ac:dyDescent="0.3">
      <c r="A116" s="73" t="s">
        <v>177</v>
      </c>
      <c r="B116" s="73" t="s">
        <v>203</v>
      </c>
      <c r="C116" s="73" t="s">
        <v>203</v>
      </c>
      <c r="D116" s="73" t="s">
        <v>48</v>
      </c>
      <c r="E116" s="73" t="s">
        <v>178</v>
      </c>
      <c r="F116" s="73" t="s">
        <v>210</v>
      </c>
      <c r="G116" s="73" t="s">
        <v>227</v>
      </c>
      <c r="H116" s="73"/>
      <c r="I116" s="74">
        <v>0</v>
      </c>
      <c r="J116" s="74">
        <v>0</v>
      </c>
      <c r="K116" s="74">
        <v>0</v>
      </c>
      <c r="L116" s="74">
        <v>0</v>
      </c>
      <c r="M116" s="74">
        <v>16940</v>
      </c>
      <c r="N116" s="74">
        <v>19772.75</v>
      </c>
      <c r="O116" s="74">
        <v>21500</v>
      </c>
      <c r="P116" s="74">
        <v>22366</v>
      </c>
      <c r="Q116" s="74">
        <v>23019.601214149196</v>
      </c>
      <c r="R116" s="74">
        <v>18441.73530774063</v>
      </c>
      <c r="S116" s="74">
        <v>15067.187597790644</v>
      </c>
      <c r="T116" s="74">
        <v>12546.29730064817</v>
      </c>
      <c r="U116" s="74">
        <v>0</v>
      </c>
      <c r="V116" s="74">
        <v>0</v>
      </c>
      <c r="W116" s="74">
        <v>0</v>
      </c>
      <c r="X116" s="74">
        <v>0</v>
      </c>
      <c r="Y116" s="74">
        <v>0</v>
      </c>
      <c r="Z116" s="74">
        <v>0</v>
      </c>
      <c r="AA116" s="74">
        <v>0</v>
      </c>
      <c r="AB116" s="74">
        <v>0</v>
      </c>
      <c r="AC116" s="74">
        <v>0</v>
      </c>
      <c r="AD116" s="74">
        <v>0</v>
      </c>
      <c r="AE116" s="74">
        <v>0</v>
      </c>
      <c r="AF116" s="74">
        <v>0</v>
      </c>
      <c r="AG116" s="74">
        <v>0</v>
      </c>
      <c r="AH116" s="74">
        <v>0</v>
      </c>
      <c r="AI116" s="74">
        <v>0</v>
      </c>
      <c r="AJ116" s="74">
        <v>0</v>
      </c>
      <c r="AK116" s="74"/>
      <c r="AL116" s="74">
        <v>0</v>
      </c>
      <c r="AM116" s="74">
        <v>0</v>
      </c>
      <c r="AN116" s="74">
        <v>0</v>
      </c>
      <c r="AO116" s="74">
        <v>0</v>
      </c>
      <c r="AP116" s="74">
        <v>0</v>
      </c>
      <c r="AQ116" s="74">
        <v>0</v>
      </c>
      <c r="AR116" s="74">
        <v>0</v>
      </c>
      <c r="AS116" s="74">
        <v>0</v>
      </c>
      <c r="AT116" s="74">
        <v>0</v>
      </c>
      <c r="AU116" s="74">
        <v>0</v>
      </c>
      <c r="AV116" s="74">
        <v>0</v>
      </c>
      <c r="AW116" s="74">
        <v>0</v>
      </c>
      <c r="AX116" s="74">
        <v>0</v>
      </c>
      <c r="AY116" s="74">
        <v>0</v>
      </c>
      <c r="AZ116" s="74">
        <v>0</v>
      </c>
      <c r="BA116" s="74">
        <v>0</v>
      </c>
      <c r="BB116" s="74">
        <v>0</v>
      </c>
      <c r="BC116" s="74">
        <v>0</v>
      </c>
      <c r="BD116" s="74">
        <v>0</v>
      </c>
      <c r="BE116" s="74">
        <v>0</v>
      </c>
      <c r="BF116" s="74">
        <v>0</v>
      </c>
      <c r="BG116" s="74">
        <v>0</v>
      </c>
      <c r="BH116" s="74">
        <v>0</v>
      </c>
      <c r="BI116" s="74">
        <v>0</v>
      </c>
      <c r="BJ116" s="74">
        <v>0</v>
      </c>
      <c r="BK116" s="74">
        <v>0</v>
      </c>
      <c r="BL116" s="74">
        <v>0</v>
      </c>
      <c r="BM116" s="74">
        <v>0</v>
      </c>
      <c r="BN116" s="74">
        <v>0</v>
      </c>
      <c r="BO116" s="74">
        <v>0</v>
      </c>
      <c r="BP116" s="74">
        <v>0</v>
      </c>
      <c r="BQ116" s="74">
        <v>0</v>
      </c>
      <c r="BR116" s="74">
        <v>0</v>
      </c>
      <c r="BS116" s="74">
        <v>0</v>
      </c>
      <c r="BT116" s="74">
        <v>0</v>
      </c>
      <c r="BU116" s="74">
        <v>0</v>
      </c>
      <c r="BV116" s="74">
        <v>0</v>
      </c>
      <c r="BW116" s="74">
        <v>0</v>
      </c>
      <c r="BX116" s="74">
        <v>0</v>
      </c>
      <c r="BY116" s="74">
        <v>0</v>
      </c>
      <c r="BZ116" s="74">
        <v>0</v>
      </c>
      <c r="CA116" s="74">
        <v>0</v>
      </c>
      <c r="CB116" s="74">
        <v>0</v>
      </c>
      <c r="CC116" s="74">
        <v>0</v>
      </c>
      <c r="CD116" s="74">
        <v>0</v>
      </c>
      <c r="CE116" s="74">
        <v>0</v>
      </c>
      <c r="CF116" s="74">
        <v>0</v>
      </c>
      <c r="CG116" s="74">
        <v>0</v>
      </c>
      <c r="CH116" s="74">
        <v>0</v>
      </c>
      <c r="CI116" s="74">
        <v>0</v>
      </c>
      <c r="CJ116" s="74">
        <v>0</v>
      </c>
      <c r="CK116" s="74">
        <v>0</v>
      </c>
      <c r="CL116" s="74">
        <v>0</v>
      </c>
      <c r="CM116" s="74">
        <v>0</v>
      </c>
      <c r="CN116" s="74">
        <v>0</v>
      </c>
      <c r="CO116" s="74">
        <v>0</v>
      </c>
      <c r="CP116" s="74">
        <v>0</v>
      </c>
      <c r="CQ116" s="74">
        <v>0</v>
      </c>
      <c r="CR116" s="74">
        <v>0</v>
      </c>
      <c r="CS116" s="74">
        <v>0</v>
      </c>
      <c r="CT116" s="74">
        <v>0</v>
      </c>
      <c r="CU116" s="74">
        <v>0</v>
      </c>
      <c r="CV116" s="74">
        <v>0</v>
      </c>
      <c r="CW116" s="74">
        <v>0</v>
      </c>
      <c r="CX116" s="74">
        <v>0</v>
      </c>
      <c r="CY116" s="74">
        <v>0</v>
      </c>
      <c r="CZ116" s="74">
        <v>0</v>
      </c>
      <c r="DA116" s="74">
        <v>0</v>
      </c>
      <c r="DB116" s="74">
        <v>0</v>
      </c>
      <c r="DC116" s="74">
        <v>0</v>
      </c>
      <c r="DD116" s="74">
        <v>0</v>
      </c>
      <c r="DE116" s="74">
        <v>0</v>
      </c>
      <c r="DF116" s="74">
        <v>0</v>
      </c>
      <c r="DG116" s="74">
        <v>0</v>
      </c>
      <c r="DH116" s="74">
        <v>0</v>
      </c>
      <c r="DI116" s="74">
        <v>0</v>
      </c>
      <c r="DJ116" s="74">
        <v>0</v>
      </c>
      <c r="DK116" s="74">
        <v>0</v>
      </c>
      <c r="DL116" s="74">
        <v>0</v>
      </c>
      <c r="DM116" s="74">
        <v>0</v>
      </c>
      <c r="DN116" s="74">
        <v>0</v>
      </c>
      <c r="DO116" s="74">
        <v>0</v>
      </c>
      <c r="DP116" s="74">
        <v>0</v>
      </c>
      <c r="DQ116" s="74">
        <v>0</v>
      </c>
      <c r="DR116" s="74">
        <v>0</v>
      </c>
      <c r="DS116" s="74">
        <v>0</v>
      </c>
      <c r="DT116" s="74">
        <v>0</v>
      </c>
      <c r="DU116" s="74">
        <v>0</v>
      </c>
      <c r="DV116" s="74">
        <v>0</v>
      </c>
      <c r="DW116" s="74">
        <v>0</v>
      </c>
      <c r="DX116" s="74">
        <v>0</v>
      </c>
      <c r="DY116" s="74">
        <v>0</v>
      </c>
      <c r="DZ116" s="74">
        <v>0</v>
      </c>
      <c r="EA116" s="74">
        <v>0</v>
      </c>
      <c r="EB116" s="74">
        <v>0</v>
      </c>
      <c r="EC116" s="74">
        <v>0</v>
      </c>
      <c r="ED116" s="74"/>
      <c r="EE116" s="80">
        <v>46009</v>
      </c>
      <c r="EF116" s="81">
        <v>46009.5211724537</v>
      </c>
      <c r="EG116" s="66" t="s">
        <v>69</v>
      </c>
      <c r="EH116" s="66" t="s">
        <v>209</v>
      </c>
      <c r="EI116" s="66" t="s">
        <v>6</v>
      </c>
      <c r="EJ116" s="66">
        <v>15</v>
      </c>
      <c r="EK116" s="66">
        <v>2027</v>
      </c>
      <c r="EL116" s="66" t="s">
        <v>24</v>
      </c>
      <c r="EM116" s="82">
        <v>338.17657095145614</v>
      </c>
      <c r="EN116" s="82">
        <v>337.5739809825738</v>
      </c>
      <c r="EO116" s="77">
        <v>227.1146</v>
      </c>
      <c r="EP116" s="84">
        <v>0.13999758052366426</v>
      </c>
      <c r="EQ116" s="84">
        <v>0.14268534690246426</v>
      </c>
      <c r="ER116" s="84">
        <v>4.8599999999999997E-2</v>
      </c>
      <c r="ES116" s="85">
        <v>0.97143267823005075</v>
      </c>
      <c r="ET116" s="86">
        <v>1.3804000000000001</v>
      </c>
      <c r="EU116" s="85">
        <v>0.11535261294006394</v>
      </c>
      <c r="EV116" s="85">
        <v>4.3499999999999997E-2</v>
      </c>
      <c r="EW116" s="76">
        <v>1</v>
      </c>
      <c r="EX116" s="76" t="s">
        <v>32</v>
      </c>
      <c r="EY116" s="74" t="s">
        <v>243</v>
      </c>
      <c r="EZ116" s="74"/>
      <c r="FA116" s="74"/>
      <c r="FB116" s="74"/>
      <c r="FC116" s="74"/>
      <c r="FD116" s="68"/>
      <c r="FH116" s="73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68"/>
    </row>
    <row r="117" spans="1:183" s="2" customFormat="1" ht="15" x14ac:dyDescent="0.3">
      <c r="A117" s="73" t="s">
        <v>187</v>
      </c>
      <c r="B117" s="73" t="s">
        <v>167</v>
      </c>
      <c r="C117" s="73" t="s">
        <v>167</v>
      </c>
      <c r="D117" s="73" t="s">
        <v>48</v>
      </c>
      <c r="E117" s="73" t="s">
        <v>178</v>
      </c>
      <c r="F117" s="73" t="s">
        <v>210</v>
      </c>
      <c r="G117" s="73" t="s">
        <v>227</v>
      </c>
      <c r="H117" s="73"/>
      <c r="I117" s="74">
        <v>0</v>
      </c>
      <c r="J117" s="74">
        <v>0</v>
      </c>
      <c r="K117" s="74">
        <v>0</v>
      </c>
      <c r="L117" s="74">
        <v>0</v>
      </c>
      <c r="M117" s="74">
        <v>-41136.700000000004</v>
      </c>
      <c r="N117" s="74">
        <v>-26050.2</v>
      </c>
      <c r="O117" s="74">
        <v>-19281.900000000001</v>
      </c>
      <c r="P117" s="74">
        <v>-33600.239999999998</v>
      </c>
      <c r="Q117" s="74">
        <v>-40266.75016703974</v>
      </c>
      <c r="R117" s="74">
        <v>-44293.425183743719</v>
      </c>
      <c r="S117" s="74">
        <v>-46508.09644293091</v>
      </c>
      <c r="T117" s="74">
        <v>-48833.501265077459</v>
      </c>
      <c r="U117" s="74">
        <v>0</v>
      </c>
      <c r="V117" s="74">
        <v>0</v>
      </c>
      <c r="W117" s="74">
        <v>0</v>
      </c>
      <c r="X117" s="74">
        <v>0</v>
      </c>
      <c r="Y117" s="74">
        <v>0</v>
      </c>
      <c r="Z117" s="74">
        <v>0</v>
      </c>
      <c r="AA117" s="74">
        <v>0</v>
      </c>
      <c r="AB117" s="74">
        <v>0</v>
      </c>
      <c r="AC117" s="74">
        <v>0</v>
      </c>
      <c r="AD117" s="74">
        <v>0</v>
      </c>
      <c r="AE117" s="74">
        <v>0</v>
      </c>
      <c r="AF117" s="74">
        <v>0</v>
      </c>
      <c r="AG117" s="74">
        <v>0</v>
      </c>
      <c r="AH117" s="74">
        <v>0</v>
      </c>
      <c r="AI117" s="74">
        <v>0</v>
      </c>
      <c r="AJ117" s="74">
        <v>0</v>
      </c>
      <c r="AK117" s="74"/>
      <c r="AL117" s="74">
        <v>0</v>
      </c>
      <c r="AM117" s="74">
        <v>0</v>
      </c>
      <c r="AN117" s="74">
        <v>0</v>
      </c>
      <c r="AO117" s="74">
        <v>0</v>
      </c>
      <c r="AP117" s="74">
        <v>0</v>
      </c>
      <c r="AQ117" s="74">
        <v>0</v>
      </c>
      <c r="AR117" s="74">
        <v>0</v>
      </c>
      <c r="AS117" s="74">
        <v>0</v>
      </c>
      <c r="AT117" s="74">
        <v>0</v>
      </c>
      <c r="AU117" s="74">
        <v>0</v>
      </c>
      <c r="AV117" s="74">
        <v>0</v>
      </c>
      <c r="AW117" s="74">
        <v>0</v>
      </c>
      <c r="AX117" s="74">
        <v>0</v>
      </c>
      <c r="AY117" s="74">
        <v>0</v>
      </c>
      <c r="AZ117" s="74">
        <v>0</v>
      </c>
      <c r="BA117" s="74">
        <v>0</v>
      </c>
      <c r="BB117" s="74">
        <v>0</v>
      </c>
      <c r="BC117" s="74">
        <v>0</v>
      </c>
      <c r="BD117" s="74">
        <v>0</v>
      </c>
      <c r="BE117" s="74">
        <v>0</v>
      </c>
      <c r="BF117" s="74">
        <v>0</v>
      </c>
      <c r="BG117" s="74">
        <v>0</v>
      </c>
      <c r="BH117" s="74">
        <v>0</v>
      </c>
      <c r="BI117" s="74">
        <v>0</v>
      </c>
      <c r="BJ117" s="74">
        <v>0</v>
      </c>
      <c r="BK117" s="74">
        <v>0</v>
      </c>
      <c r="BL117" s="74">
        <v>0</v>
      </c>
      <c r="BM117" s="74">
        <v>0</v>
      </c>
      <c r="BN117" s="74">
        <v>0</v>
      </c>
      <c r="BO117" s="74">
        <v>0</v>
      </c>
      <c r="BP117" s="74">
        <v>0</v>
      </c>
      <c r="BQ117" s="74">
        <v>0</v>
      </c>
      <c r="BR117" s="74">
        <v>0</v>
      </c>
      <c r="BS117" s="74">
        <v>0</v>
      </c>
      <c r="BT117" s="74">
        <v>0</v>
      </c>
      <c r="BU117" s="74">
        <v>0</v>
      </c>
      <c r="BV117" s="74">
        <v>0</v>
      </c>
      <c r="BW117" s="74">
        <v>0</v>
      </c>
      <c r="BX117" s="74">
        <v>0</v>
      </c>
      <c r="BY117" s="74">
        <v>0</v>
      </c>
      <c r="BZ117" s="74">
        <v>0</v>
      </c>
      <c r="CA117" s="74">
        <v>0</v>
      </c>
      <c r="CB117" s="74">
        <v>0</v>
      </c>
      <c r="CC117" s="74">
        <v>0</v>
      </c>
      <c r="CD117" s="74">
        <v>0</v>
      </c>
      <c r="CE117" s="74">
        <v>0</v>
      </c>
      <c r="CF117" s="74">
        <v>0</v>
      </c>
      <c r="CG117" s="74">
        <v>0</v>
      </c>
      <c r="CH117" s="74">
        <v>0</v>
      </c>
      <c r="CI117" s="74">
        <v>0</v>
      </c>
      <c r="CJ117" s="74">
        <v>0</v>
      </c>
      <c r="CK117" s="74">
        <v>0</v>
      </c>
      <c r="CL117" s="74">
        <v>0</v>
      </c>
      <c r="CM117" s="74">
        <v>0</v>
      </c>
      <c r="CN117" s="74">
        <v>0</v>
      </c>
      <c r="CO117" s="74">
        <v>0</v>
      </c>
      <c r="CP117" s="74">
        <v>0</v>
      </c>
      <c r="CQ117" s="74">
        <v>0</v>
      </c>
      <c r="CR117" s="74">
        <v>0</v>
      </c>
      <c r="CS117" s="74">
        <v>0</v>
      </c>
      <c r="CT117" s="74">
        <v>0</v>
      </c>
      <c r="CU117" s="74">
        <v>0</v>
      </c>
      <c r="CV117" s="74">
        <v>0</v>
      </c>
      <c r="CW117" s="74">
        <v>0</v>
      </c>
      <c r="CX117" s="74">
        <v>0</v>
      </c>
      <c r="CY117" s="74">
        <v>0</v>
      </c>
      <c r="CZ117" s="74">
        <v>0</v>
      </c>
      <c r="DA117" s="74">
        <v>0</v>
      </c>
      <c r="DB117" s="74">
        <v>0</v>
      </c>
      <c r="DC117" s="74">
        <v>0</v>
      </c>
      <c r="DD117" s="74">
        <v>0</v>
      </c>
      <c r="DE117" s="74">
        <v>0</v>
      </c>
      <c r="DF117" s="74">
        <v>0</v>
      </c>
      <c r="DG117" s="74">
        <v>0</v>
      </c>
      <c r="DH117" s="74">
        <v>0</v>
      </c>
      <c r="DI117" s="74">
        <v>0</v>
      </c>
      <c r="DJ117" s="74">
        <v>0</v>
      </c>
      <c r="DK117" s="74">
        <v>0</v>
      </c>
      <c r="DL117" s="74">
        <v>0</v>
      </c>
      <c r="DM117" s="74">
        <v>0</v>
      </c>
      <c r="DN117" s="74">
        <v>0</v>
      </c>
      <c r="DO117" s="74">
        <v>0</v>
      </c>
      <c r="DP117" s="74">
        <v>0</v>
      </c>
      <c r="DQ117" s="74">
        <v>0</v>
      </c>
      <c r="DR117" s="74">
        <v>0</v>
      </c>
      <c r="DS117" s="74">
        <v>0</v>
      </c>
      <c r="DT117" s="74">
        <v>0</v>
      </c>
      <c r="DU117" s="74">
        <v>0</v>
      </c>
      <c r="DV117" s="74">
        <v>0</v>
      </c>
      <c r="DW117" s="74">
        <v>0</v>
      </c>
      <c r="DX117" s="74">
        <v>0</v>
      </c>
      <c r="DY117" s="74">
        <v>0</v>
      </c>
      <c r="DZ117" s="74">
        <v>0</v>
      </c>
      <c r="EA117" s="74">
        <v>0</v>
      </c>
      <c r="EB117" s="74">
        <v>0</v>
      </c>
      <c r="EC117" s="74">
        <v>0</v>
      </c>
      <c r="ED117" s="74"/>
      <c r="EE117" s="80">
        <v>46009</v>
      </c>
      <c r="EF117" s="81">
        <v>46009.5211724537</v>
      </c>
      <c r="EG117" s="66" t="s">
        <v>69</v>
      </c>
      <c r="EH117" s="66" t="s">
        <v>209</v>
      </c>
      <c r="EI117" s="66" t="s">
        <v>6</v>
      </c>
      <c r="EJ117" s="66">
        <v>15</v>
      </c>
      <c r="EK117" s="66">
        <v>2027</v>
      </c>
      <c r="EL117" s="66" t="s">
        <v>24</v>
      </c>
      <c r="EM117" s="82">
        <v>338.17657095145614</v>
      </c>
      <c r="EN117" s="82">
        <v>337.5739809825738</v>
      </c>
      <c r="EO117" s="77">
        <v>227.1146</v>
      </c>
      <c r="EP117" s="84">
        <v>0.13999758052366426</v>
      </c>
      <c r="EQ117" s="84">
        <v>0.14268534690246426</v>
      </c>
      <c r="ER117" s="84">
        <v>4.8599999999999997E-2</v>
      </c>
      <c r="ES117" s="85">
        <v>0.97143267823005075</v>
      </c>
      <c r="ET117" s="86">
        <v>1.3804000000000001</v>
      </c>
      <c r="EU117" s="85">
        <v>0.11535261294006394</v>
      </c>
      <c r="EV117" s="85">
        <v>4.3499999999999997E-2</v>
      </c>
      <c r="EW117" s="76">
        <v>1</v>
      </c>
      <c r="EX117" s="76" t="s">
        <v>32</v>
      </c>
      <c r="EY117" s="74" t="s">
        <v>243</v>
      </c>
      <c r="EZ117" s="74"/>
      <c r="FA117" s="74"/>
      <c r="FB117" s="74"/>
      <c r="FC117" s="74"/>
      <c r="FD117" s="68"/>
      <c r="FH117" s="73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68"/>
    </row>
    <row r="118" spans="1:183" s="2" customFormat="1" ht="15" x14ac:dyDescent="0.3">
      <c r="A118" s="73" t="s">
        <v>188</v>
      </c>
      <c r="B118" s="73" t="s">
        <v>169</v>
      </c>
      <c r="C118" s="73" t="s">
        <v>169</v>
      </c>
      <c r="D118" s="73" t="s">
        <v>48</v>
      </c>
      <c r="E118" s="73" t="s">
        <v>178</v>
      </c>
      <c r="F118" s="73" t="s">
        <v>210</v>
      </c>
      <c r="G118" s="73" t="s">
        <v>227</v>
      </c>
      <c r="H118" s="73"/>
      <c r="I118" s="74">
        <v>0</v>
      </c>
      <c r="J118" s="74">
        <v>0</v>
      </c>
      <c r="K118" s="74">
        <v>0</v>
      </c>
      <c r="L118" s="74">
        <v>0</v>
      </c>
      <c r="M118" s="74">
        <v>-11284.900000000001</v>
      </c>
      <c r="N118" s="74">
        <v>-7382.1</v>
      </c>
      <c r="O118" s="74">
        <v>-4558.4000000000005</v>
      </c>
      <c r="P118" s="74">
        <v>-9765.2099999999991</v>
      </c>
      <c r="Q118" s="74">
        <v>-12674.443300913068</v>
      </c>
      <c r="R118" s="74">
        <v>-14575.609796050026</v>
      </c>
      <c r="S118" s="74">
        <v>-15304.390285852529</v>
      </c>
      <c r="T118" s="74">
        <v>-16069.609800145156</v>
      </c>
      <c r="U118" s="74">
        <v>0</v>
      </c>
      <c r="V118" s="74">
        <v>0</v>
      </c>
      <c r="W118" s="74">
        <v>0</v>
      </c>
      <c r="X118" s="74">
        <v>0</v>
      </c>
      <c r="Y118" s="74">
        <v>0</v>
      </c>
      <c r="Z118" s="74">
        <v>0</v>
      </c>
      <c r="AA118" s="74">
        <v>0</v>
      </c>
      <c r="AB118" s="74">
        <v>0</v>
      </c>
      <c r="AC118" s="74">
        <v>0</v>
      </c>
      <c r="AD118" s="74">
        <v>0</v>
      </c>
      <c r="AE118" s="74">
        <v>0</v>
      </c>
      <c r="AF118" s="74">
        <v>0</v>
      </c>
      <c r="AG118" s="74">
        <v>0</v>
      </c>
      <c r="AH118" s="74">
        <v>0</v>
      </c>
      <c r="AI118" s="74">
        <v>0</v>
      </c>
      <c r="AJ118" s="74">
        <v>0</v>
      </c>
      <c r="AK118" s="74"/>
      <c r="AL118" s="74">
        <v>0</v>
      </c>
      <c r="AM118" s="74">
        <v>0</v>
      </c>
      <c r="AN118" s="74">
        <v>0</v>
      </c>
      <c r="AO118" s="74">
        <v>0</v>
      </c>
      <c r="AP118" s="74">
        <v>0</v>
      </c>
      <c r="AQ118" s="74">
        <v>0</v>
      </c>
      <c r="AR118" s="74">
        <v>0</v>
      </c>
      <c r="AS118" s="74">
        <v>0</v>
      </c>
      <c r="AT118" s="74">
        <v>0</v>
      </c>
      <c r="AU118" s="74">
        <v>0</v>
      </c>
      <c r="AV118" s="74">
        <v>0</v>
      </c>
      <c r="AW118" s="74">
        <v>0</v>
      </c>
      <c r="AX118" s="74">
        <v>0</v>
      </c>
      <c r="AY118" s="74">
        <v>0</v>
      </c>
      <c r="AZ118" s="74">
        <v>0</v>
      </c>
      <c r="BA118" s="74">
        <v>0</v>
      </c>
      <c r="BB118" s="74">
        <v>0</v>
      </c>
      <c r="BC118" s="74">
        <v>0</v>
      </c>
      <c r="BD118" s="74">
        <v>0</v>
      </c>
      <c r="BE118" s="74">
        <v>0</v>
      </c>
      <c r="BF118" s="74">
        <v>0</v>
      </c>
      <c r="BG118" s="74">
        <v>0</v>
      </c>
      <c r="BH118" s="74">
        <v>0</v>
      </c>
      <c r="BI118" s="74">
        <v>0</v>
      </c>
      <c r="BJ118" s="74">
        <v>0</v>
      </c>
      <c r="BK118" s="74">
        <v>0</v>
      </c>
      <c r="BL118" s="74">
        <v>0</v>
      </c>
      <c r="BM118" s="74">
        <v>0</v>
      </c>
      <c r="BN118" s="74">
        <v>0</v>
      </c>
      <c r="BO118" s="74">
        <v>0</v>
      </c>
      <c r="BP118" s="74">
        <v>0</v>
      </c>
      <c r="BQ118" s="74">
        <v>0</v>
      </c>
      <c r="BR118" s="74">
        <v>0</v>
      </c>
      <c r="BS118" s="74">
        <v>0</v>
      </c>
      <c r="BT118" s="74">
        <v>0</v>
      </c>
      <c r="BU118" s="74">
        <v>0</v>
      </c>
      <c r="BV118" s="74">
        <v>0</v>
      </c>
      <c r="BW118" s="74">
        <v>0</v>
      </c>
      <c r="BX118" s="74">
        <v>0</v>
      </c>
      <c r="BY118" s="74">
        <v>0</v>
      </c>
      <c r="BZ118" s="74">
        <v>0</v>
      </c>
      <c r="CA118" s="74">
        <v>0</v>
      </c>
      <c r="CB118" s="74">
        <v>0</v>
      </c>
      <c r="CC118" s="74">
        <v>0</v>
      </c>
      <c r="CD118" s="74">
        <v>0</v>
      </c>
      <c r="CE118" s="74">
        <v>0</v>
      </c>
      <c r="CF118" s="74">
        <v>0</v>
      </c>
      <c r="CG118" s="74">
        <v>0</v>
      </c>
      <c r="CH118" s="74">
        <v>0</v>
      </c>
      <c r="CI118" s="74">
        <v>0</v>
      </c>
      <c r="CJ118" s="74">
        <v>0</v>
      </c>
      <c r="CK118" s="74">
        <v>0</v>
      </c>
      <c r="CL118" s="74">
        <v>0</v>
      </c>
      <c r="CM118" s="74">
        <v>0</v>
      </c>
      <c r="CN118" s="74">
        <v>0</v>
      </c>
      <c r="CO118" s="74">
        <v>0</v>
      </c>
      <c r="CP118" s="74">
        <v>0</v>
      </c>
      <c r="CQ118" s="74">
        <v>0</v>
      </c>
      <c r="CR118" s="74">
        <v>0</v>
      </c>
      <c r="CS118" s="74">
        <v>0</v>
      </c>
      <c r="CT118" s="74">
        <v>0</v>
      </c>
      <c r="CU118" s="74">
        <v>0</v>
      </c>
      <c r="CV118" s="74">
        <v>0</v>
      </c>
      <c r="CW118" s="74">
        <v>0</v>
      </c>
      <c r="CX118" s="74">
        <v>0</v>
      </c>
      <c r="CY118" s="74">
        <v>0</v>
      </c>
      <c r="CZ118" s="74">
        <v>0</v>
      </c>
      <c r="DA118" s="74">
        <v>0</v>
      </c>
      <c r="DB118" s="74">
        <v>0</v>
      </c>
      <c r="DC118" s="74">
        <v>0</v>
      </c>
      <c r="DD118" s="74">
        <v>0</v>
      </c>
      <c r="DE118" s="74">
        <v>0</v>
      </c>
      <c r="DF118" s="74">
        <v>0</v>
      </c>
      <c r="DG118" s="74">
        <v>0</v>
      </c>
      <c r="DH118" s="74">
        <v>0</v>
      </c>
      <c r="DI118" s="74">
        <v>0</v>
      </c>
      <c r="DJ118" s="74">
        <v>0</v>
      </c>
      <c r="DK118" s="74">
        <v>0</v>
      </c>
      <c r="DL118" s="74">
        <v>0</v>
      </c>
      <c r="DM118" s="74">
        <v>0</v>
      </c>
      <c r="DN118" s="74">
        <v>0</v>
      </c>
      <c r="DO118" s="74">
        <v>0</v>
      </c>
      <c r="DP118" s="74">
        <v>0</v>
      </c>
      <c r="DQ118" s="74">
        <v>0</v>
      </c>
      <c r="DR118" s="74">
        <v>0</v>
      </c>
      <c r="DS118" s="74">
        <v>0</v>
      </c>
      <c r="DT118" s="74">
        <v>0</v>
      </c>
      <c r="DU118" s="74">
        <v>0</v>
      </c>
      <c r="DV118" s="74">
        <v>0</v>
      </c>
      <c r="DW118" s="74">
        <v>0</v>
      </c>
      <c r="DX118" s="74">
        <v>0</v>
      </c>
      <c r="DY118" s="74">
        <v>0</v>
      </c>
      <c r="DZ118" s="74">
        <v>0</v>
      </c>
      <c r="EA118" s="74">
        <v>0</v>
      </c>
      <c r="EB118" s="74">
        <v>0</v>
      </c>
      <c r="EC118" s="74">
        <v>0</v>
      </c>
      <c r="ED118" s="74"/>
      <c r="EE118" s="80">
        <v>46009</v>
      </c>
      <c r="EF118" s="81">
        <v>46009.5211724537</v>
      </c>
      <c r="EG118" s="66" t="s">
        <v>69</v>
      </c>
      <c r="EH118" s="66" t="s">
        <v>209</v>
      </c>
      <c r="EI118" s="66" t="s">
        <v>6</v>
      </c>
      <c r="EJ118" s="66">
        <v>15</v>
      </c>
      <c r="EK118" s="66">
        <v>2027</v>
      </c>
      <c r="EL118" s="66" t="s">
        <v>24</v>
      </c>
      <c r="EM118" s="82">
        <v>338.17657095145614</v>
      </c>
      <c r="EN118" s="82">
        <v>337.5739809825738</v>
      </c>
      <c r="EO118" s="77">
        <v>227.1146</v>
      </c>
      <c r="EP118" s="84">
        <v>0.13999758052366426</v>
      </c>
      <c r="EQ118" s="84">
        <v>0.14268534690246426</v>
      </c>
      <c r="ER118" s="84">
        <v>4.8599999999999997E-2</v>
      </c>
      <c r="ES118" s="85">
        <v>0.97143267823005075</v>
      </c>
      <c r="ET118" s="86">
        <v>1.3804000000000001</v>
      </c>
      <c r="EU118" s="85">
        <v>0.11535261294006394</v>
      </c>
      <c r="EV118" s="85">
        <v>4.3499999999999997E-2</v>
      </c>
      <c r="EW118" s="76">
        <v>1</v>
      </c>
      <c r="EX118" s="76" t="s">
        <v>32</v>
      </c>
      <c r="EY118" s="74" t="s">
        <v>243</v>
      </c>
      <c r="EZ118" s="74"/>
      <c r="FA118" s="74"/>
      <c r="FB118" s="74"/>
      <c r="FC118" s="74"/>
      <c r="FD118" s="68"/>
      <c r="FH118" s="73"/>
      <c r="FI118" s="74"/>
      <c r="FJ118" s="74"/>
      <c r="FK118" s="74"/>
      <c r="FL118" s="74"/>
      <c r="FM118" s="74"/>
      <c r="FN118" s="74"/>
      <c r="FO118" s="74"/>
      <c r="FP118" s="74"/>
      <c r="FQ118" s="74"/>
      <c r="FR118" s="74"/>
      <c r="FS118" s="74"/>
      <c r="FT118" s="74"/>
      <c r="FU118" s="74"/>
      <c r="FV118" s="74"/>
      <c r="FW118" s="74"/>
      <c r="FX118" s="74"/>
      <c r="FY118" s="74"/>
      <c r="FZ118" s="74"/>
      <c r="GA118" s="68"/>
    </row>
    <row r="119" spans="1:183" s="2" customFormat="1" ht="15" x14ac:dyDescent="0.3">
      <c r="A119" s="73" t="s">
        <v>189</v>
      </c>
      <c r="B119" s="73" t="s">
        <v>173</v>
      </c>
      <c r="C119" s="73" t="s">
        <v>173</v>
      </c>
      <c r="D119" s="73" t="s">
        <v>48</v>
      </c>
      <c r="E119" s="73" t="s">
        <v>178</v>
      </c>
      <c r="F119" s="73" t="s">
        <v>210</v>
      </c>
      <c r="G119" s="73" t="s">
        <v>227</v>
      </c>
      <c r="H119" s="73"/>
      <c r="I119" s="74">
        <v>0</v>
      </c>
      <c r="J119" s="74">
        <v>0</v>
      </c>
      <c r="K119" s="74">
        <v>0</v>
      </c>
      <c r="L119" s="74">
        <v>0</v>
      </c>
      <c r="M119" s="74">
        <v>-24251.7</v>
      </c>
      <c r="N119" s="74">
        <v>-30530.500000000004</v>
      </c>
      <c r="O119" s="74">
        <v>-27327.300000000003</v>
      </c>
      <c r="P119" s="74">
        <v>-80433.17</v>
      </c>
      <c r="Q119" s="74">
        <v>-96253.035036452013</v>
      </c>
      <c r="R119" s="74">
        <v>-105878.33854009722</v>
      </c>
      <c r="S119" s="74">
        <v>-111172.25546710208</v>
      </c>
      <c r="T119" s="74">
        <v>-116730.86824045719</v>
      </c>
      <c r="U119" s="74">
        <v>0</v>
      </c>
      <c r="V119" s="74">
        <v>0</v>
      </c>
      <c r="W119" s="74">
        <v>0</v>
      </c>
      <c r="X119" s="74">
        <v>0</v>
      </c>
      <c r="Y119" s="74">
        <v>0</v>
      </c>
      <c r="Z119" s="74">
        <v>0</v>
      </c>
      <c r="AA119" s="74">
        <v>0</v>
      </c>
      <c r="AB119" s="74">
        <v>0</v>
      </c>
      <c r="AC119" s="74">
        <v>0</v>
      </c>
      <c r="AD119" s="74">
        <v>0</v>
      </c>
      <c r="AE119" s="74">
        <v>0</v>
      </c>
      <c r="AF119" s="74">
        <v>0</v>
      </c>
      <c r="AG119" s="74">
        <v>0</v>
      </c>
      <c r="AH119" s="74">
        <v>0</v>
      </c>
      <c r="AI119" s="74">
        <v>0</v>
      </c>
      <c r="AJ119" s="74">
        <v>0</v>
      </c>
      <c r="AK119" s="74"/>
      <c r="AL119" s="74">
        <v>0</v>
      </c>
      <c r="AM119" s="74">
        <v>0</v>
      </c>
      <c r="AN119" s="74">
        <v>0</v>
      </c>
      <c r="AO119" s="74">
        <v>0</v>
      </c>
      <c r="AP119" s="74">
        <v>0</v>
      </c>
      <c r="AQ119" s="74">
        <v>0</v>
      </c>
      <c r="AR119" s="74">
        <v>0</v>
      </c>
      <c r="AS119" s="74">
        <v>0</v>
      </c>
      <c r="AT119" s="74">
        <v>0</v>
      </c>
      <c r="AU119" s="74">
        <v>0</v>
      </c>
      <c r="AV119" s="74">
        <v>0</v>
      </c>
      <c r="AW119" s="74">
        <v>0</v>
      </c>
      <c r="AX119" s="74">
        <v>0</v>
      </c>
      <c r="AY119" s="74">
        <v>0</v>
      </c>
      <c r="AZ119" s="74">
        <v>0</v>
      </c>
      <c r="BA119" s="74">
        <v>0</v>
      </c>
      <c r="BB119" s="74">
        <v>0</v>
      </c>
      <c r="BC119" s="74">
        <v>0</v>
      </c>
      <c r="BD119" s="74">
        <v>0</v>
      </c>
      <c r="BE119" s="74">
        <v>0</v>
      </c>
      <c r="BF119" s="74">
        <v>0</v>
      </c>
      <c r="BG119" s="74">
        <v>0</v>
      </c>
      <c r="BH119" s="74">
        <v>0</v>
      </c>
      <c r="BI119" s="74">
        <v>0</v>
      </c>
      <c r="BJ119" s="74">
        <v>0</v>
      </c>
      <c r="BK119" s="74">
        <v>0</v>
      </c>
      <c r="BL119" s="74">
        <v>0</v>
      </c>
      <c r="BM119" s="74">
        <v>0</v>
      </c>
      <c r="BN119" s="74">
        <v>0</v>
      </c>
      <c r="BO119" s="74">
        <v>0</v>
      </c>
      <c r="BP119" s="74">
        <v>0</v>
      </c>
      <c r="BQ119" s="74">
        <v>0</v>
      </c>
      <c r="BR119" s="74">
        <v>0</v>
      </c>
      <c r="BS119" s="74">
        <v>0</v>
      </c>
      <c r="BT119" s="74">
        <v>0</v>
      </c>
      <c r="BU119" s="74">
        <v>0</v>
      </c>
      <c r="BV119" s="74">
        <v>0</v>
      </c>
      <c r="BW119" s="74">
        <v>0</v>
      </c>
      <c r="BX119" s="74">
        <v>0</v>
      </c>
      <c r="BY119" s="74">
        <v>0</v>
      </c>
      <c r="BZ119" s="74">
        <v>0</v>
      </c>
      <c r="CA119" s="74">
        <v>0</v>
      </c>
      <c r="CB119" s="74">
        <v>0</v>
      </c>
      <c r="CC119" s="74">
        <v>0</v>
      </c>
      <c r="CD119" s="74">
        <v>0</v>
      </c>
      <c r="CE119" s="74">
        <v>0</v>
      </c>
      <c r="CF119" s="74">
        <v>0</v>
      </c>
      <c r="CG119" s="74">
        <v>0</v>
      </c>
      <c r="CH119" s="74">
        <v>0</v>
      </c>
      <c r="CI119" s="74">
        <v>0</v>
      </c>
      <c r="CJ119" s="74">
        <v>0</v>
      </c>
      <c r="CK119" s="74">
        <v>0</v>
      </c>
      <c r="CL119" s="74">
        <v>0</v>
      </c>
      <c r="CM119" s="74">
        <v>0</v>
      </c>
      <c r="CN119" s="74">
        <v>0</v>
      </c>
      <c r="CO119" s="74">
        <v>0</v>
      </c>
      <c r="CP119" s="74">
        <v>0</v>
      </c>
      <c r="CQ119" s="74">
        <v>0</v>
      </c>
      <c r="CR119" s="74">
        <v>0</v>
      </c>
      <c r="CS119" s="74">
        <v>0</v>
      </c>
      <c r="CT119" s="74">
        <v>0</v>
      </c>
      <c r="CU119" s="74">
        <v>0</v>
      </c>
      <c r="CV119" s="74">
        <v>0</v>
      </c>
      <c r="CW119" s="74">
        <v>0</v>
      </c>
      <c r="CX119" s="74">
        <v>0</v>
      </c>
      <c r="CY119" s="74">
        <v>0</v>
      </c>
      <c r="CZ119" s="74">
        <v>0</v>
      </c>
      <c r="DA119" s="74">
        <v>0</v>
      </c>
      <c r="DB119" s="74">
        <v>0</v>
      </c>
      <c r="DC119" s="74">
        <v>0</v>
      </c>
      <c r="DD119" s="74">
        <v>0</v>
      </c>
      <c r="DE119" s="74">
        <v>0</v>
      </c>
      <c r="DF119" s="74">
        <v>0</v>
      </c>
      <c r="DG119" s="74">
        <v>0</v>
      </c>
      <c r="DH119" s="74">
        <v>0</v>
      </c>
      <c r="DI119" s="74">
        <v>0</v>
      </c>
      <c r="DJ119" s="74">
        <v>0</v>
      </c>
      <c r="DK119" s="74">
        <v>0</v>
      </c>
      <c r="DL119" s="74">
        <v>0</v>
      </c>
      <c r="DM119" s="74">
        <v>0</v>
      </c>
      <c r="DN119" s="74">
        <v>0</v>
      </c>
      <c r="DO119" s="74">
        <v>0</v>
      </c>
      <c r="DP119" s="74">
        <v>0</v>
      </c>
      <c r="DQ119" s="74">
        <v>0</v>
      </c>
      <c r="DR119" s="74">
        <v>0</v>
      </c>
      <c r="DS119" s="74">
        <v>0</v>
      </c>
      <c r="DT119" s="74">
        <v>0</v>
      </c>
      <c r="DU119" s="74">
        <v>0</v>
      </c>
      <c r="DV119" s="74">
        <v>0</v>
      </c>
      <c r="DW119" s="74">
        <v>0</v>
      </c>
      <c r="DX119" s="74">
        <v>0</v>
      </c>
      <c r="DY119" s="74">
        <v>0</v>
      </c>
      <c r="DZ119" s="74">
        <v>0</v>
      </c>
      <c r="EA119" s="74">
        <v>0</v>
      </c>
      <c r="EB119" s="74">
        <v>0</v>
      </c>
      <c r="EC119" s="74">
        <v>0</v>
      </c>
      <c r="ED119" s="74"/>
      <c r="EE119" s="80">
        <v>46009</v>
      </c>
      <c r="EF119" s="81">
        <v>46009.5211724537</v>
      </c>
      <c r="EG119" s="66" t="s">
        <v>69</v>
      </c>
      <c r="EH119" s="66" t="s">
        <v>209</v>
      </c>
      <c r="EI119" s="66" t="s">
        <v>6</v>
      </c>
      <c r="EJ119" s="66">
        <v>15</v>
      </c>
      <c r="EK119" s="66">
        <v>2027</v>
      </c>
      <c r="EL119" s="66" t="s">
        <v>24</v>
      </c>
      <c r="EM119" s="82">
        <v>338.17657095145614</v>
      </c>
      <c r="EN119" s="82">
        <v>337.5739809825738</v>
      </c>
      <c r="EO119" s="77">
        <v>227.1146</v>
      </c>
      <c r="EP119" s="84">
        <v>0.13999758052366426</v>
      </c>
      <c r="EQ119" s="84">
        <v>0.14268534690246426</v>
      </c>
      <c r="ER119" s="84">
        <v>4.8599999999999997E-2</v>
      </c>
      <c r="ES119" s="85">
        <v>0.97143267823005075</v>
      </c>
      <c r="ET119" s="86">
        <v>1.3804000000000001</v>
      </c>
      <c r="EU119" s="85">
        <v>0.11535261294006394</v>
      </c>
      <c r="EV119" s="85">
        <v>4.3499999999999997E-2</v>
      </c>
      <c r="EW119" s="76">
        <v>1</v>
      </c>
      <c r="EX119" s="76" t="s">
        <v>32</v>
      </c>
      <c r="EY119" s="74" t="s">
        <v>243</v>
      </c>
      <c r="EZ119" s="74"/>
      <c r="FA119" s="74"/>
      <c r="FB119" s="74"/>
      <c r="FC119" s="74"/>
      <c r="FD119" s="68"/>
      <c r="FH119" s="73"/>
      <c r="FI119" s="74"/>
      <c r="FJ119" s="74"/>
      <c r="FK119" s="74"/>
      <c r="FL119" s="74"/>
      <c r="FM119" s="74"/>
      <c r="FN119" s="74"/>
      <c r="FO119" s="74"/>
      <c r="FP119" s="74"/>
      <c r="FQ119" s="74"/>
      <c r="FR119" s="74"/>
      <c r="FS119" s="74"/>
      <c r="FT119" s="74"/>
      <c r="FU119" s="74"/>
      <c r="FV119" s="74"/>
      <c r="FW119" s="74"/>
      <c r="FX119" s="74"/>
      <c r="FY119" s="74"/>
      <c r="FZ119" s="74"/>
      <c r="GA119" s="68"/>
    </row>
    <row r="120" spans="1:183" s="2" customFormat="1" ht="15" x14ac:dyDescent="0.3">
      <c r="A120" s="73" t="s">
        <v>198</v>
      </c>
      <c r="B120" s="73" t="s">
        <v>175</v>
      </c>
      <c r="C120" s="73" t="s">
        <v>175</v>
      </c>
      <c r="D120" s="73" t="s">
        <v>48</v>
      </c>
      <c r="E120" s="73" t="s">
        <v>178</v>
      </c>
      <c r="F120" s="73" t="s">
        <v>210</v>
      </c>
      <c r="G120" s="73" t="s">
        <v>227</v>
      </c>
      <c r="H120" s="73"/>
      <c r="I120" s="74">
        <v>0</v>
      </c>
      <c r="J120" s="74">
        <v>0</v>
      </c>
      <c r="K120" s="74">
        <v>0</v>
      </c>
      <c r="L120" s="74">
        <v>0</v>
      </c>
      <c r="M120" s="74">
        <v>-2884.2000000000003</v>
      </c>
      <c r="N120" s="74">
        <v>-2956.8</v>
      </c>
      <c r="O120" s="74">
        <v>-2010.8000000000002</v>
      </c>
      <c r="P120" s="74">
        <v>-2674.26</v>
      </c>
      <c r="Q120" s="74">
        <v>-2813.5414251619218</v>
      </c>
      <c r="R120" s="74">
        <v>-2954.2184964200178</v>
      </c>
      <c r="S120" s="74">
        <v>-2954.5139182696598</v>
      </c>
      <c r="T120" s="74">
        <v>-2954.8093696614869</v>
      </c>
      <c r="U120" s="74">
        <v>0</v>
      </c>
      <c r="V120" s="74">
        <v>0</v>
      </c>
      <c r="W120" s="74">
        <v>0</v>
      </c>
      <c r="X120" s="74">
        <v>0</v>
      </c>
      <c r="Y120" s="74">
        <v>0</v>
      </c>
      <c r="Z120" s="74">
        <v>0</v>
      </c>
      <c r="AA120" s="74">
        <v>0</v>
      </c>
      <c r="AB120" s="74">
        <v>0</v>
      </c>
      <c r="AC120" s="74">
        <v>0</v>
      </c>
      <c r="AD120" s="74">
        <v>0</v>
      </c>
      <c r="AE120" s="74">
        <v>0</v>
      </c>
      <c r="AF120" s="74">
        <v>0</v>
      </c>
      <c r="AG120" s="74">
        <v>0</v>
      </c>
      <c r="AH120" s="74">
        <v>0</v>
      </c>
      <c r="AI120" s="74">
        <v>0</v>
      </c>
      <c r="AJ120" s="74">
        <v>0</v>
      </c>
      <c r="AK120" s="74"/>
      <c r="AL120" s="74">
        <v>0</v>
      </c>
      <c r="AM120" s="74">
        <v>0</v>
      </c>
      <c r="AN120" s="74">
        <v>0</v>
      </c>
      <c r="AO120" s="74">
        <v>0</v>
      </c>
      <c r="AP120" s="74">
        <v>0</v>
      </c>
      <c r="AQ120" s="74">
        <v>0</v>
      </c>
      <c r="AR120" s="74">
        <v>0</v>
      </c>
      <c r="AS120" s="74">
        <v>0</v>
      </c>
      <c r="AT120" s="74">
        <v>0</v>
      </c>
      <c r="AU120" s="74">
        <v>0</v>
      </c>
      <c r="AV120" s="74">
        <v>0</v>
      </c>
      <c r="AW120" s="74">
        <v>0</v>
      </c>
      <c r="AX120" s="74">
        <v>0</v>
      </c>
      <c r="AY120" s="74">
        <v>0</v>
      </c>
      <c r="AZ120" s="74">
        <v>0</v>
      </c>
      <c r="BA120" s="74">
        <v>0</v>
      </c>
      <c r="BB120" s="74">
        <v>0</v>
      </c>
      <c r="BC120" s="74">
        <v>0</v>
      </c>
      <c r="BD120" s="74">
        <v>0</v>
      </c>
      <c r="BE120" s="74">
        <v>0</v>
      </c>
      <c r="BF120" s="74">
        <v>0</v>
      </c>
      <c r="BG120" s="74">
        <v>0</v>
      </c>
      <c r="BH120" s="74">
        <v>0</v>
      </c>
      <c r="BI120" s="74">
        <v>0</v>
      </c>
      <c r="BJ120" s="74">
        <v>0</v>
      </c>
      <c r="BK120" s="74">
        <v>0</v>
      </c>
      <c r="BL120" s="74">
        <v>0</v>
      </c>
      <c r="BM120" s="74">
        <v>0</v>
      </c>
      <c r="BN120" s="74">
        <v>0</v>
      </c>
      <c r="BO120" s="74">
        <v>0</v>
      </c>
      <c r="BP120" s="74">
        <v>0</v>
      </c>
      <c r="BQ120" s="74">
        <v>0</v>
      </c>
      <c r="BR120" s="74">
        <v>0</v>
      </c>
      <c r="BS120" s="74">
        <v>0</v>
      </c>
      <c r="BT120" s="74">
        <v>0</v>
      </c>
      <c r="BU120" s="74">
        <v>0</v>
      </c>
      <c r="BV120" s="74">
        <v>0</v>
      </c>
      <c r="BW120" s="74">
        <v>0</v>
      </c>
      <c r="BX120" s="74">
        <v>0</v>
      </c>
      <c r="BY120" s="74">
        <v>0</v>
      </c>
      <c r="BZ120" s="74">
        <v>0</v>
      </c>
      <c r="CA120" s="74">
        <v>0</v>
      </c>
      <c r="CB120" s="74">
        <v>0</v>
      </c>
      <c r="CC120" s="74">
        <v>0</v>
      </c>
      <c r="CD120" s="74">
        <v>0</v>
      </c>
      <c r="CE120" s="74">
        <v>0</v>
      </c>
      <c r="CF120" s="74">
        <v>0</v>
      </c>
      <c r="CG120" s="74">
        <v>0</v>
      </c>
      <c r="CH120" s="74">
        <v>0</v>
      </c>
      <c r="CI120" s="74">
        <v>0</v>
      </c>
      <c r="CJ120" s="74">
        <v>0</v>
      </c>
      <c r="CK120" s="74">
        <v>0</v>
      </c>
      <c r="CL120" s="74">
        <v>0</v>
      </c>
      <c r="CM120" s="74">
        <v>0</v>
      </c>
      <c r="CN120" s="74">
        <v>0</v>
      </c>
      <c r="CO120" s="74">
        <v>0</v>
      </c>
      <c r="CP120" s="74">
        <v>0</v>
      </c>
      <c r="CQ120" s="74">
        <v>0</v>
      </c>
      <c r="CR120" s="74">
        <v>0</v>
      </c>
      <c r="CS120" s="74">
        <v>0</v>
      </c>
      <c r="CT120" s="74">
        <v>0</v>
      </c>
      <c r="CU120" s="74">
        <v>0</v>
      </c>
      <c r="CV120" s="74">
        <v>0</v>
      </c>
      <c r="CW120" s="74">
        <v>0</v>
      </c>
      <c r="CX120" s="74">
        <v>0</v>
      </c>
      <c r="CY120" s="74">
        <v>0</v>
      </c>
      <c r="CZ120" s="74">
        <v>0</v>
      </c>
      <c r="DA120" s="74">
        <v>0</v>
      </c>
      <c r="DB120" s="74">
        <v>0</v>
      </c>
      <c r="DC120" s="74">
        <v>0</v>
      </c>
      <c r="DD120" s="74">
        <v>0</v>
      </c>
      <c r="DE120" s="74">
        <v>0</v>
      </c>
      <c r="DF120" s="74">
        <v>0</v>
      </c>
      <c r="DG120" s="74">
        <v>0</v>
      </c>
      <c r="DH120" s="74">
        <v>0</v>
      </c>
      <c r="DI120" s="74">
        <v>0</v>
      </c>
      <c r="DJ120" s="74">
        <v>0</v>
      </c>
      <c r="DK120" s="74">
        <v>0</v>
      </c>
      <c r="DL120" s="74">
        <v>0</v>
      </c>
      <c r="DM120" s="74">
        <v>0</v>
      </c>
      <c r="DN120" s="74">
        <v>0</v>
      </c>
      <c r="DO120" s="74">
        <v>0</v>
      </c>
      <c r="DP120" s="74">
        <v>0</v>
      </c>
      <c r="DQ120" s="74">
        <v>0</v>
      </c>
      <c r="DR120" s="74">
        <v>0</v>
      </c>
      <c r="DS120" s="74">
        <v>0</v>
      </c>
      <c r="DT120" s="74">
        <v>0</v>
      </c>
      <c r="DU120" s="74">
        <v>0</v>
      </c>
      <c r="DV120" s="74">
        <v>0</v>
      </c>
      <c r="DW120" s="74">
        <v>0</v>
      </c>
      <c r="DX120" s="74">
        <v>0</v>
      </c>
      <c r="DY120" s="74">
        <v>0</v>
      </c>
      <c r="DZ120" s="74">
        <v>0</v>
      </c>
      <c r="EA120" s="74">
        <v>0</v>
      </c>
      <c r="EB120" s="74">
        <v>0</v>
      </c>
      <c r="EC120" s="74">
        <v>0</v>
      </c>
      <c r="ED120" s="74"/>
      <c r="EE120" s="80">
        <v>46009</v>
      </c>
      <c r="EF120" s="81">
        <v>46009.5211724537</v>
      </c>
      <c r="EG120" s="66" t="s">
        <v>69</v>
      </c>
      <c r="EH120" s="66" t="s">
        <v>209</v>
      </c>
      <c r="EI120" s="66" t="s">
        <v>6</v>
      </c>
      <c r="EJ120" s="66">
        <v>15</v>
      </c>
      <c r="EK120" s="66">
        <v>2027</v>
      </c>
      <c r="EL120" s="66" t="s">
        <v>24</v>
      </c>
      <c r="EM120" s="82">
        <v>338.17657095145614</v>
      </c>
      <c r="EN120" s="82">
        <v>337.5739809825738</v>
      </c>
      <c r="EO120" s="77">
        <v>227.1146</v>
      </c>
      <c r="EP120" s="84">
        <v>0.13999758052366426</v>
      </c>
      <c r="EQ120" s="84">
        <v>0.14268534690246426</v>
      </c>
      <c r="ER120" s="84">
        <v>4.8599999999999997E-2</v>
      </c>
      <c r="ES120" s="85">
        <v>0.97143267823005075</v>
      </c>
      <c r="ET120" s="86">
        <v>1.3804000000000001</v>
      </c>
      <c r="EU120" s="85">
        <v>0.11535261294006394</v>
      </c>
      <c r="EV120" s="85">
        <v>4.3499999999999997E-2</v>
      </c>
      <c r="EW120" s="76">
        <v>1</v>
      </c>
      <c r="EX120" s="76" t="s">
        <v>32</v>
      </c>
      <c r="EY120" s="74" t="s">
        <v>243</v>
      </c>
      <c r="EZ120" s="74"/>
      <c r="FA120" s="74"/>
      <c r="FB120" s="74"/>
      <c r="FC120" s="74"/>
      <c r="FD120" s="68"/>
      <c r="FH120" s="73"/>
      <c r="FI120" s="74"/>
      <c r="FJ120" s="74"/>
      <c r="FK120" s="74"/>
      <c r="FL120" s="74"/>
      <c r="FM120" s="74"/>
      <c r="FN120" s="74"/>
      <c r="FO120" s="74"/>
      <c r="FP120" s="74"/>
      <c r="FQ120" s="74"/>
      <c r="FR120" s="74"/>
      <c r="FS120" s="74"/>
      <c r="FT120" s="74"/>
      <c r="FU120" s="74"/>
      <c r="FV120" s="74"/>
      <c r="FW120" s="74"/>
      <c r="FX120" s="74"/>
      <c r="FY120" s="74"/>
      <c r="FZ120" s="74"/>
      <c r="GA120" s="68"/>
    </row>
    <row r="121" spans="1:183" s="2" customFormat="1" ht="15" x14ac:dyDescent="0.3">
      <c r="A121" s="73" t="s">
        <v>199</v>
      </c>
      <c r="B121" s="73" t="s">
        <v>202</v>
      </c>
      <c r="C121" s="73" t="s">
        <v>202</v>
      </c>
      <c r="D121" s="73" t="s">
        <v>48</v>
      </c>
      <c r="E121" s="73" t="s">
        <v>178</v>
      </c>
      <c r="F121" s="73" t="s">
        <v>210</v>
      </c>
      <c r="G121" s="73" t="s">
        <v>227</v>
      </c>
      <c r="H121" s="73"/>
      <c r="I121" s="74">
        <v>0</v>
      </c>
      <c r="J121" s="74">
        <v>0</v>
      </c>
      <c r="K121" s="74">
        <v>0</v>
      </c>
      <c r="L121" s="74">
        <v>0</v>
      </c>
      <c r="M121" s="74">
        <v>12399.2</v>
      </c>
      <c r="N121" s="74">
        <v>-3089.9</v>
      </c>
      <c r="O121" s="74">
        <v>-4823.5</v>
      </c>
      <c r="P121" s="74">
        <v>-1789.4499999999998</v>
      </c>
      <c r="Q121" s="74">
        <v>-1894.596163353016</v>
      </c>
      <c r="R121" s="74">
        <v>-1989.3259715206668</v>
      </c>
      <c r="S121" s="74">
        <v>-2029.1124909510802</v>
      </c>
      <c r="T121" s="74">
        <v>-2069.6947407701018</v>
      </c>
      <c r="U121" s="74">
        <v>0</v>
      </c>
      <c r="V121" s="74">
        <v>0</v>
      </c>
      <c r="W121" s="74">
        <v>0</v>
      </c>
      <c r="X121" s="74">
        <v>0</v>
      </c>
      <c r="Y121" s="74">
        <v>0</v>
      </c>
      <c r="Z121" s="74">
        <v>0</v>
      </c>
      <c r="AA121" s="74">
        <v>0</v>
      </c>
      <c r="AB121" s="74">
        <v>0</v>
      </c>
      <c r="AC121" s="74">
        <v>0</v>
      </c>
      <c r="AD121" s="74">
        <v>0</v>
      </c>
      <c r="AE121" s="74">
        <v>0</v>
      </c>
      <c r="AF121" s="74">
        <v>0</v>
      </c>
      <c r="AG121" s="74">
        <v>0</v>
      </c>
      <c r="AH121" s="74">
        <v>0</v>
      </c>
      <c r="AI121" s="74">
        <v>0</v>
      </c>
      <c r="AJ121" s="74">
        <v>0</v>
      </c>
      <c r="AK121" s="74"/>
      <c r="AL121" s="74">
        <v>0</v>
      </c>
      <c r="AM121" s="74">
        <v>0</v>
      </c>
      <c r="AN121" s="74">
        <v>0</v>
      </c>
      <c r="AO121" s="74">
        <v>0</v>
      </c>
      <c r="AP121" s="74">
        <v>0</v>
      </c>
      <c r="AQ121" s="74">
        <v>0</v>
      </c>
      <c r="AR121" s="74">
        <v>0</v>
      </c>
      <c r="AS121" s="74">
        <v>0</v>
      </c>
      <c r="AT121" s="74">
        <v>0</v>
      </c>
      <c r="AU121" s="74">
        <v>0</v>
      </c>
      <c r="AV121" s="74">
        <v>0</v>
      </c>
      <c r="AW121" s="74">
        <v>0</v>
      </c>
      <c r="AX121" s="74">
        <v>0</v>
      </c>
      <c r="AY121" s="74">
        <v>0</v>
      </c>
      <c r="AZ121" s="74">
        <v>0</v>
      </c>
      <c r="BA121" s="74">
        <v>0</v>
      </c>
      <c r="BB121" s="74">
        <v>0</v>
      </c>
      <c r="BC121" s="74">
        <v>0</v>
      </c>
      <c r="BD121" s="74">
        <v>0</v>
      </c>
      <c r="BE121" s="74">
        <v>0</v>
      </c>
      <c r="BF121" s="74">
        <v>0</v>
      </c>
      <c r="BG121" s="74">
        <v>0</v>
      </c>
      <c r="BH121" s="74">
        <v>0</v>
      </c>
      <c r="BI121" s="74">
        <v>0</v>
      </c>
      <c r="BJ121" s="74">
        <v>0</v>
      </c>
      <c r="BK121" s="74">
        <v>0</v>
      </c>
      <c r="BL121" s="74">
        <v>0</v>
      </c>
      <c r="BM121" s="74">
        <v>0</v>
      </c>
      <c r="BN121" s="74">
        <v>0</v>
      </c>
      <c r="BO121" s="74">
        <v>0</v>
      </c>
      <c r="BP121" s="74">
        <v>0</v>
      </c>
      <c r="BQ121" s="74">
        <v>0</v>
      </c>
      <c r="BR121" s="74">
        <v>0</v>
      </c>
      <c r="BS121" s="74">
        <v>0</v>
      </c>
      <c r="BT121" s="74">
        <v>0</v>
      </c>
      <c r="BU121" s="74">
        <v>0</v>
      </c>
      <c r="BV121" s="74">
        <v>0</v>
      </c>
      <c r="BW121" s="74">
        <v>0</v>
      </c>
      <c r="BX121" s="74">
        <v>0</v>
      </c>
      <c r="BY121" s="74">
        <v>0</v>
      </c>
      <c r="BZ121" s="74">
        <v>0</v>
      </c>
      <c r="CA121" s="74">
        <v>0</v>
      </c>
      <c r="CB121" s="74">
        <v>0</v>
      </c>
      <c r="CC121" s="74">
        <v>0</v>
      </c>
      <c r="CD121" s="74">
        <v>0</v>
      </c>
      <c r="CE121" s="74">
        <v>0</v>
      </c>
      <c r="CF121" s="74">
        <v>0</v>
      </c>
      <c r="CG121" s="74">
        <v>0</v>
      </c>
      <c r="CH121" s="74">
        <v>0</v>
      </c>
      <c r="CI121" s="74">
        <v>0</v>
      </c>
      <c r="CJ121" s="74">
        <v>0</v>
      </c>
      <c r="CK121" s="74">
        <v>0</v>
      </c>
      <c r="CL121" s="74">
        <v>0</v>
      </c>
      <c r="CM121" s="74">
        <v>0</v>
      </c>
      <c r="CN121" s="74">
        <v>0</v>
      </c>
      <c r="CO121" s="74">
        <v>0</v>
      </c>
      <c r="CP121" s="74">
        <v>0</v>
      </c>
      <c r="CQ121" s="74">
        <v>0</v>
      </c>
      <c r="CR121" s="74">
        <v>0</v>
      </c>
      <c r="CS121" s="74">
        <v>0</v>
      </c>
      <c r="CT121" s="74">
        <v>0</v>
      </c>
      <c r="CU121" s="74">
        <v>0</v>
      </c>
      <c r="CV121" s="74">
        <v>0</v>
      </c>
      <c r="CW121" s="74">
        <v>0</v>
      </c>
      <c r="CX121" s="74">
        <v>0</v>
      </c>
      <c r="CY121" s="74">
        <v>0</v>
      </c>
      <c r="CZ121" s="74">
        <v>0</v>
      </c>
      <c r="DA121" s="74">
        <v>0</v>
      </c>
      <c r="DB121" s="74">
        <v>0</v>
      </c>
      <c r="DC121" s="74">
        <v>0</v>
      </c>
      <c r="DD121" s="74">
        <v>0</v>
      </c>
      <c r="DE121" s="74">
        <v>0</v>
      </c>
      <c r="DF121" s="74">
        <v>0</v>
      </c>
      <c r="DG121" s="74">
        <v>0</v>
      </c>
      <c r="DH121" s="74">
        <v>0</v>
      </c>
      <c r="DI121" s="74">
        <v>0</v>
      </c>
      <c r="DJ121" s="74">
        <v>0</v>
      </c>
      <c r="DK121" s="74">
        <v>0</v>
      </c>
      <c r="DL121" s="74">
        <v>0</v>
      </c>
      <c r="DM121" s="74">
        <v>0</v>
      </c>
      <c r="DN121" s="74">
        <v>0</v>
      </c>
      <c r="DO121" s="74">
        <v>0</v>
      </c>
      <c r="DP121" s="74">
        <v>0</v>
      </c>
      <c r="DQ121" s="74">
        <v>0</v>
      </c>
      <c r="DR121" s="74">
        <v>0</v>
      </c>
      <c r="DS121" s="74">
        <v>0</v>
      </c>
      <c r="DT121" s="74">
        <v>0</v>
      </c>
      <c r="DU121" s="74">
        <v>0</v>
      </c>
      <c r="DV121" s="74">
        <v>0</v>
      </c>
      <c r="DW121" s="74">
        <v>0</v>
      </c>
      <c r="DX121" s="74">
        <v>0</v>
      </c>
      <c r="DY121" s="74">
        <v>0</v>
      </c>
      <c r="DZ121" s="74">
        <v>0</v>
      </c>
      <c r="EA121" s="74">
        <v>0</v>
      </c>
      <c r="EB121" s="74">
        <v>0</v>
      </c>
      <c r="EC121" s="74">
        <v>0</v>
      </c>
      <c r="ED121" s="74"/>
      <c r="EE121" s="80">
        <v>46009</v>
      </c>
      <c r="EF121" s="81">
        <v>46009.5211724537</v>
      </c>
      <c r="EG121" s="66" t="s">
        <v>69</v>
      </c>
      <c r="EH121" s="66" t="s">
        <v>209</v>
      </c>
      <c r="EI121" s="66" t="s">
        <v>6</v>
      </c>
      <c r="EJ121" s="66">
        <v>15</v>
      </c>
      <c r="EK121" s="66">
        <v>2027</v>
      </c>
      <c r="EL121" s="66" t="s">
        <v>24</v>
      </c>
      <c r="EM121" s="82">
        <v>338.17657095145614</v>
      </c>
      <c r="EN121" s="82">
        <v>337.5739809825738</v>
      </c>
      <c r="EO121" s="77">
        <v>227.1146</v>
      </c>
      <c r="EP121" s="84">
        <v>0.13999758052366426</v>
      </c>
      <c r="EQ121" s="84">
        <v>0.14268534690246426</v>
      </c>
      <c r="ER121" s="84">
        <v>4.8599999999999997E-2</v>
      </c>
      <c r="ES121" s="85">
        <v>0.97143267823005075</v>
      </c>
      <c r="ET121" s="86">
        <v>1.3804000000000001</v>
      </c>
      <c r="EU121" s="85">
        <v>0.11535261294006394</v>
      </c>
      <c r="EV121" s="85">
        <v>4.3499999999999997E-2</v>
      </c>
      <c r="EW121" s="76">
        <v>1</v>
      </c>
      <c r="EX121" s="76" t="s">
        <v>32</v>
      </c>
      <c r="EY121" s="74" t="s">
        <v>243</v>
      </c>
      <c r="EZ121" s="74"/>
      <c r="FA121" s="74"/>
      <c r="FB121" s="74"/>
      <c r="FC121" s="74"/>
      <c r="FD121" s="68"/>
      <c r="FH121" s="73"/>
      <c r="FI121" s="74"/>
      <c r="FJ121" s="74"/>
      <c r="FK121" s="74"/>
      <c r="FL121" s="74"/>
      <c r="FM121" s="74"/>
      <c r="FN121" s="74"/>
      <c r="FO121" s="74"/>
      <c r="FP121" s="74"/>
      <c r="FQ121" s="74"/>
      <c r="FR121" s="74"/>
      <c r="FS121" s="74"/>
      <c r="FT121" s="74"/>
      <c r="FU121" s="74"/>
      <c r="FV121" s="74"/>
      <c r="FW121" s="74"/>
      <c r="FX121" s="74"/>
      <c r="FY121" s="74"/>
      <c r="FZ121" s="74"/>
      <c r="GA121" s="68"/>
    </row>
    <row r="122" spans="1:183" s="2" customFormat="1" ht="15" x14ac:dyDescent="0.3">
      <c r="A122" s="73" t="s">
        <v>190</v>
      </c>
      <c r="B122" s="73" t="s">
        <v>171</v>
      </c>
      <c r="C122" s="73" t="s">
        <v>171</v>
      </c>
      <c r="D122" s="73" t="s">
        <v>48</v>
      </c>
      <c r="E122" s="73" t="s">
        <v>178</v>
      </c>
      <c r="F122" s="73" t="s">
        <v>210</v>
      </c>
      <c r="G122" s="73" t="s">
        <v>227</v>
      </c>
      <c r="H122" s="73"/>
      <c r="I122" s="74">
        <v>0</v>
      </c>
      <c r="J122" s="74">
        <v>0</v>
      </c>
      <c r="K122" s="74">
        <v>0</v>
      </c>
      <c r="L122" s="74">
        <v>0</v>
      </c>
      <c r="M122" s="74">
        <v>111394.30000000002</v>
      </c>
      <c r="N122" s="74">
        <v>101714.04</v>
      </c>
      <c r="O122" s="74">
        <v>97932.78</v>
      </c>
      <c r="P122" s="74">
        <v>120154.68</v>
      </c>
      <c r="Q122" s="74">
        <v>130633.15216703973</v>
      </c>
      <c r="R122" s="74">
        <v>154025.27300405709</v>
      </c>
      <c r="S122" s="74">
        <v>175889.32576633885</v>
      </c>
      <c r="T122" s="74">
        <v>196580.53490880207</v>
      </c>
      <c r="U122" s="74">
        <v>0</v>
      </c>
      <c r="V122" s="74">
        <v>0</v>
      </c>
      <c r="W122" s="74">
        <v>0</v>
      </c>
      <c r="X122" s="74">
        <v>0</v>
      </c>
      <c r="Y122" s="74">
        <v>0</v>
      </c>
      <c r="Z122" s="74">
        <v>0</v>
      </c>
      <c r="AA122" s="74">
        <v>0</v>
      </c>
      <c r="AB122" s="74">
        <v>0</v>
      </c>
      <c r="AC122" s="74">
        <v>0</v>
      </c>
      <c r="AD122" s="74">
        <v>0</v>
      </c>
      <c r="AE122" s="74">
        <v>0</v>
      </c>
      <c r="AF122" s="74">
        <v>0</v>
      </c>
      <c r="AG122" s="74">
        <v>0</v>
      </c>
      <c r="AH122" s="74">
        <v>0</v>
      </c>
      <c r="AI122" s="74">
        <v>0</v>
      </c>
      <c r="AJ122" s="74">
        <v>0</v>
      </c>
      <c r="AK122" s="74"/>
      <c r="AL122" s="74">
        <v>0</v>
      </c>
      <c r="AM122" s="74">
        <v>0</v>
      </c>
      <c r="AN122" s="74">
        <v>0</v>
      </c>
      <c r="AO122" s="74">
        <v>0</v>
      </c>
      <c r="AP122" s="74">
        <v>0</v>
      </c>
      <c r="AQ122" s="74">
        <v>0</v>
      </c>
      <c r="AR122" s="74">
        <v>0</v>
      </c>
      <c r="AS122" s="74">
        <v>0</v>
      </c>
      <c r="AT122" s="74">
        <v>0</v>
      </c>
      <c r="AU122" s="74">
        <v>0</v>
      </c>
      <c r="AV122" s="74">
        <v>0</v>
      </c>
      <c r="AW122" s="74">
        <v>0</v>
      </c>
      <c r="AX122" s="74">
        <v>0</v>
      </c>
      <c r="AY122" s="74">
        <v>0</v>
      </c>
      <c r="AZ122" s="74">
        <v>0</v>
      </c>
      <c r="BA122" s="74">
        <v>0</v>
      </c>
      <c r="BB122" s="74">
        <v>0</v>
      </c>
      <c r="BC122" s="74">
        <v>0</v>
      </c>
      <c r="BD122" s="74">
        <v>0</v>
      </c>
      <c r="BE122" s="74">
        <v>0</v>
      </c>
      <c r="BF122" s="74">
        <v>0</v>
      </c>
      <c r="BG122" s="74">
        <v>0</v>
      </c>
      <c r="BH122" s="74">
        <v>0</v>
      </c>
      <c r="BI122" s="74">
        <v>0</v>
      </c>
      <c r="BJ122" s="74">
        <v>0</v>
      </c>
      <c r="BK122" s="74">
        <v>0</v>
      </c>
      <c r="BL122" s="74">
        <v>0</v>
      </c>
      <c r="BM122" s="74">
        <v>0</v>
      </c>
      <c r="BN122" s="74">
        <v>0</v>
      </c>
      <c r="BO122" s="74">
        <v>0</v>
      </c>
      <c r="BP122" s="74">
        <v>0</v>
      </c>
      <c r="BQ122" s="74">
        <v>0</v>
      </c>
      <c r="BR122" s="74">
        <v>0</v>
      </c>
      <c r="BS122" s="74">
        <v>0</v>
      </c>
      <c r="BT122" s="74">
        <v>0</v>
      </c>
      <c r="BU122" s="74">
        <v>0</v>
      </c>
      <c r="BV122" s="74">
        <v>0</v>
      </c>
      <c r="BW122" s="74">
        <v>0</v>
      </c>
      <c r="BX122" s="74">
        <v>0</v>
      </c>
      <c r="BY122" s="74">
        <v>0</v>
      </c>
      <c r="BZ122" s="74">
        <v>0</v>
      </c>
      <c r="CA122" s="74">
        <v>0</v>
      </c>
      <c r="CB122" s="74">
        <v>0</v>
      </c>
      <c r="CC122" s="74">
        <v>0</v>
      </c>
      <c r="CD122" s="74">
        <v>0</v>
      </c>
      <c r="CE122" s="74">
        <v>0</v>
      </c>
      <c r="CF122" s="74">
        <v>0</v>
      </c>
      <c r="CG122" s="74">
        <v>0</v>
      </c>
      <c r="CH122" s="74">
        <v>0</v>
      </c>
      <c r="CI122" s="74">
        <v>0</v>
      </c>
      <c r="CJ122" s="74">
        <v>0</v>
      </c>
      <c r="CK122" s="74">
        <v>0</v>
      </c>
      <c r="CL122" s="74">
        <v>0</v>
      </c>
      <c r="CM122" s="74">
        <v>0</v>
      </c>
      <c r="CN122" s="74">
        <v>0</v>
      </c>
      <c r="CO122" s="74">
        <v>0</v>
      </c>
      <c r="CP122" s="74">
        <v>0</v>
      </c>
      <c r="CQ122" s="74">
        <v>0</v>
      </c>
      <c r="CR122" s="74">
        <v>0</v>
      </c>
      <c r="CS122" s="74">
        <v>0</v>
      </c>
      <c r="CT122" s="74">
        <v>0</v>
      </c>
      <c r="CU122" s="74">
        <v>0</v>
      </c>
      <c r="CV122" s="74">
        <v>0</v>
      </c>
      <c r="CW122" s="74">
        <v>0</v>
      </c>
      <c r="CX122" s="74">
        <v>0</v>
      </c>
      <c r="CY122" s="74">
        <v>0</v>
      </c>
      <c r="CZ122" s="74">
        <v>0</v>
      </c>
      <c r="DA122" s="74">
        <v>0</v>
      </c>
      <c r="DB122" s="74">
        <v>0</v>
      </c>
      <c r="DC122" s="74">
        <v>0</v>
      </c>
      <c r="DD122" s="74">
        <v>0</v>
      </c>
      <c r="DE122" s="74">
        <v>0</v>
      </c>
      <c r="DF122" s="74">
        <v>0</v>
      </c>
      <c r="DG122" s="74">
        <v>0</v>
      </c>
      <c r="DH122" s="74">
        <v>0</v>
      </c>
      <c r="DI122" s="74">
        <v>0</v>
      </c>
      <c r="DJ122" s="74">
        <v>0</v>
      </c>
      <c r="DK122" s="74">
        <v>0</v>
      </c>
      <c r="DL122" s="74">
        <v>0</v>
      </c>
      <c r="DM122" s="74">
        <v>0</v>
      </c>
      <c r="DN122" s="74">
        <v>0</v>
      </c>
      <c r="DO122" s="74">
        <v>0</v>
      </c>
      <c r="DP122" s="74">
        <v>0</v>
      </c>
      <c r="DQ122" s="74">
        <v>0</v>
      </c>
      <c r="DR122" s="74">
        <v>0</v>
      </c>
      <c r="DS122" s="74">
        <v>0</v>
      </c>
      <c r="DT122" s="74">
        <v>0</v>
      </c>
      <c r="DU122" s="74">
        <v>0</v>
      </c>
      <c r="DV122" s="74">
        <v>0</v>
      </c>
      <c r="DW122" s="74">
        <v>0</v>
      </c>
      <c r="DX122" s="74">
        <v>0</v>
      </c>
      <c r="DY122" s="74">
        <v>0</v>
      </c>
      <c r="DZ122" s="74">
        <v>0</v>
      </c>
      <c r="EA122" s="74">
        <v>0</v>
      </c>
      <c r="EB122" s="74">
        <v>0</v>
      </c>
      <c r="EC122" s="74">
        <v>0</v>
      </c>
      <c r="ED122" s="74"/>
      <c r="EE122" s="80">
        <v>46009</v>
      </c>
      <c r="EF122" s="81">
        <v>46009.5211724537</v>
      </c>
      <c r="EG122" s="66" t="s">
        <v>69</v>
      </c>
      <c r="EH122" s="66" t="s">
        <v>209</v>
      </c>
      <c r="EI122" s="66" t="s">
        <v>6</v>
      </c>
      <c r="EJ122" s="66">
        <v>15</v>
      </c>
      <c r="EK122" s="66">
        <v>2027</v>
      </c>
      <c r="EL122" s="66" t="s">
        <v>24</v>
      </c>
      <c r="EM122" s="82">
        <v>338.17657095145614</v>
      </c>
      <c r="EN122" s="82">
        <v>337.5739809825738</v>
      </c>
      <c r="EO122" s="77">
        <v>227.1146</v>
      </c>
      <c r="EP122" s="84">
        <v>0.13999758052366426</v>
      </c>
      <c r="EQ122" s="84">
        <v>0.14268534690246426</v>
      </c>
      <c r="ER122" s="84">
        <v>4.8599999999999997E-2</v>
      </c>
      <c r="ES122" s="85">
        <v>0.97143267823005075</v>
      </c>
      <c r="ET122" s="86">
        <v>1.3804000000000001</v>
      </c>
      <c r="EU122" s="85">
        <v>0.11535261294006394</v>
      </c>
      <c r="EV122" s="85">
        <v>4.3499999999999997E-2</v>
      </c>
      <c r="EW122" s="76">
        <v>1</v>
      </c>
      <c r="EX122" s="76" t="s">
        <v>32</v>
      </c>
      <c r="EY122" s="74" t="s">
        <v>243</v>
      </c>
      <c r="EZ122" s="74"/>
      <c r="FA122" s="74"/>
      <c r="FB122" s="74"/>
      <c r="FC122" s="74"/>
      <c r="FD122" s="68"/>
      <c r="FH122" s="73"/>
      <c r="FI122" s="74"/>
      <c r="FJ122" s="74"/>
      <c r="FK122" s="74"/>
      <c r="FL122" s="74"/>
      <c r="FM122" s="74"/>
      <c r="FN122" s="74"/>
      <c r="FO122" s="74"/>
      <c r="FP122" s="74"/>
      <c r="FQ122" s="74"/>
      <c r="FR122" s="74"/>
      <c r="FS122" s="74"/>
      <c r="FT122" s="74"/>
      <c r="FU122" s="74"/>
      <c r="FV122" s="74"/>
      <c r="FW122" s="74"/>
      <c r="FX122" s="74"/>
      <c r="FY122" s="74"/>
      <c r="FZ122" s="74"/>
      <c r="GA122" s="68"/>
    </row>
    <row r="123" spans="1:183" x14ac:dyDescent="0.3">
      <c r="A123" s="73" t="s">
        <v>191</v>
      </c>
      <c r="B123" s="73" t="s">
        <v>170</v>
      </c>
      <c r="C123" s="73" t="s">
        <v>170</v>
      </c>
      <c r="D123" s="73" t="s">
        <v>48</v>
      </c>
      <c r="E123" s="73" t="s">
        <v>178</v>
      </c>
      <c r="F123" s="73" t="s">
        <v>210</v>
      </c>
      <c r="G123" s="73" t="s">
        <v>227</v>
      </c>
      <c r="H123" s="73"/>
      <c r="I123" s="74">
        <v>0</v>
      </c>
      <c r="J123" s="74">
        <v>0</v>
      </c>
      <c r="K123" s="74">
        <v>0</v>
      </c>
      <c r="L123" s="74">
        <v>0</v>
      </c>
      <c r="M123" s="74">
        <v>28876.480000000003</v>
      </c>
      <c r="N123" s="74">
        <v>26293.17</v>
      </c>
      <c r="O123" s="74">
        <v>24287.57</v>
      </c>
      <c r="P123" s="74">
        <v>30515.79</v>
      </c>
      <c r="Q123" s="74">
        <v>38316.896386979097</v>
      </c>
      <c r="R123" s="74">
        <v>45612.295869503097</v>
      </c>
      <c r="S123" s="74">
        <v>52250.34994015003</v>
      </c>
      <c r="T123" s="74">
        <v>58392.393251666683</v>
      </c>
      <c r="U123" s="74">
        <v>0</v>
      </c>
      <c r="V123" s="74">
        <v>0</v>
      </c>
      <c r="W123" s="74">
        <v>0</v>
      </c>
      <c r="X123" s="74">
        <v>0</v>
      </c>
      <c r="Y123" s="74">
        <v>0</v>
      </c>
      <c r="Z123" s="74">
        <v>0</v>
      </c>
      <c r="AA123" s="74">
        <v>0</v>
      </c>
      <c r="AB123" s="74">
        <v>0</v>
      </c>
      <c r="AC123" s="74">
        <v>0</v>
      </c>
      <c r="AD123" s="74">
        <v>0</v>
      </c>
      <c r="AE123" s="74">
        <v>0</v>
      </c>
      <c r="AF123" s="74">
        <v>0</v>
      </c>
      <c r="AG123" s="74">
        <v>0</v>
      </c>
      <c r="AH123" s="74">
        <v>0</v>
      </c>
      <c r="AI123" s="74">
        <v>0</v>
      </c>
      <c r="AJ123" s="74">
        <v>0</v>
      </c>
      <c r="AL123" s="74">
        <v>0</v>
      </c>
      <c r="AM123" s="74">
        <v>0</v>
      </c>
      <c r="AN123" s="74">
        <v>0</v>
      </c>
      <c r="AO123" s="74">
        <v>0</v>
      </c>
      <c r="AP123" s="74">
        <v>0</v>
      </c>
      <c r="AQ123" s="74">
        <v>0</v>
      </c>
      <c r="AR123" s="74">
        <v>0</v>
      </c>
      <c r="AS123" s="74">
        <v>0</v>
      </c>
      <c r="AT123" s="74">
        <v>0</v>
      </c>
      <c r="AU123" s="74">
        <v>0</v>
      </c>
      <c r="AV123" s="74">
        <v>0</v>
      </c>
      <c r="AW123" s="74">
        <v>0</v>
      </c>
      <c r="AX123" s="74">
        <v>0</v>
      </c>
      <c r="AY123" s="74">
        <v>0</v>
      </c>
      <c r="AZ123" s="74">
        <v>0</v>
      </c>
      <c r="BA123" s="74">
        <v>0</v>
      </c>
      <c r="BB123" s="74">
        <v>0</v>
      </c>
      <c r="BC123" s="74">
        <v>0</v>
      </c>
      <c r="BD123" s="74">
        <v>0</v>
      </c>
      <c r="BE123" s="74">
        <v>0</v>
      </c>
      <c r="BF123" s="74">
        <v>0</v>
      </c>
      <c r="BG123" s="74">
        <v>0</v>
      </c>
      <c r="BH123" s="74">
        <v>0</v>
      </c>
      <c r="BI123" s="74">
        <v>0</v>
      </c>
      <c r="BJ123" s="74">
        <v>0</v>
      </c>
      <c r="BK123" s="74">
        <v>0</v>
      </c>
      <c r="BL123" s="74">
        <v>0</v>
      </c>
      <c r="BM123" s="74">
        <v>0</v>
      </c>
      <c r="BN123" s="74">
        <v>0</v>
      </c>
      <c r="BO123" s="74">
        <v>0</v>
      </c>
      <c r="BP123" s="74">
        <v>0</v>
      </c>
      <c r="BQ123" s="74">
        <v>0</v>
      </c>
      <c r="BR123" s="74">
        <v>0</v>
      </c>
      <c r="BS123" s="74">
        <v>0</v>
      </c>
      <c r="BT123" s="74">
        <v>0</v>
      </c>
      <c r="BU123" s="74">
        <v>0</v>
      </c>
      <c r="BV123" s="74">
        <v>0</v>
      </c>
      <c r="BW123" s="74">
        <v>0</v>
      </c>
      <c r="BX123" s="74">
        <v>0</v>
      </c>
      <c r="BY123" s="74">
        <v>0</v>
      </c>
      <c r="BZ123" s="74">
        <v>0</v>
      </c>
      <c r="CA123" s="74">
        <v>0</v>
      </c>
      <c r="CB123" s="74">
        <v>0</v>
      </c>
      <c r="CC123" s="74">
        <v>0</v>
      </c>
      <c r="CD123" s="74">
        <v>0</v>
      </c>
      <c r="CE123" s="74">
        <v>0</v>
      </c>
      <c r="CF123" s="74">
        <v>0</v>
      </c>
      <c r="CG123" s="74">
        <v>0</v>
      </c>
      <c r="CH123" s="74">
        <v>0</v>
      </c>
      <c r="CI123" s="74">
        <v>0</v>
      </c>
      <c r="CJ123" s="74">
        <v>0</v>
      </c>
      <c r="CK123" s="74">
        <v>0</v>
      </c>
      <c r="CL123" s="74">
        <v>0</v>
      </c>
      <c r="CM123" s="74">
        <v>0</v>
      </c>
      <c r="CN123" s="74">
        <v>0</v>
      </c>
      <c r="CO123" s="74">
        <v>0</v>
      </c>
      <c r="CP123" s="74">
        <v>0</v>
      </c>
      <c r="CQ123" s="74">
        <v>0</v>
      </c>
      <c r="CR123" s="74">
        <v>0</v>
      </c>
      <c r="CS123" s="74">
        <v>0</v>
      </c>
      <c r="CT123" s="74">
        <v>0</v>
      </c>
      <c r="CU123" s="74">
        <v>0</v>
      </c>
      <c r="CV123" s="74">
        <v>0</v>
      </c>
      <c r="CW123" s="74">
        <v>0</v>
      </c>
      <c r="CX123" s="74">
        <v>0</v>
      </c>
      <c r="CY123" s="74">
        <v>0</v>
      </c>
      <c r="CZ123" s="74">
        <v>0</v>
      </c>
      <c r="DA123" s="74">
        <v>0</v>
      </c>
      <c r="DB123" s="74">
        <v>0</v>
      </c>
      <c r="DC123" s="74">
        <v>0</v>
      </c>
      <c r="DD123" s="74">
        <v>0</v>
      </c>
      <c r="DE123" s="74">
        <v>0</v>
      </c>
      <c r="DF123" s="74">
        <v>0</v>
      </c>
      <c r="DG123" s="74">
        <v>0</v>
      </c>
      <c r="DH123" s="74">
        <v>0</v>
      </c>
      <c r="DI123" s="74">
        <v>0</v>
      </c>
      <c r="DJ123" s="74">
        <v>0</v>
      </c>
      <c r="DK123" s="74">
        <v>0</v>
      </c>
      <c r="DL123" s="74">
        <v>0</v>
      </c>
      <c r="DM123" s="74">
        <v>0</v>
      </c>
      <c r="DN123" s="74">
        <v>0</v>
      </c>
      <c r="DO123" s="74">
        <v>0</v>
      </c>
      <c r="DP123" s="74">
        <v>0</v>
      </c>
      <c r="DQ123" s="74">
        <v>0</v>
      </c>
      <c r="DR123" s="74">
        <v>0</v>
      </c>
      <c r="DS123" s="74">
        <v>0</v>
      </c>
      <c r="DT123" s="74">
        <v>0</v>
      </c>
      <c r="DU123" s="74">
        <v>0</v>
      </c>
      <c r="DV123" s="74">
        <v>0</v>
      </c>
      <c r="DW123" s="74">
        <v>0</v>
      </c>
      <c r="DX123" s="74">
        <v>0</v>
      </c>
      <c r="DY123" s="74">
        <v>0</v>
      </c>
      <c r="DZ123" s="74">
        <v>0</v>
      </c>
      <c r="EA123" s="74">
        <v>0</v>
      </c>
      <c r="EB123" s="74">
        <v>0</v>
      </c>
      <c r="EC123" s="74">
        <v>0</v>
      </c>
      <c r="EE123" s="80">
        <v>46009</v>
      </c>
      <c r="EF123" s="81">
        <v>46009.5211724537</v>
      </c>
      <c r="EG123" s="66" t="s">
        <v>69</v>
      </c>
      <c r="EH123" s="66" t="s">
        <v>209</v>
      </c>
      <c r="EI123" s="66" t="s">
        <v>6</v>
      </c>
      <c r="EJ123" s="66">
        <v>15</v>
      </c>
      <c r="EK123" s="66">
        <v>2027</v>
      </c>
      <c r="EL123" s="66" t="s">
        <v>24</v>
      </c>
      <c r="EM123" s="82">
        <v>338.17657095145614</v>
      </c>
      <c r="EN123" s="82">
        <v>337.5739809825738</v>
      </c>
      <c r="EO123" s="77">
        <v>227.1146</v>
      </c>
      <c r="EP123" s="84">
        <v>0.13999758052366426</v>
      </c>
      <c r="EQ123" s="84">
        <v>0.14268534690246426</v>
      </c>
      <c r="ER123" s="84">
        <v>4.8599999999999997E-2</v>
      </c>
      <c r="ES123" s="85">
        <v>0.97143267823005075</v>
      </c>
      <c r="ET123" s="86">
        <v>1.3804000000000001</v>
      </c>
      <c r="EU123" s="85">
        <v>0.11535261294006394</v>
      </c>
      <c r="EV123" s="85">
        <v>4.3499999999999997E-2</v>
      </c>
      <c r="EW123" s="76">
        <v>1</v>
      </c>
      <c r="EX123" s="76" t="s">
        <v>32</v>
      </c>
      <c r="EY123" s="74" t="s">
        <v>243</v>
      </c>
    </row>
    <row r="124" spans="1:183" x14ac:dyDescent="0.3">
      <c r="A124" s="73" t="s">
        <v>192</v>
      </c>
      <c r="B124" s="73" t="s">
        <v>174</v>
      </c>
      <c r="C124" s="73" t="s">
        <v>174</v>
      </c>
      <c r="D124" s="73" t="s">
        <v>48</v>
      </c>
      <c r="E124" s="73" t="s">
        <v>178</v>
      </c>
      <c r="F124" s="73" t="s">
        <v>210</v>
      </c>
      <c r="G124" s="73" t="s">
        <v>227</v>
      </c>
      <c r="H124" s="73"/>
      <c r="I124" s="74">
        <v>0</v>
      </c>
      <c r="J124" s="74">
        <v>0</v>
      </c>
      <c r="K124" s="74">
        <v>0</v>
      </c>
      <c r="L124" s="74">
        <v>0</v>
      </c>
      <c r="M124" s="74">
        <v>59020.679999999993</v>
      </c>
      <c r="N124" s="74">
        <v>79030.995999999999</v>
      </c>
      <c r="O124" s="74">
        <v>85778.90400000001</v>
      </c>
      <c r="P124" s="74">
        <v>169422.30199999997</v>
      </c>
      <c r="Q124" s="74">
        <v>220893.80908162557</v>
      </c>
      <c r="R124" s="74">
        <v>278175.50962376513</v>
      </c>
      <c r="S124" s="74">
        <v>334825.36520460923</v>
      </c>
      <c r="T124" s="74">
        <v>385930.46186496306</v>
      </c>
      <c r="U124" s="74">
        <v>0</v>
      </c>
      <c r="V124" s="74">
        <v>0</v>
      </c>
      <c r="W124" s="74">
        <v>0</v>
      </c>
      <c r="X124" s="74">
        <v>0</v>
      </c>
      <c r="Y124" s="74">
        <v>0</v>
      </c>
      <c r="Z124" s="74">
        <v>0</v>
      </c>
      <c r="AA124" s="74">
        <v>0</v>
      </c>
      <c r="AB124" s="74">
        <v>0</v>
      </c>
      <c r="AC124" s="74">
        <v>0</v>
      </c>
      <c r="AD124" s="74">
        <v>0</v>
      </c>
      <c r="AE124" s="74">
        <v>0</v>
      </c>
      <c r="AF124" s="74">
        <v>0</v>
      </c>
      <c r="AG124" s="74">
        <v>0</v>
      </c>
      <c r="AH124" s="74">
        <v>0</v>
      </c>
      <c r="AI124" s="74">
        <v>0</v>
      </c>
      <c r="AJ124" s="74">
        <v>0</v>
      </c>
      <c r="AL124" s="74">
        <v>0</v>
      </c>
      <c r="AM124" s="74">
        <v>0</v>
      </c>
      <c r="AN124" s="74">
        <v>0</v>
      </c>
      <c r="AO124" s="74">
        <v>0</v>
      </c>
      <c r="AP124" s="74">
        <v>0</v>
      </c>
      <c r="AQ124" s="74">
        <v>0</v>
      </c>
      <c r="AR124" s="74">
        <v>0</v>
      </c>
      <c r="AS124" s="74">
        <v>0</v>
      </c>
      <c r="AT124" s="74">
        <v>0</v>
      </c>
      <c r="AU124" s="74">
        <v>0</v>
      </c>
      <c r="AV124" s="74">
        <v>0</v>
      </c>
      <c r="AW124" s="74">
        <v>0</v>
      </c>
      <c r="AX124" s="74">
        <v>0</v>
      </c>
      <c r="AY124" s="74">
        <v>0</v>
      </c>
      <c r="AZ124" s="74">
        <v>0</v>
      </c>
      <c r="BA124" s="74">
        <v>0</v>
      </c>
      <c r="BB124" s="74">
        <v>0</v>
      </c>
      <c r="BC124" s="74">
        <v>0</v>
      </c>
      <c r="BD124" s="74">
        <v>0</v>
      </c>
      <c r="BE124" s="74">
        <v>0</v>
      </c>
      <c r="BF124" s="74">
        <v>0</v>
      </c>
      <c r="BG124" s="74">
        <v>0</v>
      </c>
      <c r="BH124" s="74">
        <v>0</v>
      </c>
      <c r="BI124" s="74">
        <v>0</v>
      </c>
      <c r="BJ124" s="74">
        <v>0</v>
      </c>
      <c r="BK124" s="74">
        <v>0</v>
      </c>
      <c r="BL124" s="74">
        <v>0</v>
      </c>
      <c r="BM124" s="74">
        <v>0</v>
      </c>
      <c r="BN124" s="74">
        <v>0</v>
      </c>
      <c r="BO124" s="74">
        <v>0</v>
      </c>
      <c r="BP124" s="74">
        <v>0</v>
      </c>
      <c r="BQ124" s="74">
        <v>0</v>
      </c>
      <c r="BR124" s="74">
        <v>0</v>
      </c>
      <c r="BS124" s="74">
        <v>0</v>
      </c>
      <c r="BT124" s="74">
        <v>0</v>
      </c>
      <c r="BU124" s="74">
        <v>0</v>
      </c>
      <c r="BV124" s="74">
        <v>0</v>
      </c>
      <c r="BW124" s="74">
        <v>0</v>
      </c>
      <c r="BX124" s="74">
        <v>0</v>
      </c>
      <c r="BY124" s="74">
        <v>0</v>
      </c>
      <c r="BZ124" s="74">
        <v>0</v>
      </c>
      <c r="CA124" s="74">
        <v>0</v>
      </c>
      <c r="CB124" s="74">
        <v>0</v>
      </c>
      <c r="CC124" s="74">
        <v>0</v>
      </c>
      <c r="CD124" s="74">
        <v>0</v>
      </c>
      <c r="CE124" s="74">
        <v>0</v>
      </c>
      <c r="CF124" s="74">
        <v>0</v>
      </c>
      <c r="CG124" s="74">
        <v>0</v>
      </c>
      <c r="CH124" s="74">
        <v>0</v>
      </c>
      <c r="CI124" s="74">
        <v>0</v>
      </c>
      <c r="CJ124" s="74">
        <v>0</v>
      </c>
      <c r="CK124" s="74">
        <v>0</v>
      </c>
      <c r="CL124" s="74">
        <v>0</v>
      </c>
      <c r="CM124" s="74">
        <v>0</v>
      </c>
      <c r="CN124" s="74">
        <v>0</v>
      </c>
      <c r="CO124" s="74">
        <v>0</v>
      </c>
      <c r="CP124" s="74">
        <v>0</v>
      </c>
      <c r="CQ124" s="74">
        <v>0</v>
      </c>
      <c r="CR124" s="74">
        <v>0</v>
      </c>
      <c r="CS124" s="74">
        <v>0</v>
      </c>
      <c r="CT124" s="74">
        <v>0</v>
      </c>
      <c r="CU124" s="74">
        <v>0</v>
      </c>
      <c r="CV124" s="74">
        <v>0</v>
      </c>
      <c r="CW124" s="74">
        <v>0</v>
      </c>
      <c r="CX124" s="74">
        <v>0</v>
      </c>
      <c r="CY124" s="74">
        <v>0</v>
      </c>
      <c r="CZ124" s="74">
        <v>0</v>
      </c>
      <c r="DA124" s="74">
        <v>0</v>
      </c>
      <c r="DB124" s="74">
        <v>0</v>
      </c>
      <c r="DC124" s="74">
        <v>0</v>
      </c>
      <c r="DD124" s="74">
        <v>0</v>
      </c>
      <c r="DE124" s="74">
        <v>0</v>
      </c>
      <c r="DF124" s="74">
        <v>0</v>
      </c>
      <c r="DG124" s="74">
        <v>0</v>
      </c>
      <c r="DH124" s="74">
        <v>0</v>
      </c>
      <c r="DI124" s="74">
        <v>0</v>
      </c>
      <c r="DJ124" s="74">
        <v>0</v>
      </c>
      <c r="DK124" s="74">
        <v>0</v>
      </c>
      <c r="DL124" s="74">
        <v>0</v>
      </c>
      <c r="DM124" s="74">
        <v>0</v>
      </c>
      <c r="DN124" s="74">
        <v>0</v>
      </c>
      <c r="DO124" s="74">
        <v>0</v>
      </c>
      <c r="DP124" s="74">
        <v>0</v>
      </c>
      <c r="DQ124" s="74">
        <v>0</v>
      </c>
      <c r="DR124" s="74">
        <v>0</v>
      </c>
      <c r="DS124" s="74">
        <v>0</v>
      </c>
      <c r="DT124" s="74">
        <v>0</v>
      </c>
      <c r="DU124" s="74">
        <v>0</v>
      </c>
      <c r="DV124" s="74">
        <v>0</v>
      </c>
      <c r="DW124" s="74">
        <v>0</v>
      </c>
      <c r="DX124" s="74">
        <v>0</v>
      </c>
      <c r="DY124" s="74">
        <v>0</v>
      </c>
      <c r="DZ124" s="74">
        <v>0</v>
      </c>
      <c r="EA124" s="74">
        <v>0</v>
      </c>
      <c r="EB124" s="74">
        <v>0</v>
      </c>
      <c r="EC124" s="74">
        <v>0</v>
      </c>
      <c r="EE124" s="80">
        <v>46009</v>
      </c>
      <c r="EF124" s="81">
        <v>46009.5211724537</v>
      </c>
      <c r="EG124" s="66" t="s">
        <v>69</v>
      </c>
      <c r="EH124" s="66" t="s">
        <v>209</v>
      </c>
      <c r="EI124" s="66" t="s">
        <v>6</v>
      </c>
      <c r="EJ124" s="66">
        <v>15</v>
      </c>
      <c r="EK124" s="66">
        <v>2027</v>
      </c>
      <c r="EL124" s="66" t="s">
        <v>24</v>
      </c>
      <c r="EM124" s="82">
        <v>338.17657095145614</v>
      </c>
      <c r="EN124" s="82">
        <v>337.5739809825738</v>
      </c>
      <c r="EO124" s="77">
        <v>227.1146</v>
      </c>
      <c r="EP124" s="84">
        <v>0.13999758052366426</v>
      </c>
      <c r="EQ124" s="84">
        <v>0.14268534690246426</v>
      </c>
      <c r="ER124" s="84">
        <v>4.8599999999999997E-2</v>
      </c>
      <c r="ES124" s="85">
        <v>0.97143267823005075</v>
      </c>
      <c r="ET124" s="86">
        <v>1.3804000000000001</v>
      </c>
      <c r="EU124" s="85">
        <v>0.11535261294006394</v>
      </c>
      <c r="EV124" s="85">
        <v>4.3499999999999997E-2</v>
      </c>
      <c r="EW124" s="76">
        <v>1</v>
      </c>
      <c r="EX124" s="76" t="s">
        <v>32</v>
      </c>
      <c r="EY124" s="74" t="s">
        <v>243</v>
      </c>
    </row>
    <row r="125" spans="1:183" s="2" customFormat="1" ht="15" x14ac:dyDescent="0.3">
      <c r="A125" s="73" t="s">
        <v>200</v>
      </c>
      <c r="B125" s="73" t="s">
        <v>176</v>
      </c>
      <c r="C125" s="73" t="s">
        <v>176</v>
      </c>
      <c r="D125" s="73" t="s">
        <v>48</v>
      </c>
      <c r="E125" s="73" t="s">
        <v>178</v>
      </c>
      <c r="F125" s="73" t="s">
        <v>210</v>
      </c>
      <c r="G125" s="73" t="s">
        <v>227</v>
      </c>
      <c r="H125" s="73"/>
      <c r="I125" s="74">
        <v>0</v>
      </c>
      <c r="J125" s="74">
        <v>0</v>
      </c>
      <c r="K125" s="74">
        <v>0</v>
      </c>
      <c r="L125" s="74">
        <v>0</v>
      </c>
      <c r="M125" s="74">
        <v>11642.7</v>
      </c>
      <c r="N125" s="74">
        <v>12682.8</v>
      </c>
      <c r="O125" s="74">
        <v>12126.05</v>
      </c>
      <c r="P125" s="74">
        <v>12666.51</v>
      </c>
      <c r="Q125" s="74">
        <v>16316.642485255885</v>
      </c>
      <c r="R125" s="74">
        <v>15191.700360361931</v>
      </c>
      <c r="S125" s="74">
        <v>14348.289188541106</v>
      </c>
      <c r="T125" s="74">
        <v>13716.026261067316</v>
      </c>
      <c r="U125" s="74">
        <v>0</v>
      </c>
      <c r="V125" s="74">
        <v>0</v>
      </c>
      <c r="W125" s="74">
        <v>0</v>
      </c>
      <c r="X125" s="74">
        <v>0</v>
      </c>
      <c r="Y125" s="74">
        <v>0</v>
      </c>
      <c r="Z125" s="74">
        <v>0</v>
      </c>
      <c r="AA125" s="74">
        <v>0</v>
      </c>
      <c r="AB125" s="74">
        <v>0</v>
      </c>
      <c r="AC125" s="74">
        <v>0</v>
      </c>
      <c r="AD125" s="74">
        <v>0</v>
      </c>
      <c r="AE125" s="74">
        <v>0</v>
      </c>
      <c r="AF125" s="74">
        <v>0</v>
      </c>
      <c r="AG125" s="74">
        <v>0</v>
      </c>
      <c r="AH125" s="74">
        <v>0</v>
      </c>
      <c r="AI125" s="74">
        <v>0</v>
      </c>
      <c r="AJ125" s="74">
        <v>0</v>
      </c>
      <c r="AK125" s="74"/>
      <c r="AL125" s="74">
        <v>0</v>
      </c>
      <c r="AM125" s="74">
        <v>0</v>
      </c>
      <c r="AN125" s="74">
        <v>0</v>
      </c>
      <c r="AO125" s="74">
        <v>0</v>
      </c>
      <c r="AP125" s="74">
        <v>0</v>
      </c>
      <c r="AQ125" s="74">
        <v>0</v>
      </c>
      <c r="AR125" s="74">
        <v>0</v>
      </c>
      <c r="AS125" s="74">
        <v>0</v>
      </c>
      <c r="AT125" s="74">
        <v>0</v>
      </c>
      <c r="AU125" s="74">
        <v>0</v>
      </c>
      <c r="AV125" s="74">
        <v>0</v>
      </c>
      <c r="AW125" s="74">
        <v>0</v>
      </c>
      <c r="AX125" s="74">
        <v>0</v>
      </c>
      <c r="AY125" s="74">
        <v>0</v>
      </c>
      <c r="AZ125" s="74">
        <v>0</v>
      </c>
      <c r="BA125" s="74">
        <v>0</v>
      </c>
      <c r="BB125" s="74">
        <v>0</v>
      </c>
      <c r="BC125" s="74">
        <v>0</v>
      </c>
      <c r="BD125" s="74">
        <v>0</v>
      </c>
      <c r="BE125" s="74">
        <v>0</v>
      </c>
      <c r="BF125" s="74">
        <v>0</v>
      </c>
      <c r="BG125" s="74">
        <v>0</v>
      </c>
      <c r="BH125" s="74">
        <v>0</v>
      </c>
      <c r="BI125" s="74">
        <v>0</v>
      </c>
      <c r="BJ125" s="74">
        <v>0</v>
      </c>
      <c r="BK125" s="74">
        <v>0</v>
      </c>
      <c r="BL125" s="74">
        <v>0</v>
      </c>
      <c r="BM125" s="74">
        <v>0</v>
      </c>
      <c r="BN125" s="74">
        <v>0</v>
      </c>
      <c r="BO125" s="74">
        <v>0</v>
      </c>
      <c r="BP125" s="74">
        <v>0</v>
      </c>
      <c r="BQ125" s="74">
        <v>0</v>
      </c>
      <c r="BR125" s="74">
        <v>0</v>
      </c>
      <c r="BS125" s="74">
        <v>0</v>
      </c>
      <c r="BT125" s="74">
        <v>0</v>
      </c>
      <c r="BU125" s="74">
        <v>0</v>
      </c>
      <c r="BV125" s="74">
        <v>0</v>
      </c>
      <c r="BW125" s="74">
        <v>0</v>
      </c>
      <c r="BX125" s="74">
        <v>0</v>
      </c>
      <c r="BY125" s="74">
        <v>0</v>
      </c>
      <c r="BZ125" s="74">
        <v>0</v>
      </c>
      <c r="CA125" s="74">
        <v>0</v>
      </c>
      <c r="CB125" s="74">
        <v>0</v>
      </c>
      <c r="CC125" s="74">
        <v>0</v>
      </c>
      <c r="CD125" s="74">
        <v>0</v>
      </c>
      <c r="CE125" s="74">
        <v>0</v>
      </c>
      <c r="CF125" s="74">
        <v>0</v>
      </c>
      <c r="CG125" s="74">
        <v>0</v>
      </c>
      <c r="CH125" s="74">
        <v>0</v>
      </c>
      <c r="CI125" s="74">
        <v>0</v>
      </c>
      <c r="CJ125" s="74">
        <v>0</v>
      </c>
      <c r="CK125" s="74">
        <v>0</v>
      </c>
      <c r="CL125" s="74">
        <v>0</v>
      </c>
      <c r="CM125" s="74">
        <v>0</v>
      </c>
      <c r="CN125" s="74">
        <v>0</v>
      </c>
      <c r="CO125" s="74">
        <v>0</v>
      </c>
      <c r="CP125" s="74">
        <v>0</v>
      </c>
      <c r="CQ125" s="74">
        <v>0</v>
      </c>
      <c r="CR125" s="74">
        <v>0</v>
      </c>
      <c r="CS125" s="74">
        <v>0</v>
      </c>
      <c r="CT125" s="74">
        <v>0</v>
      </c>
      <c r="CU125" s="74">
        <v>0</v>
      </c>
      <c r="CV125" s="74">
        <v>0</v>
      </c>
      <c r="CW125" s="74">
        <v>0</v>
      </c>
      <c r="CX125" s="74">
        <v>0</v>
      </c>
      <c r="CY125" s="74">
        <v>0</v>
      </c>
      <c r="CZ125" s="74">
        <v>0</v>
      </c>
      <c r="DA125" s="74">
        <v>0</v>
      </c>
      <c r="DB125" s="74">
        <v>0</v>
      </c>
      <c r="DC125" s="74">
        <v>0</v>
      </c>
      <c r="DD125" s="74">
        <v>0</v>
      </c>
      <c r="DE125" s="74">
        <v>0</v>
      </c>
      <c r="DF125" s="74">
        <v>0</v>
      </c>
      <c r="DG125" s="74">
        <v>0</v>
      </c>
      <c r="DH125" s="74">
        <v>0</v>
      </c>
      <c r="DI125" s="74">
        <v>0</v>
      </c>
      <c r="DJ125" s="74">
        <v>0</v>
      </c>
      <c r="DK125" s="74">
        <v>0</v>
      </c>
      <c r="DL125" s="74">
        <v>0</v>
      </c>
      <c r="DM125" s="74">
        <v>0</v>
      </c>
      <c r="DN125" s="74">
        <v>0</v>
      </c>
      <c r="DO125" s="74">
        <v>0</v>
      </c>
      <c r="DP125" s="74">
        <v>0</v>
      </c>
      <c r="DQ125" s="74">
        <v>0</v>
      </c>
      <c r="DR125" s="74">
        <v>0</v>
      </c>
      <c r="DS125" s="74">
        <v>0</v>
      </c>
      <c r="DT125" s="74">
        <v>0</v>
      </c>
      <c r="DU125" s="74">
        <v>0</v>
      </c>
      <c r="DV125" s="74">
        <v>0</v>
      </c>
      <c r="DW125" s="74">
        <v>0</v>
      </c>
      <c r="DX125" s="74">
        <v>0</v>
      </c>
      <c r="DY125" s="74">
        <v>0</v>
      </c>
      <c r="DZ125" s="74">
        <v>0</v>
      </c>
      <c r="EA125" s="74">
        <v>0</v>
      </c>
      <c r="EB125" s="74">
        <v>0</v>
      </c>
      <c r="EC125" s="74">
        <v>0</v>
      </c>
      <c r="ED125" s="74"/>
      <c r="EE125" s="80">
        <v>46009</v>
      </c>
      <c r="EF125" s="81">
        <v>46009.5211724537</v>
      </c>
      <c r="EG125" s="66" t="s">
        <v>69</v>
      </c>
      <c r="EH125" s="66" t="s">
        <v>209</v>
      </c>
      <c r="EI125" s="66" t="s">
        <v>6</v>
      </c>
      <c r="EJ125" s="66">
        <v>15</v>
      </c>
      <c r="EK125" s="66">
        <v>2027</v>
      </c>
      <c r="EL125" s="66" t="s">
        <v>24</v>
      </c>
      <c r="EM125" s="82">
        <v>338.17657095145614</v>
      </c>
      <c r="EN125" s="82">
        <v>337.5739809825738</v>
      </c>
      <c r="EO125" s="77">
        <v>227.1146</v>
      </c>
      <c r="EP125" s="84">
        <v>0.13999758052366426</v>
      </c>
      <c r="EQ125" s="84">
        <v>0.14268534690246426</v>
      </c>
      <c r="ER125" s="84">
        <v>4.8599999999999997E-2</v>
      </c>
      <c r="ES125" s="85">
        <v>0.97143267823005075</v>
      </c>
      <c r="ET125" s="86">
        <v>1.3804000000000001</v>
      </c>
      <c r="EU125" s="85">
        <v>0.11535261294006394</v>
      </c>
      <c r="EV125" s="85">
        <v>4.3499999999999997E-2</v>
      </c>
      <c r="EW125" s="76">
        <v>1</v>
      </c>
      <c r="EX125" s="76" t="s">
        <v>32</v>
      </c>
      <c r="EY125" s="74" t="s">
        <v>243</v>
      </c>
      <c r="EZ125" s="74"/>
      <c r="FA125" s="74"/>
      <c r="FB125" s="74"/>
      <c r="FC125" s="74"/>
      <c r="FD125" s="68"/>
      <c r="FH125" s="73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68"/>
    </row>
    <row r="126" spans="1:183" s="2" customFormat="1" ht="15" x14ac:dyDescent="0.3">
      <c r="A126" s="73" t="s">
        <v>201</v>
      </c>
      <c r="B126" s="73" t="s">
        <v>206</v>
      </c>
      <c r="C126" s="73" t="s">
        <v>206</v>
      </c>
      <c r="D126" s="73" t="s">
        <v>48</v>
      </c>
      <c r="E126" s="73" t="s">
        <v>178</v>
      </c>
      <c r="F126" s="73" t="s">
        <v>210</v>
      </c>
      <c r="G126" s="73" t="s">
        <v>227</v>
      </c>
      <c r="H126" s="73"/>
      <c r="I126" s="74">
        <v>0</v>
      </c>
      <c r="J126" s="74">
        <v>0</v>
      </c>
      <c r="K126" s="74">
        <v>0</v>
      </c>
      <c r="L126" s="74">
        <v>0</v>
      </c>
      <c r="M126" s="74">
        <v>54460.7</v>
      </c>
      <c r="N126" s="74">
        <v>52682.149999999994</v>
      </c>
      <c r="O126" s="74">
        <v>59208.25</v>
      </c>
      <c r="P126" s="74">
        <v>58895.199999999997</v>
      </c>
      <c r="Q126" s="74">
        <v>57450.298745706634</v>
      </c>
      <c r="R126" s="74">
        <v>45077.050030800645</v>
      </c>
      <c r="S126" s="74">
        <v>35836.900014051571</v>
      </c>
      <c r="T126" s="74">
        <v>28947.369751308779</v>
      </c>
      <c r="U126" s="74">
        <v>0</v>
      </c>
      <c r="V126" s="74">
        <v>0</v>
      </c>
      <c r="W126" s="74">
        <v>0</v>
      </c>
      <c r="X126" s="74">
        <v>0</v>
      </c>
      <c r="Y126" s="74">
        <v>0</v>
      </c>
      <c r="Z126" s="74">
        <v>0</v>
      </c>
      <c r="AA126" s="74">
        <v>0</v>
      </c>
      <c r="AB126" s="74">
        <v>0</v>
      </c>
      <c r="AC126" s="74">
        <v>0</v>
      </c>
      <c r="AD126" s="74">
        <v>0</v>
      </c>
      <c r="AE126" s="74">
        <v>0</v>
      </c>
      <c r="AF126" s="74">
        <v>0</v>
      </c>
      <c r="AG126" s="74">
        <v>0</v>
      </c>
      <c r="AH126" s="74">
        <v>0</v>
      </c>
      <c r="AI126" s="74">
        <v>0</v>
      </c>
      <c r="AJ126" s="74">
        <v>0</v>
      </c>
      <c r="AK126" s="74"/>
      <c r="AL126" s="74">
        <v>0</v>
      </c>
      <c r="AM126" s="74">
        <v>0</v>
      </c>
      <c r="AN126" s="74">
        <v>0</v>
      </c>
      <c r="AO126" s="74">
        <v>0</v>
      </c>
      <c r="AP126" s="74">
        <v>0</v>
      </c>
      <c r="AQ126" s="74">
        <v>0</v>
      </c>
      <c r="AR126" s="74">
        <v>0</v>
      </c>
      <c r="AS126" s="74">
        <v>0</v>
      </c>
      <c r="AT126" s="74">
        <v>0</v>
      </c>
      <c r="AU126" s="74">
        <v>0</v>
      </c>
      <c r="AV126" s="74">
        <v>0</v>
      </c>
      <c r="AW126" s="74">
        <v>0</v>
      </c>
      <c r="AX126" s="74">
        <v>0</v>
      </c>
      <c r="AY126" s="74">
        <v>0</v>
      </c>
      <c r="AZ126" s="74">
        <v>0</v>
      </c>
      <c r="BA126" s="74">
        <v>0</v>
      </c>
      <c r="BB126" s="74">
        <v>0</v>
      </c>
      <c r="BC126" s="74">
        <v>0</v>
      </c>
      <c r="BD126" s="74">
        <v>0</v>
      </c>
      <c r="BE126" s="74">
        <v>0</v>
      </c>
      <c r="BF126" s="74">
        <v>0</v>
      </c>
      <c r="BG126" s="74">
        <v>0</v>
      </c>
      <c r="BH126" s="74">
        <v>0</v>
      </c>
      <c r="BI126" s="74">
        <v>0</v>
      </c>
      <c r="BJ126" s="74">
        <v>0</v>
      </c>
      <c r="BK126" s="74">
        <v>0</v>
      </c>
      <c r="BL126" s="74">
        <v>0</v>
      </c>
      <c r="BM126" s="74">
        <v>0</v>
      </c>
      <c r="BN126" s="74">
        <v>0</v>
      </c>
      <c r="BO126" s="74">
        <v>0</v>
      </c>
      <c r="BP126" s="74">
        <v>0</v>
      </c>
      <c r="BQ126" s="74">
        <v>0</v>
      </c>
      <c r="BR126" s="74">
        <v>0</v>
      </c>
      <c r="BS126" s="74">
        <v>0</v>
      </c>
      <c r="BT126" s="74">
        <v>0</v>
      </c>
      <c r="BU126" s="74">
        <v>0</v>
      </c>
      <c r="BV126" s="74">
        <v>0</v>
      </c>
      <c r="BW126" s="74">
        <v>0</v>
      </c>
      <c r="BX126" s="74">
        <v>0</v>
      </c>
      <c r="BY126" s="74">
        <v>0</v>
      </c>
      <c r="BZ126" s="74">
        <v>0</v>
      </c>
      <c r="CA126" s="74">
        <v>0</v>
      </c>
      <c r="CB126" s="74">
        <v>0</v>
      </c>
      <c r="CC126" s="74">
        <v>0</v>
      </c>
      <c r="CD126" s="74">
        <v>0</v>
      </c>
      <c r="CE126" s="74">
        <v>0</v>
      </c>
      <c r="CF126" s="74">
        <v>0</v>
      </c>
      <c r="CG126" s="74">
        <v>0</v>
      </c>
      <c r="CH126" s="74">
        <v>0</v>
      </c>
      <c r="CI126" s="74">
        <v>0</v>
      </c>
      <c r="CJ126" s="74">
        <v>0</v>
      </c>
      <c r="CK126" s="74">
        <v>0</v>
      </c>
      <c r="CL126" s="74">
        <v>0</v>
      </c>
      <c r="CM126" s="74">
        <v>0</v>
      </c>
      <c r="CN126" s="74">
        <v>0</v>
      </c>
      <c r="CO126" s="74">
        <v>0</v>
      </c>
      <c r="CP126" s="74">
        <v>0</v>
      </c>
      <c r="CQ126" s="74">
        <v>0</v>
      </c>
      <c r="CR126" s="74">
        <v>0</v>
      </c>
      <c r="CS126" s="74">
        <v>0</v>
      </c>
      <c r="CT126" s="74">
        <v>0</v>
      </c>
      <c r="CU126" s="74">
        <v>0</v>
      </c>
      <c r="CV126" s="74">
        <v>0</v>
      </c>
      <c r="CW126" s="74">
        <v>0</v>
      </c>
      <c r="CX126" s="74">
        <v>0</v>
      </c>
      <c r="CY126" s="74">
        <v>0</v>
      </c>
      <c r="CZ126" s="74">
        <v>0</v>
      </c>
      <c r="DA126" s="74">
        <v>0</v>
      </c>
      <c r="DB126" s="74">
        <v>0</v>
      </c>
      <c r="DC126" s="74">
        <v>0</v>
      </c>
      <c r="DD126" s="74">
        <v>0</v>
      </c>
      <c r="DE126" s="74">
        <v>0</v>
      </c>
      <c r="DF126" s="74">
        <v>0</v>
      </c>
      <c r="DG126" s="74">
        <v>0</v>
      </c>
      <c r="DH126" s="74">
        <v>0</v>
      </c>
      <c r="DI126" s="74">
        <v>0</v>
      </c>
      <c r="DJ126" s="74">
        <v>0</v>
      </c>
      <c r="DK126" s="74">
        <v>0</v>
      </c>
      <c r="DL126" s="74">
        <v>0</v>
      </c>
      <c r="DM126" s="74">
        <v>0</v>
      </c>
      <c r="DN126" s="74">
        <v>0</v>
      </c>
      <c r="DO126" s="74">
        <v>0</v>
      </c>
      <c r="DP126" s="74">
        <v>0</v>
      </c>
      <c r="DQ126" s="74">
        <v>0</v>
      </c>
      <c r="DR126" s="74">
        <v>0</v>
      </c>
      <c r="DS126" s="74">
        <v>0</v>
      </c>
      <c r="DT126" s="74">
        <v>0</v>
      </c>
      <c r="DU126" s="74">
        <v>0</v>
      </c>
      <c r="DV126" s="74">
        <v>0</v>
      </c>
      <c r="DW126" s="74">
        <v>0</v>
      </c>
      <c r="DX126" s="74">
        <v>0</v>
      </c>
      <c r="DY126" s="74">
        <v>0</v>
      </c>
      <c r="DZ126" s="74">
        <v>0</v>
      </c>
      <c r="EA126" s="74">
        <v>0</v>
      </c>
      <c r="EB126" s="74">
        <v>0</v>
      </c>
      <c r="EC126" s="74">
        <v>0</v>
      </c>
      <c r="ED126" s="74"/>
      <c r="EE126" s="80">
        <v>46009</v>
      </c>
      <c r="EF126" s="81">
        <v>46009.5211724537</v>
      </c>
      <c r="EG126" s="66" t="s">
        <v>69</v>
      </c>
      <c r="EH126" s="66" t="s">
        <v>209</v>
      </c>
      <c r="EI126" s="66" t="s">
        <v>6</v>
      </c>
      <c r="EJ126" s="66">
        <v>15</v>
      </c>
      <c r="EK126" s="66">
        <v>2027</v>
      </c>
      <c r="EL126" s="66" t="s">
        <v>24</v>
      </c>
      <c r="EM126" s="82">
        <v>338.17657095145614</v>
      </c>
      <c r="EN126" s="82">
        <v>337.5739809825738</v>
      </c>
      <c r="EO126" s="77">
        <v>227.1146</v>
      </c>
      <c r="EP126" s="84">
        <v>0.13999758052366426</v>
      </c>
      <c r="EQ126" s="84">
        <v>0.14268534690246426</v>
      </c>
      <c r="ER126" s="84">
        <v>4.8599999999999997E-2</v>
      </c>
      <c r="ES126" s="85">
        <v>0.97143267823005075</v>
      </c>
      <c r="ET126" s="86">
        <v>1.3804000000000001</v>
      </c>
      <c r="EU126" s="85">
        <v>0.11535261294006394</v>
      </c>
      <c r="EV126" s="85">
        <v>4.3499999999999997E-2</v>
      </c>
      <c r="EW126" s="76">
        <v>1</v>
      </c>
      <c r="EX126" s="76" t="s">
        <v>32</v>
      </c>
      <c r="EY126" s="74" t="s">
        <v>243</v>
      </c>
      <c r="EZ126" s="74"/>
      <c r="FA126" s="74"/>
      <c r="FB126" s="74"/>
      <c r="FC126" s="74"/>
      <c r="FD126" s="68"/>
      <c r="FH126" s="73"/>
      <c r="FI126" s="74"/>
      <c r="FJ126" s="74"/>
      <c r="FK126" s="74"/>
      <c r="FL126" s="74"/>
      <c r="FM126" s="74"/>
      <c r="FN126" s="74"/>
      <c r="FO126" s="74"/>
      <c r="FP126" s="74"/>
      <c r="FQ126" s="74"/>
      <c r="FR126" s="74"/>
      <c r="FS126" s="74"/>
      <c r="FT126" s="74"/>
      <c r="FU126" s="74"/>
      <c r="FV126" s="74"/>
      <c r="FW126" s="74"/>
      <c r="FX126" s="74"/>
      <c r="FY126" s="74"/>
      <c r="FZ126" s="74"/>
      <c r="GA126" s="68"/>
    </row>
    <row r="127" spans="1:183" s="2" customFormat="1" x14ac:dyDescent="0.3">
      <c r="A127" s="73" t="s">
        <v>26</v>
      </c>
      <c r="B127" s="73"/>
      <c r="C127" s="1"/>
      <c r="D127" s="1"/>
      <c r="E127" s="1"/>
      <c r="F127" s="1"/>
      <c r="G127" s="1"/>
      <c r="H127" s="1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/>
      <c r="BI127" s="74"/>
      <c r="BJ127" s="74"/>
      <c r="BK127" s="74"/>
      <c r="BL127" s="74"/>
      <c r="BM127" s="74"/>
      <c r="BN127" s="74"/>
      <c r="BO127" s="74"/>
      <c r="BP127" s="74"/>
      <c r="BQ127" s="74"/>
      <c r="BR127" s="74"/>
      <c r="BS127" s="74"/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/>
      <c r="CK127" s="74"/>
      <c r="CL127" s="74"/>
      <c r="CM127" s="74"/>
      <c r="CN127" s="74"/>
      <c r="CO127" s="74"/>
      <c r="CP127" s="74"/>
      <c r="CQ127" s="74"/>
      <c r="CR127" s="74"/>
      <c r="CS127" s="74"/>
      <c r="CT127" s="74"/>
      <c r="CU127" s="74"/>
      <c r="CV127" s="74"/>
      <c r="CW127" s="74"/>
      <c r="CX127" s="74"/>
      <c r="CY127" s="74"/>
      <c r="CZ127" s="74"/>
      <c r="DA127" s="74"/>
      <c r="DB127" s="74"/>
      <c r="DC127" s="74"/>
      <c r="DD127" s="74"/>
      <c r="DE127" s="74"/>
      <c r="DF127" s="74"/>
      <c r="DG127" s="74"/>
      <c r="DH127" s="74"/>
      <c r="DI127" s="74"/>
      <c r="DJ127" s="74"/>
      <c r="DK127" s="74"/>
      <c r="DL127" s="74"/>
      <c r="DM127" s="74"/>
      <c r="DN127" s="74"/>
      <c r="DO127" s="74"/>
      <c r="DP127" s="74"/>
      <c r="DQ127" s="74"/>
      <c r="DR127" s="74"/>
      <c r="DS127" s="74"/>
      <c r="DT127" s="74"/>
      <c r="DU127" s="74"/>
      <c r="DV127" s="74"/>
      <c r="DW127" s="74"/>
      <c r="DX127" s="74"/>
      <c r="DY127" s="74"/>
      <c r="DZ127" s="74"/>
      <c r="EA127" s="74"/>
      <c r="EB127" s="74"/>
      <c r="EC127" s="74"/>
      <c r="ED127" s="74"/>
      <c r="EE127" s="80"/>
      <c r="EF127" s="80"/>
      <c r="EG127" s="66"/>
      <c r="EH127" s="66"/>
      <c r="EI127" s="66"/>
      <c r="EJ127" s="66"/>
      <c r="EK127" s="66"/>
      <c r="EL127" s="66"/>
      <c r="EM127" s="82"/>
      <c r="EN127" s="82"/>
      <c r="EO127" s="77"/>
      <c r="EP127" s="77"/>
      <c r="EQ127" s="77"/>
      <c r="ER127" s="77"/>
      <c r="ES127" s="77"/>
      <c r="ET127" s="77"/>
      <c r="EU127" s="77"/>
      <c r="EV127" s="77"/>
      <c r="EW127" s="77"/>
      <c r="EX127" s="77"/>
      <c r="EY127" s="74"/>
      <c r="EZ127" s="74"/>
      <c r="FA127" s="74"/>
      <c r="FB127" s="74"/>
      <c r="FC127" s="74"/>
      <c r="FD127" s="68"/>
      <c r="FH127" s="73"/>
      <c r="FI127" s="74"/>
      <c r="FJ127" s="74"/>
      <c r="FK127" s="74"/>
      <c r="FL127" s="74"/>
      <c r="FM127" s="74"/>
      <c r="FN127" s="74"/>
      <c r="FO127" s="74"/>
      <c r="FP127" s="74"/>
      <c r="FQ127" s="74"/>
      <c r="FR127" s="74"/>
      <c r="FS127" s="74"/>
      <c r="FT127" s="74"/>
      <c r="FU127" s="74"/>
      <c r="FV127" s="74"/>
      <c r="FW127" s="74"/>
      <c r="FX127" s="74"/>
      <c r="FY127" s="74"/>
      <c r="FZ127" s="74"/>
      <c r="GA127" s="68"/>
    </row>
    <row r="128" spans="1:183" s="2" customFormat="1" x14ac:dyDescent="0.3">
      <c r="A128" s="73"/>
      <c r="B128" s="73"/>
      <c r="C128" s="1"/>
      <c r="D128" s="1"/>
      <c r="E128" s="1"/>
      <c r="F128" s="1"/>
      <c r="G128" s="1"/>
      <c r="H128" s="1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80"/>
      <c r="EF128" s="80"/>
      <c r="EG128" s="66"/>
      <c r="EH128" s="66"/>
      <c r="EI128" s="66"/>
      <c r="EJ128" s="66"/>
      <c r="EK128" s="66"/>
      <c r="EL128" s="66"/>
      <c r="EM128" s="82"/>
      <c r="EN128" s="82"/>
      <c r="EO128" s="77"/>
      <c r="EP128" s="77"/>
      <c r="EQ128" s="77"/>
      <c r="ER128" s="77"/>
      <c r="ES128" s="77"/>
      <c r="ET128" s="77"/>
      <c r="EU128" s="77"/>
      <c r="EV128" s="77"/>
      <c r="EW128" s="77"/>
      <c r="EX128" s="77"/>
      <c r="EY128" s="74"/>
      <c r="EZ128" s="74"/>
      <c r="FA128" s="74"/>
      <c r="FB128" s="74"/>
      <c r="FC128" s="74"/>
      <c r="FD128" s="68"/>
      <c r="FH128" s="73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68"/>
    </row>
    <row r="129" spans="1:183" s="2" customFormat="1" x14ac:dyDescent="0.3">
      <c r="A129" s="73"/>
      <c r="B129" s="73"/>
      <c r="C129" s="1"/>
      <c r="D129" s="1"/>
      <c r="E129" s="1"/>
      <c r="F129" s="1"/>
      <c r="G129" s="1"/>
      <c r="H129" s="1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80"/>
      <c r="EF129" s="80"/>
      <c r="EG129" s="66"/>
      <c r="EH129" s="66"/>
      <c r="EI129" s="66"/>
      <c r="EJ129" s="66"/>
      <c r="EK129" s="66"/>
      <c r="EL129" s="66"/>
      <c r="EM129" s="82"/>
      <c r="EN129" s="82"/>
      <c r="EO129" s="77"/>
      <c r="EP129" s="77"/>
      <c r="EQ129" s="77"/>
      <c r="ER129" s="77"/>
      <c r="ES129" s="77"/>
      <c r="ET129" s="77"/>
      <c r="EU129" s="77"/>
      <c r="EV129" s="77"/>
      <c r="EW129" s="77"/>
      <c r="EX129" s="77"/>
      <c r="EY129" s="74"/>
      <c r="EZ129" s="74"/>
      <c r="FA129" s="74"/>
      <c r="FB129" s="74"/>
      <c r="FC129" s="74"/>
      <c r="FD129" s="68"/>
      <c r="FH129" s="73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68"/>
    </row>
    <row r="130" spans="1:183" s="2" customFormat="1" x14ac:dyDescent="0.3">
      <c r="A130" s="73"/>
      <c r="B130" s="73"/>
      <c r="C130" s="1"/>
      <c r="D130" s="1"/>
      <c r="E130" s="1"/>
      <c r="F130" s="1"/>
      <c r="G130" s="1"/>
      <c r="H130" s="1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4"/>
      <c r="CA130" s="74"/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4"/>
      <c r="CV130" s="74"/>
      <c r="CW130" s="74"/>
      <c r="CX130" s="74"/>
      <c r="CY130" s="74"/>
      <c r="CZ130" s="74"/>
      <c r="DA130" s="74"/>
      <c r="DB130" s="74"/>
      <c r="DC130" s="74"/>
      <c r="DD130" s="74"/>
      <c r="DE130" s="74"/>
      <c r="DF130" s="74"/>
      <c r="DG130" s="74"/>
      <c r="DH130" s="74"/>
      <c r="DI130" s="74"/>
      <c r="DJ130" s="74"/>
      <c r="DK130" s="74"/>
      <c r="DL130" s="74"/>
      <c r="DM130" s="74"/>
      <c r="DN130" s="74"/>
      <c r="DO130" s="74"/>
      <c r="DP130" s="74"/>
      <c r="DQ130" s="74"/>
      <c r="DR130" s="74"/>
      <c r="DS130" s="74"/>
      <c r="DT130" s="74"/>
      <c r="DU130" s="74"/>
      <c r="DV130" s="74"/>
      <c r="DW130" s="74"/>
      <c r="DX130" s="74"/>
      <c r="DY130" s="74"/>
      <c r="DZ130" s="74"/>
      <c r="EA130" s="74"/>
      <c r="EB130" s="74"/>
      <c r="EC130" s="74"/>
      <c r="ED130" s="74"/>
      <c r="EE130" s="80"/>
      <c r="EF130" s="80"/>
      <c r="EG130" s="66"/>
      <c r="EH130" s="66"/>
      <c r="EI130" s="66"/>
      <c r="EJ130" s="66"/>
      <c r="EK130" s="66"/>
      <c r="EL130" s="66"/>
      <c r="EM130" s="82"/>
      <c r="EN130" s="82"/>
      <c r="EO130" s="77"/>
      <c r="EP130" s="77"/>
      <c r="EQ130" s="77"/>
      <c r="ER130" s="77"/>
      <c r="ES130" s="77"/>
      <c r="ET130" s="77"/>
      <c r="EU130" s="77"/>
      <c r="EV130" s="77"/>
      <c r="EW130" s="77"/>
      <c r="EX130" s="77"/>
      <c r="EY130" s="74"/>
      <c r="EZ130" s="74"/>
      <c r="FA130" s="74"/>
      <c r="FB130" s="74"/>
      <c r="FC130" s="74"/>
      <c r="FD130" s="68"/>
      <c r="FH130" s="73"/>
      <c r="FI130" s="74"/>
      <c r="FJ130" s="74"/>
      <c r="FK130" s="74"/>
      <c r="FL130" s="74"/>
      <c r="FM130" s="74"/>
      <c r="FN130" s="74"/>
      <c r="FO130" s="74"/>
      <c r="FP130" s="74"/>
      <c r="FQ130" s="74"/>
      <c r="FR130" s="74"/>
      <c r="FS130" s="74"/>
      <c r="FT130" s="74"/>
      <c r="FU130" s="74"/>
      <c r="FV130" s="74"/>
      <c r="FW130" s="74"/>
      <c r="FX130" s="74"/>
      <c r="FY130" s="74"/>
      <c r="FZ130" s="74"/>
      <c r="GA130" s="68"/>
    </row>
    <row r="131" spans="1:183" s="2" customFormat="1" x14ac:dyDescent="0.3">
      <c r="A131" s="73"/>
      <c r="B131" s="73"/>
      <c r="C131" s="1"/>
      <c r="D131" s="1"/>
      <c r="E131" s="1"/>
      <c r="F131" s="1"/>
      <c r="G131" s="1"/>
      <c r="H131" s="1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4"/>
      <c r="CV131" s="74"/>
      <c r="CW131" s="74"/>
      <c r="CX131" s="74"/>
      <c r="CY131" s="74"/>
      <c r="CZ131" s="74"/>
      <c r="DA131" s="74"/>
      <c r="DB131" s="74"/>
      <c r="DC131" s="74"/>
      <c r="DD131" s="74"/>
      <c r="DE131" s="74"/>
      <c r="DF131" s="74"/>
      <c r="DG131" s="74"/>
      <c r="DH131" s="74"/>
      <c r="DI131" s="74"/>
      <c r="DJ131" s="74"/>
      <c r="DK131" s="74"/>
      <c r="DL131" s="74"/>
      <c r="DM131" s="74"/>
      <c r="DN131" s="74"/>
      <c r="DO131" s="74"/>
      <c r="DP131" s="74"/>
      <c r="DQ131" s="74"/>
      <c r="DR131" s="74"/>
      <c r="DS131" s="74"/>
      <c r="DT131" s="74"/>
      <c r="DU131" s="74"/>
      <c r="DV131" s="74"/>
      <c r="DW131" s="74"/>
      <c r="DX131" s="74"/>
      <c r="DY131" s="74"/>
      <c r="DZ131" s="74"/>
      <c r="EA131" s="74"/>
      <c r="EB131" s="74"/>
      <c r="EC131" s="74"/>
      <c r="ED131" s="74"/>
      <c r="EE131" s="80"/>
      <c r="EF131" s="80"/>
      <c r="EG131" s="66"/>
      <c r="EH131" s="66"/>
      <c r="EI131" s="66"/>
      <c r="EJ131" s="66"/>
      <c r="EK131" s="66"/>
      <c r="EL131" s="66"/>
      <c r="EM131" s="82"/>
      <c r="EN131" s="82"/>
      <c r="EO131" s="77"/>
      <c r="EP131" s="77"/>
      <c r="EQ131" s="77"/>
      <c r="ER131" s="77"/>
      <c r="ES131" s="77"/>
      <c r="ET131" s="77"/>
      <c r="EU131" s="77"/>
      <c r="EV131" s="77"/>
      <c r="EW131" s="77"/>
      <c r="EX131" s="77"/>
      <c r="EY131" s="74"/>
      <c r="EZ131" s="74"/>
      <c r="FA131" s="74"/>
      <c r="FB131" s="74"/>
      <c r="FC131" s="74"/>
      <c r="FD131" s="68"/>
      <c r="FH131" s="73"/>
      <c r="FI131" s="74"/>
      <c r="FJ131" s="74"/>
      <c r="FK131" s="74"/>
      <c r="FL131" s="74"/>
      <c r="FM131" s="74"/>
      <c r="FN131" s="74"/>
      <c r="FO131" s="74"/>
      <c r="FP131" s="74"/>
      <c r="FQ131" s="74"/>
      <c r="FR131" s="74"/>
      <c r="FS131" s="74"/>
      <c r="FT131" s="74"/>
      <c r="FU131" s="74"/>
      <c r="FV131" s="74"/>
      <c r="FW131" s="74"/>
      <c r="FX131" s="74"/>
      <c r="FY131" s="74"/>
      <c r="FZ131" s="74"/>
      <c r="GA131" s="68"/>
    </row>
    <row r="132" spans="1:183" s="2" customFormat="1" x14ac:dyDescent="0.3">
      <c r="A132" s="73"/>
      <c r="B132" s="73"/>
      <c r="C132" s="1"/>
      <c r="D132" s="1"/>
      <c r="E132" s="1"/>
      <c r="F132" s="1"/>
      <c r="G132" s="1"/>
      <c r="H132" s="1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4"/>
      <c r="CV132" s="74"/>
      <c r="CW132" s="74"/>
      <c r="CX132" s="74"/>
      <c r="CY132" s="74"/>
      <c r="CZ132" s="74"/>
      <c r="DA132" s="74"/>
      <c r="DB132" s="74"/>
      <c r="DC132" s="74"/>
      <c r="DD132" s="74"/>
      <c r="DE132" s="74"/>
      <c r="DF132" s="74"/>
      <c r="DG132" s="74"/>
      <c r="DH132" s="74"/>
      <c r="DI132" s="74"/>
      <c r="DJ132" s="74"/>
      <c r="DK132" s="74"/>
      <c r="DL132" s="74"/>
      <c r="DM132" s="74"/>
      <c r="DN132" s="74"/>
      <c r="DO132" s="74"/>
      <c r="DP132" s="74"/>
      <c r="DQ132" s="74"/>
      <c r="DR132" s="74"/>
      <c r="DS132" s="74"/>
      <c r="DT132" s="74"/>
      <c r="DU132" s="74"/>
      <c r="DV132" s="74"/>
      <c r="DW132" s="74"/>
      <c r="DX132" s="74"/>
      <c r="DY132" s="74"/>
      <c r="DZ132" s="74"/>
      <c r="EA132" s="74"/>
      <c r="EB132" s="74"/>
      <c r="EC132" s="74"/>
      <c r="ED132" s="74"/>
      <c r="EE132" s="80"/>
      <c r="EF132" s="80"/>
      <c r="EG132" s="66"/>
      <c r="EH132" s="66"/>
      <c r="EI132" s="66"/>
      <c r="EJ132" s="66"/>
      <c r="EK132" s="66"/>
      <c r="EL132" s="66"/>
      <c r="EM132" s="82"/>
      <c r="EN132" s="82"/>
      <c r="EO132" s="77"/>
      <c r="EP132" s="77"/>
      <c r="EQ132" s="77"/>
      <c r="ER132" s="77"/>
      <c r="ES132" s="77"/>
      <c r="ET132" s="77"/>
      <c r="EU132" s="77"/>
      <c r="EV132" s="77"/>
      <c r="EW132" s="77"/>
      <c r="EX132" s="77"/>
      <c r="EY132" s="74"/>
      <c r="EZ132" s="74"/>
      <c r="FA132" s="74"/>
      <c r="FB132" s="74"/>
      <c r="FC132" s="74"/>
      <c r="FD132" s="68"/>
      <c r="FH132" s="73"/>
      <c r="FI132" s="74"/>
      <c r="FJ132" s="74"/>
      <c r="FK132" s="74"/>
      <c r="FL132" s="74"/>
      <c r="FM132" s="74"/>
      <c r="FN132" s="74"/>
      <c r="FO132" s="74"/>
      <c r="FP132" s="74"/>
      <c r="FQ132" s="74"/>
      <c r="FR132" s="74"/>
      <c r="FS132" s="74"/>
      <c r="FT132" s="74"/>
      <c r="FU132" s="74"/>
      <c r="FV132" s="74"/>
      <c r="FW132" s="74"/>
      <c r="FX132" s="74"/>
      <c r="FY132" s="74"/>
      <c r="FZ132" s="74"/>
      <c r="GA132" s="68"/>
    </row>
    <row r="133" spans="1:183" s="2" customFormat="1" x14ac:dyDescent="0.3">
      <c r="A133" s="73"/>
      <c r="B133" s="73"/>
      <c r="C133" s="1"/>
      <c r="D133" s="1"/>
      <c r="E133" s="1"/>
      <c r="F133" s="1"/>
      <c r="G133" s="1"/>
      <c r="H133" s="1"/>
      <c r="I133" s="75"/>
      <c r="J133" s="75"/>
      <c r="K133" s="75"/>
      <c r="L133" s="75"/>
      <c r="M133" s="75"/>
      <c r="N133" s="75"/>
      <c r="O133" s="75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4"/>
      <c r="CV133" s="74"/>
      <c r="CW133" s="74"/>
      <c r="CX133" s="74"/>
      <c r="CY133" s="74"/>
      <c r="CZ133" s="74"/>
      <c r="DA133" s="74"/>
      <c r="DB133" s="74"/>
      <c r="DC133" s="74"/>
      <c r="DD133" s="74"/>
      <c r="DE133" s="74"/>
      <c r="DF133" s="74"/>
      <c r="DG133" s="74"/>
      <c r="DH133" s="74"/>
      <c r="DI133" s="74"/>
      <c r="DJ133" s="74"/>
      <c r="DK133" s="74"/>
      <c r="DL133" s="74"/>
      <c r="DM133" s="74"/>
      <c r="DN133" s="74"/>
      <c r="DO133" s="74"/>
      <c r="DP133" s="74"/>
      <c r="DQ133" s="74"/>
      <c r="DR133" s="74"/>
      <c r="DS133" s="74"/>
      <c r="DT133" s="74"/>
      <c r="DU133" s="74"/>
      <c r="DV133" s="74"/>
      <c r="DW133" s="74"/>
      <c r="DX133" s="74"/>
      <c r="DY133" s="74"/>
      <c r="DZ133" s="74"/>
      <c r="EA133" s="74"/>
      <c r="EB133" s="74"/>
      <c r="EC133" s="74"/>
      <c r="ED133" s="74"/>
      <c r="EE133" s="80"/>
      <c r="EF133" s="80"/>
      <c r="EG133" s="66"/>
      <c r="EH133" s="66"/>
      <c r="EI133" s="66"/>
      <c r="EJ133" s="66"/>
      <c r="EK133" s="66"/>
      <c r="EL133" s="66"/>
      <c r="EM133" s="82"/>
      <c r="EN133" s="82"/>
      <c r="EO133" s="77"/>
      <c r="EP133" s="77"/>
      <c r="EQ133" s="77"/>
      <c r="ER133" s="77"/>
      <c r="ES133" s="77"/>
      <c r="ET133" s="77"/>
      <c r="EU133" s="77"/>
      <c r="EV133" s="77"/>
      <c r="EW133" s="77"/>
      <c r="EX133" s="77"/>
      <c r="EY133" s="74"/>
      <c r="EZ133" s="74"/>
      <c r="FA133" s="74"/>
      <c r="FB133" s="74"/>
      <c r="FC133" s="74"/>
      <c r="FD133" s="68"/>
      <c r="FH133" s="73"/>
      <c r="FI133" s="74"/>
      <c r="FJ133" s="74"/>
      <c r="FK133" s="74"/>
      <c r="FL133" s="74"/>
      <c r="FM133" s="74"/>
      <c r="FN133" s="74"/>
      <c r="FO133" s="74"/>
      <c r="FP133" s="74"/>
      <c r="FQ133" s="74"/>
      <c r="FR133" s="74"/>
      <c r="FS133" s="74"/>
      <c r="FT133" s="74"/>
      <c r="FU133" s="74"/>
      <c r="FV133" s="74"/>
      <c r="FW133" s="74"/>
      <c r="FX133" s="74"/>
      <c r="FY133" s="74"/>
      <c r="FZ133" s="74"/>
      <c r="GA133" s="68"/>
    </row>
    <row r="134" spans="1:183" s="2" customFormat="1" x14ac:dyDescent="0.3">
      <c r="A134" s="73"/>
      <c r="B134" s="73"/>
      <c r="C134" s="1"/>
      <c r="D134" s="1"/>
      <c r="E134" s="1"/>
      <c r="F134" s="1"/>
      <c r="G134" s="1"/>
      <c r="H134" s="1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80"/>
      <c r="EF134" s="80"/>
      <c r="EG134" s="66"/>
      <c r="EH134" s="66"/>
      <c r="EI134" s="66"/>
      <c r="EJ134" s="66"/>
      <c r="EK134" s="66"/>
      <c r="EL134" s="66"/>
      <c r="EM134" s="82"/>
      <c r="EN134" s="82"/>
      <c r="EO134" s="77"/>
      <c r="EP134" s="77"/>
      <c r="EQ134" s="77"/>
      <c r="ER134" s="77"/>
      <c r="ES134" s="77"/>
      <c r="ET134" s="77"/>
      <c r="EU134" s="77"/>
      <c r="EV134" s="77"/>
      <c r="EW134" s="77"/>
      <c r="EX134" s="77"/>
      <c r="EY134" s="74"/>
      <c r="EZ134" s="74"/>
      <c r="FA134" s="74"/>
      <c r="FB134" s="74"/>
      <c r="FC134" s="74"/>
      <c r="FD134" s="68"/>
      <c r="FH134" s="73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68"/>
    </row>
    <row r="135" spans="1:183" s="2" customFormat="1" x14ac:dyDescent="0.3">
      <c r="A135" s="73"/>
      <c r="B135" s="73"/>
      <c r="C135" s="1"/>
      <c r="D135" s="1"/>
      <c r="E135" s="1"/>
      <c r="F135" s="1"/>
      <c r="G135" s="1"/>
      <c r="H135" s="1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80"/>
      <c r="EF135" s="80"/>
      <c r="EG135" s="66"/>
      <c r="EH135" s="66"/>
      <c r="EI135" s="66"/>
      <c r="EJ135" s="66"/>
      <c r="EK135" s="66"/>
      <c r="EL135" s="66"/>
      <c r="EM135" s="82"/>
      <c r="EN135" s="82"/>
      <c r="EO135" s="77"/>
      <c r="EP135" s="77"/>
      <c r="EQ135" s="77"/>
      <c r="ER135" s="77"/>
      <c r="ES135" s="77"/>
      <c r="ET135" s="77"/>
      <c r="EU135" s="77"/>
      <c r="EV135" s="77"/>
      <c r="EW135" s="77"/>
      <c r="EX135" s="77"/>
      <c r="EY135" s="74"/>
      <c r="EZ135" s="74"/>
      <c r="FA135" s="74"/>
      <c r="FB135" s="74"/>
      <c r="FC135" s="74"/>
      <c r="FD135" s="68"/>
      <c r="FH135" s="73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68"/>
    </row>
    <row r="136" spans="1:183" s="2" customFormat="1" x14ac:dyDescent="0.3">
      <c r="A136" s="73"/>
      <c r="B136" s="73"/>
      <c r="C136" s="1"/>
      <c r="D136" s="1"/>
      <c r="E136" s="1"/>
      <c r="F136" s="1"/>
      <c r="G136" s="1"/>
      <c r="H136" s="1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4"/>
      <c r="CV136" s="74"/>
      <c r="CW136" s="74"/>
      <c r="CX136" s="74"/>
      <c r="CY136" s="74"/>
      <c r="CZ136" s="74"/>
      <c r="DA136" s="74"/>
      <c r="DB136" s="74"/>
      <c r="DC136" s="74"/>
      <c r="DD136" s="74"/>
      <c r="DE136" s="74"/>
      <c r="DF136" s="74"/>
      <c r="DG136" s="74"/>
      <c r="DH136" s="74"/>
      <c r="DI136" s="74"/>
      <c r="DJ136" s="74"/>
      <c r="DK136" s="74"/>
      <c r="DL136" s="74"/>
      <c r="DM136" s="74"/>
      <c r="DN136" s="74"/>
      <c r="DO136" s="74"/>
      <c r="DP136" s="74"/>
      <c r="DQ136" s="74"/>
      <c r="DR136" s="74"/>
      <c r="DS136" s="74"/>
      <c r="DT136" s="74"/>
      <c r="DU136" s="74"/>
      <c r="DV136" s="74"/>
      <c r="DW136" s="74"/>
      <c r="DX136" s="74"/>
      <c r="DY136" s="74"/>
      <c r="DZ136" s="74"/>
      <c r="EA136" s="74"/>
      <c r="EB136" s="74"/>
      <c r="EC136" s="74"/>
      <c r="ED136" s="74"/>
      <c r="EE136" s="80"/>
      <c r="EF136" s="80"/>
      <c r="EG136" s="66"/>
      <c r="EH136" s="66"/>
      <c r="EI136" s="66"/>
      <c r="EJ136" s="66"/>
      <c r="EK136" s="66"/>
      <c r="EL136" s="66"/>
      <c r="EM136" s="82"/>
      <c r="EN136" s="82"/>
      <c r="EO136" s="77"/>
      <c r="EP136" s="77"/>
      <c r="EQ136" s="77"/>
      <c r="ER136" s="77"/>
      <c r="ES136" s="77"/>
      <c r="ET136" s="77"/>
      <c r="EU136" s="77"/>
      <c r="EV136" s="77"/>
      <c r="EW136" s="77"/>
      <c r="EX136" s="77"/>
      <c r="EY136" s="74"/>
      <c r="EZ136" s="74"/>
      <c r="FA136" s="74"/>
      <c r="FB136" s="74"/>
      <c r="FC136" s="74"/>
      <c r="FD136" s="68"/>
      <c r="FH136" s="73"/>
      <c r="FI136" s="74"/>
      <c r="FJ136" s="74"/>
      <c r="FK136" s="74"/>
      <c r="FL136" s="74"/>
      <c r="FM136" s="74"/>
      <c r="FN136" s="74"/>
      <c r="FO136" s="74"/>
      <c r="FP136" s="74"/>
      <c r="FQ136" s="74"/>
      <c r="FR136" s="74"/>
      <c r="FS136" s="74"/>
      <c r="FT136" s="74"/>
      <c r="FU136" s="74"/>
      <c r="FV136" s="74"/>
      <c r="FW136" s="74"/>
      <c r="FX136" s="74"/>
      <c r="FY136" s="74"/>
      <c r="FZ136" s="74"/>
      <c r="GA136" s="68"/>
    </row>
    <row r="137" spans="1:183" s="2" customFormat="1" x14ac:dyDescent="0.3">
      <c r="A137" s="73"/>
      <c r="B137" s="73"/>
      <c r="C137" s="1"/>
      <c r="D137" s="1"/>
      <c r="E137" s="1"/>
      <c r="F137" s="1"/>
      <c r="G137" s="1"/>
      <c r="H137" s="1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4"/>
      <c r="CV137" s="74"/>
      <c r="CW137" s="74"/>
      <c r="CX137" s="74"/>
      <c r="CY137" s="74"/>
      <c r="CZ137" s="74"/>
      <c r="DA137" s="74"/>
      <c r="DB137" s="74"/>
      <c r="DC137" s="74"/>
      <c r="DD137" s="74"/>
      <c r="DE137" s="74"/>
      <c r="DF137" s="74"/>
      <c r="DG137" s="74"/>
      <c r="DH137" s="74"/>
      <c r="DI137" s="74"/>
      <c r="DJ137" s="74"/>
      <c r="DK137" s="74"/>
      <c r="DL137" s="74"/>
      <c r="DM137" s="74"/>
      <c r="DN137" s="74"/>
      <c r="DO137" s="74"/>
      <c r="DP137" s="74"/>
      <c r="DQ137" s="74"/>
      <c r="DR137" s="74"/>
      <c r="DS137" s="74"/>
      <c r="DT137" s="74"/>
      <c r="DU137" s="74"/>
      <c r="DV137" s="74"/>
      <c r="DW137" s="74"/>
      <c r="DX137" s="74"/>
      <c r="DY137" s="74"/>
      <c r="DZ137" s="74"/>
      <c r="EA137" s="74"/>
      <c r="EB137" s="74"/>
      <c r="EC137" s="74"/>
      <c r="ED137" s="74"/>
      <c r="EE137" s="80"/>
      <c r="EF137" s="80"/>
      <c r="EG137" s="66"/>
      <c r="EH137" s="66"/>
      <c r="EI137" s="66"/>
      <c r="EJ137" s="66"/>
      <c r="EK137" s="66"/>
      <c r="EL137" s="66"/>
      <c r="EM137" s="82"/>
      <c r="EN137" s="82"/>
      <c r="EO137" s="77"/>
      <c r="EP137" s="77"/>
      <c r="EQ137" s="77"/>
      <c r="ER137" s="77"/>
      <c r="ES137" s="77"/>
      <c r="ET137" s="77"/>
      <c r="EU137" s="77"/>
      <c r="EV137" s="77"/>
      <c r="EW137" s="77"/>
      <c r="EX137" s="77"/>
      <c r="EY137" s="74"/>
      <c r="EZ137" s="74"/>
      <c r="FA137" s="74"/>
      <c r="FB137" s="74"/>
      <c r="FC137" s="74"/>
      <c r="FD137" s="68"/>
      <c r="FH137" s="73"/>
      <c r="FI137" s="74"/>
      <c r="FJ137" s="74"/>
      <c r="FK137" s="74"/>
      <c r="FL137" s="74"/>
      <c r="FM137" s="74"/>
      <c r="FN137" s="74"/>
      <c r="FO137" s="74"/>
      <c r="FP137" s="74"/>
      <c r="FQ137" s="74"/>
      <c r="FR137" s="74"/>
      <c r="FS137" s="74"/>
      <c r="FT137" s="74"/>
      <c r="FU137" s="74"/>
      <c r="FV137" s="74"/>
      <c r="FW137" s="74"/>
      <c r="FX137" s="74"/>
      <c r="FY137" s="74"/>
      <c r="FZ137" s="74"/>
      <c r="GA137" s="68"/>
    </row>
    <row r="138" spans="1:183" s="2" customFormat="1" x14ac:dyDescent="0.3">
      <c r="A138" s="73"/>
      <c r="B138" s="73"/>
      <c r="C138" s="1"/>
      <c r="D138" s="1"/>
      <c r="E138" s="1"/>
      <c r="F138" s="1"/>
      <c r="G138" s="1"/>
      <c r="H138" s="1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4"/>
      <c r="CV138" s="74"/>
      <c r="CW138" s="74"/>
      <c r="CX138" s="74"/>
      <c r="CY138" s="74"/>
      <c r="CZ138" s="74"/>
      <c r="DA138" s="74"/>
      <c r="DB138" s="74"/>
      <c r="DC138" s="74"/>
      <c r="DD138" s="74"/>
      <c r="DE138" s="74"/>
      <c r="DF138" s="74"/>
      <c r="DG138" s="74"/>
      <c r="DH138" s="74"/>
      <c r="DI138" s="74"/>
      <c r="DJ138" s="74"/>
      <c r="DK138" s="74"/>
      <c r="DL138" s="74"/>
      <c r="DM138" s="74"/>
      <c r="DN138" s="74"/>
      <c r="DO138" s="74"/>
      <c r="DP138" s="74"/>
      <c r="DQ138" s="74"/>
      <c r="DR138" s="74"/>
      <c r="DS138" s="74"/>
      <c r="DT138" s="74"/>
      <c r="DU138" s="74"/>
      <c r="DV138" s="74"/>
      <c r="DW138" s="74"/>
      <c r="DX138" s="74"/>
      <c r="DY138" s="74"/>
      <c r="DZ138" s="74"/>
      <c r="EA138" s="74"/>
      <c r="EB138" s="74"/>
      <c r="EC138" s="74"/>
      <c r="ED138" s="74"/>
      <c r="EE138" s="80"/>
      <c r="EF138" s="80"/>
      <c r="EG138" s="66"/>
      <c r="EH138" s="66"/>
      <c r="EI138" s="66"/>
      <c r="EJ138" s="66"/>
      <c r="EK138" s="66"/>
      <c r="EL138" s="66"/>
      <c r="EM138" s="82"/>
      <c r="EN138" s="82"/>
      <c r="EO138" s="77"/>
      <c r="EP138" s="77"/>
      <c r="EQ138" s="77"/>
      <c r="ER138" s="77"/>
      <c r="ES138" s="77"/>
      <c r="ET138" s="77"/>
      <c r="EU138" s="77"/>
      <c r="EV138" s="77"/>
      <c r="EW138" s="77"/>
      <c r="EX138" s="77"/>
      <c r="EY138" s="74"/>
      <c r="EZ138" s="74"/>
      <c r="FA138" s="74"/>
      <c r="FB138" s="74"/>
      <c r="FC138" s="74"/>
      <c r="FD138" s="68"/>
      <c r="FH138" s="73"/>
      <c r="FI138" s="74"/>
      <c r="FJ138" s="74"/>
      <c r="FK138" s="74"/>
      <c r="FL138" s="74"/>
      <c r="FM138" s="74"/>
      <c r="FN138" s="74"/>
      <c r="FO138" s="74"/>
      <c r="FP138" s="74"/>
      <c r="FQ138" s="74"/>
      <c r="FR138" s="74"/>
      <c r="FS138" s="74"/>
      <c r="FT138" s="74"/>
      <c r="FU138" s="74"/>
      <c r="FV138" s="74"/>
      <c r="FW138" s="74"/>
      <c r="FX138" s="74"/>
      <c r="FY138" s="74"/>
      <c r="FZ138" s="74"/>
      <c r="GA138" s="68"/>
    </row>
    <row r="139" spans="1:183" s="2" customFormat="1" x14ac:dyDescent="0.3">
      <c r="A139" s="73"/>
      <c r="B139" s="73"/>
      <c r="C139" s="1"/>
      <c r="D139" s="1"/>
      <c r="E139" s="1"/>
      <c r="F139" s="1"/>
      <c r="G139" s="1"/>
      <c r="H139" s="1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  <c r="CS139" s="74"/>
      <c r="CT139" s="74"/>
      <c r="CU139" s="74"/>
      <c r="CV139" s="74"/>
      <c r="CW139" s="74"/>
      <c r="CX139" s="74"/>
      <c r="CY139" s="74"/>
      <c r="CZ139" s="74"/>
      <c r="DA139" s="74"/>
      <c r="DB139" s="74"/>
      <c r="DC139" s="74"/>
      <c r="DD139" s="74"/>
      <c r="DE139" s="74"/>
      <c r="DF139" s="74"/>
      <c r="DG139" s="74"/>
      <c r="DH139" s="74"/>
      <c r="DI139" s="74"/>
      <c r="DJ139" s="74"/>
      <c r="DK139" s="74"/>
      <c r="DL139" s="74"/>
      <c r="DM139" s="74"/>
      <c r="DN139" s="74"/>
      <c r="DO139" s="74"/>
      <c r="DP139" s="74"/>
      <c r="DQ139" s="74"/>
      <c r="DR139" s="74"/>
      <c r="DS139" s="74"/>
      <c r="DT139" s="74"/>
      <c r="DU139" s="74"/>
      <c r="DV139" s="74"/>
      <c r="DW139" s="74"/>
      <c r="DX139" s="74"/>
      <c r="DY139" s="74"/>
      <c r="DZ139" s="74"/>
      <c r="EA139" s="74"/>
      <c r="EB139" s="74"/>
      <c r="EC139" s="74"/>
      <c r="ED139" s="74"/>
      <c r="EE139" s="80"/>
      <c r="EF139" s="80"/>
      <c r="EG139" s="66"/>
      <c r="EH139" s="66"/>
      <c r="EI139" s="66"/>
      <c r="EJ139" s="66"/>
      <c r="EK139" s="66"/>
      <c r="EL139" s="66"/>
      <c r="EM139" s="82"/>
      <c r="EN139" s="82"/>
      <c r="EO139" s="77"/>
      <c r="EP139" s="77"/>
      <c r="EQ139" s="77"/>
      <c r="ER139" s="77"/>
      <c r="ES139" s="77"/>
      <c r="ET139" s="77"/>
      <c r="EU139" s="77"/>
      <c r="EV139" s="77"/>
      <c r="EW139" s="77"/>
      <c r="EX139" s="77"/>
      <c r="EY139" s="74"/>
      <c r="EZ139" s="74"/>
      <c r="FA139" s="74"/>
      <c r="FB139" s="74"/>
      <c r="FC139" s="74"/>
      <c r="FD139" s="68"/>
      <c r="FH139" s="73"/>
      <c r="FI139" s="74"/>
      <c r="FJ139" s="74"/>
      <c r="FK139" s="74"/>
      <c r="FL139" s="74"/>
      <c r="FM139" s="74"/>
      <c r="FN139" s="74"/>
      <c r="FO139" s="74"/>
      <c r="FP139" s="74"/>
      <c r="FQ139" s="74"/>
      <c r="FR139" s="74"/>
      <c r="FS139" s="74"/>
      <c r="FT139" s="74"/>
      <c r="FU139" s="74"/>
      <c r="FV139" s="74"/>
      <c r="FW139" s="74"/>
      <c r="FX139" s="74"/>
      <c r="FY139" s="74"/>
      <c r="FZ139" s="74"/>
      <c r="GA139" s="68"/>
    </row>
    <row r="140" spans="1:183" s="2" customFormat="1" x14ac:dyDescent="0.3">
      <c r="A140" s="73"/>
      <c r="B140" s="73"/>
      <c r="C140" s="1"/>
      <c r="D140" s="1"/>
      <c r="E140" s="1"/>
      <c r="F140" s="1"/>
      <c r="G140" s="1"/>
      <c r="H140" s="1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80"/>
      <c r="EF140" s="80"/>
      <c r="EG140" s="66"/>
      <c r="EH140" s="66"/>
      <c r="EI140" s="66"/>
      <c r="EJ140" s="66"/>
      <c r="EK140" s="66"/>
      <c r="EL140" s="66"/>
      <c r="EM140" s="82"/>
      <c r="EN140" s="82"/>
      <c r="EO140" s="77"/>
      <c r="EP140" s="77"/>
      <c r="EQ140" s="77"/>
      <c r="ER140" s="77"/>
      <c r="ES140" s="77"/>
      <c r="ET140" s="77"/>
      <c r="EU140" s="77"/>
      <c r="EV140" s="77"/>
      <c r="EW140" s="77"/>
      <c r="EX140" s="77"/>
      <c r="EY140" s="74"/>
      <c r="EZ140" s="74"/>
      <c r="FA140" s="74"/>
      <c r="FB140" s="74"/>
      <c r="FC140" s="74"/>
      <c r="FD140" s="68"/>
      <c r="FH140" s="73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4"/>
      <c r="FW140" s="74"/>
      <c r="FX140" s="74"/>
      <c r="FY140" s="74"/>
      <c r="FZ140" s="74"/>
      <c r="GA140" s="68"/>
    </row>
    <row r="141" spans="1:183" s="2" customFormat="1" x14ac:dyDescent="0.3">
      <c r="A141" s="73"/>
      <c r="B141" s="73"/>
      <c r="C141" s="1"/>
      <c r="D141" s="1"/>
      <c r="E141" s="1"/>
      <c r="F141" s="1"/>
      <c r="G141" s="1"/>
      <c r="H141" s="1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80"/>
      <c r="EF141" s="80"/>
      <c r="EG141" s="66"/>
      <c r="EH141" s="66"/>
      <c r="EI141" s="66"/>
      <c r="EJ141" s="66"/>
      <c r="EK141" s="66"/>
      <c r="EL141" s="66"/>
      <c r="EM141" s="82"/>
      <c r="EN141" s="82"/>
      <c r="EO141" s="77"/>
      <c r="EP141" s="77"/>
      <c r="EQ141" s="77"/>
      <c r="ER141" s="77"/>
      <c r="ES141" s="77"/>
      <c r="ET141" s="77"/>
      <c r="EU141" s="77"/>
      <c r="EV141" s="77"/>
      <c r="EW141" s="77"/>
      <c r="EX141" s="77"/>
      <c r="EY141" s="74"/>
      <c r="EZ141" s="74"/>
      <c r="FA141" s="74"/>
      <c r="FB141" s="74"/>
      <c r="FC141" s="74"/>
      <c r="FD141" s="68"/>
      <c r="FH141" s="73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4"/>
      <c r="FW141" s="74"/>
      <c r="FX141" s="74"/>
      <c r="FY141" s="74"/>
      <c r="FZ141" s="74"/>
      <c r="GA141" s="68"/>
    </row>
    <row r="142" spans="1:183" s="2" customFormat="1" x14ac:dyDescent="0.3">
      <c r="A142" s="73"/>
      <c r="B142" s="73"/>
      <c r="C142" s="1"/>
      <c r="D142" s="1"/>
      <c r="E142" s="1"/>
      <c r="F142" s="1"/>
      <c r="G142" s="1"/>
      <c r="H142" s="1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  <c r="CS142" s="74"/>
      <c r="CT142" s="74"/>
      <c r="CU142" s="74"/>
      <c r="CV142" s="74"/>
      <c r="CW142" s="74"/>
      <c r="CX142" s="74"/>
      <c r="CY142" s="74"/>
      <c r="CZ142" s="74"/>
      <c r="DA142" s="74"/>
      <c r="DB142" s="74"/>
      <c r="DC142" s="74"/>
      <c r="DD142" s="74"/>
      <c r="DE142" s="74"/>
      <c r="DF142" s="74"/>
      <c r="DG142" s="74"/>
      <c r="DH142" s="74"/>
      <c r="DI142" s="74"/>
      <c r="DJ142" s="74"/>
      <c r="DK142" s="74"/>
      <c r="DL142" s="74"/>
      <c r="DM142" s="74"/>
      <c r="DN142" s="74"/>
      <c r="DO142" s="74"/>
      <c r="DP142" s="74"/>
      <c r="DQ142" s="74"/>
      <c r="DR142" s="74"/>
      <c r="DS142" s="74"/>
      <c r="DT142" s="74"/>
      <c r="DU142" s="74"/>
      <c r="DV142" s="74"/>
      <c r="DW142" s="74"/>
      <c r="DX142" s="74"/>
      <c r="DY142" s="74"/>
      <c r="DZ142" s="74"/>
      <c r="EA142" s="74"/>
      <c r="EB142" s="74"/>
      <c r="EC142" s="74"/>
      <c r="ED142" s="74"/>
      <c r="EE142" s="80"/>
      <c r="EF142" s="80"/>
      <c r="EG142" s="66"/>
      <c r="EH142" s="66"/>
      <c r="EI142" s="66"/>
      <c r="EJ142" s="66"/>
      <c r="EK142" s="66"/>
      <c r="EL142" s="66"/>
      <c r="EM142" s="82"/>
      <c r="EN142" s="82"/>
      <c r="EO142" s="77"/>
      <c r="EP142" s="77"/>
      <c r="EQ142" s="77"/>
      <c r="ER142" s="77"/>
      <c r="ES142" s="77"/>
      <c r="ET142" s="77"/>
      <c r="EU142" s="77"/>
      <c r="EV142" s="77"/>
      <c r="EW142" s="77"/>
      <c r="EX142" s="77"/>
      <c r="EY142" s="74"/>
      <c r="EZ142" s="74"/>
      <c r="FA142" s="74"/>
      <c r="FB142" s="74"/>
      <c r="FC142" s="74"/>
      <c r="FD142" s="68"/>
      <c r="FH142" s="73"/>
      <c r="FI142" s="74"/>
      <c r="FJ142" s="74"/>
      <c r="FK142" s="74"/>
      <c r="FL142" s="74"/>
      <c r="FM142" s="74"/>
      <c r="FN142" s="74"/>
      <c r="FO142" s="74"/>
      <c r="FP142" s="74"/>
      <c r="FQ142" s="74"/>
      <c r="FR142" s="74"/>
      <c r="FS142" s="74"/>
      <c r="FT142" s="74"/>
      <c r="FU142" s="74"/>
      <c r="FV142" s="74"/>
      <c r="FW142" s="74"/>
      <c r="FX142" s="74"/>
      <c r="FY142" s="74"/>
      <c r="FZ142" s="74"/>
      <c r="GA142" s="68"/>
    </row>
    <row r="143" spans="1:183" s="2" customFormat="1" x14ac:dyDescent="0.3">
      <c r="A143" s="73"/>
      <c r="B143" s="73"/>
      <c r="C143" s="1"/>
      <c r="D143" s="1"/>
      <c r="E143" s="1"/>
      <c r="F143" s="1"/>
      <c r="G143" s="1"/>
      <c r="H143" s="1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4"/>
      <c r="CV143" s="74"/>
      <c r="CW143" s="74"/>
      <c r="CX143" s="74"/>
      <c r="CY143" s="74"/>
      <c r="CZ143" s="74"/>
      <c r="DA143" s="74"/>
      <c r="DB143" s="74"/>
      <c r="DC143" s="74"/>
      <c r="DD143" s="74"/>
      <c r="DE143" s="74"/>
      <c r="DF143" s="74"/>
      <c r="DG143" s="74"/>
      <c r="DH143" s="74"/>
      <c r="DI143" s="74"/>
      <c r="DJ143" s="74"/>
      <c r="DK143" s="74"/>
      <c r="DL143" s="74"/>
      <c r="DM143" s="74"/>
      <c r="DN143" s="74"/>
      <c r="DO143" s="74"/>
      <c r="DP143" s="74"/>
      <c r="DQ143" s="74"/>
      <c r="DR143" s="74"/>
      <c r="DS143" s="74"/>
      <c r="DT143" s="74"/>
      <c r="DU143" s="74"/>
      <c r="DV143" s="74"/>
      <c r="DW143" s="74"/>
      <c r="DX143" s="74"/>
      <c r="DY143" s="74"/>
      <c r="DZ143" s="74"/>
      <c r="EA143" s="74"/>
      <c r="EB143" s="74"/>
      <c r="EC143" s="74"/>
      <c r="ED143" s="74"/>
      <c r="EE143" s="80"/>
      <c r="EF143" s="80"/>
      <c r="EG143" s="66"/>
      <c r="EH143" s="66"/>
      <c r="EI143" s="66"/>
      <c r="EJ143" s="66"/>
      <c r="EK143" s="66"/>
      <c r="EL143" s="66"/>
      <c r="EM143" s="82"/>
      <c r="EN143" s="82"/>
      <c r="EO143" s="77"/>
      <c r="EP143" s="77"/>
      <c r="EQ143" s="77"/>
      <c r="ER143" s="77"/>
      <c r="ES143" s="77"/>
      <c r="ET143" s="77"/>
      <c r="EU143" s="77"/>
      <c r="EV143" s="77"/>
      <c r="EW143" s="77"/>
      <c r="EX143" s="77"/>
      <c r="EY143" s="74"/>
      <c r="EZ143" s="74"/>
      <c r="FA143" s="74"/>
      <c r="FB143" s="74"/>
      <c r="FC143" s="74"/>
      <c r="FD143" s="68"/>
      <c r="FH143" s="73"/>
      <c r="FI143" s="74"/>
      <c r="FJ143" s="74"/>
      <c r="FK143" s="74"/>
      <c r="FL143" s="74"/>
      <c r="FM143" s="74"/>
      <c r="FN143" s="74"/>
      <c r="FO143" s="74"/>
      <c r="FP143" s="74"/>
      <c r="FQ143" s="74"/>
      <c r="FR143" s="74"/>
      <c r="FS143" s="74"/>
      <c r="FT143" s="74"/>
      <c r="FU143" s="74"/>
      <c r="FV143" s="74"/>
      <c r="FW143" s="74"/>
      <c r="FX143" s="74"/>
      <c r="FY143" s="74"/>
      <c r="FZ143" s="74"/>
      <c r="GA143" s="68"/>
    </row>
    <row r="144" spans="1:183" s="2" customFormat="1" x14ac:dyDescent="0.3">
      <c r="A144" s="73"/>
      <c r="B144" s="73"/>
      <c r="C144" s="1"/>
      <c r="D144" s="1"/>
      <c r="E144" s="1"/>
      <c r="F144" s="1"/>
      <c r="G144" s="1"/>
      <c r="H144" s="1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80"/>
      <c r="EF144" s="80"/>
      <c r="EG144" s="66"/>
      <c r="EH144" s="66"/>
      <c r="EI144" s="66"/>
      <c r="EJ144" s="66"/>
      <c r="EK144" s="66"/>
      <c r="EL144" s="66"/>
      <c r="EM144" s="79"/>
      <c r="EN144" s="78"/>
      <c r="EO144" s="78"/>
      <c r="EP144" s="78"/>
      <c r="EQ144" s="78"/>
      <c r="ER144" s="78"/>
      <c r="ES144" s="78"/>
      <c r="ET144" s="78"/>
      <c r="EU144" s="78"/>
      <c r="EV144" s="78"/>
      <c r="EW144" s="78"/>
      <c r="EX144" s="78"/>
      <c r="EY144" s="1"/>
      <c r="EZ144" s="74"/>
      <c r="FA144" s="74"/>
      <c r="FB144" s="74"/>
      <c r="FC144" s="74"/>
      <c r="FD144" s="68"/>
      <c r="FH144" s="73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68"/>
    </row>
    <row r="145" spans="1:183" s="2" customFormat="1" x14ac:dyDescent="0.3">
      <c r="A145" s="73"/>
      <c r="B145" s="73"/>
      <c r="C145" s="1"/>
      <c r="D145" s="1"/>
      <c r="E145" s="1"/>
      <c r="F145" s="1"/>
      <c r="G145" s="1"/>
      <c r="H145" s="1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80"/>
      <c r="EF145" s="80"/>
      <c r="EG145" s="66"/>
      <c r="EH145" s="66"/>
      <c r="EI145" s="66"/>
      <c r="EJ145" s="66"/>
      <c r="EK145" s="66"/>
      <c r="EL145" s="66"/>
      <c r="EM145" s="82"/>
      <c r="EN145" s="82"/>
      <c r="EO145" s="77"/>
      <c r="EP145" s="77"/>
      <c r="EQ145" s="77"/>
      <c r="ER145" s="77"/>
      <c r="ES145" s="77"/>
      <c r="ET145" s="77"/>
      <c r="EU145" s="77"/>
      <c r="EV145" s="77"/>
      <c r="EW145" s="77"/>
      <c r="EX145" s="77"/>
      <c r="EY145" s="1"/>
      <c r="EZ145" s="74"/>
      <c r="FA145" s="74"/>
      <c r="FB145" s="74"/>
      <c r="FC145" s="74"/>
      <c r="FD145" s="68"/>
      <c r="FH145" s="73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68"/>
    </row>
    <row r="146" spans="1:183" s="2" customFormat="1" x14ac:dyDescent="0.3">
      <c r="A146" s="73"/>
      <c r="B146" s="73"/>
      <c r="C146" s="1"/>
      <c r="D146" s="1"/>
      <c r="E146" s="1"/>
      <c r="F146" s="1"/>
      <c r="G146" s="1"/>
      <c r="H146" s="1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  <c r="CS146" s="74"/>
      <c r="CT146" s="74"/>
      <c r="CU146" s="74"/>
      <c r="CV146" s="74"/>
      <c r="CW146" s="74"/>
      <c r="CX146" s="74"/>
      <c r="CY146" s="74"/>
      <c r="CZ146" s="74"/>
      <c r="DA146" s="74"/>
      <c r="DB146" s="74"/>
      <c r="DC146" s="74"/>
      <c r="DD146" s="74"/>
      <c r="DE146" s="74"/>
      <c r="DF146" s="74"/>
      <c r="DG146" s="74"/>
      <c r="DH146" s="74"/>
      <c r="DI146" s="74"/>
      <c r="DJ146" s="74"/>
      <c r="DK146" s="74"/>
      <c r="DL146" s="74"/>
      <c r="DM146" s="74"/>
      <c r="DN146" s="74"/>
      <c r="DO146" s="74"/>
      <c r="DP146" s="74"/>
      <c r="DQ146" s="74"/>
      <c r="DR146" s="74"/>
      <c r="DS146" s="74"/>
      <c r="DT146" s="74"/>
      <c r="DU146" s="74"/>
      <c r="DV146" s="74"/>
      <c r="DW146" s="74"/>
      <c r="DX146" s="74"/>
      <c r="DY146" s="74"/>
      <c r="DZ146" s="74"/>
      <c r="EA146" s="74"/>
      <c r="EB146" s="74"/>
      <c r="EC146" s="74"/>
      <c r="ED146" s="74"/>
      <c r="EE146" s="80"/>
      <c r="EF146" s="80"/>
      <c r="EG146" s="66"/>
      <c r="EH146" s="66"/>
      <c r="EI146" s="66"/>
      <c r="EJ146" s="66"/>
      <c r="EK146" s="66"/>
      <c r="EL146" s="66"/>
      <c r="EM146" s="82"/>
      <c r="EN146" s="82"/>
      <c r="EO146" s="77"/>
      <c r="EP146" s="77"/>
      <c r="EQ146" s="77"/>
      <c r="ER146" s="77"/>
      <c r="ES146" s="77"/>
      <c r="ET146" s="77"/>
      <c r="EU146" s="77"/>
      <c r="EV146" s="77"/>
      <c r="EW146" s="77"/>
      <c r="EX146" s="77"/>
      <c r="EY146" s="1"/>
      <c r="EZ146" s="74"/>
      <c r="FA146" s="74"/>
      <c r="FB146" s="74"/>
      <c r="FC146" s="74"/>
      <c r="FD146" s="68"/>
      <c r="FH146" s="73"/>
      <c r="FI146" s="74"/>
      <c r="FJ146" s="74"/>
      <c r="FK146" s="74"/>
      <c r="FL146" s="74"/>
      <c r="FM146" s="74"/>
      <c r="FN146" s="74"/>
      <c r="FO146" s="74"/>
      <c r="FP146" s="74"/>
      <c r="FQ146" s="74"/>
      <c r="FR146" s="74"/>
      <c r="FS146" s="74"/>
      <c r="FT146" s="74"/>
      <c r="FU146" s="74"/>
      <c r="FV146" s="74"/>
      <c r="FW146" s="74"/>
      <c r="FX146" s="74"/>
      <c r="FY146" s="74"/>
      <c r="FZ146" s="74"/>
      <c r="GA146" s="68"/>
    </row>
    <row r="147" spans="1:183" s="2" customFormat="1" x14ac:dyDescent="0.3">
      <c r="A147" s="73"/>
      <c r="B147" s="73"/>
      <c r="C147" s="1"/>
      <c r="D147" s="1"/>
      <c r="E147" s="1"/>
      <c r="F147" s="1"/>
      <c r="G147" s="1"/>
      <c r="H147" s="1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  <c r="CS147" s="74"/>
      <c r="CT147" s="74"/>
      <c r="CU147" s="74"/>
      <c r="CV147" s="74"/>
      <c r="CW147" s="74"/>
      <c r="CX147" s="74"/>
      <c r="CY147" s="74"/>
      <c r="CZ147" s="74"/>
      <c r="DA147" s="74"/>
      <c r="DB147" s="74"/>
      <c r="DC147" s="74"/>
      <c r="DD147" s="74"/>
      <c r="DE147" s="74"/>
      <c r="DF147" s="74"/>
      <c r="DG147" s="74"/>
      <c r="DH147" s="74"/>
      <c r="DI147" s="74"/>
      <c r="DJ147" s="74"/>
      <c r="DK147" s="74"/>
      <c r="DL147" s="74"/>
      <c r="DM147" s="74"/>
      <c r="DN147" s="74"/>
      <c r="DO147" s="74"/>
      <c r="DP147" s="74"/>
      <c r="DQ147" s="74"/>
      <c r="DR147" s="74"/>
      <c r="DS147" s="74"/>
      <c r="DT147" s="74"/>
      <c r="DU147" s="74"/>
      <c r="DV147" s="74"/>
      <c r="DW147" s="74"/>
      <c r="DX147" s="74"/>
      <c r="DY147" s="74"/>
      <c r="DZ147" s="74"/>
      <c r="EA147" s="74"/>
      <c r="EB147" s="74"/>
      <c r="EC147" s="74"/>
      <c r="ED147" s="74"/>
      <c r="EE147" s="80"/>
      <c r="EF147" s="80"/>
      <c r="EG147" s="66"/>
      <c r="EH147" s="66"/>
      <c r="EI147" s="66"/>
      <c r="EJ147" s="66"/>
      <c r="EK147" s="66"/>
      <c r="EL147" s="66"/>
      <c r="EM147" s="82"/>
      <c r="EN147" s="82"/>
      <c r="EO147" s="77"/>
      <c r="EP147" s="77"/>
      <c r="EQ147" s="77"/>
      <c r="ER147" s="77"/>
      <c r="ES147" s="77"/>
      <c r="ET147" s="77"/>
      <c r="EU147" s="77"/>
      <c r="EV147" s="77"/>
      <c r="EW147" s="77"/>
      <c r="EX147" s="77"/>
      <c r="EY147" s="1"/>
      <c r="EZ147" s="74"/>
      <c r="FA147" s="74"/>
      <c r="FB147" s="74"/>
      <c r="FC147" s="74"/>
      <c r="FD147" s="68"/>
      <c r="FH147" s="73"/>
      <c r="FI147" s="74"/>
      <c r="FJ147" s="74"/>
      <c r="FK147" s="74"/>
      <c r="FL147" s="74"/>
      <c r="FM147" s="74"/>
      <c r="FN147" s="74"/>
      <c r="FO147" s="74"/>
      <c r="FP147" s="74"/>
      <c r="FQ147" s="74"/>
      <c r="FR147" s="74"/>
      <c r="FS147" s="74"/>
      <c r="FT147" s="74"/>
      <c r="FU147" s="74"/>
      <c r="FV147" s="74"/>
      <c r="FW147" s="74"/>
      <c r="FX147" s="74"/>
      <c r="FY147" s="74"/>
      <c r="FZ147" s="74"/>
      <c r="GA147" s="68"/>
    </row>
    <row r="148" spans="1:183" s="2" customFormat="1" x14ac:dyDescent="0.3">
      <c r="A148" s="73"/>
      <c r="B148" s="73"/>
      <c r="C148" s="1"/>
      <c r="D148" s="1"/>
      <c r="E148" s="1"/>
      <c r="F148" s="1"/>
      <c r="G148" s="1"/>
      <c r="H148" s="1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4"/>
      <c r="CV148" s="74"/>
      <c r="CW148" s="74"/>
      <c r="CX148" s="74"/>
      <c r="CY148" s="74"/>
      <c r="CZ148" s="74"/>
      <c r="DA148" s="74"/>
      <c r="DB148" s="74"/>
      <c r="DC148" s="74"/>
      <c r="DD148" s="74"/>
      <c r="DE148" s="74"/>
      <c r="DF148" s="74"/>
      <c r="DG148" s="74"/>
      <c r="DH148" s="74"/>
      <c r="DI148" s="74"/>
      <c r="DJ148" s="74"/>
      <c r="DK148" s="74"/>
      <c r="DL148" s="74"/>
      <c r="DM148" s="74"/>
      <c r="DN148" s="74"/>
      <c r="DO148" s="74"/>
      <c r="DP148" s="74"/>
      <c r="DQ148" s="74"/>
      <c r="DR148" s="74"/>
      <c r="DS148" s="74"/>
      <c r="DT148" s="74"/>
      <c r="DU148" s="74"/>
      <c r="DV148" s="74"/>
      <c r="DW148" s="74"/>
      <c r="DX148" s="74"/>
      <c r="DY148" s="74"/>
      <c r="DZ148" s="74"/>
      <c r="EA148" s="74"/>
      <c r="EB148" s="74"/>
      <c r="EC148" s="74"/>
      <c r="ED148" s="74"/>
      <c r="EE148" s="80"/>
      <c r="EF148" s="80"/>
      <c r="EG148" s="66"/>
      <c r="EH148" s="66"/>
      <c r="EI148" s="66"/>
      <c r="EJ148" s="66"/>
      <c r="EK148" s="66"/>
      <c r="EL148" s="66"/>
      <c r="EM148" s="82"/>
      <c r="EN148" s="82"/>
      <c r="EO148" s="77"/>
      <c r="EP148" s="77"/>
      <c r="EQ148" s="77"/>
      <c r="ER148" s="77"/>
      <c r="ES148" s="77"/>
      <c r="ET148" s="77"/>
      <c r="EU148" s="77"/>
      <c r="EV148" s="77"/>
      <c r="EW148" s="77"/>
      <c r="EX148" s="77"/>
      <c r="EY148" s="1"/>
      <c r="EZ148" s="74"/>
      <c r="FA148" s="74"/>
      <c r="FB148" s="74"/>
      <c r="FC148" s="74"/>
      <c r="FD148" s="68"/>
      <c r="FH148" s="73"/>
      <c r="FI148" s="74"/>
      <c r="FJ148" s="74"/>
      <c r="FK148" s="74"/>
      <c r="FL148" s="74"/>
      <c r="FM148" s="74"/>
      <c r="FN148" s="74"/>
      <c r="FO148" s="74"/>
      <c r="FP148" s="74"/>
      <c r="FQ148" s="74"/>
      <c r="FR148" s="74"/>
      <c r="FS148" s="74"/>
      <c r="FT148" s="74"/>
      <c r="FU148" s="74"/>
      <c r="FV148" s="74"/>
      <c r="FW148" s="74"/>
      <c r="FX148" s="74"/>
      <c r="FY148" s="74"/>
      <c r="FZ148" s="74"/>
      <c r="GA148" s="68"/>
    </row>
    <row r="149" spans="1:183" s="2" customFormat="1" x14ac:dyDescent="0.3">
      <c r="A149" s="73"/>
      <c r="B149" s="73"/>
      <c r="C149" s="1"/>
      <c r="D149" s="1"/>
      <c r="E149" s="1"/>
      <c r="F149" s="1"/>
      <c r="G149" s="1"/>
      <c r="H149" s="1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  <c r="CS149" s="74"/>
      <c r="CT149" s="74"/>
      <c r="CU149" s="74"/>
      <c r="CV149" s="74"/>
      <c r="CW149" s="74"/>
      <c r="CX149" s="74"/>
      <c r="CY149" s="74"/>
      <c r="CZ149" s="74"/>
      <c r="DA149" s="74"/>
      <c r="DB149" s="74"/>
      <c r="DC149" s="74"/>
      <c r="DD149" s="74"/>
      <c r="DE149" s="74"/>
      <c r="DF149" s="74"/>
      <c r="DG149" s="74"/>
      <c r="DH149" s="74"/>
      <c r="DI149" s="74"/>
      <c r="DJ149" s="74"/>
      <c r="DK149" s="74"/>
      <c r="DL149" s="74"/>
      <c r="DM149" s="74"/>
      <c r="DN149" s="74"/>
      <c r="DO149" s="74"/>
      <c r="DP149" s="74"/>
      <c r="DQ149" s="74"/>
      <c r="DR149" s="74"/>
      <c r="DS149" s="74"/>
      <c r="DT149" s="74"/>
      <c r="DU149" s="74"/>
      <c r="DV149" s="74"/>
      <c r="DW149" s="74"/>
      <c r="DX149" s="74"/>
      <c r="DY149" s="74"/>
      <c r="DZ149" s="74"/>
      <c r="EA149" s="74"/>
      <c r="EB149" s="74"/>
      <c r="EC149" s="74"/>
      <c r="ED149" s="74"/>
      <c r="EE149" s="80"/>
      <c r="EF149" s="80"/>
      <c r="EG149" s="66"/>
      <c r="EH149" s="66"/>
      <c r="EI149" s="66"/>
      <c r="EJ149" s="66"/>
      <c r="EK149" s="66"/>
      <c r="EL149" s="66"/>
      <c r="EM149" s="82"/>
      <c r="EN149" s="82"/>
      <c r="EO149" s="77"/>
      <c r="EP149" s="77"/>
      <c r="EQ149" s="77"/>
      <c r="ER149" s="77"/>
      <c r="ES149" s="77"/>
      <c r="ET149" s="77"/>
      <c r="EU149" s="77"/>
      <c r="EV149" s="77"/>
      <c r="EW149" s="77"/>
      <c r="EX149" s="77"/>
      <c r="EY149" s="1"/>
      <c r="EZ149" s="74"/>
      <c r="FA149" s="74"/>
      <c r="FB149" s="74"/>
      <c r="FC149" s="74"/>
      <c r="FD149" s="68"/>
      <c r="FH149" s="73"/>
      <c r="FI149" s="74"/>
      <c r="FJ149" s="74"/>
      <c r="FK149" s="74"/>
      <c r="FL149" s="74"/>
      <c r="FM149" s="74"/>
      <c r="FN149" s="74"/>
      <c r="FO149" s="74"/>
      <c r="FP149" s="74"/>
      <c r="FQ149" s="74"/>
      <c r="FR149" s="74"/>
      <c r="FS149" s="74"/>
      <c r="FT149" s="74"/>
      <c r="FU149" s="74"/>
      <c r="FV149" s="74"/>
      <c r="FW149" s="74"/>
      <c r="FX149" s="74"/>
      <c r="FY149" s="74"/>
      <c r="FZ149" s="74"/>
      <c r="GA149" s="68"/>
    </row>
    <row r="150" spans="1:183" s="2" customFormat="1" x14ac:dyDescent="0.3">
      <c r="A150" s="73"/>
      <c r="B150" s="73"/>
      <c r="C150" s="1"/>
      <c r="D150" s="1"/>
      <c r="E150" s="1"/>
      <c r="F150" s="1"/>
      <c r="G150" s="1"/>
      <c r="H150" s="1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4"/>
      <c r="CV150" s="74"/>
      <c r="CW150" s="74"/>
      <c r="CX150" s="74"/>
      <c r="CY150" s="74"/>
      <c r="CZ150" s="74"/>
      <c r="DA150" s="74"/>
      <c r="DB150" s="74"/>
      <c r="DC150" s="74"/>
      <c r="DD150" s="74"/>
      <c r="DE150" s="74"/>
      <c r="DF150" s="74"/>
      <c r="DG150" s="74"/>
      <c r="DH150" s="74"/>
      <c r="DI150" s="74"/>
      <c r="DJ150" s="74"/>
      <c r="DK150" s="74"/>
      <c r="DL150" s="74"/>
      <c r="DM150" s="74"/>
      <c r="DN150" s="74"/>
      <c r="DO150" s="74"/>
      <c r="DP150" s="74"/>
      <c r="DQ150" s="74"/>
      <c r="DR150" s="74"/>
      <c r="DS150" s="74"/>
      <c r="DT150" s="74"/>
      <c r="DU150" s="74"/>
      <c r="DV150" s="74"/>
      <c r="DW150" s="74"/>
      <c r="DX150" s="74"/>
      <c r="DY150" s="74"/>
      <c r="DZ150" s="74"/>
      <c r="EA150" s="74"/>
      <c r="EB150" s="74"/>
      <c r="EC150" s="74"/>
      <c r="ED150" s="74"/>
      <c r="EE150" s="80"/>
      <c r="EF150" s="80"/>
      <c r="EG150" s="66"/>
      <c r="EH150" s="66"/>
      <c r="EI150" s="66"/>
      <c r="EJ150" s="66"/>
      <c r="EK150" s="66"/>
      <c r="EL150" s="66"/>
      <c r="EM150" s="82"/>
      <c r="EN150" s="82"/>
      <c r="EO150" s="77"/>
      <c r="EP150" s="77"/>
      <c r="EQ150" s="77"/>
      <c r="ER150" s="77"/>
      <c r="ES150" s="77"/>
      <c r="ET150" s="77"/>
      <c r="EU150" s="77"/>
      <c r="EV150" s="77"/>
      <c r="EW150" s="77"/>
      <c r="EX150" s="77"/>
      <c r="EY150" s="1"/>
      <c r="EZ150" s="74"/>
      <c r="FA150" s="74"/>
      <c r="FB150" s="74"/>
      <c r="FC150" s="74"/>
      <c r="FD150" s="68"/>
      <c r="FH150" s="73"/>
      <c r="FI150" s="74"/>
      <c r="FJ150" s="74"/>
      <c r="FK150" s="74"/>
      <c r="FL150" s="74"/>
      <c r="FM150" s="74"/>
      <c r="FN150" s="74"/>
      <c r="FO150" s="74"/>
      <c r="FP150" s="74"/>
      <c r="FQ150" s="74"/>
      <c r="FR150" s="74"/>
      <c r="FS150" s="74"/>
      <c r="FT150" s="74"/>
      <c r="FU150" s="74"/>
      <c r="FV150" s="74"/>
      <c r="FW150" s="74"/>
      <c r="FX150" s="74"/>
      <c r="FY150" s="74"/>
      <c r="FZ150" s="74"/>
      <c r="GA150" s="68"/>
    </row>
    <row r="151" spans="1:183" s="2" customFormat="1" x14ac:dyDescent="0.3">
      <c r="A151" s="73"/>
      <c r="B151" s="73"/>
      <c r="C151" s="1"/>
      <c r="D151" s="1"/>
      <c r="E151" s="1"/>
      <c r="F151" s="1"/>
      <c r="G151" s="1"/>
      <c r="H151" s="1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  <c r="CS151" s="74"/>
      <c r="CT151" s="74"/>
      <c r="CU151" s="74"/>
      <c r="CV151" s="74"/>
      <c r="CW151" s="74"/>
      <c r="CX151" s="74"/>
      <c r="CY151" s="74"/>
      <c r="CZ151" s="74"/>
      <c r="DA151" s="74"/>
      <c r="DB151" s="74"/>
      <c r="DC151" s="74"/>
      <c r="DD151" s="74"/>
      <c r="DE151" s="74"/>
      <c r="DF151" s="74"/>
      <c r="DG151" s="74"/>
      <c r="DH151" s="74"/>
      <c r="DI151" s="74"/>
      <c r="DJ151" s="74"/>
      <c r="DK151" s="74"/>
      <c r="DL151" s="74"/>
      <c r="DM151" s="74"/>
      <c r="DN151" s="74"/>
      <c r="DO151" s="74"/>
      <c r="DP151" s="74"/>
      <c r="DQ151" s="74"/>
      <c r="DR151" s="74"/>
      <c r="DS151" s="74"/>
      <c r="DT151" s="74"/>
      <c r="DU151" s="74"/>
      <c r="DV151" s="74"/>
      <c r="DW151" s="74"/>
      <c r="DX151" s="74"/>
      <c r="DY151" s="74"/>
      <c r="DZ151" s="74"/>
      <c r="EA151" s="74"/>
      <c r="EB151" s="74"/>
      <c r="EC151" s="74"/>
      <c r="ED151" s="74"/>
      <c r="EE151" s="80"/>
      <c r="EF151" s="80"/>
      <c r="EG151" s="66"/>
      <c r="EH151" s="66"/>
      <c r="EI151" s="66"/>
      <c r="EJ151" s="66"/>
      <c r="EK151" s="66"/>
      <c r="EL151" s="66"/>
      <c r="EM151" s="82"/>
      <c r="EN151" s="82"/>
      <c r="EO151" s="77"/>
      <c r="EP151" s="77"/>
      <c r="EQ151" s="77"/>
      <c r="ER151" s="77"/>
      <c r="ES151" s="77"/>
      <c r="ET151" s="77"/>
      <c r="EU151" s="77"/>
      <c r="EV151" s="77"/>
      <c r="EW151" s="77"/>
      <c r="EX151" s="77"/>
      <c r="EY151" s="1"/>
      <c r="EZ151" s="74"/>
      <c r="FA151" s="74"/>
      <c r="FB151" s="74"/>
      <c r="FC151" s="74"/>
      <c r="FD151" s="68"/>
      <c r="FH151" s="73"/>
      <c r="FI151" s="74"/>
      <c r="FJ151" s="74"/>
      <c r="FK151" s="74"/>
      <c r="FL151" s="74"/>
      <c r="FM151" s="74"/>
      <c r="FN151" s="74"/>
      <c r="FO151" s="74"/>
      <c r="FP151" s="74"/>
      <c r="FQ151" s="74"/>
      <c r="FR151" s="74"/>
      <c r="FS151" s="74"/>
      <c r="FT151" s="74"/>
      <c r="FU151" s="74"/>
      <c r="FV151" s="74"/>
      <c r="FW151" s="74"/>
      <c r="FX151" s="74"/>
      <c r="FY151" s="74"/>
      <c r="FZ151" s="74"/>
      <c r="GA151" s="68"/>
    </row>
    <row r="152" spans="1:183" s="2" customFormat="1" x14ac:dyDescent="0.3">
      <c r="A152" s="73"/>
      <c r="B152" s="73"/>
      <c r="C152" s="1"/>
      <c r="D152" s="1"/>
      <c r="E152" s="1"/>
      <c r="F152" s="1"/>
      <c r="G152" s="1"/>
      <c r="H152" s="1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80"/>
      <c r="EF152" s="80"/>
      <c r="EG152" s="66"/>
      <c r="EH152" s="66"/>
      <c r="EI152" s="66"/>
      <c r="EJ152" s="66"/>
      <c r="EK152" s="66"/>
      <c r="EL152" s="66"/>
      <c r="EM152" s="82"/>
      <c r="EN152" s="82"/>
      <c r="EO152" s="77"/>
      <c r="EP152" s="77"/>
      <c r="EQ152" s="77"/>
      <c r="ER152" s="77"/>
      <c r="ES152" s="77"/>
      <c r="ET152" s="77"/>
      <c r="EU152" s="77"/>
      <c r="EV152" s="77"/>
      <c r="EW152" s="77"/>
      <c r="EX152" s="77"/>
      <c r="EY152" s="1"/>
      <c r="EZ152" s="74"/>
      <c r="FA152" s="74"/>
      <c r="FB152" s="74"/>
      <c r="FC152" s="74"/>
      <c r="FD152" s="68"/>
      <c r="FH152" s="73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68"/>
    </row>
    <row r="153" spans="1:183" s="2" customFormat="1" x14ac:dyDescent="0.3">
      <c r="A153" s="73"/>
      <c r="B153" s="73"/>
      <c r="C153" s="1"/>
      <c r="D153" s="1"/>
      <c r="E153" s="1"/>
      <c r="F153" s="1"/>
      <c r="G153" s="1"/>
      <c r="H153" s="1"/>
      <c r="I153" s="75"/>
      <c r="J153" s="75"/>
      <c r="K153" s="75"/>
      <c r="L153" s="75"/>
      <c r="M153" s="75"/>
      <c r="N153" s="75"/>
      <c r="O153" s="75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5"/>
      <c r="AI153" s="75"/>
      <c r="AJ153" s="75"/>
      <c r="AK153" s="75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80"/>
      <c r="EF153" s="80"/>
      <c r="EG153" s="66"/>
      <c r="EH153" s="66"/>
      <c r="EI153" s="66"/>
      <c r="EJ153" s="66"/>
      <c r="EK153" s="66"/>
      <c r="EL153" s="66"/>
      <c r="EM153" s="82"/>
      <c r="EN153" s="82"/>
      <c r="EO153" s="77"/>
      <c r="EP153" s="77"/>
      <c r="EQ153" s="77"/>
      <c r="ER153" s="77"/>
      <c r="ES153" s="77"/>
      <c r="ET153" s="77"/>
      <c r="EU153" s="77"/>
      <c r="EV153" s="77"/>
      <c r="EW153" s="77"/>
      <c r="EX153" s="77"/>
      <c r="EY153" s="1"/>
      <c r="EZ153" s="74"/>
      <c r="FA153" s="74"/>
      <c r="FB153" s="74"/>
      <c r="FC153" s="74"/>
      <c r="FD153" s="68"/>
      <c r="FH153" s="73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68"/>
    </row>
    <row r="154" spans="1:183" s="2" customFormat="1" x14ac:dyDescent="0.3">
      <c r="A154" s="73"/>
      <c r="B154" s="73"/>
      <c r="C154" s="1"/>
      <c r="D154" s="1"/>
      <c r="E154" s="1"/>
      <c r="F154" s="1"/>
      <c r="G154" s="1"/>
      <c r="H154" s="1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80"/>
      <c r="EF154" s="80"/>
      <c r="EG154" s="66"/>
      <c r="EH154" s="66"/>
      <c r="EI154" s="66"/>
      <c r="EJ154" s="66"/>
      <c r="EK154" s="66"/>
      <c r="EL154" s="66"/>
      <c r="EM154" s="82"/>
      <c r="EN154" s="82"/>
      <c r="EO154" s="77"/>
      <c r="EP154" s="77"/>
      <c r="EQ154" s="77"/>
      <c r="ER154" s="77"/>
      <c r="ES154" s="77"/>
      <c r="ET154" s="77"/>
      <c r="EU154" s="77"/>
      <c r="EV154" s="77"/>
      <c r="EW154" s="77"/>
      <c r="EX154" s="77"/>
      <c r="EY154" s="1"/>
      <c r="EZ154" s="74"/>
      <c r="FA154" s="74"/>
      <c r="FB154" s="74"/>
      <c r="FC154" s="74"/>
      <c r="FD154" s="68"/>
      <c r="FH154" s="73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68"/>
    </row>
    <row r="155" spans="1:183" s="2" customFormat="1" x14ac:dyDescent="0.3">
      <c r="A155" s="73"/>
      <c r="B155" s="73"/>
      <c r="C155" s="1"/>
      <c r="D155" s="1"/>
      <c r="E155" s="1"/>
      <c r="F155" s="1"/>
      <c r="G155" s="1"/>
      <c r="H155" s="1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80"/>
      <c r="EF155" s="80"/>
      <c r="EG155" s="66"/>
      <c r="EH155" s="66"/>
      <c r="EI155" s="66"/>
      <c r="EJ155" s="66"/>
      <c r="EK155" s="66"/>
      <c r="EL155" s="66"/>
      <c r="EM155" s="82"/>
      <c r="EN155" s="82"/>
      <c r="EO155" s="77"/>
      <c r="EP155" s="77"/>
      <c r="EQ155" s="77"/>
      <c r="ER155" s="77"/>
      <c r="ES155" s="77"/>
      <c r="ET155" s="77"/>
      <c r="EU155" s="77"/>
      <c r="EV155" s="77"/>
      <c r="EW155" s="77"/>
      <c r="EX155" s="77"/>
      <c r="EY155" s="1"/>
      <c r="EZ155" s="74"/>
      <c r="FA155" s="74"/>
      <c r="FB155" s="74"/>
      <c r="FC155" s="74"/>
      <c r="FD155" s="68"/>
      <c r="FH155" s="73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68"/>
    </row>
    <row r="156" spans="1:183" s="2" customFormat="1" x14ac:dyDescent="0.3">
      <c r="A156" s="73"/>
      <c r="B156" s="73"/>
      <c r="C156" s="1"/>
      <c r="D156" s="1"/>
      <c r="E156" s="1"/>
      <c r="F156" s="1"/>
      <c r="G156" s="1"/>
      <c r="H156" s="1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4"/>
      <c r="CV156" s="74"/>
      <c r="CW156" s="74"/>
      <c r="CX156" s="74"/>
      <c r="CY156" s="74"/>
      <c r="CZ156" s="74"/>
      <c r="DA156" s="74"/>
      <c r="DB156" s="74"/>
      <c r="DC156" s="74"/>
      <c r="DD156" s="74"/>
      <c r="DE156" s="74"/>
      <c r="DF156" s="74"/>
      <c r="DG156" s="74"/>
      <c r="DH156" s="74"/>
      <c r="DI156" s="74"/>
      <c r="DJ156" s="74"/>
      <c r="DK156" s="74"/>
      <c r="DL156" s="74"/>
      <c r="DM156" s="74"/>
      <c r="DN156" s="74"/>
      <c r="DO156" s="74"/>
      <c r="DP156" s="74"/>
      <c r="DQ156" s="74"/>
      <c r="DR156" s="74"/>
      <c r="DS156" s="74"/>
      <c r="DT156" s="74"/>
      <c r="DU156" s="74"/>
      <c r="DV156" s="74"/>
      <c r="DW156" s="74"/>
      <c r="DX156" s="74"/>
      <c r="DY156" s="74"/>
      <c r="DZ156" s="74"/>
      <c r="EA156" s="74"/>
      <c r="EB156" s="74"/>
      <c r="EC156" s="74"/>
      <c r="ED156" s="74"/>
      <c r="EE156" s="80"/>
      <c r="EF156" s="80"/>
      <c r="EG156" s="66"/>
      <c r="EH156" s="66"/>
      <c r="EI156" s="66"/>
      <c r="EJ156" s="66"/>
      <c r="EK156" s="66"/>
      <c r="EL156" s="66"/>
      <c r="EM156" s="82"/>
      <c r="EN156" s="82"/>
      <c r="EO156" s="77"/>
      <c r="EP156" s="77"/>
      <c r="EQ156" s="77"/>
      <c r="ER156" s="77"/>
      <c r="ES156" s="77"/>
      <c r="ET156" s="77"/>
      <c r="EU156" s="77"/>
      <c r="EV156" s="77"/>
      <c r="EW156" s="77"/>
      <c r="EX156" s="77"/>
      <c r="EY156" s="1"/>
      <c r="EZ156" s="74"/>
      <c r="FA156" s="74"/>
      <c r="FB156" s="74"/>
      <c r="FC156" s="74"/>
      <c r="FD156" s="68"/>
      <c r="FH156" s="73"/>
      <c r="FI156" s="74"/>
      <c r="FJ156" s="74"/>
      <c r="FK156" s="74"/>
      <c r="FL156" s="74"/>
      <c r="FM156" s="74"/>
      <c r="FN156" s="74"/>
      <c r="FO156" s="74"/>
      <c r="FP156" s="74"/>
      <c r="FQ156" s="74"/>
      <c r="FR156" s="74"/>
      <c r="FS156" s="74"/>
      <c r="FT156" s="74"/>
      <c r="FU156" s="74"/>
      <c r="FV156" s="74"/>
      <c r="FW156" s="74"/>
      <c r="FX156" s="74"/>
      <c r="FY156" s="74"/>
      <c r="FZ156" s="74"/>
      <c r="GA156" s="68"/>
    </row>
    <row r="157" spans="1:183" s="2" customFormat="1" x14ac:dyDescent="0.3">
      <c r="A157" s="73"/>
      <c r="B157" s="73"/>
      <c r="C157" s="1"/>
      <c r="D157" s="1"/>
      <c r="E157" s="1"/>
      <c r="F157" s="1"/>
      <c r="G157" s="1"/>
      <c r="H157" s="1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/>
      <c r="CK157" s="74"/>
      <c r="CL157" s="74"/>
      <c r="CM157" s="74"/>
      <c r="CN157" s="74"/>
      <c r="CO157" s="74"/>
      <c r="CP157" s="74"/>
      <c r="CQ157" s="74"/>
      <c r="CR157" s="74"/>
      <c r="CS157" s="74"/>
      <c r="CT157" s="74"/>
      <c r="CU157" s="74"/>
      <c r="CV157" s="74"/>
      <c r="CW157" s="74"/>
      <c r="CX157" s="74"/>
      <c r="CY157" s="74"/>
      <c r="CZ157" s="74"/>
      <c r="DA157" s="74"/>
      <c r="DB157" s="74"/>
      <c r="DC157" s="74"/>
      <c r="DD157" s="74"/>
      <c r="DE157" s="74"/>
      <c r="DF157" s="74"/>
      <c r="DG157" s="74"/>
      <c r="DH157" s="74"/>
      <c r="DI157" s="74"/>
      <c r="DJ157" s="74"/>
      <c r="DK157" s="74"/>
      <c r="DL157" s="74"/>
      <c r="DM157" s="74"/>
      <c r="DN157" s="74"/>
      <c r="DO157" s="74"/>
      <c r="DP157" s="74"/>
      <c r="DQ157" s="74"/>
      <c r="DR157" s="74"/>
      <c r="DS157" s="74"/>
      <c r="DT157" s="74"/>
      <c r="DU157" s="74"/>
      <c r="DV157" s="74"/>
      <c r="DW157" s="74"/>
      <c r="DX157" s="74"/>
      <c r="DY157" s="74"/>
      <c r="DZ157" s="74"/>
      <c r="EA157" s="74"/>
      <c r="EB157" s="74"/>
      <c r="EC157" s="74"/>
      <c r="ED157" s="74"/>
      <c r="EE157" s="80"/>
      <c r="EF157" s="80"/>
      <c r="EG157" s="66"/>
      <c r="EH157" s="66"/>
      <c r="EI157" s="66"/>
      <c r="EJ157" s="66"/>
      <c r="EK157" s="66"/>
      <c r="EL157" s="66"/>
      <c r="EM157" s="82"/>
      <c r="EN157" s="82"/>
      <c r="EO157" s="77"/>
      <c r="EP157" s="77"/>
      <c r="EQ157" s="77"/>
      <c r="ER157" s="77"/>
      <c r="ES157" s="77"/>
      <c r="ET157" s="77"/>
      <c r="EU157" s="77"/>
      <c r="EV157" s="77"/>
      <c r="EW157" s="77"/>
      <c r="EX157" s="77"/>
      <c r="EY157" s="1"/>
      <c r="EZ157" s="74"/>
      <c r="FA157" s="74"/>
      <c r="FB157" s="74"/>
      <c r="FC157" s="74"/>
      <c r="FD157" s="68"/>
      <c r="FH157" s="73"/>
      <c r="FI157" s="74"/>
      <c r="FJ157" s="74"/>
      <c r="FK157" s="74"/>
      <c r="FL157" s="74"/>
      <c r="FM157" s="74"/>
      <c r="FN157" s="74"/>
      <c r="FO157" s="74"/>
      <c r="FP157" s="74"/>
      <c r="FQ157" s="74"/>
      <c r="FR157" s="74"/>
      <c r="FS157" s="74"/>
      <c r="FT157" s="74"/>
      <c r="FU157" s="74"/>
      <c r="FV157" s="74"/>
      <c r="FW157" s="74"/>
      <c r="FX157" s="74"/>
      <c r="FY157" s="74"/>
      <c r="FZ157" s="74"/>
      <c r="GA157" s="68"/>
    </row>
    <row r="158" spans="1:183" s="2" customFormat="1" x14ac:dyDescent="0.3">
      <c r="A158" s="73"/>
      <c r="B158" s="73"/>
      <c r="C158" s="1"/>
      <c r="D158" s="1"/>
      <c r="E158" s="1"/>
      <c r="F158" s="1"/>
      <c r="G158" s="1"/>
      <c r="H158" s="1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/>
      <c r="CK158" s="74"/>
      <c r="CL158" s="74"/>
      <c r="CM158" s="74"/>
      <c r="CN158" s="74"/>
      <c r="CO158" s="74"/>
      <c r="CP158" s="74"/>
      <c r="CQ158" s="74"/>
      <c r="CR158" s="74"/>
      <c r="CS158" s="74"/>
      <c r="CT158" s="74"/>
      <c r="CU158" s="74"/>
      <c r="CV158" s="74"/>
      <c r="CW158" s="74"/>
      <c r="CX158" s="74"/>
      <c r="CY158" s="74"/>
      <c r="CZ158" s="74"/>
      <c r="DA158" s="74"/>
      <c r="DB158" s="74"/>
      <c r="DC158" s="74"/>
      <c r="DD158" s="74"/>
      <c r="DE158" s="74"/>
      <c r="DF158" s="74"/>
      <c r="DG158" s="74"/>
      <c r="DH158" s="74"/>
      <c r="DI158" s="74"/>
      <c r="DJ158" s="74"/>
      <c r="DK158" s="74"/>
      <c r="DL158" s="74"/>
      <c r="DM158" s="74"/>
      <c r="DN158" s="74"/>
      <c r="DO158" s="74"/>
      <c r="DP158" s="74"/>
      <c r="DQ158" s="74"/>
      <c r="DR158" s="74"/>
      <c r="DS158" s="74"/>
      <c r="DT158" s="74"/>
      <c r="DU158" s="74"/>
      <c r="DV158" s="74"/>
      <c r="DW158" s="74"/>
      <c r="DX158" s="74"/>
      <c r="DY158" s="74"/>
      <c r="DZ158" s="74"/>
      <c r="EA158" s="74"/>
      <c r="EB158" s="74"/>
      <c r="EC158" s="74"/>
      <c r="ED158" s="74"/>
      <c r="EE158" s="80"/>
      <c r="EF158" s="80"/>
      <c r="EG158" s="66"/>
      <c r="EH158" s="66"/>
      <c r="EI158" s="66"/>
      <c r="EJ158" s="66"/>
      <c r="EK158" s="66"/>
      <c r="EL158" s="66"/>
      <c r="EM158" s="82"/>
      <c r="EN158" s="82"/>
      <c r="EO158" s="77"/>
      <c r="EP158" s="77"/>
      <c r="EQ158" s="77"/>
      <c r="ER158" s="77"/>
      <c r="ES158" s="77"/>
      <c r="ET158" s="77"/>
      <c r="EU158" s="77"/>
      <c r="EV158" s="77"/>
      <c r="EW158" s="77"/>
      <c r="EX158" s="77"/>
      <c r="EY158" s="1"/>
      <c r="EZ158" s="74"/>
      <c r="FA158" s="74"/>
      <c r="FB158" s="74"/>
      <c r="FC158" s="74"/>
      <c r="FD158" s="68"/>
      <c r="FH158" s="73"/>
      <c r="FI158" s="74"/>
      <c r="FJ158" s="74"/>
      <c r="FK158" s="74"/>
      <c r="FL158" s="74"/>
      <c r="FM158" s="74"/>
      <c r="FN158" s="74"/>
      <c r="FO158" s="74"/>
      <c r="FP158" s="74"/>
      <c r="FQ158" s="74"/>
      <c r="FR158" s="74"/>
      <c r="FS158" s="74"/>
      <c r="FT158" s="74"/>
      <c r="FU158" s="74"/>
      <c r="FV158" s="74"/>
      <c r="FW158" s="74"/>
      <c r="FX158" s="74"/>
      <c r="FY158" s="74"/>
      <c r="FZ158" s="74"/>
      <c r="GA158" s="68"/>
    </row>
    <row r="159" spans="1:183" s="2" customFormat="1" x14ac:dyDescent="0.3">
      <c r="A159" s="73"/>
      <c r="B159" s="73"/>
      <c r="C159" s="1"/>
      <c r="D159" s="1"/>
      <c r="E159" s="1"/>
      <c r="F159" s="1"/>
      <c r="G159" s="1"/>
      <c r="H159" s="1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/>
      <c r="CQ159" s="74"/>
      <c r="CR159" s="74"/>
      <c r="CS159" s="74"/>
      <c r="CT159" s="74"/>
      <c r="CU159" s="74"/>
      <c r="CV159" s="74"/>
      <c r="CW159" s="74"/>
      <c r="CX159" s="74"/>
      <c r="CY159" s="74"/>
      <c r="CZ159" s="74"/>
      <c r="DA159" s="74"/>
      <c r="DB159" s="74"/>
      <c r="DC159" s="74"/>
      <c r="DD159" s="74"/>
      <c r="DE159" s="74"/>
      <c r="DF159" s="74"/>
      <c r="DG159" s="74"/>
      <c r="DH159" s="74"/>
      <c r="DI159" s="74"/>
      <c r="DJ159" s="74"/>
      <c r="DK159" s="74"/>
      <c r="DL159" s="74"/>
      <c r="DM159" s="74"/>
      <c r="DN159" s="74"/>
      <c r="DO159" s="74"/>
      <c r="DP159" s="74"/>
      <c r="DQ159" s="74"/>
      <c r="DR159" s="74"/>
      <c r="DS159" s="74"/>
      <c r="DT159" s="74"/>
      <c r="DU159" s="74"/>
      <c r="DV159" s="74"/>
      <c r="DW159" s="74"/>
      <c r="DX159" s="74"/>
      <c r="DY159" s="74"/>
      <c r="DZ159" s="74"/>
      <c r="EA159" s="74"/>
      <c r="EB159" s="74"/>
      <c r="EC159" s="74"/>
      <c r="ED159" s="74"/>
      <c r="EE159" s="80"/>
      <c r="EF159" s="80"/>
      <c r="EG159" s="66"/>
      <c r="EH159" s="66"/>
      <c r="EI159" s="66"/>
      <c r="EJ159" s="66"/>
      <c r="EK159" s="66"/>
      <c r="EL159" s="66"/>
      <c r="EM159" s="82"/>
      <c r="EN159" s="82"/>
      <c r="EO159" s="77"/>
      <c r="EP159" s="77"/>
      <c r="EQ159" s="77"/>
      <c r="ER159" s="77"/>
      <c r="ES159" s="77"/>
      <c r="ET159" s="77"/>
      <c r="EU159" s="77"/>
      <c r="EV159" s="77"/>
      <c r="EW159" s="77"/>
      <c r="EX159" s="77"/>
      <c r="EY159" s="1"/>
      <c r="EZ159" s="74"/>
      <c r="FA159" s="74"/>
      <c r="FB159" s="74"/>
      <c r="FC159" s="74"/>
      <c r="FD159" s="68"/>
      <c r="FH159" s="73"/>
      <c r="FI159" s="74"/>
      <c r="FJ159" s="74"/>
      <c r="FK159" s="74"/>
      <c r="FL159" s="74"/>
      <c r="FM159" s="74"/>
      <c r="FN159" s="74"/>
      <c r="FO159" s="74"/>
      <c r="FP159" s="74"/>
      <c r="FQ159" s="74"/>
      <c r="FR159" s="74"/>
      <c r="FS159" s="74"/>
      <c r="FT159" s="74"/>
      <c r="FU159" s="74"/>
      <c r="FV159" s="74"/>
      <c r="FW159" s="74"/>
      <c r="FX159" s="74"/>
      <c r="FY159" s="74"/>
      <c r="FZ159" s="74"/>
      <c r="GA159" s="68"/>
    </row>
    <row r="160" spans="1:183" s="2" customFormat="1" x14ac:dyDescent="0.3">
      <c r="A160" s="73"/>
      <c r="B160" s="73"/>
      <c r="C160" s="1"/>
      <c r="D160" s="1"/>
      <c r="E160" s="1"/>
      <c r="F160" s="1"/>
      <c r="G160" s="1"/>
      <c r="H160" s="1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/>
      <c r="CU160" s="74"/>
      <c r="CV160" s="74"/>
      <c r="CW160" s="74"/>
      <c r="CX160" s="74"/>
      <c r="CY160" s="74"/>
      <c r="CZ160" s="74"/>
      <c r="DA160" s="74"/>
      <c r="DB160" s="74"/>
      <c r="DC160" s="74"/>
      <c r="DD160" s="74"/>
      <c r="DE160" s="74"/>
      <c r="DF160" s="74"/>
      <c r="DG160" s="74"/>
      <c r="DH160" s="74"/>
      <c r="DI160" s="74"/>
      <c r="DJ160" s="74"/>
      <c r="DK160" s="74"/>
      <c r="DL160" s="74"/>
      <c r="DM160" s="74"/>
      <c r="DN160" s="74"/>
      <c r="DO160" s="74"/>
      <c r="DP160" s="74"/>
      <c r="DQ160" s="74"/>
      <c r="DR160" s="74"/>
      <c r="DS160" s="74"/>
      <c r="DT160" s="74"/>
      <c r="DU160" s="74"/>
      <c r="DV160" s="74"/>
      <c r="DW160" s="74"/>
      <c r="DX160" s="74"/>
      <c r="DY160" s="74"/>
      <c r="DZ160" s="74"/>
      <c r="EA160" s="74"/>
      <c r="EB160" s="74"/>
      <c r="EC160" s="74"/>
      <c r="ED160" s="74"/>
      <c r="EE160" s="80"/>
      <c r="EF160" s="80"/>
      <c r="EG160" s="66"/>
      <c r="EH160" s="66"/>
      <c r="EI160" s="66"/>
      <c r="EJ160" s="66"/>
      <c r="EK160" s="66"/>
      <c r="EL160" s="66"/>
      <c r="EM160" s="82"/>
      <c r="EN160" s="82"/>
      <c r="EO160" s="77"/>
      <c r="EP160" s="77"/>
      <c r="EQ160" s="77"/>
      <c r="ER160" s="77"/>
      <c r="ES160" s="77"/>
      <c r="ET160" s="77"/>
      <c r="EU160" s="77"/>
      <c r="EV160" s="77"/>
      <c r="EW160" s="77"/>
      <c r="EX160" s="77"/>
      <c r="EY160" s="1"/>
      <c r="EZ160" s="74"/>
      <c r="FA160" s="74"/>
      <c r="FB160" s="74"/>
      <c r="FC160" s="74"/>
      <c r="FD160" s="68"/>
      <c r="FH160" s="73"/>
      <c r="FI160" s="74"/>
      <c r="FJ160" s="74"/>
      <c r="FK160" s="74"/>
      <c r="FL160" s="74"/>
      <c r="FM160" s="74"/>
      <c r="FN160" s="74"/>
      <c r="FO160" s="74"/>
      <c r="FP160" s="74"/>
      <c r="FQ160" s="74"/>
      <c r="FR160" s="74"/>
      <c r="FS160" s="74"/>
      <c r="FT160" s="74"/>
      <c r="FU160" s="74"/>
      <c r="FV160" s="74"/>
      <c r="FW160" s="74"/>
      <c r="FX160" s="74"/>
      <c r="FY160" s="74"/>
      <c r="FZ160" s="74"/>
      <c r="GA160" s="68"/>
    </row>
    <row r="161" spans="1:183" s="2" customFormat="1" x14ac:dyDescent="0.3">
      <c r="A161" s="73"/>
      <c r="B161" s="73"/>
      <c r="C161" s="1"/>
      <c r="D161" s="1"/>
      <c r="E161" s="1"/>
      <c r="F161" s="1"/>
      <c r="G161" s="1"/>
      <c r="H161" s="1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4"/>
      <c r="CV161" s="74"/>
      <c r="CW161" s="74"/>
      <c r="CX161" s="74"/>
      <c r="CY161" s="74"/>
      <c r="CZ161" s="74"/>
      <c r="DA161" s="74"/>
      <c r="DB161" s="74"/>
      <c r="DC161" s="74"/>
      <c r="DD161" s="74"/>
      <c r="DE161" s="74"/>
      <c r="DF161" s="74"/>
      <c r="DG161" s="74"/>
      <c r="DH161" s="74"/>
      <c r="DI161" s="74"/>
      <c r="DJ161" s="74"/>
      <c r="DK161" s="74"/>
      <c r="DL161" s="74"/>
      <c r="DM161" s="74"/>
      <c r="DN161" s="74"/>
      <c r="DO161" s="74"/>
      <c r="DP161" s="74"/>
      <c r="DQ161" s="74"/>
      <c r="DR161" s="74"/>
      <c r="DS161" s="74"/>
      <c r="DT161" s="74"/>
      <c r="DU161" s="74"/>
      <c r="DV161" s="74"/>
      <c r="DW161" s="74"/>
      <c r="DX161" s="74"/>
      <c r="DY161" s="74"/>
      <c r="DZ161" s="74"/>
      <c r="EA161" s="74"/>
      <c r="EB161" s="74"/>
      <c r="EC161" s="74"/>
      <c r="ED161" s="74"/>
      <c r="EE161" s="80"/>
      <c r="EF161" s="80"/>
      <c r="EG161" s="66"/>
      <c r="EH161" s="66"/>
      <c r="EI161" s="66"/>
      <c r="EJ161" s="66"/>
      <c r="EK161" s="66"/>
      <c r="EL161" s="66"/>
      <c r="EM161" s="82"/>
      <c r="EN161" s="82"/>
      <c r="EO161" s="77"/>
      <c r="EP161" s="77"/>
      <c r="EQ161" s="77"/>
      <c r="ER161" s="77"/>
      <c r="ES161" s="77"/>
      <c r="ET161" s="77"/>
      <c r="EU161" s="77"/>
      <c r="EV161" s="77"/>
      <c r="EW161" s="77"/>
      <c r="EX161" s="77"/>
      <c r="EY161" s="1"/>
      <c r="EZ161" s="74"/>
      <c r="FA161" s="74"/>
      <c r="FB161" s="74"/>
      <c r="FC161" s="74"/>
      <c r="FD161" s="68"/>
      <c r="FH161" s="73"/>
      <c r="FI161" s="74"/>
      <c r="FJ161" s="74"/>
      <c r="FK161" s="74"/>
      <c r="FL161" s="74"/>
      <c r="FM161" s="74"/>
      <c r="FN161" s="74"/>
      <c r="FO161" s="74"/>
      <c r="FP161" s="74"/>
      <c r="FQ161" s="74"/>
      <c r="FR161" s="74"/>
      <c r="FS161" s="74"/>
      <c r="FT161" s="74"/>
      <c r="FU161" s="74"/>
      <c r="FV161" s="74"/>
      <c r="FW161" s="74"/>
      <c r="FX161" s="74"/>
      <c r="FY161" s="74"/>
      <c r="FZ161" s="74"/>
      <c r="GA161" s="68"/>
    </row>
    <row r="162" spans="1:183" s="2" customFormat="1" x14ac:dyDescent="0.3">
      <c r="A162" s="73"/>
      <c r="B162" s="73"/>
      <c r="C162" s="1"/>
      <c r="D162" s="1"/>
      <c r="E162" s="1"/>
      <c r="F162" s="1"/>
      <c r="G162" s="1"/>
      <c r="H162" s="1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/>
      <c r="CS162" s="74"/>
      <c r="CT162" s="74"/>
      <c r="CU162" s="74"/>
      <c r="CV162" s="74"/>
      <c r="CW162" s="74"/>
      <c r="CX162" s="74"/>
      <c r="CY162" s="74"/>
      <c r="CZ162" s="74"/>
      <c r="DA162" s="74"/>
      <c r="DB162" s="74"/>
      <c r="DC162" s="74"/>
      <c r="DD162" s="74"/>
      <c r="DE162" s="74"/>
      <c r="DF162" s="74"/>
      <c r="DG162" s="74"/>
      <c r="DH162" s="74"/>
      <c r="DI162" s="74"/>
      <c r="DJ162" s="74"/>
      <c r="DK162" s="74"/>
      <c r="DL162" s="74"/>
      <c r="DM162" s="74"/>
      <c r="DN162" s="74"/>
      <c r="DO162" s="74"/>
      <c r="DP162" s="74"/>
      <c r="DQ162" s="74"/>
      <c r="DR162" s="74"/>
      <c r="DS162" s="74"/>
      <c r="DT162" s="74"/>
      <c r="DU162" s="74"/>
      <c r="DV162" s="74"/>
      <c r="DW162" s="74"/>
      <c r="DX162" s="74"/>
      <c r="DY162" s="74"/>
      <c r="DZ162" s="74"/>
      <c r="EA162" s="74"/>
      <c r="EB162" s="74"/>
      <c r="EC162" s="74"/>
      <c r="ED162" s="74"/>
      <c r="EE162" s="80"/>
      <c r="EF162" s="80"/>
      <c r="EG162" s="66"/>
      <c r="EH162" s="66"/>
      <c r="EI162" s="66"/>
      <c r="EJ162" s="66"/>
      <c r="EK162" s="66"/>
      <c r="EL162" s="66"/>
      <c r="EM162" s="82"/>
      <c r="EN162" s="82"/>
      <c r="EO162" s="77"/>
      <c r="EP162" s="77"/>
      <c r="EQ162" s="77"/>
      <c r="ER162" s="77"/>
      <c r="ES162" s="77"/>
      <c r="ET162" s="77"/>
      <c r="EU162" s="77"/>
      <c r="EV162" s="77"/>
      <c r="EW162" s="77"/>
      <c r="EX162" s="77"/>
      <c r="EY162" s="1"/>
      <c r="EZ162" s="74"/>
      <c r="FA162" s="74"/>
      <c r="FB162" s="74"/>
      <c r="FC162" s="74"/>
      <c r="FD162" s="68"/>
      <c r="FH162" s="73"/>
      <c r="FI162" s="74"/>
      <c r="FJ162" s="74"/>
      <c r="FK162" s="74"/>
      <c r="FL162" s="74"/>
      <c r="FM162" s="74"/>
      <c r="FN162" s="74"/>
      <c r="FO162" s="74"/>
      <c r="FP162" s="74"/>
      <c r="FQ162" s="74"/>
      <c r="FR162" s="74"/>
      <c r="FS162" s="74"/>
      <c r="FT162" s="74"/>
      <c r="FU162" s="74"/>
      <c r="FV162" s="74"/>
      <c r="FW162" s="74"/>
      <c r="FX162" s="74"/>
      <c r="FY162" s="74"/>
      <c r="FZ162" s="74"/>
      <c r="GA162" s="68"/>
    </row>
    <row r="163" spans="1:183" s="2" customFormat="1" x14ac:dyDescent="0.3">
      <c r="A163" s="73"/>
      <c r="B163" s="73"/>
      <c r="C163" s="1"/>
      <c r="D163" s="1"/>
      <c r="E163" s="1"/>
      <c r="F163" s="1"/>
      <c r="G163" s="1"/>
      <c r="H163" s="1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/>
      <c r="CO163" s="74"/>
      <c r="CP163" s="74"/>
      <c r="CQ163" s="74"/>
      <c r="CR163" s="74"/>
      <c r="CS163" s="74"/>
      <c r="CT163" s="74"/>
      <c r="CU163" s="74"/>
      <c r="CV163" s="74"/>
      <c r="CW163" s="74"/>
      <c r="CX163" s="74"/>
      <c r="CY163" s="74"/>
      <c r="CZ163" s="74"/>
      <c r="DA163" s="74"/>
      <c r="DB163" s="74"/>
      <c r="DC163" s="74"/>
      <c r="DD163" s="74"/>
      <c r="DE163" s="74"/>
      <c r="DF163" s="74"/>
      <c r="DG163" s="74"/>
      <c r="DH163" s="74"/>
      <c r="DI163" s="74"/>
      <c r="DJ163" s="74"/>
      <c r="DK163" s="74"/>
      <c r="DL163" s="74"/>
      <c r="DM163" s="74"/>
      <c r="DN163" s="74"/>
      <c r="DO163" s="74"/>
      <c r="DP163" s="74"/>
      <c r="DQ163" s="74"/>
      <c r="DR163" s="74"/>
      <c r="DS163" s="74"/>
      <c r="DT163" s="74"/>
      <c r="DU163" s="74"/>
      <c r="DV163" s="74"/>
      <c r="DW163" s="74"/>
      <c r="DX163" s="74"/>
      <c r="DY163" s="74"/>
      <c r="DZ163" s="74"/>
      <c r="EA163" s="74"/>
      <c r="EB163" s="74"/>
      <c r="EC163" s="74"/>
      <c r="ED163" s="74"/>
      <c r="EE163" s="80"/>
      <c r="EF163" s="80"/>
      <c r="EG163" s="66"/>
      <c r="EH163" s="66"/>
      <c r="EI163" s="66"/>
      <c r="EJ163" s="66"/>
      <c r="EK163" s="66"/>
      <c r="EL163" s="66"/>
      <c r="EM163" s="82"/>
      <c r="EN163" s="82"/>
      <c r="EO163" s="77"/>
      <c r="EP163" s="77"/>
      <c r="EQ163" s="77"/>
      <c r="ER163" s="77"/>
      <c r="ES163" s="77"/>
      <c r="ET163" s="77"/>
      <c r="EU163" s="77"/>
      <c r="EV163" s="77"/>
      <c r="EW163" s="77"/>
      <c r="EX163" s="77"/>
      <c r="EY163" s="1"/>
      <c r="EZ163" s="74"/>
      <c r="FA163" s="74"/>
      <c r="FB163" s="74"/>
      <c r="FC163" s="74"/>
      <c r="FD163" s="68"/>
      <c r="FH163" s="73"/>
      <c r="FI163" s="74"/>
      <c r="FJ163" s="74"/>
      <c r="FK163" s="74"/>
      <c r="FL163" s="74"/>
      <c r="FM163" s="74"/>
      <c r="FN163" s="74"/>
      <c r="FO163" s="74"/>
      <c r="FP163" s="74"/>
      <c r="FQ163" s="74"/>
      <c r="FR163" s="74"/>
      <c r="FS163" s="74"/>
      <c r="FT163" s="74"/>
      <c r="FU163" s="74"/>
      <c r="FV163" s="74"/>
      <c r="FW163" s="74"/>
      <c r="FX163" s="74"/>
      <c r="FY163" s="74"/>
      <c r="FZ163" s="74"/>
      <c r="GA163" s="68"/>
    </row>
    <row r="164" spans="1:183" s="2" customFormat="1" x14ac:dyDescent="0.3">
      <c r="A164" s="73"/>
      <c r="B164" s="73"/>
      <c r="C164" s="1"/>
      <c r="D164" s="1"/>
      <c r="E164" s="1"/>
      <c r="F164" s="1"/>
      <c r="G164" s="1"/>
      <c r="H164" s="1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80"/>
      <c r="EF164" s="80"/>
      <c r="EG164" s="66"/>
      <c r="EH164" s="66"/>
      <c r="EI164" s="66"/>
      <c r="EJ164" s="66"/>
      <c r="EK164" s="66"/>
      <c r="EL164" s="66"/>
      <c r="EM164" s="79"/>
      <c r="EN164" s="78"/>
      <c r="EO164" s="78"/>
      <c r="EP164" s="78"/>
      <c r="EQ164" s="78"/>
      <c r="ER164" s="78"/>
      <c r="ES164" s="78"/>
      <c r="ET164" s="78"/>
      <c r="EU164" s="78"/>
      <c r="EV164" s="78"/>
      <c r="EW164" s="78"/>
      <c r="EX164" s="78"/>
      <c r="EY164" s="1"/>
      <c r="EZ164" s="74"/>
      <c r="FA164" s="74"/>
      <c r="FB164" s="74"/>
      <c r="FC164" s="74"/>
      <c r="FD164" s="68"/>
      <c r="FH164" s="73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68"/>
    </row>
    <row r="165" spans="1:183" s="2" customFormat="1" x14ac:dyDescent="0.3">
      <c r="A165" s="73"/>
      <c r="B165" s="73"/>
      <c r="C165" s="1"/>
      <c r="D165" s="1"/>
      <c r="E165" s="1"/>
      <c r="F165" s="1"/>
      <c r="G165" s="1"/>
      <c r="H165" s="1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80"/>
      <c r="EF165" s="80"/>
      <c r="EG165" s="66"/>
      <c r="EH165" s="66"/>
      <c r="EI165" s="66"/>
      <c r="EJ165" s="66"/>
      <c r="EK165" s="66"/>
      <c r="EL165" s="66"/>
      <c r="EM165" s="82"/>
      <c r="EN165" s="82"/>
      <c r="EO165" s="77"/>
      <c r="EP165" s="77"/>
      <c r="EQ165" s="77"/>
      <c r="ER165" s="77"/>
      <c r="ES165" s="77"/>
      <c r="ET165" s="77"/>
      <c r="EU165" s="77"/>
      <c r="EV165" s="77"/>
      <c r="EW165" s="77"/>
      <c r="EX165" s="77"/>
      <c r="EY165" s="1"/>
      <c r="EZ165" s="74"/>
      <c r="FA165" s="74"/>
      <c r="FB165" s="74"/>
      <c r="FC165" s="74"/>
      <c r="FD165" s="68"/>
      <c r="FH165" s="73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68"/>
    </row>
    <row r="166" spans="1:183" s="2" customFormat="1" x14ac:dyDescent="0.3">
      <c r="A166" s="73"/>
      <c r="B166" s="73"/>
      <c r="C166" s="1"/>
      <c r="D166" s="1"/>
      <c r="E166" s="1"/>
      <c r="F166" s="1"/>
      <c r="G166" s="1"/>
      <c r="H166" s="1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4"/>
      <c r="CV166" s="74"/>
      <c r="CW166" s="74"/>
      <c r="CX166" s="74"/>
      <c r="CY166" s="74"/>
      <c r="CZ166" s="74"/>
      <c r="DA166" s="74"/>
      <c r="DB166" s="74"/>
      <c r="DC166" s="74"/>
      <c r="DD166" s="74"/>
      <c r="DE166" s="74"/>
      <c r="DF166" s="74"/>
      <c r="DG166" s="74"/>
      <c r="DH166" s="74"/>
      <c r="DI166" s="74"/>
      <c r="DJ166" s="74"/>
      <c r="DK166" s="74"/>
      <c r="DL166" s="74"/>
      <c r="DM166" s="74"/>
      <c r="DN166" s="74"/>
      <c r="DO166" s="74"/>
      <c r="DP166" s="74"/>
      <c r="DQ166" s="74"/>
      <c r="DR166" s="74"/>
      <c r="DS166" s="74"/>
      <c r="DT166" s="74"/>
      <c r="DU166" s="74"/>
      <c r="DV166" s="74"/>
      <c r="DW166" s="74"/>
      <c r="DX166" s="74"/>
      <c r="DY166" s="74"/>
      <c r="DZ166" s="74"/>
      <c r="EA166" s="74"/>
      <c r="EB166" s="74"/>
      <c r="EC166" s="74"/>
      <c r="ED166" s="74"/>
      <c r="EE166" s="80"/>
      <c r="EF166" s="80"/>
      <c r="EG166" s="66"/>
      <c r="EH166" s="66"/>
      <c r="EI166" s="66"/>
      <c r="EJ166" s="66"/>
      <c r="EK166" s="66"/>
      <c r="EL166" s="66"/>
      <c r="EM166" s="82"/>
      <c r="EN166" s="82"/>
      <c r="EO166" s="77"/>
      <c r="EP166" s="77"/>
      <c r="EQ166" s="77"/>
      <c r="ER166" s="77"/>
      <c r="ES166" s="77"/>
      <c r="ET166" s="77"/>
      <c r="EU166" s="77"/>
      <c r="EV166" s="77"/>
      <c r="EW166" s="77"/>
      <c r="EX166" s="77"/>
      <c r="EY166" s="1"/>
      <c r="EZ166" s="74"/>
      <c r="FA166" s="74"/>
      <c r="FB166" s="74"/>
      <c r="FC166" s="74"/>
      <c r="FD166" s="68"/>
      <c r="FH166" s="73"/>
      <c r="FI166" s="74"/>
      <c r="FJ166" s="74"/>
      <c r="FK166" s="74"/>
      <c r="FL166" s="74"/>
      <c r="FM166" s="74"/>
      <c r="FN166" s="74"/>
      <c r="FO166" s="74"/>
      <c r="FP166" s="74"/>
      <c r="FQ166" s="74"/>
      <c r="FR166" s="74"/>
      <c r="FS166" s="74"/>
      <c r="FT166" s="74"/>
      <c r="FU166" s="74"/>
      <c r="FV166" s="74"/>
      <c r="FW166" s="74"/>
      <c r="FX166" s="74"/>
      <c r="FY166" s="74"/>
      <c r="FZ166" s="74"/>
      <c r="GA166" s="68"/>
    </row>
    <row r="167" spans="1:183" s="2" customFormat="1" x14ac:dyDescent="0.3">
      <c r="A167" s="73"/>
      <c r="B167" s="73"/>
      <c r="C167" s="1"/>
      <c r="D167" s="1"/>
      <c r="E167" s="1"/>
      <c r="F167" s="1"/>
      <c r="G167" s="1"/>
      <c r="H167" s="1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/>
      <c r="CS167" s="74"/>
      <c r="CT167" s="74"/>
      <c r="CU167" s="74"/>
      <c r="CV167" s="74"/>
      <c r="CW167" s="74"/>
      <c r="CX167" s="74"/>
      <c r="CY167" s="74"/>
      <c r="CZ167" s="74"/>
      <c r="DA167" s="74"/>
      <c r="DB167" s="74"/>
      <c r="DC167" s="74"/>
      <c r="DD167" s="74"/>
      <c r="DE167" s="74"/>
      <c r="DF167" s="74"/>
      <c r="DG167" s="74"/>
      <c r="DH167" s="74"/>
      <c r="DI167" s="74"/>
      <c r="DJ167" s="74"/>
      <c r="DK167" s="74"/>
      <c r="DL167" s="74"/>
      <c r="DM167" s="74"/>
      <c r="DN167" s="74"/>
      <c r="DO167" s="74"/>
      <c r="DP167" s="74"/>
      <c r="DQ167" s="74"/>
      <c r="DR167" s="74"/>
      <c r="DS167" s="74"/>
      <c r="DT167" s="74"/>
      <c r="DU167" s="74"/>
      <c r="DV167" s="74"/>
      <c r="DW167" s="74"/>
      <c r="DX167" s="74"/>
      <c r="DY167" s="74"/>
      <c r="DZ167" s="74"/>
      <c r="EA167" s="74"/>
      <c r="EB167" s="74"/>
      <c r="EC167" s="74"/>
      <c r="ED167" s="74"/>
      <c r="EE167" s="80"/>
      <c r="EF167" s="80"/>
      <c r="EG167" s="66"/>
      <c r="EH167" s="66"/>
      <c r="EI167" s="66"/>
      <c r="EJ167" s="66"/>
      <c r="EK167" s="66"/>
      <c r="EL167" s="66"/>
      <c r="EM167" s="82"/>
      <c r="EN167" s="82"/>
      <c r="EO167" s="77"/>
      <c r="EP167" s="77"/>
      <c r="EQ167" s="77"/>
      <c r="ER167" s="77"/>
      <c r="ES167" s="77"/>
      <c r="ET167" s="77"/>
      <c r="EU167" s="77"/>
      <c r="EV167" s="77"/>
      <c r="EW167" s="77"/>
      <c r="EX167" s="77"/>
      <c r="EY167" s="1"/>
      <c r="EZ167" s="74"/>
      <c r="FA167" s="74"/>
      <c r="FB167" s="74"/>
      <c r="FC167" s="74"/>
      <c r="FD167" s="68"/>
      <c r="FH167" s="73"/>
      <c r="FI167" s="74"/>
      <c r="FJ167" s="74"/>
      <c r="FK167" s="74"/>
      <c r="FL167" s="74"/>
      <c r="FM167" s="74"/>
      <c r="FN167" s="74"/>
      <c r="FO167" s="74"/>
      <c r="FP167" s="74"/>
      <c r="FQ167" s="74"/>
      <c r="FR167" s="74"/>
      <c r="FS167" s="74"/>
      <c r="FT167" s="74"/>
      <c r="FU167" s="74"/>
      <c r="FV167" s="74"/>
      <c r="FW167" s="74"/>
      <c r="FX167" s="74"/>
      <c r="FY167" s="74"/>
      <c r="FZ167" s="74"/>
      <c r="GA167" s="68"/>
    </row>
    <row r="168" spans="1:183" s="2" customFormat="1" x14ac:dyDescent="0.3">
      <c r="A168" s="73"/>
      <c r="B168" s="73"/>
      <c r="C168" s="1"/>
      <c r="D168" s="1"/>
      <c r="E168" s="1"/>
      <c r="F168" s="1"/>
      <c r="G168" s="1"/>
      <c r="H168" s="1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/>
      <c r="CU168" s="74"/>
      <c r="CV168" s="74"/>
      <c r="CW168" s="74"/>
      <c r="CX168" s="74"/>
      <c r="CY168" s="74"/>
      <c r="CZ168" s="74"/>
      <c r="DA168" s="74"/>
      <c r="DB168" s="74"/>
      <c r="DC168" s="74"/>
      <c r="DD168" s="74"/>
      <c r="DE168" s="74"/>
      <c r="DF168" s="74"/>
      <c r="DG168" s="74"/>
      <c r="DH168" s="74"/>
      <c r="DI168" s="74"/>
      <c r="DJ168" s="74"/>
      <c r="DK168" s="74"/>
      <c r="DL168" s="74"/>
      <c r="DM168" s="74"/>
      <c r="DN168" s="74"/>
      <c r="DO168" s="74"/>
      <c r="DP168" s="74"/>
      <c r="DQ168" s="74"/>
      <c r="DR168" s="74"/>
      <c r="DS168" s="74"/>
      <c r="DT168" s="74"/>
      <c r="DU168" s="74"/>
      <c r="DV168" s="74"/>
      <c r="DW168" s="74"/>
      <c r="DX168" s="74"/>
      <c r="DY168" s="74"/>
      <c r="DZ168" s="74"/>
      <c r="EA168" s="74"/>
      <c r="EB168" s="74"/>
      <c r="EC168" s="74"/>
      <c r="ED168" s="74"/>
      <c r="EE168" s="80"/>
      <c r="EF168" s="80"/>
      <c r="EG168" s="66"/>
      <c r="EH168" s="66"/>
      <c r="EI168" s="66"/>
      <c r="EJ168" s="66"/>
      <c r="EK168" s="66"/>
      <c r="EL168" s="66"/>
      <c r="EM168" s="82"/>
      <c r="EN168" s="82"/>
      <c r="EO168" s="77"/>
      <c r="EP168" s="77"/>
      <c r="EQ168" s="77"/>
      <c r="ER168" s="77"/>
      <c r="ES168" s="77"/>
      <c r="ET168" s="77"/>
      <c r="EU168" s="77"/>
      <c r="EV168" s="77"/>
      <c r="EW168" s="77"/>
      <c r="EX168" s="77"/>
      <c r="EY168" s="1"/>
      <c r="EZ168" s="74"/>
      <c r="FA168" s="74"/>
      <c r="FB168" s="74"/>
      <c r="FC168" s="74"/>
      <c r="FD168" s="68"/>
      <c r="FH168" s="73"/>
      <c r="FI168" s="74"/>
      <c r="FJ168" s="74"/>
      <c r="FK168" s="74"/>
      <c r="FL168" s="74"/>
      <c r="FM168" s="74"/>
      <c r="FN168" s="74"/>
      <c r="FO168" s="74"/>
      <c r="FP168" s="74"/>
      <c r="FQ168" s="74"/>
      <c r="FR168" s="74"/>
      <c r="FS168" s="74"/>
      <c r="FT168" s="74"/>
      <c r="FU168" s="74"/>
      <c r="FV168" s="74"/>
      <c r="FW168" s="74"/>
      <c r="FX168" s="74"/>
      <c r="FY168" s="74"/>
      <c r="FZ168" s="74"/>
      <c r="GA168" s="68"/>
    </row>
    <row r="169" spans="1:183" s="2" customFormat="1" x14ac:dyDescent="0.3">
      <c r="A169" s="73"/>
      <c r="B169" s="73"/>
      <c r="C169" s="1"/>
      <c r="D169" s="1"/>
      <c r="E169" s="1"/>
      <c r="F169" s="1"/>
      <c r="G169" s="1"/>
      <c r="H169" s="1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/>
      <c r="CG169" s="74"/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4"/>
      <c r="CV169" s="74"/>
      <c r="CW169" s="74"/>
      <c r="CX169" s="74"/>
      <c r="CY169" s="74"/>
      <c r="CZ169" s="74"/>
      <c r="DA169" s="74"/>
      <c r="DB169" s="74"/>
      <c r="DC169" s="74"/>
      <c r="DD169" s="74"/>
      <c r="DE169" s="74"/>
      <c r="DF169" s="74"/>
      <c r="DG169" s="74"/>
      <c r="DH169" s="74"/>
      <c r="DI169" s="74"/>
      <c r="DJ169" s="74"/>
      <c r="DK169" s="74"/>
      <c r="DL169" s="74"/>
      <c r="DM169" s="74"/>
      <c r="DN169" s="74"/>
      <c r="DO169" s="74"/>
      <c r="DP169" s="74"/>
      <c r="DQ169" s="74"/>
      <c r="DR169" s="74"/>
      <c r="DS169" s="74"/>
      <c r="DT169" s="74"/>
      <c r="DU169" s="74"/>
      <c r="DV169" s="74"/>
      <c r="DW169" s="74"/>
      <c r="DX169" s="74"/>
      <c r="DY169" s="74"/>
      <c r="DZ169" s="74"/>
      <c r="EA169" s="74"/>
      <c r="EB169" s="74"/>
      <c r="EC169" s="74"/>
      <c r="ED169" s="74"/>
      <c r="EE169" s="80"/>
      <c r="EF169" s="80"/>
      <c r="EG169" s="66"/>
      <c r="EH169" s="66"/>
      <c r="EI169" s="66"/>
      <c r="EJ169" s="66"/>
      <c r="EK169" s="66"/>
      <c r="EL169" s="66"/>
      <c r="EM169" s="82"/>
      <c r="EN169" s="82"/>
      <c r="EO169" s="77"/>
      <c r="EP169" s="77"/>
      <c r="EQ169" s="77"/>
      <c r="ER169" s="77"/>
      <c r="ES169" s="77"/>
      <c r="ET169" s="77"/>
      <c r="EU169" s="77"/>
      <c r="EV169" s="77"/>
      <c r="EW169" s="77"/>
      <c r="EX169" s="77"/>
      <c r="EY169" s="1"/>
      <c r="EZ169" s="74"/>
      <c r="FA169" s="74"/>
      <c r="FB169" s="74"/>
      <c r="FC169" s="74"/>
      <c r="FD169" s="68"/>
      <c r="FH169" s="73"/>
      <c r="FI169" s="74"/>
      <c r="FJ169" s="74"/>
      <c r="FK169" s="74"/>
      <c r="FL169" s="74"/>
      <c r="FM169" s="74"/>
      <c r="FN169" s="74"/>
      <c r="FO169" s="74"/>
      <c r="FP169" s="74"/>
      <c r="FQ169" s="74"/>
      <c r="FR169" s="74"/>
      <c r="FS169" s="74"/>
      <c r="FT169" s="74"/>
      <c r="FU169" s="74"/>
      <c r="FV169" s="74"/>
      <c r="FW169" s="74"/>
      <c r="FX169" s="74"/>
      <c r="FY169" s="74"/>
      <c r="FZ169" s="74"/>
      <c r="GA169" s="68"/>
    </row>
    <row r="170" spans="1:183" s="2" customFormat="1" x14ac:dyDescent="0.3">
      <c r="A170" s="73"/>
      <c r="B170" s="73"/>
      <c r="C170" s="1"/>
      <c r="D170" s="1"/>
      <c r="E170" s="1"/>
      <c r="F170" s="1"/>
      <c r="G170" s="1"/>
      <c r="H170" s="1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/>
      <c r="CO170" s="74"/>
      <c r="CP170" s="74"/>
      <c r="CQ170" s="74"/>
      <c r="CR170" s="74"/>
      <c r="CS170" s="74"/>
      <c r="CT170" s="74"/>
      <c r="CU170" s="74"/>
      <c r="CV170" s="74"/>
      <c r="CW170" s="74"/>
      <c r="CX170" s="74"/>
      <c r="CY170" s="74"/>
      <c r="CZ170" s="74"/>
      <c r="DA170" s="74"/>
      <c r="DB170" s="74"/>
      <c r="DC170" s="74"/>
      <c r="DD170" s="74"/>
      <c r="DE170" s="74"/>
      <c r="DF170" s="74"/>
      <c r="DG170" s="74"/>
      <c r="DH170" s="74"/>
      <c r="DI170" s="74"/>
      <c r="DJ170" s="74"/>
      <c r="DK170" s="74"/>
      <c r="DL170" s="74"/>
      <c r="DM170" s="74"/>
      <c r="DN170" s="74"/>
      <c r="DO170" s="74"/>
      <c r="DP170" s="74"/>
      <c r="DQ170" s="74"/>
      <c r="DR170" s="74"/>
      <c r="DS170" s="74"/>
      <c r="DT170" s="74"/>
      <c r="DU170" s="74"/>
      <c r="DV170" s="74"/>
      <c r="DW170" s="74"/>
      <c r="DX170" s="74"/>
      <c r="DY170" s="74"/>
      <c r="DZ170" s="74"/>
      <c r="EA170" s="74"/>
      <c r="EB170" s="74"/>
      <c r="EC170" s="74"/>
      <c r="ED170" s="74"/>
      <c r="EE170" s="80"/>
      <c r="EF170" s="80"/>
      <c r="EG170" s="66"/>
      <c r="EH170" s="66"/>
      <c r="EI170" s="66"/>
      <c r="EJ170" s="66"/>
      <c r="EK170" s="66"/>
      <c r="EL170" s="66"/>
      <c r="EM170" s="82"/>
      <c r="EN170" s="82"/>
      <c r="EO170" s="77"/>
      <c r="EP170" s="77"/>
      <c r="EQ170" s="77"/>
      <c r="ER170" s="77"/>
      <c r="ES170" s="77"/>
      <c r="ET170" s="77"/>
      <c r="EU170" s="77"/>
      <c r="EV170" s="77"/>
      <c r="EW170" s="77"/>
      <c r="EX170" s="77"/>
      <c r="EY170" s="1"/>
      <c r="EZ170" s="74"/>
      <c r="FA170" s="74"/>
      <c r="FB170" s="74"/>
      <c r="FC170" s="74"/>
      <c r="FD170" s="68"/>
      <c r="FH170" s="73"/>
      <c r="FI170" s="74"/>
      <c r="FJ170" s="74"/>
      <c r="FK170" s="74"/>
      <c r="FL170" s="74"/>
      <c r="FM170" s="74"/>
      <c r="FN170" s="74"/>
      <c r="FO170" s="74"/>
      <c r="FP170" s="74"/>
      <c r="FQ170" s="74"/>
      <c r="FR170" s="74"/>
      <c r="FS170" s="74"/>
      <c r="FT170" s="74"/>
      <c r="FU170" s="74"/>
      <c r="FV170" s="74"/>
      <c r="FW170" s="74"/>
      <c r="FX170" s="74"/>
      <c r="FY170" s="74"/>
      <c r="FZ170" s="74"/>
      <c r="GA170" s="68"/>
    </row>
    <row r="171" spans="1:183" s="2" customFormat="1" x14ac:dyDescent="0.3">
      <c r="A171" s="73"/>
      <c r="B171" s="73"/>
      <c r="C171" s="1"/>
      <c r="D171" s="1"/>
      <c r="E171" s="1"/>
      <c r="F171" s="1"/>
      <c r="G171" s="1"/>
      <c r="H171" s="1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4"/>
      <c r="CV171" s="74"/>
      <c r="CW171" s="74"/>
      <c r="CX171" s="74"/>
      <c r="CY171" s="74"/>
      <c r="CZ171" s="74"/>
      <c r="DA171" s="74"/>
      <c r="DB171" s="74"/>
      <c r="DC171" s="74"/>
      <c r="DD171" s="74"/>
      <c r="DE171" s="74"/>
      <c r="DF171" s="74"/>
      <c r="DG171" s="74"/>
      <c r="DH171" s="74"/>
      <c r="DI171" s="74"/>
      <c r="DJ171" s="74"/>
      <c r="DK171" s="74"/>
      <c r="DL171" s="74"/>
      <c r="DM171" s="74"/>
      <c r="DN171" s="74"/>
      <c r="DO171" s="74"/>
      <c r="DP171" s="74"/>
      <c r="DQ171" s="74"/>
      <c r="DR171" s="74"/>
      <c r="DS171" s="74"/>
      <c r="DT171" s="74"/>
      <c r="DU171" s="74"/>
      <c r="DV171" s="74"/>
      <c r="DW171" s="74"/>
      <c r="DX171" s="74"/>
      <c r="DY171" s="74"/>
      <c r="DZ171" s="74"/>
      <c r="EA171" s="74"/>
      <c r="EB171" s="74"/>
      <c r="EC171" s="74"/>
      <c r="ED171" s="74"/>
      <c r="EE171" s="80"/>
      <c r="EF171" s="80"/>
      <c r="EG171" s="66"/>
      <c r="EH171" s="66"/>
      <c r="EI171" s="66"/>
      <c r="EJ171" s="66"/>
      <c r="EK171" s="66"/>
      <c r="EL171" s="66"/>
      <c r="EM171" s="82"/>
      <c r="EN171" s="82"/>
      <c r="EO171" s="77"/>
      <c r="EP171" s="77"/>
      <c r="EQ171" s="77"/>
      <c r="ER171" s="77"/>
      <c r="ES171" s="77"/>
      <c r="ET171" s="77"/>
      <c r="EU171" s="77"/>
      <c r="EV171" s="77"/>
      <c r="EW171" s="77"/>
      <c r="EX171" s="77"/>
      <c r="EY171" s="1"/>
      <c r="EZ171" s="74"/>
      <c r="FA171" s="74"/>
      <c r="FB171" s="74"/>
      <c r="FC171" s="74"/>
      <c r="FD171" s="68"/>
      <c r="FH171" s="73"/>
      <c r="FI171" s="74"/>
      <c r="FJ171" s="74"/>
      <c r="FK171" s="74"/>
      <c r="FL171" s="74"/>
      <c r="FM171" s="74"/>
      <c r="FN171" s="74"/>
      <c r="FO171" s="74"/>
      <c r="FP171" s="74"/>
      <c r="FQ171" s="74"/>
      <c r="FR171" s="74"/>
      <c r="FS171" s="74"/>
      <c r="FT171" s="74"/>
      <c r="FU171" s="74"/>
      <c r="FV171" s="74"/>
      <c r="FW171" s="74"/>
      <c r="FX171" s="74"/>
      <c r="FY171" s="74"/>
      <c r="FZ171" s="74"/>
      <c r="GA171" s="68"/>
    </row>
    <row r="172" spans="1:183" s="2" customFormat="1" x14ac:dyDescent="0.3">
      <c r="A172" s="73"/>
      <c r="B172" s="73"/>
      <c r="C172" s="1"/>
      <c r="D172" s="1"/>
      <c r="E172" s="1"/>
      <c r="F172" s="1"/>
      <c r="G172" s="1"/>
      <c r="H172" s="1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  <c r="CX172" s="74"/>
      <c r="CY172" s="74"/>
      <c r="CZ172" s="74"/>
      <c r="DA172" s="74"/>
      <c r="DB172" s="74"/>
      <c r="DC172" s="74"/>
      <c r="DD172" s="74"/>
      <c r="DE172" s="74"/>
      <c r="DF172" s="74"/>
      <c r="DG172" s="74"/>
      <c r="DH172" s="74"/>
      <c r="DI172" s="74"/>
      <c r="DJ172" s="74"/>
      <c r="DK172" s="74"/>
      <c r="DL172" s="74"/>
      <c r="DM172" s="74"/>
      <c r="DN172" s="74"/>
      <c r="DO172" s="74"/>
      <c r="DP172" s="74"/>
      <c r="DQ172" s="74"/>
      <c r="DR172" s="74"/>
      <c r="DS172" s="74"/>
      <c r="DT172" s="74"/>
      <c r="DU172" s="74"/>
      <c r="DV172" s="74"/>
      <c r="DW172" s="74"/>
      <c r="DX172" s="74"/>
      <c r="DY172" s="74"/>
      <c r="DZ172" s="74"/>
      <c r="EA172" s="74"/>
      <c r="EB172" s="74"/>
      <c r="EC172" s="74"/>
      <c r="ED172" s="74"/>
      <c r="EE172" s="80"/>
      <c r="EF172" s="80"/>
      <c r="EG172" s="66"/>
      <c r="EH172" s="66"/>
      <c r="EI172" s="66"/>
      <c r="EJ172" s="66"/>
      <c r="EK172" s="66"/>
      <c r="EL172" s="66"/>
      <c r="EM172" s="82"/>
      <c r="EN172" s="82"/>
      <c r="EO172" s="77"/>
      <c r="EP172" s="77"/>
      <c r="EQ172" s="77"/>
      <c r="ER172" s="77"/>
      <c r="ES172" s="77"/>
      <c r="ET172" s="77"/>
      <c r="EU172" s="77"/>
      <c r="EV172" s="77"/>
      <c r="EW172" s="77"/>
      <c r="EX172" s="77"/>
      <c r="EY172" s="1"/>
      <c r="EZ172" s="74"/>
      <c r="FA172" s="74"/>
      <c r="FB172" s="74"/>
      <c r="FC172" s="74"/>
      <c r="FD172" s="68"/>
      <c r="FH172" s="73"/>
      <c r="FI172" s="74"/>
      <c r="FJ172" s="74"/>
      <c r="FK172" s="74"/>
      <c r="FL172" s="74"/>
      <c r="FM172" s="74"/>
      <c r="FN172" s="74"/>
      <c r="FO172" s="74"/>
      <c r="FP172" s="74"/>
      <c r="FQ172" s="74"/>
      <c r="FR172" s="74"/>
      <c r="FS172" s="74"/>
      <c r="FT172" s="74"/>
      <c r="FU172" s="74"/>
      <c r="FV172" s="74"/>
      <c r="FW172" s="74"/>
      <c r="FX172" s="74"/>
      <c r="FY172" s="74"/>
      <c r="FZ172" s="74"/>
      <c r="GA172" s="68"/>
    </row>
    <row r="173" spans="1:183" s="2" customFormat="1" x14ac:dyDescent="0.3">
      <c r="A173" s="73"/>
      <c r="B173" s="73"/>
      <c r="C173" s="1"/>
      <c r="D173" s="1"/>
      <c r="E173" s="1"/>
      <c r="F173" s="1"/>
      <c r="G173" s="1"/>
      <c r="H173" s="1"/>
      <c r="I173" s="75"/>
      <c r="J173" s="75"/>
      <c r="K173" s="75"/>
      <c r="L173" s="75"/>
      <c r="M173" s="75"/>
      <c r="N173" s="75"/>
      <c r="O173" s="75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5"/>
      <c r="AI173" s="75"/>
      <c r="AJ173" s="75"/>
      <c r="AK173" s="75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/>
      <c r="CU173" s="74"/>
      <c r="CV173" s="74"/>
      <c r="CW173" s="74"/>
      <c r="CX173" s="74"/>
      <c r="CY173" s="74"/>
      <c r="CZ173" s="74"/>
      <c r="DA173" s="74"/>
      <c r="DB173" s="74"/>
      <c r="DC173" s="74"/>
      <c r="DD173" s="74"/>
      <c r="DE173" s="74"/>
      <c r="DF173" s="74"/>
      <c r="DG173" s="74"/>
      <c r="DH173" s="74"/>
      <c r="DI173" s="74"/>
      <c r="DJ173" s="74"/>
      <c r="DK173" s="74"/>
      <c r="DL173" s="74"/>
      <c r="DM173" s="74"/>
      <c r="DN173" s="74"/>
      <c r="DO173" s="74"/>
      <c r="DP173" s="74"/>
      <c r="DQ173" s="74"/>
      <c r="DR173" s="74"/>
      <c r="DS173" s="74"/>
      <c r="DT173" s="74"/>
      <c r="DU173" s="74"/>
      <c r="DV173" s="74"/>
      <c r="DW173" s="74"/>
      <c r="DX173" s="74"/>
      <c r="DY173" s="74"/>
      <c r="DZ173" s="74"/>
      <c r="EA173" s="74"/>
      <c r="EB173" s="74"/>
      <c r="EC173" s="74"/>
      <c r="ED173" s="74"/>
      <c r="EE173" s="80"/>
      <c r="EF173" s="80"/>
      <c r="EG173" s="66"/>
      <c r="EH173" s="66"/>
      <c r="EI173" s="66"/>
      <c r="EJ173" s="66"/>
      <c r="EK173" s="66"/>
      <c r="EL173" s="66"/>
      <c r="EM173" s="82"/>
      <c r="EN173" s="82"/>
      <c r="EO173" s="77"/>
      <c r="EP173" s="77"/>
      <c r="EQ173" s="77"/>
      <c r="ER173" s="77"/>
      <c r="ES173" s="77"/>
      <c r="ET173" s="77"/>
      <c r="EU173" s="77"/>
      <c r="EV173" s="77"/>
      <c r="EW173" s="77"/>
      <c r="EX173" s="77"/>
      <c r="EY173" s="1"/>
      <c r="EZ173" s="74"/>
      <c r="FA173" s="74"/>
      <c r="FB173" s="74"/>
      <c r="FC173" s="74"/>
      <c r="FD173" s="68"/>
      <c r="FH173" s="73"/>
      <c r="FI173" s="74"/>
      <c r="FJ173" s="74"/>
      <c r="FK173" s="74"/>
      <c r="FL173" s="74"/>
      <c r="FM173" s="74"/>
      <c r="FN173" s="74"/>
      <c r="FO173" s="74"/>
      <c r="FP173" s="74"/>
      <c r="FQ173" s="74"/>
      <c r="FR173" s="74"/>
      <c r="FS173" s="74"/>
      <c r="FT173" s="74"/>
      <c r="FU173" s="74"/>
      <c r="FV173" s="74"/>
      <c r="FW173" s="74"/>
      <c r="FX173" s="74"/>
      <c r="FY173" s="74"/>
      <c r="FZ173" s="74"/>
      <c r="GA173" s="68"/>
    </row>
    <row r="174" spans="1:183" s="2" customFormat="1" x14ac:dyDescent="0.3">
      <c r="A174" s="73"/>
      <c r="B174" s="73"/>
      <c r="C174" s="1"/>
      <c r="D174" s="1"/>
      <c r="E174" s="1"/>
      <c r="F174" s="1"/>
      <c r="G174" s="1"/>
      <c r="H174" s="1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/>
      <c r="CG174" s="74"/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4"/>
      <c r="CV174" s="74"/>
      <c r="CW174" s="74"/>
      <c r="CX174" s="74"/>
      <c r="CY174" s="74"/>
      <c r="CZ174" s="74"/>
      <c r="DA174" s="74"/>
      <c r="DB174" s="74"/>
      <c r="DC174" s="74"/>
      <c r="DD174" s="74"/>
      <c r="DE174" s="74"/>
      <c r="DF174" s="74"/>
      <c r="DG174" s="74"/>
      <c r="DH174" s="74"/>
      <c r="DI174" s="74"/>
      <c r="DJ174" s="74"/>
      <c r="DK174" s="74"/>
      <c r="DL174" s="74"/>
      <c r="DM174" s="74"/>
      <c r="DN174" s="74"/>
      <c r="DO174" s="74"/>
      <c r="DP174" s="74"/>
      <c r="DQ174" s="74"/>
      <c r="DR174" s="74"/>
      <c r="DS174" s="74"/>
      <c r="DT174" s="74"/>
      <c r="DU174" s="74"/>
      <c r="DV174" s="74"/>
      <c r="DW174" s="74"/>
      <c r="DX174" s="74"/>
      <c r="DY174" s="74"/>
      <c r="DZ174" s="74"/>
      <c r="EA174" s="74"/>
      <c r="EB174" s="74"/>
      <c r="EC174" s="74"/>
      <c r="ED174" s="74"/>
      <c r="EE174" s="80"/>
      <c r="EF174" s="80"/>
      <c r="EG174" s="66"/>
      <c r="EH174" s="66"/>
      <c r="EI174" s="66"/>
      <c r="EJ174" s="66"/>
      <c r="EK174" s="66"/>
      <c r="EL174" s="66"/>
      <c r="EM174" s="82"/>
      <c r="EN174" s="82"/>
      <c r="EO174" s="77"/>
      <c r="EP174" s="77"/>
      <c r="EQ174" s="77"/>
      <c r="ER174" s="77"/>
      <c r="ES174" s="77"/>
      <c r="ET174" s="77"/>
      <c r="EU174" s="77"/>
      <c r="EV174" s="77"/>
      <c r="EW174" s="77"/>
      <c r="EX174" s="77"/>
      <c r="EY174" s="1"/>
      <c r="EZ174" s="74"/>
      <c r="FA174" s="74"/>
      <c r="FB174" s="74"/>
      <c r="FC174" s="74"/>
      <c r="FD174" s="68"/>
      <c r="FH174" s="73"/>
      <c r="FI174" s="74"/>
      <c r="FJ174" s="74"/>
      <c r="FK174" s="74"/>
      <c r="FL174" s="74"/>
      <c r="FM174" s="74"/>
      <c r="FN174" s="74"/>
      <c r="FO174" s="74"/>
      <c r="FP174" s="74"/>
      <c r="FQ174" s="74"/>
      <c r="FR174" s="74"/>
      <c r="FS174" s="74"/>
      <c r="FT174" s="74"/>
      <c r="FU174" s="74"/>
      <c r="FV174" s="74"/>
      <c r="FW174" s="74"/>
      <c r="FX174" s="74"/>
      <c r="FY174" s="74"/>
      <c r="FZ174" s="74"/>
      <c r="GA174" s="68"/>
    </row>
    <row r="175" spans="1:183" s="2" customFormat="1" x14ac:dyDescent="0.3">
      <c r="A175" s="73"/>
      <c r="B175" s="73"/>
      <c r="C175" s="1"/>
      <c r="D175" s="1"/>
      <c r="E175" s="1"/>
      <c r="F175" s="1"/>
      <c r="G175" s="1"/>
      <c r="H175" s="1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/>
      <c r="CQ175" s="74"/>
      <c r="CR175" s="74"/>
      <c r="CS175" s="74"/>
      <c r="CT175" s="74"/>
      <c r="CU175" s="74"/>
      <c r="CV175" s="74"/>
      <c r="CW175" s="74"/>
      <c r="CX175" s="74"/>
      <c r="CY175" s="74"/>
      <c r="CZ175" s="74"/>
      <c r="DA175" s="74"/>
      <c r="DB175" s="74"/>
      <c r="DC175" s="74"/>
      <c r="DD175" s="74"/>
      <c r="DE175" s="74"/>
      <c r="DF175" s="74"/>
      <c r="DG175" s="74"/>
      <c r="DH175" s="74"/>
      <c r="DI175" s="74"/>
      <c r="DJ175" s="74"/>
      <c r="DK175" s="74"/>
      <c r="DL175" s="74"/>
      <c r="DM175" s="74"/>
      <c r="DN175" s="74"/>
      <c r="DO175" s="74"/>
      <c r="DP175" s="74"/>
      <c r="DQ175" s="74"/>
      <c r="DR175" s="74"/>
      <c r="DS175" s="74"/>
      <c r="DT175" s="74"/>
      <c r="DU175" s="74"/>
      <c r="DV175" s="74"/>
      <c r="DW175" s="74"/>
      <c r="DX175" s="74"/>
      <c r="DY175" s="74"/>
      <c r="DZ175" s="74"/>
      <c r="EA175" s="74"/>
      <c r="EB175" s="74"/>
      <c r="EC175" s="74"/>
      <c r="ED175" s="74"/>
      <c r="EE175" s="80"/>
      <c r="EF175" s="80"/>
      <c r="EG175" s="66"/>
      <c r="EH175" s="66"/>
      <c r="EI175" s="66"/>
      <c r="EJ175" s="66"/>
      <c r="EK175" s="66"/>
      <c r="EL175" s="66"/>
      <c r="EM175" s="82"/>
      <c r="EN175" s="82"/>
      <c r="EO175" s="77"/>
      <c r="EP175" s="77"/>
      <c r="EQ175" s="77"/>
      <c r="ER175" s="77"/>
      <c r="ES175" s="77"/>
      <c r="ET175" s="77"/>
      <c r="EU175" s="77"/>
      <c r="EV175" s="77"/>
      <c r="EW175" s="77"/>
      <c r="EX175" s="77"/>
      <c r="EY175" s="1"/>
      <c r="EZ175" s="74"/>
      <c r="FA175" s="74"/>
      <c r="FB175" s="74"/>
      <c r="FC175" s="74"/>
      <c r="FD175" s="68"/>
      <c r="FH175" s="73"/>
      <c r="FI175" s="74"/>
      <c r="FJ175" s="74"/>
      <c r="FK175" s="74"/>
      <c r="FL175" s="74"/>
      <c r="FM175" s="74"/>
      <c r="FN175" s="74"/>
      <c r="FO175" s="74"/>
      <c r="FP175" s="74"/>
      <c r="FQ175" s="74"/>
      <c r="FR175" s="74"/>
      <c r="FS175" s="74"/>
      <c r="FT175" s="74"/>
      <c r="FU175" s="74"/>
      <c r="FV175" s="74"/>
      <c r="FW175" s="74"/>
      <c r="FX175" s="74"/>
      <c r="FY175" s="74"/>
      <c r="FZ175" s="74"/>
      <c r="GA175" s="68"/>
    </row>
    <row r="176" spans="1:183" s="2" customFormat="1" x14ac:dyDescent="0.3">
      <c r="A176" s="73"/>
      <c r="B176" s="73"/>
      <c r="C176" s="1"/>
      <c r="D176" s="1"/>
      <c r="E176" s="1"/>
      <c r="F176" s="1"/>
      <c r="G176" s="1"/>
      <c r="H176" s="1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80"/>
      <c r="EF176" s="80"/>
      <c r="EG176" s="66"/>
      <c r="EH176" s="66"/>
      <c r="EI176" s="66"/>
      <c r="EJ176" s="66"/>
      <c r="EK176" s="66"/>
      <c r="EL176" s="66"/>
      <c r="EM176" s="82"/>
      <c r="EN176" s="82"/>
      <c r="EO176" s="77"/>
      <c r="EP176" s="77"/>
      <c r="EQ176" s="77"/>
      <c r="ER176" s="77"/>
      <c r="ES176" s="77"/>
      <c r="ET176" s="77"/>
      <c r="EU176" s="77"/>
      <c r="EV176" s="77"/>
      <c r="EW176" s="77"/>
      <c r="EX176" s="77"/>
      <c r="EY176" s="1"/>
      <c r="EZ176" s="74"/>
      <c r="FA176" s="74"/>
      <c r="FB176" s="74"/>
      <c r="FC176" s="74"/>
      <c r="FD176" s="68"/>
      <c r="FH176" s="73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68"/>
    </row>
    <row r="177" spans="1:183" s="2" customFormat="1" x14ac:dyDescent="0.3">
      <c r="A177" s="73"/>
      <c r="B177" s="73"/>
      <c r="C177" s="1"/>
      <c r="D177" s="1"/>
      <c r="E177" s="1"/>
      <c r="F177" s="1"/>
      <c r="G177" s="1"/>
      <c r="H177" s="1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80"/>
      <c r="EF177" s="80"/>
      <c r="EG177" s="66"/>
      <c r="EH177" s="66"/>
      <c r="EI177" s="66"/>
      <c r="EJ177" s="66"/>
      <c r="EK177" s="66"/>
      <c r="EL177" s="66"/>
      <c r="EM177" s="82"/>
      <c r="EN177" s="82"/>
      <c r="EO177" s="77"/>
      <c r="EP177" s="77"/>
      <c r="EQ177" s="77"/>
      <c r="ER177" s="77"/>
      <c r="ES177" s="77"/>
      <c r="ET177" s="77"/>
      <c r="EU177" s="77"/>
      <c r="EV177" s="77"/>
      <c r="EW177" s="77"/>
      <c r="EX177" s="77"/>
      <c r="EY177" s="1"/>
      <c r="EZ177" s="74"/>
      <c r="FA177" s="74"/>
      <c r="FB177" s="74"/>
      <c r="FC177" s="74"/>
      <c r="FD177" s="68"/>
      <c r="FH177" s="73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68"/>
    </row>
    <row r="178" spans="1:183" s="2" customFormat="1" x14ac:dyDescent="0.3">
      <c r="A178" s="73"/>
      <c r="B178" s="73"/>
      <c r="C178" s="1"/>
      <c r="D178" s="1"/>
      <c r="E178" s="1"/>
      <c r="F178" s="1"/>
      <c r="G178" s="1"/>
      <c r="H178" s="1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  <c r="CW178" s="74"/>
      <c r="CX178" s="74"/>
      <c r="CY178" s="74"/>
      <c r="CZ178" s="74"/>
      <c r="DA178" s="74"/>
      <c r="DB178" s="74"/>
      <c r="DC178" s="74"/>
      <c r="DD178" s="74"/>
      <c r="DE178" s="74"/>
      <c r="DF178" s="74"/>
      <c r="DG178" s="74"/>
      <c r="DH178" s="74"/>
      <c r="DI178" s="74"/>
      <c r="DJ178" s="74"/>
      <c r="DK178" s="74"/>
      <c r="DL178" s="74"/>
      <c r="DM178" s="74"/>
      <c r="DN178" s="74"/>
      <c r="DO178" s="74"/>
      <c r="DP178" s="74"/>
      <c r="DQ178" s="74"/>
      <c r="DR178" s="74"/>
      <c r="DS178" s="74"/>
      <c r="DT178" s="74"/>
      <c r="DU178" s="74"/>
      <c r="DV178" s="74"/>
      <c r="DW178" s="74"/>
      <c r="DX178" s="74"/>
      <c r="DY178" s="74"/>
      <c r="DZ178" s="74"/>
      <c r="EA178" s="74"/>
      <c r="EB178" s="74"/>
      <c r="EC178" s="74"/>
      <c r="ED178" s="74"/>
      <c r="EE178" s="80"/>
      <c r="EF178" s="80"/>
      <c r="EG178" s="66"/>
      <c r="EH178" s="66"/>
      <c r="EI178" s="66"/>
      <c r="EJ178" s="66"/>
      <c r="EK178" s="66"/>
      <c r="EL178" s="66"/>
      <c r="EM178" s="82"/>
      <c r="EN178" s="82"/>
      <c r="EO178" s="77"/>
      <c r="EP178" s="77"/>
      <c r="EQ178" s="77"/>
      <c r="ER178" s="77"/>
      <c r="ES178" s="77"/>
      <c r="ET178" s="77"/>
      <c r="EU178" s="77"/>
      <c r="EV178" s="77"/>
      <c r="EW178" s="77"/>
      <c r="EX178" s="77"/>
      <c r="EY178" s="1"/>
      <c r="EZ178" s="74"/>
      <c r="FA178" s="74"/>
      <c r="FB178" s="74"/>
      <c r="FC178" s="74"/>
      <c r="FD178" s="68"/>
      <c r="FH178" s="73"/>
      <c r="FI178" s="74"/>
      <c r="FJ178" s="74"/>
      <c r="FK178" s="74"/>
      <c r="FL178" s="74"/>
      <c r="FM178" s="74"/>
      <c r="FN178" s="74"/>
      <c r="FO178" s="74"/>
      <c r="FP178" s="74"/>
      <c r="FQ178" s="74"/>
      <c r="FR178" s="74"/>
      <c r="FS178" s="74"/>
      <c r="FT178" s="74"/>
      <c r="FU178" s="74"/>
      <c r="FV178" s="74"/>
      <c r="FW178" s="74"/>
      <c r="FX178" s="74"/>
      <c r="FY178" s="74"/>
      <c r="FZ178" s="74"/>
      <c r="GA178" s="68"/>
    </row>
    <row r="179" spans="1:183" s="2" customFormat="1" x14ac:dyDescent="0.3">
      <c r="A179" s="73"/>
      <c r="B179" s="73"/>
      <c r="C179" s="1"/>
      <c r="D179" s="1"/>
      <c r="E179" s="1"/>
      <c r="F179" s="1"/>
      <c r="G179" s="1"/>
      <c r="H179" s="1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4"/>
      <c r="CV179" s="74"/>
      <c r="CW179" s="74"/>
      <c r="CX179" s="74"/>
      <c r="CY179" s="74"/>
      <c r="CZ179" s="74"/>
      <c r="DA179" s="74"/>
      <c r="DB179" s="74"/>
      <c r="DC179" s="74"/>
      <c r="DD179" s="74"/>
      <c r="DE179" s="74"/>
      <c r="DF179" s="74"/>
      <c r="DG179" s="74"/>
      <c r="DH179" s="74"/>
      <c r="DI179" s="74"/>
      <c r="DJ179" s="74"/>
      <c r="DK179" s="74"/>
      <c r="DL179" s="74"/>
      <c r="DM179" s="74"/>
      <c r="DN179" s="74"/>
      <c r="DO179" s="74"/>
      <c r="DP179" s="74"/>
      <c r="DQ179" s="74"/>
      <c r="DR179" s="74"/>
      <c r="DS179" s="74"/>
      <c r="DT179" s="74"/>
      <c r="DU179" s="74"/>
      <c r="DV179" s="74"/>
      <c r="DW179" s="74"/>
      <c r="DX179" s="74"/>
      <c r="DY179" s="74"/>
      <c r="DZ179" s="74"/>
      <c r="EA179" s="74"/>
      <c r="EB179" s="74"/>
      <c r="EC179" s="74"/>
      <c r="ED179" s="74"/>
      <c r="EE179" s="80"/>
      <c r="EF179" s="80"/>
      <c r="EG179" s="66"/>
      <c r="EH179" s="66"/>
      <c r="EI179" s="66"/>
      <c r="EJ179" s="66"/>
      <c r="EK179" s="66"/>
      <c r="EL179" s="66"/>
      <c r="EM179" s="82"/>
      <c r="EN179" s="82"/>
      <c r="EO179" s="77"/>
      <c r="EP179" s="77"/>
      <c r="EQ179" s="77"/>
      <c r="ER179" s="77"/>
      <c r="ES179" s="77"/>
      <c r="ET179" s="77"/>
      <c r="EU179" s="77"/>
      <c r="EV179" s="77"/>
      <c r="EW179" s="77"/>
      <c r="EX179" s="77"/>
      <c r="EY179" s="1"/>
      <c r="EZ179" s="74"/>
      <c r="FA179" s="74"/>
      <c r="FB179" s="74"/>
      <c r="FC179" s="74"/>
      <c r="FD179" s="68"/>
      <c r="FH179" s="73"/>
      <c r="FI179" s="74"/>
      <c r="FJ179" s="74"/>
      <c r="FK179" s="74"/>
      <c r="FL179" s="74"/>
      <c r="FM179" s="74"/>
      <c r="FN179" s="74"/>
      <c r="FO179" s="74"/>
      <c r="FP179" s="74"/>
      <c r="FQ179" s="74"/>
      <c r="FR179" s="74"/>
      <c r="FS179" s="74"/>
      <c r="FT179" s="74"/>
      <c r="FU179" s="74"/>
      <c r="FV179" s="74"/>
      <c r="FW179" s="74"/>
      <c r="FX179" s="74"/>
      <c r="FY179" s="74"/>
      <c r="FZ179" s="74"/>
      <c r="GA179" s="68"/>
    </row>
    <row r="180" spans="1:183" s="2" customFormat="1" x14ac:dyDescent="0.3">
      <c r="A180" s="73"/>
      <c r="B180" s="73"/>
      <c r="C180" s="1"/>
      <c r="D180" s="1"/>
      <c r="E180" s="1"/>
      <c r="F180" s="1"/>
      <c r="G180" s="1"/>
      <c r="H180" s="1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4"/>
      <c r="CV180" s="74"/>
      <c r="CW180" s="74"/>
      <c r="CX180" s="74"/>
      <c r="CY180" s="74"/>
      <c r="CZ180" s="74"/>
      <c r="DA180" s="74"/>
      <c r="DB180" s="74"/>
      <c r="DC180" s="74"/>
      <c r="DD180" s="74"/>
      <c r="DE180" s="74"/>
      <c r="DF180" s="74"/>
      <c r="DG180" s="74"/>
      <c r="DH180" s="74"/>
      <c r="DI180" s="74"/>
      <c r="DJ180" s="74"/>
      <c r="DK180" s="74"/>
      <c r="DL180" s="74"/>
      <c r="DM180" s="74"/>
      <c r="DN180" s="74"/>
      <c r="DO180" s="74"/>
      <c r="DP180" s="74"/>
      <c r="DQ180" s="74"/>
      <c r="DR180" s="74"/>
      <c r="DS180" s="74"/>
      <c r="DT180" s="74"/>
      <c r="DU180" s="74"/>
      <c r="DV180" s="74"/>
      <c r="DW180" s="74"/>
      <c r="DX180" s="74"/>
      <c r="DY180" s="74"/>
      <c r="DZ180" s="74"/>
      <c r="EA180" s="74"/>
      <c r="EB180" s="74"/>
      <c r="EC180" s="74"/>
      <c r="ED180" s="74"/>
      <c r="EE180" s="80"/>
      <c r="EF180" s="80"/>
      <c r="EG180" s="66"/>
      <c r="EH180" s="66"/>
      <c r="EI180" s="66"/>
      <c r="EJ180" s="66"/>
      <c r="EK180" s="66"/>
      <c r="EL180" s="66"/>
      <c r="EM180" s="82"/>
      <c r="EN180" s="82"/>
      <c r="EO180" s="77"/>
      <c r="EP180" s="77"/>
      <c r="EQ180" s="77"/>
      <c r="ER180" s="77"/>
      <c r="ES180" s="77"/>
      <c r="ET180" s="77"/>
      <c r="EU180" s="77"/>
      <c r="EV180" s="77"/>
      <c r="EW180" s="77"/>
      <c r="EX180" s="77"/>
      <c r="EY180" s="1"/>
      <c r="EZ180" s="74"/>
      <c r="FA180" s="74"/>
      <c r="FB180" s="74"/>
      <c r="FC180" s="74"/>
      <c r="FD180" s="68"/>
      <c r="FH180" s="73"/>
      <c r="FI180" s="74"/>
      <c r="FJ180" s="74"/>
      <c r="FK180" s="74"/>
      <c r="FL180" s="74"/>
      <c r="FM180" s="74"/>
      <c r="FN180" s="74"/>
      <c r="FO180" s="74"/>
      <c r="FP180" s="74"/>
      <c r="FQ180" s="74"/>
      <c r="FR180" s="74"/>
      <c r="FS180" s="74"/>
      <c r="FT180" s="74"/>
      <c r="FU180" s="74"/>
      <c r="FV180" s="74"/>
      <c r="FW180" s="74"/>
      <c r="FX180" s="74"/>
      <c r="FY180" s="74"/>
      <c r="FZ180" s="74"/>
      <c r="GA180" s="68"/>
    </row>
    <row r="181" spans="1:183" s="2" customFormat="1" x14ac:dyDescent="0.3">
      <c r="A181" s="73"/>
      <c r="B181" s="73"/>
      <c r="C181" s="1"/>
      <c r="D181" s="1"/>
      <c r="E181" s="1"/>
      <c r="F181" s="1"/>
      <c r="G181" s="1"/>
      <c r="H181" s="1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4"/>
      <c r="CV181" s="74"/>
      <c r="CW181" s="74"/>
      <c r="CX181" s="74"/>
      <c r="CY181" s="74"/>
      <c r="CZ181" s="74"/>
      <c r="DA181" s="74"/>
      <c r="DB181" s="74"/>
      <c r="DC181" s="74"/>
      <c r="DD181" s="74"/>
      <c r="DE181" s="74"/>
      <c r="DF181" s="74"/>
      <c r="DG181" s="74"/>
      <c r="DH181" s="74"/>
      <c r="DI181" s="74"/>
      <c r="DJ181" s="74"/>
      <c r="DK181" s="74"/>
      <c r="DL181" s="74"/>
      <c r="DM181" s="74"/>
      <c r="DN181" s="74"/>
      <c r="DO181" s="74"/>
      <c r="DP181" s="74"/>
      <c r="DQ181" s="74"/>
      <c r="DR181" s="74"/>
      <c r="DS181" s="74"/>
      <c r="DT181" s="74"/>
      <c r="DU181" s="74"/>
      <c r="DV181" s="74"/>
      <c r="DW181" s="74"/>
      <c r="DX181" s="74"/>
      <c r="DY181" s="74"/>
      <c r="DZ181" s="74"/>
      <c r="EA181" s="74"/>
      <c r="EB181" s="74"/>
      <c r="EC181" s="74"/>
      <c r="ED181" s="74"/>
      <c r="EE181" s="80"/>
      <c r="EF181" s="80"/>
      <c r="EG181" s="66"/>
      <c r="EH181" s="66"/>
      <c r="EI181" s="66"/>
      <c r="EJ181" s="66"/>
      <c r="EK181" s="66"/>
      <c r="EL181" s="66"/>
      <c r="EM181" s="82"/>
      <c r="EN181" s="82"/>
      <c r="EO181" s="77"/>
      <c r="EP181" s="77"/>
      <c r="EQ181" s="77"/>
      <c r="ER181" s="77"/>
      <c r="ES181" s="77"/>
      <c r="ET181" s="77"/>
      <c r="EU181" s="77"/>
      <c r="EV181" s="77"/>
      <c r="EW181" s="77"/>
      <c r="EX181" s="77"/>
      <c r="EY181" s="1"/>
      <c r="EZ181" s="74"/>
      <c r="FA181" s="74"/>
      <c r="FB181" s="74"/>
      <c r="FC181" s="74"/>
      <c r="FD181" s="68"/>
      <c r="FH181" s="73"/>
      <c r="FI181" s="74"/>
      <c r="FJ181" s="74"/>
      <c r="FK181" s="74"/>
      <c r="FL181" s="74"/>
      <c r="FM181" s="74"/>
      <c r="FN181" s="74"/>
      <c r="FO181" s="74"/>
      <c r="FP181" s="74"/>
      <c r="FQ181" s="74"/>
      <c r="FR181" s="74"/>
      <c r="FS181" s="74"/>
      <c r="FT181" s="74"/>
      <c r="FU181" s="74"/>
      <c r="FV181" s="74"/>
      <c r="FW181" s="74"/>
      <c r="FX181" s="74"/>
      <c r="FY181" s="74"/>
      <c r="FZ181" s="74"/>
      <c r="GA181" s="68"/>
    </row>
    <row r="182" spans="1:183" s="2" customFormat="1" x14ac:dyDescent="0.3">
      <c r="A182" s="73"/>
      <c r="B182" s="73"/>
      <c r="C182" s="1"/>
      <c r="D182" s="1"/>
      <c r="E182" s="1"/>
      <c r="F182" s="1"/>
      <c r="G182" s="1"/>
      <c r="H182" s="1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  <c r="CU182" s="74"/>
      <c r="CV182" s="74"/>
      <c r="CW182" s="74"/>
      <c r="CX182" s="74"/>
      <c r="CY182" s="74"/>
      <c r="CZ182" s="74"/>
      <c r="DA182" s="74"/>
      <c r="DB182" s="74"/>
      <c r="DC182" s="74"/>
      <c r="DD182" s="74"/>
      <c r="DE182" s="74"/>
      <c r="DF182" s="74"/>
      <c r="DG182" s="74"/>
      <c r="DH182" s="74"/>
      <c r="DI182" s="74"/>
      <c r="DJ182" s="74"/>
      <c r="DK182" s="74"/>
      <c r="DL182" s="74"/>
      <c r="DM182" s="74"/>
      <c r="DN182" s="74"/>
      <c r="DO182" s="74"/>
      <c r="DP182" s="74"/>
      <c r="DQ182" s="74"/>
      <c r="DR182" s="74"/>
      <c r="DS182" s="74"/>
      <c r="DT182" s="74"/>
      <c r="DU182" s="74"/>
      <c r="DV182" s="74"/>
      <c r="DW182" s="74"/>
      <c r="DX182" s="74"/>
      <c r="DY182" s="74"/>
      <c r="DZ182" s="74"/>
      <c r="EA182" s="74"/>
      <c r="EB182" s="74"/>
      <c r="EC182" s="74"/>
      <c r="ED182" s="74"/>
      <c r="EE182" s="80"/>
      <c r="EF182" s="80"/>
      <c r="EG182" s="66"/>
      <c r="EH182" s="66"/>
      <c r="EI182" s="66"/>
      <c r="EJ182" s="66"/>
      <c r="EK182" s="66"/>
      <c r="EL182" s="66"/>
      <c r="EM182" s="82"/>
      <c r="EN182" s="82"/>
      <c r="EO182" s="77"/>
      <c r="EP182" s="77"/>
      <c r="EQ182" s="77"/>
      <c r="ER182" s="77"/>
      <c r="ES182" s="77"/>
      <c r="ET182" s="77"/>
      <c r="EU182" s="77"/>
      <c r="EV182" s="77"/>
      <c r="EW182" s="77"/>
      <c r="EX182" s="77"/>
      <c r="EY182" s="1"/>
      <c r="EZ182" s="74"/>
      <c r="FA182" s="74"/>
      <c r="FB182" s="74"/>
      <c r="FC182" s="74"/>
      <c r="FD182" s="68"/>
      <c r="FH182" s="73"/>
      <c r="FI182" s="74"/>
      <c r="FJ182" s="74"/>
      <c r="FK182" s="74"/>
      <c r="FL182" s="74"/>
      <c r="FM182" s="74"/>
      <c r="FN182" s="74"/>
      <c r="FO182" s="74"/>
      <c r="FP182" s="74"/>
      <c r="FQ182" s="74"/>
      <c r="FR182" s="74"/>
      <c r="FS182" s="74"/>
      <c r="FT182" s="74"/>
      <c r="FU182" s="74"/>
      <c r="FV182" s="74"/>
      <c r="FW182" s="74"/>
      <c r="FX182" s="74"/>
      <c r="FY182" s="74"/>
      <c r="FZ182" s="74"/>
      <c r="GA182" s="68"/>
    </row>
    <row r="183" spans="1:183" s="2" customFormat="1" x14ac:dyDescent="0.3">
      <c r="A183" s="73"/>
      <c r="B183" s="73"/>
      <c r="C183" s="1"/>
      <c r="D183" s="1"/>
      <c r="E183" s="1"/>
      <c r="F183" s="1"/>
      <c r="G183" s="1"/>
      <c r="H183" s="1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4"/>
      <c r="CA183" s="74"/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4"/>
      <c r="CV183" s="74"/>
      <c r="CW183" s="74"/>
      <c r="CX183" s="74"/>
      <c r="CY183" s="74"/>
      <c r="CZ183" s="74"/>
      <c r="DA183" s="74"/>
      <c r="DB183" s="74"/>
      <c r="DC183" s="74"/>
      <c r="DD183" s="74"/>
      <c r="DE183" s="74"/>
      <c r="DF183" s="74"/>
      <c r="DG183" s="74"/>
      <c r="DH183" s="74"/>
      <c r="DI183" s="74"/>
      <c r="DJ183" s="74"/>
      <c r="DK183" s="74"/>
      <c r="DL183" s="74"/>
      <c r="DM183" s="74"/>
      <c r="DN183" s="74"/>
      <c r="DO183" s="74"/>
      <c r="DP183" s="74"/>
      <c r="DQ183" s="74"/>
      <c r="DR183" s="74"/>
      <c r="DS183" s="74"/>
      <c r="DT183" s="74"/>
      <c r="DU183" s="74"/>
      <c r="DV183" s="74"/>
      <c r="DW183" s="74"/>
      <c r="DX183" s="74"/>
      <c r="DY183" s="74"/>
      <c r="DZ183" s="74"/>
      <c r="EA183" s="74"/>
      <c r="EB183" s="74"/>
      <c r="EC183" s="74"/>
      <c r="ED183" s="74"/>
      <c r="EE183" s="80"/>
      <c r="EF183" s="80"/>
      <c r="EG183" s="66"/>
      <c r="EH183" s="66"/>
      <c r="EI183" s="66"/>
      <c r="EJ183" s="66"/>
      <c r="EK183" s="66"/>
      <c r="EL183" s="66"/>
      <c r="EM183" s="82"/>
      <c r="EN183" s="82"/>
      <c r="EO183" s="77"/>
      <c r="EP183" s="77"/>
      <c r="EQ183" s="77"/>
      <c r="ER183" s="77"/>
      <c r="ES183" s="77"/>
      <c r="ET183" s="77"/>
      <c r="EU183" s="77"/>
      <c r="EV183" s="77"/>
      <c r="EW183" s="77"/>
      <c r="EX183" s="77"/>
      <c r="EY183" s="1"/>
      <c r="EZ183" s="74"/>
      <c r="FA183" s="74"/>
      <c r="FB183" s="74"/>
      <c r="FC183" s="74"/>
      <c r="FD183" s="68"/>
      <c r="FH183" s="73"/>
      <c r="FI183" s="74"/>
      <c r="FJ183" s="74"/>
      <c r="FK183" s="74"/>
      <c r="FL183" s="74"/>
      <c r="FM183" s="74"/>
      <c r="FN183" s="74"/>
      <c r="FO183" s="74"/>
      <c r="FP183" s="74"/>
      <c r="FQ183" s="74"/>
      <c r="FR183" s="74"/>
      <c r="FS183" s="74"/>
      <c r="FT183" s="74"/>
      <c r="FU183" s="74"/>
      <c r="FV183" s="74"/>
      <c r="FW183" s="74"/>
      <c r="FX183" s="74"/>
      <c r="FY183" s="74"/>
      <c r="FZ183" s="74"/>
      <c r="GA183" s="68"/>
    </row>
    <row r="185" spans="1:183" x14ac:dyDescent="0.3">
      <c r="A185" s="69"/>
      <c r="B185" s="69"/>
    </row>
    <row r="186" spans="1:183" x14ac:dyDescent="0.3">
      <c r="A186" s="69"/>
      <c r="B186" s="69"/>
    </row>
    <row r="187" spans="1:183" x14ac:dyDescent="0.3">
      <c r="A187" s="69"/>
      <c r="B187" s="69"/>
    </row>
    <row r="188" spans="1:183" x14ac:dyDescent="0.3">
      <c r="A188" s="69"/>
      <c r="B188" s="69"/>
    </row>
    <row r="189" spans="1:183" x14ac:dyDescent="0.3">
      <c r="A189" s="69"/>
      <c r="B189" s="69"/>
    </row>
    <row r="190" spans="1:183" x14ac:dyDescent="0.3">
      <c r="A190" s="69"/>
      <c r="B190" s="69"/>
    </row>
    <row r="191" spans="1:183" x14ac:dyDescent="0.3">
      <c r="A191" s="69"/>
      <c r="B191" s="69"/>
    </row>
    <row r="192" spans="1:183" x14ac:dyDescent="0.3">
      <c r="A192" s="69"/>
      <c r="B192" s="69"/>
    </row>
    <row r="193" spans="1:2" x14ac:dyDescent="0.3">
      <c r="A193" s="69"/>
      <c r="B193" s="69"/>
    </row>
    <row r="194" spans="1:2" x14ac:dyDescent="0.3">
      <c r="A194" s="69"/>
      <c r="B194" s="69"/>
    </row>
    <row r="195" spans="1:2" x14ac:dyDescent="0.3">
      <c r="A195" s="69"/>
      <c r="B195" s="69"/>
    </row>
    <row r="196" spans="1:2" x14ac:dyDescent="0.3">
      <c r="A196" s="69"/>
      <c r="B196" s="69"/>
    </row>
    <row r="197" spans="1:2" x14ac:dyDescent="0.3">
      <c r="A197" s="69"/>
      <c r="B197" s="69"/>
    </row>
    <row r="198" spans="1:2" x14ac:dyDescent="0.3">
      <c r="A198" s="69"/>
      <c r="B198" s="69"/>
    </row>
    <row r="199" spans="1:2" x14ac:dyDescent="0.3">
      <c r="A199" s="69"/>
      <c r="B199" s="69"/>
    </row>
    <row r="200" spans="1:2" x14ac:dyDescent="0.3">
      <c r="A200" s="69"/>
      <c r="B200" s="69"/>
    </row>
    <row r="201" spans="1:2" x14ac:dyDescent="0.3">
      <c r="A201" s="69"/>
      <c r="B201" s="69"/>
    </row>
    <row r="202" spans="1:2" x14ac:dyDescent="0.3">
      <c r="A202" s="69"/>
      <c r="B202" s="69"/>
    </row>
    <row r="203" spans="1:2" x14ac:dyDescent="0.3">
      <c r="A203" s="69"/>
      <c r="B203" s="69"/>
    </row>
    <row r="204" spans="1:2" x14ac:dyDescent="0.3">
      <c r="A204" s="69"/>
      <c r="B204" s="69"/>
    </row>
    <row r="205" spans="1:2" x14ac:dyDescent="0.3">
      <c r="A205" s="69"/>
      <c r="B205" s="69"/>
    </row>
    <row r="206" spans="1:2" x14ac:dyDescent="0.3">
      <c r="A206" s="69"/>
      <c r="B206" s="69"/>
    </row>
    <row r="207" spans="1:2" x14ac:dyDescent="0.3">
      <c r="A207" s="69"/>
      <c r="B207" s="69"/>
    </row>
    <row r="208" spans="1:2" x14ac:dyDescent="0.3">
      <c r="A208" s="69"/>
      <c r="B208" s="69"/>
    </row>
    <row r="209" spans="1:2" x14ac:dyDescent="0.3">
      <c r="A209" s="69"/>
      <c r="B209" s="69"/>
    </row>
    <row r="210" spans="1:2" x14ac:dyDescent="0.3">
      <c r="A210" s="69"/>
      <c r="B210" s="69"/>
    </row>
    <row r="211" spans="1:2" x14ac:dyDescent="0.3">
      <c r="A211" s="69"/>
      <c r="B211" s="69"/>
    </row>
    <row r="212" spans="1:2" x14ac:dyDescent="0.3">
      <c r="A212" s="69"/>
      <c r="B212" s="69"/>
    </row>
    <row r="213" spans="1:2" x14ac:dyDescent="0.3">
      <c r="A213" s="69"/>
      <c r="B213" s="69"/>
    </row>
    <row r="214" spans="1:2" x14ac:dyDescent="0.3">
      <c r="A214" s="69"/>
      <c r="B214" s="69"/>
    </row>
    <row r="215" spans="1:2" x14ac:dyDescent="0.3">
      <c r="A215" s="69"/>
      <c r="B215" s="69"/>
    </row>
    <row r="216" spans="1:2" x14ac:dyDescent="0.3">
      <c r="A216" s="69"/>
      <c r="B216" s="69"/>
    </row>
    <row r="217" spans="1:2" x14ac:dyDescent="0.3">
      <c r="A217" s="69"/>
      <c r="B217" s="69"/>
    </row>
    <row r="218" spans="1:2" x14ac:dyDescent="0.3">
      <c r="A218" s="69"/>
      <c r="B218" s="69"/>
    </row>
    <row r="219" spans="1:2" x14ac:dyDescent="0.3">
      <c r="A219" s="69"/>
      <c r="B219" s="69"/>
    </row>
    <row r="220" spans="1:2" x14ac:dyDescent="0.3">
      <c r="A220" s="69"/>
      <c r="B220" s="69"/>
    </row>
    <row r="221" spans="1:2" x14ac:dyDescent="0.3">
      <c r="A221" s="69"/>
      <c r="B221" s="69"/>
    </row>
    <row r="222" spans="1:2" x14ac:dyDescent="0.3">
      <c r="A222" s="69"/>
      <c r="B222" s="69"/>
    </row>
    <row r="223" spans="1:2" x14ac:dyDescent="0.3">
      <c r="A223" s="69"/>
      <c r="B223" s="69"/>
    </row>
    <row r="224" spans="1:2" x14ac:dyDescent="0.3">
      <c r="A224" s="69"/>
      <c r="B224" s="69"/>
    </row>
    <row r="225" spans="1:2" x14ac:dyDescent="0.3">
      <c r="A225" s="69"/>
      <c r="B225" s="69"/>
    </row>
    <row r="226" spans="1:2" x14ac:dyDescent="0.3">
      <c r="A226" s="69"/>
      <c r="B226" s="69"/>
    </row>
    <row r="227" spans="1:2" x14ac:dyDescent="0.3">
      <c r="A227" s="69"/>
      <c r="B227" s="69"/>
    </row>
    <row r="228" spans="1:2" x14ac:dyDescent="0.3">
      <c r="A228" s="69"/>
      <c r="B228" s="69"/>
    </row>
    <row r="229" spans="1:2" x14ac:dyDescent="0.3">
      <c r="A229" s="69"/>
      <c r="B229" s="69"/>
    </row>
    <row r="230" spans="1:2" x14ac:dyDescent="0.3">
      <c r="A230" s="69"/>
      <c r="B230" s="69"/>
    </row>
    <row r="231" spans="1:2" x14ac:dyDescent="0.3">
      <c r="A231" s="69"/>
      <c r="B231" s="69"/>
    </row>
    <row r="232" spans="1:2" x14ac:dyDescent="0.3">
      <c r="A232" s="69"/>
      <c r="B232" s="69"/>
    </row>
    <row r="233" spans="1:2" x14ac:dyDescent="0.3">
      <c r="A233" s="69"/>
      <c r="B233" s="69"/>
    </row>
    <row r="234" spans="1:2" x14ac:dyDescent="0.3">
      <c r="A234" s="69"/>
      <c r="B234" s="69"/>
    </row>
    <row r="235" spans="1:2" x14ac:dyDescent="0.3">
      <c r="A235" s="69"/>
      <c r="B235" s="69"/>
    </row>
    <row r="236" spans="1:2" x14ac:dyDescent="0.3">
      <c r="A236" s="69"/>
      <c r="B236" s="69"/>
    </row>
    <row r="237" spans="1:2" x14ac:dyDescent="0.3">
      <c r="A237" s="69"/>
      <c r="B237" s="69"/>
    </row>
    <row r="238" spans="1:2" x14ac:dyDescent="0.3">
      <c r="A238" s="69"/>
      <c r="B238" s="69"/>
    </row>
    <row r="239" spans="1:2" x14ac:dyDescent="0.3">
      <c r="A239" s="69"/>
      <c r="B239" s="69"/>
    </row>
    <row r="240" spans="1:2" x14ac:dyDescent="0.3">
      <c r="A240" s="69"/>
      <c r="B240" s="69"/>
    </row>
    <row r="241" spans="1:2" x14ac:dyDescent="0.3">
      <c r="A241" s="69"/>
      <c r="B241" s="69"/>
    </row>
    <row r="242" spans="1:2" x14ac:dyDescent="0.3">
      <c r="A242" s="69"/>
      <c r="B242" s="69"/>
    </row>
    <row r="243" spans="1:2" x14ac:dyDescent="0.3">
      <c r="A243" s="69"/>
      <c r="B243" s="69"/>
    </row>
    <row r="244" spans="1:2" x14ac:dyDescent="0.3">
      <c r="A244" s="69"/>
      <c r="B244" s="69"/>
    </row>
    <row r="245" spans="1:2" x14ac:dyDescent="0.3">
      <c r="A245" s="69"/>
      <c r="B245" s="69"/>
    </row>
    <row r="246" spans="1:2" x14ac:dyDescent="0.3">
      <c r="A246" s="69"/>
      <c r="B246" s="69"/>
    </row>
    <row r="247" spans="1:2" x14ac:dyDescent="0.3">
      <c r="A247" s="69"/>
      <c r="B247" s="69"/>
    </row>
    <row r="248" spans="1:2" x14ac:dyDescent="0.3">
      <c r="A248" s="69"/>
      <c r="B248" s="69"/>
    </row>
    <row r="249" spans="1:2" x14ac:dyDescent="0.3">
      <c r="A249" s="69"/>
      <c r="B249" s="69"/>
    </row>
    <row r="250" spans="1:2" x14ac:dyDescent="0.3">
      <c r="A250" s="69"/>
      <c r="B250" s="69"/>
    </row>
    <row r="251" spans="1:2" x14ac:dyDescent="0.3">
      <c r="A251" s="69"/>
      <c r="B251" s="69"/>
    </row>
    <row r="252" spans="1:2" x14ac:dyDescent="0.3">
      <c r="A252" s="69"/>
      <c r="B252" s="69"/>
    </row>
    <row r="253" spans="1:2" x14ac:dyDescent="0.3">
      <c r="A253" s="69"/>
      <c r="B253" s="69"/>
    </row>
    <row r="254" spans="1:2" x14ac:dyDescent="0.3">
      <c r="A254" s="69"/>
      <c r="B254" s="69"/>
    </row>
    <row r="255" spans="1:2" x14ac:dyDescent="0.3">
      <c r="A255" s="69"/>
      <c r="B255" s="69"/>
    </row>
    <row r="256" spans="1:2" x14ac:dyDescent="0.3">
      <c r="A256" s="69"/>
      <c r="B256" s="69"/>
    </row>
    <row r="257" spans="1:2" x14ac:dyDescent="0.3">
      <c r="A257" s="69"/>
      <c r="B257" s="69"/>
    </row>
    <row r="258" spans="1:2" x14ac:dyDescent="0.3">
      <c r="A258" s="69"/>
      <c r="B258" s="69"/>
    </row>
    <row r="259" spans="1:2" x14ac:dyDescent="0.3">
      <c r="A259" s="69"/>
      <c r="B259" s="69"/>
    </row>
    <row r="260" spans="1:2" x14ac:dyDescent="0.3">
      <c r="A260" s="69"/>
      <c r="B260" s="69"/>
    </row>
    <row r="261" spans="1:2" x14ac:dyDescent="0.3">
      <c r="A261" s="69"/>
      <c r="B261" s="69"/>
    </row>
    <row r="262" spans="1:2" x14ac:dyDescent="0.3">
      <c r="A262" s="69"/>
      <c r="B262" s="69"/>
    </row>
    <row r="263" spans="1:2" x14ac:dyDescent="0.3">
      <c r="A263" s="69"/>
      <c r="B263" s="69"/>
    </row>
    <row r="264" spans="1:2" x14ac:dyDescent="0.3">
      <c r="A264" s="69"/>
      <c r="B264" s="69"/>
    </row>
    <row r="265" spans="1:2" x14ac:dyDescent="0.3">
      <c r="A265" s="69"/>
      <c r="B265" s="69"/>
    </row>
    <row r="266" spans="1:2" x14ac:dyDescent="0.3">
      <c r="A266" s="69"/>
      <c r="B266" s="69"/>
    </row>
    <row r="267" spans="1:2" x14ac:dyDescent="0.3">
      <c r="A267" s="69"/>
      <c r="B267" s="69"/>
    </row>
    <row r="268" spans="1:2" x14ac:dyDescent="0.3">
      <c r="A268" s="69"/>
      <c r="B268" s="69"/>
    </row>
    <row r="269" spans="1:2" x14ac:dyDescent="0.3">
      <c r="A269" s="69"/>
      <c r="B269" s="69"/>
    </row>
    <row r="270" spans="1:2" x14ac:dyDescent="0.3">
      <c r="A270" s="69"/>
      <c r="B270" s="69"/>
    </row>
    <row r="271" spans="1:2" x14ac:dyDescent="0.3">
      <c r="A271" s="69"/>
      <c r="B271" s="69"/>
    </row>
    <row r="272" spans="1:2" x14ac:dyDescent="0.3">
      <c r="A272" s="69"/>
      <c r="B272" s="69"/>
    </row>
    <row r="273" spans="1:2" x14ac:dyDescent="0.3">
      <c r="A273" s="69"/>
      <c r="B273" s="69"/>
    </row>
    <row r="274" spans="1:2" x14ac:dyDescent="0.3">
      <c r="A274" s="69"/>
      <c r="B274" s="69"/>
    </row>
    <row r="275" spans="1:2" x14ac:dyDescent="0.3">
      <c r="A275" s="69"/>
      <c r="B275" s="69"/>
    </row>
    <row r="276" spans="1:2" x14ac:dyDescent="0.3">
      <c r="A276" s="69"/>
      <c r="B276" s="69"/>
    </row>
    <row r="277" spans="1:2" x14ac:dyDescent="0.3">
      <c r="A277" s="69"/>
      <c r="B277" s="69"/>
    </row>
    <row r="278" spans="1:2" x14ac:dyDescent="0.3">
      <c r="A278" s="69"/>
      <c r="B278" s="69"/>
    </row>
    <row r="279" spans="1:2" x14ac:dyDescent="0.3">
      <c r="A279" s="69"/>
      <c r="B279" s="69"/>
    </row>
    <row r="280" spans="1:2" x14ac:dyDescent="0.3">
      <c r="A280" s="69"/>
      <c r="B280" s="69"/>
    </row>
    <row r="281" spans="1:2" x14ac:dyDescent="0.3">
      <c r="A281" s="69"/>
      <c r="B281" s="69"/>
    </row>
    <row r="282" spans="1:2" x14ac:dyDescent="0.3">
      <c r="A282" s="69"/>
      <c r="B282" s="69"/>
    </row>
    <row r="283" spans="1:2" x14ac:dyDescent="0.3">
      <c r="A283" s="69"/>
      <c r="B283" s="69"/>
    </row>
    <row r="284" spans="1:2" x14ac:dyDescent="0.3">
      <c r="A284" s="69"/>
      <c r="B284" s="69"/>
    </row>
    <row r="285" spans="1:2" x14ac:dyDescent="0.3">
      <c r="A285" s="69"/>
      <c r="B285" s="69"/>
    </row>
    <row r="286" spans="1:2" x14ac:dyDescent="0.3">
      <c r="A286" s="69"/>
      <c r="B286" s="69"/>
    </row>
    <row r="287" spans="1:2" x14ac:dyDescent="0.3">
      <c r="A287" s="69"/>
      <c r="B287" s="69"/>
    </row>
    <row r="288" spans="1:2" x14ac:dyDescent="0.3">
      <c r="A288" s="69"/>
      <c r="B288" s="69"/>
    </row>
    <row r="289" spans="1:2" x14ac:dyDescent="0.3">
      <c r="A289" s="69"/>
      <c r="B289" s="69"/>
    </row>
    <row r="290" spans="1:2" x14ac:dyDescent="0.3">
      <c r="A290" s="69"/>
      <c r="B290" s="69"/>
    </row>
    <row r="291" spans="1:2" x14ac:dyDescent="0.3">
      <c r="A291" s="69"/>
      <c r="B291" s="69"/>
    </row>
    <row r="292" spans="1:2" x14ac:dyDescent="0.3">
      <c r="A292" s="69"/>
      <c r="B292" s="69"/>
    </row>
    <row r="293" spans="1:2" x14ac:dyDescent="0.3">
      <c r="A293" s="69"/>
      <c r="B293" s="69"/>
    </row>
    <row r="294" spans="1:2" x14ac:dyDescent="0.3">
      <c r="A294" s="69"/>
      <c r="B294" s="69"/>
    </row>
    <row r="295" spans="1:2" x14ac:dyDescent="0.3">
      <c r="A295" s="69"/>
      <c r="B295" s="69"/>
    </row>
    <row r="296" spans="1:2" x14ac:dyDescent="0.3">
      <c r="A296" s="69"/>
      <c r="B296" s="69"/>
    </row>
    <row r="297" spans="1:2" x14ac:dyDescent="0.3">
      <c r="A297" s="69"/>
      <c r="B297" s="69"/>
    </row>
    <row r="298" spans="1:2" x14ac:dyDescent="0.3">
      <c r="A298" s="69"/>
      <c r="B298" s="69"/>
    </row>
    <row r="299" spans="1:2" x14ac:dyDescent="0.3">
      <c r="A299" s="69"/>
      <c r="B299" s="69"/>
    </row>
    <row r="300" spans="1:2" x14ac:dyDescent="0.3">
      <c r="A300" s="69"/>
      <c r="B300" s="69"/>
    </row>
    <row r="301" spans="1:2" x14ac:dyDescent="0.3">
      <c r="A301" s="69"/>
      <c r="B301" s="69"/>
    </row>
    <row r="302" spans="1:2" x14ac:dyDescent="0.3">
      <c r="A302" s="69"/>
      <c r="B302" s="69"/>
    </row>
    <row r="303" spans="1:2" x14ac:dyDescent="0.3">
      <c r="A303" s="69"/>
      <c r="B303" s="69"/>
    </row>
    <row r="304" spans="1:2" x14ac:dyDescent="0.3">
      <c r="A304" s="69"/>
      <c r="B304" s="69"/>
    </row>
    <row r="305" spans="1:2" x14ac:dyDescent="0.3">
      <c r="A305" s="69"/>
      <c r="B305" s="69"/>
    </row>
    <row r="306" spans="1:2" x14ac:dyDescent="0.3">
      <c r="A306" s="69"/>
      <c r="B306" s="69"/>
    </row>
    <row r="307" spans="1:2" x14ac:dyDescent="0.3">
      <c r="A307" s="69"/>
      <c r="B307" s="69"/>
    </row>
    <row r="308" spans="1:2" x14ac:dyDescent="0.3">
      <c r="A308" s="69"/>
      <c r="B308" s="69"/>
    </row>
    <row r="309" spans="1:2" x14ac:dyDescent="0.3">
      <c r="A309" s="69"/>
      <c r="B309" s="69"/>
    </row>
    <row r="310" spans="1:2" x14ac:dyDescent="0.3">
      <c r="A310" s="69"/>
      <c r="B310" s="69"/>
    </row>
    <row r="311" spans="1:2" x14ac:dyDescent="0.3">
      <c r="A311" s="69"/>
      <c r="B311" s="69"/>
    </row>
    <row r="312" spans="1:2" x14ac:dyDescent="0.3">
      <c r="A312" s="69"/>
      <c r="B312" s="69"/>
    </row>
    <row r="313" spans="1:2" x14ac:dyDescent="0.3">
      <c r="A313" s="69"/>
      <c r="B313" s="69"/>
    </row>
    <row r="314" spans="1:2" x14ac:dyDescent="0.3">
      <c r="A314" s="69"/>
      <c r="B314" s="69"/>
    </row>
    <row r="315" spans="1:2" x14ac:dyDescent="0.3">
      <c r="A315" s="69"/>
      <c r="B315" s="69"/>
    </row>
    <row r="316" spans="1:2" x14ac:dyDescent="0.3">
      <c r="A316" s="69"/>
      <c r="B316" s="69"/>
    </row>
    <row r="317" spans="1:2" x14ac:dyDescent="0.3">
      <c r="A317" s="69"/>
      <c r="B317" s="69"/>
    </row>
    <row r="318" spans="1:2" x14ac:dyDescent="0.3">
      <c r="A318" s="69"/>
      <c r="B318" s="69"/>
    </row>
    <row r="319" spans="1:2" x14ac:dyDescent="0.3">
      <c r="A319" s="69"/>
      <c r="B319" s="69"/>
    </row>
    <row r="320" spans="1:2" x14ac:dyDescent="0.3">
      <c r="A320" s="69"/>
      <c r="B320" s="69"/>
    </row>
    <row r="321" spans="1:2" x14ac:dyDescent="0.3">
      <c r="A321" s="69"/>
      <c r="B321" s="69"/>
    </row>
    <row r="322" spans="1:2" x14ac:dyDescent="0.3">
      <c r="A322" s="69"/>
      <c r="B322" s="69"/>
    </row>
    <row r="323" spans="1:2" x14ac:dyDescent="0.3">
      <c r="A323" s="69"/>
      <c r="B323" s="69"/>
    </row>
    <row r="324" spans="1:2" x14ac:dyDescent="0.3">
      <c r="A324" s="69"/>
      <c r="B324" s="69"/>
    </row>
    <row r="325" spans="1:2" x14ac:dyDescent="0.3">
      <c r="A325" s="69"/>
      <c r="B325" s="69"/>
    </row>
    <row r="326" spans="1:2" x14ac:dyDescent="0.3">
      <c r="A326" s="69"/>
      <c r="B326" s="69"/>
    </row>
    <row r="327" spans="1:2" x14ac:dyDescent="0.3">
      <c r="A327" s="69"/>
      <c r="B327" s="69"/>
    </row>
    <row r="328" spans="1:2" x14ac:dyDescent="0.3">
      <c r="A328" s="69"/>
      <c r="B328" s="69"/>
    </row>
    <row r="329" spans="1:2" x14ac:dyDescent="0.3">
      <c r="A329" s="69"/>
      <c r="B329" s="69"/>
    </row>
    <row r="330" spans="1:2" x14ac:dyDescent="0.3">
      <c r="A330" s="69"/>
      <c r="B330" s="69"/>
    </row>
    <row r="331" spans="1:2" x14ac:dyDescent="0.3">
      <c r="A331" s="69"/>
      <c r="B331" s="69"/>
    </row>
    <row r="332" spans="1:2" x14ac:dyDescent="0.3">
      <c r="A332" s="69"/>
      <c r="B332" s="69"/>
    </row>
    <row r="333" spans="1:2" x14ac:dyDescent="0.3">
      <c r="A333" s="69"/>
      <c r="B333" s="69"/>
    </row>
    <row r="334" spans="1:2" x14ac:dyDescent="0.3">
      <c r="A334" s="69"/>
      <c r="B334" s="69"/>
    </row>
    <row r="335" spans="1:2" x14ac:dyDescent="0.3">
      <c r="A335" s="69"/>
      <c r="B335" s="69"/>
    </row>
    <row r="336" spans="1:2" x14ac:dyDescent="0.3">
      <c r="A336" s="69"/>
      <c r="B336" s="69"/>
    </row>
    <row r="337" spans="1:2" x14ac:dyDescent="0.3">
      <c r="A337" s="69"/>
      <c r="B337" s="69"/>
    </row>
    <row r="338" spans="1:2" x14ac:dyDescent="0.3">
      <c r="A338" s="69"/>
      <c r="B338" s="69"/>
    </row>
    <row r="339" spans="1:2" x14ac:dyDescent="0.3">
      <c r="A339" s="69"/>
      <c r="B339" s="69"/>
    </row>
    <row r="340" spans="1:2" x14ac:dyDescent="0.3">
      <c r="A340" s="69"/>
      <c r="B340" s="69"/>
    </row>
    <row r="341" spans="1:2" x14ac:dyDescent="0.3">
      <c r="A341" s="69"/>
      <c r="B341" s="69"/>
    </row>
    <row r="342" spans="1:2" x14ac:dyDescent="0.3">
      <c r="A342" s="69"/>
      <c r="B342" s="69"/>
    </row>
    <row r="343" spans="1:2" x14ac:dyDescent="0.3">
      <c r="A343" s="69"/>
      <c r="B343" s="69"/>
    </row>
    <row r="344" spans="1:2" x14ac:dyDescent="0.3">
      <c r="A344" s="69"/>
      <c r="B344" s="69"/>
    </row>
    <row r="345" spans="1:2" x14ac:dyDescent="0.3">
      <c r="A345" s="69"/>
      <c r="B345" s="69"/>
    </row>
    <row r="346" spans="1:2" x14ac:dyDescent="0.3">
      <c r="A346" s="69"/>
      <c r="B346" s="69"/>
    </row>
    <row r="347" spans="1:2" x14ac:dyDescent="0.3">
      <c r="A347" s="69"/>
      <c r="B347" s="69"/>
    </row>
    <row r="348" spans="1:2" x14ac:dyDescent="0.3">
      <c r="A348" s="69"/>
      <c r="B348" s="69"/>
    </row>
    <row r="349" spans="1:2" x14ac:dyDescent="0.3">
      <c r="A349" s="69"/>
      <c r="B349" s="69"/>
    </row>
    <row r="350" spans="1:2" x14ac:dyDescent="0.3">
      <c r="A350" s="69"/>
      <c r="B350" s="69"/>
    </row>
    <row r="351" spans="1:2" x14ac:dyDescent="0.3">
      <c r="A351" s="69"/>
      <c r="B351" s="69"/>
    </row>
    <row r="352" spans="1:2" x14ac:dyDescent="0.3">
      <c r="A352" s="69"/>
      <c r="B352" s="69"/>
    </row>
    <row r="353" spans="1:2" x14ac:dyDescent="0.3">
      <c r="A353" s="69"/>
      <c r="B353" s="69"/>
    </row>
    <row r="354" spans="1:2" x14ac:dyDescent="0.3">
      <c r="A354" s="69"/>
      <c r="B354" s="69"/>
    </row>
    <row r="355" spans="1:2" x14ac:dyDescent="0.3">
      <c r="A355" s="69"/>
      <c r="B355" s="69"/>
    </row>
    <row r="356" spans="1:2" x14ac:dyDescent="0.3">
      <c r="A356" s="69"/>
      <c r="B356" s="69"/>
    </row>
    <row r="357" spans="1:2" x14ac:dyDescent="0.3">
      <c r="A357" s="69"/>
      <c r="B357" s="69"/>
    </row>
    <row r="358" spans="1:2" x14ac:dyDescent="0.3">
      <c r="A358" s="69"/>
      <c r="B358" s="69"/>
    </row>
    <row r="359" spans="1:2" x14ac:dyDescent="0.3">
      <c r="A359" s="69"/>
      <c r="B359" s="69"/>
    </row>
    <row r="360" spans="1:2" x14ac:dyDescent="0.3">
      <c r="A360" s="69"/>
      <c r="B360" s="69"/>
    </row>
    <row r="361" spans="1:2" x14ac:dyDescent="0.3">
      <c r="A361" s="69"/>
      <c r="B361" s="69"/>
    </row>
    <row r="362" spans="1:2" x14ac:dyDescent="0.3">
      <c r="A362" s="69"/>
      <c r="B362" s="69"/>
    </row>
    <row r="363" spans="1:2" x14ac:dyDescent="0.3">
      <c r="A363" s="69"/>
      <c r="B363" s="69"/>
    </row>
    <row r="364" spans="1:2" x14ac:dyDescent="0.3">
      <c r="A364" s="69"/>
      <c r="B364" s="69"/>
    </row>
    <row r="365" spans="1:2" x14ac:dyDescent="0.3">
      <c r="A365" s="69"/>
      <c r="B365" s="69"/>
    </row>
  </sheetData>
  <conditionalFormatting sqref="C86:F126">
    <cfRule type="cellIs" dxfId="6" priority="3" operator="equal">
      <formula>""</formula>
    </cfRule>
  </conditionalFormatting>
  <conditionalFormatting sqref="C45:F85">
    <cfRule type="cellIs" dxfId="5" priority="2" operator="equal">
      <formula>""</formula>
    </cfRule>
  </conditionalFormatting>
  <conditionalFormatting sqref="C4:F44">
    <cfRule type="cellIs" dxfId="4" priority="1" operator="equal">
      <formula>""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425CE-1E2A-44CB-94C1-6F52491D0DA0}">
  <sheetPr codeName="Sheet14"/>
  <dimension ref="A1:GA127"/>
  <sheetViews>
    <sheetView showGridLines="0" zoomScaleNormal="100" workbookViewId="0">
      <pane xSplit="1" ySplit="1" topLeftCell="B2" activePane="bottomRight" state="frozen"/>
      <selection activeCell="AG14" sqref="AG14"/>
      <selection pane="topRight" activeCell="AG14" sqref="AG14"/>
      <selection pane="bottomLeft" activeCell="AG14" sqref="AG14"/>
      <selection pane="bottomRight" activeCell="C7" sqref="C7"/>
    </sheetView>
  </sheetViews>
  <sheetFormatPr defaultColWidth="9.140625" defaultRowHeight="16.5" outlineLevelCol="1" x14ac:dyDescent="0.3"/>
  <cols>
    <col min="1" max="1" width="19.42578125" style="1" bestFit="1" customWidth="1"/>
    <col min="2" max="2" width="11.42578125" style="1" customWidth="1"/>
    <col min="3" max="3" width="47.28515625" style="1" bestFit="1" customWidth="1"/>
    <col min="4" max="4" width="24.85546875" style="1" bestFit="1" customWidth="1"/>
    <col min="5" max="5" width="9.42578125" style="1" bestFit="1" customWidth="1"/>
    <col min="6" max="6" width="6.140625" style="1" bestFit="1" customWidth="1"/>
    <col min="7" max="7" width="9.42578125" style="1" bestFit="1" customWidth="1"/>
    <col min="8" max="8" width="2.42578125" style="1" bestFit="1" customWidth="1"/>
    <col min="9" max="9" width="10.42578125" style="1" customWidth="1" outlineLevel="1"/>
    <col min="10" max="36" width="9.140625" style="1" customWidth="1" outlineLevel="1"/>
    <col min="37" max="37" width="9.140625" style="1"/>
    <col min="38" max="108" width="9.85546875" style="1" customWidth="1" outlineLevel="1"/>
    <col min="109" max="117" width="9.85546875" customWidth="1" outlineLevel="1"/>
    <col min="118" max="133" width="9.85546875" style="1" customWidth="1" outlineLevel="1"/>
    <col min="134" max="134" width="9.140625" style="1"/>
    <col min="135" max="135" width="13.42578125" style="1" customWidth="1" outlineLevel="1"/>
    <col min="136" max="136" width="14.42578125" style="1" bestFit="1" customWidth="1" outlineLevel="1"/>
    <col min="137" max="137" width="12.28515625" style="1" customWidth="1" outlineLevel="1"/>
    <col min="138" max="138" width="9.140625" style="67" outlineLevel="1"/>
    <col min="139" max="139" width="13.85546875" style="67" customWidth="1" outlineLevel="1"/>
    <col min="140" max="140" width="9.140625" style="1" outlineLevel="1"/>
    <col min="141" max="141" width="9.140625" style="67"/>
    <col min="142" max="16384" width="9.140625" style="1"/>
  </cols>
  <sheetData>
    <row r="1" spans="1:183" x14ac:dyDescent="0.3">
      <c r="B1" s="1" t="s">
        <v>241</v>
      </c>
      <c r="C1" s="1" t="s">
        <v>211</v>
      </c>
      <c r="D1" s="1" t="s">
        <v>212</v>
      </c>
      <c r="E1" s="1" t="s">
        <v>213</v>
      </c>
      <c r="F1" s="1" t="s">
        <v>214</v>
      </c>
      <c r="G1" s="1" t="s">
        <v>215</v>
      </c>
      <c r="I1" s="70">
        <v>2018</v>
      </c>
      <c r="J1" s="70">
        <f>I1+1</f>
        <v>2019</v>
      </c>
      <c r="K1" s="70">
        <f t="shared" ref="K1:AJ1" si="0">J1+1</f>
        <v>2020</v>
      </c>
      <c r="L1" s="70">
        <f t="shared" si="0"/>
        <v>2021</v>
      </c>
      <c r="M1" s="70">
        <f t="shared" si="0"/>
        <v>2022</v>
      </c>
      <c r="N1" s="70">
        <f t="shared" si="0"/>
        <v>2023</v>
      </c>
      <c r="O1" s="70">
        <f t="shared" si="0"/>
        <v>2024</v>
      </c>
      <c r="P1" s="70">
        <f t="shared" si="0"/>
        <v>2025</v>
      </c>
      <c r="Q1" s="70">
        <f t="shared" si="0"/>
        <v>2026</v>
      </c>
      <c r="R1" s="70">
        <f t="shared" si="0"/>
        <v>2027</v>
      </c>
      <c r="S1" s="70">
        <f t="shared" si="0"/>
        <v>2028</v>
      </c>
      <c r="T1" s="70">
        <f>S1+1</f>
        <v>2029</v>
      </c>
      <c r="U1" s="70">
        <f t="shared" si="0"/>
        <v>2030</v>
      </c>
      <c r="V1" s="70">
        <f t="shared" si="0"/>
        <v>2031</v>
      </c>
      <c r="W1" s="70">
        <f t="shared" si="0"/>
        <v>2032</v>
      </c>
      <c r="X1" s="70">
        <f t="shared" si="0"/>
        <v>2033</v>
      </c>
      <c r="Y1" s="70">
        <f t="shared" si="0"/>
        <v>2034</v>
      </c>
      <c r="Z1" s="70">
        <f t="shared" si="0"/>
        <v>2035</v>
      </c>
      <c r="AA1" s="70">
        <f t="shared" si="0"/>
        <v>2036</v>
      </c>
      <c r="AB1" s="70">
        <f t="shared" si="0"/>
        <v>2037</v>
      </c>
      <c r="AC1" s="70">
        <f t="shared" si="0"/>
        <v>2038</v>
      </c>
      <c r="AD1" s="70">
        <f t="shared" si="0"/>
        <v>2039</v>
      </c>
      <c r="AE1" s="70">
        <f t="shared" si="0"/>
        <v>2040</v>
      </c>
      <c r="AF1" s="70">
        <f t="shared" si="0"/>
        <v>2041</v>
      </c>
      <c r="AG1" s="70">
        <f t="shared" si="0"/>
        <v>2042</v>
      </c>
      <c r="AH1" s="70">
        <f t="shared" si="0"/>
        <v>2043</v>
      </c>
      <c r="AI1" s="70">
        <f t="shared" si="0"/>
        <v>2044</v>
      </c>
      <c r="AJ1" s="70">
        <f t="shared" si="0"/>
        <v>2045</v>
      </c>
      <c r="AK1" s="70"/>
      <c r="AL1" s="70" t="s">
        <v>55</v>
      </c>
      <c r="AM1" s="70" t="s">
        <v>56</v>
      </c>
      <c r="AN1" s="70" t="s">
        <v>57</v>
      </c>
      <c r="AO1" s="70" t="s">
        <v>58</v>
      </c>
      <c r="AP1" s="70" t="s">
        <v>59</v>
      </c>
      <c r="AQ1" s="70" t="s">
        <v>60</v>
      </c>
      <c r="AR1" s="70" t="s">
        <v>61</v>
      </c>
      <c r="AS1" s="70" t="s">
        <v>62</v>
      </c>
      <c r="AT1" s="70" t="s">
        <v>63</v>
      </c>
      <c r="AU1" s="70" t="s">
        <v>64</v>
      </c>
      <c r="AV1" s="70" t="s">
        <v>65</v>
      </c>
      <c r="AW1" s="70" t="s">
        <v>66</v>
      </c>
      <c r="AX1" s="70" t="s">
        <v>67</v>
      </c>
      <c r="AY1" s="70" t="s">
        <v>68</v>
      </c>
      <c r="AZ1" s="70" t="s">
        <v>69</v>
      </c>
      <c r="BA1" s="70" t="s">
        <v>70</v>
      </c>
      <c r="BB1" s="70" t="s">
        <v>71</v>
      </c>
      <c r="BC1" s="70" t="s">
        <v>72</v>
      </c>
      <c r="BD1" s="70" t="s">
        <v>73</v>
      </c>
      <c r="BE1" s="70" t="s">
        <v>74</v>
      </c>
      <c r="BF1" s="70" t="s">
        <v>75</v>
      </c>
      <c r="BG1" s="70" t="s">
        <v>76</v>
      </c>
      <c r="BH1" s="70" t="s">
        <v>77</v>
      </c>
      <c r="BI1" s="70" t="s">
        <v>78</v>
      </c>
      <c r="BJ1" s="70" t="s">
        <v>79</v>
      </c>
      <c r="BK1" s="70" t="s">
        <v>80</v>
      </c>
      <c r="BL1" s="70" t="s">
        <v>81</v>
      </c>
      <c r="BM1" s="70" t="s">
        <v>82</v>
      </c>
      <c r="BN1" s="70" t="s">
        <v>83</v>
      </c>
      <c r="BO1" s="70" t="s">
        <v>84</v>
      </c>
      <c r="BP1" s="70" t="s">
        <v>85</v>
      </c>
      <c r="BQ1" s="70" t="s">
        <v>86</v>
      </c>
      <c r="BR1" s="70" t="s">
        <v>87</v>
      </c>
      <c r="BS1" s="70" t="s">
        <v>88</v>
      </c>
      <c r="BT1" s="70" t="s">
        <v>89</v>
      </c>
      <c r="BU1" s="70" t="s">
        <v>90</v>
      </c>
      <c r="BV1" s="70" t="s">
        <v>91</v>
      </c>
      <c r="BW1" s="70" t="s">
        <v>92</v>
      </c>
      <c r="BX1" s="70" t="s">
        <v>93</v>
      </c>
      <c r="BY1" s="70" t="s">
        <v>94</v>
      </c>
      <c r="BZ1" s="70" t="s">
        <v>95</v>
      </c>
      <c r="CA1" s="70" t="s">
        <v>96</v>
      </c>
      <c r="CB1" s="70" t="s">
        <v>97</v>
      </c>
      <c r="CC1" s="70" t="s">
        <v>98</v>
      </c>
      <c r="CD1" s="70" t="s">
        <v>99</v>
      </c>
      <c r="CE1" s="70" t="s">
        <v>100</v>
      </c>
      <c r="CF1" s="70" t="s">
        <v>101</v>
      </c>
      <c r="CG1" s="70" t="s">
        <v>102</v>
      </c>
      <c r="CH1" s="70" t="s">
        <v>103</v>
      </c>
      <c r="CI1" s="70" t="s">
        <v>104</v>
      </c>
      <c r="CJ1" s="70" t="s">
        <v>105</v>
      </c>
      <c r="CK1" s="70" t="s">
        <v>106</v>
      </c>
      <c r="CL1" s="70" t="s">
        <v>107</v>
      </c>
      <c r="CM1" s="70" t="s">
        <v>108</v>
      </c>
      <c r="CN1" s="70" t="s">
        <v>109</v>
      </c>
      <c r="CO1" s="70" t="s">
        <v>110</v>
      </c>
      <c r="CP1" s="70" t="s">
        <v>111</v>
      </c>
      <c r="CQ1" s="70" t="s">
        <v>112</v>
      </c>
      <c r="CR1" s="70" t="s">
        <v>113</v>
      </c>
      <c r="CS1" s="70" t="s">
        <v>114</v>
      </c>
      <c r="CT1" s="70" t="s">
        <v>115</v>
      </c>
      <c r="CU1" s="70" t="s">
        <v>116</v>
      </c>
      <c r="CV1" s="70" t="s">
        <v>117</v>
      </c>
      <c r="CW1" s="70" t="s">
        <v>118</v>
      </c>
      <c r="CX1" s="70" t="s">
        <v>119</v>
      </c>
      <c r="CY1" s="70" t="s">
        <v>120</v>
      </c>
      <c r="CZ1" s="70" t="s">
        <v>121</v>
      </c>
      <c r="DA1" s="70" t="s">
        <v>122</v>
      </c>
      <c r="DB1" s="70" t="s">
        <v>123</v>
      </c>
      <c r="DC1" s="70" t="s">
        <v>124</v>
      </c>
      <c r="DD1" s="70" t="s">
        <v>125</v>
      </c>
      <c r="DE1" s="70" t="s">
        <v>126</v>
      </c>
      <c r="DF1" s="70" t="s">
        <v>127</v>
      </c>
      <c r="DG1" s="70" t="s">
        <v>128</v>
      </c>
      <c r="DH1" s="70" t="s">
        <v>129</v>
      </c>
      <c r="DI1" s="70" t="s">
        <v>130</v>
      </c>
      <c r="DJ1" s="70" t="s">
        <v>131</v>
      </c>
      <c r="DK1" s="70" t="s">
        <v>132</v>
      </c>
      <c r="DL1" s="70" t="s">
        <v>133</v>
      </c>
      <c r="DM1" s="70" t="s">
        <v>134</v>
      </c>
      <c r="DN1" s="70" t="s">
        <v>135</v>
      </c>
      <c r="DO1" s="70" t="s">
        <v>136</v>
      </c>
      <c r="DP1" s="70" t="s">
        <v>137</v>
      </c>
      <c r="DQ1" s="70" t="s">
        <v>138</v>
      </c>
      <c r="DR1" s="70" t="s">
        <v>139</v>
      </c>
      <c r="DS1" s="70" t="s">
        <v>140</v>
      </c>
      <c r="DT1" s="70" t="s">
        <v>141</v>
      </c>
      <c r="DU1" s="70" t="s">
        <v>142</v>
      </c>
      <c r="DV1" s="70" t="s">
        <v>143</v>
      </c>
      <c r="DW1" s="70" t="s">
        <v>144</v>
      </c>
      <c r="DX1" s="70" t="s">
        <v>145</v>
      </c>
      <c r="DY1" s="70" t="s">
        <v>146</v>
      </c>
      <c r="DZ1" s="70" t="s">
        <v>147</v>
      </c>
      <c r="EA1" s="70" t="s">
        <v>148</v>
      </c>
      <c r="EB1" s="70" t="s">
        <v>149</v>
      </c>
      <c r="EC1" s="70" t="s">
        <v>150</v>
      </c>
      <c r="ED1" s="70"/>
      <c r="EE1" s="71" t="s">
        <v>151</v>
      </c>
      <c r="EF1" s="71" t="s">
        <v>159</v>
      </c>
      <c r="EG1" s="72" t="s">
        <v>152</v>
      </c>
      <c r="EH1" s="67" t="s">
        <v>160</v>
      </c>
      <c r="EI1" s="67" t="s">
        <v>0</v>
      </c>
      <c r="EJ1" s="1" t="s">
        <v>242</v>
      </c>
    </row>
    <row r="2" spans="1:183" x14ac:dyDescent="0.3">
      <c r="B2" s="1" t="s">
        <v>12</v>
      </c>
      <c r="I2" s="87" t="str">
        <f>IFERROR(IFERROR(INDEX(#REF!,MATCH(I3,#REF!,0)),INDEX(#REF!,MATCH(I3,#REF!,0))),"")</f>
        <v/>
      </c>
      <c r="J2" s="87" t="str">
        <f>IFERROR(IFERROR(INDEX(#REF!,MATCH(J3,#REF!,0)),INDEX(#REF!,MATCH(J3,#REF!,0))),"")</f>
        <v/>
      </c>
      <c r="K2" s="87" t="str">
        <f>IFERROR(IFERROR(INDEX(#REF!,MATCH(K3,#REF!,0)),INDEX(#REF!,MATCH(K3,#REF!,0))),"")</f>
        <v/>
      </c>
      <c r="L2" s="87" t="str">
        <f>IFERROR(IFERROR(INDEX(#REF!,MATCH(L3,#REF!,0)),INDEX(#REF!,MATCH(L3,#REF!,0))),"")</f>
        <v/>
      </c>
      <c r="M2" s="87" t="str">
        <f>IFERROR(IFERROR(INDEX(#REF!,MATCH(M3,#REF!,0)),INDEX(#REF!,MATCH(M3,#REF!,0))),"")</f>
        <v/>
      </c>
      <c r="N2" s="87" t="str">
        <f>IFERROR(IFERROR(INDEX(#REF!,MATCH(N3,#REF!,0)),INDEX(#REF!,MATCH(N3,#REF!,0))),"")</f>
        <v/>
      </c>
      <c r="O2" s="87" t="str">
        <f>IFERROR(IFERROR(INDEX(#REF!,MATCH(O3,#REF!,0)),INDEX(#REF!,MATCH(O3,#REF!,0))),"")</f>
        <v/>
      </c>
      <c r="P2" s="87" t="str">
        <f>IFERROR(IFERROR(INDEX(#REF!,MATCH(P3,#REF!,0)),INDEX(#REF!,MATCH(P3,#REF!,0))),"")</f>
        <v/>
      </c>
      <c r="Q2" s="87" t="str">
        <f>IFERROR(IFERROR(INDEX(#REF!,MATCH(Q3,#REF!,0)),INDEX(#REF!,MATCH(Q3,#REF!,0))),"")</f>
        <v/>
      </c>
      <c r="R2" s="87" t="str">
        <f>IFERROR(IFERROR(INDEX(#REF!,MATCH(R3,#REF!,0)),INDEX(#REF!,MATCH(R3,#REF!,0))),"")</f>
        <v/>
      </c>
      <c r="S2" s="87" t="str">
        <f>IFERROR(IFERROR(INDEX(#REF!,MATCH(S3,#REF!,0)),INDEX(#REF!,MATCH(S3,#REF!,0))),"")</f>
        <v/>
      </c>
      <c r="T2" s="87" t="str">
        <f>IFERROR(IFERROR(INDEX(#REF!,MATCH(T3,#REF!,0)),INDEX(#REF!,MATCH(T3,#REF!,0))),"")</f>
        <v/>
      </c>
      <c r="U2" s="87" t="str">
        <f>IFERROR(IFERROR(INDEX(#REF!,MATCH(U3,#REF!,0)),INDEX(#REF!,MATCH(U3,#REF!,0))),"")</f>
        <v/>
      </c>
      <c r="V2" s="87" t="str">
        <f>IFERROR(IFERROR(INDEX(#REF!,MATCH(V3,#REF!,0)),INDEX(#REF!,MATCH(V3,#REF!,0))),"")</f>
        <v/>
      </c>
      <c r="W2" s="87" t="str">
        <f>IFERROR(IFERROR(INDEX(#REF!,MATCH(W3,#REF!,0)),INDEX(#REF!,MATCH(W3,#REF!,0))),"")</f>
        <v/>
      </c>
      <c r="X2" s="87" t="str">
        <f>IFERROR(IFERROR(INDEX(#REF!,MATCH(X3,#REF!,0)),INDEX(#REF!,MATCH(X3,#REF!,0))),"")</f>
        <v/>
      </c>
      <c r="Y2" s="87" t="str">
        <f>IFERROR(IFERROR(INDEX(#REF!,MATCH(Y3,#REF!,0)),INDEX(#REF!,MATCH(Y3,#REF!,0))),"")</f>
        <v/>
      </c>
      <c r="Z2" s="87" t="str">
        <f>IFERROR(IFERROR(INDEX(#REF!,MATCH(Z3,#REF!,0)),INDEX(#REF!,MATCH(Z3,#REF!,0))),"")</f>
        <v/>
      </c>
      <c r="AA2" s="87" t="str">
        <f>IFERROR(IFERROR(INDEX(#REF!,MATCH(AA3,#REF!,0)),INDEX(#REF!,MATCH(AA3,#REF!,0))),"")</f>
        <v/>
      </c>
      <c r="AB2" s="87" t="str">
        <f>IFERROR(IFERROR(INDEX(#REF!,MATCH(AB3,#REF!,0)),INDEX(#REF!,MATCH(AB3,#REF!,0))),"")</f>
        <v/>
      </c>
      <c r="AC2" s="87" t="str">
        <f>IFERROR(IFERROR(INDEX(#REF!,MATCH(AC3,#REF!,0)),INDEX(#REF!,MATCH(AC3,#REF!,0))),"")</f>
        <v/>
      </c>
      <c r="AD2" s="87" t="str">
        <f>IFERROR(IFERROR(INDEX(#REF!,MATCH(AD3,#REF!,0)),INDEX(#REF!,MATCH(AD3,#REF!,0))),"")</f>
        <v/>
      </c>
      <c r="AE2" s="87" t="str">
        <f>IFERROR(IFERROR(INDEX(#REF!,MATCH(AE3,#REF!,0)),INDEX(#REF!,MATCH(AE3,#REF!,0))),"")</f>
        <v/>
      </c>
      <c r="AF2" s="87" t="str">
        <f>IFERROR(IFERROR(INDEX(#REF!,MATCH(AF3,#REF!,0)),INDEX(#REF!,MATCH(AF3,#REF!,0))),"")</f>
        <v/>
      </c>
      <c r="AG2" s="87" t="str">
        <f>IFERROR(IFERROR(INDEX(#REF!,MATCH(AG3,#REF!,0)),INDEX(#REF!,MATCH(AG3,#REF!,0))),"")</f>
        <v/>
      </c>
      <c r="AH2" s="87" t="str">
        <f>IFERROR(IFERROR(INDEX(#REF!,MATCH(AH3,#REF!,0)),INDEX(#REF!,MATCH(AH3,#REF!,0))),"")</f>
        <v/>
      </c>
      <c r="AI2" s="87" t="str">
        <f>IFERROR(IFERROR(INDEX(#REF!,MATCH(AI3,#REF!,0)),INDEX(#REF!,MATCH(AI3,#REF!,0))),"")</f>
        <v/>
      </c>
      <c r="AJ2" s="87" t="str">
        <f>IFERROR(IFERROR(INDEX(#REF!,MATCH(AJ3,#REF!,0)),INDEX(#REF!,MATCH(AJ3,#REF!,0))),"")</f>
        <v/>
      </c>
      <c r="AL2" s="87" t="str">
        <f>IFERROR(IFERROR(INDEX(#REF!,MATCH(AL3,#REF!,0)),INDEX(#REF!,MATCH(AL3,#REF!,0))),"")</f>
        <v/>
      </c>
      <c r="AM2" s="87" t="str">
        <f>IFERROR(IFERROR(INDEX(#REF!,MATCH(AM3,#REF!,0)),INDEX(#REF!,MATCH(AM3,#REF!,0))),"")</f>
        <v/>
      </c>
      <c r="AN2" s="87" t="str">
        <f>IFERROR(IFERROR(INDEX(#REF!,MATCH(AN3,#REF!,0)),INDEX(#REF!,MATCH(AN3,#REF!,0))),"")</f>
        <v/>
      </c>
      <c r="AO2" s="87" t="str">
        <f>IFERROR(IFERROR(INDEX(#REF!,MATCH(AO3,#REF!,0)),INDEX(#REF!,MATCH(AO3,#REF!,0))),"")</f>
        <v/>
      </c>
      <c r="AP2" s="87" t="str">
        <f>IFERROR(IFERROR(INDEX(#REF!,MATCH(AP3,#REF!,0)),INDEX(#REF!,MATCH(AP3,#REF!,0))),"")</f>
        <v/>
      </c>
      <c r="AQ2" s="87" t="str">
        <f>IFERROR(IFERROR(INDEX(#REF!,MATCH(AQ3,#REF!,0)),INDEX(#REF!,MATCH(AQ3,#REF!,0))),"")</f>
        <v/>
      </c>
      <c r="AR2" s="87" t="str">
        <f>IFERROR(IFERROR(INDEX(#REF!,MATCH(AR3,#REF!,0)),INDEX(#REF!,MATCH(AR3,#REF!,0))),"")</f>
        <v/>
      </c>
      <c r="AS2" s="87" t="str">
        <f>IFERROR(IFERROR(INDEX(#REF!,MATCH(AS3,#REF!,0)),INDEX(#REF!,MATCH(AS3,#REF!,0))),"")</f>
        <v/>
      </c>
      <c r="AT2" s="87" t="str">
        <f>IFERROR(IFERROR(INDEX(#REF!,MATCH(AT3,#REF!,0)),INDEX(#REF!,MATCH(AT3,#REF!,0))),"")</f>
        <v/>
      </c>
      <c r="AU2" s="87" t="str">
        <f>IFERROR(IFERROR(INDEX(#REF!,MATCH(AU3,#REF!,0)),INDEX(#REF!,MATCH(AU3,#REF!,0))),"")</f>
        <v/>
      </c>
      <c r="AV2" s="87" t="str">
        <f>IFERROR(IFERROR(INDEX(#REF!,MATCH(AV3,#REF!,0)),INDEX(#REF!,MATCH(AV3,#REF!,0))),"")</f>
        <v/>
      </c>
      <c r="AW2" s="87" t="str">
        <f>IFERROR(IFERROR(INDEX(#REF!,MATCH(AW3,#REF!,0)),INDEX(#REF!,MATCH(AW3,#REF!,0))),"")</f>
        <v/>
      </c>
      <c r="AX2" s="87" t="str">
        <f>IFERROR(IFERROR(INDEX(#REF!,MATCH(AX3,#REF!,0)),INDEX(#REF!,MATCH(AX3,#REF!,0))),"")</f>
        <v/>
      </c>
      <c r="AY2" s="87" t="str">
        <f>IFERROR(IFERROR(INDEX(#REF!,MATCH(AY3,#REF!,0)),INDEX(#REF!,MATCH(AY3,#REF!,0))),"")</f>
        <v/>
      </c>
      <c r="AZ2" s="87" t="str">
        <f>IFERROR(IFERROR(INDEX(#REF!,MATCH(AZ3,#REF!,0)),INDEX(#REF!,MATCH(AZ3,#REF!,0))),"")</f>
        <v/>
      </c>
      <c r="BA2" s="87" t="str">
        <f>IFERROR(IFERROR(INDEX(#REF!,MATCH(BA3,#REF!,0)),INDEX(#REF!,MATCH(BA3,#REF!,0))),"")</f>
        <v/>
      </c>
      <c r="BB2" s="87" t="str">
        <f>IFERROR(IFERROR(INDEX(#REF!,MATCH(BB3,#REF!,0)),INDEX(#REF!,MATCH(BB3,#REF!,0))),"")</f>
        <v/>
      </c>
      <c r="BC2" s="87" t="str">
        <f>IFERROR(IFERROR(INDEX(#REF!,MATCH(BC3,#REF!,0)),INDEX(#REF!,MATCH(BC3,#REF!,0))),"")</f>
        <v/>
      </c>
      <c r="BD2" s="87" t="str">
        <f>IFERROR(IFERROR(INDEX(#REF!,MATCH(BD3,#REF!,0)),INDEX(#REF!,MATCH(BD3,#REF!,0))),"")</f>
        <v/>
      </c>
      <c r="BE2" s="87" t="str">
        <f>IFERROR(IFERROR(INDEX(#REF!,MATCH(BE3,#REF!,0)),INDEX(#REF!,MATCH(BE3,#REF!,0))),"")</f>
        <v/>
      </c>
      <c r="BF2" s="87" t="str">
        <f>IFERROR(IFERROR(INDEX(#REF!,MATCH(BF3,#REF!,0)),INDEX(#REF!,MATCH(BF3,#REF!,0))),"")</f>
        <v/>
      </c>
      <c r="BG2" s="87" t="str">
        <f>IFERROR(IFERROR(INDEX(#REF!,MATCH(BG3,#REF!,0)),INDEX(#REF!,MATCH(BG3,#REF!,0))),"")</f>
        <v/>
      </c>
      <c r="BH2" s="87" t="str">
        <f>IFERROR(IFERROR(INDEX(#REF!,MATCH(BH3,#REF!,0)),INDEX(#REF!,MATCH(BH3,#REF!,0))),"")</f>
        <v/>
      </c>
      <c r="BI2" s="87" t="str">
        <f>IFERROR(IFERROR(INDEX(#REF!,MATCH(BI3,#REF!,0)),INDEX(#REF!,MATCH(BI3,#REF!,0))),"")</f>
        <v/>
      </c>
      <c r="BJ2" s="87" t="str">
        <f>IFERROR(IFERROR(INDEX(#REF!,MATCH(BJ3,#REF!,0)),INDEX(#REF!,MATCH(BJ3,#REF!,0))),"")</f>
        <v/>
      </c>
      <c r="BK2" s="87" t="str">
        <f>IFERROR(IFERROR(INDEX(#REF!,MATCH(BK3,#REF!,0)),INDEX(#REF!,MATCH(BK3,#REF!,0))),"")</f>
        <v/>
      </c>
      <c r="BL2" s="87" t="str">
        <f>IFERROR(IFERROR(INDEX(#REF!,MATCH(BL3,#REF!,0)),INDEX(#REF!,MATCH(BL3,#REF!,0))),"")</f>
        <v/>
      </c>
      <c r="BM2" s="87" t="str">
        <f>IFERROR(IFERROR(INDEX(#REF!,MATCH(BM3,#REF!,0)),INDEX(#REF!,MATCH(BM3,#REF!,0))),"")</f>
        <v/>
      </c>
      <c r="BN2" s="87" t="str">
        <f>IFERROR(IFERROR(INDEX(#REF!,MATCH(BN3,#REF!,0)),INDEX(#REF!,MATCH(BN3,#REF!,0))),"")</f>
        <v/>
      </c>
      <c r="BO2" s="87" t="str">
        <f>IFERROR(IFERROR(INDEX(#REF!,MATCH(BO3,#REF!,0)),INDEX(#REF!,MATCH(BO3,#REF!,0))),"")</f>
        <v/>
      </c>
      <c r="BP2" s="87" t="str">
        <f>IFERROR(IFERROR(INDEX(#REF!,MATCH(BP3,#REF!,0)),INDEX(#REF!,MATCH(BP3,#REF!,0))),"")</f>
        <v/>
      </c>
      <c r="BQ2" s="87" t="str">
        <f>IFERROR(IFERROR(INDEX(#REF!,MATCH(BQ3,#REF!,0)),INDEX(#REF!,MATCH(BQ3,#REF!,0))),"")</f>
        <v/>
      </c>
      <c r="BR2" s="87" t="str">
        <f>IFERROR(IFERROR(INDEX(#REF!,MATCH(BR3,#REF!,0)),INDEX(#REF!,MATCH(BR3,#REF!,0))),"")</f>
        <v/>
      </c>
      <c r="BS2" s="87" t="str">
        <f>IFERROR(IFERROR(INDEX(#REF!,MATCH(BS3,#REF!,0)),INDEX(#REF!,MATCH(BS3,#REF!,0))),"")</f>
        <v/>
      </c>
      <c r="BT2" s="87" t="str">
        <f>IFERROR(IFERROR(INDEX(#REF!,MATCH(BT3,#REF!,0)),INDEX(#REF!,MATCH(BT3,#REF!,0))),"")</f>
        <v/>
      </c>
      <c r="BU2" s="87" t="str">
        <f>IFERROR(IFERROR(INDEX(#REF!,MATCH(BU3,#REF!,0)),INDEX(#REF!,MATCH(BU3,#REF!,0))),"")</f>
        <v/>
      </c>
      <c r="BV2" s="87" t="str">
        <f>IFERROR(IFERROR(INDEX(#REF!,MATCH(BV3,#REF!,0)),INDEX(#REF!,MATCH(BV3,#REF!,0))),"")</f>
        <v/>
      </c>
      <c r="BW2" s="87" t="str">
        <f>IFERROR(IFERROR(INDEX(#REF!,MATCH(BW3,#REF!,0)),INDEX(#REF!,MATCH(BW3,#REF!,0))),"")</f>
        <v/>
      </c>
      <c r="BX2" s="87" t="str">
        <f>IFERROR(IFERROR(INDEX(#REF!,MATCH(BX3,#REF!,0)),INDEX(#REF!,MATCH(BX3,#REF!,0))),"")</f>
        <v/>
      </c>
      <c r="BY2" s="87" t="str">
        <f>IFERROR(IFERROR(INDEX(#REF!,MATCH(BY3,#REF!,0)),INDEX(#REF!,MATCH(BY3,#REF!,0))),"")</f>
        <v/>
      </c>
      <c r="BZ2" s="87" t="str">
        <f>IFERROR(IFERROR(INDEX(#REF!,MATCH(BZ3,#REF!,0)),INDEX(#REF!,MATCH(BZ3,#REF!,0))),"")</f>
        <v/>
      </c>
      <c r="CA2" s="87" t="str">
        <f>IFERROR(IFERROR(INDEX(#REF!,MATCH(CA3,#REF!,0)),INDEX(#REF!,MATCH(CA3,#REF!,0))),"")</f>
        <v/>
      </c>
      <c r="CB2" s="87" t="str">
        <f>IFERROR(IFERROR(INDEX(#REF!,MATCH(CB3,#REF!,0)),INDEX(#REF!,MATCH(CB3,#REF!,0))),"")</f>
        <v/>
      </c>
      <c r="CC2" s="87" t="str">
        <f>IFERROR(IFERROR(INDEX(#REF!,MATCH(CC3,#REF!,0)),INDEX(#REF!,MATCH(CC3,#REF!,0))),"")</f>
        <v/>
      </c>
      <c r="CD2" s="87" t="str">
        <f>IFERROR(IFERROR(INDEX(#REF!,MATCH(CD3,#REF!,0)),INDEX(#REF!,MATCH(CD3,#REF!,0))),"")</f>
        <v/>
      </c>
      <c r="CE2" s="87" t="str">
        <f>IFERROR(IFERROR(INDEX(#REF!,MATCH(CE3,#REF!,0)),INDEX(#REF!,MATCH(CE3,#REF!,0))),"")</f>
        <v/>
      </c>
      <c r="CF2" s="87" t="str">
        <f>IFERROR(IFERROR(INDEX(#REF!,MATCH(CF3,#REF!,0)),INDEX(#REF!,MATCH(CF3,#REF!,0))),"")</f>
        <v/>
      </c>
      <c r="CG2" s="87" t="str">
        <f>IFERROR(IFERROR(INDEX(#REF!,MATCH(CG3,#REF!,0)),INDEX(#REF!,MATCH(CG3,#REF!,0))),"")</f>
        <v/>
      </c>
      <c r="CH2" s="87" t="str">
        <f>IFERROR(IFERROR(INDEX(#REF!,MATCH(CH3,#REF!,0)),INDEX(#REF!,MATCH(CH3,#REF!,0))),"")</f>
        <v/>
      </c>
      <c r="CI2" s="87" t="str">
        <f>IFERROR(IFERROR(INDEX(#REF!,MATCH(CI3,#REF!,0)),INDEX(#REF!,MATCH(CI3,#REF!,0))),"")</f>
        <v/>
      </c>
      <c r="CJ2" s="87" t="str">
        <f>IFERROR(IFERROR(INDEX(#REF!,MATCH(CJ3,#REF!,0)),INDEX(#REF!,MATCH(CJ3,#REF!,0))),"")</f>
        <v/>
      </c>
      <c r="CK2" s="87" t="str">
        <f>IFERROR(IFERROR(INDEX(#REF!,MATCH(CK3,#REF!,0)),INDEX(#REF!,MATCH(CK3,#REF!,0))),"")</f>
        <v/>
      </c>
      <c r="CL2" s="87" t="str">
        <f>IFERROR(IFERROR(INDEX(#REF!,MATCH(CL3,#REF!,0)),INDEX(#REF!,MATCH(CL3,#REF!,0))),"")</f>
        <v/>
      </c>
      <c r="CM2" s="87" t="str">
        <f>IFERROR(IFERROR(INDEX(#REF!,MATCH(CM3,#REF!,0)),INDEX(#REF!,MATCH(CM3,#REF!,0))),"")</f>
        <v/>
      </c>
      <c r="CN2" s="87" t="str">
        <f>IFERROR(IFERROR(INDEX(#REF!,MATCH(CN3,#REF!,0)),INDEX(#REF!,MATCH(CN3,#REF!,0))),"")</f>
        <v/>
      </c>
      <c r="CO2" s="87" t="str">
        <f>IFERROR(IFERROR(INDEX(#REF!,MATCH(CO3,#REF!,0)),INDEX(#REF!,MATCH(CO3,#REF!,0))),"")</f>
        <v/>
      </c>
      <c r="CP2" s="87" t="str">
        <f>IFERROR(IFERROR(INDEX(#REF!,MATCH(CP3,#REF!,0)),INDEX(#REF!,MATCH(CP3,#REF!,0))),"")</f>
        <v/>
      </c>
      <c r="CQ2" s="87" t="str">
        <f>IFERROR(IFERROR(INDEX(#REF!,MATCH(CQ3,#REF!,0)),INDEX(#REF!,MATCH(CQ3,#REF!,0))),"")</f>
        <v/>
      </c>
      <c r="CR2" s="87" t="str">
        <f>IFERROR(IFERROR(INDEX(#REF!,MATCH(CR3,#REF!,0)),INDEX(#REF!,MATCH(CR3,#REF!,0))),"")</f>
        <v/>
      </c>
      <c r="CS2" s="87" t="str">
        <f>IFERROR(IFERROR(INDEX(#REF!,MATCH(CS3,#REF!,0)),INDEX(#REF!,MATCH(CS3,#REF!,0))),"")</f>
        <v/>
      </c>
      <c r="CT2" s="87" t="str">
        <f>IFERROR(IFERROR(INDEX(#REF!,MATCH(CT3,#REF!,0)),INDEX(#REF!,MATCH(CT3,#REF!,0))),"")</f>
        <v/>
      </c>
      <c r="CU2" s="87" t="str">
        <f>IFERROR(IFERROR(INDEX(#REF!,MATCH(CU3,#REF!,0)),INDEX(#REF!,MATCH(CU3,#REF!,0))),"")</f>
        <v/>
      </c>
      <c r="CV2" s="87" t="str">
        <f>IFERROR(IFERROR(INDEX(#REF!,MATCH(CV3,#REF!,0)),INDEX(#REF!,MATCH(CV3,#REF!,0))),"")</f>
        <v/>
      </c>
      <c r="CW2" s="87" t="str">
        <f>IFERROR(IFERROR(INDEX(#REF!,MATCH(CW3,#REF!,0)),INDEX(#REF!,MATCH(CW3,#REF!,0))),"")</f>
        <v/>
      </c>
      <c r="CX2" s="87" t="str">
        <f>IFERROR(IFERROR(INDEX(#REF!,MATCH(CX3,#REF!,0)),INDEX(#REF!,MATCH(CX3,#REF!,0))),"")</f>
        <v/>
      </c>
      <c r="CY2" s="87" t="str">
        <f>IFERROR(IFERROR(INDEX(#REF!,MATCH(CY3,#REF!,0)),INDEX(#REF!,MATCH(CY3,#REF!,0))),"")</f>
        <v/>
      </c>
      <c r="CZ2" s="87" t="str">
        <f>IFERROR(IFERROR(INDEX(#REF!,MATCH(CZ3,#REF!,0)),INDEX(#REF!,MATCH(CZ3,#REF!,0))),"")</f>
        <v/>
      </c>
      <c r="DA2" s="87" t="str">
        <f>IFERROR(IFERROR(INDEX(#REF!,MATCH(DA3,#REF!,0)),INDEX(#REF!,MATCH(DA3,#REF!,0))),"")</f>
        <v/>
      </c>
      <c r="DB2" s="87" t="str">
        <f>IFERROR(IFERROR(INDEX(#REF!,MATCH(DB3,#REF!,0)),INDEX(#REF!,MATCH(DB3,#REF!,0))),"")</f>
        <v/>
      </c>
      <c r="DC2" s="87" t="str">
        <f>IFERROR(IFERROR(INDEX(#REF!,MATCH(DC3,#REF!,0)),INDEX(#REF!,MATCH(DC3,#REF!,0))),"")</f>
        <v/>
      </c>
      <c r="DD2" s="87" t="str">
        <f>IFERROR(IFERROR(INDEX(#REF!,MATCH(DD3,#REF!,0)),INDEX(#REF!,MATCH(DD3,#REF!,0))),"")</f>
        <v/>
      </c>
      <c r="DE2" s="87" t="str">
        <f>IFERROR(IFERROR(INDEX(#REF!,MATCH(DE3,#REF!,0)),INDEX(#REF!,MATCH(DE3,#REF!,0))),"")</f>
        <v/>
      </c>
      <c r="DF2" s="87" t="str">
        <f>IFERROR(IFERROR(INDEX(#REF!,MATCH(DF3,#REF!,0)),INDEX(#REF!,MATCH(DF3,#REF!,0))),"")</f>
        <v/>
      </c>
      <c r="DG2" s="87" t="str">
        <f>IFERROR(IFERROR(INDEX(#REF!,MATCH(DG3,#REF!,0)),INDEX(#REF!,MATCH(DG3,#REF!,0))),"")</f>
        <v/>
      </c>
      <c r="DH2" s="87" t="str">
        <f>IFERROR(IFERROR(INDEX(#REF!,MATCH(DH3,#REF!,0)),INDEX(#REF!,MATCH(DH3,#REF!,0))),"")</f>
        <v/>
      </c>
      <c r="DI2" s="87" t="str">
        <f>IFERROR(IFERROR(INDEX(#REF!,MATCH(DI3,#REF!,0)),INDEX(#REF!,MATCH(DI3,#REF!,0))),"")</f>
        <v/>
      </c>
      <c r="DJ2" s="87" t="str">
        <f>IFERROR(IFERROR(INDEX(#REF!,MATCH(DJ3,#REF!,0)),INDEX(#REF!,MATCH(DJ3,#REF!,0))),"")</f>
        <v/>
      </c>
      <c r="DK2" s="87" t="str">
        <f>IFERROR(IFERROR(INDEX(#REF!,MATCH(DK3,#REF!,0)),INDEX(#REF!,MATCH(DK3,#REF!,0))),"")</f>
        <v/>
      </c>
      <c r="DL2" s="87" t="str">
        <f>IFERROR(IFERROR(INDEX(#REF!,MATCH(DL3,#REF!,0)),INDEX(#REF!,MATCH(DL3,#REF!,0))),"")</f>
        <v/>
      </c>
      <c r="DM2" s="87" t="str">
        <f>IFERROR(IFERROR(INDEX(#REF!,MATCH(DM3,#REF!,0)),INDEX(#REF!,MATCH(DM3,#REF!,0))),"")</f>
        <v/>
      </c>
      <c r="DN2" s="87" t="str">
        <f>IFERROR(IFERROR(INDEX(#REF!,MATCH(DN3,#REF!,0)),INDEX(#REF!,MATCH(DN3,#REF!,0))),"")</f>
        <v/>
      </c>
      <c r="DO2" s="87" t="str">
        <f>IFERROR(IFERROR(INDEX(#REF!,MATCH(DO3,#REF!,0)),INDEX(#REF!,MATCH(DO3,#REF!,0))),"")</f>
        <v/>
      </c>
      <c r="DP2" s="87" t="str">
        <f>IFERROR(IFERROR(INDEX(#REF!,MATCH(DP3,#REF!,0)),INDEX(#REF!,MATCH(DP3,#REF!,0))),"")</f>
        <v/>
      </c>
      <c r="DQ2" s="87" t="str">
        <f>IFERROR(IFERROR(INDEX(#REF!,MATCH(DQ3,#REF!,0)),INDEX(#REF!,MATCH(DQ3,#REF!,0))),"")</f>
        <v/>
      </c>
      <c r="DR2" s="87" t="str">
        <f>IFERROR(IFERROR(INDEX(#REF!,MATCH(DR3,#REF!,0)),INDEX(#REF!,MATCH(DR3,#REF!,0))),"")</f>
        <v/>
      </c>
      <c r="DS2" s="87" t="str">
        <f>IFERROR(IFERROR(INDEX(#REF!,MATCH(DS3,#REF!,0)),INDEX(#REF!,MATCH(DS3,#REF!,0))),"")</f>
        <v/>
      </c>
      <c r="DT2" s="87" t="str">
        <f>IFERROR(IFERROR(INDEX(#REF!,MATCH(DT3,#REF!,0)),INDEX(#REF!,MATCH(DT3,#REF!,0))),"")</f>
        <v/>
      </c>
      <c r="DU2" s="87" t="str">
        <f>IFERROR(IFERROR(INDEX(#REF!,MATCH(DU3,#REF!,0)),INDEX(#REF!,MATCH(DU3,#REF!,0))),"")</f>
        <v/>
      </c>
      <c r="DV2" s="87" t="str">
        <f>IFERROR(IFERROR(INDEX(#REF!,MATCH(DV3,#REF!,0)),INDEX(#REF!,MATCH(DV3,#REF!,0))),"")</f>
        <v/>
      </c>
      <c r="DW2" s="87" t="str">
        <f>IFERROR(IFERROR(INDEX(#REF!,MATCH(DW3,#REF!,0)),INDEX(#REF!,MATCH(DW3,#REF!,0))),"")</f>
        <v/>
      </c>
      <c r="DX2" s="87" t="str">
        <f>IFERROR(IFERROR(INDEX(#REF!,MATCH(DX3,#REF!,0)),INDEX(#REF!,MATCH(DX3,#REF!,0))),"")</f>
        <v/>
      </c>
      <c r="DY2" s="87" t="str">
        <f>IFERROR(IFERROR(INDEX(#REF!,MATCH(DY3,#REF!,0)),INDEX(#REF!,MATCH(DY3,#REF!,0))),"")</f>
        <v/>
      </c>
      <c r="DZ2" s="87" t="str">
        <f>IFERROR(IFERROR(INDEX(#REF!,MATCH(DZ3,#REF!,0)),INDEX(#REF!,MATCH(DZ3,#REF!,0))),"")</f>
        <v/>
      </c>
      <c r="EA2" s="87" t="str">
        <f>IFERROR(IFERROR(INDEX(#REF!,MATCH(EA3,#REF!,0)),INDEX(#REF!,MATCH(EA3,#REF!,0))),"")</f>
        <v/>
      </c>
      <c r="EB2" s="87" t="str">
        <f>IFERROR(IFERROR(INDEX(#REF!,MATCH(EB3,#REF!,0)),INDEX(#REF!,MATCH(EB3,#REF!,0))),"")</f>
        <v/>
      </c>
      <c r="EC2" s="87" t="str">
        <f>IFERROR(IFERROR(INDEX(#REF!,MATCH(EC3,#REF!,0)),INDEX(#REF!,MATCH(EC3,#REF!,0))),"")</f>
        <v/>
      </c>
      <c r="EH2" s="1"/>
      <c r="EI2" s="1"/>
      <c r="EK2" s="1"/>
    </row>
    <row r="3" spans="1:183" x14ac:dyDescent="0.3">
      <c r="B3" s="1" t="str">
        <f>B1</f>
        <v>sm_code</v>
      </c>
      <c r="C3" s="1" t="str">
        <f t="shared" ref="C3:H3" si="1">C1</f>
        <v>metric</v>
      </c>
      <c r="D3" s="1" t="str">
        <f t="shared" si="1"/>
        <v>segment</v>
      </c>
      <c r="E3" s="1" t="str">
        <f t="shared" si="1"/>
        <v>unit</v>
      </c>
      <c r="F3" s="1" t="str">
        <f t="shared" si="1"/>
        <v>scale</v>
      </c>
      <c r="G3" s="1" t="str">
        <f t="shared" si="1"/>
        <v>source</v>
      </c>
      <c r="H3" s="1">
        <f t="shared" si="1"/>
        <v>0</v>
      </c>
      <c r="I3" s="1">
        <f t="shared" ref="I3:BS3" si="2">I1</f>
        <v>2018</v>
      </c>
      <c r="J3" s="1">
        <f t="shared" si="2"/>
        <v>2019</v>
      </c>
      <c r="K3" s="1">
        <f t="shared" si="2"/>
        <v>2020</v>
      </c>
      <c r="L3" s="1">
        <f t="shared" si="2"/>
        <v>2021</v>
      </c>
      <c r="M3" s="1">
        <f t="shared" si="2"/>
        <v>2022</v>
      </c>
      <c r="N3" s="1">
        <f t="shared" si="2"/>
        <v>2023</v>
      </c>
      <c r="O3" s="1">
        <f t="shared" si="2"/>
        <v>2024</v>
      </c>
      <c r="P3" s="1">
        <f t="shared" si="2"/>
        <v>2025</v>
      </c>
      <c r="Q3" s="1">
        <f t="shared" si="2"/>
        <v>2026</v>
      </c>
      <c r="R3" s="1">
        <f t="shared" si="2"/>
        <v>2027</v>
      </c>
      <c r="S3" s="1">
        <f t="shared" si="2"/>
        <v>2028</v>
      </c>
      <c r="T3" s="1">
        <f t="shared" si="2"/>
        <v>2029</v>
      </c>
      <c r="U3" s="1">
        <f t="shared" si="2"/>
        <v>2030</v>
      </c>
      <c r="V3" s="1">
        <f t="shared" si="2"/>
        <v>2031</v>
      </c>
      <c r="W3" s="1">
        <f t="shared" si="2"/>
        <v>2032</v>
      </c>
      <c r="X3" s="1">
        <f t="shared" si="2"/>
        <v>2033</v>
      </c>
      <c r="Y3" s="1">
        <f t="shared" si="2"/>
        <v>2034</v>
      </c>
      <c r="Z3" s="1">
        <f t="shared" si="2"/>
        <v>2035</v>
      </c>
      <c r="AA3" s="1">
        <f t="shared" si="2"/>
        <v>2036</v>
      </c>
      <c r="AB3" s="1">
        <f t="shared" si="2"/>
        <v>2037</v>
      </c>
      <c r="AC3" s="1">
        <f t="shared" si="2"/>
        <v>2038</v>
      </c>
      <c r="AD3" s="1">
        <f t="shared" si="2"/>
        <v>2039</v>
      </c>
      <c r="AE3" s="1">
        <f t="shared" si="2"/>
        <v>2040</v>
      </c>
      <c r="AF3" s="1">
        <f t="shared" si="2"/>
        <v>2041</v>
      </c>
      <c r="AG3" s="1">
        <f t="shared" si="2"/>
        <v>2042</v>
      </c>
      <c r="AH3" s="1">
        <f t="shared" si="2"/>
        <v>2043</v>
      </c>
      <c r="AI3" s="1">
        <f t="shared" si="2"/>
        <v>2044</v>
      </c>
      <c r="AJ3" s="1">
        <f t="shared" si="2"/>
        <v>2045</v>
      </c>
      <c r="AK3" s="1">
        <f t="shared" si="2"/>
        <v>0</v>
      </c>
      <c r="AL3" s="1" t="str">
        <f t="shared" si="2"/>
        <v>Q1 - 2022</v>
      </c>
      <c r="AM3" s="1" t="str">
        <f t="shared" si="2"/>
        <v>Q2 - 2022</v>
      </c>
      <c r="AN3" s="1" t="str">
        <f t="shared" si="2"/>
        <v>Q3 - 2022</v>
      </c>
      <c r="AO3" s="1" t="str">
        <f t="shared" si="2"/>
        <v>Q4 - 2022</v>
      </c>
      <c r="AP3" s="1" t="str">
        <f t="shared" si="2"/>
        <v>Q1 - 2023</v>
      </c>
      <c r="AQ3" s="1" t="str">
        <f t="shared" si="2"/>
        <v>Q2 - 2023</v>
      </c>
      <c r="AR3" s="1" t="str">
        <f t="shared" si="2"/>
        <v>Q3 - 2023</v>
      </c>
      <c r="AS3" s="1" t="str">
        <f t="shared" si="2"/>
        <v>Q4 - 2023</v>
      </c>
      <c r="AT3" s="1" t="str">
        <f t="shared" si="2"/>
        <v>Q1 - 2024</v>
      </c>
      <c r="AU3" s="1" t="str">
        <f t="shared" si="2"/>
        <v>Q2 - 2024</v>
      </c>
      <c r="AV3" s="1" t="str">
        <f t="shared" si="2"/>
        <v>Q3 - 2024</v>
      </c>
      <c r="AW3" s="1" t="str">
        <f t="shared" si="2"/>
        <v>Q4 - 2024</v>
      </c>
      <c r="AX3" s="1" t="str">
        <f t="shared" si="2"/>
        <v>Q1 - 2025</v>
      </c>
      <c r="AY3" s="1" t="str">
        <f t="shared" si="2"/>
        <v>Q2 - 2025</v>
      </c>
      <c r="AZ3" s="1" t="str">
        <f t="shared" si="2"/>
        <v>Q3 - 2025</v>
      </c>
      <c r="BA3" s="1" t="str">
        <f t="shared" si="2"/>
        <v>Q4 - 2025</v>
      </c>
      <c r="BB3" s="1" t="str">
        <f t="shared" si="2"/>
        <v>Q1 - 2026</v>
      </c>
      <c r="BC3" s="1" t="str">
        <f t="shared" si="2"/>
        <v>Q2 - 2026</v>
      </c>
      <c r="BD3" s="1" t="str">
        <f t="shared" si="2"/>
        <v>Q3 - 2026</v>
      </c>
      <c r="BE3" s="1" t="str">
        <f t="shared" si="2"/>
        <v>Q4 - 2026</v>
      </c>
      <c r="BF3" s="1" t="str">
        <f t="shared" si="2"/>
        <v>Q1 - 2027</v>
      </c>
      <c r="BG3" s="1" t="str">
        <f t="shared" si="2"/>
        <v>Q2 - 2027</v>
      </c>
      <c r="BH3" s="1" t="str">
        <f t="shared" si="2"/>
        <v>Q3 - 2027</v>
      </c>
      <c r="BI3" s="1" t="str">
        <f t="shared" si="2"/>
        <v>Q4 - 2027</v>
      </c>
      <c r="BJ3" s="1" t="str">
        <f t="shared" si="2"/>
        <v>Q1 - 2028</v>
      </c>
      <c r="BK3" s="1" t="str">
        <f t="shared" si="2"/>
        <v>Q2 - 2028</v>
      </c>
      <c r="BL3" s="1" t="str">
        <f t="shared" si="2"/>
        <v>Q3 - 2028</v>
      </c>
      <c r="BM3" s="1" t="str">
        <f t="shared" si="2"/>
        <v>Q4 - 2028</v>
      </c>
      <c r="BN3" s="1" t="str">
        <f t="shared" si="2"/>
        <v>Q1 - 2029</v>
      </c>
      <c r="BO3" s="1" t="str">
        <f t="shared" si="2"/>
        <v>Q2 - 2029</v>
      </c>
      <c r="BP3" s="1" t="str">
        <f t="shared" si="2"/>
        <v>Q3 - 2029</v>
      </c>
      <c r="BQ3" s="1" t="str">
        <f t="shared" si="2"/>
        <v>Q4 - 2029</v>
      </c>
      <c r="BR3" s="1" t="str">
        <f t="shared" si="2"/>
        <v>Q1 - 2030</v>
      </c>
      <c r="BS3" s="1" t="str">
        <f t="shared" si="2"/>
        <v>Q2 - 2030</v>
      </c>
      <c r="BT3" s="1" t="str">
        <f t="shared" ref="BT3:EF3" si="3">BT1</f>
        <v>Q3 - 2030</v>
      </c>
      <c r="BU3" s="1" t="str">
        <f t="shared" si="3"/>
        <v>Q4 - 2030</v>
      </c>
      <c r="BV3" s="1" t="str">
        <f t="shared" si="3"/>
        <v>Q1 - 2031</v>
      </c>
      <c r="BW3" s="1" t="str">
        <f t="shared" si="3"/>
        <v>Q2 - 2031</v>
      </c>
      <c r="BX3" s="1" t="str">
        <f t="shared" si="3"/>
        <v>Q3 - 2031</v>
      </c>
      <c r="BY3" s="1" t="str">
        <f t="shared" si="3"/>
        <v>Q4 - 2031</v>
      </c>
      <c r="BZ3" s="1" t="str">
        <f t="shared" si="3"/>
        <v>Q1 - 2032</v>
      </c>
      <c r="CA3" s="1" t="str">
        <f t="shared" si="3"/>
        <v>Q2 - 2032</v>
      </c>
      <c r="CB3" s="1" t="str">
        <f t="shared" si="3"/>
        <v>Q3 - 2032</v>
      </c>
      <c r="CC3" s="1" t="str">
        <f t="shared" si="3"/>
        <v>Q4 - 2032</v>
      </c>
      <c r="CD3" s="1" t="str">
        <f t="shared" si="3"/>
        <v>Q1 - 2033</v>
      </c>
      <c r="CE3" s="1" t="str">
        <f t="shared" si="3"/>
        <v>Q2 - 2033</v>
      </c>
      <c r="CF3" s="1" t="str">
        <f t="shared" si="3"/>
        <v>Q3 - 2033</v>
      </c>
      <c r="CG3" s="1" t="str">
        <f t="shared" si="3"/>
        <v>Q4 - 2033</v>
      </c>
      <c r="CH3" s="1" t="str">
        <f t="shared" si="3"/>
        <v>Q1 - 2034</v>
      </c>
      <c r="CI3" s="1" t="str">
        <f t="shared" si="3"/>
        <v>Q2 - 2034</v>
      </c>
      <c r="CJ3" s="1" t="str">
        <f t="shared" si="3"/>
        <v>Q3 - 2034</v>
      </c>
      <c r="CK3" s="1" t="str">
        <f t="shared" si="3"/>
        <v>Q4 - 2034</v>
      </c>
      <c r="CL3" s="1" t="str">
        <f t="shared" si="3"/>
        <v>Q1 - 2035</v>
      </c>
      <c r="CM3" s="1" t="str">
        <f t="shared" si="3"/>
        <v>Q2 - 2035</v>
      </c>
      <c r="CN3" s="1" t="str">
        <f t="shared" si="3"/>
        <v>Q3 - 2035</v>
      </c>
      <c r="CO3" s="1" t="str">
        <f t="shared" si="3"/>
        <v>Q4 - 2035</v>
      </c>
      <c r="CP3" s="1" t="str">
        <f t="shared" si="3"/>
        <v>Q1 - 2036</v>
      </c>
      <c r="CQ3" s="1" t="str">
        <f t="shared" si="3"/>
        <v>Q2 - 2036</v>
      </c>
      <c r="CR3" s="1" t="str">
        <f t="shared" si="3"/>
        <v>Q3 - 2036</v>
      </c>
      <c r="CS3" s="1" t="str">
        <f t="shared" si="3"/>
        <v>Q4 - 2036</v>
      </c>
      <c r="CT3" s="1" t="str">
        <f t="shared" si="3"/>
        <v>Q1 - 2037</v>
      </c>
      <c r="CU3" s="1" t="str">
        <f t="shared" si="3"/>
        <v>Q2 - 2037</v>
      </c>
      <c r="CV3" s="1" t="str">
        <f t="shared" si="3"/>
        <v>Q3 - 2037</v>
      </c>
      <c r="CW3" s="1" t="str">
        <f t="shared" si="3"/>
        <v>Q4 - 2037</v>
      </c>
      <c r="CX3" s="1" t="str">
        <f t="shared" si="3"/>
        <v>Q1 - 2038</v>
      </c>
      <c r="CY3" s="1" t="str">
        <f t="shared" si="3"/>
        <v>Q2 - 2038</v>
      </c>
      <c r="CZ3" s="1" t="str">
        <f t="shared" si="3"/>
        <v>Q3 - 2038</v>
      </c>
      <c r="DA3" s="1" t="str">
        <f t="shared" si="3"/>
        <v>Q4 - 2038</v>
      </c>
      <c r="DB3" s="1" t="str">
        <f t="shared" si="3"/>
        <v>Q1 - 2039</v>
      </c>
      <c r="DC3" s="1" t="str">
        <f t="shared" si="3"/>
        <v>Q2 - 2039</v>
      </c>
      <c r="DD3" s="1" t="str">
        <f t="shared" si="3"/>
        <v>Q3 - 2039</v>
      </c>
      <c r="DE3" s="1" t="str">
        <f t="shared" si="3"/>
        <v>Q4 - 2039</v>
      </c>
      <c r="DF3" s="1" t="str">
        <f t="shared" si="3"/>
        <v>Q1 - 2040</v>
      </c>
      <c r="DG3" s="1" t="str">
        <f t="shared" si="3"/>
        <v>Q2 - 2040</v>
      </c>
      <c r="DH3" s="1" t="str">
        <f t="shared" si="3"/>
        <v>Q3 - 2040</v>
      </c>
      <c r="DI3" s="1" t="str">
        <f t="shared" si="3"/>
        <v>Q4 - 2040</v>
      </c>
      <c r="DJ3" s="1" t="str">
        <f t="shared" si="3"/>
        <v>Q1 - 2041</v>
      </c>
      <c r="DK3" s="1" t="str">
        <f t="shared" si="3"/>
        <v>Q2 - 2041</v>
      </c>
      <c r="DL3" s="1" t="str">
        <f t="shared" si="3"/>
        <v>Q3 - 2041</v>
      </c>
      <c r="DM3" s="1" t="str">
        <f t="shared" si="3"/>
        <v>Q4 - 2041</v>
      </c>
      <c r="DN3" s="1" t="str">
        <f t="shared" si="3"/>
        <v>Q1 - 2042</v>
      </c>
      <c r="DO3" s="1" t="str">
        <f t="shared" si="3"/>
        <v>Q2 - 2042</v>
      </c>
      <c r="DP3" s="1" t="str">
        <f t="shared" si="3"/>
        <v>Q3 - 2042</v>
      </c>
      <c r="DQ3" s="1" t="str">
        <f t="shared" si="3"/>
        <v>Q4 - 2042</v>
      </c>
      <c r="DR3" s="1" t="str">
        <f t="shared" si="3"/>
        <v>Q1 - 2043</v>
      </c>
      <c r="DS3" s="1" t="str">
        <f t="shared" si="3"/>
        <v>Q2 - 2043</v>
      </c>
      <c r="DT3" s="1" t="str">
        <f t="shared" si="3"/>
        <v>Q3 - 2043</v>
      </c>
      <c r="DU3" s="1" t="str">
        <f t="shared" si="3"/>
        <v>Q4 - 2043</v>
      </c>
      <c r="DV3" s="1" t="str">
        <f t="shared" si="3"/>
        <v>Q1 - 2044</v>
      </c>
      <c r="DW3" s="1" t="str">
        <f t="shared" si="3"/>
        <v>Q2 - 2044</v>
      </c>
      <c r="DX3" s="1" t="str">
        <f t="shared" si="3"/>
        <v>Q3 - 2044</v>
      </c>
      <c r="DY3" s="1" t="str">
        <f t="shared" si="3"/>
        <v>Q4 - 2044</v>
      </c>
      <c r="DZ3" s="1" t="str">
        <f t="shared" si="3"/>
        <v>Q1 - 2045</v>
      </c>
      <c r="EA3" s="1" t="str">
        <f t="shared" si="3"/>
        <v>Q2 - 2045</v>
      </c>
      <c r="EB3" s="1" t="str">
        <f t="shared" si="3"/>
        <v>Q3 - 2045</v>
      </c>
      <c r="EC3" s="1" t="str">
        <f t="shared" si="3"/>
        <v>Q4 - 2045</v>
      </c>
      <c r="ED3" s="1">
        <f t="shared" si="3"/>
        <v>0</v>
      </c>
      <c r="EE3" s="67" t="str">
        <f t="shared" si="3"/>
        <v>Snapshot Date</v>
      </c>
      <c r="EF3" s="67" t="str">
        <f t="shared" si="3"/>
        <v>Time</v>
      </c>
      <c r="EG3" s="67" t="str">
        <f t="shared" ref="EG3:EJ3" si="4">EG1</f>
        <v>After Quarter</v>
      </c>
      <c r="EH3" s="67" t="str">
        <f t="shared" si="4"/>
        <v>ID</v>
      </c>
      <c r="EI3" s="67" t="str">
        <f t="shared" si="4"/>
        <v>Ticker</v>
      </c>
      <c r="EJ3" s="67" t="str">
        <f t="shared" si="4"/>
        <v>period_type</v>
      </c>
    </row>
    <row r="4" spans="1:183" s="2" customFormat="1" ht="15" x14ac:dyDescent="0.3">
      <c r="A4" s="73" t="s">
        <v>10</v>
      </c>
      <c r="B4" s="73" t="s">
        <v>228</v>
      </c>
      <c r="C4" s="73" t="s">
        <v>34</v>
      </c>
      <c r="D4" s="73" t="s">
        <v>48</v>
      </c>
      <c r="E4" s="73" t="s">
        <v>178</v>
      </c>
      <c r="F4" s="73" t="s">
        <v>210</v>
      </c>
      <c r="G4" s="73" t="s">
        <v>216</v>
      </c>
      <c r="H4" s="73"/>
      <c r="I4" s="74">
        <v>232887</v>
      </c>
      <c r="J4" s="74">
        <v>280522</v>
      </c>
      <c r="K4" s="74">
        <v>386064</v>
      </c>
      <c r="L4" s="74">
        <v>469822</v>
      </c>
      <c r="M4" s="74">
        <v>513983</v>
      </c>
      <c r="N4" s="74">
        <v>574785</v>
      </c>
      <c r="O4" s="74">
        <v>637959</v>
      </c>
      <c r="P4" s="74">
        <v>716924</v>
      </c>
      <c r="Q4" s="74">
        <v>0</v>
      </c>
      <c r="R4" s="74">
        <v>0</v>
      </c>
      <c r="S4" s="74">
        <v>0</v>
      </c>
      <c r="T4" s="74">
        <v>0</v>
      </c>
      <c r="U4" s="74">
        <v>0</v>
      </c>
      <c r="V4" s="74">
        <v>0</v>
      </c>
      <c r="W4" s="74">
        <v>0</v>
      </c>
      <c r="X4" s="74">
        <v>0</v>
      </c>
      <c r="Y4" s="74">
        <v>0</v>
      </c>
      <c r="Z4" s="74">
        <v>0</v>
      </c>
      <c r="AA4" s="74">
        <v>0</v>
      </c>
      <c r="AB4" s="74">
        <v>0</v>
      </c>
      <c r="AC4" s="74">
        <v>0</v>
      </c>
      <c r="AD4" s="74">
        <v>0</v>
      </c>
      <c r="AE4" s="74">
        <v>0</v>
      </c>
      <c r="AF4" s="74">
        <v>0</v>
      </c>
      <c r="AG4" s="74">
        <v>0</v>
      </c>
      <c r="AH4" s="74">
        <v>0</v>
      </c>
      <c r="AI4" s="74">
        <v>0</v>
      </c>
      <c r="AJ4" s="74">
        <v>0</v>
      </c>
      <c r="AK4" s="74"/>
      <c r="AL4" s="74">
        <v>116444</v>
      </c>
      <c r="AM4" s="74">
        <v>121234</v>
      </c>
      <c r="AN4" s="74">
        <v>127101</v>
      </c>
      <c r="AO4" s="74">
        <v>149204</v>
      </c>
      <c r="AP4" s="74">
        <v>127358</v>
      </c>
      <c r="AQ4" s="74">
        <v>134383</v>
      </c>
      <c r="AR4" s="74">
        <v>143083</v>
      </c>
      <c r="AS4" s="74">
        <v>169961</v>
      </c>
      <c r="AT4" s="74">
        <v>143313</v>
      </c>
      <c r="AU4" s="74">
        <v>147977</v>
      </c>
      <c r="AV4" s="74">
        <v>158877</v>
      </c>
      <c r="AW4" s="74">
        <v>187792</v>
      </c>
      <c r="AX4" s="74">
        <v>155667</v>
      </c>
      <c r="AY4" s="74">
        <v>167702</v>
      </c>
      <c r="AZ4" s="74">
        <v>180169</v>
      </c>
      <c r="BA4" s="74">
        <v>213386</v>
      </c>
      <c r="BB4" s="74">
        <v>181519</v>
      </c>
      <c r="BC4" s="74">
        <v>0</v>
      </c>
      <c r="BD4" s="74">
        <v>0</v>
      </c>
      <c r="BE4" s="74">
        <v>0</v>
      </c>
      <c r="BF4" s="74">
        <v>0</v>
      </c>
      <c r="BG4" s="74">
        <v>0</v>
      </c>
      <c r="BH4" s="74">
        <v>0</v>
      </c>
      <c r="BI4" s="74">
        <v>0</v>
      </c>
      <c r="BJ4" s="74">
        <v>0</v>
      </c>
      <c r="BK4" s="74">
        <v>0</v>
      </c>
      <c r="BL4" s="74">
        <v>0</v>
      </c>
      <c r="BM4" s="74">
        <v>0</v>
      </c>
      <c r="BN4" s="74">
        <v>0</v>
      </c>
      <c r="BO4" s="74">
        <v>0</v>
      </c>
      <c r="BP4" s="74">
        <v>0</v>
      </c>
      <c r="BQ4" s="74">
        <v>0</v>
      </c>
      <c r="BR4" s="74">
        <v>0</v>
      </c>
      <c r="BS4" s="74">
        <v>0</v>
      </c>
      <c r="BT4" s="74">
        <v>0</v>
      </c>
      <c r="BU4" s="74">
        <v>0</v>
      </c>
      <c r="BV4" s="74">
        <v>0</v>
      </c>
      <c r="BW4" s="74">
        <v>0</v>
      </c>
      <c r="BX4" s="74">
        <v>0</v>
      </c>
      <c r="BY4" s="74">
        <v>0</v>
      </c>
      <c r="BZ4" s="74">
        <v>0</v>
      </c>
      <c r="CA4" s="74">
        <v>0</v>
      </c>
      <c r="CB4" s="74">
        <v>0</v>
      </c>
      <c r="CC4" s="74">
        <v>0</v>
      </c>
      <c r="CD4" s="74">
        <v>0</v>
      </c>
      <c r="CE4" s="74">
        <v>0</v>
      </c>
      <c r="CF4" s="74">
        <v>0</v>
      </c>
      <c r="CG4" s="74">
        <v>0</v>
      </c>
      <c r="CH4" s="74">
        <v>0</v>
      </c>
      <c r="CI4" s="74">
        <v>0</v>
      </c>
      <c r="CJ4" s="74">
        <v>0</v>
      </c>
      <c r="CK4" s="74">
        <v>0</v>
      </c>
      <c r="CL4" s="74">
        <v>0</v>
      </c>
      <c r="CM4" s="74">
        <v>0</v>
      </c>
      <c r="CN4" s="74">
        <v>0</v>
      </c>
      <c r="CO4" s="74">
        <v>0</v>
      </c>
      <c r="CP4" s="74">
        <v>0</v>
      </c>
      <c r="CQ4" s="74">
        <v>0</v>
      </c>
      <c r="CR4" s="74">
        <v>0</v>
      </c>
      <c r="CS4" s="74">
        <v>0</v>
      </c>
      <c r="CT4" s="74">
        <v>0</v>
      </c>
      <c r="CU4" s="74">
        <v>0</v>
      </c>
      <c r="CV4" s="74">
        <v>0</v>
      </c>
      <c r="CW4" s="74">
        <v>0</v>
      </c>
      <c r="CX4" s="74">
        <v>0</v>
      </c>
      <c r="CY4" s="74">
        <v>0</v>
      </c>
      <c r="CZ4" s="74">
        <v>0</v>
      </c>
      <c r="DA4" s="74">
        <v>0</v>
      </c>
      <c r="DB4" s="74">
        <v>0</v>
      </c>
      <c r="DC4" s="74">
        <v>0</v>
      </c>
      <c r="DD4" s="74">
        <v>0</v>
      </c>
      <c r="DE4" s="74">
        <v>0</v>
      </c>
      <c r="DF4" s="74">
        <v>0</v>
      </c>
      <c r="DG4" s="74">
        <v>0</v>
      </c>
      <c r="DH4" s="74">
        <v>0</v>
      </c>
      <c r="DI4" s="74">
        <v>0</v>
      </c>
      <c r="DJ4" s="74">
        <v>0</v>
      </c>
      <c r="DK4" s="74">
        <v>0</v>
      </c>
      <c r="DL4" s="74">
        <v>0</v>
      </c>
      <c r="DM4" s="74">
        <v>0</v>
      </c>
      <c r="DN4" s="74">
        <v>0</v>
      </c>
      <c r="DO4" s="74">
        <v>0</v>
      </c>
      <c r="DP4" s="74">
        <v>0</v>
      </c>
      <c r="DQ4" s="74">
        <v>0</v>
      </c>
      <c r="DR4" s="74">
        <v>0</v>
      </c>
      <c r="DS4" s="74">
        <v>0</v>
      </c>
      <c r="DT4" s="74">
        <v>0</v>
      </c>
      <c r="DU4" s="74">
        <v>0</v>
      </c>
      <c r="DV4" s="74">
        <v>0</v>
      </c>
      <c r="DW4" s="74">
        <v>0</v>
      </c>
      <c r="DX4" s="74">
        <v>0</v>
      </c>
      <c r="DY4" s="74">
        <v>0</v>
      </c>
      <c r="DZ4" s="74">
        <v>0</v>
      </c>
      <c r="EA4" s="74">
        <v>0</v>
      </c>
      <c r="EB4" s="74">
        <v>0</v>
      </c>
      <c r="EC4" s="74">
        <v>0</v>
      </c>
      <c r="ED4" s="74"/>
      <c r="EE4" s="68">
        <v>46147</v>
      </c>
      <c r="EF4" s="81">
        <v>46147.490590624999</v>
      </c>
      <c r="EG4" s="2" t="s">
        <v>71</v>
      </c>
      <c r="EH4" s="76">
        <v>3</v>
      </c>
      <c r="EI4" s="76" t="s">
        <v>32</v>
      </c>
      <c r="EJ4" s="74" t="s">
        <v>244</v>
      </c>
      <c r="EK4" s="78"/>
      <c r="EL4" s="74"/>
      <c r="EM4" s="74"/>
      <c r="EN4" s="68"/>
      <c r="ER4" s="73"/>
      <c r="ES4" s="74"/>
      <c r="ET4" s="74"/>
      <c r="EU4" s="74"/>
      <c r="EV4" s="74"/>
      <c r="EW4" s="74"/>
      <c r="EX4" s="74"/>
      <c r="EY4" s="74"/>
      <c r="EZ4" s="74"/>
      <c r="FA4" s="74"/>
      <c r="FB4" s="74"/>
      <c r="FC4" s="74"/>
      <c r="FD4" s="74"/>
      <c r="FE4" s="74"/>
      <c r="FF4" s="74"/>
      <c r="FG4" s="74"/>
      <c r="FH4" s="74"/>
      <c r="FI4" s="74"/>
      <c r="FJ4" s="74"/>
      <c r="FK4" s="68"/>
    </row>
    <row r="5" spans="1:183" s="2" customFormat="1" ht="15" x14ac:dyDescent="0.3">
      <c r="A5" s="73" t="s">
        <v>3</v>
      </c>
      <c r="B5" s="73" t="s">
        <v>3</v>
      </c>
      <c r="C5" s="73" t="s">
        <v>39</v>
      </c>
      <c r="D5" s="73" t="s">
        <v>48</v>
      </c>
      <c r="E5" s="73" t="s">
        <v>178</v>
      </c>
      <c r="F5" s="73" t="s">
        <v>210</v>
      </c>
      <c r="G5" s="73" t="s">
        <v>216</v>
      </c>
      <c r="H5" s="73"/>
      <c r="I5" s="74">
        <v>17838</v>
      </c>
      <c r="J5" s="74">
        <v>43193</v>
      </c>
      <c r="K5" s="74">
        <v>57287</v>
      </c>
      <c r="L5" s="74">
        <v>72069</v>
      </c>
      <c r="M5" s="74">
        <v>73790</v>
      </c>
      <c r="N5" s="74">
        <v>109538</v>
      </c>
      <c r="O5" s="74">
        <v>143399</v>
      </c>
      <c r="P5" s="74">
        <v>165198</v>
      </c>
      <c r="Q5" s="74">
        <v>0</v>
      </c>
      <c r="R5" s="74">
        <v>0</v>
      </c>
      <c r="S5" s="74">
        <v>0</v>
      </c>
      <c r="T5" s="74">
        <v>0</v>
      </c>
      <c r="U5" s="74">
        <v>0</v>
      </c>
      <c r="V5" s="74">
        <v>0</v>
      </c>
      <c r="W5" s="74">
        <v>0</v>
      </c>
      <c r="X5" s="74">
        <v>0</v>
      </c>
      <c r="Y5" s="74">
        <v>0</v>
      </c>
      <c r="Z5" s="74">
        <v>0</v>
      </c>
      <c r="AA5" s="74">
        <v>0</v>
      </c>
      <c r="AB5" s="74">
        <v>0</v>
      </c>
      <c r="AC5" s="74">
        <v>0</v>
      </c>
      <c r="AD5" s="74">
        <v>0</v>
      </c>
      <c r="AE5" s="74">
        <v>0</v>
      </c>
      <c r="AF5" s="74">
        <v>0</v>
      </c>
      <c r="AG5" s="74">
        <v>0</v>
      </c>
      <c r="AH5" s="74">
        <v>0</v>
      </c>
      <c r="AI5" s="74">
        <v>0</v>
      </c>
      <c r="AJ5" s="74">
        <v>0</v>
      </c>
      <c r="AK5" s="74"/>
      <c r="AL5" s="74">
        <v>15897</v>
      </c>
      <c r="AM5" s="74">
        <v>18120</v>
      </c>
      <c r="AN5" s="74">
        <v>18285</v>
      </c>
      <c r="AO5" s="74">
        <v>21028</v>
      </c>
      <c r="AP5" s="74">
        <v>20645</v>
      </c>
      <c r="AQ5" s="74">
        <v>26397.000000000004</v>
      </c>
      <c r="AR5" s="74">
        <v>29148</v>
      </c>
      <c r="AS5" s="74">
        <v>33348</v>
      </c>
      <c r="AT5" s="74">
        <v>31952</v>
      </c>
      <c r="AU5" s="74">
        <v>33432</v>
      </c>
      <c r="AV5" s="74">
        <v>36186</v>
      </c>
      <c r="AW5" s="74">
        <v>41829</v>
      </c>
      <c r="AX5" s="74">
        <v>36356</v>
      </c>
      <c r="AY5" s="74">
        <v>40932</v>
      </c>
      <c r="AZ5" s="74">
        <v>39065</v>
      </c>
      <c r="BA5" s="74">
        <v>49115</v>
      </c>
      <c r="BB5" s="74">
        <v>47625</v>
      </c>
      <c r="BC5" s="74">
        <v>0</v>
      </c>
      <c r="BD5" s="74">
        <v>0</v>
      </c>
      <c r="BE5" s="74">
        <v>0</v>
      </c>
      <c r="BF5" s="74">
        <v>0</v>
      </c>
      <c r="BG5" s="74">
        <v>0</v>
      </c>
      <c r="BH5" s="74">
        <v>0</v>
      </c>
      <c r="BI5" s="74">
        <v>0</v>
      </c>
      <c r="BJ5" s="74">
        <v>0</v>
      </c>
      <c r="BK5" s="74">
        <v>0</v>
      </c>
      <c r="BL5" s="74">
        <v>0</v>
      </c>
      <c r="BM5" s="74">
        <v>0</v>
      </c>
      <c r="BN5" s="74">
        <v>0</v>
      </c>
      <c r="BO5" s="74">
        <v>0</v>
      </c>
      <c r="BP5" s="74">
        <v>0</v>
      </c>
      <c r="BQ5" s="74">
        <v>0</v>
      </c>
      <c r="BR5" s="74">
        <v>0</v>
      </c>
      <c r="BS5" s="74">
        <v>0</v>
      </c>
      <c r="BT5" s="74">
        <v>0</v>
      </c>
      <c r="BU5" s="74">
        <v>0</v>
      </c>
      <c r="BV5" s="74">
        <v>0</v>
      </c>
      <c r="BW5" s="74">
        <v>0</v>
      </c>
      <c r="BX5" s="74">
        <v>0</v>
      </c>
      <c r="BY5" s="74">
        <v>0</v>
      </c>
      <c r="BZ5" s="74">
        <v>0</v>
      </c>
      <c r="CA5" s="74">
        <v>0</v>
      </c>
      <c r="CB5" s="74">
        <v>0</v>
      </c>
      <c r="CC5" s="74">
        <v>0</v>
      </c>
      <c r="CD5" s="74">
        <v>0</v>
      </c>
      <c r="CE5" s="74">
        <v>0</v>
      </c>
      <c r="CF5" s="74">
        <v>0</v>
      </c>
      <c r="CG5" s="74">
        <v>0</v>
      </c>
      <c r="CH5" s="74">
        <v>0</v>
      </c>
      <c r="CI5" s="74">
        <v>0</v>
      </c>
      <c r="CJ5" s="74">
        <v>0</v>
      </c>
      <c r="CK5" s="74">
        <v>0</v>
      </c>
      <c r="CL5" s="74">
        <v>0</v>
      </c>
      <c r="CM5" s="74">
        <v>0</v>
      </c>
      <c r="CN5" s="74">
        <v>0</v>
      </c>
      <c r="CO5" s="74">
        <v>0</v>
      </c>
      <c r="CP5" s="74">
        <v>0</v>
      </c>
      <c r="CQ5" s="74">
        <v>0</v>
      </c>
      <c r="CR5" s="74">
        <v>0</v>
      </c>
      <c r="CS5" s="74">
        <v>0</v>
      </c>
      <c r="CT5" s="74">
        <v>0</v>
      </c>
      <c r="CU5" s="74">
        <v>0</v>
      </c>
      <c r="CV5" s="74">
        <v>0</v>
      </c>
      <c r="CW5" s="74">
        <v>0</v>
      </c>
      <c r="CX5" s="74">
        <v>0</v>
      </c>
      <c r="CY5" s="74">
        <v>0</v>
      </c>
      <c r="CZ5" s="74">
        <v>0</v>
      </c>
      <c r="DA5" s="74">
        <v>0</v>
      </c>
      <c r="DB5" s="74">
        <v>0</v>
      </c>
      <c r="DC5" s="74">
        <v>0</v>
      </c>
      <c r="DD5" s="74">
        <v>0</v>
      </c>
      <c r="DE5" s="74">
        <v>0</v>
      </c>
      <c r="DF5" s="74">
        <v>0</v>
      </c>
      <c r="DG5" s="74">
        <v>0</v>
      </c>
      <c r="DH5" s="74">
        <v>0</v>
      </c>
      <c r="DI5" s="74">
        <v>0</v>
      </c>
      <c r="DJ5" s="74">
        <v>0</v>
      </c>
      <c r="DK5" s="74">
        <v>0</v>
      </c>
      <c r="DL5" s="74">
        <v>0</v>
      </c>
      <c r="DM5" s="74">
        <v>0</v>
      </c>
      <c r="DN5" s="74">
        <v>0</v>
      </c>
      <c r="DO5" s="74">
        <v>0</v>
      </c>
      <c r="DP5" s="74">
        <v>0</v>
      </c>
      <c r="DQ5" s="74">
        <v>0</v>
      </c>
      <c r="DR5" s="74">
        <v>0</v>
      </c>
      <c r="DS5" s="74">
        <v>0</v>
      </c>
      <c r="DT5" s="74">
        <v>0</v>
      </c>
      <c r="DU5" s="74">
        <v>0</v>
      </c>
      <c r="DV5" s="74">
        <v>0</v>
      </c>
      <c r="DW5" s="74">
        <v>0</v>
      </c>
      <c r="DX5" s="74">
        <v>0</v>
      </c>
      <c r="DY5" s="74">
        <v>0</v>
      </c>
      <c r="DZ5" s="74">
        <v>0</v>
      </c>
      <c r="EA5" s="74">
        <v>0</v>
      </c>
      <c r="EB5" s="74">
        <v>0</v>
      </c>
      <c r="EC5" s="74">
        <v>0</v>
      </c>
      <c r="ED5" s="74"/>
      <c r="EE5" s="68">
        <v>46147</v>
      </c>
      <c r="EF5" s="81">
        <v>46147.490590624999</v>
      </c>
      <c r="EG5" s="2" t="s">
        <v>71</v>
      </c>
      <c r="EH5" s="76">
        <v>3</v>
      </c>
      <c r="EI5" s="76" t="s">
        <v>32</v>
      </c>
      <c r="EJ5" s="74" t="s">
        <v>244</v>
      </c>
      <c r="EK5" s="78"/>
      <c r="EL5" s="74"/>
      <c r="EM5" s="74"/>
      <c r="EN5" s="68"/>
      <c r="ER5" s="73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68"/>
    </row>
    <row r="6" spans="1:183" s="2" customFormat="1" ht="15" x14ac:dyDescent="0.3">
      <c r="A6" s="73" t="s">
        <v>14</v>
      </c>
      <c r="B6" s="73" t="s">
        <v>229</v>
      </c>
      <c r="C6" s="73" t="s">
        <v>35</v>
      </c>
      <c r="D6" s="73" t="s">
        <v>48</v>
      </c>
      <c r="E6" s="73" t="s">
        <v>178</v>
      </c>
      <c r="F6" s="73" t="s">
        <v>210</v>
      </c>
      <c r="G6" s="73" t="s">
        <v>216</v>
      </c>
      <c r="H6" s="73"/>
      <c r="I6" s="74">
        <v>12420</v>
      </c>
      <c r="J6" s="74">
        <v>14540</v>
      </c>
      <c r="K6" s="74">
        <v>22899</v>
      </c>
      <c r="L6" s="74">
        <v>24879</v>
      </c>
      <c r="M6" s="74">
        <v>12248</v>
      </c>
      <c r="N6" s="74">
        <v>36852</v>
      </c>
      <c r="O6" s="74">
        <v>68593</v>
      </c>
      <c r="P6" s="74">
        <v>79975</v>
      </c>
      <c r="Q6" s="74">
        <v>0</v>
      </c>
      <c r="R6" s="74">
        <v>0</v>
      </c>
      <c r="S6" s="74">
        <v>0</v>
      </c>
      <c r="T6" s="74">
        <v>0</v>
      </c>
      <c r="U6" s="74">
        <v>0</v>
      </c>
      <c r="V6" s="74">
        <v>0</v>
      </c>
      <c r="W6" s="74">
        <v>0</v>
      </c>
      <c r="X6" s="74">
        <v>0</v>
      </c>
      <c r="Y6" s="74">
        <v>0</v>
      </c>
      <c r="Z6" s="74">
        <v>0</v>
      </c>
      <c r="AA6" s="74">
        <v>0</v>
      </c>
      <c r="AB6" s="74">
        <v>0</v>
      </c>
      <c r="AC6" s="74">
        <v>0</v>
      </c>
      <c r="AD6" s="74">
        <v>0</v>
      </c>
      <c r="AE6" s="74">
        <v>0</v>
      </c>
      <c r="AF6" s="74">
        <v>0</v>
      </c>
      <c r="AG6" s="74">
        <v>0</v>
      </c>
      <c r="AH6" s="74">
        <v>0</v>
      </c>
      <c r="AI6" s="74">
        <v>0</v>
      </c>
      <c r="AJ6" s="74">
        <v>0</v>
      </c>
      <c r="AK6" s="74"/>
      <c r="AL6" s="74">
        <v>3669</v>
      </c>
      <c r="AM6" s="74">
        <v>3317</v>
      </c>
      <c r="AN6" s="74">
        <v>2525</v>
      </c>
      <c r="AO6" s="74">
        <v>2737</v>
      </c>
      <c r="AP6" s="74">
        <v>4774</v>
      </c>
      <c r="AQ6" s="74">
        <v>7681</v>
      </c>
      <c r="AR6" s="74">
        <v>11188</v>
      </c>
      <c r="AS6" s="74">
        <v>13209</v>
      </c>
      <c r="AT6" s="74">
        <v>15307</v>
      </c>
      <c r="AU6" s="74">
        <v>14672</v>
      </c>
      <c r="AV6" s="74">
        <v>17411</v>
      </c>
      <c r="AW6" s="74">
        <v>21203</v>
      </c>
      <c r="AX6" s="74">
        <v>18405</v>
      </c>
      <c r="AY6" s="74">
        <v>19171</v>
      </c>
      <c r="AZ6" s="74">
        <v>17422</v>
      </c>
      <c r="BA6" s="74">
        <v>24977</v>
      </c>
      <c r="BB6" s="74">
        <v>23852</v>
      </c>
      <c r="BC6" s="74">
        <v>0</v>
      </c>
      <c r="BD6" s="74">
        <v>0</v>
      </c>
      <c r="BE6" s="74">
        <v>0</v>
      </c>
      <c r="BF6" s="74">
        <v>0</v>
      </c>
      <c r="BG6" s="74">
        <v>0</v>
      </c>
      <c r="BH6" s="74">
        <v>0</v>
      </c>
      <c r="BI6" s="74">
        <v>0</v>
      </c>
      <c r="BJ6" s="74">
        <v>0</v>
      </c>
      <c r="BK6" s="74">
        <v>0</v>
      </c>
      <c r="BL6" s="74">
        <v>0</v>
      </c>
      <c r="BM6" s="74">
        <v>0</v>
      </c>
      <c r="BN6" s="74">
        <v>0</v>
      </c>
      <c r="BO6" s="74">
        <v>0</v>
      </c>
      <c r="BP6" s="74">
        <v>0</v>
      </c>
      <c r="BQ6" s="74">
        <v>0</v>
      </c>
      <c r="BR6" s="74">
        <v>0</v>
      </c>
      <c r="BS6" s="74">
        <v>0</v>
      </c>
      <c r="BT6" s="74">
        <v>0</v>
      </c>
      <c r="BU6" s="74">
        <v>0</v>
      </c>
      <c r="BV6" s="74">
        <v>0</v>
      </c>
      <c r="BW6" s="74">
        <v>0</v>
      </c>
      <c r="BX6" s="74">
        <v>0</v>
      </c>
      <c r="BY6" s="74">
        <v>0</v>
      </c>
      <c r="BZ6" s="74">
        <v>0</v>
      </c>
      <c r="CA6" s="74">
        <v>0</v>
      </c>
      <c r="CB6" s="74">
        <v>0</v>
      </c>
      <c r="CC6" s="74">
        <v>0</v>
      </c>
      <c r="CD6" s="74">
        <v>0</v>
      </c>
      <c r="CE6" s="74">
        <v>0</v>
      </c>
      <c r="CF6" s="74">
        <v>0</v>
      </c>
      <c r="CG6" s="74">
        <v>0</v>
      </c>
      <c r="CH6" s="74">
        <v>0</v>
      </c>
      <c r="CI6" s="74">
        <v>0</v>
      </c>
      <c r="CJ6" s="74">
        <v>0</v>
      </c>
      <c r="CK6" s="74">
        <v>0</v>
      </c>
      <c r="CL6" s="74">
        <v>0</v>
      </c>
      <c r="CM6" s="74">
        <v>0</v>
      </c>
      <c r="CN6" s="74">
        <v>0</v>
      </c>
      <c r="CO6" s="74">
        <v>0</v>
      </c>
      <c r="CP6" s="74">
        <v>0</v>
      </c>
      <c r="CQ6" s="74">
        <v>0</v>
      </c>
      <c r="CR6" s="74">
        <v>0</v>
      </c>
      <c r="CS6" s="74">
        <v>0</v>
      </c>
      <c r="CT6" s="74">
        <v>0</v>
      </c>
      <c r="CU6" s="74">
        <v>0</v>
      </c>
      <c r="CV6" s="74">
        <v>0</v>
      </c>
      <c r="CW6" s="74">
        <v>0</v>
      </c>
      <c r="CX6" s="74">
        <v>0</v>
      </c>
      <c r="CY6" s="74">
        <v>0</v>
      </c>
      <c r="CZ6" s="74">
        <v>0</v>
      </c>
      <c r="DA6" s="74">
        <v>0</v>
      </c>
      <c r="DB6" s="74">
        <v>0</v>
      </c>
      <c r="DC6" s="74">
        <v>0</v>
      </c>
      <c r="DD6" s="74">
        <v>0</v>
      </c>
      <c r="DE6" s="74">
        <v>0</v>
      </c>
      <c r="DF6" s="74">
        <v>0</v>
      </c>
      <c r="DG6" s="74">
        <v>0</v>
      </c>
      <c r="DH6" s="74">
        <v>0</v>
      </c>
      <c r="DI6" s="74">
        <v>0</v>
      </c>
      <c r="DJ6" s="74">
        <v>0</v>
      </c>
      <c r="DK6" s="74">
        <v>0</v>
      </c>
      <c r="DL6" s="74">
        <v>0</v>
      </c>
      <c r="DM6" s="74">
        <v>0</v>
      </c>
      <c r="DN6" s="74">
        <v>0</v>
      </c>
      <c r="DO6" s="74">
        <v>0</v>
      </c>
      <c r="DP6" s="74">
        <v>0</v>
      </c>
      <c r="DQ6" s="74">
        <v>0</v>
      </c>
      <c r="DR6" s="74">
        <v>0</v>
      </c>
      <c r="DS6" s="74">
        <v>0</v>
      </c>
      <c r="DT6" s="74">
        <v>0</v>
      </c>
      <c r="DU6" s="74">
        <v>0</v>
      </c>
      <c r="DV6" s="74">
        <v>0</v>
      </c>
      <c r="DW6" s="74">
        <v>0</v>
      </c>
      <c r="DX6" s="74">
        <v>0</v>
      </c>
      <c r="DY6" s="74">
        <v>0</v>
      </c>
      <c r="DZ6" s="74">
        <v>0</v>
      </c>
      <c r="EA6" s="74">
        <v>0</v>
      </c>
      <c r="EB6" s="74">
        <v>0</v>
      </c>
      <c r="EC6" s="74">
        <v>0</v>
      </c>
      <c r="ED6" s="74"/>
      <c r="EE6" s="68">
        <v>46147</v>
      </c>
      <c r="EF6" s="81">
        <v>46147.490590624999</v>
      </c>
      <c r="EG6" s="2" t="s">
        <v>71</v>
      </c>
      <c r="EH6" s="76">
        <v>3</v>
      </c>
      <c r="EI6" s="76" t="s">
        <v>32</v>
      </c>
      <c r="EJ6" s="74" t="s">
        <v>244</v>
      </c>
      <c r="EK6" s="78"/>
      <c r="EL6" s="74"/>
      <c r="EM6" s="74"/>
      <c r="EN6" s="68"/>
      <c r="ER6" s="73"/>
      <c r="ES6" s="74"/>
      <c r="ET6" s="74"/>
      <c r="EU6" s="74"/>
      <c r="EV6" s="74"/>
      <c r="EW6" s="74"/>
      <c r="EX6" s="74"/>
      <c r="EY6" s="74"/>
      <c r="EZ6" s="74"/>
      <c r="FA6" s="74"/>
      <c r="FB6" s="74"/>
      <c r="FC6" s="74"/>
      <c r="FD6" s="74"/>
      <c r="FE6" s="74"/>
      <c r="FF6" s="74"/>
      <c r="FG6" s="74"/>
      <c r="FH6" s="74"/>
      <c r="FI6" s="74"/>
      <c r="FJ6" s="74"/>
      <c r="FK6" s="68"/>
    </row>
    <row r="7" spans="1:183" s="2" customFormat="1" ht="15" x14ac:dyDescent="0.3">
      <c r="A7" s="73" t="s">
        <v>11</v>
      </c>
      <c r="B7" s="73" t="s">
        <v>230</v>
      </c>
      <c r="C7" s="73" t="s">
        <v>40</v>
      </c>
      <c r="D7" s="73" t="s">
        <v>48</v>
      </c>
      <c r="E7" s="73" t="s">
        <v>178</v>
      </c>
      <c r="F7" s="73" t="s">
        <v>210</v>
      </c>
      <c r="G7" s="73" t="s">
        <v>216</v>
      </c>
      <c r="H7" s="73"/>
      <c r="I7" s="74">
        <v>10073</v>
      </c>
      <c r="J7" s="74">
        <v>11588</v>
      </c>
      <c r="K7" s="74">
        <v>21331</v>
      </c>
      <c r="L7" s="74">
        <v>33360</v>
      </c>
      <c r="M7" s="74">
        <v>14087</v>
      </c>
      <c r="N7" s="74">
        <v>29499</v>
      </c>
      <c r="O7" s="74">
        <v>61599</v>
      </c>
      <c r="P7" s="74">
        <v>62995</v>
      </c>
      <c r="Q7" s="74">
        <v>0</v>
      </c>
      <c r="R7" s="74">
        <v>0</v>
      </c>
      <c r="S7" s="74">
        <v>0</v>
      </c>
      <c r="T7" s="74">
        <v>0</v>
      </c>
      <c r="U7" s="74">
        <v>0</v>
      </c>
      <c r="V7" s="74">
        <v>0</v>
      </c>
      <c r="W7" s="74">
        <v>0</v>
      </c>
      <c r="X7" s="74">
        <v>0</v>
      </c>
      <c r="Y7" s="74">
        <v>0</v>
      </c>
      <c r="Z7" s="74">
        <v>0</v>
      </c>
      <c r="AA7" s="74">
        <v>0</v>
      </c>
      <c r="AB7" s="74">
        <v>0</v>
      </c>
      <c r="AC7" s="74">
        <v>0</v>
      </c>
      <c r="AD7" s="74">
        <v>0</v>
      </c>
      <c r="AE7" s="74">
        <v>0</v>
      </c>
      <c r="AF7" s="74">
        <v>0</v>
      </c>
      <c r="AG7" s="74">
        <v>0</v>
      </c>
      <c r="AH7" s="74">
        <v>0</v>
      </c>
      <c r="AI7" s="74">
        <v>0</v>
      </c>
      <c r="AJ7" s="74">
        <v>0</v>
      </c>
      <c r="AK7" s="74"/>
      <c r="AL7" s="74">
        <v>0</v>
      </c>
      <c r="AM7" s="74">
        <v>0</v>
      </c>
      <c r="AN7" s="74">
        <v>0</v>
      </c>
      <c r="AO7" s="74">
        <v>0</v>
      </c>
      <c r="AP7" s="74">
        <v>0</v>
      </c>
      <c r="AQ7" s="74">
        <v>0</v>
      </c>
      <c r="AR7" s="74">
        <v>0</v>
      </c>
      <c r="AS7" s="74">
        <v>0</v>
      </c>
      <c r="AT7" s="74">
        <v>0</v>
      </c>
      <c r="AU7" s="74">
        <v>0</v>
      </c>
      <c r="AV7" s="74">
        <v>0</v>
      </c>
      <c r="AW7" s="74">
        <v>0</v>
      </c>
      <c r="AX7" s="74">
        <v>0</v>
      </c>
      <c r="AY7" s="74">
        <v>0</v>
      </c>
      <c r="AZ7" s="74">
        <v>0</v>
      </c>
      <c r="BA7" s="74">
        <v>0</v>
      </c>
      <c r="BB7" s="74">
        <v>0</v>
      </c>
      <c r="BC7" s="74">
        <v>0</v>
      </c>
      <c r="BD7" s="74">
        <v>0</v>
      </c>
      <c r="BE7" s="74">
        <v>0</v>
      </c>
      <c r="BF7" s="74">
        <v>0</v>
      </c>
      <c r="BG7" s="74">
        <v>0</v>
      </c>
      <c r="BH7" s="74">
        <v>0</v>
      </c>
      <c r="BI7" s="74">
        <v>0</v>
      </c>
      <c r="BJ7" s="74">
        <v>0</v>
      </c>
      <c r="BK7" s="74">
        <v>0</v>
      </c>
      <c r="BL7" s="74">
        <v>0</v>
      </c>
      <c r="BM7" s="74">
        <v>0</v>
      </c>
      <c r="BN7" s="74">
        <v>0</v>
      </c>
      <c r="BO7" s="74">
        <v>0</v>
      </c>
      <c r="BP7" s="74">
        <v>0</v>
      </c>
      <c r="BQ7" s="74">
        <v>0</v>
      </c>
      <c r="BR7" s="74">
        <v>0</v>
      </c>
      <c r="BS7" s="74">
        <v>0</v>
      </c>
      <c r="BT7" s="74">
        <v>0</v>
      </c>
      <c r="BU7" s="74">
        <v>0</v>
      </c>
      <c r="BV7" s="74">
        <v>0</v>
      </c>
      <c r="BW7" s="74">
        <v>0</v>
      </c>
      <c r="BX7" s="74">
        <v>0</v>
      </c>
      <c r="BY7" s="74">
        <v>0</v>
      </c>
      <c r="BZ7" s="74">
        <v>0</v>
      </c>
      <c r="CA7" s="74">
        <v>0</v>
      </c>
      <c r="CB7" s="74">
        <v>0</v>
      </c>
      <c r="CC7" s="74">
        <v>0</v>
      </c>
      <c r="CD7" s="74">
        <v>0</v>
      </c>
      <c r="CE7" s="74">
        <v>0</v>
      </c>
      <c r="CF7" s="74">
        <v>0</v>
      </c>
      <c r="CG7" s="74">
        <v>0</v>
      </c>
      <c r="CH7" s="74">
        <v>0</v>
      </c>
      <c r="CI7" s="74">
        <v>0</v>
      </c>
      <c r="CJ7" s="74">
        <v>0</v>
      </c>
      <c r="CK7" s="74">
        <v>0</v>
      </c>
      <c r="CL7" s="74">
        <v>0</v>
      </c>
      <c r="CM7" s="74">
        <v>0</v>
      </c>
      <c r="CN7" s="74">
        <v>0</v>
      </c>
      <c r="CO7" s="74">
        <v>0</v>
      </c>
      <c r="CP7" s="74">
        <v>0</v>
      </c>
      <c r="CQ7" s="74">
        <v>0</v>
      </c>
      <c r="CR7" s="74">
        <v>0</v>
      </c>
      <c r="CS7" s="74">
        <v>0</v>
      </c>
      <c r="CT7" s="74">
        <v>0</v>
      </c>
      <c r="CU7" s="74">
        <v>0</v>
      </c>
      <c r="CV7" s="74">
        <v>0</v>
      </c>
      <c r="CW7" s="74">
        <v>0</v>
      </c>
      <c r="CX7" s="74">
        <v>0</v>
      </c>
      <c r="CY7" s="74">
        <v>0</v>
      </c>
      <c r="CZ7" s="74">
        <v>0</v>
      </c>
      <c r="DA7" s="74">
        <v>0</v>
      </c>
      <c r="DB7" s="74">
        <v>0</v>
      </c>
      <c r="DC7" s="74">
        <v>0</v>
      </c>
      <c r="DD7" s="74">
        <v>0</v>
      </c>
      <c r="DE7" s="74">
        <v>0</v>
      </c>
      <c r="DF7" s="74">
        <v>0</v>
      </c>
      <c r="DG7" s="74">
        <v>0</v>
      </c>
      <c r="DH7" s="74">
        <v>0</v>
      </c>
      <c r="DI7" s="74">
        <v>0</v>
      </c>
      <c r="DJ7" s="74">
        <v>0</v>
      </c>
      <c r="DK7" s="74">
        <v>0</v>
      </c>
      <c r="DL7" s="74">
        <v>0</v>
      </c>
      <c r="DM7" s="74">
        <v>0</v>
      </c>
      <c r="DN7" s="74">
        <v>0</v>
      </c>
      <c r="DO7" s="74">
        <v>0</v>
      </c>
      <c r="DP7" s="74">
        <v>0</v>
      </c>
      <c r="DQ7" s="74">
        <v>0</v>
      </c>
      <c r="DR7" s="74">
        <v>0</v>
      </c>
      <c r="DS7" s="74">
        <v>0</v>
      </c>
      <c r="DT7" s="74">
        <v>0</v>
      </c>
      <c r="DU7" s="74">
        <v>0</v>
      </c>
      <c r="DV7" s="74">
        <v>0</v>
      </c>
      <c r="DW7" s="74">
        <v>0</v>
      </c>
      <c r="DX7" s="74">
        <v>0</v>
      </c>
      <c r="DY7" s="74">
        <v>0</v>
      </c>
      <c r="DZ7" s="74">
        <v>0</v>
      </c>
      <c r="EA7" s="74">
        <v>0</v>
      </c>
      <c r="EB7" s="74">
        <v>0</v>
      </c>
      <c r="EC7" s="74">
        <v>0</v>
      </c>
      <c r="ED7" s="74"/>
      <c r="EE7" s="68">
        <v>46147</v>
      </c>
      <c r="EF7" s="81">
        <v>46147.490590624999</v>
      </c>
      <c r="EG7" s="2" t="s">
        <v>71</v>
      </c>
      <c r="EH7" s="76">
        <v>3</v>
      </c>
      <c r="EI7" s="76" t="s">
        <v>32</v>
      </c>
      <c r="EJ7" s="74" t="s">
        <v>244</v>
      </c>
      <c r="EK7" s="78"/>
      <c r="EL7" s="74"/>
      <c r="EM7" s="74"/>
      <c r="EN7" s="68"/>
      <c r="ER7" s="73"/>
      <c r="ES7" s="74"/>
      <c r="ET7" s="74"/>
      <c r="EU7" s="74"/>
      <c r="EV7" s="74"/>
      <c r="EW7" s="74"/>
      <c r="EX7" s="74"/>
      <c r="EY7" s="74"/>
      <c r="EZ7" s="74"/>
      <c r="FA7" s="74"/>
      <c r="FB7" s="74"/>
      <c r="FC7" s="74"/>
      <c r="FD7" s="74"/>
      <c r="FE7" s="74"/>
      <c r="FF7" s="74"/>
      <c r="FG7" s="74"/>
      <c r="FH7" s="74"/>
      <c r="FI7" s="74"/>
      <c r="FJ7" s="74"/>
      <c r="FK7" s="68"/>
    </row>
    <row r="8" spans="1:183" s="2" customFormat="1" ht="15" x14ac:dyDescent="0.3">
      <c r="A8" s="73" t="s">
        <v>156</v>
      </c>
      <c r="B8" s="73" t="s">
        <v>231</v>
      </c>
      <c r="C8" s="73" t="s">
        <v>41</v>
      </c>
      <c r="D8" s="73" t="s">
        <v>48</v>
      </c>
      <c r="E8" s="73" t="s">
        <v>217</v>
      </c>
      <c r="F8" s="73" t="s">
        <v>218</v>
      </c>
      <c r="G8" s="73" t="s">
        <v>216</v>
      </c>
      <c r="H8" s="73"/>
      <c r="I8" s="74">
        <v>10000</v>
      </c>
      <c r="J8" s="74">
        <v>10080</v>
      </c>
      <c r="K8" s="74">
        <v>10200</v>
      </c>
      <c r="L8" s="74">
        <v>10300</v>
      </c>
      <c r="M8" s="74">
        <v>10189</v>
      </c>
      <c r="N8" s="74">
        <v>10492</v>
      </c>
      <c r="O8" s="74">
        <v>10721</v>
      </c>
      <c r="P8" s="74">
        <v>10827</v>
      </c>
      <c r="Q8" s="74">
        <v>0</v>
      </c>
      <c r="R8" s="74">
        <v>0</v>
      </c>
      <c r="S8" s="74">
        <v>0</v>
      </c>
      <c r="T8" s="74">
        <v>0</v>
      </c>
      <c r="U8" s="74">
        <v>0</v>
      </c>
      <c r="V8" s="74">
        <v>0</v>
      </c>
      <c r="W8" s="74">
        <v>0</v>
      </c>
      <c r="X8" s="74">
        <v>0</v>
      </c>
      <c r="Y8" s="74">
        <v>0</v>
      </c>
      <c r="Z8" s="74">
        <v>0</v>
      </c>
      <c r="AA8" s="74">
        <v>0</v>
      </c>
      <c r="AB8" s="74">
        <v>0</v>
      </c>
      <c r="AC8" s="74">
        <v>0</v>
      </c>
      <c r="AD8" s="74">
        <v>0</v>
      </c>
      <c r="AE8" s="74">
        <v>0</v>
      </c>
      <c r="AF8" s="74">
        <v>0</v>
      </c>
      <c r="AG8" s="74">
        <v>0</v>
      </c>
      <c r="AH8" s="74">
        <v>0</v>
      </c>
      <c r="AI8" s="74">
        <v>0</v>
      </c>
      <c r="AJ8" s="74">
        <v>0</v>
      </c>
      <c r="AK8" s="74"/>
      <c r="AL8" s="74">
        <v>0</v>
      </c>
      <c r="AM8" s="74">
        <v>0</v>
      </c>
      <c r="AN8" s="74">
        <v>0</v>
      </c>
      <c r="AO8" s="74">
        <v>0</v>
      </c>
      <c r="AP8" s="74">
        <v>0</v>
      </c>
      <c r="AQ8" s="74">
        <v>0</v>
      </c>
      <c r="AR8" s="74">
        <v>0</v>
      </c>
      <c r="AS8" s="74">
        <v>0</v>
      </c>
      <c r="AT8" s="74">
        <v>0</v>
      </c>
      <c r="AU8" s="74">
        <v>0</v>
      </c>
      <c r="AV8" s="74">
        <v>0</v>
      </c>
      <c r="AW8" s="74">
        <v>0</v>
      </c>
      <c r="AX8" s="74">
        <v>0</v>
      </c>
      <c r="AY8" s="74">
        <v>0</v>
      </c>
      <c r="AZ8" s="74">
        <v>0</v>
      </c>
      <c r="BA8" s="74">
        <v>0</v>
      </c>
      <c r="BB8" s="74">
        <v>0</v>
      </c>
      <c r="BC8" s="74">
        <v>0</v>
      </c>
      <c r="BD8" s="74">
        <v>0</v>
      </c>
      <c r="BE8" s="74">
        <v>0</v>
      </c>
      <c r="BF8" s="74">
        <v>0</v>
      </c>
      <c r="BG8" s="74">
        <v>0</v>
      </c>
      <c r="BH8" s="74">
        <v>0</v>
      </c>
      <c r="BI8" s="74">
        <v>0</v>
      </c>
      <c r="BJ8" s="74">
        <v>0</v>
      </c>
      <c r="BK8" s="74">
        <v>0</v>
      </c>
      <c r="BL8" s="74">
        <v>0</v>
      </c>
      <c r="BM8" s="74">
        <v>0</v>
      </c>
      <c r="BN8" s="74">
        <v>0</v>
      </c>
      <c r="BO8" s="74">
        <v>0</v>
      </c>
      <c r="BP8" s="74">
        <v>0</v>
      </c>
      <c r="BQ8" s="74">
        <v>0</v>
      </c>
      <c r="BR8" s="74">
        <v>0</v>
      </c>
      <c r="BS8" s="74">
        <v>0</v>
      </c>
      <c r="BT8" s="74">
        <v>0</v>
      </c>
      <c r="BU8" s="74">
        <v>0</v>
      </c>
      <c r="BV8" s="74">
        <v>0</v>
      </c>
      <c r="BW8" s="74">
        <v>0</v>
      </c>
      <c r="BX8" s="74">
        <v>0</v>
      </c>
      <c r="BY8" s="74">
        <v>0</v>
      </c>
      <c r="BZ8" s="74">
        <v>0</v>
      </c>
      <c r="CA8" s="74">
        <v>0</v>
      </c>
      <c r="CB8" s="74">
        <v>0</v>
      </c>
      <c r="CC8" s="74">
        <v>0</v>
      </c>
      <c r="CD8" s="74">
        <v>0</v>
      </c>
      <c r="CE8" s="74">
        <v>0</v>
      </c>
      <c r="CF8" s="74">
        <v>0</v>
      </c>
      <c r="CG8" s="74">
        <v>0</v>
      </c>
      <c r="CH8" s="74">
        <v>0</v>
      </c>
      <c r="CI8" s="74">
        <v>0</v>
      </c>
      <c r="CJ8" s="74">
        <v>0</v>
      </c>
      <c r="CK8" s="74">
        <v>0</v>
      </c>
      <c r="CL8" s="74">
        <v>0</v>
      </c>
      <c r="CM8" s="74">
        <v>0</v>
      </c>
      <c r="CN8" s="74">
        <v>0</v>
      </c>
      <c r="CO8" s="74">
        <v>0</v>
      </c>
      <c r="CP8" s="74">
        <v>0</v>
      </c>
      <c r="CQ8" s="74">
        <v>0</v>
      </c>
      <c r="CR8" s="74">
        <v>0</v>
      </c>
      <c r="CS8" s="74">
        <v>0</v>
      </c>
      <c r="CT8" s="74">
        <v>0</v>
      </c>
      <c r="CU8" s="74">
        <v>0</v>
      </c>
      <c r="CV8" s="74">
        <v>0</v>
      </c>
      <c r="CW8" s="74">
        <v>0</v>
      </c>
      <c r="CX8" s="74">
        <v>0</v>
      </c>
      <c r="CY8" s="74">
        <v>0</v>
      </c>
      <c r="CZ8" s="74">
        <v>0</v>
      </c>
      <c r="DA8" s="74">
        <v>0</v>
      </c>
      <c r="DB8" s="74">
        <v>0</v>
      </c>
      <c r="DC8" s="74">
        <v>0</v>
      </c>
      <c r="DD8" s="74">
        <v>0</v>
      </c>
      <c r="DE8" s="74">
        <v>0</v>
      </c>
      <c r="DF8" s="74">
        <v>0</v>
      </c>
      <c r="DG8" s="74">
        <v>0</v>
      </c>
      <c r="DH8" s="74">
        <v>0</v>
      </c>
      <c r="DI8" s="74">
        <v>0</v>
      </c>
      <c r="DJ8" s="74">
        <v>0</v>
      </c>
      <c r="DK8" s="74">
        <v>0</v>
      </c>
      <c r="DL8" s="74">
        <v>0</v>
      </c>
      <c r="DM8" s="74">
        <v>0</v>
      </c>
      <c r="DN8" s="74">
        <v>0</v>
      </c>
      <c r="DO8" s="74">
        <v>0</v>
      </c>
      <c r="DP8" s="74">
        <v>0</v>
      </c>
      <c r="DQ8" s="74">
        <v>0</v>
      </c>
      <c r="DR8" s="74">
        <v>0</v>
      </c>
      <c r="DS8" s="74">
        <v>0</v>
      </c>
      <c r="DT8" s="74">
        <v>0</v>
      </c>
      <c r="DU8" s="74">
        <v>0</v>
      </c>
      <c r="DV8" s="74">
        <v>0</v>
      </c>
      <c r="DW8" s="74">
        <v>0</v>
      </c>
      <c r="DX8" s="74">
        <v>0</v>
      </c>
      <c r="DY8" s="74">
        <v>0</v>
      </c>
      <c r="DZ8" s="74">
        <v>0</v>
      </c>
      <c r="EA8" s="74">
        <v>0</v>
      </c>
      <c r="EB8" s="74">
        <v>0</v>
      </c>
      <c r="EC8" s="74">
        <v>0</v>
      </c>
      <c r="ED8" s="74"/>
      <c r="EE8" s="68">
        <v>46147</v>
      </c>
      <c r="EF8" s="81">
        <v>46147.490590624999</v>
      </c>
      <c r="EG8" s="2" t="s">
        <v>71</v>
      </c>
      <c r="EH8" s="76">
        <v>3</v>
      </c>
      <c r="EI8" s="76" t="s">
        <v>32</v>
      </c>
      <c r="EJ8" s="74" t="s">
        <v>244</v>
      </c>
      <c r="EK8" s="78"/>
      <c r="EL8" s="74"/>
      <c r="EM8" s="74"/>
      <c r="EN8" s="68"/>
      <c r="ER8" s="73"/>
      <c r="ES8" s="74"/>
      <c r="ET8" s="74"/>
      <c r="EU8" s="74"/>
      <c r="EV8" s="74"/>
      <c r="EW8" s="74"/>
      <c r="EX8" s="74"/>
      <c r="EY8" s="74"/>
      <c r="EZ8" s="74"/>
      <c r="FA8" s="74"/>
      <c r="FB8" s="74"/>
      <c r="FC8" s="74"/>
      <c r="FD8" s="74"/>
      <c r="FE8" s="74"/>
      <c r="FF8" s="74"/>
      <c r="FG8" s="74"/>
      <c r="FH8" s="74"/>
      <c r="FI8" s="74"/>
      <c r="FJ8" s="74"/>
      <c r="FK8" s="68"/>
    </row>
    <row r="9" spans="1:183" s="2" customFormat="1" ht="15" x14ac:dyDescent="0.3">
      <c r="A9" s="73" t="s">
        <v>4</v>
      </c>
      <c r="B9" s="73" t="s">
        <v>232</v>
      </c>
      <c r="C9" s="73" t="s">
        <v>38</v>
      </c>
      <c r="D9" s="73" t="s">
        <v>48</v>
      </c>
      <c r="E9" s="73" t="s">
        <v>178</v>
      </c>
      <c r="F9" s="73" t="s">
        <v>210</v>
      </c>
      <c r="G9" s="73" t="s">
        <v>216</v>
      </c>
      <c r="H9" s="73"/>
      <c r="I9" s="74">
        <v>0</v>
      </c>
      <c r="J9" s="74">
        <v>21789</v>
      </c>
      <c r="K9" s="74">
        <v>25180</v>
      </c>
      <c r="L9" s="74">
        <v>34433</v>
      </c>
      <c r="M9" s="74">
        <v>41921</v>
      </c>
      <c r="N9" s="74">
        <v>48663</v>
      </c>
      <c r="O9" s="74">
        <v>52795</v>
      </c>
      <c r="P9" s="74">
        <v>65756</v>
      </c>
      <c r="Q9" s="74">
        <v>0</v>
      </c>
      <c r="R9" s="74">
        <v>0</v>
      </c>
      <c r="S9" s="74">
        <v>0</v>
      </c>
      <c r="T9" s="74">
        <v>0</v>
      </c>
      <c r="U9" s="74">
        <v>0</v>
      </c>
      <c r="V9" s="74">
        <v>0</v>
      </c>
      <c r="W9" s="74">
        <v>0</v>
      </c>
      <c r="X9" s="74">
        <v>0</v>
      </c>
      <c r="Y9" s="74">
        <v>0</v>
      </c>
      <c r="Z9" s="74">
        <v>0</v>
      </c>
      <c r="AA9" s="74">
        <v>0</v>
      </c>
      <c r="AB9" s="74">
        <v>0</v>
      </c>
      <c r="AC9" s="74">
        <v>0</v>
      </c>
      <c r="AD9" s="74">
        <v>0</v>
      </c>
      <c r="AE9" s="74">
        <v>0</v>
      </c>
      <c r="AF9" s="74">
        <v>0</v>
      </c>
      <c r="AG9" s="74">
        <v>0</v>
      </c>
      <c r="AH9" s="74">
        <v>0</v>
      </c>
      <c r="AI9" s="74">
        <v>0</v>
      </c>
      <c r="AJ9" s="74">
        <v>0</v>
      </c>
      <c r="AK9" s="74"/>
      <c r="AL9" s="74">
        <v>8978</v>
      </c>
      <c r="AM9" s="74">
        <v>9594</v>
      </c>
      <c r="AN9" s="74">
        <v>10204</v>
      </c>
      <c r="AO9" s="74">
        <v>12685</v>
      </c>
      <c r="AP9" s="74">
        <v>11123</v>
      </c>
      <c r="AQ9" s="74">
        <v>11589</v>
      </c>
      <c r="AR9" s="74">
        <v>12131</v>
      </c>
      <c r="AS9" s="74">
        <v>13820</v>
      </c>
      <c r="AT9" s="74">
        <v>11684</v>
      </c>
      <c r="AU9" s="74">
        <v>12038</v>
      </c>
      <c r="AV9" s="74">
        <v>13442</v>
      </c>
      <c r="AW9" s="74">
        <v>15631</v>
      </c>
      <c r="AX9" s="74">
        <v>14262</v>
      </c>
      <c r="AY9" s="74">
        <v>15227</v>
      </c>
      <c r="AZ9" s="74">
        <v>16796</v>
      </c>
      <c r="BA9" s="74">
        <v>19741</v>
      </c>
      <c r="BB9" s="74">
        <v>19741</v>
      </c>
      <c r="BC9" s="74">
        <v>0</v>
      </c>
      <c r="BD9" s="74">
        <v>0</v>
      </c>
      <c r="BE9" s="74">
        <v>0</v>
      </c>
      <c r="BF9" s="74">
        <v>0</v>
      </c>
      <c r="BG9" s="74">
        <v>0</v>
      </c>
      <c r="BH9" s="74">
        <v>0</v>
      </c>
      <c r="BI9" s="74">
        <v>0</v>
      </c>
      <c r="BJ9" s="74">
        <v>0</v>
      </c>
      <c r="BK9" s="74">
        <v>0</v>
      </c>
      <c r="BL9" s="74">
        <v>0</v>
      </c>
      <c r="BM9" s="74">
        <v>0</v>
      </c>
      <c r="BN9" s="74">
        <v>0</v>
      </c>
      <c r="BO9" s="74">
        <v>0</v>
      </c>
      <c r="BP9" s="74">
        <v>0</v>
      </c>
      <c r="BQ9" s="74">
        <v>0</v>
      </c>
      <c r="BR9" s="74">
        <v>0</v>
      </c>
      <c r="BS9" s="74">
        <v>0</v>
      </c>
      <c r="BT9" s="74">
        <v>0</v>
      </c>
      <c r="BU9" s="74">
        <v>0</v>
      </c>
      <c r="BV9" s="74">
        <v>0</v>
      </c>
      <c r="BW9" s="74">
        <v>0</v>
      </c>
      <c r="BX9" s="74">
        <v>0</v>
      </c>
      <c r="BY9" s="74">
        <v>0</v>
      </c>
      <c r="BZ9" s="74">
        <v>0</v>
      </c>
      <c r="CA9" s="74">
        <v>0</v>
      </c>
      <c r="CB9" s="74">
        <v>0</v>
      </c>
      <c r="CC9" s="74">
        <v>0</v>
      </c>
      <c r="CD9" s="74">
        <v>0</v>
      </c>
      <c r="CE9" s="74">
        <v>0</v>
      </c>
      <c r="CF9" s="74">
        <v>0</v>
      </c>
      <c r="CG9" s="74">
        <v>0</v>
      </c>
      <c r="CH9" s="74">
        <v>0</v>
      </c>
      <c r="CI9" s="74">
        <v>0</v>
      </c>
      <c r="CJ9" s="74">
        <v>0</v>
      </c>
      <c r="CK9" s="74">
        <v>0</v>
      </c>
      <c r="CL9" s="74">
        <v>0</v>
      </c>
      <c r="CM9" s="74">
        <v>0</v>
      </c>
      <c r="CN9" s="74">
        <v>0</v>
      </c>
      <c r="CO9" s="74">
        <v>0</v>
      </c>
      <c r="CP9" s="74">
        <v>0</v>
      </c>
      <c r="CQ9" s="74">
        <v>0</v>
      </c>
      <c r="CR9" s="74">
        <v>0</v>
      </c>
      <c r="CS9" s="74">
        <v>0</v>
      </c>
      <c r="CT9" s="74">
        <v>0</v>
      </c>
      <c r="CU9" s="74">
        <v>0</v>
      </c>
      <c r="CV9" s="74">
        <v>0</v>
      </c>
      <c r="CW9" s="74">
        <v>0</v>
      </c>
      <c r="CX9" s="74">
        <v>0</v>
      </c>
      <c r="CY9" s="74">
        <v>0</v>
      </c>
      <c r="CZ9" s="74">
        <v>0</v>
      </c>
      <c r="DA9" s="74">
        <v>0</v>
      </c>
      <c r="DB9" s="74">
        <v>0</v>
      </c>
      <c r="DC9" s="74">
        <v>0</v>
      </c>
      <c r="DD9" s="74">
        <v>0</v>
      </c>
      <c r="DE9" s="74">
        <v>0</v>
      </c>
      <c r="DF9" s="74">
        <v>0</v>
      </c>
      <c r="DG9" s="74">
        <v>0</v>
      </c>
      <c r="DH9" s="74">
        <v>0</v>
      </c>
      <c r="DI9" s="74">
        <v>0</v>
      </c>
      <c r="DJ9" s="74">
        <v>0</v>
      </c>
      <c r="DK9" s="74">
        <v>0</v>
      </c>
      <c r="DL9" s="74">
        <v>0</v>
      </c>
      <c r="DM9" s="74">
        <v>0</v>
      </c>
      <c r="DN9" s="74">
        <v>0</v>
      </c>
      <c r="DO9" s="74">
        <v>0</v>
      </c>
      <c r="DP9" s="74">
        <v>0</v>
      </c>
      <c r="DQ9" s="74">
        <v>0</v>
      </c>
      <c r="DR9" s="74">
        <v>0</v>
      </c>
      <c r="DS9" s="74">
        <v>0</v>
      </c>
      <c r="DT9" s="74">
        <v>0</v>
      </c>
      <c r="DU9" s="74">
        <v>0</v>
      </c>
      <c r="DV9" s="74">
        <v>0</v>
      </c>
      <c r="DW9" s="74">
        <v>0</v>
      </c>
      <c r="DX9" s="74">
        <v>0</v>
      </c>
      <c r="DY9" s="74">
        <v>0</v>
      </c>
      <c r="DZ9" s="74">
        <v>0</v>
      </c>
      <c r="EA9" s="74">
        <v>0</v>
      </c>
      <c r="EB9" s="74">
        <v>0</v>
      </c>
      <c r="EC9" s="74">
        <v>0</v>
      </c>
      <c r="ED9" s="74"/>
      <c r="EE9" s="68">
        <v>46147</v>
      </c>
      <c r="EF9" s="81">
        <v>46147.490590624999</v>
      </c>
      <c r="EG9" s="2" t="s">
        <v>71</v>
      </c>
      <c r="EH9" s="76">
        <v>3</v>
      </c>
      <c r="EI9" s="76" t="s">
        <v>32</v>
      </c>
      <c r="EJ9" s="74" t="s">
        <v>244</v>
      </c>
      <c r="EK9" s="78"/>
      <c r="EL9" s="74"/>
      <c r="EM9" s="74"/>
      <c r="EN9" s="68"/>
      <c r="ER9" s="73"/>
      <c r="ES9" s="74"/>
      <c r="ET9" s="74"/>
      <c r="EU9" s="74"/>
      <c r="EV9" s="74"/>
      <c r="EW9" s="74"/>
      <c r="EX9" s="74"/>
      <c r="EY9" s="74"/>
      <c r="EZ9" s="74"/>
      <c r="FA9" s="74"/>
      <c r="FB9" s="74"/>
      <c r="FC9" s="74"/>
      <c r="FD9" s="74"/>
      <c r="FE9" s="74"/>
      <c r="FF9" s="74"/>
      <c r="FG9" s="74"/>
      <c r="FH9" s="74"/>
      <c r="FI9" s="74"/>
      <c r="FJ9" s="74"/>
      <c r="FK9" s="68"/>
    </row>
    <row r="10" spans="1:183" s="2" customFormat="1" ht="15" x14ac:dyDescent="0.3">
      <c r="A10" s="73" t="s">
        <v>15</v>
      </c>
      <c r="B10" s="73" t="s">
        <v>233</v>
      </c>
      <c r="C10" s="73" t="s">
        <v>36</v>
      </c>
      <c r="D10" s="73" t="s">
        <v>48</v>
      </c>
      <c r="E10" s="73" t="s">
        <v>178</v>
      </c>
      <c r="F10" s="73" t="s">
        <v>210</v>
      </c>
      <c r="G10" s="73" t="s">
        <v>216</v>
      </c>
      <c r="H10" s="73"/>
      <c r="I10" s="74">
        <v>440</v>
      </c>
      <c r="J10" s="74">
        <v>832</v>
      </c>
      <c r="K10" s="74">
        <v>555</v>
      </c>
      <c r="L10" s="74">
        <v>448</v>
      </c>
      <c r="M10" s="74">
        <v>989</v>
      </c>
      <c r="N10" s="74">
        <v>2949</v>
      </c>
      <c r="O10" s="74">
        <v>4677</v>
      </c>
      <c r="P10" s="74">
        <v>4381</v>
      </c>
      <c r="Q10" s="74">
        <v>0</v>
      </c>
      <c r="R10" s="74">
        <v>0</v>
      </c>
      <c r="S10" s="74">
        <v>0</v>
      </c>
      <c r="T10" s="74">
        <v>0</v>
      </c>
      <c r="U10" s="74">
        <v>0</v>
      </c>
      <c r="V10" s="74">
        <v>0</v>
      </c>
      <c r="W10" s="74">
        <v>0</v>
      </c>
      <c r="X10" s="74">
        <v>0</v>
      </c>
      <c r="Y10" s="74">
        <v>0</v>
      </c>
      <c r="Z10" s="74">
        <v>0</v>
      </c>
      <c r="AA10" s="74">
        <v>0</v>
      </c>
      <c r="AB10" s="74">
        <v>0</v>
      </c>
      <c r="AC10" s="74">
        <v>0</v>
      </c>
      <c r="AD10" s="74">
        <v>0</v>
      </c>
      <c r="AE10" s="74">
        <v>0</v>
      </c>
      <c r="AF10" s="74">
        <v>0</v>
      </c>
      <c r="AG10" s="74">
        <v>0</v>
      </c>
      <c r="AH10" s="74">
        <v>0</v>
      </c>
      <c r="AI10" s="74">
        <v>0</v>
      </c>
      <c r="AJ10" s="74">
        <v>0</v>
      </c>
      <c r="AK10" s="74"/>
      <c r="AL10" s="74">
        <v>0</v>
      </c>
      <c r="AM10" s="74">
        <v>0</v>
      </c>
      <c r="AN10" s="74">
        <v>0</v>
      </c>
      <c r="AO10" s="74">
        <v>0</v>
      </c>
      <c r="AP10" s="74">
        <v>0</v>
      </c>
      <c r="AQ10" s="74">
        <v>0</v>
      </c>
      <c r="AR10" s="74">
        <v>0</v>
      </c>
      <c r="AS10" s="74">
        <v>0</v>
      </c>
      <c r="AT10" s="74">
        <v>0</v>
      </c>
      <c r="AU10" s="74">
        <v>0</v>
      </c>
      <c r="AV10" s="74">
        <v>0</v>
      </c>
      <c r="AW10" s="74">
        <v>0</v>
      </c>
      <c r="AX10" s="74">
        <v>0</v>
      </c>
      <c r="AY10" s="74">
        <v>0</v>
      </c>
      <c r="AZ10" s="74">
        <v>0</v>
      </c>
      <c r="BA10" s="74">
        <v>0</v>
      </c>
      <c r="BB10" s="74">
        <v>0</v>
      </c>
      <c r="BC10" s="74">
        <v>0</v>
      </c>
      <c r="BD10" s="74">
        <v>0</v>
      </c>
      <c r="BE10" s="74">
        <v>0</v>
      </c>
      <c r="BF10" s="74">
        <v>0</v>
      </c>
      <c r="BG10" s="74">
        <v>0</v>
      </c>
      <c r="BH10" s="74">
        <v>0</v>
      </c>
      <c r="BI10" s="74">
        <v>0</v>
      </c>
      <c r="BJ10" s="74">
        <v>0</v>
      </c>
      <c r="BK10" s="74">
        <v>0</v>
      </c>
      <c r="BL10" s="74">
        <v>0</v>
      </c>
      <c r="BM10" s="74">
        <v>0</v>
      </c>
      <c r="BN10" s="74">
        <v>0</v>
      </c>
      <c r="BO10" s="74">
        <v>0</v>
      </c>
      <c r="BP10" s="74">
        <v>0</v>
      </c>
      <c r="BQ10" s="74">
        <v>0</v>
      </c>
      <c r="BR10" s="74">
        <v>0</v>
      </c>
      <c r="BS10" s="74">
        <v>0</v>
      </c>
      <c r="BT10" s="74">
        <v>0</v>
      </c>
      <c r="BU10" s="74">
        <v>0</v>
      </c>
      <c r="BV10" s="74">
        <v>0</v>
      </c>
      <c r="BW10" s="74">
        <v>0</v>
      </c>
      <c r="BX10" s="74">
        <v>0</v>
      </c>
      <c r="BY10" s="74">
        <v>0</v>
      </c>
      <c r="BZ10" s="74">
        <v>0</v>
      </c>
      <c r="CA10" s="74">
        <v>0</v>
      </c>
      <c r="CB10" s="74">
        <v>0</v>
      </c>
      <c r="CC10" s="74">
        <v>0</v>
      </c>
      <c r="CD10" s="74">
        <v>0</v>
      </c>
      <c r="CE10" s="74">
        <v>0</v>
      </c>
      <c r="CF10" s="74">
        <v>0</v>
      </c>
      <c r="CG10" s="74">
        <v>0</v>
      </c>
      <c r="CH10" s="74">
        <v>0</v>
      </c>
      <c r="CI10" s="74">
        <v>0</v>
      </c>
      <c r="CJ10" s="74">
        <v>0</v>
      </c>
      <c r="CK10" s="74">
        <v>0</v>
      </c>
      <c r="CL10" s="74">
        <v>0</v>
      </c>
      <c r="CM10" s="74">
        <v>0</v>
      </c>
      <c r="CN10" s="74">
        <v>0</v>
      </c>
      <c r="CO10" s="74">
        <v>0</v>
      </c>
      <c r="CP10" s="74">
        <v>0</v>
      </c>
      <c r="CQ10" s="74">
        <v>0</v>
      </c>
      <c r="CR10" s="74">
        <v>0</v>
      </c>
      <c r="CS10" s="74">
        <v>0</v>
      </c>
      <c r="CT10" s="74">
        <v>0</v>
      </c>
      <c r="CU10" s="74">
        <v>0</v>
      </c>
      <c r="CV10" s="74">
        <v>0</v>
      </c>
      <c r="CW10" s="74">
        <v>0</v>
      </c>
      <c r="CX10" s="74">
        <v>0</v>
      </c>
      <c r="CY10" s="74">
        <v>0</v>
      </c>
      <c r="CZ10" s="74">
        <v>0</v>
      </c>
      <c r="DA10" s="74">
        <v>0</v>
      </c>
      <c r="DB10" s="74">
        <v>0</v>
      </c>
      <c r="DC10" s="74">
        <v>0</v>
      </c>
      <c r="DD10" s="74">
        <v>0</v>
      </c>
      <c r="DE10" s="74">
        <v>0</v>
      </c>
      <c r="DF10" s="74">
        <v>0</v>
      </c>
      <c r="DG10" s="74">
        <v>0</v>
      </c>
      <c r="DH10" s="74">
        <v>0</v>
      </c>
      <c r="DI10" s="74">
        <v>0</v>
      </c>
      <c r="DJ10" s="74">
        <v>0</v>
      </c>
      <c r="DK10" s="74">
        <v>0</v>
      </c>
      <c r="DL10" s="74">
        <v>0</v>
      </c>
      <c r="DM10" s="74">
        <v>0</v>
      </c>
      <c r="DN10" s="74">
        <v>0</v>
      </c>
      <c r="DO10" s="74">
        <v>0</v>
      </c>
      <c r="DP10" s="74">
        <v>0</v>
      </c>
      <c r="DQ10" s="74">
        <v>0</v>
      </c>
      <c r="DR10" s="74">
        <v>0</v>
      </c>
      <c r="DS10" s="74">
        <v>0</v>
      </c>
      <c r="DT10" s="74">
        <v>0</v>
      </c>
      <c r="DU10" s="74">
        <v>0</v>
      </c>
      <c r="DV10" s="74">
        <v>0</v>
      </c>
      <c r="DW10" s="74">
        <v>0</v>
      </c>
      <c r="DX10" s="74">
        <v>0</v>
      </c>
      <c r="DY10" s="74">
        <v>0</v>
      </c>
      <c r="DZ10" s="74">
        <v>0</v>
      </c>
      <c r="EA10" s="74">
        <v>0</v>
      </c>
      <c r="EB10" s="74">
        <v>0</v>
      </c>
      <c r="EC10" s="74">
        <v>0</v>
      </c>
      <c r="ED10" s="74"/>
      <c r="EE10" s="68">
        <v>46147</v>
      </c>
      <c r="EF10" s="81">
        <v>46147.490590624999</v>
      </c>
      <c r="EG10" s="2" t="s">
        <v>71</v>
      </c>
      <c r="EH10" s="76">
        <v>3</v>
      </c>
      <c r="EI10" s="76" t="s">
        <v>32</v>
      </c>
      <c r="EJ10" s="74" t="s">
        <v>244</v>
      </c>
      <c r="EK10" s="78"/>
      <c r="EL10" s="74"/>
      <c r="EM10" s="74"/>
      <c r="EN10" s="68"/>
      <c r="ER10" s="73"/>
      <c r="ES10" s="74"/>
      <c r="ET10" s="74"/>
      <c r="EU10" s="74"/>
      <c r="EV10" s="74"/>
      <c r="EW10" s="74"/>
      <c r="EX10" s="74"/>
      <c r="EY10" s="74"/>
      <c r="EZ10" s="74"/>
      <c r="FA10" s="74"/>
      <c r="FB10" s="74"/>
      <c r="FC10" s="74"/>
      <c r="FD10" s="74"/>
      <c r="FE10" s="74"/>
      <c r="FF10" s="74"/>
      <c r="FG10" s="74"/>
      <c r="FH10" s="74"/>
      <c r="FI10" s="74"/>
      <c r="FJ10" s="74"/>
      <c r="FK10" s="68"/>
    </row>
    <row r="11" spans="1:183" s="2" customFormat="1" ht="15" x14ac:dyDescent="0.3">
      <c r="A11" s="73" t="s">
        <v>9</v>
      </c>
      <c r="B11" s="73" t="s">
        <v>234</v>
      </c>
      <c r="C11" s="73" t="s">
        <v>37</v>
      </c>
      <c r="D11" s="73" t="s">
        <v>48</v>
      </c>
      <c r="E11" s="73" t="s">
        <v>178</v>
      </c>
      <c r="F11" s="73" t="s">
        <v>210</v>
      </c>
      <c r="G11" s="73" t="s">
        <v>216</v>
      </c>
      <c r="H11" s="73"/>
      <c r="I11" s="74">
        <v>1417</v>
      </c>
      <c r="J11" s="74">
        <v>1600</v>
      </c>
      <c r="K11" s="74">
        <v>1647</v>
      </c>
      <c r="L11" s="74">
        <v>1809</v>
      </c>
      <c r="M11" s="74">
        <v>2367</v>
      </c>
      <c r="N11" s="74">
        <v>3182</v>
      </c>
      <c r="O11" s="74">
        <v>2406</v>
      </c>
      <c r="P11" s="74">
        <v>2274</v>
      </c>
      <c r="Q11" s="74">
        <v>0</v>
      </c>
      <c r="R11" s="74">
        <v>0</v>
      </c>
      <c r="S11" s="74">
        <v>0</v>
      </c>
      <c r="T11" s="74">
        <v>0</v>
      </c>
      <c r="U11" s="74">
        <v>0</v>
      </c>
      <c r="V11" s="74">
        <v>0</v>
      </c>
      <c r="W11" s="74">
        <v>0</v>
      </c>
      <c r="X11" s="74">
        <v>0</v>
      </c>
      <c r="Y11" s="74">
        <v>0</v>
      </c>
      <c r="Z11" s="74">
        <v>0</v>
      </c>
      <c r="AA11" s="74">
        <v>0</v>
      </c>
      <c r="AB11" s="74">
        <v>0</v>
      </c>
      <c r="AC11" s="74">
        <v>0</v>
      </c>
      <c r="AD11" s="74">
        <v>0</v>
      </c>
      <c r="AE11" s="74">
        <v>0</v>
      </c>
      <c r="AF11" s="74">
        <v>0</v>
      </c>
      <c r="AG11" s="74">
        <v>0</v>
      </c>
      <c r="AH11" s="74">
        <v>0</v>
      </c>
      <c r="AI11" s="74">
        <v>0</v>
      </c>
      <c r="AJ11" s="74">
        <v>0</v>
      </c>
      <c r="AK11" s="74"/>
      <c r="AL11" s="74">
        <v>0</v>
      </c>
      <c r="AM11" s="74">
        <v>0</v>
      </c>
      <c r="AN11" s="74">
        <v>0</v>
      </c>
      <c r="AO11" s="74">
        <v>0</v>
      </c>
      <c r="AP11" s="74">
        <v>0</v>
      </c>
      <c r="AQ11" s="74">
        <v>0</v>
      </c>
      <c r="AR11" s="74">
        <v>0</v>
      </c>
      <c r="AS11" s="74">
        <v>0</v>
      </c>
      <c r="AT11" s="74">
        <v>0</v>
      </c>
      <c r="AU11" s="74">
        <v>0</v>
      </c>
      <c r="AV11" s="74">
        <v>0</v>
      </c>
      <c r="AW11" s="74">
        <v>0</v>
      </c>
      <c r="AX11" s="74">
        <v>0</v>
      </c>
      <c r="AY11" s="74">
        <v>0</v>
      </c>
      <c r="AZ11" s="74">
        <v>0</v>
      </c>
      <c r="BA11" s="74">
        <v>0</v>
      </c>
      <c r="BB11" s="74">
        <v>0</v>
      </c>
      <c r="BC11" s="74">
        <v>0</v>
      </c>
      <c r="BD11" s="74">
        <v>0</v>
      </c>
      <c r="BE11" s="74">
        <v>0</v>
      </c>
      <c r="BF11" s="74">
        <v>0</v>
      </c>
      <c r="BG11" s="74">
        <v>0</v>
      </c>
      <c r="BH11" s="74">
        <v>0</v>
      </c>
      <c r="BI11" s="74">
        <v>0</v>
      </c>
      <c r="BJ11" s="74">
        <v>0</v>
      </c>
      <c r="BK11" s="74">
        <v>0</v>
      </c>
      <c r="BL11" s="74">
        <v>0</v>
      </c>
      <c r="BM11" s="74">
        <v>0</v>
      </c>
      <c r="BN11" s="74">
        <v>0</v>
      </c>
      <c r="BO11" s="74">
        <v>0</v>
      </c>
      <c r="BP11" s="74">
        <v>0</v>
      </c>
      <c r="BQ11" s="74">
        <v>0</v>
      </c>
      <c r="BR11" s="74">
        <v>0</v>
      </c>
      <c r="BS11" s="74">
        <v>0</v>
      </c>
      <c r="BT11" s="74">
        <v>0</v>
      </c>
      <c r="BU11" s="74">
        <v>0</v>
      </c>
      <c r="BV11" s="74">
        <v>0</v>
      </c>
      <c r="BW11" s="74">
        <v>0</v>
      </c>
      <c r="BX11" s="74">
        <v>0</v>
      </c>
      <c r="BY11" s="74">
        <v>0</v>
      </c>
      <c r="BZ11" s="74">
        <v>0</v>
      </c>
      <c r="CA11" s="74">
        <v>0</v>
      </c>
      <c r="CB11" s="74">
        <v>0</v>
      </c>
      <c r="CC11" s="74">
        <v>0</v>
      </c>
      <c r="CD11" s="74">
        <v>0</v>
      </c>
      <c r="CE11" s="74">
        <v>0</v>
      </c>
      <c r="CF11" s="74">
        <v>0</v>
      </c>
      <c r="CG11" s="74">
        <v>0</v>
      </c>
      <c r="CH11" s="74">
        <v>0</v>
      </c>
      <c r="CI11" s="74">
        <v>0</v>
      </c>
      <c r="CJ11" s="74">
        <v>0</v>
      </c>
      <c r="CK11" s="74">
        <v>0</v>
      </c>
      <c r="CL11" s="74">
        <v>0</v>
      </c>
      <c r="CM11" s="74">
        <v>0</v>
      </c>
      <c r="CN11" s="74">
        <v>0</v>
      </c>
      <c r="CO11" s="74">
        <v>0</v>
      </c>
      <c r="CP11" s="74">
        <v>0</v>
      </c>
      <c r="CQ11" s="74">
        <v>0</v>
      </c>
      <c r="CR11" s="74">
        <v>0</v>
      </c>
      <c r="CS11" s="74">
        <v>0</v>
      </c>
      <c r="CT11" s="74">
        <v>0</v>
      </c>
      <c r="CU11" s="74">
        <v>0</v>
      </c>
      <c r="CV11" s="74">
        <v>0</v>
      </c>
      <c r="CW11" s="74">
        <v>0</v>
      </c>
      <c r="CX11" s="74">
        <v>0</v>
      </c>
      <c r="CY11" s="74">
        <v>0</v>
      </c>
      <c r="CZ11" s="74">
        <v>0</v>
      </c>
      <c r="DA11" s="74">
        <v>0</v>
      </c>
      <c r="DB11" s="74">
        <v>0</v>
      </c>
      <c r="DC11" s="74">
        <v>0</v>
      </c>
      <c r="DD11" s="74">
        <v>0</v>
      </c>
      <c r="DE11" s="74">
        <v>0</v>
      </c>
      <c r="DF11" s="74">
        <v>0</v>
      </c>
      <c r="DG11" s="74">
        <v>0</v>
      </c>
      <c r="DH11" s="74">
        <v>0</v>
      </c>
      <c r="DI11" s="74">
        <v>0</v>
      </c>
      <c r="DJ11" s="74">
        <v>0</v>
      </c>
      <c r="DK11" s="74">
        <v>0</v>
      </c>
      <c r="DL11" s="74">
        <v>0</v>
      </c>
      <c r="DM11" s="74">
        <v>0</v>
      </c>
      <c r="DN11" s="74">
        <v>0</v>
      </c>
      <c r="DO11" s="74">
        <v>0</v>
      </c>
      <c r="DP11" s="74">
        <v>0</v>
      </c>
      <c r="DQ11" s="74">
        <v>0</v>
      </c>
      <c r="DR11" s="74">
        <v>0</v>
      </c>
      <c r="DS11" s="74">
        <v>0</v>
      </c>
      <c r="DT11" s="74">
        <v>0</v>
      </c>
      <c r="DU11" s="74">
        <v>0</v>
      </c>
      <c r="DV11" s="74">
        <v>0</v>
      </c>
      <c r="DW11" s="74">
        <v>0</v>
      </c>
      <c r="DX11" s="74">
        <v>0</v>
      </c>
      <c r="DY11" s="74">
        <v>0</v>
      </c>
      <c r="DZ11" s="74">
        <v>0</v>
      </c>
      <c r="EA11" s="74">
        <v>0</v>
      </c>
      <c r="EB11" s="74">
        <v>0</v>
      </c>
      <c r="EC11" s="74">
        <v>0</v>
      </c>
      <c r="ED11" s="74"/>
      <c r="EE11" s="68">
        <v>46147</v>
      </c>
      <c r="EF11" s="81">
        <v>46147.490590624999</v>
      </c>
      <c r="EG11" s="2" t="s">
        <v>71</v>
      </c>
      <c r="EH11" s="76">
        <v>3</v>
      </c>
      <c r="EI11" s="76" t="s">
        <v>32</v>
      </c>
      <c r="EJ11" s="74" t="s">
        <v>244</v>
      </c>
      <c r="EK11" s="78"/>
      <c r="EL11" s="74"/>
      <c r="EM11" s="74"/>
      <c r="EN11" s="68"/>
      <c r="ER11" s="73"/>
      <c r="ES11" s="74"/>
      <c r="ET11" s="74"/>
      <c r="EU11" s="74"/>
      <c r="EV11" s="74"/>
      <c r="EW11" s="74"/>
      <c r="EX11" s="74"/>
      <c r="EY11" s="74"/>
      <c r="EZ11" s="74"/>
      <c r="FA11" s="74"/>
      <c r="FB11" s="74"/>
      <c r="FC11" s="74"/>
      <c r="FD11" s="74"/>
      <c r="FE11" s="74"/>
      <c r="FF11" s="74"/>
      <c r="FG11" s="74"/>
      <c r="FH11" s="74"/>
      <c r="FI11" s="74"/>
      <c r="FJ11" s="74"/>
      <c r="FK11" s="68"/>
    </row>
    <row r="12" spans="1:183" s="2" customFormat="1" ht="15" x14ac:dyDescent="0.3">
      <c r="A12" s="73" t="s">
        <v>21</v>
      </c>
      <c r="B12" s="73" t="s">
        <v>235</v>
      </c>
      <c r="C12" s="73" t="s">
        <v>219</v>
      </c>
      <c r="D12" s="73" t="s">
        <v>48</v>
      </c>
      <c r="E12" s="73" t="s">
        <v>220</v>
      </c>
      <c r="F12" s="73" t="s">
        <v>218</v>
      </c>
      <c r="G12" s="73" t="s">
        <v>216</v>
      </c>
      <c r="H12" s="73"/>
      <c r="I12" s="75">
        <v>0.10630550621669627</v>
      </c>
      <c r="J12" s="75">
        <v>0.1698747763864043</v>
      </c>
      <c r="K12" s="75">
        <v>0.1184134337000579</v>
      </c>
      <c r="L12" s="75">
        <v>0.12557993237398757</v>
      </c>
      <c r="M12" s="75">
        <v>-0.29595216191352347</v>
      </c>
      <c r="N12" s="75">
        <v>0.19443458313990006</v>
      </c>
      <c r="O12" s="75">
        <v>0.13074339580040642</v>
      </c>
      <c r="P12" s="75">
        <v>0.23253575692600084</v>
      </c>
      <c r="Q12" s="75">
        <v>0</v>
      </c>
      <c r="R12" s="75">
        <v>0</v>
      </c>
      <c r="S12" s="75">
        <v>0</v>
      </c>
      <c r="T12" s="75">
        <v>0</v>
      </c>
      <c r="U12" s="75">
        <v>0</v>
      </c>
      <c r="V12" s="75">
        <v>0</v>
      </c>
      <c r="W12" s="75">
        <v>0</v>
      </c>
      <c r="X12" s="75">
        <v>0</v>
      </c>
      <c r="Y12" s="75">
        <v>0</v>
      </c>
      <c r="Z12" s="75">
        <v>0</v>
      </c>
      <c r="AA12" s="75">
        <v>0</v>
      </c>
      <c r="AB12" s="75">
        <v>0</v>
      </c>
      <c r="AC12" s="75">
        <v>0</v>
      </c>
      <c r="AD12" s="75">
        <v>0</v>
      </c>
      <c r="AE12" s="75">
        <v>0</v>
      </c>
      <c r="AF12" s="75">
        <v>0</v>
      </c>
      <c r="AG12" s="75">
        <v>0</v>
      </c>
      <c r="AH12" s="75">
        <v>0</v>
      </c>
      <c r="AI12" s="75">
        <v>0</v>
      </c>
      <c r="AJ12" s="75">
        <v>0</v>
      </c>
      <c r="AK12" s="75"/>
      <c r="AL12" s="74">
        <v>0</v>
      </c>
      <c r="AM12" s="74">
        <v>0</v>
      </c>
      <c r="AN12" s="74">
        <v>0</v>
      </c>
      <c r="AO12" s="74">
        <v>0</v>
      </c>
      <c r="AP12" s="74">
        <v>0</v>
      </c>
      <c r="AQ12" s="74">
        <v>0</v>
      </c>
      <c r="AR12" s="74">
        <v>0</v>
      </c>
      <c r="AS12" s="74">
        <v>0</v>
      </c>
      <c r="AT12" s="74">
        <v>0</v>
      </c>
      <c r="AU12" s="74">
        <v>0</v>
      </c>
      <c r="AV12" s="74">
        <v>0</v>
      </c>
      <c r="AW12" s="74">
        <v>0</v>
      </c>
      <c r="AX12" s="74">
        <v>0</v>
      </c>
      <c r="AY12" s="74">
        <v>0</v>
      </c>
      <c r="AZ12" s="74">
        <v>0</v>
      </c>
      <c r="BA12" s="74">
        <v>0</v>
      </c>
      <c r="BB12" s="74">
        <v>0</v>
      </c>
      <c r="BC12" s="74">
        <v>0</v>
      </c>
      <c r="BD12" s="74">
        <v>0</v>
      </c>
      <c r="BE12" s="74">
        <v>0</v>
      </c>
      <c r="BF12" s="74">
        <v>0</v>
      </c>
      <c r="BG12" s="74">
        <v>0</v>
      </c>
      <c r="BH12" s="74">
        <v>0</v>
      </c>
      <c r="BI12" s="74">
        <v>0</v>
      </c>
      <c r="BJ12" s="74">
        <v>0</v>
      </c>
      <c r="BK12" s="74">
        <v>0</v>
      </c>
      <c r="BL12" s="74">
        <v>0</v>
      </c>
      <c r="BM12" s="74">
        <v>0</v>
      </c>
      <c r="BN12" s="74">
        <v>0</v>
      </c>
      <c r="BO12" s="74">
        <v>0</v>
      </c>
      <c r="BP12" s="74">
        <v>0</v>
      </c>
      <c r="BQ12" s="74">
        <v>0</v>
      </c>
      <c r="BR12" s="74">
        <v>0</v>
      </c>
      <c r="BS12" s="74">
        <v>0</v>
      </c>
      <c r="BT12" s="74">
        <v>0</v>
      </c>
      <c r="BU12" s="74">
        <v>0</v>
      </c>
      <c r="BV12" s="74">
        <v>0</v>
      </c>
      <c r="BW12" s="74">
        <v>0</v>
      </c>
      <c r="BX12" s="74">
        <v>0</v>
      </c>
      <c r="BY12" s="74">
        <v>0</v>
      </c>
      <c r="BZ12" s="74">
        <v>0</v>
      </c>
      <c r="CA12" s="74">
        <v>0</v>
      </c>
      <c r="CB12" s="74">
        <v>0</v>
      </c>
      <c r="CC12" s="74">
        <v>0</v>
      </c>
      <c r="CD12" s="74">
        <v>0</v>
      </c>
      <c r="CE12" s="74">
        <v>0</v>
      </c>
      <c r="CF12" s="74">
        <v>0</v>
      </c>
      <c r="CG12" s="74">
        <v>0</v>
      </c>
      <c r="CH12" s="74">
        <v>0</v>
      </c>
      <c r="CI12" s="74">
        <v>0</v>
      </c>
      <c r="CJ12" s="74">
        <v>0</v>
      </c>
      <c r="CK12" s="74">
        <v>0</v>
      </c>
      <c r="CL12" s="74">
        <v>0</v>
      </c>
      <c r="CM12" s="74">
        <v>0</v>
      </c>
      <c r="CN12" s="74">
        <v>0</v>
      </c>
      <c r="CO12" s="74">
        <v>0</v>
      </c>
      <c r="CP12" s="74">
        <v>0</v>
      </c>
      <c r="CQ12" s="74">
        <v>0</v>
      </c>
      <c r="CR12" s="74">
        <v>0</v>
      </c>
      <c r="CS12" s="74">
        <v>0</v>
      </c>
      <c r="CT12" s="74">
        <v>0</v>
      </c>
      <c r="CU12" s="74">
        <v>0</v>
      </c>
      <c r="CV12" s="74">
        <v>0</v>
      </c>
      <c r="CW12" s="74">
        <v>0</v>
      </c>
      <c r="CX12" s="74">
        <v>0</v>
      </c>
      <c r="CY12" s="74">
        <v>0</v>
      </c>
      <c r="CZ12" s="74">
        <v>0</v>
      </c>
      <c r="DA12" s="74">
        <v>0</v>
      </c>
      <c r="DB12" s="74">
        <v>0</v>
      </c>
      <c r="DC12" s="74">
        <v>0</v>
      </c>
      <c r="DD12" s="74">
        <v>0</v>
      </c>
      <c r="DE12" s="74">
        <v>0</v>
      </c>
      <c r="DF12" s="74">
        <v>0</v>
      </c>
      <c r="DG12" s="74">
        <v>0</v>
      </c>
      <c r="DH12" s="74">
        <v>0</v>
      </c>
      <c r="DI12" s="74">
        <v>0</v>
      </c>
      <c r="DJ12" s="74">
        <v>0</v>
      </c>
      <c r="DK12" s="74">
        <v>0</v>
      </c>
      <c r="DL12" s="74">
        <v>0</v>
      </c>
      <c r="DM12" s="74">
        <v>0</v>
      </c>
      <c r="DN12" s="74">
        <v>0</v>
      </c>
      <c r="DO12" s="74">
        <v>0</v>
      </c>
      <c r="DP12" s="74">
        <v>0</v>
      </c>
      <c r="DQ12" s="74">
        <v>0</v>
      </c>
      <c r="DR12" s="74">
        <v>0</v>
      </c>
      <c r="DS12" s="74">
        <v>0</v>
      </c>
      <c r="DT12" s="74">
        <v>0</v>
      </c>
      <c r="DU12" s="74">
        <v>0</v>
      </c>
      <c r="DV12" s="74">
        <v>0</v>
      </c>
      <c r="DW12" s="74">
        <v>0</v>
      </c>
      <c r="DX12" s="74">
        <v>0</v>
      </c>
      <c r="DY12" s="74">
        <v>0</v>
      </c>
      <c r="DZ12" s="74">
        <v>0</v>
      </c>
      <c r="EA12" s="74">
        <v>0</v>
      </c>
      <c r="EB12" s="74">
        <v>0</v>
      </c>
      <c r="EC12" s="74">
        <v>0</v>
      </c>
      <c r="ED12" s="74"/>
      <c r="EE12" s="68">
        <v>46147</v>
      </c>
      <c r="EF12" s="81">
        <v>46147.490590624999</v>
      </c>
      <c r="EG12" s="2" t="s">
        <v>71</v>
      </c>
      <c r="EH12" s="76">
        <v>3</v>
      </c>
      <c r="EI12" s="76" t="s">
        <v>32</v>
      </c>
      <c r="EJ12" s="74" t="s">
        <v>244</v>
      </c>
      <c r="EK12" s="78"/>
      <c r="EL12" s="74"/>
      <c r="EM12" s="74"/>
      <c r="EN12" s="68"/>
      <c r="ER12" s="73"/>
      <c r="ES12" s="74"/>
      <c r="ET12" s="74"/>
      <c r="EU12" s="74"/>
      <c r="EV12" s="74"/>
      <c r="EW12" s="74"/>
      <c r="EX12" s="74"/>
      <c r="EY12" s="74"/>
      <c r="EZ12" s="74"/>
      <c r="FA12" s="74"/>
      <c r="FB12" s="74"/>
      <c r="FC12" s="74"/>
      <c r="FD12" s="74"/>
      <c r="FE12" s="74"/>
      <c r="FF12" s="74"/>
      <c r="FG12" s="74"/>
      <c r="FH12" s="74"/>
      <c r="FI12" s="74"/>
      <c r="FJ12" s="74"/>
      <c r="FK12" s="68"/>
    </row>
    <row r="13" spans="1:183" s="2" customFormat="1" ht="15" x14ac:dyDescent="0.3">
      <c r="A13" s="73" t="s">
        <v>22</v>
      </c>
      <c r="B13" s="73" t="s">
        <v>22</v>
      </c>
      <c r="C13" s="73" t="s">
        <v>42</v>
      </c>
      <c r="D13" s="73" t="s">
        <v>48</v>
      </c>
      <c r="E13" s="73" t="s">
        <v>178</v>
      </c>
      <c r="F13" s="73" t="s">
        <v>210</v>
      </c>
      <c r="G13" s="73" t="s">
        <v>216</v>
      </c>
      <c r="H13" s="73"/>
      <c r="I13" s="74">
        <v>30723</v>
      </c>
      <c r="J13" s="74">
        <v>38514</v>
      </c>
      <c r="K13" s="74">
        <v>66064</v>
      </c>
      <c r="L13" s="74">
        <v>46327</v>
      </c>
      <c r="M13" s="74">
        <v>46752</v>
      </c>
      <c r="N13" s="74">
        <v>84946</v>
      </c>
      <c r="O13" s="74">
        <v>115877</v>
      </c>
      <c r="P13" s="74">
        <v>139514</v>
      </c>
      <c r="Q13" s="74">
        <v>0</v>
      </c>
      <c r="R13" s="74">
        <v>0</v>
      </c>
      <c r="S13" s="74">
        <v>0</v>
      </c>
      <c r="T13" s="74">
        <v>0</v>
      </c>
      <c r="U13" s="74">
        <v>0</v>
      </c>
      <c r="V13" s="74">
        <v>0</v>
      </c>
      <c r="W13" s="74">
        <v>0</v>
      </c>
      <c r="X13" s="74">
        <v>0</v>
      </c>
      <c r="Y13" s="74">
        <v>0</v>
      </c>
      <c r="Z13" s="74">
        <v>0</v>
      </c>
      <c r="AA13" s="74">
        <v>0</v>
      </c>
      <c r="AB13" s="74">
        <v>0</v>
      </c>
      <c r="AC13" s="74">
        <v>0</v>
      </c>
      <c r="AD13" s="74">
        <v>0</v>
      </c>
      <c r="AE13" s="74">
        <v>0</v>
      </c>
      <c r="AF13" s="74">
        <v>0</v>
      </c>
      <c r="AG13" s="74">
        <v>0</v>
      </c>
      <c r="AH13" s="74">
        <v>0</v>
      </c>
      <c r="AI13" s="74">
        <v>0</v>
      </c>
      <c r="AJ13" s="74">
        <v>0</v>
      </c>
      <c r="AK13" s="74"/>
      <c r="AL13" s="74">
        <v>-2790</v>
      </c>
      <c r="AM13" s="74">
        <v>8965</v>
      </c>
      <c r="AN13" s="74">
        <v>11404</v>
      </c>
      <c r="AO13" s="74">
        <v>29173</v>
      </c>
      <c r="AP13" s="74">
        <v>4788</v>
      </c>
      <c r="AQ13" s="74">
        <v>16476</v>
      </c>
      <c r="AR13" s="74">
        <v>21217</v>
      </c>
      <c r="AS13" s="74">
        <v>42465</v>
      </c>
      <c r="AT13" s="74">
        <v>18989</v>
      </c>
      <c r="AU13" s="74">
        <v>25281</v>
      </c>
      <c r="AV13" s="74">
        <v>25971</v>
      </c>
      <c r="AW13" s="74">
        <v>45636</v>
      </c>
      <c r="AX13" s="74">
        <v>17015</v>
      </c>
      <c r="AY13" s="74">
        <v>32515</v>
      </c>
      <c r="AZ13" s="74">
        <v>35525</v>
      </c>
      <c r="BA13" s="74">
        <v>54459</v>
      </c>
      <c r="BB13" s="74">
        <v>26032</v>
      </c>
      <c r="BC13" s="74">
        <v>0</v>
      </c>
      <c r="BD13" s="74">
        <v>0</v>
      </c>
      <c r="BE13" s="74">
        <v>0</v>
      </c>
      <c r="BF13" s="74">
        <v>0</v>
      </c>
      <c r="BG13" s="74">
        <v>0</v>
      </c>
      <c r="BH13" s="74">
        <v>0</v>
      </c>
      <c r="BI13" s="74">
        <v>0</v>
      </c>
      <c r="BJ13" s="74">
        <v>0</v>
      </c>
      <c r="BK13" s="74">
        <v>0</v>
      </c>
      <c r="BL13" s="74">
        <v>0</v>
      </c>
      <c r="BM13" s="74">
        <v>0</v>
      </c>
      <c r="BN13" s="74">
        <v>0</v>
      </c>
      <c r="BO13" s="74">
        <v>0</v>
      </c>
      <c r="BP13" s="74">
        <v>0</v>
      </c>
      <c r="BQ13" s="74">
        <v>0</v>
      </c>
      <c r="BR13" s="74">
        <v>0</v>
      </c>
      <c r="BS13" s="74">
        <v>0</v>
      </c>
      <c r="BT13" s="74">
        <v>0</v>
      </c>
      <c r="BU13" s="74">
        <v>0</v>
      </c>
      <c r="BV13" s="74">
        <v>0</v>
      </c>
      <c r="BW13" s="74">
        <v>0</v>
      </c>
      <c r="BX13" s="74">
        <v>0</v>
      </c>
      <c r="BY13" s="74">
        <v>0</v>
      </c>
      <c r="BZ13" s="74">
        <v>0</v>
      </c>
      <c r="CA13" s="74">
        <v>0</v>
      </c>
      <c r="CB13" s="74">
        <v>0</v>
      </c>
      <c r="CC13" s="74">
        <v>0</v>
      </c>
      <c r="CD13" s="74">
        <v>0</v>
      </c>
      <c r="CE13" s="74">
        <v>0</v>
      </c>
      <c r="CF13" s="74">
        <v>0</v>
      </c>
      <c r="CG13" s="74">
        <v>0</v>
      </c>
      <c r="CH13" s="74">
        <v>0</v>
      </c>
      <c r="CI13" s="74">
        <v>0</v>
      </c>
      <c r="CJ13" s="74">
        <v>0</v>
      </c>
      <c r="CK13" s="74">
        <v>0</v>
      </c>
      <c r="CL13" s="74">
        <v>0</v>
      </c>
      <c r="CM13" s="74">
        <v>0</v>
      </c>
      <c r="CN13" s="74">
        <v>0</v>
      </c>
      <c r="CO13" s="74">
        <v>0</v>
      </c>
      <c r="CP13" s="74">
        <v>0</v>
      </c>
      <c r="CQ13" s="74">
        <v>0</v>
      </c>
      <c r="CR13" s="74">
        <v>0</v>
      </c>
      <c r="CS13" s="74">
        <v>0</v>
      </c>
      <c r="CT13" s="74">
        <v>0</v>
      </c>
      <c r="CU13" s="74">
        <v>0</v>
      </c>
      <c r="CV13" s="74">
        <v>0</v>
      </c>
      <c r="CW13" s="74">
        <v>0</v>
      </c>
      <c r="CX13" s="74">
        <v>0</v>
      </c>
      <c r="CY13" s="74">
        <v>0</v>
      </c>
      <c r="CZ13" s="74">
        <v>0</v>
      </c>
      <c r="DA13" s="74">
        <v>0</v>
      </c>
      <c r="DB13" s="74">
        <v>0</v>
      </c>
      <c r="DC13" s="74">
        <v>0</v>
      </c>
      <c r="DD13" s="74">
        <v>0</v>
      </c>
      <c r="DE13" s="74">
        <v>0</v>
      </c>
      <c r="DF13" s="74">
        <v>0</v>
      </c>
      <c r="DG13" s="74">
        <v>0</v>
      </c>
      <c r="DH13" s="74">
        <v>0</v>
      </c>
      <c r="DI13" s="74">
        <v>0</v>
      </c>
      <c r="DJ13" s="74">
        <v>0</v>
      </c>
      <c r="DK13" s="74">
        <v>0</v>
      </c>
      <c r="DL13" s="74">
        <v>0</v>
      </c>
      <c r="DM13" s="74">
        <v>0</v>
      </c>
      <c r="DN13" s="74">
        <v>0</v>
      </c>
      <c r="DO13" s="74">
        <v>0</v>
      </c>
      <c r="DP13" s="74">
        <v>0</v>
      </c>
      <c r="DQ13" s="74">
        <v>0</v>
      </c>
      <c r="DR13" s="74">
        <v>0</v>
      </c>
      <c r="DS13" s="74">
        <v>0</v>
      </c>
      <c r="DT13" s="74">
        <v>0</v>
      </c>
      <c r="DU13" s="74">
        <v>0</v>
      </c>
      <c r="DV13" s="74">
        <v>0</v>
      </c>
      <c r="DW13" s="74">
        <v>0</v>
      </c>
      <c r="DX13" s="74">
        <v>0</v>
      </c>
      <c r="DY13" s="74">
        <v>0</v>
      </c>
      <c r="DZ13" s="74">
        <v>0</v>
      </c>
      <c r="EA13" s="74">
        <v>0</v>
      </c>
      <c r="EB13" s="74">
        <v>0</v>
      </c>
      <c r="EC13" s="74">
        <v>0</v>
      </c>
      <c r="ED13" s="74"/>
      <c r="EE13" s="68">
        <v>46147</v>
      </c>
      <c r="EF13" s="81">
        <v>46147.490590624999</v>
      </c>
      <c r="EG13" s="2" t="s">
        <v>71</v>
      </c>
      <c r="EH13" s="76">
        <v>3</v>
      </c>
      <c r="EI13" s="76" t="s">
        <v>32</v>
      </c>
      <c r="EJ13" s="74" t="s">
        <v>244</v>
      </c>
      <c r="EK13" s="78"/>
      <c r="EL13" s="74"/>
      <c r="EM13" s="74"/>
      <c r="EN13" s="68"/>
      <c r="ER13" s="73"/>
      <c r="ES13" s="74"/>
      <c r="ET13" s="74"/>
      <c r="EU13" s="74"/>
      <c r="EV13" s="74"/>
      <c r="EW13" s="74"/>
      <c r="EX13" s="74"/>
      <c r="EY13" s="74"/>
      <c r="EZ13" s="74"/>
      <c r="FA13" s="74"/>
      <c r="FB13" s="74"/>
      <c r="FC13" s="74"/>
      <c r="FD13" s="74"/>
      <c r="FE13" s="74"/>
      <c r="FF13" s="74"/>
      <c r="FG13" s="74"/>
      <c r="FH13" s="74"/>
      <c r="FI13" s="74"/>
      <c r="FJ13" s="74"/>
      <c r="FK13" s="68"/>
    </row>
    <row r="14" spans="1:183" s="2" customFormat="1" ht="15" x14ac:dyDescent="0.3">
      <c r="A14" s="73" t="s">
        <v>5</v>
      </c>
      <c r="B14" s="73" t="s">
        <v>236</v>
      </c>
      <c r="C14" s="73" t="s">
        <v>43</v>
      </c>
      <c r="D14" s="73" t="s">
        <v>48</v>
      </c>
      <c r="E14" s="73" t="s">
        <v>178</v>
      </c>
      <c r="F14" s="73" t="s">
        <v>210</v>
      </c>
      <c r="G14" s="73" t="s">
        <v>216</v>
      </c>
      <c r="H14" s="73"/>
      <c r="I14" s="74">
        <v>-13427</v>
      </c>
      <c r="J14" s="74">
        <v>-16861</v>
      </c>
      <c r="K14" s="74">
        <v>-40140</v>
      </c>
      <c r="L14" s="74">
        <v>-61053</v>
      </c>
      <c r="M14" s="74">
        <v>-63645</v>
      </c>
      <c r="N14" s="74">
        <v>-52729</v>
      </c>
      <c r="O14" s="74">
        <v>-82999</v>
      </c>
      <c r="P14" s="74">
        <v>-131819</v>
      </c>
      <c r="Q14" s="74">
        <v>0</v>
      </c>
      <c r="R14" s="74">
        <v>0</v>
      </c>
      <c r="S14" s="74">
        <v>0</v>
      </c>
      <c r="T14" s="74">
        <v>0</v>
      </c>
      <c r="U14" s="74">
        <v>0</v>
      </c>
      <c r="V14" s="74">
        <v>0</v>
      </c>
      <c r="W14" s="74">
        <v>0</v>
      </c>
      <c r="X14" s="74">
        <v>0</v>
      </c>
      <c r="Y14" s="74">
        <v>0</v>
      </c>
      <c r="Z14" s="74">
        <v>0</v>
      </c>
      <c r="AA14" s="74">
        <v>0</v>
      </c>
      <c r="AB14" s="74">
        <v>0</v>
      </c>
      <c r="AC14" s="74">
        <v>0</v>
      </c>
      <c r="AD14" s="74">
        <v>0</v>
      </c>
      <c r="AE14" s="74">
        <v>0</v>
      </c>
      <c r="AF14" s="74">
        <v>0</v>
      </c>
      <c r="AG14" s="74">
        <v>0</v>
      </c>
      <c r="AH14" s="74">
        <v>0</v>
      </c>
      <c r="AI14" s="74">
        <v>0</v>
      </c>
      <c r="AJ14" s="74">
        <v>0</v>
      </c>
      <c r="AK14" s="74"/>
      <c r="AL14" s="74">
        <v>-14951</v>
      </c>
      <c r="AM14" s="74">
        <v>-15724</v>
      </c>
      <c r="AN14" s="74">
        <v>-16378</v>
      </c>
      <c r="AO14" s="74">
        <v>-16592</v>
      </c>
      <c r="AP14" s="74">
        <v>-14207</v>
      </c>
      <c r="AQ14" s="74">
        <v>-11455</v>
      </c>
      <c r="AR14" s="74">
        <v>-12479</v>
      </c>
      <c r="AS14" s="74">
        <v>-14588</v>
      </c>
      <c r="AT14" s="74">
        <v>-14925</v>
      </c>
      <c r="AU14" s="74">
        <v>-17620</v>
      </c>
      <c r="AV14" s="74">
        <v>-22620</v>
      </c>
      <c r="AW14" s="74">
        <v>-27834</v>
      </c>
      <c r="AX14" s="74">
        <v>-25019</v>
      </c>
      <c r="AY14" s="74">
        <v>-32183</v>
      </c>
      <c r="AZ14" s="74">
        <v>-35095</v>
      </c>
      <c r="BA14" s="74">
        <v>-39522</v>
      </c>
      <c r="BB14" s="74">
        <v>-44203</v>
      </c>
      <c r="BC14" s="74">
        <v>0</v>
      </c>
      <c r="BD14" s="74">
        <v>0</v>
      </c>
      <c r="BE14" s="74">
        <v>0</v>
      </c>
      <c r="BF14" s="74">
        <v>0</v>
      </c>
      <c r="BG14" s="74">
        <v>0</v>
      </c>
      <c r="BH14" s="74">
        <v>0</v>
      </c>
      <c r="BI14" s="74">
        <v>0</v>
      </c>
      <c r="BJ14" s="74">
        <v>0</v>
      </c>
      <c r="BK14" s="74">
        <v>0</v>
      </c>
      <c r="BL14" s="74">
        <v>0</v>
      </c>
      <c r="BM14" s="74">
        <v>0</v>
      </c>
      <c r="BN14" s="74">
        <v>0</v>
      </c>
      <c r="BO14" s="74">
        <v>0</v>
      </c>
      <c r="BP14" s="74">
        <v>0</v>
      </c>
      <c r="BQ14" s="74">
        <v>0</v>
      </c>
      <c r="BR14" s="74">
        <v>0</v>
      </c>
      <c r="BS14" s="74">
        <v>0</v>
      </c>
      <c r="BT14" s="74">
        <v>0</v>
      </c>
      <c r="BU14" s="74">
        <v>0</v>
      </c>
      <c r="BV14" s="74">
        <v>0</v>
      </c>
      <c r="BW14" s="74">
        <v>0</v>
      </c>
      <c r="BX14" s="74">
        <v>0</v>
      </c>
      <c r="BY14" s="74">
        <v>0</v>
      </c>
      <c r="BZ14" s="74">
        <v>0</v>
      </c>
      <c r="CA14" s="74">
        <v>0</v>
      </c>
      <c r="CB14" s="74">
        <v>0</v>
      </c>
      <c r="CC14" s="74">
        <v>0</v>
      </c>
      <c r="CD14" s="74">
        <v>0</v>
      </c>
      <c r="CE14" s="74">
        <v>0</v>
      </c>
      <c r="CF14" s="74">
        <v>0</v>
      </c>
      <c r="CG14" s="74">
        <v>0</v>
      </c>
      <c r="CH14" s="74">
        <v>0</v>
      </c>
      <c r="CI14" s="74">
        <v>0</v>
      </c>
      <c r="CJ14" s="74">
        <v>0</v>
      </c>
      <c r="CK14" s="74">
        <v>0</v>
      </c>
      <c r="CL14" s="74">
        <v>0</v>
      </c>
      <c r="CM14" s="74">
        <v>0</v>
      </c>
      <c r="CN14" s="74">
        <v>0</v>
      </c>
      <c r="CO14" s="74">
        <v>0</v>
      </c>
      <c r="CP14" s="74">
        <v>0</v>
      </c>
      <c r="CQ14" s="74">
        <v>0</v>
      </c>
      <c r="CR14" s="74">
        <v>0</v>
      </c>
      <c r="CS14" s="74">
        <v>0</v>
      </c>
      <c r="CT14" s="74">
        <v>0</v>
      </c>
      <c r="CU14" s="74">
        <v>0</v>
      </c>
      <c r="CV14" s="74">
        <v>0</v>
      </c>
      <c r="CW14" s="74">
        <v>0</v>
      </c>
      <c r="CX14" s="74">
        <v>0</v>
      </c>
      <c r="CY14" s="74">
        <v>0</v>
      </c>
      <c r="CZ14" s="74">
        <v>0</v>
      </c>
      <c r="DA14" s="74">
        <v>0</v>
      </c>
      <c r="DB14" s="74">
        <v>0</v>
      </c>
      <c r="DC14" s="74">
        <v>0</v>
      </c>
      <c r="DD14" s="74">
        <v>0</v>
      </c>
      <c r="DE14" s="74">
        <v>0</v>
      </c>
      <c r="DF14" s="74">
        <v>0</v>
      </c>
      <c r="DG14" s="74">
        <v>0</v>
      </c>
      <c r="DH14" s="74">
        <v>0</v>
      </c>
      <c r="DI14" s="74">
        <v>0</v>
      </c>
      <c r="DJ14" s="74">
        <v>0</v>
      </c>
      <c r="DK14" s="74">
        <v>0</v>
      </c>
      <c r="DL14" s="74">
        <v>0</v>
      </c>
      <c r="DM14" s="74">
        <v>0</v>
      </c>
      <c r="DN14" s="74">
        <v>0</v>
      </c>
      <c r="DO14" s="74">
        <v>0</v>
      </c>
      <c r="DP14" s="74">
        <v>0</v>
      </c>
      <c r="DQ14" s="74">
        <v>0</v>
      </c>
      <c r="DR14" s="74">
        <v>0</v>
      </c>
      <c r="DS14" s="74">
        <v>0</v>
      </c>
      <c r="DT14" s="74">
        <v>0</v>
      </c>
      <c r="DU14" s="74">
        <v>0</v>
      </c>
      <c r="DV14" s="74">
        <v>0</v>
      </c>
      <c r="DW14" s="74">
        <v>0</v>
      </c>
      <c r="DX14" s="74">
        <v>0</v>
      </c>
      <c r="DY14" s="74">
        <v>0</v>
      </c>
      <c r="DZ14" s="74">
        <v>0</v>
      </c>
      <c r="EA14" s="74">
        <v>0</v>
      </c>
      <c r="EB14" s="74">
        <v>0</v>
      </c>
      <c r="EC14" s="74">
        <v>0</v>
      </c>
      <c r="ED14" s="74"/>
      <c r="EE14" s="68">
        <v>46147</v>
      </c>
      <c r="EF14" s="81">
        <v>46147.490590624999</v>
      </c>
      <c r="EG14" s="2" t="s">
        <v>71</v>
      </c>
      <c r="EH14" s="76">
        <v>3</v>
      </c>
      <c r="EI14" s="76" t="s">
        <v>32</v>
      </c>
      <c r="EJ14" s="74" t="s">
        <v>244</v>
      </c>
      <c r="EK14" s="78"/>
      <c r="EL14" s="74"/>
      <c r="EM14" s="74"/>
      <c r="EN14" s="68"/>
      <c r="ER14" s="73"/>
      <c r="ES14" s="74"/>
      <c r="ET14" s="74"/>
      <c r="EU14" s="74"/>
      <c r="EV14" s="74"/>
      <c r="EW14" s="74"/>
      <c r="EX14" s="74"/>
      <c r="EY14" s="74"/>
      <c r="EZ14" s="74"/>
      <c r="FA14" s="74"/>
      <c r="FB14" s="74"/>
      <c r="FC14" s="74"/>
      <c r="FD14" s="74"/>
      <c r="FE14" s="74"/>
      <c r="FF14" s="74"/>
      <c r="FG14" s="74"/>
      <c r="FH14" s="74"/>
      <c r="FI14" s="74"/>
      <c r="FJ14" s="74"/>
      <c r="FK14" s="68"/>
    </row>
    <row r="15" spans="1:183" s="2" customFormat="1" ht="15" x14ac:dyDescent="0.3">
      <c r="A15" s="73" t="s">
        <v>25</v>
      </c>
      <c r="B15" s="73" t="s">
        <v>25</v>
      </c>
      <c r="C15" s="73" t="s">
        <v>221</v>
      </c>
      <c r="D15" s="73" t="s">
        <v>48</v>
      </c>
      <c r="E15" s="73" t="s">
        <v>178</v>
      </c>
      <c r="F15" s="73" t="s">
        <v>210</v>
      </c>
      <c r="G15" s="73" t="s">
        <v>216</v>
      </c>
      <c r="H15" s="73"/>
      <c r="I15" s="74">
        <v>17296</v>
      </c>
      <c r="J15" s="74">
        <v>21653</v>
      </c>
      <c r="K15" s="74">
        <v>25924</v>
      </c>
      <c r="L15" s="74">
        <v>-14726</v>
      </c>
      <c r="M15" s="74">
        <v>-16893</v>
      </c>
      <c r="N15" s="74">
        <v>32217</v>
      </c>
      <c r="O15" s="74">
        <v>32878</v>
      </c>
      <c r="P15" s="74">
        <v>7695</v>
      </c>
      <c r="Q15" s="74">
        <v>0</v>
      </c>
      <c r="R15" s="74">
        <v>0</v>
      </c>
      <c r="S15" s="74">
        <v>0</v>
      </c>
      <c r="T15" s="74">
        <v>0</v>
      </c>
      <c r="U15" s="74">
        <v>0</v>
      </c>
      <c r="V15" s="74">
        <v>0</v>
      </c>
      <c r="W15" s="74">
        <v>0</v>
      </c>
      <c r="X15" s="74">
        <v>0</v>
      </c>
      <c r="Y15" s="74">
        <v>0</v>
      </c>
      <c r="Z15" s="74">
        <v>0</v>
      </c>
      <c r="AA15" s="74">
        <v>0</v>
      </c>
      <c r="AB15" s="74">
        <v>0</v>
      </c>
      <c r="AC15" s="74">
        <v>0</v>
      </c>
      <c r="AD15" s="74">
        <v>0</v>
      </c>
      <c r="AE15" s="74">
        <v>0</v>
      </c>
      <c r="AF15" s="74">
        <v>0</v>
      </c>
      <c r="AG15" s="74">
        <v>0</v>
      </c>
      <c r="AH15" s="74">
        <v>0</v>
      </c>
      <c r="AI15" s="74">
        <v>0</v>
      </c>
      <c r="AJ15" s="74">
        <v>0</v>
      </c>
      <c r="AK15" s="74"/>
      <c r="AL15" s="74">
        <v>12161</v>
      </c>
      <c r="AM15" s="74">
        <v>24689</v>
      </c>
      <c r="AN15" s="74">
        <v>27782</v>
      </c>
      <c r="AO15" s="74">
        <v>45765</v>
      </c>
      <c r="AP15" s="74">
        <v>18995</v>
      </c>
      <c r="AQ15" s="74">
        <v>27931</v>
      </c>
      <c r="AR15" s="74">
        <v>33696</v>
      </c>
      <c r="AS15" s="74">
        <v>57053</v>
      </c>
      <c r="AT15" s="74">
        <v>33914</v>
      </c>
      <c r="AU15" s="74">
        <v>42901</v>
      </c>
      <c r="AV15" s="74">
        <v>48591</v>
      </c>
      <c r="AW15" s="74">
        <v>73470</v>
      </c>
      <c r="AX15" s="74">
        <v>42034</v>
      </c>
      <c r="AY15" s="74">
        <v>64698</v>
      </c>
      <c r="AZ15" s="74">
        <v>70620</v>
      </c>
      <c r="BA15" s="74">
        <v>93981</v>
      </c>
      <c r="BB15" s="74">
        <v>70235</v>
      </c>
      <c r="BC15" s="74">
        <v>0</v>
      </c>
      <c r="BD15" s="74">
        <v>0</v>
      </c>
      <c r="BE15" s="74">
        <v>0</v>
      </c>
      <c r="BF15" s="74">
        <v>0</v>
      </c>
      <c r="BG15" s="74">
        <v>0</v>
      </c>
      <c r="BH15" s="74">
        <v>0</v>
      </c>
      <c r="BI15" s="74">
        <v>0</v>
      </c>
      <c r="BJ15" s="74">
        <v>0</v>
      </c>
      <c r="BK15" s="74">
        <v>0</v>
      </c>
      <c r="BL15" s="74">
        <v>0</v>
      </c>
      <c r="BM15" s="74">
        <v>0</v>
      </c>
      <c r="BN15" s="74">
        <v>0</v>
      </c>
      <c r="BO15" s="74">
        <v>0</v>
      </c>
      <c r="BP15" s="74">
        <v>0</v>
      </c>
      <c r="BQ15" s="74">
        <v>0</v>
      </c>
      <c r="BR15" s="74">
        <v>0</v>
      </c>
      <c r="BS15" s="74">
        <v>0</v>
      </c>
      <c r="BT15" s="74">
        <v>0</v>
      </c>
      <c r="BU15" s="74">
        <v>0</v>
      </c>
      <c r="BV15" s="74">
        <v>0</v>
      </c>
      <c r="BW15" s="74">
        <v>0</v>
      </c>
      <c r="BX15" s="74">
        <v>0</v>
      </c>
      <c r="BY15" s="74">
        <v>0</v>
      </c>
      <c r="BZ15" s="74">
        <v>0</v>
      </c>
      <c r="CA15" s="74">
        <v>0</v>
      </c>
      <c r="CB15" s="74">
        <v>0</v>
      </c>
      <c r="CC15" s="74">
        <v>0</v>
      </c>
      <c r="CD15" s="74">
        <v>0</v>
      </c>
      <c r="CE15" s="74">
        <v>0</v>
      </c>
      <c r="CF15" s="74">
        <v>0</v>
      </c>
      <c r="CG15" s="74">
        <v>0</v>
      </c>
      <c r="CH15" s="74">
        <v>0</v>
      </c>
      <c r="CI15" s="74">
        <v>0</v>
      </c>
      <c r="CJ15" s="74">
        <v>0</v>
      </c>
      <c r="CK15" s="74">
        <v>0</v>
      </c>
      <c r="CL15" s="74">
        <v>0</v>
      </c>
      <c r="CM15" s="74">
        <v>0</v>
      </c>
      <c r="CN15" s="74">
        <v>0</v>
      </c>
      <c r="CO15" s="74">
        <v>0</v>
      </c>
      <c r="CP15" s="74">
        <v>0</v>
      </c>
      <c r="CQ15" s="74">
        <v>0</v>
      </c>
      <c r="CR15" s="74">
        <v>0</v>
      </c>
      <c r="CS15" s="74">
        <v>0</v>
      </c>
      <c r="CT15" s="74">
        <v>0</v>
      </c>
      <c r="CU15" s="74">
        <v>0</v>
      </c>
      <c r="CV15" s="74">
        <v>0</v>
      </c>
      <c r="CW15" s="74">
        <v>0</v>
      </c>
      <c r="CX15" s="74">
        <v>0</v>
      </c>
      <c r="CY15" s="74">
        <v>0</v>
      </c>
      <c r="CZ15" s="74">
        <v>0</v>
      </c>
      <c r="DA15" s="74">
        <v>0</v>
      </c>
      <c r="DB15" s="74">
        <v>0</v>
      </c>
      <c r="DC15" s="74">
        <v>0</v>
      </c>
      <c r="DD15" s="74">
        <v>0</v>
      </c>
      <c r="DE15" s="74">
        <v>0</v>
      </c>
      <c r="DF15" s="74">
        <v>0</v>
      </c>
      <c r="DG15" s="74">
        <v>0</v>
      </c>
      <c r="DH15" s="74">
        <v>0</v>
      </c>
      <c r="DI15" s="74">
        <v>0</v>
      </c>
      <c r="DJ15" s="74">
        <v>0</v>
      </c>
      <c r="DK15" s="74">
        <v>0</v>
      </c>
      <c r="DL15" s="74">
        <v>0</v>
      </c>
      <c r="DM15" s="74">
        <v>0</v>
      </c>
      <c r="DN15" s="74">
        <v>0</v>
      </c>
      <c r="DO15" s="74">
        <v>0</v>
      </c>
      <c r="DP15" s="74">
        <v>0</v>
      </c>
      <c r="DQ15" s="74">
        <v>0</v>
      </c>
      <c r="DR15" s="74">
        <v>0</v>
      </c>
      <c r="DS15" s="74">
        <v>0</v>
      </c>
      <c r="DT15" s="74">
        <v>0</v>
      </c>
      <c r="DU15" s="74">
        <v>0</v>
      </c>
      <c r="DV15" s="74">
        <v>0</v>
      </c>
      <c r="DW15" s="74">
        <v>0</v>
      </c>
      <c r="DX15" s="74">
        <v>0</v>
      </c>
      <c r="DY15" s="74">
        <v>0</v>
      </c>
      <c r="DZ15" s="74">
        <v>0</v>
      </c>
      <c r="EA15" s="74">
        <v>0</v>
      </c>
      <c r="EB15" s="74">
        <v>0</v>
      </c>
      <c r="EC15" s="74">
        <v>0</v>
      </c>
      <c r="ED15" s="74"/>
      <c r="EE15" s="68">
        <v>46147</v>
      </c>
      <c r="EF15" s="81">
        <v>46147.490590624999</v>
      </c>
      <c r="EG15" s="2" t="s">
        <v>71</v>
      </c>
      <c r="EH15" s="76">
        <v>3</v>
      </c>
      <c r="EI15" s="76" t="s">
        <v>32</v>
      </c>
      <c r="EJ15" s="74" t="s">
        <v>244</v>
      </c>
      <c r="EK15" s="78"/>
      <c r="EL15" s="74"/>
      <c r="EM15" s="74"/>
      <c r="EN15" s="68"/>
      <c r="ER15" s="73"/>
      <c r="ES15" s="74"/>
      <c r="ET15" s="74"/>
      <c r="EU15" s="74"/>
      <c r="EV15" s="74"/>
      <c r="EW15" s="74"/>
      <c r="EX15" s="74"/>
      <c r="EY15" s="74"/>
      <c r="EZ15" s="74"/>
      <c r="FA15" s="74"/>
      <c r="FB15" s="74"/>
      <c r="FC15" s="74"/>
      <c r="FD15" s="74"/>
      <c r="FE15" s="74"/>
      <c r="FF15" s="74"/>
      <c r="FG15" s="74"/>
      <c r="FH15" s="74"/>
      <c r="FI15" s="74"/>
      <c r="FJ15" s="74"/>
      <c r="FK15" s="68"/>
    </row>
    <row r="16" spans="1:183" s="2" customFormat="1" ht="15" x14ac:dyDescent="0.3">
      <c r="A16" s="73" t="s">
        <v>179</v>
      </c>
      <c r="B16" s="73" t="s">
        <v>237</v>
      </c>
      <c r="C16" s="73" t="s">
        <v>222</v>
      </c>
      <c r="D16" s="73" t="s">
        <v>48</v>
      </c>
      <c r="E16" s="73" t="s">
        <v>178</v>
      </c>
      <c r="F16" s="73" t="s">
        <v>210</v>
      </c>
      <c r="G16" s="73" t="s">
        <v>223</v>
      </c>
      <c r="H16" s="73"/>
      <c r="I16" s="74">
        <v>0</v>
      </c>
      <c r="J16" s="74">
        <v>0</v>
      </c>
      <c r="K16" s="74">
        <v>379570.5625</v>
      </c>
      <c r="L16" s="74">
        <v>470209.25</v>
      </c>
      <c r="M16" s="74">
        <v>512444.21568627452</v>
      </c>
      <c r="N16" s="74">
        <v>570828.56666666665</v>
      </c>
      <c r="O16" s="74">
        <v>637832.47945205483</v>
      </c>
      <c r="P16" s="74">
        <v>714794.27536231885</v>
      </c>
      <c r="Q16" s="74">
        <v>0</v>
      </c>
      <c r="R16" s="74">
        <v>0</v>
      </c>
      <c r="S16" s="74">
        <v>0</v>
      </c>
      <c r="T16" s="74">
        <v>0</v>
      </c>
      <c r="U16" s="74">
        <v>0</v>
      </c>
      <c r="V16" s="74">
        <v>0</v>
      </c>
      <c r="W16" s="74">
        <v>0</v>
      </c>
      <c r="X16" s="74">
        <v>0</v>
      </c>
      <c r="Y16" s="74">
        <v>0</v>
      </c>
      <c r="Z16" s="74">
        <v>0</v>
      </c>
      <c r="AA16" s="74">
        <v>0</v>
      </c>
      <c r="AB16" s="74">
        <v>0</v>
      </c>
      <c r="AC16" s="74">
        <v>0</v>
      </c>
      <c r="AD16" s="74">
        <v>0</v>
      </c>
      <c r="AE16" s="74">
        <v>0</v>
      </c>
      <c r="AF16" s="74">
        <v>0</v>
      </c>
      <c r="AG16" s="74">
        <v>0</v>
      </c>
      <c r="AH16" s="74">
        <v>0</v>
      </c>
      <c r="AI16" s="74">
        <v>0</v>
      </c>
      <c r="AJ16" s="74">
        <v>0</v>
      </c>
      <c r="AK16" s="74"/>
      <c r="AL16" s="74">
        <v>0</v>
      </c>
      <c r="AM16" s="74">
        <v>0</v>
      </c>
      <c r="AN16" s="74">
        <v>0</v>
      </c>
      <c r="AO16" s="74">
        <v>0</v>
      </c>
      <c r="AP16" s="74">
        <v>0</v>
      </c>
      <c r="AQ16" s="74">
        <v>0</v>
      </c>
      <c r="AR16" s="74">
        <v>0</v>
      </c>
      <c r="AS16" s="74">
        <v>0</v>
      </c>
      <c r="AT16" s="74">
        <v>0</v>
      </c>
      <c r="AU16" s="74">
        <v>0</v>
      </c>
      <c r="AV16" s="74">
        <v>0</v>
      </c>
      <c r="AW16" s="74">
        <v>0</v>
      </c>
      <c r="AX16" s="74">
        <v>0</v>
      </c>
      <c r="AY16" s="74">
        <v>0</v>
      </c>
      <c r="AZ16" s="74">
        <v>0</v>
      </c>
      <c r="BA16" s="74">
        <v>0</v>
      </c>
      <c r="BB16" s="74">
        <v>0</v>
      </c>
      <c r="BC16" s="74">
        <v>0</v>
      </c>
      <c r="BD16" s="74">
        <v>0</v>
      </c>
      <c r="BE16" s="74">
        <v>0</v>
      </c>
      <c r="BF16" s="74">
        <v>0</v>
      </c>
      <c r="BG16" s="74">
        <v>0</v>
      </c>
      <c r="BH16" s="74">
        <v>0</v>
      </c>
      <c r="BI16" s="74">
        <v>0</v>
      </c>
      <c r="BJ16" s="74">
        <v>0</v>
      </c>
      <c r="BK16" s="74">
        <v>0</v>
      </c>
      <c r="BL16" s="74">
        <v>0</v>
      </c>
      <c r="BM16" s="74">
        <v>0</v>
      </c>
      <c r="BN16" s="74">
        <v>0</v>
      </c>
      <c r="BO16" s="74">
        <v>0</v>
      </c>
      <c r="BP16" s="74">
        <v>0</v>
      </c>
      <c r="BQ16" s="74">
        <v>0</v>
      </c>
      <c r="BR16" s="74">
        <v>0</v>
      </c>
      <c r="BS16" s="74">
        <v>0</v>
      </c>
      <c r="BT16" s="74">
        <v>0</v>
      </c>
      <c r="BU16" s="74">
        <v>0</v>
      </c>
      <c r="BV16" s="74">
        <v>0</v>
      </c>
      <c r="BW16" s="74">
        <v>0</v>
      </c>
      <c r="BX16" s="74">
        <v>0</v>
      </c>
      <c r="BY16" s="74">
        <v>0</v>
      </c>
      <c r="BZ16" s="74">
        <v>0</v>
      </c>
      <c r="CA16" s="74">
        <v>0</v>
      </c>
      <c r="CB16" s="74">
        <v>0</v>
      </c>
      <c r="CC16" s="74">
        <v>0</v>
      </c>
      <c r="CD16" s="74">
        <v>0</v>
      </c>
      <c r="CE16" s="74">
        <v>0</v>
      </c>
      <c r="CF16" s="74">
        <v>0</v>
      </c>
      <c r="CG16" s="74">
        <v>0</v>
      </c>
      <c r="CH16" s="74">
        <v>0</v>
      </c>
      <c r="CI16" s="74">
        <v>0</v>
      </c>
      <c r="CJ16" s="74">
        <v>0</v>
      </c>
      <c r="CK16" s="74">
        <v>0</v>
      </c>
      <c r="CL16" s="74">
        <v>0</v>
      </c>
      <c r="CM16" s="74">
        <v>0</v>
      </c>
      <c r="CN16" s="74">
        <v>0</v>
      </c>
      <c r="CO16" s="74">
        <v>0</v>
      </c>
      <c r="CP16" s="74">
        <v>0</v>
      </c>
      <c r="CQ16" s="74">
        <v>0</v>
      </c>
      <c r="CR16" s="74">
        <v>0</v>
      </c>
      <c r="CS16" s="74">
        <v>0</v>
      </c>
      <c r="CT16" s="74">
        <v>0</v>
      </c>
      <c r="CU16" s="74">
        <v>0</v>
      </c>
      <c r="CV16" s="74">
        <v>0</v>
      </c>
      <c r="CW16" s="74">
        <v>0</v>
      </c>
      <c r="CX16" s="74">
        <v>0</v>
      </c>
      <c r="CY16" s="74">
        <v>0</v>
      </c>
      <c r="CZ16" s="74">
        <v>0</v>
      </c>
      <c r="DA16" s="74">
        <v>0</v>
      </c>
      <c r="DB16" s="74">
        <v>0</v>
      </c>
      <c r="DC16" s="74">
        <v>0</v>
      </c>
      <c r="DD16" s="74">
        <v>0</v>
      </c>
      <c r="DE16" s="74">
        <v>0</v>
      </c>
      <c r="DF16" s="74">
        <v>0</v>
      </c>
      <c r="DG16" s="74">
        <v>0</v>
      </c>
      <c r="DH16" s="74">
        <v>0</v>
      </c>
      <c r="DI16" s="74">
        <v>0</v>
      </c>
      <c r="DJ16" s="74">
        <v>0</v>
      </c>
      <c r="DK16" s="74">
        <v>0</v>
      </c>
      <c r="DL16" s="74">
        <v>0</v>
      </c>
      <c r="DM16" s="74">
        <v>0</v>
      </c>
      <c r="DN16" s="74">
        <v>0</v>
      </c>
      <c r="DO16" s="74">
        <v>0</v>
      </c>
      <c r="DP16" s="74">
        <v>0</v>
      </c>
      <c r="DQ16" s="74">
        <v>0</v>
      </c>
      <c r="DR16" s="74">
        <v>0</v>
      </c>
      <c r="DS16" s="74">
        <v>0</v>
      </c>
      <c r="DT16" s="74">
        <v>0</v>
      </c>
      <c r="DU16" s="74">
        <v>0</v>
      </c>
      <c r="DV16" s="74">
        <v>0</v>
      </c>
      <c r="DW16" s="74">
        <v>0</v>
      </c>
      <c r="DX16" s="74">
        <v>0</v>
      </c>
      <c r="DY16" s="74">
        <v>0</v>
      </c>
      <c r="DZ16" s="74">
        <v>0</v>
      </c>
      <c r="EA16" s="74">
        <v>0</v>
      </c>
      <c r="EB16" s="74">
        <v>0</v>
      </c>
      <c r="EC16" s="74">
        <v>0</v>
      </c>
      <c r="ED16" s="74"/>
      <c r="EE16" s="68">
        <v>46147</v>
      </c>
      <c r="EF16" s="81">
        <v>46147.490590624999</v>
      </c>
      <c r="EG16" s="2" t="s">
        <v>71</v>
      </c>
      <c r="EH16" s="76">
        <v>3</v>
      </c>
      <c r="EI16" s="76" t="s">
        <v>32</v>
      </c>
      <c r="EJ16" s="74" t="s">
        <v>244</v>
      </c>
      <c r="EK16" s="66"/>
      <c r="EL16" s="66"/>
      <c r="EM16" s="66"/>
      <c r="EN16" s="66"/>
      <c r="EO16" s="82"/>
      <c r="EP16" s="82"/>
      <c r="EQ16" s="77"/>
      <c r="ER16" s="84"/>
      <c r="ES16" s="84"/>
      <c r="ET16" s="84"/>
      <c r="EU16" s="85"/>
      <c r="EV16" s="86"/>
      <c r="EW16" s="85"/>
      <c r="EX16" s="85"/>
      <c r="EY16" s="76"/>
      <c r="EZ16" s="74"/>
      <c r="FA16" s="74"/>
      <c r="FB16" s="74"/>
      <c r="FC16" s="74"/>
      <c r="FD16" s="68"/>
      <c r="FH16" s="73"/>
      <c r="FI16" s="74"/>
      <c r="FJ16" s="74"/>
      <c r="FK16" s="74"/>
      <c r="FL16" s="74"/>
      <c r="FM16" s="74"/>
      <c r="FN16" s="74"/>
      <c r="FO16" s="74"/>
      <c r="FP16" s="74"/>
      <c r="FQ16" s="74"/>
      <c r="FR16" s="74"/>
      <c r="FS16" s="74"/>
      <c r="FT16" s="74"/>
      <c r="FU16" s="74"/>
      <c r="FV16" s="74"/>
      <c r="FW16" s="74"/>
      <c r="FX16" s="74"/>
      <c r="FY16" s="74"/>
      <c r="FZ16" s="74"/>
      <c r="GA16" s="68"/>
    </row>
    <row r="17" spans="1:183" s="2" customFormat="1" ht="15" x14ac:dyDescent="0.3">
      <c r="A17" s="73" t="s">
        <v>180</v>
      </c>
      <c r="B17" s="73" t="s">
        <v>238</v>
      </c>
      <c r="C17" s="73" t="s">
        <v>224</v>
      </c>
      <c r="D17" s="73" t="s">
        <v>48</v>
      </c>
      <c r="E17" s="73" t="s">
        <v>178</v>
      </c>
      <c r="F17" s="73" t="s">
        <v>210</v>
      </c>
      <c r="G17" s="73" t="s">
        <v>223</v>
      </c>
      <c r="H17" s="73"/>
      <c r="I17" s="74">
        <v>0</v>
      </c>
      <c r="J17" s="74">
        <v>0</v>
      </c>
      <c r="K17" s="74">
        <v>54004.304347826102</v>
      </c>
      <c r="L17" s="74">
        <v>69215.75</v>
      </c>
      <c r="M17" s="74">
        <v>71134.100000000006</v>
      </c>
      <c r="N17" s="74">
        <v>105558.108108108</v>
      </c>
      <c r="O17" s="74">
        <v>141591.42857142899</v>
      </c>
      <c r="P17" s="74">
        <v>167196.97619047601</v>
      </c>
      <c r="Q17" s="74">
        <v>0</v>
      </c>
      <c r="R17" s="74">
        <v>0</v>
      </c>
      <c r="S17" s="74">
        <v>0</v>
      </c>
      <c r="T17" s="74">
        <v>0</v>
      </c>
      <c r="U17" s="74">
        <v>0</v>
      </c>
      <c r="V17" s="74">
        <v>0</v>
      </c>
      <c r="W17" s="74">
        <v>0</v>
      </c>
      <c r="X17" s="74">
        <v>0</v>
      </c>
      <c r="Y17" s="74">
        <v>0</v>
      </c>
      <c r="Z17" s="74">
        <v>0</v>
      </c>
      <c r="AA17" s="74">
        <v>0</v>
      </c>
      <c r="AB17" s="74">
        <v>0</v>
      </c>
      <c r="AC17" s="74">
        <v>0</v>
      </c>
      <c r="AD17" s="74">
        <v>0</v>
      </c>
      <c r="AE17" s="74">
        <v>0</v>
      </c>
      <c r="AF17" s="74">
        <v>0</v>
      </c>
      <c r="AG17" s="74">
        <v>0</v>
      </c>
      <c r="AH17" s="74">
        <v>0</v>
      </c>
      <c r="AI17" s="74">
        <v>0</v>
      </c>
      <c r="AJ17" s="74">
        <v>0</v>
      </c>
      <c r="AK17" s="74"/>
      <c r="AL17" s="74">
        <v>0</v>
      </c>
      <c r="AM17" s="74">
        <v>0</v>
      </c>
      <c r="AN17" s="74">
        <v>0</v>
      </c>
      <c r="AO17" s="74">
        <v>0</v>
      </c>
      <c r="AP17" s="74">
        <v>0</v>
      </c>
      <c r="AQ17" s="74">
        <v>0</v>
      </c>
      <c r="AR17" s="74">
        <v>0</v>
      </c>
      <c r="AS17" s="74">
        <v>0</v>
      </c>
      <c r="AT17" s="74">
        <v>0</v>
      </c>
      <c r="AU17" s="74">
        <v>0</v>
      </c>
      <c r="AV17" s="74">
        <v>0</v>
      </c>
      <c r="AW17" s="74">
        <v>0</v>
      </c>
      <c r="AX17" s="74">
        <v>0</v>
      </c>
      <c r="AY17" s="74">
        <v>0</v>
      </c>
      <c r="AZ17" s="74">
        <v>0</v>
      </c>
      <c r="BA17" s="74">
        <v>0</v>
      </c>
      <c r="BB17" s="74">
        <v>0</v>
      </c>
      <c r="BC17" s="74">
        <v>0</v>
      </c>
      <c r="BD17" s="74">
        <v>0</v>
      </c>
      <c r="BE17" s="74">
        <v>0</v>
      </c>
      <c r="BF17" s="74">
        <v>0</v>
      </c>
      <c r="BG17" s="74">
        <v>0</v>
      </c>
      <c r="BH17" s="74">
        <v>0</v>
      </c>
      <c r="BI17" s="74">
        <v>0</v>
      </c>
      <c r="BJ17" s="74">
        <v>0</v>
      </c>
      <c r="BK17" s="74">
        <v>0</v>
      </c>
      <c r="BL17" s="74">
        <v>0</v>
      </c>
      <c r="BM17" s="74">
        <v>0</v>
      </c>
      <c r="BN17" s="74">
        <v>0</v>
      </c>
      <c r="BO17" s="74">
        <v>0</v>
      </c>
      <c r="BP17" s="74">
        <v>0</v>
      </c>
      <c r="BQ17" s="74">
        <v>0</v>
      </c>
      <c r="BR17" s="74">
        <v>0</v>
      </c>
      <c r="BS17" s="74">
        <v>0</v>
      </c>
      <c r="BT17" s="74">
        <v>0</v>
      </c>
      <c r="BU17" s="74">
        <v>0</v>
      </c>
      <c r="BV17" s="74">
        <v>0</v>
      </c>
      <c r="BW17" s="74">
        <v>0</v>
      </c>
      <c r="BX17" s="74">
        <v>0</v>
      </c>
      <c r="BY17" s="74">
        <v>0</v>
      </c>
      <c r="BZ17" s="74">
        <v>0</v>
      </c>
      <c r="CA17" s="74">
        <v>0</v>
      </c>
      <c r="CB17" s="74">
        <v>0</v>
      </c>
      <c r="CC17" s="74">
        <v>0</v>
      </c>
      <c r="CD17" s="74">
        <v>0</v>
      </c>
      <c r="CE17" s="74">
        <v>0</v>
      </c>
      <c r="CF17" s="74">
        <v>0</v>
      </c>
      <c r="CG17" s="74">
        <v>0</v>
      </c>
      <c r="CH17" s="74">
        <v>0</v>
      </c>
      <c r="CI17" s="74">
        <v>0</v>
      </c>
      <c r="CJ17" s="74">
        <v>0</v>
      </c>
      <c r="CK17" s="74">
        <v>0</v>
      </c>
      <c r="CL17" s="74">
        <v>0</v>
      </c>
      <c r="CM17" s="74">
        <v>0</v>
      </c>
      <c r="CN17" s="74">
        <v>0</v>
      </c>
      <c r="CO17" s="74">
        <v>0</v>
      </c>
      <c r="CP17" s="74">
        <v>0</v>
      </c>
      <c r="CQ17" s="74">
        <v>0</v>
      </c>
      <c r="CR17" s="74">
        <v>0</v>
      </c>
      <c r="CS17" s="74">
        <v>0</v>
      </c>
      <c r="CT17" s="74">
        <v>0</v>
      </c>
      <c r="CU17" s="74">
        <v>0</v>
      </c>
      <c r="CV17" s="74">
        <v>0</v>
      </c>
      <c r="CW17" s="74">
        <v>0</v>
      </c>
      <c r="CX17" s="74">
        <v>0</v>
      </c>
      <c r="CY17" s="74">
        <v>0</v>
      </c>
      <c r="CZ17" s="74">
        <v>0</v>
      </c>
      <c r="DA17" s="74">
        <v>0</v>
      </c>
      <c r="DB17" s="74">
        <v>0</v>
      </c>
      <c r="DC17" s="74">
        <v>0</v>
      </c>
      <c r="DD17" s="74">
        <v>0</v>
      </c>
      <c r="DE17" s="74">
        <v>0</v>
      </c>
      <c r="DF17" s="74">
        <v>0</v>
      </c>
      <c r="DG17" s="74">
        <v>0</v>
      </c>
      <c r="DH17" s="74">
        <v>0</v>
      </c>
      <c r="DI17" s="74">
        <v>0</v>
      </c>
      <c r="DJ17" s="74">
        <v>0</v>
      </c>
      <c r="DK17" s="74">
        <v>0</v>
      </c>
      <c r="DL17" s="74">
        <v>0</v>
      </c>
      <c r="DM17" s="74">
        <v>0</v>
      </c>
      <c r="DN17" s="74">
        <v>0</v>
      </c>
      <c r="DO17" s="74">
        <v>0</v>
      </c>
      <c r="DP17" s="74">
        <v>0</v>
      </c>
      <c r="DQ17" s="74">
        <v>0</v>
      </c>
      <c r="DR17" s="74">
        <v>0</v>
      </c>
      <c r="DS17" s="74">
        <v>0</v>
      </c>
      <c r="DT17" s="74">
        <v>0</v>
      </c>
      <c r="DU17" s="74">
        <v>0</v>
      </c>
      <c r="DV17" s="74">
        <v>0</v>
      </c>
      <c r="DW17" s="74">
        <v>0</v>
      </c>
      <c r="DX17" s="74">
        <v>0</v>
      </c>
      <c r="DY17" s="74">
        <v>0</v>
      </c>
      <c r="DZ17" s="74">
        <v>0</v>
      </c>
      <c r="EA17" s="74">
        <v>0</v>
      </c>
      <c r="EB17" s="74">
        <v>0</v>
      </c>
      <c r="EC17" s="74">
        <v>0</v>
      </c>
      <c r="ED17" s="74"/>
      <c r="EE17" s="68">
        <v>46147</v>
      </c>
      <c r="EF17" s="81">
        <v>46147.490590624999</v>
      </c>
      <c r="EG17" s="2" t="s">
        <v>71</v>
      </c>
      <c r="EH17" s="76">
        <v>3</v>
      </c>
      <c r="EI17" s="76" t="s">
        <v>32</v>
      </c>
      <c r="EJ17" s="74" t="s">
        <v>244</v>
      </c>
      <c r="EK17" s="66"/>
      <c r="EL17" s="66"/>
      <c r="EM17" s="66"/>
      <c r="EN17" s="66"/>
      <c r="EO17" s="82"/>
      <c r="EP17" s="82"/>
      <c r="EQ17" s="77"/>
      <c r="ER17" s="84"/>
      <c r="ES17" s="84"/>
      <c r="ET17" s="84"/>
      <c r="EU17" s="85"/>
      <c r="EV17" s="86"/>
      <c r="EW17" s="85"/>
      <c r="EX17" s="85"/>
      <c r="EY17" s="76"/>
      <c r="EZ17" s="74"/>
      <c r="FA17" s="74"/>
      <c r="FB17" s="74"/>
      <c r="FC17" s="74"/>
      <c r="FD17" s="68"/>
      <c r="FH17" s="73"/>
      <c r="FI17" s="74"/>
      <c r="FJ17" s="74"/>
      <c r="FK17" s="74"/>
      <c r="FL17" s="74"/>
      <c r="FM17" s="74"/>
      <c r="FN17" s="74"/>
      <c r="FO17" s="74"/>
      <c r="FP17" s="74"/>
      <c r="FQ17" s="74"/>
      <c r="FR17" s="74"/>
      <c r="FS17" s="74"/>
      <c r="FT17" s="74"/>
      <c r="FU17" s="74"/>
      <c r="FV17" s="74"/>
      <c r="FW17" s="74"/>
      <c r="FX17" s="74"/>
      <c r="FY17" s="74"/>
      <c r="FZ17" s="74"/>
      <c r="GA17" s="68"/>
    </row>
    <row r="18" spans="1:183" s="2" customFormat="1" ht="15" x14ac:dyDescent="0.3">
      <c r="A18" s="73" t="s">
        <v>207</v>
      </c>
      <c r="B18" s="73" t="s">
        <v>239</v>
      </c>
      <c r="C18" s="73" t="s">
        <v>225</v>
      </c>
      <c r="D18" s="73" t="s">
        <v>48</v>
      </c>
      <c r="E18" s="73" t="s">
        <v>178</v>
      </c>
      <c r="F18" s="73" t="s">
        <v>210</v>
      </c>
      <c r="G18" s="73" t="s">
        <v>223</v>
      </c>
      <c r="H18" s="73"/>
      <c r="I18" s="74">
        <v>0</v>
      </c>
      <c r="J18" s="74">
        <v>0</v>
      </c>
      <c r="K18" s="74">
        <v>10207.024050742588</v>
      </c>
      <c r="L18" s="74">
        <v>10295.779883213234</v>
      </c>
      <c r="M18" s="74">
        <v>10151.036700934954</v>
      </c>
      <c r="N18" s="74">
        <v>10448.534335803881</v>
      </c>
      <c r="O18" s="74">
        <v>10673.972331158458</v>
      </c>
      <c r="P18" s="74">
        <v>10786.713287633916</v>
      </c>
      <c r="Q18" s="74">
        <v>0</v>
      </c>
      <c r="R18" s="74">
        <v>0</v>
      </c>
      <c r="S18" s="74">
        <v>0</v>
      </c>
      <c r="T18" s="74">
        <v>0</v>
      </c>
      <c r="U18" s="74">
        <v>0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0</v>
      </c>
      <c r="AC18" s="74">
        <v>0</v>
      </c>
      <c r="AD18" s="74">
        <v>0</v>
      </c>
      <c r="AE18" s="74">
        <v>0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74"/>
      <c r="AL18" s="74">
        <v>0</v>
      </c>
      <c r="AM18" s="74">
        <v>0</v>
      </c>
      <c r="AN18" s="74">
        <v>0</v>
      </c>
      <c r="AO18" s="74">
        <v>0</v>
      </c>
      <c r="AP18" s="74">
        <v>0</v>
      </c>
      <c r="AQ18" s="74">
        <v>0</v>
      </c>
      <c r="AR18" s="74">
        <v>0</v>
      </c>
      <c r="AS18" s="74">
        <v>0</v>
      </c>
      <c r="AT18" s="74">
        <v>0</v>
      </c>
      <c r="AU18" s="74">
        <v>0</v>
      </c>
      <c r="AV18" s="74">
        <v>0</v>
      </c>
      <c r="AW18" s="74">
        <v>0</v>
      </c>
      <c r="AX18" s="74">
        <v>0</v>
      </c>
      <c r="AY18" s="74">
        <v>0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74">
        <v>0</v>
      </c>
      <c r="BZ18" s="74">
        <v>0</v>
      </c>
      <c r="CA18" s="74">
        <v>0</v>
      </c>
      <c r="CB18" s="74">
        <v>0</v>
      </c>
      <c r="CC18" s="74">
        <v>0</v>
      </c>
      <c r="CD18" s="74">
        <v>0</v>
      </c>
      <c r="CE18" s="74">
        <v>0</v>
      </c>
      <c r="CF18" s="74">
        <v>0</v>
      </c>
      <c r="CG18" s="74">
        <v>0</v>
      </c>
      <c r="CH18" s="74">
        <v>0</v>
      </c>
      <c r="CI18" s="74">
        <v>0</v>
      </c>
      <c r="CJ18" s="74">
        <v>0</v>
      </c>
      <c r="CK18" s="74">
        <v>0</v>
      </c>
      <c r="CL18" s="74">
        <v>0</v>
      </c>
      <c r="CM18" s="74">
        <v>0</v>
      </c>
      <c r="CN18" s="74">
        <v>0</v>
      </c>
      <c r="CO18" s="74">
        <v>0</v>
      </c>
      <c r="CP18" s="74">
        <v>0</v>
      </c>
      <c r="CQ18" s="74">
        <v>0</v>
      </c>
      <c r="CR18" s="74">
        <v>0</v>
      </c>
      <c r="CS18" s="74">
        <v>0</v>
      </c>
      <c r="CT18" s="74">
        <v>0</v>
      </c>
      <c r="CU18" s="74">
        <v>0</v>
      </c>
      <c r="CV18" s="74">
        <v>0</v>
      </c>
      <c r="CW18" s="74">
        <v>0</v>
      </c>
      <c r="CX18" s="74">
        <v>0</v>
      </c>
      <c r="CY18" s="74">
        <v>0</v>
      </c>
      <c r="CZ18" s="74">
        <v>0</v>
      </c>
      <c r="DA18" s="74">
        <v>0</v>
      </c>
      <c r="DB18" s="74">
        <v>0</v>
      </c>
      <c r="DC18" s="74">
        <v>0</v>
      </c>
      <c r="DD18" s="74">
        <v>0</v>
      </c>
      <c r="DE18" s="74">
        <v>0</v>
      </c>
      <c r="DF18" s="74">
        <v>0</v>
      </c>
      <c r="DG18" s="74">
        <v>0</v>
      </c>
      <c r="DH18" s="74">
        <v>0</v>
      </c>
      <c r="DI18" s="74">
        <v>0</v>
      </c>
      <c r="DJ18" s="74">
        <v>0</v>
      </c>
      <c r="DK18" s="74">
        <v>0</v>
      </c>
      <c r="DL18" s="74">
        <v>0</v>
      </c>
      <c r="DM18" s="74">
        <v>0</v>
      </c>
      <c r="DN18" s="74">
        <v>0</v>
      </c>
      <c r="DO18" s="74">
        <v>0</v>
      </c>
      <c r="DP18" s="74">
        <v>0</v>
      </c>
      <c r="DQ18" s="74">
        <v>0</v>
      </c>
      <c r="DR18" s="74">
        <v>0</v>
      </c>
      <c r="DS18" s="74">
        <v>0</v>
      </c>
      <c r="DT18" s="74">
        <v>0</v>
      </c>
      <c r="DU18" s="74">
        <v>0</v>
      </c>
      <c r="DV18" s="74">
        <v>0</v>
      </c>
      <c r="DW18" s="74">
        <v>0</v>
      </c>
      <c r="DX18" s="74">
        <v>0</v>
      </c>
      <c r="DY18" s="74">
        <v>0</v>
      </c>
      <c r="DZ18" s="74">
        <v>0</v>
      </c>
      <c r="EA18" s="74">
        <v>0</v>
      </c>
      <c r="EB18" s="74">
        <v>0</v>
      </c>
      <c r="EC18" s="74">
        <v>0</v>
      </c>
      <c r="ED18" s="74"/>
      <c r="EE18" s="68">
        <v>46147</v>
      </c>
      <c r="EF18" s="81">
        <v>46147.490590624999</v>
      </c>
      <c r="EG18" s="2" t="s">
        <v>71</v>
      </c>
      <c r="EH18" s="76">
        <v>3</v>
      </c>
      <c r="EI18" s="76" t="s">
        <v>32</v>
      </c>
      <c r="EJ18" s="74" t="s">
        <v>244</v>
      </c>
      <c r="EK18" s="66"/>
      <c r="EL18" s="66"/>
      <c r="EM18" s="66"/>
      <c r="EN18" s="66"/>
      <c r="EO18" s="82"/>
      <c r="EP18" s="82"/>
      <c r="EQ18" s="77"/>
      <c r="ER18" s="84"/>
      <c r="ES18" s="84"/>
      <c r="ET18" s="84"/>
      <c r="EU18" s="85"/>
      <c r="EV18" s="86"/>
      <c r="EW18" s="85"/>
      <c r="EX18" s="85"/>
      <c r="EY18" s="76"/>
      <c r="EZ18" s="74"/>
      <c r="FA18" s="74"/>
      <c r="FB18" s="74"/>
      <c r="FC18" s="74"/>
      <c r="FD18" s="68"/>
      <c r="FH18" s="73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68"/>
    </row>
    <row r="19" spans="1:183" s="2" customFormat="1" ht="15" x14ac:dyDescent="0.3">
      <c r="A19" s="73" t="s">
        <v>208</v>
      </c>
      <c r="B19" s="73" t="s">
        <v>240</v>
      </c>
      <c r="C19" s="73" t="s">
        <v>226</v>
      </c>
      <c r="D19" s="73" t="s">
        <v>48</v>
      </c>
      <c r="E19" s="73" t="s">
        <v>178</v>
      </c>
      <c r="F19" s="73" t="s">
        <v>210</v>
      </c>
      <c r="G19" s="73" t="s">
        <v>223</v>
      </c>
      <c r="H19" s="73"/>
      <c r="I19" s="74">
        <v>0</v>
      </c>
      <c r="J19" s="74">
        <v>0</v>
      </c>
      <c r="K19" s="74">
        <v>17745.512195121952</v>
      </c>
      <c r="L19" s="74">
        <v>21217.463414634149</v>
      </c>
      <c r="M19" s="74">
        <v>7220</v>
      </c>
      <c r="N19" s="74">
        <v>28282.276595744683</v>
      </c>
      <c r="O19" s="74">
        <v>54832.070175438595</v>
      </c>
      <c r="P19" s="74">
        <v>76975.709677419363</v>
      </c>
      <c r="Q19" s="74">
        <v>0</v>
      </c>
      <c r="R19" s="74">
        <v>0</v>
      </c>
      <c r="S19" s="74">
        <v>0</v>
      </c>
      <c r="T19" s="74">
        <v>0</v>
      </c>
      <c r="U19" s="74">
        <v>0</v>
      </c>
      <c r="V19" s="74">
        <v>0</v>
      </c>
      <c r="W19" s="74">
        <v>0</v>
      </c>
      <c r="X19" s="74">
        <v>0</v>
      </c>
      <c r="Y19" s="74">
        <v>0</v>
      </c>
      <c r="Z19" s="74">
        <v>0</v>
      </c>
      <c r="AA19" s="74">
        <v>0</v>
      </c>
      <c r="AB19" s="74">
        <v>0</v>
      </c>
      <c r="AC19" s="74">
        <v>0</v>
      </c>
      <c r="AD19" s="74">
        <v>0</v>
      </c>
      <c r="AE19" s="74">
        <v>0</v>
      </c>
      <c r="AF19" s="74">
        <v>0</v>
      </c>
      <c r="AG19" s="74">
        <v>0</v>
      </c>
      <c r="AH19" s="74">
        <v>0</v>
      </c>
      <c r="AI19" s="74">
        <v>0</v>
      </c>
      <c r="AJ19" s="74">
        <v>0</v>
      </c>
      <c r="AK19" s="74"/>
      <c r="AL19" s="74">
        <v>0</v>
      </c>
      <c r="AM19" s="74">
        <v>0</v>
      </c>
      <c r="AN19" s="74">
        <v>0</v>
      </c>
      <c r="AO19" s="74">
        <v>0</v>
      </c>
      <c r="AP19" s="74">
        <v>0</v>
      </c>
      <c r="AQ19" s="74">
        <v>0</v>
      </c>
      <c r="AR19" s="74">
        <v>0</v>
      </c>
      <c r="AS19" s="74">
        <v>0</v>
      </c>
      <c r="AT19" s="74">
        <v>0</v>
      </c>
      <c r="AU19" s="74">
        <v>0</v>
      </c>
      <c r="AV19" s="74">
        <v>0</v>
      </c>
      <c r="AW19" s="74">
        <v>0</v>
      </c>
      <c r="AX19" s="74">
        <v>0</v>
      </c>
      <c r="AY19" s="74">
        <v>0</v>
      </c>
      <c r="AZ19" s="74">
        <v>0</v>
      </c>
      <c r="BA19" s="74">
        <v>0</v>
      </c>
      <c r="BB19" s="74">
        <v>0</v>
      </c>
      <c r="BC19" s="74">
        <v>0</v>
      </c>
      <c r="BD19" s="74">
        <v>0</v>
      </c>
      <c r="BE19" s="74">
        <v>0</v>
      </c>
      <c r="BF19" s="74">
        <v>0</v>
      </c>
      <c r="BG19" s="74">
        <v>0</v>
      </c>
      <c r="BH19" s="74">
        <v>0</v>
      </c>
      <c r="BI19" s="74">
        <v>0</v>
      </c>
      <c r="BJ19" s="74">
        <v>0</v>
      </c>
      <c r="BK19" s="74">
        <v>0</v>
      </c>
      <c r="BL19" s="74">
        <v>0</v>
      </c>
      <c r="BM19" s="74">
        <v>0</v>
      </c>
      <c r="BN19" s="74">
        <v>0</v>
      </c>
      <c r="BO19" s="74">
        <v>0</v>
      </c>
      <c r="BP19" s="74">
        <v>0</v>
      </c>
      <c r="BQ19" s="74">
        <v>0</v>
      </c>
      <c r="BR19" s="74">
        <v>0</v>
      </c>
      <c r="BS19" s="74">
        <v>0</v>
      </c>
      <c r="BT19" s="74">
        <v>0</v>
      </c>
      <c r="BU19" s="74">
        <v>0</v>
      </c>
      <c r="BV19" s="74">
        <v>0</v>
      </c>
      <c r="BW19" s="74">
        <v>0</v>
      </c>
      <c r="BX19" s="74">
        <v>0</v>
      </c>
      <c r="BY19" s="74">
        <v>0</v>
      </c>
      <c r="BZ19" s="74">
        <v>0</v>
      </c>
      <c r="CA19" s="74">
        <v>0</v>
      </c>
      <c r="CB19" s="74">
        <v>0</v>
      </c>
      <c r="CC19" s="74">
        <v>0</v>
      </c>
      <c r="CD19" s="74">
        <v>0</v>
      </c>
      <c r="CE19" s="74">
        <v>0</v>
      </c>
      <c r="CF19" s="74">
        <v>0</v>
      </c>
      <c r="CG19" s="74">
        <v>0</v>
      </c>
      <c r="CH19" s="74">
        <v>0</v>
      </c>
      <c r="CI19" s="74">
        <v>0</v>
      </c>
      <c r="CJ19" s="74">
        <v>0</v>
      </c>
      <c r="CK19" s="74">
        <v>0</v>
      </c>
      <c r="CL19" s="74">
        <v>0</v>
      </c>
      <c r="CM19" s="74">
        <v>0</v>
      </c>
      <c r="CN19" s="74">
        <v>0</v>
      </c>
      <c r="CO19" s="74">
        <v>0</v>
      </c>
      <c r="CP19" s="74">
        <v>0</v>
      </c>
      <c r="CQ19" s="74">
        <v>0</v>
      </c>
      <c r="CR19" s="74">
        <v>0</v>
      </c>
      <c r="CS19" s="74">
        <v>0</v>
      </c>
      <c r="CT19" s="74">
        <v>0</v>
      </c>
      <c r="CU19" s="74">
        <v>0</v>
      </c>
      <c r="CV19" s="74">
        <v>0</v>
      </c>
      <c r="CW19" s="74">
        <v>0</v>
      </c>
      <c r="CX19" s="74">
        <v>0</v>
      </c>
      <c r="CY19" s="74">
        <v>0</v>
      </c>
      <c r="CZ19" s="74">
        <v>0</v>
      </c>
      <c r="DA19" s="74">
        <v>0</v>
      </c>
      <c r="DB19" s="74">
        <v>0</v>
      </c>
      <c r="DC19" s="74">
        <v>0</v>
      </c>
      <c r="DD19" s="74">
        <v>0</v>
      </c>
      <c r="DE19" s="74">
        <v>0</v>
      </c>
      <c r="DF19" s="74">
        <v>0</v>
      </c>
      <c r="DG19" s="74">
        <v>0</v>
      </c>
      <c r="DH19" s="74">
        <v>0</v>
      </c>
      <c r="DI19" s="74">
        <v>0</v>
      </c>
      <c r="DJ19" s="74">
        <v>0</v>
      </c>
      <c r="DK19" s="74">
        <v>0</v>
      </c>
      <c r="DL19" s="74">
        <v>0</v>
      </c>
      <c r="DM19" s="74">
        <v>0</v>
      </c>
      <c r="DN19" s="74">
        <v>0</v>
      </c>
      <c r="DO19" s="74">
        <v>0</v>
      </c>
      <c r="DP19" s="74">
        <v>0</v>
      </c>
      <c r="DQ19" s="74">
        <v>0</v>
      </c>
      <c r="DR19" s="74">
        <v>0</v>
      </c>
      <c r="DS19" s="74">
        <v>0</v>
      </c>
      <c r="DT19" s="74">
        <v>0</v>
      </c>
      <c r="DU19" s="74">
        <v>0</v>
      </c>
      <c r="DV19" s="74">
        <v>0</v>
      </c>
      <c r="DW19" s="74">
        <v>0</v>
      </c>
      <c r="DX19" s="74">
        <v>0</v>
      </c>
      <c r="DY19" s="74">
        <v>0</v>
      </c>
      <c r="DZ19" s="74">
        <v>0</v>
      </c>
      <c r="EA19" s="74">
        <v>0</v>
      </c>
      <c r="EB19" s="74">
        <v>0</v>
      </c>
      <c r="EC19" s="74">
        <v>0</v>
      </c>
      <c r="ED19" s="74"/>
      <c r="EE19" s="68">
        <v>46147</v>
      </c>
      <c r="EF19" s="81">
        <v>46147.490590624999</v>
      </c>
      <c r="EG19" s="2" t="s">
        <v>71</v>
      </c>
      <c r="EH19" s="76">
        <v>3</v>
      </c>
      <c r="EI19" s="76" t="s">
        <v>32</v>
      </c>
      <c r="EJ19" s="74" t="s">
        <v>244</v>
      </c>
      <c r="EK19" s="66"/>
      <c r="EL19" s="66"/>
      <c r="EM19" s="66"/>
      <c r="EN19" s="66"/>
      <c r="EO19" s="82"/>
      <c r="EP19" s="82"/>
      <c r="EQ19" s="77"/>
      <c r="ER19" s="84"/>
      <c r="ES19" s="84"/>
      <c r="ET19" s="84"/>
      <c r="EU19" s="85"/>
      <c r="EV19" s="86"/>
      <c r="EW19" s="85"/>
      <c r="EX19" s="85"/>
      <c r="EY19" s="76"/>
      <c r="EZ19" s="74"/>
      <c r="FA19" s="74"/>
      <c r="FB19" s="74"/>
      <c r="FC19" s="74"/>
      <c r="FD19" s="68"/>
      <c r="FH19" s="73"/>
      <c r="FI19" s="74"/>
      <c r="FJ19" s="74"/>
      <c r="FK19" s="74"/>
      <c r="FL19" s="74"/>
      <c r="FM19" s="74"/>
      <c r="FN19" s="74"/>
      <c r="FO19" s="74"/>
      <c r="FP19" s="74"/>
      <c r="FQ19" s="74"/>
      <c r="FR19" s="74"/>
      <c r="FS19" s="74"/>
      <c r="FT19" s="74"/>
      <c r="FU19" s="74"/>
      <c r="FV19" s="74"/>
      <c r="FW19" s="74"/>
      <c r="FX19" s="74"/>
      <c r="FY19" s="74"/>
      <c r="FZ19" s="74"/>
      <c r="GA19" s="68"/>
    </row>
    <row r="20" spans="1:183" s="2" customFormat="1" ht="15" x14ac:dyDescent="0.3">
      <c r="A20" s="73" t="s">
        <v>49</v>
      </c>
      <c r="B20" s="73" t="s">
        <v>50</v>
      </c>
      <c r="C20" s="73" t="s">
        <v>222</v>
      </c>
      <c r="D20" s="73" t="s">
        <v>45</v>
      </c>
      <c r="E20" s="73" t="s">
        <v>178</v>
      </c>
      <c r="F20" s="73" t="s">
        <v>210</v>
      </c>
      <c r="G20" s="73" t="s">
        <v>227</v>
      </c>
      <c r="H20" s="73"/>
      <c r="I20" s="74">
        <v>141366</v>
      </c>
      <c r="J20" s="74">
        <v>170773</v>
      </c>
      <c r="K20" s="74">
        <v>236282</v>
      </c>
      <c r="L20" s="74">
        <v>279833</v>
      </c>
      <c r="M20" s="74">
        <v>315880</v>
      </c>
      <c r="N20" s="74">
        <v>352828</v>
      </c>
      <c r="O20" s="74">
        <v>387497</v>
      </c>
      <c r="P20" s="74">
        <v>426305</v>
      </c>
      <c r="Q20" s="74">
        <v>0</v>
      </c>
      <c r="R20" s="74">
        <v>0</v>
      </c>
      <c r="S20" s="74">
        <v>0</v>
      </c>
      <c r="T20" s="74">
        <v>0</v>
      </c>
      <c r="U20" s="74">
        <v>0</v>
      </c>
      <c r="V20" s="74">
        <v>0</v>
      </c>
      <c r="W20" s="74">
        <v>0</v>
      </c>
      <c r="X20" s="74">
        <v>0</v>
      </c>
      <c r="Y20" s="74">
        <v>0</v>
      </c>
      <c r="Z20" s="74">
        <v>0</v>
      </c>
      <c r="AA20" s="74">
        <v>0</v>
      </c>
      <c r="AB20" s="74">
        <v>0</v>
      </c>
      <c r="AC20" s="74">
        <v>0</v>
      </c>
      <c r="AD20" s="74">
        <v>0</v>
      </c>
      <c r="AE20" s="74">
        <v>0</v>
      </c>
      <c r="AF20" s="74">
        <v>0</v>
      </c>
      <c r="AG20" s="74">
        <v>0</v>
      </c>
      <c r="AH20" s="74">
        <v>0</v>
      </c>
      <c r="AI20" s="74">
        <v>0</v>
      </c>
      <c r="AJ20" s="74">
        <v>0</v>
      </c>
      <c r="AK20" s="74"/>
      <c r="AL20" s="74">
        <v>69244</v>
      </c>
      <c r="AM20" s="74">
        <v>74430</v>
      </c>
      <c r="AN20" s="74">
        <v>78843</v>
      </c>
      <c r="AO20" s="74">
        <v>93363</v>
      </c>
      <c r="AP20" s="74">
        <v>76881</v>
      </c>
      <c r="AQ20" s="74">
        <v>82546</v>
      </c>
      <c r="AR20" s="74">
        <v>87887</v>
      </c>
      <c r="AS20" s="74">
        <v>105514</v>
      </c>
      <c r="AT20" s="74">
        <v>86341</v>
      </c>
      <c r="AU20" s="74">
        <v>90033</v>
      </c>
      <c r="AV20" s="74">
        <v>95537</v>
      </c>
      <c r="AW20" s="74">
        <v>115586</v>
      </c>
      <c r="AX20" s="74">
        <v>92887</v>
      </c>
      <c r="AY20" s="74">
        <v>100068</v>
      </c>
      <c r="AZ20" s="74">
        <v>106267</v>
      </c>
      <c r="BA20" s="74">
        <v>127083</v>
      </c>
      <c r="BB20" s="74">
        <v>104143</v>
      </c>
      <c r="BC20" s="74">
        <v>0</v>
      </c>
      <c r="BD20" s="74">
        <v>0</v>
      </c>
      <c r="BE20" s="74">
        <v>0</v>
      </c>
      <c r="BF20" s="74">
        <v>0</v>
      </c>
      <c r="BG20" s="74">
        <v>0</v>
      </c>
      <c r="BH20" s="74">
        <v>0</v>
      </c>
      <c r="BI20" s="74">
        <v>0</v>
      </c>
      <c r="BJ20" s="74">
        <v>0</v>
      </c>
      <c r="BK20" s="74">
        <v>0</v>
      </c>
      <c r="BL20" s="74">
        <v>0</v>
      </c>
      <c r="BM20" s="74">
        <v>0</v>
      </c>
      <c r="BN20" s="74">
        <v>0</v>
      </c>
      <c r="BO20" s="74">
        <v>0</v>
      </c>
      <c r="BP20" s="74">
        <v>0</v>
      </c>
      <c r="BQ20" s="74">
        <v>0</v>
      </c>
      <c r="BR20" s="74">
        <v>0</v>
      </c>
      <c r="BS20" s="74">
        <v>0</v>
      </c>
      <c r="BT20" s="74">
        <v>0</v>
      </c>
      <c r="BU20" s="74">
        <v>0</v>
      </c>
      <c r="BV20" s="74">
        <v>0</v>
      </c>
      <c r="BW20" s="74">
        <v>0</v>
      </c>
      <c r="BX20" s="74">
        <v>0</v>
      </c>
      <c r="BY20" s="74">
        <v>0</v>
      </c>
      <c r="BZ20" s="74">
        <v>0</v>
      </c>
      <c r="CA20" s="74">
        <v>0</v>
      </c>
      <c r="CB20" s="74">
        <v>0</v>
      </c>
      <c r="CC20" s="74">
        <v>0</v>
      </c>
      <c r="CD20" s="74">
        <v>0</v>
      </c>
      <c r="CE20" s="74">
        <v>0</v>
      </c>
      <c r="CF20" s="74">
        <v>0</v>
      </c>
      <c r="CG20" s="74">
        <v>0</v>
      </c>
      <c r="CH20" s="74">
        <v>0</v>
      </c>
      <c r="CI20" s="74">
        <v>0</v>
      </c>
      <c r="CJ20" s="74">
        <v>0</v>
      </c>
      <c r="CK20" s="74">
        <v>0</v>
      </c>
      <c r="CL20" s="74">
        <v>0</v>
      </c>
      <c r="CM20" s="74">
        <v>0</v>
      </c>
      <c r="CN20" s="74">
        <v>0</v>
      </c>
      <c r="CO20" s="74">
        <v>0</v>
      </c>
      <c r="CP20" s="74">
        <v>0</v>
      </c>
      <c r="CQ20" s="74">
        <v>0</v>
      </c>
      <c r="CR20" s="74">
        <v>0</v>
      </c>
      <c r="CS20" s="74">
        <v>0</v>
      </c>
      <c r="CT20" s="74">
        <v>0</v>
      </c>
      <c r="CU20" s="74">
        <v>0</v>
      </c>
      <c r="CV20" s="74">
        <v>0</v>
      </c>
      <c r="CW20" s="74">
        <v>0</v>
      </c>
      <c r="CX20" s="74">
        <v>0</v>
      </c>
      <c r="CY20" s="74">
        <v>0</v>
      </c>
      <c r="CZ20" s="74">
        <v>0</v>
      </c>
      <c r="DA20" s="74">
        <v>0</v>
      </c>
      <c r="DB20" s="74">
        <v>0</v>
      </c>
      <c r="DC20" s="74">
        <v>0</v>
      </c>
      <c r="DD20" s="74">
        <v>0</v>
      </c>
      <c r="DE20" s="74">
        <v>0</v>
      </c>
      <c r="DF20" s="74">
        <v>0</v>
      </c>
      <c r="DG20" s="74">
        <v>0</v>
      </c>
      <c r="DH20" s="74">
        <v>0</v>
      </c>
      <c r="DI20" s="74">
        <v>0</v>
      </c>
      <c r="DJ20" s="74">
        <v>0</v>
      </c>
      <c r="DK20" s="74">
        <v>0</v>
      </c>
      <c r="DL20" s="74">
        <v>0</v>
      </c>
      <c r="DM20" s="74">
        <v>0</v>
      </c>
      <c r="DN20" s="74">
        <v>0</v>
      </c>
      <c r="DO20" s="74">
        <v>0</v>
      </c>
      <c r="DP20" s="74">
        <v>0</v>
      </c>
      <c r="DQ20" s="74">
        <v>0</v>
      </c>
      <c r="DR20" s="74">
        <v>0</v>
      </c>
      <c r="DS20" s="74">
        <v>0</v>
      </c>
      <c r="DT20" s="74">
        <v>0</v>
      </c>
      <c r="DU20" s="74">
        <v>0</v>
      </c>
      <c r="DV20" s="74">
        <v>0</v>
      </c>
      <c r="DW20" s="74">
        <v>0</v>
      </c>
      <c r="DX20" s="74">
        <v>0</v>
      </c>
      <c r="DY20" s="74">
        <v>0</v>
      </c>
      <c r="DZ20" s="74">
        <v>0</v>
      </c>
      <c r="EA20" s="74">
        <v>0</v>
      </c>
      <c r="EB20" s="74">
        <v>0</v>
      </c>
      <c r="EC20" s="74">
        <v>0</v>
      </c>
      <c r="ED20" s="74"/>
      <c r="EE20" s="68">
        <v>46147</v>
      </c>
      <c r="EF20" s="81">
        <v>46147.490590624999</v>
      </c>
      <c r="EG20" s="2" t="s">
        <v>71</v>
      </c>
      <c r="EH20" s="76">
        <v>3</v>
      </c>
      <c r="EI20" s="76" t="s">
        <v>32</v>
      </c>
      <c r="EJ20" s="74" t="s">
        <v>244</v>
      </c>
      <c r="EK20" s="78"/>
      <c r="EL20" s="74"/>
      <c r="EM20" s="74"/>
      <c r="EN20" s="68"/>
      <c r="ER20" s="73"/>
      <c r="ES20" s="74"/>
      <c r="ET20" s="74"/>
      <c r="EU20" s="74"/>
      <c r="EV20" s="74"/>
      <c r="EW20" s="74"/>
      <c r="EX20" s="74"/>
      <c r="EY20" s="74"/>
      <c r="EZ20" s="74"/>
      <c r="FA20" s="74"/>
      <c r="FB20" s="74"/>
      <c r="FC20" s="74"/>
      <c r="FD20" s="74"/>
      <c r="FE20" s="74"/>
      <c r="FF20" s="74"/>
      <c r="FG20" s="74"/>
      <c r="FH20" s="74"/>
      <c r="FI20" s="74"/>
      <c r="FJ20" s="74"/>
      <c r="FK20" s="68"/>
    </row>
    <row r="21" spans="1:183" s="2" customFormat="1" ht="15" x14ac:dyDescent="0.3">
      <c r="A21" s="73" t="s">
        <v>29</v>
      </c>
      <c r="B21" s="73" t="s">
        <v>51</v>
      </c>
      <c r="C21" s="73" t="s">
        <v>224</v>
      </c>
      <c r="D21" s="73" t="s">
        <v>46</v>
      </c>
      <c r="E21" s="73" t="s">
        <v>178</v>
      </c>
      <c r="F21" s="73" t="s">
        <v>210</v>
      </c>
      <c r="G21" s="73" t="s">
        <v>227</v>
      </c>
      <c r="H21" s="73"/>
      <c r="I21" s="74">
        <v>65865</v>
      </c>
      <c r="J21" s="74">
        <v>74723</v>
      </c>
      <c r="K21" s="74">
        <v>104412</v>
      </c>
      <c r="L21" s="74">
        <v>127787</v>
      </c>
      <c r="M21" s="74">
        <v>118007</v>
      </c>
      <c r="N21" s="74">
        <v>131200</v>
      </c>
      <c r="O21" s="74">
        <v>142906</v>
      </c>
      <c r="P21" s="74">
        <v>161894</v>
      </c>
      <c r="Q21" s="74">
        <v>0</v>
      </c>
      <c r="R21" s="74">
        <v>0</v>
      </c>
      <c r="S21" s="74">
        <v>0</v>
      </c>
      <c r="T21" s="74">
        <v>0</v>
      </c>
      <c r="U21" s="74">
        <v>0</v>
      </c>
      <c r="V21" s="74">
        <v>0</v>
      </c>
      <c r="W21" s="74">
        <v>0</v>
      </c>
      <c r="X21" s="74">
        <v>0</v>
      </c>
      <c r="Y21" s="74">
        <v>0</v>
      </c>
      <c r="Z21" s="74">
        <v>0</v>
      </c>
      <c r="AA21" s="74">
        <v>0</v>
      </c>
      <c r="AB21" s="74">
        <v>0</v>
      </c>
      <c r="AC21" s="74">
        <v>0</v>
      </c>
      <c r="AD21" s="74">
        <v>0</v>
      </c>
      <c r="AE21" s="74">
        <v>0</v>
      </c>
      <c r="AF21" s="74">
        <v>0</v>
      </c>
      <c r="AG21" s="74">
        <v>0</v>
      </c>
      <c r="AH21" s="74">
        <v>0</v>
      </c>
      <c r="AI21" s="74">
        <v>0</v>
      </c>
      <c r="AJ21" s="74">
        <v>0</v>
      </c>
      <c r="AK21" s="74"/>
      <c r="AL21" s="74">
        <v>28759</v>
      </c>
      <c r="AM21" s="74">
        <v>27065</v>
      </c>
      <c r="AN21" s="74">
        <v>27720</v>
      </c>
      <c r="AO21" s="74">
        <v>34463</v>
      </c>
      <c r="AP21" s="74">
        <v>29123</v>
      </c>
      <c r="AQ21" s="74">
        <v>29697</v>
      </c>
      <c r="AR21" s="74">
        <v>32137</v>
      </c>
      <c r="AS21" s="74">
        <v>40243</v>
      </c>
      <c r="AT21" s="74">
        <v>31935</v>
      </c>
      <c r="AU21" s="74">
        <v>31663</v>
      </c>
      <c r="AV21" s="74">
        <v>35888</v>
      </c>
      <c r="AW21" s="74">
        <v>43420</v>
      </c>
      <c r="AX21" s="74">
        <v>33513</v>
      </c>
      <c r="AY21" s="74">
        <v>36761</v>
      </c>
      <c r="AZ21" s="74">
        <v>40896</v>
      </c>
      <c r="BA21" s="74">
        <v>50724</v>
      </c>
      <c r="BB21" s="74">
        <v>39789</v>
      </c>
      <c r="BC21" s="74">
        <v>0</v>
      </c>
      <c r="BD21" s="74">
        <v>0</v>
      </c>
      <c r="BE21" s="74">
        <v>0</v>
      </c>
      <c r="BF21" s="74">
        <v>0</v>
      </c>
      <c r="BG21" s="74">
        <v>0</v>
      </c>
      <c r="BH21" s="74">
        <v>0</v>
      </c>
      <c r="BI21" s="74">
        <v>0</v>
      </c>
      <c r="BJ21" s="74">
        <v>0</v>
      </c>
      <c r="BK21" s="74">
        <v>0</v>
      </c>
      <c r="BL21" s="74">
        <v>0</v>
      </c>
      <c r="BM21" s="74">
        <v>0</v>
      </c>
      <c r="BN21" s="74">
        <v>0</v>
      </c>
      <c r="BO21" s="74">
        <v>0</v>
      </c>
      <c r="BP21" s="74">
        <v>0</v>
      </c>
      <c r="BQ21" s="74">
        <v>0</v>
      </c>
      <c r="BR21" s="74">
        <v>0</v>
      </c>
      <c r="BS21" s="74">
        <v>0</v>
      </c>
      <c r="BT21" s="74">
        <v>0</v>
      </c>
      <c r="BU21" s="74">
        <v>0</v>
      </c>
      <c r="BV21" s="74">
        <v>0</v>
      </c>
      <c r="BW21" s="74">
        <v>0</v>
      </c>
      <c r="BX21" s="74">
        <v>0</v>
      </c>
      <c r="BY21" s="74">
        <v>0</v>
      </c>
      <c r="BZ21" s="74">
        <v>0</v>
      </c>
      <c r="CA21" s="74">
        <v>0</v>
      </c>
      <c r="CB21" s="74">
        <v>0</v>
      </c>
      <c r="CC21" s="74">
        <v>0</v>
      </c>
      <c r="CD21" s="74">
        <v>0</v>
      </c>
      <c r="CE21" s="74">
        <v>0</v>
      </c>
      <c r="CF21" s="74">
        <v>0</v>
      </c>
      <c r="CG21" s="74">
        <v>0</v>
      </c>
      <c r="CH21" s="74">
        <v>0</v>
      </c>
      <c r="CI21" s="74">
        <v>0</v>
      </c>
      <c r="CJ21" s="74">
        <v>0</v>
      </c>
      <c r="CK21" s="74">
        <v>0</v>
      </c>
      <c r="CL21" s="74">
        <v>0</v>
      </c>
      <c r="CM21" s="74">
        <v>0</v>
      </c>
      <c r="CN21" s="74">
        <v>0</v>
      </c>
      <c r="CO21" s="74">
        <v>0</v>
      </c>
      <c r="CP21" s="74">
        <v>0</v>
      </c>
      <c r="CQ21" s="74">
        <v>0</v>
      </c>
      <c r="CR21" s="74">
        <v>0</v>
      </c>
      <c r="CS21" s="74">
        <v>0</v>
      </c>
      <c r="CT21" s="74">
        <v>0</v>
      </c>
      <c r="CU21" s="74">
        <v>0</v>
      </c>
      <c r="CV21" s="74">
        <v>0</v>
      </c>
      <c r="CW21" s="74">
        <v>0</v>
      </c>
      <c r="CX21" s="74">
        <v>0</v>
      </c>
      <c r="CY21" s="74">
        <v>0</v>
      </c>
      <c r="CZ21" s="74">
        <v>0</v>
      </c>
      <c r="DA21" s="74">
        <v>0</v>
      </c>
      <c r="DB21" s="74">
        <v>0</v>
      </c>
      <c r="DC21" s="74">
        <v>0</v>
      </c>
      <c r="DD21" s="74">
        <v>0</v>
      </c>
      <c r="DE21" s="74">
        <v>0</v>
      </c>
      <c r="DF21" s="74">
        <v>0</v>
      </c>
      <c r="DG21" s="74">
        <v>0</v>
      </c>
      <c r="DH21" s="74">
        <v>0</v>
      </c>
      <c r="DI21" s="74">
        <v>0</v>
      </c>
      <c r="DJ21" s="74">
        <v>0</v>
      </c>
      <c r="DK21" s="74">
        <v>0</v>
      </c>
      <c r="DL21" s="74">
        <v>0</v>
      </c>
      <c r="DM21" s="74">
        <v>0</v>
      </c>
      <c r="DN21" s="74">
        <v>0</v>
      </c>
      <c r="DO21" s="74">
        <v>0</v>
      </c>
      <c r="DP21" s="74">
        <v>0</v>
      </c>
      <c r="DQ21" s="74">
        <v>0</v>
      </c>
      <c r="DR21" s="74">
        <v>0</v>
      </c>
      <c r="DS21" s="74">
        <v>0</v>
      </c>
      <c r="DT21" s="74">
        <v>0</v>
      </c>
      <c r="DU21" s="74">
        <v>0</v>
      </c>
      <c r="DV21" s="74">
        <v>0</v>
      </c>
      <c r="DW21" s="74">
        <v>0</v>
      </c>
      <c r="DX21" s="74">
        <v>0</v>
      </c>
      <c r="DY21" s="74">
        <v>0</v>
      </c>
      <c r="DZ21" s="74">
        <v>0</v>
      </c>
      <c r="EA21" s="74">
        <v>0</v>
      </c>
      <c r="EB21" s="74">
        <v>0</v>
      </c>
      <c r="EC21" s="74">
        <v>0</v>
      </c>
      <c r="ED21" s="74"/>
      <c r="EE21" s="68">
        <v>46147</v>
      </c>
      <c r="EF21" s="81">
        <v>46147.490590624999</v>
      </c>
      <c r="EG21" s="2" t="s">
        <v>71</v>
      </c>
      <c r="EH21" s="76">
        <v>3</v>
      </c>
      <c r="EI21" s="76" t="s">
        <v>32</v>
      </c>
      <c r="EJ21" s="74" t="s">
        <v>244</v>
      </c>
      <c r="EK21" s="78"/>
      <c r="EL21" s="74"/>
      <c r="EM21" s="74"/>
      <c r="EN21" s="68"/>
      <c r="ER21" s="73"/>
      <c r="ES21" s="74"/>
      <c r="ET21" s="74"/>
      <c r="EU21" s="74"/>
      <c r="EV21" s="74"/>
      <c r="EW21" s="74"/>
      <c r="EX21" s="74"/>
      <c r="EY21" s="74"/>
      <c r="EZ21" s="74"/>
      <c r="FA21" s="74"/>
      <c r="FB21" s="74"/>
      <c r="FC21" s="74"/>
      <c r="FD21" s="74"/>
      <c r="FE21" s="74"/>
      <c r="FF21" s="74"/>
      <c r="FG21" s="74"/>
      <c r="FH21" s="74"/>
      <c r="FI21" s="74"/>
      <c r="FJ21" s="74"/>
      <c r="FK21" s="68"/>
    </row>
    <row r="22" spans="1:183" s="2" customFormat="1" ht="15" x14ac:dyDescent="0.3">
      <c r="A22" s="73" t="s">
        <v>28</v>
      </c>
      <c r="B22" s="73" t="s">
        <v>27</v>
      </c>
      <c r="C22" s="73" t="s">
        <v>225</v>
      </c>
      <c r="D22" s="73" t="s">
        <v>44</v>
      </c>
      <c r="E22" s="73" t="s">
        <v>178</v>
      </c>
      <c r="F22" s="73" t="s">
        <v>210</v>
      </c>
      <c r="G22" s="73" t="s">
        <v>227</v>
      </c>
      <c r="H22" s="73"/>
      <c r="I22" s="74">
        <v>25656</v>
      </c>
      <c r="J22" s="74">
        <v>35026</v>
      </c>
      <c r="K22" s="74">
        <v>45370</v>
      </c>
      <c r="L22" s="74">
        <v>62202</v>
      </c>
      <c r="M22" s="74">
        <v>80096</v>
      </c>
      <c r="N22" s="74">
        <v>90757</v>
      </c>
      <c r="O22" s="74">
        <v>107556</v>
      </c>
      <c r="P22" s="74">
        <v>128725</v>
      </c>
      <c r="Q22" s="74">
        <v>0</v>
      </c>
      <c r="R22" s="74">
        <v>0</v>
      </c>
      <c r="S22" s="74">
        <v>0</v>
      </c>
      <c r="T22" s="74">
        <v>0</v>
      </c>
      <c r="U22" s="74">
        <v>0</v>
      </c>
      <c r="V22" s="74">
        <v>0</v>
      </c>
      <c r="W22" s="74">
        <v>0</v>
      </c>
      <c r="X22" s="74">
        <v>0</v>
      </c>
      <c r="Y22" s="74">
        <v>0</v>
      </c>
      <c r="Z22" s="74">
        <v>0</v>
      </c>
      <c r="AA22" s="74">
        <v>0</v>
      </c>
      <c r="AB22" s="74">
        <v>0</v>
      </c>
      <c r="AC22" s="74">
        <v>0</v>
      </c>
      <c r="AD22" s="74">
        <v>0</v>
      </c>
      <c r="AE22" s="74">
        <v>0</v>
      </c>
      <c r="AF22" s="74">
        <v>0</v>
      </c>
      <c r="AG22" s="74">
        <v>0</v>
      </c>
      <c r="AH22" s="74">
        <v>0</v>
      </c>
      <c r="AI22" s="74">
        <v>0</v>
      </c>
      <c r="AJ22" s="74">
        <v>0</v>
      </c>
      <c r="AK22" s="74"/>
      <c r="AL22" s="74">
        <v>18441</v>
      </c>
      <c r="AM22" s="74">
        <v>19739</v>
      </c>
      <c r="AN22" s="74">
        <v>20538</v>
      </c>
      <c r="AO22" s="74">
        <v>21378</v>
      </c>
      <c r="AP22" s="74">
        <v>21354</v>
      </c>
      <c r="AQ22" s="74">
        <v>22140</v>
      </c>
      <c r="AR22" s="74">
        <v>23059</v>
      </c>
      <c r="AS22" s="74">
        <v>24204</v>
      </c>
      <c r="AT22" s="74">
        <v>25037</v>
      </c>
      <c r="AU22" s="74">
        <v>26281</v>
      </c>
      <c r="AV22" s="74">
        <v>27452</v>
      </c>
      <c r="AW22" s="74">
        <v>28786</v>
      </c>
      <c r="AX22" s="74">
        <v>29267</v>
      </c>
      <c r="AY22" s="74">
        <v>30873</v>
      </c>
      <c r="AZ22" s="74">
        <v>33006</v>
      </c>
      <c r="BA22" s="74">
        <v>35579</v>
      </c>
      <c r="BB22" s="74">
        <v>37587</v>
      </c>
      <c r="BC22" s="74">
        <v>0</v>
      </c>
      <c r="BD22" s="74">
        <v>0</v>
      </c>
      <c r="BE22" s="74">
        <v>0</v>
      </c>
      <c r="BF22" s="74">
        <v>0</v>
      </c>
      <c r="BG22" s="74">
        <v>0</v>
      </c>
      <c r="BH22" s="74">
        <v>0</v>
      </c>
      <c r="BI22" s="74">
        <v>0</v>
      </c>
      <c r="BJ22" s="74">
        <v>0</v>
      </c>
      <c r="BK22" s="74">
        <v>0</v>
      </c>
      <c r="BL22" s="74">
        <v>0</v>
      </c>
      <c r="BM22" s="74">
        <v>0</v>
      </c>
      <c r="BN22" s="74">
        <v>0</v>
      </c>
      <c r="BO22" s="74">
        <v>0</v>
      </c>
      <c r="BP22" s="74">
        <v>0</v>
      </c>
      <c r="BQ22" s="74">
        <v>0</v>
      </c>
      <c r="BR22" s="74">
        <v>0</v>
      </c>
      <c r="BS22" s="74">
        <v>0</v>
      </c>
      <c r="BT22" s="74">
        <v>0</v>
      </c>
      <c r="BU22" s="74">
        <v>0</v>
      </c>
      <c r="BV22" s="74">
        <v>0</v>
      </c>
      <c r="BW22" s="74">
        <v>0</v>
      </c>
      <c r="BX22" s="74">
        <v>0</v>
      </c>
      <c r="BY22" s="74">
        <v>0</v>
      </c>
      <c r="BZ22" s="74">
        <v>0</v>
      </c>
      <c r="CA22" s="74">
        <v>0</v>
      </c>
      <c r="CB22" s="74">
        <v>0</v>
      </c>
      <c r="CC22" s="74">
        <v>0</v>
      </c>
      <c r="CD22" s="74">
        <v>0</v>
      </c>
      <c r="CE22" s="74">
        <v>0</v>
      </c>
      <c r="CF22" s="74">
        <v>0</v>
      </c>
      <c r="CG22" s="74">
        <v>0</v>
      </c>
      <c r="CH22" s="74">
        <v>0</v>
      </c>
      <c r="CI22" s="74">
        <v>0</v>
      </c>
      <c r="CJ22" s="74">
        <v>0</v>
      </c>
      <c r="CK22" s="74">
        <v>0</v>
      </c>
      <c r="CL22" s="74">
        <v>0</v>
      </c>
      <c r="CM22" s="74">
        <v>0</v>
      </c>
      <c r="CN22" s="74">
        <v>0</v>
      </c>
      <c r="CO22" s="74">
        <v>0</v>
      </c>
      <c r="CP22" s="74">
        <v>0</v>
      </c>
      <c r="CQ22" s="74">
        <v>0</v>
      </c>
      <c r="CR22" s="74">
        <v>0</v>
      </c>
      <c r="CS22" s="74">
        <v>0</v>
      </c>
      <c r="CT22" s="74">
        <v>0</v>
      </c>
      <c r="CU22" s="74">
        <v>0</v>
      </c>
      <c r="CV22" s="74">
        <v>0</v>
      </c>
      <c r="CW22" s="74">
        <v>0</v>
      </c>
      <c r="CX22" s="74">
        <v>0</v>
      </c>
      <c r="CY22" s="74">
        <v>0</v>
      </c>
      <c r="CZ22" s="74">
        <v>0</v>
      </c>
      <c r="DA22" s="74">
        <v>0</v>
      </c>
      <c r="DB22" s="74">
        <v>0</v>
      </c>
      <c r="DC22" s="74">
        <v>0</v>
      </c>
      <c r="DD22" s="74">
        <v>0</v>
      </c>
      <c r="DE22" s="74">
        <v>0</v>
      </c>
      <c r="DF22" s="74">
        <v>0</v>
      </c>
      <c r="DG22" s="74">
        <v>0</v>
      </c>
      <c r="DH22" s="74">
        <v>0</v>
      </c>
      <c r="DI22" s="74">
        <v>0</v>
      </c>
      <c r="DJ22" s="74">
        <v>0</v>
      </c>
      <c r="DK22" s="74">
        <v>0</v>
      </c>
      <c r="DL22" s="74">
        <v>0</v>
      </c>
      <c r="DM22" s="74">
        <v>0</v>
      </c>
      <c r="DN22" s="74">
        <v>0</v>
      </c>
      <c r="DO22" s="74">
        <v>0</v>
      </c>
      <c r="DP22" s="74">
        <v>0</v>
      </c>
      <c r="DQ22" s="74">
        <v>0</v>
      </c>
      <c r="DR22" s="74">
        <v>0</v>
      </c>
      <c r="DS22" s="74">
        <v>0</v>
      </c>
      <c r="DT22" s="74">
        <v>0</v>
      </c>
      <c r="DU22" s="74">
        <v>0</v>
      </c>
      <c r="DV22" s="74">
        <v>0</v>
      </c>
      <c r="DW22" s="74">
        <v>0</v>
      </c>
      <c r="DX22" s="74">
        <v>0</v>
      </c>
      <c r="DY22" s="74">
        <v>0</v>
      </c>
      <c r="DZ22" s="74">
        <v>0</v>
      </c>
      <c r="EA22" s="74">
        <v>0</v>
      </c>
      <c r="EB22" s="74">
        <v>0</v>
      </c>
      <c r="EC22" s="74">
        <v>0</v>
      </c>
      <c r="ED22" s="74"/>
      <c r="EE22" s="68">
        <v>46147</v>
      </c>
      <c r="EF22" s="81">
        <v>46147.490590624999</v>
      </c>
      <c r="EG22" s="2" t="s">
        <v>71</v>
      </c>
      <c r="EH22" s="76">
        <v>3</v>
      </c>
      <c r="EI22" s="76" t="s">
        <v>32</v>
      </c>
      <c r="EJ22" s="74" t="s">
        <v>244</v>
      </c>
      <c r="EK22" s="78"/>
      <c r="EL22" s="74"/>
      <c r="EM22" s="74"/>
      <c r="EN22" s="68"/>
      <c r="ER22" s="73"/>
      <c r="ES22" s="74"/>
      <c r="ET22" s="74"/>
      <c r="EU22" s="74"/>
      <c r="EV22" s="74"/>
      <c r="EW22" s="74"/>
      <c r="EX22" s="74"/>
      <c r="EY22" s="74"/>
      <c r="EZ22" s="74"/>
      <c r="FA22" s="74"/>
      <c r="FB22" s="74"/>
      <c r="FC22" s="74"/>
      <c r="FD22" s="74"/>
      <c r="FE22" s="74"/>
      <c r="FF22" s="74"/>
      <c r="FG22" s="74"/>
      <c r="FH22" s="74"/>
      <c r="FI22" s="74"/>
      <c r="FJ22" s="74"/>
      <c r="FK22" s="68"/>
    </row>
    <row r="23" spans="1:183" s="2" customFormat="1" ht="15" x14ac:dyDescent="0.3">
      <c r="A23" s="73" t="s">
        <v>158</v>
      </c>
      <c r="B23" s="73" t="s">
        <v>52</v>
      </c>
      <c r="C23" s="73" t="s">
        <v>226</v>
      </c>
      <c r="D23" s="73" t="s">
        <v>45</v>
      </c>
      <c r="E23" s="73" t="s">
        <v>178</v>
      </c>
      <c r="F23" s="73" t="s">
        <v>210</v>
      </c>
      <c r="G23" s="73" t="s">
        <v>227</v>
      </c>
      <c r="H23" s="73"/>
      <c r="I23" s="74">
        <v>7267</v>
      </c>
      <c r="J23" s="74">
        <v>7033</v>
      </c>
      <c r="K23" s="74">
        <v>8651</v>
      </c>
      <c r="L23" s="74">
        <v>7271</v>
      </c>
      <c r="M23" s="74">
        <v>-2847</v>
      </c>
      <c r="N23" s="74">
        <v>14877</v>
      </c>
      <c r="O23" s="74">
        <v>24967</v>
      </c>
      <c r="P23" s="74">
        <v>29619</v>
      </c>
      <c r="Q23" s="74">
        <v>0</v>
      </c>
      <c r="R23" s="74">
        <v>0</v>
      </c>
      <c r="S23" s="74">
        <v>0</v>
      </c>
      <c r="T23" s="74">
        <v>0</v>
      </c>
      <c r="U23" s="74">
        <v>0</v>
      </c>
      <c r="V23" s="74">
        <v>0</v>
      </c>
      <c r="W23" s="74">
        <v>0</v>
      </c>
      <c r="X23" s="74">
        <v>0</v>
      </c>
      <c r="Y23" s="74">
        <v>0</v>
      </c>
      <c r="Z23" s="74">
        <v>0</v>
      </c>
      <c r="AA23" s="74">
        <v>0</v>
      </c>
      <c r="AB23" s="74">
        <v>0</v>
      </c>
      <c r="AC23" s="74">
        <v>0</v>
      </c>
      <c r="AD23" s="74">
        <v>0</v>
      </c>
      <c r="AE23" s="74">
        <v>0</v>
      </c>
      <c r="AF23" s="74">
        <v>0</v>
      </c>
      <c r="AG23" s="74">
        <v>0</v>
      </c>
      <c r="AH23" s="74">
        <v>0</v>
      </c>
      <c r="AI23" s="74">
        <v>0</v>
      </c>
      <c r="AJ23" s="74">
        <v>0</v>
      </c>
      <c r="AK23" s="74"/>
      <c r="AL23" s="74">
        <v>-1568</v>
      </c>
      <c r="AM23" s="74">
        <v>-627</v>
      </c>
      <c r="AN23" s="74">
        <v>-412</v>
      </c>
      <c r="AO23" s="74">
        <v>-240</v>
      </c>
      <c r="AP23" s="74">
        <v>898</v>
      </c>
      <c r="AQ23" s="74">
        <v>3211</v>
      </c>
      <c r="AR23" s="74">
        <v>4307</v>
      </c>
      <c r="AS23" s="74">
        <v>6461</v>
      </c>
      <c r="AT23" s="74">
        <v>4983</v>
      </c>
      <c r="AU23" s="74">
        <v>5065</v>
      </c>
      <c r="AV23" s="74">
        <v>5663</v>
      </c>
      <c r="AW23" s="74">
        <v>9256</v>
      </c>
      <c r="AX23" s="74">
        <v>5841</v>
      </c>
      <c r="AY23" s="74">
        <v>7517</v>
      </c>
      <c r="AZ23" s="74">
        <v>4789</v>
      </c>
      <c r="BA23" s="74">
        <v>11472</v>
      </c>
      <c r="BB23" s="74">
        <v>8267</v>
      </c>
      <c r="BC23" s="74">
        <v>0</v>
      </c>
      <c r="BD23" s="74">
        <v>0</v>
      </c>
      <c r="BE23" s="74">
        <v>0</v>
      </c>
      <c r="BF23" s="74">
        <v>0</v>
      </c>
      <c r="BG23" s="74">
        <v>0</v>
      </c>
      <c r="BH23" s="74">
        <v>0</v>
      </c>
      <c r="BI23" s="74">
        <v>0</v>
      </c>
      <c r="BJ23" s="74">
        <v>0</v>
      </c>
      <c r="BK23" s="74">
        <v>0</v>
      </c>
      <c r="BL23" s="74">
        <v>0</v>
      </c>
      <c r="BM23" s="74">
        <v>0</v>
      </c>
      <c r="BN23" s="74">
        <v>0</v>
      </c>
      <c r="BO23" s="74">
        <v>0</v>
      </c>
      <c r="BP23" s="74">
        <v>0</v>
      </c>
      <c r="BQ23" s="74">
        <v>0</v>
      </c>
      <c r="BR23" s="74">
        <v>0</v>
      </c>
      <c r="BS23" s="74">
        <v>0</v>
      </c>
      <c r="BT23" s="74">
        <v>0</v>
      </c>
      <c r="BU23" s="74">
        <v>0</v>
      </c>
      <c r="BV23" s="74">
        <v>0</v>
      </c>
      <c r="BW23" s="74">
        <v>0</v>
      </c>
      <c r="BX23" s="74">
        <v>0</v>
      </c>
      <c r="BY23" s="74">
        <v>0</v>
      </c>
      <c r="BZ23" s="74">
        <v>0</v>
      </c>
      <c r="CA23" s="74">
        <v>0</v>
      </c>
      <c r="CB23" s="74">
        <v>0</v>
      </c>
      <c r="CC23" s="74">
        <v>0</v>
      </c>
      <c r="CD23" s="74">
        <v>0</v>
      </c>
      <c r="CE23" s="74">
        <v>0</v>
      </c>
      <c r="CF23" s="74">
        <v>0</v>
      </c>
      <c r="CG23" s="74">
        <v>0</v>
      </c>
      <c r="CH23" s="74">
        <v>0</v>
      </c>
      <c r="CI23" s="74">
        <v>0</v>
      </c>
      <c r="CJ23" s="74">
        <v>0</v>
      </c>
      <c r="CK23" s="74">
        <v>0</v>
      </c>
      <c r="CL23" s="74">
        <v>0</v>
      </c>
      <c r="CM23" s="74">
        <v>0</v>
      </c>
      <c r="CN23" s="74">
        <v>0</v>
      </c>
      <c r="CO23" s="74">
        <v>0</v>
      </c>
      <c r="CP23" s="74">
        <v>0</v>
      </c>
      <c r="CQ23" s="74">
        <v>0</v>
      </c>
      <c r="CR23" s="74">
        <v>0</v>
      </c>
      <c r="CS23" s="74">
        <v>0</v>
      </c>
      <c r="CT23" s="74">
        <v>0</v>
      </c>
      <c r="CU23" s="74">
        <v>0</v>
      </c>
      <c r="CV23" s="74">
        <v>0</v>
      </c>
      <c r="CW23" s="74">
        <v>0</v>
      </c>
      <c r="CX23" s="74">
        <v>0</v>
      </c>
      <c r="CY23" s="74">
        <v>0</v>
      </c>
      <c r="CZ23" s="74">
        <v>0</v>
      </c>
      <c r="DA23" s="74">
        <v>0</v>
      </c>
      <c r="DB23" s="74">
        <v>0</v>
      </c>
      <c r="DC23" s="74">
        <v>0</v>
      </c>
      <c r="DD23" s="74">
        <v>0</v>
      </c>
      <c r="DE23" s="74">
        <v>0</v>
      </c>
      <c r="DF23" s="74">
        <v>0</v>
      </c>
      <c r="DG23" s="74">
        <v>0</v>
      </c>
      <c r="DH23" s="74">
        <v>0</v>
      </c>
      <c r="DI23" s="74">
        <v>0</v>
      </c>
      <c r="DJ23" s="74">
        <v>0</v>
      </c>
      <c r="DK23" s="74">
        <v>0</v>
      </c>
      <c r="DL23" s="74">
        <v>0</v>
      </c>
      <c r="DM23" s="74">
        <v>0</v>
      </c>
      <c r="DN23" s="74">
        <v>0</v>
      </c>
      <c r="DO23" s="74">
        <v>0</v>
      </c>
      <c r="DP23" s="74">
        <v>0</v>
      </c>
      <c r="DQ23" s="74">
        <v>0</v>
      </c>
      <c r="DR23" s="74">
        <v>0</v>
      </c>
      <c r="DS23" s="74">
        <v>0</v>
      </c>
      <c r="DT23" s="74">
        <v>0</v>
      </c>
      <c r="DU23" s="74">
        <v>0</v>
      </c>
      <c r="DV23" s="74">
        <v>0</v>
      </c>
      <c r="DW23" s="74">
        <v>0</v>
      </c>
      <c r="DX23" s="74">
        <v>0</v>
      </c>
      <c r="DY23" s="74">
        <v>0</v>
      </c>
      <c r="DZ23" s="74">
        <v>0</v>
      </c>
      <c r="EA23" s="74">
        <v>0</v>
      </c>
      <c r="EB23" s="74">
        <v>0</v>
      </c>
      <c r="EC23" s="74">
        <v>0</v>
      </c>
      <c r="ED23" s="74"/>
      <c r="EE23" s="68">
        <v>46147</v>
      </c>
      <c r="EF23" s="81">
        <v>46147.490590624999</v>
      </c>
      <c r="EG23" s="2" t="s">
        <v>71</v>
      </c>
      <c r="EH23" s="76">
        <v>3</v>
      </c>
      <c r="EI23" s="76" t="s">
        <v>32</v>
      </c>
      <c r="EJ23" s="74" t="s">
        <v>244</v>
      </c>
      <c r="EK23" s="78"/>
      <c r="EL23" s="74"/>
      <c r="EM23" s="74"/>
      <c r="EN23" s="68"/>
      <c r="ER23" s="73"/>
      <c r="ES23" s="74"/>
      <c r="ET23" s="74"/>
      <c r="EU23" s="74"/>
      <c r="EV23" s="74"/>
      <c r="EW23" s="74"/>
      <c r="EX23" s="74"/>
      <c r="EY23" s="74"/>
      <c r="EZ23" s="74"/>
      <c r="FA23" s="74"/>
      <c r="FB23" s="74"/>
      <c r="FC23" s="74"/>
      <c r="FD23" s="74"/>
      <c r="FE23" s="74"/>
      <c r="FF23" s="74"/>
      <c r="FG23" s="74"/>
      <c r="FH23" s="74"/>
      <c r="FI23" s="74"/>
      <c r="FJ23" s="74"/>
      <c r="FK23" s="68"/>
    </row>
    <row r="24" spans="1:183" s="2" customFormat="1" ht="15" x14ac:dyDescent="0.3">
      <c r="A24" s="73" t="s">
        <v>33</v>
      </c>
      <c r="B24" s="73" t="s">
        <v>53</v>
      </c>
      <c r="C24" s="73" t="s">
        <v>47</v>
      </c>
      <c r="D24" s="73" t="s">
        <v>46</v>
      </c>
      <c r="E24" s="73" t="s">
        <v>178</v>
      </c>
      <c r="F24" s="73" t="s">
        <v>210</v>
      </c>
      <c r="G24" s="73" t="s">
        <v>227</v>
      </c>
      <c r="H24" s="73"/>
      <c r="I24" s="74">
        <v>-2143</v>
      </c>
      <c r="J24" s="74">
        <v>-1694</v>
      </c>
      <c r="K24" s="74">
        <v>717</v>
      </c>
      <c r="L24" s="74">
        <v>-924</v>
      </c>
      <c r="M24" s="74">
        <v>-7746</v>
      </c>
      <c r="N24" s="74">
        <v>-2656</v>
      </c>
      <c r="O24" s="74">
        <v>3792</v>
      </c>
      <c r="P24" s="74">
        <v>4750</v>
      </c>
      <c r="Q24" s="74">
        <v>0</v>
      </c>
      <c r="R24" s="74">
        <v>0</v>
      </c>
      <c r="S24" s="74">
        <v>0</v>
      </c>
      <c r="T24" s="74">
        <v>0</v>
      </c>
      <c r="U24" s="74">
        <v>0</v>
      </c>
      <c r="V24" s="74">
        <v>0</v>
      </c>
      <c r="W24" s="74">
        <v>0</v>
      </c>
      <c r="X24" s="74">
        <v>0</v>
      </c>
      <c r="Y24" s="74">
        <v>0</v>
      </c>
      <c r="Z24" s="74">
        <v>0</v>
      </c>
      <c r="AA24" s="74">
        <v>0</v>
      </c>
      <c r="AB24" s="74">
        <v>0</v>
      </c>
      <c r="AC24" s="74">
        <v>0</v>
      </c>
      <c r="AD24" s="74">
        <v>0</v>
      </c>
      <c r="AE24" s="74">
        <v>0</v>
      </c>
      <c r="AF24" s="74">
        <v>0</v>
      </c>
      <c r="AG24" s="74">
        <v>0</v>
      </c>
      <c r="AH24" s="74">
        <v>0</v>
      </c>
      <c r="AI24" s="74">
        <v>0</v>
      </c>
      <c r="AJ24" s="74">
        <v>0</v>
      </c>
      <c r="AK24" s="74"/>
      <c r="AL24" s="74">
        <v>-1281</v>
      </c>
      <c r="AM24" s="74">
        <v>-1771</v>
      </c>
      <c r="AN24" s="74">
        <v>-2466</v>
      </c>
      <c r="AO24" s="74">
        <v>-2228</v>
      </c>
      <c r="AP24" s="74">
        <v>-1247</v>
      </c>
      <c r="AQ24" s="74">
        <v>-895</v>
      </c>
      <c r="AR24" s="74">
        <v>-95</v>
      </c>
      <c r="AS24" s="74">
        <v>-419</v>
      </c>
      <c r="AT24" s="74">
        <v>903</v>
      </c>
      <c r="AU24" s="74">
        <v>273</v>
      </c>
      <c r="AV24" s="74">
        <v>1301</v>
      </c>
      <c r="AW24" s="74">
        <v>1315</v>
      </c>
      <c r="AX24" s="74">
        <v>1017</v>
      </c>
      <c r="AY24" s="74">
        <v>1494</v>
      </c>
      <c r="AZ24" s="74">
        <v>1199</v>
      </c>
      <c r="BA24" s="74">
        <v>1040</v>
      </c>
      <c r="BB24" s="74">
        <v>1424</v>
      </c>
      <c r="BC24" s="74">
        <v>0</v>
      </c>
      <c r="BD24" s="74">
        <v>0</v>
      </c>
      <c r="BE24" s="74">
        <v>0</v>
      </c>
      <c r="BF24" s="74">
        <v>0</v>
      </c>
      <c r="BG24" s="74">
        <v>0</v>
      </c>
      <c r="BH24" s="74">
        <v>0</v>
      </c>
      <c r="BI24" s="74">
        <v>0</v>
      </c>
      <c r="BJ24" s="74">
        <v>0</v>
      </c>
      <c r="BK24" s="74">
        <v>0</v>
      </c>
      <c r="BL24" s="74">
        <v>0</v>
      </c>
      <c r="BM24" s="74">
        <v>0</v>
      </c>
      <c r="BN24" s="74">
        <v>0</v>
      </c>
      <c r="BO24" s="74">
        <v>0</v>
      </c>
      <c r="BP24" s="74">
        <v>0</v>
      </c>
      <c r="BQ24" s="74">
        <v>0</v>
      </c>
      <c r="BR24" s="74">
        <v>0</v>
      </c>
      <c r="BS24" s="74">
        <v>0</v>
      </c>
      <c r="BT24" s="74">
        <v>0</v>
      </c>
      <c r="BU24" s="74">
        <v>0</v>
      </c>
      <c r="BV24" s="74">
        <v>0</v>
      </c>
      <c r="BW24" s="74">
        <v>0</v>
      </c>
      <c r="BX24" s="74">
        <v>0</v>
      </c>
      <c r="BY24" s="74">
        <v>0</v>
      </c>
      <c r="BZ24" s="74">
        <v>0</v>
      </c>
      <c r="CA24" s="74">
        <v>0</v>
      </c>
      <c r="CB24" s="74">
        <v>0</v>
      </c>
      <c r="CC24" s="74">
        <v>0</v>
      </c>
      <c r="CD24" s="74">
        <v>0</v>
      </c>
      <c r="CE24" s="74">
        <v>0</v>
      </c>
      <c r="CF24" s="74">
        <v>0</v>
      </c>
      <c r="CG24" s="74">
        <v>0</v>
      </c>
      <c r="CH24" s="74">
        <v>0</v>
      </c>
      <c r="CI24" s="74">
        <v>0</v>
      </c>
      <c r="CJ24" s="74">
        <v>0</v>
      </c>
      <c r="CK24" s="74">
        <v>0</v>
      </c>
      <c r="CL24" s="74">
        <v>0</v>
      </c>
      <c r="CM24" s="74">
        <v>0</v>
      </c>
      <c r="CN24" s="74">
        <v>0</v>
      </c>
      <c r="CO24" s="74">
        <v>0</v>
      </c>
      <c r="CP24" s="74">
        <v>0</v>
      </c>
      <c r="CQ24" s="74">
        <v>0</v>
      </c>
      <c r="CR24" s="74">
        <v>0</v>
      </c>
      <c r="CS24" s="74">
        <v>0</v>
      </c>
      <c r="CT24" s="74">
        <v>0</v>
      </c>
      <c r="CU24" s="74">
        <v>0</v>
      </c>
      <c r="CV24" s="74">
        <v>0</v>
      </c>
      <c r="CW24" s="74">
        <v>0</v>
      </c>
      <c r="CX24" s="74">
        <v>0</v>
      </c>
      <c r="CY24" s="74">
        <v>0</v>
      </c>
      <c r="CZ24" s="74">
        <v>0</v>
      </c>
      <c r="DA24" s="74">
        <v>0</v>
      </c>
      <c r="DB24" s="74">
        <v>0</v>
      </c>
      <c r="DC24" s="74">
        <v>0</v>
      </c>
      <c r="DD24" s="74">
        <v>0</v>
      </c>
      <c r="DE24" s="74">
        <v>0</v>
      </c>
      <c r="DF24" s="74">
        <v>0</v>
      </c>
      <c r="DG24" s="74">
        <v>0</v>
      </c>
      <c r="DH24" s="74">
        <v>0</v>
      </c>
      <c r="DI24" s="74">
        <v>0</v>
      </c>
      <c r="DJ24" s="74">
        <v>0</v>
      </c>
      <c r="DK24" s="74">
        <v>0</v>
      </c>
      <c r="DL24" s="74">
        <v>0</v>
      </c>
      <c r="DM24" s="74">
        <v>0</v>
      </c>
      <c r="DN24" s="74">
        <v>0</v>
      </c>
      <c r="DO24" s="74">
        <v>0</v>
      </c>
      <c r="DP24" s="74">
        <v>0</v>
      </c>
      <c r="DQ24" s="74">
        <v>0</v>
      </c>
      <c r="DR24" s="74">
        <v>0</v>
      </c>
      <c r="DS24" s="74">
        <v>0</v>
      </c>
      <c r="DT24" s="74">
        <v>0</v>
      </c>
      <c r="DU24" s="74">
        <v>0</v>
      </c>
      <c r="DV24" s="74">
        <v>0</v>
      </c>
      <c r="DW24" s="74">
        <v>0</v>
      </c>
      <c r="DX24" s="74">
        <v>0</v>
      </c>
      <c r="DY24" s="74">
        <v>0</v>
      </c>
      <c r="DZ24" s="74">
        <v>0</v>
      </c>
      <c r="EA24" s="74">
        <v>0</v>
      </c>
      <c r="EB24" s="74">
        <v>0</v>
      </c>
      <c r="EC24" s="74">
        <v>0</v>
      </c>
      <c r="ED24" s="74"/>
      <c r="EE24" s="68">
        <v>46147</v>
      </c>
      <c r="EF24" s="81">
        <v>46147.490590624999</v>
      </c>
      <c r="EG24" s="2" t="s">
        <v>71</v>
      </c>
      <c r="EH24" s="76">
        <v>3</v>
      </c>
      <c r="EI24" s="76" t="s">
        <v>32</v>
      </c>
      <c r="EJ24" s="74" t="s">
        <v>244</v>
      </c>
      <c r="EK24" s="78"/>
      <c r="EL24" s="74"/>
      <c r="EM24" s="74"/>
      <c r="EN24" s="68"/>
      <c r="ER24" s="73"/>
      <c r="ES24" s="74"/>
      <c r="ET24" s="74"/>
      <c r="EU24" s="74"/>
      <c r="EV24" s="74"/>
      <c r="EW24" s="74"/>
      <c r="EX24" s="74"/>
      <c r="EY24" s="74"/>
      <c r="EZ24" s="74"/>
      <c r="FA24" s="74"/>
      <c r="FB24" s="74"/>
      <c r="FC24" s="74"/>
      <c r="FD24" s="74"/>
      <c r="FE24" s="74"/>
      <c r="FF24" s="74"/>
      <c r="FG24" s="74"/>
      <c r="FH24" s="74"/>
      <c r="FI24" s="74"/>
      <c r="FJ24" s="74"/>
      <c r="FK24" s="68"/>
    </row>
    <row r="25" spans="1:183" s="2" customFormat="1" ht="15" x14ac:dyDescent="0.3">
      <c r="A25" s="73" t="s">
        <v>157</v>
      </c>
      <c r="B25" s="73" t="s">
        <v>54</v>
      </c>
      <c r="C25" s="73" t="s">
        <v>47</v>
      </c>
      <c r="D25" s="73" t="s">
        <v>44</v>
      </c>
      <c r="E25" s="73" t="s">
        <v>178</v>
      </c>
      <c r="F25" s="73" t="s">
        <v>210</v>
      </c>
      <c r="G25" s="73" t="s">
        <v>227</v>
      </c>
      <c r="H25" s="73"/>
      <c r="I25" s="74">
        <v>7296</v>
      </c>
      <c r="J25" s="74">
        <v>9201</v>
      </c>
      <c r="K25" s="74">
        <v>13531</v>
      </c>
      <c r="L25" s="74">
        <v>18532</v>
      </c>
      <c r="M25" s="74">
        <v>22841</v>
      </c>
      <c r="N25" s="74">
        <v>24631</v>
      </c>
      <c r="O25" s="74">
        <v>39834</v>
      </c>
      <c r="P25" s="74">
        <v>45606</v>
      </c>
      <c r="Q25" s="74">
        <v>0</v>
      </c>
      <c r="R25" s="74">
        <v>0</v>
      </c>
      <c r="S25" s="74">
        <v>0</v>
      </c>
      <c r="T25" s="74">
        <v>0</v>
      </c>
      <c r="U25" s="74">
        <v>0</v>
      </c>
      <c r="V25" s="74">
        <v>0</v>
      </c>
      <c r="W25" s="74">
        <v>0</v>
      </c>
      <c r="X25" s="74">
        <v>0</v>
      </c>
      <c r="Y25" s="74">
        <v>0</v>
      </c>
      <c r="Z25" s="74">
        <v>0</v>
      </c>
      <c r="AA25" s="74">
        <v>0</v>
      </c>
      <c r="AB25" s="74">
        <v>0</v>
      </c>
      <c r="AC25" s="74">
        <v>0</v>
      </c>
      <c r="AD25" s="74">
        <v>0</v>
      </c>
      <c r="AE25" s="74">
        <v>0</v>
      </c>
      <c r="AF25" s="74">
        <v>0</v>
      </c>
      <c r="AG25" s="74">
        <v>0</v>
      </c>
      <c r="AH25" s="74">
        <v>0</v>
      </c>
      <c r="AI25" s="74">
        <v>0</v>
      </c>
      <c r="AJ25" s="74">
        <v>0</v>
      </c>
      <c r="AK25" s="74"/>
      <c r="AL25" s="74">
        <v>6518</v>
      </c>
      <c r="AM25" s="74">
        <v>5715</v>
      </c>
      <c r="AN25" s="74">
        <v>5403</v>
      </c>
      <c r="AO25" s="74">
        <v>5205</v>
      </c>
      <c r="AP25" s="74">
        <v>5123</v>
      </c>
      <c r="AQ25" s="74">
        <v>5365</v>
      </c>
      <c r="AR25" s="74">
        <v>6976</v>
      </c>
      <c r="AS25" s="74">
        <v>7167</v>
      </c>
      <c r="AT25" s="74">
        <v>9421</v>
      </c>
      <c r="AU25" s="74">
        <v>9334</v>
      </c>
      <c r="AV25" s="74">
        <v>10447</v>
      </c>
      <c r="AW25" s="74">
        <v>10632</v>
      </c>
      <c r="AX25" s="74">
        <v>11547</v>
      </c>
      <c r="AY25" s="74">
        <v>10160</v>
      </c>
      <c r="AZ25" s="74">
        <v>11434</v>
      </c>
      <c r="BA25" s="74">
        <v>12465</v>
      </c>
      <c r="BB25" s="74">
        <v>14161</v>
      </c>
      <c r="BC25" s="74">
        <v>0</v>
      </c>
      <c r="BD25" s="74">
        <v>0</v>
      </c>
      <c r="BE25" s="74">
        <v>0</v>
      </c>
      <c r="BF25" s="74">
        <v>0</v>
      </c>
      <c r="BG25" s="74">
        <v>0</v>
      </c>
      <c r="BH25" s="74">
        <v>0</v>
      </c>
      <c r="BI25" s="74">
        <v>0</v>
      </c>
      <c r="BJ25" s="74">
        <v>0</v>
      </c>
      <c r="BK25" s="74">
        <v>0</v>
      </c>
      <c r="BL25" s="74">
        <v>0</v>
      </c>
      <c r="BM25" s="74">
        <v>0</v>
      </c>
      <c r="BN25" s="74">
        <v>0</v>
      </c>
      <c r="BO25" s="74">
        <v>0</v>
      </c>
      <c r="BP25" s="74">
        <v>0</v>
      </c>
      <c r="BQ25" s="74">
        <v>0</v>
      </c>
      <c r="BR25" s="74">
        <v>0</v>
      </c>
      <c r="BS25" s="74">
        <v>0</v>
      </c>
      <c r="BT25" s="74">
        <v>0</v>
      </c>
      <c r="BU25" s="74">
        <v>0</v>
      </c>
      <c r="BV25" s="74">
        <v>0</v>
      </c>
      <c r="BW25" s="74">
        <v>0</v>
      </c>
      <c r="BX25" s="74">
        <v>0</v>
      </c>
      <c r="BY25" s="74">
        <v>0</v>
      </c>
      <c r="BZ25" s="74">
        <v>0</v>
      </c>
      <c r="CA25" s="74">
        <v>0</v>
      </c>
      <c r="CB25" s="74">
        <v>0</v>
      </c>
      <c r="CC25" s="74">
        <v>0</v>
      </c>
      <c r="CD25" s="74">
        <v>0</v>
      </c>
      <c r="CE25" s="74">
        <v>0</v>
      </c>
      <c r="CF25" s="74">
        <v>0</v>
      </c>
      <c r="CG25" s="74">
        <v>0</v>
      </c>
      <c r="CH25" s="74">
        <v>0</v>
      </c>
      <c r="CI25" s="74">
        <v>0</v>
      </c>
      <c r="CJ25" s="74">
        <v>0</v>
      </c>
      <c r="CK25" s="74">
        <v>0</v>
      </c>
      <c r="CL25" s="74">
        <v>0</v>
      </c>
      <c r="CM25" s="74">
        <v>0</v>
      </c>
      <c r="CN25" s="74">
        <v>0</v>
      </c>
      <c r="CO25" s="74">
        <v>0</v>
      </c>
      <c r="CP25" s="74">
        <v>0</v>
      </c>
      <c r="CQ25" s="74">
        <v>0</v>
      </c>
      <c r="CR25" s="74">
        <v>0</v>
      </c>
      <c r="CS25" s="74">
        <v>0</v>
      </c>
      <c r="CT25" s="74">
        <v>0</v>
      </c>
      <c r="CU25" s="74">
        <v>0</v>
      </c>
      <c r="CV25" s="74">
        <v>0</v>
      </c>
      <c r="CW25" s="74">
        <v>0</v>
      </c>
      <c r="CX25" s="74">
        <v>0</v>
      </c>
      <c r="CY25" s="74">
        <v>0</v>
      </c>
      <c r="CZ25" s="74">
        <v>0</v>
      </c>
      <c r="DA25" s="74">
        <v>0</v>
      </c>
      <c r="DB25" s="74">
        <v>0</v>
      </c>
      <c r="DC25" s="74">
        <v>0</v>
      </c>
      <c r="DD25" s="74">
        <v>0</v>
      </c>
      <c r="DE25" s="74">
        <v>0</v>
      </c>
      <c r="DF25" s="74">
        <v>0</v>
      </c>
      <c r="DG25" s="74">
        <v>0</v>
      </c>
      <c r="DH25" s="74">
        <v>0</v>
      </c>
      <c r="DI25" s="74">
        <v>0</v>
      </c>
      <c r="DJ25" s="74">
        <v>0</v>
      </c>
      <c r="DK25" s="74">
        <v>0</v>
      </c>
      <c r="DL25" s="74">
        <v>0</v>
      </c>
      <c r="DM25" s="74">
        <v>0</v>
      </c>
      <c r="DN25" s="74">
        <v>0</v>
      </c>
      <c r="DO25" s="74">
        <v>0</v>
      </c>
      <c r="DP25" s="74">
        <v>0</v>
      </c>
      <c r="DQ25" s="74">
        <v>0</v>
      </c>
      <c r="DR25" s="74">
        <v>0</v>
      </c>
      <c r="DS25" s="74">
        <v>0</v>
      </c>
      <c r="DT25" s="74">
        <v>0</v>
      </c>
      <c r="DU25" s="74">
        <v>0</v>
      </c>
      <c r="DV25" s="74">
        <v>0</v>
      </c>
      <c r="DW25" s="74">
        <v>0</v>
      </c>
      <c r="DX25" s="74">
        <v>0</v>
      </c>
      <c r="DY25" s="74">
        <v>0</v>
      </c>
      <c r="DZ25" s="74">
        <v>0</v>
      </c>
      <c r="EA25" s="74">
        <v>0</v>
      </c>
      <c r="EB25" s="74">
        <v>0</v>
      </c>
      <c r="EC25" s="74">
        <v>0</v>
      </c>
      <c r="ED25" s="74"/>
      <c r="EE25" s="68">
        <v>46147</v>
      </c>
      <c r="EF25" s="81">
        <v>46147.490590624999</v>
      </c>
      <c r="EG25" s="2" t="s">
        <v>71</v>
      </c>
      <c r="EH25" s="76">
        <v>3</v>
      </c>
      <c r="EI25" s="76" t="s">
        <v>32</v>
      </c>
      <c r="EJ25" s="74" t="s">
        <v>244</v>
      </c>
      <c r="EK25" s="78"/>
      <c r="EL25" s="74"/>
      <c r="EM25" s="74"/>
      <c r="EN25" s="68"/>
      <c r="ER25" s="73"/>
      <c r="ES25" s="74"/>
      <c r="ET25" s="74"/>
      <c r="EU25" s="74"/>
      <c r="EV25" s="74"/>
      <c r="EW25" s="74"/>
      <c r="EX25" s="74"/>
      <c r="EY25" s="74"/>
      <c r="EZ25" s="74"/>
      <c r="FA25" s="74"/>
      <c r="FB25" s="74"/>
      <c r="FC25" s="74"/>
      <c r="FD25" s="74"/>
      <c r="FE25" s="74"/>
      <c r="FF25" s="74"/>
      <c r="FG25" s="74"/>
      <c r="FH25" s="74"/>
      <c r="FI25" s="74"/>
      <c r="FJ25" s="74"/>
      <c r="FK25" s="68"/>
    </row>
    <row r="26" spans="1:183" s="2" customFormat="1" ht="15" x14ac:dyDescent="0.3">
      <c r="A26" s="73" t="s">
        <v>196</v>
      </c>
      <c r="B26" s="73" t="s">
        <v>205</v>
      </c>
      <c r="C26" s="73" t="s">
        <v>205</v>
      </c>
      <c r="D26" s="73" t="s">
        <v>48</v>
      </c>
      <c r="E26" s="73" t="s">
        <v>178</v>
      </c>
      <c r="F26" s="73" t="s">
        <v>210</v>
      </c>
      <c r="G26" s="73" t="s">
        <v>227</v>
      </c>
      <c r="H26" s="73"/>
      <c r="I26" s="74">
        <v>17838</v>
      </c>
      <c r="J26" s="74">
        <v>43193</v>
      </c>
      <c r="K26" s="74">
        <v>57287</v>
      </c>
      <c r="L26" s="74">
        <v>72069</v>
      </c>
      <c r="M26" s="74">
        <v>73790</v>
      </c>
      <c r="N26" s="74">
        <v>109538</v>
      </c>
      <c r="O26" s="74">
        <v>143399</v>
      </c>
      <c r="P26" s="74">
        <v>165198</v>
      </c>
      <c r="Q26" s="74">
        <v>0</v>
      </c>
      <c r="R26" s="74">
        <v>0</v>
      </c>
      <c r="S26" s="74">
        <v>0</v>
      </c>
      <c r="T26" s="74">
        <v>0</v>
      </c>
      <c r="U26" s="74">
        <v>0</v>
      </c>
      <c r="V26" s="74">
        <v>0</v>
      </c>
      <c r="W26" s="74">
        <v>0</v>
      </c>
      <c r="X26" s="74">
        <v>0</v>
      </c>
      <c r="Y26" s="74">
        <v>0</v>
      </c>
      <c r="Z26" s="74">
        <v>0</v>
      </c>
      <c r="AA26" s="74">
        <v>0</v>
      </c>
      <c r="AB26" s="74">
        <v>0</v>
      </c>
      <c r="AC26" s="74">
        <v>0</v>
      </c>
      <c r="AD26" s="74">
        <v>0</v>
      </c>
      <c r="AE26" s="74">
        <v>0</v>
      </c>
      <c r="AF26" s="74">
        <v>0</v>
      </c>
      <c r="AG26" s="74">
        <v>0</v>
      </c>
      <c r="AH26" s="74">
        <v>0</v>
      </c>
      <c r="AI26" s="74">
        <v>0</v>
      </c>
      <c r="AJ26" s="74">
        <v>0</v>
      </c>
      <c r="AK26" s="74"/>
      <c r="AL26" s="74">
        <v>15897</v>
      </c>
      <c r="AM26" s="74">
        <v>18120</v>
      </c>
      <c r="AN26" s="74">
        <v>18285</v>
      </c>
      <c r="AO26" s="74">
        <v>21028</v>
      </c>
      <c r="AP26" s="74">
        <v>20645</v>
      </c>
      <c r="AQ26" s="74">
        <v>26397.000000000004</v>
      </c>
      <c r="AR26" s="74">
        <v>29148</v>
      </c>
      <c r="AS26" s="74">
        <v>33348</v>
      </c>
      <c r="AT26" s="74">
        <v>31952</v>
      </c>
      <c r="AU26" s="74">
        <v>33432</v>
      </c>
      <c r="AV26" s="74">
        <v>36186</v>
      </c>
      <c r="AW26" s="74">
        <v>41829</v>
      </c>
      <c r="AX26" s="74">
        <v>36356</v>
      </c>
      <c r="AY26" s="74">
        <v>40932</v>
      </c>
      <c r="AZ26" s="74">
        <v>39065</v>
      </c>
      <c r="BA26" s="74">
        <v>49115</v>
      </c>
      <c r="BB26" s="74">
        <v>47625</v>
      </c>
      <c r="BC26" s="74">
        <v>0</v>
      </c>
      <c r="BD26" s="74">
        <v>0</v>
      </c>
      <c r="BE26" s="74">
        <v>0</v>
      </c>
      <c r="BF26" s="74">
        <v>0</v>
      </c>
      <c r="BG26" s="74">
        <v>0</v>
      </c>
      <c r="BH26" s="74">
        <v>0</v>
      </c>
      <c r="BI26" s="74">
        <v>0</v>
      </c>
      <c r="BJ26" s="74">
        <v>0</v>
      </c>
      <c r="BK26" s="74">
        <v>0</v>
      </c>
      <c r="BL26" s="74">
        <v>0</v>
      </c>
      <c r="BM26" s="74">
        <v>0</v>
      </c>
      <c r="BN26" s="74">
        <v>0</v>
      </c>
      <c r="BO26" s="74">
        <v>0</v>
      </c>
      <c r="BP26" s="74">
        <v>0</v>
      </c>
      <c r="BQ26" s="74">
        <v>0</v>
      </c>
      <c r="BR26" s="74">
        <v>0</v>
      </c>
      <c r="BS26" s="74">
        <v>0</v>
      </c>
      <c r="BT26" s="74">
        <v>0</v>
      </c>
      <c r="BU26" s="74">
        <v>0</v>
      </c>
      <c r="BV26" s="74">
        <v>0</v>
      </c>
      <c r="BW26" s="74">
        <v>0</v>
      </c>
      <c r="BX26" s="74">
        <v>0</v>
      </c>
      <c r="BY26" s="74">
        <v>0</v>
      </c>
      <c r="BZ26" s="74">
        <v>0</v>
      </c>
      <c r="CA26" s="74">
        <v>0</v>
      </c>
      <c r="CB26" s="74">
        <v>0</v>
      </c>
      <c r="CC26" s="74">
        <v>0</v>
      </c>
      <c r="CD26" s="74">
        <v>0</v>
      </c>
      <c r="CE26" s="74">
        <v>0</v>
      </c>
      <c r="CF26" s="74">
        <v>0</v>
      </c>
      <c r="CG26" s="74">
        <v>0</v>
      </c>
      <c r="CH26" s="74">
        <v>0</v>
      </c>
      <c r="CI26" s="74">
        <v>0</v>
      </c>
      <c r="CJ26" s="74">
        <v>0</v>
      </c>
      <c r="CK26" s="74">
        <v>0</v>
      </c>
      <c r="CL26" s="74">
        <v>0</v>
      </c>
      <c r="CM26" s="74">
        <v>0</v>
      </c>
      <c r="CN26" s="74">
        <v>0</v>
      </c>
      <c r="CO26" s="74">
        <v>0</v>
      </c>
      <c r="CP26" s="74">
        <v>0</v>
      </c>
      <c r="CQ26" s="74">
        <v>0</v>
      </c>
      <c r="CR26" s="74">
        <v>0</v>
      </c>
      <c r="CS26" s="74">
        <v>0</v>
      </c>
      <c r="CT26" s="74">
        <v>0</v>
      </c>
      <c r="CU26" s="74">
        <v>0</v>
      </c>
      <c r="CV26" s="74">
        <v>0</v>
      </c>
      <c r="CW26" s="74">
        <v>0</v>
      </c>
      <c r="CX26" s="74">
        <v>0</v>
      </c>
      <c r="CY26" s="74">
        <v>0</v>
      </c>
      <c r="CZ26" s="74">
        <v>0</v>
      </c>
      <c r="DA26" s="74">
        <v>0</v>
      </c>
      <c r="DB26" s="74">
        <v>0</v>
      </c>
      <c r="DC26" s="74">
        <v>0</v>
      </c>
      <c r="DD26" s="74">
        <v>0</v>
      </c>
      <c r="DE26" s="74">
        <v>0</v>
      </c>
      <c r="DF26" s="74">
        <v>0</v>
      </c>
      <c r="DG26" s="74">
        <v>0</v>
      </c>
      <c r="DH26" s="74">
        <v>0</v>
      </c>
      <c r="DI26" s="74">
        <v>0</v>
      </c>
      <c r="DJ26" s="74">
        <v>0</v>
      </c>
      <c r="DK26" s="74">
        <v>0</v>
      </c>
      <c r="DL26" s="74">
        <v>0</v>
      </c>
      <c r="DM26" s="74">
        <v>0</v>
      </c>
      <c r="DN26" s="74">
        <v>0</v>
      </c>
      <c r="DO26" s="74">
        <v>0</v>
      </c>
      <c r="DP26" s="74">
        <v>0</v>
      </c>
      <c r="DQ26" s="74">
        <v>0</v>
      </c>
      <c r="DR26" s="74">
        <v>0</v>
      </c>
      <c r="DS26" s="74">
        <v>0</v>
      </c>
      <c r="DT26" s="74">
        <v>0</v>
      </c>
      <c r="DU26" s="74">
        <v>0</v>
      </c>
      <c r="DV26" s="74">
        <v>0</v>
      </c>
      <c r="DW26" s="74">
        <v>0</v>
      </c>
      <c r="DX26" s="74">
        <v>0</v>
      </c>
      <c r="DY26" s="74">
        <v>0</v>
      </c>
      <c r="DZ26" s="74">
        <v>0</v>
      </c>
      <c r="EA26" s="74">
        <v>0</v>
      </c>
      <c r="EB26" s="74">
        <v>0</v>
      </c>
      <c r="EC26" s="74">
        <v>0</v>
      </c>
      <c r="ED26" s="74"/>
      <c r="EE26" s="68">
        <v>46147</v>
      </c>
      <c r="EF26" s="81">
        <v>46147.490590624999</v>
      </c>
      <c r="EG26" s="2" t="s">
        <v>71</v>
      </c>
      <c r="EH26" s="76">
        <v>3</v>
      </c>
      <c r="EI26" s="76" t="s">
        <v>32</v>
      </c>
      <c r="EJ26" s="74" t="s">
        <v>244</v>
      </c>
      <c r="EK26" s="78"/>
      <c r="EL26" s="74"/>
      <c r="EM26" s="74"/>
      <c r="EN26" s="68"/>
      <c r="ER26" s="73"/>
      <c r="ES26" s="74"/>
      <c r="ET26" s="74"/>
      <c r="EU26" s="74"/>
      <c r="EV26" s="74"/>
      <c r="EW26" s="74"/>
      <c r="EX26" s="74"/>
      <c r="EY26" s="74"/>
      <c r="EZ26" s="74"/>
      <c r="FA26" s="74"/>
      <c r="FB26" s="74"/>
      <c r="FC26" s="74"/>
      <c r="FD26" s="74"/>
      <c r="FE26" s="74"/>
      <c r="FF26" s="74"/>
      <c r="FG26" s="74"/>
      <c r="FH26" s="74"/>
      <c r="FI26" s="74"/>
      <c r="FJ26" s="74"/>
      <c r="FK26" s="68"/>
    </row>
    <row r="27" spans="1:183" s="2" customFormat="1" ht="15" x14ac:dyDescent="0.3">
      <c r="A27" s="73" t="s">
        <v>181</v>
      </c>
      <c r="B27" s="73" t="s">
        <v>193</v>
      </c>
      <c r="C27" s="73" t="s">
        <v>193</v>
      </c>
      <c r="D27" s="73" t="s">
        <v>48</v>
      </c>
      <c r="E27" s="73" t="s">
        <v>178</v>
      </c>
      <c r="F27" s="73" t="s">
        <v>210</v>
      </c>
      <c r="G27" s="73" t="s">
        <v>227</v>
      </c>
      <c r="H27" s="73"/>
      <c r="I27" s="74">
        <v>11682</v>
      </c>
      <c r="J27" s="74">
        <v>12139</v>
      </c>
      <c r="K27" s="74">
        <v>15072</v>
      </c>
      <c r="L27" s="74">
        <v>16505</v>
      </c>
      <c r="M27" s="74">
        <v>8718</v>
      </c>
      <c r="N27" s="74">
        <v>28555</v>
      </c>
      <c r="O27" s="74">
        <v>39252</v>
      </c>
      <c r="P27" s="74">
        <v>45122</v>
      </c>
      <c r="Q27" s="74">
        <v>0</v>
      </c>
      <c r="R27" s="74">
        <v>0</v>
      </c>
      <c r="S27" s="74">
        <v>0</v>
      </c>
      <c r="T27" s="74">
        <v>0</v>
      </c>
      <c r="U27" s="74">
        <v>0</v>
      </c>
      <c r="V27" s="74">
        <v>0</v>
      </c>
      <c r="W27" s="74">
        <v>0</v>
      </c>
      <c r="X27" s="74">
        <v>0</v>
      </c>
      <c r="Y27" s="74">
        <v>0</v>
      </c>
      <c r="Z27" s="74">
        <v>0</v>
      </c>
      <c r="AA27" s="74">
        <v>0</v>
      </c>
      <c r="AB27" s="74">
        <v>0</v>
      </c>
      <c r="AC27" s="74">
        <v>0</v>
      </c>
      <c r="AD27" s="74">
        <v>0</v>
      </c>
      <c r="AE27" s="74">
        <v>0</v>
      </c>
      <c r="AF27" s="74">
        <v>0</v>
      </c>
      <c r="AG27" s="74">
        <v>0</v>
      </c>
      <c r="AH27" s="74">
        <v>0</v>
      </c>
      <c r="AI27" s="74">
        <v>0</v>
      </c>
      <c r="AJ27" s="74">
        <v>0</v>
      </c>
      <c r="AK27" s="74"/>
      <c r="AL27" s="74">
        <v>826.06267994419341</v>
      </c>
      <c r="AM27" s="74">
        <v>2070.5768480000002</v>
      </c>
      <c r="AN27" s="74">
        <v>2299.4819345599999</v>
      </c>
      <c r="AO27" s="74">
        <v>2573.1629165231998</v>
      </c>
      <c r="AP27" s="74">
        <v>3593.8159999999998</v>
      </c>
      <c r="AQ27" s="74">
        <v>6149.6</v>
      </c>
      <c r="AR27" s="74">
        <v>7736.5930684042814</v>
      </c>
      <c r="AS27" s="74">
        <v>10251.054657269509</v>
      </c>
      <c r="AT27" s="74">
        <v>8246.9862325119611</v>
      </c>
      <c r="AU27" s="74">
        <v>8497.8188138974492</v>
      </c>
      <c r="AV27" s="74">
        <v>9309.6479826172799</v>
      </c>
      <c r="AW27" s="74">
        <v>13197.54697097331</v>
      </c>
      <c r="AX27" s="74">
        <v>9371</v>
      </c>
      <c r="AY27" s="74">
        <v>11259</v>
      </c>
      <c r="AZ27" s="74">
        <v>8790</v>
      </c>
      <c r="BA27" s="74">
        <v>15702</v>
      </c>
      <c r="BB27" s="74">
        <v>12547</v>
      </c>
      <c r="BC27" s="74">
        <v>0</v>
      </c>
      <c r="BD27" s="74">
        <v>0</v>
      </c>
      <c r="BE27" s="74">
        <v>0</v>
      </c>
      <c r="BF27" s="74">
        <v>0</v>
      </c>
      <c r="BG27" s="74">
        <v>0</v>
      </c>
      <c r="BH27" s="74">
        <v>0</v>
      </c>
      <c r="BI27" s="74">
        <v>0</v>
      </c>
      <c r="BJ27" s="74">
        <v>0</v>
      </c>
      <c r="BK27" s="74">
        <v>0</v>
      </c>
      <c r="BL27" s="74">
        <v>0</v>
      </c>
      <c r="BM27" s="74">
        <v>0</v>
      </c>
      <c r="BN27" s="74">
        <v>0</v>
      </c>
      <c r="BO27" s="74">
        <v>0</v>
      </c>
      <c r="BP27" s="74">
        <v>0</v>
      </c>
      <c r="BQ27" s="74">
        <v>0</v>
      </c>
      <c r="BR27" s="74">
        <v>0</v>
      </c>
      <c r="BS27" s="74">
        <v>0</v>
      </c>
      <c r="BT27" s="74">
        <v>0</v>
      </c>
      <c r="BU27" s="74">
        <v>0</v>
      </c>
      <c r="BV27" s="74">
        <v>0</v>
      </c>
      <c r="BW27" s="74">
        <v>0</v>
      </c>
      <c r="BX27" s="74">
        <v>0</v>
      </c>
      <c r="BY27" s="74">
        <v>0</v>
      </c>
      <c r="BZ27" s="74">
        <v>0</v>
      </c>
      <c r="CA27" s="74">
        <v>0</v>
      </c>
      <c r="CB27" s="74">
        <v>0</v>
      </c>
      <c r="CC27" s="74">
        <v>0</v>
      </c>
      <c r="CD27" s="74">
        <v>0</v>
      </c>
      <c r="CE27" s="74">
        <v>0</v>
      </c>
      <c r="CF27" s="74">
        <v>0</v>
      </c>
      <c r="CG27" s="74">
        <v>0</v>
      </c>
      <c r="CH27" s="74">
        <v>0</v>
      </c>
      <c r="CI27" s="74">
        <v>0</v>
      </c>
      <c r="CJ27" s="74">
        <v>0</v>
      </c>
      <c r="CK27" s="74">
        <v>0</v>
      </c>
      <c r="CL27" s="74">
        <v>0</v>
      </c>
      <c r="CM27" s="74">
        <v>0</v>
      </c>
      <c r="CN27" s="74">
        <v>0</v>
      </c>
      <c r="CO27" s="74">
        <v>0</v>
      </c>
      <c r="CP27" s="74">
        <v>0</v>
      </c>
      <c r="CQ27" s="74">
        <v>0</v>
      </c>
      <c r="CR27" s="74">
        <v>0</v>
      </c>
      <c r="CS27" s="74">
        <v>0</v>
      </c>
      <c r="CT27" s="74">
        <v>0</v>
      </c>
      <c r="CU27" s="74">
        <v>0</v>
      </c>
      <c r="CV27" s="74">
        <v>0</v>
      </c>
      <c r="CW27" s="74">
        <v>0</v>
      </c>
      <c r="CX27" s="74">
        <v>0</v>
      </c>
      <c r="CY27" s="74">
        <v>0</v>
      </c>
      <c r="CZ27" s="74">
        <v>0</v>
      </c>
      <c r="DA27" s="74">
        <v>0</v>
      </c>
      <c r="DB27" s="74">
        <v>0</v>
      </c>
      <c r="DC27" s="74">
        <v>0</v>
      </c>
      <c r="DD27" s="74">
        <v>0</v>
      </c>
      <c r="DE27" s="74">
        <v>0</v>
      </c>
      <c r="DF27" s="74">
        <v>0</v>
      </c>
      <c r="DG27" s="74">
        <v>0</v>
      </c>
      <c r="DH27" s="74">
        <v>0</v>
      </c>
      <c r="DI27" s="74">
        <v>0</v>
      </c>
      <c r="DJ27" s="74">
        <v>0</v>
      </c>
      <c r="DK27" s="74">
        <v>0</v>
      </c>
      <c r="DL27" s="74">
        <v>0</v>
      </c>
      <c r="DM27" s="74">
        <v>0</v>
      </c>
      <c r="DN27" s="74">
        <v>0</v>
      </c>
      <c r="DO27" s="74">
        <v>0</v>
      </c>
      <c r="DP27" s="74">
        <v>0</v>
      </c>
      <c r="DQ27" s="74">
        <v>0</v>
      </c>
      <c r="DR27" s="74">
        <v>0</v>
      </c>
      <c r="DS27" s="74">
        <v>0</v>
      </c>
      <c r="DT27" s="74">
        <v>0</v>
      </c>
      <c r="DU27" s="74">
        <v>0</v>
      </c>
      <c r="DV27" s="74">
        <v>0</v>
      </c>
      <c r="DW27" s="74">
        <v>0</v>
      </c>
      <c r="DX27" s="74">
        <v>0</v>
      </c>
      <c r="DY27" s="74">
        <v>0</v>
      </c>
      <c r="DZ27" s="74">
        <v>0</v>
      </c>
      <c r="EA27" s="74">
        <v>0</v>
      </c>
      <c r="EB27" s="74">
        <v>0</v>
      </c>
      <c r="EC27" s="74">
        <v>0</v>
      </c>
      <c r="ED27" s="74"/>
      <c r="EE27" s="68">
        <v>46147</v>
      </c>
      <c r="EF27" s="81">
        <v>46147.490590624999</v>
      </c>
      <c r="EG27" s="2" t="s">
        <v>71</v>
      </c>
      <c r="EH27" s="76">
        <v>3</v>
      </c>
      <c r="EI27" s="76" t="s">
        <v>32</v>
      </c>
      <c r="EJ27" s="74" t="s">
        <v>244</v>
      </c>
      <c r="EK27" s="78"/>
      <c r="EL27" s="74"/>
      <c r="EM27" s="74"/>
      <c r="EN27" s="68"/>
      <c r="ER27" s="73"/>
      <c r="ES27" s="74"/>
      <c r="ET27" s="74"/>
      <c r="EU27" s="74"/>
      <c r="EV27" s="74"/>
      <c r="EW27" s="74"/>
      <c r="EX27" s="74"/>
      <c r="EY27" s="74"/>
      <c r="EZ27" s="74"/>
      <c r="FA27" s="74"/>
      <c r="FB27" s="74"/>
      <c r="FC27" s="74"/>
      <c r="FD27" s="74"/>
      <c r="FE27" s="74"/>
      <c r="FF27" s="74"/>
      <c r="FG27" s="74"/>
      <c r="FH27" s="74"/>
      <c r="FI27" s="74"/>
      <c r="FJ27" s="74"/>
      <c r="FK27" s="68"/>
    </row>
    <row r="28" spans="1:183" s="2" customFormat="1" ht="15" x14ac:dyDescent="0.3">
      <c r="A28" s="73" t="s">
        <v>182</v>
      </c>
      <c r="B28" s="73" t="s">
        <v>195</v>
      </c>
      <c r="C28" s="73" t="s">
        <v>195</v>
      </c>
      <c r="D28" s="73" t="s">
        <v>48</v>
      </c>
      <c r="E28" s="73" t="s">
        <v>178</v>
      </c>
      <c r="F28" s="73" t="s">
        <v>210</v>
      </c>
      <c r="G28" s="73" t="s">
        <v>227</v>
      </c>
      <c r="H28" s="73"/>
      <c r="I28" s="74">
        <v>-515</v>
      </c>
      <c r="J28" s="74">
        <v>192</v>
      </c>
      <c r="K28" s="74">
        <v>2932</v>
      </c>
      <c r="L28" s="74">
        <v>2098</v>
      </c>
      <c r="M28" s="74">
        <v>-4263</v>
      </c>
      <c r="N28" s="74">
        <v>1360</v>
      </c>
      <c r="O28" s="74">
        <v>8254</v>
      </c>
      <c r="P28" s="74">
        <v>9657</v>
      </c>
      <c r="Q28" s="74">
        <v>0</v>
      </c>
      <c r="R28" s="74">
        <v>0</v>
      </c>
      <c r="S28" s="74">
        <v>0</v>
      </c>
      <c r="T28" s="74">
        <v>0</v>
      </c>
      <c r="U28" s="74">
        <v>0</v>
      </c>
      <c r="V28" s="74">
        <v>0</v>
      </c>
      <c r="W28" s="74">
        <v>0</v>
      </c>
      <c r="X28" s="74">
        <v>0</v>
      </c>
      <c r="Y28" s="74">
        <v>0</v>
      </c>
      <c r="Z28" s="74">
        <v>0</v>
      </c>
      <c r="AA28" s="74">
        <v>0</v>
      </c>
      <c r="AB28" s="74">
        <v>0</v>
      </c>
      <c r="AC28" s="74">
        <v>0</v>
      </c>
      <c r="AD28" s="74">
        <v>0</v>
      </c>
      <c r="AE28" s="74">
        <v>0</v>
      </c>
      <c r="AF28" s="74">
        <v>0</v>
      </c>
      <c r="AG28" s="74">
        <v>0</v>
      </c>
      <c r="AH28" s="74">
        <v>0</v>
      </c>
      <c r="AI28" s="74">
        <v>0</v>
      </c>
      <c r="AJ28" s="74">
        <v>0</v>
      </c>
      <c r="AK28" s="74"/>
      <c r="AL28" s="74">
        <v>1113.0626799441934</v>
      </c>
      <c r="AM28" s="74">
        <v>926.57684800000015</v>
      </c>
      <c r="AN28" s="74">
        <v>245.4819345599999</v>
      </c>
      <c r="AO28" s="74">
        <v>585.16291652319978</v>
      </c>
      <c r="AP28" s="74">
        <v>1448.8159999999998</v>
      </c>
      <c r="AQ28" s="74">
        <v>2043.6</v>
      </c>
      <c r="AR28" s="74">
        <v>3334.5930684042814</v>
      </c>
      <c r="AS28" s="74">
        <v>3371.0546572695098</v>
      </c>
      <c r="AT28" s="74">
        <v>4166.9862325119611</v>
      </c>
      <c r="AU28" s="74">
        <v>3705.8188138974488</v>
      </c>
      <c r="AV28" s="74">
        <v>4947.6479826172799</v>
      </c>
      <c r="AW28" s="74">
        <v>5256.5469709733097</v>
      </c>
      <c r="AX28" s="74">
        <v>4547</v>
      </c>
      <c r="AY28" s="74">
        <v>5236</v>
      </c>
      <c r="AZ28" s="74">
        <v>5200</v>
      </c>
      <c r="BA28" s="74">
        <v>5270</v>
      </c>
      <c r="BB28" s="74">
        <v>5704</v>
      </c>
      <c r="BC28" s="74">
        <v>0</v>
      </c>
      <c r="BD28" s="74">
        <v>0</v>
      </c>
      <c r="BE28" s="74">
        <v>0</v>
      </c>
      <c r="BF28" s="74">
        <v>0</v>
      </c>
      <c r="BG28" s="74">
        <v>0</v>
      </c>
      <c r="BH28" s="74">
        <v>0</v>
      </c>
      <c r="BI28" s="74">
        <v>0</v>
      </c>
      <c r="BJ28" s="74">
        <v>0</v>
      </c>
      <c r="BK28" s="74">
        <v>0</v>
      </c>
      <c r="BL28" s="74">
        <v>0</v>
      </c>
      <c r="BM28" s="74">
        <v>0</v>
      </c>
      <c r="BN28" s="74">
        <v>0</v>
      </c>
      <c r="BO28" s="74">
        <v>0</v>
      </c>
      <c r="BP28" s="74">
        <v>0</v>
      </c>
      <c r="BQ28" s="74">
        <v>0</v>
      </c>
      <c r="BR28" s="74">
        <v>0</v>
      </c>
      <c r="BS28" s="74">
        <v>0</v>
      </c>
      <c r="BT28" s="74">
        <v>0</v>
      </c>
      <c r="BU28" s="74">
        <v>0</v>
      </c>
      <c r="BV28" s="74">
        <v>0</v>
      </c>
      <c r="BW28" s="74">
        <v>0</v>
      </c>
      <c r="BX28" s="74">
        <v>0</v>
      </c>
      <c r="BY28" s="74">
        <v>0</v>
      </c>
      <c r="BZ28" s="74">
        <v>0</v>
      </c>
      <c r="CA28" s="74">
        <v>0</v>
      </c>
      <c r="CB28" s="74">
        <v>0</v>
      </c>
      <c r="CC28" s="74">
        <v>0</v>
      </c>
      <c r="CD28" s="74">
        <v>0</v>
      </c>
      <c r="CE28" s="74">
        <v>0</v>
      </c>
      <c r="CF28" s="74">
        <v>0</v>
      </c>
      <c r="CG28" s="74">
        <v>0</v>
      </c>
      <c r="CH28" s="74">
        <v>0</v>
      </c>
      <c r="CI28" s="74">
        <v>0</v>
      </c>
      <c r="CJ28" s="74">
        <v>0</v>
      </c>
      <c r="CK28" s="74">
        <v>0</v>
      </c>
      <c r="CL28" s="74">
        <v>0</v>
      </c>
      <c r="CM28" s="74">
        <v>0</v>
      </c>
      <c r="CN28" s="74">
        <v>0</v>
      </c>
      <c r="CO28" s="74">
        <v>0</v>
      </c>
      <c r="CP28" s="74">
        <v>0</v>
      </c>
      <c r="CQ28" s="74">
        <v>0</v>
      </c>
      <c r="CR28" s="74">
        <v>0</v>
      </c>
      <c r="CS28" s="74">
        <v>0</v>
      </c>
      <c r="CT28" s="74">
        <v>0</v>
      </c>
      <c r="CU28" s="74">
        <v>0</v>
      </c>
      <c r="CV28" s="74">
        <v>0</v>
      </c>
      <c r="CW28" s="74">
        <v>0</v>
      </c>
      <c r="CX28" s="74">
        <v>0</v>
      </c>
      <c r="CY28" s="74">
        <v>0</v>
      </c>
      <c r="CZ28" s="74">
        <v>0</v>
      </c>
      <c r="DA28" s="74">
        <v>0</v>
      </c>
      <c r="DB28" s="74">
        <v>0</v>
      </c>
      <c r="DC28" s="74">
        <v>0</v>
      </c>
      <c r="DD28" s="74">
        <v>0</v>
      </c>
      <c r="DE28" s="74">
        <v>0</v>
      </c>
      <c r="DF28" s="74">
        <v>0</v>
      </c>
      <c r="DG28" s="74">
        <v>0</v>
      </c>
      <c r="DH28" s="74">
        <v>0</v>
      </c>
      <c r="DI28" s="74">
        <v>0</v>
      </c>
      <c r="DJ28" s="74">
        <v>0</v>
      </c>
      <c r="DK28" s="74">
        <v>0</v>
      </c>
      <c r="DL28" s="74">
        <v>0</v>
      </c>
      <c r="DM28" s="74">
        <v>0</v>
      </c>
      <c r="DN28" s="74">
        <v>0</v>
      </c>
      <c r="DO28" s="74">
        <v>0</v>
      </c>
      <c r="DP28" s="74">
        <v>0</v>
      </c>
      <c r="DQ28" s="74">
        <v>0</v>
      </c>
      <c r="DR28" s="74">
        <v>0</v>
      </c>
      <c r="DS28" s="74">
        <v>0</v>
      </c>
      <c r="DT28" s="74">
        <v>0</v>
      </c>
      <c r="DU28" s="74">
        <v>0</v>
      </c>
      <c r="DV28" s="74">
        <v>0</v>
      </c>
      <c r="DW28" s="74">
        <v>0</v>
      </c>
      <c r="DX28" s="74">
        <v>0</v>
      </c>
      <c r="DY28" s="74">
        <v>0</v>
      </c>
      <c r="DZ28" s="74">
        <v>0</v>
      </c>
      <c r="EA28" s="74">
        <v>0</v>
      </c>
      <c r="EB28" s="74">
        <v>0</v>
      </c>
      <c r="EC28" s="74">
        <v>0</v>
      </c>
      <c r="ED28" s="74"/>
      <c r="EE28" s="68">
        <v>46147</v>
      </c>
      <c r="EF28" s="81">
        <v>46147.490590624999</v>
      </c>
      <c r="EG28" s="2" t="s">
        <v>71</v>
      </c>
      <c r="EH28" s="76">
        <v>3</v>
      </c>
      <c r="EI28" s="76" t="s">
        <v>32</v>
      </c>
      <c r="EJ28" s="74" t="s">
        <v>244</v>
      </c>
      <c r="EK28" s="78"/>
      <c r="EL28" s="74"/>
      <c r="EM28" s="74"/>
      <c r="EN28" s="68"/>
      <c r="ER28" s="73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68"/>
    </row>
    <row r="29" spans="1:183" s="2" customFormat="1" ht="15" x14ac:dyDescent="0.3">
      <c r="A29" s="73" t="s">
        <v>183</v>
      </c>
      <c r="B29" s="73" t="s">
        <v>194</v>
      </c>
      <c r="C29" s="73" t="s">
        <v>194</v>
      </c>
      <c r="D29" s="73" t="s">
        <v>48</v>
      </c>
      <c r="E29" s="73" t="s">
        <v>178</v>
      </c>
      <c r="F29" s="73" t="s">
        <v>210</v>
      </c>
      <c r="G29" s="73" t="s">
        <v>227</v>
      </c>
      <c r="H29" s="73"/>
      <c r="I29" s="74">
        <v>13391</v>
      </c>
      <c r="J29" s="74">
        <v>17359</v>
      </c>
      <c r="K29" s="74">
        <v>21134</v>
      </c>
      <c r="L29" s="74">
        <v>29185</v>
      </c>
      <c r="M29" s="74">
        <v>32717</v>
      </c>
      <c r="N29" s="74">
        <v>37162</v>
      </c>
      <c r="O29" s="74">
        <v>53154</v>
      </c>
      <c r="P29" s="74">
        <v>67056</v>
      </c>
      <c r="Q29" s="74">
        <v>0</v>
      </c>
      <c r="R29" s="74">
        <v>0</v>
      </c>
      <c r="S29" s="74">
        <v>0</v>
      </c>
      <c r="T29" s="74">
        <v>0</v>
      </c>
      <c r="U29" s="74">
        <v>0</v>
      </c>
      <c r="V29" s="74">
        <v>0</v>
      </c>
      <c r="W29" s="74">
        <v>0</v>
      </c>
      <c r="X29" s="74">
        <v>0</v>
      </c>
      <c r="Y29" s="74">
        <v>0</v>
      </c>
      <c r="Z29" s="74">
        <v>0</v>
      </c>
      <c r="AA29" s="74">
        <v>0</v>
      </c>
      <c r="AB29" s="74">
        <v>0</v>
      </c>
      <c r="AC29" s="74">
        <v>0</v>
      </c>
      <c r="AD29" s="74">
        <v>0</v>
      </c>
      <c r="AE29" s="74">
        <v>0</v>
      </c>
      <c r="AF29" s="74">
        <v>0</v>
      </c>
      <c r="AG29" s="74">
        <v>0</v>
      </c>
      <c r="AH29" s="74">
        <v>0</v>
      </c>
      <c r="AI29" s="74">
        <v>0</v>
      </c>
      <c r="AJ29" s="74">
        <v>0</v>
      </c>
      <c r="AK29" s="74"/>
      <c r="AL29" s="74">
        <v>8912.0626799441925</v>
      </c>
      <c r="AM29" s="74">
        <v>8412.5768480000006</v>
      </c>
      <c r="AN29" s="74">
        <v>8114.4819345599999</v>
      </c>
      <c r="AO29" s="74">
        <v>8018.1629165231998</v>
      </c>
      <c r="AP29" s="74">
        <v>7818.8159999999998</v>
      </c>
      <c r="AQ29" s="74">
        <v>8303.6</v>
      </c>
      <c r="AR29" s="74">
        <v>10405.593068404281</v>
      </c>
      <c r="AS29" s="74">
        <v>10957.054657269509</v>
      </c>
      <c r="AT29" s="74">
        <v>12684.986232511961</v>
      </c>
      <c r="AU29" s="74">
        <v>12766.818813897449</v>
      </c>
      <c r="AV29" s="74">
        <v>14093.64798261728</v>
      </c>
      <c r="AW29" s="74">
        <v>14573.54697097331</v>
      </c>
      <c r="AX29" s="74">
        <v>15077</v>
      </c>
      <c r="AY29" s="74">
        <v>13902</v>
      </c>
      <c r="AZ29" s="74">
        <v>15435</v>
      </c>
      <c r="BA29" s="74">
        <v>16695</v>
      </c>
      <c r="BB29" s="74">
        <v>18441</v>
      </c>
      <c r="BC29" s="74">
        <v>0</v>
      </c>
      <c r="BD29" s="74">
        <v>0</v>
      </c>
      <c r="BE29" s="74">
        <v>0</v>
      </c>
      <c r="BF29" s="74">
        <v>0</v>
      </c>
      <c r="BG29" s="74">
        <v>0</v>
      </c>
      <c r="BH29" s="74">
        <v>0</v>
      </c>
      <c r="BI29" s="74">
        <v>0</v>
      </c>
      <c r="BJ29" s="74">
        <v>0</v>
      </c>
      <c r="BK29" s="74">
        <v>0</v>
      </c>
      <c r="BL29" s="74">
        <v>0</v>
      </c>
      <c r="BM29" s="74">
        <v>0</v>
      </c>
      <c r="BN29" s="74">
        <v>0</v>
      </c>
      <c r="BO29" s="74">
        <v>0</v>
      </c>
      <c r="BP29" s="74">
        <v>0</v>
      </c>
      <c r="BQ29" s="74">
        <v>0</v>
      </c>
      <c r="BR29" s="74">
        <v>0</v>
      </c>
      <c r="BS29" s="74">
        <v>0</v>
      </c>
      <c r="BT29" s="74">
        <v>0</v>
      </c>
      <c r="BU29" s="74">
        <v>0</v>
      </c>
      <c r="BV29" s="74">
        <v>0</v>
      </c>
      <c r="BW29" s="74">
        <v>0</v>
      </c>
      <c r="BX29" s="74">
        <v>0</v>
      </c>
      <c r="BY29" s="74">
        <v>0</v>
      </c>
      <c r="BZ29" s="74">
        <v>0</v>
      </c>
      <c r="CA29" s="74">
        <v>0</v>
      </c>
      <c r="CB29" s="74">
        <v>0</v>
      </c>
      <c r="CC29" s="74">
        <v>0</v>
      </c>
      <c r="CD29" s="74">
        <v>0</v>
      </c>
      <c r="CE29" s="74">
        <v>0</v>
      </c>
      <c r="CF29" s="74">
        <v>0</v>
      </c>
      <c r="CG29" s="74">
        <v>0</v>
      </c>
      <c r="CH29" s="74">
        <v>0</v>
      </c>
      <c r="CI29" s="74">
        <v>0</v>
      </c>
      <c r="CJ29" s="74">
        <v>0</v>
      </c>
      <c r="CK29" s="74">
        <v>0</v>
      </c>
      <c r="CL29" s="74">
        <v>0</v>
      </c>
      <c r="CM29" s="74">
        <v>0</v>
      </c>
      <c r="CN29" s="74">
        <v>0</v>
      </c>
      <c r="CO29" s="74">
        <v>0</v>
      </c>
      <c r="CP29" s="74">
        <v>0</v>
      </c>
      <c r="CQ29" s="74">
        <v>0</v>
      </c>
      <c r="CR29" s="74">
        <v>0</v>
      </c>
      <c r="CS29" s="74">
        <v>0</v>
      </c>
      <c r="CT29" s="74">
        <v>0</v>
      </c>
      <c r="CU29" s="74">
        <v>0</v>
      </c>
      <c r="CV29" s="74">
        <v>0</v>
      </c>
      <c r="CW29" s="74">
        <v>0</v>
      </c>
      <c r="CX29" s="74">
        <v>0</v>
      </c>
      <c r="CY29" s="74">
        <v>0</v>
      </c>
      <c r="CZ29" s="74">
        <v>0</v>
      </c>
      <c r="DA29" s="74">
        <v>0</v>
      </c>
      <c r="DB29" s="74">
        <v>0</v>
      </c>
      <c r="DC29" s="74">
        <v>0</v>
      </c>
      <c r="DD29" s="74">
        <v>0</v>
      </c>
      <c r="DE29" s="74">
        <v>0</v>
      </c>
      <c r="DF29" s="74">
        <v>0</v>
      </c>
      <c r="DG29" s="74">
        <v>0</v>
      </c>
      <c r="DH29" s="74">
        <v>0</v>
      </c>
      <c r="DI29" s="74">
        <v>0</v>
      </c>
      <c r="DJ29" s="74">
        <v>0</v>
      </c>
      <c r="DK29" s="74">
        <v>0</v>
      </c>
      <c r="DL29" s="74">
        <v>0</v>
      </c>
      <c r="DM29" s="74">
        <v>0</v>
      </c>
      <c r="DN29" s="74">
        <v>0</v>
      </c>
      <c r="DO29" s="74">
        <v>0</v>
      </c>
      <c r="DP29" s="74">
        <v>0</v>
      </c>
      <c r="DQ29" s="74">
        <v>0</v>
      </c>
      <c r="DR29" s="74">
        <v>0</v>
      </c>
      <c r="DS29" s="74">
        <v>0</v>
      </c>
      <c r="DT29" s="74">
        <v>0</v>
      </c>
      <c r="DU29" s="74">
        <v>0</v>
      </c>
      <c r="DV29" s="74">
        <v>0</v>
      </c>
      <c r="DW29" s="74">
        <v>0</v>
      </c>
      <c r="DX29" s="74">
        <v>0</v>
      </c>
      <c r="DY29" s="74">
        <v>0</v>
      </c>
      <c r="DZ29" s="74">
        <v>0</v>
      </c>
      <c r="EA29" s="74">
        <v>0</v>
      </c>
      <c r="EB29" s="74">
        <v>0</v>
      </c>
      <c r="EC29" s="74">
        <v>0</v>
      </c>
      <c r="ED29" s="74"/>
      <c r="EE29" s="68">
        <v>46147</v>
      </c>
      <c r="EF29" s="81">
        <v>46147.490590624999</v>
      </c>
      <c r="EG29" s="2" t="s">
        <v>71</v>
      </c>
      <c r="EH29" s="76">
        <v>3</v>
      </c>
      <c r="EI29" s="76" t="s">
        <v>32</v>
      </c>
      <c r="EJ29" s="74" t="s">
        <v>244</v>
      </c>
      <c r="EK29" s="78"/>
      <c r="EL29" s="74"/>
      <c r="EM29" s="74"/>
      <c r="EN29" s="68"/>
      <c r="ER29" s="73"/>
      <c r="ES29" s="74"/>
      <c r="ET29" s="74"/>
      <c r="EU29" s="74"/>
      <c r="EV29" s="74"/>
      <c r="EW29" s="74"/>
      <c r="EX29" s="74"/>
      <c r="EY29" s="74"/>
      <c r="EZ29" s="74"/>
      <c r="FA29" s="74"/>
      <c r="FB29" s="74"/>
      <c r="FC29" s="74"/>
      <c r="FD29" s="74"/>
      <c r="FE29" s="74"/>
      <c r="FF29" s="74"/>
      <c r="FG29" s="74"/>
      <c r="FH29" s="74"/>
      <c r="FI29" s="74"/>
      <c r="FJ29" s="74"/>
      <c r="FK29" s="68"/>
    </row>
    <row r="30" spans="1:183" s="2" customFormat="1" ht="15" x14ac:dyDescent="0.3">
      <c r="A30" s="73" t="s">
        <v>197</v>
      </c>
      <c r="B30" s="73" t="s">
        <v>204</v>
      </c>
      <c r="C30" s="73" t="s">
        <v>204</v>
      </c>
      <c r="D30" s="73" t="s">
        <v>48</v>
      </c>
      <c r="E30" s="73" t="s">
        <v>178</v>
      </c>
      <c r="F30" s="73" t="s">
        <v>210</v>
      </c>
      <c r="G30" s="73" t="s">
        <v>227</v>
      </c>
      <c r="H30" s="73"/>
      <c r="I30" s="74">
        <v>-12138</v>
      </c>
      <c r="J30" s="74">
        <v>6639</v>
      </c>
      <c r="K30" s="74">
        <v>8941</v>
      </c>
      <c r="L30" s="74">
        <v>11524</v>
      </c>
      <c r="M30" s="74">
        <v>16997</v>
      </c>
      <c r="N30" s="74">
        <v>18438</v>
      </c>
      <c r="O30" s="74">
        <v>20728</v>
      </c>
      <c r="P30" s="74">
        <v>23896</v>
      </c>
      <c r="Q30" s="74">
        <v>0</v>
      </c>
      <c r="R30" s="74">
        <v>0</v>
      </c>
      <c r="S30" s="74">
        <v>0</v>
      </c>
      <c r="T30" s="74">
        <v>0</v>
      </c>
      <c r="U30" s="74">
        <v>0</v>
      </c>
      <c r="V30" s="74">
        <v>0</v>
      </c>
      <c r="W30" s="74">
        <v>0</v>
      </c>
      <c r="X30" s="74">
        <v>0</v>
      </c>
      <c r="Y30" s="74">
        <v>0</v>
      </c>
      <c r="Z30" s="74">
        <v>0</v>
      </c>
      <c r="AA30" s="74">
        <v>0</v>
      </c>
      <c r="AB30" s="74">
        <v>0</v>
      </c>
      <c r="AC30" s="74">
        <v>0</v>
      </c>
      <c r="AD30" s="74">
        <v>0</v>
      </c>
      <c r="AE30" s="74">
        <v>0</v>
      </c>
      <c r="AF30" s="74">
        <v>0</v>
      </c>
      <c r="AG30" s="74">
        <v>0</v>
      </c>
      <c r="AH30" s="74">
        <v>0</v>
      </c>
      <c r="AI30" s="74">
        <v>0</v>
      </c>
      <c r="AJ30" s="74">
        <v>0</v>
      </c>
      <c r="AK30" s="74"/>
      <c r="AL30" s="74">
        <v>1795.8119601674198</v>
      </c>
      <c r="AM30" s="74">
        <v>1501.2694559999986</v>
      </c>
      <c r="AN30" s="74">
        <v>2069.5541963200003</v>
      </c>
      <c r="AO30" s="74">
        <v>4245.5112504303997</v>
      </c>
      <c r="AP30" s="74">
        <v>3035.5520000000015</v>
      </c>
      <c r="AQ30" s="74">
        <v>2773.1999999999994</v>
      </c>
      <c r="AR30" s="74">
        <v>1842.2207947871557</v>
      </c>
      <c r="AS30" s="74">
        <v>2449.8360281914715</v>
      </c>
      <c r="AT30" s="74">
        <v>1892.0413024641166</v>
      </c>
      <c r="AU30" s="74">
        <v>1739.5435583076528</v>
      </c>
      <c r="AV30" s="74">
        <v>2502.0560521481598</v>
      </c>
      <c r="AW30" s="74">
        <v>3806.3590870800708</v>
      </c>
      <c r="AX30" s="74">
        <v>3672</v>
      </c>
      <c r="AY30" s="74">
        <v>4001</v>
      </c>
      <c r="AZ30" s="74">
        <v>4793</v>
      </c>
      <c r="BA30" s="74">
        <v>7051</v>
      </c>
      <c r="BB30" s="74">
        <v>6901</v>
      </c>
      <c r="BC30" s="74">
        <v>0</v>
      </c>
      <c r="BD30" s="74">
        <v>0</v>
      </c>
      <c r="BE30" s="74">
        <v>0</v>
      </c>
      <c r="BF30" s="74">
        <v>0</v>
      </c>
      <c r="BG30" s="74">
        <v>0</v>
      </c>
      <c r="BH30" s="74">
        <v>0</v>
      </c>
      <c r="BI30" s="74">
        <v>0</v>
      </c>
      <c r="BJ30" s="74">
        <v>0</v>
      </c>
      <c r="BK30" s="74">
        <v>0</v>
      </c>
      <c r="BL30" s="74">
        <v>0</v>
      </c>
      <c r="BM30" s="74">
        <v>0</v>
      </c>
      <c r="BN30" s="74">
        <v>0</v>
      </c>
      <c r="BO30" s="74">
        <v>0</v>
      </c>
      <c r="BP30" s="74">
        <v>0</v>
      </c>
      <c r="BQ30" s="74">
        <v>0</v>
      </c>
      <c r="BR30" s="74">
        <v>0</v>
      </c>
      <c r="BS30" s="74">
        <v>0</v>
      </c>
      <c r="BT30" s="74">
        <v>0</v>
      </c>
      <c r="BU30" s="74">
        <v>0</v>
      </c>
      <c r="BV30" s="74">
        <v>0</v>
      </c>
      <c r="BW30" s="74">
        <v>0</v>
      </c>
      <c r="BX30" s="74">
        <v>0</v>
      </c>
      <c r="BY30" s="74">
        <v>0</v>
      </c>
      <c r="BZ30" s="74">
        <v>0</v>
      </c>
      <c r="CA30" s="74">
        <v>0</v>
      </c>
      <c r="CB30" s="74">
        <v>0</v>
      </c>
      <c r="CC30" s="74">
        <v>0</v>
      </c>
      <c r="CD30" s="74">
        <v>0</v>
      </c>
      <c r="CE30" s="74">
        <v>0</v>
      </c>
      <c r="CF30" s="74">
        <v>0</v>
      </c>
      <c r="CG30" s="74">
        <v>0</v>
      </c>
      <c r="CH30" s="74">
        <v>0</v>
      </c>
      <c r="CI30" s="74">
        <v>0</v>
      </c>
      <c r="CJ30" s="74">
        <v>0</v>
      </c>
      <c r="CK30" s="74">
        <v>0</v>
      </c>
      <c r="CL30" s="74">
        <v>0</v>
      </c>
      <c r="CM30" s="74">
        <v>0</v>
      </c>
      <c r="CN30" s="74">
        <v>0</v>
      </c>
      <c r="CO30" s="74">
        <v>0</v>
      </c>
      <c r="CP30" s="74">
        <v>0</v>
      </c>
      <c r="CQ30" s="74">
        <v>0</v>
      </c>
      <c r="CR30" s="74">
        <v>0</v>
      </c>
      <c r="CS30" s="74">
        <v>0</v>
      </c>
      <c r="CT30" s="74">
        <v>0</v>
      </c>
      <c r="CU30" s="74">
        <v>0</v>
      </c>
      <c r="CV30" s="74">
        <v>0</v>
      </c>
      <c r="CW30" s="74">
        <v>0</v>
      </c>
      <c r="CX30" s="74">
        <v>0</v>
      </c>
      <c r="CY30" s="74">
        <v>0</v>
      </c>
      <c r="CZ30" s="74">
        <v>0</v>
      </c>
      <c r="DA30" s="74">
        <v>0</v>
      </c>
      <c r="DB30" s="74">
        <v>0</v>
      </c>
      <c r="DC30" s="74">
        <v>0</v>
      </c>
      <c r="DD30" s="74">
        <v>0</v>
      </c>
      <c r="DE30" s="74">
        <v>0</v>
      </c>
      <c r="DF30" s="74">
        <v>0</v>
      </c>
      <c r="DG30" s="74">
        <v>0</v>
      </c>
      <c r="DH30" s="74">
        <v>0</v>
      </c>
      <c r="DI30" s="74">
        <v>0</v>
      </c>
      <c r="DJ30" s="74">
        <v>0</v>
      </c>
      <c r="DK30" s="74">
        <v>0</v>
      </c>
      <c r="DL30" s="74">
        <v>0</v>
      </c>
      <c r="DM30" s="74">
        <v>0</v>
      </c>
      <c r="DN30" s="74">
        <v>0</v>
      </c>
      <c r="DO30" s="74">
        <v>0</v>
      </c>
      <c r="DP30" s="74">
        <v>0</v>
      </c>
      <c r="DQ30" s="74">
        <v>0</v>
      </c>
      <c r="DR30" s="74">
        <v>0</v>
      </c>
      <c r="DS30" s="74">
        <v>0</v>
      </c>
      <c r="DT30" s="74">
        <v>0</v>
      </c>
      <c r="DU30" s="74">
        <v>0</v>
      </c>
      <c r="DV30" s="74">
        <v>0</v>
      </c>
      <c r="DW30" s="74">
        <v>0</v>
      </c>
      <c r="DX30" s="74">
        <v>0</v>
      </c>
      <c r="DY30" s="74">
        <v>0</v>
      </c>
      <c r="DZ30" s="74">
        <v>0</v>
      </c>
      <c r="EA30" s="74">
        <v>0</v>
      </c>
      <c r="EB30" s="74">
        <v>0</v>
      </c>
      <c r="EC30" s="74">
        <v>0</v>
      </c>
      <c r="ED30" s="74"/>
      <c r="EE30" s="68">
        <v>46147</v>
      </c>
      <c r="EF30" s="81">
        <v>46147.490590624999</v>
      </c>
      <c r="EG30" s="2" t="s">
        <v>71</v>
      </c>
      <c r="EH30" s="76">
        <v>3</v>
      </c>
      <c r="EI30" s="76" t="s">
        <v>32</v>
      </c>
      <c r="EJ30" s="74" t="s">
        <v>244</v>
      </c>
      <c r="EK30" s="78"/>
      <c r="EL30" s="74"/>
      <c r="EM30" s="74"/>
      <c r="EN30" s="68"/>
      <c r="ER30" s="73"/>
      <c r="ES30" s="74"/>
      <c r="ET30" s="74"/>
      <c r="EU30" s="74"/>
      <c r="EV30" s="74"/>
      <c r="EW30" s="74"/>
      <c r="EX30" s="74"/>
      <c r="EY30" s="74"/>
      <c r="EZ30" s="74"/>
      <c r="FA30" s="74"/>
      <c r="FB30" s="74"/>
      <c r="FC30" s="74"/>
      <c r="FD30" s="74"/>
      <c r="FE30" s="74"/>
      <c r="FF30" s="74"/>
      <c r="FG30" s="74"/>
      <c r="FH30" s="74"/>
      <c r="FI30" s="74"/>
      <c r="FJ30" s="74"/>
      <c r="FK30" s="68"/>
    </row>
    <row r="31" spans="1:183" s="2" customFormat="1" ht="15" x14ac:dyDescent="0.3">
      <c r="A31" s="73" t="s">
        <v>184</v>
      </c>
      <c r="B31" s="73" t="s">
        <v>166</v>
      </c>
      <c r="C31" s="73" t="s">
        <v>166</v>
      </c>
      <c r="D31" s="73" t="s">
        <v>48</v>
      </c>
      <c r="E31" s="73" t="s">
        <v>178</v>
      </c>
      <c r="F31" s="73" t="s">
        <v>210</v>
      </c>
      <c r="G31" s="73" t="s">
        <v>227</v>
      </c>
      <c r="H31" s="73"/>
      <c r="I31" s="74">
        <v>4415</v>
      </c>
      <c r="J31" s="74">
        <v>5106</v>
      </c>
      <c r="K31" s="74">
        <v>6421</v>
      </c>
      <c r="L31" s="74">
        <v>9234</v>
      </c>
      <c r="M31" s="74">
        <v>11565</v>
      </c>
      <c r="N31" s="74">
        <v>13678</v>
      </c>
      <c r="O31" s="74">
        <v>14285</v>
      </c>
      <c r="P31" s="74">
        <v>15503</v>
      </c>
      <c r="Q31" s="74">
        <v>0</v>
      </c>
      <c r="R31" s="74">
        <v>0</v>
      </c>
      <c r="S31" s="74">
        <v>0</v>
      </c>
      <c r="T31" s="74">
        <v>0</v>
      </c>
      <c r="U31" s="74">
        <v>0</v>
      </c>
      <c r="V31" s="74">
        <v>0</v>
      </c>
      <c r="W31" s="74">
        <v>0</v>
      </c>
      <c r="X31" s="74">
        <v>0</v>
      </c>
      <c r="Y31" s="74">
        <v>0</v>
      </c>
      <c r="Z31" s="74">
        <v>0</v>
      </c>
      <c r="AA31" s="74">
        <v>0</v>
      </c>
      <c r="AB31" s="74">
        <v>0</v>
      </c>
      <c r="AC31" s="74">
        <v>0</v>
      </c>
      <c r="AD31" s="74">
        <v>0</v>
      </c>
      <c r="AE31" s="74">
        <v>0</v>
      </c>
      <c r="AF31" s="74">
        <v>0</v>
      </c>
      <c r="AG31" s="74">
        <v>0</v>
      </c>
      <c r="AH31" s="74">
        <v>0</v>
      </c>
      <c r="AI31" s="74">
        <v>0</v>
      </c>
      <c r="AJ31" s="74">
        <v>0</v>
      </c>
      <c r="AK31" s="74"/>
      <c r="AL31" s="74">
        <v>2394.0626799441934</v>
      </c>
      <c r="AM31" s="74">
        <v>2697.5768480000002</v>
      </c>
      <c r="AN31" s="74">
        <v>2711.4819345599999</v>
      </c>
      <c r="AO31" s="74">
        <v>2813.1629165231998</v>
      </c>
      <c r="AP31" s="74">
        <v>2695.8159999999998</v>
      </c>
      <c r="AQ31" s="74">
        <v>2938.6</v>
      </c>
      <c r="AR31" s="74">
        <v>3429.5930684042814</v>
      </c>
      <c r="AS31" s="74">
        <v>3790.0546572695098</v>
      </c>
      <c r="AT31" s="74">
        <v>3263.9862325119611</v>
      </c>
      <c r="AU31" s="74">
        <v>3432.8188138974488</v>
      </c>
      <c r="AV31" s="74">
        <v>3646.6479826172804</v>
      </c>
      <c r="AW31" s="74">
        <v>3941.5469709733097</v>
      </c>
      <c r="AX31" s="74">
        <v>3530</v>
      </c>
      <c r="AY31" s="74">
        <v>3742</v>
      </c>
      <c r="AZ31" s="74">
        <v>4001</v>
      </c>
      <c r="BA31" s="74">
        <v>4230</v>
      </c>
      <c r="BB31" s="74">
        <v>4280</v>
      </c>
      <c r="BC31" s="74">
        <v>0</v>
      </c>
      <c r="BD31" s="74">
        <v>0</v>
      </c>
      <c r="BE31" s="74">
        <v>0</v>
      </c>
      <c r="BF31" s="74">
        <v>0</v>
      </c>
      <c r="BG31" s="74">
        <v>0</v>
      </c>
      <c r="BH31" s="74">
        <v>0</v>
      </c>
      <c r="BI31" s="74">
        <v>0</v>
      </c>
      <c r="BJ31" s="74">
        <v>0</v>
      </c>
      <c r="BK31" s="74">
        <v>0</v>
      </c>
      <c r="BL31" s="74">
        <v>0</v>
      </c>
      <c r="BM31" s="74">
        <v>0</v>
      </c>
      <c r="BN31" s="74">
        <v>0</v>
      </c>
      <c r="BO31" s="74">
        <v>0</v>
      </c>
      <c r="BP31" s="74">
        <v>0</v>
      </c>
      <c r="BQ31" s="74">
        <v>0</v>
      </c>
      <c r="BR31" s="74">
        <v>0</v>
      </c>
      <c r="BS31" s="74">
        <v>0</v>
      </c>
      <c r="BT31" s="74">
        <v>0</v>
      </c>
      <c r="BU31" s="74">
        <v>0</v>
      </c>
      <c r="BV31" s="74">
        <v>0</v>
      </c>
      <c r="BW31" s="74">
        <v>0</v>
      </c>
      <c r="BX31" s="74">
        <v>0</v>
      </c>
      <c r="BY31" s="74">
        <v>0</v>
      </c>
      <c r="BZ31" s="74">
        <v>0</v>
      </c>
      <c r="CA31" s="74">
        <v>0</v>
      </c>
      <c r="CB31" s="74">
        <v>0</v>
      </c>
      <c r="CC31" s="74">
        <v>0</v>
      </c>
      <c r="CD31" s="74">
        <v>0</v>
      </c>
      <c r="CE31" s="74">
        <v>0</v>
      </c>
      <c r="CF31" s="74">
        <v>0</v>
      </c>
      <c r="CG31" s="74">
        <v>0</v>
      </c>
      <c r="CH31" s="74">
        <v>0</v>
      </c>
      <c r="CI31" s="74">
        <v>0</v>
      </c>
      <c r="CJ31" s="74">
        <v>0</v>
      </c>
      <c r="CK31" s="74">
        <v>0</v>
      </c>
      <c r="CL31" s="74">
        <v>0</v>
      </c>
      <c r="CM31" s="74">
        <v>0</v>
      </c>
      <c r="CN31" s="74">
        <v>0</v>
      </c>
      <c r="CO31" s="74">
        <v>0</v>
      </c>
      <c r="CP31" s="74">
        <v>0</v>
      </c>
      <c r="CQ31" s="74">
        <v>0</v>
      </c>
      <c r="CR31" s="74">
        <v>0</v>
      </c>
      <c r="CS31" s="74">
        <v>0</v>
      </c>
      <c r="CT31" s="74">
        <v>0</v>
      </c>
      <c r="CU31" s="74">
        <v>0</v>
      </c>
      <c r="CV31" s="74">
        <v>0</v>
      </c>
      <c r="CW31" s="74">
        <v>0</v>
      </c>
      <c r="CX31" s="74">
        <v>0</v>
      </c>
      <c r="CY31" s="74">
        <v>0</v>
      </c>
      <c r="CZ31" s="74">
        <v>0</v>
      </c>
      <c r="DA31" s="74">
        <v>0</v>
      </c>
      <c r="DB31" s="74">
        <v>0</v>
      </c>
      <c r="DC31" s="74">
        <v>0</v>
      </c>
      <c r="DD31" s="74">
        <v>0</v>
      </c>
      <c r="DE31" s="74">
        <v>0</v>
      </c>
      <c r="DF31" s="74">
        <v>0</v>
      </c>
      <c r="DG31" s="74">
        <v>0</v>
      </c>
      <c r="DH31" s="74">
        <v>0</v>
      </c>
      <c r="DI31" s="74">
        <v>0</v>
      </c>
      <c r="DJ31" s="74">
        <v>0</v>
      </c>
      <c r="DK31" s="74">
        <v>0</v>
      </c>
      <c r="DL31" s="74">
        <v>0</v>
      </c>
      <c r="DM31" s="74">
        <v>0</v>
      </c>
      <c r="DN31" s="74">
        <v>0</v>
      </c>
      <c r="DO31" s="74">
        <v>0</v>
      </c>
      <c r="DP31" s="74">
        <v>0</v>
      </c>
      <c r="DQ31" s="74">
        <v>0</v>
      </c>
      <c r="DR31" s="74">
        <v>0</v>
      </c>
      <c r="DS31" s="74">
        <v>0</v>
      </c>
      <c r="DT31" s="74">
        <v>0</v>
      </c>
      <c r="DU31" s="74">
        <v>0</v>
      </c>
      <c r="DV31" s="74">
        <v>0</v>
      </c>
      <c r="DW31" s="74">
        <v>0</v>
      </c>
      <c r="DX31" s="74">
        <v>0</v>
      </c>
      <c r="DY31" s="74">
        <v>0</v>
      </c>
      <c r="DZ31" s="74">
        <v>0</v>
      </c>
      <c r="EA31" s="74">
        <v>0</v>
      </c>
      <c r="EB31" s="74">
        <v>0</v>
      </c>
      <c r="EC31" s="74">
        <v>0</v>
      </c>
      <c r="ED31" s="74"/>
      <c r="EE31" s="68">
        <v>46147</v>
      </c>
      <c r="EF31" s="81">
        <v>46147.490590624999</v>
      </c>
      <c r="EG31" s="2" t="s">
        <v>71</v>
      </c>
      <c r="EH31" s="76">
        <v>3</v>
      </c>
      <c r="EI31" s="76" t="s">
        <v>32</v>
      </c>
      <c r="EJ31" s="74" t="s">
        <v>244</v>
      </c>
      <c r="EK31" s="78"/>
      <c r="EL31" s="74"/>
      <c r="EM31" s="74"/>
      <c r="EN31" s="68"/>
      <c r="ER31" s="73"/>
      <c r="ES31" s="74"/>
      <c r="ET31" s="74"/>
      <c r="EU31" s="74"/>
      <c r="EV31" s="74"/>
      <c r="EW31" s="74"/>
      <c r="EX31" s="74"/>
      <c r="EY31" s="74"/>
      <c r="EZ31" s="74"/>
      <c r="FA31" s="74"/>
      <c r="FB31" s="74"/>
      <c r="FC31" s="74"/>
      <c r="FD31" s="74"/>
      <c r="FE31" s="74"/>
      <c r="FF31" s="74"/>
      <c r="FG31" s="74"/>
      <c r="FH31" s="74"/>
      <c r="FI31" s="74"/>
      <c r="FJ31" s="74"/>
      <c r="FK31" s="68"/>
    </row>
    <row r="32" spans="1:183" s="2" customFormat="1" ht="15" x14ac:dyDescent="0.3">
      <c r="A32" s="73" t="s">
        <v>185</v>
      </c>
      <c r="B32" s="73" t="s">
        <v>168</v>
      </c>
      <c r="C32" s="73" t="s">
        <v>168</v>
      </c>
      <c r="D32" s="73" t="s">
        <v>48</v>
      </c>
      <c r="E32" s="73" t="s">
        <v>178</v>
      </c>
      <c r="F32" s="73" t="s">
        <v>210</v>
      </c>
      <c r="G32" s="73" t="s">
        <v>227</v>
      </c>
      <c r="H32" s="73"/>
      <c r="I32" s="74">
        <v>1628</v>
      </c>
      <c r="J32" s="74">
        <v>1886</v>
      </c>
      <c r="K32" s="74">
        <v>2215</v>
      </c>
      <c r="L32" s="74">
        <v>3022</v>
      </c>
      <c r="M32" s="74">
        <v>3483</v>
      </c>
      <c r="N32" s="74">
        <v>4016</v>
      </c>
      <c r="O32" s="74">
        <v>4462</v>
      </c>
      <c r="P32" s="74">
        <v>4907</v>
      </c>
      <c r="Q32" s="74">
        <v>0</v>
      </c>
      <c r="R32" s="74">
        <v>0</v>
      </c>
      <c r="S32" s="74">
        <v>0</v>
      </c>
      <c r="T32" s="74">
        <v>0</v>
      </c>
      <c r="U32" s="74">
        <v>0</v>
      </c>
      <c r="V32" s="74">
        <v>0</v>
      </c>
      <c r="W32" s="74">
        <v>0</v>
      </c>
      <c r="X32" s="74">
        <v>0</v>
      </c>
      <c r="Y32" s="74">
        <v>0</v>
      </c>
      <c r="Z32" s="74">
        <v>0</v>
      </c>
      <c r="AA32" s="74">
        <v>0</v>
      </c>
      <c r="AB32" s="74">
        <v>0</v>
      </c>
      <c r="AC32" s="74">
        <v>0</v>
      </c>
      <c r="AD32" s="74">
        <v>0</v>
      </c>
      <c r="AE32" s="74">
        <v>0</v>
      </c>
      <c r="AF32" s="74">
        <v>0</v>
      </c>
      <c r="AG32" s="74">
        <v>0</v>
      </c>
      <c r="AH32" s="74">
        <v>0</v>
      </c>
      <c r="AI32" s="74">
        <v>0</v>
      </c>
      <c r="AJ32" s="74">
        <v>0</v>
      </c>
      <c r="AK32" s="74"/>
      <c r="AL32" s="74">
        <v>2394.0626799441934</v>
      </c>
      <c r="AM32" s="74">
        <v>2697.5768480000002</v>
      </c>
      <c r="AN32" s="74">
        <v>2711.4819345599999</v>
      </c>
      <c r="AO32" s="74">
        <v>2813.1629165231998</v>
      </c>
      <c r="AP32" s="74">
        <v>2695.8159999999998</v>
      </c>
      <c r="AQ32" s="74">
        <v>2938.6</v>
      </c>
      <c r="AR32" s="74">
        <v>3429.5930684042814</v>
      </c>
      <c r="AS32" s="74">
        <v>3790.0546572695098</v>
      </c>
      <c r="AT32" s="74">
        <v>3263.9862325119611</v>
      </c>
      <c r="AU32" s="74">
        <v>3432.8188138974488</v>
      </c>
      <c r="AV32" s="74">
        <v>3646.6479826172804</v>
      </c>
      <c r="AW32" s="74">
        <v>3941.5469709733097</v>
      </c>
      <c r="AX32" s="74">
        <v>3530</v>
      </c>
      <c r="AY32" s="74">
        <v>3742</v>
      </c>
      <c r="AZ32" s="74">
        <v>4001</v>
      </c>
      <c r="BA32" s="74">
        <v>4230</v>
      </c>
      <c r="BB32" s="74">
        <v>4280</v>
      </c>
      <c r="BC32" s="74">
        <v>0</v>
      </c>
      <c r="BD32" s="74">
        <v>0</v>
      </c>
      <c r="BE32" s="74">
        <v>0</v>
      </c>
      <c r="BF32" s="74">
        <v>0</v>
      </c>
      <c r="BG32" s="74">
        <v>0</v>
      </c>
      <c r="BH32" s="74">
        <v>0</v>
      </c>
      <c r="BI32" s="74">
        <v>0</v>
      </c>
      <c r="BJ32" s="74">
        <v>0</v>
      </c>
      <c r="BK32" s="74">
        <v>0</v>
      </c>
      <c r="BL32" s="74">
        <v>0</v>
      </c>
      <c r="BM32" s="74">
        <v>0</v>
      </c>
      <c r="BN32" s="74">
        <v>0</v>
      </c>
      <c r="BO32" s="74">
        <v>0</v>
      </c>
      <c r="BP32" s="74">
        <v>0</v>
      </c>
      <c r="BQ32" s="74">
        <v>0</v>
      </c>
      <c r="BR32" s="74">
        <v>0</v>
      </c>
      <c r="BS32" s="74">
        <v>0</v>
      </c>
      <c r="BT32" s="74">
        <v>0</v>
      </c>
      <c r="BU32" s="74">
        <v>0</v>
      </c>
      <c r="BV32" s="74">
        <v>0</v>
      </c>
      <c r="BW32" s="74">
        <v>0</v>
      </c>
      <c r="BX32" s="74">
        <v>0</v>
      </c>
      <c r="BY32" s="74">
        <v>0</v>
      </c>
      <c r="BZ32" s="74">
        <v>0</v>
      </c>
      <c r="CA32" s="74">
        <v>0</v>
      </c>
      <c r="CB32" s="74">
        <v>0</v>
      </c>
      <c r="CC32" s="74">
        <v>0</v>
      </c>
      <c r="CD32" s="74">
        <v>0</v>
      </c>
      <c r="CE32" s="74">
        <v>0</v>
      </c>
      <c r="CF32" s="74">
        <v>0</v>
      </c>
      <c r="CG32" s="74">
        <v>0</v>
      </c>
      <c r="CH32" s="74">
        <v>0</v>
      </c>
      <c r="CI32" s="74">
        <v>0</v>
      </c>
      <c r="CJ32" s="74">
        <v>0</v>
      </c>
      <c r="CK32" s="74">
        <v>0</v>
      </c>
      <c r="CL32" s="74">
        <v>0</v>
      </c>
      <c r="CM32" s="74">
        <v>0</v>
      </c>
      <c r="CN32" s="74">
        <v>0</v>
      </c>
      <c r="CO32" s="74">
        <v>0</v>
      </c>
      <c r="CP32" s="74">
        <v>0</v>
      </c>
      <c r="CQ32" s="74">
        <v>0</v>
      </c>
      <c r="CR32" s="74">
        <v>0</v>
      </c>
      <c r="CS32" s="74">
        <v>0</v>
      </c>
      <c r="CT32" s="74">
        <v>0</v>
      </c>
      <c r="CU32" s="74">
        <v>0</v>
      </c>
      <c r="CV32" s="74">
        <v>0</v>
      </c>
      <c r="CW32" s="74">
        <v>0</v>
      </c>
      <c r="CX32" s="74">
        <v>0</v>
      </c>
      <c r="CY32" s="74">
        <v>0</v>
      </c>
      <c r="CZ32" s="74">
        <v>0</v>
      </c>
      <c r="DA32" s="74">
        <v>0</v>
      </c>
      <c r="DB32" s="74">
        <v>0</v>
      </c>
      <c r="DC32" s="74">
        <v>0</v>
      </c>
      <c r="DD32" s="74">
        <v>0</v>
      </c>
      <c r="DE32" s="74">
        <v>0</v>
      </c>
      <c r="DF32" s="74">
        <v>0</v>
      </c>
      <c r="DG32" s="74">
        <v>0</v>
      </c>
      <c r="DH32" s="74">
        <v>0</v>
      </c>
      <c r="DI32" s="74">
        <v>0</v>
      </c>
      <c r="DJ32" s="74">
        <v>0</v>
      </c>
      <c r="DK32" s="74">
        <v>0</v>
      </c>
      <c r="DL32" s="74">
        <v>0</v>
      </c>
      <c r="DM32" s="74">
        <v>0</v>
      </c>
      <c r="DN32" s="74">
        <v>0</v>
      </c>
      <c r="DO32" s="74">
        <v>0</v>
      </c>
      <c r="DP32" s="74">
        <v>0</v>
      </c>
      <c r="DQ32" s="74">
        <v>0</v>
      </c>
      <c r="DR32" s="74">
        <v>0</v>
      </c>
      <c r="DS32" s="74">
        <v>0</v>
      </c>
      <c r="DT32" s="74">
        <v>0</v>
      </c>
      <c r="DU32" s="74">
        <v>0</v>
      </c>
      <c r="DV32" s="74">
        <v>0</v>
      </c>
      <c r="DW32" s="74">
        <v>0</v>
      </c>
      <c r="DX32" s="74">
        <v>0</v>
      </c>
      <c r="DY32" s="74">
        <v>0</v>
      </c>
      <c r="DZ32" s="74">
        <v>0</v>
      </c>
      <c r="EA32" s="74">
        <v>0</v>
      </c>
      <c r="EB32" s="74">
        <v>0</v>
      </c>
      <c r="EC32" s="74">
        <v>0</v>
      </c>
      <c r="ED32" s="74"/>
      <c r="EE32" s="68">
        <v>46147</v>
      </c>
      <c r="EF32" s="81">
        <v>46147.490590624999</v>
      </c>
      <c r="EG32" s="2" t="s">
        <v>71</v>
      </c>
      <c r="EH32" s="76">
        <v>3</v>
      </c>
      <c r="EI32" s="76" t="s">
        <v>32</v>
      </c>
      <c r="EJ32" s="74" t="s">
        <v>244</v>
      </c>
      <c r="EK32" s="78"/>
      <c r="EL32" s="74"/>
      <c r="EM32" s="74"/>
      <c r="EN32" s="68"/>
      <c r="ER32" s="73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68"/>
    </row>
    <row r="33" spans="1:167" s="2" customFormat="1" ht="15" x14ac:dyDescent="0.3">
      <c r="A33" s="73" t="s">
        <v>186</v>
      </c>
      <c r="B33" s="73" t="s">
        <v>172</v>
      </c>
      <c r="C33" s="73" t="s">
        <v>172</v>
      </c>
      <c r="D33" s="73" t="s">
        <v>48</v>
      </c>
      <c r="E33" s="73" t="s">
        <v>178</v>
      </c>
      <c r="F33" s="73" t="s">
        <v>210</v>
      </c>
      <c r="G33" s="73" t="s">
        <v>227</v>
      </c>
      <c r="H33" s="73"/>
      <c r="I33" s="74">
        <v>6095</v>
      </c>
      <c r="J33" s="74">
        <v>8158</v>
      </c>
      <c r="K33" s="74">
        <v>7603</v>
      </c>
      <c r="L33" s="74">
        <v>10653</v>
      </c>
      <c r="M33" s="74">
        <v>9876</v>
      </c>
      <c r="N33" s="74">
        <v>12531</v>
      </c>
      <c r="O33" s="74">
        <v>13320</v>
      </c>
      <c r="P33" s="74">
        <v>21450</v>
      </c>
      <c r="Q33" s="74">
        <v>0</v>
      </c>
      <c r="R33" s="74">
        <v>0</v>
      </c>
      <c r="S33" s="74">
        <v>0</v>
      </c>
      <c r="T33" s="74">
        <v>0</v>
      </c>
      <c r="U33" s="74">
        <v>0</v>
      </c>
      <c r="V33" s="74">
        <v>0</v>
      </c>
      <c r="W33" s="74">
        <v>0</v>
      </c>
      <c r="X33" s="74">
        <v>0</v>
      </c>
      <c r="Y33" s="74">
        <v>0</v>
      </c>
      <c r="Z33" s="74">
        <v>0</v>
      </c>
      <c r="AA33" s="74">
        <v>0</v>
      </c>
      <c r="AB33" s="74">
        <v>0</v>
      </c>
      <c r="AC33" s="74">
        <v>0</v>
      </c>
      <c r="AD33" s="74">
        <v>0</v>
      </c>
      <c r="AE33" s="74">
        <v>0</v>
      </c>
      <c r="AF33" s="74">
        <v>0</v>
      </c>
      <c r="AG33" s="74">
        <v>0</v>
      </c>
      <c r="AH33" s="74">
        <v>0</v>
      </c>
      <c r="AI33" s="74">
        <v>0</v>
      </c>
      <c r="AJ33" s="74">
        <v>0</v>
      </c>
      <c r="AK33" s="74"/>
      <c r="AL33" s="74">
        <v>2394.0626799441934</v>
      </c>
      <c r="AM33" s="74">
        <v>2697.5768480000002</v>
      </c>
      <c r="AN33" s="74">
        <v>2711.4819345599999</v>
      </c>
      <c r="AO33" s="74">
        <v>2813.1629165231998</v>
      </c>
      <c r="AP33" s="74">
        <v>2695.8159999999998</v>
      </c>
      <c r="AQ33" s="74">
        <v>2938.6</v>
      </c>
      <c r="AR33" s="74">
        <v>3429.5930684042814</v>
      </c>
      <c r="AS33" s="74">
        <v>3790.0546572695098</v>
      </c>
      <c r="AT33" s="74">
        <v>3263.9862325119611</v>
      </c>
      <c r="AU33" s="74">
        <v>3432.8188138974488</v>
      </c>
      <c r="AV33" s="74">
        <v>3646.6479826172804</v>
      </c>
      <c r="AW33" s="74">
        <v>3941.5469709733097</v>
      </c>
      <c r="AX33" s="74">
        <v>3530</v>
      </c>
      <c r="AY33" s="74">
        <v>3742</v>
      </c>
      <c r="AZ33" s="74">
        <v>4001</v>
      </c>
      <c r="BA33" s="74">
        <v>4230</v>
      </c>
      <c r="BB33" s="74">
        <v>4280</v>
      </c>
      <c r="BC33" s="74">
        <v>0</v>
      </c>
      <c r="BD33" s="74">
        <v>0</v>
      </c>
      <c r="BE33" s="74">
        <v>0</v>
      </c>
      <c r="BF33" s="74">
        <v>0</v>
      </c>
      <c r="BG33" s="74">
        <v>0</v>
      </c>
      <c r="BH33" s="74">
        <v>0</v>
      </c>
      <c r="BI33" s="74">
        <v>0</v>
      </c>
      <c r="BJ33" s="74">
        <v>0</v>
      </c>
      <c r="BK33" s="74">
        <v>0</v>
      </c>
      <c r="BL33" s="74">
        <v>0</v>
      </c>
      <c r="BM33" s="74">
        <v>0</v>
      </c>
      <c r="BN33" s="74">
        <v>0</v>
      </c>
      <c r="BO33" s="74">
        <v>0</v>
      </c>
      <c r="BP33" s="74">
        <v>0</v>
      </c>
      <c r="BQ33" s="74">
        <v>0</v>
      </c>
      <c r="BR33" s="74">
        <v>0</v>
      </c>
      <c r="BS33" s="74">
        <v>0</v>
      </c>
      <c r="BT33" s="74">
        <v>0</v>
      </c>
      <c r="BU33" s="74">
        <v>0</v>
      </c>
      <c r="BV33" s="74">
        <v>0</v>
      </c>
      <c r="BW33" s="74">
        <v>0</v>
      </c>
      <c r="BX33" s="74">
        <v>0</v>
      </c>
      <c r="BY33" s="74">
        <v>0</v>
      </c>
      <c r="BZ33" s="74">
        <v>0</v>
      </c>
      <c r="CA33" s="74">
        <v>0</v>
      </c>
      <c r="CB33" s="74">
        <v>0</v>
      </c>
      <c r="CC33" s="74">
        <v>0</v>
      </c>
      <c r="CD33" s="74">
        <v>0</v>
      </c>
      <c r="CE33" s="74">
        <v>0</v>
      </c>
      <c r="CF33" s="74">
        <v>0</v>
      </c>
      <c r="CG33" s="74">
        <v>0</v>
      </c>
      <c r="CH33" s="74">
        <v>0</v>
      </c>
      <c r="CI33" s="74">
        <v>0</v>
      </c>
      <c r="CJ33" s="74">
        <v>0</v>
      </c>
      <c r="CK33" s="74">
        <v>0</v>
      </c>
      <c r="CL33" s="74">
        <v>0</v>
      </c>
      <c r="CM33" s="74">
        <v>0</v>
      </c>
      <c r="CN33" s="74">
        <v>0</v>
      </c>
      <c r="CO33" s="74">
        <v>0</v>
      </c>
      <c r="CP33" s="74">
        <v>0</v>
      </c>
      <c r="CQ33" s="74">
        <v>0</v>
      </c>
      <c r="CR33" s="74">
        <v>0</v>
      </c>
      <c r="CS33" s="74">
        <v>0</v>
      </c>
      <c r="CT33" s="74">
        <v>0</v>
      </c>
      <c r="CU33" s="74">
        <v>0</v>
      </c>
      <c r="CV33" s="74">
        <v>0</v>
      </c>
      <c r="CW33" s="74">
        <v>0</v>
      </c>
      <c r="CX33" s="74">
        <v>0</v>
      </c>
      <c r="CY33" s="74">
        <v>0</v>
      </c>
      <c r="CZ33" s="74">
        <v>0</v>
      </c>
      <c r="DA33" s="74">
        <v>0</v>
      </c>
      <c r="DB33" s="74">
        <v>0</v>
      </c>
      <c r="DC33" s="74">
        <v>0</v>
      </c>
      <c r="DD33" s="74">
        <v>0</v>
      </c>
      <c r="DE33" s="74">
        <v>0</v>
      </c>
      <c r="DF33" s="74">
        <v>0</v>
      </c>
      <c r="DG33" s="74">
        <v>0</v>
      </c>
      <c r="DH33" s="74">
        <v>0</v>
      </c>
      <c r="DI33" s="74">
        <v>0</v>
      </c>
      <c r="DJ33" s="74">
        <v>0</v>
      </c>
      <c r="DK33" s="74">
        <v>0</v>
      </c>
      <c r="DL33" s="74">
        <v>0</v>
      </c>
      <c r="DM33" s="74">
        <v>0</v>
      </c>
      <c r="DN33" s="74">
        <v>0</v>
      </c>
      <c r="DO33" s="74">
        <v>0</v>
      </c>
      <c r="DP33" s="74">
        <v>0</v>
      </c>
      <c r="DQ33" s="74">
        <v>0</v>
      </c>
      <c r="DR33" s="74">
        <v>0</v>
      </c>
      <c r="DS33" s="74">
        <v>0</v>
      </c>
      <c r="DT33" s="74">
        <v>0</v>
      </c>
      <c r="DU33" s="74">
        <v>0</v>
      </c>
      <c r="DV33" s="74">
        <v>0</v>
      </c>
      <c r="DW33" s="74">
        <v>0</v>
      </c>
      <c r="DX33" s="74">
        <v>0</v>
      </c>
      <c r="DY33" s="74">
        <v>0</v>
      </c>
      <c r="DZ33" s="74">
        <v>0</v>
      </c>
      <c r="EA33" s="74">
        <v>0</v>
      </c>
      <c r="EB33" s="74">
        <v>0</v>
      </c>
      <c r="EC33" s="74">
        <v>0</v>
      </c>
      <c r="ED33" s="74"/>
      <c r="EE33" s="68">
        <v>46147</v>
      </c>
      <c r="EF33" s="81">
        <v>46147.490590624999</v>
      </c>
      <c r="EG33" s="2" t="s">
        <v>71</v>
      </c>
      <c r="EH33" s="76">
        <v>3</v>
      </c>
      <c r="EI33" s="76" t="s">
        <v>32</v>
      </c>
      <c r="EJ33" s="74" t="s">
        <v>244</v>
      </c>
      <c r="EK33" s="78"/>
      <c r="EL33" s="74"/>
      <c r="EM33" s="74"/>
      <c r="EN33" s="68"/>
      <c r="ER33" s="73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68"/>
    </row>
    <row r="34" spans="1:167" s="2" customFormat="1" ht="15" x14ac:dyDescent="0.3">
      <c r="A34" s="73" t="s">
        <v>177</v>
      </c>
      <c r="B34" s="73" t="s">
        <v>203</v>
      </c>
      <c r="C34" s="73" t="s">
        <v>203</v>
      </c>
      <c r="D34" s="73" t="s">
        <v>48</v>
      </c>
      <c r="E34" s="73" t="s">
        <v>178</v>
      </c>
      <c r="F34" s="73" t="s">
        <v>210</v>
      </c>
      <c r="G34" s="73" t="s">
        <v>227</v>
      </c>
      <c r="H34" s="73"/>
      <c r="I34" s="74">
        <v>-12138</v>
      </c>
      <c r="J34" s="74">
        <v>6639</v>
      </c>
      <c r="K34" s="74">
        <v>8941</v>
      </c>
      <c r="L34" s="74">
        <v>11524</v>
      </c>
      <c r="M34" s="74">
        <v>16997</v>
      </c>
      <c r="N34" s="74">
        <v>18438</v>
      </c>
      <c r="O34" s="74">
        <v>20728</v>
      </c>
      <c r="P34" s="74">
        <v>23896</v>
      </c>
      <c r="Q34" s="74">
        <v>0</v>
      </c>
      <c r="R34" s="74">
        <v>0</v>
      </c>
      <c r="S34" s="74">
        <v>0</v>
      </c>
      <c r="T34" s="74">
        <v>0</v>
      </c>
      <c r="U34" s="74">
        <v>0</v>
      </c>
      <c r="V34" s="74">
        <v>0</v>
      </c>
      <c r="W34" s="74">
        <v>0</v>
      </c>
      <c r="X34" s="74">
        <v>0</v>
      </c>
      <c r="Y34" s="74">
        <v>0</v>
      </c>
      <c r="Z34" s="74">
        <v>0</v>
      </c>
      <c r="AA34" s="74">
        <v>0</v>
      </c>
      <c r="AB34" s="74">
        <v>0</v>
      </c>
      <c r="AC34" s="74">
        <v>0</v>
      </c>
      <c r="AD34" s="74">
        <v>0</v>
      </c>
      <c r="AE34" s="74">
        <v>0</v>
      </c>
      <c r="AF34" s="74">
        <v>0</v>
      </c>
      <c r="AG34" s="74">
        <v>0</v>
      </c>
      <c r="AH34" s="74">
        <v>0</v>
      </c>
      <c r="AI34" s="74">
        <v>0</v>
      </c>
      <c r="AJ34" s="74">
        <v>0</v>
      </c>
      <c r="AK34" s="74"/>
      <c r="AL34" s="74">
        <v>1795.8119601674198</v>
      </c>
      <c r="AM34" s="74">
        <v>1501.2694559999986</v>
      </c>
      <c r="AN34" s="74">
        <v>2069.5541963200003</v>
      </c>
      <c r="AO34" s="74">
        <v>4245.5112504303997</v>
      </c>
      <c r="AP34" s="74">
        <v>3035.5520000000015</v>
      </c>
      <c r="AQ34" s="74">
        <v>2773.1999999999994</v>
      </c>
      <c r="AR34" s="74">
        <v>1842.2207947871557</v>
      </c>
      <c r="AS34" s="74">
        <v>2449.8360281914715</v>
      </c>
      <c r="AT34" s="74">
        <v>1892.0413024641166</v>
      </c>
      <c r="AU34" s="74">
        <v>1739.5435583076528</v>
      </c>
      <c r="AV34" s="74">
        <v>2502.0560521481598</v>
      </c>
      <c r="AW34" s="74">
        <v>3806.3590870800708</v>
      </c>
      <c r="AX34" s="74">
        <v>3672</v>
      </c>
      <c r="AY34" s="74">
        <v>4001</v>
      </c>
      <c r="AZ34" s="74">
        <v>4793</v>
      </c>
      <c r="BA34" s="74">
        <v>7051</v>
      </c>
      <c r="BB34" s="74">
        <v>6901</v>
      </c>
      <c r="BC34" s="74">
        <v>0</v>
      </c>
      <c r="BD34" s="74">
        <v>0</v>
      </c>
      <c r="BE34" s="74">
        <v>0</v>
      </c>
      <c r="BF34" s="74">
        <v>0</v>
      </c>
      <c r="BG34" s="74">
        <v>0</v>
      </c>
      <c r="BH34" s="74">
        <v>0</v>
      </c>
      <c r="BI34" s="74">
        <v>0</v>
      </c>
      <c r="BJ34" s="74">
        <v>0</v>
      </c>
      <c r="BK34" s="74">
        <v>0</v>
      </c>
      <c r="BL34" s="74">
        <v>0</v>
      </c>
      <c r="BM34" s="74">
        <v>0</v>
      </c>
      <c r="BN34" s="74">
        <v>0</v>
      </c>
      <c r="BO34" s="74">
        <v>0</v>
      </c>
      <c r="BP34" s="74">
        <v>0</v>
      </c>
      <c r="BQ34" s="74">
        <v>0</v>
      </c>
      <c r="BR34" s="74">
        <v>0</v>
      </c>
      <c r="BS34" s="74">
        <v>0</v>
      </c>
      <c r="BT34" s="74">
        <v>0</v>
      </c>
      <c r="BU34" s="74">
        <v>0</v>
      </c>
      <c r="BV34" s="74">
        <v>0</v>
      </c>
      <c r="BW34" s="74">
        <v>0</v>
      </c>
      <c r="BX34" s="74">
        <v>0</v>
      </c>
      <c r="BY34" s="74">
        <v>0</v>
      </c>
      <c r="BZ34" s="74">
        <v>0</v>
      </c>
      <c r="CA34" s="74">
        <v>0</v>
      </c>
      <c r="CB34" s="74">
        <v>0</v>
      </c>
      <c r="CC34" s="74">
        <v>0</v>
      </c>
      <c r="CD34" s="74">
        <v>0</v>
      </c>
      <c r="CE34" s="74">
        <v>0</v>
      </c>
      <c r="CF34" s="74">
        <v>0</v>
      </c>
      <c r="CG34" s="74">
        <v>0</v>
      </c>
      <c r="CH34" s="74">
        <v>0</v>
      </c>
      <c r="CI34" s="74">
        <v>0</v>
      </c>
      <c r="CJ34" s="74">
        <v>0</v>
      </c>
      <c r="CK34" s="74">
        <v>0</v>
      </c>
      <c r="CL34" s="74">
        <v>0</v>
      </c>
      <c r="CM34" s="74">
        <v>0</v>
      </c>
      <c r="CN34" s="74">
        <v>0</v>
      </c>
      <c r="CO34" s="74">
        <v>0</v>
      </c>
      <c r="CP34" s="74">
        <v>0</v>
      </c>
      <c r="CQ34" s="74">
        <v>0</v>
      </c>
      <c r="CR34" s="74">
        <v>0</v>
      </c>
      <c r="CS34" s="74">
        <v>0</v>
      </c>
      <c r="CT34" s="74">
        <v>0</v>
      </c>
      <c r="CU34" s="74">
        <v>0</v>
      </c>
      <c r="CV34" s="74">
        <v>0</v>
      </c>
      <c r="CW34" s="74">
        <v>0</v>
      </c>
      <c r="CX34" s="74">
        <v>0</v>
      </c>
      <c r="CY34" s="74">
        <v>0</v>
      </c>
      <c r="CZ34" s="74">
        <v>0</v>
      </c>
      <c r="DA34" s="74">
        <v>0</v>
      </c>
      <c r="DB34" s="74">
        <v>0</v>
      </c>
      <c r="DC34" s="74">
        <v>0</v>
      </c>
      <c r="DD34" s="74">
        <v>0</v>
      </c>
      <c r="DE34" s="74">
        <v>0</v>
      </c>
      <c r="DF34" s="74">
        <v>0</v>
      </c>
      <c r="DG34" s="74">
        <v>0</v>
      </c>
      <c r="DH34" s="74">
        <v>0</v>
      </c>
      <c r="DI34" s="74">
        <v>0</v>
      </c>
      <c r="DJ34" s="74">
        <v>0</v>
      </c>
      <c r="DK34" s="74">
        <v>0</v>
      </c>
      <c r="DL34" s="74">
        <v>0</v>
      </c>
      <c r="DM34" s="74">
        <v>0</v>
      </c>
      <c r="DN34" s="74">
        <v>0</v>
      </c>
      <c r="DO34" s="74">
        <v>0</v>
      </c>
      <c r="DP34" s="74">
        <v>0</v>
      </c>
      <c r="DQ34" s="74">
        <v>0</v>
      </c>
      <c r="DR34" s="74">
        <v>0</v>
      </c>
      <c r="DS34" s="74">
        <v>0</v>
      </c>
      <c r="DT34" s="74">
        <v>0</v>
      </c>
      <c r="DU34" s="74">
        <v>0</v>
      </c>
      <c r="DV34" s="74">
        <v>0</v>
      </c>
      <c r="DW34" s="74">
        <v>0</v>
      </c>
      <c r="DX34" s="74">
        <v>0</v>
      </c>
      <c r="DY34" s="74">
        <v>0</v>
      </c>
      <c r="DZ34" s="74">
        <v>0</v>
      </c>
      <c r="EA34" s="74">
        <v>0</v>
      </c>
      <c r="EB34" s="74">
        <v>0</v>
      </c>
      <c r="EC34" s="74">
        <v>0</v>
      </c>
      <c r="ED34" s="74"/>
      <c r="EE34" s="68">
        <v>46147</v>
      </c>
      <c r="EF34" s="81">
        <v>46147.490590624999</v>
      </c>
      <c r="EG34" s="2" t="s">
        <v>71</v>
      </c>
      <c r="EH34" s="76">
        <v>3</v>
      </c>
      <c r="EI34" s="76" t="s">
        <v>32</v>
      </c>
      <c r="EJ34" s="74" t="s">
        <v>244</v>
      </c>
      <c r="EK34" s="78"/>
      <c r="EL34" s="74"/>
      <c r="EM34" s="74"/>
      <c r="EN34" s="68"/>
      <c r="ER34" s="73"/>
      <c r="ES34" s="74"/>
      <c r="ET34" s="74"/>
      <c r="EU34" s="74"/>
      <c r="EV34" s="74"/>
      <c r="EW34" s="74"/>
      <c r="EX34" s="74"/>
      <c r="EY34" s="74"/>
      <c r="EZ34" s="74"/>
      <c r="FA34" s="74"/>
      <c r="FB34" s="74"/>
      <c r="FC34" s="74"/>
      <c r="FD34" s="74"/>
      <c r="FE34" s="74"/>
      <c r="FF34" s="74"/>
      <c r="FG34" s="74"/>
      <c r="FH34" s="74"/>
      <c r="FI34" s="74"/>
      <c r="FJ34" s="74"/>
      <c r="FK34" s="68"/>
    </row>
    <row r="35" spans="1:167" s="2" customFormat="1" ht="15" x14ac:dyDescent="0.3">
      <c r="A35" s="73" t="s">
        <v>187</v>
      </c>
      <c r="B35" s="73" t="s">
        <v>167</v>
      </c>
      <c r="C35" s="73" t="s">
        <v>167</v>
      </c>
      <c r="D35" s="73" t="s">
        <v>48</v>
      </c>
      <c r="E35" s="73" t="s">
        <v>178</v>
      </c>
      <c r="F35" s="73" t="s">
        <v>210</v>
      </c>
      <c r="G35" s="73" t="s">
        <v>227</v>
      </c>
      <c r="H35" s="73"/>
      <c r="I35" s="74">
        <v>-10749</v>
      </c>
      <c r="J35" s="74">
        <v>-11752</v>
      </c>
      <c r="K35" s="74">
        <v>-29889</v>
      </c>
      <c r="L35" s="74">
        <v>-37397</v>
      </c>
      <c r="M35" s="74">
        <v>-23682</v>
      </c>
      <c r="N35" s="74">
        <v>-17529</v>
      </c>
      <c r="O35" s="74">
        <v>-24348</v>
      </c>
      <c r="P35" s="74">
        <v>-35919</v>
      </c>
      <c r="Q35" s="74">
        <v>0</v>
      </c>
      <c r="R35" s="74">
        <v>0</v>
      </c>
      <c r="S35" s="74">
        <v>0</v>
      </c>
      <c r="T35" s="74">
        <v>0</v>
      </c>
      <c r="U35" s="74">
        <v>0</v>
      </c>
      <c r="V35" s="74">
        <v>0</v>
      </c>
      <c r="W35" s="74">
        <v>0</v>
      </c>
      <c r="X35" s="74">
        <v>0</v>
      </c>
      <c r="Y35" s="74">
        <v>0</v>
      </c>
      <c r="Z35" s="74">
        <v>0</v>
      </c>
      <c r="AA35" s="74">
        <v>0</v>
      </c>
      <c r="AB35" s="74">
        <v>0</v>
      </c>
      <c r="AC35" s="74">
        <v>0</v>
      </c>
      <c r="AD35" s="74">
        <v>0</v>
      </c>
      <c r="AE35" s="74">
        <v>0</v>
      </c>
      <c r="AF35" s="74">
        <v>0</v>
      </c>
      <c r="AG35" s="74">
        <v>0</v>
      </c>
      <c r="AH35" s="74">
        <v>0</v>
      </c>
      <c r="AI35" s="74">
        <v>0</v>
      </c>
      <c r="AJ35" s="74">
        <v>0</v>
      </c>
      <c r="AK35" s="74"/>
      <c r="AL35" s="74">
        <v>-6021.3888799749002</v>
      </c>
      <c r="AM35" s="74">
        <v>-6528.6615141270768</v>
      </c>
      <c r="AN35" s="74">
        <v>-6142.4702107941457</v>
      </c>
      <c r="AO35" s="74">
        <v>-6311.141961183067</v>
      </c>
      <c r="AP35" s="74">
        <v>-5204.9806031150201</v>
      </c>
      <c r="AQ35" s="74">
        <v>-5006.453467928417</v>
      </c>
      <c r="AR35" s="74">
        <v>-3284.60824012171</v>
      </c>
      <c r="AS35" s="74">
        <v>-5139.7222009142433</v>
      </c>
      <c r="AT35" s="74">
        <v>-4698.4138458270436</v>
      </c>
      <c r="AU35" s="74">
        <v>-4747.2926271863489</v>
      </c>
      <c r="AV35" s="74">
        <v>-5493.788106860532</v>
      </c>
      <c r="AW35" s="74">
        <v>-7144.052167374869</v>
      </c>
      <c r="AX35" s="74">
        <v>-5096</v>
      </c>
      <c r="AY35" s="74">
        <v>-11272</v>
      </c>
      <c r="AZ35" s="74">
        <v>-8638</v>
      </c>
      <c r="BA35" s="74">
        <v>-10913</v>
      </c>
      <c r="BB35" s="74">
        <v>-11126</v>
      </c>
      <c r="BC35" s="74">
        <v>0</v>
      </c>
      <c r="BD35" s="74">
        <v>0</v>
      </c>
      <c r="BE35" s="74">
        <v>0</v>
      </c>
      <c r="BF35" s="74">
        <v>0</v>
      </c>
      <c r="BG35" s="74">
        <v>0</v>
      </c>
      <c r="BH35" s="74">
        <v>0</v>
      </c>
      <c r="BI35" s="74">
        <v>0</v>
      </c>
      <c r="BJ35" s="74">
        <v>0</v>
      </c>
      <c r="BK35" s="74">
        <v>0</v>
      </c>
      <c r="BL35" s="74">
        <v>0</v>
      </c>
      <c r="BM35" s="74">
        <v>0</v>
      </c>
      <c r="BN35" s="74">
        <v>0</v>
      </c>
      <c r="BO35" s="74">
        <v>0</v>
      </c>
      <c r="BP35" s="74">
        <v>0</v>
      </c>
      <c r="BQ35" s="74">
        <v>0</v>
      </c>
      <c r="BR35" s="74">
        <v>0</v>
      </c>
      <c r="BS35" s="74">
        <v>0</v>
      </c>
      <c r="BT35" s="74">
        <v>0</v>
      </c>
      <c r="BU35" s="74">
        <v>0</v>
      </c>
      <c r="BV35" s="74">
        <v>0</v>
      </c>
      <c r="BW35" s="74">
        <v>0</v>
      </c>
      <c r="BX35" s="74">
        <v>0</v>
      </c>
      <c r="BY35" s="74">
        <v>0</v>
      </c>
      <c r="BZ35" s="74">
        <v>0</v>
      </c>
      <c r="CA35" s="74">
        <v>0</v>
      </c>
      <c r="CB35" s="74">
        <v>0</v>
      </c>
      <c r="CC35" s="74">
        <v>0</v>
      </c>
      <c r="CD35" s="74">
        <v>0</v>
      </c>
      <c r="CE35" s="74">
        <v>0</v>
      </c>
      <c r="CF35" s="74">
        <v>0</v>
      </c>
      <c r="CG35" s="74">
        <v>0</v>
      </c>
      <c r="CH35" s="74">
        <v>0</v>
      </c>
      <c r="CI35" s="74">
        <v>0</v>
      </c>
      <c r="CJ35" s="74">
        <v>0</v>
      </c>
      <c r="CK35" s="74">
        <v>0</v>
      </c>
      <c r="CL35" s="74">
        <v>0</v>
      </c>
      <c r="CM35" s="74">
        <v>0</v>
      </c>
      <c r="CN35" s="74">
        <v>0</v>
      </c>
      <c r="CO35" s="74">
        <v>0</v>
      </c>
      <c r="CP35" s="74">
        <v>0</v>
      </c>
      <c r="CQ35" s="74">
        <v>0</v>
      </c>
      <c r="CR35" s="74">
        <v>0</v>
      </c>
      <c r="CS35" s="74">
        <v>0</v>
      </c>
      <c r="CT35" s="74">
        <v>0</v>
      </c>
      <c r="CU35" s="74">
        <v>0</v>
      </c>
      <c r="CV35" s="74">
        <v>0</v>
      </c>
      <c r="CW35" s="74">
        <v>0</v>
      </c>
      <c r="CX35" s="74">
        <v>0</v>
      </c>
      <c r="CY35" s="74">
        <v>0</v>
      </c>
      <c r="CZ35" s="74">
        <v>0</v>
      </c>
      <c r="DA35" s="74">
        <v>0</v>
      </c>
      <c r="DB35" s="74">
        <v>0</v>
      </c>
      <c r="DC35" s="74">
        <v>0</v>
      </c>
      <c r="DD35" s="74">
        <v>0</v>
      </c>
      <c r="DE35" s="74">
        <v>0</v>
      </c>
      <c r="DF35" s="74">
        <v>0</v>
      </c>
      <c r="DG35" s="74">
        <v>0</v>
      </c>
      <c r="DH35" s="74">
        <v>0</v>
      </c>
      <c r="DI35" s="74">
        <v>0</v>
      </c>
      <c r="DJ35" s="74">
        <v>0</v>
      </c>
      <c r="DK35" s="74">
        <v>0</v>
      </c>
      <c r="DL35" s="74">
        <v>0</v>
      </c>
      <c r="DM35" s="74">
        <v>0</v>
      </c>
      <c r="DN35" s="74">
        <v>0</v>
      </c>
      <c r="DO35" s="74">
        <v>0</v>
      </c>
      <c r="DP35" s="74">
        <v>0</v>
      </c>
      <c r="DQ35" s="74">
        <v>0</v>
      </c>
      <c r="DR35" s="74">
        <v>0</v>
      </c>
      <c r="DS35" s="74">
        <v>0</v>
      </c>
      <c r="DT35" s="74">
        <v>0</v>
      </c>
      <c r="DU35" s="74">
        <v>0</v>
      </c>
      <c r="DV35" s="74">
        <v>0</v>
      </c>
      <c r="DW35" s="74">
        <v>0</v>
      </c>
      <c r="DX35" s="74">
        <v>0</v>
      </c>
      <c r="DY35" s="74">
        <v>0</v>
      </c>
      <c r="DZ35" s="74">
        <v>0</v>
      </c>
      <c r="EA35" s="74">
        <v>0</v>
      </c>
      <c r="EB35" s="74">
        <v>0</v>
      </c>
      <c r="EC35" s="74">
        <v>0</v>
      </c>
      <c r="ED35" s="74"/>
      <c r="EE35" s="68">
        <v>46147</v>
      </c>
      <c r="EF35" s="81">
        <v>46147.490590624999</v>
      </c>
      <c r="EG35" s="2" t="s">
        <v>71</v>
      </c>
      <c r="EH35" s="76">
        <v>3</v>
      </c>
      <c r="EI35" s="76" t="s">
        <v>32</v>
      </c>
      <c r="EJ35" s="74" t="s">
        <v>244</v>
      </c>
      <c r="EK35" s="78"/>
      <c r="EL35" s="74"/>
      <c r="EM35" s="74"/>
      <c r="EN35" s="68"/>
      <c r="ER35" s="73"/>
      <c r="ES35" s="74"/>
      <c r="ET35" s="74"/>
      <c r="EU35" s="74"/>
      <c r="EV35" s="74"/>
      <c r="EW35" s="74"/>
      <c r="EX35" s="74"/>
      <c r="EY35" s="74"/>
      <c r="EZ35" s="74"/>
      <c r="FA35" s="74"/>
      <c r="FB35" s="74"/>
      <c r="FC35" s="74"/>
      <c r="FD35" s="74"/>
      <c r="FE35" s="74"/>
      <c r="FF35" s="74"/>
      <c r="FG35" s="74"/>
      <c r="FH35" s="74"/>
      <c r="FI35" s="74"/>
      <c r="FJ35" s="74"/>
      <c r="FK35" s="68"/>
    </row>
    <row r="36" spans="1:167" x14ac:dyDescent="0.3">
      <c r="A36" s="73" t="s">
        <v>188</v>
      </c>
      <c r="B36" s="73" t="s">
        <v>169</v>
      </c>
      <c r="C36" s="73" t="s">
        <v>169</v>
      </c>
      <c r="D36" s="73" t="s">
        <v>48</v>
      </c>
      <c r="E36" s="73" t="s">
        <v>178</v>
      </c>
      <c r="F36" s="73" t="s">
        <v>210</v>
      </c>
      <c r="G36" s="73" t="s">
        <v>227</v>
      </c>
      <c r="H36" s="73"/>
      <c r="I36" s="74">
        <v>-2476</v>
      </c>
      <c r="J36" s="74">
        <v>-3298</v>
      </c>
      <c r="K36" s="74">
        <v>-8072</v>
      </c>
      <c r="L36" s="74">
        <v>-10259</v>
      </c>
      <c r="M36" s="74">
        <v>-6711</v>
      </c>
      <c r="N36" s="74">
        <v>-4144</v>
      </c>
      <c r="O36" s="74">
        <v>-6643</v>
      </c>
      <c r="P36" s="74">
        <v>-7617</v>
      </c>
      <c r="Q36" s="74">
        <v>0</v>
      </c>
      <c r="R36" s="74">
        <v>0</v>
      </c>
      <c r="S36" s="74">
        <v>0</v>
      </c>
      <c r="T36" s="74">
        <v>0</v>
      </c>
      <c r="U36" s="74">
        <v>0</v>
      </c>
      <c r="V36" s="74">
        <v>0</v>
      </c>
      <c r="W36" s="74">
        <v>0</v>
      </c>
      <c r="X36" s="74">
        <v>0</v>
      </c>
      <c r="Y36" s="74">
        <v>0</v>
      </c>
      <c r="Z36" s="74">
        <v>0</v>
      </c>
      <c r="AA36" s="74">
        <v>0</v>
      </c>
      <c r="AB36" s="74">
        <v>0</v>
      </c>
      <c r="AC36" s="74">
        <v>0</v>
      </c>
      <c r="AD36" s="74">
        <v>0</v>
      </c>
      <c r="AE36" s="74">
        <v>0</v>
      </c>
      <c r="AF36" s="74">
        <v>0</v>
      </c>
      <c r="AG36" s="74">
        <v>0</v>
      </c>
      <c r="AH36" s="74">
        <v>0</v>
      </c>
      <c r="AI36" s="74">
        <v>0</v>
      </c>
      <c r="AJ36" s="74">
        <v>0</v>
      </c>
      <c r="AL36" s="74">
        <v>-1505.347219993725</v>
      </c>
      <c r="AM36" s="74">
        <v>-2670.8160739610771</v>
      </c>
      <c r="AN36" s="74">
        <v>-2431.3944584393489</v>
      </c>
      <c r="AO36" s="74">
        <v>-2438.3957577298215</v>
      </c>
      <c r="AP36" s="74">
        <v>-1469.6415820560055</v>
      </c>
      <c r="AQ36" s="74">
        <v>-1317.4877547180047</v>
      </c>
      <c r="AR36" s="74">
        <v>-856.85432351001123</v>
      </c>
      <c r="AS36" s="74">
        <v>-1492.1774131686511</v>
      </c>
      <c r="AT36" s="74">
        <v>-996.63324002391835</v>
      </c>
      <c r="AU36" s="74">
        <v>-1038.4702621970139</v>
      </c>
      <c r="AV36" s="74">
        <v>-1255.7229958538358</v>
      </c>
      <c r="AW36" s="74">
        <v>-1880.0137282565445</v>
      </c>
      <c r="AX36" s="74">
        <v>-1506</v>
      </c>
      <c r="AY36" s="74">
        <v>-2531</v>
      </c>
      <c r="AZ36" s="74">
        <v>-1439</v>
      </c>
      <c r="BA36" s="74">
        <v>-2141</v>
      </c>
      <c r="BB36" s="74">
        <v>-1727</v>
      </c>
      <c r="BC36" s="74">
        <v>0</v>
      </c>
      <c r="BD36" s="74">
        <v>0</v>
      </c>
      <c r="BE36" s="74">
        <v>0</v>
      </c>
      <c r="BF36" s="74">
        <v>0</v>
      </c>
      <c r="BG36" s="74">
        <v>0</v>
      </c>
      <c r="BH36" s="74">
        <v>0</v>
      </c>
      <c r="BI36" s="74">
        <v>0</v>
      </c>
      <c r="BJ36" s="74">
        <v>0</v>
      </c>
      <c r="BK36" s="74">
        <v>0</v>
      </c>
      <c r="BL36" s="74">
        <v>0</v>
      </c>
      <c r="BM36" s="74">
        <v>0</v>
      </c>
      <c r="BN36" s="74">
        <v>0</v>
      </c>
      <c r="BO36" s="74">
        <v>0</v>
      </c>
      <c r="BP36" s="74">
        <v>0</v>
      </c>
      <c r="BQ36" s="74">
        <v>0</v>
      </c>
      <c r="BR36" s="74">
        <v>0</v>
      </c>
      <c r="BS36" s="74">
        <v>0</v>
      </c>
      <c r="BT36" s="74">
        <v>0</v>
      </c>
      <c r="BU36" s="74">
        <v>0</v>
      </c>
      <c r="BV36" s="74">
        <v>0</v>
      </c>
      <c r="BW36" s="74">
        <v>0</v>
      </c>
      <c r="BX36" s="74">
        <v>0</v>
      </c>
      <c r="BY36" s="74">
        <v>0</v>
      </c>
      <c r="BZ36" s="74">
        <v>0</v>
      </c>
      <c r="CA36" s="74">
        <v>0</v>
      </c>
      <c r="CB36" s="74">
        <v>0</v>
      </c>
      <c r="CC36" s="74">
        <v>0</v>
      </c>
      <c r="CD36" s="74">
        <v>0</v>
      </c>
      <c r="CE36" s="74">
        <v>0</v>
      </c>
      <c r="CF36" s="74">
        <v>0</v>
      </c>
      <c r="CG36" s="74">
        <v>0</v>
      </c>
      <c r="CH36" s="74">
        <v>0</v>
      </c>
      <c r="CI36" s="74">
        <v>0</v>
      </c>
      <c r="CJ36" s="74">
        <v>0</v>
      </c>
      <c r="CK36" s="74">
        <v>0</v>
      </c>
      <c r="CL36" s="74">
        <v>0</v>
      </c>
      <c r="CM36" s="74">
        <v>0</v>
      </c>
      <c r="CN36" s="74">
        <v>0</v>
      </c>
      <c r="CO36" s="74">
        <v>0</v>
      </c>
      <c r="CP36" s="74">
        <v>0</v>
      </c>
      <c r="CQ36" s="74">
        <v>0</v>
      </c>
      <c r="CR36" s="74">
        <v>0</v>
      </c>
      <c r="CS36" s="74">
        <v>0</v>
      </c>
      <c r="CT36" s="74">
        <v>0</v>
      </c>
      <c r="CU36" s="74">
        <v>0</v>
      </c>
      <c r="CV36" s="74">
        <v>0</v>
      </c>
      <c r="CW36" s="74">
        <v>0</v>
      </c>
      <c r="CX36" s="74">
        <v>0</v>
      </c>
      <c r="CY36" s="74">
        <v>0</v>
      </c>
      <c r="CZ36" s="74">
        <v>0</v>
      </c>
      <c r="DA36" s="74">
        <v>0</v>
      </c>
      <c r="DB36" s="74">
        <v>0</v>
      </c>
      <c r="DC36" s="74">
        <v>0</v>
      </c>
      <c r="DD36" s="74">
        <v>0</v>
      </c>
      <c r="DE36" s="74">
        <v>0</v>
      </c>
      <c r="DF36" s="74">
        <v>0</v>
      </c>
      <c r="DG36" s="74">
        <v>0</v>
      </c>
      <c r="DH36" s="74">
        <v>0</v>
      </c>
      <c r="DI36" s="74">
        <v>0</v>
      </c>
      <c r="DJ36" s="74">
        <v>0</v>
      </c>
      <c r="DK36" s="74">
        <v>0</v>
      </c>
      <c r="DL36" s="74">
        <v>0</v>
      </c>
      <c r="DM36" s="74">
        <v>0</v>
      </c>
      <c r="DN36" s="74">
        <v>0</v>
      </c>
      <c r="DO36" s="74">
        <v>0</v>
      </c>
      <c r="DP36" s="74">
        <v>0</v>
      </c>
      <c r="DQ36" s="74">
        <v>0</v>
      </c>
      <c r="DR36" s="74">
        <v>0</v>
      </c>
      <c r="DS36" s="74">
        <v>0</v>
      </c>
      <c r="DT36" s="74">
        <v>0</v>
      </c>
      <c r="DU36" s="74">
        <v>0</v>
      </c>
      <c r="DV36" s="74">
        <v>0</v>
      </c>
      <c r="DW36" s="74">
        <v>0</v>
      </c>
      <c r="DX36" s="74">
        <v>0</v>
      </c>
      <c r="DY36" s="74">
        <v>0</v>
      </c>
      <c r="DZ36" s="74">
        <v>0</v>
      </c>
      <c r="EA36" s="74">
        <v>0</v>
      </c>
      <c r="EB36" s="74">
        <v>0</v>
      </c>
      <c r="EC36" s="74">
        <v>0</v>
      </c>
      <c r="EE36" s="68">
        <v>46147</v>
      </c>
      <c r="EF36" s="81">
        <v>46147.490590624999</v>
      </c>
      <c r="EG36" s="2" t="s">
        <v>71</v>
      </c>
      <c r="EH36" s="76">
        <v>3</v>
      </c>
      <c r="EI36" s="76" t="s">
        <v>32</v>
      </c>
      <c r="EJ36" s="74" t="s">
        <v>244</v>
      </c>
    </row>
    <row r="37" spans="1:167" x14ac:dyDescent="0.3">
      <c r="A37" s="73" t="s">
        <v>189</v>
      </c>
      <c r="B37" s="73" t="s">
        <v>173</v>
      </c>
      <c r="C37" s="73" t="s">
        <v>173</v>
      </c>
      <c r="D37" s="73" t="s">
        <v>48</v>
      </c>
      <c r="E37" s="73" t="s">
        <v>178</v>
      </c>
      <c r="F37" s="73" t="s">
        <v>210</v>
      </c>
      <c r="G37" s="73" t="s">
        <v>227</v>
      </c>
      <c r="H37" s="73"/>
      <c r="I37" s="74">
        <v>-9783</v>
      </c>
      <c r="J37" s="74">
        <v>-13058</v>
      </c>
      <c r="K37" s="74">
        <v>-16530</v>
      </c>
      <c r="L37" s="74">
        <v>-22047</v>
      </c>
      <c r="M37" s="74">
        <v>-27755</v>
      </c>
      <c r="N37" s="74">
        <v>-24843</v>
      </c>
      <c r="O37" s="74">
        <v>-53267</v>
      </c>
      <c r="P37" s="74">
        <v>-96496</v>
      </c>
      <c r="Q37" s="74">
        <v>0</v>
      </c>
      <c r="R37" s="74">
        <v>0</v>
      </c>
      <c r="S37" s="74">
        <v>0</v>
      </c>
      <c r="T37" s="74">
        <v>0</v>
      </c>
      <c r="U37" s="74">
        <v>0</v>
      </c>
      <c r="V37" s="74">
        <v>0</v>
      </c>
      <c r="W37" s="74">
        <v>0</v>
      </c>
      <c r="X37" s="74">
        <v>0</v>
      </c>
      <c r="Y37" s="74">
        <v>0</v>
      </c>
      <c r="Z37" s="74">
        <v>0</v>
      </c>
      <c r="AA37" s="74">
        <v>0</v>
      </c>
      <c r="AB37" s="74">
        <v>0</v>
      </c>
      <c r="AC37" s="74">
        <v>0</v>
      </c>
      <c r="AD37" s="74">
        <v>0</v>
      </c>
      <c r="AE37" s="74">
        <v>0</v>
      </c>
      <c r="AF37" s="74">
        <v>0</v>
      </c>
      <c r="AG37" s="74">
        <v>0</v>
      </c>
      <c r="AH37" s="74">
        <v>0</v>
      </c>
      <c r="AI37" s="74">
        <v>0</v>
      </c>
      <c r="AJ37" s="74">
        <v>0</v>
      </c>
      <c r="AL37" s="74">
        <v>-5606.1925996360042</v>
      </c>
      <c r="AM37" s="74">
        <v>-6206.4558502203445</v>
      </c>
      <c r="AN37" s="74">
        <v>-7990.3705058318892</v>
      </c>
      <c r="AO37" s="74">
        <v>-8372.6961964135007</v>
      </c>
      <c r="AP37" s="74">
        <v>-6438.2491502584835</v>
      </c>
      <c r="AQ37" s="74">
        <v>-7213.356537665054</v>
      </c>
      <c r="AR37" s="74">
        <v>-6942.0354018767148</v>
      </c>
      <c r="AS37" s="74">
        <v>-7603.8497639778461</v>
      </c>
      <c r="AT37" s="74">
        <v>-8851.210037202085</v>
      </c>
      <c r="AU37" s="74">
        <v>-9013.9924009921779</v>
      </c>
      <c r="AV37" s="74">
        <v>-11177.473580437472</v>
      </c>
      <c r="AW37" s="74">
        <v>-14510.007196366143</v>
      </c>
      <c r="AX37" s="74">
        <v>-20464</v>
      </c>
      <c r="AY37" s="74">
        <v>-16043</v>
      </c>
      <c r="AZ37" s="74">
        <v>-28301</v>
      </c>
      <c r="BA37" s="74">
        <v>-31688</v>
      </c>
      <c r="BB37" s="74">
        <v>-41516</v>
      </c>
      <c r="BC37" s="74">
        <v>0</v>
      </c>
      <c r="BD37" s="74">
        <v>0</v>
      </c>
      <c r="BE37" s="74">
        <v>0</v>
      </c>
      <c r="BF37" s="74">
        <v>0</v>
      </c>
      <c r="BG37" s="74">
        <v>0</v>
      </c>
      <c r="BH37" s="74">
        <v>0</v>
      </c>
      <c r="BI37" s="74">
        <v>0</v>
      </c>
      <c r="BJ37" s="74">
        <v>0</v>
      </c>
      <c r="BK37" s="74">
        <v>0</v>
      </c>
      <c r="BL37" s="74">
        <v>0</v>
      </c>
      <c r="BM37" s="74">
        <v>0</v>
      </c>
      <c r="BN37" s="74">
        <v>0</v>
      </c>
      <c r="BO37" s="74">
        <v>0</v>
      </c>
      <c r="BP37" s="74">
        <v>0</v>
      </c>
      <c r="BQ37" s="74">
        <v>0</v>
      </c>
      <c r="BR37" s="74">
        <v>0</v>
      </c>
      <c r="BS37" s="74">
        <v>0</v>
      </c>
      <c r="BT37" s="74">
        <v>0</v>
      </c>
      <c r="BU37" s="74">
        <v>0</v>
      </c>
      <c r="BV37" s="74">
        <v>0</v>
      </c>
      <c r="BW37" s="74">
        <v>0</v>
      </c>
      <c r="BX37" s="74">
        <v>0</v>
      </c>
      <c r="BY37" s="74">
        <v>0</v>
      </c>
      <c r="BZ37" s="74">
        <v>0</v>
      </c>
      <c r="CA37" s="74">
        <v>0</v>
      </c>
      <c r="CB37" s="74">
        <v>0</v>
      </c>
      <c r="CC37" s="74">
        <v>0</v>
      </c>
      <c r="CD37" s="74">
        <v>0</v>
      </c>
      <c r="CE37" s="74">
        <v>0</v>
      </c>
      <c r="CF37" s="74">
        <v>0</v>
      </c>
      <c r="CG37" s="74">
        <v>0</v>
      </c>
      <c r="CH37" s="74">
        <v>0</v>
      </c>
      <c r="CI37" s="74">
        <v>0</v>
      </c>
      <c r="CJ37" s="74">
        <v>0</v>
      </c>
      <c r="CK37" s="74">
        <v>0</v>
      </c>
      <c r="CL37" s="74">
        <v>0</v>
      </c>
      <c r="CM37" s="74">
        <v>0</v>
      </c>
      <c r="CN37" s="74">
        <v>0</v>
      </c>
      <c r="CO37" s="74">
        <v>0</v>
      </c>
      <c r="CP37" s="74">
        <v>0</v>
      </c>
      <c r="CQ37" s="74">
        <v>0</v>
      </c>
      <c r="CR37" s="74">
        <v>0</v>
      </c>
      <c r="CS37" s="74">
        <v>0</v>
      </c>
      <c r="CT37" s="74">
        <v>0</v>
      </c>
      <c r="CU37" s="74">
        <v>0</v>
      </c>
      <c r="CV37" s="74">
        <v>0</v>
      </c>
      <c r="CW37" s="74">
        <v>0</v>
      </c>
      <c r="CX37" s="74">
        <v>0</v>
      </c>
      <c r="CY37" s="74">
        <v>0</v>
      </c>
      <c r="CZ37" s="74">
        <v>0</v>
      </c>
      <c r="DA37" s="74">
        <v>0</v>
      </c>
      <c r="DB37" s="74">
        <v>0</v>
      </c>
      <c r="DC37" s="74">
        <v>0</v>
      </c>
      <c r="DD37" s="74">
        <v>0</v>
      </c>
      <c r="DE37" s="74">
        <v>0</v>
      </c>
      <c r="DF37" s="74">
        <v>0</v>
      </c>
      <c r="DG37" s="74">
        <v>0</v>
      </c>
      <c r="DH37" s="74">
        <v>0</v>
      </c>
      <c r="DI37" s="74">
        <v>0</v>
      </c>
      <c r="DJ37" s="74">
        <v>0</v>
      </c>
      <c r="DK37" s="74">
        <v>0</v>
      </c>
      <c r="DL37" s="74">
        <v>0</v>
      </c>
      <c r="DM37" s="74">
        <v>0</v>
      </c>
      <c r="DN37" s="74">
        <v>0</v>
      </c>
      <c r="DO37" s="74">
        <v>0</v>
      </c>
      <c r="DP37" s="74">
        <v>0</v>
      </c>
      <c r="DQ37" s="74">
        <v>0</v>
      </c>
      <c r="DR37" s="74">
        <v>0</v>
      </c>
      <c r="DS37" s="74">
        <v>0</v>
      </c>
      <c r="DT37" s="74">
        <v>0</v>
      </c>
      <c r="DU37" s="74">
        <v>0</v>
      </c>
      <c r="DV37" s="74">
        <v>0</v>
      </c>
      <c r="DW37" s="74">
        <v>0</v>
      </c>
      <c r="DX37" s="74">
        <v>0</v>
      </c>
      <c r="DY37" s="74">
        <v>0</v>
      </c>
      <c r="DZ37" s="74">
        <v>0</v>
      </c>
      <c r="EA37" s="74">
        <v>0</v>
      </c>
      <c r="EB37" s="74">
        <v>0</v>
      </c>
      <c r="EC37" s="74">
        <v>0</v>
      </c>
      <c r="EE37" s="68">
        <v>46147</v>
      </c>
      <c r="EF37" s="81">
        <v>46147.490590624999</v>
      </c>
      <c r="EG37" s="2" t="s">
        <v>71</v>
      </c>
      <c r="EH37" s="76">
        <v>3</v>
      </c>
      <c r="EI37" s="76" t="s">
        <v>32</v>
      </c>
      <c r="EJ37" s="74" t="s">
        <v>244</v>
      </c>
    </row>
    <row r="38" spans="1:167" x14ac:dyDescent="0.3">
      <c r="A38" s="73" t="s">
        <v>198</v>
      </c>
      <c r="B38" s="73" t="s">
        <v>175</v>
      </c>
      <c r="C38" s="73" t="s">
        <v>175</v>
      </c>
      <c r="D38" s="73" t="s">
        <v>48</v>
      </c>
      <c r="E38" s="73" t="s">
        <v>178</v>
      </c>
      <c r="F38" s="73" t="s">
        <v>210</v>
      </c>
      <c r="G38" s="73" t="s">
        <v>227</v>
      </c>
      <c r="H38" s="73"/>
      <c r="I38" s="74">
        <v>-2060</v>
      </c>
      <c r="J38" s="74">
        <v>-1910</v>
      </c>
      <c r="K38" s="74">
        <v>-3485</v>
      </c>
      <c r="L38" s="74">
        <v>-2622</v>
      </c>
      <c r="M38" s="74">
        <v>-2688</v>
      </c>
      <c r="N38" s="74">
        <v>-1828</v>
      </c>
      <c r="O38" s="74">
        <v>-1494</v>
      </c>
      <c r="P38" s="74">
        <v>-2320</v>
      </c>
      <c r="Q38" s="74">
        <v>0</v>
      </c>
      <c r="R38" s="74">
        <v>0</v>
      </c>
      <c r="S38" s="74">
        <v>0</v>
      </c>
      <c r="T38" s="74">
        <v>0</v>
      </c>
      <c r="U38" s="74">
        <v>0</v>
      </c>
      <c r="V38" s="74">
        <v>0</v>
      </c>
      <c r="W38" s="74">
        <v>0</v>
      </c>
      <c r="X38" s="74">
        <v>0</v>
      </c>
      <c r="Y38" s="74">
        <v>0</v>
      </c>
      <c r="Z38" s="74">
        <v>0</v>
      </c>
      <c r="AA38" s="74">
        <v>0</v>
      </c>
      <c r="AB38" s="74">
        <v>0</v>
      </c>
      <c r="AC38" s="74">
        <v>0</v>
      </c>
      <c r="AD38" s="74">
        <v>0</v>
      </c>
      <c r="AE38" s="74">
        <v>0</v>
      </c>
      <c r="AF38" s="74">
        <v>0</v>
      </c>
      <c r="AG38" s="74">
        <v>0</v>
      </c>
      <c r="AH38" s="74">
        <v>0</v>
      </c>
      <c r="AI38" s="74">
        <v>0</v>
      </c>
      <c r="AJ38" s="74">
        <v>0</v>
      </c>
      <c r="AL38" s="74">
        <v>-926.36751999613853</v>
      </c>
      <c r="AM38" s="74">
        <v>-949.62349296393859</v>
      </c>
      <c r="AN38" s="74">
        <v>-895.77690574081282</v>
      </c>
      <c r="AO38" s="74">
        <v>-717.17522286171231</v>
      </c>
      <c r="AP38" s="74">
        <v>-244.94026367600088</v>
      </c>
      <c r="AQ38" s="74">
        <v>-263.49755094360097</v>
      </c>
      <c r="AR38" s="74">
        <v>-856.85432351001123</v>
      </c>
      <c r="AS38" s="74">
        <v>-911.88619693639794</v>
      </c>
      <c r="AT38" s="74">
        <v>-783.06897430450726</v>
      </c>
      <c r="AU38" s="74">
        <v>-890.11736759744053</v>
      </c>
      <c r="AV38" s="74">
        <v>-941.79224689037665</v>
      </c>
      <c r="AW38" s="74">
        <v>-1034.0075505410994</v>
      </c>
      <c r="AX38" s="74">
        <v>-383</v>
      </c>
      <c r="AY38" s="74">
        <v>-915</v>
      </c>
      <c r="AZ38" s="74">
        <v>-507</v>
      </c>
      <c r="BA38" s="74">
        <v>-515</v>
      </c>
      <c r="BB38" s="74">
        <v>-388</v>
      </c>
      <c r="BC38" s="74">
        <v>0</v>
      </c>
      <c r="BD38" s="74">
        <v>0</v>
      </c>
      <c r="BE38" s="74">
        <v>0</v>
      </c>
      <c r="BF38" s="74">
        <v>0</v>
      </c>
      <c r="BG38" s="74">
        <v>0</v>
      </c>
      <c r="BH38" s="74">
        <v>0</v>
      </c>
      <c r="BI38" s="74">
        <v>0</v>
      </c>
      <c r="BJ38" s="74">
        <v>0</v>
      </c>
      <c r="BK38" s="74">
        <v>0</v>
      </c>
      <c r="BL38" s="74">
        <v>0</v>
      </c>
      <c r="BM38" s="74">
        <v>0</v>
      </c>
      <c r="BN38" s="74">
        <v>0</v>
      </c>
      <c r="BO38" s="74">
        <v>0</v>
      </c>
      <c r="BP38" s="74">
        <v>0</v>
      </c>
      <c r="BQ38" s="74">
        <v>0</v>
      </c>
      <c r="BR38" s="74">
        <v>0</v>
      </c>
      <c r="BS38" s="74">
        <v>0</v>
      </c>
      <c r="BT38" s="74">
        <v>0</v>
      </c>
      <c r="BU38" s="74">
        <v>0</v>
      </c>
      <c r="BV38" s="74">
        <v>0</v>
      </c>
      <c r="BW38" s="74">
        <v>0</v>
      </c>
      <c r="BX38" s="74">
        <v>0</v>
      </c>
      <c r="BY38" s="74">
        <v>0</v>
      </c>
      <c r="BZ38" s="74">
        <v>0</v>
      </c>
      <c r="CA38" s="74">
        <v>0</v>
      </c>
      <c r="CB38" s="74">
        <v>0</v>
      </c>
      <c r="CC38" s="74">
        <v>0</v>
      </c>
      <c r="CD38" s="74">
        <v>0</v>
      </c>
      <c r="CE38" s="74">
        <v>0</v>
      </c>
      <c r="CF38" s="74">
        <v>0</v>
      </c>
      <c r="CG38" s="74">
        <v>0</v>
      </c>
      <c r="CH38" s="74">
        <v>0</v>
      </c>
      <c r="CI38" s="74">
        <v>0</v>
      </c>
      <c r="CJ38" s="74">
        <v>0</v>
      </c>
      <c r="CK38" s="74">
        <v>0</v>
      </c>
      <c r="CL38" s="74">
        <v>0</v>
      </c>
      <c r="CM38" s="74">
        <v>0</v>
      </c>
      <c r="CN38" s="74">
        <v>0</v>
      </c>
      <c r="CO38" s="74">
        <v>0</v>
      </c>
      <c r="CP38" s="74">
        <v>0</v>
      </c>
      <c r="CQ38" s="74">
        <v>0</v>
      </c>
      <c r="CR38" s="74">
        <v>0</v>
      </c>
      <c r="CS38" s="74">
        <v>0</v>
      </c>
      <c r="CT38" s="74">
        <v>0</v>
      </c>
      <c r="CU38" s="74">
        <v>0</v>
      </c>
      <c r="CV38" s="74">
        <v>0</v>
      </c>
      <c r="CW38" s="74">
        <v>0</v>
      </c>
      <c r="CX38" s="74">
        <v>0</v>
      </c>
      <c r="CY38" s="74">
        <v>0</v>
      </c>
      <c r="CZ38" s="74">
        <v>0</v>
      </c>
      <c r="DA38" s="74">
        <v>0</v>
      </c>
      <c r="DB38" s="74">
        <v>0</v>
      </c>
      <c r="DC38" s="74">
        <v>0</v>
      </c>
      <c r="DD38" s="74">
        <v>0</v>
      </c>
      <c r="DE38" s="74">
        <v>0</v>
      </c>
      <c r="DF38" s="74">
        <v>0</v>
      </c>
      <c r="DG38" s="74">
        <v>0</v>
      </c>
      <c r="DH38" s="74">
        <v>0</v>
      </c>
      <c r="DI38" s="74">
        <v>0</v>
      </c>
      <c r="DJ38" s="74">
        <v>0</v>
      </c>
      <c r="DK38" s="74">
        <v>0</v>
      </c>
      <c r="DL38" s="74">
        <v>0</v>
      </c>
      <c r="DM38" s="74">
        <v>0</v>
      </c>
      <c r="DN38" s="74">
        <v>0</v>
      </c>
      <c r="DO38" s="74">
        <v>0</v>
      </c>
      <c r="DP38" s="74">
        <v>0</v>
      </c>
      <c r="DQ38" s="74">
        <v>0</v>
      </c>
      <c r="DR38" s="74">
        <v>0</v>
      </c>
      <c r="DS38" s="74">
        <v>0</v>
      </c>
      <c r="DT38" s="74">
        <v>0</v>
      </c>
      <c r="DU38" s="74">
        <v>0</v>
      </c>
      <c r="DV38" s="74">
        <v>0</v>
      </c>
      <c r="DW38" s="74">
        <v>0</v>
      </c>
      <c r="DX38" s="74">
        <v>0</v>
      </c>
      <c r="DY38" s="74">
        <v>0</v>
      </c>
      <c r="DZ38" s="74">
        <v>0</v>
      </c>
      <c r="EA38" s="74">
        <v>0</v>
      </c>
      <c r="EB38" s="74">
        <v>0</v>
      </c>
      <c r="EC38" s="74">
        <v>0</v>
      </c>
      <c r="EE38" s="68">
        <v>46147</v>
      </c>
      <c r="EF38" s="81">
        <v>46147.490590624999</v>
      </c>
      <c r="EG38" s="2" t="s">
        <v>71</v>
      </c>
      <c r="EH38" s="76">
        <v>3</v>
      </c>
      <c r="EI38" s="76" t="s">
        <v>32</v>
      </c>
      <c r="EJ38" s="74" t="s">
        <v>244</v>
      </c>
    </row>
    <row r="39" spans="1:167" x14ac:dyDescent="0.3">
      <c r="A39" s="73" t="s">
        <v>199</v>
      </c>
      <c r="B39" s="73" t="s">
        <v>202</v>
      </c>
      <c r="C39" s="73" t="s">
        <v>202</v>
      </c>
      <c r="D39" s="73" t="s">
        <v>48</v>
      </c>
      <c r="E39" s="73" t="s">
        <v>178</v>
      </c>
      <c r="F39" s="73" t="s">
        <v>210</v>
      </c>
      <c r="G39" s="73" t="s">
        <v>227</v>
      </c>
      <c r="H39" s="73"/>
      <c r="I39" s="74">
        <v>11642</v>
      </c>
      <c r="J39" s="74">
        <v>13157</v>
      </c>
      <c r="K39" s="74">
        <v>17835</v>
      </c>
      <c r="L39" s="74">
        <v>11272</v>
      </c>
      <c r="M39" s="74">
        <v>-2809</v>
      </c>
      <c r="N39" s="74">
        <v>-4385</v>
      </c>
      <c r="O39" s="74">
        <v>2753</v>
      </c>
      <c r="P39" s="74">
        <v>10533</v>
      </c>
      <c r="Q39" s="74">
        <v>0</v>
      </c>
      <c r="R39" s="74">
        <v>0</v>
      </c>
      <c r="S39" s="74">
        <v>0</v>
      </c>
      <c r="T39" s="74">
        <v>0</v>
      </c>
      <c r="U39" s="74">
        <v>0</v>
      </c>
      <c r="V39" s="74">
        <v>0</v>
      </c>
      <c r="W39" s="74">
        <v>0</v>
      </c>
      <c r="X39" s="74">
        <v>0</v>
      </c>
      <c r="Y39" s="74">
        <v>0</v>
      </c>
      <c r="Z39" s="74">
        <v>0</v>
      </c>
      <c r="AA39" s="74">
        <v>0</v>
      </c>
      <c r="AB39" s="74">
        <v>0</v>
      </c>
      <c r="AC39" s="74">
        <v>0</v>
      </c>
      <c r="AD39" s="74">
        <v>0</v>
      </c>
      <c r="AE39" s="74">
        <v>0</v>
      </c>
      <c r="AF39" s="74">
        <v>0</v>
      </c>
      <c r="AG39" s="74">
        <v>0</v>
      </c>
      <c r="AH39" s="74">
        <v>0</v>
      </c>
      <c r="AI39" s="74">
        <v>0</v>
      </c>
      <c r="AJ39" s="74">
        <v>0</v>
      </c>
      <c r="AL39" s="74">
        <v>-891.70378039923207</v>
      </c>
      <c r="AM39" s="74">
        <v>631.55693127243831</v>
      </c>
      <c r="AN39" s="74">
        <v>1082.0120808061952</v>
      </c>
      <c r="AO39" s="74">
        <v>1247.4091381881026</v>
      </c>
      <c r="AP39" s="74">
        <v>-849.18840089449043</v>
      </c>
      <c r="AQ39" s="74">
        <v>2345.7953112550767</v>
      </c>
      <c r="AR39" s="74">
        <v>-538.64771098155256</v>
      </c>
      <c r="AS39" s="74">
        <v>559.63557499713716</v>
      </c>
      <c r="AT39" s="74">
        <v>404.32609735755386</v>
      </c>
      <c r="AU39" s="74">
        <v>-1930.127342027019</v>
      </c>
      <c r="AV39" s="74">
        <v>-3751.2230699577844</v>
      </c>
      <c r="AW39" s="74">
        <v>-3265.9193574613428</v>
      </c>
      <c r="AX39" s="74">
        <v>2430</v>
      </c>
      <c r="AY39" s="74">
        <v>-1422</v>
      </c>
      <c r="AZ39" s="74">
        <v>3790</v>
      </c>
      <c r="BA39" s="74">
        <v>5735</v>
      </c>
      <c r="BB39" s="74">
        <v>10554</v>
      </c>
      <c r="BC39" s="74">
        <v>0</v>
      </c>
      <c r="BD39" s="74">
        <v>0</v>
      </c>
      <c r="BE39" s="74">
        <v>0</v>
      </c>
      <c r="BF39" s="74">
        <v>0</v>
      </c>
      <c r="BG39" s="74">
        <v>0</v>
      </c>
      <c r="BH39" s="74">
        <v>0</v>
      </c>
      <c r="BI39" s="74">
        <v>0</v>
      </c>
      <c r="BJ39" s="74">
        <v>0</v>
      </c>
      <c r="BK39" s="74">
        <v>0</v>
      </c>
      <c r="BL39" s="74">
        <v>0</v>
      </c>
      <c r="BM39" s="74">
        <v>0</v>
      </c>
      <c r="BN39" s="74">
        <v>0</v>
      </c>
      <c r="BO39" s="74">
        <v>0</v>
      </c>
      <c r="BP39" s="74">
        <v>0</v>
      </c>
      <c r="BQ39" s="74">
        <v>0</v>
      </c>
      <c r="BR39" s="74">
        <v>0</v>
      </c>
      <c r="BS39" s="74">
        <v>0</v>
      </c>
      <c r="BT39" s="74">
        <v>0</v>
      </c>
      <c r="BU39" s="74">
        <v>0</v>
      </c>
      <c r="BV39" s="74">
        <v>0</v>
      </c>
      <c r="BW39" s="74">
        <v>0</v>
      </c>
      <c r="BX39" s="74">
        <v>0</v>
      </c>
      <c r="BY39" s="74">
        <v>0</v>
      </c>
      <c r="BZ39" s="74">
        <v>0</v>
      </c>
      <c r="CA39" s="74">
        <v>0</v>
      </c>
      <c r="CB39" s="74">
        <v>0</v>
      </c>
      <c r="CC39" s="74">
        <v>0</v>
      </c>
      <c r="CD39" s="74">
        <v>0</v>
      </c>
      <c r="CE39" s="74">
        <v>0</v>
      </c>
      <c r="CF39" s="74">
        <v>0</v>
      </c>
      <c r="CG39" s="74">
        <v>0</v>
      </c>
      <c r="CH39" s="74">
        <v>0</v>
      </c>
      <c r="CI39" s="74">
        <v>0</v>
      </c>
      <c r="CJ39" s="74">
        <v>0</v>
      </c>
      <c r="CK39" s="74">
        <v>0</v>
      </c>
      <c r="CL39" s="74">
        <v>0</v>
      </c>
      <c r="CM39" s="74">
        <v>0</v>
      </c>
      <c r="CN39" s="74">
        <v>0</v>
      </c>
      <c r="CO39" s="74">
        <v>0</v>
      </c>
      <c r="CP39" s="74">
        <v>0</v>
      </c>
      <c r="CQ39" s="74">
        <v>0</v>
      </c>
      <c r="CR39" s="74">
        <v>0</v>
      </c>
      <c r="CS39" s="74">
        <v>0</v>
      </c>
      <c r="CT39" s="74">
        <v>0</v>
      </c>
      <c r="CU39" s="74">
        <v>0</v>
      </c>
      <c r="CV39" s="74">
        <v>0</v>
      </c>
      <c r="CW39" s="74">
        <v>0</v>
      </c>
      <c r="CX39" s="74">
        <v>0</v>
      </c>
      <c r="CY39" s="74">
        <v>0</v>
      </c>
      <c r="CZ39" s="74">
        <v>0</v>
      </c>
      <c r="DA39" s="74">
        <v>0</v>
      </c>
      <c r="DB39" s="74">
        <v>0</v>
      </c>
      <c r="DC39" s="74">
        <v>0</v>
      </c>
      <c r="DD39" s="74">
        <v>0</v>
      </c>
      <c r="DE39" s="74">
        <v>0</v>
      </c>
      <c r="DF39" s="74">
        <v>0</v>
      </c>
      <c r="DG39" s="74">
        <v>0</v>
      </c>
      <c r="DH39" s="74">
        <v>0</v>
      </c>
      <c r="DI39" s="74">
        <v>0</v>
      </c>
      <c r="DJ39" s="74">
        <v>0</v>
      </c>
      <c r="DK39" s="74">
        <v>0</v>
      </c>
      <c r="DL39" s="74">
        <v>0</v>
      </c>
      <c r="DM39" s="74">
        <v>0</v>
      </c>
      <c r="DN39" s="74">
        <v>0</v>
      </c>
      <c r="DO39" s="74">
        <v>0</v>
      </c>
      <c r="DP39" s="74">
        <v>0</v>
      </c>
      <c r="DQ39" s="74">
        <v>0</v>
      </c>
      <c r="DR39" s="74">
        <v>0</v>
      </c>
      <c r="DS39" s="74">
        <v>0</v>
      </c>
      <c r="DT39" s="74">
        <v>0</v>
      </c>
      <c r="DU39" s="74">
        <v>0</v>
      </c>
      <c r="DV39" s="74">
        <v>0</v>
      </c>
      <c r="DW39" s="74">
        <v>0</v>
      </c>
      <c r="DX39" s="74">
        <v>0</v>
      </c>
      <c r="DY39" s="74">
        <v>0</v>
      </c>
      <c r="DZ39" s="74">
        <v>0</v>
      </c>
      <c r="EA39" s="74">
        <v>0</v>
      </c>
      <c r="EB39" s="74">
        <v>0</v>
      </c>
      <c r="EC39" s="74">
        <v>0</v>
      </c>
      <c r="EE39" s="68">
        <v>46147</v>
      </c>
      <c r="EF39" s="81">
        <v>46147.490590624999</v>
      </c>
      <c r="EG39" s="2" t="s">
        <v>71</v>
      </c>
      <c r="EH39" s="76">
        <v>3</v>
      </c>
      <c r="EI39" s="76" t="s">
        <v>32</v>
      </c>
      <c r="EJ39" s="74" t="s">
        <v>244</v>
      </c>
    </row>
    <row r="40" spans="1:167" x14ac:dyDescent="0.3">
      <c r="A40" s="73" t="s">
        <v>190</v>
      </c>
      <c r="B40" s="73" t="s">
        <v>171</v>
      </c>
      <c r="C40" s="73" t="s">
        <v>171</v>
      </c>
      <c r="D40" s="73" t="s">
        <v>48</v>
      </c>
      <c r="E40" s="73" t="s">
        <v>178</v>
      </c>
      <c r="F40" s="73" t="s">
        <v>210</v>
      </c>
      <c r="G40" s="73" t="s">
        <v>227</v>
      </c>
      <c r="H40" s="73"/>
      <c r="I40" s="74">
        <v>0</v>
      </c>
      <c r="J40" s="74">
        <v>31719</v>
      </c>
      <c r="K40" s="74">
        <v>54912</v>
      </c>
      <c r="L40" s="74">
        <v>83640</v>
      </c>
      <c r="M40" s="74">
        <v>90076</v>
      </c>
      <c r="N40" s="74">
        <v>93632</v>
      </c>
      <c r="O40" s="74">
        <v>103041</v>
      </c>
      <c r="P40" s="74">
        <v>122043</v>
      </c>
      <c r="Q40" s="74">
        <v>0</v>
      </c>
      <c r="R40" s="74">
        <v>0</v>
      </c>
      <c r="S40" s="74">
        <v>0</v>
      </c>
      <c r="T40" s="74">
        <v>0</v>
      </c>
      <c r="U40" s="74">
        <v>0</v>
      </c>
      <c r="V40" s="74">
        <v>0</v>
      </c>
      <c r="W40" s="74">
        <v>0</v>
      </c>
      <c r="X40" s="74">
        <v>0</v>
      </c>
      <c r="Y40" s="74">
        <v>0</v>
      </c>
      <c r="Z40" s="74">
        <v>0</v>
      </c>
      <c r="AA40" s="74">
        <v>0</v>
      </c>
      <c r="AB40" s="74">
        <v>0</v>
      </c>
      <c r="AC40" s="74">
        <v>0</v>
      </c>
      <c r="AD40" s="74">
        <v>0</v>
      </c>
      <c r="AE40" s="74">
        <v>0</v>
      </c>
      <c r="AF40" s="74">
        <v>0</v>
      </c>
      <c r="AG40" s="74">
        <v>0</v>
      </c>
      <c r="AH40" s="74">
        <v>0</v>
      </c>
      <c r="AI40" s="74">
        <v>0</v>
      </c>
      <c r="AJ40" s="74">
        <v>0</v>
      </c>
      <c r="AL40" s="74">
        <v>81438.431016598595</v>
      </c>
      <c r="AM40" s="74">
        <v>90849.69266612707</v>
      </c>
      <c r="AN40" s="74">
        <v>93813.719428234152</v>
      </c>
      <c r="AO40" s="74">
        <v>90076</v>
      </c>
      <c r="AP40" s="74">
        <v>92398.548603115021</v>
      </c>
      <c r="AQ40" s="74">
        <v>93899.103467928406</v>
      </c>
      <c r="AR40" s="74">
        <v>90528.109203593704</v>
      </c>
      <c r="AS40" s="74">
        <v>93632</v>
      </c>
      <c r="AT40" s="74">
        <v>95287.373845827038</v>
      </c>
      <c r="AU40" s="74">
        <v>96729.441512186357</v>
      </c>
      <c r="AV40" s="74">
        <v>98632.656715115532</v>
      </c>
      <c r="AW40" s="74">
        <v>103041</v>
      </c>
      <c r="AX40" s="74">
        <v>105398.00808539479</v>
      </c>
      <c r="AY40" s="74">
        <v>113249</v>
      </c>
      <c r="AZ40" s="74">
        <v>115661</v>
      </c>
      <c r="BA40" s="74">
        <v>122043</v>
      </c>
      <c r="BB40" s="74">
        <v>129241</v>
      </c>
      <c r="BC40" s="74">
        <v>0</v>
      </c>
      <c r="BD40" s="74">
        <v>0</v>
      </c>
      <c r="BE40" s="74">
        <v>0</v>
      </c>
      <c r="BF40" s="74">
        <v>0</v>
      </c>
      <c r="BG40" s="74">
        <v>0</v>
      </c>
      <c r="BH40" s="74">
        <v>0</v>
      </c>
      <c r="BI40" s="74">
        <v>0</v>
      </c>
      <c r="BJ40" s="74">
        <v>0</v>
      </c>
      <c r="BK40" s="74">
        <v>0</v>
      </c>
      <c r="BL40" s="74">
        <v>0</v>
      </c>
      <c r="BM40" s="74">
        <v>0</v>
      </c>
      <c r="BN40" s="74">
        <v>0</v>
      </c>
      <c r="BO40" s="74">
        <v>0</v>
      </c>
      <c r="BP40" s="74">
        <v>0</v>
      </c>
      <c r="BQ40" s="74">
        <v>0</v>
      </c>
      <c r="BR40" s="74">
        <v>0</v>
      </c>
      <c r="BS40" s="74">
        <v>0</v>
      </c>
      <c r="BT40" s="74">
        <v>0</v>
      </c>
      <c r="BU40" s="74">
        <v>0</v>
      </c>
      <c r="BV40" s="74">
        <v>0</v>
      </c>
      <c r="BW40" s="74">
        <v>0</v>
      </c>
      <c r="BX40" s="74">
        <v>0</v>
      </c>
      <c r="BY40" s="74">
        <v>0</v>
      </c>
      <c r="BZ40" s="74">
        <v>0</v>
      </c>
      <c r="CA40" s="74">
        <v>0</v>
      </c>
      <c r="CB40" s="74">
        <v>0</v>
      </c>
      <c r="CC40" s="74">
        <v>0</v>
      </c>
      <c r="CD40" s="74">
        <v>0</v>
      </c>
      <c r="CE40" s="74">
        <v>0</v>
      </c>
      <c r="CF40" s="74">
        <v>0</v>
      </c>
      <c r="CG40" s="74">
        <v>0</v>
      </c>
      <c r="CH40" s="74">
        <v>0</v>
      </c>
      <c r="CI40" s="74">
        <v>0</v>
      </c>
      <c r="CJ40" s="74">
        <v>0</v>
      </c>
      <c r="CK40" s="74">
        <v>0</v>
      </c>
      <c r="CL40" s="74">
        <v>0</v>
      </c>
      <c r="CM40" s="74">
        <v>0</v>
      </c>
      <c r="CN40" s="74">
        <v>0</v>
      </c>
      <c r="CO40" s="74">
        <v>0</v>
      </c>
      <c r="CP40" s="74">
        <v>0</v>
      </c>
      <c r="CQ40" s="74">
        <v>0</v>
      </c>
      <c r="CR40" s="74">
        <v>0</v>
      </c>
      <c r="CS40" s="74">
        <v>0</v>
      </c>
      <c r="CT40" s="74">
        <v>0</v>
      </c>
      <c r="CU40" s="74">
        <v>0</v>
      </c>
      <c r="CV40" s="74">
        <v>0</v>
      </c>
      <c r="CW40" s="74">
        <v>0</v>
      </c>
      <c r="CX40" s="74">
        <v>0</v>
      </c>
      <c r="CY40" s="74">
        <v>0</v>
      </c>
      <c r="CZ40" s="74">
        <v>0</v>
      </c>
      <c r="DA40" s="74">
        <v>0</v>
      </c>
      <c r="DB40" s="74">
        <v>0</v>
      </c>
      <c r="DC40" s="74">
        <v>0</v>
      </c>
      <c r="DD40" s="74">
        <v>0</v>
      </c>
      <c r="DE40" s="74">
        <v>0</v>
      </c>
      <c r="DF40" s="74">
        <v>0</v>
      </c>
      <c r="DG40" s="74">
        <v>0</v>
      </c>
      <c r="DH40" s="74">
        <v>0</v>
      </c>
      <c r="DI40" s="74">
        <v>0</v>
      </c>
      <c r="DJ40" s="74">
        <v>0</v>
      </c>
      <c r="DK40" s="74">
        <v>0</v>
      </c>
      <c r="DL40" s="74">
        <v>0</v>
      </c>
      <c r="DM40" s="74">
        <v>0</v>
      </c>
      <c r="DN40" s="74">
        <v>0</v>
      </c>
      <c r="DO40" s="74">
        <v>0</v>
      </c>
      <c r="DP40" s="74">
        <v>0</v>
      </c>
      <c r="DQ40" s="74">
        <v>0</v>
      </c>
      <c r="DR40" s="74">
        <v>0</v>
      </c>
      <c r="DS40" s="74">
        <v>0</v>
      </c>
      <c r="DT40" s="74">
        <v>0</v>
      </c>
      <c r="DU40" s="74">
        <v>0</v>
      </c>
      <c r="DV40" s="74">
        <v>0</v>
      </c>
      <c r="DW40" s="74">
        <v>0</v>
      </c>
      <c r="DX40" s="74">
        <v>0</v>
      </c>
      <c r="DY40" s="74">
        <v>0</v>
      </c>
      <c r="DZ40" s="74">
        <v>0</v>
      </c>
      <c r="EA40" s="74">
        <v>0</v>
      </c>
      <c r="EB40" s="74">
        <v>0</v>
      </c>
      <c r="EC40" s="74">
        <v>0</v>
      </c>
      <c r="EE40" s="68">
        <v>46147</v>
      </c>
      <c r="EF40" s="81">
        <v>46147.490590624999</v>
      </c>
      <c r="EG40" s="2" t="s">
        <v>71</v>
      </c>
      <c r="EH40" s="76">
        <v>3</v>
      </c>
      <c r="EI40" s="76" t="s">
        <v>32</v>
      </c>
      <c r="EJ40" s="74" t="s">
        <v>244</v>
      </c>
    </row>
    <row r="41" spans="1:167" x14ac:dyDescent="0.3">
      <c r="A41" s="73" t="s">
        <v>191</v>
      </c>
      <c r="B41" s="73" t="s">
        <v>170</v>
      </c>
      <c r="C41" s="73" t="s">
        <v>170</v>
      </c>
      <c r="D41" s="73" t="s">
        <v>48</v>
      </c>
      <c r="E41" s="73" t="s">
        <v>178</v>
      </c>
      <c r="F41" s="73" t="s">
        <v>210</v>
      </c>
      <c r="G41" s="73" t="s">
        <v>227</v>
      </c>
      <c r="H41" s="73"/>
      <c r="I41" s="74">
        <v>0</v>
      </c>
      <c r="J41" s="74">
        <v>9566</v>
      </c>
      <c r="K41" s="74">
        <v>15375</v>
      </c>
      <c r="L41" s="74">
        <v>21718</v>
      </c>
      <c r="M41" s="74">
        <v>23347</v>
      </c>
      <c r="N41" s="74">
        <v>24357</v>
      </c>
      <c r="O41" s="74">
        <v>25618</v>
      </c>
      <c r="P41" s="74">
        <v>30632</v>
      </c>
      <c r="Q41" s="74">
        <v>0</v>
      </c>
      <c r="R41" s="74">
        <v>0</v>
      </c>
      <c r="S41" s="74">
        <v>0</v>
      </c>
      <c r="T41" s="74">
        <v>0</v>
      </c>
      <c r="U41" s="74">
        <v>0</v>
      </c>
      <c r="V41" s="74">
        <v>0</v>
      </c>
      <c r="W41" s="74">
        <v>0</v>
      </c>
      <c r="X41" s="74">
        <v>0</v>
      </c>
      <c r="Y41" s="74">
        <v>0</v>
      </c>
      <c r="Z41" s="74">
        <v>0</v>
      </c>
      <c r="AA41" s="74">
        <v>0</v>
      </c>
      <c r="AB41" s="74">
        <v>0</v>
      </c>
      <c r="AC41" s="74">
        <v>0</v>
      </c>
      <c r="AD41" s="74">
        <v>0</v>
      </c>
      <c r="AE41" s="74">
        <v>0</v>
      </c>
      <c r="AF41" s="74">
        <v>0</v>
      </c>
      <c r="AG41" s="74">
        <v>0</v>
      </c>
      <c r="AH41" s="74">
        <v>0</v>
      </c>
      <c r="AI41" s="74">
        <v>0</v>
      </c>
      <c r="AJ41" s="74">
        <v>0</v>
      </c>
      <c r="AL41" s="74">
        <v>26973.753257510012</v>
      </c>
      <c r="AM41" s="74">
        <v>25322.16295396108</v>
      </c>
      <c r="AN41" s="74">
        <v>27015.652986919351</v>
      </c>
      <c r="AO41" s="74">
        <v>23347</v>
      </c>
      <c r="AP41" s="74">
        <v>24046.190582056002</v>
      </c>
      <c r="AQ41" s="74">
        <v>24287.802529718003</v>
      </c>
      <c r="AR41" s="74">
        <v>23306.402776310009</v>
      </c>
      <c r="AS41" s="74">
        <v>24357</v>
      </c>
      <c r="AT41" s="74">
        <v>24318.460740023918</v>
      </c>
      <c r="AU41" s="74">
        <v>24317.512966697013</v>
      </c>
      <c r="AV41" s="74">
        <v>16727.717511825671</v>
      </c>
      <c r="AW41" s="74">
        <v>25618</v>
      </c>
      <c r="AX41" s="74">
        <v>18518.786699241784</v>
      </c>
      <c r="AY41" s="74">
        <v>29679</v>
      </c>
      <c r="AZ41" s="74">
        <v>29488</v>
      </c>
      <c r="BA41" s="74">
        <v>30632</v>
      </c>
      <c r="BB41" s="74">
        <v>30899</v>
      </c>
      <c r="BC41" s="74">
        <v>0</v>
      </c>
      <c r="BD41" s="74">
        <v>0</v>
      </c>
      <c r="BE41" s="74">
        <v>0</v>
      </c>
      <c r="BF41" s="74">
        <v>0</v>
      </c>
      <c r="BG41" s="74">
        <v>0</v>
      </c>
      <c r="BH41" s="74">
        <v>0</v>
      </c>
      <c r="BI41" s="74">
        <v>0</v>
      </c>
      <c r="BJ41" s="74">
        <v>0</v>
      </c>
      <c r="BK41" s="74">
        <v>0</v>
      </c>
      <c r="BL41" s="74">
        <v>0</v>
      </c>
      <c r="BM41" s="74">
        <v>0</v>
      </c>
      <c r="BN41" s="74">
        <v>0</v>
      </c>
      <c r="BO41" s="74">
        <v>0</v>
      </c>
      <c r="BP41" s="74">
        <v>0</v>
      </c>
      <c r="BQ41" s="74">
        <v>0</v>
      </c>
      <c r="BR41" s="74">
        <v>0</v>
      </c>
      <c r="BS41" s="74">
        <v>0</v>
      </c>
      <c r="BT41" s="74">
        <v>0</v>
      </c>
      <c r="BU41" s="74">
        <v>0</v>
      </c>
      <c r="BV41" s="74">
        <v>0</v>
      </c>
      <c r="BW41" s="74">
        <v>0</v>
      </c>
      <c r="BX41" s="74">
        <v>0</v>
      </c>
      <c r="BY41" s="74">
        <v>0</v>
      </c>
      <c r="BZ41" s="74">
        <v>0</v>
      </c>
      <c r="CA41" s="74">
        <v>0</v>
      </c>
      <c r="CB41" s="74">
        <v>0</v>
      </c>
      <c r="CC41" s="74">
        <v>0</v>
      </c>
      <c r="CD41" s="74">
        <v>0</v>
      </c>
      <c r="CE41" s="74">
        <v>0</v>
      </c>
      <c r="CF41" s="74">
        <v>0</v>
      </c>
      <c r="CG41" s="74">
        <v>0</v>
      </c>
      <c r="CH41" s="74">
        <v>0</v>
      </c>
      <c r="CI41" s="74">
        <v>0</v>
      </c>
      <c r="CJ41" s="74">
        <v>0</v>
      </c>
      <c r="CK41" s="74">
        <v>0</v>
      </c>
      <c r="CL41" s="74">
        <v>0</v>
      </c>
      <c r="CM41" s="74">
        <v>0</v>
      </c>
      <c r="CN41" s="74">
        <v>0</v>
      </c>
      <c r="CO41" s="74">
        <v>0</v>
      </c>
      <c r="CP41" s="74">
        <v>0</v>
      </c>
      <c r="CQ41" s="74">
        <v>0</v>
      </c>
      <c r="CR41" s="74">
        <v>0</v>
      </c>
      <c r="CS41" s="74">
        <v>0</v>
      </c>
      <c r="CT41" s="74">
        <v>0</v>
      </c>
      <c r="CU41" s="74">
        <v>0</v>
      </c>
      <c r="CV41" s="74">
        <v>0</v>
      </c>
      <c r="CW41" s="74">
        <v>0</v>
      </c>
      <c r="CX41" s="74">
        <v>0</v>
      </c>
      <c r="CY41" s="74">
        <v>0</v>
      </c>
      <c r="CZ41" s="74">
        <v>0</v>
      </c>
      <c r="DA41" s="74">
        <v>0</v>
      </c>
      <c r="DB41" s="74">
        <v>0</v>
      </c>
      <c r="DC41" s="74">
        <v>0</v>
      </c>
      <c r="DD41" s="74">
        <v>0</v>
      </c>
      <c r="DE41" s="74">
        <v>0</v>
      </c>
      <c r="DF41" s="74">
        <v>0</v>
      </c>
      <c r="DG41" s="74">
        <v>0</v>
      </c>
      <c r="DH41" s="74">
        <v>0</v>
      </c>
      <c r="DI41" s="74">
        <v>0</v>
      </c>
      <c r="DJ41" s="74">
        <v>0</v>
      </c>
      <c r="DK41" s="74">
        <v>0</v>
      </c>
      <c r="DL41" s="74">
        <v>0</v>
      </c>
      <c r="DM41" s="74">
        <v>0</v>
      </c>
      <c r="DN41" s="74">
        <v>0</v>
      </c>
      <c r="DO41" s="74">
        <v>0</v>
      </c>
      <c r="DP41" s="74">
        <v>0</v>
      </c>
      <c r="DQ41" s="74">
        <v>0</v>
      </c>
      <c r="DR41" s="74">
        <v>0</v>
      </c>
      <c r="DS41" s="74">
        <v>0</v>
      </c>
      <c r="DT41" s="74">
        <v>0</v>
      </c>
      <c r="DU41" s="74">
        <v>0</v>
      </c>
      <c r="DV41" s="74">
        <v>0</v>
      </c>
      <c r="DW41" s="74">
        <v>0</v>
      </c>
      <c r="DX41" s="74">
        <v>0</v>
      </c>
      <c r="DY41" s="74">
        <v>0</v>
      </c>
      <c r="DZ41" s="74">
        <v>0</v>
      </c>
      <c r="EA41" s="74">
        <v>0</v>
      </c>
      <c r="EB41" s="74">
        <v>0</v>
      </c>
      <c r="EC41" s="74">
        <v>0</v>
      </c>
      <c r="EE41" s="68">
        <v>46147</v>
      </c>
      <c r="EF41" s="81">
        <v>46147.490590624999</v>
      </c>
      <c r="EG41" s="2" t="s">
        <v>71</v>
      </c>
      <c r="EH41" s="76">
        <v>3</v>
      </c>
      <c r="EI41" s="76" t="s">
        <v>32</v>
      </c>
      <c r="EJ41" s="74" t="s">
        <v>244</v>
      </c>
    </row>
    <row r="42" spans="1:167" x14ac:dyDescent="0.3">
      <c r="A42" s="73" t="s">
        <v>192</v>
      </c>
      <c r="B42" s="73" t="s">
        <v>174</v>
      </c>
      <c r="C42" s="73" t="s">
        <v>174</v>
      </c>
      <c r="D42" s="73" t="s">
        <v>48</v>
      </c>
      <c r="E42" s="73" t="s">
        <v>178</v>
      </c>
      <c r="F42" s="73" t="s">
        <v>210</v>
      </c>
      <c r="G42" s="73" t="s">
        <v>227</v>
      </c>
      <c r="H42" s="73"/>
      <c r="I42" s="74">
        <v>0</v>
      </c>
      <c r="J42" s="74">
        <v>23481</v>
      </c>
      <c r="K42" s="74">
        <v>32151</v>
      </c>
      <c r="L42" s="74">
        <v>43245</v>
      </c>
      <c r="M42" s="74">
        <v>60324</v>
      </c>
      <c r="N42" s="74">
        <v>72701</v>
      </c>
      <c r="O42" s="74">
        <v>110683</v>
      </c>
      <c r="P42" s="74">
        <v>190055</v>
      </c>
      <c r="Q42" s="74">
        <v>0</v>
      </c>
      <c r="R42" s="74">
        <v>0</v>
      </c>
      <c r="S42" s="74">
        <v>0</v>
      </c>
      <c r="T42" s="74">
        <v>0</v>
      </c>
      <c r="U42" s="74">
        <v>0</v>
      </c>
      <c r="V42" s="74">
        <v>0</v>
      </c>
      <c r="W42" s="74">
        <v>0</v>
      </c>
      <c r="X42" s="74">
        <v>0</v>
      </c>
      <c r="Y42" s="74">
        <v>0</v>
      </c>
      <c r="Z42" s="74">
        <v>0</v>
      </c>
      <c r="AA42" s="74">
        <v>0</v>
      </c>
      <c r="AB42" s="74">
        <v>0</v>
      </c>
      <c r="AC42" s="74">
        <v>0</v>
      </c>
      <c r="AD42" s="74">
        <v>0</v>
      </c>
      <c r="AE42" s="74">
        <v>0</v>
      </c>
      <c r="AF42" s="74">
        <v>0</v>
      </c>
      <c r="AG42" s="74">
        <v>0</v>
      </c>
      <c r="AH42" s="74">
        <v>0</v>
      </c>
      <c r="AI42" s="74">
        <v>0</v>
      </c>
      <c r="AJ42" s="74">
        <v>0</v>
      </c>
      <c r="AL42" s="74">
        <v>49096.927508596476</v>
      </c>
      <c r="AM42" s="74">
        <v>49123.720206012011</v>
      </c>
      <c r="AN42" s="74">
        <v>54266.707648397562</v>
      </c>
      <c r="AO42" s="74">
        <v>60324</v>
      </c>
      <c r="AP42" s="74">
        <v>65081.956427303056</v>
      </c>
      <c r="AQ42" s="74">
        <v>70742.49362268085</v>
      </c>
      <c r="AR42" s="74">
        <v>72174.384365426726</v>
      </c>
      <c r="AS42" s="74">
        <v>72701</v>
      </c>
      <c r="AT42" s="74">
        <v>45947.508105803121</v>
      </c>
      <c r="AU42" s="74">
        <v>81581.462307976544</v>
      </c>
      <c r="AV42" s="74">
        <v>53683.431384846204</v>
      </c>
      <c r="AW42" s="74">
        <v>110683</v>
      </c>
      <c r="AX42" s="74">
        <v>130000</v>
      </c>
      <c r="AY42" s="74">
        <v>140636</v>
      </c>
      <c r="AZ42" s="74">
        <v>165106</v>
      </c>
      <c r="BA42" s="74">
        <v>190055</v>
      </c>
      <c r="BB42" s="74">
        <v>223056</v>
      </c>
      <c r="BC42" s="74">
        <v>0</v>
      </c>
      <c r="BD42" s="74">
        <v>0</v>
      </c>
      <c r="BE42" s="74">
        <v>0</v>
      </c>
      <c r="BF42" s="74">
        <v>0</v>
      </c>
      <c r="BG42" s="74">
        <v>0</v>
      </c>
      <c r="BH42" s="74">
        <v>0</v>
      </c>
      <c r="BI42" s="74">
        <v>0</v>
      </c>
      <c r="BJ42" s="74">
        <v>0</v>
      </c>
      <c r="BK42" s="74">
        <v>0</v>
      </c>
      <c r="BL42" s="74">
        <v>0</v>
      </c>
      <c r="BM42" s="74">
        <v>0</v>
      </c>
      <c r="BN42" s="74">
        <v>0</v>
      </c>
      <c r="BO42" s="74">
        <v>0</v>
      </c>
      <c r="BP42" s="74">
        <v>0</v>
      </c>
      <c r="BQ42" s="74">
        <v>0</v>
      </c>
      <c r="BR42" s="74">
        <v>0</v>
      </c>
      <c r="BS42" s="74">
        <v>0</v>
      </c>
      <c r="BT42" s="74">
        <v>0</v>
      </c>
      <c r="BU42" s="74">
        <v>0</v>
      </c>
      <c r="BV42" s="74">
        <v>0</v>
      </c>
      <c r="BW42" s="74">
        <v>0</v>
      </c>
      <c r="BX42" s="74">
        <v>0</v>
      </c>
      <c r="BY42" s="74">
        <v>0</v>
      </c>
      <c r="BZ42" s="74">
        <v>0</v>
      </c>
      <c r="CA42" s="74">
        <v>0</v>
      </c>
      <c r="CB42" s="74">
        <v>0</v>
      </c>
      <c r="CC42" s="74">
        <v>0</v>
      </c>
      <c r="CD42" s="74">
        <v>0</v>
      </c>
      <c r="CE42" s="74">
        <v>0</v>
      </c>
      <c r="CF42" s="74">
        <v>0</v>
      </c>
      <c r="CG42" s="74">
        <v>0</v>
      </c>
      <c r="CH42" s="74">
        <v>0</v>
      </c>
      <c r="CI42" s="74">
        <v>0</v>
      </c>
      <c r="CJ42" s="74">
        <v>0</v>
      </c>
      <c r="CK42" s="74">
        <v>0</v>
      </c>
      <c r="CL42" s="74">
        <v>0</v>
      </c>
      <c r="CM42" s="74">
        <v>0</v>
      </c>
      <c r="CN42" s="74">
        <v>0</v>
      </c>
      <c r="CO42" s="74">
        <v>0</v>
      </c>
      <c r="CP42" s="74">
        <v>0</v>
      </c>
      <c r="CQ42" s="74">
        <v>0</v>
      </c>
      <c r="CR42" s="74">
        <v>0</v>
      </c>
      <c r="CS42" s="74">
        <v>0</v>
      </c>
      <c r="CT42" s="74">
        <v>0</v>
      </c>
      <c r="CU42" s="74">
        <v>0</v>
      </c>
      <c r="CV42" s="74">
        <v>0</v>
      </c>
      <c r="CW42" s="74">
        <v>0</v>
      </c>
      <c r="CX42" s="74">
        <v>0</v>
      </c>
      <c r="CY42" s="74">
        <v>0</v>
      </c>
      <c r="CZ42" s="74">
        <v>0</v>
      </c>
      <c r="DA42" s="74">
        <v>0</v>
      </c>
      <c r="DB42" s="74">
        <v>0</v>
      </c>
      <c r="DC42" s="74">
        <v>0</v>
      </c>
      <c r="DD42" s="74">
        <v>0</v>
      </c>
      <c r="DE42" s="74">
        <v>0</v>
      </c>
      <c r="DF42" s="74">
        <v>0</v>
      </c>
      <c r="DG42" s="74">
        <v>0</v>
      </c>
      <c r="DH42" s="74">
        <v>0</v>
      </c>
      <c r="DI42" s="74">
        <v>0</v>
      </c>
      <c r="DJ42" s="74">
        <v>0</v>
      </c>
      <c r="DK42" s="74">
        <v>0</v>
      </c>
      <c r="DL42" s="74">
        <v>0</v>
      </c>
      <c r="DM42" s="74">
        <v>0</v>
      </c>
      <c r="DN42" s="74">
        <v>0</v>
      </c>
      <c r="DO42" s="74">
        <v>0</v>
      </c>
      <c r="DP42" s="74">
        <v>0</v>
      </c>
      <c r="DQ42" s="74">
        <v>0</v>
      </c>
      <c r="DR42" s="74">
        <v>0</v>
      </c>
      <c r="DS42" s="74">
        <v>0</v>
      </c>
      <c r="DT42" s="74">
        <v>0</v>
      </c>
      <c r="DU42" s="74">
        <v>0</v>
      </c>
      <c r="DV42" s="74">
        <v>0</v>
      </c>
      <c r="DW42" s="74">
        <v>0</v>
      </c>
      <c r="DX42" s="74">
        <v>0</v>
      </c>
      <c r="DY42" s="74">
        <v>0</v>
      </c>
      <c r="DZ42" s="74">
        <v>0</v>
      </c>
      <c r="EA42" s="74">
        <v>0</v>
      </c>
      <c r="EB42" s="74">
        <v>0</v>
      </c>
      <c r="EC42" s="74">
        <v>0</v>
      </c>
      <c r="EE42" s="68">
        <v>46147</v>
      </c>
      <c r="EF42" s="81">
        <v>46147.490590624999</v>
      </c>
      <c r="EG42" s="2" t="s">
        <v>71</v>
      </c>
      <c r="EH42" s="76">
        <v>3</v>
      </c>
      <c r="EI42" s="76" t="s">
        <v>32</v>
      </c>
      <c r="EJ42" s="74" t="s">
        <v>244</v>
      </c>
    </row>
    <row r="43" spans="1:167" x14ac:dyDescent="0.3">
      <c r="A43" s="73" t="s">
        <v>200</v>
      </c>
      <c r="B43" s="73" t="s">
        <v>176</v>
      </c>
      <c r="C43" s="73" t="s">
        <v>176</v>
      </c>
      <c r="D43" s="73" t="s">
        <v>48</v>
      </c>
      <c r="E43" s="73" t="s">
        <v>178</v>
      </c>
      <c r="F43" s="73" t="s">
        <v>210</v>
      </c>
      <c r="G43" s="73" t="s">
        <v>227</v>
      </c>
      <c r="H43" s="73"/>
      <c r="I43" s="74">
        <v>0</v>
      </c>
      <c r="J43" s="74">
        <v>7939</v>
      </c>
      <c r="K43" s="74">
        <v>10676</v>
      </c>
      <c r="L43" s="74">
        <v>11678</v>
      </c>
      <c r="M43" s="74">
        <v>12968</v>
      </c>
      <c r="N43" s="74">
        <v>13487</v>
      </c>
      <c r="O43" s="74">
        <v>13323</v>
      </c>
      <c r="P43" s="74">
        <v>14295</v>
      </c>
      <c r="Q43" s="74">
        <v>0</v>
      </c>
      <c r="R43" s="74">
        <v>0</v>
      </c>
      <c r="S43" s="74">
        <v>0</v>
      </c>
      <c r="T43" s="74">
        <v>0</v>
      </c>
      <c r="U43" s="74">
        <v>0</v>
      </c>
      <c r="V43" s="74">
        <v>0</v>
      </c>
      <c r="W43" s="74">
        <v>0</v>
      </c>
      <c r="X43" s="74">
        <v>0</v>
      </c>
      <c r="Y43" s="74">
        <v>0</v>
      </c>
      <c r="Z43" s="74">
        <v>0</v>
      </c>
      <c r="AA43" s="74">
        <v>0</v>
      </c>
      <c r="AB43" s="74">
        <v>0</v>
      </c>
      <c r="AC43" s="74">
        <v>0</v>
      </c>
      <c r="AD43" s="74">
        <v>0</v>
      </c>
      <c r="AE43" s="74">
        <v>0</v>
      </c>
      <c r="AF43" s="74">
        <v>0</v>
      </c>
      <c r="AG43" s="74">
        <v>0</v>
      </c>
      <c r="AH43" s="74">
        <v>0</v>
      </c>
      <c r="AI43" s="74">
        <v>0</v>
      </c>
      <c r="AJ43" s="74">
        <v>0</v>
      </c>
      <c r="AL43" s="74">
        <v>2487.1965300314555</v>
      </c>
      <c r="AM43" s="74">
        <v>9299.7610529639369</v>
      </c>
      <c r="AN43" s="74">
        <v>11126.626654700824</v>
      </c>
      <c r="AO43" s="74">
        <v>12968</v>
      </c>
      <c r="AP43" s="74">
        <v>13212.940263676001</v>
      </c>
      <c r="AQ43" s="74">
        <v>10802.252550943602</v>
      </c>
      <c r="AR43" s="74">
        <v>11341.204526510021</v>
      </c>
      <c r="AS43" s="74">
        <v>13487</v>
      </c>
      <c r="AT43" s="74">
        <v>14270.068974304506</v>
      </c>
      <c r="AU43" s="74">
        <v>14315.07886759744</v>
      </c>
      <c r="AV43" s="74">
        <v>19065.709552390348</v>
      </c>
      <c r="AW43" s="74">
        <v>13323</v>
      </c>
      <c r="AX43" s="74">
        <v>13670.035786053457</v>
      </c>
      <c r="AY43" s="74">
        <v>14052</v>
      </c>
      <c r="AZ43" s="74">
        <v>14180</v>
      </c>
      <c r="BA43" s="74">
        <v>14295</v>
      </c>
      <c r="BB43" s="74">
        <v>14262</v>
      </c>
      <c r="BC43" s="74">
        <v>0</v>
      </c>
      <c r="BD43" s="74">
        <v>0</v>
      </c>
      <c r="BE43" s="74">
        <v>0</v>
      </c>
      <c r="BF43" s="74">
        <v>0</v>
      </c>
      <c r="BG43" s="74">
        <v>0</v>
      </c>
      <c r="BH43" s="74">
        <v>0</v>
      </c>
      <c r="BI43" s="74">
        <v>0</v>
      </c>
      <c r="BJ43" s="74">
        <v>0</v>
      </c>
      <c r="BK43" s="74">
        <v>0</v>
      </c>
      <c r="BL43" s="74">
        <v>0</v>
      </c>
      <c r="BM43" s="74">
        <v>0</v>
      </c>
      <c r="BN43" s="74">
        <v>0</v>
      </c>
      <c r="BO43" s="74">
        <v>0</v>
      </c>
      <c r="BP43" s="74">
        <v>0</v>
      </c>
      <c r="BQ43" s="74">
        <v>0</v>
      </c>
      <c r="BR43" s="74">
        <v>0</v>
      </c>
      <c r="BS43" s="74">
        <v>0</v>
      </c>
      <c r="BT43" s="74">
        <v>0</v>
      </c>
      <c r="BU43" s="74">
        <v>0</v>
      </c>
      <c r="BV43" s="74">
        <v>0</v>
      </c>
      <c r="BW43" s="74">
        <v>0</v>
      </c>
      <c r="BX43" s="74">
        <v>0</v>
      </c>
      <c r="BY43" s="74">
        <v>0</v>
      </c>
      <c r="BZ43" s="74">
        <v>0</v>
      </c>
      <c r="CA43" s="74">
        <v>0</v>
      </c>
      <c r="CB43" s="74">
        <v>0</v>
      </c>
      <c r="CC43" s="74">
        <v>0</v>
      </c>
      <c r="CD43" s="74">
        <v>0</v>
      </c>
      <c r="CE43" s="74">
        <v>0</v>
      </c>
      <c r="CF43" s="74">
        <v>0</v>
      </c>
      <c r="CG43" s="74">
        <v>0</v>
      </c>
      <c r="CH43" s="74">
        <v>0</v>
      </c>
      <c r="CI43" s="74">
        <v>0</v>
      </c>
      <c r="CJ43" s="74">
        <v>0</v>
      </c>
      <c r="CK43" s="74">
        <v>0</v>
      </c>
      <c r="CL43" s="74">
        <v>0</v>
      </c>
      <c r="CM43" s="74">
        <v>0</v>
      </c>
      <c r="CN43" s="74">
        <v>0</v>
      </c>
      <c r="CO43" s="74">
        <v>0</v>
      </c>
      <c r="CP43" s="74">
        <v>0</v>
      </c>
      <c r="CQ43" s="74">
        <v>0</v>
      </c>
      <c r="CR43" s="74">
        <v>0</v>
      </c>
      <c r="CS43" s="74">
        <v>0</v>
      </c>
      <c r="CT43" s="74">
        <v>0</v>
      </c>
      <c r="CU43" s="74">
        <v>0</v>
      </c>
      <c r="CV43" s="74">
        <v>0</v>
      </c>
      <c r="CW43" s="74">
        <v>0</v>
      </c>
      <c r="CX43" s="74">
        <v>0</v>
      </c>
      <c r="CY43" s="74">
        <v>0</v>
      </c>
      <c r="CZ43" s="74">
        <v>0</v>
      </c>
      <c r="DA43" s="74">
        <v>0</v>
      </c>
      <c r="DB43" s="74">
        <v>0</v>
      </c>
      <c r="DC43" s="74">
        <v>0</v>
      </c>
      <c r="DD43" s="74">
        <v>0</v>
      </c>
      <c r="DE43" s="74">
        <v>0</v>
      </c>
      <c r="DF43" s="74">
        <v>0</v>
      </c>
      <c r="DG43" s="74">
        <v>0</v>
      </c>
      <c r="DH43" s="74">
        <v>0</v>
      </c>
      <c r="DI43" s="74">
        <v>0</v>
      </c>
      <c r="DJ43" s="74">
        <v>0</v>
      </c>
      <c r="DK43" s="74">
        <v>0</v>
      </c>
      <c r="DL43" s="74">
        <v>0</v>
      </c>
      <c r="DM43" s="74">
        <v>0</v>
      </c>
      <c r="DN43" s="74">
        <v>0</v>
      </c>
      <c r="DO43" s="74">
        <v>0</v>
      </c>
      <c r="DP43" s="74">
        <v>0</v>
      </c>
      <c r="DQ43" s="74">
        <v>0</v>
      </c>
      <c r="DR43" s="74">
        <v>0</v>
      </c>
      <c r="DS43" s="74">
        <v>0</v>
      </c>
      <c r="DT43" s="74">
        <v>0</v>
      </c>
      <c r="DU43" s="74">
        <v>0</v>
      </c>
      <c r="DV43" s="74">
        <v>0</v>
      </c>
      <c r="DW43" s="74">
        <v>0</v>
      </c>
      <c r="DX43" s="74">
        <v>0</v>
      </c>
      <c r="DY43" s="74">
        <v>0</v>
      </c>
      <c r="DZ43" s="74">
        <v>0</v>
      </c>
      <c r="EA43" s="74">
        <v>0</v>
      </c>
      <c r="EB43" s="74">
        <v>0</v>
      </c>
      <c r="EC43" s="74">
        <v>0</v>
      </c>
      <c r="EE43" s="68">
        <v>46147</v>
      </c>
      <c r="EF43" s="81">
        <v>46147.490590624999</v>
      </c>
      <c r="EG43" s="2" t="s">
        <v>71</v>
      </c>
      <c r="EH43" s="76">
        <v>3</v>
      </c>
      <c r="EI43" s="76" t="s">
        <v>32</v>
      </c>
      <c r="EJ43" s="74" t="s">
        <v>244</v>
      </c>
    </row>
    <row r="44" spans="1:167" x14ac:dyDescent="0.3">
      <c r="A44" s="73" t="s">
        <v>201</v>
      </c>
      <c r="B44" s="73" t="s">
        <v>206</v>
      </c>
      <c r="C44" s="73" t="s">
        <v>206</v>
      </c>
      <c r="D44" s="73" t="s">
        <v>48</v>
      </c>
      <c r="E44" s="73" t="s">
        <v>178</v>
      </c>
      <c r="F44" s="73" t="s">
        <v>210</v>
      </c>
      <c r="G44" s="73" t="s">
        <v>227</v>
      </c>
      <c r="H44" s="73"/>
      <c r="I44" s="74">
        <v>0</v>
      </c>
      <c r="J44" s="74">
        <v>25141</v>
      </c>
      <c r="K44" s="74">
        <v>37553</v>
      </c>
      <c r="L44" s="74">
        <v>56082</v>
      </c>
      <c r="M44" s="74">
        <v>66123</v>
      </c>
      <c r="N44" s="74">
        <v>72513</v>
      </c>
      <c r="O44" s="74">
        <v>76141</v>
      </c>
      <c r="P44" s="74">
        <v>37844</v>
      </c>
      <c r="Q44" s="74">
        <v>0</v>
      </c>
      <c r="R44" s="74">
        <v>0</v>
      </c>
      <c r="S44" s="74">
        <v>0</v>
      </c>
      <c r="T44" s="74">
        <v>0</v>
      </c>
      <c r="U44" s="74">
        <v>0</v>
      </c>
      <c r="V44" s="74">
        <v>0</v>
      </c>
      <c r="W44" s="74">
        <v>0</v>
      </c>
      <c r="X44" s="74">
        <v>0</v>
      </c>
      <c r="Y44" s="74">
        <v>0</v>
      </c>
      <c r="Z44" s="74">
        <v>0</v>
      </c>
      <c r="AA44" s="74">
        <v>0</v>
      </c>
      <c r="AB44" s="74">
        <v>0</v>
      </c>
      <c r="AC44" s="74">
        <v>0</v>
      </c>
      <c r="AD44" s="74">
        <v>0</v>
      </c>
      <c r="AE44" s="74">
        <v>0</v>
      </c>
      <c r="AF44" s="74">
        <v>0</v>
      </c>
      <c r="AG44" s="74">
        <v>0</v>
      </c>
      <c r="AH44" s="74">
        <v>0</v>
      </c>
      <c r="AI44" s="74">
        <v>0</v>
      </c>
      <c r="AJ44" s="74">
        <v>0</v>
      </c>
      <c r="AL44" s="74">
        <v>64632.691687263454</v>
      </c>
      <c r="AM44" s="74">
        <v>57540.663120935904</v>
      </c>
      <c r="AN44" s="74">
        <v>53005.29328174812</v>
      </c>
      <c r="AO44" s="74">
        <v>66123</v>
      </c>
      <c r="AP44" s="74">
        <v>64276.364123849919</v>
      </c>
      <c r="AQ44" s="74">
        <v>64384.347828729129</v>
      </c>
      <c r="AR44" s="74">
        <v>69875.899128159552</v>
      </c>
      <c r="AS44" s="74">
        <v>72513</v>
      </c>
      <c r="AT44" s="74">
        <v>103439.58833404143</v>
      </c>
      <c r="AU44" s="74">
        <v>78348.504345542635</v>
      </c>
      <c r="AV44" s="74">
        <v>126334.48483582222</v>
      </c>
      <c r="AW44" s="74">
        <v>76141</v>
      </c>
      <c r="AX44" s="74">
        <v>83689.169429309957</v>
      </c>
      <c r="AY44" s="74">
        <v>82125</v>
      </c>
      <c r="AZ44" s="74">
        <v>83456</v>
      </c>
      <c r="BA44" s="74">
        <v>86054</v>
      </c>
      <c r="BB44" s="74">
        <v>88741</v>
      </c>
      <c r="BC44" s="74">
        <v>0</v>
      </c>
      <c r="BD44" s="74">
        <v>0</v>
      </c>
      <c r="BE44" s="74">
        <v>0</v>
      </c>
      <c r="BF44" s="74">
        <v>0</v>
      </c>
      <c r="BG44" s="74">
        <v>0</v>
      </c>
      <c r="BH44" s="74">
        <v>0</v>
      </c>
      <c r="BI44" s="74">
        <v>0</v>
      </c>
      <c r="BJ44" s="74">
        <v>0</v>
      </c>
      <c r="BK44" s="74">
        <v>0</v>
      </c>
      <c r="BL44" s="74">
        <v>0</v>
      </c>
      <c r="BM44" s="74">
        <v>0</v>
      </c>
      <c r="BN44" s="74">
        <v>0</v>
      </c>
      <c r="BO44" s="74">
        <v>0</v>
      </c>
      <c r="BP44" s="74">
        <v>0</v>
      </c>
      <c r="BQ44" s="74">
        <v>0</v>
      </c>
      <c r="BR44" s="74">
        <v>0</v>
      </c>
      <c r="BS44" s="74">
        <v>0</v>
      </c>
      <c r="BT44" s="74">
        <v>0</v>
      </c>
      <c r="BU44" s="74">
        <v>0</v>
      </c>
      <c r="BV44" s="74">
        <v>0</v>
      </c>
      <c r="BW44" s="74">
        <v>0</v>
      </c>
      <c r="BX44" s="74">
        <v>0</v>
      </c>
      <c r="BY44" s="74">
        <v>0</v>
      </c>
      <c r="BZ44" s="74">
        <v>0</v>
      </c>
      <c r="CA44" s="74">
        <v>0</v>
      </c>
      <c r="CB44" s="74">
        <v>0</v>
      </c>
      <c r="CC44" s="74">
        <v>0</v>
      </c>
      <c r="CD44" s="74">
        <v>0</v>
      </c>
      <c r="CE44" s="74">
        <v>0</v>
      </c>
      <c r="CF44" s="74">
        <v>0</v>
      </c>
      <c r="CG44" s="74">
        <v>0</v>
      </c>
      <c r="CH44" s="74">
        <v>0</v>
      </c>
      <c r="CI44" s="74">
        <v>0</v>
      </c>
      <c r="CJ44" s="74">
        <v>0</v>
      </c>
      <c r="CK44" s="74">
        <v>0</v>
      </c>
      <c r="CL44" s="74">
        <v>0</v>
      </c>
      <c r="CM44" s="74">
        <v>0</v>
      </c>
      <c r="CN44" s="74">
        <v>0</v>
      </c>
      <c r="CO44" s="74">
        <v>0</v>
      </c>
      <c r="CP44" s="74">
        <v>0</v>
      </c>
      <c r="CQ44" s="74">
        <v>0</v>
      </c>
      <c r="CR44" s="74">
        <v>0</v>
      </c>
      <c r="CS44" s="74">
        <v>0</v>
      </c>
      <c r="CT44" s="74">
        <v>0</v>
      </c>
      <c r="CU44" s="74">
        <v>0</v>
      </c>
      <c r="CV44" s="74">
        <v>0</v>
      </c>
      <c r="CW44" s="74">
        <v>0</v>
      </c>
      <c r="CX44" s="74">
        <v>0</v>
      </c>
      <c r="CY44" s="74">
        <v>0</v>
      </c>
      <c r="CZ44" s="74">
        <v>0</v>
      </c>
      <c r="DA44" s="74">
        <v>0</v>
      </c>
      <c r="DB44" s="74">
        <v>0</v>
      </c>
      <c r="DC44" s="74">
        <v>0</v>
      </c>
      <c r="DD44" s="74">
        <v>0</v>
      </c>
      <c r="DE44" s="74">
        <v>0</v>
      </c>
      <c r="DF44" s="74">
        <v>0</v>
      </c>
      <c r="DG44" s="74">
        <v>0</v>
      </c>
      <c r="DH44" s="74">
        <v>0</v>
      </c>
      <c r="DI44" s="74">
        <v>0</v>
      </c>
      <c r="DJ44" s="74">
        <v>0</v>
      </c>
      <c r="DK44" s="74">
        <v>0</v>
      </c>
      <c r="DL44" s="74">
        <v>0</v>
      </c>
      <c r="DM44" s="74">
        <v>0</v>
      </c>
      <c r="DN44" s="74">
        <v>0</v>
      </c>
      <c r="DO44" s="74">
        <v>0</v>
      </c>
      <c r="DP44" s="74">
        <v>0</v>
      </c>
      <c r="DQ44" s="74">
        <v>0</v>
      </c>
      <c r="DR44" s="74">
        <v>0</v>
      </c>
      <c r="DS44" s="74">
        <v>0</v>
      </c>
      <c r="DT44" s="74">
        <v>0</v>
      </c>
      <c r="DU44" s="74">
        <v>0</v>
      </c>
      <c r="DV44" s="74">
        <v>0</v>
      </c>
      <c r="DW44" s="74">
        <v>0</v>
      </c>
      <c r="DX44" s="74">
        <v>0</v>
      </c>
      <c r="DY44" s="74">
        <v>0</v>
      </c>
      <c r="DZ44" s="74">
        <v>0</v>
      </c>
      <c r="EA44" s="74">
        <v>0</v>
      </c>
      <c r="EB44" s="74">
        <v>0</v>
      </c>
      <c r="EC44" s="74">
        <v>0</v>
      </c>
      <c r="EE44" s="68">
        <v>46147</v>
      </c>
      <c r="EF44" s="81">
        <v>46147.490590624999</v>
      </c>
      <c r="EG44" s="2" t="s">
        <v>71</v>
      </c>
      <c r="EH44" s="76">
        <v>3</v>
      </c>
      <c r="EI44" s="76" t="s">
        <v>32</v>
      </c>
      <c r="EJ44" s="74" t="s">
        <v>244</v>
      </c>
    </row>
    <row r="45" spans="1:167" s="2" customFormat="1" ht="15" x14ac:dyDescent="0.3">
      <c r="A45" s="73" t="s">
        <v>10</v>
      </c>
      <c r="B45" s="73" t="s">
        <v>228</v>
      </c>
      <c r="C45" s="73" t="s">
        <v>34</v>
      </c>
      <c r="D45" s="73" t="s">
        <v>48</v>
      </c>
      <c r="E45" s="73" t="s">
        <v>178</v>
      </c>
      <c r="F45" s="73" t="s">
        <v>210</v>
      </c>
      <c r="G45" s="73" t="s">
        <v>216</v>
      </c>
      <c r="H45" s="73"/>
      <c r="I45" s="74">
        <v>232887</v>
      </c>
      <c r="J45" s="74">
        <v>280522</v>
      </c>
      <c r="K45" s="74">
        <v>386064</v>
      </c>
      <c r="L45" s="74">
        <v>469822</v>
      </c>
      <c r="M45" s="74">
        <v>513983</v>
      </c>
      <c r="N45" s="74">
        <v>574785</v>
      </c>
      <c r="O45" s="74">
        <v>637959</v>
      </c>
      <c r="P45" s="74">
        <v>716924</v>
      </c>
      <c r="Q45" s="74">
        <v>0</v>
      </c>
      <c r="R45" s="74">
        <v>0</v>
      </c>
      <c r="S45" s="74">
        <v>0</v>
      </c>
      <c r="T45" s="74">
        <v>0</v>
      </c>
      <c r="U45" s="74">
        <v>0</v>
      </c>
      <c r="V45" s="74">
        <v>0</v>
      </c>
      <c r="W45" s="74">
        <v>0</v>
      </c>
      <c r="X45" s="74">
        <v>0</v>
      </c>
      <c r="Y45" s="74">
        <v>0</v>
      </c>
      <c r="Z45" s="74">
        <v>0</v>
      </c>
      <c r="AA45" s="74">
        <v>0</v>
      </c>
      <c r="AB45" s="74">
        <v>0</v>
      </c>
      <c r="AC45" s="74">
        <v>0</v>
      </c>
      <c r="AD45" s="74">
        <v>0</v>
      </c>
      <c r="AE45" s="74">
        <v>0</v>
      </c>
      <c r="AF45" s="74">
        <v>0</v>
      </c>
      <c r="AG45" s="74">
        <v>0</v>
      </c>
      <c r="AH45" s="74">
        <v>0</v>
      </c>
      <c r="AI45" s="74">
        <v>0</v>
      </c>
      <c r="AJ45" s="74">
        <v>0</v>
      </c>
      <c r="AK45" s="74"/>
      <c r="AL45" s="74">
        <v>116444</v>
      </c>
      <c r="AM45" s="74">
        <v>121234</v>
      </c>
      <c r="AN45" s="74">
        <v>127101</v>
      </c>
      <c r="AO45" s="74">
        <v>149204</v>
      </c>
      <c r="AP45" s="74">
        <v>127358</v>
      </c>
      <c r="AQ45" s="74">
        <v>134383</v>
      </c>
      <c r="AR45" s="74">
        <v>143083</v>
      </c>
      <c r="AS45" s="74">
        <v>169961</v>
      </c>
      <c r="AT45" s="74">
        <v>143313</v>
      </c>
      <c r="AU45" s="74">
        <v>147977</v>
      </c>
      <c r="AV45" s="74">
        <v>158877</v>
      </c>
      <c r="AW45" s="74">
        <v>187792</v>
      </c>
      <c r="AX45" s="74">
        <v>155667</v>
      </c>
      <c r="AY45" s="74">
        <v>167702</v>
      </c>
      <c r="AZ45" s="74">
        <v>180169</v>
      </c>
      <c r="BA45" s="74">
        <v>213386</v>
      </c>
      <c r="BB45" s="74">
        <v>0</v>
      </c>
      <c r="BC45" s="74">
        <v>0</v>
      </c>
      <c r="BD45" s="74">
        <v>0</v>
      </c>
      <c r="BE45" s="74">
        <v>0</v>
      </c>
      <c r="BF45" s="74">
        <v>0</v>
      </c>
      <c r="BG45" s="74">
        <v>0</v>
      </c>
      <c r="BH45" s="74">
        <v>0</v>
      </c>
      <c r="BI45" s="74">
        <v>0</v>
      </c>
      <c r="BJ45" s="74">
        <v>0</v>
      </c>
      <c r="BK45" s="74">
        <v>0</v>
      </c>
      <c r="BL45" s="74">
        <v>0</v>
      </c>
      <c r="BM45" s="74">
        <v>0</v>
      </c>
      <c r="BN45" s="74">
        <v>0</v>
      </c>
      <c r="BO45" s="74">
        <v>0</v>
      </c>
      <c r="BP45" s="74">
        <v>0</v>
      </c>
      <c r="BQ45" s="74">
        <v>0</v>
      </c>
      <c r="BR45" s="74">
        <v>0</v>
      </c>
      <c r="BS45" s="74">
        <v>0</v>
      </c>
      <c r="BT45" s="74">
        <v>0</v>
      </c>
      <c r="BU45" s="74">
        <v>0</v>
      </c>
      <c r="BV45" s="74">
        <v>0</v>
      </c>
      <c r="BW45" s="74">
        <v>0</v>
      </c>
      <c r="BX45" s="74">
        <v>0</v>
      </c>
      <c r="BY45" s="74">
        <v>0</v>
      </c>
      <c r="BZ45" s="74">
        <v>0</v>
      </c>
      <c r="CA45" s="74">
        <v>0</v>
      </c>
      <c r="CB45" s="74">
        <v>0</v>
      </c>
      <c r="CC45" s="74">
        <v>0</v>
      </c>
      <c r="CD45" s="74">
        <v>0</v>
      </c>
      <c r="CE45" s="74">
        <v>0</v>
      </c>
      <c r="CF45" s="74">
        <v>0</v>
      </c>
      <c r="CG45" s="74">
        <v>0</v>
      </c>
      <c r="CH45" s="74">
        <v>0</v>
      </c>
      <c r="CI45" s="74">
        <v>0</v>
      </c>
      <c r="CJ45" s="74">
        <v>0</v>
      </c>
      <c r="CK45" s="74">
        <v>0</v>
      </c>
      <c r="CL45" s="74">
        <v>0</v>
      </c>
      <c r="CM45" s="74">
        <v>0</v>
      </c>
      <c r="CN45" s="74">
        <v>0</v>
      </c>
      <c r="CO45" s="74">
        <v>0</v>
      </c>
      <c r="CP45" s="74">
        <v>0</v>
      </c>
      <c r="CQ45" s="74">
        <v>0</v>
      </c>
      <c r="CR45" s="74">
        <v>0</v>
      </c>
      <c r="CS45" s="74">
        <v>0</v>
      </c>
      <c r="CT45" s="74">
        <v>0</v>
      </c>
      <c r="CU45" s="74">
        <v>0</v>
      </c>
      <c r="CV45" s="74">
        <v>0</v>
      </c>
      <c r="CW45" s="74">
        <v>0</v>
      </c>
      <c r="CX45" s="74">
        <v>0</v>
      </c>
      <c r="CY45" s="74">
        <v>0</v>
      </c>
      <c r="CZ45" s="74">
        <v>0</v>
      </c>
      <c r="DA45" s="74">
        <v>0</v>
      </c>
      <c r="DB45" s="74">
        <v>0</v>
      </c>
      <c r="DC45" s="74">
        <v>0</v>
      </c>
      <c r="DD45" s="74">
        <v>0</v>
      </c>
      <c r="DE45" s="74">
        <v>0</v>
      </c>
      <c r="DF45" s="74">
        <v>0</v>
      </c>
      <c r="DG45" s="74">
        <v>0</v>
      </c>
      <c r="DH45" s="74">
        <v>0</v>
      </c>
      <c r="DI45" s="74">
        <v>0</v>
      </c>
      <c r="DJ45" s="74">
        <v>0</v>
      </c>
      <c r="DK45" s="74">
        <v>0</v>
      </c>
      <c r="DL45" s="74">
        <v>0</v>
      </c>
      <c r="DM45" s="74">
        <v>0</v>
      </c>
      <c r="DN45" s="74">
        <v>0</v>
      </c>
      <c r="DO45" s="74">
        <v>0</v>
      </c>
      <c r="DP45" s="74">
        <v>0</v>
      </c>
      <c r="DQ45" s="74">
        <v>0</v>
      </c>
      <c r="DR45" s="74">
        <v>0</v>
      </c>
      <c r="DS45" s="74">
        <v>0</v>
      </c>
      <c r="DT45" s="74">
        <v>0</v>
      </c>
      <c r="DU45" s="74">
        <v>0</v>
      </c>
      <c r="DV45" s="74">
        <v>0</v>
      </c>
      <c r="DW45" s="74">
        <v>0</v>
      </c>
      <c r="DX45" s="74">
        <v>0</v>
      </c>
      <c r="DY45" s="74">
        <v>0</v>
      </c>
      <c r="DZ45" s="74">
        <v>0</v>
      </c>
      <c r="EA45" s="74">
        <v>0</v>
      </c>
      <c r="EB45" s="74">
        <v>0</v>
      </c>
      <c r="EC45" s="74">
        <v>0</v>
      </c>
      <c r="ED45" s="74"/>
      <c r="EE45" s="68">
        <v>46063</v>
      </c>
      <c r="EF45" s="81">
        <v>46063.452996759261</v>
      </c>
      <c r="EG45" s="2" t="s">
        <v>70</v>
      </c>
      <c r="EH45" s="76">
        <v>2</v>
      </c>
      <c r="EI45" s="76" t="s">
        <v>32</v>
      </c>
      <c r="EJ45" s="74" t="s">
        <v>244</v>
      </c>
      <c r="EK45" s="78"/>
      <c r="EL45" s="74"/>
      <c r="EM45" s="74"/>
      <c r="EN45" s="68"/>
      <c r="ER45" s="73"/>
      <c r="ES45" s="74"/>
      <c r="ET45" s="74"/>
      <c r="EU45" s="74"/>
      <c r="EV45" s="74"/>
      <c r="EW45" s="74"/>
      <c r="EX45" s="74"/>
      <c r="EY45" s="74"/>
      <c r="EZ45" s="74"/>
      <c r="FA45" s="74"/>
      <c r="FB45" s="74"/>
      <c r="FC45" s="74"/>
      <c r="FD45" s="74"/>
      <c r="FE45" s="74"/>
      <c r="FF45" s="74"/>
      <c r="FG45" s="74"/>
      <c r="FH45" s="74"/>
      <c r="FI45" s="74"/>
      <c r="FJ45" s="74"/>
      <c r="FK45" s="68"/>
    </row>
    <row r="46" spans="1:167" s="2" customFormat="1" ht="15" x14ac:dyDescent="0.3">
      <c r="A46" s="73" t="s">
        <v>3</v>
      </c>
      <c r="B46" s="73" t="s">
        <v>3</v>
      </c>
      <c r="C46" s="73" t="s">
        <v>39</v>
      </c>
      <c r="D46" s="73" t="s">
        <v>48</v>
      </c>
      <c r="E46" s="73" t="s">
        <v>178</v>
      </c>
      <c r="F46" s="73" t="s">
        <v>210</v>
      </c>
      <c r="G46" s="73" t="s">
        <v>216</v>
      </c>
      <c r="H46" s="73"/>
      <c r="I46" s="74">
        <v>17838</v>
      </c>
      <c r="J46" s="74">
        <v>43193</v>
      </c>
      <c r="K46" s="74">
        <v>57287</v>
      </c>
      <c r="L46" s="74">
        <v>72069</v>
      </c>
      <c r="M46" s="74">
        <v>73790</v>
      </c>
      <c r="N46" s="74">
        <v>109538</v>
      </c>
      <c r="O46" s="74">
        <v>143399</v>
      </c>
      <c r="P46" s="74">
        <v>165198</v>
      </c>
      <c r="Q46" s="74">
        <v>0</v>
      </c>
      <c r="R46" s="74">
        <v>0</v>
      </c>
      <c r="S46" s="74">
        <v>0</v>
      </c>
      <c r="T46" s="74">
        <v>0</v>
      </c>
      <c r="U46" s="74">
        <v>0</v>
      </c>
      <c r="V46" s="74">
        <v>0</v>
      </c>
      <c r="W46" s="74">
        <v>0</v>
      </c>
      <c r="X46" s="74">
        <v>0</v>
      </c>
      <c r="Y46" s="74">
        <v>0</v>
      </c>
      <c r="Z46" s="74">
        <v>0</v>
      </c>
      <c r="AA46" s="74">
        <v>0</v>
      </c>
      <c r="AB46" s="74">
        <v>0</v>
      </c>
      <c r="AC46" s="74">
        <v>0</v>
      </c>
      <c r="AD46" s="74">
        <v>0</v>
      </c>
      <c r="AE46" s="74">
        <v>0</v>
      </c>
      <c r="AF46" s="74">
        <v>0</v>
      </c>
      <c r="AG46" s="74">
        <v>0</v>
      </c>
      <c r="AH46" s="74">
        <v>0</v>
      </c>
      <c r="AI46" s="74">
        <v>0</v>
      </c>
      <c r="AJ46" s="74">
        <v>0</v>
      </c>
      <c r="AK46" s="74"/>
      <c r="AL46" s="74">
        <v>15897.000000000002</v>
      </c>
      <c r="AM46" s="74">
        <v>18120</v>
      </c>
      <c r="AN46" s="74">
        <v>18285</v>
      </c>
      <c r="AO46" s="74">
        <v>21028</v>
      </c>
      <c r="AP46" s="74">
        <v>20645</v>
      </c>
      <c r="AQ46" s="74">
        <v>26397</v>
      </c>
      <c r="AR46" s="74">
        <v>29148</v>
      </c>
      <c r="AS46" s="74">
        <v>33348</v>
      </c>
      <c r="AT46" s="74">
        <v>31952.000000000004</v>
      </c>
      <c r="AU46" s="74">
        <v>33432</v>
      </c>
      <c r="AV46" s="74">
        <v>36186</v>
      </c>
      <c r="AW46" s="74">
        <v>41829</v>
      </c>
      <c r="AX46" s="74">
        <v>36356</v>
      </c>
      <c r="AY46" s="74">
        <v>40932</v>
      </c>
      <c r="AZ46" s="74">
        <v>39065</v>
      </c>
      <c r="BA46" s="74">
        <v>49115</v>
      </c>
      <c r="BB46" s="74">
        <v>0</v>
      </c>
      <c r="BC46" s="74">
        <v>0</v>
      </c>
      <c r="BD46" s="74">
        <v>0</v>
      </c>
      <c r="BE46" s="74">
        <v>0</v>
      </c>
      <c r="BF46" s="74">
        <v>0</v>
      </c>
      <c r="BG46" s="74">
        <v>0</v>
      </c>
      <c r="BH46" s="74">
        <v>0</v>
      </c>
      <c r="BI46" s="74">
        <v>0</v>
      </c>
      <c r="BJ46" s="74">
        <v>0</v>
      </c>
      <c r="BK46" s="74">
        <v>0</v>
      </c>
      <c r="BL46" s="74">
        <v>0</v>
      </c>
      <c r="BM46" s="74">
        <v>0</v>
      </c>
      <c r="BN46" s="74">
        <v>0</v>
      </c>
      <c r="BO46" s="74">
        <v>0</v>
      </c>
      <c r="BP46" s="74">
        <v>0</v>
      </c>
      <c r="BQ46" s="74">
        <v>0</v>
      </c>
      <c r="BR46" s="74">
        <v>0</v>
      </c>
      <c r="BS46" s="74">
        <v>0</v>
      </c>
      <c r="BT46" s="74">
        <v>0</v>
      </c>
      <c r="BU46" s="74">
        <v>0</v>
      </c>
      <c r="BV46" s="74">
        <v>0</v>
      </c>
      <c r="BW46" s="74">
        <v>0</v>
      </c>
      <c r="BX46" s="74">
        <v>0</v>
      </c>
      <c r="BY46" s="74">
        <v>0</v>
      </c>
      <c r="BZ46" s="74">
        <v>0</v>
      </c>
      <c r="CA46" s="74">
        <v>0</v>
      </c>
      <c r="CB46" s="74">
        <v>0</v>
      </c>
      <c r="CC46" s="74">
        <v>0</v>
      </c>
      <c r="CD46" s="74">
        <v>0</v>
      </c>
      <c r="CE46" s="74">
        <v>0</v>
      </c>
      <c r="CF46" s="74">
        <v>0</v>
      </c>
      <c r="CG46" s="74">
        <v>0</v>
      </c>
      <c r="CH46" s="74">
        <v>0</v>
      </c>
      <c r="CI46" s="74">
        <v>0</v>
      </c>
      <c r="CJ46" s="74">
        <v>0</v>
      </c>
      <c r="CK46" s="74">
        <v>0</v>
      </c>
      <c r="CL46" s="74">
        <v>0</v>
      </c>
      <c r="CM46" s="74">
        <v>0</v>
      </c>
      <c r="CN46" s="74">
        <v>0</v>
      </c>
      <c r="CO46" s="74">
        <v>0</v>
      </c>
      <c r="CP46" s="74">
        <v>0</v>
      </c>
      <c r="CQ46" s="74">
        <v>0</v>
      </c>
      <c r="CR46" s="74">
        <v>0</v>
      </c>
      <c r="CS46" s="74">
        <v>0</v>
      </c>
      <c r="CT46" s="74">
        <v>0</v>
      </c>
      <c r="CU46" s="74">
        <v>0</v>
      </c>
      <c r="CV46" s="74">
        <v>0</v>
      </c>
      <c r="CW46" s="74">
        <v>0</v>
      </c>
      <c r="CX46" s="74">
        <v>0</v>
      </c>
      <c r="CY46" s="74">
        <v>0</v>
      </c>
      <c r="CZ46" s="74">
        <v>0</v>
      </c>
      <c r="DA46" s="74">
        <v>0</v>
      </c>
      <c r="DB46" s="74">
        <v>0</v>
      </c>
      <c r="DC46" s="74">
        <v>0</v>
      </c>
      <c r="DD46" s="74">
        <v>0</v>
      </c>
      <c r="DE46" s="74">
        <v>0</v>
      </c>
      <c r="DF46" s="74">
        <v>0</v>
      </c>
      <c r="DG46" s="74">
        <v>0</v>
      </c>
      <c r="DH46" s="74">
        <v>0</v>
      </c>
      <c r="DI46" s="74">
        <v>0</v>
      </c>
      <c r="DJ46" s="74">
        <v>0</v>
      </c>
      <c r="DK46" s="74">
        <v>0</v>
      </c>
      <c r="DL46" s="74">
        <v>0</v>
      </c>
      <c r="DM46" s="74">
        <v>0</v>
      </c>
      <c r="DN46" s="74">
        <v>0</v>
      </c>
      <c r="DO46" s="74">
        <v>0</v>
      </c>
      <c r="DP46" s="74">
        <v>0</v>
      </c>
      <c r="DQ46" s="74">
        <v>0</v>
      </c>
      <c r="DR46" s="74">
        <v>0</v>
      </c>
      <c r="DS46" s="74">
        <v>0</v>
      </c>
      <c r="DT46" s="74">
        <v>0</v>
      </c>
      <c r="DU46" s="74">
        <v>0</v>
      </c>
      <c r="DV46" s="74">
        <v>0</v>
      </c>
      <c r="DW46" s="74">
        <v>0</v>
      </c>
      <c r="DX46" s="74">
        <v>0</v>
      </c>
      <c r="DY46" s="74">
        <v>0</v>
      </c>
      <c r="DZ46" s="74">
        <v>0</v>
      </c>
      <c r="EA46" s="74">
        <v>0</v>
      </c>
      <c r="EB46" s="74">
        <v>0</v>
      </c>
      <c r="EC46" s="74">
        <v>0</v>
      </c>
      <c r="ED46" s="74"/>
      <c r="EE46" s="68">
        <v>46063</v>
      </c>
      <c r="EF46" s="81">
        <v>46063.452996759261</v>
      </c>
      <c r="EG46" s="2" t="s">
        <v>70</v>
      </c>
      <c r="EH46" s="76">
        <v>2</v>
      </c>
      <c r="EI46" s="76" t="s">
        <v>32</v>
      </c>
      <c r="EJ46" s="74" t="s">
        <v>244</v>
      </c>
      <c r="EK46" s="78"/>
      <c r="EL46" s="74"/>
      <c r="EM46" s="74"/>
      <c r="EN46" s="68"/>
      <c r="ER46" s="73"/>
      <c r="ES46" s="74"/>
      <c r="ET46" s="74"/>
      <c r="EU46" s="74"/>
      <c r="EV46" s="74"/>
      <c r="EW46" s="74"/>
      <c r="EX46" s="74"/>
      <c r="EY46" s="74"/>
      <c r="EZ46" s="74"/>
      <c r="FA46" s="74"/>
      <c r="FB46" s="74"/>
      <c r="FC46" s="74"/>
      <c r="FD46" s="74"/>
      <c r="FE46" s="74"/>
      <c r="FF46" s="74"/>
      <c r="FG46" s="74"/>
      <c r="FH46" s="74"/>
      <c r="FI46" s="74"/>
      <c r="FJ46" s="74"/>
      <c r="FK46" s="68"/>
    </row>
    <row r="47" spans="1:167" s="2" customFormat="1" ht="15" x14ac:dyDescent="0.3">
      <c r="A47" s="73" t="s">
        <v>14</v>
      </c>
      <c r="B47" s="73" t="s">
        <v>229</v>
      </c>
      <c r="C47" s="73" t="s">
        <v>35</v>
      </c>
      <c r="D47" s="73" t="s">
        <v>48</v>
      </c>
      <c r="E47" s="73" t="s">
        <v>178</v>
      </c>
      <c r="F47" s="73" t="s">
        <v>210</v>
      </c>
      <c r="G47" s="73" t="s">
        <v>216</v>
      </c>
      <c r="H47" s="73"/>
      <c r="I47" s="74">
        <v>12420</v>
      </c>
      <c r="J47" s="74">
        <v>14540</v>
      </c>
      <c r="K47" s="74">
        <v>22899</v>
      </c>
      <c r="L47" s="74">
        <v>24879</v>
      </c>
      <c r="M47" s="74">
        <v>12248</v>
      </c>
      <c r="N47" s="74">
        <v>36852</v>
      </c>
      <c r="O47" s="74">
        <v>68593</v>
      </c>
      <c r="P47" s="74">
        <v>79975</v>
      </c>
      <c r="Q47" s="74">
        <v>0</v>
      </c>
      <c r="R47" s="74">
        <v>0</v>
      </c>
      <c r="S47" s="74">
        <v>0</v>
      </c>
      <c r="T47" s="74">
        <v>0</v>
      </c>
      <c r="U47" s="74">
        <v>0</v>
      </c>
      <c r="V47" s="74">
        <v>0</v>
      </c>
      <c r="W47" s="74">
        <v>0</v>
      </c>
      <c r="X47" s="74">
        <v>0</v>
      </c>
      <c r="Y47" s="74">
        <v>0</v>
      </c>
      <c r="Z47" s="74">
        <v>0</v>
      </c>
      <c r="AA47" s="74">
        <v>0</v>
      </c>
      <c r="AB47" s="74">
        <v>0</v>
      </c>
      <c r="AC47" s="74">
        <v>0</v>
      </c>
      <c r="AD47" s="74">
        <v>0</v>
      </c>
      <c r="AE47" s="74">
        <v>0</v>
      </c>
      <c r="AF47" s="74">
        <v>0</v>
      </c>
      <c r="AG47" s="74">
        <v>0</v>
      </c>
      <c r="AH47" s="74">
        <v>0</v>
      </c>
      <c r="AI47" s="74">
        <v>0</v>
      </c>
      <c r="AJ47" s="74">
        <v>0</v>
      </c>
      <c r="AK47" s="74"/>
      <c r="AL47" s="74">
        <v>3669</v>
      </c>
      <c r="AM47" s="74">
        <v>3317</v>
      </c>
      <c r="AN47" s="74">
        <v>2525</v>
      </c>
      <c r="AO47" s="74">
        <v>2737</v>
      </c>
      <c r="AP47" s="74">
        <v>4774</v>
      </c>
      <c r="AQ47" s="74">
        <v>7681</v>
      </c>
      <c r="AR47" s="74">
        <v>11188</v>
      </c>
      <c r="AS47" s="74">
        <v>13209</v>
      </c>
      <c r="AT47" s="74">
        <v>15307</v>
      </c>
      <c r="AU47" s="74">
        <v>14672</v>
      </c>
      <c r="AV47" s="74">
        <v>17411</v>
      </c>
      <c r="AW47" s="74">
        <v>21203</v>
      </c>
      <c r="AX47" s="74">
        <v>18405</v>
      </c>
      <c r="AY47" s="74">
        <v>19171</v>
      </c>
      <c r="AZ47" s="74">
        <v>17422</v>
      </c>
      <c r="BA47" s="74">
        <v>24977</v>
      </c>
      <c r="BB47" s="74">
        <v>0</v>
      </c>
      <c r="BC47" s="74">
        <v>0</v>
      </c>
      <c r="BD47" s="74">
        <v>0</v>
      </c>
      <c r="BE47" s="74">
        <v>0</v>
      </c>
      <c r="BF47" s="74">
        <v>0</v>
      </c>
      <c r="BG47" s="74">
        <v>0</v>
      </c>
      <c r="BH47" s="74">
        <v>0</v>
      </c>
      <c r="BI47" s="74">
        <v>0</v>
      </c>
      <c r="BJ47" s="74">
        <v>0</v>
      </c>
      <c r="BK47" s="74">
        <v>0</v>
      </c>
      <c r="BL47" s="74">
        <v>0</v>
      </c>
      <c r="BM47" s="74">
        <v>0</v>
      </c>
      <c r="BN47" s="74">
        <v>0</v>
      </c>
      <c r="BO47" s="74">
        <v>0</v>
      </c>
      <c r="BP47" s="74">
        <v>0</v>
      </c>
      <c r="BQ47" s="74">
        <v>0</v>
      </c>
      <c r="BR47" s="74">
        <v>0</v>
      </c>
      <c r="BS47" s="74">
        <v>0</v>
      </c>
      <c r="BT47" s="74">
        <v>0</v>
      </c>
      <c r="BU47" s="74">
        <v>0</v>
      </c>
      <c r="BV47" s="74">
        <v>0</v>
      </c>
      <c r="BW47" s="74">
        <v>0</v>
      </c>
      <c r="BX47" s="74">
        <v>0</v>
      </c>
      <c r="BY47" s="74">
        <v>0</v>
      </c>
      <c r="BZ47" s="74">
        <v>0</v>
      </c>
      <c r="CA47" s="74">
        <v>0</v>
      </c>
      <c r="CB47" s="74">
        <v>0</v>
      </c>
      <c r="CC47" s="74">
        <v>0</v>
      </c>
      <c r="CD47" s="74">
        <v>0</v>
      </c>
      <c r="CE47" s="74">
        <v>0</v>
      </c>
      <c r="CF47" s="74">
        <v>0</v>
      </c>
      <c r="CG47" s="74">
        <v>0</v>
      </c>
      <c r="CH47" s="74">
        <v>0</v>
      </c>
      <c r="CI47" s="74">
        <v>0</v>
      </c>
      <c r="CJ47" s="74">
        <v>0</v>
      </c>
      <c r="CK47" s="74">
        <v>0</v>
      </c>
      <c r="CL47" s="74">
        <v>0</v>
      </c>
      <c r="CM47" s="74">
        <v>0</v>
      </c>
      <c r="CN47" s="74">
        <v>0</v>
      </c>
      <c r="CO47" s="74">
        <v>0</v>
      </c>
      <c r="CP47" s="74">
        <v>0</v>
      </c>
      <c r="CQ47" s="74">
        <v>0</v>
      </c>
      <c r="CR47" s="74">
        <v>0</v>
      </c>
      <c r="CS47" s="74">
        <v>0</v>
      </c>
      <c r="CT47" s="74">
        <v>0</v>
      </c>
      <c r="CU47" s="74">
        <v>0</v>
      </c>
      <c r="CV47" s="74">
        <v>0</v>
      </c>
      <c r="CW47" s="74">
        <v>0</v>
      </c>
      <c r="CX47" s="74">
        <v>0</v>
      </c>
      <c r="CY47" s="74">
        <v>0</v>
      </c>
      <c r="CZ47" s="74">
        <v>0</v>
      </c>
      <c r="DA47" s="74">
        <v>0</v>
      </c>
      <c r="DB47" s="74">
        <v>0</v>
      </c>
      <c r="DC47" s="74">
        <v>0</v>
      </c>
      <c r="DD47" s="74">
        <v>0</v>
      </c>
      <c r="DE47" s="74">
        <v>0</v>
      </c>
      <c r="DF47" s="74">
        <v>0</v>
      </c>
      <c r="DG47" s="74">
        <v>0</v>
      </c>
      <c r="DH47" s="74">
        <v>0</v>
      </c>
      <c r="DI47" s="74">
        <v>0</v>
      </c>
      <c r="DJ47" s="74">
        <v>0</v>
      </c>
      <c r="DK47" s="74">
        <v>0</v>
      </c>
      <c r="DL47" s="74">
        <v>0</v>
      </c>
      <c r="DM47" s="74">
        <v>0</v>
      </c>
      <c r="DN47" s="74">
        <v>0</v>
      </c>
      <c r="DO47" s="74">
        <v>0</v>
      </c>
      <c r="DP47" s="74">
        <v>0</v>
      </c>
      <c r="DQ47" s="74">
        <v>0</v>
      </c>
      <c r="DR47" s="74">
        <v>0</v>
      </c>
      <c r="DS47" s="74">
        <v>0</v>
      </c>
      <c r="DT47" s="74">
        <v>0</v>
      </c>
      <c r="DU47" s="74">
        <v>0</v>
      </c>
      <c r="DV47" s="74">
        <v>0</v>
      </c>
      <c r="DW47" s="74">
        <v>0</v>
      </c>
      <c r="DX47" s="74">
        <v>0</v>
      </c>
      <c r="DY47" s="74">
        <v>0</v>
      </c>
      <c r="DZ47" s="74">
        <v>0</v>
      </c>
      <c r="EA47" s="74">
        <v>0</v>
      </c>
      <c r="EB47" s="74">
        <v>0</v>
      </c>
      <c r="EC47" s="74">
        <v>0</v>
      </c>
      <c r="ED47" s="74"/>
      <c r="EE47" s="68">
        <v>46063</v>
      </c>
      <c r="EF47" s="81">
        <v>46063.452996759261</v>
      </c>
      <c r="EG47" s="2" t="s">
        <v>70</v>
      </c>
      <c r="EH47" s="76">
        <v>2</v>
      </c>
      <c r="EI47" s="76" t="s">
        <v>32</v>
      </c>
      <c r="EJ47" s="74" t="s">
        <v>244</v>
      </c>
      <c r="EK47" s="78"/>
      <c r="EL47" s="74"/>
      <c r="EM47" s="74"/>
      <c r="EN47" s="68"/>
      <c r="ER47" s="73"/>
      <c r="ES47" s="74"/>
      <c r="ET47" s="74"/>
      <c r="EU47" s="74"/>
      <c r="EV47" s="74"/>
      <c r="EW47" s="74"/>
      <c r="EX47" s="74"/>
      <c r="EY47" s="74"/>
      <c r="EZ47" s="74"/>
      <c r="FA47" s="74"/>
      <c r="FB47" s="74"/>
      <c r="FC47" s="74"/>
      <c r="FD47" s="74"/>
      <c r="FE47" s="74"/>
      <c r="FF47" s="74"/>
      <c r="FG47" s="74"/>
      <c r="FH47" s="74"/>
      <c r="FI47" s="74"/>
      <c r="FJ47" s="74"/>
      <c r="FK47" s="68"/>
    </row>
    <row r="48" spans="1:167" s="2" customFormat="1" ht="15" x14ac:dyDescent="0.3">
      <c r="A48" s="73" t="s">
        <v>11</v>
      </c>
      <c r="B48" s="73" t="s">
        <v>230</v>
      </c>
      <c r="C48" s="73" t="s">
        <v>40</v>
      </c>
      <c r="D48" s="73" t="s">
        <v>48</v>
      </c>
      <c r="E48" s="73" t="s">
        <v>178</v>
      </c>
      <c r="F48" s="73" t="s">
        <v>210</v>
      </c>
      <c r="G48" s="73" t="s">
        <v>216</v>
      </c>
      <c r="H48" s="73"/>
      <c r="I48" s="74">
        <v>10073</v>
      </c>
      <c r="J48" s="74">
        <v>11588</v>
      </c>
      <c r="K48" s="74">
        <v>21331</v>
      </c>
      <c r="L48" s="74">
        <v>32428.35</v>
      </c>
      <c r="M48" s="74">
        <v>-5936</v>
      </c>
      <c r="N48" s="74">
        <v>31923.45</v>
      </c>
      <c r="O48" s="74">
        <v>58321.9</v>
      </c>
      <c r="P48" s="74">
        <v>82714.350000000006</v>
      </c>
      <c r="Q48" s="74">
        <v>0</v>
      </c>
      <c r="R48" s="74">
        <v>0</v>
      </c>
      <c r="S48" s="74">
        <v>0</v>
      </c>
      <c r="T48" s="74">
        <v>0</v>
      </c>
      <c r="U48" s="74">
        <v>0</v>
      </c>
      <c r="V48" s="74">
        <v>0</v>
      </c>
      <c r="W48" s="74">
        <v>0</v>
      </c>
      <c r="X48" s="74">
        <v>0</v>
      </c>
      <c r="Y48" s="74">
        <v>0</v>
      </c>
      <c r="Z48" s="74">
        <v>0</v>
      </c>
      <c r="AA48" s="74">
        <v>0</v>
      </c>
      <c r="AB48" s="74">
        <v>0</v>
      </c>
      <c r="AC48" s="74">
        <v>0</v>
      </c>
      <c r="AD48" s="74">
        <v>0</v>
      </c>
      <c r="AE48" s="74">
        <v>0</v>
      </c>
      <c r="AF48" s="74">
        <v>0</v>
      </c>
      <c r="AG48" s="74">
        <v>0</v>
      </c>
      <c r="AH48" s="74">
        <v>0</v>
      </c>
      <c r="AI48" s="74">
        <v>0</v>
      </c>
      <c r="AJ48" s="74">
        <v>0</v>
      </c>
      <c r="AK48" s="74"/>
      <c r="AL48" s="74">
        <v>0</v>
      </c>
      <c r="AM48" s="74">
        <v>0</v>
      </c>
      <c r="AN48" s="74">
        <v>0</v>
      </c>
      <c r="AO48" s="74">
        <v>0</v>
      </c>
      <c r="AP48" s="74">
        <v>0</v>
      </c>
      <c r="AQ48" s="74">
        <v>0</v>
      </c>
      <c r="AR48" s="74">
        <v>0</v>
      </c>
      <c r="AS48" s="74">
        <v>0</v>
      </c>
      <c r="AT48" s="74">
        <v>0</v>
      </c>
      <c r="AU48" s="74">
        <v>0</v>
      </c>
      <c r="AV48" s="74">
        <v>0</v>
      </c>
      <c r="AW48" s="74">
        <v>0</v>
      </c>
      <c r="AX48" s="74">
        <v>0</v>
      </c>
      <c r="AY48" s="74">
        <v>0</v>
      </c>
      <c r="AZ48" s="74">
        <v>0</v>
      </c>
      <c r="BA48" s="74">
        <v>0</v>
      </c>
      <c r="BB48" s="74">
        <v>0</v>
      </c>
      <c r="BC48" s="74">
        <v>0</v>
      </c>
      <c r="BD48" s="74">
        <v>0</v>
      </c>
      <c r="BE48" s="74">
        <v>0</v>
      </c>
      <c r="BF48" s="74">
        <v>0</v>
      </c>
      <c r="BG48" s="74">
        <v>0</v>
      </c>
      <c r="BH48" s="74">
        <v>0</v>
      </c>
      <c r="BI48" s="74">
        <v>0</v>
      </c>
      <c r="BJ48" s="74">
        <v>0</v>
      </c>
      <c r="BK48" s="74">
        <v>0</v>
      </c>
      <c r="BL48" s="74">
        <v>0</v>
      </c>
      <c r="BM48" s="74">
        <v>0</v>
      </c>
      <c r="BN48" s="74">
        <v>0</v>
      </c>
      <c r="BO48" s="74">
        <v>0</v>
      </c>
      <c r="BP48" s="74">
        <v>0</v>
      </c>
      <c r="BQ48" s="74">
        <v>0</v>
      </c>
      <c r="BR48" s="74">
        <v>0</v>
      </c>
      <c r="BS48" s="74">
        <v>0</v>
      </c>
      <c r="BT48" s="74">
        <v>0</v>
      </c>
      <c r="BU48" s="74">
        <v>0</v>
      </c>
      <c r="BV48" s="74">
        <v>0</v>
      </c>
      <c r="BW48" s="74">
        <v>0</v>
      </c>
      <c r="BX48" s="74">
        <v>0</v>
      </c>
      <c r="BY48" s="74">
        <v>0</v>
      </c>
      <c r="BZ48" s="74">
        <v>0</v>
      </c>
      <c r="CA48" s="74">
        <v>0</v>
      </c>
      <c r="CB48" s="74">
        <v>0</v>
      </c>
      <c r="CC48" s="74">
        <v>0</v>
      </c>
      <c r="CD48" s="74">
        <v>0</v>
      </c>
      <c r="CE48" s="74">
        <v>0</v>
      </c>
      <c r="CF48" s="74">
        <v>0</v>
      </c>
      <c r="CG48" s="74">
        <v>0</v>
      </c>
      <c r="CH48" s="74">
        <v>0</v>
      </c>
      <c r="CI48" s="74">
        <v>0</v>
      </c>
      <c r="CJ48" s="74">
        <v>0</v>
      </c>
      <c r="CK48" s="74">
        <v>0</v>
      </c>
      <c r="CL48" s="74">
        <v>0</v>
      </c>
      <c r="CM48" s="74">
        <v>0</v>
      </c>
      <c r="CN48" s="74">
        <v>0</v>
      </c>
      <c r="CO48" s="74">
        <v>0</v>
      </c>
      <c r="CP48" s="74">
        <v>0</v>
      </c>
      <c r="CQ48" s="74">
        <v>0</v>
      </c>
      <c r="CR48" s="74">
        <v>0</v>
      </c>
      <c r="CS48" s="74">
        <v>0</v>
      </c>
      <c r="CT48" s="74">
        <v>0</v>
      </c>
      <c r="CU48" s="74">
        <v>0</v>
      </c>
      <c r="CV48" s="74">
        <v>0</v>
      </c>
      <c r="CW48" s="74">
        <v>0</v>
      </c>
      <c r="CX48" s="74">
        <v>0</v>
      </c>
      <c r="CY48" s="74">
        <v>0</v>
      </c>
      <c r="CZ48" s="74">
        <v>0</v>
      </c>
      <c r="DA48" s="74">
        <v>0</v>
      </c>
      <c r="DB48" s="74">
        <v>0</v>
      </c>
      <c r="DC48" s="74">
        <v>0</v>
      </c>
      <c r="DD48" s="74">
        <v>0</v>
      </c>
      <c r="DE48" s="74">
        <v>0</v>
      </c>
      <c r="DF48" s="74">
        <v>0</v>
      </c>
      <c r="DG48" s="74">
        <v>0</v>
      </c>
      <c r="DH48" s="74">
        <v>0</v>
      </c>
      <c r="DI48" s="74">
        <v>0</v>
      </c>
      <c r="DJ48" s="74">
        <v>0</v>
      </c>
      <c r="DK48" s="74">
        <v>0</v>
      </c>
      <c r="DL48" s="74">
        <v>0</v>
      </c>
      <c r="DM48" s="74">
        <v>0</v>
      </c>
      <c r="DN48" s="74">
        <v>0</v>
      </c>
      <c r="DO48" s="74">
        <v>0</v>
      </c>
      <c r="DP48" s="74">
        <v>0</v>
      </c>
      <c r="DQ48" s="74">
        <v>0</v>
      </c>
      <c r="DR48" s="74">
        <v>0</v>
      </c>
      <c r="DS48" s="74">
        <v>0</v>
      </c>
      <c r="DT48" s="74">
        <v>0</v>
      </c>
      <c r="DU48" s="74">
        <v>0</v>
      </c>
      <c r="DV48" s="74">
        <v>0</v>
      </c>
      <c r="DW48" s="74">
        <v>0</v>
      </c>
      <c r="DX48" s="74">
        <v>0</v>
      </c>
      <c r="DY48" s="74">
        <v>0</v>
      </c>
      <c r="DZ48" s="74">
        <v>0</v>
      </c>
      <c r="EA48" s="74">
        <v>0</v>
      </c>
      <c r="EB48" s="74">
        <v>0</v>
      </c>
      <c r="EC48" s="74">
        <v>0</v>
      </c>
      <c r="ED48" s="74"/>
      <c r="EE48" s="68">
        <v>46063</v>
      </c>
      <c r="EF48" s="81">
        <v>46063.452996759261</v>
      </c>
      <c r="EG48" s="2" t="s">
        <v>70</v>
      </c>
      <c r="EH48" s="76">
        <v>2</v>
      </c>
      <c r="EI48" s="76" t="s">
        <v>32</v>
      </c>
      <c r="EJ48" s="74" t="s">
        <v>244</v>
      </c>
      <c r="EK48" s="78"/>
      <c r="EL48" s="74"/>
      <c r="EM48" s="74"/>
      <c r="EN48" s="68"/>
      <c r="ER48" s="73"/>
      <c r="ES48" s="74"/>
      <c r="ET48" s="74"/>
      <c r="EU48" s="74"/>
      <c r="EV48" s="74"/>
      <c r="EW48" s="74"/>
      <c r="EX48" s="74"/>
      <c r="EY48" s="74"/>
      <c r="EZ48" s="74"/>
      <c r="FA48" s="74"/>
      <c r="FB48" s="74"/>
      <c r="FC48" s="74"/>
      <c r="FD48" s="74"/>
      <c r="FE48" s="74"/>
      <c r="FF48" s="74"/>
      <c r="FG48" s="74"/>
      <c r="FH48" s="74"/>
      <c r="FI48" s="74"/>
      <c r="FJ48" s="74"/>
      <c r="FK48" s="68"/>
    </row>
    <row r="49" spans="1:183" s="2" customFormat="1" ht="15" x14ac:dyDescent="0.3">
      <c r="A49" s="73" t="s">
        <v>156</v>
      </c>
      <c r="B49" s="73" t="s">
        <v>231</v>
      </c>
      <c r="C49" s="73" t="s">
        <v>41</v>
      </c>
      <c r="D49" s="73" t="s">
        <v>48</v>
      </c>
      <c r="E49" s="73" t="s">
        <v>217</v>
      </c>
      <c r="F49" s="73" t="s">
        <v>218</v>
      </c>
      <c r="G49" s="73" t="s">
        <v>216</v>
      </c>
      <c r="H49" s="73"/>
      <c r="I49" s="74">
        <v>10000</v>
      </c>
      <c r="J49" s="74">
        <v>10080</v>
      </c>
      <c r="K49" s="74">
        <v>10200</v>
      </c>
      <c r="L49" s="74">
        <v>10300</v>
      </c>
      <c r="M49" s="74">
        <v>10189</v>
      </c>
      <c r="N49" s="74">
        <v>10492</v>
      </c>
      <c r="O49" s="74">
        <v>10721</v>
      </c>
      <c r="P49" s="74">
        <v>10827</v>
      </c>
      <c r="Q49" s="74">
        <v>0</v>
      </c>
      <c r="R49" s="74">
        <v>0</v>
      </c>
      <c r="S49" s="74">
        <v>0</v>
      </c>
      <c r="T49" s="74">
        <v>0</v>
      </c>
      <c r="U49" s="74">
        <v>0</v>
      </c>
      <c r="V49" s="74">
        <v>0</v>
      </c>
      <c r="W49" s="74">
        <v>0</v>
      </c>
      <c r="X49" s="74">
        <v>0</v>
      </c>
      <c r="Y49" s="74">
        <v>0</v>
      </c>
      <c r="Z49" s="74">
        <v>0</v>
      </c>
      <c r="AA49" s="74">
        <v>0</v>
      </c>
      <c r="AB49" s="74">
        <v>0</v>
      </c>
      <c r="AC49" s="74">
        <v>0</v>
      </c>
      <c r="AD49" s="74">
        <v>0</v>
      </c>
      <c r="AE49" s="74">
        <v>0</v>
      </c>
      <c r="AF49" s="74">
        <v>0</v>
      </c>
      <c r="AG49" s="74">
        <v>0</v>
      </c>
      <c r="AH49" s="74">
        <v>0</v>
      </c>
      <c r="AI49" s="74">
        <v>0</v>
      </c>
      <c r="AJ49" s="74">
        <v>0</v>
      </c>
      <c r="AK49" s="74"/>
      <c r="AL49" s="74">
        <v>0</v>
      </c>
      <c r="AM49" s="74">
        <v>0</v>
      </c>
      <c r="AN49" s="74">
        <v>0</v>
      </c>
      <c r="AO49" s="74">
        <v>0</v>
      </c>
      <c r="AP49" s="74">
        <v>0</v>
      </c>
      <c r="AQ49" s="74">
        <v>0</v>
      </c>
      <c r="AR49" s="74">
        <v>0</v>
      </c>
      <c r="AS49" s="74">
        <v>0</v>
      </c>
      <c r="AT49" s="74">
        <v>0</v>
      </c>
      <c r="AU49" s="74">
        <v>0</v>
      </c>
      <c r="AV49" s="74">
        <v>0</v>
      </c>
      <c r="AW49" s="74">
        <v>0</v>
      </c>
      <c r="AX49" s="74">
        <v>0</v>
      </c>
      <c r="AY49" s="74">
        <v>0</v>
      </c>
      <c r="AZ49" s="74">
        <v>0</v>
      </c>
      <c r="BA49" s="74">
        <v>0</v>
      </c>
      <c r="BB49" s="74">
        <v>0</v>
      </c>
      <c r="BC49" s="74">
        <v>0</v>
      </c>
      <c r="BD49" s="74">
        <v>0</v>
      </c>
      <c r="BE49" s="74">
        <v>0</v>
      </c>
      <c r="BF49" s="74">
        <v>0</v>
      </c>
      <c r="BG49" s="74">
        <v>0</v>
      </c>
      <c r="BH49" s="74">
        <v>0</v>
      </c>
      <c r="BI49" s="74">
        <v>0</v>
      </c>
      <c r="BJ49" s="74">
        <v>0</v>
      </c>
      <c r="BK49" s="74">
        <v>0</v>
      </c>
      <c r="BL49" s="74">
        <v>0</v>
      </c>
      <c r="BM49" s="74">
        <v>0</v>
      </c>
      <c r="BN49" s="74">
        <v>0</v>
      </c>
      <c r="BO49" s="74">
        <v>0</v>
      </c>
      <c r="BP49" s="74">
        <v>0</v>
      </c>
      <c r="BQ49" s="74">
        <v>0</v>
      </c>
      <c r="BR49" s="74">
        <v>0</v>
      </c>
      <c r="BS49" s="74">
        <v>0</v>
      </c>
      <c r="BT49" s="74">
        <v>0</v>
      </c>
      <c r="BU49" s="74">
        <v>0</v>
      </c>
      <c r="BV49" s="74">
        <v>0</v>
      </c>
      <c r="BW49" s="74">
        <v>0</v>
      </c>
      <c r="BX49" s="74">
        <v>0</v>
      </c>
      <c r="BY49" s="74">
        <v>0</v>
      </c>
      <c r="BZ49" s="74">
        <v>0</v>
      </c>
      <c r="CA49" s="74">
        <v>0</v>
      </c>
      <c r="CB49" s="74">
        <v>0</v>
      </c>
      <c r="CC49" s="74">
        <v>0</v>
      </c>
      <c r="CD49" s="74">
        <v>0</v>
      </c>
      <c r="CE49" s="74">
        <v>0</v>
      </c>
      <c r="CF49" s="74">
        <v>0</v>
      </c>
      <c r="CG49" s="74">
        <v>0</v>
      </c>
      <c r="CH49" s="74">
        <v>0</v>
      </c>
      <c r="CI49" s="74">
        <v>0</v>
      </c>
      <c r="CJ49" s="74">
        <v>0</v>
      </c>
      <c r="CK49" s="74">
        <v>0</v>
      </c>
      <c r="CL49" s="74">
        <v>0</v>
      </c>
      <c r="CM49" s="74">
        <v>0</v>
      </c>
      <c r="CN49" s="74">
        <v>0</v>
      </c>
      <c r="CO49" s="74">
        <v>0</v>
      </c>
      <c r="CP49" s="74">
        <v>0</v>
      </c>
      <c r="CQ49" s="74">
        <v>0</v>
      </c>
      <c r="CR49" s="74">
        <v>0</v>
      </c>
      <c r="CS49" s="74">
        <v>0</v>
      </c>
      <c r="CT49" s="74">
        <v>0</v>
      </c>
      <c r="CU49" s="74">
        <v>0</v>
      </c>
      <c r="CV49" s="74">
        <v>0</v>
      </c>
      <c r="CW49" s="74">
        <v>0</v>
      </c>
      <c r="CX49" s="74">
        <v>0</v>
      </c>
      <c r="CY49" s="74">
        <v>0</v>
      </c>
      <c r="CZ49" s="74">
        <v>0</v>
      </c>
      <c r="DA49" s="74">
        <v>0</v>
      </c>
      <c r="DB49" s="74">
        <v>0</v>
      </c>
      <c r="DC49" s="74">
        <v>0</v>
      </c>
      <c r="DD49" s="74">
        <v>0</v>
      </c>
      <c r="DE49" s="74">
        <v>0</v>
      </c>
      <c r="DF49" s="74">
        <v>0</v>
      </c>
      <c r="DG49" s="74">
        <v>0</v>
      </c>
      <c r="DH49" s="74">
        <v>0</v>
      </c>
      <c r="DI49" s="74">
        <v>0</v>
      </c>
      <c r="DJ49" s="74">
        <v>0</v>
      </c>
      <c r="DK49" s="74">
        <v>0</v>
      </c>
      <c r="DL49" s="74">
        <v>0</v>
      </c>
      <c r="DM49" s="74">
        <v>0</v>
      </c>
      <c r="DN49" s="74">
        <v>0</v>
      </c>
      <c r="DO49" s="74">
        <v>0</v>
      </c>
      <c r="DP49" s="74">
        <v>0</v>
      </c>
      <c r="DQ49" s="74">
        <v>0</v>
      </c>
      <c r="DR49" s="74">
        <v>0</v>
      </c>
      <c r="DS49" s="74">
        <v>0</v>
      </c>
      <c r="DT49" s="74">
        <v>0</v>
      </c>
      <c r="DU49" s="74">
        <v>0</v>
      </c>
      <c r="DV49" s="74">
        <v>0</v>
      </c>
      <c r="DW49" s="74">
        <v>0</v>
      </c>
      <c r="DX49" s="74">
        <v>0</v>
      </c>
      <c r="DY49" s="74">
        <v>0</v>
      </c>
      <c r="DZ49" s="74">
        <v>0</v>
      </c>
      <c r="EA49" s="74">
        <v>0</v>
      </c>
      <c r="EB49" s="74">
        <v>0</v>
      </c>
      <c r="EC49" s="74">
        <v>0</v>
      </c>
      <c r="ED49" s="74"/>
      <c r="EE49" s="68">
        <v>46063</v>
      </c>
      <c r="EF49" s="81">
        <v>46063.452996759261</v>
      </c>
      <c r="EG49" s="2" t="s">
        <v>70</v>
      </c>
      <c r="EH49" s="76">
        <v>2</v>
      </c>
      <c r="EI49" s="76" t="s">
        <v>32</v>
      </c>
      <c r="EJ49" s="74" t="s">
        <v>244</v>
      </c>
      <c r="EK49" s="78"/>
      <c r="EL49" s="74"/>
      <c r="EM49" s="74"/>
      <c r="EN49" s="68"/>
      <c r="ER49" s="73"/>
      <c r="ES49" s="74"/>
      <c r="ET49" s="74"/>
      <c r="EU49" s="74"/>
      <c r="EV49" s="74"/>
      <c r="EW49" s="74"/>
      <c r="EX49" s="74"/>
      <c r="EY49" s="74"/>
      <c r="EZ49" s="74"/>
      <c r="FA49" s="74"/>
      <c r="FB49" s="74"/>
      <c r="FC49" s="74"/>
      <c r="FD49" s="74"/>
      <c r="FE49" s="74"/>
      <c r="FF49" s="74"/>
      <c r="FG49" s="74"/>
      <c r="FH49" s="74"/>
      <c r="FI49" s="74"/>
      <c r="FJ49" s="74"/>
      <c r="FK49" s="68"/>
    </row>
    <row r="50" spans="1:183" s="2" customFormat="1" ht="15" x14ac:dyDescent="0.3">
      <c r="A50" s="73" t="s">
        <v>4</v>
      </c>
      <c r="B50" s="73" t="s">
        <v>232</v>
      </c>
      <c r="C50" s="73" t="s">
        <v>38</v>
      </c>
      <c r="D50" s="73" t="s">
        <v>48</v>
      </c>
      <c r="E50" s="73" t="s">
        <v>178</v>
      </c>
      <c r="F50" s="73" t="s">
        <v>210</v>
      </c>
      <c r="G50" s="73" t="s">
        <v>216</v>
      </c>
      <c r="H50" s="73"/>
      <c r="I50" s="74">
        <v>0</v>
      </c>
      <c r="J50" s="74">
        <v>21789</v>
      </c>
      <c r="K50" s="74">
        <v>25180</v>
      </c>
      <c r="L50" s="74">
        <v>34433</v>
      </c>
      <c r="M50" s="74">
        <v>41921</v>
      </c>
      <c r="N50" s="74">
        <v>48663</v>
      </c>
      <c r="O50" s="74">
        <v>52795</v>
      </c>
      <c r="P50" s="74">
        <v>65756</v>
      </c>
      <c r="Q50" s="74">
        <v>0</v>
      </c>
      <c r="R50" s="74">
        <v>0</v>
      </c>
      <c r="S50" s="74">
        <v>0</v>
      </c>
      <c r="T50" s="74">
        <v>0</v>
      </c>
      <c r="U50" s="74">
        <v>0</v>
      </c>
      <c r="V50" s="74">
        <v>0</v>
      </c>
      <c r="W50" s="74">
        <v>0</v>
      </c>
      <c r="X50" s="74">
        <v>0</v>
      </c>
      <c r="Y50" s="74">
        <v>0</v>
      </c>
      <c r="Z50" s="74">
        <v>0</v>
      </c>
      <c r="AA50" s="74">
        <v>0</v>
      </c>
      <c r="AB50" s="74">
        <v>0</v>
      </c>
      <c r="AC50" s="74">
        <v>0</v>
      </c>
      <c r="AD50" s="74">
        <v>0</v>
      </c>
      <c r="AE50" s="74">
        <v>0</v>
      </c>
      <c r="AF50" s="74">
        <v>0</v>
      </c>
      <c r="AG50" s="74">
        <v>0</v>
      </c>
      <c r="AH50" s="74">
        <v>0</v>
      </c>
      <c r="AI50" s="74">
        <v>0</v>
      </c>
      <c r="AJ50" s="74">
        <v>0</v>
      </c>
      <c r="AK50" s="74"/>
      <c r="AL50" s="74">
        <v>8978</v>
      </c>
      <c r="AM50" s="74">
        <v>9594</v>
      </c>
      <c r="AN50" s="74">
        <v>10204</v>
      </c>
      <c r="AO50" s="74">
        <v>12685</v>
      </c>
      <c r="AP50" s="74">
        <v>11123</v>
      </c>
      <c r="AQ50" s="74">
        <v>11589</v>
      </c>
      <c r="AR50" s="74">
        <v>12131</v>
      </c>
      <c r="AS50" s="74">
        <v>13820</v>
      </c>
      <c r="AT50" s="74">
        <v>11684</v>
      </c>
      <c r="AU50" s="74">
        <v>12038</v>
      </c>
      <c r="AV50" s="74">
        <v>13442</v>
      </c>
      <c r="AW50" s="74">
        <v>15631</v>
      </c>
      <c r="AX50" s="74">
        <v>14262</v>
      </c>
      <c r="AY50" s="74">
        <v>15227</v>
      </c>
      <c r="AZ50" s="74">
        <v>16796</v>
      </c>
      <c r="BA50" s="74">
        <v>19741</v>
      </c>
      <c r="BB50" s="74">
        <v>0</v>
      </c>
      <c r="BC50" s="74">
        <v>0</v>
      </c>
      <c r="BD50" s="74">
        <v>0</v>
      </c>
      <c r="BE50" s="74">
        <v>0</v>
      </c>
      <c r="BF50" s="74">
        <v>0</v>
      </c>
      <c r="BG50" s="74">
        <v>0</v>
      </c>
      <c r="BH50" s="74">
        <v>0</v>
      </c>
      <c r="BI50" s="74">
        <v>0</v>
      </c>
      <c r="BJ50" s="74">
        <v>0</v>
      </c>
      <c r="BK50" s="74">
        <v>0</v>
      </c>
      <c r="BL50" s="74">
        <v>0</v>
      </c>
      <c r="BM50" s="74">
        <v>0</v>
      </c>
      <c r="BN50" s="74">
        <v>0</v>
      </c>
      <c r="BO50" s="74">
        <v>0</v>
      </c>
      <c r="BP50" s="74">
        <v>0</v>
      </c>
      <c r="BQ50" s="74">
        <v>0</v>
      </c>
      <c r="BR50" s="74">
        <v>0</v>
      </c>
      <c r="BS50" s="74">
        <v>0</v>
      </c>
      <c r="BT50" s="74">
        <v>0</v>
      </c>
      <c r="BU50" s="74">
        <v>0</v>
      </c>
      <c r="BV50" s="74">
        <v>0</v>
      </c>
      <c r="BW50" s="74">
        <v>0</v>
      </c>
      <c r="BX50" s="74">
        <v>0</v>
      </c>
      <c r="BY50" s="74">
        <v>0</v>
      </c>
      <c r="BZ50" s="74">
        <v>0</v>
      </c>
      <c r="CA50" s="74">
        <v>0</v>
      </c>
      <c r="CB50" s="74">
        <v>0</v>
      </c>
      <c r="CC50" s="74">
        <v>0</v>
      </c>
      <c r="CD50" s="74">
        <v>0</v>
      </c>
      <c r="CE50" s="74">
        <v>0</v>
      </c>
      <c r="CF50" s="74">
        <v>0</v>
      </c>
      <c r="CG50" s="74">
        <v>0</v>
      </c>
      <c r="CH50" s="74">
        <v>0</v>
      </c>
      <c r="CI50" s="74">
        <v>0</v>
      </c>
      <c r="CJ50" s="74">
        <v>0</v>
      </c>
      <c r="CK50" s="74">
        <v>0</v>
      </c>
      <c r="CL50" s="74">
        <v>0</v>
      </c>
      <c r="CM50" s="74">
        <v>0</v>
      </c>
      <c r="CN50" s="74">
        <v>0</v>
      </c>
      <c r="CO50" s="74">
        <v>0</v>
      </c>
      <c r="CP50" s="74">
        <v>0</v>
      </c>
      <c r="CQ50" s="74">
        <v>0</v>
      </c>
      <c r="CR50" s="74">
        <v>0</v>
      </c>
      <c r="CS50" s="74">
        <v>0</v>
      </c>
      <c r="CT50" s="74">
        <v>0</v>
      </c>
      <c r="CU50" s="74">
        <v>0</v>
      </c>
      <c r="CV50" s="74">
        <v>0</v>
      </c>
      <c r="CW50" s="74">
        <v>0</v>
      </c>
      <c r="CX50" s="74">
        <v>0</v>
      </c>
      <c r="CY50" s="74">
        <v>0</v>
      </c>
      <c r="CZ50" s="74">
        <v>0</v>
      </c>
      <c r="DA50" s="74">
        <v>0</v>
      </c>
      <c r="DB50" s="74">
        <v>0</v>
      </c>
      <c r="DC50" s="74">
        <v>0</v>
      </c>
      <c r="DD50" s="74">
        <v>0</v>
      </c>
      <c r="DE50" s="74">
        <v>0</v>
      </c>
      <c r="DF50" s="74">
        <v>0</v>
      </c>
      <c r="DG50" s="74">
        <v>0</v>
      </c>
      <c r="DH50" s="74">
        <v>0</v>
      </c>
      <c r="DI50" s="74">
        <v>0</v>
      </c>
      <c r="DJ50" s="74">
        <v>0</v>
      </c>
      <c r="DK50" s="74">
        <v>0</v>
      </c>
      <c r="DL50" s="74">
        <v>0</v>
      </c>
      <c r="DM50" s="74">
        <v>0</v>
      </c>
      <c r="DN50" s="74">
        <v>0</v>
      </c>
      <c r="DO50" s="74">
        <v>0</v>
      </c>
      <c r="DP50" s="74">
        <v>0</v>
      </c>
      <c r="DQ50" s="74">
        <v>0</v>
      </c>
      <c r="DR50" s="74">
        <v>0</v>
      </c>
      <c r="DS50" s="74">
        <v>0</v>
      </c>
      <c r="DT50" s="74">
        <v>0</v>
      </c>
      <c r="DU50" s="74">
        <v>0</v>
      </c>
      <c r="DV50" s="74">
        <v>0</v>
      </c>
      <c r="DW50" s="74">
        <v>0</v>
      </c>
      <c r="DX50" s="74">
        <v>0</v>
      </c>
      <c r="DY50" s="74">
        <v>0</v>
      </c>
      <c r="DZ50" s="74">
        <v>0</v>
      </c>
      <c r="EA50" s="74">
        <v>0</v>
      </c>
      <c r="EB50" s="74">
        <v>0</v>
      </c>
      <c r="EC50" s="74">
        <v>0</v>
      </c>
      <c r="ED50" s="74"/>
      <c r="EE50" s="68">
        <v>46063</v>
      </c>
      <c r="EF50" s="81">
        <v>46063.452996759261</v>
      </c>
      <c r="EG50" s="2" t="s">
        <v>70</v>
      </c>
      <c r="EH50" s="76">
        <v>2</v>
      </c>
      <c r="EI50" s="76" t="s">
        <v>32</v>
      </c>
      <c r="EJ50" s="74" t="s">
        <v>244</v>
      </c>
      <c r="EK50" s="78"/>
      <c r="EL50" s="74"/>
      <c r="EM50" s="74"/>
      <c r="EN50" s="68"/>
      <c r="ER50" s="73"/>
      <c r="ES50" s="74"/>
      <c r="ET50" s="74"/>
      <c r="EU50" s="74"/>
      <c r="EV50" s="74"/>
      <c r="EW50" s="74"/>
      <c r="EX50" s="74"/>
      <c r="EY50" s="74"/>
      <c r="EZ50" s="74"/>
      <c r="FA50" s="74"/>
      <c r="FB50" s="74"/>
      <c r="FC50" s="74"/>
      <c r="FD50" s="74"/>
      <c r="FE50" s="74"/>
      <c r="FF50" s="74"/>
      <c r="FG50" s="74"/>
      <c r="FH50" s="74"/>
      <c r="FI50" s="74"/>
      <c r="FJ50" s="74"/>
      <c r="FK50" s="68"/>
    </row>
    <row r="51" spans="1:183" s="2" customFormat="1" ht="15" x14ac:dyDescent="0.3">
      <c r="A51" s="73" t="s">
        <v>15</v>
      </c>
      <c r="B51" s="73" t="s">
        <v>233</v>
      </c>
      <c r="C51" s="73" t="s">
        <v>36</v>
      </c>
      <c r="D51" s="73" t="s">
        <v>48</v>
      </c>
      <c r="E51" s="73" t="s">
        <v>178</v>
      </c>
      <c r="F51" s="73" t="s">
        <v>210</v>
      </c>
      <c r="G51" s="73" t="s">
        <v>216</v>
      </c>
      <c r="H51" s="73"/>
      <c r="I51" s="74">
        <v>440</v>
      </c>
      <c r="J51" s="74">
        <v>832</v>
      </c>
      <c r="K51" s="74">
        <v>555</v>
      </c>
      <c r="L51" s="74">
        <v>448</v>
      </c>
      <c r="M51" s="74">
        <v>989</v>
      </c>
      <c r="N51" s="74">
        <v>2949</v>
      </c>
      <c r="O51" s="74">
        <v>4677</v>
      </c>
      <c r="P51" s="74">
        <v>4381</v>
      </c>
      <c r="Q51" s="74">
        <v>0</v>
      </c>
      <c r="R51" s="74">
        <v>0</v>
      </c>
      <c r="S51" s="74">
        <v>0</v>
      </c>
      <c r="T51" s="74">
        <v>0</v>
      </c>
      <c r="U51" s="74">
        <v>0</v>
      </c>
      <c r="V51" s="74">
        <v>0</v>
      </c>
      <c r="W51" s="74">
        <v>0</v>
      </c>
      <c r="X51" s="74">
        <v>0</v>
      </c>
      <c r="Y51" s="74">
        <v>0</v>
      </c>
      <c r="Z51" s="74">
        <v>0</v>
      </c>
      <c r="AA51" s="74">
        <v>0</v>
      </c>
      <c r="AB51" s="74">
        <v>0</v>
      </c>
      <c r="AC51" s="74">
        <v>0</v>
      </c>
      <c r="AD51" s="74">
        <v>0</v>
      </c>
      <c r="AE51" s="74">
        <v>0</v>
      </c>
      <c r="AF51" s="74">
        <v>0</v>
      </c>
      <c r="AG51" s="74">
        <v>0</v>
      </c>
      <c r="AH51" s="74">
        <v>0</v>
      </c>
      <c r="AI51" s="74">
        <v>0</v>
      </c>
      <c r="AJ51" s="74">
        <v>0</v>
      </c>
      <c r="AK51" s="74"/>
      <c r="AL51" s="74">
        <v>0</v>
      </c>
      <c r="AM51" s="74">
        <v>0</v>
      </c>
      <c r="AN51" s="74">
        <v>0</v>
      </c>
      <c r="AO51" s="74">
        <v>0</v>
      </c>
      <c r="AP51" s="74">
        <v>0</v>
      </c>
      <c r="AQ51" s="74">
        <v>0</v>
      </c>
      <c r="AR51" s="74">
        <v>0</v>
      </c>
      <c r="AS51" s="74">
        <v>0</v>
      </c>
      <c r="AT51" s="74">
        <v>0</v>
      </c>
      <c r="AU51" s="74">
        <v>0</v>
      </c>
      <c r="AV51" s="74">
        <v>0</v>
      </c>
      <c r="AW51" s="74">
        <v>0</v>
      </c>
      <c r="AX51" s="74">
        <v>0</v>
      </c>
      <c r="AY51" s="74">
        <v>0</v>
      </c>
      <c r="AZ51" s="74">
        <v>0</v>
      </c>
      <c r="BA51" s="74">
        <v>0</v>
      </c>
      <c r="BB51" s="74">
        <v>0</v>
      </c>
      <c r="BC51" s="74">
        <v>0</v>
      </c>
      <c r="BD51" s="74">
        <v>0</v>
      </c>
      <c r="BE51" s="74">
        <v>0</v>
      </c>
      <c r="BF51" s="74">
        <v>0</v>
      </c>
      <c r="BG51" s="74">
        <v>0</v>
      </c>
      <c r="BH51" s="74">
        <v>0</v>
      </c>
      <c r="BI51" s="74">
        <v>0</v>
      </c>
      <c r="BJ51" s="74">
        <v>0</v>
      </c>
      <c r="BK51" s="74">
        <v>0</v>
      </c>
      <c r="BL51" s="74">
        <v>0</v>
      </c>
      <c r="BM51" s="74">
        <v>0</v>
      </c>
      <c r="BN51" s="74">
        <v>0</v>
      </c>
      <c r="BO51" s="74">
        <v>0</v>
      </c>
      <c r="BP51" s="74">
        <v>0</v>
      </c>
      <c r="BQ51" s="74">
        <v>0</v>
      </c>
      <c r="BR51" s="74">
        <v>0</v>
      </c>
      <c r="BS51" s="74">
        <v>0</v>
      </c>
      <c r="BT51" s="74">
        <v>0</v>
      </c>
      <c r="BU51" s="74">
        <v>0</v>
      </c>
      <c r="BV51" s="74">
        <v>0</v>
      </c>
      <c r="BW51" s="74">
        <v>0</v>
      </c>
      <c r="BX51" s="74">
        <v>0</v>
      </c>
      <c r="BY51" s="74">
        <v>0</v>
      </c>
      <c r="BZ51" s="74">
        <v>0</v>
      </c>
      <c r="CA51" s="74">
        <v>0</v>
      </c>
      <c r="CB51" s="74">
        <v>0</v>
      </c>
      <c r="CC51" s="74">
        <v>0</v>
      </c>
      <c r="CD51" s="74">
        <v>0</v>
      </c>
      <c r="CE51" s="74">
        <v>0</v>
      </c>
      <c r="CF51" s="74">
        <v>0</v>
      </c>
      <c r="CG51" s="74">
        <v>0</v>
      </c>
      <c r="CH51" s="74">
        <v>0</v>
      </c>
      <c r="CI51" s="74">
        <v>0</v>
      </c>
      <c r="CJ51" s="74">
        <v>0</v>
      </c>
      <c r="CK51" s="74">
        <v>0</v>
      </c>
      <c r="CL51" s="74">
        <v>0</v>
      </c>
      <c r="CM51" s="74">
        <v>0</v>
      </c>
      <c r="CN51" s="74">
        <v>0</v>
      </c>
      <c r="CO51" s="74">
        <v>0</v>
      </c>
      <c r="CP51" s="74">
        <v>0</v>
      </c>
      <c r="CQ51" s="74">
        <v>0</v>
      </c>
      <c r="CR51" s="74">
        <v>0</v>
      </c>
      <c r="CS51" s="74">
        <v>0</v>
      </c>
      <c r="CT51" s="74">
        <v>0</v>
      </c>
      <c r="CU51" s="74">
        <v>0</v>
      </c>
      <c r="CV51" s="74">
        <v>0</v>
      </c>
      <c r="CW51" s="74">
        <v>0</v>
      </c>
      <c r="CX51" s="74">
        <v>0</v>
      </c>
      <c r="CY51" s="74">
        <v>0</v>
      </c>
      <c r="CZ51" s="74">
        <v>0</v>
      </c>
      <c r="DA51" s="74">
        <v>0</v>
      </c>
      <c r="DB51" s="74">
        <v>0</v>
      </c>
      <c r="DC51" s="74">
        <v>0</v>
      </c>
      <c r="DD51" s="74">
        <v>0</v>
      </c>
      <c r="DE51" s="74">
        <v>0</v>
      </c>
      <c r="DF51" s="74">
        <v>0</v>
      </c>
      <c r="DG51" s="74">
        <v>0</v>
      </c>
      <c r="DH51" s="74">
        <v>0</v>
      </c>
      <c r="DI51" s="74">
        <v>0</v>
      </c>
      <c r="DJ51" s="74">
        <v>0</v>
      </c>
      <c r="DK51" s="74">
        <v>0</v>
      </c>
      <c r="DL51" s="74">
        <v>0</v>
      </c>
      <c r="DM51" s="74">
        <v>0</v>
      </c>
      <c r="DN51" s="74">
        <v>0</v>
      </c>
      <c r="DO51" s="74">
        <v>0</v>
      </c>
      <c r="DP51" s="74">
        <v>0</v>
      </c>
      <c r="DQ51" s="74">
        <v>0</v>
      </c>
      <c r="DR51" s="74">
        <v>0</v>
      </c>
      <c r="DS51" s="74">
        <v>0</v>
      </c>
      <c r="DT51" s="74">
        <v>0</v>
      </c>
      <c r="DU51" s="74">
        <v>0</v>
      </c>
      <c r="DV51" s="74">
        <v>0</v>
      </c>
      <c r="DW51" s="74">
        <v>0</v>
      </c>
      <c r="DX51" s="74">
        <v>0</v>
      </c>
      <c r="DY51" s="74">
        <v>0</v>
      </c>
      <c r="DZ51" s="74">
        <v>0</v>
      </c>
      <c r="EA51" s="74">
        <v>0</v>
      </c>
      <c r="EB51" s="74">
        <v>0</v>
      </c>
      <c r="EC51" s="74">
        <v>0</v>
      </c>
      <c r="ED51" s="74"/>
      <c r="EE51" s="68">
        <v>46063</v>
      </c>
      <c r="EF51" s="81">
        <v>46063.452996759261</v>
      </c>
      <c r="EG51" s="2" t="s">
        <v>70</v>
      </c>
      <c r="EH51" s="76">
        <v>2</v>
      </c>
      <c r="EI51" s="76" t="s">
        <v>32</v>
      </c>
      <c r="EJ51" s="74" t="s">
        <v>244</v>
      </c>
      <c r="EK51" s="78"/>
      <c r="EL51" s="74"/>
      <c r="EM51" s="74"/>
      <c r="EN51" s="68"/>
      <c r="ER51" s="73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68"/>
    </row>
    <row r="52" spans="1:183" s="2" customFormat="1" ht="15" x14ac:dyDescent="0.3">
      <c r="A52" s="73" t="s">
        <v>9</v>
      </c>
      <c r="B52" s="73" t="s">
        <v>234</v>
      </c>
      <c r="C52" s="73" t="s">
        <v>37</v>
      </c>
      <c r="D52" s="73" t="s">
        <v>48</v>
      </c>
      <c r="E52" s="73" t="s">
        <v>178</v>
      </c>
      <c r="F52" s="73" t="s">
        <v>210</v>
      </c>
      <c r="G52" s="73" t="s">
        <v>216</v>
      </c>
      <c r="H52" s="73"/>
      <c r="I52" s="74">
        <v>1417</v>
      </c>
      <c r="J52" s="74">
        <v>1600</v>
      </c>
      <c r="K52" s="74">
        <v>1647</v>
      </c>
      <c r="L52" s="74">
        <v>1809</v>
      </c>
      <c r="M52" s="74">
        <v>2367</v>
      </c>
      <c r="N52" s="74">
        <v>3182</v>
      </c>
      <c r="O52" s="74">
        <v>2406</v>
      </c>
      <c r="P52" s="74">
        <v>2274</v>
      </c>
      <c r="Q52" s="74">
        <v>0</v>
      </c>
      <c r="R52" s="74">
        <v>0</v>
      </c>
      <c r="S52" s="74">
        <v>0</v>
      </c>
      <c r="T52" s="74">
        <v>0</v>
      </c>
      <c r="U52" s="74">
        <v>0</v>
      </c>
      <c r="V52" s="74">
        <v>0</v>
      </c>
      <c r="W52" s="74">
        <v>0</v>
      </c>
      <c r="X52" s="74">
        <v>0</v>
      </c>
      <c r="Y52" s="74">
        <v>0</v>
      </c>
      <c r="Z52" s="74">
        <v>0</v>
      </c>
      <c r="AA52" s="74">
        <v>0</v>
      </c>
      <c r="AB52" s="74">
        <v>0</v>
      </c>
      <c r="AC52" s="74">
        <v>0</v>
      </c>
      <c r="AD52" s="74">
        <v>0</v>
      </c>
      <c r="AE52" s="74">
        <v>0</v>
      </c>
      <c r="AF52" s="74">
        <v>0</v>
      </c>
      <c r="AG52" s="74">
        <v>0</v>
      </c>
      <c r="AH52" s="74">
        <v>0</v>
      </c>
      <c r="AI52" s="74">
        <v>0</v>
      </c>
      <c r="AJ52" s="74">
        <v>0</v>
      </c>
      <c r="AK52" s="74"/>
      <c r="AL52" s="74">
        <v>0</v>
      </c>
      <c r="AM52" s="74">
        <v>0</v>
      </c>
      <c r="AN52" s="74">
        <v>0</v>
      </c>
      <c r="AO52" s="74">
        <v>0</v>
      </c>
      <c r="AP52" s="74">
        <v>0</v>
      </c>
      <c r="AQ52" s="74">
        <v>0</v>
      </c>
      <c r="AR52" s="74">
        <v>0</v>
      </c>
      <c r="AS52" s="74">
        <v>0</v>
      </c>
      <c r="AT52" s="74">
        <v>0</v>
      </c>
      <c r="AU52" s="74">
        <v>0</v>
      </c>
      <c r="AV52" s="74">
        <v>0</v>
      </c>
      <c r="AW52" s="74">
        <v>0</v>
      </c>
      <c r="AX52" s="74">
        <v>0</v>
      </c>
      <c r="AY52" s="74">
        <v>0</v>
      </c>
      <c r="AZ52" s="74">
        <v>0</v>
      </c>
      <c r="BA52" s="74">
        <v>0</v>
      </c>
      <c r="BB52" s="74">
        <v>0</v>
      </c>
      <c r="BC52" s="74">
        <v>0</v>
      </c>
      <c r="BD52" s="74">
        <v>0</v>
      </c>
      <c r="BE52" s="74">
        <v>0</v>
      </c>
      <c r="BF52" s="74">
        <v>0</v>
      </c>
      <c r="BG52" s="74">
        <v>0</v>
      </c>
      <c r="BH52" s="74">
        <v>0</v>
      </c>
      <c r="BI52" s="74">
        <v>0</v>
      </c>
      <c r="BJ52" s="74">
        <v>0</v>
      </c>
      <c r="BK52" s="74">
        <v>0</v>
      </c>
      <c r="BL52" s="74">
        <v>0</v>
      </c>
      <c r="BM52" s="74">
        <v>0</v>
      </c>
      <c r="BN52" s="74">
        <v>0</v>
      </c>
      <c r="BO52" s="74">
        <v>0</v>
      </c>
      <c r="BP52" s="74">
        <v>0</v>
      </c>
      <c r="BQ52" s="74">
        <v>0</v>
      </c>
      <c r="BR52" s="74">
        <v>0</v>
      </c>
      <c r="BS52" s="74">
        <v>0</v>
      </c>
      <c r="BT52" s="74">
        <v>0</v>
      </c>
      <c r="BU52" s="74">
        <v>0</v>
      </c>
      <c r="BV52" s="74">
        <v>0</v>
      </c>
      <c r="BW52" s="74">
        <v>0</v>
      </c>
      <c r="BX52" s="74">
        <v>0</v>
      </c>
      <c r="BY52" s="74">
        <v>0</v>
      </c>
      <c r="BZ52" s="74">
        <v>0</v>
      </c>
      <c r="CA52" s="74">
        <v>0</v>
      </c>
      <c r="CB52" s="74">
        <v>0</v>
      </c>
      <c r="CC52" s="74">
        <v>0</v>
      </c>
      <c r="CD52" s="74">
        <v>0</v>
      </c>
      <c r="CE52" s="74">
        <v>0</v>
      </c>
      <c r="CF52" s="74">
        <v>0</v>
      </c>
      <c r="CG52" s="74">
        <v>0</v>
      </c>
      <c r="CH52" s="74">
        <v>0</v>
      </c>
      <c r="CI52" s="74">
        <v>0</v>
      </c>
      <c r="CJ52" s="74">
        <v>0</v>
      </c>
      <c r="CK52" s="74">
        <v>0</v>
      </c>
      <c r="CL52" s="74">
        <v>0</v>
      </c>
      <c r="CM52" s="74">
        <v>0</v>
      </c>
      <c r="CN52" s="74">
        <v>0</v>
      </c>
      <c r="CO52" s="74">
        <v>0</v>
      </c>
      <c r="CP52" s="74">
        <v>0</v>
      </c>
      <c r="CQ52" s="74">
        <v>0</v>
      </c>
      <c r="CR52" s="74">
        <v>0</v>
      </c>
      <c r="CS52" s="74">
        <v>0</v>
      </c>
      <c r="CT52" s="74">
        <v>0</v>
      </c>
      <c r="CU52" s="74">
        <v>0</v>
      </c>
      <c r="CV52" s="74">
        <v>0</v>
      </c>
      <c r="CW52" s="74">
        <v>0</v>
      </c>
      <c r="CX52" s="74">
        <v>0</v>
      </c>
      <c r="CY52" s="74">
        <v>0</v>
      </c>
      <c r="CZ52" s="74">
        <v>0</v>
      </c>
      <c r="DA52" s="74">
        <v>0</v>
      </c>
      <c r="DB52" s="74">
        <v>0</v>
      </c>
      <c r="DC52" s="74">
        <v>0</v>
      </c>
      <c r="DD52" s="74">
        <v>0</v>
      </c>
      <c r="DE52" s="74">
        <v>0</v>
      </c>
      <c r="DF52" s="74">
        <v>0</v>
      </c>
      <c r="DG52" s="74">
        <v>0</v>
      </c>
      <c r="DH52" s="74">
        <v>0</v>
      </c>
      <c r="DI52" s="74">
        <v>0</v>
      </c>
      <c r="DJ52" s="74">
        <v>0</v>
      </c>
      <c r="DK52" s="74">
        <v>0</v>
      </c>
      <c r="DL52" s="74">
        <v>0</v>
      </c>
      <c r="DM52" s="74">
        <v>0</v>
      </c>
      <c r="DN52" s="74">
        <v>0</v>
      </c>
      <c r="DO52" s="74">
        <v>0</v>
      </c>
      <c r="DP52" s="74">
        <v>0</v>
      </c>
      <c r="DQ52" s="74">
        <v>0</v>
      </c>
      <c r="DR52" s="74">
        <v>0</v>
      </c>
      <c r="DS52" s="74">
        <v>0</v>
      </c>
      <c r="DT52" s="74">
        <v>0</v>
      </c>
      <c r="DU52" s="74">
        <v>0</v>
      </c>
      <c r="DV52" s="74">
        <v>0</v>
      </c>
      <c r="DW52" s="74">
        <v>0</v>
      </c>
      <c r="DX52" s="74">
        <v>0</v>
      </c>
      <c r="DY52" s="74">
        <v>0</v>
      </c>
      <c r="DZ52" s="74">
        <v>0</v>
      </c>
      <c r="EA52" s="74">
        <v>0</v>
      </c>
      <c r="EB52" s="74">
        <v>0</v>
      </c>
      <c r="EC52" s="74">
        <v>0</v>
      </c>
      <c r="ED52" s="74"/>
      <c r="EE52" s="68">
        <v>46063</v>
      </c>
      <c r="EF52" s="81">
        <v>46063.452996759261</v>
      </c>
      <c r="EG52" s="2" t="s">
        <v>70</v>
      </c>
      <c r="EH52" s="76">
        <v>2</v>
      </c>
      <c r="EI52" s="76" t="s">
        <v>32</v>
      </c>
      <c r="EJ52" s="74" t="s">
        <v>244</v>
      </c>
      <c r="EK52" s="78"/>
      <c r="EL52" s="74"/>
      <c r="EM52" s="74"/>
      <c r="EN52" s="68"/>
      <c r="ER52" s="73"/>
      <c r="ES52" s="74"/>
      <c r="ET52" s="74"/>
      <c r="EU52" s="74"/>
      <c r="EV52" s="74"/>
      <c r="EW52" s="74"/>
      <c r="EX52" s="74"/>
      <c r="EY52" s="74"/>
      <c r="EZ52" s="74"/>
      <c r="FA52" s="74"/>
      <c r="FB52" s="74"/>
      <c r="FC52" s="74"/>
      <c r="FD52" s="74"/>
      <c r="FE52" s="74"/>
      <c r="FF52" s="74"/>
      <c r="FG52" s="74"/>
      <c r="FH52" s="74"/>
      <c r="FI52" s="74"/>
      <c r="FJ52" s="74"/>
      <c r="FK52" s="68"/>
    </row>
    <row r="53" spans="1:183" s="2" customFormat="1" ht="15" x14ac:dyDescent="0.3">
      <c r="A53" s="73" t="s">
        <v>21</v>
      </c>
      <c r="B53" s="73" t="s">
        <v>235</v>
      </c>
      <c r="C53" s="73" t="s">
        <v>219</v>
      </c>
      <c r="D53" s="73" t="s">
        <v>48</v>
      </c>
      <c r="E53" s="73" t="s">
        <v>220</v>
      </c>
      <c r="F53" s="73" t="s">
        <v>218</v>
      </c>
      <c r="G53" s="73" t="s">
        <v>216</v>
      </c>
      <c r="H53" s="73"/>
      <c r="I53" s="75">
        <v>0.15</v>
      </c>
      <c r="J53" s="75">
        <v>0.15</v>
      </c>
      <c r="K53" s="75">
        <v>0.15</v>
      </c>
      <c r="L53" s="75">
        <v>0.15</v>
      </c>
      <c r="M53" s="75">
        <v>0</v>
      </c>
      <c r="N53" s="75">
        <v>0.15</v>
      </c>
      <c r="O53" s="75">
        <v>0.15</v>
      </c>
      <c r="P53" s="75">
        <v>0.15</v>
      </c>
      <c r="Q53" s="75">
        <v>0</v>
      </c>
      <c r="R53" s="75">
        <v>0</v>
      </c>
      <c r="S53" s="75">
        <v>0</v>
      </c>
      <c r="T53" s="75">
        <v>0</v>
      </c>
      <c r="U53" s="75">
        <v>0</v>
      </c>
      <c r="V53" s="75">
        <v>0</v>
      </c>
      <c r="W53" s="75">
        <v>0</v>
      </c>
      <c r="X53" s="75">
        <v>0</v>
      </c>
      <c r="Y53" s="75">
        <v>0</v>
      </c>
      <c r="Z53" s="75">
        <v>0</v>
      </c>
      <c r="AA53" s="75">
        <v>0</v>
      </c>
      <c r="AB53" s="75">
        <v>0</v>
      </c>
      <c r="AC53" s="75">
        <v>0</v>
      </c>
      <c r="AD53" s="75">
        <v>0</v>
      </c>
      <c r="AE53" s="75">
        <v>0</v>
      </c>
      <c r="AF53" s="75">
        <v>0</v>
      </c>
      <c r="AG53" s="75">
        <v>0</v>
      </c>
      <c r="AH53" s="75">
        <v>0</v>
      </c>
      <c r="AI53" s="75">
        <v>0</v>
      </c>
      <c r="AJ53" s="75">
        <v>0</v>
      </c>
      <c r="AK53" s="75"/>
      <c r="AL53" s="74">
        <v>0</v>
      </c>
      <c r="AM53" s="74">
        <v>0</v>
      </c>
      <c r="AN53" s="74">
        <v>0</v>
      </c>
      <c r="AO53" s="74">
        <v>0</v>
      </c>
      <c r="AP53" s="74">
        <v>0</v>
      </c>
      <c r="AQ53" s="74">
        <v>0</v>
      </c>
      <c r="AR53" s="74">
        <v>0</v>
      </c>
      <c r="AS53" s="74">
        <v>0</v>
      </c>
      <c r="AT53" s="74">
        <v>0</v>
      </c>
      <c r="AU53" s="74">
        <v>0</v>
      </c>
      <c r="AV53" s="74">
        <v>0</v>
      </c>
      <c r="AW53" s="74">
        <v>0</v>
      </c>
      <c r="AX53" s="74">
        <v>0</v>
      </c>
      <c r="AY53" s="74">
        <v>0</v>
      </c>
      <c r="AZ53" s="74">
        <v>0</v>
      </c>
      <c r="BA53" s="74">
        <v>0</v>
      </c>
      <c r="BB53" s="74">
        <v>0</v>
      </c>
      <c r="BC53" s="74">
        <v>0</v>
      </c>
      <c r="BD53" s="74">
        <v>0</v>
      </c>
      <c r="BE53" s="74">
        <v>0</v>
      </c>
      <c r="BF53" s="74">
        <v>0</v>
      </c>
      <c r="BG53" s="74">
        <v>0</v>
      </c>
      <c r="BH53" s="74">
        <v>0</v>
      </c>
      <c r="BI53" s="74">
        <v>0</v>
      </c>
      <c r="BJ53" s="74">
        <v>0</v>
      </c>
      <c r="BK53" s="74">
        <v>0</v>
      </c>
      <c r="BL53" s="74">
        <v>0</v>
      </c>
      <c r="BM53" s="74">
        <v>0</v>
      </c>
      <c r="BN53" s="74">
        <v>0</v>
      </c>
      <c r="BO53" s="74">
        <v>0</v>
      </c>
      <c r="BP53" s="74">
        <v>0</v>
      </c>
      <c r="BQ53" s="74">
        <v>0</v>
      </c>
      <c r="BR53" s="74">
        <v>0</v>
      </c>
      <c r="BS53" s="74">
        <v>0</v>
      </c>
      <c r="BT53" s="74">
        <v>0</v>
      </c>
      <c r="BU53" s="74">
        <v>0</v>
      </c>
      <c r="BV53" s="74">
        <v>0</v>
      </c>
      <c r="BW53" s="74">
        <v>0</v>
      </c>
      <c r="BX53" s="74">
        <v>0</v>
      </c>
      <c r="BY53" s="74">
        <v>0</v>
      </c>
      <c r="BZ53" s="74">
        <v>0</v>
      </c>
      <c r="CA53" s="74">
        <v>0</v>
      </c>
      <c r="CB53" s="74">
        <v>0</v>
      </c>
      <c r="CC53" s="74">
        <v>0</v>
      </c>
      <c r="CD53" s="74">
        <v>0</v>
      </c>
      <c r="CE53" s="74">
        <v>0</v>
      </c>
      <c r="CF53" s="74">
        <v>0</v>
      </c>
      <c r="CG53" s="74">
        <v>0</v>
      </c>
      <c r="CH53" s="74">
        <v>0</v>
      </c>
      <c r="CI53" s="74">
        <v>0</v>
      </c>
      <c r="CJ53" s="74">
        <v>0</v>
      </c>
      <c r="CK53" s="74">
        <v>0</v>
      </c>
      <c r="CL53" s="74">
        <v>0</v>
      </c>
      <c r="CM53" s="74">
        <v>0</v>
      </c>
      <c r="CN53" s="74">
        <v>0</v>
      </c>
      <c r="CO53" s="74">
        <v>0</v>
      </c>
      <c r="CP53" s="74">
        <v>0</v>
      </c>
      <c r="CQ53" s="74">
        <v>0</v>
      </c>
      <c r="CR53" s="74">
        <v>0</v>
      </c>
      <c r="CS53" s="74">
        <v>0</v>
      </c>
      <c r="CT53" s="74">
        <v>0</v>
      </c>
      <c r="CU53" s="74">
        <v>0</v>
      </c>
      <c r="CV53" s="74">
        <v>0</v>
      </c>
      <c r="CW53" s="74">
        <v>0</v>
      </c>
      <c r="CX53" s="74">
        <v>0</v>
      </c>
      <c r="CY53" s="74">
        <v>0</v>
      </c>
      <c r="CZ53" s="74">
        <v>0</v>
      </c>
      <c r="DA53" s="74">
        <v>0</v>
      </c>
      <c r="DB53" s="74">
        <v>0</v>
      </c>
      <c r="DC53" s="74">
        <v>0</v>
      </c>
      <c r="DD53" s="74">
        <v>0</v>
      </c>
      <c r="DE53" s="74">
        <v>0</v>
      </c>
      <c r="DF53" s="74">
        <v>0</v>
      </c>
      <c r="DG53" s="74">
        <v>0</v>
      </c>
      <c r="DH53" s="74">
        <v>0</v>
      </c>
      <c r="DI53" s="74">
        <v>0</v>
      </c>
      <c r="DJ53" s="74">
        <v>0</v>
      </c>
      <c r="DK53" s="74">
        <v>0</v>
      </c>
      <c r="DL53" s="74">
        <v>0</v>
      </c>
      <c r="DM53" s="74">
        <v>0</v>
      </c>
      <c r="DN53" s="74">
        <v>0</v>
      </c>
      <c r="DO53" s="74">
        <v>0</v>
      </c>
      <c r="DP53" s="74">
        <v>0</v>
      </c>
      <c r="DQ53" s="74">
        <v>0</v>
      </c>
      <c r="DR53" s="74">
        <v>0</v>
      </c>
      <c r="DS53" s="74">
        <v>0</v>
      </c>
      <c r="DT53" s="74">
        <v>0</v>
      </c>
      <c r="DU53" s="74">
        <v>0</v>
      </c>
      <c r="DV53" s="74">
        <v>0</v>
      </c>
      <c r="DW53" s="74">
        <v>0</v>
      </c>
      <c r="DX53" s="74">
        <v>0</v>
      </c>
      <c r="DY53" s="74">
        <v>0</v>
      </c>
      <c r="DZ53" s="74">
        <v>0</v>
      </c>
      <c r="EA53" s="74">
        <v>0</v>
      </c>
      <c r="EB53" s="74">
        <v>0</v>
      </c>
      <c r="EC53" s="74">
        <v>0</v>
      </c>
      <c r="ED53" s="74"/>
      <c r="EE53" s="68">
        <v>46063</v>
      </c>
      <c r="EF53" s="81">
        <v>46063.452996759261</v>
      </c>
      <c r="EG53" s="2" t="s">
        <v>70</v>
      </c>
      <c r="EH53" s="76">
        <v>2</v>
      </c>
      <c r="EI53" s="76" t="s">
        <v>32</v>
      </c>
      <c r="EJ53" s="74" t="s">
        <v>244</v>
      </c>
      <c r="EK53" s="78"/>
      <c r="EL53" s="74"/>
      <c r="EM53" s="74"/>
      <c r="EN53" s="68"/>
      <c r="ER53" s="73"/>
      <c r="ES53" s="74"/>
      <c r="ET53" s="74"/>
      <c r="EU53" s="74"/>
      <c r="EV53" s="74"/>
      <c r="EW53" s="74"/>
      <c r="EX53" s="74"/>
      <c r="EY53" s="74"/>
      <c r="EZ53" s="74"/>
      <c r="FA53" s="74"/>
      <c r="FB53" s="74"/>
      <c r="FC53" s="74"/>
      <c r="FD53" s="74"/>
      <c r="FE53" s="74"/>
      <c r="FF53" s="74"/>
      <c r="FG53" s="74"/>
      <c r="FH53" s="74"/>
      <c r="FI53" s="74"/>
      <c r="FJ53" s="74"/>
      <c r="FK53" s="68"/>
    </row>
    <row r="54" spans="1:183" s="2" customFormat="1" ht="15" x14ac:dyDescent="0.3">
      <c r="A54" s="73" t="s">
        <v>22</v>
      </c>
      <c r="B54" s="73" t="s">
        <v>22</v>
      </c>
      <c r="C54" s="73" t="s">
        <v>42</v>
      </c>
      <c r="D54" s="73" t="s">
        <v>48</v>
      </c>
      <c r="E54" s="73" t="s">
        <v>178</v>
      </c>
      <c r="F54" s="73" t="s">
        <v>210</v>
      </c>
      <c r="G54" s="73" t="s">
        <v>216</v>
      </c>
      <c r="H54" s="73"/>
      <c r="I54" s="74">
        <v>30723</v>
      </c>
      <c r="J54" s="74">
        <v>38514</v>
      </c>
      <c r="K54" s="74">
        <v>66064</v>
      </c>
      <c r="L54" s="74">
        <v>46327</v>
      </c>
      <c r="M54" s="74">
        <v>46752</v>
      </c>
      <c r="N54" s="74">
        <v>84946</v>
      </c>
      <c r="O54" s="74">
        <v>115877</v>
      </c>
      <c r="P54" s="74">
        <v>139514</v>
      </c>
      <c r="Q54" s="74">
        <v>0</v>
      </c>
      <c r="R54" s="74">
        <v>0</v>
      </c>
      <c r="S54" s="74">
        <v>0</v>
      </c>
      <c r="T54" s="74">
        <v>0</v>
      </c>
      <c r="U54" s="74">
        <v>0</v>
      </c>
      <c r="V54" s="74">
        <v>0</v>
      </c>
      <c r="W54" s="74">
        <v>0</v>
      </c>
      <c r="X54" s="74">
        <v>0</v>
      </c>
      <c r="Y54" s="74">
        <v>0</v>
      </c>
      <c r="Z54" s="74">
        <v>0</v>
      </c>
      <c r="AA54" s="74">
        <v>0</v>
      </c>
      <c r="AB54" s="74">
        <v>0</v>
      </c>
      <c r="AC54" s="74">
        <v>0</v>
      </c>
      <c r="AD54" s="74">
        <v>0</v>
      </c>
      <c r="AE54" s="74">
        <v>0</v>
      </c>
      <c r="AF54" s="74">
        <v>0</v>
      </c>
      <c r="AG54" s="74">
        <v>0</v>
      </c>
      <c r="AH54" s="74">
        <v>0</v>
      </c>
      <c r="AI54" s="74">
        <v>0</v>
      </c>
      <c r="AJ54" s="74">
        <v>0</v>
      </c>
      <c r="AK54" s="74"/>
      <c r="AL54" s="74">
        <v>-2790</v>
      </c>
      <c r="AM54" s="74">
        <v>8965</v>
      </c>
      <c r="AN54" s="74">
        <v>11404</v>
      </c>
      <c r="AO54" s="74">
        <v>29173</v>
      </c>
      <c r="AP54" s="74">
        <v>4788</v>
      </c>
      <c r="AQ54" s="74">
        <v>16476</v>
      </c>
      <c r="AR54" s="74">
        <v>21217</v>
      </c>
      <c r="AS54" s="74">
        <v>42465</v>
      </c>
      <c r="AT54" s="74">
        <v>18989</v>
      </c>
      <c r="AU54" s="74">
        <v>25281</v>
      </c>
      <c r="AV54" s="74">
        <v>25971</v>
      </c>
      <c r="AW54" s="74">
        <v>45636</v>
      </c>
      <c r="AX54" s="74">
        <v>17015</v>
      </c>
      <c r="AY54" s="74">
        <v>32515</v>
      </c>
      <c r="AZ54" s="74">
        <v>35525</v>
      </c>
      <c r="BA54" s="74">
        <v>54459</v>
      </c>
      <c r="BB54" s="74">
        <v>0</v>
      </c>
      <c r="BC54" s="74">
        <v>0</v>
      </c>
      <c r="BD54" s="74">
        <v>0</v>
      </c>
      <c r="BE54" s="74">
        <v>0</v>
      </c>
      <c r="BF54" s="74">
        <v>0</v>
      </c>
      <c r="BG54" s="74">
        <v>0</v>
      </c>
      <c r="BH54" s="74">
        <v>0</v>
      </c>
      <c r="BI54" s="74">
        <v>0</v>
      </c>
      <c r="BJ54" s="74">
        <v>0</v>
      </c>
      <c r="BK54" s="74">
        <v>0</v>
      </c>
      <c r="BL54" s="74">
        <v>0</v>
      </c>
      <c r="BM54" s="74">
        <v>0</v>
      </c>
      <c r="BN54" s="74">
        <v>0</v>
      </c>
      <c r="BO54" s="74">
        <v>0</v>
      </c>
      <c r="BP54" s="74">
        <v>0</v>
      </c>
      <c r="BQ54" s="74">
        <v>0</v>
      </c>
      <c r="BR54" s="74">
        <v>0</v>
      </c>
      <c r="BS54" s="74">
        <v>0</v>
      </c>
      <c r="BT54" s="74">
        <v>0</v>
      </c>
      <c r="BU54" s="74">
        <v>0</v>
      </c>
      <c r="BV54" s="74">
        <v>0</v>
      </c>
      <c r="BW54" s="74">
        <v>0</v>
      </c>
      <c r="BX54" s="74">
        <v>0</v>
      </c>
      <c r="BY54" s="74">
        <v>0</v>
      </c>
      <c r="BZ54" s="74">
        <v>0</v>
      </c>
      <c r="CA54" s="74">
        <v>0</v>
      </c>
      <c r="CB54" s="74">
        <v>0</v>
      </c>
      <c r="CC54" s="74">
        <v>0</v>
      </c>
      <c r="CD54" s="74">
        <v>0</v>
      </c>
      <c r="CE54" s="74">
        <v>0</v>
      </c>
      <c r="CF54" s="74">
        <v>0</v>
      </c>
      <c r="CG54" s="74">
        <v>0</v>
      </c>
      <c r="CH54" s="74">
        <v>0</v>
      </c>
      <c r="CI54" s="74">
        <v>0</v>
      </c>
      <c r="CJ54" s="74">
        <v>0</v>
      </c>
      <c r="CK54" s="74">
        <v>0</v>
      </c>
      <c r="CL54" s="74">
        <v>0</v>
      </c>
      <c r="CM54" s="74">
        <v>0</v>
      </c>
      <c r="CN54" s="74">
        <v>0</v>
      </c>
      <c r="CO54" s="74">
        <v>0</v>
      </c>
      <c r="CP54" s="74">
        <v>0</v>
      </c>
      <c r="CQ54" s="74">
        <v>0</v>
      </c>
      <c r="CR54" s="74">
        <v>0</v>
      </c>
      <c r="CS54" s="74">
        <v>0</v>
      </c>
      <c r="CT54" s="74">
        <v>0</v>
      </c>
      <c r="CU54" s="74">
        <v>0</v>
      </c>
      <c r="CV54" s="74">
        <v>0</v>
      </c>
      <c r="CW54" s="74">
        <v>0</v>
      </c>
      <c r="CX54" s="74">
        <v>0</v>
      </c>
      <c r="CY54" s="74">
        <v>0</v>
      </c>
      <c r="CZ54" s="74">
        <v>0</v>
      </c>
      <c r="DA54" s="74">
        <v>0</v>
      </c>
      <c r="DB54" s="74">
        <v>0</v>
      </c>
      <c r="DC54" s="74">
        <v>0</v>
      </c>
      <c r="DD54" s="74">
        <v>0</v>
      </c>
      <c r="DE54" s="74">
        <v>0</v>
      </c>
      <c r="DF54" s="74">
        <v>0</v>
      </c>
      <c r="DG54" s="74">
        <v>0</v>
      </c>
      <c r="DH54" s="74">
        <v>0</v>
      </c>
      <c r="DI54" s="74">
        <v>0</v>
      </c>
      <c r="DJ54" s="74">
        <v>0</v>
      </c>
      <c r="DK54" s="74">
        <v>0</v>
      </c>
      <c r="DL54" s="74">
        <v>0</v>
      </c>
      <c r="DM54" s="74">
        <v>0</v>
      </c>
      <c r="DN54" s="74">
        <v>0</v>
      </c>
      <c r="DO54" s="74">
        <v>0</v>
      </c>
      <c r="DP54" s="74">
        <v>0</v>
      </c>
      <c r="DQ54" s="74">
        <v>0</v>
      </c>
      <c r="DR54" s="74">
        <v>0</v>
      </c>
      <c r="DS54" s="74">
        <v>0</v>
      </c>
      <c r="DT54" s="74">
        <v>0</v>
      </c>
      <c r="DU54" s="74">
        <v>0</v>
      </c>
      <c r="DV54" s="74">
        <v>0</v>
      </c>
      <c r="DW54" s="74">
        <v>0</v>
      </c>
      <c r="DX54" s="74">
        <v>0</v>
      </c>
      <c r="DY54" s="74">
        <v>0</v>
      </c>
      <c r="DZ54" s="74">
        <v>0</v>
      </c>
      <c r="EA54" s="74">
        <v>0</v>
      </c>
      <c r="EB54" s="74">
        <v>0</v>
      </c>
      <c r="EC54" s="74">
        <v>0</v>
      </c>
      <c r="ED54" s="74"/>
      <c r="EE54" s="68">
        <v>46063</v>
      </c>
      <c r="EF54" s="81">
        <v>46063.452996759261</v>
      </c>
      <c r="EG54" s="2" t="s">
        <v>70</v>
      </c>
      <c r="EH54" s="76">
        <v>2</v>
      </c>
      <c r="EI54" s="76" t="s">
        <v>32</v>
      </c>
      <c r="EJ54" s="74" t="s">
        <v>244</v>
      </c>
      <c r="EK54" s="78"/>
      <c r="EL54" s="74"/>
      <c r="EM54" s="74"/>
      <c r="EN54" s="68"/>
      <c r="ER54" s="73"/>
      <c r="ES54" s="74"/>
      <c r="ET54" s="74"/>
      <c r="EU54" s="74"/>
      <c r="EV54" s="74"/>
      <c r="EW54" s="74"/>
      <c r="EX54" s="74"/>
      <c r="EY54" s="74"/>
      <c r="EZ54" s="74"/>
      <c r="FA54" s="74"/>
      <c r="FB54" s="74"/>
      <c r="FC54" s="74"/>
      <c r="FD54" s="74"/>
      <c r="FE54" s="74"/>
      <c r="FF54" s="74"/>
      <c r="FG54" s="74"/>
      <c r="FH54" s="74"/>
      <c r="FI54" s="74"/>
      <c r="FJ54" s="74"/>
      <c r="FK54" s="68"/>
    </row>
    <row r="55" spans="1:183" s="2" customFormat="1" ht="15" x14ac:dyDescent="0.3">
      <c r="A55" s="73" t="s">
        <v>5</v>
      </c>
      <c r="B55" s="73" t="s">
        <v>236</v>
      </c>
      <c r="C55" s="73" t="s">
        <v>43</v>
      </c>
      <c r="D55" s="73" t="s">
        <v>48</v>
      </c>
      <c r="E55" s="73" t="s">
        <v>178</v>
      </c>
      <c r="F55" s="73" t="s">
        <v>210</v>
      </c>
      <c r="G55" s="73" t="s">
        <v>216</v>
      </c>
      <c r="H55" s="73"/>
      <c r="I55" s="74">
        <v>-13427</v>
      </c>
      <c r="J55" s="74">
        <v>-16861</v>
      </c>
      <c r="K55" s="74">
        <v>-40140</v>
      </c>
      <c r="L55" s="74">
        <v>-61053</v>
      </c>
      <c r="M55" s="74">
        <v>-63645</v>
      </c>
      <c r="N55" s="74">
        <v>-52729</v>
      </c>
      <c r="O55" s="74">
        <v>-82999</v>
      </c>
      <c r="P55" s="74">
        <v>-131819</v>
      </c>
      <c r="Q55" s="74">
        <v>0</v>
      </c>
      <c r="R55" s="74">
        <v>0</v>
      </c>
      <c r="S55" s="74">
        <v>0</v>
      </c>
      <c r="T55" s="74">
        <v>0</v>
      </c>
      <c r="U55" s="74">
        <v>0</v>
      </c>
      <c r="V55" s="74">
        <v>0</v>
      </c>
      <c r="W55" s="74">
        <v>0</v>
      </c>
      <c r="X55" s="74">
        <v>0</v>
      </c>
      <c r="Y55" s="74">
        <v>0</v>
      </c>
      <c r="Z55" s="74">
        <v>0</v>
      </c>
      <c r="AA55" s="74">
        <v>0</v>
      </c>
      <c r="AB55" s="74">
        <v>0</v>
      </c>
      <c r="AC55" s="74">
        <v>0</v>
      </c>
      <c r="AD55" s="74">
        <v>0</v>
      </c>
      <c r="AE55" s="74">
        <v>0</v>
      </c>
      <c r="AF55" s="74">
        <v>0</v>
      </c>
      <c r="AG55" s="74">
        <v>0</v>
      </c>
      <c r="AH55" s="74">
        <v>0</v>
      </c>
      <c r="AI55" s="74">
        <v>0</v>
      </c>
      <c r="AJ55" s="74">
        <v>0</v>
      </c>
      <c r="AK55" s="74"/>
      <c r="AL55" s="74">
        <v>-14951</v>
      </c>
      <c r="AM55" s="74">
        <v>-15724</v>
      </c>
      <c r="AN55" s="74">
        <v>-16378</v>
      </c>
      <c r="AO55" s="74">
        <v>-16592</v>
      </c>
      <c r="AP55" s="74">
        <v>-14207</v>
      </c>
      <c r="AQ55" s="74">
        <v>-11455</v>
      </c>
      <c r="AR55" s="74">
        <v>-12479</v>
      </c>
      <c r="AS55" s="74">
        <v>-14588</v>
      </c>
      <c r="AT55" s="74">
        <v>-14925</v>
      </c>
      <c r="AU55" s="74">
        <v>-17620</v>
      </c>
      <c r="AV55" s="74">
        <v>-22620</v>
      </c>
      <c r="AW55" s="74">
        <v>-27834</v>
      </c>
      <c r="AX55" s="74">
        <v>-25019</v>
      </c>
      <c r="AY55" s="74">
        <v>-32183</v>
      </c>
      <c r="AZ55" s="74">
        <v>-35095</v>
      </c>
      <c r="BA55" s="74">
        <v>-39522</v>
      </c>
      <c r="BB55" s="74">
        <v>0</v>
      </c>
      <c r="BC55" s="74">
        <v>0</v>
      </c>
      <c r="BD55" s="74">
        <v>0</v>
      </c>
      <c r="BE55" s="74">
        <v>0</v>
      </c>
      <c r="BF55" s="74">
        <v>0</v>
      </c>
      <c r="BG55" s="74">
        <v>0</v>
      </c>
      <c r="BH55" s="74">
        <v>0</v>
      </c>
      <c r="BI55" s="74">
        <v>0</v>
      </c>
      <c r="BJ55" s="74">
        <v>0</v>
      </c>
      <c r="BK55" s="74">
        <v>0</v>
      </c>
      <c r="BL55" s="74">
        <v>0</v>
      </c>
      <c r="BM55" s="74">
        <v>0</v>
      </c>
      <c r="BN55" s="74">
        <v>0</v>
      </c>
      <c r="BO55" s="74">
        <v>0</v>
      </c>
      <c r="BP55" s="74">
        <v>0</v>
      </c>
      <c r="BQ55" s="74">
        <v>0</v>
      </c>
      <c r="BR55" s="74">
        <v>0</v>
      </c>
      <c r="BS55" s="74">
        <v>0</v>
      </c>
      <c r="BT55" s="74">
        <v>0</v>
      </c>
      <c r="BU55" s="74">
        <v>0</v>
      </c>
      <c r="BV55" s="74">
        <v>0</v>
      </c>
      <c r="BW55" s="74">
        <v>0</v>
      </c>
      <c r="BX55" s="74">
        <v>0</v>
      </c>
      <c r="BY55" s="74">
        <v>0</v>
      </c>
      <c r="BZ55" s="74">
        <v>0</v>
      </c>
      <c r="CA55" s="74">
        <v>0</v>
      </c>
      <c r="CB55" s="74">
        <v>0</v>
      </c>
      <c r="CC55" s="74">
        <v>0</v>
      </c>
      <c r="CD55" s="74">
        <v>0</v>
      </c>
      <c r="CE55" s="74">
        <v>0</v>
      </c>
      <c r="CF55" s="74">
        <v>0</v>
      </c>
      <c r="CG55" s="74">
        <v>0</v>
      </c>
      <c r="CH55" s="74">
        <v>0</v>
      </c>
      <c r="CI55" s="74">
        <v>0</v>
      </c>
      <c r="CJ55" s="74">
        <v>0</v>
      </c>
      <c r="CK55" s="74">
        <v>0</v>
      </c>
      <c r="CL55" s="74">
        <v>0</v>
      </c>
      <c r="CM55" s="74">
        <v>0</v>
      </c>
      <c r="CN55" s="74">
        <v>0</v>
      </c>
      <c r="CO55" s="74">
        <v>0</v>
      </c>
      <c r="CP55" s="74">
        <v>0</v>
      </c>
      <c r="CQ55" s="74">
        <v>0</v>
      </c>
      <c r="CR55" s="74">
        <v>0</v>
      </c>
      <c r="CS55" s="74">
        <v>0</v>
      </c>
      <c r="CT55" s="74">
        <v>0</v>
      </c>
      <c r="CU55" s="74">
        <v>0</v>
      </c>
      <c r="CV55" s="74">
        <v>0</v>
      </c>
      <c r="CW55" s="74">
        <v>0</v>
      </c>
      <c r="CX55" s="74">
        <v>0</v>
      </c>
      <c r="CY55" s="74">
        <v>0</v>
      </c>
      <c r="CZ55" s="74">
        <v>0</v>
      </c>
      <c r="DA55" s="74">
        <v>0</v>
      </c>
      <c r="DB55" s="74">
        <v>0</v>
      </c>
      <c r="DC55" s="74">
        <v>0</v>
      </c>
      <c r="DD55" s="74">
        <v>0</v>
      </c>
      <c r="DE55" s="74">
        <v>0</v>
      </c>
      <c r="DF55" s="74">
        <v>0</v>
      </c>
      <c r="DG55" s="74">
        <v>0</v>
      </c>
      <c r="DH55" s="74">
        <v>0</v>
      </c>
      <c r="DI55" s="74">
        <v>0</v>
      </c>
      <c r="DJ55" s="74">
        <v>0</v>
      </c>
      <c r="DK55" s="74">
        <v>0</v>
      </c>
      <c r="DL55" s="74">
        <v>0</v>
      </c>
      <c r="DM55" s="74">
        <v>0</v>
      </c>
      <c r="DN55" s="74">
        <v>0</v>
      </c>
      <c r="DO55" s="74">
        <v>0</v>
      </c>
      <c r="DP55" s="74">
        <v>0</v>
      </c>
      <c r="DQ55" s="74">
        <v>0</v>
      </c>
      <c r="DR55" s="74">
        <v>0</v>
      </c>
      <c r="DS55" s="74">
        <v>0</v>
      </c>
      <c r="DT55" s="74">
        <v>0</v>
      </c>
      <c r="DU55" s="74">
        <v>0</v>
      </c>
      <c r="DV55" s="74">
        <v>0</v>
      </c>
      <c r="DW55" s="74">
        <v>0</v>
      </c>
      <c r="DX55" s="74">
        <v>0</v>
      </c>
      <c r="DY55" s="74">
        <v>0</v>
      </c>
      <c r="DZ55" s="74">
        <v>0</v>
      </c>
      <c r="EA55" s="74">
        <v>0</v>
      </c>
      <c r="EB55" s="74">
        <v>0</v>
      </c>
      <c r="EC55" s="74">
        <v>0</v>
      </c>
      <c r="ED55" s="74"/>
      <c r="EE55" s="68">
        <v>46063</v>
      </c>
      <c r="EF55" s="81">
        <v>46063.452996759261</v>
      </c>
      <c r="EG55" s="2" t="s">
        <v>70</v>
      </c>
      <c r="EH55" s="76">
        <v>2</v>
      </c>
      <c r="EI55" s="76" t="s">
        <v>32</v>
      </c>
      <c r="EJ55" s="74" t="s">
        <v>244</v>
      </c>
      <c r="EK55" s="78"/>
      <c r="EL55" s="74"/>
      <c r="EM55" s="74"/>
      <c r="EN55" s="68"/>
      <c r="ER55" s="73"/>
      <c r="ES55" s="74"/>
      <c r="ET55" s="74"/>
      <c r="EU55" s="74"/>
      <c r="EV55" s="74"/>
      <c r="EW55" s="74"/>
      <c r="EX55" s="74"/>
      <c r="EY55" s="74"/>
      <c r="EZ55" s="74"/>
      <c r="FA55" s="74"/>
      <c r="FB55" s="74"/>
      <c r="FC55" s="74"/>
      <c r="FD55" s="74"/>
      <c r="FE55" s="74"/>
      <c r="FF55" s="74"/>
      <c r="FG55" s="74"/>
      <c r="FH55" s="74"/>
      <c r="FI55" s="74"/>
      <c r="FJ55" s="74"/>
      <c r="FK55" s="68"/>
    </row>
    <row r="56" spans="1:183" s="2" customFormat="1" ht="15" x14ac:dyDescent="0.3">
      <c r="A56" s="73" t="s">
        <v>25</v>
      </c>
      <c r="B56" s="73" t="s">
        <v>25</v>
      </c>
      <c r="C56" s="73" t="s">
        <v>221</v>
      </c>
      <c r="D56" s="73" t="s">
        <v>48</v>
      </c>
      <c r="E56" s="73" t="s">
        <v>178</v>
      </c>
      <c r="F56" s="73" t="s">
        <v>210</v>
      </c>
      <c r="G56" s="73" t="s">
        <v>216</v>
      </c>
      <c r="H56" s="73"/>
      <c r="I56" s="74">
        <v>17296</v>
      </c>
      <c r="J56" s="74">
        <v>21653</v>
      </c>
      <c r="K56" s="74">
        <v>25924</v>
      </c>
      <c r="L56" s="74">
        <v>-14726</v>
      </c>
      <c r="M56" s="74">
        <v>-16893</v>
      </c>
      <c r="N56" s="74">
        <v>32217</v>
      </c>
      <c r="O56" s="74">
        <v>32878</v>
      </c>
      <c r="P56" s="74">
        <v>7695</v>
      </c>
      <c r="Q56" s="74">
        <v>0</v>
      </c>
      <c r="R56" s="74">
        <v>0</v>
      </c>
      <c r="S56" s="74">
        <v>0</v>
      </c>
      <c r="T56" s="74">
        <v>0</v>
      </c>
      <c r="U56" s="74">
        <v>0</v>
      </c>
      <c r="V56" s="74">
        <v>0</v>
      </c>
      <c r="W56" s="74">
        <v>0</v>
      </c>
      <c r="X56" s="74">
        <v>0</v>
      </c>
      <c r="Y56" s="74">
        <v>0</v>
      </c>
      <c r="Z56" s="74">
        <v>0</v>
      </c>
      <c r="AA56" s="74">
        <v>0</v>
      </c>
      <c r="AB56" s="74">
        <v>0</v>
      </c>
      <c r="AC56" s="74">
        <v>0</v>
      </c>
      <c r="AD56" s="74">
        <v>0</v>
      </c>
      <c r="AE56" s="74">
        <v>0</v>
      </c>
      <c r="AF56" s="74">
        <v>0</v>
      </c>
      <c r="AG56" s="74">
        <v>0</v>
      </c>
      <c r="AH56" s="74">
        <v>0</v>
      </c>
      <c r="AI56" s="74">
        <v>0</v>
      </c>
      <c r="AJ56" s="74">
        <v>0</v>
      </c>
      <c r="AK56" s="74"/>
      <c r="AL56" s="74">
        <v>12161</v>
      </c>
      <c r="AM56" s="74">
        <v>24689</v>
      </c>
      <c r="AN56" s="74">
        <v>27782</v>
      </c>
      <c r="AO56" s="74">
        <v>45765</v>
      </c>
      <c r="AP56" s="74">
        <v>18995</v>
      </c>
      <c r="AQ56" s="74">
        <v>27931</v>
      </c>
      <c r="AR56" s="74">
        <v>33696</v>
      </c>
      <c r="AS56" s="74">
        <v>57053</v>
      </c>
      <c r="AT56" s="74">
        <v>33914</v>
      </c>
      <c r="AU56" s="74">
        <v>42901</v>
      </c>
      <c r="AV56" s="74">
        <v>48591</v>
      </c>
      <c r="AW56" s="74">
        <v>73470</v>
      </c>
      <c r="AX56" s="74">
        <v>42034</v>
      </c>
      <c r="AY56" s="74">
        <v>64698</v>
      </c>
      <c r="AZ56" s="74">
        <v>70620</v>
      </c>
      <c r="BA56" s="74">
        <v>93981</v>
      </c>
      <c r="BB56" s="74">
        <v>0</v>
      </c>
      <c r="BC56" s="74">
        <v>0</v>
      </c>
      <c r="BD56" s="74">
        <v>0</v>
      </c>
      <c r="BE56" s="74">
        <v>0</v>
      </c>
      <c r="BF56" s="74">
        <v>0</v>
      </c>
      <c r="BG56" s="74">
        <v>0</v>
      </c>
      <c r="BH56" s="74">
        <v>0</v>
      </c>
      <c r="BI56" s="74">
        <v>0</v>
      </c>
      <c r="BJ56" s="74">
        <v>0</v>
      </c>
      <c r="BK56" s="74">
        <v>0</v>
      </c>
      <c r="BL56" s="74">
        <v>0</v>
      </c>
      <c r="BM56" s="74">
        <v>0</v>
      </c>
      <c r="BN56" s="74">
        <v>0</v>
      </c>
      <c r="BO56" s="74">
        <v>0</v>
      </c>
      <c r="BP56" s="74">
        <v>0</v>
      </c>
      <c r="BQ56" s="74">
        <v>0</v>
      </c>
      <c r="BR56" s="74">
        <v>0</v>
      </c>
      <c r="BS56" s="74">
        <v>0</v>
      </c>
      <c r="BT56" s="74">
        <v>0</v>
      </c>
      <c r="BU56" s="74">
        <v>0</v>
      </c>
      <c r="BV56" s="74">
        <v>0</v>
      </c>
      <c r="BW56" s="74">
        <v>0</v>
      </c>
      <c r="BX56" s="74">
        <v>0</v>
      </c>
      <c r="BY56" s="74">
        <v>0</v>
      </c>
      <c r="BZ56" s="74">
        <v>0</v>
      </c>
      <c r="CA56" s="74">
        <v>0</v>
      </c>
      <c r="CB56" s="74">
        <v>0</v>
      </c>
      <c r="CC56" s="74">
        <v>0</v>
      </c>
      <c r="CD56" s="74">
        <v>0</v>
      </c>
      <c r="CE56" s="74">
        <v>0</v>
      </c>
      <c r="CF56" s="74">
        <v>0</v>
      </c>
      <c r="CG56" s="74">
        <v>0</v>
      </c>
      <c r="CH56" s="74">
        <v>0</v>
      </c>
      <c r="CI56" s="74">
        <v>0</v>
      </c>
      <c r="CJ56" s="74">
        <v>0</v>
      </c>
      <c r="CK56" s="74">
        <v>0</v>
      </c>
      <c r="CL56" s="74">
        <v>0</v>
      </c>
      <c r="CM56" s="74">
        <v>0</v>
      </c>
      <c r="CN56" s="74">
        <v>0</v>
      </c>
      <c r="CO56" s="74">
        <v>0</v>
      </c>
      <c r="CP56" s="74">
        <v>0</v>
      </c>
      <c r="CQ56" s="74">
        <v>0</v>
      </c>
      <c r="CR56" s="74">
        <v>0</v>
      </c>
      <c r="CS56" s="74">
        <v>0</v>
      </c>
      <c r="CT56" s="74">
        <v>0</v>
      </c>
      <c r="CU56" s="74">
        <v>0</v>
      </c>
      <c r="CV56" s="74">
        <v>0</v>
      </c>
      <c r="CW56" s="74">
        <v>0</v>
      </c>
      <c r="CX56" s="74">
        <v>0</v>
      </c>
      <c r="CY56" s="74">
        <v>0</v>
      </c>
      <c r="CZ56" s="74">
        <v>0</v>
      </c>
      <c r="DA56" s="74">
        <v>0</v>
      </c>
      <c r="DB56" s="74">
        <v>0</v>
      </c>
      <c r="DC56" s="74">
        <v>0</v>
      </c>
      <c r="DD56" s="74">
        <v>0</v>
      </c>
      <c r="DE56" s="74">
        <v>0</v>
      </c>
      <c r="DF56" s="74">
        <v>0</v>
      </c>
      <c r="DG56" s="74">
        <v>0</v>
      </c>
      <c r="DH56" s="74">
        <v>0</v>
      </c>
      <c r="DI56" s="74">
        <v>0</v>
      </c>
      <c r="DJ56" s="74">
        <v>0</v>
      </c>
      <c r="DK56" s="74">
        <v>0</v>
      </c>
      <c r="DL56" s="74">
        <v>0</v>
      </c>
      <c r="DM56" s="74">
        <v>0</v>
      </c>
      <c r="DN56" s="74">
        <v>0</v>
      </c>
      <c r="DO56" s="74">
        <v>0</v>
      </c>
      <c r="DP56" s="74">
        <v>0</v>
      </c>
      <c r="DQ56" s="74">
        <v>0</v>
      </c>
      <c r="DR56" s="74">
        <v>0</v>
      </c>
      <c r="DS56" s="74">
        <v>0</v>
      </c>
      <c r="DT56" s="74">
        <v>0</v>
      </c>
      <c r="DU56" s="74">
        <v>0</v>
      </c>
      <c r="DV56" s="74">
        <v>0</v>
      </c>
      <c r="DW56" s="74">
        <v>0</v>
      </c>
      <c r="DX56" s="74">
        <v>0</v>
      </c>
      <c r="DY56" s="74">
        <v>0</v>
      </c>
      <c r="DZ56" s="74">
        <v>0</v>
      </c>
      <c r="EA56" s="74">
        <v>0</v>
      </c>
      <c r="EB56" s="74">
        <v>0</v>
      </c>
      <c r="EC56" s="74">
        <v>0</v>
      </c>
      <c r="ED56" s="74"/>
      <c r="EE56" s="68">
        <v>46063</v>
      </c>
      <c r="EF56" s="81">
        <v>46063.452996759261</v>
      </c>
      <c r="EG56" s="2" t="s">
        <v>70</v>
      </c>
      <c r="EH56" s="76">
        <v>2</v>
      </c>
      <c r="EI56" s="76" t="s">
        <v>32</v>
      </c>
      <c r="EJ56" s="74" t="s">
        <v>244</v>
      </c>
      <c r="EK56" s="78"/>
      <c r="EL56" s="74"/>
      <c r="EM56" s="74"/>
      <c r="EN56" s="68"/>
      <c r="ER56" s="73"/>
      <c r="ES56" s="74"/>
      <c r="ET56" s="74"/>
      <c r="EU56" s="74"/>
      <c r="EV56" s="74"/>
      <c r="EW56" s="74"/>
      <c r="EX56" s="74"/>
      <c r="EY56" s="74"/>
      <c r="EZ56" s="74"/>
      <c r="FA56" s="74"/>
      <c r="FB56" s="74"/>
      <c r="FC56" s="74"/>
      <c r="FD56" s="74"/>
      <c r="FE56" s="74"/>
      <c r="FF56" s="74"/>
      <c r="FG56" s="74"/>
      <c r="FH56" s="74"/>
      <c r="FI56" s="74"/>
      <c r="FJ56" s="74"/>
      <c r="FK56" s="68"/>
    </row>
    <row r="57" spans="1:183" s="2" customFormat="1" ht="15" x14ac:dyDescent="0.3">
      <c r="A57" s="73" t="s">
        <v>179</v>
      </c>
      <c r="B57" s="73" t="s">
        <v>237</v>
      </c>
      <c r="C57" s="73" t="s">
        <v>222</v>
      </c>
      <c r="D57" s="73" t="s">
        <v>48</v>
      </c>
      <c r="E57" s="73" t="s">
        <v>178</v>
      </c>
      <c r="F57" s="73" t="s">
        <v>210</v>
      </c>
      <c r="G57" s="73" t="s">
        <v>223</v>
      </c>
      <c r="H57" s="73"/>
      <c r="I57" s="74">
        <v>0</v>
      </c>
      <c r="J57" s="74">
        <v>0</v>
      </c>
      <c r="K57" s="74">
        <v>379570.5625</v>
      </c>
      <c r="L57" s="74">
        <v>470209.25</v>
      </c>
      <c r="M57" s="74">
        <v>512444.21568627452</v>
      </c>
      <c r="N57" s="74">
        <v>570828.56666666665</v>
      </c>
      <c r="O57" s="74">
        <v>637832.47945205483</v>
      </c>
      <c r="P57" s="74">
        <v>714794.27536231885</v>
      </c>
      <c r="Q57" s="74">
        <v>0</v>
      </c>
      <c r="R57" s="74">
        <v>0</v>
      </c>
      <c r="S57" s="74">
        <v>0</v>
      </c>
      <c r="T57" s="74">
        <v>0</v>
      </c>
      <c r="U57" s="74">
        <v>0</v>
      </c>
      <c r="V57" s="74">
        <v>0</v>
      </c>
      <c r="W57" s="74">
        <v>0</v>
      </c>
      <c r="X57" s="74">
        <v>0</v>
      </c>
      <c r="Y57" s="74">
        <v>0</v>
      </c>
      <c r="Z57" s="74">
        <v>0</v>
      </c>
      <c r="AA57" s="74">
        <v>0</v>
      </c>
      <c r="AB57" s="74">
        <v>0</v>
      </c>
      <c r="AC57" s="74">
        <v>0</v>
      </c>
      <c r="AD57" s="74">
        <v>0</v>
      </c>
      <c r="AE57" s="74">
        <v>0</v>
      </c>
      <c r="AF57" s="74">
        <v>0</v>
      </c>
      <c r="AG57" s="74">
        <v>0</v>
      </c>
      <c r="AH57" s="74">
        <v>0</v>
      </c>
      <c r="AI57" s="74">
        <v>0</v>
      </c>
      <c r="AJ57" s="74">
        <v>0</v>
      </c>
      <c r="AK57" s="74"/>
      <c r="AL57" s="74">
        <v>0</v>
      </c>
      <c r="AM57" s="74">
        <v>0</v>
      </c>
      <c r="AN57" s="74">
        <v>0</v>
      </c>
      <c r="AO57" s="74">
        <v>0</v>
      </c>
      <c r="AP57" s="74">
        <v>0</v>
      </c>
      <c r="AQ57" s="74">
        <v>0</v>
      </c>
      <c r="AR57" s="74">
        <v>0</v>
      </c>
      <c r="AS57" s="74">
        <v>0</v>
      </c>
      <c r="AT57" s="74">
        <v>0</v>
      </c>
      <c r="AU57" s="74">
        <v>0</v>
      </c>
      <c r="AV57" s="74">
        <v>0</v>
      </c>
      <c r="AW57" s="74">
        <v>0</v>
      </c>
      <c r="AX57" s="74">
        <v>0</v>
      </c>
      <c r="AY57" s="74">
        <v>0</v>
      </c>
      <c r="AZ57" s="74">
        <v>0</v>
      </c>
      <c r="BA57" s="74">
        <v>0</v>
      </c>
      <c r="BB57" s="74">
        <v>0</v>
      </c>
      <c r="BC57" s="74">
        <v>0</v>
      </c>
      <c r="BD57" s="74">
        <v>0</v>
      </c>
      <c r="BE57" s="74">
        <v>0</v>
      </c>
      <c r="BF57" s="74">
        <v>0</v>
      </c>
      <c r="BG57" s="74">
        <v>0</v>
      </c>
      <c r="BH57" s="74">
        <v>0</v>
      </c>
      <c r="BI57" s="74">
        <v>0</v>
      </c>
      <c r="BJ57" s="74">
        <v>0</v>
      </c>
      <c r="BK57" s="74">
        <v>0</v>
      </c>
      <c r="BL57" s="74">
        <v>0</v>
      </c>
      <c r="BM57" s="74">
        <v>0</v>
      </c>
      <c r="BN57" s="74">
        <v>0</v>
      </c>
      <c r="BO57" s="74">
        <v>0</v>
      </c>
      <c r="BP57" s="74">
        <v>0</v>
      </c>
      <c r="BQ57" s="74">
        <v>0</v>
      </c>
      <c r="BR57" s="74">
        <v>0</v>
      </c>
      <c r="BS57" s="74">
        <v>0</v>
      </c>
      <c r="BT57" s="74">
        <v>0</v>
      </c>
      <c r="BU57" s="74">
        <v>0</v>
      </c>
      <c r="BV57" s="74">
        <v>0</v>
      </c>
      <c r="BW57" s="74">
        <v>0</v>
      </c>
      <c r="BX57" s="74">
        <v>0</v>
      </c>
      <c r="BY57" s="74">
        <v>0</v>
      </c>
      <c r="BZ57" s="74">
        <v>0</v>
      </c>
      <c r="CA57" s="74">
        <v>0</v>
      </c>
      <c r="CB57" s="74">
        <v>0</v>
      </c>
      <c r="CC57" s="74">
        <v>0</v>
      </c>
      <c r="CD57" s="74">
        <v>0</v>
      </c>
      <c r="CE57" s="74">
        <v>0</v>
      </c>
      <c r="CF57" s="74">
        <v>0</v>
      </c>
      <c r="CG57" s="74">
        <v>0</v>
      </c>
      <c r="CH57" s="74">
        <v>0</v>
      </c>
      <c r="CI57" s="74">
        <v>0</v>
      </c>
      <c r="CJ57" s="74">
        <v>0</v>
      </c>
      <c r="CK57" s="74">
        <v>0</v>
      </c>
      <c r="CL57" s="74">
        <v>0</v>
      </c>
      <c r="CM57" s="74">
        <v>0</v>
      </c>
      <c r="CN57" s="74">
        <v>0</v>
      </c>
      <c r="CO57" s="74">
        <v>0</v>
      </c>
      <c r="CP57" s="74">
        <v>0</v>
      </c>
      <c r="CQ57" s="74">
        <v>0</v>
      </c>
      <c r="CR57" s="74">
        <v>0</v>
      </c>
      <c r="CS57" s="74">
        <v>0</v>
      </c>
      <c r="CT57" s="74">
        <v>0</v>
      </c>
      <c r="CU57" s="74">
        <v>0</v>
      </c>
      <c r="CV57" s="74">
        <v>0</v>
      </c>
      <c r="CW57" s="74">
        <v>0</v>
      </c>
      <c r="CX57" s="74">
        <v>0</v>
      </c>
      <c r="CY57" s="74">
        <v>0</v>
      </c>
      <c r="CZ57" s="74">
        <v>0</v>
      </c>
      <c r="DA57" s="74">
        <v>0</v>
      </c>
      <c r="DB57" s="74">
        <v>0</v>
      </c>
      <c r="DC57" s="74">
        <v>0</v>
      </c>
      <c r="DD57" s="74">
        <v>0</v>
      </c>
      <c r="DE57" s="74">
        <v>0</v>
      </c>
      <c r="DF57" s="74">
        <v>0</v>
      </c>
      <c r="DG57" s="74">
        <v>0</v>
      </c>
      <c r="DH57" s="74">
        <v>0</v>
      </c>
      <c r="DI57" s="74">
        <v>0</v>
      </c>
      <c r="DJ57" s="74">
        <v>0</v>
      </c>
      <c r="DK57" s="74">
        <v>0</v>
      </c>
      <c r="DL57" s="74">
        <v>0</v>
      </c>
      <c r="DM57" s="74">
        <v>0</v>
      </c>
      <c r="DN57" s="74">
        <v>0</v>
      </c>
      <c r="DO57" s="74">
        <v>0</v>
      </c>
      <c r="DP57" s="74">
        <v>0</v>
      </c>
      <c r="DQ57" s="74">
        <v>0</v>
      </c>
      <c r="DR57" s="74">
        <v>0</v>
      </c>
      <c r="DS57" s="74">
        <v>0</v>
      </c>
      <c r="DT57" s="74">
        <v>0</v>
      </c>
      <c r="DU57" s="74">
        <v>0</v>
      </c>
      <c r="DV57" s="74">
        <v>0</v>
      </c>
      <c r="DW57" s="74">
        <v>0</v>
      </c>
      <c r="DX57" s="74">
        <v>0</v>
      </c>
      <c r="DY57" s="74">
        <v>0</v>
      </c>
      <c r="DZ57" s="74">
        <v>0</v>
      </c>
      <c r="EA57" s="74">
        <v>0</v>
      </c>
      <c r="EB57" s="74">
        <v>0</v>
      </c>
      <c r="EC57" s="74">
        <v>0</v>
      </c>
      <c r="ED57" s="74"/>
      <c r="EE57" s="68">
        <v>46063</v>
      </c>
      <c r="EF57" s="81">
        <v>46063.452996759261</v>
      </c>
      <c r="EG57" s="2" t="s">
        <v>70</v>
      </c>
      <c r="EH57" s="76">
        <v>2</v>
      </c>
      <c r="EI57" s="76" t="s">
        <v>32</v>
      </c>
      <c r="EJ57" s="74" t="s">
        <v>244</v>
      </c>
      <c r="EK57" s="66"/>
      <c r="EL57" s="66"/>
      <c r="EM57" s="66"/>
      <c r="EN57" s="66"/>
      <c r="EO57" s="82"/>
      <c r="EP57" s="82"/>
      <c r="EQ57" s="77"/>
      <c r="ER57" s="84"/>
      <c r="ES57" s="84"/>
      <c r="ET57" s="84"/>
      <c r="EU57" s="85"/>
      <c r="EV57" s="86"/>
      <c r="EW57" s="85"/>
      <c r="EX57" s="85"/>
      <c r="EY57" s="76"/>
      <c r="EZ57" s="74"/>
      <c r="FA57" s="74"/>
      <c r="FB57" s="74"/>
      <c r="FC57" s="74"/>
      <c r="FD57" s="68"/>
      <c r="FH57" s="73"/>
      <c r="FI57" s="74"/>
      <c r="FJ57" s="74"/>
      <c r="FK57" s="74"/>
      <c r="FL57" s="74"/>
      <c r="FM57" s="74"/>
      <c r="FN57" s="74"/>
      <c r="FO57" s="74"/>
      <c r="FP57" s="74"/>
      <c r="FQ57" s="74"/>
      <c r="FR57" s="74"/>
      <c r="FS57" s="74"/>
      <c r="FT57" s="74"/>
      <c r="FU57" s="74"/>
      <c r="FV57" s="74"/>
      <c r="FW57" s="74"/>
      <c r="FX57" s="74"/>
      <c r="FY57" s="74"/>
      <c r="FZ57" s="74"/>
      <c r="GA57" s="68"/>
    </row>
    <row r="58" spans="1:183" s="2" customFormat="1" ht="15" x14ac:dyDescent="0.3">
      <c r="A58" s="73" t="s">
        <v>180</v>
      </c>
      <c r="B58" s="73" t="s">
        <v>238</v>
      </c>
      <c r="C58" s="73" t="s">
        <v>224</v>
      </c>
      <c r="D58" s="73" t="s">
        <v>48</v>
      </c>
      <c r="E58" s="73" t="s">
        <v>178</v>
      </c>
      <c r="F58" s="73" t="s">
        <v>210</v>
      </c>
      <c r="G58" s="73" t="s">
        <v>223</v>
      </c>
      <c r="H58" s="73"/>
      <c r="I58" s="74">
        <v>0</v>
      </c>
      <c r="J58" s="74">
        <v>0</v>
      </c>
      <c r="K58" s="74">
        <v>54004.304347826102</v>
      </c>
      <c r="L58" s="74">
        <v>69215.75</v>
      </c>
      <c r="M58" s="74">
        <v>71134.100000000006</v>
      </c>
      <c r="N58" s="74">
        <v>105558.108108108</v>
      </c>
      <c r="O58" s="74">
        <v>141591.42857142899</v>
      </c>
      <c r="P58" s="74">
        <v>167196.97619047601</v>
      </c>
      <c r="Q58" s="74">
        <v>0</v>
      </c>
      <c r="R58" s="74">
        <v>0</v>
      </c>
      <c r="S58" s="74">
        <v>0</v>
      </c>
      <c r="T58" s="74">
        <v>0</v>
      </c>
      <c r="U58" s="74">
        <v>0</v>
      </c>
      <c r="V58" s="74">
        <v>0</v>
      </c>
      <c r="W58" s="74">
        <v>0</v>
      </c>
      <c r="X58" s="74">
        <v>0</v>
      </c>
      <c r="Y58" s="74">
        <v>0</v>
      </c>
      <c r="Z58" s="74">
        <v>0</v>
      </c>
      <c r="AA58" s="74">
        <v>0</v>
      </c>
      <c r="AB58" s="74">
        <v>0</v>
      </c>
      <c r="AC58" s="74">
        <v>0</v>
      </c>
      <c r="AD58" s="74">
        <v>0</v>
      </c>
      <c r="AE58" s="74">
        <v>0</v>
      </c>
      <c r="AF58" s="74">
        <v>0</v>
      </c>
      <c r="AG58" s="74">
        <v>0</v>
      </c>
      <c r="AH58" s="74">
        <v>0</v>
      </c>
      <c r="AI58" s="74">
        <v>0</v>
      </c>
      <c r="AJ58" s="74">
        <v>0</v>
      </c>
      <c r="AK58" s="74"/>
      <c r="AL58" s="74">
        <v>0</v>
      </c>
      <c r="AM58" s="74">
        <v>0</v>
      </c>
      <c r="AN58" s="74">
        <v>0</v>
      </c>
      <c r="AO58" s="74">
        <v>0</v>
      </c>
      <c r="AP58" s="74">
        <v>0</v>
      </c>
      <c r="AQ58" s="74">
        <v>0</v>
      </c>
      <c r="AR58" s="74">
        <v>0</v>
      </c>
      <c r="AS58" s="74">
        <v>0</v>
      </c>
      <c r="AT58" s="74">
        <v>0</v>
      </c>
      <c r="AU58" s="74">
        <v>0</v>
      </c>
      <c r="AV58" s="74">
        <v>0</v>
      </c>
      <c r="AW58" s="74">
        <v>0</v>
      </c>
      <c r="AX58" s="74">
        <v>0</v>
      </c>
      <c r="AY58" s="74">
        <v>0</v>
      </c>
      <c r="AZ58" s="74">
        <v>0</v>
      </c>
      <c r="BA58" s="74">
        <v>0</v>
      </c>
      <c r="BB58" s="74">
        <v>0</v>
      </c>
      <c r="BC58" s="74">
        <v>0</v>
      </c>
      <c r="BD58" s="74">
        <v>0</v>
      </c>
      <c r="BE58" s="74">
        <v>0</v>
      </c>
      <c r="BF58" s="74">
        <v>0</v>
      </c>
      <c r="BG58" s="74">
        <v>0</v>
      </c>
      <c r="BH58" s="74">
        <v>0</v>
      </c>
      <c r="BI58" s="74">
        <v>0</v>
      </c>
      <c r="BJ58" s="74">
        <v>0</v>
      </c>
      <c r="BK58" s="74">
        <v>0</v>
      </c>
      <c r="BL58" s="74">
        <v>0</v>
      </c>
      <c r="BM58" s="74">
        <v>0</v>
      </c>
      <c r="BN58" s="74">
        <v>0</v>
      </c>
      <c r="BO58" s="74">
        <v>0</v>
      </c>
      <c r="BP58" s="74">
        <v>0</v>
      </c>
      <c r="BQ58" s="74">
        <v>0</v>
      </c>
      <c r="BR58" s="74">
        <v>0</v>
      </c>
      <c r="BS58" s="74">
        <v>0</v>
      </c>
      <c r="BT58" s="74">
        <v>0</v>
      </c>
      <c r="BU58" s="74">
        <v>0</v>
      </c>
      <c r="BV58" s="74">
        <v>0</v>
      </c>
      <c r="BW58" s="74">
        <v>0</v>
      </c>
      <c r="BX58" s="74">
        <v>0</v>
      </c>
      <c r="BY58" s="74">
        <v>0</v>
      </c>
      <c r="BZ58" s="74">
        <v>0</v>
      </c>
      <c r="CA58" s="74">
        <v>0</v>
      </c>
      <c r="CB58" s="74">
        <v>0</v>
      </c>
      <c r="CC58" s="74">
        <v>0</v>
      </c>
      <c r="CD58" s="74">
        <v>0</v>
      </c>
      <c r="CE58" s="74">
        <v>0</v>
      </c>
      <c r="CF58" s="74">
        <v>0</v>
      </c>
      <c r="CG58" s="74">
        <v>0</v>
      </c>
      <c r="CH58" s="74">
        <v>0</v>
      </c>
      <c r="CI58" s="74">
        <v>0</v>
      </c>
      <c r="CJ58" s="74">
        <v>0</v>
      </c>
      <c r="CK58" s="74">
        <v>0</v>
      </c>
      <c r="CL58" s="74">
        <v>0</v>
      </c>
      <c r="CM58" s="74">
        <v>0</v>
      </c>
      <c r="CN58" s="74">
        <v>0</v>
      </c>
      <c r="CO58" s="74">
        <v>0</v>
      </c>
      <c r="CP58" s="74">
        <v>0</v>
      </c>
      <c r="CQ58" s="74">
        <v>0</v>
      </c>
      <c r="CR58" s="74">
        <v>0</v>
      </c>
      <c r="CS58" s="74">
        <v>0</v>
      </c>
      <c r="CT58" s="74">
        <v>0</v>
      </c>
      <c r="CU58" s="74">
        <v>0</v>
      </c>
      <c r="CV58" s="74">
        <v>0</v>
      </c>
      <c r="CW58" s="74">
        <v>0</v>
      </c>
      <c r="CX58" s="74">
        <v>0</v>
      </c>
      <c r="CY58" s="74">
        <v>0</v>
      </c>
      <c r="CZ58" s="74">
        <v>0</v>
      </c>
      <c r="DA58" s="74">
        <v>0</v>
      </c>
      <c r="DB58" s="74">
        <v>0</v>
      </c>
      <c r="DC58" s="74">
        <v>0</v>
      </c>
      <c r="DD58" s="74">
        <v>0</v>
      </c>
      <c r="DE58" s="74">
        <v>0</v>
      </c>
      <c r="DF58" s="74">
        <v>0</v>
      </c>
      <c r="DG58" s="74">
        <v>0</v>
      </c>
      <c r="DH58" s="74">
        <v>0</v>
      </c>
      <c r="DI58" s="74">
        <v>0</v>
      </c>
      <c r="DJ58" s="74">
        <v>0</v>
      </c>
      <c r="DK58" s="74">
        <v>0</v>
      </c>
      <c r="DL58" s="74">
        <v>0</v>
      </c>
      <c r="DM58" s="74">
        <v>0</v>
      </c>
      <c r="DN58" s="74">
        <v>0</v>
      </c>
      <c r="DO58" s="74">
        <v>0</v>
      </c>
      <c r="DP58" s="74">
        <v>0</v>
      </c>
      <c r="DQ58" s="74">
        <v>0</v>
      </c>
      <c r="DR58" s="74">
        <v>0</v>
      </c>
      <c r="DS58" s="74">
        <v>0</v>
      </c>
      <c r="DT58" s="74">
        <v>0</v>
      </c>
      <c r="DU58" s="74">
        <v>0</v>
      </c>
      <c r="DV58" s="74">
        <v>0</v>
      </c>
      <c r="DW58" s="74">
        <v>0</v>
      </c>
      <c r="DX58" s="74">
        <v>0</v>
      </c>
      <c r="DY58" s="74">
        <v>0</v>
      </c>
      <c r="DZ58" s="74">
        <v>0</v>
      </c>
      <c r="EA58" s="74">
        <v>0</v>
      </c>
      <c r="EB58" s="74">
        <v>0</v>
      </c>
      <c r="EC58" s="74">
        <v>0</v>
      </c>
      <c r="ED58" s="74"/>
      <c r="EE58" s="68">
        <v>46063</v>
      </c>
      <c r="EF58" s="81">
        <v>46063.452996759261</v>
      </c>
      <c r="EG58" s="2" t="s">
        <v>70</v>
      </c>
      <c r="EH58" s="76">
        <v>2</v>
      </c>
      <c r="EI58" s="76" t="s">
        <v>32</v>
      </c>
      <c r="EJ58" s="74" t="s">
        <v>244</v>
      </c>
      <c r="EK58" s="66"/>
      <c r="EL58" s="66"/>
      <c r="EM58" s="66"/>
      <c r="EN58" s="66"/>
      <c r="EO58" s="82"/>
      <c r="EP58" s="82"/>
      <c r="EQ58" s="77"/>
      <c r="ER58" s="84"/>
      <c r="ES58" s="84"/>
      <c r="ET58" s="84"/>
      <c r="EU58" s="85"/>
      <c r="EV58" s="86"/>
      <c r="EW58" s="85"/>
      <c r="EX58" s="85"/>
      <c r="EY58" s="76"/>
      <c r="EZ58" s="74"/>
      <c r="FA58" s="74"/>
      <c r="FB58" s="74"/>
      <c r="FC58" s="74"/>
      <c r="FD58" s="68"/>
      <c r="FH58" s="73"/>
      <c r="FI58" s="74"/>
      <c r="FJ58" s="74"/>
      <c r="FK58" s="74"/>
      <c r="FL58" s="74"/>
      <c r="FM58" s="74"/>
      <c r="FN58" s="74"/>
      <c r="FO58" s="74"/>
      <c r="FP58" s="74"/>
      <c r="FQ58" s="74"/>
      <c r="FR58" s="74"/>
      <c r="FS58" s="74"/>
      <c r="FT58" s="74"/>
      <c r="FU58" s="74"/>
      <c r="FV58" s="74"/>
      <c r="FW58" s="74"/>
      <c r="FX58" s="74"/>
      <c r="FY58" s="74"/>
      <c r="FZ58" s="74"/>
      <c r="GA58" s="68"/>
    </row>
    <row r="59" spans="1:183" s="2" customFormat="1" ht="15" x14ac:dyDescent="0.3">
      <c r="A59" s="73" t="s">
        <v>207</v>
      </c>
      <c r="B59" s="73" t="s">
        <v>239</v>
      </c>
      <c r="C59" s="73" t="s">
        <v>225</v>
      </c>
      <c r="D59" s="73" t="s">
        <v>48</v>
      </c>
      <c r="E59" s="73" t="s">
        <v>178</v>
      </c>
      <c r="F59" s="73" t="s">
        <v>210</v>
      </c>
      <c r="G59" s="73" t="s">
        <v>223</v>
      </c>
      <c r="H59" s="73"/>
      <c r="I59" s="74">
        <v>0</v>
      </c>
      <c r="J59" s="74">
        <v>0</v>
      </c>
      <c r="K59" s="74">
        <v>10207.024050742588</v>
      </c>
      <c r="L59" s="74">
        <v>10295.779883213234</v>
      </c>
      <c r="M59" s="74">
        <v>10151.036700934954</v>
      </c>
      <c r="N59" s="74">
        <v>10448.534335803881</v>
      </c>
      <c r="O59" s="74">
        <v>10673.972331158458</v>
      </c>
      <c r="P59" s="74">
        <v>10786.713287633916</v>
      </c>
      <c r="Q59" s="74">
        <v>0</v>
      </c>
      <c r="R59" s="74">
        <v>0</v>
      </c>
      <c r="S59" s="74">
        <v>0</v>
      </c>
      <c r="T59" s="74">
        <v>0</v>
      </c>
      <c r="U59" s="74">
        <v>0</v>
      </c>
      <c r="V59" s="74">
        <v>0</v>
      </c>
      <c r="W59" s="74">
        <v>0</v>
      </c>
      <c r="X59" s="74">
        <v>0</v>
      </c>
      <c r="Y59" s="74">
        <v>0</v>
      </c>
      <c r="Z59" s="74">
        <v>0</v>
      </c>
      <c r="AA59" s="74">
        <v>0</v>
      </c>
      <c r="AB59" s="74">
        <v>0</v>
      </c>
      <c r="AC59" s="74">
        <v>0</v>
      </c>
      <c r="AD59" s="74">
        <v>0</v>
      </c>
      <c r="AE59" s="74">
        <v>0</v>
      </c>
      <c r="AF59" s="74">
        <v>0</v>
      </c>
      <c r="AG59" s="74">
        <v>0</v>
      </c>
      <c r="AH59" s="74">
        <v>0</v>
      </c>
      <c r="AI59" s="74">
        <v>0</v>
      </c>
      <c r="AJ59" s="74">
        <v>0</v>
      </c>
      <c r="AK59" s="74"/>
      <c r="AL59" s="74">
        <v>0</v>
      </c>
      <c r="AM59" s="74">
        <v>0</v>
      </c>
      <c r="AN59" s="74">
        <v>0</v>
      </c>
      <c r="AO59" s="74">
        <v>0</v>
      </c>
      <c r="AP59" s="74">
        <v>0</v>
      </c>
      <c r="AQ59" s="74">
        <v>0</v>
      </c>
      <c r="AR59" s="74">
        <v>0</v>
      </c>
      <c r="AS59" s="74">
        <v>0</v>
      </c>
      <c r="AT59" s="74">
        <v>0</v>
      </c>
      <c r="AU59" s="74">
        <v>0</v>
      </c>
      <c r="AV59" s="74">
        <v>0</v>
      </c>
      <c r="AW59" s="74">
        <v>0</v>
      </c>
      <c r="AX59" s="74">
        <v>0</v>
      </c>
      <c r="AY59" s="74">
        <v>0</v>
      </c>
      <c r="AZ59" s="74">
        <v>0</v>
      </c>
      <c r="BA59" s="74">
        <v>0</v>
      </c>
      <c r="BB59" s="74">
        <v>0</v>
      </c>
      <c r="BC59" s="74">
        <v>0</v>
      </c>
      <c r="BD59" s="74">
        <v>0</v>
      </c>
      <c r="BE59" s="74">
        <v>0</v>
      </c>
      <c r="BF59" s="74">
        <v>0</v>
      </c>
      <c r="BG59" s="74">
        <v>0</v>
      </c>
      <c r="BH59" s="74">
        <v>0</v>
      </c>
      <c r="BI59" s="74">
        <v>0</v>
      </c>
      <c r="BJ59" s="74">
        <v>0</v>
      </c>
      <c r="BK59" s="74">
        <v>0</v>
      </c>
      <c r="BL59" s="74">
        <v>0</v>
      </c>
      <c r="BM59" s="74">
        <v>0</v>
      </c>
      <c r="BN59" s="74">
        <v>0</v>
      </c>
      <c r="BO59" s="74">
        <v>0</v>
      </c>
      <c r="BP59" s="74">
        <v>0</v>
      </c>
      <c r="BQ59" s="74">
        <v>0</v>
      </c>
      <c r="BR59" s="74">
        <v>0</v>
      </c>
      <c r="BS59" s="74">
        <v>0</v>
      </c>
      <c r="BT59" s="74">
        <v>0</v>
      </c>
      <c r="BU59" s="74">
        <v>0</v>
      </c>
      <c r="BV59" s="74">
        <v>0</v>
      </c>
      <c r="BW59" s="74">
        <v>0</v>
      </c>
      <c r="BX59" s="74">
        <v>0</v>
      </c>
      <c r="BY59" s="74">
        <v>0</v>
      </c>
      <c r="BZ59" s="74">
        <v>0</v>
      </c>
      <c r="CA59" s="74">
        <v>0</v>
      </c>
      <c r="CB59" s="74">
        <v>0</v>
      </c>
      <c r="CC59" s="74">
        <v>0</v>
      </c>
      <c r="CD59" s="74">
        <v>0</v>
      </c>
      <c r="CE59" s="74">
        <v>0</v>
      </c>
      <c r="CF59" s="74">
        <v>0</v>
      </c>
      <c r="CG59" s="74">
        <v>0</v>
      </c>
      <c r="CH59" s="74">
        <v>0</v>
      </c>
      <c r="CI59" s="74">
        <v>0</v>
      </c>
      <c r="CJ59" s="74">
        <v>0</v>
      </c>
      <c r="CK59" s="74">
        <v>0</v>
      </c>
      <c r="CL59" s="74">
        <v>0</v>
      </c>
      <c r="CM59" s="74">
        <v>0</v>
      </c>
      <c r="CN59" s="74">
        <v>0</v>
      </c>
      <c r="CO59" s="74">
        <v>0</v>
      </c>
      <c r="CP59" s="74">
        <v>0</v>
      </c>
      <c r="CQ59" s="74">
        <v>0</v>
      </c>
      <c r="CR59" s="74">
        <v>0</v>
      </c>
      <c r="CS59" s="74">
        <v>0</v>
      </c>
      <c r="CT59" s="74">
        <v>0</v>
      </c>
      <c r="CU59" s="74">
        <v>0</v>
      </c>
      <c r="CV59" s="74">
        <v>0</v>
      </c>
      <c r="CW59" s="74">
        <v>0</v>
      </c>
      <c r="CX59" s="74">
        <v>0</v>
      </c>
      <c r="CY59" s="74">
        <v>0</v>
      </c>
      <c r="CZ59" s="74">
        <v>0</v>
      </c>
      <c r="DA59" s="74">
        <v>0</v>
      </c>
      <c r="DB59" s="74">
        <v>0</v>
      </c>
      <c r="DC59" s="74">
        <v>0</v>
      </c>
      <c r="DD59" s="74">
        <v>0</v>
      </c>
      <c r="DE59" s="74">
        <v>0</v>
      </c>
      <c r="DF59" s="74">
        <v>0</v>
      </c>
      <c r="DG59" s="74">
        <v>0</v>
      </c>
      <c r="DH59" s="74">
        <v>0</v>
      </c>
      <c r="DI59" s="74">
        <v>0</v>
      </c>
      <c r="DJ59" s="74">
        <v>0</v>
      </c>
      <c r="DK59" s="74">
        <v>0</v>
      </c>
      <c r="DL59" s="74">
        <v>0</v>
      </c>
      <c r="DM59" s="74">
        <v>0</v>
      </c>
      <c r="DN59" s="74">
        <v>0</v>
      </c>
      <c r="DO59" s="74">
        <v>0</v>
      </c>
      <c r="DP59" s="74">
        <v>0</v>
      </c>
      <c r="DQ59" s="74">
        <v>0</v>
      </c>
      <c r="DR59" s="74">
        <v>0</v>
      </c>
      <c r="DS59" s="74">
        <v>0</v>
      </c>
      <c r="DT59" s="74">
        <v>0</v>
      </c>
      <c r="DU59" s="74">
        <v>0</v>
      </c>
      <c r="DV59" s="74">
        <v>0</v>
      </c>
      <c r="DW59" s="74">
        <v>0</v>
      </c>
      <c r="DX59" s="74">
        <v>0</v>
      </c>
      <c r="DY59" s="74">
        <v>0</v>
      </c>
      <c r="DZ59" s="74">
        <v>0</v>
      </c>
      <c r="EA59" s="74">
        <v>0</v>
      </c>
      <c r="EB59" s="74">
        <v>0</v>
      </c>
      <c r="EC59" s="74">
        <v>0</v>
      </c>
      <c r="ED59" s="74"/>
      <c r="EE59" s="68">
        <v>46063</v>
      </c>
      <c r="EF59" s="81">
        <v>46063.452996759261</v>
      </c>
      <c r="EG59" s="2" t="s">
        <v>70</v>
      </c>
      <c r="EH59" s="76">
        <v>2</v>
      </c>
      <c r="EI59" s="76" t="s">
        <v>32</v>
      </c>
      <c r="EJ59" s="74" t="s">
        <v>244</v>
      </c>
      <c r="EK59" s="66"/>
      <c r="EL59" s="66"/>
      <c r="EM59" s="66"/>
      <c r="EN59" s="66"/>
      <c r="EO59" s="82"/>
      <c r="EP59" s="82"/>
      <c r="EQ59" s="77"/>
      <c r="ER59" s="84"/>
      <c r="ES59" s="84"/>
      <c r="ET59" s="84"/>
      <c r="EU59" s="85"/>
      <c r="EV59" s="86"/>
      <c r="EW59" s="85"/>
      <c r="EX59" s="85"/>
      <c r="EY59" s="76"/>
      <c r="EZ59" s="74"/>
      <c r="FA59" s="74"/>
      <c r="FB59" s="74"/>
      <c r="FC59" s="74"/>
      <c r="FD59" s="68"/>
      <c r="FH59" s="73"/>
      <c r="FI59" s="74"/>
      <c r="FJ59" s="74"/>
      <c r="FK59" s="74"/>
      <c r="FL59" s="74"/>
      <c r="FM59" s="74"/>
      <c r="FN59" s="74"/>
      <c r="FO59" s="74"/>
      <c r="FP59" s="74"/>
      <c r="FQ59" s="74"/>
      <c r="FR59" s="74"/>
      <c r="FS59" s="74"/>
      <c r="FT59" s="74"/>
      <c r="FU59" s="74"/>
      <c r="FV59" s="74"/>
      <c r="FW59" s="74"/>
      <c r="FX59" s="74"/>
      <c r="FY59" s="74"/>
      <c r="FZ59" s="74"/>
      <c r="GA59" s="68"/>
    </row>
    <row r="60" spans="1:183" s="2" customFormat="1" ht="15" x14ac:dyDescent="0.3">
      <c r="A60" s="73" t="s">
        <v>208</v>
      </c>
      <c r="B60" s="73" t="s">
        <v>240</v>
      </c>
      <c r="C60" s="73" t="s">
        <v>226</v>
      </c>
      <c r="D60" s="73" t="s">
        <v>48</v>
      </c>
      <c r="E60" s="73" t="s">
        <v>178</v>
      </c>
      <c r="F60" s="73" t="s">
        <v>210</v>
      </c>
      <c r="G60" s="73" t="s">
        <v>223</v>
      </c>
      <c r="H60" s="73"/>
      <c r="I60" s="74">
        <v>0</v>
      </c>
      <c r="J60" s="74">
        <v>0</v>
      </c>
      <c r="K60" s="74">
        <v>17745.512195121952</v>
      </c>
      <c r="L60" s="74">
        <v>21217.463414634149</v>
      </c>
      <c r="M60" s="74">
        <v>7220</v>
      </c>
      <c r="N60" s="74">
        <v>28282.276595744683</v>
      </c>
      <c r="O60" s="74">
        <v>54832.070175438595</v>
      </c>
      <c r="P60" s="74">
        <v>76975.709677419363</v>
      </c>
      <c r="Q60" s="74">
        <v>0</v>
      </c>
      <c r="R60" s="74">
        <v>0</v>
      </c>
      <c r="S60" s="74">
        <v>0</v>
      </c>
      <c r="T60" s="74">
        <v>0</v>
      </c>
      <c r="U60" s="74">
        <v>0</v>
      </c>
      <c r="V60" s="74">
        <v>0</v>
      </c>
      <c r="W60" s="74">
        <v>0</v>
      </c>
      <c r="X60" s="74">
        <v>0</v>
      </c>
      <c r="Y60" s="74">
        <v>0</v>
      </c>
      <c r="Z60" s="74">
        <v>0</v>
      </c>
      <c r="AA60" s="74">
        <v>0</v>
      </c>
      <c r="AB60" s="74">
        <v>0</v>
      </c>
      <c r="AC60" s="74">
        <v>0</v>
      </c>
      <c r="AD60" s="74">
        <v>0</v>
      </c>
      <c r="AE60" s="74">
        <v>0</v>
      </c>
      <c r="AF60" s="74">
        <v>0</v>
      </c>
      <c r="AG60" s="74">
        <v>0</v>
      </c>
      <c r="AH60" s="74">
        <v>0</v>
      </c>
      <c r="AI60" s="74">
        <v>0</v>
      </c>
      <c r="AJ60" s="74">
        <v>0</v>
      </c>
      <c r="AK60" s="74"/>
      <c r="AL60" s="74">
        <v>0</v>
      </c>
      <c r="AM60" s="74">
        <v>0</v>
      </c>
      <c r="AN60" s="74">
        <v>0</v>
      </c>
      <c r="AO60" s="74">
        <v>0</v>
      </c>
      <c r="AP60" s="74">
        <v>0</v>
      </c>
      <c r="AQ60" s="74">
        <v>0</v>
      </c>
      <c r="AR60" s="74">
        <v>0</v>
      </c>
      <c r="AS60" s="74">
        <v>0</v>
      </c>
      <c r="AT60" s="74">
        <v>0</v>
      </c>
      <c r="AU60" s="74">
        <v>0</v>
      </c>
      <c r="AV60" s="74">
        <v>0</v>
      </c>
      <c r="AW60" s="74">
        <v>0</v>
      </c>
      <c r="AX60" s="74">
        <v>0</v>
      </c>
      <c r="AY60" s="74">
        <v>0</v>
      </c>
      <c r="AZ60" s="74">
        <v>0</v>
      </c>
      <c r="BA60" s="74">
        <v>0</v>
      </c>
      <c r="BB60" s="74">
        <v>0</v>
      </c>
      <c r="BC60" s="74">
        <v>0</v>
      </c>
      <c r="BD60" s="74">
        <v>0</v>
      </c>
      <c r="BE60" s="74">
        <v>0</v>
      </c>
      <c r="BF60" s="74">
        <v>0</v>
      </c>
      <c r="BG60" s="74">
        <v>0</v>
      </c>
      <c r="BH60" s="74">
        <v>0</v>
      </c>
      <c r="BI60" s="74">
        <v>0</v>
      </c>
      <c r="BJ60" s="74">
        <v>0</v>
      </c>
      <c r="BK60" s="74">
        <v>0</v>
      </c>
      <c r="BL60" s="74">
        <v>0</v>
      </c>
      <c r="BM60" s="74">
        <v>0</v>
      </c>
      <c r="BN60" s="74">
        <v>0</v>
      </c>
      <c r="BO60" s="74">
        <v>0</v>
      </c>
      <c r="BP60" s="74">
        <v>0</v>
      </c>
      <c r="BQ60" s="74">
        <v>0</v>
      </c>
      <c r="BR60" s="74">
        <v>0</v>
      </c>
      <c r="BS60" s="74">
        <v>0</v>
      </c>
      <c r="BT60" s="74">
        <v>0</v>
      </c>
      <c r="BU60" s="74">
        <v>0</v>
      </c>
      <c r="BV60" s="74">
        <v>0</v>
      </c>
      <c r="BW60" s="74">
        <v>0</v>
      </c>
      <c r="BX60" s="74">
        <v>0</v>
      </c>
      <c r="BY60" s="74">
        <v>0</v>
      </c>
      <c r="BZ60" s="74">
        <v>0</v>
      </c>
      <c r="CA60" s="74">
        <v>0</v>
      </c>
      <c r="CB60" s="74">
        <v>0</v>
      </c>
      <c r="CC60" s="74">
        <v>0</v>
      </c>
      <c r="CD60" s="74">
        <v>0</v>
      </c>
      <c r="CE60" s="74">
        <v>0</v>
      </c>
      <c r="CF60" s="74">
        <v>0</v>
      </c>
      <c r="CG60" s="74">
        <v>0</v>
      </c>
      <c r="CH60" s="74">
        <v>0</v>
      </c>
      <c r="CI60" s="74">
        <v>0</v>
      </c>
      <c r="CJ60" s="74">
        <v>0</v>
      </c>
      <c r="CK60" s="74">
        <v>0</v>
      </c>
      <c r="CL60" s="74">
        <v>0</v>
      </c>
      <c r="CM60" s="74">
        <v>0</v>
      </c>
      <c r="CN60" s="74">
        <v>0</v>
      </c>
      <c r="CO60" s="74">
        <v>0</v>
      </c>
      <c r="CP60" s="74">
        <v>0</v>
      </c>
      <c r="CQ60" s="74">
        <v>0</v>
      </c>
      <c r="CR60" s="74">
        <v>0</v>
      </c>
      <c r="CS60" s="74">
        <v>0</v>
      </c>
      <c r="CT60" s="74">
        <v>0</v>
      </c>
      <c r="CU60" s="74">
        <v>0</v>
      </c>
      <c r="CV60" s="74">
        <v>0</v>
      </c>
      <c r="CW60" s="74">
        <v>0</v>
      </c>
      <c r="CX60" s="74">
        <v>0</v>
      </c>
      <c r="CY60" s="74">
        <v>0</v>
      </c>
      <c r="CZ60" s="74">
        <v>0</v>
      </c>
      <c r="DA60" s="74">
        <v>0</v>
      </c>
      <c r="DB60" s="74">
        <v>0</v>
      </c>
      <c r="DC60" s="74">
        <v>0</v>
      </c>
      <c r="DD60" s="74">
        <v>0</v>
      </c>
      <c r="DE60" s="74">
        <v>0</v>
      </c>
      <c r="DF60" s="74">
        <v>0</v>
      </c>
      <c r="DG60" s="74">
        <v>0</v>
      </c>
      <c r="DH60" s="74">
        <v>0</v>
      </c>
      <c r="DI60" s="74">
        <v>0</v>
      </c>
      <c r="DJ60" s="74">
        <v>0</v>
      </c>
      <c r="DK60" s="74">
        <v>0</v>
      </c>
      <c r="DL60" s="74">
        <v>0</v>
      </c>
      <c r="DM60" s="74">
        <v>0</v>
      </c>
      <c r="DN60" s="74">
        <v>0</v>
      </c>
      <c r="DO60" s="74">
        <v>0</v>
      </c>
      <c r="DP60" s="74">
        <v>0</v>
      </c>
      <c r="DQ60" s="74">
        <v>0</v>
      </c>
      <c r="DR60" s="74">
        <v>0</v>
      </c>
      <c r="DS60" s="74">
        <v>0</v>
      </c>
      <c r="DT60" s="74">
        <v>0</v>
      </c>
      <c r="DU60" s="74">
        <v>0</v>
      </c>
      <c r="DV60" s="74">
        <v>0</v>
      </c>
      <c r="DW60" s="74">
        <v>0</v>
      </c>
      <c r="DX60" s="74">
        <v>0</v>
      </c>
      <c r="DY60" s="74">
        <v>0</v>
      </c>
      <c r="DZ60" s="74">
        <v>0</v>
      </c>
      <c r="EA60" s="74">
        <v>0</v>
      </c>
      <c r="EB60" s="74">
        <v>0</v>
      </c>
      <c r="EC60" s="74">
        <v>0</v>
      </c>
      <c r="ED60" s="74"/>
      <c r="EE60" s="68">
        <v>46063</v>
      </c>
      <c r="EF60" s="81">
        <v>46063.452996759261</v>
      </c>
      <c r="EG60" s="2" t="s">
        <v>70</v>
      </c>
      <c r="EH60" s="76">
        <v>2</v>
      </c>
      <c r="EI60" s="76" t="s">
        <v>32</v>
      </c>
      <c r="EJ60" s="74" t="s">
        <v>244</v>
      </c>
      <c r="EK60" s="66"/>
      <c r="EL60" s="66"/>
      <c r="EM60" s="66"/>
      <c r="EN60" s="66"/>
      <c r="EO60" s="82"/>
      <c r="EP60" s="82"/>
      <c r="EQ60" s="77"/>
      <c r="ER60" s="84"/>
      <c r="ES60" s="84"/>
      <c r="ET60" s="84"/>
      <c r="EU60" s="85"/>
      <c r="EV60" s="86"/>
      <c r="EW60" s="85"/>
      <c r="EX60" s="85"/>
      <c r="EY60" s="76"/>
      <c r="EZ60" s="74"/>
      <c r="FA60" s="74"/>
      <c r="FB60" s="74"/>
      <c r="FC60" s="74"/>
      <c r="FD60" s="68"/>
      <c r="FH60" s="73"/>
      <c r="FI60" s="74"/>
      <c r="FJ60" s="74"/>
      <c r="FK60" s="74"/>
      <c r="FL60" s="74"/>
      <c r="FM60" s="74"/>
      <c r="FN60" s="74"/>
      <c r="FO60" s="74"/>
      <c r="FP60" s="74"/>
      <c r="FQ60" s="74"/>
      <c r="FR60" s="74"/>
      <c r="FS60" s="74"/>
      <c r="FT60" s="74"/>
      <c r="FU60" s="74"/>
      <c r="FV60" s="74"/>
      <c r="FW60" s="74"/>
      <c r="FX60" s="74"/>
      <c r="FY60" s="74"/>
      <c r="FZ60" s="74"/>
      <c r="GA60" s="68"/>
    </row>
    <row r="61" spans="1:183" s="2" customFormat="1" ht="15" x14ac:dyDescent="0.3">
      <c r="A61" s="73" t="s">
        <v>49</v>
      </c>
      <c r="B61" s="73" t="s">
        <v>50</v>
      </c>
      <c r="C61" s="73" t="s">
        <v>222</v>
      </c>
      <c r="D61" s="73" t="s">
        <v>45</v>
      </c>
      <c r="E61" s="73" t="s">
        <v>178</v>
      </c>
      <c r="F61" s="73" t="s">
        <v>210</v>
      </c>
      <c r="G61" s="73" t="s">
        <v>227</v>
      </c>
      <c r="H61" s="73"/>
      <c r="I61" s="74">
        <v>141366</v>
      </c>
      <c r="J61" s="74">
        <v>170773</v>
      </c>
      <c r="K61" s="74">
        <v>236282</v>
      </c>
      <c r="L61" s="74">
        <v>279833</v>
      </c>
      <c r="M61" s="74">
        <v>315880</v>
      </c>
      <c r="N61" s="74">
        <v>352828</v>
      </c>
      <c r="O61" s="74">
        <v>387497</v>
      </c>
      <c r="P61" s="74">
        <v>426305</v>
      </c>
      <c r="Q61" s="74">
        <v>0</v>
      </c>
      <c r="R61" s="74">
        <v>0</v>
      </c>
      <c r="S61" s="74">
        <v>0</v>
      </c>
      <c r="T61" s="74">
        <v>0</v>
      </c>
      <c r="U61" s="74">
        <v>0</v>
      </c>
      <c r="V61" s="74">
        <v>0</v>
      </c>
      <c r="W61" s="74">
        <v>0</v>
      </c>
      <c r="X61" s="74">
        <v>0</v>
      </c>
      <c r="Y61" s="74">
        <v>0</v>
      </c>
      <c r="Z61" s="74">
        <v>0</v>
      </c>
      <c r="AA61" s="74">
        <v>0</v>
      </c>
      <c r="AB61" s="74">
        <v>0</v>
      </c>
      <c r="AC61" s="74">
        <v>0</v>
      </c>
      <c r="AD61" s="74">
        <v>0</v>
      </c>
      <c r="AE61" s="74">
        <v>0</v>
      </c>
      <c r="AF61" s="74">
        <v>0</v>
      </c>
      <c r="AG61" s="74">
        <v>0</v>
      </c>
      <c r="AH61" s="74">
        <v>0</v>
      </c>
      <c r="AI61" s="74">
        <v>0</v>
      </c>
      <c r="AJ61" s="74">
        <v>0</v>
      </c>
      <c r="AK61" s="74"/>
      <c r="AL61" s="74">
        <v>69244</v>
      </c>
      <c r="AM61" s="74">
        <v>74430</v>
      </c>
      <c r="AN61" s="74">
        <v>78843</v>
      </c>
      <c r="AO61" s="74">
        <v>93363</v>
      </c>
      <c r="AP61" s="74">
        <v>76881</v>
      </c>
      <c r="AQ61" s="74">
        <v>82546</v>
      </c>
      <c r="AR61" s="74">
        <v>87887</v>
      </c>
      <c r="AS61" s="74">
        <v>105514</v>
      </c>
      <c r="AT61" s="74">
        <v>86341</v>
      </c>
      <c r="AU61" s="74">
        <v>90033</v>
      </c>
      <c r="AV61" s="74">
        <v>95537</v>
      </c>
      <c r="AW61" s="74">
        <v>115586</v>
      </c>
      <c r="AX61" s="74">
        <v>92887</v>
      </c>
      <c r="AY61" s="74">
        <v>100068</v>
      </c>
      <c r="AZ61" s="74">
        <v>106267</v>
      </c>
      <c r="BA61" s="74">
        <v>127083</v>
      </c>
      <c r="BB61" s="74">
        <v>0</v>
      </c>
      <c r="BC61" s="74">
        <v>0</v>
      </c>
      <c r="BD61" s="74">
        <v>0</v>
      </c>
      <c r="BE61" s="74">
        <v>0</v>
      </c>
      <c r="BF61" s="74">
        <v>0</v>
      </c>
      <c r="BG61" s="74">
        <v>0</v>
      </c>
      <c r="BH61" s="74">
        <v>0</v>
      </c>
      <c r="BI61" s="74">
        <v>0</v>
      </c>
      <c r="BJ61" s="74">
        <v>0</v>
      </c>
      <c r="BK61" s="74">
        <v>0</v>
      </c>
      <c r="BL61" s="74">
        <v>0</v>
      </c>
      <c r="BM61" s="74">
        <v>0</v>
      </c>
      <c r="BN61" s="74">
        <v>0</v>
      </c>
      <c r="BO61" s="74">
        <v>0</v>
      </c>
      <c r="BP61" s="74">
        <v>0</v>
      </c>
      <c r="BQ61" s="74">
        <v>0</v>
      </c>
      <c r="BR61" s="74">
        <v>0</v>
      </c>
      <c r="BS61" s="74">
        <v>0</v>
      </c>
      <c r="BT61" s="74">
        <v>0</v>
      </c>
      <c r="BU61" s="74">
        <v>0</v>
      </c>
      <c r="BV61" s="74">
        <v>0</v>
      </c>
      <c r="BW61" s="74">
        <v>0</v>
      </c>
      <c r="BX61" s="74">
        <v>0</v>
      </c>
      <c r="BY61" s="74">
        <v>0</v>
      </c>
      <c r="BZ61" s="74">
        <v>0</v>
      </c>
      <c r="CA61" s="74">
        <v>0</v>
      </c>
      <c r="CB61" s="74">
        <v>0</v>
      </c>
      <c r="CC61" s="74">
        <v>0</v>
      </c>
      <c r="CD61" s="74">
        <v>0</v>
      </c>
      <c r="CE61" s="74">
        <v>0</v>
      </c>
      <c r="CF61" s="74">
        <v>0</v>
      </c>
      <c r="CG61" s="74">
        <v>0</v>
      </c>
      <c r="CH61" s="74">
        <v>0</v>
      </c>
      <c r="CI61" s="74">
        <v>0</v>
      </c>
      <c r="CJ61" s="74">
        <v>0</v>
      </c>
      <c r="CK61" s="74">
        <v>0</v>
      </c>
      <c r="CL61" s="74">
        <v>0</v>
      </c>
      <c r="CM61" s="74">
        <v>0</v>
      </c>
      <c r="CN61" s="74">
        <v>0</v>
      </c>
      <c r="CO61" s="74">
        <v>0</v>
      </c>
      <c r="CP61" s="74">
        <v>0</v>
      </c>
      <c r="CQ61" s="74">
        <v>0</v>
      </c>
      <c r="CR61" s="74">
        <v>0</v>
      </c>
      <c r="CS61" s="74">
        <v>0</v>
      </c>
      <c r="CT61" s="74">
        <v>0</v>
      </c>
      <c r="CU61" s="74">
        <v>0</v>
      </c>
      <c r="CV61" s="74">
        <v>0</v>
      </c>
      <c r="CW61" s="74">
        <v>0</v>
      </c>
      <c r="CX61" s="74">
        <v>0</v>
      </c>
      <c r="CY61" s="74">
        <v>0</v>
      </c>
      <c r="CZ61" s="74">
        <v>0</v>
      </c>
      <c r="DA61" s="74">
        <v>0</v>
      </c>
      <c r="DB61" s="74">
        <v>0</v>
      </c>
      <c r="DC61" s="74">
        <v>0</v>
      </c>
      <c r="DD61" s="74">
        <v>0</v>
      </c>
      <c r="DE61" s="74">
        <v>0</v>
      </c>
      <c r="DF61" s="74">
        <v>0</v>
      </c>
      <c r="DG61" s="74">
        <v>0</v>
      </c>
      <c r="DH61" s="74">
        <v>0</v>
      </c>
      <c r="DI61" s="74">
        <v>0</v>
      </c>
      <c r="DJ61" s="74">
        <v>0</v>
      </c>
      <c r="DK61" s="74">
        <v>0</v>
      </c>
      <c r="DL61" s="74">
        <v>0</v>
      </c>
      <c r="DM61" s="74">
        <v>0</v>
      </c>
      <c r="DN61" s="74">
        <v>0</v>
      </c>
      <c r="DO61" s="74">
        <v>0</v>
      </c>
      <c r="DP61" s="74">
        <v>0</v>
      </c>
      <c r="DQ61" s="74">
        <v>0</v>
      </c>
      <c r="DR61" s="74">
        <v>0</v>
      </c>
      <c r="DS61" s="74">
        <v>0</v>
      </c>
      <c r="DT61" s="74">
        <v>0</v>
      </c>
      <c r="DU61" s="74">
        <v>0</v>
      </c>
      <c r="DV61" s="74">
        <v>0</v>
      </c>
      <c r="DW61" s="74">
        <v>0</v>
      </c>
      <c r="DX61" s="74">
        <v>0</v>
      </c>
      <c r="DY61" s="74">
        <v>0</v>
      </c>
      <c r="DZ61" s="74">
        <v>0</v>
      </c>
      <c r="EA61" s="74">
        <v>0</v>
      </c>
      <c r="EB61" s="74">
        <v>0</v>
      </c>
      <c r="EC61" s="74">
        <v>0</v>
      </c>
      <c r="ED61" s="74"/>
      <c r="EE61" s="68">
        <v>46063</v>
      </c>
      <c r="EF61" s="81">
        <v>46063.452996759261</v>
      </c>
      <c r="EG61" s="2" t="s">
        <v>70</v>
      </c>
      <c r="EH61" s="76">
        <v>2</v>
      </c>
      <c r="EI61" s="76" t="s">
        <v>32</v>
      </c>
      <c r="EJ61" s="74" t="s">
        <v>244</v>
      </c>
      <c r="EK61" s="78"/>
      <c r="EL61" s="74"/>
      <c r="EM61" s="74"/>
      <c r="EN61" s="68"/>
      <c r="ER61" s="73"/>
      <c r="ES61" s="74"/>
      <c r="ET61" s="74"/>
      <c r="EU61" s="74"/>
      <c r="EV61" s="74"/>
      <c r="EW61" s="74"/>
      <c r="EX61" s="74"/>
      <c r="EY61" s="74"/>
      <c r="EZ61" s="74"/>
      <c r="FA61" s="74"/>
      <c r="FB61" s="74"/>
      <c r="FC61" s="74"/>
      <c r="FD61" s="74"/>
      <c r="FE61" s="74"/>
      <c r="FF61" s="74"/>
      <c r="FG61" s="74"/>
      <c r="FH61" s="74"/>
      <c r="FI61" s="74"/>
      <c r="FJ61" s="74"/>
      <c r="FK61" s="68"/>
    </row>
    <row r="62" spans="1:183" s="2" customFormat="1" ht="15" x14ac:dyDescent="0.3">
      <c r="A62" s="73" t="s">
        <v>29</v>
      </c>
      <c r="B62" s="73" t="s">
        <v>51</v>
      </c>
      <c r="C62" s="73" t="s">
        <v>224</v>
      </c>
      <c r="D62" s="73" t="s">
        <v>46</v>
      </c>
      <c r="E62" s="73" t="s">
        <v>178</v>
      </c>
      <c r="F62" s="73" t="s">
        <v>210</v>
      </c>
      <c r="G62" s="73" t="s">
        <v>227</v>
      </c>
      <c r="H62" s="73"/>
      <c r="I62" s="74">
        <v>65865</v>
      </c>
      <c r="J62" s="74">
        <v>74723</v>
      </c>
      <c r="K62" s="74">
        <v>104412</v>
      </c>
      <c r="L62" s="74">
        <v>127787</v>
      </c>
      <c r="M62" s="74">
        <v>118007</v>
      </c>
      <c r="N62" s="74">
        <v>131200</v>
      </c>
      <c r="O62" s="74">
        <v>142906</v>
      </c>
      <c r="P62" s="74">
        <v>161894</v>
      </c>
      <c r="Q62" s="74">
        <v>0</v>
      </c>
      <c r="R62" s="74">
        <v>0</v>
      </c>
      <c r="S62" s="74">
        <v>0</v>
      </c>
      <c r="T62" s="74">
        <v>0</v>
      </c>
      <c r="U62" s="74">
        <v>0</v>
      </c>
      <c r="V62" s="74">
        <v>0</v>
      </c>
      <c r="W62" s="74">
        <v>0</v>
      </c>
      <c r="X62" s="74">
        <v>0</v>
      </c>
      <c r="Y62" s="74">
        <v>0</v>
      </c>
      <c r="Z62" s="74">
        <v>0</v>
      </c>
      <c r="AA62" s="74">
        <v>0</v>
      </c>
      <c r="AB62" s="74">
        <v>0</v>
      </c>
      <c r="AC62" s="74">
        <v>0</v>
      </c>
      <c r="AD62" s="74">
        <v>0</v>
      </c>
      <c r="AE62" s="74">
        <v>0</v>
      </c>
      <c r="AF62" s="74">
        <v>0</v>
      </c>
      <c r="AG62" s="74">
        <v>0</v>
      </c>
      <c r="AH62" s="74">
        <v>0</v>
      </c>
      <c r="AI62" s="74">
        <v>0</v>
      </c>
      <c r="AJ62" s="74">
        <v>0</v>
      </c>
      <c r="AK62" s="74"/>
      <c r="AL62" s="74">
        <v>28759</v>
      </c>
      <c r="AM62" s="74">
        <v>27065</v>
      </c>
      <c r="AN62" s="74">
        <v>27720</v>
      </c>
      <c r="AO62" s="74">
        <v>34463</v>
      </c>
      <c r="AP62" s="74">
        <v>29123</v>
      </c>
      <c r="AQ62" s="74">
        <v>29697</v>
      </c>
      <c r="AR62" s="74">
        <v>32137</v>
      </c>
      <c r="AS62" s="74">
        <v>40243</v>
      </c>
      <c r="AT62" s="74">
        <v>31935</v>
      </c>
      <c r="AU62" s="74">
        <v>31663</v>
      </c>
      <c r="AV62" s="74">
        <v>35888</v>
      </c>
      <c r="AW62" s="74">
        <v>43420</v>
      </c>
      <c r="AX62" s="74">
        <v>33513</v>
      </c>
      <c r="AY62" s="74">
        <v>36761</v>
      </c>
      <c r="AZ62" s="74">
        <v>40896</v>
      </c>
      <c r="BA62" s="74">
        <v>50724</v>
      </c>
      <c r="BB62" s="74">
        <v>0</v>
      </c>
      <c r="BC62" s="74">
        <v>0</v>
      </c>
      <c r="BD62" s="74">
        <v>0</v>
      </c>
      <c r="BE62" s="74">
        <v>0</v>
      </c>
      <c r="BF62" s="74">
        <v>0</v>
      </c>
      <c r="BG62" s="74">
        <v>0</v>
      </c>
      <c r="BH62" s="74">
        <v>0</v>
      </c>
      <c r="BI62" s="74">
        <v>0</v>
      </c>
      <c r="BJ62" s="74">
        <v>0</v>
      </c>
      <c r="BK62" s="74">
        <v>0</v>
      </c>
      <c r="BL62" s="74">
        <v>0</v>
      </c>
      <c r="BM62" s="74">
        <v>0</v>
      </c>
      <c r="BN62" s="74">
        <v>0</v>
      </c>
      <c r="BO62" s="74">
        <v>0</v>
      </c>
      <c r="BP62" s="74">
        <v>0</v>
      </c>
      <c r="BQ62" s="74">
        <v>0</v>
      </c>
      <c r="BR62" s="74">
        <v>0</v>
      </c>
      <c r="BS62" s="74">
        <v>0</v>
      </c>
      <c r="BT62" s="74">
        <v>0</v>
      </c>
      <c r="BU62" s="74">
        <v>0</v>
      </c>
      <c r="BV62" s="74">
        <v>0</v>
      </c>
      <c r="BW62" s="74">
        <v>0</v>
      </c>
      <c r="BX62" s="74">
        <v>0</v>
      </c>
      <c r="BY62" s="74">
        <v>0</v>
      </c>
      <c r="BZ62" s="74">
        <v>0</v>
      </c>
      <c r="CA62" s="74">
        <v>0</v>
      </c>
      <c r="CB62" s="74">
        <v>0</v>
      </c>
      <c r="CC62" s="74">
        <v>0</v>
      </c>
      <c r="CD62" s="74">
        <v>0</v>
      </c>
      <c r="CE62" s="74">
        <v>0</v>
      </c>
      <c r="CF62" s="74">
        <v>0</v>
      </c>
      <c r="CG62" s="74">
        <v>0</v>
      </c>
      <c r="CH62" s="74">
        <v>0</v>
      </c>
      <c r="CI62" s="74">
        <v>0</v>
      </c>
      <c r="CJ62" s="74">
        <v>0</v>
      </c>
      <c r="CK62" s="74">
        <v>0</v>
      </c>
      <c r="CL62" s="74">
        <v>0</v>
      </c>
      <c r="CM62" s="74">
        <v>0</v>
      </c>
      <c r="CN62" s="74">
        <v>0</v>
      </c>
      <c r="CO62" s="74">
        <v>0</v>
      </c>
      <c r="CP62" s="74">
        <v>0</v>
      </c>
      <c r="CQ62" s="74">
        <v>0</v>
      </c>
      <c r="CR62" s="74">
        <v>0</v>
      </c>
      <c r="CS62" s="74">
        <v>0</v>
      </c>
      <c r="CT62" s="74">
        <v>0</v>
      </c>
      <c r="CU62" s="74">
        <v>0</v>
      </c>
      <c r="CV62" s="74">
        <v>0</v>
      </c>
      <c r="CW62" s="74">
        <v>0</v>
      </c>
      <c r="CX62" s="74">
        <v>0</v>
      </c>
      <c r="CY62" s="74">
        <v>0</v>
      </c>
      <c r="CZ62" s="74">
        <v>0</v>
      </c>
      <c r="DA62" s="74">
        <v>0</v>
      </c>
      <c r="DB62" s="74">
        <v>0</v>
      </c>
      <c r="DC62" s="74">
        <v>0</v>
      </c>
      <c r="DD62" s="74">
        <v>0</v>
      </c>
      <c r="DE62" s="74">
        <v>0</v>
      </c>
      <c r="DF62" s="74">
        <v>0</v>
      </c>
      <c r="DG62" s="74">
        <v>0</v>
      </c>
      <c r="DH62" s="74">
        <v>0</v>
      </c>
      <c r="DI62" s="74">
        <v>0</v>
      </c>
      <c r="DJ62" s="74">
        <v>0</v>
      </c>
      <c r="DK62" s="74">
        <v>0</v>
      </c>
      <c r="DL62" s="74">
        <v>0</v>
      </c>
      <c r="DM62" s="74">
        <v>0</v>
      </c>
      <c r="DN62" s="74">
        <v>0</v>
      </c>
      <c r="DO62" s="74">
        <v>0</v>
      </c>
      <c r="DP62" s="74">
        <v>0</v>
      </c>
      <c r="DQ62" s="74">
        <v>0</v>
      </c>
      <c r="DR62" s="74">
        <v>0</v>
      </c>
      <c r="DS62" s="74">
        <v>0</v>
      </c>
      <c r="DT62" s="74">
        <v>0</v>
      </c>
      <c r="DU62" s="74">
        <v>0</v>
      </c>
      <c r="DV62" s="74">
        <v>0</v>
      </c>
      <c r="DW62" s="74">
        <v>0</v>
      </c>
      <c r="DX62" s="74">
        <v>0</v>
      </c>
      <c r="DY62" s="74">
        <v>0</v>
      </c>
      <c r="DZ62" s="74">
        <v>0</v>
      </c>
      <c r="EA62" s="74">
        <v>0</v>
      </c>
      <c r="EB62" s="74">
        <v>0</v>
      </c>
      <c r="EC62" s="74">
        <v>0</v>
      </c>
      <c r="ED62" s="74"/>
      <c r="EE62" s="68">
        <v>46063</v>
      </c>
      <c r="EF62" s="81">
        <v>46063.452996759261</v>
      </c>
      <c r="EG62" s="2" t="s">
        <v>70</v>
      </c>
      <c r="EH62" s="76">
        <v>2</v>
      </c>
      <c r="EI62" s="76" t="s">
        <v>32</v>
      </c>
      <c r="EJ62" s="74" t="s">
        <v>244</v>
      </c>
      <c r="EK62" s="78"/>
      <c r="EL62" s="74"/>
      <c r="EM62" s="74"/>
      <c r="EN62" s="68"/>
      <c r="ER62" s="73"/>
      <c r="ES62" s="74"/>
      <c r="ET62" s="74"/>
      <c r="EU62" s="74"/>
      <c r="EV62" s="74"/>
      <c r="EW62" s="74"/>
      <c r="EX62" s="74"/>
      <c r="EY62" s="74"/>
      <c r="EZ62" s="74"/>
      <c r="FA62" s="74"/>
      <c r="FB62" s="74"/>
      <c r="FC62" s="74"/>
      <c r="FD62" s="74"/>
      <c r="FE62" s="74"/>
      <c r="FF62" s="74"/>
      <c r="FG62" s="74"/>
      <c r="FH62" s="74"/>
      <c r="FI62" s="74"/>
      <c r="FJ62" s="74"/>
      <c r="FK62" s="68"/>
    </row>
    <row r="63" spans="1:183" s="2" customFormat="1" ht="15" x14ac:dyDescent="0.3">
      <c r="A63" s="73" t="s">
        <v>28</v>
      </c>
      <c r="B63" s="73" t="s">
        <v>27</v>
      </c>
      <c r="C63" s="73" t="s">
        <v>225</v>
      </c>
      <c r="D63" s="73" t="s">
        <v>44</v>
      </c>
      <c r="E63" s="73" t="s">
        <v>178</v>
      </c>
      <c r="F63" s="73" t="s">
        <v>210</v>
      </c>
      <c r="G63" s="73" t="s">
        <v>227</v>
      </c>
      <c r="H63" s="73"/>
      <c r="I63" s="74">
        <v>25656</v>
      </c>
      <c r="J63" s="74">
        <v>35026</v>
      </c>
      <c r="K63" s="74">
        <v>45370</v>
      </c>
      <c r="L63" s="74">
        <v>62202</v>
      </c>
      <c r="M63" s="74">
        <v>80096</v>
      </c>
      <c r="N63" s="74">
        <v>90757</v>
      </c>
      <c r="O63" s="74">
        <v>107556</v>
      </c>
      <c r="P63" s="74">
        <v>128725</v>
      </c>
      <c r="Q63" s="74">
        <v>0</v>
      </c>
      <c r="R63" s="74">
        <v>0</v>
      </c>
      <c r="S63" s="74">
        <v>0</v>
      </c>
      <c r="T63" s="74">
        <v>0</v>
      </c>
      <c r="U63" s="74">
        <v>0</v>
      </c>
      <c r="V63" s="74">
        <v>0</v>
      </c>
      <c r="W63" s="74">
        <v>0</v>
      </c>
      <c r="X63" s="74">
        <v>0</v>
      </c>
      <c r="Y63" s="74">
        <v>0</v>
      </c>
      <c r="Z63" s="74">
        <v>0</v>
      </c>
      <c r="AA63" s="74">
        <v>0</v>
      </c>
      <c r="AB63" s="74">
        <v>0</v>
      </c>
      <c r="AC63" s="74">
        <v>0</v>
      </c>
      <c r="AD63" s="74">
        <v>0</v>
      </c>
      <c r="AE63" s="74">
        <v>0</v>
      </c>
      <c r="AF63" s="74">
        <v>0</v>
      </c>
      <c r="AG63" s="74">
        <v>0</v>
      </c>
      <c r="AH63" s="74">
        <v>0</v>
      </c>
      <c r="AI63" s="74">
        <v>0</v>
      </c>
      <c r="AJ63" s="74">
        <v>0</v>
      </c>
      <c r="AK63" s="74"/>
      <c r="AL63" s="74">
        <v>18441</v>
      </c>
      <c r="AM63" s="74">
        <v>19739</v>
      </c>
      <c r="AN63" s="74">
        <v>20538</v>
      </c>
      <c r="AO63" s="74">
        <v>21378</v>
      </c>
      <c r="AP63" s="74">
        <v>21354</v>
      </c>
      <c r="AQ63" s="74">
        <v>22140</v>
      </c>
      <c r="AR63" s="74">
        <v>23059</v>
      </c>
      <c r="AS63" s="74">
        <v>24204</v>
      </c>
      <c r="AT63" s="74">
        <v>25037</v>
      </c>
      <c r="AU63" s="74">
        <v>26281</v>
      </c>
      <c r="AV63" s="74">
        <v>27452</v>
      </c>
      <c r="AW63" s="74">
        <v>28786</v>
      </c>
      <c r="AX63" s="74">
        <v>29267</v>
      </c>
      <c r="AY63" s="74">
        <v>30873</v>
      </c>
      <c r="AZ63" s="74">
        <v>33006</v>
      </c>
      <c r="BA63" s="74">
        <v>35579</v>
      </c>
      <c r="BB63" s="74">
        <v>0</v>
      </c>
      <c r="BC63" s="74">
        <v>0</v>
      </c>
      <c r="BD63" s="74">
        <v>0</v>
      </c>
      <c r="BE63" s="74">
        <v>0</v>
      </c>
      <c r="BF63" s="74">
        <v>0</v>
      </c>
      <c r="BG63" s="74">
        <v>0</v>
      </c>
      <c r="BH63" s="74">
        <v>0</v>
      </c>
      <c r="BI63" s="74">
        <v>0</v>
      </c>
      <c r="BJ63" s="74">
        <v>0</v>
      </c>
      <c r="BK63" s="74">
        <v>0</v>
      </c>
      <c r="BL63" s="74">
        <v>0</v>
      </c>
      <c r="BM63" s="74">
        <v>0</v>
      </c>
      <c r="BN63" s="74">
        <v>0</v>
      </c>
      <c r="BO63" s="74">
        <v>0</v>
      </c>
      <c r="BP63" s="74">
        <v>0</v>
      </c>
      <c r="BQ63" s="74">
        <v>0</v>
      </c>
      <c r="BR63" s="74">
        <v>0</v>
      </c>
      <c r="BS63" s="74">
        <v>0</v>
      </c>
      <c r="BT63" s="74">
        <v>0</v>
      </c>
      <c r="BU63" s="74">
        <v>0</v>
      </c>
      <c r="BV63" s="74">
        <v>0</v>
      </c>
      <c r="BW63" s="74">
        <v>0</v>
      </c>
      <c r="BX63" s="74">
        <v>0</v>
      </c>
      <c r="BY63" s="74">
        <v>0</v>
      </c>
      <c r="BZ63" s="74">
        <v>0</v>
      </c>
      <c r="CA63" s="74">
        <v>0</v>
      </c>
      <c r="CB63" s="74">
        <v>0</v>
      </c>
      <c r="CC63" s="74">
        <v>0</v>
      </c>
      <c r="CD63" s="74">
        <v>0</v>
      </c>
      <c r="CE63" s="74">
        <v>0</v>
      </c>
      <c r="CF63" s="74">
        <v>0</v>
      </c>
      <c r="CG63" s="74">
        <v>0</v>
      </c>
      <c r="CH63" s="74">
        <v>0</v>
      </c>
      <c r="CI63" s="74">
        <v>0</v>
      </c>
      <c r="CJ63" s="74">
        <v>0</v>
      </c>
      <c r="CK63" s="74">
        <v>0</v>
      </c>
      <c r="CL63" s="74">
        <v>0</v>
      </c>
      <c r="CM63" s="74">
        <v>0</v>
      </c>
      <c r="CN63" s="74">
        <v>0</v>
      </c>
      <c r="CO63" s="74">
        <v>0</v>
      </c>
      <c r="CP63" s="74">
        <v>0</v>
      </c>
      <c r="CQ63" s="74">
        <v>0</v>
      </c>
      <c r="CR63" s="74">
        <v>0</v>
      </c>
      <c r="CS63" s="74">
        <v>0</v>
      </c>
      <c r="CT63" s="74">
        <v>0</v>
      </c>
      <c r="CU63" s="74">
        <v>0</v>
      </c>
      <c r="CV63" s="74">
        <v>0</v>
      </c>
      <c r="CW63" s="74">
        <v>0</v>
      </c>
      <c r="CX63" s="74">
        <v>0</v>
      </c>
      <c r="CY63" s="74">
        <v>0</v>
      </c>
      <c r="CZ63" s="74">
        <v>0</v>
      </c>
      <c r="DA63" s="74">
        <v>0</v>
      </c>
      <c r="DB63" s="74">
        <v>0</v>
      </c>
      <c r="DC63" s="74">
        <v>0</v>
      </c>
      <c r="DD63" s="74">
        <v>0</v>
      </c>
      <c r="DE63" s="74">
        <v>0</v>
      </c>
      <c r="DF63" s="74">
        <v>0</v>
      </c>
      <c r="DG63" s="74">
        <v>0</v>
      </c>
      <c r="DH63" s="74">
        <v>0</v>
      </c>
      <c r="DI63" s="74">
        <v>0</v>
      </c>
      <c r="DJ63" s="74">
        <v>0</v>
      </c>
      <c r="DK63" s="74">
        <v>0</v>
      </c>
      <c r="DL63" s="74">
        <v>0</v>
      </c>
      <c r="DM63" s="74">
        <v>0</v>
      </c>
      <c r="DN63" s="74">
        <v>0</v>
      </c>
      <c r="DO63" s="74">
        <v>0</v>
      </c>
      <c r="DP63" s="74">
        <v>0</v>
      </c>
      <c r="DQ63" s="74">
        <v>0</v>
      </c>
      <c r="DR63" s="74">
        <v>0</v>
      </c>
      <c r="DS63" s="74">
        <v>0</v>
      </c>
      <c r="DT63" s="74">
        <v>0</v>
      </c>
      <c r="DU63" s="74">
        <v>0</v>
      </c>
      <c r="DV63" s="74">
        <v>0</v>
      </c>
      <c r="DW63" s="74">
        <v>0</v>
      </c>
      <c r="DX63" s="74">
        <v>0</v>
      </c>
      <c r="DY63" s="74">
        <v>0</v>
      </c>
      <c r="DZ63" s="74">
        <v>0</v>
      </c>
      <c r="EA63" s="74">
        <v>0</v>
      </c>
      <c r="EB63" s="74">
        <v>0</v>
      </c>
      <c r="EC63" s="74">
        <v>0</v>
      </c>
      <c r="ED63" s="74"/>
      <c r="EE63" s="68">
        <v>46063</v>
      </c>
      <c r="EF63" s="81">
        <v>46063.452996759261</v>
      </c>
      <c r="EG63" s="2" t="s">
        <v>70</v>
      </c>
      <c r="EH63" s="76">
        <v>2</v>
      </c>
      <c r="EI63" s="76" t="s">
        <v>32</v>
      </c>
      <c r="EJ63" s="74" t="s">
        <v>244</v>
      </c>
      <c r="EK63" s="78"/>
      <c r="EL63" s="74"/>
      <c r="EM63" s="74"/>
      <c r="EN63" s="68"/>
      <c r="ER63" s="73"/>
      <c r="ES63" s="74"/>
      <c r="ET63" s="74"/>
      <c r="EU63" s="74"/>
      <c r="EV63" s="74"/>
      <c r="EW63" s="74"/>
      <c r="EX63" s="74"/>
      <c r="EY63" s="74"/>
      <c r="EZ63" s="74"/>
      <c r="FA63" s="74"/>
      <c r="FB63" s="74"/>
      <c r="FC63" s="74"/>
      <c r="FD63" s="74"/>
      <c r="FE63" s="74"/>
      <c r="FF63" s="74"/>
      <c r="FG63" s="74"/>
      <c r="FH63" s="74"/>
      <c r="FI63" s="74"/>
      <c r="FJ63" s="74"/>
      <c r="FK63" s="68"/>
    </row>
    <row r="64" spans="1:183" s="2" customFormat="1" ht="15" x14ac:dyDescent="0.3">
      <c r="A64" s="73" t="s">
        <v>158</v>
      </c>
      <c r="B64" s="73" t="s">
        <v>52</v>
      </c>
      <c r="C64" s="73" t="s">
        <v>226</v>
      </c>
      <c r="D64" s="73" t="s">
        <v>45</v>
      </c>
      <c r="E64" s="73" t="s">
        <v>178</v>
      </c>
      <c r="F64" s="73" t="s">
        <v>210</v>
      </c>
      <c r="G64" s="73" t="s">
        <v>227</v>
      </c>
      <c r="H64" s="73"/>
      <c r="I64" s="74">
        <v>7267</v>
      </c>
      <c r="J64" s="74">
        <v>7033</v>
      </c>
      <c r="K64" s="74">
        <v>8651</v>
      </c>
      <c r="L64" s="74">
        <v>7271</v>
      </c>
      <c r="M64" s="74">
        <v>-2847</v>
      </c>
      <c r="N64" s="74">
        <v>14877</v>
      </c>
      <c r="O64" s="74">
        <v>24967</v>
      </c>
      <c r="P64" s="74">
        <v>29619</v>
      </c>
      <c r="Q64" s="74">
        <v>0</v>
      </c>
      <c r="R64" s="74">
        <v>0</v>
      </c>
      <c r="S64" s="74">
        <v>0</v>
      </c>
      <c r="T64" s="74">
        <v>0</v>
      </c>
      <c r="U64" s="74">
        <v>0</v>
      </c>
      <c r="V64" s="74">
        <v>0</v>
      </c>
      <c r="W64" s="74">
        <v>0</v>
      </c>
      <c r="X64" s="74">
        <v>0</v>
      </c>
      <c r="Y64" s="74">
        <v>0</v>
      </c>
      <c r="Z64" s="74">
        <v>0</v>
      </c>
      <c r="AA64" s="74">
        <v>0</v>
      </c>
      <c r="AB64" s="74">
        <v>0</v>
      </c>
      <c r="AC64" s="74">
        <v>0</v>
      </c>
      <c r="AD64" s="74">
        <v>0</v>
      </c>
      <c r="AE64" s="74">
        <v>0</v>
      </c>
      <c r="AF64" s="74">
        <v>0</v>
      </c>
      <c r="AG64" s="74">
        <v>0</v>
      </c>
      <c r="AH64" s="74">
        <v>0</v>
      </c>
      <c r="AI64" s="74">
        <v>0</v>
      </c>
      <c r="AJ64" s="74">
        <v>0</v>
      </c>
      <c r="AK64" s="74"/>
      <c r="AL64" s="74">
        <v>-1568</v>
      </c>
      <c r="AM64" s="74">
        <v>-627</v>
      </c>
      <c r="AN64" s="74">
        <v>-412</v>
      </c>
      <c r="AO64" s="74">
        <v>-240</v>
      </c>
      <c r="AP64" s="74">
        <v>898</v>
      </c>
      <c r="AQ64" s="74">
        <v>3211</v>
      </c>
      <c r="AR64" s="74">
        <v>4307</v>
      </c>
      <c r="AS64" s="74">
        <v>6461</v>
      </c>
      <c r="AT64" s="74">
        <v>4983</v>
      </c>
      <c r="AU64" s="74">
        <v>5065</v>
      </c>
      <c r="AV64" s="74">
        <v>5663</v>
      </c>
      <c r="AW64" s="74">
        <v>9256</v>
      </c>
      <c r="AX64" s="74">
        <v>5841</v>
      </c>
      <c r="AY64" s="74">
        <v>7517</v>
      </c>
      <c r="AZ64" s="74">
        <v>4789</v>
      </c>
      <c r="BA64" s="74">
        <v>11472</v>
      </c>
      <c r="BB64" s="74">
        <v>0</v>
      </c>
      <c r="BC64" s="74">
        <v>0</v>
      </c>
      <c r="BD64" s="74">
        <v>0</v>
      </c>
      <c r="BE64" s="74">
        <v>0</v>
      </c>
      <c r="BF64" s="74">
        <v>0</v>
      </c>
      <c r="BG64" s="74">
        <v>0</v>
      </c>
      <c r="BH64" s="74">
        <v>0</v>
      </c>
      <c r="BI64" s="74">
        <v>0</v>
      </c>
      <c r="BJ64" s="74">
        <v>0</v>
      </c>
      <c r="BK64" s="74">
        <v>0</v>
      </c>
      <c r="BL64" s="74">
        <v>0</v>
      </c>
      <c r="BM64" s="74">
        <v>0</v>
      </c>
      <c r="BN64" s="74">
        <v>0</v>
      </c>
      <c r="BO64" s="74">
        <v>0</v>
      </c>
      <c r="BP64" s="74">
        <v>0</v>
      </c>
      <c r="BQ64" s="74">
        <v>0</v>
      </c>
      <c r="BR64" s="74">
        <v>0</v>
      </c>
      <c r="BS64" s="74">
        <v>0</v>
      </c>
      <c r="BT64" s="74">
        <v>0</v>
      </c>
      <c r="BU64" s="74">
        <v>0</v>
      </c>
      <c r="BV64" s="74">
        <v>0</v>
      </c>
      <c r="BW64" s="74">
        <v>0</v>
      </c>
      <c r="BX64" s="74">
        <v>0</v>
      </c>
      <c r="BY64" s="74">
        <v>0</v>
      </c>
      <c r="BZ64" s="74">
        <v>0</v>
      </c>
      <c r="CA64" s="74">
        <v>0</v>
      </c>
      <c r="CB64" s="74">
        <v>0</v>
      </c>
      <c r="CC64" s="74">
        <v>0</v>
      </c>
      <c r="CD64" s="74">
        <v>0</v>
      </c>
      <c r="CE64" s="74">
        <v>0</v>
      </c>
      <c r="CF64" s="74">
        <v>0</v>
      </c>
      <c r="CG64" s="74">
        <v>0</v>
      </c>
      <c r="CH64" s="74">
        <v>0</v>
      </c>
      <c r="CI64" s="74">
        <v>0</v>
      </c>
      <c r="CJ64" s="74">
        <v>0</v>
      </c>
      <c r="CK64" s="74">
        <v>0</v>
      </c>
      <c r="CL64" s="74">
        <v>0</v>
      </c>
      <c r="CM64" s="74">
        <v>0</v>
      </c>
      <c r="CN64" s="74">
        <v>0</v>
      </c>
      <c r="CO64" s="74">
        <v>0</v>
      </c>
      <c r="CP64" s="74">
        <v>0</v>
      </c>
      <c r="CQ64" s="74">
        <v>0</v>
      </c>
      <c r="CR64" s="74">
        <v>0</v>
      </c>
      <c r="CS64" s="74">
        <v>0</v>
      </c>
      <c r="CT64" s="74">
        <v>0</v>
      </c>
      <c r="CU64" s="74">
        <v>0</v>
      </c>
      <c r="CV64" s="74">
        <v>0</v>
      </c>
      <c r="CW64" s="74">
        <v>0</v>
      </c>
      <c r="CX64" s="74">
        <v>0</v>
      </c>
      <c r="CY64" s="74">
        <v>0</v>
      </c>
      <c r="CZ64" s="74">
        <v>0</v>
      </c>
      <c r="DA64" s="74">
        <v>0</v>
      </c>
      <c r="DB64" s="74">
        <v>0</v>
      </c>
      <c r="DC64" s="74">
        <v>0</v>
      </c>
      <c r="DD64" s="74">
        <v>0</v>
      </c>
      <c r="DE64" s="74">
        <v>0</v>
      </c>
      <c r="DF64" s="74">
        <v>0</v>
      </c>
      <c r="DG64" s="74">
        <v>0</v>
      </c>
      <c r="DH64" s="74">
        <v>0</v>
      </c>
      <c r="DI64" s="74">
        <v>0</v>
      </c>
      <c r="DJ64" s="74">
        <v>0</v>
      </c>
      <c r="DK64" s="74">
        <v>0</v>
      </c>
      <c r="DL64" s="74">
        <v>0</v>
      </c>
      <c r="DM64" s="74">
        <v>0</v>
      </c>
      <c r="DN64" s="74">
        <v>0</v>
      </c>
      <c r="DO64" s="74">
        <v>0</v>
      </c>
      <c r="DP64" s="74">
        <v>0</v>
      </c>
      <c r="DQ64" s="74">
        <v>0</v>
      </c>
      <c r="DR64" s="74">
        <v>0</v>
      </c>
      <c r="DS64" s="74">
        <v>0</v>
      </c>
      <c r="DT64" s="74">
        <v>0</v>
      </c>
      <c r="DU64" s="74">
        <v>0</v>
      </c>
      <c r="DV64" s="74">
        <v>0</v>
      </c>
      <c r="DW64" s="74">
        <v>0</v>
      </c>
      <c r="DX64" s="74">
        <v>0</v>
      </c>
      <c r="DY64" s="74">
        <v>0</v>
      </c>
      <c r="DZ64" s="74">
        <v>0</v>
      </c>
      <c r="EA64" s="74">
        <v>0</v>
      </c>
      <c r="EB64" s="74">
        <v>0</v>
      </c>
      <c r="EC64" s="74">
        <v>0</v>
      </c>
      <c r="ED64" s="74"/>
      <c r="EE64" s="68">
        <v>46063</v>
      </c>
      <c r="EF64" s="81">
        <v>46063.452996759261</v>
      </c>
      <c r="EG64" s="2" t="s">
        <v>70</v>
      </c>
      <c r="EH64" s="76">
        <v>2</v>
      </c>
      <c r="EI64" s="76" t="s">
        <v>32</v>
      </c>
      <c r="EJ64" s="74" t="s">
        <v>244</v>
      </c>
      <c r="EK64" s="78"/>
      <c r="EL64" s="74"/>
      <c r="EM64" s="74"/>
      <c r="EN64" s="68"/>
      <c r="ER64" s="73"/>
      <c r="ES64" s="74"/>
      <c r="ET64" s="74"/>
      <c r="EU64" s="74"/>
      <c r="EV64" s="74"/>
      <c r="EW64" s="74"/>
      <c r="EX64" s="74"/>
      <c r="EY64" s="74"/>
      <c r="EZ64" s="74"/>
      <c r="FA64" s="74"/>
      <c r="FB64" s="74"/>
      <c r="FC64" s="74"/>
      <c r="FD64" s="74"/>
      <c r="FE64" s="74"/>
      <c r="FF64" s="74"/>
      <c r="FG64" s="74"/>
      <c r="FH64" s="74"/>
      <c r="FI64" s="74"/>
      <c r="FJ64" s="74"/>
      <c r="FK64" s="68"/>
    </row>
    <row r="65" spans="1:167" s="2" customFormat="1" ht="15" x14ac:dyDescent="0.3">
      <c r="A65" s="73" t="s">
        <v>33</v>
      </c>
      <c r="B65" s="73" t="s">
        <v>53</v>
      </c>
      <c r="C65" s="73" t="s">
        <v>47</v>
      </c>
      <c r="D65" s="73" t="s">
        <v>46</v>
      </c>
      <c r="E65" s="73" t="s">
        <v>178</v>
      </c>
      <c r="F65" s="73" t="s">
        <v>210</v>
      </c>
      <c r="G65" s="73" t="s">
        <v>227</v>
      </c>
      <c r="H65" s="73"/>
      <c r="I65" s="74">
        <v>-2143</v>
      </c>
      <c r="J65" s="74">
        <v>-1694</v>
      </c>
      <c r="K65" s="74">
        <v>717</v>
      </c>
      <c r="L65" s="74">
        <v>-924</v>
      </c>
      <c r="M65" s="74">
        <v>-7746</v>
      </c>
      <c r="N65" s="74">
        <v>-2656</v>
      </c>
      <c r="O65" s="74">
        <v>3792</v>
      </c>
      <c r="P65" s="74">
        <v>4750</v>
      </c>
      <c r="Q65" s="74">
        <v>0</v>
      </c>
      <c r="R65" s="74">
        <v>0</v>
      </c>
      <c r="S65" s="74">
        <v>0</v>
      </c>
      <c r="T65" s="74">
        <v>0</v>
      </c>
      <c r="U65" s="74">
        <v>0</v>
      </c>
      <c r="V65" s="74">
        <v>0</v>
      </c>
      <c r="W65" s="74">
        <v>0</v>
      </c>
      <c r="X65" s="74">
        <v>0</v>
      </c>
      <c r="Y65" s="74">
        <v>0</v>
      </c>
      <c r="Z65" s="74">
        <v>0</v>
      </c>
      <c r="AA65" s="74">
        <v>0</v>
      </c>
      <c r="AB65" s="74">
        <v>0</v>
      </c>
      <c r="AC65" s="74">
        <v>0</v>
      </c>
      <c r="AD65" s="74">
        <v>0</v>
      </c>
      <c r="AE65" s="74">
        <v>0</v>
      </c>
      <c r="AF65" s="74">
        <v>0</v>
      </c>
      <c r="AG65" s="74">
        <v>0</v>
      </c>
      <c r="AH65" s="74">
        <v>0</v>
      </c>
      <c r="AI65" s="74">
        <v>0</v>
      </c>
      <c r="AJ65" s="74">
        <v>0</v>
      </c>
      <c r="AK65" s="74"/>
      <c r="AL65" s="74">
        <v>-1281</v>
      </c>
      <c r="AM65" s="74">
        <v>-1771</v>
      </c>
      <c r="AN65" s="74">
        <v>-2466</v>
      </c>
      <c r="AO65" s="74">
        <v>-2228</v>
      </c>
      <c r="AP65" s="74">
        <v>-1247</v>
      </c>
      <c r="AQ65" s="74">
        <v>-895</v>
      </c>
      <c r="AR65" s="74">
        <v>-95</v>
      </c>
      <c r="AS65" s="74">
        <v>-419</v>
      </c>
      <c r="AT65" s="74">
        <v>903</v>
      </c>
      <c r="AU65" s="74">
        <v>273</v>
      </c>
      <c r="AV65" s="74">
        <v>1301</v>
      </c>
      <c r="AW65" s="74">
        <v>1315</v>
      </c>
      <c r="AX65" s="74">
        <v>1017</v>
      </c>
      <c r="AY65" s="74">
        <v>1494</v>
      </c>
      <c r="AZ65" s="74">
        <v>1199</v>
      </c>
      <c r="BA65" s="74">
        <v>1040</v>
      </c>
      <c r="BB65" s="74">
        <v>0</v>
      </c>
      <c r="BC65" s="74">
        <v>0</v>
      </c>
      <c r="BD65" s="74">
        <v>0</v>
      </c>
      <c r="BE65" s="74">
        <v>0</v>
      </c>
      <c r="BF65" s="74">
        <v>0</v>
      </c>
      <c r="BG65" s="74">
        <v>0</v>
      </c>
      <c r="BH65" s="74">
        <v>0</v>
      </c>
      <c r="BI65" s="74">
        <v>0</v>
      </c>
      <c r="BJ65" s="74">
        <v>0</v>
      </c>
      <c r="BK65" s="74">
        <v>0</v>
      </c>
      <c r="BL65" s="74">
        <v>0</v>
      </c>
      <c r="BM65" s="74">
        <v>0</v>
      </c>
      <c r="BN65" s="74">
        <v>0</v>
      </c>
      <c r="BO65" s="74">
        <v>0</v>
      </c>
      <c r="BP65" s="74">
        <v>0</v>
      </c>
      <c r="BQ65" s="74">
        <v>0</v>
      </c>
      <c r="BR65" s="74">
        <v>0</v>
      </c>
      <c r="BS65" s="74">
        <v>0</v>
      </c>
      <c r="BT65" s="74">
        <v>0</v>
      </c>
      <c r="BU65" s="74">
        <v>0</v>
      </c>
      <c r="BV65" s="74">
        <v>0</v>
      </c>
      <c r="BW65" s="74">
        <v>0</v>
      </c>
      <c r="BX65" s="74">
        <v>0</v>
      </c>
      <c r="BY65" s="74">
        <v>0</v>
      </c>
      <c r="BZ65" s="74">
        <v>0</v>
      </c>
      <c r="CA65" s="74">
        <v>0</v>
      </c>
      <c r="CB65" s="74">
        <v>0</v>
      </c>
      <c r="CC65" s="74">
        <v>0</v>
      </c>
      <c r="CD65" s="74">
        <v>0</v>
      </c>
      <c r="CE65" s="74">
        <v>0</v>
      </c>
      <c r="CF65" s="74">
        <v>0</v>
      </c>
      <c r="CG65" s="74">
        <v>0</v>
      </c>
      <c r="CH65" s="74">
        <v>0</v>
      </c>
      <c r="CI65" s="74">
        <v>0</v>
      </c>
      <c r="CJ65" s="74">
        <v>0</v>
      </c>
      <c r="CK65" s="74">
        <v>0</v>
      </c>
      <c r="CL65" s="74">
        <v>0</v>
      </c>
      <c r="CM65" s="74">
        <v>0</v>
      </c>
      <c r="CN65" s="74">
        <v>0</v>
      </c>
      <c r="CO65" s="74">
        <v>0</v>
      </c>
      <c r="CP65" s="74">
        <v>0</v>
      </c>
      <c r="CQ65" s="74">
        <v>0</v>
      </c>
      <c r="CR65" s="74">
        <v>0</v>
      </c>
      <c r="CS65" s="74">
        <v>0</v>
      </c>
      <c r="CT65" s="74">
        <v>0</v>
      </c>
      <c r="CU65" s="74">
        <v>0</v>
      </c>
      <c r="CV65" s="74">
        <v>0</v>
      </c>
      <c r="CW65" s="74">
        <v>0</v>
      </c>
      <c r="CX65" s="74">
        <v>0</v>
      </c>
      <c r="CY65" s="74">
        <v>0</v>
      </c>
      <c r="CZ65" s="74">
        <v>0</v>
      </c>
      <c r="DA65" s="74">
        <v>0</v>
      </c>
      <c r="DB65" s="74">
        <v>0</v>
      </c>
      <c r="DC65" s="74">
        <v>0</v>
      </c>
      <c r="DD65" s="74">
        <v>0</v>
      </c>
      <c r="DE65" s="74">
        <v>0</v>
      </c>
      <c r="DF65" s="74">
        <v>0</v>
      </c>
      <c r="DG65" s="74">
        <v>0</v>
      </c>
      <c r="DH65" s="74">
        <v>0</v>
      </c>
      <c r="DI65" s="74">
        <v>0</v>
      </c>
      <c r="DJ65" s="74">
        <v>0</v>
      </c>
      <c r="DK65" s="74">
        <v>0</v>
      </c>
      <c r="DL65" s="74">
        <v>0</v>
      </c>
      <c r="DM65" s="74">
        <v>0</v>
      </c>
      <c r="DN65" s="74">
        <v>0</v>
      </c>
      <c r="DO65" s="74">
        <v>0</v>
      </c>
      <c r="DP65" s="74">
        <v>0</v>
      </c>
      <c r="DQ65" s="74">
        <v>0</v>
      </c>
      <c r="DR65" s="74">
        <v>0</v>
      </c>
      <c r="DS65" s="74">
        <v>0</v>
      </c>
      <c r="DT65" s="74">
        <v>0</v>
      </c>
      <c r="DU65" s="74">
        <v>0</v>
      </c>
      <c r="DV65" s="74">
        <v>0</v>
      </c>
      <c r="DW65" s="74">
        <v>0</v>
      </c>
      <c r="DX65" s="74">
        <v>0</v>
      </c>
      <c r="DY65" s="74">
        <v>0</v>
      </c>
      <c r="DZ65" s="74">
        <v>0</v>
      </c>
      <c r="EA65" s="74">
        <v>0</v>
      </c>
      <c r="EB65" s="74">
        <v>0</v>
      </c>
      <c r="EC65" s="74">
        <v>0</v>
      </c>
      <c r="ED65" s="74"/>
      <c r="EE65" s="68">
        <v>46063</v>
      </c>
      <c r="EF65" s="81">
        <v>46063.452996759261</v>
      </c>
      <c r="EG65" s="2" t="s">
        <v>70</v>
      </c>
      <c r="EH65" s="76">
        <v>2</v>
      </c>
      <c r="EI65" s="76" t="s">
        <v>32</v>
      </c>
      <c r="EJ65" s="74" t="s">
        <v>244</v>
      </c>
      <c r="EK65" s="78"/>
      <c r="EL65" s="74"/>
      <c r="EM65" s="74"/>
      <c r="EN65" s="68"/>
      <c r="ER65" s="73"/>
      <c r="ES65" s="74"/>
      <c r="ET65" s="74"/>
      <c r="EU65" s="74"/>
      <c r="EV65" s="74"/>
      <c r="EW65" s="74"/>
      <c r="EX65" s="74"/>
      <c r="EY65" s="74"/>
      <c r="EZ65" s="74"/>
      <c r="FA65" s="74"/>
      <c r="FB65" s="74"/>
      <c r="FC65" s="74"/>
      <c r="FD65" s="74"/>
      <c r="FE65" s="74"/>
      <c r="FF65" s="74"/>
      <c r="FG65" s="74"/>
      <c r="FH65" s="74"/>
      <c r="FI65" s="74"/>
      <c r="FJ65" s="74"/>
      <c r="FK65" s="68"/>
    </row>
    <row r="66" spans="1:167" s="2" customFormat="1" ht="15" x14ac:dyDescent="0.3">
      <c r="A66" s="73" t="s">
        <v>157</v>
      </c>
      <c r="B66" s="73" t="s">
        <v>54</v>
      </c>
      <c r="C66" s="73" t="s">
        <v>47</v>
      </c>
      <c r="D66" s="73" t="s">
        <v>44</v>
      </c>
      <c r="E66" s="73" t="s">
        <v>178</v>
      </c>
      <c r="F66" s="73" t="s">
        <v>210</v>
      </c>
      <c r="G66" s="73" t="s">
        <v>227</v>
      </c>
      <c r="H66" s="73"/>
      <c r="I66" s="74">
        <v>7296</v>
      </c>
      <c r="J66" s="74">
        <v>9201</v>
      </c>
      <c r="K66" s="74">
        <v>13531</v>
      </c>
      <c r="L66" s="74">
        <v>18532</v>
      </c>
      <c r="M66" s="74">
        <v>22841</v>
      </c>
      <c r="N66" s="74">
        <v>24631</v>
      </c>
      <c r="O66" s="74">
        <v>39834</v>
      </c>
      <c r="P66" s="74">
        <v>45606</v>
      </c>
      <c r="Q66" s="74">
        <v>0</v>
      </c>
      <c r="R66" s="74">
        <v>0</v>
      </c>
      <c r="S66" s="74">
        <v>0</v>
      </c>
      <c r="T66" s="74">
        <v>0</v>
      </c>
      <c r="U66" s="74">
        <v>0</v>
      </c>
      <c r="V66" s="74">
        <v>0</v>
      </c>
      <c r="W66" s="74">
        <v>0</v>
      </c>
      <c r="X66" s="74">
        <v>0</v>
      </c>
      <c r="Y66" s="74">
        <v>0</v>
      </c>
      <c r="Z66" s="74">
        <v>0</v>
      </c>
      <c r="AA66" s="74">
        <v>0</v>
      </c>
      <c r="AB66" s="74">
        <v>0</v>
      </c>
      <c r="AC66" s="74">
        <v>0</v>
      </c>
      <c r="AD66" s="74">
        <v>0</v>
      </c>
      <c r="AE66" s="74">
        <v>0</v>
      </c>
      <c r="AF66" s="74">
        <v>0</v>
      </c>
      <c r="AG66" s="74">
        <v>0</v>
      </c>
      <c r="AH66" s="74">
        <v>0</v>
      </c>
      <c r="AI66" s="74">
        <v>0</v>
      </c>
      <c r="AJ66" s="74">
        <v>0</v>
      </c>
      <c r="AK66" s="74"/>
      <c r="AL66" s="74">
        <v>6518</v>
      </c>
      <c r="AM66" s="74">
        <v>5715</v>
      </c>
      <c r="AN66" s="74">
        <v>5403</v>
      </c>
      <c r="AO66" s="74">
        <v>5205</v>
      </c>
      <c r="AP66" s="74">
        <v>5123</v>
      </c>
      <c r="AQ66" s="74">
        <v>5365</v>
      </c>
      <c r="AR66" s="74">
        <v>6976</v>
      </c>
      <c r="AS66" s="74">
        <v>7167</v>
      </c>
      <c r="AT66" s="74">
        <v>9421</v>
      </c>
      <c r="AU66" s="74">
        <v>9334</v>
      </c>
      <c r="AV66" s="74">
        <v>10447</v>
      </c>
      <c r="AW66" s="74">
        <v>10632</v>
      </c>
      <c r="AX66" s="74">
        <v>11547</v>
      </c>
      <c r="AY66" s="74">
        <v>10160</v>
      </c>
      <c r="AZ66" s="74">
        <v>11434</v>
      </c>
      <c r="BA66" s="74">
        <v>12465</v>
      </c>
      <c r="BB66" s="74">
        <v>0</v>
      </c>
      <c r="BC66" s="74">
        <v>0</v>
      </c>
      <c r="BD66" s="74">
        <v>0</v>
      </c>
      <c r="BE66" s="74">
        <v>0</v>
      </c>
      <c r="BF66" s="74">
        <v>0</v>
      </c>
      <c r="BG66" s="74">
        <v>0</v>
      </c>
      <c r="BH66" s="74">
        <v>0</v>
      </c>
      <c r="BI66" s="74">
        <v>0</v>
      </c>
      <c r="BJ66" s="74">
        <v>0</v>
      </c>
      <c r="BK66" s="74">
        <v>0</v>
      </c>
      <c r="BL66" s="74">
        <v>0</v>
      </c>
      <c r="BM66" s="74">
        <v>0</v>
      </c>
      <c r="BN66" s="74">
        <v>0</v>
      </c>
      <c r="BO66" s="74">
        <v>0</v>
      </c>
      <c r="BP66" s="74">
        <v>0</v>
      </c>
      <c r="BQ66" s="74">
        <v>0</v>
      </c>
      <c r="BR66" s="74">
        <v>0</v>
      </c>
      <c r="BS66" s="74">
        <v>0</v>
      </c>
      <c r="BT66" s="74">
        <v>0</v>
      </c>
      <c r="BU66" s="74">
        <v>0</v>
      </c>
      <c r="BV66" s="74">
        <v>0</v>
      </c>
      <c r="BW66" s="74">
        <v>0</v>
      </c>
      <c r="BX66" s="74">
        <v>0</v>
      </c>
      <c r="BY66" s="74">
        <v>0</v>
      </c>
      <c r="BZ66" s="74">
        <v>0</v>
      </c>
      <c r="CA66" s="74">
        <v>0</v>
      </c>
      <c r="CB66" s="74">
        <v>0</v>
      </c>
      <c r="CC66" s="74">
        <v>0</v>
      </c>
      <c r="CD66" s="74">
        <v>0</v>
      </c>
      <c r="CE66" s="74">
        <v>0</v>
      </c>
      <c r="CF66" s="74">
        <v>0</v>
      </c>
      <c r="CG66" s="74">
        <v>0</v>
      </c>
      <c r="CH66" s="74">
        <v>0</v>
      </c>
      <c r="CI66" s="74">
        <v>0</v>
      </c>
      <c r="CJ66" s="74">
        <v>0</v>
      </c>
      <c r="CK66" s="74">
        <v>0</v>
      </c>
      <c r="CL66" s="74">
        <v>0</v>
      </c>
      <c r="CM66" s="74">
        <v>0</v>
      </c>
      <c r="CN66" s="74">
        <v>0</v>
      </c>
      <c r="CO66" s="74">
        <v>0</v>
      </c>
      <c r="CP66" s="74">
        <v>0</v>
      </c>
      <c r="CQ66" s="74">
        <v>0</v>
      </c>
      <c r="CR66" s="74">
        <v>0</v>
      </c>
      <c r="CS66" s="74">
        <v>0</v>
      </c>
      <c r="CT66" s="74">
        <v>0</v>
      </c>
      <c r="CU66" s="74">
        <v>0</v>
      </c>
      <c r="CV66" s="74">
        <v>0</v>
      </c>
      <c r="CW66" s="74">
        <v>0</v>
      </c>
      <c r="CX66" s="74">
        <v>0</v>
      </c>
      <c r="CY66" s="74">
        <v>0</v>
      </c>
      <c r="CZ66" s="74">
        <v>0</v>
      </c>
      <c r="DA66" s="74">
        <v>0</v>
      </c>
      <c r="DB66" s="74">
        <v>0</v>
      </c>
      <c r="DC66" s="74">
        <v>0</v>
      </c>
      <c r="DD66" s="74">
        <v>0</v>
      </c>
      <c r="DE66" s="74">
        <v>0</v>
      </c>
      <c r="DF66" s="74">
        <v>0</v>
      </c>
      <c r="DG66" s="74">
        <v>0</v>
      </c>
      <c r="DH66" s="74">
        <v>0</v>
      </c>
      <c r="DI66" s="74">
        <v>0</v>
      </c>
      <c r="DJ66" s="74">
        <v>0</v>
      </c>
      <c r="DK66" s="74">
        <v>0</v>
      </c>
      <c r="DL66" s="74">
        <v>0</v>
      </c>
      <c r="DM66" s="74">
        <v>0</v>
      </c>
      <c r="DN66" s="74">
        <v>0</v>
      </c>
      <c r="DO66" s="74">
        <v>0</v>
      </c>
      <c r="DP66" s="74">
        <v>0</v>
      </c>
      <c r="DQ66" s="74">
        <v>0</v>
      </c>
      <c r="DR66" s="74">
        <v>0</v>
      </c>
      <c r="DS66" s="74">
        <v>0</v>
      </c>
      <c r="DT66" s="74">
        <v>0</v>
      </c>
      <c r="DU66" s="74">
        <v>0</v>
      </c>
      <c r="DV66" s="74">
        <v>0</v>
      </c>
      <c r="DW66" s="74">
        <v>0</v>
      </c>
      <c r="DX66" s="74">
        <v>0</v>
      </c>
      <c r="DY66" s="74">
        <v>0</v>
      </c>
      <c r="DZ66" s="74">
        <v>0</v>
      </c>
      <c r="EA66" s="74">
        <v>0</v>
      </c>
      <c r="EB66" s="74">
        <v>0</v>
      </c>
      <c r="EC66" s="74">
        <v>0</v>
      </c>
      <c r="ED66" s="74"/>
      <c r="EE66" s="68">
        <v>46063</v>
      </c>
      <c r="EF66" s="81">
        <v>46063.452996759261</v>
      </c>
      <c r="EG66" s="2" t="s">
        <v>70</v>
      </c>
      <c r="EH66" s="76">
        <v>2</v>
      </c>
      <c r="EI66" s="76" t="s">
        <v>32</v>
      </c>
      <c r="EJ66" s="74" t="s">
        <v>244</v>
      </c>
      <c r="EK66" s="78"/>
      <c r="EL66" s="74"/>
      <c r="EM66" s="74"/>
      <c r="EN66" s="68"/>
      <c r="ER66" s="73"/>
      <c r="ES66" s="74"/>
      <c r="ET66" s="74"/>
      <c r="EU66" s="74"/>
      <c r="EV66" s="74"/>
      <c r="EW66" s="74"/>
      <c r="EX66" s="74"/>
      <c r="EY66" s="74"/>
      <c r="EZ66" s="74"/>
      <c r="FA66" s="74"/>
      <c r="FB66" s="74"/>
      <c r="FC66" s="74"/>
      <c r="FD66" s="74"/>
      <c r="FE66" s="74"/>
      <c r="FF66" s="74"/>
      <c r="FG66" s="74"/>
      <c r="FH66" s="74"/>
      <c r="FI66" s="74"/>
      <c r="FJ66" s="74"/>
      <c r="FK66" s="68"/>
    </row>
    <row r="67" spans="1:167" s="2" customFormat="1" ht="15" x14ac:dyDescent="0.3">
      <c r="A67" s="73" t="s">
        <v>196</v>
      </c>
      <c r="B67" s="73" t="s">
        <v>205</v>
      </c>
      <c r="C67" s="73" t="s">
        <v>205</v>
      </c>
      <c r="D67" s="73" t="s">
        <v>48</v>
      </c>
      <c r="E67" s="73" t="s">
        <v>178</v>
      </c>
      <c r="F67" s="73" t="s">
        <v>210</v>
      </c>
      <c r="G67" s="73" t="s">
        <v>227</v>
      </c>
      <c r="H67" s="73"/>
      <c r="I67" s="74">
        <v>17838</v>
      </c>
      <c r="J67" s="74">
        <v>43193</v>
      </c>
      <c r="K67" s="74">
        <v>57287</v>
      </c>
      <c r="L67" s="74">
        <v>72069</v>
      </c>
      <c r="M67" s="74">
        <v>73790</v>
      </c>
      <c r="N67" s="74">
        <v>109538</v>
      </c>
      <c r="O67" s="74">
        <v>143399</v>
      </c>
      <c r="P67" s="74">
        <v>167238.72</v>
      </c>
      <c r="Q67" s="74">
        <v>0</v>
      </c>
      <c r="R67" s="74">
        <v>0</v>
      </c>
      <c r="S67" s="74">
        <v>0</v>
      </c>
      <c r="T67" s="74">
        <v>0</v>
      </c>
      <c r="U67" s="74">
        <v>0</v>
      </c>
      <c r="V67" s="74">
        <v>0</v>
      </c>
      <c r="W67" s="74">
        <v>0</v>
      </c>
      <c r="X67" s="74">
        <v>0</v>
      </c>
      <c r="Y67" s="74">
        <v>0</v>
      </c>
      <c r="Z67" s="74">
        <v>0</v>
      </c>
      <c r="AA67" s="74">
        <v>0</v>
      </c>
      <c r="AB67" s="74">
        <v>0</v>
      </c>
      <c r="AC67" s="74">
        <v>0</v>
      </c>
      <c r="AD67" s="74">
        <v>0</v>
      </c>
      <c r="AE67" s="74">
        <v>0</v>
      </c>
      <c r="AF67" s="74">
        <v>0</v>
      </c>
      <c r="AG67" s="74">
        <v>0</v>
      </c>
      <c r="AH67" s="74">
        <v>0</v>
      </c>
      <c r="AI67" s="74">
        <v>0</v>
      </c>
      <c r="AJ67" s="74">
        <v>0</v>
      </c>
      <c r="AK67" s="74"/>
      <c r="AL67" s="74">
        <v>15897.000000000002</v>
      </c>
      <c r="AM67" s="74">
        <v>18120</v>
      </c>
      <c r="AN67" s="74">
        <v>18285</v>
      </c>
      <c r="AO67" s="74">
        <v>21028</v>
      </c>
      <c r="AP67" s="74">
        <v>20645</v>
      </c>
      <c r="AQ67" s="74">
        <v>26397</v>
      </c>
      <c r="AR67" s="74">
        <v>29148</v>
      </c>
      <c r="AS67" s="74">
        <v>33348</v>
      </c>
      <c r="AT67" s="74">
        <v>31952.000000000004</v>
      </c>
      <c r="AU67" s="74">
        <v>33432</v>
      </c>
      <c r="AV67" s="74">
        <v>36186</v>
      </c>
      <c r="AW67" s="74">
        <v>41829</v>
      </c>
      <c r="AX67" s="74">
        <v>36356</v>
      </c>
      <c r="AY67" s="74">
        <v>40932</v>
      </c>
      <c r="AZ67" s="74">
        <v>39065</v>
      </c>
      <c r="BA67" s="74">
        <v>49115</v>
      </c>
      <c r="BB67" s="74">
        <v>0</v>
      </c>
      <c r="BC67" s="74">
        <v>0</v>
      </c>
      <c r="BD67" s="74">
        <v>0</v>
      </c>
      <c r="BE67" s="74">
        <v>0</v>
      </c>
      <c r="BF67" s="74">
        <v>0</v>
      </c>
      <c r="BG67" s="74">
        <v>0</v>
      </c>
      <c r="BH67" s="74">
        <v>0</v>
      </c>
      <c r="BI67" s="74">
        <v>0</v>
      </c>
      <c r="BJ67" s="74">
        <v>0</v>
      </c>
      <c r="BK67" s="74">
        <v>0</v>
      </c>
      <c r="BL67" s="74">
        <v>0</v>
      </c>
      <c r="BM67" s="74">
        <v>0</v>
      </c>
      <c r="BN67" s="74">
        <v>0</v>
      </c>
      <c r="BO67" s="74">
        <v>0</v>
      </c>
      <c r="BP67" s="74">
        <v>0</v>
      </c>
      <c r="BQ67" s="74">
        <v>0</v>
      </c>
      <c r="BR67" s="74">
        <v>0</v>
      </c>
      <c r="BS67" s="74">
        <v>0</v>
      </c>
      <c r="BT67" s="74">
        <v>0</v>
      </c>
      <c r="BU67" s="74">
        <v>0</v>
      </c>
      <c r="BV67" s="74">
        <v>0</v>
      </c>
      <c r="BW67" s="74">
        <v>0</v>
      </c>
      <c r="BX67" s="74">
        <v>0</v>
      </c>
      <c r="BY67" s="74">
        <v>0</v>
      </c>
      <c r="BZ67" s="74">
        <v>0</v>
      </c>
      <c r="CA67" s="74">
        <v>0</v>
      </c>
      <c r="CB67" s="74">
        <v>0</v>
      </c>
      <c r="CC67" s="74">
        <v>0</v>
      </c>
      <c r="CD67" s="74">
        <v>0</v>
      </c>
      <c r="CE67" s="74">
        <v>0</v>
      </c>
      <c r="CF67" s="74">
        <v>0</v>
      </c>
      <c r="CG67" s="74">
        <v>0</v>
      </c>
      <c r="CH67" s="74">
        <v>0</v>
      </c>
      <c r="CI67" s="74">
        <v>0</v>
      </c>
      <c r="CJ67" s="74">
        <v>0</v>
      </c>
      <c r="CK67" s="74">
        <v>0</v>
      </c>
      <c r="CL67" s="74">
        <v>0</v>
      </c>
      <c r="CM67" s="74">
        <v>0</v>
      </c>
      <c r="CN67" s="74">
        <v>0</v>
      </c>
      <c r="CO67" s="74">
        <v>0</v>
      </c>
      <c r="CP67" s="74">
        <v>0</v>
      </c>
      <c r="CQ67" s="74">
        <v>0</v>
      </c>
      <c r="CR67" s="74">
        <v>0</v>
      </c>
      <c r="CS67" s="74">
        <v>0</v>
      </c>
      <c r="CT67" s="74">
        <v>0</v>
      </c>
      <c r="CU67" s="74">
        <v>0</v>
      </c>
      <c r="CV67" s="74">
        <v>0</v>
      </c>
      <c r="CW67" s="74">
        <v>0</v>
      </c>
      <c r="CX67" s="74">
        <v>0</v>
      </c>
      <c r="CY67" s="74">
        <v>0</v>
      </c>
      <c r="CZ67" s="74">
        <v>0</v>
      </c>
      <c r="DA67" s="74">
        <v>0</v>
      </c>
      <c r="DB67" s="74">
        <v>0</v>
      </c>
      <c r="DC67" s="74">
        <v>0</v>
      </c>
      <c r="DD67" s="74">
        <v>0</v>
      </c>
      <c r="DE67" s="74">
        <v>0</v>
      </c>
      <c r="DF67" s="74">
        <v>0</v>
      </c>
      <c r="DG67" s="74">
        <v>0</v>
      </c>
      <c r="DH67" s="74">
        <v>0</v>
      </c>
      <c r="DI67" s="74">
        <v>0</v>
      </c>
      <c r="DJ67" s="74">
        <v>0</v>
      </c>
      <c r="DK67" s="74">
        <v>0</v>
      </c>
      <c r="DL67" s="74">
        <v>0</v>
      </c>
      <c r="DM67" s="74">
        <v>0</v>
      </c>
      <c r="DN67" s="74">
        <v>0</v>
      </c>
      <c r="DO67" s="74">
        <v>0</v>
      </c>
      <c r="DP67" s="74">
        <v>0</v>
      </c>
      <c r="DQ67" s="74">
        <v>0</v>
      </c>
      <c r="DR67" s="74">
        <v>0</v>
      </c>
      <c r="DS67" s="74">
        <v>0</v>
      </c>
      <c r="DT67" s="74">
        <v>0</v>
      </c>
      <c r="DU67" s="74">
        <v>0</v>
      </c>
      <c r="DV67" s="74">
        <v>0</v>
      </c>
      <c r="DW67" s="74">
        <v>0</v>
      </c>
      <c r="DX67" s="74">
        <v>0</v>
      </c>
      <c r="DY67" s="74">
        <v>0</v>
      </c>
      <c r="DZ67" s="74">
        <v>0</v>
      </c>
      <c r="EA67" s="74">
        <v>0</v>
      </c>
      <c r="EB67" s="74">
        <v>0</v>
      </c>
      <c r="EC67" s="74">
        <v>0</v>
      </c>
      <c r="ED67" s="74"/>
      <c r="EE67" s="68">
        <v>46063</v>
      </c>
      <c r="EF67" s="81">
        <v>46063.452996759261</v>
      </c>
      <c r="EG67" s="2" t="s">
        <v>70</v>
      </c>
      <c r="EH67" s="76">
        <v>2</v>
      </c>
      <c r="EI67" s="76" t="s">
        <v>32</v>
      </c>
      <c r="EJ67" s="74" t="s">
        <v>244</v>
      </c>
      <c r="EK67" s="78"/>
      <c r="EL67" s="74"/>
      <c r="EM67" s="74"/>
      <c r="EN67" s="68"/>
      <c r="ER67" s="73"/>
      <c r="ES67" s="74"/>
      <c r="ET67" s="74"/>
      <c r="EU67" s="74"/>
      <c r="EV67" s="74"/>
      <c r="EW67" s="74"/>
      <c r="EX67" s="74"/>
      <c r="EY67" s="74"/>
      <c r="EZ67" s="74"/>
      <c r="FA67" s="74"/>
      <c r="FB67" s="74"/>
      <c r="FC67" s="74"/>
      <c r="FD67" s="74"/>
      <c r="FE67" s="74"/>
      <c r="FF67" s="74"/>
      <c r="FG67" s="74"/>
      <c r="FH67" s="74"/>
      <c r="FI67" s="74"/>
      <c r="FJ67" s="74"/>
      <c r="FK67" s="68"/>
    </row>
    <row r="68" spans="1:167" s="2" customFormat="1" ht="15" x14ac:dyDescent="0.3">
      <c r="A68" s="73" t="s">
        <v>181</v>
      </c>
      <c r="B68" s="73" t="s">
        <v>193</v>
      </c>
      <c r="C68" s="73" t="s">
        <v>193</v>
      </c>
      <c r="D68" s="73" t="s">
        <v>48</v>
      </c>
      <c r="E68" s="73" t="s">
        <v>178</v>
      </c>
      <c r="F68" s="73" t="s">
        <v>210</v>
      </c>
      <c r="G68" s="73" t="s">
        <v>227</v>
      </c>
      <c r="H68" s="73"/>
      <c r="I68" s="74">
        <v>12373</v>
      </c>
      <c r="J68" s="74">
        <v>13454</v>
      </c>
      <c r="K68" s="74">
        <v>17885</v>
      </c>
      <c r="L68" s="74">
        <v>18836</v>
      </c>
      <c r="M68" s="74">
        <v>10831</v>
      </c>
      <c r="N68" s="74">
        <v>29162</v>
      </c>
      <c r="O68" s="74">
        <v>41790.936209450221</v>
      </c>
      <c r="P68" s="74">
        <v>50330.245800356832</v>
      </c>
      <c r="Q68" s="74">
        <v>0</v>
      </c>
      <c r="R68" s="74">
        <v>0</v>
      </c>
      <c r="S68" s="74">
        <v>0</v>
      </c>
      <c r="T68" s="74">
        <v>0</v>
      </c>
      <c r="U68" s="74">
        <v>0</v>
      </c>
      <c r="V68" s="74">
        <v>0</v>
      </c>
      <c r="W68" s="74">
        <v>0</v>
      </c>
      <c r="X68" s="74">
        <v>0</v>
      </c>
      <c r="Y68" s="74">
        <v>0</v>
      </c>
      <c r="Z68" s="74">
        <v>0</v>
      </c>
      <c r="AA68" s="74">
        <v>0</v>
      </c>
      <c r="AB68" s="74">
        <v>0</v>
      </c>
      <c r="AC68" s="74">
        <v>0</v>
      </c>
      <c r="AD68" s="74">
        <v>0</v>
      </c>
      <c r="AE68" s="74">
        <v>0</v>
      </c>
      <c r="AF68" s="74">
        <v>0</v>
      </c>
      <c r="AG68" s="74">
        <v>0</v>
      </c>
      <c r="AH68" s="74">
        <v>0</v>
      </c>
      <c r="AI68" s="74">
        <v>0</v>
      </c>
      <c r="AJ68" s="74">
        <v>0</v>
      </c>
      <c r="AK68" s="74"/>
      <c r="AL68" s="74">
        <v>826.06267994419341</v>
      </c>
      <c r="AM68" s="74">
        <v>2070.5768480000002</v>
      </c>
      <c r="AN68" s="74">
        <v>2299.4819345599999</v>
      </c>
      <c r="AO68" s="74">
        <v>2573.1629165231998</v>
      </c>
      <c r="AP68" s="74">
        <v>3593.8159999999998</v>
      </c>
      <c r="AQ68" s="74">
        <v>6149.6</v>
      </c>
      <c r="AR68" s="74">
        <v>7736.5930684042814</v>
      </c>
      <c r="AS68" s="74">
        <v>10251.054657269509</v>
      </c>
      <c r="AT68" s="74">
        <v>8246.9862325119611</v>
      </c>
      <c r="AU68" s="74">
        <v>8497.8188138974492</v>
      </c>
      <c r="AV68" s="74">
        <v>9309.6479826172799</v>
      </c>
      <c r="AW68" s="74">
        <v>13197.54697097331</v>
      </c>
      <c r="AX68" s="74">
        <v>9371</v>
      </c>
      <c r="AY68" s="74">
        <v>11259</v>
      </c>
      <c r="AZ68" s="74">
        <v>9107.6261330661673</v>
      </c>
      <c r="BA68" s="74">
        <v>16203.867997257576</v>
      </c>
      <c r="BB68" s="74">
        <v>0</v>
      </c>
      <c r="BC68" s="74">
        <v>0</v>
      </c>
      <c r="BD68" s="74">
        <v>0</v>
      </c>
      <c r="BE68" s="74">
        <v>0</v>
      </c>
      <c r="BF68" s="74">
        <v>0</v>
      </c>
      <c r="BG68" s="74">
        <v>0</v>
      </c>
      <c r="BH68" s="74">
        <v>0</v>
      </c>
      <c r="BI68" s="74">
        <v>0</v>
      </c>
      <c r="BJ68" s="74">
        <v>0</v>
      </c>
      <c r="BK68" s="74">
        <v>0</v>
      </c>
      <c r="BL68" s="74">
        <v>0</v>
      </c>
      <c r="BM68" s="74">
        <v>0</v>
      </c>
      <c r="BN68" s="74">
        <v>0</v>
      </c>
      <c r="BO68" s="74">
        <v>0</v>
      </c>
      <c r="BP68" s="74">
        <v>0</v>
      </c>
      <c r="BQ68" s="74">
        <v>0</v>
      </c>
      <c r="BR68" s="74">
        <v>0</v>
      </c>
      <c r="BS68" s="74">
        <v>0</v>
      </c>
      <c r="BT68" s="74">
        <v>0</v>
      </c>
      <c r="BU68" s="74">
        <v>0</v>
      </c>
      <c r="BV68" s="74">
        <v>0</v>
      </c>
      <c r="BW68" s="74">
        <v>0</v>
      </c>
      <c r="BX68" s="74">
        <v>0</v>
      </c>
      <c r="BY68" s="74">
        <v>0</v>
      </c>
      <c r="BZ68" s="74">
        <v>0</v>
      </c>
      <c r="CA68" s="74">
        <v>0</v>
      </c>
      <c r="CB68" s="74">
        <v>0</v>
      </c>
      <c r="CC68" s="74">
        <v>0</v>
      </c>
      <c r="CD68" s="74">
        <v>0</v>
      </c>
      <c r="CE68" s="74">
        <v>0</v>
      </c>
      <c r="CF68" s="74">
        <v>0</v>
      </c>
      <c r="CG68" s="74">
        <v>0</v>
      </c>
      <c r="CH68" s="74">
        <v>0</v>
      </c>
      <c r="CI68" s="74">
        <v>0</v>
      </c>
      <c r="CJ68" s="74">
        <v>0</v>
      </c>
      <c r="CK68" s="74">
        <v>0</v>
      </c>
      <c r="CL68" s="74">
        <v>0</v>
      </c>
      <c r="CM68" s="74">
        <v>0</v>
      </c>
      <c r="CN68" s="74">
        <v>0</v>
      </c>
      <c r="CO68" s="74">
        <v>0</v>
      </c>
      <c r="CP68" s="74">
        <v>0</v>
      </c>
      <c r="CQ68" s="74">
        <v>0</v>
      </c>
      <c r="CR68" s="74">
        <v>0</v>
      </c>
      <c r="CS68" s="74">
        <v>0</v>
      </c>
      <c r="CT68" s="74">
        <v>0</v>
      </c>
      <c r="CU68" s="74">
        <v>0</v>
      </c>
      <c r="CV68" s="74">
        <v>0</v>
      </c>
      <c r="CW68" s="74">
        <v>0</v>
      </c>
      <c r="CX68" s="74">
        <v>0</v>
      </c>
      <c r="CY68" s="74">
        <v>0</v>
      </c>
      <c r="CZ68" s="74">
        <v>0</v>
      </c>
      <c r="DA68" s="74">
        <v>0</v>
      </c>
      <c r="DB68" s="74">
        <v>0</v>
      </c>
      <c r="DC68" s="74">
        <v>0</v>
      </c>
      <c r="DD68" s="74">
        <v>0</v>
      </c>
      <c r="DE68" s="74">
        <v>0</v>
      </c>
      <c r="DF68" s="74">
        <v>0</v>
      </c>
      <c r="DG68" s="74">
        <v>0</v>
      </c>
      <c r="DH68" s="74">
        <v>0</v>
      </c>
      <c r="DI68" s="74">
        <v>0</v>
      </c>
      <c r="DJ68" s="74">
        <v>0</v>
      </c>
      <c r="DK68" s="74">
        <v>0</v>
      </c>
      <c r="DL68" s="74">
        <v>0</v>
      </c>
      <c r="DM68" s="74">
        <v>0</v>
      </c>
      <c r="DN68" s="74">
        <v>0</v>
      </c>
      <c r="DO68" s="74">
        <v>0</v>
      </c>
      <c r="DP68" s="74">
        <v>0</v>
      </c>
      <c r="DQ68" s="74">
        <v>0</v>
      </c>
      <c r="DR68" s="74">
        <v>0</v>
      </c>
      <c r="DS68" s="74">
        <v>0</v>
      </c>
      <c r="DT68" s="74">
        <v>0</v>
      </c>
      <c r="DU68" s="74">
        <v>0</v>
      </c>
      <c r="DV68" s="74">
        <v>0</v>
      </c>
      <c r="DW68" s="74">
        <v>0</v>
      </c>
      <c r="DX68" s="74">
        <v>0</v>
      </c>
      <c r="DY68" s="74">
        <v>0</v>
      </c>
      <c r="DZ68" s="74">
        <v>0</v>
      </c>
      <c r="EA68" s="74">
        <v>0</v>
      </c>
      <c r="EB68" s="74">
        <v>0</v>
      </c>
      <c r="EC68" s="74">
        <v>0</v>
      </c>
      <c r="ED68" s="74"/>
      <c r="EE68" s="68">
        <v>46063</v>
      </c>
      <c r="EF68" s="81">
        <v>46063.452996759261</v>
      </c>
      <c r="EG68" s="2" t="s">
        <v>70</v>
      </c>
      <c r="EH68" s="76">
        <v>2</v>
      </c>
      <c r="EI68" s="76" t="s">
        <v>32</v>
      </c>
      <c r="EJ68" s="74" t="s">
        <v>244</v>
      </c>
      <c r="EK68" s="78"/>
      <c r="EL68" s="74"/>
      <c r="EM68" s="74"/>
      <c r="EN68" s="68"/>
      <c r="ER68" s="73"/>
      <c r="ES68" s="74"/>
      <c r="ET68" s="74"/>
      <c r="EU68" s="74"/>
      <c r="EV68" s="74"/>
      <c r="EW68" s="74"/>
      <c r="EX68" s="74"/>
      <c r="EY68" s="74"/>
      <c r="EZ68" s="74"/>
      <c r="FA68" s="74"/>
      <c r="FB68" s="74"/>
      <c r="FC68" s="74"/>
      <c r="FD68" s="74"/>
      <c r="FE68" s="74"/>
      <c r="FF68" s="74"/>
      <c r="FG68" s="74"/>
      <c r="FH68" s="74"/>
      <c r="FI68" s="74"/>
      <c r="FJ68" s="74"/>
      <c r="FK68" s="68"/>
    </row>
    <row r="69" spans="1:167" s="2" customFormat="1" ht="15" x14ac:dyDescent="0.3">
      <c r="A69" s="73" t="s">
        <v>182</v>
      </c>
      <c r="B69" s="73" t="s">
        <v>195</v>
      </c>
      <c r="C69" s="73" t="s">
        <v>195</v>
      </c>
      <c r="D69" s="73" t="s">
        <v>48</v>
      </c>
      <c r="E69" s="73" t="s">
        <v>178</v>
      </c>
      <c r="F69" s="73" t="s">
        <v>210</v>
      </c>
      <c r="G69" s="73" t="s">
        <v>227</v>
      </c>
      <c r="H69" s="73"/>
      <c r="I69" s="74">
        <v>-257</v>
      </c>
      <c r="J69" s="74">
        <v>521</v>
      </c>
      <c r="K69" s="74">
        <v>3739</v>
      </c>
      <c r="L69" s="74">
        <v>2559</v>
      </c>
      <c r="M69" s="74">
        <v>-3730</v>
      </c>
      <c r="N69" s="74">
        <v>1806</v>
      </c>
      <c r="O69" s="74">
        <v>8642.730912024821</v>
      </c>
      <c r="P69" s="74">
        <v>10558.456347416337</v>
      </c>
      <c r="Q69" s="74">
        <v>0</v>
      </c>
      <c r="R69" s="74">
        <v>0</v>
      </c>
      <c r="S69" s="74">
        <v>0</v>
      </c>
      <c r="T69" s="74">
        <v>0</v>
      </c>
      <c r="U69" s="74">
        <v>0</v>
      </c>
      <c r="V69" s="74">
        <v>0</v>
      </c>
      <c r="W69" s="74">
        <v>0</v>
      </c>
      <c r="X69" s="74">
        <v>0</v>
      </c>
      <c r="Y69" s="74">
        <v>0</v>
      </c>
      <c r="Z69" s="74">
        <v>0</v>
      </c>
      <c r="AA69" s="74">
        <v>0</v>
      </c>
      <c r="AB69" s="74">
        <v>0</v>
      </c>
      <c r="AC69" s="74">
        <v>0</v>
      </c>
      <c r="AD69" s="74">
        <v>0</v>
      </c>
      <c r="AE69" s="74">
        <v>0</v>
      </c>
      <c r="AF69" s="74">
        <v>0</v>
      </c>
      <c r="AG69" s="74">
        <v>0</v>
      </c>
      <c r="AH69" s="74">
        <v>0</v>
      </c>
      <c r="AI69" s="74">
        <v>0</v>
      </c>
      <c r="AJ69" s="74">
        <v>0</v>
      </c>
      <c r="AK69" s="74"/>
      <c r="AL69" s="74">
        <v>-488.78461095014404</v>
      </c>
      <c r="AM69" s="74">
        <v>-1070.4428800000001</v>
      </c>
      <c r="AN69" s="74">
        <v>-1731.76364848</v>
      </c>
      <c r="AO69" s="74">
        <v>-1290.2886389099999</v>
      </c>
      <c r="AP69" s="74">
        <v>-471.62450000000001</v>
      </c>
      <c r="AQ69" s="74">
        <v>-61.879774999999881</v>
      </c>
      <c r="AR69" s="74">
        <v>943.18570139361009</v>
      </c>
      <c r="AS69" s="74">
        <v>700.28382284638633</v>
      </c>
      <c r="AT69" s="74">
        <v>1945.3601270288939</v>
      </c>
      <c r="AU69" s="74">
        <v>1327.4725426728112</v>
      </c>
      <c r="AV69" s="74">
        <v>2407.4657346335302</v>
      </c>
      <c r="AW69" s="74">
        <v>2573.7015956647647</v>
      </c>
      <c r="AX69" s="74">
        <v>2153</v>
      </c>
      <c r="AY69" s="74">
        <v>2674</v>
      </c>
      <c r="AZ69" s="74">
        <v>2349.2465141868261</v>
      </c>
      <c r="BA69" s="74">
        <v>2462.7712564719491</v>
      </c>
      <c r="BB69" s="74">
        <v>0</v>
      </c>
      <c r="BC69" s="74">
        <v>0</v>
      </c>
      <c r="BD69" s="74">
        <v>0</v>
      </c>
      <c r="BE69" s="74">
        <v>0</v>
      </c>
      <c r="BF69" s="74">
        <v>0</v>
      </c>
      <c r="BG69" s="74">
        <v>0</v>
      </c>
      <c r="BH69" s="74">
        <v>0</v>
      </c>
      <c r="BI69" s="74">
        <v>0</v>
      </c>
      <c r="BJ69" s="74">
        <v>0</v>
      </c>
      <c r="BK69" s="74">
        <v>0</v>
      </c>
      <c r="BL69" s="74">
        <v>0</v>
      </c>
      <c r="BM69" s="74">
        <v>0</v>
      </c>
      <c r="BN69" s="74">
        <v>0</v>
      </c>
      <c r="BO69" s="74">
        <v>0</v>
      </c>
      <c r="BP69" s="74">
        <v>0</v>
      </c>
      <c r="BQ69" s="74">
        <v>0</v>
      </c>
      <c r="BR69" s="74">
        <v>0</v>
      </c>
      <c r="BS69" s="74">
        <v>0</v>
      </c>
      <c r="BT69" s="74">
        <v>0</v>
      </c>
      <c r="BU69" s="74">
        <v>0</v>
      </c>
      <c r="BV69" s="74">
        <v>0</v>
      </c>
      <c r="BW69" s="74">
        <v>0</v>
      </c>
      <c r="BX69" s="74">
        <v>0</v>
      </c>
      <c r="BY69" s="74">
        <v>0</v>
      </c>
      <c r="BZ69" s="74">
        <v>0</v>
      </c>
      <c r="CA69" s="74">
        <v>0</v>
      </c>
      <c r="CB69" s="74">
        <v>0</v>
      </c>
      <c r="CC69" s="74">
        <v>0</v>
      </c>
      <c r="CD69" s="74">
        <v>0</v>
      </c>
      <c r="CE69" s="74">
        <v>0</v>
      </c>
      <c r="CF69" s="74">
        <v>0</v>
      </c>
      <c r="CG69" s="74">
        <v>0</v>
      </c>
      <c r="CH69" s="74">
        <v>0</v>
      </c>
      <c r="CI69" s="74">
        <v>0</v>
      </c>
      <c r="CJ69" s="74">
        <v>0</v>
      </c>
      <c r="CK69" s="74">
        <v>0</v>
      </c>
      <c r="CL69" s="74">
        <v>0</v>
      </c>
      <c r="CM69" s="74">
        <v>0</v>
      </c>
      <c r="CN69" s="74">
        <v>0</v>
      </c>
      <c r="CO69" s="74">
        <v>0</v>
      </c>
      <c r="CP69" s="74">
        <v>0</v>
      </c>
      <c r="CQ69" s="74">
        <v>0</v>
      </c>
      <c r="CR69" s="74">
        <v>0</v>
      </c>
      <c r="CS69" s="74">
        <v>0</v>
      </c>
      <c r="CT69" s="74">
        <v>0</v>
      </c>
      <c r="CU69" s="74">
        <v>0</v>
      </c>
      <c r="CV69" s="74">
        <v>0</v>
      </c>
      <c r="CW69" s="74">
        <v>0</v>
      </c>
      <c r="CX69" s="74">
        <v>0</v>
      </c>
      <c r="CY69" s="74">
        <v>0</v>
      </c>
      <c r="CZ69" s="74">
        <v>0</v>
      </c>
      <c r="DA69" s="74">
        <v>0</v>
      </c>
      <c r="DB69" s="74">
        <v>0</v>
      </c>
      <c r="DC69" s="74">
        <v>0</v>
      </c>
      <c r="DD69" s="74">
        <v>0</v>
      </c>
      <c r="DE69" s="74">
        <v>0</v>
      </c>
      <c r="DF69" s="74">
        <v>0</v>
      </c>
      <c r="DG69" s="74">
        <v>0</v>
      </c>
      <c r="DH69" s="74">
        <v>0</v>
      </c>
      <c r="DI69" s="74">
        <v>0</v>
      </c>
      <c r="DJ69" s="74">
        <v>0</v>
      </c>
      <c r="DK69" s="74">
        <v>0</v>
      </c>
      <c r="DL69" s="74">
        <v>0</v>
      </c>
      <c r="DM69" s="74">
        <v>0</v>
      </c>
      <c r="DN69" s="74">
        <v>0</v>
      </c>
      <c r="DO69" s="74">
        <v>0</v>
      </c>
      <c r="DP69" s="74">
        <v>0</v>
      </c>
      <c r="DQ69" s="74">
        <v>0</v>
      </c>
      <c r="DR69" s="74">
        <v>0</v>
      </c>
      <c r="DS69" s="74">
        <v>0</v>
      </c>
      <c r="DT69" s="74">
        <v>0</v>
      </c>
      <c r="DU69" s="74">
        <v>0</v>
      </c>
      <c r="DV69" s="74">
        <v>0</v>
      </c>
      <c r="DW69" s="74">
        <v>0</v>
      </c>
      <c r="DX69" s="74">
        <v>0</v>
      </c>
      <c r="DY69" s="74">
        <v>0</v>
      </c>
      <c r="DZ69" s="74">
        <v>0</v>
      </c>
      <c r="EA69" s="74">
        <v>0</v>
      </c>
      <c r="EB69" s="74">
        <v>0</v>
      </c>
      <c r="EC69" s="74">
        <v>0</v>
      </c>
      <c r="ED69" s="74"/>
      <c r="EE69" s="68">
        <v>46063</v>
      </c>
      <c r="EF69" s="81">
        <v>46063.452996759261</v>
      </c>
      <c r="EG69" s="2" t="s">
        <v>70</v>
      </c>
      <c r="EH69" s="76">
        <v>2</v>
      </c>
      <c r="EI69" s="76" t="s">
        <v>32</v>
      </c>
      <c r="EJ69" s="74" t="s">
        <v>244</v>
      </c>
      <c r="EK69" s="78"/>
      <c r="EL69" s="74"/>
      <c r="EM69" s="74"/>
      <c r="EN69" s="68"/>
      <c r="ER69" s="73"/>
      <c r="ES69" s="74"/>
      <c r="ET69" s="74"/>
      <c r="EU69" s="74"/>
      <c r="EV69" s="74"/>
      <c r="EW69" s="74"/>
      <c r="EX69" s="74"/>
      <c r="EY69" s="74"/>
      <c r="EZ69" s="74"/>
      <c r="FA69" s="74"/>
      <c r="FB69" s="74"/>
      <c r="FC69" s="74"/>
      <c r="FD69" s="74"/>
      <c r="FE69" s="74"/>
      <c r="FF69" s="74"/>
      <c r="FG69" s="74"/>
      <c r="FH69" s="74"/>
      <c r="FI69" s="74"/>
      <c r="FJ69" s="74"/>
      <c r="FK69" s="68"/>
    </row>
    <row r="70" spans="1:167" s="2" customFormat="1" ht="15" x14ac:dyDescent="0.3">
      <c r="A70" s="73" t="s">
        <v>183</v>
      </c>
      <c r="B70" s="73" t="s">
        <v>194</v>
      </c>
      <c r="C70" s="73" t="s">
        <v>194</v>
      </c>
      <c r="D70" s="73" t="s">
        <v>48</v>
      </c>
      <c r="E70" s="73" t="s">
        <v>178</v>
      </c>
      <c r="F70" s="73" t="s">
        <v>210</v>
      </c>
      <c r="G70" s="73" t="s">
        <v>227</v>
      </c>
      <c r="H70" s="73"/>
      <c r="I70" s="74">
        <v>15454</v>
      </c>
      <c r="J70" s="74">
        <v>16804</v>
      </c>
      <c r="K70" s="74">
        <v>24184</v>
      </c>
      <c r="L70" s="74">
        <v>28408</v>
      </c>
      <c r="M70" s="74">
        <v>35372</v>
      </c>
      <c r="N70" s="74">
        <v>37951</v>
      </c>
      <c r="O70" s="74">
        <v>60974.691728935017</v>
      </c>
      <c r="P70" s="74">
        <v>79492.060509865638</v>
      </c>
      <c r="Q70" s="74">
        <v>0</v>
      </c>
      <c r="R70" s="74">
        <v>0</v>
      </c>
      <c r="S70" s="74">
        <v>0</v>
      </c>
      <c r="T70" s="74">
        <v>0</v>
      </c>
      <c r="U70" s="74">
        <v>0</v>
      </c>
      <c r="V70" s="74">
        <v>0</v>
      </c>
      <c r="W70" s="74">
        <v>0</v>
      </c>
      <c r="X70" s="74">
        <v>0</v>
      </c>
      <c r="Y70" s="74">
        <v>0</v>
      </c>
      <c r="Z70" s="74">
        <v>0</v>
      </c>
      <c r="AA70" s="74">
        <v>0</v>
      </c>
      <c r="AB70" s="74">
        <v>0</v>
      </c>
      <c r="AC70" s="74">
        <v>0</v>
      </c>
      <c r="AD70" s="74">
        <v>0</v>
      </c>
      <c r="AE70" s="74">
        <v>0</v>
      </c>
      <c r="AF70" s="74">
        <v>0</v>
      </c>
      <c r="AG70" s="74">
        <v>0</v>
      </c>
      <c r="AH70" s="74">
        <v>0</v>
      </c>
      <c r="AI70" s="74">
        <v>0</v>
      </c>
      <c r="AJ70" s="74">
        <v>0</v>
      </c>
      <c r="AK70" s="74"/>
      <c r="AL70" s="74">
        <v>9253.4406367992087</v>
      </c>
      <c r="AM70" s="74">
        <v>8481.4199404976353</v>
      </c>
      <c r="AN70" s="74">
        <v>8292.3824755987043</v>
      </c>
      <c r="AO70" s="74">
        <v>8209.1437554750282</v>
      </c>
      <c r="AP70" s="74">
        <v>8308.2650443786715</v>
      </c>
      <c r="AQ70" s="74">
        <v>8281.330601340971</v>
      </c>
      <c r="AR70" s="74">
        <v>9996.3697585056962</v>
      </c>
      <c r="AS70" s="74">
        <v>10495.986361321735</v>
      </c>
      <c r="AT70" s="74">
        <v>12585.95118613353</v>
      </c>
      <c r="AU70" s="74">
        <v>12663.056979011879</v>
      </c>
      <c r="AV70" s="74">
        <v>13972.900846815592</v>
      </c>
      <c r="AW70" s="74">
        <v>13932.090988038999</v>
      </c>
      <c r="AX70" s="74">
        <v>15937</v>
      </c>
      <c r="AY70" s="74">
        <v>15004</v>
      </c>
      <c r="AZ70" s="74">
        <v>17299.354543400383</v>
      </c>
      <c r="BA70" s="74">
        <v>19020.911133109315</v>
      </c>
      <c r="BB70" s="74">
        <v>0</v>
      </c>
      <c r="BC70" s="74">
        <v>0</v>
      </c>
      <c r="BD70" s="74">
        <v>0</v>
      </c>
      <c r="BE70" s="74">
        <v>0</v>
      </c>
      <c r="BF70" s="74">
        <v>0</v>
      </c>
      <c r="BG70" s="74">
        <v>0</v>
      </c>
      <c r="BH70" s="74">
        <v>0</v>
      </c>
      <c r="BI70" s="74">
        <v>0</v>
      </c>
      <c r="BJ70" s="74">
        <v>0</v>
      </c>
      <c r="BK70" s="74">
        <v>0</v>
      </c>
      <c r="BL70" s="74">
        <v>0</v>
      </c>
      <c r="BM70" s="74">
        <v>0</v>
      </c>
      <c r="BN70" s="74">
        <v>0</v>
      </c>
      <c r="BO70" s="74">
        <v>0</v>
      </c>
      <c r="BP70" s="74">
        <v>0</v>
      </c>
      <c r="BQ70" s="74">
        <v>0</v>
      </c>
      <c r="BR70" s="74">
        <v>0</v>
      </c>
      <c r="BS70" s="74">
        <v>0</v>
      </c>
      <c r="BT70" s="74">
        <v>0</v>
      </c>
      <c r="BU70" s="74">
        <v>0</v>
      </c>
      <c r="BV70" s="74">
        <v>0</v>
      </c>
      <c r="BW70" s="74">
        <v>0</v>
      </c>
      <c r="BX70" s="74">
        <v>0</v>
      </c>
      <c r="BY70" s="74">
        <v>0</v>
      </c>
      <c r="BZ70" s="74">
        <v>0</v>
      </c>
      <c r="CA70" s="74">
        <v>0</v>
      </c>
      <c r="CB70" s="74">
        <v>0</v>
      </c>
      <c r="CC70" s="74">
        <v>0</v>
      </c>
      <c r="CD70" s="74">
        <v>0</v>
      </c>
      <c r="CE70" s="74">
        <v>0</v>
      </c>
      <c r="CF70" s="74">
        <v>0</v>
      </c>
      <c r="CG70" s="74">
        <v>0</v>
      </c>
      <c r="CH70" s="74">
        <v>0</v>
      </c>
      <c r="CI70" s="74">
        <v>0</v>
      </c>
      <c r="CJ70" s="74">
        <v>0</v>
      </c>
      <c r="CK70" s="74">
        <v>0</v>
      </c>
      <c r="CL70" s="74">
        <v>0</v>
      </c>
      <c r="CM70" s="74">
        <v>0</v>
      </c>
      <c r="CN70" s="74">
        <v>0</v>
      </c>
      <c r="CO70" s="74">
        <v>0</v>
      </c>
      <c r="CP70" s="74">
        <v>0</v>
      </c>
      <c r="CQ70" s="74">
        <v>0</v>
      </c>
      <c r="CR70" s="74">
        <v>0</v>
      </c>
      <c r="CS70" s="74">
        <v>0</v>
      </c>
      <c r="CT70" s="74">
        <v>0</v>
      </c>
      <c r="CU70" s="74">
        <v>0</v>
      </c>
      <c r="CV70" s="74">
        <v>0</v>
      </c>
      <c r="CW70" s="74">
        <v>0</v>
      </c>
      <c r="CX70" s="74">
        <v>0</v>
      </c>
      <c r="CY70" s="74">
        <v>0</v>
      </c>
      <c r="CZ70" s="74">
        <v>0</v>
      </c>
      <c r="DA70" s="74">
        <v>0</v>
      </c>
      <c r="DB70" s="74">
        <v>0</v>
      </c>
      <c r="DC70" s="74">
        <v>0</v>
      </c>
      <c r="DD70" s="74">
        <v>0</v>
      </c>
      <c r="DE70" s="74">
        <v>0</v>
      </c>
      <c r="DF70" s="74">
        <v>0</v>
      </c>
      <c r="DG70" s="74">
        <v>0</v>
      </c>
      <c r="DH70" s="74">
        <v>0</v>
      </c>
      <c r="DI70" s="74">
        <v>0</v>
      </c>
      <c r="DJ70" s="74">
        <v>0</v>
      </c>
      <c r="DK70" s="74">
        <v>0</v>
      </c>
      <c r="DL70" s="74">
        <v>0</v>
      </c>
      <c r="DM70" s="74">
        <v>0</v>
      </c>
      <c r="DN70" s="74">
        <v>0</v>
      </c>
      <c r="DO70" s="74">
        <v>0</v>
      </c>
      <c r="DP70" s="74">
        <v>0</v>
      </c>
      <c r="DQ70" s="74">
        <v>0</v>
      </c>
      <c r="DR70" s="74">
        <v>0</v>
      </c>
      <c r="DS70" s="74">
        <v>0</v>
      </c>
      <c r="DT70" s="74">
        <v>0</v>
      </c>
      <c r="DU70" s="74">
        <v>0</v>
      </c>
      <c r="DV70" s="74">
        <v>0</v>
      </c>
      <c r="DW70" s="74">
        <v>0</v>
      </c>
      <c r="DX70" s="74">
        <v>0</v>
      </c>
      <c r="DY70" s="74">
        <v>0</v>
      </c>
      <c r="DZ70" s="74">
        <v>0</v>
      </c>
      <c r="EA70" s="74">
        <v>0</v>
      </c>
      <c r="EB70" s="74">
        <v>0</v>
      </c>
      <c r="EC70" s="74">
        <v>0</v>
      </c>
      <c r="ED70" s="74"/>
      <c r="EE70" s="68">
        <v>46063</v>
      </c>
      <c r="EF70" s="81">
        <v>46063.452996759261</v>
      </c>
      <c r="EG70" s="2" t="s">
        <v>70</v>
      </c>
      <c r="EH70" s="76">
        <v>2</v>
      </c>
      <c r="EI70" s="76" t="s">
        <v>32</v>
      </c>
      <c r="EJ70" s="74" t="s">
        <v>244</v>
      </c>
      <c r="EK70" s="78"/>
      <c r="EL70" s="74"/>
      <c r="EM70" s="74"/>
      <c r="EN70" s="68"/>
      <c r="ER70" s="73"/>
      <c r="ES70" s="74"/>
      <c r="ET70" s="74"/>
      <c r="EU70" s="74"/>
      <c r="EV70" s="74"/>
      <c r="EW70" s="74"/>
      <c r="EX70" s="74"/>
      <c r="EY70" s="74"/>
      <c r="EZ70" s="74"/>
      <c r="FA70" s="74"/>
      <c r="FB70" s="74"/>
      <c r="FC70" s="74"/>
      <c r="FD70" s="74"/>
      <c r="FE70" s="74"/>
      <c r="FF70" s="74"/>
      <c r="FG70" s="74"/>
      <c r="FH70" s="74"/>
      <c r="FI70" s="74"/>
      <c r="FJ70" s="74"/>
      <c r="FK70" s="68"/>
    </row>
    <row r="71" spans="1:167" s="2" customFormat="1" ht="15" x14ac:dyDescent="0.3">
      <c r="A71" s="73" t="s">
        <v>197</v>
      </c>
      <c r="B71" s="73" t="s">
        <v>204</v>
      </c>
      <c r="C71" s="73" t="s">
        <v>204</v>
      </c>
      <c r="D71" s="73" t="s">
        <v>48</v>
      </c>
      <c r="E71" s="73" t="s">
        <v>178</v>
      </c>
      <c r="F71" s="73" t="s">
        <v>210</v>
      </c>
      <c r="G71" s="73" t="s">
        <v>227</v>
      </c>
      <c r="H71" s="73"/>
      <c r="I71" s="74">
        <v>-15150</v>
      </c>
      <c r="J71" s="74">
        <v>5550</v>
      </c>
      <c r="K71" s="74">
        <v>2271</v>
      </c>
      <c r="L71" s="74">
        <v>9509</v>
      </c>
      <c r="M71" s="74">
        <v>11696</v>
      </c>
      <c r="N71" s="74">
        <v>16596</v>
      </c>
      <c r="O71" s="74">
        <v>9979.6411495899411</v>
      </c>
      <c r="P71" s="74">
        <v>5350.2373423611934</v>
      </c>
      <c r="Q71" s="74">
        <v>0</v>
      </c>
      <c r="R71" s="74">
        <v>0</v>
      </c>
      <c r="S71" s="74">
        <v>0</v>
      </c>
      <c r="T71" s="74">
        <v>0</v>
      </c>
      <c r="U71" s="74">
        <v>0</v>
      </c>
      <c r="V71" s="74">
        <v>0</v>
      </c>
      <c r="W71" s="74">
        <v>0</v>
      </c>
      <c r="X71" s="74">
        <v>0</v>
      </c>
      <c r="Y71" s="74">
        <v>0</v>
      </c>
      <c r="Z71" s="74">
        <v>0</v>
      </c>
      <c r="AA71" s="74">
        <v>0</v>
      </c>
      <c r="AB71" s="74">
        <v>0</v>
      </c>
      <c r="AC71" s="74">
        <v>0</v>
      </c>
      <c r="AD71" s="74">
        <v>0</v>
      </c>
      <c r="AE71" s="74">
        <v>0</v>
      </c>
      <c r="AF71" s="74">
        <v>0</v>
      </c>
      <c r="AG71" s="74">
        <v>0</v>
      </c>
      <c r="AH71" s="74">
        <v>0</v>
      </c>
      <c r="AI71" s="74">
        <v>0</v>
      </c>
      <c r="AJ71" s="74">
        <v>0</v>
      </c>
      <c r="AK71" s="74"/>
      <c r="AL71" s="74">
        <v>3056.281294206743</v>
      </c>
      <c r="AM71" s="74">
        <v>3429.4460915023628</v>
      </c>
      <c r="AN71" s="74">
        <v>3868.8992383212958</v>
      </c>
      <c r="AO71" s="74">
        <v>5929.9819669117715</v>
      </c>
      <c r="AP71" s="74">
        <v>4466.5434556213295</v>
      </c>
      <c r="AQ71" s="74">
        <v>4900.949173659028</v>
      </c>
      <c r="AR71" s="74">
        <v>4642.8514716964128</v>
      </c>
      <c r="AS71" s="74">
        <v>5581.6751585623697</v>
      </c>
      <c r="AT71" s="74">
        <v>4212.7024543256148</v>
      </c>
      <c r="AU71" s="74">
        <v>4221.651664417861</v>
      </c>
      <c r="AV71" s="74">
        <v>5162.9854359335986</v>
      </c>
      <c r="AW71" s="74">
        <v>7130.6604453229265</v>
      </c>
      <c r="AX71" s="74">
        <v>5206</v>
      </c>
      <c r="AY71" s="74">
        <v>5461</v>
      </c>
      <c r="AZ71" s="74">
        <v>5461.7728093466239</v>
      </c>
      <c r="BA71" s="74">
        <v>7030.4496131611604</v>
      </c>
      <c r="BB71" s="74">
        <v>0</v>
      </c>
      <c r="BC71" s="74">
        <v>0</v>
      </c>
      <c r="BD71" s="74">
        <v>0</v>
      </c>
      <c r="BE71" s="74">
        <v>0</v>
      </c>
      <c r="BF71" s="74">
        <v>0</v>
      </c>
      <c r="BG71" s="74">
        <v>0</v>
      </c>
      <c r="BH71" s="74">
        <v>0</v>
      </c>
      <c r="BI71" s="74">
        <v>0</v>
      </c>
      <c r="BJ71" s="74">
        <v>0</v>
      </c>
      <c r="BK71" s="74">
        <v>0</v>
      </c>
      <c r="BL71" s="74">
        <v>0</v>
      </c>
      <c r="BM71" s="74">
        <v>0</v>
      </c>
      <c r="BN71" s="74">
        <v>0</v>
      </c>
      <c r="BO71" s="74">
        <v>0</v>
      </c>
      <c r="BP71" s="74">
        <v>0</v>
      </c>
      <c r="BQ71" s="74">
        <v>0</v>
      </c>
      <c r="BR71" s="74">
        <v>0</v>
      </c>
      <c r="BS71" s="74">
        <v>0</v>
      </c>
      <c r="BT71" s="74">
        <v>0</v>
      </c>
      <c r="BU71" s="74">
        <v>0</v>
      </c>
      <c r="BV71" s="74">
        <v>0</v>
      </c>
      <c r="BW71" s="74">
        <v>0</v>
      </c>
      <c r="BX71" s="74">
        <v>0</v>
      </c>
      <c r="BY71" s="74">
        <v>0</v>
      </c>
      <c r="BZ71" s="74">
        <v>0</v>
      </c>
      <c r="CA71" s="74">
        <v>0</v>
      </c>
      <c r="CB71" s="74">
        <v>0</v>
      </c>
      <c r="CC71" s="74">
        <v>0</v>
      </c>
      <c r="CD71" s="74">
        <v>0</v>
      </c>
      <c r="CE71" s="74">
        <v>0</v>
      </c>
      <c r="CF71" s="74">
        <v>0</v>
      </c>
      <c r="CG71" s="74">
        <v>0</v>
      </c>
      <c r="CH71" s="74">
        <v>0</v>
      </c>
      <c r="CI71" s="74">
        <v>0</v>
      </c>
      <c r="CJ71" s="74">
        <v>0</v>
      </c>
      <c r="CK71" s="74">
        <v>0</v>
      </c>
      <c r="CL71" s="74">
        <v>0</v>
      </c>
      <c r="CM71" s="74">
        <v>0</v>
      </c>
      <c r="CN71" s="74">
        <v>0</v>
      </c>
      <c r="CO71" s="74">
        <v>0</v>
      </c>
      <c r="CP71" s="74">
        <v>0</v>
      </c>
      <c r="CQ71" s="74">
        <v>0</v>
      </c>
      <c r="CR71" s="74">
        <v>0</v>
      </c>
      <c r="CS71" s="74">
        <v>0</v>
      </c>
      <c r="CT71" s="74">
        <v>0</v>
      </c>
      <c r="CU71" s="74">
        <v>0</v>
      </c>
      <c r="CV71" s="74">
        <v>0</v>
      </c>
      <c r="CW71" s="74">
        <v>0</v>
      </c>
      <c r="CX71" s="74">
        <v>0</v>
      </c>
      <c r="CY71" s="74">
        <v>0</v>
      </c>
      <c r="CZ71" s="74">
        <v>0</v>
      </c>
      <c r="DA71" s="74">
        <v>0</v>
      </c>
      <c r="DB71" s="74">
        <v>0</v>
      </c>
      <c r="DC71" s="74">
        <v>0</v>
      </c>
      <c r="DD71" s="74">
        <v>0</v>
      </c>
      <c r="DE71" s="74">
        <v>0</v>
      </c>
      <c r="DF71" s="74">
        <v>0</v>
      </c>
      <c r="DG71" s="74">
        <v>0</v>
      </c>
      <c r="DH71" s="74">
        <v>0</v>
      </c>
      <c r="DI71" s="74">
        <v>0</v>
      </c>
      <c r="DJ71" s="74">
        <v>0</v>
      </c>
      <c r="DK71" s="74">
        <v>0</v>
      </c>
      <c r="DL71" s="74">
        <v>0</v>
      </c>
      <c r="DM71" s="74">
        <v>0</v>
      </c>
      <c r="DN71" s="74">
        <v>0</v>
      </c>
      <c r="DO71" s="74">
        <v>0</v>
      </c>
      <c r="DP71" s="74">
        <v>0</v>
      </c>
      <c r="DQ71" s="74">
        <v>0</v>
      </c>
      <c r="DR71" s="74">
        <v>0</v>
      </c>
      <c r="DS71" s="74">
        <v>0</v>
      </c>
      <c r="DT71" s="74">
        <v>0</v>
      </c>
      <c r="DU71" s="74">
        <v>0</v>
      </c>
      <c r="DV71" s="74">
        <v>0</v>
      </c>
      <c r="DW71" s="74">
        <v>0</v>
      </c>
      <c r="DX71" s="74">
        <v>0</v>
      </c>
      <c r="DY71" s="74">
        <v>0</v>
      </c>
      <c r="DZ71" s="74">
        <v>0</v>
      </c>
      <c r="EA71" s="74">
        <v>0</v>
      </c>
      <c r="EB71" s="74">
        <v>0</v>
      </c>
      <c r="EC71" s="74">
        <v>0</v>
      </c>
      <c r="ED71" s="74"/>
      <c r="EE71" s="68">
        <v>46063</v>
      </c>
      <c r="EF71" s="81">
        <v>46063.452996759261</v>
      </c>
      <c r="EG71" s="2" t="s">
        <v>70</v>
      </c>
      <c r="EH71" s="76">
        <v>2</v>
      </c>
      <c r="EI71" s="76" t="s">
        <v>32</v>
      </c>
      <c r="EJ71" s="74" t="s">
        <v>244</v>
      </c>
      <c r="EK71" s="78"/>
      <c r="EL71" s="74"/>
      <c r="EM71" s="74"/>
      <c r="EN71" s="68"/>
      <c r="ER71" s="73"/>
      <c r="ES71" s="74"/>
      <c r="ET71" s="74"/>
      <c r="EU71" s="74"/>
      <c r="EV71" s="74"/>
      <c r="EW71" s="74"/>
      <c r="EX71" s="74"/>
      <c r="EY71" s="74"/>
      <c r="EZ71" s="74"/>
      <c r="FA71" s="74"/>
      <c r="FB71" s="74"/>
      <c r="FC71" s="74"/>
      <c r="FD71" s="74"/>
      <c r="FE71" s="74"/>
      <c r="FF71" s="74"/>
      <c r="FG71" s="74"/>
      <c r="FH71" s="74"/>
      <c r="FI71" s="74"/>
      <c r="FJ71" s="74"/>
      <c r="FK71" s="68"/>
    </row>
    <row r="72" spans="1:167" s="2" customFormat="1" ht="15" x14ac:dyDescent="0.3">
      <c r="A72" s="73" t="s">
        <v>184</v>
      </c>
      <c r="B72" s="73" t="s">
        <v>166</v>
      </c>
      <c r="C72" s="73" t="s">
        <v>166</v>
      </c>
      <c r="D72" s="73" t="s">
        <v>48</v>
      </c>
      <c r="E72" s="73" t="s">
        <v>178</v>
      </c>
      <c r="F72" s="73" t="s">
        <v>210</v>
      </c>
      <c r="G72" s="73" t="s">
        <v>227</v>
      </c>
      <c r="H72" s="73"/>
      <c r="I72" s="74">
        <v>5106</v>
      </c>
      <c r="J72" s="74">
        <v>6421</v>
      </c>
      <c r="K72" s="74">
        <v>9234</v>
      </c>
      <c r="L72" s="74">
        <v>11565</v>
      </c>
      <c r="M72" s="74">
        <v>13678</v>
      </c>
      <c r="N72" s="74">
        <v>14285</v>
      </c>
      <c r="O72" s="74">
        <v>16823.936209450221</v>
      </c>
      <c r="P72" s="74">
        <v>20711.245800356835</v>
      </c>
      <c r="Q72" s="74">
        <v>0</v>
      </c>
      <c r="R72" s="74">
        <v>0</v>
      </c>
      <c r="S72" s="74">
        <v>0</v>
      </c>
      <c r="T72" s="74">
        <v>0</v>
      </c>
      <c r="U72" s="74">
        <v>0</v>
      </c>
      <c r="V72" s="74">
        <v>0</v>
      </c>
      <c r="W72" s="74">
        <v>0</v>
      </c>
      <c r="X72" s="74">
        <v>0</v>
      </c>
      <c r="Y72" s="74">
        <v>0</v>
      </c>
      <c r="Z72" s="74">
        <v>0</v>
      </c>
      <c r="AA72" s="74">
        <v>0</v>
      </c>
      <c r="AB72" s="74">
        <v>0</v>
      </c>
      <c r="AC72" s="74">
        <v>0</v>
      </c>
      <c r="AD72" s="74">
        <v>0</v>
      </c>
      <c r="AE72" s="74">
        <v>0</v>
      </c>
      <c r="AF72" s="74">
        <v>0</v>
      </c>
      <c r="AG72" s="74">
        <v>0</v>
      </c>
      <c r="AH72" s="74">
        <v>0</v>
      </c>
      <c r="AI72" s="74">
        <v>0</v>
      </c>
      <c r="AJ72" s="74">
        <v>0</v>
      </c>
      <c r="AK72" s="74"/>
      <c r="AL72" s="74">
        <v>2394.0626799441934</v>
      </c>
      <c r="AM72" s="74">
        <v>2697.5768480000002</v>
      </c>
      <c r="AN72" s="74">
        <v>2711.4819345599999</v>
      </c>
      <c r="AO72" s="74">
        <v>2813.1629165231998</v>
      </c>
      <c r="AP72" s="74">
        <v>2695.8159999999998</v>
      </c>
      <c r="AQ72" s="74">
        <v>2938.6</v>
      </c>
      <c r="AR72" s="74">
        <v>3429.5930684042814</v>
      </c>
      <c r="AS72" s="74">
        <v>3790.0546572695098</v>
      </c>
      <c r="AT72" s="74">
        <v>3263.9862325119611</v>
      </c>
      <c r="AU72" s="74">
        <v>3432.8188138974488</v>
      </c>
      <c r="AV72" s="74">
        <v>3646.6479826172804</v>
      </c>
      <c r="AW72" s="74">
        <v>3941.5469709733097</v>
      </c>
      <c r="AX72" s="74">
        <v>3530</v>
      </c>
      <c r="AY72" s="74">
        <v>3742</v>
      </c>
      <c r="AZ72" s="74">
        <v>4318.6261330661673</v>
      </c>
      <c r="BA72" s="74">
        <v>4731.8679972575756</v>
      </c>
      <c r="BB72" s="74">
        <v>0</v>
      </c>
      <c r="BC72" s="74">
        <v>0</v>
      </c>
      <c r="BD72" s="74">
        <v>0</v>
      </c>
      <c r="BE72" s="74">
        <v>0</v>
      </c>
      <c r="BF72" s="74">
        <v>0</v>
      </c>
      <c r="BG72" s="74">
        <v>0</v>
      </c>
      <c r="BH72" s="74">
        <v>0</v>
      </c>
      <c r="BI72" s="74">
        <v>0</v>
      </c>
      <c r="BJ72" s="74">
        <v>0</v>
      </c>
      <c r="BK72" s="74">
        <v>0</v>
      </c>
      <c r="BL72" s="74">
        <v>0</v>
      </c>
      <c r="BM72" s="74">
        <v>0</v>
      </c>
      <c r="BN72" s="74">
        <v>0</v>
      </c>
      <c r="BO72" s="74">
        <v>0</v>
      </c>
      <c r="BP72" s="74">
        <v>0</v>
      </c>
      <c r="BQ72" s="74">
        <v>0</v>
      </c>
      <c r="BR72" s="74">
        <v>0</v>
      </c>
      <c r="BS72" s="74">
        <v>0</v>
      </c>
      <c r="BT72" s="74">
        <v>0</v>
      </c>
      <c r="BU72" s="74">
        <v>0</v>
      </c>
      <c r="BV72" s="74">
        <v>0</v>
      </c>
      <c r="BW72" s="74">
        <v>0</v>
      </c>
      <c r="BX72" s="74">
        <v>0</v>
      </c>
      <c r="BY72" s="74">
        <v>0</v>
      </c>
      <c r="BZ72" s="74">
        <v>0</v>
      </c>
      <c r="CA72" s="74">
        <v>0</v>
      </c>
      <c r="CB72" s="74">
        <v>0</v>
      </c>
      <c r="CC72" s="74">
        <v>0</v>
      </c>
      <c r="CD72" s="74">
        <v>0</v>
      </c>
      <c r="CE72" s="74">
        <v>0</v>
      </c>
      <c r="CF72" s="74">
        <v>0</v>
      </c>
      <c r="CG72" s="74">
        <v>0</v>
      </c>
      <c r="CH72" s="74">
        <v>0</v>
      </c>
      <c r="CI72" s="74">
        <v>0</v>
      </c>
      <c r="CJ72" s="74">
        <v>0</v>
      </c>
      <c r="CK72" s="74">
        <v>0</v>
      </c>
      <c r="CL72" s="74">
        <v>0</v>
      </c>
      <c r="CM72" s="74">
        <v>0</v>
      </c>
      <c r="CN72" s="74">
        <v>0</v>
      </c>
      <c r="CO72" s="74">
        <v>0</v>
      </c>
      <c r="CP72" s="74">
        <v>0</v>
      </c>
      <c r="CQ72" s="74">
        <v>0</v>
      </c>
      <c r="CR72" s="74">
        <v>0</v>
      </c>
      <c r="CS72" s="74">
        <v>0</v>
      </c>
      <c r="CT72" s="74">
        <v>0</v>
      </c>
      <c r="CU72" s="74">
        <v>0</v>
      </c>
      <c r="CV72" s="74">
        <v>0</v>
      </c>
      <c r="CW72" s="74">
        <v>0</v>
      </c>
      <c r="CX72" s="74">
        <v>0</v>
      </c>
      <c r="CY72" s="74">
        <v>0</v>
      </c>
      <c r="CZ72" s="74">
        <v>0</v>
      </c>
      <c r="DA72" s="74">
        <v>0</v>
      </c>
      <c r="DB72" s="74">
        <v>0</v>
      </c>
      <c r="DC72" s="74">
        <v>0</v>
      </c>
      <c r="DD72" s="74">
        <v>0</v>
      </c>
      <c r="DE72" s="74">
        <v>0</v>
      </c>
      <c r="DF72" s="74">
        <v>0</v>
      </c>
      <c r="DG72" s="74">
        <v>0</v>
      </c>
      <c r="DH72" s="74">
        <v>0</v>
      </c>
      <c r="DI72" s="74">
        <v>0</v>
      </c>
      <c r="DJ72" s="74">
        <v>0</v>
      </c>
      <c r="DK72" s="74">
        <v>0</v>
      </c>
      <c r="DL72" s="74">
        <v>0</v>
      </c>
      <c r="DM72" s="74">
        <v>0</v>
      </c>
      <c r="DN72" s="74">
        <v>0</v>
      </c>
      <c r="DO72" s="74">
        <v>0</v>
      </c>
      <c r="DP72" s="74">
        <v>0</v>
      </c>
      <c r="DQ72" s="74">
        <v>0</v>
      </c>
      <c r="DR72" s="74">
        <v>0</v>
      </c>
      <c r="DS72" s="74">
        <v>0</v>
      </c>
      <c r="DT72" s="74">
        <v>0</v>
      </c>
      <c r="DU72" s="74">
        <v>0</v>
      </c>
      <c r="DV72" s="74">
        <v>0</v>
      </c>
      <c r="DW72" s="74">
        <v>0</v>
      </c>
      <c r="DX72" s="74">
        <v>0</v>
      </c>
      <c r="DY72" s="74">
        <v>0</v>
      </c>
      <c r="DZ72" s="74">
        <v>0</v>
      </c>
      <c r="EA72" s="74">
        <v>0</v>
      </c>
      <c r="EB72" s="74">
        <v>0</v>
      </c>
      <c r="EC72" s="74">
        <v>0</v>
      </c>
      <c r="ED72" s="74"/>
      <c r="EE72" s="68">
        <v>46063</v>
      </c>
      <c r="EF72" s="81">
        <v>46063.452996759261</v>
      </c>
      <c r="EG72" s="2" t="s">
        <v>70</v>
      </c>
      <c r="EH72" s="76">
        <v>2</v>
      </c>
      <c r="EI72" s="76" t="s">
        <v>32</v>
      </c>
      <c r="EJ72" s="74" t="s">
        <v>244</v>
      </c>
      <c r="EK72" s="78"/>
      <c r="EL72" s="74"/>
      <c r="EM72" s="74"/>
      <c r="EN72" s="68"/>
      <c r="ER72" s="73"/>
      <c r="ES72" s="74"/>
      <c r="ET72" s="74"/>
      <c r="EU72" s="74"/>
      <c r="EV72" s="74"/>
      <c r="EW72" s="74"/>
      <c r="EX72" s="74"/>
      <c r="EY72" s="74"/>
      <c r="EZ72" s="74"/>
      <c r="FA72" s="74"/>
      <c r="FB72" s="74"/>
      <c r="FC72" s="74"/>
      <c r="FD72" s="74"/>
      <c r="FE72" s="74"/>
      <c r="FF72" s="74"/>
      <c r="FG72" s="74"/>
      <c r="FH72" s="74"/>
      <c r="FI72" s="74"/>
      <c r="FJ72" s="74"/>
      <c r="FK72" s="68"/>
    </row>
    <row r="73" spans="1:167" s="2" customFormat="1" ht="15" x14ac:dyDescent="0.3">
      <c r="A73" s="73" t="s">
        <v>185</v>
      </c>
      <c r="B73" s="73" t="s">
        <v>168</v>
      </c>
      <c r="C73" s="73" t="s">
        <v>168</v>
      </c>
      <c r="D73" s="73" t="s">
        <v>48</v>
      </c>
      <c r="E73" s="73" t="s">
        <v>178</v>
      </c>
      <c r="F73" s="73" t="s">
        <v>210</v>
      </c>
      <c r="G73" s="73" t="s">
        <v>227</v>
      </c>
      <c r="H73" s="73"/>
      <c r="I73" s="74">
        <v>1886</v>
      </c>
      <c r="J73" s="74">
        <v>2215</v>
      </c>
      <c r="K73" s="74">
        <v>3022</v>
      </c>
      <c r="L73" s="74">
        <v>3483</v>
      </c>
      <c r="M73" s="74">
        <v>4016</v>
      </c>
      <c r="N73" s="74">
        <v>4462</v>
      </c>
      <c r="O73" s="74">
        <v>4850.7309120248201</v>
      </c>
      <c r="P73" s="74">
        <v>5808.4563474163378</v>
      </c>
      <c r="Q73" s="74">
        <v>0</v>
      </c>
      <c r="R73" s="74">
        <v>0</v>
      </c>
      <c r="S73" s="74">
        <v>0</v>
      </c>
      <c r="T73" s="74">
        <v>0</v>
      </c>
      <c r="U73" s="74">
        <v>0</v>
      </c>
      <c r="V73" s="74">
        <v>0</v>
      </c>
      <c r="W73" s="74">
        <v>0</v>
      </c>
      <c r="X73" s="74">
        <v>0</v>
      </c>
      <c r="Y73" s="74">
        <v>0</v>
      </c>
      <c r="Z73" s="74">
        <v>0</v>
      </c>
      <c r="AA73" s="74">
        <v>0</v>
      </c>
      <c r="AB73" s="74">
        <v>0</v>
      </c>
      <c r="AC73" s="74">
        <v>0</v>
      </c>
      <c r="AD73" s="74">
        <v>0</v>
      </c>
      <c r="AE73" s="74">
        <v>0</v>
      </c>
      <c r="AF73" s="74">
        <v>0</v>
      </c>
      <c r="AG73" s="74">
        <v>0</v>
      </c>
      <c r="AH73" s="74">
        <v>0</v>
      </c>
      <c r="AI73" s="74">
        <v>0</v>
      </c>
      <c r="AJ73" s="74">
        <v>0</v>
      </c>
      <c r="AK73" s="74"/>
      <c r="AL73" s="74">
        <v>792.21538904985596</v>
      </c>
      <c r="AM73" s="74">
        <v>700.55712000000005</v>
      </c>
      <c r="AN73" s="74">
        <v>734.23635151999997</v>
      </c>
      <c r="AO73" s="74">
        <v>937.71136109000008</v>
      </c>
      <c r="AP73" s="74">
        <v>775.37549999999999</v>
      </c>
      <c r="AQ73" s="74">
        <v>833.12022500000012</v>
      </c>
      <c r="AR73" s="74">
        <v>1038.1857013936101</v>
      </c>
      <c r="AS73" s="74">
        <v>1119.2838228463863</v>
      </c>
      <c r="AT73" s="74">
        <v>1042.3601270288939</v>
      </c>
      <c r="AU73" s="74">
        <v>1054.4725426728112</v>
      </c>
      <c r="AV73" s="74">
        <v>1106.4657346335302</v>
      </c>
      <c r="AW73" s="74">
        <v>1258.7015956647647</v>
      </c>
      <c r="AX73" s="74">
        <v>1136</v>
      </c>
      <c r="AY73" s="74">
        <v>1180</v>
      </c>
      <c r="AZ73" s="74">
        <v>1150.2465141868258</v>
      </c>
      <c r="BA73" s="74">
        <v>1422.7712564719491</v>
      </c>
      <c r="BB73" s="74">
        <v>0</v>
      </c>
      <c r="BC73" s="74">
        <v>0</v>
      </c>
      <c r="BD73" s="74">
        <v>0</v>
      </c>
      <c r="BE73" s="74">
        <v>0</v>
      </c>
      <c r="BF73" s="74">
        <v>0</v>
      </c>
      <c r="BG73" s="74">
        <v>0</v>
      </c>
      <c r="BH73" s="74">
        <v>0</v>
      </c>
      <c r="BI73" s="74">
        <v>0</v>
      </c>
      <c r="BJ73" s="74">
        <v>0</v>
      </c>
      <c r="BK73" s="74">
        <v>0</v>
      </c>
      <c r="BL73" s="74">
        <v>0</v>
      </c>
      <c r="BM73" s="74">
        <v>0</v>
      </c>
      <c r="BN73" s="74">
        <v>0</v>
      </c>
      <c r="BO73" s="74">
        <v>0</v>
      </c>
      <c r="BP73" s="74">
        <v>0</v>
      </c>
      <c r="BQ73" s="74">
        <v>0</v>
      </c>
      <c r="BR73" s="74">
        <v>0</v>
      </c>
      <c r="BS73" s="74">
        <v>0</v>
      </c>
      <c r="BT73" s="74">
        <v>0</v>
      </c>
      <c r="BU73" s="74">
        <v>0</v>
      </c>
      <c r="BV73" s="74">
        <v>0</v>
      </c>
      <c r="BW73" s="74">
        <v>0</v>
      </c>
      <c r="BX73" s="74">
        <v>0</v>
      </c>
      <c r="BY73" s="74">
        <v>0</v>
      </c>
      <c r="BZ73" s="74">
        <v>0</v>
      </c>
      <c r="CA73" s="74">
        <v>0</v>
      </c>
      <c r="CB73" s="74">
        <v>0</v>
      </c>
      <c r="CC73" s="74">
        <v>0</v>
      </c>
      <c r="CD73" s="74">
        <v>0</v>
      </c>
      <c r="CE73" s="74">
        <v>0</v>
      </c>
      <c r="CF73" s="74">
        <v>0</v>
      </c>
      <c r="CG73" s="74">
        <v>0</v>
      </c>
      <c r="CH73" s="74">
        <v>0</v>
      </c>
      <c r="CI73" s="74">
        <v>0</v>
      </c>
      <c r="CJ73" s="74">
        <v>0</v>
      </c>
      <c r="CK73" s="74">
        <v>0</v>
      </c>
      <c r="CL73" s="74">
        <v>0</v>
      </c>
      <c r="CM73" s="74">
        <v>0</v>
      </c>
      <c r="CN73" s="74">
        <v>0</v>
      </c>
      <c r="CO73" s="74">
        <v>0</v>
      </c>
      <c r="CP73" s="74">
        <v>0</v>
      </c>
      <c r="CQ73" s="74">
        <v>0</v>
      </c>
      <c r="CR73" s="74">
        <v>0</v>
      </c>
      <c r="CS73" s="74">
        <v>0</v>
      </c>
      <c r="CT73" s="74">
        <v>0</v>
      </c>
      <c r="CU73" s="74">
        <v>0</v>
      </c>
      <c r="CV73" s="74">
        <v>0</v>
      </c>
      <c r="CW73" s="74">
        <v>0</v>
      </c>
      <c r="CX73" s="74">
        <v>0</v>
      </c>
      <c r="CY73" s="74">
        <v>0</v>
      </c>
      <c r="CZ73" s="74">
        <v>0</v>
      </c>
      <c r="DA73" s="74">
        <v>0</v>
      </c>
      <c r="DB73" s="74">
        <v>0</v>
      </c>
      <c r="DC73" s="74">
        <v>0</v>
      </c>
      <c r="DD73" s="74">
        <v>0</v>
      </c>
      <c r="DE73" s="74">
        <v>0</v>
      </c>
      <c r="DF73" s="74">
        <v>0</v>
      </c>
      <c r="DG73" s="74">
        <v>0</v>
      </c>
      <c r="DH73" s="74">
        <v>0</v>
      </c>
      <c r="DI73" s="74">
        <v>0</v>
      </c>
      <c r="DJ73" s="74">
        <v>0</v>
      </c>
      <c r="DK73" s="74">
        <v>0</v>
      </c>
      <c r="DL73" s="74">
        <v>0</v>
      </c>
      <c r="DM73" s="74">
        <v>0</v>
      </c>
      <c r="DN73" s="74">
        <v>0</v>
      </c>
      <c r="DO73" s="74">
        <v>0</v>
      </c>
      <c r="DP73" s="74">
        <v>0</v>
      </c>
      <c r="DQ73" s="74">
        <v>0</v>
      </c>
      <c r="DR73" s="74">
        <v>0</v>
      </c>
      <c r="DS73" s="74">
        <v>0</v>
      </c>
      <c r="DT73" s="74">
        <v>0</v>
      </c>
      <c r="DU73" s="74">
        <v>0</v>
      </c>
      <c r="DV73" s="74">
        <v>0</v>
      </c>
      <c r="DW73" s="74">
        <v>0</v>
      </c>
      <c r="DX73" s="74">
        <v>0</v>
      </c>
      <c r="DY73" s="74">
        <v>0</v>
      </c>
      <c r="DZ73" s="74">
        <v>0</v>
      </c>
      <c r="EA73" s="74">
        <v>0</v>
      </c>
      <c r="EB73" s="74">
        <v>0</v>
      </c>
      <c r="EC73" s="74">
        <v>0</v>
      </c>
      <c r="ED73" s="74"/>
      <c r="EE73" s="68">
        <v>46063</v>
      </c>
      <c r="EF73" s="81">
        <v>46063.452996759261</v>
      </c>
      <c r="EG73" s="2" t="s">
        <v>70</v>
      </c>
      <c r="EH73" s="76">
        <v>2</v>
      </c>
      <c r="EI73" s="76" t="s">
        <v>32</v>
      </c>
      <c r="EJ73" s="74" t="s">
        <v>244</v>
      </c>
      <c r="EK73" s="78"/>
      <c r="EL73" s="74"/>
      <c r="EM73" s="74"/>
      <c r="EN73" s="68"/>
      <c r="ER73" s="73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68"/>
    </row>
    <row r="74" spans="1:167" s="2" customFormat="1" ht="15" x14ac:dyDescent="0.3">
      <c r="A74" s="73" t="s">
        <v>186</v>
      </c>
      <c r="B74" s="73" t="s">
        <v>172</v>
      </c>
      <c r="C74" s="73" t="s">
        <v>172</v>
      </c>
      <c r="D74" s="73" t="s">
        <v>48</v>
      </c>
      <c r="E74" s="73" t="s">
        <v>178</v>
      </c>
      <c r="F74" s="73" t="s">
        <v>210</v>
      </c>
      <c r="G74" s="73" t="s">
        <v>227</v>
      </c>
      <c r="H74" s="73"/>
      <c r="I74" s="74">
        <v>8158</v>
      </c>
      <c r="J74" s="74">
        <v>7603</v>
      </c>
      <c r="K74" s="74">
        <v>10653</v>
      </c>
      <c r="L74" s="74">
        <v>9876</v>
      </c>
      <c r="M74" s="74">
        <v>12531</v>
      </c>
      <c r="N74" s="74">
        <v>13320</v>
      </c>
      <c r="O74" s="74">
        <v>21140.691728935017</v>
      </c>
      <c r="P74" s="74">
        <v>33886.060509865638</v>
      </c>
      <c r="Q74" s="74">
        <v>0</v>
      </c>
      <c r="R74" s="74">
        <v>0</v>
      </c>
      <c r="S74" s="74">
        <v>0</v>
      </c>
      <c r="T74" s="74">
        <v>0</v>
      </c>
      <c r="U74" s="74">
        <v>0</v>
      </c>
      <c r="V74" s="74">
        <v>0</v>
      </c>
      <c r="W74" s="74">
        <v>0</v>
      </c>
      <c r="X74" s="74">
        <v>0</v>
      </c>
      <c r="Y74" s="74">
        <v>0</v>
      </c>
      <c r="Z74" s="74">
        <v>0</v>
      </c>
      <c r="AA74" s="74">
        <v>0</v>
      </c>
      <c r="AB74" s="74">
        <v>0</v>
      </c>
      <c r="AC74" s="74">
        <v>0</v>
      </c>
      <c r="AD74" s="74">
        <v>0</v>
      </c>
      <c r="AE74" s="74">
        <v>0</v>
      </c>
      <c r="AF74" s="74">
        <v>0</v>
      </c>
      <c r="AG74" s="74">
        <v>0</v>
      </c>
      <c r="AH74" s="74">
        <v>0</v>
      </c>
      <c r="AI74" s="74">
        <v>0</v>
      </c>
      <c r="AJ74" s="74">
        <v>0</v>
      </c>
      <c r="AK74" s="74"/>
      <c r="AL74" s="74">
        <v>2735.4406367992078</v>
      </c>
      <c r="AM74" s="74">
        <v>2766.4199404976362</v>
      </c>
      <c r="AN74" s="74">
        <v>2889.3824755987039</v>
      </c>
      <c r="AO74" s="74">
        <v>3004.1437554750278</v>
      </c>
      <c r="AP74" s="74">
        <v>3185.2650443786711</v>
      </c>
      <c r="AQ74" s="74">
        <v>2916.3306013409706</v>
      </c>
      <c r="AR74" s="74">
        <v>3020.3697585056962</v>
      </c>
      <c r="AS74" s="74">
        <v>3328.9863613217344</v>
      </c>
      <c r="AT74" s="74">
        <v>3164.9511861335304</v>
      </c>
      <c r="AU74" s="74">
        <v>3329.0569790118789</v>
      </c>
      <c r="AV74" s="74">
        <v>3525.9008468155916</v>
      </c>
      <c r="AW74" s="74">
        <v>3300.0909880389991</v>
      </c>
      <c r="AX74" s="74">
        <v>4390</v>
      </c>
      <c r="AY74" s="74">
        <v>4844</v>
      </c>
      <c r="AZ74" s="74">
        <v>5865.3545434003836</v>
      </c>
      <c r="BA74" s="74">
        <v>6555.9111331093145</v>
      </c>
      <c r="BB74" s="74">
        <v>0</v>
      </c>
      <c r="BC74" s="74">
        <v>0</v>
      </c>
      <c r="BD74" s="74">
        <v>0</v>
      </c>
      <c r="BE74" s="74">
        <v>0</v>
      </c>
      <c r="BF74" s="74">
        <v>0</v>
      </c>
      <c r="BG74" s="74">
        <v>0</v>
      </c>
      <c r="BH74" s="74">
        <v>0</v>
      </c>
      <c r="BI74" s="74">
        <v>0</v>
      </c>
      <c r="BJ74" s="74">
        <v>0</v>
      </c>
      <c r="BK74" s="74">
        <v>0</v>
      </c>
      <c r="BL74" s="74">
        <v>0</v>
      </c>
      <c r="BM74" s="74">
        <v>0</v>
      </c>
      <c r="BN74" s="74">
        <v>0</v>
      </c>
      <c r="BO74" s="74">
        <v>0</v>
      </c>
      <c r="BP74" s="74">
        <v>0</v>
      </c>
      <c r="BQ74" s="74">
        <v>0</v>
      </c>
      <c r="BR74" s="74">
        <v>0</v>
      </c>
      <c r="BS74" s="74">
        <v>0</v>
      </c>
      <c r="BT74" s="74">
        <v>0</v>
      </c>
      <c r="BU74" s="74">
        <v>0</v>
      </c>
      <c r="BV74" s="74">
        <v>0</v>
      </c>
      <c r="BW74" s="74">
        <v>0</v>
      </c>
      <c r="BX74" s="74">
        <v>0</v>
      </c>
      <c r="BY74" s="74">
        <v>0</v>
      </c>
      <c r="BZ74" s="74">
        <v>0</v>
      </c>
      <c r="CA74" s="74">
        <v>0</v>
      </c>
      <c r="CB74" s="74">
        <v>0</v>
      </c>
      <c r="CC74" s="74">
        <v>0</v>
      </c>
      <c r="CD74" s="74">
        <v>0</v>
      </c>
      <c r="CE74" s="74">
        <v>0</v>
      </c>
      <c r="CF74" s="74">
        <v>0</v>
      </c>
      <c r="CG74" s="74">
        <v>0</v>
      </c>
      <c r="CH74" s="74">
        <v>0</v>
      </c>
      <c r="CI74" s="74">
        <v>0</v>
      </c>
      <c r="CJ74" s="74">
        <v>0</v>
      </c>
      <c r="CK74" s="74">
        <v>0</v>
      </c>
      <c r="CL74" s="74">
        <v>0</v>
      </c>
      <c r="CM74" s="74">
        <v>0</v>
      </c>
      <c r="CN74" s="74">
        <v>0</v>
      </c>
      <c r="CO74" s="74">
        <v>0</v>
      </c>
      <c r="CP74" s="74">
        <v>0</v>
      </c>
      <c r="CQ74" s="74">
        <v>0</v>
      </c>
      <c r="CR74" s="74">
        <v>0</v>
      </c>
      <c r="CS74" s="74">
        <v>0</v>
      </c>
      <c r="CT74" s="74">
        <v>0</v>
      </c>
      <c r="CU74" s="74">
        <v>0</v>
      </c>
      <c r="CV74" s="74">
        <v>0</v>
      </c>
      <c r="CW74" s="74">
        <v>0</v>
      </c>
      <c r="CX74" s="74">
        <v>0</v>
      </c>
      <c r="CY74" s="74">
        <v>0</v>
      </c>
      <c r="CZ74" s="74">
        <v>0</v>
      </c>
      <c r="DA74" s="74">
        <v>0</v>
      </c>
      <c r="DB74" s="74">
        <v>0</v>
      </c>
      <c r="DC74" s="74">
        <v>0</v>
      </c>
      <c r="DD74" s="74">
        <v>0</v>
      </c>
      <c r="DE74" s="74">
        <v>0</v>
      </c>
      <c r="DF74" s="74">
        <v>0</v>
      </c>
      <c r="DG74" s="74">
        <v>0</v>
      </c>
      <c r="DH74" s="74">
        <v>0</v>
      </c>
      <c r="DI74" s="74">
        <v>0</v>
      </c>
      <c r="DJ74" s="74">
        <v>0</v>
      </c>
      <c r="DK74" s="74">
        <v>0</v>
      </c>
      <c r="DL74" s="74">
        <v>0</v>
      </c>
      <c r="DM74" s="74">
        <v>0</v>
      </c>
      <c r="DN74" s="74">
        <v>0</v>
      </c>
      <c r="DO74" s="74">
        <v>0</v>
      </c>
      <c r="DP74" s="74">
        <v>0</v>
      </c>
      <c r="DQ74" s="74">
        <v>0</v>
      </c>
      <c r="DR74" s="74">
        <v>0</v>
      </c>
      <c r="DS74" s="74">
        <v>0</v>
      </c>
      <c r="DT74" s="74">
        <v>0</v>
      </c>
      <c r="DU74" s="74">
        <v>0</v>
      </c>
      <c r="DV74" s="74">
        <v>0</v>
      </c>
      <c r="DW74" s="74">
        <v>0</v>
      </c>
      <c r="DX74" s="74">
        <v>0</v>
      </c>
      <c r="DY74" s="74">
        <v>0</v>
      </c>
      <c r="DZ74" s="74">
        <v>0</v>
      </c>
      <c r="EA74" s="74">
        <v>0</v>
      </c>
      <c r="EB74" s="74">
        <v>0</v>
      </c>
      <c r="EC74" s="74">
        <v>0</v>
      </c>
      <c r="ED74" s="74"/>
      <c r="EE74" s="68">
        <v>46063</v>
      </c>
      <c r="EF74" s="81">
        <v>46063.452996759261</v>
      </c>
      <c r="EG74" s="2" t="s">
        <v>70</v>
      </c>
      <c r="EH74" s="76">
        <v>2</v>
      </c>
      <c r="EI74" s="76" t="s">
        <v>32</v>
      </c>
      <c r="EJ74" s="74" t="s">
        <v>244</v>
      </c>
      <c r="EK74" s="78"/>
      <c r="EL74" s="74"/>
      <c r="EM74" s="74"/>
      <c r="EN74" s="68"/>
      <c r="ER74" s="73"/>
      <c r="ES74" s="74"/>
      <c r="ET74" s="74"/>
      <c r="EU74" s="74"/>
      <c r="EV74" s="74"/>
      <c r="EW74" s="74"/>
      <c r="EX74" s="74"/>
      <c r="EY74" s="74"/>
      <c r="EZ74" s="74"/>
      <c r="FA74" s="74"/>
      <c r="FB74" s="74"/>
      <c r="FC74" s="74"/>
      <c r="FD74" s="74"/>
      <c r="FE74" s="74"/>
      <c r="FF74" s="74"/>
      <c r="FG74" s="74"/>
      <c r="FH74" s="74"/>
      <c r="FI74" s="74"/>
      <c r="FJ74" s="74"/>
      <c r="FK74" s="68"/>
    </row>
    <row r="75" spans="1:167" s="2" customFormat="1" ht="15" x14ac:dyDescent="0.3">
      <c r="A75" s="73" t="s">
        <v>177</v>
      </c>
      <c r="B75" s="73" t="s">
        <v>203</v>
      </c>
      <c r="C75" s="73" t="s">
        <v>203</v>
      </c>
      <c r="D75" s="73" t="s">
        <v>48</v>
      </c>
      <c r="E75" s="73" t="s">
        <v>178</v>
      </c>
      <c r="F75" s="73" t="s">
        <v>210</v>
      </c>
      <c r="G75" s="73" t="s">
        <v>227</v>
      </c>
      <c r="H75" s="73"/>
      <c r="I75" s="74">
        <v>-15150</v>
      </c>
      <c r="J75" s="74">
        <v>5550</v>
      </c>
      <c r="K75" s="74">
        <v>2271</v>
      </c>
      <c r="L75" s="74">
        <v>9509</v>
      </c>
      <c r="M75" s="74">
        <v>11696</v>
      </c>
      <c r="N75" s="74">
        <v>16596</v>
      </c>
      <c r="O75" s="74">
        <v>9979.6411495899411</v>
      </c>
      <c r="P75" s="74">
        <v>5350.2373423611934</v>
      </c>
      <c r="Q75" s="74">
        <v>0</v>
      </c>
      <c r="R75" s="74">
        <v>0</v>
      </c>
      <c r="S75" s="74">
        <v>0</v>
      </c>
      <c r="T75" s="74">
        <v>0</v>
      </c>
      <c r="U75" s="74">
        <v>0</v>
      </c>
      <c r="V75" s="74">
        <v>0</v>
      </c>
      <c r="W75" s="74">
        <v>0</v>
      </c>
      <c r="X75" s="74">
        <v>0</v>
      </c>
      <c r="Y75" s="74">
        <v>0</v>
      </c>
      <c r="Z75" s="74">
        <v>0</v>
      </c>
      <c r="AA75" s="74">
        <v>0</v>
      </c>
      <c r="AB75" s="74">
        <v>0</v>
      </c>
      <c r="AC75" s="74">
        <v>0</v>
      </c>
      <c r="AD75" s="74">
        <v>0</v>
      </c>
      <c r="AE75" s="74">
        <v>0</v>
      </c>
      <c r="AF75" s="74">
        <v>0</v>
      </c>
      <c r="AG75" s="74">
        <v>0</v>
      </c>
      <c r="AH75" s="74">
        <v>0</v>
      </c>
      <c r="AI75" s="74">
        <v>0</v>
      </c>
      <c r="AJ75" s="74">
        <v>0</v>
      </c>
      <c r="AK75" s="74"/>
      <c r="AL75" s="74">
        <v>3056.281294206743</v>
      </c>
      <c r="AM75" s="74">
        <v>3429.4460915023628</v>
      </c>
      <c r="AN75" s="74">
        <v>3868.8992383212958</v>
      </c>
      <c r="AO75" s="74">
        <v>5929.9819669117715</v>
      </c>
      <c r="AP75" s="74">
        <v>4466.5434556213295</v>
      </c>
      <c r="AQ75" s="74">
        <v>4900.949173659028</v>
      </c>
      <c r="AR75" s="74">
        <v>4642.8514716964128</v>
      </c>
      <c r="AS75" s="74">
        <v>5581.6751585623697</v>
      </c>
      <c r="AT75" s="74">
        <v>4212.7024543256148</v>
      </c>
      <c r="AU75" s="74">
        <v>4221.651664417861</v>
      </c>
      <c r="AV75" s="74">
        <v>5162.9854359335986</v>
      </c>
      <c r="AW75" s="74">
        <v>7130.6604453229265</v>
      </c>
      <c r="AX75" s="74">
        <v>5206</v>
      </c>
      <c r="AY75" s="74">
        <v>5461</v>
      </c>
      <c r="AZ75" s="74">
        <v>5461.7728093466239</v>
      </c>
      <c r="BA75" s="74">
        <v>7030.4496131611604</v>
      </c>
      <c r="BB75" s="74">
        <v>0</v>
      </c>
      <c r="BC75" s="74">
        <v>0</v>
      </c>
      <c r="BD75" s="74">
        <v>0</v>
      </c>
      <c r="BE75" s="74">
        <v>0</v>
      </c>
      <c r="BF75" s="74">
        <v>0</v>
      </c>
      <c r="BG75" s="74">
        <v>0</v>
      </c>
      <c r="BH75" s="74">
        <v>0</v>
      </c>
      <c r="BI75" s="74">
        <v>0</v>
      </c>
      <c r="BJ75" s="74">
        <v>0</v>
      </c>
      <c r="BK75" s="74">
        <v>0</v>
      </c>
      <c r="BL75" s="74">
        <v>0</v>
      </c>
      <c r="BM75" s="74">
        <v>0</v>
      </c>
      <c r="BN75" s="74">
        <v>0</v>
      </c>
      <c r="BO75" s="74">
        <v>0</v>
      </c>
      <c r="BP75" s="74">
        <v>0</v>
      </c>
      <c r="BQ75" s="74">
        <v>0</v>
      </c>
      <c r="BR75" s="74">
        <v>0</v>
      </c>
      <c r="BS75" s="74">
        <v>0</v>
      </c>
      <c r="BT75" s="74">
        <v>0</v>
      </c>
      <c r="BU75" s="74">
        <v>0</v>
      </c>
      <c r="BV75" s="74">
        <v>0</v>
      </c>
      <c r="BW75" s="74">
        <v>0</v>
      </c>
      <c r="BX75" s="74">
        <v>0</v>
      </c>
      <c r="BY75" s="74">
        <v>0</v>
      </c>
      <c r="BZ75" s="74">
        <v>0</v>
      </c>
      <c r="CA75" s="74">
        <v>0</v>
      </c>
      <c r="CB75" s="74">
        <v>0</v>
      </c>
      <c r="CC75" s="74">
        <v>0</v>
      </c>
      <c r="CD75" s="74">
        <v>0</v>
      </c>
      <c r="CE75" s="74">
        <v>0</v>
      </c>
      <c r="CF75" s="74">
        <v>0</v>
      </c>
      <c r="CG75" s="74">
        <v>0</v>
      </c>
      <c r="CH75" s="74">
        <v>0</v>
      </c>
      <c r="CI75" s="74">
        <v>0</v>
      </c>
      <c r="CJ75" s="74">
        <v>0</v>
      </c>
      <c r="CK75" s="74">
        <v>0</v>
      </c>
      <c r="CL75" s="74">
        <v>0</v>
      </c>
      <c r="CM75" s="74">
        <v>0</v>
      </c>
      <c r="CN75" s="74">
        <v>0</v>
      </c>
      <c r="CO75" s="74">
        <v>0</v>
      </c>
      <c r="CP75" s="74">
        <v>0</v>
      </c>
      <c r="CQ75" s="74">
        <v>0</v>
      </c>
      <c r="CR75" s="74">
        <v>0</v>
      </c>
      <c r="CS75" s="74">
        <v>0</v>
      </c>
      <c r="CT75" s="74">
        <v>0</v>
      </c>
      <c r="CU75" s="74">
        <v>0</v>
      </c>
      <c r="CV75" s="74">
        <v>0</v>
      </c>
      <c r="CW75" s="74">
        <v>0</v>
      </c>
      <c r="CX75" s="74">
        <v>0</v>
      </c>
      <c r="CY75" s="74">
        <v>0</v>
      </c>
      <c r="CZ75" s="74">
        <v>0</v>
      </c>
      <c r="DA75" s="74">
        <v>0</v>
      </c>
      <c r="DB75" s="74">
        <v>0</v>
      </c>
      <c r="DC75" s="74">
        <v>0</v>
      </c>
      <c r="DD75" s="74">
        <v>0</v>
      </c>
      <c r="DE75" s="74">
        <v>0</v>
      </c>
      <c r="DF75" s="74">
        <v>0</v>
      </c>
      <c r="DG75" s="74">
        <v>0</v>
      </c>
      <c r="DH75" s="74">
        <v>0</v>
      </c>
      <c r="DI75" s="74">
        <v>0</v>
      </c>
      <c r="DJ75" s="74">
        <v>0</v>
      </c>
      <c r="DK75" s="74">
        <v>0</v>
      </c>
      <c r="DL75" s="74">
        <v>0</v>
      </c>
      <c r="DM75" s="74">
        <v>0</v>
      </c>
      <c r="DN75" s="74">
        <v>0</v>
      </c>
      <c r="DO75" s="74">
        <v>0</v>
      </c>
      <c r="DP75" s="74">
        <v>0</v>
      </c>
      <c r="DQ75" s="74">
        <v>0</v>
      </c>
      <c r="DR75" s="74">
        <v>0</v>
      </c>
      <c r="DS75" s="74">
        <v>0</v>
      </c>
      <c r="DT75" s="74">
        <v>0</v>
      </c>
      <c r="DU75" s="74">
        <v>0</v>
      </c>
      <c r="DV75" s="74">
        <v>0</v>
      </c>
      <c r="DW75" s="74">
        <v>0</v>
      </c>
      <c r="DX75" s="74">
        <v>0</v>
      </c>
      <c r="DY75" s="74">
        <v>0</v>
      </c>
      <c r="DZ75" s="74">
        <v>0</v>
      </c>
      <c r="EA75" s="74">
        <v>0</v>
      </c>
      <c r="EB75" s="74">
        <v>0</v>
      </c>
      <c r="EC75" s="74">
        <v>0</v>
      </c>
      <c r="ED75" s="74"/>
      <c r="EE75" s="68">
        <v>46063</v>
      </c>
      <c r="EF75" s="81">
        <v>46063.452996759261</v>
      </c>
      <c r="EG75" s="2" t="s">
        <v>70</v>
      </c>
      <c r="EH75" s="76">
        <v>2</v>
      </c>
      <c r="EI75" s="76" t="s">
        <v>32</v>
      </c>
      <c r="EJ75" s="74" t="s">
        <v>244</v>
      </c>
      <c r="EK75" s="78"/>
      <c r="EL75" s="74"/>
      <c r="EM75" s="74"/>
      <c r="EN75" s="68"/>
      <c r="ER75" s="73"/>
      <c r="ES75" s="74"/>
      <c r="ET75" s="74"/>
      <c r="EU75" s="74"/>
      <c r="EV75" s="74"/>
      <c r="EW75" s="74"/>
      <c r="EX75" s="74"/>
      <c r="EY75" s="74"/>
      <c r="EZ75" s="74"/>
      <c r="FA75" s="74"/>
      <c r="FB75" s="74"/>
      <c r="FC75" s="74"/>
      <c r="FD75" s="74"/>
      <c r="FE75" s="74"/>
      <c r="FF75" s="74"/>
      <c r="FG75" s="74"/>
      <c r="FH75" s="74"/>
      <c r="FI75" s="74"/>
      <c r="FJ75" s="74"/>
      <c r="FK75" s="68"/>
    </row>
    <row r="76" spans="1:167" s="2" customFormat="1" ht="15" x14ac:dyDescent="0.3">
      <c r="A76" s="73" t="s">
        <v>187</v>
      </c>
      <c r="B76" s="73" t="s">
        <v>167</v>
      </c>
      <c r="C76" s="73" t="s">
        <v>167</v>
      </c>
      <c r="D76" s="73" t="s">
        <v>48</v>
      </c>
      <c r="E76" s="73" t="s">
        <v>178</v>
      </c>
      <c r="F76" s="73" t="s">
        <v>210</v>
      </c>
      <c r="G76" s="73" t="s">
        <v>227</v>
      </c>
      <c r="H76" s="73"/>
      <c r="I76" s="74">
        <v>-11752</v>
      </c>
      <c r="J76" s="74">
        <v>-29889</v>
      </c>
      <c r="K76" s="74">
        <v>-37397</v>
      </c>
      <c r="L76" s="74">
        <v>-23682</v>
      </c>
      <c r="M76" s="74">
        <v>-17529</v>
      </c>
      <c r="N76" s="74">
        <v>-24348</v>
      </c>
      <c r="O76" s="74">
        <v>-32653.757143512757</v>
      </c>
      <c r="P76" s="74">
        <v>-45395.652149831505</v>
      </c>
      <c r="Q76" s="74">
        <v>0</v>
      </c>
      <c r="R76" s="74">
        <v>0</v>
      </c>
      <c r="S76" s="74">
        <v>0</v>
      </c>
      <c r="T76" s="74">
        <v>0</v>
      </c>
      <c r="U76" s="74">
        <v>0</v>
      </c>
      <c r="V76" s="74">
        <v>0</v>
      </c>
      <c r="W76" s="74">
        <v>0</v>
      </c>
      <c r="X76" s="74">
        <v>0</v>
      </c>
      <c r="Y76" s="74">
        <v>0</v>
      </c>
      <c r="Z76" s="74">
        <v>0</v>
      </c>
      <c r="AA76" s="74">
        <v>0</v>
      </c>
      <c r="AB76" s="74">
        <v>0</v>
      </c>
      <c r="AC76" s="74">
        <v>0</v>
      </c>
      <c r="AD76" s="74">
        <v>0</v>
      </c>
      <c r="AE76" s="74">
        <v>0</v>
      </c>
      <c r="AF76" s="74">
        <v>0</v>
      </c>
      <c r="AG76" s="74">
        <v>0</v>
      </c>
      <c r="AH76" s="74">
        <v>0</v>
      </c>
      <c r="AI76" s="74">
        <v>0</v>
      </c>
      <c r="AJ76" s="74">
        <v>0</v>
      </c>
      <c r="AK76" s="74"/>
      <c r="AL76" s="74">
        <v>-5195.3526451327116</v>
      </c>
      <c r="AM76" s="74">
        <v>-5442.2743729425392</v>
      </c>
      <c r="AN76" s="74">
        <v>-5584.7737087640326</v>
      </c>
      <c r="AO76" s="74">
        <v>-6005.4082870480697</v>
      </c>
      <c r="AP76" s="74">
        <v>-5171.0272153080141</v>
      </c>
      <c r="AQ76" s="74">
        <v>-5377.187825179989</v>
      </c>
      <c r="AR76" s="74">
        <v>-4322.7891991569095</v>
      </c>
      <c r="AS76" s="74">
        <v>-5730.4988980681055</v>
      </c>
      <c r="AT76" s="74">
        <v>-4256.550856049811</v>
      </c>
      <c r="AU76" s="74">
        <v>-4411.9062220349551</v>
      </c>
      <c r="AV76" s="74">
        <v>-5589.817626643211</v>
      </c>
      <c r="AW76" s="74">
        <v>-6168.4261942653393</v>
      </c>
      <c r="AX76" s="74">
        <v>-5096</v>
      </c>
      <c r="AY76" s="74">
        <v>-11272</v>
      </c>
      <c r="AZ76" s="74">
        <v>-7566.1601129095043</v>
      </c>
      <c r="BA76" s="74">
        <v>-8264.9652536166868</v>
      </c>
      <c r="BB76" s="74">
        <v>0</v>
      </c>
      <c r="BC76" s="74">
        <v>0</v>
      </c>
      <c r="BD76" s="74">
        <v>0</v>
      </c>
      <c r="BE76" s="74">
        <v>0</v>
      </c>
      <c r="BF76" s="74">
        <v>0</v>
      </c>
      <c r="BG76" s="74">
        <v>0</v>
      </c>
      <c r="BH76" s="74">
        <v>0</v>
      </c>
      <c r="BI76" s="74">
        <v>0</v>
      </c>
      <c r="BJ76" s="74">
        <v>0</v>
      </c>
      <c r="BK76" s="74">
        <v>0</v>
      </c>
      <c r="BL76" s="74">
        <v>0</v>
      </c>
      <c r="BM76" s="74">
        <v>0</v>
      </c>
      <c r="BN76" s="74">
        <v>0</v>
      </c>
      <c r="BO76" s="74">
        <v>0</v>
      </c>
      <c r="BP76" s="74">
        <v>0</v>
      </c>
      <c r="BQ76" s="74">
        <v>0</v>
      </c>
      <c r="BR76" s="74">
        <v>0</v>
      </c>
      <c r="BS76" s="74">
        <v>0</v>
      </c>
      <c r="BT76" s="74">
        <v>0</v>
      </c>
      <c r="BU76" s="74">
        <v>0</v>
      </c>
      <c r="BV76" s="74">
        <v>0</v>
      </c>
      <c r="BW76" s="74">
        <v>0</v>
      </c>
      <c r="BX76" s="74">
        <v>0</v>
      </c>
      <c r="BY76" s="74">
        <v>0</v>
      </c>
      <c r="BZ76" s="74">
        <v>0</v>
      </c>
      <c r="CA76" s="74">
        <v>0</v>
      </c>
      <c r="CB76" s="74">
        <v>0</v>
      </c>
      <c r="CC76" s="74">
        <v>0</v>
      </c>
      <c r="CD76" s="74">
        <v>0</v>
      </c>
      <c r="CE76" s="74">
        <v>0</v>
      </c>
      <c r="CF76" s="74">
        <v>0</v>
      </c>
      <c r="CG76" s="74">
        <v>0</v>
      </c>
      <c r="CH76" s="74">
        <v>0</v>
      </c>
      <c r="CI76" s="74">
        <v>0</v>
      </c>
      <c r="CJ76" s="74">
        <v>0</v>
      </c>
      <c r="CK76" s="74">
        <v>0</v>
      </c>
      <c r="CL76" s="74">
        <v>0</v>
      </c>
      <c r="CM76" s="74">
        <v>0</v>
      </c>
      <c r="CN76" s="74">
        <v>0</v>
      </c>
      <c r="CO76" s="74">
        <v>0</v>
      </c>
      <c r="CP76" s="74">
        <v>0</v>
      </c>
      <c r="CQ76" s="74">
        <v>0</v>
      </c>
      <c r="CR76" s="74">
        <v>0</v>
      </c>
      <c r="CS76" s="74">
        <v>0</v>
      </c>
      <c r="CT76" s="74">
        <v>0</v>
      </c>
      <c r="CU76" s="74">
        <v>0</v>
      </c>
      <c r="CV76" s="74">
        <v>0</v>
      </c>
      <c r="CW76" s="74">
        <v>0</v>
      </c>
      <c r="CX76" s="74">
        <v>0</v>
      </c>
      <c r="CY76" s="74">
        <v>0</v>
      </c>
      <c r="CZ76" s="74">
        <v>0</v>
      </c>
      <c r="DA76" s="74">
        <v>0</v>
      </c>
      <c r="DB76" s="74">
        <v>0</v>
      </c>
      <c r="DC76" s="74">
        <v>0</v>
      </c>
      <c r="DD76" s="74">
        <v>0</v>
      </c>
      <c r="DE76" s="74">
        <v>0</v>
      </c>
      <c r="DF76" s="74">
        <v>0</v>
      </c>
      <c r="DG76" s="74">
        <v>0</v>
      </c>
      <c r="DH76" s="74">
        <v>0</v>
      </c>
      <c r="DI76" s="74">
        <v>0</v>
      </c>
      <c r="DJ76" s="74">
        <v>0</v>
      </c>
      <c r="DK76" s="74">
        <v>0</v>
      </c>
      <c r="DL76" s="74">
        <v>0</v>
      </c>
      <c r="DM76" s="74">
        <v>0</v>
      </c>
      <c r="DN76" s="74">
        <v>0</v>
      </c>
      <c r="DO76" s="74">
        <v>0</v>
      </c>
      <c r="DP76" s="74">
        <v>0</v>
      </c>
      <c r="DQ76" s="74">
        <v>0</v>
      </c>
      <c r="DR76" s="74">
        <v>0</v>
      </c>
      <c r="DS76" s="74">
        <v>0</v>
      </c>
      <c r="DT76" s="74">
        <v>0</v>
      </c>
      <c r="DU76" s="74">
        <v>0</v>
      </c>
      <c r="DV76" s="74">
        <v>0</v>
      </c>
      <c r="DW76" s="74">
        <v>0</v>
      </c>
      <c r="DX76" s="74">
        <v>0</v>
      </c>
      <c r="DY76" s="74">
        <v>0</v>
      </c>
      <c r="DZ76" s="74">
        <v>0</v>
      </c>
      <c r="EA76" s="74">
        <v>0</v>
      </c>
      <c r="EB76" s="74">
        <v>0</v>
      </c>
      <c r="EC76" s="74">
        <v>0</v>
      </c>
      <c r="ED76" s="74"/>
      <c r="EE76" s="68">
        <v>46063</v>
      </c>
      <c r="EF76" s="81">
        <v>46063.452996759261</v>
      </c>
      <c r="EG76" s="2" t="s">
        <v>70</v>
      </c>
      <c r="EH76" s="76">
        <v>2</v>
      </c>
      <c r="EI76" s="76" t="s">
        <v>32</v>
      </c>
      <c r="EJ76" s="74" t="s">
        <v>244</v>
      </c>
      <c r="EK76" s="78"/>
      <c r="EL76" s="74"/>
      <c r="EM76" s="74"/>
      <c r="EN76" s="68"/>
      <c r="ER76" s="73"/>
      <c r="ES76" s="74"/>
      <c r="ET76" s="74"/>
      <c r="EU76" s="74"/>
      <c r="EV76" s="74"/>
      <c r="EW76" s="74"/>
      <c r="EX76" s="74"/>
      <c r="EY76" s="74"/>
      <c r="EZ76" s="74"/>
      <c r="FA76" s="74"/>
      <c r="FB76" s="74"/>
      <c r="FC76" s="74"/>
      <c r="FD76" s="74"/>
      <c r="FE76" s="74"/>
      <c r="FF76" s="74"/>
      <c r="FG76" s="74"/>
      <c r="FH76" s="74"/>
      <c r="FI76" s="74"/>
      <c r="FJ76" s="74"/>
      <c r="FK76" s="68"/>
    </row>
    <row r="77" spans="1:167" x14ac:dyDescent="0.3">
      <c r="A77" s="73" t="s">
        <v>188</v>
      </c>
      <c r="B77" s="73" t="s">
        <v>169</v>
      </c>
      <c r="C77" s="73" t="s">
        <v>169</v>
      </c>
      <c r="D77" s="73" t="s">
        <v>48</v>
      </c>
      <c r="E77" s="73" t="s">
        <v>178</v>
      </c>
      <c r="F77" s="73" t="s">
        <v>210</v>
      </c>
      <c r="G77" s="73" t="s">
        <v>227</v>
      </c>
      <c r="H77" s="73"/>
      <c r="I77" s="74">
        <v>-3298</v>
      </c>
      <c r="J77" s="74">
        <v>-8072</v>
      </c>
      <c r="K77" s="74">
        <v>-10259</v>
      </c>
      <c r="L77" s="74">
        <v>-6711</v>
      </c>
      <c r="M77" s="74">
        <v>-4144</v>
      </c>
      <c r="N77" s="74">
        <v>-6643</v>
      </c>
      <c r="O77" s="74">
        <v>-7931.3051313910137</v>
      </c>
      <c r="P77" s="74">
        <v>-9520.0619536695376</v>
      </c>
      <c r="Q77" s="74">
        <v>0</v>
      </c>
      <c r="R77" s="74">
        <v>0</v>
      </c>
      <c r="S77" s="74">
        <v>0</v>
      </c>
      <c r="T77" s="74">
        <v>0</v>
      </c>
      <c r="U77" s="74">
        <v>0</v>
      </c>
      <c r="V77" s="74">
        <v>0</v>
      </c>
      <c r="W77" s="74">
        <v>0</v>
      </c>
      <c r="X77" s="74">
        <v>0</v>
      </c>
      <c r="Y77" s="74">
        <v>0</v>
      </c>
      <c r="Z77" s="74">
        <v>0</v>
      </c>
      <c r="AA77" s="74">
        <v>0</v>
      </c>
      <c r="AB77" s="74">
        <v>0</v>
      </c>
      <c r="AC77" s="74">
        <v>0</v>
      </c>
      <c r="AD77" s="74">
        <v>0</v>
      </c>
      <c r="AE77" s="74">
        <v>0</v>
      </c>
      <c r="AF77" s="74">
        <v>0</v>
      </c>
      <c r="AG77" s="74">
        <v>0</v>
      </c>
      <c r="AH77" s="74">
        <v>0</v>
      </c>
      <c r="AI77" s="74">
        <v>0</v>
      </c>
      <c r="AJ77" s="74">
        <v>0</v>
      </c>
      <c r="AL77" s="74">
        <v>889.67847683870468</v>
      </c>
      <c r="AM77" s="74">
        <v>373.45551217435218</v>
      </c>
      <c r="AN77" s="74">
        <v>360.84792672445462</v>
      </c>
      <c r="AO77" s="74">
        <v>-3130.0544750602062</v>
      </c>
      <c r="AP77" s="74">
        <v>-2307.7163769557978</v>
      </c>
      <c r="AQ77" s="74">
        <v>-2120.1321594832257</v>
      </c>
      <c r="AR77" s="74">
        <v>-1707.6339431109236</v>
      </c>
      <c r="AS77" s="74">
        <v>-2330.3945601678488</v>
      </c>
      <c r="AT77" s="74">
        <v>-1835.9862074211899</v>
      </c>
      <c r="AU77" s="74">
        <v>-1873.7785873751441</v>
      </c>
      <c r="AV77" s="74">
        <v>-2066.4797358752476</v>
      </c>
      <c r="AW77" s="74">
        <v>-2768.7877941477859</v>
      </c>
      <c r="AX77" s="74">
        <v>-1506</v>
      </c>
      <c r="AY77" s="74">
        <v>-2531</v>
      </c>
      <c r="AZ77" s="74">
        <v>-2884.4130006057617</v>
      </c>
      <c r="BA77" s="74">
        <v>-73.659154793173556</v>
      </c>
      <c r="BB77" s="74">
        <v>0</v>
      </c>
      <c r="BC77" s="74">
        <v>0</v>
      </c>
      <c r="BD77" s="74">
        <v>0</v>
      </c>
      <c r="BE77" s="74">
        <v>0</v>
      </c>
      <c r="BF77" s="74">
        <v>0</v>
      </c>
      <c r="BG77" s="74">
        <v>0</v>
      </c>
      <c r="BH77" s="74">
        <v>0</v>
      </c>
      <c r="BI77" s="74">
        <v>0</v>
      </c>
      <c r="BJ77" s="74">
        <v>0</v>
      </c>
      <c r="BK77" s="74">
        <v>0</v>
      </c>
      <c r="BL77" s="74">
        <v>0</v>
      </c>
      <c r="BM77" s="74">
        <v>0</v>
      </c>
      <c r="BN77" s="74">
        <v>0</v>
      </c>
      <c r="BO77" s="74">
        <v>0</v>
      </c>
      <c r="BP77" s="74">
        <v>0</v>
      </c>
      <c r="BQ77" s="74">
        <v>0</v>
      </c>
      <c r="BR77" s="74">
        <v>0</v>
      </c>
      <c r="BS77" s="74">
        <v>0</v>
      </c>
      <c r="BT77" s="74">
        <v>0</v>
      </c>
      <c r="BU77" s="74">
        <v>0</v>
      </c>
      <c r="BV77" s="74">
        <v>0</v>
      </c>
      <c r="BW77" s="74">
        <v>0</v>
      </c>
      <c r="BX77" s="74">
        <v>0</v>
      </c>
      <c r="BY77" s="74">
        <v>0</v>
      </c>
      <c r="BZ77" s="74">
        <v>0</v>
      </c>
      <c r="CA77" s="74">
        <v>0</v>
      </c>
      <c r="CB77" s="74">
        <v>0</v>
      </c>
      <c r="CC77" s="74">
        <v>0</v>
      </c>
      <c r="CD77" s="74">
        <v>0</v>
      </c>
      <c r="CE77" s="74">
        <v>0</v>
      </c>
      <c r="CF77" s="74">
        <v>0</v>
      </c>
      <c r="CG77" s="74">
        <v>0</v>
      </c>
      <c r="CH77" s="74">
        <v>0</v>
      </c>
      <c r="CI77" s="74">
        <v>0</v>
      </c>
      <c r="CJ77" s="74">
        <v>0</v>
      </c>
      <c r="CK77" s="74">
        <v>0</v>
      </c>
      <c r="CL77" s="74">
        <v>0</v>
      </c>
      <c r="CM77" s="74">
        <v>0</v>
      </c>
      <c r="CN77" s="74">
        <v>0</v>
      </c>
      <c r="CO77" s="74">
        <v>0</v>
      </c>
      <c r="CP77" s="74">
        <v>0</v>
      </c>
      <c r="CQ77" s="74">
        <v>0</v>
      </c>
      <c r="CR77" s="74">
        <v>0</v>
      </c>
      <c r="CS77" s="74">
        <v>0</v>
      </c>
      <c r="CT77" s="74">
        <v>0</v>
      </c>
      <c r="CU77" s="74">
        <v>0</v>
      </c>
      <c r="CV77" s="74">
        <v>0</v>
      </c>
      <c r="CW77" s="74">
        <v>0</v>
      </c>
      <c r="CX77" s="74">
        <v>0</v>
      </c>
      <c r="CY77" s="74">
        <v>0</v>
      </c>
      <c r="CZ77" s="74">
        <v>0</v>
      </c>
      <c r="DA77" s="74">
        <v>0</v>
      </c>
      <c r="DB77" s="74">
        <v>0</v>
      </c>
      <c r="DC77" s="74">
        <v>0</v>
      </c>
      <c r="DD77" s="74">
        <v>0</v>
      </c>
      <c r="DE77" s="74">
        <v>0</v>
      </c>
      <c r="DF77" s="74">
        <v>0</v>
      </c>
      <c r="DG77" s="74">
        <v>0</v>
      </c>
      <c r="DH77" s="74">
        <v>0</v>
      </c>
      <c r="DI77" s="74">
        <v>0</v>
      </c>
      <c r="DJ77" s="74">
        <v>0</v>
      </c>
      <c r="DK77" s="74">
        <v>0</v>
      </c>
      <c r="DL77" s="74">
        <v>0</v>
      </c>
      <c r="DM77" s="74">
        <v>0</v>
      </c>
      <c r="DN77" s="74">
        <v>0</v>
      </c>
      <c r="DO77" s="74">
        <v>0</v>
      </c>
      <c r="DP77" s="74">
        <v>0</v>
      </c>
      <c r="DQ77" s="74">
        <v>0</v>
      </c>
      <c r="DR77" s="74">
        <v>0</v>
      </c>
      <c r="DS77" s="74">
        <v>0</v>
      </c>
      <c r="DT77" s="74">
        <v>0</v>
      </c>
      <c r="DU77" s="74">
        <v>0</v>
      </c>
      <c r="DV77" s="74">
        <v>0</v>
      </c>
      <c r="DW77" s="74">
        <v>0</v>
      </c>
      <c r="DX77" s="74">
        <v>0</v>
      </c>
      <c r="DY77" s="74">
        <v>0</v>
      </c>
      <c r="DZ77" s="74">
        <v>0</v>
      </c>
      <c r="EA77" s="74">
        <v>0</v>
      </c>
      <c r="EB77" s="74">
        <v>0</v>
      </c>
      <c r="EC77" s="74">
        <v>0</v>
      </c>
      <c r="EE77" s="68">
        <v>46063</v>
      </c>
      <c r="EF77" s="81">
        <v>46063.452996759261</v>
      </c>
      <c r="EG77" s="2" t="s">
        <v>70</v>
      </c>
      <c r="EH77" s="76">
        <v>2</v>
      </c>
      <c r="EI77" s="76" t="s">
        <v>32</v>
      </c>
      <c r="EJ77" s="74" t="s">
        <v>244</v>
      </c>
    </row>
    <row r="78" spans="1:167" x14ac:dyDescent="0.3">
      <c r="A78" s="73" t="s">
        <v>189</v>
      </c>
      <c r="B78" s="73" t="s">
        <v>173</v>
      </c>
      <c r="C78" s="73" t="s">
        <v>173</v>
      </c>
      <c r="D78" s="73" t="s">
        <v>48</v>
      </c>
      <c r="E78" s="73" t="s">
        <v>178</v>
      </c>
      <c r="F78" s="73" t="s">
        <v>210</v>
      </c>
      <c r="G78" s="73" t="s">
        <v>227</v>
      </c>
      <c r="H78" s="73"/>
      <c r="I78" s="74">
        <v>-13058</v>
      </c>
      <c r="J78" s="74">
        <v>-16530</v>
      </c>
      <c r="K78" s="74">
        <v>-22047</v>
      </c>
      <c r="L78" s="74">
        <v>-27755</v>
      </c>
      <c r="M78" s="74">
        <v>-24843</v>
      </c>
      <c r="N78" s="74">
        <v>-53267</v>
      </c>
      <c r="O78" s="74">
        <v>-81318.83983637605</v>
      </c>
      <c r="P78" s="74">
        <v>-113314.69171662146</v>
      </c>
      <c r="Q78" s="74">
        <v>0</v>
      </c>
      <c r="R78" s="74">
        <v>0</v>
      </c>
      <c r="S78" s="74">
        <v>0</v>
      </c>
      <c r="T78" s="74">
        <v>0</v>
      </c>
      <c r="U78" s="74">
        <v>0</v>
      </c>
      <c r="V78" s="74">
        <v>0</v>
      </c>
      <c r="W78" s="74">
        <v>0</v>
      </c>
      <c r="X78" s="74">
        <v>0</v>
      </c>
      <c r="Y78" s="74">
        <v>0</v>
      </c>
      <c r="Z78" s="74">
        <v>0</v>
      </c>
      <c r="AA78" s="74">
        <v>0</v>
      </c>
      <c r="AB78" s="74">
        <v>0</v>
      </c>
      <c r="AC78" s="74">
        <v>0</v>
      </c>
      <c r="AD78" s="74">
        <v>0</v>
      </c>
      <c r="AE78" s="74">
        <v>0</v>
      </c>
      <c r="AF78" s="74">
        <v>0</v>
      </c>
      <c r="AG78" s="74">
        <v>0</v>
      </c>
      <c r="AH78" s="74">
        <v>0</v>
      </c>
      <c r="AI78" s="74">
        <v>0</v>
      </c>
      <c r="AJ78" s="74">
        <v>0</v>
      </c>
      <c r="AL78" s="74">
        <v>-5606.1925996360042</v>
      </c>
      <c r="AM78" s="74">
        <v>-6206.4558502203445</v>
      </c>
      <c r="AN78" s="74">
        <v>-7990.3705058318892</v>
      </c>
      <c r="AO78" s="74">
        <v>-8372.6961964135007</v>
      </c>
      <c r="AP78" s="74">
        <v>-6438.2491502584835</v>
      </c>
      <c r="AQ78" s="74">
        <v>-7213.356537665054</v>
      </c>
      <c r="AR78" s="74">
        <v>-6942.0354018767148</v>
      </c>
      <c r="AS78" s="74">
        <v>-7603.8497639778461</v>
      </c>
      <c r="AT78" s="74">
        <v>-8851.210037202085</v>
      </c>
      <c r="AU78" s="74">
        <v>-9013.9924009921779</v>
      </c>
      <c r="AV78" s="74">
        <v>-11177.473580437472</v>
      </c>
      <c r="AW78" s="74">
        <v>-14510.007196366143</v>
      </c>
      <c r="AX78" s="74">
        <v>-20464</v>
      </c>
      <c r="AY78" s="74">
        <v>-16043</v>
      </c>
      <c r="AZ78" s="74">
        <v>-22076.0077306065</v>
      </c>
      <c r="BA78" s="74">
        <v>-22831.491569436228</v>
      </c>
      <c r="BB78" s="74">
        <v>0</v>
      </c>
      <c r="BC78" s="74">
        <v>0</v>
      </c>
      <c r="BD78" s="74">
        <v>0</v>
      </c>
      <c r="BE78" s="74">
        <v>0</v>
      </c>
      <c r="BF78" s="74">
        <v>0</v>
      </c>
      <c r="BG78" s="74">
        <v>0</v>
      </c>
      <c r="BH78" s="74">
        <v>0</v>
      </c>
      <c r="BI78" s="74">
        <v>0</v>
      </c>
      <c r="BJ78" s="74">
        <v>0</v>
      </c>
      <c r="BK78" s="74">
        <v>0</v>
      </c>
      <c r="BL78" s="74">
        <v>0</v>
      </c>
      <c r="BM78" s="74">
        <v>0</v>
      </c>
      <c r="BN78" s="74">
        <v>0</v>
      </c>
      <c r="BO78" s="74">
        <v>0</v>
      </c>
      <c r="BP78" s="74">
        <v>0</v>
      </c>
      <c r="BQ78" s="74">
        <v>0</v>
      </c>
      <c r="BR78" s="74">
        <v>0</v>
      </c>
      <c r="BS78" s="74">
        <v>0</v>
      </c>
      <c r="BT78" s="74">
        <v>0</v>
      </c>
      <c r="BU78" s="74">
        <v>0</v>
      </c>
      <c r="BV78" s="74">
        <v>0</v>
      </c>
      <c r="BW78" s="74">
        <v>0</v>
      </c>
      <c r="BX78" s="74">
        <v>0</v>
      </c>
      <c r="BY78" s="74">
        <v>0</v>
      </c>
      <c r="BZ78" s="74">
        <v>0</v>
      </c>
      <c r="CA78" s="74">
        <v>0</v>
      </c>
      <c r="CB78" s="74">
        <v>0</v>
      </c>
      <c r="CC78" s="74">
        <v>0</v>
      </c>
      <c r="CD78" s="74">
        <v>0</v>
      </c>
      <c r="CE78" s="74">
        <v>0</v>
      </c>
      <c r="CF78" s="74">
        <v>0</v>
      </c>
      <c r="CG78" s="74">
        <v>0</v>
      </c>
      <c r="CH78" s="74">
        <v>0</v>
      </c>
      <c r="CI78" s="74">
        <v>0</v>
      </c>
      <c r="CJ78" s="74">
        <v>0</v>
      </c>
      <c r="CK78" s="74">
        <v>0</v>
      </c>
      <c r="CL78" s="74">
        <v>0</v>
      </c>
      <c r="CM78" s="74">
        <v>0</v>
      </c>
      <c r="CN78" s="74">
        <v>0</v>
      </c>
      <c r="CO78" s="74">
        <v>0</v>
      </c>
      <c r="CP78" s="74">
        <v>0</v>
      </c>
      <c r="CQ78" s="74">
        <v>0</v>
      </c>
      <c r="CR78" s="74">
        <v>0</v>
      </c>
      <c r="CS78" s="74">
        <v>0</v>
      </c>
      <c r="CT78" s="74">
        <v>0</v>
      </c>
      <c r="CU78" s="74">
        <v>0</v>
      </c>
      <c r="CV78" s="74">
        <v>0</v>
      </c>
      <c r="CW78" s="74">
        <v>0</v>
      </c>
      <c r="CX78" s="74">
        <v>0</v>
      </c>
      <c r="CY78" s="74">
        <v>0</v>
      </c>
      <c r="CZ78" s="74">
        <v>0</v>
      </c>
      <c r="DA78" s="74">
        <v>0</v>
      </c>
      <c r="DB78" s="74">
        <v>0</v>
      </c>
      <c r="DC78" s="74">
        <v>0</v>
      </c>
      <c r="DD78" s="74">
        <v>0</v>
      </c>
      <c r="DE78" s="74">
        <v>0</v>
      </c>
      <c r="DF78" s="74">
        <v>0</v>
      </c>
      <c r="DG78" s="74">
        <v>0</v>
      </c>
      <c r="DH78" s="74">
        <v>0</v>
      </c>
      <c r="DI78" s="74">
        <v>0</v>
      </c>
      <c r="DJ78" s="74">
        <v>0</v>
      </c>
      <c r="DK78" s="74">
        <v>0</v>
      </c>
      <c r="DL78" s="74">
        <v>0</v>
      </c>
      <c r="DM78" s="74">
        <v>0</v>
      </c>
      <c r="DN78" s="74">
        <v>0</v>
      </c>
      <c r="DO78" s="74">
        <v>0</v>
      </c>
      <c r="DP78" s="74">
        <v>0</v>
      </c>
      <c r="DQ78" s="74">
        <v>0</v>
      </c>
      <c r="DR78" s="74">
        <v>0</v>
      </c>
      <c r="DS78" s="74">
        <v>0</v>
      </c>
      <c r="DT78" s="74">
        <v>0</v>
      </c>
      <c r="DU78" s="74">
        <v>0</v>
      </c>
      <c r="DV78" s="74">
        <v>0</v>
      </c>
      <c r="DW78" s="74">
        <v>0</v>
      </c>
      <c r="DX78" s="74">
        <v>0</v>
      </c>
      <c r="DY78" s="74">
        <v>0</v>
      </c>
      <c r="DZ78" s="74">
        <v>0</v>
      </c>
      <c r="EA78" s="74">
        <v>0</v>
      </c>
      <c r="EB78" s="74">
        <v>0</v>
      </c>
      <c r="EC78" s="74">
        <v>0</v>
      </c>
      <c r="EE78" s="68">
        <v>46063</v>
      </c>
      <c r="EF78" s="81">
        <v>46063.452996759261</v>
      </c>
      <c r="EG78" s="2" t="s">
        <v>70</v>
      </c>
      <c r="EH78" s="76">
        <v>2</v>
      </c>
      <c r="EI78" s="76" t="s">
        <v>32</v>
      </c>
      <c r="EJ78" s="74" t="s">
        <v>244</v>
      </c>
    </row>
    <row r="79" spans="1:167" x14ac:dyDescent="0.3">
      <c r="A79" s="73" t="s">
        <v>198</v>
      </c>
      <c r="B79" s="73" t="s">
        <v>175</v>
      </c>
      <c r="C79" s="73" t="s">
        <v>175</v>
      </c>
      <c r="D79" s="73" t="s">
        <v>48</v>
      </c>
      <c r="E79" s="73" t="s">
        <v>178</v>
      </c>
      <c r="F79" s="73" t="s">
        <v>210</v>
      </c>
      <c r="G79" s="73" t="s">
        <v>227</v>
      </c>
      <c r="H79" s="73"/>
      <c r="I79" s="74">
        <v>-1910</v>
      </c>
      <c r="J79" s="74">
        <v>-3485</v>
      </c>
      <c r="K79" s="74">
        <v>-2622</v>
      </c>
      <c r="L79" s="74">
        <v>-2688</v>
      </c>
      <c r="M79" s="74">
        <v>-1828</v>
      </c>
      <c r="N79" s="74">
        <v>-1494</v>
      </c>
      <c r="O79" s="74">
        <v>-2603.1706773857541</v>
      </c>
      <c r="P79" s="74">
        <v>-2739.0298169905177</v>
      </c>
      <c r="Q79" s="74">
        <v>0</v>
      </c>
      <c r="R79" s="74">
        <v>0</v>
      </c>
      <c r="S79" s="74">
        <v>0</v>
      </c>
      <c r="T79" s="74">
        <v>0</v>
      </c>
      <c r="U79" s="74">
        <v>0</v>
      </c>
      <c r="V79" s="74">
        <v>0</v>
      </c>
      <c r="W79" s="74">
        <v>0</v>
      </c>
      <c r="X79" s="74">
        <v>0</v>
      </c>
      <c r="Y79" s="74">
        <v>0</v>
      </c>
      <c r="Z79" s="74">
        <v>0</v>
      </c>
      <c r="AA79" s="74">
        <v>0</v>
      </c>
      <c r="AB79" s="74">
        <v>0</v>
      </c>
      <c r="AC79" s="74">
        <v>0</v>
      </c>
      <c r="AD79" s="74">
        <v>0</v>
      </c>
      <c r="AE79" s="74">
        <v>0</v>
      </c>
      <c r="AF79" s="74">
        <v>0</v>
      </c>
      <c r="AG79" s="74">
        <v>0</v>
      </c>
      <c r="AH79" s="74">
        <v>0</v>
      </c>
      <c r="AI79" s="74">
        <v>0</v>
      </c>
      <c r="AJ79" s="74">
        <v>0</v>
      </c>
      <c r="AL79" s="74">
        <v>-926.36751999613853</v>
      </c>
      <c r="AM79" s="74">
        <v>-949.62349296393859</v>
      </c>
      <c r="AN79" s="74">
        <v>-895.77690574081282</v>
      </c>
      <c r="AO79" s="74">
        <v>-717.17522286171231</v>
      </c>
      <c r="AP79" s="74">
        <v>-244.94026367600088</v>
      </c>
      <c r="AQ79" s="74">
        <v>-263.49755094360097</v>
      </c>
      <c r="AR79" s="74">
        <v>-856.85432351001123</v>
      </c>
      <c r="AS79" s="74">
        <v>-911.88619693639794</v>
      </c>
      <c r="AT79" s="74">
        <v>-783.06897430450726</v>
      </c>
      <c r="AU79" s="74">
        <v>-890.11736759744053</v>
      </c>
      <c r="AV79" s="74">
        <v>-941.79224689037665</v>
      </c>
      <c r="AW79" s="74">
        <v>-1034.0075505410994</v>
      </c>
      <c r="AX79" s="74">
        <v>-383</v>
      </c>
      <c r="AY79" s="74">
        <v>-915</v>
      </c>
      <c r="AZ79" s="74">
        <v>-276.21535237834308</v>
      </c>
      <c r="BA79" s="74">
        <v>-314.24778698589074</v>
      </c>
      <c r="BB79" s="74">
        <v>0</v>
      </c>
      <c r="BC79" s="74">
        <v>0</v>
      </c>
      <c r="BD79" s="74">
        <v>0</v>
      </c>
      <c r="BE79" s="74">
        <v>0</v>
      </c>
      <c r="BF79" s="74">
        <v>0</v>
      </c>
      <c r="BG79" s="74">
        <v>0</v>
      </c>
      <c r="BH79" s="74">
        <v>0</v>
      </c>
      <c r="BI79" s="74">
        <v>0</v>
      </c>
      <c r="BJ79" s="74">
        <v>0</v>
      </c>
      <c r="BK79" s="74">
        <v>0</v>
      </c>
      <c r="BL79" s="74">
        <v>0</v>
      </c>
      <c r="BM79" s="74">
        <v>0</v>
      </c>
      <c r="BN79" s="74">
        <v>0</v>
      </c>
      <c r="BO79" s="74">
        <v>0</v>
      </c>
      <c r="BP79" s="74">
        <v>0</v>
      </c>
      <c r="BQ79" s="74">
        <v>0</v>
      </c>
      <c r="BR79" s="74">
        <v>0</v>
      </c>
      <c r="BS79" s="74">
        <v>0</v>
      </c>
      <c r="BT79" s="74">
        <v>0</v>
      </c>
      <c r="BU79" s="74">
        <v>0</v>
      </c>
      <c r="BV79" s="74">
        <v>0</v>
      </c>
      <c r="BW79" s="74">
        <v>0</v>
      </c>
      <c r="BX79" s="74">
        <v>0</v>
      </c>
      <c r="BY79" s="74">
        <v>0</v>
      </c>
      <c r="BZ79" s="74">
        <v>0</v>
      </c>
      <c r="CA79" s="74">
        <v>0</v>
      </c>
      <c r="CB79" s="74">
        <v>0</v>
      </c>
      <c r="CC79" s="74">
        <v>0</v>
      </c>
      <c r="CD79" s="74">
        <v>0</v>
      </c>
      <c r="CE79" s="74">
        <v>0</v>
      </c>
      <c r="CF79" s="74">
        <v>0</v>
      </c>
      <c r="CG79" s="74">
        <v>0</v>
      </c>
      <c r="CH79" s="74">
        <v>0</v>
      </c>
      <c r="CI79" s="74">
        <v>0</v>
      </c>
      <c r="CJ79" s="74">
        <v>0</v>
      </c>
      <c r="CK79" s="74">
        <v>0</v>
      </c>
      <c r="CL79" s="74">
        <v>0</v>
      </c>
      <c r="CM79" s="74">
        <v>0</v>
      </c>
      <c r="CN79" s="74">
        <v>0</v>
      </c>
      <c r="CO79" s="74">
        <v>0</v>
      </c>
      <c r="CP79" s="74">
        <v>0</v>
      </c>
      <c r="CQ79" s="74">
        <v>0</v>
      </c>
      <c r="CR79" s="74">
        <v>0</v>
      </c>
      <c r="CS79" s="74">
        <v>0</v>
      </c>
      <c r="CT79" s="74">
        <v>0</v>
      </c>
      <c r="CU79" s="74">
        <v>0</v>
      </c>
      <c r="CV79" s="74">
        <v>0</v>
      </c>
      <c r="CW79" s="74">
        <v>0</v>
      </c>
      <c r="CX79" s="74">
        <v>0</v>
      </c>
      <c r="CY79" s="74">
        <v>0</v>
      </c>
      <c r="CZ79" s="74">
        <v>0</v>
      </c>
      <c r="DA79" s="74">
        <v>0</v>
      </c>
      <c r="DB79" s="74">
        <v>0</v>
      </c>
      <c r="DC79" s="74">
        <v>0</v>
      </c>
      <c r="DD79" s="74">
        <v>0</v>
      </c>
      <c r="DE79" s="74">
        <v>0</v>
      </c>
      <c r="DF79" s="74">
        <v>0</v>
      </c>
      <c r="DG79" s="74">
        <v>0</v>
      </c>
      <c r="DH79" s="74">
        <v>0</v>
      </c>
      <c r="DI79" s="74">
        <v>0</v>
      </c>
      <c r="DJ79" s="74">
        <v>0</v>
      </c>
      <c r="DK79" s="74">
        <v>0</v>
      </c>
      <c r="DL79" s="74">
        <v>0</v>
      </c>
      <c r="DM79" s="74">
        <v>0</v>
      </c>
      <c r="DN79" s="74">
        <v>0</v>
      </c>
      <c r="DO79" s="74">
        <v>0</v>
      </c>
      <c r="DP79" s="74">
        <v>0</v>
      </c>
      <c r="DQ79" s="74">
        <v>0</v>
      </c>
      <c r="DR79" s="74">
        <v>0</v>
      </c>
      <c r="DS79" s="74">
        <v>0</v>
      </c>
      <c r="DT79" s="74">
        <v>0</v>
      </c>
      <c r="DU79" s="74">
        <v>0</v>
      </c>
      <c r="DV79" s="74">
        <v>0</v>
      </c>
      <c r="DW79" s="74">
        <v>0</v>
      </c>
      <c r="DX79" s="74">
        <v>0</v>
      </c>
      <c r="DY79" s="74">
        <v>0</v>
      </c>
      <c r="DZ79" s="74">
        <v>0</v>
      </c>
      <c r="EA79" s="74">
        <v>0</v>
      </c>
      <c r="EB79" s="74">
        <v>0</v>
      </c>
      <c r="EC79" s="74">
        <v>0</v>
      </c>
      <c r="EE79" s="68">
        <v>46063</v>
      </c>
      <c r="EF79" s="81">
        <v>46063.452996759261</v>
      </c>
      <c r="EG79" s="2" t="s">
        <v>70</v>
      </c>
      <c r="EH79" s="76">
        <v>2</v>
      </c>
      <c r="EI79" s="76" t="s">
        <v>32</v>
      </c>
      <c r="EJ79" s="74" t="s">
        <v>244</v>
      </c>
    </row>
    <row r="80" spans="1:167" x14ac:dyDescent="0.3">
      <c r="A80" s="73" t="s">
        <v>199</v>
      </c>
      <c r="B80" s="73" t="s">
        <v>202</v>
      </c>
      <c r="C80" s="73" t="s">
        <v>202</v>
      </c>
      <c r="D80" s="73" t="s">
        <v>48</v>
      </c>
      <c r="E80" s="73" t="s">
        <v>178</v>
      </c>
      <c r="F80" s="73" t="s">
        <v>210</v>
      </c>
      <c r="G80" s="73" t="s">
        <v>227</v>
      </c>
      <c r="H80" s="73"/>
      <c r="I80" s="74">
        <v>16592</v>
      </c>
      <c r="J80" s="74">
        <v>41115</v>
      </c>
      <c r="K80" s="74">
        <v>32184</v>
      </c>
      <c r="L80" s="74">
        <v>-217</v>
      </c>
      <c r="M80" s="74">
        <v>-15301</v>
      </c>
      <c r="N80" s="74">
        <v>33023</v>
      </c>
      <c r="O80" s="74">
        <v>41508.072788665573</v>
      </c>
      <c r="P80" s="74">
        <v>39150.435637112998</v>
      </c>
      <c r="Q80" s="74">
        <v>0</v>
      </c>
      <c r="R80" s="74">
        <v>0</v>
      </c>
      <c r="S80" s="74">
        <v>0</v>
      </c>
      <c r="T80" s="74">
        <v>0</v>
      </c>
      <c r="U80" s="74">
        <v>0</v>
      </c>
      <c r="V80" s="74">
        <v>0</v>
      </c>
      <c r="W80" s="74">
        <v>0</v>
      </c>
      <c r="X80" s="74">
        <v>0</v>
      </c>
      <c r="Y80" s="74">
        <v>0</v>
      </c>
      <c r="Z80" s="74">
        <v>0</v>
      </c>
      <c r="AA80" s="74">
        <v>0</v>
      </c>
      <c r="AB80" s="74">
        <v>0</v>
      </c>
      <c r="AC80" s="74">
        <v>0</v>
      </c>
      <c r="AD80" s="74">
        <v>0</v>
      </c>
      <c r="AE80" s="74">
        <v>0</v>
      </c>
      <c r="AF80" s="74">
        <v>0</v>
      </c>
      <c r="AG80" s="74">
        <v>0</v>
      </c>
      <c r="AH80" s="74">
        <v>0</v>
      </c>
      <c r="AI80" s="74">
        <v>0</v>
      </c>
      <c r="AJ80" s="74">
        <v>0</v>
      </c>
      <c r="AL80" s="74">
        <v>-4112.7657120738495</v>
      </c>
      <c r="AM80" s="74">
        <v>-3499.101796047531</v>
      </c>
      <c r="AN80" s="74">
        <v>-2267.9268063877203</v>
      </c>
      <c r="AO80" s="74">
        <v>1633.3341813834895</v>
      </c>
      <c r="AP80" s="74">
        <v>-45.066993801703234</v>
      </c>
      <c r="AQ80" s="74">
        <v>3519.1740732718695</v>
      </c>
      <c r="AR80" s="74">
        <v>1350.3128676545591</v>
      </c>
      <c r="AS80" s="74">
        <v>1988.6294191501975</v>
      </c>
      <c r="AT80" s="74">
        <v>801.81607497759387</v>
      </c>
      <c r="AU80" s="74">
        <v>-1430.2054220002829</v>
      </c>
      <c r="AV80" s="74">
        <v>-2844.4368101536907</v>
      </c>
      <c r="AW80" s="74">
        <v>-3352.7712646796326</v>
      </c>
      <c r="AX80" s="74">
        <v>2430</v>
      </c>
      <c r="AY80" s="74">
        <v>-1422</v>
      </c>
      <c r="AZ80" s="74">
        <v>-2292.2038034998936</v>
      </c>
      <c r="BA80" s="74">
        <v>-8037.63623516802</v>
      </c>
      <c r="BB80" s="74">
        <v>0</v>
      </c>
      <c r="BC80" s="74">
        <v>0</v>
      </c>
      <c r="BD80" s="74">
        <v>0</v>
      </c>
      <c r="BE80" s="74">
        <v>0</v>
      </c>
      <c r="BF80" s="74">
        <v>0</v>
      </c>
      <c r="BG80" s="74">
        <v>0</v>
      </c>
      <c r="BH80" s="74">
        <v>0</v>
      </c>
      <c r="BI80" s="74">
        <v>0</v>
      </c>
      <c r="BJ80" s="74">
        <v>0</v>
      </c>
      <c r="BK80" s="74">
        <v>0</v>
      </c>
      <c r="BL80" s="74">
        <v>0</v>
      </c>
      <c r="BM80" s="74">
        <v>0</v>
      </c>
      <c r="BN80" s="74">
        <v>0</v>
      </c>
      <c r="BO80" s="74">
        <v>0</v>
      </c>
      <c r="BP80" s="74">
        <v>0</v>
      </c>
      <c r="BQ80" s="74">
        <v>0</v>
      </c>
      <c r="BR80" s="74">
        <v>0</v>
      </c>
      <c r="BS80" s="74">
        <v>0</v>
      </c>
      <c r="BT80" s="74">
        <v>0</v>
      </c>
      <c r="BU80" s="74">
        <v>0</v>
      </c>
      <c r="BV80" s="74">
        <v>0</v>
      </c>
      <c r="BW80" s="74">
        <v>0</v>
      </c>
      <c r="BX80" s="74">
        <v>0</v>
      </c>
      <c r="BY80" s="74">
        <v>0</v>
      </c>
      <c r="BZ80" s="74">
        <v>0</v>
      </c>
      <c r="CA80" s="74">
        <v>0</v>
      </c>
      <c r="CB80" s="74">
        <v>0</v>
      </c>
      <c r="CC80" s="74">
        <v>0</v>
      </c>
      <c r="CD80" s="74">
        <v>0</v>
      </c>
      <c r="CE80" s="74">
        <v>0</v>
      </c>
      <c r="CF80" s="74">
        <v>0</v>
      </c>
      <c r="CG80" s="74">
        <v>0</v>
      </c>
      <c r="CH80" s="74">
        <v>0</v>
      </c>
      <c r="CI80" s="74">
        <v>0</v>
      </c>
      <c r="CJ80" s="74">
        <v>0</v>
      </c>
      <c r="CK80" s="74">
        <v>0</v>
      </c>
      <c r="CL80" s="74">
        <v>0</v>
      </c>
      <c r="CM80" s="74">
        <v>0</v>
      </c>
      <c r="CN80" s="74">
        <v>0</v>
      </c>
      <c r="CO80" s="74">
        <v>0</v>
      </c>
      <c r="CP80" s="74">
        <v>0</v>
      </c>
      <c r="CQ80" s="74">
        <v>0</v>
      </c>
      <c r="CR80" s="74">
        <v>0</v>
      </c>
      <c r="CS80" s="74">
        <v>0</v>
      </c>
      <c r="CT80" s="74">
        <v>0</v>
      </c>
      <c r="CU80" s="74">
        <v>0</v>
      </c>
      <c r="CV80" s="74">
        <v>0</v>
      </c>
      <c r="CW80" s="74">
        <v>0</v>
      </c>
      <c r="CX80" s="74">
        <v>0</v>
      </c>
      <c r="CY80" s="74">
        <v>0</v>
      </c>
      <c r="CZ80" s="74">
        <v>0</v>
      </c>
      <c r="DA80" s="74">
        <v>0</v>
      </c>
      <c r="DB80" s="74">
        <v>0</v>
      </c>
      <c r="DC80" s="74">
        <v>0</v>
      </c>
      <c r="DD80" s="74">
        <v>0</v>
      </c>
      <c r="DE80" s="74">
        <v>0</v>
      </c>
      <c r="DF80" s="74">
        <v>0</v>
      </c>
      <c r="DG80" s="74">
        <v>0</v>
      </c>
      <c r="DH80" s="74">
        <v>0</v>
      </c>
      <c r="DI80" s="74">
        <v>0</v>
      </c>
      <c r="DJ80" s="74">
        <v>0</v>
      </c>
      <c r="DK80" s="74">
        <v>0</v>
      </c>
      <c r="DL80" s="74">
        <v>0</v>
      </c>
      <c r="DM80" s="74">
        <v>0</v>
      </c>
      <c r="DN80" s="74">
        <v>0</v>
      </c>
      <c r="DO80" s="74">
        <v>0</v>
      </c>
      <c r="DP80" s="74">
        <v>0</v>
      </c>
      <c r="DQ80" s="74">
        <v>0</v>
      </c>
      <c r="DR80" s="74">
        <v>0</v>
      </c>
      <c r="DS80" s="74">
        <v>0</v>
      </c>
      <c r="DT80" s="74">
        <v>0</v>
      </c>
      <c r="DU80" s="74">
        <v>0</v>
      </c>
      <c r="DV80" s="74">
        <v>0</v>
      </c>
      <c r="DW80" s="74">
        <v>0</v>
      </c>
      <c r="DX80" s="74">
        <v>0</v>
      </c>
      <c r="DY80" s="74">
        <v>0</v>
      </c>
      <c r="DZ80" s="74">
        <v>0</v>
      </c>
      <c r="EA80" s="74">
        <v>0</v>
      </c>
      <c r="EB80" s="74">
        <v>0</v>
      </c>
      <c r="EC80" s="74">
        <v>0</v>
      </c>
      <c r="EE80" s="68">
        <v>46063</v>
      </c>
      <c r="EF80" s="81">
        <v>46063.452996759261</v>
      </c>
      <c r="EG80" s="2" t="s">
        <v>70</v>
      </c>
      <c r="EH80" s="76">
        <v>2</v>
      </c>
      <c r="EI80" s="76" t="s">
        <v>32</v>
      </c>
      <c r="EJ80" s="74" t="s">
        <v>244</v>
      </c>
    </row>
    <row r="81" spans="1:167" x14ac:dyDescent="0.3">
      <c r="A81" s="73" t="s">
        <v>190</v>
      </c>
      <c r="B81" s="73" t="s">
        <v>171</v>
      </c>
      <c r="C81" s="73" t="s">
        <v>171</v>
      </c>
      <c r="D81" s="73" t="s">
        <v>48</v>
      </c>
      <c r="E81" s="73" t="s">
        <v>178</v>
      </c>
      <c r="F81" s="73" t="s">
        <v>210</v>
      </c>
      <c r="G81" s="73" t="s">
        <v>227</v>
      </c>
      <c r="H81" s="73"/>
      <c r="I81" s="74">
        <v>0</v>
      </c>
      <c r="J81" s="74">
        <v>54912</v>
      </c>
      <c r="K81" s="74">
        <v>83640</v>
      </c>
      <c r="L81" s="74">
        <v>90076</v>
      </c>
      <c r="M81" s="74">
        <v>93632</v>
      </c>
      <c r="N81" s="74">
        <v>103041</v>
      </c>
      <c r="O81" s="74">
        <v>110769.075</v>
      </c>
      <c r="P81" s="74">
        <v>118574.43075000001</v>
      </c>
      <c r="Q81" s="74">
        <v>0</v>
      </c>
      <c r="R81" s="74">
        <v>0</v>
      </c>
      <c r="S81" s="74">
        <v>0</v>
      </c>
      <c r="T81" s="74">
        <v>0</v>
      </c>
      <c r="U81" s="74">
        <v>0</v>
      </c>
      <c r="V81" s="74">
        <v>0</v>
      </c>
      <c r="W81" s="74">
        <v>0</v>
      </c>
      <c r="X81" s="74">
        <v>0</v>
      </c>
      <c r="Y81" s="74">
        <v>0</v>
      </c>
      <c r="Z81" s="74">
        <v>0</v>
      </c>
      <c r="AA81" s="74">
        <v>0</v>
      </c>
      <c r="AB81" s="74">
        <v>0</v>
      </c>
      <c r="AC81" s="74">
        <v>0</v>
      </c>
      <c r="AD81" s="74">
        <v>0</v>
      </c>
      <c r="AE81" s="74">
        <v>0</v>
      </c>
      <c r="AF81" s="74">
        <v>0</v>
      </c>
      <c r="AG81" s="74">
        <v>0</v>
      </c>
      <c r="AH81" s="74">
        <v>0</v>
      </c>
      <c r="AI81" s="74">
        <v>0</v>
      </c>
      <c r="AJ81" s="74">
        <v>0</v>
      </c>
      <c r="AL81" s="74">
        <v>81438.431016598595</v>
      </c>
      <c r="AM81" s="74">
        <v>90849.69266612707</v>
      </c>
      <c r="AN81" s="74">
        <v>93813.719428234152</v>
      </c>
      <c r="AO81" s="74">
        <v>90076</v>
      </c>
      <c r="AP81" s="74">
        <v>92398.548603115021</v>
      </c>
      <c r="AQ81" s="74">
        <v>93899.103467928406</v>
      </c>
      <c r="AR81" s="74">
        <v>90528.109203593704</v>
      </c>
      <c r="AS81" s="74">
        <v>93632</v>
      </c>
      <c r="AT81" s="74">
        <v>95287.373845827038</v>
      </c>
      <c r="AU81" s="74">
        <v>96729.441512186357</v>
      </c>
      <c r="AV81" s="74">
        <v>98632.656715115532</v>
      </c>
      <c r="AW81" s="74">
        <v>103041</v>
      </c>
      <c r="AX81" s="74">
        <v>105398.00808539479</v>
      </c>
      <c r="AY81" s="74">
        <v>113249</v>
      </c>
      <c r="AZ81" s="74">
        <v>111888.54103238831</v>
      </c>
      <c r="BA81" s="74">
        <v>113607.34152062357</v>
      </c>
      <c r="BB81" s="74">
        <v>0</v>
      </c>
      <c r="BC81" s="74">
        <v>0</v>
      </c>
      <c r="BD81" s="74">
        <v>0</v>
      </c>
      <c r="BE81" s="74">
        <v>0</v>
      </c>
      <c r="BF81" s="74">
        <v>0</v>
      </c>
      <c r="BG81" s="74">
        <v>0</v>
      </c>
      <c r="BH81" s="74">
        <v>0</v>
      </c>
      <c r="BI81" s="74">
        <v>0</v>
      </c>
      <c r="BJ81" s="74">
        <v>0</v>
      </c>
      <c r="BK81" s="74">
        <v>0</v>
      </c>
      <c r="BL81" s="74">
        <v>0</v>
      </c>
      <c r="BM81" s="74">
        <v>0</v>
      </c>
      <c r="BN81" s="74">
        <v>0</v>
      </c>
      <c r="BO81" s="74">
        <v>0</v>
      </c>
      <c r="BP81" s="74">
        <v>0</v>
      </c>
      <c r="BQ81" s="74">
        <v>0</v>
      </c>
      <c r="BR81" s="74">
        <v>0</v>
      </c>
      <c r="BS81" s="74">
        <v>0</v>
      </c>
      <c r="BT81" s="74">
        <v>0</v>
      </c>
      <c r="BU81" s="74">
        <v>0</v>
      </c>
      <c r="BV81" s="74">
        <v>0</v>
      </c>
      <c r="BW81" s="74">
        <v>0</v>
      </c>
      <c r="BX81" s="74">
        <v>0</v>
      </c>
      <c r="BY81" s="74">
        <v>0</v>
      </c>
      <c r="BZ81" s="74">
        <v>0</v>
      </c>
      <c r="CA81" s="74">
        <v>0</v>
      </c>
      <c r="CB81" s="74">
        <v>0</v>
      </c>
      <c r="CC81" s="74">
        <v>0</v>
      </c>
      <c r="CD81" s="74">
        <v>0</v>
      </c>
      <c r="CE81" s="74">
        <v>0</v>
      </c>
      <c r="CF81" s="74">
        <v>0</v>
      </c>
      <c r="CG81" s="74">
        <v>0</v>
      </c>
      <c r="CH81" s="74">
        <v>0</v>
      </c>
      <c r="CI81" s="74">
        <v>0</v>
      </c>
      <c r="CJ81" s="74">
        <v>0</v>
      </c>
      <c r="CK81" s="74">
        <v>0</v>
      </c>
      <c r="CL81" s="74">
        <v>0</v>
      </c>
      <c r="CM81" s="74">
        <v>0</v>
      </c>
      <c r="CN81" s="74">
        <v>0</v>
      </c>
      <c r="CO81" s="74">
        <v>0</v>
      </c>
      <c r="CP81" s="74">
        <v>0</v>
      </c>
      <c r="CQ81" s="74">
        <v>0</v>
      </c>
      <c r="CR81" s="74">
        <v>0</v>
      </c>
      <c r="CS81" s="74">
        <v>0</v>
      </c>
      <c r="CT81" s="74">
        <v>0</v>
      </c>
      <c r="CU81" s="74">
        <v>0</v>
      </c>
      <c r="CV81" s="74">
        <v>0</v>
      </c>
      <c r="CW81" s="74">
        <v>0</v>
      </c>
      <c r="CX81" s="74">
        <v>0</v>
      </c>
      <c r="CY81" s="74">
        <v>0</v>
      </c>
      <c r="CZ81" s="74">
        <v>0</v>
      </c>
      <c r="DA81" s="74">
        <v>0</v>
      </c>
      <c r="DB81" s="74">
        <v>0</v>
      </c>
      <c r="DC81" s="74">
        <v>0</v>
      </c>
      <c r="DD81" s="74">
        <v>0</v>
      </c>
      <c r="DE81" s="74">
        <v>0</v>
      </c>
      <c r="DF81" s="74">
        <v>0</v>
      </c>
      <c r="DG81" s="74">
        <v>0</v>
      </c>
      <c r="DH81" s="74">
        <v>0</v>
      </c>
      <c r="DI81" s="74">
        <v>0</v>
      </c>
      <c r="DJ81" s="74">
        <v>0</v>
      </c>
      <c r="DK81" s="74">
        <v>0</v>
      </c>
      <c r="DL81" s="74">
        <v>0</v>
      </c>
      <c r="DM81" s="74">
        <v>0</v>
      </c>
      <c r="DN81" s="74">
        <v>0</v>
      </c>
      <c r="DO81" s="74">
        <v>0</v>
      </c>
      <c r="DP81" s="74">
        <v>0</v>
      </c>
      <c r="DQ81" s="74">
        <v>0</v>
      </c>
      <c r="DR81" s="74">
        <v>0</v>
      </c>
      <c r="DS81" s="74">
        <v>0</v>
      </c>
      <c r="DT81" s="74">
        <v>0</v>
      </c>
      <c r="DU81" s="74">
        <v>0</v>
      </c>
      <c r="DV81" s="74">
        <v>0</v>
      </c>
      <c r="DW81" s="74">
        <v>0</v>
      </c>
      <c r="DX81" s="74">
        <v>0</v>
      </c>
      <c r="DY81" s="74">
        <v>0</v>
      </c>
      <c r="DZ81" s="74">
        <v>0</v>
      </c>
      <c r="EA81" s="74">
        <v>0</v>
      </c>
      <c r="EB81" s="74">
        <v>0</v>
      </c>
      <c r="EC81" s="74">
        <v>0</v>
      </c>
      <c r="EE81" s="68">
        <v>46063</v>
      </c>
      <c r="EF81" s="81">
        <v>46063.452996759261</v>
      </c>
      <c r="EG81" s="2" t="s">
        <v>70</v>
      </c>
      <c r="EH81" s="76">
        <v>2</v>
      </c>
      <c r="EI81" s="76" t="s">
        <v>32</v>
      </c>
      <c r="EJ81" s="74" t="s">
        <v>244</v>
      </c>
    </row>
    <row r="82" spans="1:167" x14ac:dyDescent="0.3">
      <c r="A82" s="73" t="s">
        <v>191</v>
      </c>
      <c r="B82" s="73" t="s">
        <v>170</v>
      </c>
      <c r="C82" s="73" t="s">
        <v>170</v>
      </c>
      <c r="D82" s="73" t="s">
        <v>48</v>
      </c>
      <c r="E82" s="73" t="s">
        <v>178</v>
      </c>
      <c r="F82" s="73" t="s">
        <v>210</v>
      </c>
      <c r="G82" s="73" t="s">
        <v>227</v>
      </c>
      <c r="H82" s="73"/>
      <c r="I82" s="74">
        <v>0</v>
      </c>
      <c r="J82" s="74">
        <v>15375</v>
      </c>
      <c r="K82" s="74">
        <v>21718</v>
      </c>
      <c r="L82" s="74">
        <v>23347</v>
      </c>
      <c r="M82" s="74">
        <v>24357</v>
      </c>
      <c r="N82" s="74">
        <v>25618</v>
      </c>
      <c r="O82" s="74">
        <v>31882.000198680522</v>
      </c>
      <c r="P82" s="74">
        <v>37145.328218652932</v>
      </c>
      <c r="Q82" s="74">
        <v>0</v>
      </c>
      <c r="R82" s="74">
        <v>0</v>
      </c>
      <c r="S82" s="74">
        <v>0</v>
      </c>
      <c r="T82" s="74">
        <v>0</v>
      </c>
      <c r="U82" s="74">
        <v>0</v>
      </c>
      <c r="V82" s="74">
        <v>0</v>
      </c>
      <c r="W82" s="74">
        <v>0</v>
      </c>
      <c r="X82" s="74">
        <v>0</v>
      </c>
      <c r="Y82" s="74">
        <v>0</v>
      </c>
      <c r="Z82" s="74">
        <v>0</v>
      </c>
      <c r="AA82" s="74">
        <v>0</v>
      </c>
      <c r="AB82" s="74">
        <v>0</v>
      </c>
      <c r="AC82" s="74">
        <v>0</v>
      </c>
      <c r="AD82" s="74">
        <v>0</v>
      </c>
      <c r="AE82" s="74">
        <v>0</v>
      </c>
      <c r="AF82" s="74">
        <v>0</v>
      </c>
      <c r="AG82" s="74">
        <v>0</v>
      </c>
      <c r="AH82" s="74">
        <v>0</v>
      </c>
      <c r="AI82" s="74">
        <v>0</v>
      </c>
      <c r="AJ82" s="74">
        <v>0</v>
      </c>
      <c r="AL82" s="74">
        <v>26973.753257510012</v>
      </c>
      <c r="AM82" s="74">
        <v>25322.16295396108</v>
      </c>
      <c r="AN82" s="74">
        <v>27015.652986919351</v>
      </c>
      <c r="AO82" s="74">
        <v>23347</v>
      </c>
      <c r="AP82" s="74">
        <v>24046.190582056002</v>
      </c>
      <c r="AQ82" s="74">
        <v>24287.802529718003</v>
      </c>
      <c r="AR82" s="74">
        <v>23306.402776310009</v>
      </c>
      <c r="AS82" s="74">
        <v>24357</v>
      </c>
      <c r="AT82" s="74">
        <v>24318.460740023918</v>
      </c>
      <c r="AU82" s="74">
        <v>24317.512966697013</v>
      </c>
      <c r="AV82" s="74">
        <v>16727.717511825671</v>
      </c>
      <c r="AW82" s="74">
        <v>25618</v>
      </c>
      <c r="AX82" s="74">
        <v>18518.786699241784</v>
      </c>
      <c r="AY82" s="74">
        <v>29679</v>
      </c>
      <c r="AZ82" s="74">
        <v>24014.254064464869</v>
      </c>
      <c r="BA82" s="74">
        <v>21852.559673415588</v>
      </c>
      <c r="BB82" s="74">
        <v>0</v>
      </c>
      <c r="BC82" s="74">
        <v>0</v>
      </c>
      <c r="BD82" s="74">
        <v>0</v>
      </c>
      <c r="BE82" s="74">
        <v>0</v>
      </c>
      <c r="BF82" s="74">
        <v>0</v>
      </c>
      <c r="BG82" s="74">
        <v>0</v>
      </c>
      <c r="BH82" s="74">
        <v>0</v>
      </c>
      <c r="BI82" s="74">
        <v>0</v>
      </c>
      <c r="BJ82" s="74">
        <v>0</v>
      </c>
      <c r="BK82" s="74">
        <v>0</v>
      </c>
      <c r="BL82" s="74">
        <v>0</v>
      </c>
      <c r="BM82" s="74">
        <v>0</v>
      </c>
      <c r="BN82" s="74">
        <v>0</v>
      </c>
      <c r="BO82" s="74">
        <v>0</v>
      </c>
      <c r="BP82" s="74">
        <v>0</v>
      </c>
      <c r="BQ82" s="74">
        <v>0</v>
      </c>
      <c r="BR82" s="74">
        <v>0</v>
      </c>
      <c r="BS82" s="74">
        <v>0</v>
      </c>
      <c r="BT82" s="74">
        <v>0</v>
      </c>
      <c r="BU82" s="74">
        <v>0</v>
      </c>
      <c r="BV82" s="74">
        <v>0</v>
      </c>
      <c r="BW82" s="74">
        <v>0</v>
      </c>
      <c r="BX82" s="74">
        <v>0</v>
      </c>
      <c r="BY82" s="74">
        <v>0</v>
      </c>
      <c r="BZ82" s="74">
        <v>0</v>
      </c>
      <c r="CA82" s="74">
        <v>0</v>
      </c>
      <c r="CB82" s="74">
        <v>0</v>
      </c>
      <c r="CC82" s="74">
        <v>0</v>
      </c>
      <c r="CD82" s="74">
        <v>0</v>
      </c>
      <c r="CE82" s="74">
        <v>0</v>
      </c>
      <c r="CF82" s="74">
        <v>0</v>
      </c>
      <c r="CG82" s="74">
        <v>0</v>
      </c>
      <c r="CH82" s="74">
        <v>0</v>
      </c>
      <c r="CI82" s="74">
        <v>0</v>
      </c>
      <c r="CJ82" s="74">
        <v>0</v>
      </c>
      <c r="CK82" s="74">
        <v>0</v>
      </c>
      <c r="CL82" s="74">
        <v>0</v>
      </c>
      <c r="CM82" s="74">
        <v>0</v>
      </c>
      <c r="CN82" s="74">
        <v>0</v>
      </c>
      <c r="CO82" s="74">
        <v>0</v>
      </c>
      <c r="CP82" s="74">
        <v>0</v>
      </c>
      <c r="CQ82" s="74">
        <v>0</v>
      </c>
      <c r="CR82" s="74">
        <v>0</v>
      </c>
      <c r="CS82" s="74">
        <v>0</v>
      </c>
      <c r="CT82" s="74">
        <v>0</v>
      </c>
      <c r="CU82" s="74">
        <v>0</v>
      </c>
      <c r="CV82" s="74">
        <v>0</v>
      </c>
      <c r="CW82" s="74">
        <v>0</v>
      </c>
      <c r="CX82" s="74">
        <v>0</v>
      </c>
      <c r="CY82" s="74">
        <v>0</v>
      </c>
      <c r="CZ82" s="74">
        <v>0</v>
      </c>
      <c r="DA82" s="74">
        <v>0</v>
      </c>
      <c r="DB82" s="74">
        <v>0</v>
      </c>
      <c r="DC82" s="74">
        <v>0</v>
      </c>
      <c r="DD82" s="74">
        <v>0</v>
      </c>
      <c r="DE82" s="74">
        <v>0</v>
      </c>
      <c r="DF82" s="74">
        <v>0</v>
      </c>
      <c r="DG82" s="74">
        <v>0</v>
      </c>
      <c r="DH82" s="74">
        <v>0</v>
      </c>
      <c r="DI82" s="74">
        <v>0</v>
      </c>
      <c r="DJ82" s="74">
        <v>0</v>
      </c>
      <c r="DK82" s="74">
        <v>0</v>
      </c>
      <c r="DL82" s="74">
        <v>0</v>
      </c>
      <c r="DM82" s="74">
        <v>0</v>
      </c>
      <c r="DN82" s="74">
        <v>0</v>
      </c>
      <c r="DO82" s="74">
        <v>0</v>
      </c>
      <c r="DP82" s="74">
        <v>0</v>
      </c>
      <c r="DQ82" s="74">
        <v>0</v>
      </c>
      <c r="DR82" s="74">
        <v>0</v>
      </c>
      <c r="DS82" s="74">
        <v>0</v>
      </c>
      <c r="DT82" s="74">
        <v>0</v>
      </c>
      <c r="DU82" s="74">
        <v>0</v>
      </c>
      <c r="DV82" s="74">
        <v>0</v>
      </c>
      <c r="DW82" s="74">
        <v>0</v>
      </c>
      <c r="DX82" s="74">
        <v>0</v>
      </c>
      <c r="DY82" s="74">
        <v>0</v>
      </c>
      <c r="DZ82" s="74">
        <v>0</v>
      </c>
      <c r="EA82" s="74">
        <v>0</v>
      </c>
      <c r="EB82" s="74">
        <v>0</v>
      </c>
      <c r="EC82" s="74">
        <v>0</v>
      </c>
      <c r="EE82" s="68">
        <v>46063</v>
      </c>
      <c r="EF82" s="81">
        <v>46063.452996759261</v>
      </c>
      <c r="EG82" s="2" t="s">
        <v>70</v>
      </c>
      <c r="EH82" s="76">
        <v>2</v>
      </c>
      <c r="EI82" s="76" t="s">
        <v>32</v>
      </c>
      <c r="EJ82" s="74" t="s">
        <v>244</v>
      </c>
    </row>
    <row r="83" spans="1:167" x14ac:dyDescent="0.3">
      <c r="A83" s="73" t="s">
        <v>192</v>
      </c>
      <c r="B83" s="73" t="s">
        <v>174</v>
      </c>
      <c r="C83" s="73" t="s">
        <v>174</v>
      </c>
      <c r="D83" s="73" t="s">
        <v>48</v>
      </c>
      <c r="E83" s="73" t="s">
        <v>178</v>
      </c>
      <c r="F83" s="73" t="s">
        <v>210</v>
      </c>
      <c r="G83" s="73" t="s">
        <v>227</v>
      </c>
      <c r="H83" s="73"/>
      <c r="I83" s="74">
        <v>0</v>
      </c>
      <c r="J83" s="74">
        <v>32151</v>
      </c>
      <c r="K83" s="74">
        <v>43245</v>
      </c>
      <c r="L83" s="74">
        <v>60324</v>
      </c>
      <c r="M83" s="74">
        <v>72701</v>
      </c>
      <c r="N83" s="74">
        <v>110683</v>
      </c>
      <c r="O83" s="74">
        <v>165202.21025658044</v>
      </c>
      <c r="P83" s="74">
        <v>222863.84052592149</v>
      </c>
      <c r="Q83" s="74">
        <v>0</v>
      </c>
      <c r="R83" s="74">
        <v>0</v>
      </c>
      <c r="S83" s="74">
        <v>0</v>
      </c>
      <c r="T83" s="74">
        <v>0</v>
      </c>
      <c r="U83" s="74">
        <v>0</v>
      </c>
      <c r="V83" s="74">
        <v>0</v>
      </c>
      <c r="W83" s="74">
        <v>0</v>
      </c>
      <c r="X83" s="74">
        <v>0</v>
      </c>
      <c r="Y83" s="74">
        <v>0</v>
      </c>
      <c r="Z83" s="74">
        <v>0</v>
      </c>
      <c r="AA83" s="74">
        <v>0</v>
      </c>
      <c r="AB83" s="74">
        <v>0</v>
      </c>
      <c r="AC83" s="74">
        <v>0</v>
      </c>
      <c r="AD83" s="74">
        <v>0</v>
      </c>
      <c r="AE83" s="74">
        <v>0</v>
      </c>
      <c r="AF83" s="74">
        <v>0</v>
      </c>
      <c r="AG83" s="74">
        <v>0</v>
      </c>
      <c r="AH83" s="74">
        <v>0</v>
      </c>
      <c r="AI83" s="74">
        <v>0</v>
      </c>
      <c r="AJ83" s="74">
        <v>0</v>
      </c>
      <c r="AL83" s="74">
        <v>49096.927508596476</v>
      </c>
      <c r="AM83" s="74">
        <v>49123.720206012011</v>
      </c>
      <c r="AN83" s="74">
        <v>54266.707648397562</v>
      </c>
      <c r="AO83" s="74">
        <v>60324</v>
      </c>
      <c r="AP83" s="74">
        <v>65081.956427303056</v>
      </c>
      <c r="AQ83" s="74">
        <v>70742.49362268085</v>
      </c>
      <c r="AR83" s="74">
        <v>72174.384365426726</v>
      </c>
      <c r="AS83" s="74">
        <v>72701</v>
      </c>
      <c r="AT83" s="74">
        <v>45947.508105803121</v>
      </c>
      <c r="AU83" s="74">
        <v>81581.462307976544</v>
      </c>
      <c r="AV83" s="74">
        <v>53683.431384846204</v>
      </c>
      <c r="AW83" s="74">
        <v>110683</v>
      </c>
      <c r="AX83" s="74">
        <v>130000</v>
      </c>
      <c r="AY83" s="74">
        <v>140636</v>
      </c>
      <c r="AZ83" s="74">
        <v>158739.45797150678</v>
      </c>
      <c r="BA83" s="74">
        <v>169921.29427680207</v>
      </c>
      <c r="BB83" s="74">
        <v>0</v>
      </c>
      <c r="BC83" s="74">
        <v>0</v>
      </c>
      <c r="BD83" s="74">
        <v>0</v>
      </c>
      <c r="BE83" s="74">
        <v>0</v>
      </c>
      <c r="BF83" s="74">
        <v>0</v>
      </c>
      <c r="BG83" s="74">
        <v>0</v>
      </c>
      <c r="BH83" s="74">
        <v>0</v>
      </c>
      <c r="BI83" s="74">
        <v>0</v>
      </c>
      <c r="BJ83" s="74">
        <v>0</v>
      </c>
      <c r="BK83" s="74">
        <v>0</v>
      </c>
      <c r="BL83" s="74">
        <v>0</v>
      </c>
      <c r="BM83" s="74">
        <v>0</v>
      </c>
      <c r="BN83" s="74">
        <v>0</v>
      </c>
      <c r="BO83" s="74">
        <v>0</v>
      </c>
      <c r="BP83" s="74">
        <v>0</v>
      </c>
      <c r="BQ83" s="74">
        <v>0</v>
      </c>
      <c r="BR83" s="74">
        <v>0</v>
      </c>
      <c r="BS83" s="74">
        <v>0</v>
      </c>
      <c r="BT83" s="74">
        <v>0</v>
      </c>
      <c r="BU83" s="74">
        <v>0</v>
      </c>
      <c r="BV83" s="74">
        <v>0</v>
      </c>
      <c r="BW83" s="74">
        <v>0</v>
      </c>
      <c r="BX83" s="74">
        <v>0</v>
      </c>
      <c r="BY83" s="74">
        <v>0</v>
      </c>
      <c r="BZ83" s="74">
        <v>0</v>
      </c>
      <c r="CA83" s="74">
        <v>0</v>
      </c>
      <c r="CB83" s="74">
        <v>0</v>
      </c>
      <c r="CC83" s="74">
        <v>0</v>
      </c>
      <c r="CD83" s="74">
        <v>0</v>
      </c>
      <c r="CE83" s="74">
        <v>0</v>
      </c>
      <c r="CF83" s="74">
        <v>0</v>
      </c>
      <c r="CG83" s="74">
        <v>0</v>
      </c>
      <c r="CH83" s="74">
        <v>0</v>
      </c>
      <c r="CI83" s="74">
        <v>0</v>
      </c>
      <c r="CJ83" s="74">
        <v>0</v>
      </c>
      <c r="CK83" s="74">
        <v>0</v>
      </c>
      <c r="CL83" s="74">
        <v>0</v>
      </c>
      <c r="CM83" s="74">
        <v>0</v>
      </c>
      <c r="CN83" s="74">
        <v>0</v>
      </c>
      <c r="CO83" s="74">
        <v>0</v>
      </c>
      <c r="CP83" s="74">
        <v>0</v>
      </c>
      <c r="CQ83" s="74">
        <v>0</v>
      </c>
      <c r="CR83" s="74">
        <v>0</v>
      </c>
      <c r="CS83" s="74">
        <v>0</v>
      </c>
      <c r="CT83" s="74">
        <v>0</v>
      </c>
      <c r="CU83" s="74">
        <v>0</v>
      </c>
      <c r="CV83" s="74">
        <v>0</v>
      </c>
      <c r="CW83" s="74">
        <v>0</v>
      </c>
      <c r="CX83" s="74">
        <v>0</v>
      </c>
      <c r="CY83" s="74">
        <v>0</v>
      </c>
      <c r="CZ83" s="74">
        <v>0</v>
      </c>
      <c r="DA83" s="74">
        <v>0</v>
      </c>
      <c r="DB83" s="74">
        <v>0</v>
      </c>
      <c r="DC83" s="74">
        <v>0</v>
      </c>
      <c r="DD83" s="74">
        <v>0</v>
      </c>
      <c r="DE83" s="74">
        <v>0</v>
      </c>
      <c r="DF83" s="74">
        <v>0</v>
      </c>
      <c r="DG83" s="74">
        <v>0</v>
      </c>
      <c r="DH83" s="74">
        <v>0</v>
      </c>
      <c r="DI83" s="74">
        <v>0</v>
      </c>
      <c r="DJ83" s="74">
        <v>0</v>
      </c>
      <c r="DK83" s="74">
        <v>0</v>
      </c>
      <c r="DL83" s="74">
        <v>0</v>
      </c>
      <c r="DM83" s="74">
        <v>0</v>
      </c>
      <c r="DN83" s="74">
        <v>0</v>
      </c>
      <c r="DO83" s="74">
        <v>0</v>
      </c>
      <c r="DP83" s="74">
        <v>0</v>
      </c>
      <c r="DQ83" s="74">
        <v>0</v>
      </c>
      <c r="DR83" s="74">
        <v>0</v>
      </c>
      <c r="DS83" s="74">
        <v>0</v>
      </c>
      <c r="DT83" s="74">
        <v>0</v>
      </c>
      <c r="DU83" s="74">
        <v>0</v>
      </c>
      <c r="DV83" s="74">
        <v>0</v>
      </c>
      <c r="DW83" s="74">
        <v>0</v>
      </c>
      <c r="DX83" s="74">
        <v>0</v>
      </c>
      <c r="DY83" s="74">
        <v>0</v>
      </c>
      <c r="DZ83" s="74">
        <v>0</v>
      </c>
      <c r="EA83" s="74">
        <v>0</v>
      </c>
      <c r="EB83" s="74">
        <v>0</v>
      </c>
      <c r="EC83" s="74">
        <v>0</v>
      </c>
      <c r="EE83" s="68">
        <v>46063</v>
      </c>
      <c r="EF83" s="81">
        <v>46063.452996759261</v>
      </c>
      <c r="EG83" s="2" t="s">
        <v>70</v>
      </c>
      <c r="EH83" s="76">
        <v>2</v>
      </c>
      <c r="EI83" s="76" t="s">
        <v>32</v>
      </c>
      <c r="EJ83" s="74" t="s">
        <v>244</v>
      </c>
    </row>
    <row r="84" spans="1:167" x14ac:dyDescent="0.3">
      <c r="A84" s="73" t="s">
        <v>200</v>
      </c>
      <c r="B84" s="73" t="s">
        <v>176</v>
      </c>
      <c r="C84" s="73" t="s">
        <v>176</v>
      </c>
      <c r="D84" s="73" t="s">
        <v>48</v>
      </c>
      <c r="E84" s="73" t="s">
        <v>178</v>
      </c>
      <c r="F84" s="73" t="s">
        <v>210</v>
      </c>
      <c r="G84" s="73" t="s">
        <v>227</v>
      </c>
      <c r="H84" s="73"/>
      <c r="I84" s="74">
        <v>0</v>
      </c>
      <c r="J84" s="74">
        <v>10676</v>
      </c>
      <c r="K84" s="74">
        <v>11678</v>
      </c>
      <c r="L84" s="74">
        <v>12968</v>
      </c>
      <c r="M84" s="74">
        <v>13487</v>
      </c>
      <c r="N84" s="74">
        <v>13323</v>
      </c>
      <c r="O84" s="74">
        <v>20058.621002323656</v>
      </c>
      <c r="P84" s="74">
        <v>45768.957099116153</v>
      </c>
      <c r="Q84" s="74">
        <v>0</v>
      </c>
      <c r="R84" s="74">
        <v>0</v>
      </c>
      <c r="S84" s="74">
        <v>0</v>
      </c>
      <c r="T84" s="74">
        <v>0</v>
      </c>
      <c r="U84" s="74">
        <v>0</v>
      </c>
      <c r="V84" s="74">
        <v>0</v>
      </c>
      <c r="W84" s="74">
        <v>0</v>
      </c>
      <c r="X84" s="74">
        <v>0</v>
      </c>
      <c r="Y84" s="74">
        <v>0</v>
      </c>
      <c r="Z84" s="74">
        <v>0</v>
      </c>
      <c r="AA84" s="74">
        <v>0</v>
      </c>
      <c r="AB84" s="74">
        <v>0</v>
      </c>
      <c r="AC84" s="74">
        <v>0</v>
      </c>
      <c r="AD84" s="74">
        <v>0</v>
      </c>
      <c r="AE84" s="74">
        <v>0</v>
      </c>
      <c r="AF84" s="74">
        <v>0</v>
      </c>
      <c r="AG84" s="74">
        <v>0</v>
      </c>
      <c r="AH84" s="74">
        <v>0</v>
      </c>
      <c r="AI84" s="74">
        <v>0</v>
      </c>
      <c r="AJ84" s="74">
        <v>0</v>
      </c>
      <c r="AL84" s="74">
        <v>2487.1965300314555</v>
      </c>
      <c r="AM84" s="74">
        <v>9299.7610529639369</v>
      </c>
      <c r="AN84" s="74">
        <v>11126.626654700824</v>
      </c>
      <c r="AO84" s="74">
        <v>12968</v>
      </c>
      <c r="AP84" s="74">
        <v>13212.940263676001</v>
      </c>
      <c r="AQ84" s="74">
        <v>10802.252550943602</v>
      </c>
      <c r="AR84" s="74">
        <v>11341.204526510021</v>
      </c>
      <c r="AS84" s="74">
        <v>13487</v>
      </c>
      <c r="AT84" s="74">
        <v>14270.068974304506</v>
      </c>
      <c r="AU84" s="74">
        <v>14315.07886759744</v>
      </c>
      <c r="AV84" s="74">
        <v>19065.709552390348</v>
      </c>
      <c r="AW84" s="74">
        <v>13323</v>
      </c>
      <c r="AX84" s="74">
        <v>13670.035786053457</v>
      </c>
      <c r="AY84" s="74">
        <v>14052</v>
      </c>
      <c r="AZ84" s="74">
        <v>16482.717704756687</v>
      </c>
      <c r="BA84" s="74">
        <v>17553.953573971783</v>
      </c>
      <c r="BB84" s="74">
        <v>0</v>
      </c>
      <c r="BC84" s="74">
        <v>0</v>
      </c>
      <c r="BD84" s="74">
        <v>0</v>
      </c>
      <c r="BE84" s="74">
        <v>0</v>
      </c>
      <c r="BF84" s="74">
        <v>0</v>
      </c>
      <c r="BG84" s="74">
        <v>0</v>
      </c>
      <c r="BH84" s="74">
        <v>0</v>
      </c>
      <c r="BI84" s="74">
        <v>0</v>
      </c>
      <c r="BJ84" s="74">
        <v>0</v>
      </c>
      <c r="BK84" s="74">
        <v>0</v>
      </c>
      <c r="BL84" s="74">
        <v>0</v>
      </c>
      <c r="BM84" s="74">
        <v>0</v>
      </c>
      <c r="BN84" s="74">
        <v>0</v>
      </c>
      <c r="BO84" s="74">
        <v>0</v>
      </c>
      <c r="BP84" s="74">
        <v>0</v>
      </c>
      <c r="BQ84" s="74">
        <v>0</v>
      </c>
      <c r="BR84" s="74">
        <v>0</v>
      </c>
      <c r="BS84" s="74">
        <v>0</v>
      </c>
      <c r="BT84" s="74">
        <v>0</v>
      </c>
      <c r="BU84" s="74">
        <v>0</v>
      </c>
      <c r="BV84" s="74">
        <v>0</v>
      </c>
      <c r="BW84" s="74">
        <v>0</v>
      </c>
      <c r="BX84" s="74">
        <v>0</v>
      </c>
      <c r="BY84" s="74">
        <v>0</v>
      </c>
      <c r="BZ84" s="74">
        <v>0</v>
      </c>
      <c r="CA84" s="74">
        <v>0</v>
      </c>
      <c r="CB84" s="74">
        <v>0</v>
      </c>
      <c r="CC84" s="74">
        <v>0</v>
      </c>
      <c r="CD84" s="74">
        <v>0</v>
      </c>
      <c r="CE84" s="74">
        <v>0</v>
      </c>
      <c r="CF84" s="74">
        <v>0</v>
      </c>
      <c r="CG84" s="74">
        <v>0</v>
      </c>
      <c r="CH84" s="74">
        <v>0</v>
      </c>
      <c r="CI84" s="74">
        <v>0</v>
      </c>
      <c r="CJ84" s="74">
        <v>0</v>
      </c>
      <c r="CK84" s="74">
        <v>0</v>
      </c>
      <c r="CL84" s="74">
        <v>0</v>
      </c>
      <c r="CM84" s="74">
        <v>0</v>
      </c>
      <c r="CN84" s="74">
        <v>0</v>
      </c>
      <c r="CO84" s="74">
        <v>0</v>
      </c>
      <c r="CP84" s="74">
        <v>0</v>
      </c>
      <c r="CQ84" s="74">
        <v>0</v>
      </c>
      <c r="CR84" s="74">
        <v>0</v>
      </c>
      <c r="CS84" s="74">
        <v>0</v>
      </c>
      <c r="CT84" s="74">
        <v>0</v>
      </c>
      <c r="CU84" s="74">
        <v>0</v>
      </c>
      <c r="CV84" s="74">
        <v>0</v>
      </c>
      <c r="CW84" s="74">
        <v>0</v>
      </c>
      <c r="CX84" s="74">
        <v>0</v>
      </c>
      <c r="CY84" s="74">
        <v>0</v>
      </c>
      <c r="CZ84" s="74">
        <v>0</v>
      </c>
      <c r="DA84" s="74">
        <v>0</v>
      </c>
      <c r="DB84" s="74">
        <v>0</v>
      </c>
      <c r="DC84" s="74">
        <v>0</v>
      </c>
      <c r="DD84" s="74">
        <v>0</v>
      </c>
      <c r="DE84" s="74">
        <v>0</v>
      </c>
      <c r="DF84" s="74">
        <v>0</v>
      </c>
      <c r="DG84" s="74">
        <v>0</v>
      </c>
      <c r="DH84" s="74">
        <v>0</v>
      </c>
      <c r="DI84" s="74">
        <v>0</v>
      </c>
      <c r="DJ84" s="74">
        <v>0</v>
      </c>
      <c r="DK84" s="74">
        <v>0</v>
      </c>
      <c r="DL84" s="74">
        <v>0</v>
      </c>
      <c r="DM84" s="74">
        <v>0</v>
      </c>
      <c r="DN84" s="74">
        <v>0</v>
      </c>
      <c r="DO84" s="74">
        <v>0</v>
      </c>
      <c r="DP84" s="74">
        <v>0</v>
      </c>
      <c r="DQ84" s="74">
        <v>0</v>
      </c>
      <c r="DR84" s="74">
        <v>0</v>
      </c>
      <c r="DS84" s="74">
        <v>0</v>
      </c>
      <c r="DT84" s="74">
        <v>0</v>
      </c>
      <c r="DU84" s="74">
        <v>0</v>
      </c>
      <c r="DV84" s="74">
        <v>0</v>
      </c>
      <c r="DW84" s="74">
        <v>0</v>
      </c>
      <c r="DX84" s="74">
        <v>0</v>
      </c>
      <c r="DY84" s="74">
        <v>0</v>
      </c>
      <c r="DZ84" s="74">
        <v>0</v>
      </c>
      <c r="EA84" s="74">
        <v>0</v>
      </c>
      <c r="EB84" s="74">
        <v>0</v>
      </c>
      <c r="EC84" s="74">
        <v>0</v>
      </c>
      <c r="EE84" s="68">
        <v>46063</v>
      </c>
      <c r="EF84" s="81">
        <v>46063.452996759261</v>
      </c>
      <c r="EG84" s="2" t="s">
        <v>70</v>
      </c>
      <c r="EH84" s="76">
        <v>2</v>
      </c>
      <c r="EI84" s="76" t="s">
        <v>32</v>
      </c>
      <c r="EJ84" s="74" t="s">
        <v>244</v>
      </c>
    </row>
    <row r="85" spans="1:167" x14ac:dyDescent="0.3">
      <c r="A85" s="73" t="s">
        <v>201</v>
      </c>
      <c r="B85" s="73" t="s">
        <v>206</v>
      </c>
      <c r="C85" s="73" t="s">
        <v>206</v>
      </c>
      <c r="D85" s="73" t="s">
        <v>48</v>
      </c>
      <c r="E85" s="73" t="s">
        <v>178</v>
      </c>
      <c r="F85" s="73" t="s">
        <v>210</v>
      </c>
      <c r="G85" s="73" t="s">
        <v>227</v>
      </c>
      <c r="H85" s="73"/>
      <c r="I85" s="74">
        <v>0</v>
      </c>
      <c r="J85" s="74">
        <v>-15268</v>
      </c>
      <c r="K85" s="74">
        <v>-9614</v>
      </c>
      <c r="L85" s="74">
        <v>29648</v>
      </c>
      <c r="M85" s="74">
        <v>48661</v>
      </c>
      <c r="N85" s="74">
        <v>24025</v>
      </c>
      <c r="O85" s="74">
        <v>894.09354241536494</v>
      </c>
      <c r="P85" s="74">
        <v>-29483.55659369057</v>
      </c>
      <c r="Q85" s="74">
        <v>0</v>
      </c>
      <c r="R85" s="74">
        <v>0</v>
      </c>
      <c r="S85" s="74">
        <v>0</v>
      </c>
      <c r="T85" s="74">
        <v>0</v>
      </c>
      <c r="U85" s="74">
        <v>0</v>
      </c>
      <c r="V85" s="74">
        <v>0</v>
      </c>
      <c r="W85" s="74">
        <v>0</v>
      </c>
      <c r="X85" s="74">
        <v>0</v>
      </c>
      <c r="Y85" s="74">
        <v>0</v>
      </c>
      <c r="Z85" s="74">
        <v>0</v>
      </c>
      <c r="AA85" s="74">
        <v>0</v>
      </c>
      <c r="AB85" s="74">
        <v>0</v>
      </c>
      <c r="AC85" s="74">
        <v>0</v>
      </c>
      <c r="AD85" s="74">
        <v>0</v>
      </c>
      <c r="AE85" s="74">
        <v>0</v>
      </c>
      <c r="AF85" s="74">
        <v>0</v>
      </c>
      <c r="AG85" s="74">
        <v>0</v>
      </c>
      <c r="AH85" s="74">
        <v>0</v>
      </c>
      <c r="AI85" s="74">
        <v>0</v>
      </c>
      <c r="AJ85" s="74">
        <v>0</v>
      </c>
      <c r="AL85" s="74">
        <v>64632.691687263454</v>
      </c>
      <c r="AM85" s="74">
        <v>57540.663120935904</v>
      </c>
      <c r="AN85" s="74">
        <v>53005.29328174812</v>
      </c>
      <c r="AO85" s="74">
        <v>66123</v>
      </c>
      <c r="AP85" s="74">
        <v>64276.364123849919</v>
      </c>
      <c r="AQ85" s="74">
        <v>64384.347828729129</v>
      </c>
      <c r="AR85" s="74">
        <v>69875.899128159552</v>
      </c>
      <c r="AS85" s="74">
        <v>72513</v>
      </c>
      <c r="AT85" s="74">
        <v>103439.58833404143</v>
      </c>
      <c r="AU85" s="74">
        <v>78348.504345542635</v>
      </c>
      <c r="AV85" s="74">
        <v>126334.48483582222</v>
      </c>
      <c r="AW85" s="74">
        <v>76141</v>
      </c>
      <c r="AX85" s="74">
        <v>83689.169429309957</v>
      </c>
      <c r="AY85" s="74">
        <v>82125</v>
      </c>
      <c r="AZ85" s="74">
        <v>96766.029226883315</v>
      </c>
      <c r="BA85" s="74">
        <v>120143.85095518699</v>
      </c>
      <c r="BB85" s="74">
        <v>0</v>
      </c>
      <c r="BC85" s="74">
        <v>0</v>
      </c>
      <c r="BD85" s="74">
        <v>0</v>
      </c>
      <c r="BE85" s="74">
        <v>0</v>
      </c>
      <c r="BF85" s="74">
        <v>0</v>
      </c>
      <c r="BG85" s="74">
        <v>0</v>
      </c>
      <c r="BH85" s="74">
        <v>0</v>
      </c>
      <c r="BI85" s="74">
        <v>0</v>
      </c>
      <c r="BJ85" s="74">
        <v>0</v>
      </c>
      <c r="BK85" s="74">
        <v>0</v>
      </c>
      <c r="BL85" s="74">
        <v>0</v>
      </c>
      <c r="BM85" s="74">
        <v>0</v>
      </c>
      <c r="BN85" s="74">
        <v>0</v>
      </c>
      <c r="BO85" s="74">
        <v>0</v>
      </c>
      <c r="BP85" s="74">
        <v>0</v>
      </c>
      <c r="BQ85" s="74">
        <v>0</v>
      </c>
      <c r="BR85" s="74">
        <v>0</v>
      </c>
      <c r="BS85" s="74">
        <v>0</v>
      </c>
      <c r="BT85" s="74">
        <v>0</v>
      </c>
      <c r="BU85" s="74">
        <v>0</v>
      </c>
      <c r="BV85" s="74">
        <v>0</v>
      </c>
      <c r="BW85" s="74">
        <v>0</v>
      </c>
      <c r="BX85" s="74">
        <v>0</v>
      </c>
      <c r="BY85" s="74">
        <v>0</v>
      </c>
      <c r="BZ85" s="74">
        <v>0</v>
      </c>
      <c r="CA85" s="74">
        <v>0</v>
      </c>
      <c r="CB85" s="74">
        <v>0</v>
      </c>
      <c r="CC85" s="74">
        <v>0</v>
      </c>
      <c r="CD85" s="74">
        <v>0</v>
      </c>
      <c r="CE85" s="74">
        <v>0</v>
      </c>
      <c r="CF85" s="74">
        <v>0</v>
      </c>
      <c r="CG85" s="74">
        <v>0</v>
      </c>
      <c r="CH85" s="74">
        <v>0</v>
      </c>
      <c r="CI85" s="74">
        <v>0</v>
      </c>
      <c r="CJ85" s="74">
        <v>0</v>
      </c>
      <c r="CK85" s="74">
        <v>0</v>
      </c>
      <c r="CL85" s="74">
        <v>0</v>
      </c>
      <c r="CM85" s="74">
        <v>0</v>
      </c>
      <c r="CN85" s="74">
        <v>0</v>
      </c>
      <c r="CO85" s="74">
        <v>0</v>
      </c>
      <c r="CP85" s="74">
        <v>0</v>
      </c>
      <c r="CQ85" s="74">
        <v>0</v>
      </c>
      <c r="CR85" s="74">
        <v>0</v>
      </c>
      <c r="CS85" s="74">
        <v>0</v>
      </c>
      <c r="CT85" s="74">
        <v>0</v>
      </c>
      <c r="CU85" s="74">
        <v>0</v>
      </c>
      <c r="CV85" s="74">
        <v>0</v>
      </c>
      <c r="CW85" s="74">
        <v>0</v>
      </c>
      <c r="CX85" s="74">
        <v>0</v>
      </c>
      <c r="CY85" s="74">
        <v>0</v>
      </c>
      <c r="CZ85" s="74">
        <v>0</v>
      </c>
      <c r="DA85" s="74">
        <v>0</v>
      </c>
      <c r="DB85" s="74">
        <v>0</v>
      </c>
      <c r="DC85" s="74">
        <v>0</v>
      </c>
      <c r="DD85" s="74">
        <v>0</v>
      </c>
      <c r="DE85" s="74">
        <v>0</v>
      </c>
      <c r="DF85" s="74">
        <v>0</v>
      </c>
      <c r="DG85" s="74">
        <v>0</v>
      </c>
      <c r="DH85" s="74">
        <v>0</v>
      </c>
      <c r="DI85" s="74">
        <v>0</v>
      </c>
      <c r="DJ85" s="74">
        <v>0</v>
      </c>
      <c r="DK85" s="74">
        <v>0</v>
      </c>
      <c r="DL85" s="74">
        <v>0</v>
      </c>
      <c r="DM85" s="74">
        <v>0</v>
      </c>
      <c r="DN85" s="74">
        <v>0</v>
      </c>
      <c r="DO85" s="74">
        <v>0</v>
      </c>
      <c r="DP85" s="74">
        <v>0</v>
      </c>
      <c r="DQ85" s="74">
        <v>0</v>
      </c>
      <c r="DR85" s="74">
        <v>0</v>
      </c>
      <c r="DS85" s="74">
        <v>0</v>
      </c>
      <c r="DT85" s="74">
        <v>0</v>
      </c>
      <c r="DU85" s="74">
        <v>0</v>
      </c>
      <c r="DV85" s="74">
        <v>0</v>
      </c>
      <c r="DW85" s="74">
        <v>0</v>
      </c>
      <c r="DX85" s="74">
        <v>0</v>
      </c>
      <c r="DY85" s="74">
        <v>0</v>
      </c>
      <c r="DZ85" s="74">
        <v>0</v>
      </c>
      <c r="EA85" s="74">
        <v>0</v>
      </c>
      <c r="EB85" s="74">
        <v>0</v>
      </c>
      <c r="EC85" s="74">
        <v>0</v>
      </c>
      <c r="EE85" s="68">
        <v>46063</v>
      </c>
      <c r="EF85" s="81">
        <v>46063.452996759261</v>
      </c>
      <c r="EG85" s="2" t="s">
        <v>70</v>
      </c>
      <c r="EH85" s="76">
        <v>2</v>
      </c>
      <c r="EI85" s="76" t="s">
        <v>32</v>
      </c>
      <c r="EJ85" s="74" t="s">
        <v>244</v>
      </c>
    </row>
    <row r="86" spans="1:167" s="2" customFormat="1" ht="15" x14ac:dyDescent="0.3">
      <c r="A86" s="73" t="s">
        <v>10</v>
      </c>
      <c r="B86" s="73" t="s">
        <v>228</v>
      </c>
      <c r="C86" s="73" t="s">
        <v>34</v>
      </c>
      <c r="D86" s="73" t="s">
        <v>48</v>
      </c>
      <c r="E86" s="73" t="s">
        <v>178</v>
      </c>
      <c r="F86" s="73" t="s">
        <v>210</v>
      </c>
      <c r="G86" s="73" t="s">
        <v>216</v>
      </c>
      <c r="H86" s="73"/>
      <c r="I86" s="74">
        <v>232887</v>
      </c>
      <c r="J86" s="74">
        <v>280522</v>
      </c>
      <c r="K86" s="74">
        <v>386064</v>
      </c>
      <c r="L86" s="74">
        <v>469822</v>
      </c>
      <c r="M86" s="74">
        <v>513983</v>
      </c>
      <c r="N86" s="74">
        <v>574785</v>
      </c>
      <c r="O86" s="74">
        <v>637959</v>
      </c>
      <c r="P86" s="74">
        <v>0</v>
      </c>
      <c r="Q86" s="74">
        <v>0</v>
      </c>
      <c r="R86" s="74">
        <v>0</v>
      </c>
      <c r="S86" s="74">
        <v>0</v>
      </c>
      <c r="T86" s="74">
        <v>0</v>
      </c>
      <c r="U86" s="74">
        <v>0</v>
      </c>
      <c r="V86" s="74">
        <v>0</v>
      </c>
      <c r="W86" s="74">
        <v>0</v>
      </c>
      <c r="X86" s="74">
        <v>0</v>
      </c>
      <c r="Y86" s="74">
        <v>0</v>
      </c>
      <c r="Z86" s="74">
        <v>0</v>
      </c>
      <c r="AA86" s="74">
        <v>0</v>
      </c>
      <c r="AB86" s="74">
        <v>0</v>
      </c>
      <c r="AC86" s="74">
        <v>0</v>
      </c>
      <c r="AD86" s="74">
        <v>0</v>
      </c>
      <c r="AE86" s="74">
        <v>0</v>
      </c>
      <c r="AF86" s="74">
        <v>0</v>
      </c>
      <c r="AG86" s="74">
        <v>0</v>
      </c>
      <c r="AH86" s="74">
        <v>0</v>
      </c>
      <c r="AI86" s="74">
        <v>0</v>
      </c>
      <c r="AJ86" s="74">
        <v>0</v>
      </c>
      <c r="AK86" s="74"/>
      <c r="AL86" s="74">
        <v>116444</v>
      </c>
      <c r="AM86" s="74">
        <v>121234</v>
      </c>
      <c r="AN86" s="74">
        <v>127101</v>
      </c>
      <c r="AO86" s="74">
        <v>149204</v>
      </c>
      <c r="AP86" s="74">
        <v>127358</v>
      </c>
      <c r="AQ86" s="74">
        <v>134383</v>
      </c>
      <c r="AR86" s="74">
        <v>143083</v>
      </c>
      <c r="AS86" s="74">
        <v>169961</v>
      </c>
      <c r="AT86" s="74">
        <v>143313</v>
      </c>
      <c r="AU86" s="74">
        <v>147977</v>
      </c>
      <c r="AV86" s="74">
        <v>158877</v>
      </c>
      <c r="AW86" s="74">
        <v>187792</v>
      </c>
      <c r="AX86" s="74">
        <v>155667</v>
      </c>
      <c r="AY86" s="74">
        <v>167702</v>
      </c>
      <c r="AZ86" s="74">
        <v>180169</v>
      </c>
      <c r="BA86" s="74">
        <v>0</v>
      </c>
      <c r="BB86" s="74">
        <v>0</v>
      </c>
      <c r="BC86" s="74">
        <v>0</v>
      </c>
      <c r="BD86" s="74">
        <v>0</v>
      </c>
      <c r="BE86" s="74">
        <v>0</v>
      </c>
      <c r="BF86" s="74">
        <v>0</v>
      </c>
      <c r="BG86" s="74">
        <v>0</v>
      </c>
      <c r="BH86" s="74">
        <v>0</v>
      </c>
      <c r="BI86" s="74">
        <v>0</v>
      </c>
      <c r="BJ86" s="74">
        <v>0</v>
      </c>
      <c r="BK86" s="74">
        <v>0</v>
      </c>
      <c r="BL86" s="74">
        <v>0</v>
      </c>
      <c r="BM86" s="74">
        <v>0</v>
      </c>
      <c r="BN86" s="74">
        <v>0</v>
      </c>
      <c r="BO86" s="74">
        <v>0</v>
      </c>
      <c r="BP86" s="74">
        <v>0</v>
      </c>
      <c r="BQ86" s="74">
        <v>0</v>
      </c>
      <c r="BR86" s="74">
        <v>0</v>
      </c>
      <c r="BS86" s="74">
        <v>0</v>
      </c>
      <c r="BT86" s="74">
        <v>0</v>
      </c>
      <c r="BU86" s="74">
        <v>0</v>
      </c>
      <c r="BV86" s="74">
        <v>0</v>
      </c>
      <c r="BW86" s="74">
        <v>0</v>
      </c>
      <c r="BX86" s="74">
        <v>0</v>
      </c>
      <c r="BY86" s="74">
        <v>0</v>
      </c>
      <c r="BZ86" s="74">
        <v>0</v>
      </c>
      <c r="CA86" s="74">
        <v>0</v>
      </c>
      <c r="CB86" s="74">
        <v>0</v>
      </c>
      <c r="CC86" s="74">
        <v>0</v>
      </c>
      <c r="CD86" s="74">
        <v>0</v>
      </c>
      <c r="CE86" s="74">
        <v>0</v>
      </c>
      <c r="CF86" s="74">
        <v>0</v>
      </c>
      <c r="CG86" s="74">
        <v>0</v>
      </c>
      <c r="CH86" s="74">
        <v>0</v>
      </c>
      <c r="CI86" s="74">
        <v>0</v>
      </c>
      <c r="CJ86" s="74">
        <v>0</v>
      </c>
      <c r="CK86" s="74">
        <v>0</v>
      </c>
      <c r="CL86" s="74">
        <v>0</v>
      </c>
      <c r="CM86" s="74">
        <v>0</v>
      </c>
      <c r="CN86" s="74">
        <v>0</v>
      </c>
      <c r="CO86" s="74">
        <v>0</v>
      </c>
      <c r="CP86" s="74">
        <v>0</v>
      </c>
      <c r="CQ86" s="74">
        <v>0</v>
      </c>
      <c r="CR86" s="74">
        <v>0</v>
      </c>
      <c r="CS86" s="74">
        <v>0</v>
      </c>
      <c r="CT86" s="74">
        <v>0</v>
      </c>
      <c r="CU86" s="74">
        <v>0</v>
      </c>
      <c r="CV86" s="74">
        <v>0</v>
      </c>
      <c r="CW86" s="74">
        <v>0</v>
      </c>
      <c r="CX86" s="74">
        <v>0</v>
      </c>
      <c r="CY86" s="74">
        <v>0</v>
      </c>
      <c r="CZ86" s="74">
        <v>0</v>
      </c>
      <c r="DA86" s="74">
        <v>0</v>
      </c>
      <c r="DB86" s="74">
        <v>0</v>
      </c>
      <c r="DC86" s="74">
        <v>0</v>
      </c>
      <c r="DD86" s="74">
        <v>0</v>
      </c>
      <c r="DE86" s="74">
        <v>0</v>
      </c>
      <c r="DF86" s="74">
        <v>0</v>
      </c>
      <c r="DG86" s="74">
        <v>0</v>
      </c>
      <c r="DH86" s="74">
        <v>0</v>
      </c>
      <c r="DI86" s="74">
        <v>0</v>
      </c>
      <c r="DJ86" s="74">
        <v>0</v>
      </c>
      <c r="DK86" s="74">
        <v>0</v>
      </c>
      <c r="DL86" s="74">
        <v>0</v>
      </c>
      <c r="DM86" s="74">
        <v>0</v>
      </c>
      <c r="DN86" s="74">
        <v>0</v>
      </c>
      <c r="DO86" s="74">
        <v>0</v>
      </c>
      <c r="DP86" s="74">
        <v>0</v>
      </c>
      <c r="DQ86" s="74">
        <v>0</v>
      </c>
      <c r="DR86" s="74">
        <v>0</v>
      </c>
      <c r="DS86" s="74">
        <v>0</v>
      </c>
      <c r="DT86" s="74">
        <v>0</v>
      </c>
      <c r="DU86" s="74">
        <v>0</v>
      </c>
      <c r="DV86" s="74">
        <v>0</v>
      </c>
      <c r="DW86" s="74">
        <v>0</v>
      </c>
      <c r="DX86" s="74">
        <v>0</v>
      </c>
      <c r="DY86" s="74">
        <v>0</v>
      </c>
      <c r="DZ86" s="74">
        <v>0</v>
      </c>
      <c r="EA86" s="74">
        <v>0</v>
      </c>
      <c r="EB86" s="74">
        <v>0</v>
      </c>
      <c r="EC86" s="74">
        <v>0</v>
      </c>
      <c r="ED86" s="74"/>
      <c r="EE86" s="68">
        <v>46009</v>
      </c>
      <c r="EF86" s="81">
        <v>46009.521181944445</v>
      </c>
      <c r="EG86" s="2" t="s">
        <v>69</v>
      </c>
      <c r="EH86" s="76">
        <v>1</v>
      </c>
      <c r="EI86" s="76" t="s">
        <v>32</v>
      </c>
      <c r="EJ86" s="74" t="s">
        <v>244</v>
      </c>
      <c r="EK86" s="78"/>
      <c r="EL86" s="74"/>
      <c r="EM86" s="74"/>
      <c r="EN86" s="68"/>
      <c r="ER86" s="73"/>
      <c r="ES86" s="74"/>
      <c r="ET86" s="74"/>
      <c r="EU86" s="74"/>
      <c r="EV86" s="74"/>
      <c r="EW86" s="74"/>
      <c r="EX86" s="74"/>
      <c r="EY86" s="74"/>
      <c r="EZ86" s="74"/>
      <c r="FA86" s="74"/>
      <c r="FB86" s="74"/>
      <c r="FC86" s="74"/>
      <c r="FD86" s="74"/>
      <c r="FE86" s="74"/>
      <c r="FF86" s="74"/>
      <c r="FG86" s="74"/>
      <c r="FH86" s="74"/>
      <c r="FI86" s="74"/>
      <c r="FJ86" s="74"/>
      <c r="FK86" s="68"/>
    </row>
    <row r="87" spans="1:167" s="2" customFormat="1" ht="15" x14ac:dyDescent="0.3">
      <c r="A87" s="73" t="s">
        <v>3</v>
      </c>
      <c r="B87" s="73" t="s">
        <v>3</v>
      </c>
      <c r="C87" s="73" t="s">
        <v>39</v>
      </c>
      <c r="D87" s="73" t="s">
        <v>48</v>
      </c>
      <c r="E87" s="73" t="s">
        <v>178</v>
      </c>
      <c r="F87" s="73" t="s">
        <v>210</v>
      </c>
      <c r="G87" s="73" t="s">
        <v>216</v>
      </c>
      <c r="H87" s="73"/>
      <c r="I87" s="74">
        <v>33179</v>
      </c>
      <c r="J87" s="74">
        <v>43193</v>
      </c>
      <c r="K87" s="74">
        <v>57287</v>
      </c>
      <c r="L87" s="74">
        <v>72069</v>
      </c>
      <c r="M87" s="74">
        <v>73790</v>
      </c>
      <c r="N87" s="74">
        <v>109538</v>
      </c>
      <c r="O87" s="74">
        <v>143399</v>
      </c>
      <c r="P87" s="74">
        <v>0</v>
      </c>
      <c r="Q87" s="74">
        <v>0</v>
      </c>
      <c r="R87" s="74">
        <v>0</v>
      </c>
      <c r="S87" s="74">
        <v>0</v>
      </c>
      <c r="T87" s="74">
        <v>0</v>
      </c>
      <c r="U87" s="74">
        <v>0</v>
      </c>
      <c r="V87" s="74">
        <v>0</v>
      </c>
      <c r="W87" s="74">
        <v>0</v>
      </c>
      <c r="X87" s="74">
        <v>0</v>
      </c>
      <c r="Y87" s="74">
        <v>0</v>
      </c>
      <c r="Z87" s="74">
        <v>0</v>
      </c>
      <c r="AA87" s="74">
        <v>0</v>
      </c>
      <c r="AB87" s="74">
        <v>0</v>
      </c>
      <c r="AC87" s="74">
        <v>0</v>
      </c>
      <c r="AD87" s="74">
        <v>0</v>
      </c>
      <c r="AE87" s="74">
        <v>0</v>
      </c>
      <c r="AF87" s="74">
        <v>0</v>
      </c>
      <c r="AG87" s="74">
        <v>0</v>
      </c>
      <c r="AH87" s="74">
        <v>0</v>
      </c>
      <c r="AI87" s="74">
        <v>0</v>
      </c>
      <c r="AJ87" s="74">
        <v>0</v>
      </c>
      <c r="AK87" s="74"/>
      <c r="AL87" s="74">
        <v>15897.000000000002</v>
      </c>
      <c r="AM87" s="74">
        <v>18120</v>
      </c>
      <c r="AN87" s="74">
        <v>18285</v>
      </c>
      <c r="AO87" s="74">
        <v>21028</v>
      </c>
      <c r="AP87" s="74">
        <v>20645</v>
      </c>
      <c r="AQ87" s="74">
        <v>26397</v>
      </c>
      <c r="AR87" s="74">
        <v>29148</v>
      </c>
      <c r="AS87" s="74">
        <v>33348</v>
      </c>
      <c r="AT87" s="74">
        <v>31952.000000000004</v>
      </c>
      <c r="AU87" s="74">
        <v>33432</v>
      </c>
      <c r="AV87" s="74">
        <v>36186</v>
      </c>
      <c r="AW87" s="74">
        <v>41829</v>
      </c>
      <c r="AX87" s="74">
        <v>36356</v>
      </c>
      <c r="AY87" s="74">
        <v>40932</v>
      </c>
      <c r="AZ87" s="74">
        <v>39065</v>
      </c>
      <c r="BA87" s="74">
        <v>0</v>
      </c>
      <c r="BB87" s="74">
        <v>0</v>
      </c>
      <c r="BC87" s="74">
        <v>0</v>
      </c>
      <c r="BD87" s="74">
        <v>0</v>
      </c>
      <c r="BE87" s="74">
        <v>0</v>
      </c>
      <c r="BF87" s="74">
        <v>0</v>
      </c>
      <c r="BG87" s="74">
        <v>0</v>
      </c>
      <c r="BH87" s="74">
        <v>0</v>
      </c>
      <c r="BI87" s="74">
        <v>0</v>
      </c>
      <c r="BJ87" s="74">
        <v>0</v>
      </c>
      <c r="BK87" s="74">
        <v>0</v>
      </c>
      <c r="BL87" s="74">
        <v>0</v>
      </c>
      <c r="BM87" s="74">
        <v>0</v>
      </c>
      <c r="BN87" s="74">
        <v>0</v>
      </c>
      <c r="BO87" s="74">
        <v>0</v>
      </c>
      <c r="BP87" s="74">
        <v>0</v>
      </c>
      <c r="BQ87" s="74">
        <v>0</v>
      </c>
      <c r="BR87" s="74">
        <v>0</v>
      </c>
      <c r="BS87" s="74">
        <v>0</v>
      </c>
      <c r="BT87" s="74">
        <v>0</v>
      </c>
      <c r="BU87" s="74">
        <v>0</v>
      </c>
      <c r="BV87" s="74">
        <v>0</v>
      </c>
      <c r="BW87" s="74">
        <v>0</v>
      </c>
      <c r="BX87" s="74">
        <v>0</v>
      </c>
      <c r="BY87" s="74">
        <v>0</v>
      </c>
      <c r="BZ87" s="74">
        <v>0</v>
      </c>
      <c r="CA87" s="74">
        <v>0</v>
      </c>
      <c r="CB87" s="74">
        <v>0</v>
      </c>
      <c r="CC87" s="74">
        <v>0</v>
      </c>
      <c r="CD87" s="74">
        <v>0</v>
      </c>
      <c r="CE87" s="74">
        <v>0</v>
      </c>
      <c r="CF87" s="74">
        <v>0</v>
      </c>
      <c r="CG87" s="74">
        <v>0</v>
      </c>
      <c r="CH87" s="74">
        <v>0</v>
      </c>
      <c r="CI87" s="74">
        <v>0</v>
      </c>
      <c r="CJ87" s="74">
        <v>0</v>
      </c>
      <c r="CK87" s="74">
        <v>0</v>
      </c>
      <c r="CL87" s="74">
        <v>0</v>
      </c>
      <c r="CM87" s="74">
        <v>0</v>
      </c>
      <c r="CN87" s="74">
        <v>0</v>
      </c>
      <c r="CO87" s="74">
        <v>0</v>
      </c>
      <c r="CP87" s="74">
        <v>0</v>
      </c>
      <c r="CQ87" s="74">
        <v>0</v>
      </c>
      <c r="CR87" s="74">
        <v>0</v>
      </c>
      <c r="CS87" s="74">
        <v>0</v>
      </c>
      <c r="CT87" s="74">
        <v>0</v>
      </c>
      <c r="CU87" s="74">
        <v>0</v>
      </c>
      <c r="CV87" s="74">
        <v>0</v>
      </c>
      <c r="CW87" s="74">
        <v>0</v>
      </c>
      <c r="CX87" s="74">
        <v>0</v>
      </c>
      <c r="CY87" s="74">
        <v>0</v>
      </c>
      <c r="CZ87" s="74">
        <v>0</v>
      </c>
      <c r="DA87" s="74">
        <v>0</v>
      </c>
      <c r="DB87" s="74">
        <v>0</v>
      </c>
      <c r="DC87" s="74">
        <v>0</v>
      </c>
      <c r="DD87" s="74">
        <v>0</v>
      </c>
      <c r="DE87" s="74">
        <v>0</v>
      </c>
      <c r="DF87" s="74">
        <v>0</v>
      </c>
      <c r="DG87" s="74">
        <v>0</v>
      </c>
      <c r="DH87" s="74">
        <v>0</v>
      </c>
      <c r="DI87" s="74">
        <v>0</v>
      </c>
      <c r="DJ87" s="74">
        <v>0</v>
      </c>
      <c r="DK87" s="74">
        <v>0</v>
      </c>
      <c r="DL87" s="74">
        <v>0</v>
      </c>
      <c r="DM87" s="74">
        <v>0</v>
      </c>
      <c r="DN87" s="74">
        <v>0</v>
      </c>
      <c r="DO87" s="74">
        <v>0</v>
      </c>
      <c r="DP87" s="74">
        <v>0</v>
      </c>
      <c r="DQ87" s="74">
        <v>0</v>
      </c>
      <c r="DR87" s="74">
        <v>0</v>
      </c>
      <c r="DS87" s="74">
        <v>0</v>
      </c>
      <c r="DT87" s="74">
        <v>0</v>
      </c>
      <c r="DU87" s="74">
        <v>0</v>
      </c>
      <c r="DV87" s="74">
        <v>0</v>
      </c>
      <c r="DW87" s="74">
        <v>0</v>
      </c>
      <c r="DX87" s="74">
        <v>0</v>
      </c>
      <c r="DY87" s="74">
        <v>0</v>
      </c>
      <c r="DZ87" s="74">
        <v>0</v>
      </c>
      <c r="EA87" s="74">
        <v>0</v>
      </c>
      <c r="EB87" s="74">
        <v>0</v>
      </c>
      <c r="EC87" s="74">
        <v>0</v>
      </c>
      <c r="ED87" s="74"/>
      <c r="EE87" s="68">
        <v>46009</v>
      </c>
      <c r="EF87" s="81">
        <v>46009.521181944445</v>
      </c>
      <c r="EG87" s="2" t="s">
        <v>69</v>
      </c>
      <c r="EH87" s="76">
        <v>1</v>
      </c>
      <c r="EI87" s="76" t="s">
        <v>32</v>
      </c>
      <c r="EJ87" s="74" t="s">
        <v>244</v>
      </c>
      <c r="EK87" s="78"/>
      <c r="EL87" s="74"/>
      <c r="EM87" s="74"/>
      <c r="EN87" s="68"/>
      <c r="ER87" s="73"/>
      <c r="ES87" s="74"/>
      <c r="ET87" s="74"/>
      <c r="EU87" s="74"/>
      <c r="EV87" s="74"/>
      <c r="EW87" s="74"/>
      <c r="EX87" s="74"/>
      <c r="EY87" s="74"/>
      <c r="EZ87" s="74"/>
      <c r="FA87" s="74"/>
      <c r="FB87" s="74"/>
      <c r="FC87" s="74"/>
      <c r="FD87" s="74"/>
      <c r="FE87" s="74"/>
      <c r="FF87" s="74"/>
      <c r="FG87" s="74"/>
      <c r="FH87" s="74"/>
      <c r="FI87" s="74"/>
      <c r="FJ87" s="74"/>
      <c r="FK87" s="68"/>
    </row>
    <row r="88" spans="1:167" s="2" customFormat="1" ht="15" x14ac:dyDescent="0.3">
      <c r="A88" s="73" t="s">
        <v>14</v>
      </c>
      <c r="B88" s="73" t="s">
        <v>229</v>
      </c>
      <c r="C88" s="73" t="s">
        <v>35</v>
      </c>
      <c r="D88" s="73" t="s">
        <v>48</v>
      </c>
      <c r="E88" s="73" t="s">
        <v>178</v>
      </c>
      <c r="F88" s="73" t="s">
        <v>210</v>
      </c>
      <c r="G88" s="73" t="s">
        <v>216</v>
      </c>
      <c r="H88" s="73"/>
      <c r="I88" s="74">
        <v>12420</v>
      </c>
      <c r="J88" s="74">
        <v>14540</v>
      </c>
      <c r="K88" s="74">
        <v>22899</v>
      </c>
      <c r="L88" s="74">
        <v>24879</v>
      </c>
      <c r="M88" s="74">
        <v>12248</v>
      </c>
      <c r="N88" s="74">
        <v>36852</v>
      </c>
      <c r="O88" s="74">
        <v>68593</v>
      </c>
      <c r="P88" s="74">
        <v>0</v>
      </c>
      <c r="Q88" s="74">
        <v>0</v>
      </c>
      <c r="R88" s="74">
        <v>0</v>
      </c>
      <c r="S88" s="74">
        <v>0</v>
      </c>
      <c r="T88" s="74">
        <v>0</v>
      </c>
      <c r="U88" s="74">
        <v>0</v>
      </c>
      <c r="V88" s="74">
        <v>0</v>
      </c>
      <c r="W88" s="74">
        <v>0</v>
      </c>
      <c r="X88" s="74">
        <v>0</v>
      </c>
      <c r="Y88" s="74">
        <v>0</v>
      </c>
      <c r="Z88" s="74">
        <v>0</v>
      </c>
      <c r="AA88" s="74">
        <v>0</v>
      </c>
      <c r="AB88" s="74">
        <v>0</v>
      </c>
      <c r="AC88" s="74">
        <v>0</v>
      </c>
      <c r="AD88" s="74">
        <v>0</v>
      </c>
      <c r="AE88" s="74">
        <v>0</v>
      </c>
      <c r="AF88" s="74">
        <v>0</v>
      </c>
      <c r="AG88" s="74">
        <v>0</v>
      </c>
      <c r="AH88" s="74">
        <v>0</v>
      </c>
      <c r="AI88" s="74">
        <v>0</v>
      </c>
      <c r="AJ88" s="74">
        <v>0</v>
      </c>
      <c r="AK88" s="74"/>
      <c r="AL88" s="74">
        <v>3669</v>
      </c>
      <c r="AM88" s="74">
        <v>3317</v>
      </c>
      <c r="AN88" s="74">
        <v>2525</v>
      </c>
      <c r="AO88" s="74">
        <v>2737</v>
      </c>
      <c r="AP88" s="74">
        <v>4774</v>
      </c>
      <c r="AQ88" s="74">
        <v>7681</v>
      </c>
      <c r="AR88" s="74">
        <v>11188</v>
      </c>
      <c r="AS88" s="74">
        <v>13209</v>
      </c>
      <c r="AT88" s="74">
        <v>15307</v>
      </c>
      <c r="AU88" s="74">
        <v>14672</v>
      </c>
      <c r="AV88" s="74">
        <v>17411</v>
      </c>
      <c r="AW88" s="74">
        <v>21203</v>
      </c>
      <c r="AX88" s="74">
        <v>18405</v>
      </c>
      <c r="AY88" s="74">
        <v>19171</v>
      </c>
      <c r="AZ88" s="74">
        <v>17422</v>
      </c>
      <c r="BA88" s="74">
        <v>0</v>
      </c>
      <c r="BB88" s="74">
        <v>0</v>
      </c>
      <c r="BC88" s="74">
        <v>0</v>
      </c>
      <c r="BD88" s="74">
        <v>0</v>
      </c>
      <c r="BE88" s="74">
        <v>0</v>
      </c>
      <c r="BF88" s="74">
        <v>0</v>
      </c>
      <c r="BG88" s="74">
        <v>0</v>
      </c>
      <c r="BH88" s="74">
        <v>0</v>
      </c>
      <c r="BI88" s="74">
        <v>0</v>
      </c>
      <c r="BJ88" s="74">
        <v>0</v>
      </c>
      <c r="BK88" s="74">
        <v>0</v>
      </c>
      <c r="BL88" s="74">
        <v>0</v>
      </c>
      <c r="BM88" s="74">
        <v>0</v>
      </c>
      <c r="BN88" s="74">
        <v>0</v>
      </c>
      <c r="BO88" s="74">
        <v>0</v>
      </c>
      <c r="BP88" s="74">
        <v>0</v>
      </c>
      <c r="BQ88" s="74">
        <v>0</v>
      </c>
      <c r="BR88" s="74">
        <v>0</v>
      </c>
      <c r="BS88" s="74">
        <v>0</v>
      </c>
      <c r="BT88" s="74">
        <v>0</v>
      </c>
      <c r="BU88" s="74">
        <v>0</v>
      </c>
      <c r="BV88" s="74">
        <v>0</v>
      </c>
      <c r="BW88" s="74">
        <v>0</v>
      </c>
      <c r="BX88" s="74">
        <v>0</v>
      </c>
      <c r="BY88" s="74">
        <v>0</v>
      </c>
      <c r="BZ88" s="74">
        <v>0</v>
      </c>
      <c r="CA88" s="74">
        <v>0</v>
      </c>
      <c r="CB88" s="74">
        <v>0</v>
      </c>
      <c r="CC88" s="74">
        <v>0</v>
      </c>
      <c r="CD88" s="74">
        <v>0</v>
      </c>
      <c r="CE88" s="74">
        <v>0</v>
      </c>
      <c r="CF88" s="74">
        <v>0</v>
      </c>
      <c r="CG88" s="74">
        <v>0</v>
      </c>
      <c r="CH88" s="74">
        <v>0</v>
      </c>
      <c r="CI88" s="74">
        <v>0</v>
      </c>
      <c r="CJ88" s="74">
        <v>0</v>
      </c>
      <c r="CK88" s="74">
        <v>0</v>
      </c>
      <c r="CL88" s="74">
        <v>0</v>
      </c>
      <c r="CM88" s="74">
        <v>0</v>
      </c>
      <c r="CN88" s="74">
        <v>0</v>
      </c>
      <c r="CO88" s="74">
        <v>0</v>
      </c>
      <c r="CP88" s="74">
        <v>0</v>
      </c>
      <c r="CQ88" s="74">
        <v>0</v>
      </c>
      <c r="CR88" s="74">
        <v>0</v>
      </c>
      <c r="CS88" s="74">
        <v>0</v>
      </c>
      <c r="CT88" s="74">
        <v>0</v>
      </c>
      <c r="CU88" s="74">
        <v>0</v>
      </c>
      <c r="CV88" s="74">
        <v>0</v>
      </c>
      <c r="CW88" s="74">
        <v>0</v>
      </c>
      <c r="CX88" s="74">
        <v>0</v>
      </c>
      <c r="CY88" s="74">
        <v>0</v>
      </c>
      <c r="CZ88" s="74">
        <v>0</v>
      </c>
      <c r="DA88" s="74">
        <v>0</v>
      </c>
      <c r="DB88" s="74">
        <v>0</v>
      </c>
      <c r="DC88" s="74">
        <v>0</v>
      </c>
      <c r="DD88" s="74">
        <v>0</v>
      </c>
      <c r="DE88" s="74">
        <v>0</v>
      </c>
      <c r="DF88" s="74">
        <v>0</v>
      </c>
      <c r="DG88" s="74">
        <v>0</v>
      </c>
      <c r="DH88" s="74">
        <v>0</v>
      </c>
      <c r="DI88" s="74">
        <v>0</v>
      </c>
      <c r="DJ88" s="74">
        <v>0</v>
      </c>
      <c r="DK88" s="74">
        <v>0</v>
      </c>
      <c r="DL88" s="74">
        <v>0</v>
      </c>
      <c r="DM88" s="74">
        <v>0</v>
      </c>
      <c r="DN88" s="74">
        <v>0</v>
      </c>
      <c r="DO88" s="74">
        <v>0</v>
      </c>
      <c r="DP88" s="74">
        <v>0</v>
      </c>
      <c r="DQ88" s="74">
        <v>0</v>
      </c>
      <c r="DR88" s="74">
        <v>0</v>
      </c>
      <c r="DS88" s="74">
        <v>0</v>
      </c>
      <c r="DT88" s="74">
        <v>0</v>
      </c>
      <c r="DU88" s="74">
        <v>0</v>
      </c>
      <c r="DV88" s="74">
        <v>0</v>
      </c>
      <c r="DW88" s="74">
        <v>0</v>
      </c>
      <c r="DX88" s="74">
        <v>0</v>
      </c>
      <c r="DY88" s="74">
        <v>0</v>
      </c>
      <c r="DZ88" s="74">
        <v>0</v>
      </c>
      <c r="EA88" s="74">
        <v>0</v>
      </c>
      <c r="EB88" s="74">
        <v>0</v>
      </c>
      <c r="EC88" s="74">
        <v>0</v>
      </c>
      <c r="ED88" s="74"/>
      <c r="EE88" s="68">
        <v>46009</v>
      </c>
      <c r="EF88" s="81">
        <v>46009.521181944445</v>
      </c>
      <c r="EG88" s="2" t="s">
        <v>69</v>
      </c>
      <c r="EH88" s="76">
        <v>1</v>
      </c>
      <c r="EI88" s="76" t="s">
        <v>32</v>
      </c>
      <c r="EJ88" s="74" t="s">
        <v>244</v>
      </c>
      <c r="EK88" s="78"/>
      <c r="EL88" s="74"/>
      <c r="EM88" s="74"/>
      <c r="EN88" s="68"/>
      <c r="ER88" s="73"/>
      <c r="ES88" s="74"/>
      <c r="ET88" s="74"/>
      <c r="EU88" s="74"/>
      <c r="EV88" s="74"/>
      <c r="EW88" s="74"/>
      <c r="EX88" s="74"/>
      <c r="EY88" s="74"/>
      <c r="EZ88" s="74"/>
      <c r="FA88" s="74"/>
      <c r="FB88" s="74"/>
      <c r="FC88" s="74"/>
      <c r="FD88" s="74"/>
      <c r="FE88" s="74"/>
      <c r="FF88" s="74"/>
      <c r="FG88" s="74"/>
      <c r="FH88" s="74"/>
      <c r="FI88" s="74"/>
      <c r="FJ88" s="74"/>
      <c r="FK88" s="68"/>
    </row>
    <row r="89" spans="1:167" s="2" customFormat="1" ht="15" x14ac:dyDescent="0.3">
      <c r="A89" s="73" t="s">
        <v>11</v>
      </c>
      <c r="B89" s="73" t="s">
        <v>230</v>
      </c>
      <c r="C89" s="73" t="s">
        <v>40</v>
      </c>
      <c r="D89" s="73" t="s">
        <v>48</v>
      </c>
      <c r="E89" s="73" t="s">
        <v>178</v>
      </c>
      <c r="F89" s="73" t="s">
        <v>210</v>
      </c>
      <c r="G89" s="73" t="s">
        <v>216</v>
      </c>
      <c r="H89" s="73"/>
      <c r="I89" s="74">
        <v>10073</v>
      </c>
      <c r="J89" s="74">
        <v>11588</v>
      </c>
      <c r="K89" s="74">
        <v>21315</v>
      </c>
      <c r="L89" s="74">
        <v>33360</v>
      </c>
      <c r="M89" s="74">
        <v>-2719</v>
      </c>
      <c r="N89" s="74">
        <v>30437</v>
      </c>
      <c r="O89" s="74">
        <v>59349</v>
      </c>
      <c r="P89" s="74">
        <v>0</v>
      </c>
      <c r="Q89" s="74">
        <v>0</v>
      </c>
      <c r="R89" s="74">
        <v>0</v>
      </c>
      <c r="S89" s="74">
        <v>0</v>
      </c>
      <c r="T89" s="74">
        <v>0</v>
      </c>
      <c r="U89" s="74">
        <v>0</v>
      </c>
      <c r="V89" s="74">
        <v>0</v>
      </c>
      <c r="W89" s="74">
        <v>0</v>
      </c>
      <c r="X89" s="74">
        <v>0</v>
      </c>
      <c r="Y89" s="74">
        <v>0</v>
      </c>
      <c r="Z89" s="74">
        <v>0</v>
      </c>
      <c r="AA89" s="74">
        <v>0</v>
      </c>
      <c r="AB89" s="74">
        <v>0</v>
      </c>
      <c r="AC89" s="74">
        <v>0</v>
      </c>
      <c r="AD89" s="74">
        <v>0</v>
      </c>
      <c r="AE89" s="74">
        <v>0</v>
      </c>
      <c r="AF89" s="74">
        <v>0</v>
      </c>
      <c r="AG89" s="74">
        <v>0</v>
      </c>
      <c r="AH89" s="74">
        <v>0</v>
      </c>
      <c r="AI89" s="74">
        <v>0</v>
      </c>
      <c r="AJ89" s="74">
        <v>0</v>
      </c>
      <c r="AK89" s="74"/>
      <c r="AL89" s="74">
        <v>0</v>
      </c>
      <c r="AM89" s="74">
        <v>0</v>
      </c>
      <c r="AN89" s="74">
        <v>0</v>
      </c>
      <c r="AO89" s="74">
        <v>0</v>
      </c>
      <c r="AP89" s="74">
        <v>0</v>
      </c>
      <c r="AQ89" s="74">
        <v>0</v>
      </c>
      <c r="AR89" s="74">
        <v>0</v>
      </c>
      <c r="AS89" s="74">
        <v>0</v>
      </c>
      <c r="AT89" s="74">
        <v>0</v>
      </c>
      <c r="AU89" s="74">
        <v>0</v>
      </c>
      <c r="AV89" s="74">
        <v>0</v>
      </c>
      <c r="AW89" s="74">
        <v>0</v>
      </c>
      <c r="AX89" s="74">
        <v>0</v>
      </c>
      <c r="AY89" s="74">
        <v>0</v>
      </c>
      <c r="AZ89" s="74">
        <v>0</v>
      </c>
      <c r="BA89" s="74">
        <v>0</v>
      </c>
      <c r="BB89" s="74">
        <v>0</v>
      </c>
      <c r="BC89" s="74">
        <v>0</v>
      </c>
      <c r="BD89" s="74">
        <v>0</v>
      </c>
      <c r="BE89" s="74">
        <v>0</v>
      </c>
      <c r="BF89" s="74">
        <v>0</v>
      </c>
      <c r="BG89" s="74">
        <v>0</v>
      </c>
      <c r="BH89" s="74">
        <v>0</v>
      </c>
      <c r="BI89" s="74">
        <v>0</v>
      </c>
      <c r="BJ89" s="74">
        <v>0</v>
      </c>
      <c r="BK89" s="74">
        <v>0</v>
      </c>
      <c r="BL89" s="74">
        <v>0</v>
      </c>
      <c r="BM89" s="74">
        <v>0</v>
      </c>
      <c r="BN89" s="74">
        <v>0</v>
      </c>
      <c r="BO89" s="74">
        <v>0</v>
      </c>
      <c r="BP89" s="74">
        <v>0</v>
      </c>
      <c r="BQ89" s="74">
        <v>0</v>
      </c>
      <c r="BR89" s="74">
        <v>0</v>
      </c>
      <c r="BS89" s="74">
        <v>0</v>
      </c>
      <c r="BT89" s="74">
        <v>0</v>
      </c>
      <c r="BU89" s="74">
        <v>0</v>
      </c>
      <c r="BV89" s="74">
        <v>0</v>
      </c>
      <c r="BW89" s="74">
        <v>0</v>
      </c>
      <c r="BX89" s="74">
        <v>0</v>
      </c>
      <c r="BY89" s="74">
        <v>0</v>
      </c>
      <c r="BZ89" s="74">
        <v>0</v>
      </c>
      <c r="CA89" s="74">
        <v>0</v>
      </c>
      <c r="CB89" s="74">
        <v>0</v>
      </c>
      <c r="CC89" s="74">
        <v>0</v>
      </c>
      <c r="CD89" s="74">
        <v>0</v>
      </c>
      <c r="CE89" s="74">
        <v>0</v>
      </c>
      <c r="CF89" s="74">
        <v>0</v>
      </c>
      <c r="CG89" s="74">
        <v>0</v>
      </c>
      <c r="CH89" s="74">
        <v>0</v>
      </c>
      <c r="CI89" s="74">
        <v>0</v>
      </c>
      <c r="CJ89" s="74">
        <v>0</v>
      </c>
      <c r="CK89" s="74">
        <v>0</v>
      </c>
      <c r="CL89" s="74">
        <v>0</v>
      </c>
      <c r="CM89" s="74">
        <v>0</v>
      </c>
      <c r="CN89" s="74">
        <v>0</v>
      </c>
      <c r="CO89" s="74">
        <v>0</v>
      </c>
      <c r="CP89" s="74">
        <v>0</v>
      </c>
      <c r="CQ89" s="74">
        <v>0</v>
      </c>
      <c r="CR89" s="74">
        <v>0</v>
      </c>
      <c r="CS89" s="74">
        <v>0</v>
      </c>
      <c r="CT89" s="74">
        <v>0</v>
      </c>
      <c r="CU89" s="74">
        <v>0</v>
      </c>
      <c r="CV89" s="74">
        <v>0</v>
      </c>
      <c r="CW89" s="74">
        <v>0</v>
      </c>
      <c r="CX89" s="74">
        <v>0</v>
      </c>
      <c r="CY89" s="74">
        <v>0</v>
      </c>
      <c r="CZ89" s="74">
        <v>0</v>
      </c>
      <c r="DA89" s="74">
        <v>0</v>
      </c>
      <c r="DB89" s="74">
        <v>0</v>
      </c>
      <c r="DC89" s="74">
        <v>0</v>
      </c>
      <c r="DD89" s="74">
        <v>0</v>
      </c>
      <c r="DE89" s="74">
        <v>0</v>
      </c>
      <c r="DF89" s="74">
        <v>0</v>
      </c>
      <c r="DG89" s="74">
        <v>0</v>
      </c>
      <c r="DH89" s="74">
        <v>0</v>
      </c>
      <c r="DI89" s="74">
        <v>0</v>
      </c>
      <c r="DJ89" s="74">
        <v>0</v>
      </c>
      <c r="DK89" s="74">
        <v>0</v>
      </c>
      <c r="DL89" s="74">
        <v>0</v>
      </c>
      <c r="DM89" s="74">
        <v>0</v>
      </c>
      <c r="DN89" s="74">
        <v>0</v>
      </c>
      <c r="DO89" s="74">
        <v>0</v>
      </c>
      <c r="DP89" s="74">
        <v>0</v>
      </c>
      <c r="DQ89" s="74">
        <v>0</v>
      </c>
      <c r="DR89" s="74">
        <v>0</v>
      </c>
      <c r="DS89" s="74">
        <v>0</v>
      </c>
      <c r="DT89" s="74">
        <v>0</v>
      </c>
      <c r="DU89" s="74">
        <v>0</v>
      </c>
      <c r="DV89" s="74">
        <v>0</v>
      </c>
      <c r="DW89" s="74">
        <v>0</v>
      </c>
      <c r="DX89" s="74">
        <v>0</v>
      </c>
      <c r="DY89" s="74">
        <v>0</v>
      </c>
      <c r="DZ89" s="74">
        <v>0</v>
      </c>
      <c r="EA89" s="74">
        <v>0</v>
      </c>
      <c r="EB89" s="74">
        <v>0</v>
      </c>
      <c r="EC89" s="74">
        <v>0</v>
      </c>
      <c r="ED89" s="74"/>
      <c r="EE89" s="68">
        <v>46009</v>
      </c>
      <c r="EF89" s="81">
        <v>46009.521181944445</v>
      </c>
      <c r="EG89" s="2" t="s">
        <v>69</v>
      </c>
      <c r="EH89" s="76">
        <v>1</v>
      </c>
      <c r="EI89" s="76" t="s">
        <v>32</v>
      </c>
      <c r="EJ89" s="74" t="s">
        <v>244</v>
      </c>
      <c r="EK89" s="78"/>
      <c r="EL89" s="74"/>
      <c r="EM89" s="74"/>
      <c r="EN89" s="68"/>
      <c r="ER89" s="73"/>
      <c r="ES89" s="74"/>
      <c r="ET89" s="74"/>
      <c r="EU89" s="74"/>
      <c r="EV89" s="74"/>
      <c r="EW89" s="74"/>
      <c r="EX89" s="74"/>
      <c r="EY89" s="74"/>
      <c r="EZ89" s="74"/>
      <c r="FA89" s="74"/>
      <c r="FB89" s="74"/>
      <c r="FC89" s="74"/>
      <c r="FD89" s="74"/>
      <c r="FE89" s="74"/>
      <c r="FF89" s="74"/>
      <c r="FG89" s="74"/>
      <c r="FH89" s="74"/>
      <c r="FI89" s="74"/>
      <c r="FJ89" s="74"/>
      <c r="FK89" s="68"/>
    </row>
    <row r="90" spans="1:167" s="2" customFormat="1" ht="15" x14ac:dyDescent="0.3">
      <c r="A90" s="73" t="s">
        <v>156</v>
      </c>
      <c r="B90" s="73" t="s">
        <v>231</v>
      </c>
      <c r="C90" s="73" t="s">
        <v>41</v>
      </c>
      <c r="D90" s="73" t="s">
        <v>48</v>
      </c>
      <c r="E90" s="73" t="s">
        <v>217</v>
      </c>
      <c r="F90" s="73" t="s">
        <v>218</v>
      </c>
      <c r="G90" s="73" t="s">
        <v>216</v>
      </c>
      <c r="H90" s="73"/>
      <c r="I90" s="74">
        <v>10000</v>
      </c>
      <c r="J90" s="74">
        <v>10080</v>
      </c>
      <c r="K90" s="74">
        <v>10200</v>
      </c>
      <c r="L90" s="74">
        <v>10300</v>
      </c>
      <c r="M90" s="74">
        <v>10189</v>
      </c>
      <c r="N90" s="74">
        <v>10492</v>
      </c>
      <c r="O90" s="74">
        <v>10721</v>
      </c>
      <c r="P90" s="74">
        <v>0</v>
      </c>
      <c r="Q90" s="74">
        <v>0</v>
      </c>
      <c r="R90" s="74">
        <v>0</v>
      </c>
      <c r="S90" s="74">
        <v>0</v>
      </c>
      <c r="T90" s="74">
        <v>0</v>
      </c>
      <c r="U90" s="74">
        <v>0</v>
      </c>
      <c r="V90" s="74">
        <v>0</v>
      </c>
      <c r="W90" s="74">
        <v>0</v>
      </c>
      <c r="X90" s="74">
        <v>0</v>
      </c>
      <c r="Y90" s="74">
        <v>0</v>
      </c>
      <c r="Z90" s="74">
        <v>0</v>
      </c>
      <c r="AA90" s="74">
        <v>0</v>
      </c>
      <c r="AB90" s="74">
        <v>0</v>
      </c>
      <c r="AC90" s="74">
        <v>0</v>
      </c>
      <c r="AD90" s="74">
        <v>0</v>
      </c>
      <c r="AE90" s="74">
        <v>0</v>
      </c>
      <c r="AF90" s="74">
        <v>0</v>
      </c>
      <c r="AG90" s="74">
        <v>0</v>
      </c>
      <c r="AH90" s="74">
        <v>0</v>
      </c>
      <c r="AI90" s="74">
        <v>0</v>
      </c>
      <c r="AJ90" s="74">
        <v>0</v>
      </c>
      <c r="AK90" s="74"/>
      <c r="AL90" s="74">
        <v>0</v>
      </c>
      <c r="AM90" s="74">
        <v>0</v>
      </c>
      <c r="AN90" s="74">
        <v>0</v>
      </c>
      <c r="AO90" s="74">
        <v>0</v>
      </c>
      <c r="AP90" s="74">
        <v>0</v>
      </c>
      <c r="AQ90" s="74">
        <v>0</v>
      </c>
      <c r="AR90" s="74">
        <v>0</v>
      </c>
      <c r="AS90" s="74">
        <v>0</v>
      </c>
      <c r="AT90" s="74">
        <v>0</v>
      </c>
      <c r="AU90" s="74">
        <v>0</v>
      </c>
      <c r="AV90" s="74">
        <v>0</v>
      </c>
      <c r="AW90" s="74">
        <v>0</v>
      </c>
      <c r="AX90" s="74">
        <v>0</v>
      </c>
      <c r="AY90" s="74">
        <v>0</v>
      </c>
      <c r="AZ90" s="74">
        <v>0</v>
      </c>
      <c r="BA90" s="74">
        <v>0</v>
      </c>
      <c r="BB90" s="74">
        <v>0</v>
      </c>
      <c r="BC90" s="74">
        <v>0</v>
      </c>
      <c r="BD90" s="74">
        <v>0</v>
      </c>
      <c r="BE90" s="74">
        <v>0</v>
      </c>
      <c r="BF90" s="74">
        <v>0</v>
      </c>
      <c r="BG90" s="74">
        <v>0</v>
      </c>
      <c r="BH90" s="74">
        <v>0</v>
      </c>
      <c r="BI90" s="74">
        <v>0</v>
      </c>
      <c r="BJ90" s="74">
        <v>0</v>
      </c>
      <c r="BK90" s="74">
        <v>0</v>
      </c>
      <c r="BL90" s="74">
        <v>0</v>
      </c>
      <c r="BM90" s="74">
        <v>0</v>
      </c>
      <c r="BN90" s="74">
        <v>0</v>
      </c>
      <c r="BO90" s="74">
        <v>0</v>
      </c>
      <c r="BP90" s="74">
        <v>0</v>
      </c>
      <c r="BQ90" s="74">
        <v>0</v>
      </c>
      <c r="BR90" s="74">
        <v>0</v>
      </c>
      <c r="BS90" s="74">
        <v>0</v>
      </c>
      <c r="BT90" s="74">
        <v>0</v>
      </c>
      <c r="BU90" s="74">
        <v>0</v>
      </c>
      <c r="BV90" s="74">
        <v>0</v>
      </c>
      <c r="BW90" s="74">
        <v>0</v>
      </c>
      <c r="BX90" s="74">
        <v>0</v>
      </c>
      <c r="BY90" s="74">
        <v>0</v>
      </c>
      <c r="BZ90" s="74">
        <v>0</v>
      </c>
      <c r="CA90" s="74">
        <v>0</v>
      </c>
      <c r="CB90" s="74">
        <v>0</v>
      </c>
      <c r="CC90" s="74">
        <v>0</v>
      </c>
      <c r="CD90" s="74">
        <v>0</v>
      </c>
      <c r="CE90" s="74">
        <v>0</v>
      </c>
      <c r="CF90" s="74">
        <v>0</v>
      </c>
      <c r="CG90" s="74">
        <v>0</v>
      </c>
      <c r="CH90" s="74">
        <v>0</v>
      </c>
      <c r="CI90" s="74">
        <v>0</v>
      </c>
      <c r="CJ90" s="74">
        <v>0</v>
      </c>
      <c r="CK90" s="74">
        <v>0</v>
      </c>
      <c r="CL90" s="74">
        <v>0</v>
      </c>
      <c r="CM90" s="74">
        <v>0</v>
      </c>
      <c r="CN90" s="74">
        <v>0</v>
      </c>
      <c r="CO90" s="74">
        <v>0</v>
      </c>
      <c r="CP90" s="74">
        <v>0</v>
      </c>
      <c r="CQ90" s="74">
        <v>0</v>
      </c>
      <c r="CR90" s="74">
        <v>0</v>
      </c>
      <c r="CS90" s="74">
        <v>0</v>
      </c>
      <c r="CT90" s="74">
        <v>0</v>
      </c>
      <c r="CU90" s="74">
        <v>0</v>
      </c>
      <c r="CV90" s="74">
        <v>0</v>
      </c>
      <c r="CW90" s="74">
        <v>0</v>
      </c>
      <c r="CX90" s="74">
        <v>0</v>
      </c>
      <c r="CY90" s="74">
        <v>0</v>
      </c>
      <c r="CZ90" s="74">
        <v>0</v>
      </c>
      <c r="DA90" s="74">
        <v>0</v>
      </c>
      <c r="DB90" s="74">
        <v>0</v>
      </c>
      <c r="DC90" s="74">
        <v>0</v>
      </c>
      <c r="DD90" s="74">
        <v>0</v>
      </c>
      <c r="DE90" s="74">
        <v>0</v>
      </c>
      <c r="DF90" s="74">
        <v>0</v>
      </c>
      <c r="DG90" s="74">
        <v>0</v>
      </c>
      <c r="DH90" s="74">
        <v>0</v>
      </c>
      <c r="DI90" s="74">
        <v>0</v>
      </c>
      <c r="DJ90" s="74">
        <v>0</v>
      </c>
      <c r="DK90" s="74">
        <v>0</v>
      </c>
      <c r="DL90" s="74">
        <v>0</v>
      </c>
      <c r="DM90" s="74">
        <v>0</v>
      </c>
      <c r="DN90" s="74">
        <v>0</v>
      </c>
      <c r="DO90" s="74">
        <v>0</v>
      </c>
      <c r="DP90" s="74">
        <v>0</v>
      </c>
      <c r="DQ90" s="74">
        <v>0</v>
      </c>
      <c r="DR90" s="74">
        <v>0</v>
      </c>
      <c r="DS90" s="74">
        <v>0</v>
      </c>
      <c r="DT90" s="74">
        <v>0</v>
      </c>
      <c r="DU90" s="74">
        <v>0</v>
      </c>
      <c r="DV90" s="74">
        <v>0</v>
      </c>
      <c r="DW90" s="74">
        <v>0</v>
      </c>
      <c r="DX90" s="74">
        <v>0</v>
      </c>
      <c r="DY90" s="74">
        <v>0</v>
      </c>
      <c r="DZ90" s="74">
        <v>0</v>
      </c>
      <c r="EA90" s="74">
        <v>0</v>
      </c>
      <c r="EB90" s="74">
        <v>0</v>
      </c>
      <c r="EC90" s="74">
        <v>0</v>
      </c>
      <c r="ED90" s="74"/>
      <c r="EE90" s="68">
        <v>46009</v>
      </c>
      <c r="EF90" s="81">
        <v>46009.521181944445</v>
      </c>
      <c r="EG90" s="2" t="s">
        <v>69</v>
      </c>
      <c r="EH90" s="76">
        <v>1</v>
      </c>
      <c r="EI90" s="76" t="s">
        <v>32</v>
      </c>
      <c r="EJ90" s="74" t="s">
        <v>244</v>
      </c>
      <c r="EK90" s="78"/>
      <c r="EL90" s="74"/>
      <c r="EM90" s="74"/>
      <c r="EN90" s="68"/>
      <c r="ER90" s="73"/>
      <c r="ES90" s="74"/>
      <c r="ET90" s="74"/>
      <c r="EU90" s="74"/>
      <c r="EV90" s="74"/>
      <c r="EW90" s="74"/>
      <c r="EX90" s="74"/>
      <c r="EY90" s="74"/>
      <c r="EZ90" s="74"/>
      <c r="FA90" s="74"/>
      <c r="FB90" s="74"/>
      <c r="FC90" s="74"/>
      <c r="FD90" s="74"/>
      <c r="FE90" s="74"/>
      <c r="FF90" s="74"/>
      <c r="FG90" s="74"/>
      <c r="FH90" s="74"/>
      <c r="FI90" s="74"/>
      <c r="FJ90" s="74"/>
      <c r="FK90" s="68"/>
    </row>
    <row r="91" spans="1:167" s="2" customFormat="1" ht="15" x14ac:dyDescent="0.3">
      <c r="A91" s="73" t="s">
        <v>4</v>
      </c>
      <c r="B91" s="73" t="s">
        <v>232</v>
      </c>
      <c r="C91" s="73" t="s">
        <v>38</v>
      </c>
      <c r="D91" s="73" t="s">
        <v>48</v>
      </c>
      <c r="E91" s="73" t="s">
        <v>178</v>
      </c>
      <c r="F91" s="73" t="s">
        <v>210</v>
      </c>
      <c r="G91" s="73" t="s">
        <v>216</v>
      </c>
      <c r="H91" s="73"/>
      <c r="I91" s="74">
        <v>15341</v>
      </c>
      <c r="J91" s="74">
        <v>21789</v>
      </c>
      <c r="K91" s="74">
        <v>25180</v>
      </c>
      <c r="L91" s="74">
        <v>34433</v>
      </c>
      <c r="M91" s="74">
        <v>41921</v>
      </c>
      <c r="N91" s="74">
        <v>48663</v>
      </c>
      <c r="O91" s="74">
        <v>52795</v>
      </c>
      <c r="P91" s="74">
        <v>0</v>
      </c>
      <c r="Q91" s="74">
        <v>0</v>
      </c>
      <c r="R91" s="74">
        <v>0</v>
      </c>
      <c r="S91" s="74">
        <v>0</v>
      </c>
      <c r="T91" s="74">
        <v>0</v>
      </c>
      <c r="U91" s="74">
        <v>0</v>
      </c>
      <c r="V91" s="74">
        <v>0</v>
      </c>
      <c r="W91" s="74">
        <v>0</v>
      </c>
      <c r="X91" s="74">
        <v>0</v>
      </c>
      <c r="Y91" s="74">
        <v>0</v>
      </c>
      <c r="Z91" s="74">
        <v>0</v>
      </c>
      <c r="AA91" s="74">
        <v>0</v>
      </c>
      <c r="AB91" s="74">
        <v>0</v>
      </c>
      <c r="AC91" s="74">
        <v>0</v>
      </c>
      <c r="AD91" s="74">
        <v>0</v>
      </c>
      <c r="AE91" s="74">
        <v>0</v>
      </c>
      <c r="AF91" s="74">
        <v>0</v>
      </c>
      <c r="AG91" s="74">
        <v>0</v>
      </c>
      <c r="AH91" s="74">
        <v>0</v>
      </c>
      <c r="AI91" s="74">
        <v>0</v>
      </c>
      <c r="AJ91" s="74">
        <v>0</v>
      </c>
      <c r="AK91" s="74"/>
      <c r="AL91" s="74">
        <v>8978</v>
      </c>
      <c r="AM91" s="74">
        <v>9594</v>
      </c>
      <c r="AN91" s="74">
        <v>10204</v>
      </c>
      <c r="AO91" s="74">
        <v>12685</v>
      </c>
      <c r="AP91" s="74">
        <v>11123</v>
      </c>
      <c r="AQ91" s="74">
        <v>11589</v>
      </c>
      <c r="AR91" s="74">
        <v>12131</v>
      </c>
      <c r="AS91" s="74">
        <v>13820</v>
      </c>
      <c r="AT91" s="74">
        <v>11684</v>
      </c>
      <c r="AU91" s="74">
        <v>12038</v>
      </c>
      <c r="AV91" s="74">
        <v>13442</v>
      </c>
      <c r="AW91" s="74">
        <v>15631</v>
      </c>
      <c r="AX91" s="74">
        <v>14262</v>
      </c>
      <c r="AY91" s="74">
        <v>15227</v>
      </c>
      <c r="AZ91" s="74">
        <v>16796</v>
      </c>
      <c r="BA91" s="74">
        <v>0</v>
      </c>
      <c r="BB91" s="74">
        <v>0</v>
      </c>
      <c r="BC91" s="74">
        <v>0</v>
      </c>
      <c r="BD91" s="74">
        <v>0</v>
      </c>
      <c r="BE91" s="74">
        <v>0</v>
      </c>
      <c r="BF91" s="74">
        <v>0</v>
      </c>
      <c r="BG91" s="74">
        <v>0</v>
      </c>
      <c r="BH91" s="74">
        <v>0</v>
      </c>
      <c r="BI91" s="74">
        <v>0</v>
      </c>
      <c r="BJ91" s="74">
        <v>0</v>
      </c>
      <c r="BK91" s="74">
        <v>0</v>
      </c>
      <c r="BL91" s="74">
        <v>0</v>
      </c>
      <c r="BM91" s="74">
        <v>0</v>
      </c>
      <c r="BN91" s="74">
        <v>0</v>
      </c>
      <c r="BO91" s="74">
        <v>0</v>
      </c>
      <c r="BP91" s="74">
        <v>0</v>
      </c>
      <c r="BQ91" s="74">
        <v>0</v>
      </c>
      <c r="BR91" s="74">
        <v>0</v>
      </c>
      <c r="BS91" s="74">
        <v>0</v>
      </c>
      <c r="BT91" s="74">
        <v>0</v>
      </c>
      <c r="BU91" s="74">
        <v>0</v>
      </c>
      <c r="BV91" s="74">
        <v>0</v>
      </c>
      <c r="BW91" s="74">
        <v>0</v>
      </c>
      <c r="BX91" s="74">
        <v>0</v>
      </c>
      <c r="BY91" s="74">
        <v>0</v>
      </c>
      <c r="BZ91" s="74">
        <v>0</v>
      </c>
      <c r="CA91" s="74">
        <v>0</v>
      </c>
      <c r="CB91" s="74">
        <v>0</v>
      </c>
      <c r="CC91" s="74">
        <v>0</v>
      </c>
      <c r="CD91" s="74">
        <v>0</v>
      </c>
      <c r="CE91" s="74">
        <v>0</v>
      </c>
      <c r="CF91" s="74">
        <v>0</v>
      </c>
      <c r="CG91" s="74">
        <v>0</v>
      </c>
      <c r="CH91" s="74">
        <v>0</v>
      </c>
      <c r="CI91" s="74">
        <v>0</v>
      </c>
      <c r="CJ91" s="74">
        <v>0</v>
      </c>
      <c r="CK91" s="74">
        <v>0</v>
      </c>
      <c r="CL91" s="74">
        <v>0</v>
      </c>
      <c r="CM91" s="74">
        <v>0</v>
      </c>
      <c r="CN91" s="74">
        <v>0</v>
      </c>
      <c r="CO91" s="74">
        <v>0</v>
      </c>
      <c r="CP91" s="74">
        <v>0</v>
      </c>
      <c r="CQ91" s="74">
        <v>0</v>
      </c>
      <c r="CR91" s="74">
        <v>0</v>
      </c>
      <c r="CS91" s="74">
        <v>0</v>
      </c>
      <c r="CT91" s="74">
        <v>0</v>
      </c>
      <c r="CU91" s="74">
        <v>0</v>
      </c>
      <c r="CV91" s="74">
        <v>0</v>
      </c>
      <c r="CW91" s="74">
        <v>0</v>
      </c>
      <c r="CX91" s="74">
        <v>0</v>
      </c>
      <c r="CY91" s="74">
        <v>0</v>
      </c>
      <c r="CZ91" s="74">
        <v>0</v>
      </c>
      <c r="DA91" s="74">
        <v>0</v>
      </c>
      <c r="DB91" s="74">
        <v>0</v>
      </c>
      <c r="DC91" s="74">
        <v>0</v>
      </c>
      <c r="DD91" s="74">
        <v>0</v>
      </c>
      <c r="DE91" s="74">
        <v>0</v>
      </c>
      <c r="DF91" s="74">
        <v>0</v>
      </c>
      <c r="DG91" s="74">
        <v>0</v>
      </c>
      <c r="DH91" s="74">
        <v>0</v>
      </c>
      <c r="DI91" s="74">
        <v>0</v>
      </c>
      <c r="DJ91" s="74">
        <v>0</v>
      </c>
      <c r="DK91" s="74">
        <v>0</v>
      </c>
      <c r="DL91" s="74">
        <v>0</v>
      </c>
      <c r="DM91" s="74">
        <v>0</v>
      </c>
      <c r="DN91" s="74">
        <v>0</v>
      </c>
      <c r="DO91" s="74">
        <v>0</v>
      </c>
      <c r="DP91" s="74">
        <v>0</v>
      </c>
      <c r="DQ91" s="74">
        <v>0</v>
      </c>
      <c r="DR91" s="74">
        <v>0</v>
      </c>
      <c r="DS91" s="74">
        <v>0</v>
      </c>
      <c r="DT91" s="74">
        <v>0</v>
      </c>
      <c r="DU91" s="74">
        <v>0</v>
      </c>
      <c r="DV91" s="74">
        <v>0</v>
      </c>
      <c r="DW91" s="74">
        <v>0</v>
      </c>
      <c r="DX91" s="74">
        <v>0</v>
      </c>
      <c r="DY91" s="74">
        <v>0</v>
      </c>
      <c r="DZ91" s="74">
        <v>0</v>
      </c>
      <c r="EA91" s="74">
        <v>0</v>
      </c>
      <c r="EB91" s="74">
        <v>0</v>
      </c>
      <c r="EC91" s="74">
        <v>0</v>
      </c>
      <c r="ED91" s="74"/>
      <c r="EE91" s="68">
        <v>46009</v>
      </c>
      <c r="EF91" s="81">
        <v>46009.521181944445</v>
      </c>
      <c r="EG91" s="2" t="s">
        <v>69</v>
      </c>
      <c r="EH91" s="76">
        <v>1</v>
      </c>
      <c r="EI91" s="76" t="s">
        <v>32</v>
      </c>
      <c r="EJ91" s="74" t="s">
        <v>244</v>
      </c>
      <c r="EK91" s="78"/>
      <c r="EL91" s="74"/>
      <c r="EM91" s="74"/>
      <c r="EN91" s="68"/>
      <c r="ER91" s="73"/>
      <c r="ES91" s="74"/>
      <c r="ET91" s="74"/>
      <c r="EU91" s="74"/>
      <c r="EV91" s="74"/>
      <c r="EW91" s="74"/>
      <c r="EX91" s="74"/>
      <c r="EY91" s="74"/>
      <c r="EZ91" s="74"/>
      <c r="FA91" s="74"/>
      <c r="FB91" s="74"/>
      <c r="FC91" s="74"/>
      <c r="FD91" s="74"/>
      <c r="FE91" s="74"/>
      <c r="FF91" s="74"/>
      <c r="FG91" s="74"/>
      <c r="FH91" s="74"/>
      <c r="FI91" s="74"/>
      <c r="FJ91" s="74"/>
      <c r="FK91" s="68"/>
    </row>
    <row r="92" spans="1:167" s="2" customFormat="1" ht="15" x14ac:dyDescent="0.3">
      <c r="A92" s="73" t="s">
        <v>15</v>
      </c>
      <c r="B92" s="73" t="s">
        <v>233</v>
      </c>
      <c r="C92" s="73" t="s">
        <v>36</v>
      </c>
      <c r="D92" s="73" t="s">
        <v>48</v>
      </c>
      <c r="E92" s="73" t="s">
        <v>178</v>
      </c>
      <c r="F92" s="73" t="s">
        <v>210</v>
      </c>
      <c r="G92" s="73" t="s">
        <v>216</v>
      </c>
      <c r="H92" s="73"/>
      <c r="I92" s="74">
        <v>440</v>
      </c>
      <c r="J92" s="74">
        <v>832</v>
      </c>
      <c r="K92" s="74">
        <v>555</v>
      </c>
      <c r="L92" s="74">
        <v>448</v>
      </c>
      <c r="M92" s="74">
        <v>989</v>
      </c>
      <c r="N92" s="74">
        <v>2949</v>
      </c>
      <c r="O92" s="74">
        <v>4677</v>
      </c>
      <c r="P92" s="74">
        <v>0</v>
      </c>
      <c r="Q92" s="74">
        <v>0</v>
      </c>
      <c r="R92" s="74">
        <v>0</v>
      </c>
      <c r="S92" s="74">
        <v>0</v>
      </c>
      <c r="T92" s="74">
        <v>0</v>
      </c>
      <c r="U92" s="74">
        <v>0</v>
      </c>
      <c r="V92" s="74">
        <v>0</v>
      </c>
      <c r="W92" s="74">
        <v>0</v>
      </c>
      <c r="X92" s="74">
        <v>0</v>
      </c>
      <c r="Y92" s="74">
        <v>0</v>
      </c>
      <c r="Z92" s="74">
        <v>0</v>
      </c>
      <c r="AA92" s="74">
        <v>0</v>
      </c>
      <c r="AB92" s="74">
        <v>0</v>
      </c>
      <c r="AC92" s="74">
        <v>0</v>
      </c>
      <c r="AD92" s="74">
        <v>0</v>
      </c>
      <c r="AE92" s="74">
        <v>0</v>
      </c>
      <c r="AF92" s="74">
        <v>0</v>
      </c>
      <c r="AG92" s="74">
        <v>0</v>
      </c>
      <c r="AH92" s="74">
        <v>0</v>
      </c>
      <c r="AI92" s="74">
        <v>0</v>
      </c>
      <c r="AJ92" s="74">
        <v>0</v>
      </c>
      <c r="AK92" s="74"/>
      <c r="AL92" s="74">
        <v>0</v>
      </c>
      <c r="AM92" s="74">
        <v>0</v>
      </c>
      <c r="AN92" s="74">
        <v>0</v>
      </c>
      <c r="AO92" s="74">
        <v>0</v>
      </c>
      <c r="AP92" s="74">
        <v>0</v>
      </c>
      <c r="AQ92" s="74">
        <v>0</v>
      </c>
      <c r="AR92" s="74">
        <v>0</v>
      </c>
      <c r="AS92" s="74">
        <v>0</v>
      </c>
      <c r="AT92" s="74">
        <v>0</v>
      </c>
      <c r="AU92" s="74">
        <v>0</v>
      </c>
      <c r="AV92" s="74">
        <v>0</v>
      </c>
      <c r="AW92" s="74">
        <v>0</v>
      </c>
      <c r="AX92" s="74">
        <v>0</v>
      </c>
      <c r="AY92" s="74">
        <v>0</v>
      </c>
      <c r="AZ92" s="74">
        <v>0</v>
      </c>
      <c r="BA92" s="74">
        <v>0</v>
      </c>
      <c r="BB92" s="74">
        <v>0</v>
      </c>
      <c r="BC92" s="74">
        <v>0</v>
      </c>
      <c r="BD92" s="74">
        <v>0</v>
      </c>
      <c r="BE92" s="74">
        <v>0</v>
      </c>
      <c r="BF92" s="74">
        <v>0</v>
      </c>
      <c r="BG92" s="74">
        <v>0</v>
      </c>
      <c r="BH92" s="74">
        <v>0</v>
      </c>
      <c r="BI92" s="74">
        <v>0</v>
      </c>
      <c r="BJ92" s="74">
        <v>0</v>
      </c>
      <c r="BK92" s="74">
        <v>0</v>
      </c>
      <c r="BL92" s="74">
        <v>0</v>
      </c>
      <c r="BM92" s="74">
        <v>0</v>
      </c>
      <c r="BN92" s="74">
        <v>0</v>
      </c>
      <c r="BO92" s="74">
        <v>0</v>
      </c>
      <c r="BP92" s="74">
        <v>0</v>
      </c>
      <c r="BQ92" s="74">
        <v>0</v>
      </c>
      <c r="BR92" s="74">
        <v>0</v>
      </c>
      <c r="BS92" s="74">
        <v>0</v>
      </c>
      <c r="BT92" s="74">
        <v>0</v>
      </c>
      <c r="BU92" s="74">
        <v>0</v>
      </c>
      <c r="BV92" s="74">
        <v>0</v>
      </c>
      <c r="BW92" s="74">
        <v>0</v>
      </c>
      <c r="BX92" s="74">
        <v>0</v>
      </c>
      <c r="BY92" s="74">
        <v>0</v>
      </c>
      <c r="BZ92" s="74">
        <v>0</v>
      </c>
      <c r="CA92" s="74">
        <v>0</v>
      </c>
      <c r="CB92" s="74">
        <v>0</v>
      </c>
      <c r="CC92" s="74">
        <v>0</v>
      </c>
      <c r="CD92" s="74">
        <v>0</v>
      </c>
      <c r="CE92" s="74">
        <v>0</v>
      </c>
      <c r="CF92" s="74">
        <v>0</v>
      </c>
      <c r="CG92" s="74">
        <v>0</v>
      </c>
      <c r="CH92" s="74">
        <v>0</v>
      </c>
      <c r="CI92" s="74">
        <v>0</v>
      </c>
      <c r="CJ92" s="74">
        <v>0</v>
      </c>
      <c r="CK92" s="74">
        <v>0</v>
      </c>
      <c r="CL92" s="74">
        <v>0</v>
      </c>
      <c r="CM92" s="74">
        <v>0</v>
      </c>
      <c r="CN92" s="74">
        <v>0</v>
      </c>
      <c r="CO92" s="74">
        <v>0</v>
      </c>
      <c r="CP92" s="74">
        <v>0</v>
      </c>
      <c r="CQ92" s="74">
        <v>0</v>
      </c>
      <c r="CR92" s="74">
        <v>0</v>
      </c>
      <c r="CS92" s="74">
        <v>0</v>
      </c>
      <c r="CT92" s="74">
        <v>0</v>
      </c>
      <c r="CU92" s="74">
        <v>0</v>
      </c>
      <c r="CV92" s="74">
        <v>0</v>
      </c>
      <c r="CW92" s="74">
        <v>0</v>
      </c>
      <c r="CX92" s="74">
        <v>0</v>
      </c>
      <c r="CY92" s="74">
        <v>0</v>
      </c>
      <c r="CZ92" s="74">
        <v>0</v>
      </c>
      <c r="DA92" s="74">
        <v>0</v>
      </c>
      <c r="DB92" s="74">
        <v>0</v>
      </c>
      <c r="DC92" s="74">
        <v>0</v>
      </c>
      <c r="DD92" s="74">
        <v>0</v>
      </c>
      <c r="DE92" s="74">
        <v>0</v>
      </c>
      <c r="DF92" s="74">
        <v>0</v>
      </c>
      <c r="DG92" s="74">
        <v>0</v>
      </c>
      <c r="DH92" s="74">
        <v>0</v>
      </c>
      <c r="DI92" s="74">
        <v>0</v>
      </c>
      <c r="DJ92" s="74">
        <v>0</v>
      </c>
      <c r="DK92" s="74">
        <v>0</v>
      </c>
      <c r="DL92" s="74">
        <v>0</v>
      </c>
      <c r="DM92" s="74">
        <v>0</v>
      </c>
      <c r="DN92" s="74">
        <v>0</v>
      </c>
      <c r="DO92" s="74">
        <v>0</v>
      </c>
      <c r="DP92" s="74">
        <v>0</v>
      </c>
      <c r="DQ92" s="74">
        <v>0</v>
      </c>
      <c r="DR92" s="74">
        <v>0</v>
      </c>
      <c r="DS92" s="74">
        <v>0</v>
      </c>
      <c r="DT92" s="74">
        <v>0</v>
      </c>
      <c r="DU92" s="74">
        <v>0</v>
      </c>
      <c r="DV92" s="74">
        <v>0</v>
      </c>
      <c r="DW92" s="74">
        <v>0</v>
      </c>
      <c r="DX92" s="74">
        <v>0</v>
      </c>
      <c r="DY92" s="74">
        <v>0</v>
      </c>
      <c r="DZ92" s="74">
        <v>0</v>
      </c>
      <c r="EA92" s="74">
        <v>0</v>
      </c>
      <c r="EB92" s="74">
        <v>0</v>
      </c>
      <c r="EC92" s="74">
        <v>0</v>
      </c>
      <c r="ED92" s="74"/>
      <c r="EE92" s="68">
        <v>46009</v>
      </c>
      <c r="EF92" s="81">
        <v>46009.521181944445</v>
      </c>
      <c r="EG92" s="2" t="s">
        <v>69</v>
      </c>
      <c r="EH92" s="76">
        <v>1</v>
      </c>
      <c r="EI92" s="76" t="s">
        <v>32</v>
      </c>
      <c r="EJ92" s="74" t="s">
        <v>244</v>
      </c>
      <c r="EK92" s="78"/>
      <c r="EL92" s="74"/>
      <c r="EM92" s="74"/>
      <c r="EN92" s="68"/>
      <c r="ER92" s="73"/>
      <c r="ES92" s="74"/>
      <c r="ET92" s="74"/>
      <c r="EU92" s="74"/>
      <c r="EV92" s="74"/>
      <c r="EW92" s="74"/>
      <c r="EX92" s="74"/>
      <c r="EY92" s="74"/>
      <c r="EZ92" s="74"/>
      <c r="FA92" s="74"/>
      <c r="FB92" s="74"/>
      <c r="FC92" s="74"/>
      <c r="FD92" s="74"/>
      <c r="FE92" s="74"/>
      <c r="FF92" s="74"/>
      <c r="FG92" s="74"/>
      <c r="FH92" s="74"/>
      <c r="FI92" s="74"/>
      <c r="FJ92" s="74"/>
      <c r="FK92" s="68"/>
    </row>
    <row r="93" spans="1:167" s="2" customFormat="1" ht="15" x14ac:dyDescent="0.3">
      <c r="A93" s="73" t="s">
        <v>9</v>
      </c>
      <c r="B93" s="73" t="s">
        <v>234</v>
      </c>
      <c r="C93" s="73" t="s">
        <v>37</v>
      </c>
      <c r="D93" s="73" t="s">
        <v>48</v>
      </c>
      <c r="E93" s="73" t="s">
        <v>178</v>
      </c>
      <c r="F93" s="73" t="s">
        <v>210</v>
      </c>
      <c r="G93" s="73" t="s">
        <v>216</v>
      </c>
      <c r="H93" s="73"/>
      <c r="I93" s="74">
        <v>1417</v>
      </c>
      <c r="J93" s="74">
        <v>1600</v>
      </c>
      <c r="K93" s="74">
        <v>1647</v>
      </c>
      <c r="L93" s="74">
        <v>1809</v>
      </c>
      <c r="M93" s="74">
        <v>2367</v>
      </c>
      <c r="N93" s="74">
        <v>3182</v>
      </c>
      <c r="O93" s="74">
        <v>2406</v>
      </c>
      <c r="P93" s="74">
        <v>0</v>
      </c>
      <c r="Q93" s="74">
        <v>0</v>
      </c>
      <c r="R93" s="74">
        <v>0</v>
      </c>
      <c r="S93" s="74">
        <v>0</v>
      </c>
      <c r="T93" s="74">
        <v>0</v>
      </c>
      <c r="U93" s="74">
        <v>0</v>
      </c>
      <c r="V93" s="74">
        <v>0</v>
      </c>
      <c r="W93" s="74">
        <v>0</v>
      </c>
      <c r="X93" s="74">
        <v>0</v>
      </c>
      <c r="Y93" s="74">
        <v>0</v>
      </c>
      <c r="Z93" s="74">
        <v>0</v>
      </c>
      <c r="AA93" s="74">
        <v>0</v>
      </c>
      <c r="AB93" s="74">
        <v>0</v>
      </c>
      <c r="AC93" s="74">
        <v>0</v>
      </c>
      <c r="AD93" s="74">
        <v>0</v>
      </c>
      <c r="AE93" s="74">
        <v>0</v>
      </c>
      <c r="AF93" s="74">
        <v>0</v>
      </c>
      <c r="AG93" s="74">
        <v>0</v>
      </c>
      <c r="AH93" s="74">
        <v>0</v>
      </c>
      <c r="AI93" s="74">
        <v>0</v>
      </c>
      <c r="AJ93" s="74">
        <v>0</v>
      </c>
      <c r="AK93" s="74"/>
      <c r="AL93" s="74">
        <v>0</v>
      </c>
      <c r="AM93" s="74">
        <v>0</v>
      </c>
      <c r="AN93" s="74">
        <v>0</v>
      </c>
      <c r="AO93" s="74">
        <v>0</v>
      </c>
      <c r="AP93" s="74">
        <v>0</v>
      </c>
      <c r="AQ93" s="74">
        <v>0</v>
      </c>
      <c r="AR93" s="74">
        <v>0</v>
      </c>
      <c r="AS93" s="74">
        <v>0</v>
      </c>
      <c r="AT93" s="74">
        <v>0</v>
      </c>
      <c r="AU93" s="74">
        <v>0</v>
      </c>
      <c r="AV93" s="74">
        <v>0</v>
      </c>
      <c r="AW93" s="74">
        <v>0</v>
      </c>
      <c r="AX93" s="74">
        <v>0</v>
      </c>
      <c r="AY93" s="74">
        <v>0</v>
      </c>
      <c r="AZ93" s="74">
        <v>0</v>
      </c>
      <c r="BA93" s="74">
        <v>0</v>
      </c>
      <c r="BB93" s="74">
        <v>0</v>
      </c>
      <c r="BC93" s="74">
        <v>0</v>
      </c>
      <c r="BD93" s="74">
        <v>0</v>
      </c>
      <c r="BE93" s="74">
        <v>0</v>
      </c>
      <c r="BF93" s="74">
        <v>0</v>
      </c>
      <c r="BG93" s="74">
        <v>0</v>
      </c>
      <c r="BH93" s="74">
        <v>0</v>
      </c>
      <c r="BI93" s="74">
        <v>0</v>
      </c>
      <c r="BJ93" s="74">
        <v>0</v>
      </c>
      <c r="BK93" s="74">
        <v>0</v>
      </c>
      <c r="BL93" s="74">
        <v>0</v>
      </c>
      <c r="BM93" s="74">
        <v>0</v>
      </c>
      <c r="BN93" s="74">
        <v>0</v>
      </c>
      <c r="BO93" s="74">
        <v>0</v>
      </c>
      <c r="BP93" s="74">
        <v>0</v>
      </c>
      <c r="BQ93" s="74">
        <v>0</v>
      </c>
      <c r="BR93" s="74">
        <v>0</v>
      </c>
      <c r="BS93" s="74">
        <v>0</v>
      </c>
      <c r="BT93" s="74">
        <v>0</v>
      </c>
      <c r="BU93" s="74">
        <v>0</v>
      </c>
      <c r="BV93" s="74">
        <v>0</v>
      </c>
      <c r="BW93" s="74">
        <v>0</v>
      </c>
      <c r="BX93" s="74">
        <v>0</v>
      </c>
      <c r="BY93" s="74">
        <v>0</v>
      </c>
      <c r="BZ93" s="74">
        <v>0</v>
      </c>
      <c r="CA93" s="74">
        <v>0</v>
      </c>
      <c r="CB93" s="74">
        <v>0</v>
      </c>
      <c r="CC93" s="74">
        <v>0</v>
      </c>
      <c r="CD93" s="74">
        <v>0</v>
      </c>
      <c r="CE93" s="74">
        <v>0</v>
      </c>
      <c r="CF93" s="74">
        <v>0</v>
      </c>
      <c r="CG93" s="74">
        <v>0</v>
      </c>
      <c r="CH93" s="74">
        <v>0</v>
      </c>
      <c r="CI93" s="74">
        <v>0</v>
      </c>
      <c r="CJ93" s="74">
        <v>0</v>
      </c>
      <c r="CK93" s="74">
        <v>0</v>
      </c>
      <c r="CL93" s="74">
        <v>0</v>
      </c>
      <c r="CM93" s="74">
        <v>0</v>
      </c>
      <c r="CN93" s="74">
        <v>0</v>
      </c>
      <c r="CO93" s="74">
        <v>0</v>
      </c>
      <c r="CP93" s="74">
        <v>0</v>
      </c>
      <c r="CQ93" s="74">
        <v>0</v>
      </c>
      <c r="CR93" s="74">
        <v>0</v>
      </c>
      <c r="CS93" s="74">
        <v>0</v>
      </c>
      <c r="CT93" s="74">
        <v>0</v>
      </c>
      <c r="CU93" s="74">
        <v>0</v>
      </c>
      <c r="CV93" s="74">
        <v>0</v>
      </c>
      <c r="CW93" s="74">
        <v>0</v>
      </c>
      <c r="CX93" s="74">
        <v>0</v>
      </c>
      <c r="CY93" s="74">
        <v>0</v>
      </c>
      <c r="CZ93" s="74">
        <v>0</v>
      </c>
      <c r="DA93" s="74">
        <v>0</v>
      </c>
      <c r="DB93" s="74">
        <v>0</v>
      </c>
      <c r="DC93" s="74">
        <v>0</v>
      </c>
      <c r="DD93" s="74">
        <v>0</v>
      </c>
      <c r="DE93" s="74">
        <v>0</v>
      </c>
      <c r="DF93" s="74">
        <v>0</v>
      </c>
      <c r="DG93" s="74">
        <v>0</v>
      </c>
      <c r="DH93" s="74">
        <v>0</v>
      </c>
      <c r="DI93" s="74">
        <v>0</v>
      </c>
      <c r="DJ93" s="74">
        <v>0</v>
      </c>
      <c r="DK93" s="74">
        <v>0</v>
      </c>
      <c r="DL93" s="74">
        <v>0</v>
      </c>
      <c r="DM93" s="74">
        <v>0</v>
      </c>
      <c r="DN93" s="74">
        <v>0</v>
      </c>
      <c r="DO93" s="74">
        <v>0</v>
      </c>
      <c r="DP93" s="74">
        <v>0</v>
      </c>
      <c r="DQ93" s="74">
        <v>0</v>
      </c>
      <c r="DR93" s="74">
        <v>0</v>
      </c>
      <c r="DS93" s="74">
        <v>0</v>
      </c>
      <c r="DT93" s="74">
        <v>0</v>
      </c>
      <c r="DU93" s="74">
        <v>0</v>
      </c>
      <c r="DV93" s="74">
        <v>0</v>
      </c>
      <c r="DW93" s="74">
        <v>0</v>
      </c>
      <c r="DX93" s="74">
        <v>0</v>
      </c>
      <c r="DY93" s="74">
        <v>0</v>
      </c>
      <c r="DZ93" s="74">
        <v>0</v>
      </c>
      <c r="EA93" s="74">
        <v>0</v>
      </c>
      <c r="EB93" s="74">
        <v>0</v>
      </c>
      <c r="EC93" s="74">
        <v>0</v>
      </c>
      <c r="ED93" s="74"/>
      <c r="EE93" s="68">
        <v>46009</v>
      </c>
      <c r="EF93" s="81">
        <v>46009.521181944445</v>
      </c>
      <c r="EG93" s="2" t="s">
        <v>69</v>
      </c>
      <c r="EH93" s="76">
        <v>1</v>
      </c>
      <c r="EI93" s="76" t="s">
        <v>32</v>
      </c>
      <c r="EJ93" s="74" t="s">
        <v>244</v>
      </c>
      <c r="EK93" s="78"/>
      <c r="EL93" s="74"/>
      <c r="EM93" s="74"/>
      <c r="EN93" s="68"/>
      <c r="ER93" s="73"/>
      <c r="ES93" s="74"/>
      <c r="ET93" s="74"/>
      <c r="EU93" s="74"/>
      <c r="EV93" s="74"/>
      <c r="EW93" s="74"/>
      <c r="EX93" s="74"/>
      <c r="EY93" s="74"/>
      <c r="EZ93" s="74"/>
      <c r="FA93" s="74"/>
      <c r="FB93" s="74"/>
      <c r="FC93" s="74"/>
      <c r="FD93" s="74"/>
      <c r="FE93" s="74"/>
      <c r="FF93" s="74"/>
      <c r="FG93" s="74"/>
      <c r="FH93" s="74"/>
      <c r="FI93" s="74"/>
      <c r="FJ93" s="74"/>
      <c r="FK93" s="68"/>
    </row>
    <row r="94" spans="1:167" s="2" customFormat="1" ht="15" x14ac:dyDescent="0.3">
      <c r="A94" s="73" t="s">
        <v>21</v>
      </c>
      <c r="B94" s="73" t="s">
        <v>235</v>
      </c>
      <c r="C94" s="73" t="s">
        <v>219</v>
      </c>
      <c r="D94" s="73" t="s">
        <v>48</v>
      </c>
      <c r="E94" s="73" t="s">
        <v>220</v>
      </c>
      <c r="F94" s="73" t="s">
        <v>218</v>
      </c>
      <c r="G94" s="73" t="s">
        <v>216</v>
      </c>
      <c r="H94" s="73"/>
      <c r="I94" s="75">
        <v>0.10630550621669627</v>
      </c>
      <c r="J94" s="75">
        <v>0.1698747763864043</v>
      </c>
      <c r="K94" s="75">
        <v>0.1184134337000579</v>
      </c>
      <c r="L94" s="75">
        <v>0.12557993237398757</v>
      </c>
      <c r="M94" s="75">
        <v>0.54194743935309975</v>
      </c>
      <c r="N94" s="75">
        <v>0.18957850733551668</v>
      </c>
      <c r="O94" s="75">
        <v>0.13503075174162707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0</v>
      </c>
      <c r="V94" s="75">
        <v>0</v>
      </c>
      <c r="W94" s="75">
        <v>0</v>
      </c>
      <c r="X94" s="75">
        <v>0</v>
      </c>
      <c r="Y94" s="75">
        <v>0</v>
      </c>
      <c r="Z94" s="75">
        <v>0</v>
      </c>
      <c r="AA94" s="75">
        <v>0</v>
      </c>
      <c r="AB94" s="75">
        <v>0</v>
      </c>
      <c r="AC94" s="75">
        <v>0</v>
      </c>
      <c r="AD94" s="75">
        <v>0</v>
      </c>
      <c r="AE94" s="75">
        <v>0</v>
      </c>
      <c r="AF94" s="75">
        <v>0</v>
      </c>
      <c r="AG94" s="75">
        <v>0</v>
      </c>
      <c r="AH94" s="75">
        <v>0</v>
      </c>
      <c r="AI94" s="75">
        <v>0</v>
      </c>
      <c r="AJ94" s="75">
        <v>0</v>
      </c>
      <c r="AK94" s="75"/>
      <c r="AL94" s="74">
        <v>0</v>
      </c>
      <c r="AM94" s="74">
        <v>0</v>
      </c>
      <c r="AN94" s="74">
        <v>0</v>
      </c>
      <c r="AO94" s="74">
        <v>0</v>
      </c>
      <c r="AP94" s="74">
        <v>0</v>
      </c>
      <c r="AQ94" s="74">
        <v>0</v>
      </c>
      <c r="AR94" s="74">
        <v>0</v>
      </c>
      <c r="AS94" s="74">
        <v>0</v>
      </c>
      <c r="AT94" s="74">
        <v>0</v>
      </c>
      <c r="AU94" s="74">
        <v>0</v>
      </c>
      <c r="AV94" s="74">
        <v>0</v>
      </c>
      <c r="AW94" s="74">
        <v>0</v>
      </c>
      <c r="AX94" s="74">
        <v>0</v>
      </c>
      <c r="AY94" s="74">
        <v>0</v>
      </c>
      <c r="AZ94" s="74">
        <v>0</v>
      </c>
      <c r="BA94" s="74">
        <v>0</v>
      </c>
      <c r="BB94" s="74">
        <v>0</v>
      </c>
      <c r="BC94" s="74">
        <v>0</v>
      </c>
      <c r="BD94" s="74">
        <v>0</v>
      </c>
      <c r="BE94" s="74">
        <v>0</v>
      </c>
      <c r="BF94" s="74">
        <v>0</v>
      </c>
      <c r="BG94" s="74">
        <v>0</v>
      </c>
      <c r="BH94" s="74">
        <v>0</v>
      </c>
      <c r="BI94" s="74">
        <v>0</v>
      </c>
      <c r="BJ94" s="74">
        <v>0</v>
      </c>
      <c r="BK94" s="74">
        <v>0</v>
      </c>
      <c r="BL94" s="74">
        <v>0</v>
      </c>
      <c r="BM94" s="74">
        <v>0</v>
      </c>
      <c r="BN94" s="74">
        <v>0</v>
      </c>
      <c r="BO94" s="74">
        <v>0</v>
      </c>
      <c r="BP94" s="74">
        <v>0</v>
      </c>
      <c r="BQ94" s="74">
        <v>0</v>
      </c>
      <c r="BR94" s="74">
        <v>0</v>
      </c>
      <c r="BS94" s="74">
        <v>0</v>
      </c>
      <c r="BT94" s="74">
        <v>0</v>
      </c>
      <c r="BU94" s="74">
        <v>0</v>
      </c>
      <c r="BV94" s="74">
        <v>0</v>
      </c>
      <c r="BW94" s="74">
        <v>0</v>
      </c>
      <c r="BX94" s="74">
        <v>0</v>
      </c>
      <c r="BY94" s="74">
        <v>0</v>
      </c>
      <c r="BZ94" s="74">
        <v>0</v>
      </c>
      <c r="CA94" s="74">
        <v>0</v>
      </c>
      <c r="CB94" s="74">
        <v>0</v>
      </c>
      <c r="CC94" s="74">
        <v>0</v>
      </c>
      <c r="CD94" s="74">
        <v>0</v>
      </c>
      <c r="CE94" s="74">
        <v>0</v>
      </c>
      <c r="CF94" s="74">
        <v>0</v>
      </c>
      <c r="CG94" s="74">
        <v>0</v>
      </c>
      <c r="CH94" s="74">
        <v>0</v>
      </c>
      <c r="CI94" s="74">
        <v>0</v>
      </c>
      <c r="CJ94" s="74">
        <v>0</v>
      </c>
      <c r="CK94" s="74">
        <v>0</v>
      </c>
      <c r="CL94" s="74">
        <v>0</v>
      </c>
      <c r="CM94" s="74">
        <v>0</v>
      </c>
      <c r="CN94" s="74">
        <v>0</v>
      </c>
      <c r="CO94" s="74">
        <v>0</v>
      </c>
      <c r="CP94" s="74">
        <v>0</v>
      </c>
      <c r="CQ94" s="74">
        <v>0</v>
      </c>
      <c r="CR94" s="74">
        <v>0</v>
      </c>
      <c r="CS94" s="74">
        <v>0</v>
      </c>
      <c r="CT94" s="74">
        <v>0</v>
      </c>
      <c r="CU94" s="74">
        <v>0</v>
      </c>
      <c r="CV94" s="74">
        <v>0</v>
      </c>
      <c r="CW94" s="74">
        <v>0</v>
      </c>
      <c r="CX94" s="74">
        <v>0</v>
      </c>
      <c r="CY94" s="74">
        <v>0</v>
      </c>
      <c r="CZ94" s="74">
        <v>0</v>
      </c>
      <c r="DA94" s="74">
        <v>0</v>
      </c>
      <c r="DB94" s="74">
        <v>0</v>
      </c>
      <c r="DC94" s="74">
        <v>0</v>
      </c>
      <c r="DD94" s="74">
        <v>0</v>
      </c>
      <c r="DE94" s="74">
        <v>0</v>
      </c>
      <c r="DF94" s="74">
        <v>0</v>
      </c>
      <c r="DG94" s="74">
        <v>0</v>
      </c>
      <c r="DH94" s="74">
        <v>0</v>
      </c>
      <c r="DI94" s="74">
        <v>0</v>
      </c>
      <c r="DJ94" s="74">
        <v>0</v>
      </c>
      <c r="DK94" s="74">
        <v>0</v>
      </c>
      <c r="DL94" s="74">
        <v>0</v>
      </c>
      <c r="DM94" s="74">
        <v>0</v>
      </c>
      <c r="DN94" s="74">
        <v>0</v>
      </c>
      <c r="DO94" s="74">
        <v>0</v>
      </c>
      <c r="DP94" s="74">
        <v>0</v>
      </c>
      <c r="DQ94" s="74">
        <v>0</v>
      </c>
      <c r="DR94" s="74">
        <v>0</v>
      </c>
      <c r="DS94" s="74">
        <v>0</v>
      </c>
      <c r="DT94" s="74">
        <v>0</v>
      </c>
      <c r="DU94" s="74">
        <v>0</v>
      </c>
      <c r="DV94" s="74">
        <v>0</v>
      </c>
      <c r="DW94" s="74">
        <v>0</v>
      </c>
      <c r="DX94" s="74">
        <v>0</v>
      </c>
      <c r="DY94" s="74">
        <v>0</v>
      </c>
      <c r="DZ94" s="74">
        <v>0</v>
      </c>
      <c r="EA94" s="74">
        <v>0</v>
      </c>
      <c r="EB94" s="74">
        <v>0</v>
      </c>
      <c r="EC94" s="74">
        <v>0</v>
      </c>
      <c r="ED94" s="74"/>
      <c r="EE94" s="68">
        <v>46009</v>
      </c>
      <c r="EF94" s="81">
        <v>46009.521181944445</v>
      </c>
      <c r="EG94" s="2" t="s">
        <v>69</v>
      </c>
      <c r="EH94" s="76">
        <v>1</v>
      </c>
      <c r="EI94" s="76" t="s">
        <v>32</v>
      </c>
      <c r="EJ94" s="74" t="s">
        <v>244</v>
      </c>
      <c r="EK94" s="78"/>
      <c r="EL94" s="74"/>
      <c r="EM94" s="74"/>
      <c r="EN94" s="68"/>
      <c r="ER94" s="73"/>
      <c r="ES94" s="74"/>
      <c r="ET94" s="74"/>
      <c r="EU94" s="74"/>
      <c r="EV94" s="74"/>
      <c r="EW94" s="74"/>
      <c r="EX94" s="74"/>
      <c r="EY94" s="74"/>
      <c r="EZ94" s="74"/>
      <c r="FA94" s="74"/>
      <c r="FB94" s="74"/>
      <c r="FC94" s="74"/>
      <c r="FD94" s="74"/>
      <c r="FE94" s="74"/>
      <c r="FF94" s="74"/>
      <c r="FG94" s="74"/>
      <c r="FH94" s="74"/>
      <c r="FI94" s="74"/>
      <c r="FJ94" s="74"/>
      <c r="FK94" s="68"/>
    </row>
    <row r="95" spans="1:167" s="2" customFormat="1" ht="15" x14ac:dyDescent="0.3">
      <c r="A95" s="73" t="s">
        <v>22</v>
      </c>
      <c r="B95" s="73" t="s">
        <v>22</v>
      </c>
      <c r="C95" s="73" t="s">
        <v>42</v>
      </c>
      <c r="D95" s="73" t="s">
        <v>48</v>
      </c>
      <c r="E95" s="73" t="s">
        <v>178</v>
      </c>
      <c r="F95" s="73" t="s">
        <v>210</v>
      </c>
      <c r="G95" s="73" t="s">
        <v>216</v>
      </c>
      <c r="H95" s="73"/>
      <c r="I95" s="74">
        <v>30723</v>
      </c>
      <c r="J95" s="74">
        <v>38514</v>
      </c>
      <c r="K95" s="74">
        <v>66064</v>
      </c>
      <c r="L95" s="74">
        <v>46327</v>
      </c>
      <c r="M95" s="74">
        <v>46752</v>
      </c>
      <c r="N95" s="74">
        <v>84946</v>
      </c>
      <c r="O95" s="74">
        <v>115877</v>
      </c>
      <c r="P95" s="74">
        <v>0</v>
      </c>
      <c r="Q95" s="74">
        <v>0</v>
      </c>
      <c r="R95" s="74">
        <v>0</v>
      </c>
      <c r="S95" s="74">
        <v>0</v>
      </c>
      <c r="T95" s="74">
        <v>0</v>
      </c>
      <c r="U95" s="74">
        <v>0</v>
      </c>
      <c r="V95" s="74">
        <v>0</v>
      </c>
      <c r="W95" s="74">
        <v>0</v>
      </c>
      <c r="X95" s="74">
        <v>0</v>
      </c>
      <c r="Y95" s="74">
        <v>0</v>
      </c>
      <c r="Z95" s="74">
        <v>0</v>
      </c>
      <c r="AA95" s="74">
        <v>0</v>
      </c>
      <c r="AB95" s="74">
        <v>0</v>
      </c>
      <c r="AC95" s="74">
        <v>0</v>
      </c>
      <c r="AD95" s="74">
        <v>0</v>
      </c>
      <c r="AE95" s="74">
        <v>0</v>
      </c>
      <c r="AF95" s="74">
        <v>0</v>
      </c>
      <c r="AG95" s="74">
        <v>0</v>
      </c>
      <c r="AH95" s="74">
        <v>0</v>
      </c>
      <c r="AI95" s="74">
        <v>0</v>
      </c>
      <c r="AJ95" s="74">
        <v>0</v>
      </c>
      <c r="AK95" s="74"/>
      <c r="AL95" s="74">
        <v>-2790</v>
      </c>
      <c r="AM95" s="74">
        <v>8965</v>
      </c>
      <c r="AN95" s="74">
        <v>11404</v>
      </c>
      <c r="AO95" s="74">
        <v>29173</v>
      </c>
      <c r="AP95" s="74">
        <v>4788</v>
      </c>
      <c r="AQ95" s="74">
        <v>16476</v>
      </c>
      <c r="AR95" s="74">
        <v>21217</v>
      </c>
      <c r="AS95" s="74">
        <v>42465</v>
      </c>
      <c r="AT95" s="74">
        <v>18989</v>
      </c>
      <c r="AU95" s="74">
        <v>25281</v>
      </c>
      <c r="AV95" s="74">
        <v>25971</v>
      </c>
      <c r="AW95" s="74">
        <v>45636</v>
      </c>
      <c r="AX95" s="74">
        <v>17015</v>
      </c>
      <c r="AY95" s="74">
        <v>32515</v>
      </c>
      <c r="AZ95" s="74">
        <v>35525</v>
      </c>
      <c r="BA95" s="74">
        <v>0</v>
      </c>
      <c r="BB95" s="74">
        <v>0</v>
      </c>
      <c r="BC95" s="74">
        <v>0</v>
      </c>
      <c r="BD95" s="74">
        <v>0</v>
      </c>
      <c r="BE95" s="74">
        <v>0</v>
      </c>
      <c r="BF95" s="74">
        <v>0</v>
      </c>
      <c r="BG95" s="74">
        <v>0</v>
      </c>
      <c r="BH95" s="74">
        <v>0</v>
      </c>
      <c r="BI95" s="74">
        <v>0</v>
      </c>
      <c r="BJ95" s="74">
        <v>0</v>
      </c>
      <c r="BK95" s="74">
        <v>0</v>
      </c>
      <c r="BL95" s="74">
        <v>0</v>
      </c>
      <c r="BM95" s="74">
        <v>0</v>
      </c>
      <c r="BN95" s="74">
        <v>0</v>
      </c>
      <c r="BO95" s="74">
        <v>0</v>
      </c>
      <c r="BP95" s="74">
        <v>0</v>
      </c>
      <c r="BQ95" s="74">
        <v>0</v>
      </c>
      <c r="BR95" s="74">
        <v>0</v>
      </c>
      <c r="BS95" s="74">
        <v>0</v>
      </c>
      <c r="BT95" s="74">
        <v>0</v>
      </c>
      <c r="BU95" s="74">
        <v>0</v>
      </c>
      <c r="BV95" s="74">
        <v>0</v>
      </c>
      <c r="BW95" s="74">
        <v>0</v>
      </c>
      <c r="BX95" s="74">
        <v>0</v>
      </c>
      <c r="BY95" s="74">
        <v>0</v>
      </c>
      <c r="BZ95" s="74">
        <v>0</v>
      </c>
      <c r="CA95" s="74">
        <v>0</v>
      </c>
      <c r="CB95" s="74">
        <v>0</v>
      </c>
      <c r="CC95" s="74">
        <v>0</v>
      </c>
      <c r="CD95" s="74">
        <v>0</v>
      </c>
      <c r="CE95" s="74">
        <v>0</v>
      </c>
      <c r="CF95" s="74">
        <v>0</v>
      </c>
      <c r="CG95" s="74">
        <v>0</v>
      </c>
      <c r="CH95" s="74">
        <v>0</v>
      </c>
      <c r="CI95" s="74">
        <v>0</v>
      </c>
      <c r="CJ95" s="74">
        <v>0</v>
      </c>
      <c r="CK95" s="74">
        <v>0</v>
      </c>
      <c r="CL95" s="74">
        <v>0</v>
      </c>
      <c r="CM95" s="74">
        <v>0</v>
      </c>
      <c r="CN95" s="74">
        <v>0</v>
      </c>
      <c r="CO95" s="74">
        <v>0</v>
      </c>
      <c r="CP95" s="74">
        <v>0</v>
      </c>
      <c r="CQ95" s="74">
        <v>0</v>
      </c>
      <c r="CR95" s="74">
        <v>0</v>
      </c>
      <c r="CS95" s="74">
        <v>0</v>
      </c>
      <c r="CT95" s="74">
        <v>0</v>
      </c>
      <c r="CU95" s="74">
        <v>0</v>
      </c>
      <c r="CV95" s="74">
        <v>0</v>
      </c>
      <c r="CW95" s="74">
        <v>0</v>
      </c>
      <c r="CX95" s="74">
        <v>0</v>
      </c>
      <c r="CY95" s="74">
        <v>0</v>
      </c>
      <c r="CZ95" s="74">
        <v>0</v>
      </c>
      <c r="DA95" s="74">
        <v>0</v>
      </c>
      <c r="DB95" s="74">
        <v>0</v>
      </c>
      <c r="DC95" s="74">
        <v>0</v>
      </c>
      <c r="DD95" s="74">
        <v>0</v>
      </c>
      <c r="DE95" s="74">
        <v>0</v>
      </c>
      <c r="DF95" s="74">
        <v>0</v>
      </c>
      <c r="DG95" s="74">
        <v>0</v>
      </c>
      <c r="DH95" s="74">
        <v>0</v>
      </c>
      <c r="DI95" s="74">
        <v>0</v>
      </c>
      <c r="DJ95" s="74">
        <v>0</v>
      </c>
      <c r="DK95" s="74">
        <v>0</v>
      </c>
      <c r="DL95" s="74">
        <v>0</v>
      </c>
      <c r="DM95" s="74">
        <v>0</v>
      </c>
      <c r="DN95" s="74">
        <v>0</v>
      </c>
      <c r="DO95" s="74">
        <v>0</v>
      </c>
      <c r="DP95" s="74">
        <v>0</v>
      </c>
      <c r="DQ95" s="74">
        <v>0</v>
      </c>
      <c r="DR95" s="74">
        <v>0</v>
      </c>
      <c r="DS95" s="74">
        <v>0</v>
      </c>
      <c r="DT95" s="74">
        <v>0</v>
      </c>
      <c r="DU95" s="74">
        <v>0</v>
      </c>
      <c r="DV95" s="74">
        <v>0</v>
      </c>
      <c r="DW95" s="74">
        <v>0</v>
      </c>
      <c r="DX95" s="74">
        <v>0</v>
      </c>
      <c r="DY95" s="74">
        <v>0</v>
      </c>
      <c r="DZ95" s="74">
        <v>0</v>
      </c>
      <c r="EA95" s="74">
        <v>0</v>
      </c>
      <c r="EB95" s="74">
        <v>0</v>
      </c>
      <c r="EC95" s="74">
        <v>0</v>
      </c>
      <c r="ED95" s="74"/>
      <c r="EE95" s="68">
        <v>46009</v>
      </c>
      <c r="EF95" s="81">
        <v>46009.521181944445</v>
      </c>
      <c r="EG95" s="2" t="s">
        <v>69</v>
      </c>
      <c r="EH95" s="76">
        <v>1</v>
      </c>
      <c r="EI95" s="76" t="s">
        <v>32</v>
      </c>
      <c r="EJ95" s="74" t="s">
        <v>244</v>
      </c>
      <c r="EK95" s="78"/>
      <c r="EL95" s="74"/>
      <c r="EM95" s="74"/>
      <c r="EN95" s="68"/>
      <c r="ER95" s="73"/>
      <c r="ES95" s="74"/>
      <c r="ET95" s="74"/>
      <c r="EU95" s="74"/>
      <c r="EV95" s="74"/>
      <c r="EW95" s="74"/>
      <c r="EX95" s="74"/>
      <c r="EY95" s="74"/>
      <c r="EZ95" s="74"/>
      <c r="FA95" s="74"/>
      <c r="FB95" s="74"/>
      <c r="FC95" s="74"/>
      <c r="FD95" s="74"/>
      <c r="FE95" s="74"/>
      <c r="FF95" s="74"/>
      <c r="FG95" s="74"/>
      <c r="FH95" s="74"/>
      <c r="FI95" s="74"/>
      <c r="FJ95" s="74"/>
      <c r="FK95" s="68"/>
    </row>
    <row r="96" spans="1:167" s="2" customFormat="1" ht="15" x14ac:dyDescent="0.3">
      <c r="A96" s="73" t="s">
        <v>5</v>
      </c>
      <c r="B96" s="73" t="s">
        <v>236</v>
      </c>
      <c r="C96" s="73" t="s">
        <v>43</v>
      </c>
      <c r="D96" s="73" t="s">
        <v>48</v>
      </c>
      <c r="E96" s="73" t="s">
        <v>178</v>
      </c>
      <c r="F96" s="73" t="s">
        <v>210</v>
      </c>
      <c r="G96" s="73" t="s">
        <v>216</v>
      </c>
      <c r="H96" s="73"/>
      <c r="I96" s="74">
        <v>-13427</v>
      </c>
      <c r="J96" s="74">
        <v>-16861</v>
      </c>
      <c r="K96" s="74">
        <v>-40140</v>
      </c>
      <c r="L96" s="74">
        <v>-61053</v>
      </c>
      <c r="M96" s="74">
        <v>-63645</v>
      </c>
      <c r="N96" s="74">
        <v>-52729</v>
      </c>
      <c r="O96" s="74">
        <v>-82999</v>
      </c>
      <c r="P96" s="74">
        <v>0</v>
      </c>
      <c r="Q96" s="74">
        <v>0</v>
      </c>
      <c r="R96" s="74">
        <v>0</v>
      </c>
      <c r="S96" s="74">
        <v>0</v>
      </c>
      <c r="T96" s="74">
        <v>0</v>
      </c>
      <c r="U96" s="74">
        <v>0</v>
      </c>
      <c r="V96" s="74">
        <v>0</v>
      </c>
      <c r="W96" s="74">
        <v>0</v>
      </c>
      <c r="X96" s="74">
        <v>0</v>
      </c>
      <c r="Y96" s="74">
        <v>0</v>
      </c>
      <c r="Z96" s="74">
        <v>0</v>
      </c>
      <c r="AA96" s="74">
        <v>0</v>
      </c>
      <c r="AB96" s="74">
        <v>0</v>
      </c>
      <c r="AC96" s="74">
        <v>0</v>
      </c>
      <c r="AD96" s="74">
        <v>0</v>
      </c>
      <c r="AE96" s="74">
        <v>0</v>
      </c>
      <c r="AF96" s="74">
        <v>0</v>
      </c>
      <c r="AG96" s="74">
        <v>0</v>
      </c>
      <c r="AH96" s="74">
        <v>0</v>
      </c>
      <c r="AI96" s="74">
        <v>0</v>
      </c>
      <c r="AJ96" s="74">
        <v>0</v>
      </c>
      <c r="AK96" s="74"/>
      <c r="AL96" s="74">
        <v>-14951</v>
      </c>
      <c r="AM96" s="74">
        <v>-15724</v>
      </c>
      <c r="AN96" s="74">
        <v>-16378</v>
      </c>
      <c r="AO96" s="74">
        <v>-16592</v>
      </c>
      <c r="AP96" s="74">
        <v>-14207</v>
      </c>
      <c r="AQ96" s="74">
        <v>-11455</v>
      </c>
      <c r="AR96" s="74">
        <v>-12479</v>
      </c>
      <c r="AS96" s="74">
        <v>-14588</v>
      </c>
      <c r="AT96" s="74">
        <v>-14925</v>
      </c>
      <c r="AU96" s="74">
        <v>-17620</v>
      </c>
      <c r="AV96" s="74">
        <v>-22620</v>
      </c>
      <c r="AW96" s="74">
        <v>-27834</v>
      </c>
      <c r="AX96" s="74">
        <v>-25019</v>
      </c>
      <c r="AY96" s="74">
        <v>-32183</v>
      </c>
      <c r="AZ96" s="74">
        <v>-35095</v>
      </c>
      <c r="BA96" s="74">
        <v>0</v>
      </c>
      <c r="BB96" s="74">
        <v>0</v>
      </c>
      <c r="BC96" s="74">
        <v>0</v>
      </c>
      <c r="BD96" s="74">
        <v>0</v>
      </c>
      <c r="BE96" s="74">
        <v>0</v>
      </c>
      <c r="BF96" s="74">
        <v>0</v>
      </c>
      <c r="BG96" s="74">
        <v>0</v>
      </c>
      <c r="BH96" s="74">
        <v>0</v>
      </c>
      <c r="BI96" s="74">
        <v>0</v>
      </c>
      <c r="BJ96" s="74">
        <v>0</v>
      </c>
      <c r="BK96" s="74">
        <v>0</v>
      </c>
      <c r="BL96" s="74">
        <v>0</v>
      </c>
      <c r="BM96" s="74">
        <v>0</v>
      </c>
      <c r="BN96" s="74">
        <v>0</v>
      </c>
      <c r="BO96" s="74">
        <v>0</v>
      </c>
      <c r="BP96" s="74">
        <v>0</v>
      </c>
      <c r="BQ96" s="74">
        <v>0</v>
      </c>
      <c r="BR96" s="74">
        <v>0</v>
      </c>
      <c r="BS96" s="74">
        <v>0</v>
      </c>
      <c r="BT96" s="74">
        <v>0</v>
      </c>
      <c r="BU96" s="74">
        <v>0</v>
      </c>
      <c r="BV96" s="74">
        <v>0</v>
      </c>
      <c r="BW96" s="74">
        <v>0</v>
      </c>
      <c r="BX96" s="74">
        <v>0</v>
      </c>
      <c r="BY96" s="74">
        <v>0</v>
      </c>
      <c r="BZ96" s="74">
        <v>0</v>
      </c>
      <c r="CA96" s="74">
        <v>0</v>
      </c>
      <c r="CB96" s="74">
        <v>0</v>
      </c>
      <c r="CC96" s="74">
        <v>0</v>
      </c>
      <c r="CD96" s="74">
        <v>0</v>
      </c>
      <c r="CE96" s="74">
        <v>0</v>
      </c>
      <c r="CF96" s="74">
        <v>0</v>
      </c>
      <c r="CG96" s="74">
        <v>0</v>
      </c>
      <c r="CH96" s="74">
        <v>0</v>
      </c>
      <c r="CI96" s="74">
        <v>0</v>
      </c>
      <c r="CJ96" s="74">
        <v>0</v>
      </c>
      <c r="CK96" s="74">
        <v>0</v>
      </c>
      <c r="CL96" s="74">
        <v>0</v>
      </c>
      <c r="CM96" s="74">
        <v>0</v>
      </c>
      <c r="CN96" s="74">
        <v>0</v>
      </c>
      <c r="CO96" s="74">
        <v>0</v>
      </c>
      <c r="CP96" s="74">
        <v>0</v>
      </c>
      <c r="CQ96" s="74">
        <v>0</v>
      </c>
      <c r="CR96" s="74">
        <v>0</v>
      </c>
      <c r="CS96" s="74">
        <v>0</v>
      </c>
      <c r="CT96" s="74">
        <v>0</v>
      </c>
      <c r="CU96" s="74">
        <v>0</v>
      </c>
      <c r="CV96" s="74">
        <v>0</v>
      </c>
      <c r="CW96" s="74">
        <v>0</v>
      </c>
      <c r="CX96" s="74">
        <v>0</v>
      </c>
      <c r="CY96" s="74">
        <v>0</v>
      </c>
      <c r="CZ96" s="74">
        <v>0</v>
      </c>
      <c r="DA96" s="74">
        <v>0</v>
      </c>
      <c r="DB96" s="74">
        <v>0</v>
      </c>
      <c r="DC96" s="74">
        <v>0</v>
      </c>
      <c r="DD96" s="74">
        <v>0</v>
      </c>
      <c r="DE96" s="74">
        <v>0</v>
      </c>
      <c r="DF96" s="74">
        <v>0</v>
      </c>
      <c r="DG96" s="74">
        <v>0</v>
      </c>
      <c r="DH96" s="74">
        <v>0</v>
      </c>
      <c r="DI96" s="74">
        <v>0</v>
      </c>
      <c r="DJ96" s="74">
        <v>0</v>
      </c>
      <c r="DK96" s="74">
        <v>0</v>
      </c>
      <c r="DL96" s="74">
        <v>0</v>
      </c>
      <c r="DM96" s="74">
        <v>0</v>
      </c>
      <c r="DN96" s="74">
        <v>0</v>
      </c>
      <c r="DO96" s="74">
        <v>0</v>
      </c>
      <c r="DP96" s="74">
        <v>0</v>
      </c>
      <c r="DQ96" s="74">
        <v>0</v>
      </c>
      <c r="DR96" s="74">
        <v>0</v>
      </c>
      <c r="DS96" s="74">
        <v>0</v>
      </c>
      <c r="DT96" s="74">
        <v>0</v>
      </c>
      <c r="DU96" s="74">
        <v>0</v>
      </c>
      <c r="DV96" s="74">
        <v>0</v>
      </c>
      <c r="DW96" s="74">
        <v>0</v>
      </c>
      <c r="DX96" s="74">
        <v>0</v>
      </c>
      <c r="DY96" s="74">
        <v>0</v>
      </c>
      <c r="DZ96" s="74">
        <v>0</v>
      </c>
      <c r="EA96" s="74">
        <v>0</v>
      </c>
      <c r="EB96" s="74">
        <v>0</v>
      </c>
      <c r="EC96" s="74">
        <v>0</v>
      </c>
      <c r="ED96" s="74"/>
      <c r="EE96" s="68">
        <v>46009</v>
      </c>
      <c r="EF96" s="81">
        <v>46009.521181944445</v>
      </c>
      <c r="EG96" s="2" t="s">
        <v>69</v>
      </c>
      <c r="EH96" s="76">
        <v>1</v>
      </c>
      <c r="EI96" s="76" t="s">
        <v>32</v>
      </c>
      <c r="EJ96" s="74" t="s">
        <v>244</v>
      </c>
      <c r="EK96" s="78"/>
      <c r="EL96" s="74"/>
      <c r="EM96" s="74"/>
      <c r="EN96" s="68"/>
      <c r="ER96" s="73"/>
      <c r="ES96" s="74"/>
      <c r="ET96" s="74"/>
      <c r="EU96" s="74"/>
      <c r="EV96" s="74"/>
      <c r="EW96" s="74"/>
      <c r="EX96" s="74"/>
      <c r="EY96" s="74"/>
      <c r="EZ96" s="74"/>
      <c r="FA96" s="74"/>
      <c r="FB96" s="74"/>
      <c r="FC96" s="74"/>
      <c r="FD96" s="74"/>
      <c r="FE96" s="74"/>
      <c r="FF96" s="74"/>
      <c r="FG96" s="74"/>
      <c r="FH96" s="74"/>
      <c r="FI96" s="74"/>
      <c r="FJ96" s="74"/>
      <c r="FK96" s="68"/>
    </row>
    <row r="97" spans="1:183" s="2" customFormat="1" ht="15" x14ac:dyDescent="0.3">
      <c r="A97" s="73" t="s">
        <v>25</v>
      </c>
      <c r="B97" s="73" t="s">
        <v>25</v>
      </c>
      <c r="C97" s="73" t="s">
        <v>221</v>
      </c>
      <c r="D97" s="73" t="s">
        <v>48</v>
      </c>
      <c r="E97" s="73" t="s">
        <v>178</v>
      </c>
      <c r="F97" s="73" t="s">
        <v>210</v>
      </c>
      <c r="G97" s="73" t="s">
        <v>216</v>
      </c>
      <c r="H97" s="73"/>
      <c r="I97" s="74">
        <v>17296</v>
      </c>
      <c r="J97" s="74">
        <v>21653</v>
      </c>
      <c r="K97" s="74">
        <v>25924</v>
      </c>
      <c r="L97" s="74">
        <v>-14726</v>
      </c>
      <c r="M97" s="74">
        <v>-16893</v>
      </c>
      <c r="N97" s="74">
        <v>32217</v>
      </c>
      <c r="O97" s="74">
        <v>32878</v>
      </c>
      <c r="P97" s="74">
        <v>0</v>
      </c>
      <c r="Q97" s="74">
        <v>0</v>
      </c>
      <c r="R97" s="74">
        <v>0</v>
      </c>
      <c r="S97" s="74">
        <v>0</v>
      </c>
      <c r="T97" s="74">
        <v>0</v>
      </c>
      <c r="U97" s="74">
        <v>0</v>
      </c>
      <c r="V97" s="74">
        <v>0</v>
      </c>
      <c r="W97" s="74">
        <v>0</v>
      </c>
      <c r="X97" s="74">
        <v>0</v>
      </c>
      <c r="Y97" s="74">
        <v>0</v>
      </c>
      <c r="Z97" s="74">
        <v>0</v>
      </c>
      <c r="AA97" s="74">
        <v>0</v>
      </c>
      <c r="AB97" s="74">
        <v>0</v>
      </c>
      <c r="AC97" s="74">
        <v>0</v>
      </c>
      <c r="AD97" s="74">
        <v>0</v>
      </c>
      <c r="AE97" s="74">
        <v>0</v>
      </c>
      <c r="AF97" s="74">
        <v>0</v>
      </c>
      <c r="AG97" s="74">
        <v>0</v>
      </c>
      <c r="AH97" s="74">
        <v>0</v>
      </c>
      <c r="AI97" s="74">
        <v>0</v>
      </c>
      <c r="AJ97" s="74">
        <v>0</v>
      </c>
      <c r="AK97" s="74"/>
      <c r="AL97" s="74">
        <v>12161</v>
      </c>
      <c r="AM97" s="74">
        <v>24689</v>
      </c>
      <c r="AN97" s="74">
        <v>27782</v>
      </c>
      <c r="AO97" s="74">
        <v>45765</v>
      </c>
      <c r="AP97" s="74">
        <v>18995</v>
      </c>
      <c r="AQ97" s="74">
        <v>27931</v>
      </c>
      <c r="AR97" s="74">
        <v>33696</v>
      </c>
      <c r="AS97" s="74">
        <v>57053</v>
      </c>
      <c r="AT97" s="74">
        <v>33914</v>
      </c>
      <c r="AU97" s="74">
        <v>42901</v>
      </c>
      <c r="AV97" s="74">
        <v>48591</v>
      </c>
      <c r="AW97" s="74">
        <v>73470</v>
      </c>
      <c r="AX97" s="74">
        <v>42034</v>
      </c>
      <c r="AY97" s="74">
        <v>64698</v>
      </c>
      <c r="AZ97" s="74">
        <v>70620</v>
      </c>
      <c r="BA97" s="74">
        <v>0</v>
      </c>
      <c r="BB97" s="74">
        <v>0</v>
      </c>
      <c r="BC97" s="74">
        <v>0</v>
      </c>
      <c r="BD97" s="74">
        <v>0</v>
      </c>
      <c r="BE97" s="74">
        <v>0</v>
      </c>
      <c r="BF97" s="74">
        <v>0</v>
      </c>
      <c r="BG97" s="74">
        <v>0</v>
      </c>
      <c r="BH97" s="74">
        <v>0</v>
      </c>
      <c r="BI97" s="74">
        <v>0</v>
      </c>
      <c r="BJ97" s="74">
        <v>0</v>
      </c>
      <c r="BK97" s="74">
        <v>0</v>
      </c>
      <c r="BL97" s="74">
        <v>0</v>
      </c>
      <c r="BM97" s="74">
        <v>0</v>
      </c>
      <c r="BN97" s="74">
        <v>0</v>
      </c>
      <c r="BO97" s="74">
        <v>0</v>
      </c>
      <c r="BP97" s="74">
        <v>0</v>
      </c>
      <c r="BQ97" s="74">
        <v>0</v>
      </c>
      <c r="BR97" s="74">
        <v>0</v>
      </c>
      <c r="BS97" s="74">
        <v>0</v>
      </c>
      <c r="BT97" s="74">
        <v>0</v>
      </c>
      <c r="BU97" s="74">
        <v>0</v>
      </c>
      <c r="BV97" s="74">
        <v>0</v>
      </c>
      <c r="BW97" s="74">
        <v>0</v>
      </c>
      <c r="BX97" s="74">
        <v>0</v>
      </c>
      <c r="BY97" s="74">
        <v>0</v>
      </c>
      <c r="BZ97" s="74">
        <v>0</v>
      </c>
      <c r="CA97" s="74">
        <v>0</v>
      </c>
      <c r="CB97" s="74">
        <v>0</v>
      </c>
      <c r="CC97" s="74">
        <v>0</v>
      </c>
      <c r="CD97" s="74">
        <v>0</v>
      </c>
      <c r="CE97" s="74">
        <v>0</v>
      </c>
      <c r="CF97" s="74">
        <v>0</v>
      </c>
      <c r="CG97" s="74">
        <v>0</v>
      </c>
      <c r="CH97" s="74">
        <v>0</v>
      </c>
      <c r="CI97" s="74">
        <v>0</v>
      </c>
      <c r="CJ97" s="74">
        <v>0</v>
      </c>
      <c r="CK97" s="74">
        <v>0</v>
      </c>
      <c r="CL97" s="74">
        <v>0</v>
      </c>
      <c r="CM97" s="74">
        <v>0</v>
      </c>
      <c r="CN97" s="74">
        <v>0</v>
      </c>
      <c r="CO97" s="74">
        <v>0</v>
      </c>
      <c r="CP97" s="74">
        <v>0</v>
      </c>
      <c r="CQ97" s="74">
        <v>0</v>
      </c>
      <c r="CR97" s="74">
        <v>0</v>
      </c>
      <c r="CS97" s="74">
        <v>0</v>
      </c>
      <c r="CT97" s="74">
        <v>0</v>
      </c>
      <c r="CU97" s="74">
        <v>0</v>
      </c>
      <c r="CV97" s="74">
        <v>0</v>
      </c>
      <c r="CW97" s="74">
        <v>0</v>
      </c>
      <c r="CX97" s="74">
        <v>0</v>
      </c>
      <c r="CY97" s="74">
        <v>0</v>
      </c>
      <c r="CZ97" s="74">
        <v>0</v>
      </c>
      <c r="DA97" s="74">
        <v>0</v>
      </c>
      <c r="DB97" s="74">
        <v>0</v>
      </c>
      <c r="DC97" s="74">
        <v>0</v>
      </c>
      <c r="DD97" s="74">
        <v>0</v>
      </c>
      <c r="DE97" s="74">
        <v>0</v>
      </c>
      <c r="DF97" s="74">
        <v>0</v>
      </c>
      <c r="DG97" s="74">
        <v>0</v>
      </c>
      <c r="DH97" s="74">
        <v>0</v>
      </c>
      <c r="DI97" s="74">
        <v>0</v>
      </c>
      <c r="DJ97" s="74">
        <v>0</v>
      </c>
      <c r="DK97" s="74">
        <v>0</v>
      </c>
      <c r="DL97" s="74">
        <v>0</v>
      </c>
      <c r="DM97" s="74">
        <v>0</v>
      </c>
      <c r="DN97" s="74">
        <v>0</v>
      </c>
      <c r="DO97" s="74">
        <v>0</v>
      </c>
      <c r="DP97" s="74">
        <v>0</v>
      </c>
      <c r="DQ97" s="74">
        <v>0</v>
      </c>
      <c r="DR97" s="74">
        <v>0</v>
      </c>
      <c r="DS97" s="74">
        <v>0</v>
      </c>
      <c r="DT97" s="74">
        <v>0</v>
      </c>
      <c r="DU97" s="74">
        <v>0</v>
      </c>
      <c r="DV97" s="74">
        <v>0</v>
      </c>
      <c r="DW97" s="74">
        <v>0</v>
      </c>
      <c r="DX97" s="74">
        <v>0</v>
      </c>
      <c r="DY97" s="74">
        <v>0</v>
      </c>
      <c r="DZ97" s="74">
        <v>0</v>
      </c>
      <c r="EA97" s="74">
        <v>0</v>
      </c>
      <c r="EB97" s="74">
        <v>0</v>
      </c>
      <c r="EC97" s="74">
        <v>0</v>
      </c>
      <c r="ED97" s="74"/>
      <c r="EE97" s="68">
        <v>46009</v>
      </c>
      <c r="EF97" s="81">
        <v>46009.521181944445</v>
      </c>
      <c r="EG97" s="2" t="s">
        <v>69</v>
      </c>
      <c r="EH97" s="76">
        <v>1</v>
      </c>
      <c r="EI97" s="76" t="s">
        <v>32</v>
      </c>
      <c r="EJ97" s="74" t="s">
        <v>244</v>
      </c>
      <c r="EK97" s="78"/>
      <c r="EL97" s="74"/>
      <c r="EM97" s="74"/>
      <c r="EN97" s="68"/>
      <c r="ER97" s="73"/>
      <c r="ES97" s="74"/>
      <c r="ET97" s="74"/>
      <c r="EU97" s="74"/>
      <c r="EV97" s="74"/>
      <c r="EW97" s="74"/>
      <c r="EX97" s="74"/>
      <c r="EY97" s="74"/>
      <c r="EZ97" s="74"/>
      <c r="FA97" s="74"/>
      <c r="FB97" s="74"/>
      <c r="FC97" s="74"/>
      <c r="FD97" s="74"/>
      <c r="FE97" s="74"/>
      <c r="FF97" s="74"/>
      <c r="FG97" s="74"/>
      <c r="FH97" s="74"/>
      <c r="FI97" s="74"/>
      <c r="FJ97" s="74"/>
      <c r="FK97" s="68"/>
    </row>
    <row r="98" spans="1:183" s="2" customFormat="1" ht="15" x14ac:dyDescent="0.3">
      <c r="A98" s="73" t="s">
        <v>179</v>
      </c>
      <c r="B98" s="73" t="s">
        <v>237</v>
      </c>
      <c r="C98" s="73" t="s">
        <v>222</v>
      </c>
      <c r="D98" s="73" t="s">
        <v>48</v>
      </c>
      <c r="E98" s="73" t="s">
        <v>178</v>
      </c>
      <c r="F98" s="73" t="s">
        <v>210</v>
      </c>
      <c r="G98" s="73" t="s">
        <v>223</v>
      </c>
      <c r="H98" s="73"/>
      <c r="I98" s="74">
        <v>0</v>
      </c>
      <c r="J98" s="74">
        <v>279139.29166666669</v>
      </c>
      <c r="K98" s="74">
        <v>379570.5625</v>
      </c>
      <c r="L98" s="74">
        <v>470209.25</v>
      </c>
      <c r="M98" s="74">
        <v>512444.21568627452</v>
      </c>
      <c r="N98" s="74">
        <v>570828.56666666665</v>
      </c>
      <c r="O98" s="74">
        <v>637832.47945205483</v>
      </c>
      <c r="P98" s="74">
        <v>0</v>
      </c>
      <c r="Q98" s="74">
        <v>0</v>
      </c>
      <c r="R98" s="74">
        <v>0</v>
      </c>
      <c r="S98" s="74">
        <v>0</v>
      </c>
      <c r="T98" s="74">
        <v>0</v>
      </c>
      <c r="U98" s="74">
        <v>0</v>
      </c>
      <c r="V98" s="74">
        <v>0</v>
      </c>
      <c r="W98" s="74">
        <v>0</v>
      </c>
      <c r="X98" s="74">
        <v>0</v>
      </c>
      <c r="Y98" s="74">
        <v>0</v>
      </c>
      <c r="Z98" s="74">
        <v>0</v>
      </c>
      <c r="AA98" s="74">
        <v>0</v>
      </c>
      <c r="AB98" s="74">
        <v>0</v>
      </c>
      <c r="AC98" s="74">
        <v>0</v>
      </c>
      <c r="AD98" s="74">
        <v>0</v>
      </c>
      <c r="AE98" s="74">
        <v>0</v>
      </c>
      <c r="AF98" s="74">
        <v>0</v>
      </c>
      <c r="AG98" s="74">
        <v>0</v>
      </c>
      <c r="AH98" s="74">
        <v>0</v>
      </c>
      <c r="AI98" s="74">
        <v>0</v>
      </c>
      <c r="AJ98" s="74">
        <v>0</v>
      </c>
      <c r="AK98" s="74"/>
      <c r="AL98" s="74">
        <v>0</v>
      </c>
      <c r="AM98" s="74">
        <v>0</v>
      </c>
      <c r="AN98" s="74">
        <v>0</v>
      </c>
      <c r="AO98" s="74">
        <v>0</v>
      </c>
      <c r="AP98" s="74">
        <v>0</v>
      </c>
      <c r="AQ98" s="74">
        <v>0</v>
      </c>
      <c r="AR98" s="74">
        <v>0</v>
      </c>
      <c r="AS98" s="74">
        <v>0</v>
      </c>
      <c r="AT98" s="74">
        <v>0</v>
      </c>
      <c r="AU98" s="74">
        <v>0</v>
      </c>
      <c r="AV98" s="74">
        <v>0</v>
      </c>
      <c r="AW98" s="74">
        <v>0</v>
      </c>
      <c r="AX98" s="74">
        <v>0</v>
      </c>
      <c r="AY98" s="74">
        <v>0</v>
      </c>
      <c r="AZ98" s="74">
        <v>0</v>
      </c>
      <c r="BA98" s="74">
        <v>0</v>
      </c>
      <c r="BB98" s="74">
        <v>0</v>
      </c>
      <c r="BC98" s="74">
        <v>0</v>
      </c>
      <c r="BD98" s="74">
        <v>0</v>
      </c>
      <c r="BE98" s="74">
        <v>0</v>
      </c>
      <c r="BF98" s="74">
        <v>0</v>
      </c>
      <c r="BG98" s="74">
        <v>0</v>
      </c>
      <c r="BH98" s="74">
        <v>0</v>
      </c>
      <c r="BI98" s="74">
        <v>0</v>
      </c>
      <c r="BJ98" s="74">
        <v>0</v>
      </c>
      <c r="BK98" s="74">
        <v>0</v>
      </c>
      <c r="BL98" s="74">
        <v>0</v>
      </c>
      <c r="BM98" s="74">
        <v>0</v>
      </c>
      <c r="BN98" s="74">
        <v>0</v>
      </c>
      <c r="BO98" s="74">
        <v>0</v>
      </c>
      <c r="BP98" s="74">
        <v>0</v>
      </c>
      <c r="BQ98" s="74">
        <v>0</v>
      </c>
      <c r="BR98" s="74">
        <v>0</v>
      </c>
      <c r="BS98" s="74">
        <v>0</v>
      </c>
      <c r="BT98" s="74">
        <v>0</v>
      </c>
      <c r="BU98" s="74">
        <v>0</v>
      </c>
      <c r="BV98" s="74">
        <v>0</v>
      </c>
      <c r="BW98" s="74">
        <v>0</v>
      </c>
      <c r="BX98" s="74">
        <v>0</v>
      </c>
      <c r="BY98" s="74">
        <v>0</v>
      </c>
      <c r="BZ98" s="74">
        <v>0</v>
      </c>
      <c r="CA98" s="74">
        <v>0</v>
      </c>
      <c r="CB98" s="74">
        <v>0</v>
      </c>
      <c r="CC98" s="74">
        <v>0</v>
      </c>
      <c r="CD98" s="74">
        <v>0</v>
      </c>
      <c r="CE98" s="74">
        <v>0</v>
      </c>
      <c r="CF98" s="74">
        <v>0</v>
      </c>
      <c r="CG98" s="74">
        <v>0</v>
      </c>
      <c r="CH98" s="74">
        <v>0</v>
      </c>
      <c r="CI98" s="74">
        <v>0</v>
      </c>
      <c r="CJ98" s="74">
        <v>0</v>
      </c>
      <c r="CK98" s="74">
        <v>0</v>
      </c>
      <c r="CL98" s="74">
        <v>0</v>
      </c>
      <c r="CM98" s="74">
        <v>0</v>
      </c>
      <c r="CN98" s="74">
        <v>0</v>
      </c>
      <c r="CO98" s="74">
        <v>0</v>
      </c>
      <c r="CP98" s="74">
        <v>0</v>
      </c>
      <c r="CQ98" s="74">
        <v>0</v>
      </c>
      <c r="CR98" s="74">
        <v>0</v>
      </c>
      <c r="CS98" s="74">
        <v>0</v>
      </c>
      <c r="CT98" s="74">
        <v>0</v>
      </c>
      <c r="CU98" s="74">
        <v>0</v>
      </c>
      <c r="CV98" s="74">
        <v>0</v>
      </c>
      <c r="CW98" s="74">
        <v>0</v>
      </c>
      <c r="CX98" s="74">
        <v>0</v>
      </c>
      <c r="CY98" s="74">
        <v>0</v>
      </c>
      <c r="CZ98" s="74">
        <v>0</v>
      </c>
      <c r="DA98" s="74">
        <v>0</v>
      </c>
      <c r="DB98" s="74">
        <v>0</v>
      </c>
      <c r="DC98" s="74">
        <v>0</v>
      </c>
      <c r="DD98" s="74">
        <v>0</v>
      </c>
      <c r="DE98" s="74">
        <v>0</v>
      </c>
      <c r="DF98" s="74">
        <v>0</v>
      </c>
      <c r="DG98" s="74">
        <v>0</v>
      </c>
      <c r="DH98" s="74">
        <v>0</v>
      </c>
      <c r="DI98" s="74">
        <v>0</v>
      </c>
      <c r="DJ98" s="74">
        <v>0</v>
      </c>
      <c r="DK98" s="74">
        <v>0</v>
      </c>
      <c r="DL98" s="74">
        <v>0</v>
      </c>
      <c r="DM98" s="74">
        <v>0</v>
      </c>
      <c r="DN98" s="74">
        <v>0</v>
      </c>
      <c r="DO98" s="74">
        <v>0</v>
      </c>
      <c r="DP98" s="74">
        <v>0</v>
      </c>
      <c r="DQ98" s="74">
        <v>0</v>
      </c>
      <c r="DR98" s="74">
        <v>0</v>
      </c>
      <c r="DS98" s="74">
        <v>0</v>
      </c>
      <c r="DT98" s="74">
        <v>0</v>
      </c>
      <c r="DU98" s="74">
        <v>0</v>
      </c>
      <c r="DV98" s="74">
        <v>0</v>
      </c>
      <c r="DW98" s="74">
        <v>0</v>
      </c>
      <c r="DX98" s="74">
        <v>0</v>
      </c>
      <c r="DY98" s="74">
        <v>0</v>
      </c>
      <c r="DZ98" s="74">
        <v>0</v>
      </c>
      <c r="EA98" s="74">
        <v>0</v>
      </c>
      <c r="EB98" s="74">
        <v>0</v>
      </c>
      <c r="EC98" s="74">
        <v>0</v>
      </c>
      <c r="ED98" s="74"/>
      <c r="EE98" s="68">
        <v>46009</v>
      </c>
      <c r="EF98" s="81">
        <v>46009.521181944445</v>
      </c>
      <c r="EG98" s="2" t="s">
        <v>69</v>
      </c>
      <c r="EH98" s="76">
        <v>1</v>
      </c>
      <c r="EI98" s="76" t="s">
        <v>32</v>
      </c>
      <c r="EJ98" s="74" t="s">
        <v>244</v>
      </c>
      <c r="EK98" s="66"/>
      <c r="EL98" s="66"/>
      <c r="EM98" s="66"/>
      <c r="EN98" s="66"/>
      <c r="EO98" s="82"/>
      <c r="EP98" s="82"/>
      <c r="EQ98" s="77"/>
      <c r="ER98" s="84"/>
      <c r="ES98" s="84"/>
      <c r="ET98" s="84"/>
      <c r="EU98" s="85"/>
      <c r="EV98" s="86"/>
      <c r="EW98" s="85"/>
      <c r="EX98" s="85"/>
      <c r="EY98" s="76"/>
      <c r="EZ98" s="74"/>
      <c r="FA98" s="74"/>
      <c r="FB98" s="74"/>
      <c r="FC98" s="74"/>
      <c r="FD98" s="68"/>
      <c r="FH98" s="73"/>
      <c r="FI98" s="74"/>
      <c r="FJ98" s="74"/>
      <c r="FK98" s="74"/>
      <c r="FL98" s="74"/>
      <c r="FM98" s="74"/>
      <c r="FN98" s="74"/>
      <c r="FO98" s="74"/>
      <c r="FP98" s="74"/>
      <c r="FQ98" s="74"/>
      <c r="FR98" s="74"/>
      <c r="FS98" s="74"/>
      <c r="FT98" s="74"/>
      <c r="FU98" s="74"/>
      <c r="FV98" s="74"/>
      <c r="FW98" s="74"/>
      <c r="FX98" s="74"/>
      <c r="FY98" s="74"/>
      <c r="FZ98" s="74"/>
      <c r="GA98" s="68"/>
    </row>
    <row r="99" spans="1:183" s="2" customFormat="1" ht="15" x14ac:dyDescent="0.3">
      <c r="A99" s="73" t="s">
        <v>180</v>
      </c>
      <c r="B99" s="73" t="s">
        <v>238</v>
      </c>
      <c r="C99" s="73" t="s">
        <v>224</v>
      </c>
      <c r="D99" s="73" t="s">
        <v>48</v>
      </c>
      <c r="E99" s="73" t="s">
        <v>178</v>
      </c>
      <c r="F99" s="73" t="s">
        <v>210</v>
      </c>
      <c r="G99" s="73" t="s">
        <v>223</v>
      </c>
      <c r="H99" s="73"/>
      <c r="I99" s="74">
        <v>0</v>
      </c>
      <c r="J99" s="74">
        <v>41495.956521739099</v>
      </c>
      <c r="K99" s="74">
        <v>54004.304347826102</v>
      </c>
      <c r="L99" s="74">
        <v>69215.75</v>
      </c>
      <c r="M99" s="74">
        <v>71134.100000000006</v>
      </c>
      <c r="N99" s="74">
        <v>105558.108108108</v>
      </c>
      <c r="O99" s="74">
        <v>141591.42857142899</v>
      </c>
      <c r="P99" s="74">
        <v>0</v>
      </c>
      <c r="Q99" s="74">
        <v>0</v>
      </c>
      <c r="R99" s="74">
        <v>0</v>
      </c>
      <c r="S99" s="74">
        <v>0</v>
      </c>
      <c r="T99" s="74">
        <v>0</v>
      </c>
      <c r="U99" s="74">
        <v>0</v>
      </c>
      <c r="V99" s="74">
        <v>0</v>
      </c>
      <c r="W99" s="74">
        <v>0</v>
      </c>
      <c r="X99" s="74">
        <v>0</v>
      </c>
      <c r="Y99" s="74">
        <v>0</v>
      </c>
      <c r="Z99" s="74">
        <v>0</v>
      </c>
      <c r="AA99" s="74">
        <v>0</v>
      </c>
      <c r="AB99" s="74">
        <v>0</v>
      </c>
      <c r="AC99" s="74">
        <v>0</v>
      </c>
      <c r="AD99" s="74">
        <v>0</v>
      </c>
      <c r="AE99" s="74">
        <v>0</v>
      </c>
      <c r="AF99" s="74">
        <v>0</v>
      </c>
      <c r="AG99" s="74">
        <v>0</v>
      </c>
      <c r="AH99" s="74">
        <v>0</v>
      </c>
      <c r="AI99" s="74">
        <v>0</v>
      </c>
      <c r="AJ99" s="74">
        <v>0</v>
      </c>
      <c r="AK99" s="74"/>
      <c r="AL99" s="74">
        <v>0</v>
      </c>
      <c r="AM99" s="74">
        <v>0</v>
      </c>
      <c r="AN99" s="74">
        <v>0</v>
      </c>
      <c r="AO99" s="74">
        <v>0</v>
      </c>
      <c r="AP99" s="74">
        <v>0</v>
      </c>
      <c r="AQ99" s="74">
        <v>0</v>
      </c>
      <c r="AR99" s="74">
        <v>0</v>
      </c>
      <c r="AS99" s="74">
        <v>0</v>
      </c>
      <c r="AT99" s="74">
        <v>0</v>
      </c>
      <c r="AU99" s="74">
        <v>0</v>
      </c>
      <c r="AV99" s="74">
        <v>0</v>
      </c>
      <c r="AW99" s="74">
        <v>0</v>
      </c>
      <c r="AX99" s="74">
        <v>0</v>
      </c>
      <c r="AY99" s="74">
        <v>0</v>
      </c>
      <c r="AZ99" s="74">
        <v>0</v>
      </c>
      <c r="BA99" s="74">
        <v>0</v>
      </c>
      <c r="BB99" s="74">
        <v>0</v>
      </c>
      <c r="BC99" s="74">
        <v>0</v>
      </c>
      <c r="BD99" s="74">
        <v>0</v>
      </c>
      <c r="BE99" s="74">
        <v>0</v>
      </c>
      <c r="BF99" s="74">
        <v>0</v>
      </c>
      <c r="BG99" s="74">
        <v>0</v>
      </c>
      <c r="BH99" s="74">
        <v>0</v>
      </c>
      <c r="BI99" s="74">
        <v>0</v>
      </c>
      <c r="BJ99" s="74">
        <v>0</v>
      </c>
      <c r="BK99" s="74">
        <v>0</v>
      </c>
      <c r="BL99" s="74">
        <v>0</v>
      </c>
      <c r="BM99" s="74">
        <v>0</v>
      </c>
      <c r="BN99" s="74">
        <v>0</v>
      </c>
      <c r="BO99" s="74">
        <v>0</v>
      </c>
      <c r="BP99" s="74">
        <v>0</v>
      </c>
      <c r="BQ99" s="74">
        <v>0</v>
      </c>
      <c r="BR99" s="74">
        <v>0</v>
      </c>
      <c r="BS99" s="74">
        <v>0</v>
      </c>
      <c r="BT99" s="74">
        <v>0</v>
      </c>
      <c r="BU99" s="74">
        <v>0</v>
      </c>
      <c r="BV99" s="74">
        <v>0</v>
      </c>
      <c r="BW99" s="74">
        <v>0</v>
      </c>
      <c r="BX99" s="74">
        <v>0</v>
      </c>
      <c r="BY99" s="74">
        <v>0</v>
      </c>
      <c r="BZ99" s="74">
        <v>0</v>
      </c>
      <c r="CA99" s="74">
        <v>0</v>
      </c>
      <c r="CB99" s="74">
        <v>0</v>
      </c>
      <c r="CC99" s="74">
        <v>0</v>
      </c>
      <c r="CD99" s="74">
        <v>0</v>
      </c>
      <c r="CE99" s="74">
        <v>0</v>
      </c>
      <c r="CF99" s="74">
        <v>0</v>
      </c>
      <c r="CG99" s="74">
        <v>0</v>
      </c>
      <c r="CH99" s="74">
        <v>0</v>
      </c>
      <c r="CI99" s="74">
        <v>0</v>
      </c>
      <c r="CJ99" s="74">
        <v>0</v>
      </c>
      <c r="CK99" s="74">
        <v>0</v>
      </c>
      <c r="CL99" s="74">
        <v>0</v>
      </c>
      <c r="CM99" s="74">
        <v>0</v>
      </c>
      <c r="CN99" s="74">
        <v>0</v>
      </c>
      <c r="CO99" s="74">
        <v>0</v>
      </c>
      <c r="CP99" s="74">
        <v>0</v>
      </c>
      <c r="CQ99" s="74">
        <v>0</v>
      </c>
      <c r="CR99" s="74">
        <v>0</v>
      </c>
      <c r="CS99" s="74">
        <v>0</v>
      </c>
      <c r="CT99" s="74">
        <v>0</v>
      </c>
      <c r="CU99" s="74">
        <v>0</v>
      </c>
      <c r="CV99" s="74">
        <v>0</v>
      </c>
      <c r="CW99" s="74">
        <v>0</v>
      </c>
      <c r="CX99" s="74">
        <v>0</v>
      </c>
      <c r="CY99" s="74">
        <v>0</v>
      </c>
      <c r="CZ99" s="74">
        <v>0</v>
      </c>
      <c r="DA99" s="74">
        <v>0</v>
      </c>
      <c r="DB99" s="74">
        <v>0</v>
      </c>
      <c r="DC99" s="74">
        <v>0</v>
      </c>
      <c r="DD99" s="74">
        <v>0</v>
      </c>
      <c r="DE99" s="74">
        <v>0</v>
      </c>
      <c r="DF99" s="74">
        <v>0</v>
      </c>
      <c r="DG99" s="74">
        <v>0</v>
      </c>
      <c r="DH99" s="74">
        <v>0</v>
      </c>
      <c r="DI99" s="74">
        <v>0</v>
      </c>
      <c r="DJ99" s="74">
        <v>0</v>
      </c>
      <c r="DK99" s="74">
        <v>0</v>
      </c>
      <c r="DL99" s="74">
        <v>0</v>
      </c>
      <c r="DM99" s="74">
        <v>0</v>
      </c>
      <c r="DN99" s="74">
        <v>0</v>
      </c>
      <c r="DO99" s="74">
        <v>0</v>
      </c>
      <c r="DP99" s="74">
        <v>0</v>
      </c>
      <c r="DQ99" s="74">
        <v>0</v>
      </c>
      <c r="DR99" s="74">
        <v>0</v>
      </c>
      <c r="DS99" s="74">
        <v>0</v>
      </c>
      <c r="DT99" s="74">
        <v>0</v>
      </c>
      <c r="DU99" s="74">
        <v>0</v>
      </c>
      <c r="DV99" s="74">
        <v>0</v>
      </c>
      <c r="DW99" s="74">
        <v>0</v>
      </c>
      <c r="DX99" s="74">
        <v>0</v>
      </c>
      <c r="DY99" s="74">
        <v>0</v>
      </c>
      <c r="DZ99" s="74">
        <v>0</v>
      </c>
      <c r="EA99" s="74">
        <v>0</v>
      </c>
      <c r="EB99" s="74">
        <v>0</v>
      </c>
      <c r="EC99" s="74">
        <v>0</v>
      </c>
      <c r="ED99" s="74"/>
      <c r="EE99" s="68">
        <v>46009</v>
      </c>
      <c r="EF99" s="81">
        <v>46009.521181944445</v>
      </c>
      <c r="EG99" s="2" t="s">
        <v>69</v>
      </c>
      <c r="EH99" s="76">
        <v>1</v>
      </c>
      <c r="EI99" s="76" t="s">
        <v>32</v>
      </c>
      <c r="EJ99" s="74" t="s">
        <v>244</v>
      </c>
      <c r="EK99" s="66"/>
      <c r="EL99" s="66"/>
      <c r="EM99" s="66"/>
      <c r="EN99" s="66"/>
      <c r="EO99" s="82"/>
      <c r="EP99" s="82"/>
      <c r="EQ99" s="77"/>
      <c r="ER99" s="84"/>
      <c r="ES99" s="84"/>
      <c r="ET99" s="84"/>
      <c r="EU99" s="85"/>
      <c r="EV99" s="86"/>
      <c r="EW99" s="85"/>
      <c r="EX99" s="85"/>
      <c r="EY99" s="76"/>
      <c r="EZ99" s="74"/>
      <c r="FA99" s="74"/>
      <c r="FB99" s="74"/>
      <c r="FC99" s="74"/>
      <c r="FD99" s="68"/>
      <c r="FH99" s="73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68"/>
    </row>
    <row r="100" spans="1:183" s="2" customFormat="1" ht="15" x14ac:dyDescent="0.3">
      <c r="A100" s="73" t="s">
        <v>207</v>
      </c>
      <c r="B100" s="73" t="s">
        <v>239</v>
      </c>
      <c r="C100" s="73" t="s">
        <v>225</v>
      </c>
      <c r="D100" s="73" t="s">
        <v>48</v>
      </c>
      <c r="E100" s="73" t="s">
        <v>178</v>
      </c>
      <c r="F100" s="73" t="s">
        <v>210</v>
      </c>
      <c r="G100" s="73" t="s">
        <v>223</v>
      </c>
      <c r="H100" s="73"/>
      <c r="I100" s="74">
        <v>0</v>
      </c>
      <c r="J100" s="74">
        <v>10074.585362273148</v>
      </c>
      <c r="K100" s="74">
        <v>10207.024050742588</v>
      </c>
      <c r="L100" s="74">
        <v>10295.779883213234</v>
      </c>
      <c r="M100" s="74">
        <v>10151.036700934954</v>
      </c>
      <c r="N100" s="74">
        <v>10448.534335803881</v>
      </c>
      <c r="O100" s="74">
        <v>10673.972331158458</v>
      </c>
      <c r="P100" s="74">
        <v>0</v>
      </c>
      <c r="Q100" s="74">
        <v>0</v>
      </c>
      <c r="R100" s="74">
        <v>0</v>
      </c>
      <c r="S100" s="74">
        <v>0</v>
      </c>
      <c r="T100" s="74">
        <v>0</v>
      </c>
      <c r="U100" s="74">
        <v>0</v>
      </c>
      <c r="V100" s="74">
        <v>0</v>
      </c>
      <c r="W100" s="74">
        <v>0</v>
      </c>
      <c r="X100" s="74">
        <v>0</v>
      </c>
      <c r="Y100" s="74">
        <v>0</v>
      </c>
      <c r="Z100" s="74">
        <v>0</v>
      </c>
      <c r="AA100" s="74">
        <v>0</v>
      </c>
      <c r="AB100" s="74">
        <v>0</v>
      </c>
      <c r="AC100" s="74">
        <v>0</v>
      </c>
      <c r="AD100" s="74">
        <v>0</v>
      </c>
      <c r="AE100" s="74">
        <v>0</v>
      </c>
      <c r="AF100" s="74">
        <v>0</v>
      </c>
      <c r="AG100" s="74">
        <v>0</v>
      </c>
      <c r="AH100" s="74">
        <v>0</v>
      </c>
      <c r="AI100" s="74">
        <v>0</v>
      </c>
      <c r="AJ100" s="74">
        <v>0</v>
      </c>
      <c r="AK100" s="74"/>
      <c r="AL100" s="74">
        <v>0</v>
      </c>
      <c r="AM100" s="74">
        <v>0</v>
      </c>
      <c r="AN100" s="74">
        <v>0</v>
      </c>
      <c r="AO100" s="74">
        <v>0</v>
      </c>
      <c r="AP100" s="74">
        <v>0</v>
      </c>
      <c r="AQ100" s="74">
        <v>0</v>
      </c>
      <c r="AR100" s="74">
        <v>0</v>
      </c>
      <c r="AS100" s="74">
        <v>0</v>
      </c>
      <c r="AT100" s="74">
        <v>0</v>
      </c>
      <c r="AU100" s="74">
        <v>0</v>
      </c>
      <c r="AV100" s="74">
        <v>0</v>
      </c>
      <c r="AW100" s="74">
        <v>0</v>
      </c>
      <c r="AX100" s="74">
        <v>0</v>
      </c>
      <c r="AY100" s="74">
        <v>0</v>
      </c>
      <c r="AZ100" s="74">
        <v>0</v>
      </c>
      <c r="BA100" s="74">
        <v>0</v>
      </c>
      <c r="BB100" s="74">
        <v>0</v>
      </c>
      <c r="BC100" s="74">
        <v>0</v>
      </c>
      <c r="BD100" s="74">
        <v>0</v>
      </c>
      <c r="BE100" s="74">
        <v>0</v>
      </c>
      <c r="BF100" s="74">
        <v>0</v>
      </c>
      <c r="BG100" s="74">
        <v>0</v>
      </c>
      <c r="BH100" s="74">
        <v>0</v>
      </c>
      <c r="BI100" s="74">
        <v>0</v>
      </c>
      <c r="BJ100" s="74">
        <v>0</v>
      </c>
      <c r="BK100" s="74">
        <v>0</v>
      </c>
      <c r="BL100" s="74">
        <v>0</v>
      </c>
      <c r="BM100" s="74">
        <v>0</v>
      </c>
      <c r="BN100" s="74">
        <v>0</v>
      </c>
      <c r="BO100" s="74">
        <v>0</v>
      </c>
      <c r="BP100" s="74">
        <v>0</v>
      </c>
      <c r="BQ100" s="74">
        <v>0</v>
      </c>
      <c r="BR100" s="74">
        <v>0</v>
      </c>
      <c r="BS100" s="74">
        <v>0</v>
      </c>
      <c r="BT100" s="74">
        <v>0</v>
      </c>
      <c r="BU100" s="74">
        <v>0</v>
      </c>
      <c r="BV100" s="74">
        <v>0</v>
      </c>
      <c r="BW100" s="74">
        <v>0</v>
      </c>
      <c r="BX100" s="74">
        <v>0</v>
      </c>
      <c r="BY100" s="74">
        <v>0</v>
      </c>
      <c r="BZ100" s="74">
        <v>0</v>
      </c>
      <c r="CA100" s="74">
        <v>0</v>
      </c>
      <c r="CB100" s="74">
        <v>0</v>
      </c>
      <c r="CC100" s="74">
        <v>0</v>
      </c>
      <c r="CD100" s="74">
        <v>0</v>
      </c>
      <c r="CE100" s="74">
        <v>0</v>
      </c>
      <c r="CF100" s="74">
        <v>0</v>
      </c>
      <c r="CG100" s="74">
        <v>0</v>
      </c>
      <c r="CH100" s="74">
        <v>0</v>
      </c>
      <c r="CI100" s="74">
        <v>0</v>
      </c>
      <c r="CJ100" s="74">
        <v>0</v>
      </c>
      <c r="CK100" s="74">
        <v>0</v>
      </c>
      <c r="CL100" s="74">
        <v>0</v>
      </c>
      <c r="CM100" s="74">
        <v>0</v>
      </c>
      <c r="CN100" s="74">
        <v>0</v>
      </c>
      <c r="CO100" s="74">
        <v>0</v>
      </c>
      <c r="CP100" s="74">
        <v>0</v>
      </c>
      <c r="CQ100" s="74">
        <v>0</v>
      </c>
      <c r="CR100" s="74">
        <v>0</v>
      </c>
      <c r="CS100" s="74">
        <v>0</v>
      </c>
      <c r="CT100" s="74">
        <v>0</v>
      </c>
      <c r="CU100" s="74">
        <v>0</v>
      </c>
      <c r="CV100" s="74">
        <v>0</v>
      </c>
      <c r="CW100" s="74">
        <v>0</v>
      </c>
      <c r="CX100" s="74">
        <v>0</v>
      </c>
      <c r="CY100" s="74">
        <v>0</v>
      </c>
      <c r="CZ100" s="74">
        <v>0</v>
      </c>
      <c r="DA100" s="74">
        <v>0</v>
      </c>
      <c r="DB100" s="74">
        <v>0</v>
      </c>
      <c r="DC100" s="74">
        <v>0</v>
      </c>
      <c r="DD100" s="74">
        <v>0</v>
      </c>
      <c r="DE100" s="74">
        <v>0</v>
      </c>
      <c r="DF100" s="74">
        <v>0</v>
      </c>
      <c r="DG100" s="74">
        <v>0</v>
      </c>
      <c r="DH100" s="74">
        <v>0</v>
      </c>
      <c r="DI100" s="74">
        <v>0</v>
      </c>
      <c r="DJ100" s="74">
        <v>0</v>
      </c>
      <c r="DK100" s="74">
        <v>0</v>
      </c>
      <c r="DL100" s="74">
        <v>0</v>
      </c>
      <c r="DM100" s="74">
        <v>0</v>
      </c>
      <c r="DN100" s="74">
        <v>0</v>
      </c>
      <c r="DO100" s="74">
        <v>0</v>
      </c>
      <c r="DP100" s="74">
        <v>0</v>
      </c>
      <c r="DQ100" s="74">
        <v>0</v>
      </c>
      <c r="DR100" s="74">
        <v>0</v>
      </c>
      <c r="DS100" s="74">
        <v>0</v>
      </c>
      <c r="DT100" s="74">
        <v>0</v>
      </c>
      <c r="DU100" s="74">
        <v>0</v>
      </c>
      <c r="DV100" s="74">
        <v>0</v>
      </c>
      <c r="DW100" s="74">
        <v>0</v>
      </c>
      <c r="DX100" s="74">
        <v>0</v>
      </c>
      <c r="DY100" s="74">
        <v>0</v>
      </c>
      <c r="DZ100" s="74">
        <v>0</v>
      </c>
      <c r="EA100" s="74">
        <v>0</v>
      </c>
      <c r="EB100" s="74">
        <v>0</v>
      </c>
      <c r="EC100" s="74">
        <v>0</v>
      </c>
      <c r="ED100" s="74"/>
      <c r="EE100" s="68">
        <v>46009</v>
      </c>
      <c r="EF100" s="81">
        <v>46009.521181944445</v>
      </c>
      <c r="EG100" s="2" t="s">
        <v>69</v>
      </c>
      <c r="EH100" s="76">
        <v>1</v>
      </c>
      <c r="EI100" s="76" t="s">
        <v>32</v>
      </c>
      <c r="EJ100" s="74" t="s">
        <v>244</v>
      </c>
      <c r="EK100" s="66"/>
      <c r="EL100" s="66"/>
      <c r="EM100" s="66"/>
      <c r="EN100" s="66"/>
      <c r="EO100" s="82"/>
      <c r="EP100" s="82"/>
      <c r="EQ100" s="77"/>
      <c r="ER100" s="84"/>
      <c r="ES100" s="84"/>
      <c r="ET100" s="84"/>
      <c r="EU100" s="85"/>
      <c r="EV100" s="86"/>
      <c r="EW100" s="85"/>
      <c r="EX100" s="85"/>
      <c r="EY100" s="76"/>
      <c r="EZ100" s="74"/>
      <c r="FA100" s="74"/>
      <c r="FB100" s="74"/>
      <c r="FC100" s="74"/>
      <c r="FD100" s="68"/>
      <c r="FH100" s="73"/>
      <c r="FI100" s="74"/>
      <c r="FJ100" s="74"/>
      <c r="FK100" s="74"/>
      <c r="FL100" s="74"/>
      <c r="FM100" s="74"/>
      <c r="FN100" s="74"/>
      <c r="FO100" s="74"/>
      <c r="FP100" s="74"/>
      <c r="FQ100" s="74"/>
      <c r="FR100" s="74"/>
      <c r="FS100" s="74"/>
      <c r="FT100" s="74"/>
      <c r="FU100" s="74"/>
      <c r="FV100" s="74"/>
      <c r="FW100" s="74"/>
      <c r="FX100" s="74"/>
      <c r="FY100" s="74"/>
      <c r="FZ100" s="74"/>
      <c r="GA100" s="68"/>
    </row>
    <row r="101" spans="1:183" s="2" customFormat="1" ht="15" x14ac:dyDescent="0.3">
      <c r="A101" s="73" t="s">
        <v>208</v>
      </c>
      <c r="B101" s="73" t="s">
        <v>240</v>
      </c>
      <c r="C101" s="73" t="s">
        <v>226</v>
      </c>
      <c r="D101" s="73" t="s">
        <v>48</v>
      </c>
      <c r="E101" s="73" t="s">
        <v>178</v>
      </c>
      <c r="F101" s="73" t="s">
        <v>210</v>
      </c>
      <c r="G101" s="73" t="s">
        <v>223</v>
      </c>
      <c r="H101" s="73"/>
      <c r="I101" s="74">
        <v>0</v>
      </c>
      <c r="J101" s="74">
        <v>10385.205128205127</v>
      </c>
      <c r="K101" s="74">
        <v>17745.512195121952</v>
      </c>
      <c r="L101" s="74">
        <v>21217.463414634149</v>
      </c>
      <c r="M101" s="74">
        <v>7220</v>
      </c>
      <c r="N101" s="74">
        <v>28282.276595744683</v>
      </c>
      <c r="O101" s="74">
        <v>54832.070175438595</v>
      </c>
      <c r="P101" s="74">
        <v>0</v>
      </c>
      <c r="Q101" s="74">
        <v>0</v>
      </c>
      <c r="R101" s="74">
        <v>0</v>
      </c>
      <c r="S101" s="74">
        <v>0</v>
      </c>
      <c r="T101" s="74">
        <v>0</v>
      </c>
      <c r="U101" s="74">
        <v>0</v>
      </c>
      <c r="V101" s="74">
        <v>0</v>
      </c>
      <c r="W101" s="74">
        <v>0</v>
      </c>
      <c r="X101" s="74">
        <v>0</v>
      </c>
      <c r="Y101" s="74">
        <v>0</v>
      </c>
      <c r="Z101" s="74">
        <v>0</v>
      </c>
      <c r="AA101" s="74">
        <v>0</v>
      </c>
      <c r="AB101" s="74">
        <v>0</v>
      </c>
      <c r="AC101" s="74">
        <v>0</v>
      </c>
      <c r="AD101" s="74">
        <v>0</v>
      </c>
      <c r="AE101" s="74">
        <v>0</v>
      </c>
      <c r="AF101" s="74">
        <v>0</v>
      </c>
      <c r="AG101" s="74">
        <v>0</v>
      </c>
      <c r="AH101" s="74">
        <v>0</v>
      </c>
      <c r="AI101" s="74">
        <v>0</v>
      </c>
      <c r="AJ101" s="74">
        <v>0</v>
      </c>
      <c r="AK101" s="74"/>
      <c r="AL101" s="74">
        <v>0</v>
      </c>
      <c r="AM101" s="74">
        <v>0</v>
      </c>
      <c r="AN101" s="74">
        <v>0</v>
      </c>
      <c r="AO101" s="74">
        <v>0</v>
      </c>
      <c r="AP101" s="74">
        <v>0</v>
      </c>
      <c r="AQ101" s="74">
        <v>0</v>
      </c>
      <c r="AR101" s="74">
        <v>0</v>
      </c>
      <c r="AS101" s="74">
        <v>0</v>
      </c>
      <c r="AT101" s="74">
        <v>0</v>
      </c>
      <c r="AU101" s="74">
        <v>0</v>
      </c>
      <c r="AV101" s="74">
        <v>0</v>
      </c>
      <c r="AW101" s="74">
        <v>0</v>
      </c>
      <c r="AX101" s="74">
        <v>0</v>
      </c>
      <c r="AY101" s="74">
        <v>0</v>
      </c>
      <c r="AZ101" s="74">
        <v>0</v>
      </c>
      <c r="BA101" s="74">
        <v>0</v>
      </c>
      <c r="BB101" s="74">
        <v>0</v>
      </c>
      <c r="BC101" s="74">
        <v>0</v>
      </c>
      <c r="BD101" s="74">
        <v>0</v>
      </c>
      <c r="BE101" s="74">
        <v>0</v>
      </c>
      <c r="BF101" s="74">
        <v>0</v>
      </c>
      <c r="BG101" s="74">
        <v>0</v>
      </c>
      <c r="BH101" s="74">
        <v>0</v>
      </c>
      <c r="BI101" s="74">
        <v>0</v>
      </c>
      <c r="BJ101" s="74">
        <v>0</v>
      </c>
      <c r="BK101" s="74">
        <v>0</v>
      </c>
      <c r="BL101" s="74">
        <v>0</v>
      </c>
      <c r="BM101" s="74">
        <v>0</v>
      </c>
      <c r="BN101" s="74">
        <v>0</v>
      </c>
      <c r="BO101" s="74">
        <v>0</v>
      </c>
      <c r="BP101" s="74">
        <v>0</v>
      </c>
      <c r="BQ101" s="74">
        <v>0</v>
      </c>
      <c r="BR101" s="74">
        <v>0</v>
      </c>
      <c r="BS101" s="74">
        <v>0</v>
      </c>
      <c r="BT101" s="74">
        <v>0</v>
      </c>
      <c r="BU101" s="74">
        <v>0</v>
      </c>
      <c r="BV101" s="74">
        <v>0</v>
      </c>
      <c r="BW101" s="74">
        <v>0</v>
      </c>
      <c r="BX101" s="74">
        <v>0</v>
      </c>
      <c r="BY101" s="74">
        <v>0</v>
      </c>
      <c r="BZ101" s="74">
        <v>0</v>
      </c>
      <c r="CA101" s="74">
        <v>0</v>
      </c>
      <c r="CB101" s="74">
        <v>0</v>
      </c>
      <c r="CC101" s="74">
        <v>0</v>
      </c>
      <c r="CD101" s="74">
        <v>0</v>
      </c>
      <c r="CE101" s="74">
        <v>0</v>
      </c>
      <c r="CF101" s="74">
        <v>0</v>
      </c>
      <c r="CG101" s="74">
        <v>0</v>
      </c>
      <c r="CH101" s="74">
        <v>0</v>
      </c>
      <c r="CI101" s="74">
        <v>0</v>
      </c>
      <c r="CJ101" s="74">
        <v>0</v>
      </c>
      <c r="CK101" s="74">
        <v>0</v>
      </c>
      <c r="CL101" s="74">
        <v>0</v>
      </c>
      <c r="CM101" s="74">
        <v>0</v>
      </c>
      <c r="CN101" s="74">
        <v>0</v>
      </c>
      <c r="CO101" s="74">
        <v>0</v>
      </c>
      <c r="CP101" s="74">
        <v>0</v>
      </c>
      <c r="CQ101" s="74">
        <v>0</v>
      </c>
      <c r="CR101" s="74">
        <v>0</v>
      </c>
      <c r="CS101" s="74">
        <v>0</v>
      </c>
      <c r="CT101" s="74">
        <v>0</v>
      </c>
      <c r="CU101" s="74">
        <v>0</v>
      </c>
      <c r="CV101" s="74">
        <v>0</v>
      </c>
      <c r="CW101" s="74">
        <v>0</v>
      </c>
      <c r="CX101" s="74">
        <v>0</v>
      </c>
      <c r="CY101" s="74">
        <v>0</v>
      </c>
      <c r="CZ101" s="74">
        <v>0</v>
      </c>
      <c r="DA101" s="74">
        <v>0</v>
      </c>
      <c r="DB101" s="74">
        <v>0</v>
      </c>
      <c r="DC101" s="74">
        <v>0</v>
      </c>
      <c r="DD101" s="74">
        <v>0</v>
      </c>
      <c r="DE101" s="74">
        <v>0</v>
      </c>
      <c r="DF101" s="74">
        <v>0</v>
      </c>
      <c r="DG101" s="74">
        <v>0</v>
      </c>
      <c r="DH101" s="74">
        <v>0</v>
      </c>
      <c r="DI101" s="74">
        <v>0</v>
      </c>
      <c r="DJ101" s="74">
        <v>0</v>
      </c>
      <c r="DK101" s="74">
        <v>0</v>
      </c>
      <c r="DL101" s="74">
        <v>0</v>
      </c>
      <c r="DM101" s="74">
        <v>0</v>
      </c>
      <c r="DN101" s="74">
        <v>0</v>
      </c>
      <c r="DO101" s="74">
        <v>0</v>
      </c>
      <c r="DP101" s="74">
        <v>0</v>
      </c>
      <c r="DQ101" s="74">
        <v>0</v>
      </c>
      <c r="DR101" s="74">
        <v>0</v>
      </c>
      <c r="DS101" s="74">
        <v>0</v>
      </c>
      <c r="DT101" s="74">
        <v>0</v>
      </c>
      <c r="DU101" s="74">
        <v>0</v>
      </c>
      <c r="DV101" s="74">
        <v>0</v>
      </c>
      <c r="DW101" s="74">
        <v>0</v>
      </c>
      <c r="DX101" s="74">
        <v>0</v>
      </c>
      <c r="DY101" s="74">
        <v>0</v>
      </c>
      <c r="DZ101" s="74">
        <v>0</v>
      </c>
      <c r="EA101" s="74">
        <v>0</v>
      </c>
      <c r="EB101" s="74">
        <v>0</v>
      </c>
      <c r="EC101" s="74">
        <v>0</v>
      </c>
      <c r="ED101" s="74"/>
      <c r="EE101" s="68">
        <v>46009</v>
      </c>
      <c r="EF101" s="81">
        <v>46009.521181944445</v>
      </c>
      <c r="EG101" s="2" t="s">
        <v>69</v>
      </c>
      <c r="EH101" s="76">
        <v>1</v>
      </c>
      <c r="EI101" s="76" t="s">
        <v>32</v>
      </c>
      <c r="EJ101" s="74" t="s">
        <v>244</v>
      </c>
      <c r="EK101" s="66"/>
      <c r="EL101" s="66"/>
      <c r="EM101" s="66"/>
      <c r="EN101" s="66"/>
      <c r="EO101" s="82"/>
      <c r="EP101" s="82"/>
      <c r="EQ101" s="77"/>
      <c r="ER101" s="84"/>
      <c r="ES101" s="84"/>
      <c r="ET101" s="84"/>
      <c r="EU101" s="85"/>
      <c r="EV101" s="86"/>
      <c r="EW101" s="85"/>
      <c r="EX101" s="85"/>
      <c r="EY101" s="76"/>
      <c r="EZ101" s="74"/>
      <c r="FA101" s="74"/>
      <c r="FB101" s="74"/>
      <c r="FC101" s="74"/>
      <c r="FD101" s="68"/>
      <c r="FH101" s="73"/>
      <c r="FI101" s="74"/>
      <c r="FJ101" s="74"/>
      <c r="FK101" s="74"/>
      <c r="FL101" s="74"/>
      <c r="FM101" s="74"/>
      <c r="FN101" s="74"/>
      <c r="FO101" s="74"/>
      <c r="FP101" s="74"/>
      <c r="FQ101" s="74"/>
      <c r="FR101" s="74"/>
      <c r="FS101" s="74"/>
      <c r="FT101" s="74"/>
      <c r="FU101" s="74"/>
      <c r="FV101" s="74"/>
      <c r="FW101" s="74"/>
      <c r="FX101" s="74"/>
      <c r="FY101" s="74"/>
      <c r="FZ101" s="74"/>
      <c r="GA101" s="68"/>
    </row>
    <row r="102" spans="1:183" s="2" customFormat="1" ht="15" x14ac:dyDescent="0.3">
      <c r="A102" s="73" t="s">
        <v>49</v>
      </c>
      <c r="B102" s="73" t="s">
        <v>50</v>
      </c>
      <c r="C102" s="73" t="s">
        <v>222</v>
      </c>
      <c r="D102" s="73" t="s">
        <v>45</v>
      </c>
      <c r="E102" s="73" t="s">
        <v>178</v>
      </c>
      <c r="F102" s="73" t="s">
        <v>210</v>
      </c>
      <c r="G102" s="73" t="s">
        <v>227</v>
      </c>
      <c r="H102" s="73"/>
      <c r="I102" s="74">
        <v>141366</v>
      </c>
      <c r="J102" s="74">
        <v>170773</v>
      </c>
      <c r="K102" s="74">
        <v>236282</v>
      </c>
      <c r="L102" s="74">
        <v>279833</v>
      </c>
      <c r="M102" s="74">
        <v>315880</v>
      </c>
      <c r="N102" s="74">
        <v>352828</v>
      </c>
      <c r="O102" s="74">
        <v>387497</v>
      </c>
      <c r="P102" s="74">
        <v>0</v>
      </c>
      <c r="Q102" s="74">
        <v>0</v>
      </c>
      <c r="R102" s="74">
        <v>0</v>
      </c>
      <c r="S102" s="74">
        <v>0</v>
      </c>
      <c r="T102" s="74">
        <v>0</v>
      </c>
      <c r="U102" s="74">
        <v>0</v>
      </c>
      <c r="V102" s="74">
        <v>0</v>
      </c>
      <c r="W102" s="74">
        <v>0</v>
      </c>
      <c r="X102" s="74">
        <v>0</v>
      </c>
      <c r="Y102" s="74">
        <v>0</v>
      </c>
      <c r="Z102" s="74">
        <v>0</v>
      </c>
      <c r="AA102" s="74">
        <v>0</v>
      </c>
      <c r="AB102" s="74">
        <v>0</v>
      </c>
      <c r="AC102" s="74">
        <v>0</v>
      </c>
      <c r="AD102" s="74">
        <v>0</v>
      </c>
      <c r="AE102" s="74">
        <v>0</v>
      </c>
      <c r="AF102" s="74">
        <v>0</v>
      </c>
      <c r="AG102" s="74">
        <v>0</v>
      </c>
      <c r="AH102" s="74">
        <v>0</v>
      </c>
      <c r="AI102" s="74">
        <v>0</v>
      </c>
      <c r="AJ102" s="74">
        <v>0</v>
      </c>
      <c r="AK102" s="74"/>
      <c r="AL102" s="74">
        <v>69244</v>
      </c>
      <c r="AM102" s="74">
        <v>74430</v>
      </c>
      <c r="AN102" s="74">
        <v>78843</v>
      </c>
      <c r="AO102" s="74">
        <v>93363</v>
      </c>
      <c r="AP102" s="74">
        <v>76881</v>
      </c>
      <c r="AQ102" s="74">
        <v>82546</v>
      </c>
      <c r="AR102" s="74">
        <v>87887</v>
      </c>
      <c r="AS102" s="74">
        <v>105514</v>
      </c>
      <c r="AT102" s="74">
        <v>86341</v>
      </c>
      <c r="AU102" s="74">
        <v>90033</v>
      </c>
      <c r="AV102" s="74">
        <v>95537</v>
      </c>
      <c r="AW102" s="74">
        <v>115586</v>
      </c>
      <c r="AX102" s="74">
        <v>92887</v>
      </c>
      <c r="AY102" s="74">
        <v>100068</v>
      </c>
      <c r="AZ102" s="74">
        <v>106267</v>
      </c>
      <c r="BA102" s="74">
        <v>0</v>
      </c>
      <c r="BB102" s="74">
        <v>0</v>
      </c>
      <c r="BC102" s="74">
        <v>0</v>
      </c>
      <c r="BD102" s="74">
        <v>0</v>
      </c>
      <c r="BE102" s="74">
        <v>0</v>
      </c>
      <c r="BF102" s="74">
        <v>0</v>
      </c>
      <c r="BG102" s="74">
        <v>0</v>
      </c>
      <c r="BH102" s="74">
        <v>0</v>
      </c>
      <c r="BI102" s="74">
        <v>0</v>
      </c>
      <c r="BJ102" s="74">
        <v>0</v>
      </c>
      <c r="BK102" s="74">
        <v>0</v>
      </c>
      <c r="BL102" s="74">
        <v>0</v>
      </c>
      <c r="BM102" s="74">
        <v>0</v>
      </c>
      <c r="BN102" s="74">
        <v>0</v>
      </c>
      <c r="BO102" s="74">
        <v>0</v>
      </c>
      <c r="BP102" s="74">
        <v>0</v>
      </c>
      <c r="BQ102" s="74">
        <v>0</v>
      </c>
      <c r="BR102" s="74">
        <v>0</v>
      </c>
      <c r="BS102" s="74">
        <v>0</v>
      </c>
      <c r="BT102" s="74">
        <v>0</v>
      </c>
      <c r="BU102" s="74">
        <v>0</v>
      </c>
      <c r="BV102" s="74">
        <v>0</v>
      </c>
      <c r="BW102" s="74">
        <v>0</v>
      </c>
      <c r="BX102" s="74">
        <v>0</v>
      </c>
      <c r="BY102" s="74">
        <v>0</v>
      </c>
      <c r="BZ102" s="74">
        <v>0</v>
      </c>
      <c r="CA102" s="74">
        <v>0</v>
      </c>
      <c r="CB102" s="74">
        <v>0</v>
      </c>
      <c r="CC102" s="74">
        <v>0</v>
      </c>
      <c r="CD102" s="74">
        <v>0</v>
      </c>
      <c r="CE102" s="74">
        <v>0</v>
      </c>
      <c r="CF102" s="74">
        <v>0</v>
      </c>
      <c r="CG102" s="74">
        <v>0</v>
      </c>
      <c r="CH102" s="74">
        <v>0</v>
      </c>
      <c r="CI102" s="74">
        <v>0</v>
      </c>
      <c r="CJ102" s="74">
        <v>0</v>
      </c>
      <c r="CK102" s="74">
        <v>0</v>
      </c>
      <c r="CL102" s="74">
        <v>0</v>
      </c>
      <c r="CM102" s="74">
        <v>0</v>
      </c>
      <c r="CN102" s="74">
        <v>0</v>
      </c>
      <c r="CO102" s="74">
        <v>0</v>
      </c>
      <c r="CP102" s="74">
        <v>0</v>
      </c>
      <c r="CQ102" s="74">
        <v>0</v>
      </c>
      <c r="CR102" s="74">
        <v>0</v>
      </c>
      <c r="CS102" s="74">
        <v>0</v>
      </c>
      <c r="CT102" s="74">
        <v>0</v>
      </c>
      <c r="CU102" s="74">
        <v>0</v>
      </c>
      <c r="CV102" s="74">
        <v>0</v>
      </c>
      <c r="CW102" s="74">
        <v>0</v>
      </c>
      <c r="CX102" s="74">
        <v>0</v>
      </c>
      <c r="CY102" s="74">
        <v>0</v>
      </c>
      <c r="CZ102" s="74">
        <v>0</v>
      </c>
      <c r="DA102" s="74">
        <v>0</v>
      </c>
      <c r="DB102" s="74">
        <v>0</v>
      </c>
      <c r="DC102" s="74">
        <v>0</v>
      </c>
      <c r="DD102" s="74">
        <v>0</v>
      </c>
      <c r="DE102" s="74">
        <v>0</v>
      </c>
      <c r="DF102" s="74">
        <v>0</v>
      </c>
      <c r="DG102" s="74">
        <v>0</v>
      </c>
      <c r="DH102" s="74">
        <v>0</v>
      </c>
      <c r="DI102" s="74">
        <v>0</v>
      </c>
      <c r="DJ102" s="74">
        <v>0</v>
      </c>
      <c r="DK102" s="74">
        <v>0</v>
      </c>
      <c r="DL102" s="74">
        <v>0</v>
      </c>
      <c r="DM102" s="74">
        <v>0</v>
      </c>
      <c r="DN102" s="74">
        <v>0</v>
      </c>
      <c r="DO102" s="74">
        <v>0</v>
      </c>
      <c r="DP102" s="74">
        <v>0</v>
      </c>
      <c r="DQ102" s="74">
        <v>0</v>
      </c>
      <c r="DR102" s="74">
        <v>0</v>
      </c>
      <c r="DS102" s="74">
        <v>0</v>
      </c>
      <c r="DT102" s="74">
        <v>0</v>
      </c>
      <c r="DU102" s="74">
        <v>0</v>
      </c>
      <c r="DV102" s="74">
        <v>0</v>
      </c>
      <c r="DW102" s="74">
        <v>0</v>
      </c>
      <c r="DX102" s="74">
        <v>0</v>
      </c>
      <c r="DY102" s="74">
        <v>0</v>
      </c>
      <c r="DZ102" s="74">
        <v>0</v>
      </c>
      <c r="EA102" s="74">
        <v>0</v>
      </c>
      <c r="EB102" s="74">
        <v>0</v>
      </c>
      <c r="EC102" s="74">
        <v>0</v>
      </c>
      <c r="ED102" s="74"/>
      <c r="EE102" s="68">
        <v>46009</v>
      </c>
      <c r="EF102" s="81">
        <v>46009.521181944445</v>
      </c>
      <c r="EG102" s="2" t="s">
        <v>69</v>
      </c>
      <c r="EH102" s="76">
        <v>1</v>
      </c>
      <c r="EI102" s="76" t="s">
        <v>32</v>
      </c>
      <c r="EJ102" s="74" t="s">
        <v>244</v>
      </c>
      <c r="EK102" s="78"/>
      <c r="EL102" s="74"/>
      <c r="EM102" s="74"/>
      <c r="EN102" s="68"/>
      <c r="ER102" s="73"/>
      <c r="ES102" s="74"/>
      <c r="ET102" s="74"/>
      <c r="EU102" s="74"/>
      <c r="EV102" s="74"/>
      <c r="EW102" s="74"/>
      <c r="EX102" s="74"/>
      <c r="EY102" s="74"/>
      <c r="EZ102" s="74"/>
      <c r="FA102" s="74"/>
      <c r="FB102" s="74"/>
      <c r="FC102" s="74"/>
      <c r="FD102" s="74"/>
      <c r="FE102" s="74"/>
      <c r="FF102" s="74"/>
      <c r="FG102" s="74"/>
      <c r="FH102" s="74"/>
      <c r="FI102" s="74"/>
      <c r="FJ102" s="74"/>
      <c r="FK102" s="68"/>
    </row>
    <row r="103" spans="1:183" s="2" customFormat="1" ht="15" x14ac:dyDescent="0.3">
      <c r="A103" s="73" t="s">
        <v>29</v>
      </c>
      <c r="B103" s="73" t="s">
        <v>51</v>
      </c>
      <c r="C103" s="73" t="s">
        <v>224</v>
      </c>
      <c r="D103" s="73" t="s">
        <v>46</v>
      </c>
      <c r="E103" s="73" t="s">
        <v>178</v>
      </c>
      <c r="F103" s="73" t="s">
        <v>210</v>
      </c>
      <c r="G103" s="73" t="s">
        <v>227</v>
      </c>
      <c r="H103" s="73"/>
      <c r="I103" s="74">
        <v>65865</v>
      </c>
      <c r="J103" s="74">
        <v>74723</v>
      </c>
      <c r="K103" s="74">
        <v>104412</v>
      </c>
      <c r="L103" s="74">
        <v>127787</v>
      </c>
      <c r="M103" s="74">
        <v>118007</v>
      </c>
      <c r="N103" s="74">
        <v>131200</v>
      </c>
      <c r="O103" s="74">
        <v>142906</v>
      </c>
      <c r="P103" s="74">
        <v>0</v>
      </c>
      <c r="Q103" s="74">
        <v>0</v>
      </c>
      <c r="R103" s="74">
        <v>0</v>
      </c>
      <c r="S103" s="74">
        <v>0</v>
      </c>
      <c r="T103" s="74">
        <v>0</v>
      </c>
      <c r="U103" s="74">
        <v>0</v>
      </c>
      <c r="V103" s="74">
        <v>0</v>
      </c>
      <c r="W103" s="74">
        <v>0</v>
      </c>
      <c r="X103" s="74">
        <v>0</v>
      </c>
      <c r="Y103" s="74">
        <v>0</v>
      </c>
      <c r="Z103" s="74">
        <v>0</v>
      </c>
      <c r="AA103" s="74">
        <v>0</v>
      </c>
      <c r="AB103" s="74">
        <v>0</v>
      </c>
      <c r="AC103" s="74">
        <v>0</v>
      </c>
      <c r="AD103" s="74">
        <v>0</v>
      </c>
      <c r="AE103" s="74">
        <v>0</v>
      </c>
      <c r="AF103" s="74">
        <v>0</v>
      </c>
      <c r="AG103" s="74">
        <v>0</v>
      </c>
      <c r="AH103" s="74">
        <v>0</v>
      </c>
      <c r="AI103" s="74">
        <v>0</v>
      </c>
      <c r="AJ103" s="74">
        <v>0</v>
      </c>
      <c r="AK103" s="74"/>
      <c r="AL103" s="74">
        <v>28759</v>
      </c>
      <c r="AM103" s="74">
        <v>27065</v>
      </c>
      <c r="AN103" s="74">
        <v>27720</v>
      </c>
      <c r="AO103" s="74">
        <v>34463</v>
      </c>
      <c r="AP103" s="74">
        <v>29123</v>
      </c>
      <c r="AQ103" s="74">
        <v>29697</v>
      </c>
      <c r="AR103" s="74">
        <v>32137</v>
      </c>
      <c r="AS103" s="74">
        <v>40243</v>
      </c>
      <c r="AT103" s="74">
        <v>31935</v>
      </c>
      <c r="AU103" s="74">
        <v>31663</v>
      </c>
      <c r="AV103" s="74">
        <v>35888</v>
      </c>
      <c r="AW103" s="74">
        <v>43420</v>
      </c>
      <c r="AX103" s="74">
        <v>33513</v>
      </c>
      <c r="AY103" s="74">
        <v>36761</v>
      </c>
      <c r="AZ103" s="74">
        <v>40896</v>
      </c>
      <c r="BA103" s="74">
        <v>0</v>
      </c>
      <c r="BB103" s="74">
        <v>0</v>
      </c>
      <c r="BC103" s="74">
        <v>0</v>
      </c>
      <c r="BD103" s="74">
        <v>0</v>
      </c>
      <c r="BE103" s="74">
        <v>0</v>
      </c>
      <c r="BF103" s="74">
        <v>0</v>
      </c>
      <c r="BG103" s="74">
        <v>0</v>
      </c>
      <c r="BH103" s="74">
        <v>0</v>
      </c>
      <c r="BI103" s="74">
        <v>0</v>
      </c>
      <c r="BJ103" s="74">
        <v>0</v>
      </c>
      <c r="BK103" s="74">
        <v>0</v>
      </c>
      <c r="BL103" s="74">
        <v>0</v>
      </c>
      <c r="BM103" s="74">
        <v>0</v>
      </c>
      <c r="BN103" s="74">
        <v>0</v>
      </c>
      <c r="BO103" s="74">
        <v>0</v>
      </c>
      <c r="BP103" s="74">
        <v>0</v>
      </c>
      <c r="BQ103" s="74">
        <v>0</v>
      </c>
      <c r="BR103" s="74">
        <v>0</v>
      </c>
      <c r="BS103" s="74">
        <v>0</v>
      </c>
      <c r="BT103" s="74">
        <v>0</v>
      </c>
      <c r="BU103" s="74">
        <v>0</v>
      </c>
      <c r="BV103" s="74">
        <v>0</v>
      </c>
      <c r="BW103" s="74">
        <v>0</v>
      </c>
      <c r="BX103" s="74">
        <v>0</v>
      </c>
      <c r="BY103" s="74">
        <v>0</v>
      </c>
      <c r="BZ103" s="74">
        <v>0</v>
      </c>
      <c r="CA103" s="74">
        <v>0</v>
      </c>
      <c r="CB103" s="74">
        <v>0</v>
      </c>
      <c r="CC103" s="74">
        <v>0</v>
      </c>
      <c r="CD103" s="74">
        <v>0</v>
      </c>
      <c r="CE103" s="74">
        <v>0</v>
      </c>
      <c r="CF103" s="74">
        <v>0</v>
      </c>
      <c r="CG103" s="74">
        <v>0</v>
      </c>
      <c r="CH103" s="74">
        <v>0</v>
      </c>
      <c r="CI103" s="74">
        <v>0</v>
      </c>
      <c r="CJ103" s="74">
        <v>0</v>
      </c>
      <c r="CK103" s="74">
        <v>0</v>
      </c>
      <c r="CL103" s="74">
        <v>0</v>
      </c>
      <c r="CM103" s="74">
        <v>0</v>
      </c>
      <c r="CN103" s="74">
        <v>0</v>
      </c>
      <c r="CO103" s="74">
        <v>0</v>
      </c>
      <c r="CP103" s="74">
        <v>0</v>
      </c>
      <c r="CQ103" s="74">
        <v>0</v>
      </c>
      <c r="CR103" s="74">
        <v>0</v>
      </c>
      <c r="CS103" s="74">
        <v>0</v>
      </c>
      <c r="CT103" s="74">
        <v>0</v>
      </c>
      <c r="CU103" s="74">
        <v>0</v>
      </c>
      <c r="CV103" s="74">
        <v>0</v>
      </c>
      <c r="CW103" s="74">
        <v>0</v>
      </c>
      <c r="CX103" s="74">
        <v>0</v>
      </c>
      <c r="CY103" s="74">
        <v>0</v>
      </c>
      <c r="CZ103" s="74">
        <v>0</v>
      </c>
      <c r="DA103" s="74">
        <v>0</v>
      </c>
      <c r="DB103" s="74">
        <v>0</v>
      </c>
      <c r="DC103" s="74">
        <v>0</v>
      </c>
      <c r="DD103" s="74">
        <v>0</v>
      </c>
      <c r="DE103" s="74">
        <v>0</v>
      </c>
      <c r="DF103" s="74">
        <v>0</v>
      </c>
      <c r="DG103" s="74">
        <v>0</v>
      </c>
      <c r="DH103" s="74">
        <v>0</v>
      </c>
      <c r="DI103" s="74">
        <v>0</v>
      </c>
      <c r="DJ103" s="74">
        <v>0</v>
      </c>
      <c r="DK103" s="74">
        <v>0</v>
      </c>
      <c r="DL103" s="74">
        <v>0</v>
      </c>
      <c r="DM103" s="74">
        <v>0</v>
      </c>
      <c r="DN103" s="74">
        <v>0</v>
      </c>
      <c r="DO103" s="74">
        <v>0</v>
      </c>
      <c r="DP103" s="74">
        <v>0</v>
      </c>
      <c r="DQ103" s="74">
        <v>0</v>
      </c>
      <c r="DR103" s="74">
        <v>0</v>
      </c>
      <c r="DS103" s="74">
        <v>0</v>
      </c>
      <c r="DT103" s="74">
        <v>0</v>
      </c>
      <c r="DU103" s="74">
        <v>0</v>
      </c>
      <c r="DV103" s="74">
        <v>0</v>
      </c>
      <c r="DW103" s="74">
        <v>0</v>
      </c>
      <c r="DX103" s="74">
        <v>0</v>
      </c>
      <c r="DY103" s="74">
        <v>0</v>
      </c>
      <c r="DZ103" s="74">
        <v>0</v>
      </c>
      <c r="EA103" s="74">
        <v>0</v>
      </c>
      <c r="EB103" s="74">
        <v>0</v>
      </c>
      <c r="EC103" s="74">
        <v>0</v>
      </c>
      <c r="ED103" s="74"/>
      <c r="EE103" s="68">
        <v>46009</v>
      </c>
      <c r="EF103" s="81">
        <v>46009.521181944445</v>
      </c>
      <c r="EG103" s="2" t="s">
        <v>69</v>
      </c>
      <c r="EH103" s="76">
        <v>1</v>
      </c>
      <c r="EI103" s="76" t="s">
        <v>32</v>
      </c>
      <c r="EJ103" s="74" t="s">
        <v>244</v>
      </c>
      <c r="EK103" s="78"/>
      <c r="EL103" s="74"/>
      <c r="EM103" s="74"/>
      <c r="EN103" s="68"/>
      <c r="ER103" s="73"/>
      <c r="ES103" s="74"/>
      <c r="ET103" s="74"/>
      <c r="EU103" s="74"/>
      <c r="EV103" s="74"/>
      <c r="EW103" s="74"/>
      <c r="EX103" s="74"/>
      <c r="EY103" s="74"/>
      <c r="EZ103" s="74"/>
      <c r="FA103" s="74"/>
      <c r="FB103" s="74"/>
      <c r="FC103" s="74"/>
      <c r="FD103" s="74"/>
      <c r="FE103" s="74"/>
      <c r="FF103" s="74"/>
      <c r="FG103" s="74"/>
      <c r="FH103" s="74"/>
      <c r="FI103" s="74"/>
      <c r="FJ103" s="74"/>
      <c r="FK103" s="68"/>
    </row>
    <row r="104" spans="1:183" s="2" customFormat="1" ht="15" x14ac:dyDescent="0.3">
      <c r="A104" s="73" t="s">
        <v>28</v>
      </c>
      <c r="B104" s="73" t="s">
        <v>27</v>
      </c>
      <c r="C104" s="73" t="s">
        <v>225</v>
      </c>
      <c r="D104" s="73" t="s">
        <v>44</v>
      </c>
      <c r="E104" s="73" t="s">
        <v>178</v>
      </c>
      <c r="F104" s="73" t="s">
        <v>210</v>
      </c>
      <c r="G104" s="73" t="s">
        <v>227</v>
      </c>
      <c r="H104" s="73"/>
      <c r="I104" s="74">
        <v>25656</v>
      </c>
      <c r="J104" s="74">
        <v>35026</v>
      </c>
      <c r="K104" s="74">
        <v>45370</v>
      </c>
      <c r="L104" s="74">
        <v>62202</v>
      </c>
      <c r="M104" s="74">
        <v>80096</v>
      </c>
      <c r="N104" s="74">
        <v>90757</v>
      </c>
      <c r="O104" s="74">
        <v>107556</v>
      </c>
      <c r="P104" s="74">
        <v>0</v>
      </c>
      <c r="Q104" s="74">
        <v>0</v>
      </c>
      <c r="R104" s="74">
        <v>0</v>
      </c>
      <c r="S104" s="74">
        <v>0</v>
      </c>
      <c r="T104" s="74">
        <v>0</v>
      </c>
      <c r="U104" s="74">
        <v>0</v>
      </c>
      <c r="V104" s="74">
        <v>0</v>
      </c>
      <c r="W104" s="74">
        <v>0</v>
      </c>
      <c r="X104" s="74">
        <v>0</v>
      </c>
      <c r="Y104" s="74">
        <v>0</v>
      </c>
      <c r="Z104" s="74">
        <v>0</v>
      </c>
      <c r="AA104" s="74">
        <v>0</v>
      </c>
      <c r="AB104" s="74">
        <v>0</v>
      </c>
      <c r="AC104" s="74">
        <v>0</v>
      </c>
      <c r="AD104" s="74">
        <v>0</v>
      </c>
      <c r="AE104" s="74">
        <v>0</v>
      </c>
      <c r="AF104" s="74">
        <v>0</v>
      </c>
      <c r="AG104" s="74">
        <v>0</v>
      </c>
      <c r="AH104" s="74">
        <v>0</v>
      </c>
      <c r="AI104" s="74">
        <v>0</v>
      </c>
      <c r="AJ104" s="74">
        <v>0</v>
      </c>
      <c r="AK104" s="74"/>
      <c r="AL104" s="74">
        <v>18441</v>
      </c>
      <c r="AM104" s="74">
        <v>19739</v>
      </c>
      <c r="AN104" s="74">
        <v>20538</v>
      </c>
      <c r="AO104" s="74">
        <v>21378</v>
      </c>
      <c r="AP104" s="74">
        <v>21354</v>
      </c>
      <c r="AQ104" s="74">
        <v>22140</v>
      </c>
      <c r="AR104" s="74">
        <v>23059</v>
      </c>
      <c r="AS104" s="74">
        <v>24204</v>
      </c>
      <c r="AT104" s="74">
        <v>25037</v>
      </c>
      <c r="AU104" s="74">
        <v>26281</v>
      </c>
      <c r="AV104" s="74">
        <v>27452</v>
      </c>
      <c r="AW104" s="74">
        <v>28786</v>
      </c>
      <c r="AX104" s="74">
        <v>29267</v>
      </c>
      <c r="AY104" s="74">
        <v>30873</v>
      </c>
      <c r="AZ104" s="74">
        <v>33006</v>
      </c>
      <c r="BA104" s="74">
        <v>0</v>
      </c>
      <c r="BB104" s="74">
        <v>0</v>
      </c>
      <c r="BC104" s="74">
        <v>0</v>
      </c>
      <c r="BD104" s="74">
        <v>0</v>
      </c>
      <c r="BE104" s="74">
        <v>0</v>
      </c>
      <c r="BF104" s="74">
        <v>0</v>
      </c>
      <c r="BG104" s="74">
        <v>0</v>
      </c>
      <c r="BH104" s="74">
        <v>0</v>
      </c>
      <c r="BI104" s="74">
        <v>0</v>
      </c>
      <c r="BJ104" s="74">
        <v>0</v>
      </c>
      <c r="BK104" s="74">
        <v>0</v>
      </c>
      <c r="BL104" s="74">
        <v>0</v>
      </c>
      <c r="BM104" s="74">
        <v>0</v>
      </c>
      <c r="BN104" s="74">
        <v>0</v>
      </c>
      <c r="BO104" s="74">
        <v>0</v>
      </c>
      <c r="BP104" s="74">
        <v>0</v>
      </c>
      <c r="BQ104" s="74">
        <v>0</v>
      </c>
      <c r="BR104" s="74">
        <v>0</v>
      </c>
      <c r="BS104" s="74">
        <v>0</v>
      </c>
      <c r="BT104" s="74">
        <v>0</v>
      </c>
      <c r="BU104" s="74">
        <v>0</v>
      </c>
      <c r="BV104" s="74">
        <v>0</v>
      </c>
      <c r="BW104" s="74">
        <v>0</v>
      </c>
      <c r="BX104" s="74">
        <v>0</v>
      </c>
      <c r="BY104" s="74">
        <v>0</v>
      </c>
      <c r="BZ104" s="74">
        <v>0</v>
      </c>
      <c r="CA104" s="74">
        <v>0</v>
      </c>
      <c r="CB104" s="74">
        <v>0</v>
      </c>
      <c r="CC104" s="74">
        <v>0</v>
      </c>
      <c r="CD104" s="74">
        <v>0</v>
      </c>
      <c r="CE104" s="74">
        <v>0</v>
      </c>
      <c r="CF104" s="74">
        <v>0</v>
      </c>
      <c r="CG104" s="74">
        <v>0</v>
      </c>
      <c r="CH104" s="74">
        <v>0</v>
      </c>
      <c r="CI104" s="74">
        <v>0</v>
      </c>
      <c r="CJ104" s="74">
        <v>0</v>
      </c>
      <c r="CK104" s="74">
        <v>0</v>
      </c>
      <c r="CL104" s="74">
        <v>0</v>
      </c>
      <c r="CM104" s="74">
        <v>0</v>
      </c>
      <c r="CN104" s="74">
        <v>0</v>
      </c>
      <c r="CO104" s="74">
        <v>0</v>
      </c>
      <c r="CP104" s="74">
        <v>0</v>
      </c>
      <c r="CQ104" s="74">
        <v>0</v>
      </c>
      <c r="CR104" s="74">
        <v>0</v>
      </c>
      <c r="CS104" s="74">
        <v>0</v>
      </c>
      <c r="CT104" s="74">
        <v>0</v>
      </c>
      <c r="CU104" s="74">
        <v>0</v>
      </c>
      <c r="CV104" s="74">
        <v>0</v>
      </c>
      <c r="CW104" s="74">
        <v>0</v>
      </c>
      <c r="CX104" s="74">
        <v>0</v>
      </c>
      <c r="CY104" s="74">
        <v>0</v>
      </c>
      <c r="CZ104" s="74">
        <v>0</v>
      </c>
      <c r="DA104" s="74">
        <v>0</v>
      </c>
      <c r="DB104" s="74">
        <v>0</v>
      </c>
      <c r="DC104" s="74">
        <v>0</v>
      </c>
      <c r="DD104" s="74">
        <v>0</v>
      </c>
      <c r="DE104" s="74">
        <v>0</v>
      </c>
      <c r="DF104" s="74">
        <v>0</v>
      </c>
      <c r="DG104" s="74">
        <v>0</v>
      </c>
      <c r="DH104" s="74">
        <v>0</v>
      </c>
      <c r="DI104" s="74">
        <v>0</v>
      </c>
      <c r="DJ104" s="74">
        <v>0</v>
      </c>
      <c r="DK104" s="74">
        <v>0</v>
      </c>
      <c r="DL104" s="74">
        <v>0</v>
      </c>
      <c r="DM104" s="74">
        <v>0</v>
      </c>
      <c r="DN104" s="74">
        <v>0</v>
      </c>
      <c r="DO104" s="74">
        <v>0</v>
      </c>
      <c r="DP104" s="74">
        <v>0</v>
      </c>
      <c r="DQ104" s="74">
        <v>0</v>
      </c>
      <c r="DR104" s="74">
        <v>0</v>
      </c>
      <c r="DS104" s="74">
        <v>0</v>
      </c>
      <c r="DT104" s="74">
        <v>0</v>
      </c>
      <c r="DU104" s="74">
        <v>0</v>
      </c>
      <c r="DV104" s="74">
        <v>0</v>
      </c>
      <c r="DW104" s="74">
        <v>0</v>
      </c>
      <c r="DX104" s="74">
        <v>0</v>
      </c>
      <c r="DY104" s="74">
        <v>0</v>
      </c>
      <c r="DZ104" s="74">
        <v>0</v>
      </c>
      <c r="EA104" s="74">
        <v>0</v>
      </c>
      <c r="EB104" s="74">
        <v>0</v>
      </c>
      <c r="EC104" s="74">
        <v>0</v>
      </c>
      <c r="ED104" s="74"/>
      <c r="EE104" s="68">
        <v>46009</v>
      </c>
      <c r="EF104" s="81">
        <v>46009.521181944445</v>
      </c>
      <c r="EG104" s="2" t="s">
        <v>69</v>
      </c>
      <c r="EH104" s="76">
        <v>1</v>
      </c>
      <c r="EI104" s="76" t="s">
        <v>32</v>
      </c>
      <c r="EJ104" s="74" t="s">
        <v>244</v>
      </c>
      <c r="EK104" s="78"/>
      <c r="EL104" s="74"/>
      <c r="EM104" s="74"/>
      <c r="EN104" s="68"/>
      <c r="ER104" s="73"/>
      <c r="ES104" s="74"/>
      <c r="ET104" s="74"/>
      <c r="EU104" s="74"/>
      <c r="EV104" s="74"/>
      <c r="EW104" s="74"/>
      <c r="EX104" s="74"/>
      <c r="EY104" s="74"/>
      <c r="EZ104" s="74"/>
      <c r="FA104" s="74"/>
      <c r="FB104" s="74"/>
      <c r="FC104" s="74"/>
      <c r="FD104" s="74"/>
      <c r="FE104" s="74"/>
      <c r="FF104" s="74"/>
      <c r="FG104" s="74"/>
      <c r="FH104" s="74"/>
      <c r="FI104" s="74"/>
      <c r="FJ104" s="74"/>
      <c r="FK104" s="68"/>
    </row>
    <row r="105" spans="1:183" s="2" customFormat="1" ht="15" x14ac:dyDescent="0.3">
      <c r="A105" s="73" t="s">
        <v>158</v>
      </c>
      <c r="B105" s="73" t="s">
        <v>52</v>
      </c>
      <c r="C105" s="73" t="s">
        <v>226</v>
      </c>
      <c r="D105" s="73" t="s">
        <v>45</v>
      </c>
      <c r="E105" s="73" t="s">
        <v>178</v>
      </c>
      <c r="F105" s="73" t="s">
        <v>210</v>
      </c>
      <c r="G105" s="73" t="s">
        <v>227</v>
      </c>
      <c r="H105" s="73"/>
      <c r="I105" s="74">
        <v>7267</v>
      </c>
      <c r="J105" s="74">
        <v>7033</v>
      </c>
      <c r="K105" s="74">
        <v>8651</v>
      </c>
      <c r="L105" s="74">
        <v>7271</v>
      </c>
      <c r="M105" s="74">
        <v>-2847</v>
      </c>
      <c r="N105" s="74">
        <v>14877</v>
      </c>
      <c r="O105" s="74">
        <v>24967</v>
      </c>
      <c r="P105" s="74">
        <v>0</v>
      </c>
      <c r="Q105" s="74">
        <v>0</v>
      </c>
      <c r="R105" s="74">
        <v>0</v>
      </c>
      <c r="S105" s="74">
        <v>0</v>
      </c>
      <c r="T105" s="74">
        <v>0</v>
      </c>
      <c r="U105" s="74">
        <v>0</v>
      </c>
      <c r="V105" s="74">
        <v>0</v>
      </c>
      <c r="W105" s="74">
        <v>0</v>
      </c>
      <c r="X105" s="74">
        <v>0</v>
      </c>
      <c r="Y105" s="74">
        <v>0</v>
      </c>
      <c r="Z105" s="74">
        <v>0</v>
      </c>
      <c r="AA105" s="74">
        <v>0</v>
      </c>
      <c r="AB105" s="74">
        <v>0</v>
      </c>
      <c r="AC105" s="74">
        <v>0</v>
      </c>
      <c r="AD105" s="74">
        <v>0</v>
      </c>
      <c r="AE105" s="74">
        <v>0</v>
      </c>
      <c r="AF105" s="74">
        <v>0</v>
      </c>
      <c r="AG105" s="74">
        <v>0</v>
      </c>
      <c r="AH105" s="74">
        <v>0</v>
      </c>
      <c r="AI105" s="74">
        <v>0</v>
      </c>
      <c r="AJ105" s="74">
        <v>0</v>
      </c>
      <c r="AK105" s="74"/>
      <c r="AL105" s="74">
        <v>-1568</v>
      </c>
      <c r="AM105" s="74">
        <v>-627</v>
      </c>
      <c r="AN105" s="74">
        <v>-412</v>
      </c>
      <c r="AO105" s="74">
        <v>-240</v>
      </c>
      <c r="AP105" s="74">
        <v>898</v>
      </c>
      <c r="AQ105" s="74">
        <v>3211</v>
      </c>
      <c r="AR105" s="74">
        <v>4307</v>
      </c>
      <c r="AS105" s="74">
        <v>6461</v>
      </c>
      <c r="AT105" s="74">
        <v>4983</v>
      </c>
      <c r="AU105" s="74">
        <v>5065</v>
      </c>
      <c r="AV105" s="74">
        <v>5663</v>
      </c>
      <c r="AW105" s="74">
        <v>9256</v>
      </c>
      <c r="AX105" s="74">
        <v>5841</v>
      </c>
      <c r="AY105" s="74">
        <v>7517</v>
      </c>
      <c r="AZ105" s="74">
        <v>4789</v>
      </c>
      <c r="BA105" s="74">
        <v>0</v>
      </c>
      <c r="BB105" s="74">
        <v>0</v>
      </c>
      <c r="BC105" s="74">
        <v>0</v>
      </c>
      <c r="BD105" s="74">
        <v>0</v>
      </c>
      <c r="BE105" s="74">
        <v>0</v>
      </c>
      <c r="BF105" s="74">
        <v>0</v>
      </c>
      <c r="BG105" s="74">
        <v>0</v>
      </c>
      <c r="BH105" s="74">
        <v>0</v>
      </c>
      <c r="BI105" s="74">
        <v>0</v>
      </c>
      <c r="BJ105" s="74">
        <v>0</v>
      </c>
      <c r="BK105" s="74">
        <v>0</v>
      </c>
      <c r="BL105" s="74">
        <v>0</v>
      </c>
      <c r="BM105" s="74">
        <v>0</v>
      </c>
      <c r="BN105" s="74">
        <v>0</v>
      </c>
      <c r="BO105" s="74">
        <v>0</v>
      </c>
      <c r="BP105" s="74">
        <v>0</v>
      </c>
      <c r="BQ105" s="74">
        <v>0</v>
      </c>
      <c r="BR105" s="74">
        <v>0</v>
      </c>
      <c r="BS105" s="74">
        <v>0</v>
      </c>
      <c r="BT105" s="74">
        <v>0</v>
      </c>
      <c r="BU105" s="74">
        <v>0</v>
      </c>
      <c r="BV105" s="74">
        <v>0</v>
      </c>
      <c r="BW105" s="74">
        <v>0</v>
      </c>
      <c r="BX105" s="74">
        <v>0</v>
      </c>
      <c r="BY105" s="74">
        <v>0</v>
      </c>
      <c r="BZ105" s="74">
        <v>0</v>
      </c>
      <c r="CA105" s="74">
        <v>0</v>
      </c>
      <c r="CB105" s="74">
        <v>0</v>
      </c>
      <c r="CC105" s="74">
        <v>0</v>
      </c>
      <c r="CD105" s="74">
        <v>0</v>
      </c>
      <c r="CE105" s="74">
        <v>0</v>
      </c>
      <c r="CF105" s="74">
        <v>0</v>
      </c>
      <c r="CG105" s="74">
        <v>0</v>
      </c>
      <c r="CH105" s="74">
        <v>0</v>
      </c>
      <c r="CI105" s="74">
        <v>0</v>
      </c>
      <c r="CJ105" s="74">
        <v>0</v>
      </c>
      <c r="CK105" s="74">
        <v>0</v>
      </c>
      <c r="CL105" s="74">
        <v>0</v>
      </c>
      <c r="CM105" s="74">
        <v>0</v>
      </c>
      <c r="CN105" s="74">
        <v>0</v>
      </c>
      <c r="CO105" s="74">
        <v>0</v>
      </c>
      <c r="CP105" s="74">
        <v>0</v>
      </c>
      <c r="CQ105" s="74">
        <v>0</v>
      </c>
      <c r="CR105" s="74">
        <v>0</v>
      </c>
      <c r="CS105" s="74">
        <v>0</v>
      </c>
      <c r="CT105" s="74">
        <v>0</v>
      </c>
      <c r="CU105" s="74">
        <v>0</v>
      </c>
      <c r="CV105" s="74">
        <v>0</v>
      </c>
      <c r="CW105" s="74">
        <v>0</v>
      </c>
      <c r="CX105" s="74">
        <v>0</v>
      </c>
      <c r="CY105" s="74">
        <v>0</v>
      </c>
      <c r="CZ105" s="74">
        <v>0</v>
      </c>
      <c r="DA105" s="74">
        <v>0</v>
      </c>
      <c r="DB105" s="74">
        <v>0</v>
      </c>
      <c r="DC105" s="74">
        <v>0</v>
      </c>
      <c r="DD105" s="74">
        <v>0</v>
      </c>
      <c r="DE105" s="74">
        <v>0</v>
      </c>
      <c r="DF105" s="74">
        <v>0</v>
      </c>
      <c r="DG105" s="74">
        <v>0</v>
      </c>
      <c r="DH105" s="74">
        <v>0</v>
      </c>
      <c r="DI105" s="74">
        <v>0</v>
      </c>
      <c r="DJ105" s="74">
        <v>0</v>
      </c>
      <c r="DK105" s="74">
        <v>0</v>
      </c>
      <c r="DL105" s="74">
        <v>0</v>
      </c>
      <c r="DM105" s="74">
        <v>0</v>
      </c>
      <c r="DN105" s="74">
        <v>0</v>
      </c>
      <c r="DO105" s="74">
        <v>0</v>
      </c>
      <c r="DP105" s="74">
        <v>0</v>
      </c>
      <c r="DQ105" s="74">
        <v>0</v>
      </c>
      <c r="DR105" s="74">
        <v>0</v>
      </c>
      <c r="DS105" s="74">
        <v>0</v>
      </c>
      <c r="DT105" s="74">
        <v>0</v>
      </c>
      <c r="DU105" s="74">
        <v>0</v>
      </c>
      <c r="DV105" s="74">
        <v>0</v>
      </c>
      <c r="DW105" s="74">
        <v>0</v>
      </c>
      <c r="DX105" s="74">
        <v>0</v>
      </c>
      <c r="DY105" s="74">
        <v>0</v>
      </c>
      <c r="DZ105" s="74">
        <v>0</v>
      </c>
      <c r="EA105" s="74">
        <v>0</v>
      </c>
      <c r="EB105" s="74">
        <v>0</v>
      </c>
      <c r="EC105" s="74">
        <v>0</v>
      </c>
      <c r="ED105" s="74"/>
      <c r="EE105" s="68">
        <v>46009</v>
      </c>
      <c r="EF105" s="81">
        <v>46009.521181944445</v>
      </c>
      <c r="EG105" s="2" t="s">
        <v>69</v>
      </c>
      <c r="EH105" s="76">
        <v>1</v>
      </c>
      <c r="EI105" s="76" t="s">
        <v>32</v>
      </c>
      <c r="EJ105" s="74" t="s">
        <v>244</v>
      </c>
      <c r="EK105" s="78"/>
      <c r="EL105" s="74"/>
      <c r="EM105" s="74"/>
      <c r="EN105" s="68"/>
      <c r="ER105" s="73"/>
      <c r="ES105" s="74"/>
      <c r="ET105" s="74"/>
      <c r="EU105" s="74"/>
      <c r="EV105" s="74"/>
      <c r="EW105" s="74"/>
      <c r="EX105" s="74"/>
      <c r="EY105" s="74"/>
      <c r="EZ105" s="74"/>
      <c r="FA105" s="74"/>
      <c r="FB105" s="74"/>
      <c r="FC105" s="74"/>
      <c r="FD105" s="74"/>
      <c r="FE105" s="74"/>
      <c r="FF105" s="74"/>
      <c r="FG105" s="74"/>
      <c r="FH105" s="74"/>
      <c r="FI105" s="74"/>
      <c r="FJ105" s="74"/>
      <c r="FK105" s="68"/>
    </row>
    <row r="106" spans="1:183" s="2" customFormat="1" ht="15" x14ac:dyDescent="0.3">
      <c r="A106" s="73" t="s">
        <v>33</v>
      </c>
      <c r="B106" s="73" t="s">
        <v>53</v>
      </c>
      <c r="C106" s="73" t="s">
        <v>47</v>
      </c>
      <c r="D106" s="73" t="s">
        <v>46</v>
      </c>
      <c r="E106" s="73" t="s">
        <v>178</v>
      </c>
      <c r="F106" s="73" t="s">
        <v>210</v>
      </c>
      <c r="G106" s="73" t="s">
        <v>227</v>
      </c>
      <c r="H106" s="73"/>
      <c r="I106" s="74">
        <v>-2143</v>
      </c>
      <c r="J106" s="74">
        <v>-1694</v>
      </c>
      <c r="K106" s="74">
        <v>717</v>
      </c>
      <c r="L106" s="74">
        <v>-924</v>
      </c>
      <c r="M106" s="74">
        <v>-7746</v>
      </c>
      <c r="N106" s="74">
        <v>-2656</v>
      </c>
      <c r="O106" s="74">
        <v>3792</v>
      </c>
      <c r="P106" s="74">
        <v>0</v>
      </c>
      <c r="Q106" s="74">
        <v>0</v>
      </c>
      <c r="R106" s="74">
        <v>0</v>
      </c>
      <c r="S106" s="74">
        <v>0</v>
      </c>
      <c r="T106" s="74">
        <v>0</v>
      </c>
      <c r="U106" s="74">
        <v>0</v>
      </c>
      <c r="V106" s="74">
        <v>0</v>
      </c>
      <c r="W106" s="74">
        <v>0</v>
      </c>
      <c r="X106" s="74">
        <v>0</v>
      </c>
      <c r="Y106" s="74">
        <v>0</v>
      </c>
      <c r="Z106" s="74">
        <v>0</v>
      </c>
      <c r="AA106" s="74">
        <v>0</v>
      </c>
      <c r="AB106" s="74">
        <v>0</v>
      </c>
      <c r="AC106" s="74">
        <v>0</v>
      </c>
      <c r="AD106" s="74">
        <v>0</v>
      </c>
      <c r="AE106" s="74">
        <v>0</v>
      </c>
      <c r="AF106" s="74">
        <v>0</v>
      </c>
      <c r="AG106" s="74">
        <v>0</v>
      </c>
      <c r="AH106" s="74">
        <v>0</v>
      </c>
      <c r="AI106" s="74">
        <v>0</v>
      </c>
      <c r="AJ106" s="74">
        <v>0</v>
      </c>
      <c r="AK106" s="74"/>
      <c r="AL106" s="74">
        <v>-1281</v>
      </c>
      <c r="AM106" s="74">
        <v>-1771</v>
      </c>
      <c r="AN106" s="74">
        <v>-2466</v>
      </c>
      <c r="AO106" s="74">
        <v>-2228</v>
      </c>
      <c r="AP106" s="74">
        <v>-1247</v>
      </c>
      <c r="AQ106" s="74">
        <v>-895</v>
      </c>
      <c r="AR106" s="74">
        <v>-95</v>
      </c>
      <c r="AS106" s="74">
        <v>-419</v>
      </c>
      <c r="AT106" s="74">
        <v>903</v>
      </c>
      <c r="AU106" s="74">
        <v>273</v>
      </c>
      <c r="AV106" s="74">
        <v>1301</v>
      </c>
      <c r="AW106" s="74">
        <v>1315</v>
      </c>
      <c r="AX106" s="74">
        <v>1017</v>
      </c>
      <c r="AY106" s="74">
        <v>1494</v>
      </c>
      <c r="AZ106" s="74">
        <v>1199</v>
      </c>
      <c r="BA106" s="74">
        <v>0</v>
      </c>
      <c r="BB106" s="74">
        <v>0</v>
      </c>
      <c r="BC106" s="74">
        <v>0</v>
      </c>
      <c r="BD106" s="74">
        <v>0</v>
      </c>
      <c r="BE106" s="74">
        <v>0</v>
      </c>
      <c r="BF106" s="74">
        <v>0</v>
      </c>
      <c r="BG106" s="74">
        <v>0</v>
      </c>
      <c r="BH106" s="74">
        <v>0</v>
      </c>
      <c r="BI106" s="74">
        <v>0</v>
      </c>
      <c r="BJ106" s="74">
        <v>0</v>
      </c>
      <c r="BK106" s="74">
        <v>0</v>
      </c>
      <c r="BL106" s="74">
        <v>0</v>
      </c>
      <c r="BM106" s="74">
        <v>0</v>
      </c>
      <c r="BN106" s="74">
        <v>0</v>
      </c>
      <c r="BO106" s="74">
        <v>0</v>
      </c>
      <c r="BP106" s="74">
        <v>0</v>
      </c>
      <c r="BQ106" s="74">
        <v>0</v>
      </c>
      <c r="BR106" s="74">
        <v>0</v>
      </c>
      <c r="BS106" s="74">
        <v>0</v>
      </c>
      <c r="BT106" s="74">
        <v>0</v>
      </c>
      <c r="BU106" s="74">
        <v>0</v>
      </c>
      <c r="BV106" s="74">
        <v>0</v>
      </c>
      <c r="BW106" s="74">
        <v>0</v>
      </c>
      <c r="BX106" s="74">
        <v>0</v>
      </c>
      <c r="BY106" s="74">
        <v>0</v>
      </c>
      <c r="BZ106" s="74">
        <v>0</v>
      </c>
      <c r="CA106" s="74">
        <v>0</v>
      </c>
      <c r="CB106" s="74">
        <v>0</v>
      </c>
      <c r="CC106" s="74">
        <v>0</v>
      </c>
      <c r="CD106" s="74">
        <v>0</v>
      </c>
      <c r="CE106" s="74">
        <v>0</v>
      </c>
      <c r="CF106" s="74">
        <v>0</v>
      </c>
      <c r="CG106" s="74">
        <v>0</v>
      </c>
      <c r="CH106" s="74">
        <v>0</v>
      </c>
      <c r="CI106" s="74">
        <v>0</v>
      </c>
      <c r="CJ106" s="74">
        <v>0</v>
      </c>
      <c r="CK106" s="74">
        <v>0</v>
      </c>
      <c r="CL106" s="74">
        <v>0</v>
      </c>
      <c r="CM106" s="74">
        <v>0</v>
      </c>
      <c r="CN106" s="74">
        <v>0</v>
      </c>
      <c r="CO106" s="74">
        <v>0</v>
      </c>
      <c r="CP106" s="74">
        <v>0</v>
      </c>
      <c r="CQ106" s="74">
        <v>0</v>
      </c>
      <c r="CR106" s="74">
        <v>0</v>
      </c>
      <c r="CS106" s="74">
        <v>0</v>
      </c>
      <c r="CT106" s="74">
        <v>0</v>
      </c>
      <c r="CU106" s="74">
        <v>0</v>
      </c>
      <c r="CV106" s="74">
        <v>0</v>
      </c>
      <c r="CW106" s="74">
        <v>0</v>
      </c>
      <c r="CX106" s="74">
        <v>0</v>
      </c>
      <c r="CY106" s="74">
        <v>0</v>
      </c>
      <c r="CZ106" s="74">
        <v>0</v>
      </c>
      <c r="DA106" s="74">
        <v>0</v>
      </c>
      <c r="DB106" s="74">
        <v>0</v>
      </c>
      <c r="DC106" s="74">
        <v>0</v>
      </c>
      <c r="DD106" s="74">
        <v>0</v>
      </c>
      <c r="DE106" s="74">
        <v>0</v>
      </c>
      <c r="DF106" s="74">
        <v>0</v>
      </c>
      <c r="DG106" s="74">
        <v>0</v>
      </c>
      <c r="DH106" s="74">
        <v>0</v>
      </c>
      <c r="DI106" s="74">
        <v>0</v>
      </c>
      <c r="DJ106" s="74">
        <v>0</v>
      </c>
      <c r="DK106" s="74">
        <v>0</v>
      </c>
      <c r="DL106" s="74">
        <v>0</v>
      </c>
      <c r="DM106" s="74">
        <v>0</v>
      </c>
      <c r="DN106" s="74">
        <v>0</v>
      </c>
      <c r="DO106" s="74">
        <v>0</v>
      </c>
      <c r="DP106" s="74">
        <v>0</v>
      </c>
      <c r="DQ106" s="74">
        <v>0</v>
      </c>
      <c r="DR106" s="74">
        <v>0</v>
      </c>
      <c r="DS106" s="74">
        <v>0</v>
      </c>
      <c r="DT106" s="74">
        <v>0</v>
      </c>
      <c r="DU106" s="74">
        <v>0</v>
      </c>
      <c r="DV106" s="74">
        <v>0</v>
      </c>
      <c r="DW106" s="74">
        <v>0</v>
      </c>
      <c r="DX106" s="74">
        <v>0</v>
      </c>
      <c r="DY106" s="74">
        <v>0</v>
      </c>
      <c r="DZ106" s="74">
        <v>0</v>
      </c>
      <c r="EA106" s="74">
        <v>0</v>
      </c>
      <c r="EB106" s="74">
        <v>0</v>
      </c>
      <c r="EC106" s="74">
        <v>0</v>
      </c>
      <c r="ED106" s="74"/>
      <c r="EE106" s="68">
        <v>46009</v>
      </c>
      <c r="EF106" s="81">
        <v>46009.521181944445</v>
      </c>
      <c r="EG106" s="2" t="s">
        <v>69</v>
      </c>
      <c r="EH106" s="76">
        <v>1</v>
      </c>
      <c r="EI106" s="76" t="s">
        <v>32</v>
      </c>
      <c r="EJ106" s="74" t="s">
        <v>244</v>
      </c>
      <c r="EK106" s="78"/>
      <c r="EL106" s="74"/>
      <c r="EM106" s="74"/>
      <c r="EN106" s="68"/>
      <c r="ER106" s="73"/>
      <c r="ES106" s="74"/>
      <c r="ET106" s="74"/>
      <c r="EU106" s="74"/>
      <c r="EV106" s="74"/>
      <c r="EW106" s="74"/>
      <c r="EX106" s="74"/>
      <c r="EY106" s="74"/>
      <c r="EZ106" s="74"/>
      <c r="FA106" s="74"/>
      <c r="FB106" s="74"/>
      <c r="FC106" s="74"/>
      <c r="FD106" s="74"/>
      <c r="FE106" s="74"/>
      <c r="FF106" s="74"/>
      <c r="FG106" s="74"/>
      <c r="FH106" s="74"/>
      <c r="FI106" s="74"/>
      <c r="FJ106" s="74"/>
      <c r="FK106" s="68"/>
    </row>
    <row r="107" spans="1:183" s="2" customFormat="1" ht="15" x14ac:dyDescent="0.3">
      <c r="A107" s="73" t="s">
        <v>157</v>
      </c>
      <c r="B107" s="73" t="s">
        <v>54</v>
      </c>
      <c r="C107" s="73" t="s">
        <v>47</v>
      </c>
      <c r="D107" s="73" t="s">
        <v>44</v>
      </c>
      <c r="E107" s="73" t="s">
        <v>178</v>
      </c>
      <c r="F107" s="73" t="s">
        <v>210</v>
      </c>
      <c r="G107" s="73" t="s">
        <v>227</v>
      </c>
      <c r="H107" s="73"/>
      <c r="I107" s="74">
        <v>7296</v>
      </c>
      <c r="J107" s="74">
        <v>9201</v>
      </c>
      <c r="K107" s="74">
        <v>13531</v>
      </c>
      <c r="L107" s="74">
        <v>18532</v>
      </c>
      <c r="M107" s="74">
        <v>22841</v>
      </c>
      <c r="N107" s="74">
        <v>24631</v>
      </c>
      <c r="O107" s="74">
        <v>39834</v>
      </c>
      <c r="P107" s="74">
        <v>0</v>
      </c>
      <c r="Q107" s="74">
        <v>0</v>
      </c>
      <c r="R107" s="74">
        <v>0</v>
      </c>
      <c r="S107" s="74">
        <v>0</v>
      </c>
      <c r="T107" s="74">
        <v>0</v>
      </c>
      <c r="U107" s="74">
        <v>0</v>
      </c>
      <c r="V107" s="74">
        <v>0</v>
      </c>
      <c r="W107" s="74">
        <v>0</v>
      </c>
      <c r="X107" s="74">
        <v>0</v>
      </c>
      <c r="Y107" s="74">
        <v>0</v>
      </c>
      <c r="Z107" s="74">
        <v>0</v>
      </c>
      <c r="AA107" s="74">
        <v>0</v>
      </c>
      <c r="AB107" s="74">
        <v>0</v>
      </c>
      <c r="AC107" s="74">
        <v>0</v>
      </c>
      <c r="AD107" s="74">
        <v>0</v>
      </c>
      <c r="AE107" s="74">
        <v>0</v>
      </c>
      <c r="AF107" s="74">
        <v>0</v>
      </c>
      <c r="AG107" s="74">
        <v>0</v>
      </c>
      <c r="AH107" s="74">
        <v>0</v>
      </c>
      <c r="AI107" s="74">
        <v>0</v>
      </c>
      <c r="AJ107" s="74">
        <v>0</v>
      </c>
      <c r="AK107" s="74"/>
      <c r="AL107" s="74">
        <v>6518</v>
      </c>
      <c r="AM107" s="74">
        <v>5715</v>
      </c>
      <c r="AN107" s="74">
        <v>5403</v>
      </c>
      <c r="AO107" s="74">
        <v>5205</v>
      </c>
      <c r="AP107" s="74">
        <v>5123</v>
      </c>
      <c r="AQ107" s="74">
        <v>5365</v>
      </c>
      <c r="AR107" s="74">
        <v>6976</v>
      </c>
      <c r="AS107" s="74">
        <v>7167</v>
      </c>
      <c r="AT107" s="74">
        <v>9421</v>
      </c>
      <c r="AU107" s="74">
        <v>9334</v>
      </c>
      <c r="AV107" s="74">
        <v>10447</v>
      </c>
      <c r="AW107" s="74">
        <v>10632</v>
      </c>
      <c r="AX107" s="74">
        <v>11547</v>
      </c>
      <c r="AY107" s="74">
        <v>10160</v>
      </c>
      <c r="AZ107" s="74">
        <v>11434</v>
      </c>
      <c r="BA107" s="74">
        <v>0</v>
      </c>
      <c r="BB107" s="74">
        <v>0</v>
      </c>
      <c r="BC107" s="74">
        <v>0</v>
      </c>
      <c r="BD107" s="74">
        <v>0</v>
      </c>
      <c r="BE107" s="74">
        <v>0</v>
      </c>
      <c r="BF107" s="74">
        <v>0</v>
      </c>
      <c r="BG107" s="74">
        <v>0</v>
      </c>
      <c r="BH107" s="74">
        <v>0</v>
      </c>
      <c r="BI107" s="74">
        <v>0</v>
      </c>
      <c r="BJ107" s="74">
        <v>0</v>
      </c>
      <c r="BK107" s="74">
        <v>0</v>
      </c>
      <c r="BL107" s="74">
        <v>0</v>
      </c>
      <c r="BM107" s="74">
        <v>0</v>
      </c>
      <c r="BN107" s="74">
        <v>0</v>
      </c>
      <c r="BO107" s="74">
        <v>0</v>
      </c>
      <c r="BP107" s="74">
        <v>0</v>
      </c>
      <c r="BQ107" s="74">
        <v>0</v>
      </c>
      <c r="BR107" s="74">
        <v>0</v>
      </c>
      <c r="BS107" s="74">
        <v>0</v>
      </c>
      <c r="BT107" s="74">
        <v>0</v>
      </c>
      <c r="BU107" s="74">
        <v>0</v>
      </c>
      <c r="BV107" s="74">
        <v>0</v>
      </c>
      <c r="BW107" s="74">
        <v>0</v>
      </c>
      <c r="BX107" s="74">
        <v>0</v>
      </c>
      <c r="BY107" s="74">
        <v>0</v>
      </c>
      <c r="BZ107" s="74">
        <v>0</v>
      </c>
      <c r="CA107" s="74">
        <v>0</v>
      </c>
      <c r="CB107" s="74">
        <v>0</v>
      </c>
      <c r="CC107" s="74">
        <v>0</v>
      </c>
      <c r="CD107" s="74">
        <v>0</v>
      </c>
      <c r="CE107" s="74">
        <v>0</v>
      </c>
      <c r="CF107" s="74">
        <v>0</v>
      </c>
      <c r="CG107" s="74">
        <v>0</v>
      </c>
      <c r="CH107" s="74">
        <v>0</v>
      </c>
      <c r="CI107" s="74">
        <v>0</v>
      </c>
      <c r="CJ107" s="74">
        <v>0</v>
      </c>
      <c r="CK107" s="74">
        <v>0</v>
      </c>
      <c r="CL107" s="74">
        <v>0</v>
      </c>
      <c r="CM107" s="74">
        <v>0</v>
      </c>
      <c r="CN107" s="74">
        <v>0</v>
      </c>
      <c r="CO107" s="74">
        <v>0</v>
      </c>
      <c r="CP107" s="74">
        <v>0</v>
      </c>
      <c r="CQ107" s="74">
        <v>0</v>
      </c>
      <c r="CR107" s="74">
        <v>0</v>
      </c>
      <c r="CS107" s="74">
        <v>0</v>
      </c>
      <c r="CT107" s="74">
        <v>0</v>
      </c>
      <c r="CU107" s="74">
        <v>0</v>
      </c>
      <c r="CV107" s="74">
        <v>0</v>
      </c>
      <c r="CW107" s="74">
        <v>0</v>
      </c>
      <c r="CX107" s="74">
        <v>0</v>
      </c>
      <c r="CY107" s="74">
        <v>0</v>
      </c>
      <c r="CZ107" s="74">
        <v>0</v>
      </c>
      <c r="DA107" s="74">
        <v>0</v>
      </c>
      <c r="DB107" s="74">
        <v>0</v>
      </c>
      <c r="DC107" s="74">
        <v>0</v>
      </c>
      <c r="DD107" s="74">
        <v>0</v>
      </c>
      <c r="DE107" s="74">
        <v>0</v>
      </c>
      <c r="DF107" s="74">
        <v>0</v>
      </c>
      <c r="DG107" s="74">
        <v>0</v>
      </c>
      <c r="DH107" s="74">
        <v>0</v>
      </c>
      <c r="DI107" s="74">
        <v>0</v>
      </c>
      <c r="DJ107" s="74">
        <v>0</v>
      </c>
      <c r="DK107" s="74">
        <v>0</v>
      </c>
      <c r="DL107" s="74">
        <v>0</v>
      </c>
      <c r="DM107" s="74">
        <v>0</v>
      </c>
      <c r="DN107" s="74">
        <v>0</v>
      </c>
      <c r="DO107" s="74">
        <v>0</v>
      </c>
      <c r="DP107" s="74">
        <v>0</v>
      </c>
      <c r="DQ107" s="74">
        <v>0</v>
      </c>
      <c r="DR107" s="74">
        <v>0</v>
      </c>
      <c r="DS107" s="74">
        <v>0</v>
      </c>
      <c r="DT107" s="74">
        <v>0</v>
      </c>
      <c r="DU107" s="74">
        <v>0</v>
      </c>
      <c r="DV107" s="74">
        <v>0</v>
      </c>
      <c r="DW107" s="74">
        <v>0</v>
      </c>
      <c r="DX107" s="74">
        <v>0</v>
      </c>
      <c r="DY107" s="74">
        <v>0</v>
      </c>
      <c r="DZ107" s="74">
        <v>0</v>
      </c>
      <c r="EA107" s="74">
        <v>0</v>
      </c>
      <c r="EB107" s="74">
        <v>0</v>
      </c>
      <c r="EC107" s="74">
        <v>0</v>
      </c>
      <c r="ED107" s="74"/>
      <c r="EE107" s="68">
        <v>46009</v>
      </c>
      <c r="EF107" s="81">
        <v>46009.521181944445</v>
      </c>
      <c r="EG107" s="2" t="s">
        <v>69</v>
      </c>
      <c r="EH107" s="76">
        <v>1</v>
      </c>
      <c r="EI107" s="76" t="s">
        <v>32</v>
      </c>
      <c r="EJ107" s="74" t="s">
        <v>244</v>
      </c>
      <c r="EK107" s="78"/>
      <c r="EL107" s="74"/>
      <c r="EM107" s="74"/>
      <c r="EN107" s="68"/>
      <c r="ER107" s="73"/>
      <c r="ES107" s="74"/>
      <c r="ET107" s="74"/>
      <c r="EU107" s="74"/>
      <c r="EV107" s="74"/>
      <c r="EW107" s="74"/>
      <c r="EX107" s="74"/>
      <c r="EY107" s="74"/>
      <c r="EZ107" s="74"/>
      <c r="FA107" s="74"/>
      <c r="FB107" s="74"/>
      <c r="FC107" s="74"/>
      <c r="FD107" s="74"/>
      <c r="FE107" s="74"/>
      <c r="FF107" s="74"/>
      <c r="FG107" s="74"/>
      <c r="FH107" s="74"/>
      <c r="FI107" s="74"/>
      <c r="FJ107" s="74"/>
      <c r="FK107" s="68"/>
    </row>
    <row r="108" spans="1:183" s="2" customFormat="1" ht="15" x14ac:dyDescent="0.3">
      <c r="A108" s="73" t="s">
        <v>196</v>
      </c>
      <c r="B108" s="73" t="s">
        <v>205</v>
      </c>
      <c r="C108" s="73" t="s">
        <v>205</v>
      </c>
      <c r="D108" s="73" t="s">
        <v>48</v>
      </c>
      <c r="E108" s="73" t="s">
        <v>178</v>
      </c>
      <c r="F108" s="73" t="s">
        <v>210</v>
      </c>
      <c r="G108" s="73" t="s">
        <v>227</v>
      </c>
      <c r="H108" s="73"/>
      <c r="I108" s="74">
        <v>33179</v>
      </c>
      <c r="J108" s="74">
        <v>43193</v>
      </c>
      <c r="K108" s="74">
        <v>57287</v>
      </c>
      <c r="L108" s="74">
        <v>72069</v>
      </c>
      <c r="M108" s="74">
        <v>73790</v>
      </c>
      <c r="N108" s="74">
        <v>109538</v>
      </c>
      <c r="O108" s="74">
        <v>143399</v>
      </c>
      <c r="P108" s="74">
        <v>0</v>
      </c>
      <c r="Q108" s="74">
        <v>0</v>
      </c>
      <c r="R108" s="74">
        <v>0</v>
      </c>
      <c r="S108" s="74">
        <v>0</v>
      </c>
      <c r="T108" s="74">
        <v>0</v>
      </c>
      <c r="U108" s="74">
        <v>0</v>
      </c>
      <c r="V108" s="74">
        <v>0</v>
      </c>
      <c r="W108" s="74">
        <v>0</v>
      </c>
      <c r="X108" s="74">
        <v>0</v>
      </c>
      <c r="Y108" s="74">
        <v>0</v>
      </c>
      <c r="Z108" s="74">
        <v>0</v>
      </c>
      <c r="AA108" s="74">
        <v>0</v>
      </c>
      <c r="AB108" s="74">
        <v>0</v>
      </c>
      <c r="AC108" s="74">
        <v>0</v>
      </c>
      <c r="AD108" s="74">
        <v>0</v>
      </c>
      <c r="AE108" s="74">
        <v>0</v>
      </c>
      <c r="AF108" s="74">
        <v>0</v>
      </c>
      <c r="AG108" s="74">
        <v>0</v>
      </c>
      <c r="AH108" s="74">
        <v>0</v>
      </c>
      <c r="AI108" s="74">
        <v>0</v>
      </c>
      <c r="AJ108" s="74">
        <v>0</v>
      </c>
      <c r="AK108" s="74"/>
      <c r="AL108" s="74">
        <v>15897.000000000002</v>
      </c>
      <c r="AM108" s="74">
        <v>18120</v>
      </c>
      <c r="AN108" s="74">
        <v>18285</v>
      </c>
      <c r="AO108" s="74">
        <v>21028</v>
      </c>
      <c r="AP108" s="74">
        <v>20645</v>
      </c>
      <c r="AQ108" s="74">
        <v>26397</v>
      </c>
      <c r="AR108" s="74">
        <v>29148</v>
      </c>
      <c r="AS108" s="74">
        <v>33348</v>
      </c>
      <c r="AT108" s="74">
        <v>31952.000000000004</v>
      </c>
      <c r="AU108" s="74">
        <v>33432</v>
      </c>
      <c r="AV108" s="74">
        <v>36186</v>
      </c>
      <c r="AW108" s="74">
        <v>41829</v>
      </c>
      <c r="AX108" s="74">
        <v>36356</v>
      </c>
      <c r="AY108" s="74">
        <v>40932</v>
      </c>
      <c r="AZ108" s="74">
        <v>39065</v>
      </c>
      <c r="BA108" s="74">
        <v>0</v>
      </c>
      <c r="BB108" s="74">
        <v>0</v>
      </c>
      <c r="BC108" s="74">
        <v>0</v>
      </c>
      <c r="BD108" s="74">
        <v>0</v>
      </c>
      <c r="BE108" s="74">
        <v>0</v>
      </c>
      <c r="BF108" s="74">
        <v>0</v>
      </c>
      <c r="BG108" s="74">
        <v>0</v>
      </c>
      <c r="BH108" s="74">
        <v>0</v>
      </c>
      <c r="BI108" s="74">
        <v>0</v>
      </c>
      <c r="BJ108" s="74">
        <v>0</v>
      </c>
      <c r="BK108" s="74">
        <v>0</v>
      </c>
      <c r="BL108" s="74">
        <v>0</v>
      </c>
      <c r="BM108" s="74">
        <v>0</v>
      </c>
      <c r="BN108" s="74">
        <v>0</v>
      </c>
      <c r="BO108" s="74">
        <v>0</v>
      </c>
      <c r="BP108" s="74">
        <v>0</v>
      </c>
      <c r="BQ108" s="74">
        <v>0</v>
      </c>
      <c r="BR108" s="74">
        <v>0</v>
      </c>
      <c r="BS108" s="74">
        <v>0</v>
      </c>
      <c r="BT108" s="74">
        <v>0</v>
      </c>
      <c r="BU108" s="74">
        <v>0</v>
      </c>
      <c r="BV108" s="74">
        <v>0</v>
      </c>
      <c r="BW108" s="74">
        <v>0</v>
      </c>
      <c r="BX108" s="74">
        <v>0</v>
      </c>
      <c r="BY108" s="74">
        <v>0</v>
      </c>
      <c r="BZ108" s="74">
        <v>0</v>
      </c>
      <c r="CA108" s="74">
        <v>0</v>
      </c>
      <c r="CB108" s="74">
        <v>0</v>
      </c>
      <c r="CC108" s="74">
        <v>0</v>
      </c>
      <c r="CD108" s="74">
        <v>0</v>
      </c>
      <c r="CE108" s="74">
        <v>0</v>
      </c>
      <c r="CF108" s="74">
        <v>0</v>
      </c>
      <c r="CG108" s="74">
        <v>0</v>
      </c>
      <c r="CH108" s="74">
        <v>0</v>
      </c>
      <c r="CI108" s="74">
        <v>0</v>
      </c>
      <c r="CJ108" s="74">
        <v>0</v>
      </c>
      <c r="CK108" s="74">
        <v>0</v>
      </c>
      <c r="CL108" s="74">
        <v>0</v>
      </c>
      <c r="CM108" s="74">
        <v>0</v>
      </c>
      <c r="CN108" s="74">
        <v>0</v>
      </c>
      <c r="CO108" s="74">
        <v>0</v>
      </c>
      <c r="CP108" s="74">
        <v>0</v>
      </c>
      <c r="CQ108" s="74">
        <v>0</v>
      </c>
      <c r="CR108" s="74">
        <v>0</v>
      </c>
      <c r="CS108" s="74">
        <v>0</v>
      </c>
      <c r="CT108" s="74">
        <v>0</v>
      </c>
      <c r="CU108" s="74">
        <v>0</v>
      </c>
      <c r="CV108" s="74">
        <v>0</v>
      </c>
      <c r="CW108" s="74">
        <v>0</v>
      </c>
      <c r="CX108" s="74">
        <v>0</v>
      </c>
      <c r="CY108" s="74">
        <v>0</v>
      </c>
      <c r="CZ108" s="74">
        <v>0</v>
      </c>
      <c r="DA108" s="74">
        <v>0</v>
      </c>
      <c r="DB108" s="74">
        <v>0</v>
      </c>
      <c r="DC108" s="74">
        <v>0</v>
      </c>
      <c r="DD108" s="74">
        <v>0</v>
      </c>
      <c r="DE108" s="74">
        <v>0</v>
      </c>
      <c r="DF108" s="74">
        <v>0</v>
      </c>
      <c r="DG108" s="74">
        <v>0</v>
      </c>
      <c r="DH108" s="74">
        <v>0</v>
      </c>
      <c r="DI108" s="74">
        <v>0</v>
      </c>
      <c r="DJ108" s="74">
        <v>0</v>
      </c>
      <c r="DK108" s="74">
        <v>0</v>
      </c>
      <c r="DL108" s="74">
        <v>0</v>
      </c>
      <c r="DM108" s="74">
        <v>0</v>
      </c>
      <c r="DN108" s="74">
        <v>0</v>
      </c>
      <c r="DO108" s="74">
        <v>0</v>
      </c>
      <c r="DP108" s="74">
        <v>0</v>
      </c>
      <c r="DQ108" s="74">
        <v>0</v>
      </c>
      <c r="DR108" s="74">
        <v>0</v>
      </c>
      <c r="DS108" s="74">
        <v>0</v>
      </c>
      <c r="DT108" s="74">
        <v>0</v>
      </c>
      <c r="DU108" s="74">
        <v>0</v>
      </c>
      <c r="DV108" s="74">
        <v>0</v>
      </c>
      <c r="DW108" s="74">
        <v>0</v>
      </c>
      <c r="DX108" s="74">
        <v>0</v>
      </c>
      <c r="DY108" s="74">
        <v>0</v>
      </c>
      <c r="DZ108" s="74">
        <v>0</v>
      </c>
      <c r="EA108" s="74">
        <v>0</v>
      </c>
      <c r="EB108" s="74">
        <v>0</v>
      </c>
      <c r="EC108" s="74">
        <v>0</v>
      </c>
      <c r="ED108" s="74"/>
      <c r="EE108" s="68">
        <v>46009</v>
      </c>
      <c r="EF108" s="81">
        <v>46009.521181944445</v>
      </c>
      <c r="EG108" s="2" t="s">
        <v>69</v>
      </c>
      <c r="EH108" s="76">
        <v>1</v>
      </c>
      <c r="EI108" s="76" t="s">
        <v>32</v>
      </c>
      <c r="EJ108" s="74" t="s">
        <v>244</v>
      </c>
      <c r="EK108" s="78"/>
      <c r="EL108" s="74"/>
      <c r="EM108" s="74"/>
      <c r="EN108" s="68"/>
      <c r="ER108" s="73"/>
      <c r="ES108" s="74"/>
      <c r="ET108" s="74"/>
      <c r="EU108" s="74"/>
      <c r="EV108" s="74"/>
      <c r="EW108" s="74"/>
      <c r="EX108" s="74"/>
      <c r="EY108" s="74"/>
      <c r="EZ108" s="74"/>
      <c r="FA108" s="74"/>
      <c r="FB108" s="74"/>
      <c r="FC108" s="74"/>
      <c r="FD108" s="74"/>
      <c r="FE108" s="74"/>
      <c r="FF108" s="74"/>
      <c r="FG108" s="74"/>
      <c r="FH108" s="74"/>
      <c r="FI108" s="74"/>
      <c r="FJ108" s="74"/>
      <c r="FK108" s="68"/>
    </row>
    <row r="109" spans="1:183" s="2" customFormat="1" ht="15" x14ac:dyDescent="0.3">
      <c r="A109" s="73" t="s">
        <v>181</v>
      </c>
      <c r="B109" s="73" t="s">
        <v>193</v>
      </c>
      <c r="C109" s="73" t="s">
        <v>193</v>
      </c>
      <c r="D109" s="73" t="s">
        <v>48</v>
      </c>
      <c r="E109" s="73" t="s">
        <v>178</v>
      </c>
      <c r="F109" s="73" t="s">
        <v>210</v>
      </c>
      <c r="G109" s="73" t="s">
        <v>227</v>
      </c>
      <c r="H109" s="73"/>
      <c r="I109" s="74">
        <v>11682</v>
      </c>
      <c r="J109" s="74">
        <v>12139</v>
      </c>
      <c r="K109" s="74">
        <v>15072</v>
      </c>
      <c r="L109" s="74">
        <v>16505</v>
      </c>
      <c r="M109" s="74">
        <v>8718</v>
      </c>
      <c r="N109" s="74">
        <v>28555</v>
      </c>
      <c r="O109" s="74">
        <v>39252</v>
      </c>
      <c r="P109" s="74">
        <v>0</v>
      </c>
      <c r="Q109" s="74">
        <v>0</v>
      </c>
      <c r="R109" s="74">
        <v>0</v>
      </c>
      <c r="S109" s="74">
        <v>0</v>
      </c>
      <c r="T109" s="74">
        <v>0</v>
      </c>
      <c r="U109" s="74">
        <v>0</v>
      </c>
      <c r="V109" s="74">
        <v>0</v>
      </c>
      <c r="W109" s="74">
        <v>0</v>
      </c>
      <c r="X109" s="74">
        <v>0</v>
      </c>
      <c r="Y109" s="74">
        <v>0</v>
      </c>
      <c r="Z109" s="74">
        <v>0</v>
      </c>
      <c r="AA109" s="74">
        <v>0</v>
      </c>
      <c r="AB109" s="74">
        <v>0</v>
      </c>
      <c r="AC109" s="74">
        <v>0</v>
      </c>
      <c r="AD109" s="74">
        <v>0</v>
      </c>
      <c r="AE109" s="74">
        <v>0</v>
      </c>
      <c r="AF109" s="74">
        <v>0</v>
      </c>
      <c r="AG109" s="74">
        <v>0</v>
      </c>
      <c r="AH109" s="74">
        <v>0</v>
      </c>
      <c r="AI109" s="74">
        <v>0</v>
      </c>
      <c r="AJ109" s="74">
        <v>0</v>
      </c>
      <c r="AK109" s="74"/>
      <c r="AL109" s="74">
        <v>826.06267994419341</v>
      </c>
      <c r="AM109" s="74">
        <v>2070.5768480000002</v>
      </c>
      <c r="AN109" s="74">
        <v>2299.4819345599999</v>
      </c>
      <c r="AO109" s="74">
        <v>2573.1629165231998</v>
      </c>
      <c r="AP109" s="74">
        <v>3593.8159999999998</v>
      </c>
      <c r="AQ109" s="74">
        <v>6149.6</v>
      </c>
      <c r="AR109" s="74">
        <v>7736.5930684042814</v>
      </c>
      <c r="AS109" s="74">
        <v>10251.054657269509</v>
      </c>
      <c r="AT109" s="74">
        <v>8246.9862325119611</v>
      </c>
      <c r="AU109" s="74">
        <v>8497.8188138974492</v>
      </c>
      <c r="AV109" s="74">
        <v>9309.6479826172799</v>
      </c>
      <c r="AW109" s="74">
        <v>13197.54697097331</v>
      </c>
      <c r="AX109" s="74">
        <v>9371</v>
      </c>
      <c r="AY109" s="74">
        <v>11259</v>
      </c>
      <c r="AZ109" s="74">
        <v>9107.6261330661673</v>
      </c>
      <c r="BA109" s="74">
        <v>0</v>
      </c>
      <c r="BB109" s="74">
        <v>0</v>
      </c>
      <c r="BC109" s="74">
        <v>0</v>
      </c>
      <c r="BD109" s="74">
        <v>0</v>
      </c>
      <c r="BE109" s="74">
        <v>0</v>
      </c>
      <c r="BF109" s="74">
        <v>0</v>
      </c>
      <c r="BG109" s="74">
        <v>0</v>
      </c>
      <c r="BH109" s="74">
        <v>0</v>
      </c>
      <c r="BI109" s="74">
        <v>0</v>
      </c>
      <c r="BJ109" s="74">
        <v>0</v>
      </c>
      <c r="BK109" s="74">
        <v>0</v>
      </c>
      <c r="BL109" s="74">
        <v>0</v>
      </c>
      <c r="BM109" s="74">
        <v>0</v>
      </c>
      <c r="BN109" s="74">
        <v>0</v>
      </c>
      <c r="BO109" s="74">
        <v>0</v>
      </c>
      <c r="BP109" s="74">
        <v>0</v>
      </c>
      <c r="BQ109" s="74">
        <v>0</v>
      </c>
      <c r="BR109" s="74">
        <v>0</v>
      </c>
      <c r="BS109" s="74">
        <v>0</v>
      </c>
      <c r="BT109" s="74">
        <v>0</v>
      </c>
      <c r="BU109" s="74">
        <v>0</v>
      </c>
      <c r="BV109" s="74">
        <v>0</v>
      </c>
      <c r="BW109" s="74">
        <v>0</v>
      </c>
      <c r="BX109" s="74">
        <v>0</v>
      </c>
      <c r="BY109" s="74">
        <v>0</v>
      </c>
      <c r="BZ109" s="74">
        <v>0</v>
      </c>
      <c r="CA109" s="74">
        <v>0</v>
      </c>
      <c r="CB109" s="74">
        <v>0</v>
      </c>
      <c r="CC109" s="74">
        <v>0</v>
      </c>
      <c r="CD109" s="74">
        <v>0</v>
      </c>
      <c r="CE109" s="74">
        <v>0</v>
      </c>
      <c r="CF109" s="74">
        <v>0</v>
      </c>
      <c r="CG109" s="74">
        <v>0</v>
      </c>
      <c r="CH109" s="74">
        <v>0</v>
      </c>
      <c r="CI109" s="74">
        <v>0</v>
      </c>
      <c r="CJ109" s="74">
        <v>0</v>
      </c>
      <c r="CK109" s="74">
        <v>0</v>
      </c>
      <c r="CL109" s="74">
        <v>0</v>
      </c>
      <c r="CM109" s="74">
        <v>0</v>
      </c>
      <c r="CN109" s="74">
        <v>0</v>
      </c>
      <c r="CO109" s="74">
        <v>0</v>
      </c>
      <c r="CP109" s="74">
        <v>0</v>
      </c>
      <c r="CQ109" s="74">
        <v>0</v>
      </c>
      <c r="CR109" s="74">
        <v>0</v>
      </c>
      <c r="CS109" s="74">
        <v>0</v>
      </c>
      <c r="CT109" s="74">
        <v>0</v>
      </c>
      <c r="CU109" s="74">
        <v>0</v>
      </c>
      <c r="CV109" s="74">
        <v>0</v>
      </c>
      <c r="CW109" s="74">
        <v>0</v>
      </c>
      <c r="CX109" s="74">
        <v>0</v>
      </c>
      <c r="CY109" s="74">
        <v>0</v>
      </c>
      <c r="CZ109" s="74">
        <v>0</v>
      </c>
      <c r="DA109" s="74">
        <v>0</v>
      </c>
      <c r="DB109" s="74">
        <v>0</v>
      </c>
      <c r="DC109" s="74">
        <v>0</v>
      </c>
      <c r="DD109" s="74">
        <v>0</v>
      </c>
      <c r="DE109" s="74">
        <v>0</v>
      </c>
      <c r="DF109" s="74">
        <v>0</v>
      </c>
      <c r="DG109" s="74">
        <v>0</v>
      </c>
      <c r="DH109" s="74">
        <v>0</v>
      </c>
      <c r="DI109" s="74">
        <v>0</v>
      </c>
      <c r="DJ109" s="74">
        <v>0</v>
      </c>
      <c r="DK109" s="74">
        <v>0</v>
      </c>
      <c r="DL109" s="74">
        <v>0</v>
      </c>
      <c r="DM109" s="74">
        <v>0</v>
      </c>
      <c r="DN109" s="74">
        <v>0</v>
      </c>
      <c r="DO109" s="74">
        <v>0</v>
      </c>
      <c r="DP109" s="74">
        <v>0</v>
      </c>
      <c r="DQ109" s="74">
        <v>0</v>
      </c>
      <c r="DR109" s="74">
        <v>0</v>
      </c>
      <c r="DS109" s="74">
        <v>0</v>
      </c>
      <c r="DT109" s="74">
        <v>0</v>
      </c>
      <c r="DU109" s="74">
        <v>0</v>
      </c>
      <c r="DV109" s="74">
        <v>0</v>
      </c>
      <c r="DW109" s="74">
        <v>0</v>
      </c>
      <c r="DX109" s="74">
        <v>0</v>
      </c>
      <c r="DY109" s="74">
        <v>0</v>
      </c>
      <c r="DZ109" s="74">
        <v>0</v>
      </c>
      <c r="EA109" s="74">
        <v>0</v>
      </c>
      <c r="EB109" s="74">
        <v>0</v>
      </c>
      <c r="EC109" s="74">
        <v>0</v>
      </c>
      <c r="ED109" s="74"/>
      <c r="EE109" s="68">
        <v>46009</v>
      </c>
      <c r="EF109" s="81">
        <v>46009.521181944445</v>
      </c>
      <c r="EG109" s="2" t="s">
        <v>69</v>
      </c>
      <c r="EH109" s="76">
        <v>1</v>
      </c>
      <c r="EI109" s="76" t="s">
        <v>32</v>
      </c>
      <c r="EJ109" s="74" t="s">
        <v>244</v>
      </c>
      <c r="EK109" s="78"/>
      <c r="EL109" s="74"/>
      <c r="EM109" s="74"/>
      <c r="EN109" s="68"/>
      <c r="ER109" s="73"/>
      <c r="ES109" s="74"/>
      <c r="ET109" s="74"/>
      <c r="EU109" s="74"/>
      <c r="EV109" s="74"/>
      <c r="EW109" s="74"/>
      <c r="EX109" s="74"/>
      <c r="EY109" s="74"/>
      <c r="EZ109" s="74"/>
      <c r="FA109" s="74"/>
      <c r="FB109" s="74"/>
      <c r="FC109" s="74"/>
      <c r="FD109" s="74"/>
      <c r="FE109" s="74"/>
      <c r="FF109" s="74"/>
      <c r="FG109" s="74"/>
      <c r="FH109" s="74"/>
      <c r="FI109" s="74"/>
      <c r="FJ109" s="74"/>
      <c r="FK109" s="68"/>
    </row>
    <row r="110" spans="1:183" s="2" customFormat="1" ht="15" x14ac:dyDescent="0.3">
      <c r="A110" s="73" t="s">
        <v>182</v>
      </c>
      <c r="B110" s="73" t="s">
        <v>195</v>
      </c>
      <c r="C110" s="73" t="s">
        <v>195</v>
      </c>
      <c r="D110" s="73" t="s">
        <v>48</v>
      </c>
      <c r="E110" s="73" t="s">
        <v>178</v>
      </c>
      <c r="F110" s="73" t="s">
        <v>210</v>
      </c>
      <c r="G110" s="73" t="s">
        <v>227</v>
      </c>
      <c r="H110" s="73"/>
      <c r="I110" s="74">
        <v>-515</v>
      </c>
      <c r="J110" s="74">
        <v>192</v>
      </c>
      <c r="K110" s="74">
        <v>2932</v>
      </c>
      <c r="L110" s="74">
        <v>2098</v>
      </c>
      <c r="M110" s="74">
        <v>-4263</v>
      </c>
      <c r="N110" s="74">
        <v>1360</v>
      </c>
      <c r="O110" s="74">
        <v>8254</v>
      </c>
      <c r="P110" s="74">
        <v>0</v>
      </c>
      <c r="Q110" s="74">
        <v>0</v>
      </c>
      <c r="R110" s="74">
        <v>0</v>
      </c>
      <c r="S110" s="74">
        <v>0</v>
      </c>
      <c r="T110" s="74">
        <v>0</v>
      </c>
      <c r="U110" s="74">
        <v>0</v>
      </c>
      <c r="V110" s="74">
        <v>0</v>
      </c>
      <c r="W110" s="74">
        <v>0</v>
      </c>
      <c r="X110" s="74">
        <v>0</v>
      </c>
      <c r="Y110" s="74">
        <v>0</v>
      </c>
      <c r="Z110" s="74">
        <v>0</v>
      </c>
      <c r="AA110" s="74">
        <v>0</v>
      </c>
      <c r="AB110" s="74">
        <v>0</v>
      </c>
      <c r="AC110" s="74">
        <v>0</v>
      </c>
      <c r="AD110" s="74">
        <v>0</v>
      </c>
      <c r="AE110" s="74">
        <v>0</v>
      </c>
      <c r="AF110" s="74">
        <v>0</v>
      </c>
      <c r="AG110" s="74">
        <v>0</v>
      </c>
      <c r="AH110" s="74">
        <v>0</v>
      </c>
      <c r="AI110" s="74">
        <v>0</v>
      </c>
      <c r="AJ110" s="74">
        <v>0</v>
      </c>
      <c r="AK110" s="74"/>
      <c r="AL110" s="74">
        <v>-488.78461095014404</v>
      </c>
      <c r="AM110" s="74">
        <v>-1070.4428800000001</v>
      </c>
      <c r="AN110" s="74">
        <v>-1731.76364848</v>
      </c>
      <c r="AO110" s="74">
        <v>-1290.2886389099999</v>
      </c>
      <c r="AP110" s="74">
        <v>-471.62450000000001</v>
      </c>
      <c r="AQ110" s="74">
        <v>-61.879774999999881</v>
      </c>
      <c r="AR110" s="74">
        <v>943.18570139361009</v>
      </c>
      <c r="AS110" s="74">
        <v>700.28382284638633</v>
      </c>
      <c r="AT110" s="74">
        <v>1945.3601270288939</v>
      </c>
      <c r="AU110" s="74">
        <v>1327.4725426728112</v>
      </c>
      <c r="AV110" s="74">
        <v>2407.4657346335302</v>
      </c>
      <c r="AW110" s="74">
        <v>2573.7015956647647</v>
      </c>
      <c r="AX110" s="74">
        <v>2153</v>
      </c>
      <c r="AY110" s="74">
        <v>2674</v>
      </c>
      <c r="AZ110" s="74">
        <v>2349.2465141868261</v>
      </c>
      <c r="BA110" s="74">
        <v>0</v>
      </c>
      <c r="BB110" s="74">
        <v>0</v>
      </c>
      <c r="BC110" s="74">
        <v>0</v>
      </c>
      <c r="BD110" s="74">
        <v>0</v>
      </c>
      <c r="BE110" s="74">
        <v>0</v>
      </c>
      <c r="BF110" s="74">
        <v>0</v>
      </c>
      <c r="BG110" s="74">
        <v>0</v>
      </c>
      <c r="BH110" s="74">
        <v>0</v>
      </c>
      <c r="BI110" s="74">
        <v>0</v>
      </c>
      <c r="BJ110" s="74">
        <v>0</v>
      </c>
      <c r="BK110" s="74">
        <v>0</v>
      </c>
      <c r="BL110" s="74">
        <v>0</v>
      </c>
      <c r="BM110" s="74">
        <v>0</v>
      </c>
      <c r="BN110" s="74">
        <v>0</v>
      </c>
      <c r="BO110" s="74">
        <v>0</v>
      </c>
      <c r="BP110" s="74">
        <v>0</v>
      </c>
      <c r="BQ110" s="74">
        <v>0</v>
      </c>
      <c r="BR110" s="74">
        <v>0</v>
      </c>
      <c r="BS110" s="74">
        <v>0</v>
      </c>
      <c r="BT110" s="74">
        <v>0</v>
      </c>
      <c r="BU110" s="74">
        <v>0</v>
      </c>
      <c r="BV110" s="74">
        <v>0</v>
      </c>
      <c r="BW110" s="74">
        <v>0</v>
      </c>
      <c r="BX110" s="74">
        <v>0</v>
      </c>
      <c r="BY110" s="74">
        <v>0</v>
      </c>
      <c r="BZ110" s="74">
        <v>0</v>
      </c>
      <c r="CA110" s="74">
        <v>0</v>
      </c>
      <c r="CB110" s="74">
        <v>0</v>
      </c>
      <c r="CC110" s="74">
        <v>0</v>
      </c>
      <c r="CD110" s="74">
        <v>0</v>
      </c>
      <c r="CE110" s="74">
        <v>0</v>
      </c>
      <c r="CF110" s="74">
        <v>0</v>
      </c>
      <c r="CG110" s="74">
        <v>0</v>
      </c>
      <c r="CH110" s="74">
        <v>0</v>
      </c>
      <c r="CI110" s="74">
        <v>0</v>
      </c>
      <c r="CJ110" s="74">
        <v>0</v>
      </c>
      <c r="CK110" s="74">
        <v>0</v>
      </c>
      <c r="CL110" s="74">
        <v>0</v>
      </c>
      <c r="CM110" s="74">
        <v>0</v>
      </c>
      <c r="CN110" s="74">
        <v>0</v>
      </c>
      <c r="CO110" s="74">
        <v>0</v>
      </c>
      <c r="CP110" s="74">
        <v>0</v>
      </c>
      <c r="CQ110" s="74">
        <v>0</v>
      </c>
      <c r="CR110" s="74">
        <v>0</v>
      </c>
      <c r="CS110" s="74">
        <v>0</v>
      </c>
      <c r="CT110" s="74">
        <v>0</v>
      </c>
      <c r="CU110" s="74">
        <v>0</v>
      </c>
      <c r="CV110" s="74">
        <v>0</v>
      </c>
      <c r="CW110" s="74">
        <v>0</v>
      </c>
      <c r="CX110" s="74">
        <v>0</v>
      </c>
      <c r="CY110" s="74">
        <v>0</v>
      </c>
      <c r="CZ110" s="74">
        <v>0</v>
      </c>
      <c r="DA110" s="74">
        <v>0</v>
      </c>
      <c r="DB110" s="74">
        <v>0</v>
      </c>
      <c r="DC110" s="74">
        <v>0</v>
      </c>
      <c r="DD110" s="74">
        <v>0</v>
      </c>
      <c r="DE110" s="74">
        <v>0</v>
      </c>
      <c r="DF110" s="74">
        <v>0</v>
      </c>
      <c r="DG110" s="74">
        <v>0</v>
      </c>
      <c r="DH110" s="74">
        <v>0</v>
      </c>
      <c r="DI110" s="74">
        <v>0</v>
      </c>
      <c r="DJ110" s="74">
        <v>0</v>
      </c>
      <c r="DK110" s="74">
        <v>0</v>
      </c>
      <c r="DL110" s="74">
        <v>0</v>
      </c>
      <c r="DM110" s="74">
        <v>0</v>
      </c>
      <c r="DN110" s="74">
        <v>0</v>
      </c>
      <c r="DO110" s="74">
        <v>0</v>
      </c>
      <c r="DP110" s="74">
        <v>0</v>
      </c>
      <c r="DQ110" s="74">
        <v>0</v>
      </c>
      <c r="DR110" s="74">
        <v>0</v>
      </c>
      <c r="DS110" s="74">
        <v>0</v>
      </c>
      <c r="DT110" s="74">
        <v>0</v>
      </c>
      <c r="DU110" s="74">
        <v>0</v>
      </c>
      <c r="DV110" s="74">
        <v>0</v>
      </c>
      <c r="DW110" s="74">
        <v>0</v>
      </c>
      <c r="DX110" s="74">
        <v>0</v>
      </c>
      <c r="DY110" s="74">
        <v>0</v>
      </c>
      <c r="DZ110" s="74">
        <v>0</v>
      </c>
      <c r="EA110" s="74">
        <v>0</v>
      </c>
      <c r="EB110" s="74">
        <v>0</v>
      </c>
      <c r="EC110" s="74">
        <v>0</v>
      </c>
      <c r="ED110" s="74"/>
      <c r="EE110" s="68">
        <v>46009</v>
      </c>
      <c r="EF110" s="81">
        <v>46009.521181944445</v>
      </c>
      <c r="EG110" s="2" t="s">
        <v>69</v>
      </c>
      <c r="EH110" s="76">
        <v>1</v>
      </c>
      <c r="EI110" s="76" t="s">
        <v>32</v>
      </c>
      <c r="EJ110" s="74" t="s">
        <v>244</v>
      </c>
      <c r="EK110" s="78"/>
      <c r="EL110" s="74"/>
      <c r="EM110" s="74"/>
      <c r="EN110" s="68"/>
      <c r="ER110" s="73"/>
      <c r="ES110" s="74"/>
      <c r="ET110" s="74"/>
      <c r="EU110" s="74"/>
      <c r="EV110" s="74"/>
      <c r="EW110" s="74"/>
      <c r="EX110" s="74"/>
      <c r="EY110" s="74"/>
      <c r="EZ110" s="74"/>
      <c r="FA110" s="74"/>
      <c r="FB110" s="74"/>
      <c r="FC110" s="74"/>
      <c r="FD110" s="74"/>
      <c r="FE110" s="74"/>
      <c r="FF110" s="74"/>
      <c r="FG110" s="74"/>
      <c r="FH110" s="74"/>
      <c r="FI110" s="74"/>
      <c r="FJ110" s="74"/>
      <c r="FK110" s="68"/>
    </row>
    <row r="111" spans="1:183" s="2" customFormat="1" ht="15" x14ac:dyDescent="0.3">
      <c r="A111" s="73" t="s">
        <v>183</v>
      </c>
      <c r="B111" s="73" t="s">
        <v>194</v>
      </c>
      <c r="C111" s="73" t="s">
        <v>194</v>
      </c>
      <c r="D111" s="73" t="s">
        <v>48</v>
      </c>
      <c r="E111" s="73" t="s">
        <v>178</v>
      </c>
      <c r="F111" s="73" t="s">
        <v>210</v>
      </c>
      <c r="G111" s="73" t="s">
        <v>227</v>
      </c>
      <c r="H111" s="73"/>
      <c r="I111" s="74">
        <v>13391</v>
      </c>
      <c r="J111" s="74">
        <v>17359</v>
      </c>
      <c r="K111" s="74">
        <v>21134</v>
      </c>
      <c r="L111" s="74">
        <v>29185</v>
      </c>
      <c r="M111" s="74">
        <v>32717</v>
      </c>
      <c r="N111" s="74">
        <v>37162</v>
      </c>
      <c r="O111" s="74">
        <v>53154</v>
      </c>
      <c r="P111" s="74">
        <v>0</v>
      </c>
      <c r="Q111" s="74">
        <v>0</v>
      </c>
      <c r="R111" s="74">
        <v>0</v>
      </c>
      <c r="S111" s="74">
        <v>0</v>
      </c>
      <c r="T111" s="74">
        <v>0</v>
      </c>
      <c r="U111" s="74">
        <v>0</v>
      </c>
      <c r="V111" s="74">
        <v>0</v>
      </c>
      <c r="W111" s="74">
        <v>0</v>
      </c>
      <c r="X111" s="74">
        <v>0</v>
      </c>
      <c r="Y111" s="74">
        <v>0</v>
      </c>
      <c r="Z111" s="74">
        <v>0</v>
      </c>
      <c r="AA111" s="74">
        <v>0</v>
      </c>
      <c r="AB111" s="74">
        <v>0</v>
      </c>
      <c r="AC111" s="74">
        <v>0</v>
      </c>
      <c r="AD111" s="74">
        <v>0</v>
      </c>
      <c r="AE111" s="74">
        <v>0</v>
      </c>
      <c r="AF111" s="74">
        <v>0</v>
      </c>
      <c r="AG111" s="74">
        <v>0</v>
      </c>
      <c r="AH111" s="74">
        <v>0</v>
      </c>
      <c r="AI111" s="74">
        <v>0</v>
      </c>
      <c r="AJ111" s="74">
        <v>0</v>
      </c>
      <c r="AK111" s="74"/>
      <c r="AL111" s="74">
        <v>9253.4406367992087</v>
      </c>
      <c r="AM111" s="74">
        <v>8481.4199404976353</v>
      </c>
      <c r="AN111" s="74">
        <v>8292.3824755987043</v>
      </c>
      <c r="AO111" s="74">
        <v>8209.1437554750282</v>
      </c>
      <c r="AP111" s="74">
        <v>8308.2650443786715</v>
      </c>
      <c r="AQ111" s="74">
        <v>8281.330601340971</v>
      </c>
      <c r="AR111" s="74">
        <v>9996.3697585056962</v>
      </c>
      <c r="AS111" s="74">
        <v>10495.986361321735</v>
      </c>
      <c r="AT111" s="74">
        <v>12585.95118613353</v>
      </c>
      <c r="AU111" s="74">
        <v>12663.056979011879</v>
      </c>
      <c r="AV111" s="74">
        <v>13972.900846815592</v>
      </c>
      <c r="AW111" s="74">
        <v>13932.090988038999</v>
      </c>
      <c r="AX111" s="74">
        <v>15937</v>
      </c>
      <c r="AY111" s="74">
        <v>15004</v>
      </c>
      <c r="AZ111" s="74">
        <v>17299.354543400383</v>
      </c>
      <c r="BA111" s="74">
        <v>0</v>
      </c>
      <c r="BB111" s="74">
        <v>0</v>
      </c>
      <c r="BC111" s="74">
        <v>0</v>
      </c>
      <c r="BD111" s="74">
        <v>0</v>
      </c>
      <c r="BE111" s="74">
        <v>0</v>
      </c>
      <c r="BF111" s="74">
        <v>0</v>
      </c>
      <c r="BG111" s="74">
        <v>0</v>
      </c>
      <c r="BH111" s="74">
        <v>0</v>
      </c>
      <c r="BI111" s="74">
        <v>0</v>
      </c>
      <c r="BJ111" s="74">
        <v>0</v>
      </c>
      <c r="BK111" s="74">
        <v>0</v>
      </c>
      <c r="BL111" s="74">
        <v>0</v>
      </c>
      <c r="BM111" s="74">
        <v>0</v>
      </c>
      <c r="BN111" s="74">
        <v>0</v>
      </c>
      <c r="BO111" s="74">
        <v>0</v>
      </c>
      <c r="BP111" s="74">
        <v>0</v>
      </c>
      <c r="BQ111" s="74">
        <v>0</v>
      </c>
      <c r="BR111" s="74">
        <v>0</v>
      </c>
      <c r="BS111" s="74">
        <v>0</v>
      </c>
      <c r="BT111" s="74">
        <v>0</v>
      </c>
      <c r="BU111" s="74">
        <v>0</v>
      </c>
      <c r="BV111" s="74">
        <v>0</v>
      </c>
      <c r="BW111" s="74">
        <v>0</v>
      </c>
      <c r="BX111" s="74">
        <v>0</v>
      </c>
      <c r="BY111" s="74">
        <v>0</v>
      </c>
      <c r="BZ111" s="74">
        <v>0</v>
      </c>
      <c r="CA111" s="74">
        <v>0</v>
      </c>
      <c r="CB111" s="74">
        <v>0</v>
      </c>
      <c r="CC111" s="74">
        <v>0</v>
      </c>
      <c r="CD111" s="74">
        <v>0</v>
      </c>
      <c r="CE111" s="74">
        <v>0</v>
      </c>
      <c r="CF111" s="74">
        <v>0</v>
      </c>
      <c r="CG111" s="74">
        <v>0</v>
      </c>
      <c r="CH111" s="74">
        <v>0</v>
      </c>
      <c r="CI111" s="74">
        <v>0</v>
      </c>
      <c r="CJ111" s="74">
        <v>0</v>
      </c>
      <c r="CK111" s="74">
        <v>0</v>
      </c>
      <c r="CL111" s="74">
        <v>0</v>
      </c>
      <c r="CM111" s="74">
        <v>0</v>
      </c>
      <c r="CN111" s="74">
        <v>0</v>
      </c>
      <c r="CO111" s="74">
        <v>0</v>
      </c>
      <c r="CP111" s="74">
        <v>0</v>
      </c>
      <c r="CQ111" s="74">
        <v>0</v>
      </c>
      <c r="CR111" s="74">
        <v>0</v>
      </c>
      <c r="CS111" s="74">
        <v>0</v>
      </c>
      <c r="CT111" s="74">
        <v>0</v>
      </c>
      <c r="CU111" s="74">
        <v>0</v>
      </c>
      <c r="CV111" s="74">
        <v>0</v>
      </c>
      <c r="CW111" s="74">
        <v>0</v>
      </c>
      <c r="CX111" s="74">
        <v>0</v>
      </c>
      <c r="CY111" s="74">
        <v>0</v>
      </c>
      <c r="CZ111" s="74">
        <v>0</v>
      </c>
      <c r="DA111" s="74">
        <v>0</v>
      </c>
      <c r="DB111" s="74">
        <v>0</v>
      </c>
      <c r="DC111" s="74">
        <v>0</v>
      </c>
      <c r="DD111" s="74">
        <v>0</v>
      </c>
      <c r="DE111" s="74">
        <v>0</v>
      </c>
      <c r="DF111" s="74">
        <v>0</v>
      </c>
      <c r="DG111" s="74">
        <v>0</v>
      </c>
      <c r="DH111" s="74">
        <v>0</v>
      </c>
      <c r="DI111" s="74">
        <v>0</v>
      </c>
      <c r="DJ111" s="74">
        <v>0</v>
      </c>
      <c r="DK111" s="74">
        <v>0</v>
      </c>
      <c r="DL111" s="74">
        <v>0</v>
      </c>
      <c r="DM111" s="74">
        <v>0</v>
      </c>
      <c r="DN111" s="74">
        <v>0</v>
      </c>
      <c r="DO111" s="74">
        <v>0</v>
      </c>
      <c r="DP111" s="74">
        <v>0</v>
      </c>
      <c r="DQ111" s="74">
        <v>0</v>
      </c>
      <c r="DR111" s="74">
        <v>0</v>
      </c>
      <c r="DS111" s="74">
        <v>0</v>
      </c>
      <c r="DT111" s="74">
        <v>0</v>
      </c>
      <c r="DU111" s="74">
        <v>0</v>
      </c>
      <c r="DV111" s="74">
        <v>0</v>
      </c>
      <c r="DW111" s="74">
        <v>0</v>
      </c>
      <c r="DX111" s="74">
        <v>0</v>
      </c>
      <c r="DY111" s="74">
        <v>0</v>
      </c>
      <c r="DZ111" s="74">
        <v>0</v>
      </c>
      <c r="EA111" s="74">
        <v>0</v>
      </c>
      <c r="EB111" s="74">
        <v>0</v>
      </c>
      <c r="EC111" s="74">
        <v>0</v>
      </c>
      <c r="ED111" s="74"/>
      <c r="EE111" s="68">
        <v>46009</v>
      </c>
      <c r="EF111" s="81">
        <v>46009.521181944445</v>
      </c>
      <c r="EG111" s="2" t="s">
        <v>69</v>
      </c>
      <c r="EH111" s="76">
        <v>1</v>
      </c>
      <c r="EI111" s="76" t="s">
        <v>32</v>
      </c>
      <c r="EJ111" s="74" t="s">
        <v>244</v>
      </c>
      <c r="EK111" s="78"/>
      <c r="EL111" s="74"/>
      <c r="EM111" s="74"/>
      <c r="EN111" s="68"/>
      <c r="ER111" s="73"/>
      <c r="ES111" s="74"/>
      <c r="ET111" s="74"/>
      <c r="EU111" s="74"/>
      <c r="EV111" s="74"/>
      <c r="EW111" s="74"/>
      <c r="EX111" s="74"/>
      <c r="EY111" s="74"/>
      <c r="EZ111" s="74"/>
      <c r="FA111" s="74"/>
      <c r="FB111" s="74"/>
      <c r="FC111" s="74"/>
      <c r="FD111" s="74"/>
      <c r="FE111" s="74"/>
      <c r="FF111" s="74"/>
      <c r="FG111" s="74"/>
      <c r="FH111" s="74"/>
      <c r="FI111" s="74"/>
      <c r="FJ111" s="74"/>
      <c r="FK111" s="68"/>
    </row>
    <row r="112" spans="1:183" s="2" customFormat="1" ht="15" x14ac:dyDescent="0.3">
      <c r="A112" s="73" t="s">
        <v>197</v>
      </c>
      <c r="B112" s="73" t="s">
        <v>204</v>
      </c>
      <c r="C112" s="73" t="s">
        <v>204</v>
      </c>
      <c r="D112" s="73" t="s">
        <v>48</v>
      </c>
      <c r="E112" s="73" t="s">
        <v>178</v>
      </c>
      <c r="F112" s="73" t="s">
        <v>210</v>
      </c>
      <c r="G112" s="73" t="s">
        <v>227</v>
      </c>
      <c r="H112" s="73"/>
      <c r="I112" s="74">
        <v>3203</v>
      </c>
      <c r="J112" s="74">
        <v>6639</v>
      </c>
      <c r="K112" s="74">
        <v>8941</v>
      </c>
      <c r="L112" s="74">
        <v>11524</v>
      </c>
      <c r="M112" s="74">
        <v>16997</v>
      </c>
      <c r="N112" s="74">
        <v>18438</v>
      </c>
      <c r="O112" s="74">
        <v>20728</v>
      </c>
      <c r="P112" s="74">
        <v>0</v>
      </c>
      <c r="Q112" s="74">
        <v>0</v>
      </c>
      <c r="R112" s="74">
        <v>0</v>
      </c>
      <c r="S112" s="74">
        <v>0</v>
      </c>
      <c r="T112" s="74">
        <v>0</v>
      </c>
      <c r="U112" s="74">
        <v>0</v>
      </c>
      <c r="V112" s="74">
        <v>0</v>
      </c>
      <c r="W112" s="74">
        <v>0</v>
      </c>
      <c r="X112" s="74">
        <v>0</v>
      </c>
      <c r="Y112" s="74">
        <v>0</v>
      </c>
      <c r="Z112" s="74">
        <v>0</v>
      </c>
      <c r="AA112" s="74">
        <v>0</v>
      </c>
      <c r="AB112" s="74">
        <v>0</v>
      </c>
      <c r="AC112" s="74">
        <v>0</v>
      </c>
      <c r="AD112" s="74">
        <v>0</v>
      </c>
      <c r="AE112" s="74">
        <v>0</v>
      </c>
      <c r="AF112" s="74">
        <v>0</v>
      </c>
      <c r="AG112" s="74">
        <v>0</v>
      </c>
      <c r="AH112" s="74">
        <v>0</v>
      </c>
      <c r="AI112" s="74">
        <v>0</v>
      </c>
      <c r="AJ112" s="74">
        <v>0</v>
      </c>
      <c r="AK112" s="74"/>
      <c r="AL112" s="74">
        <v>3056.281294206743</v>
      </c>
      <c r="AM112" s="74">
        <v>3429.4460915023628</v>
      </c>
      <c r="AN112" s="74">
        <v>3868.8992383212958</v>
      </c>
      <c r="AO112" s="74">
        <v>5929.9819669117715</v>
      </c>
      <c r="AP112" s="74">
        <v>4466.5434556213295</v>
      </c>
      <c r="AQ112" s="74">
        <v>4900.949173659028</v>
      </c>
      <c r="AR112" s="74">
        <v>4642.8514716964128</v>
      </c>
      <c r="AS112" s="74">
        <v>5581.6751585623697</v>
      </c>
      <c r="AT112" s="74">
        <v>4212.7024543256148</v>
      </c>
      <c r="AU112" s="74">
        <v>4221.651664417861</v>
      </c>
      <c r="AV112" s="74">
        <v>5162.9854359335986</v>
      </c>
      <c r="AW112" s="74">
        <v>7130.6604453229265</v>
      </c>
      <c r="AX112" s="74">
        <v>5206</v>
      </c>
      <c r="AY112" s="74">
        <v>5461</v>
      </c>
      <c r="AZ112" s="74">
        <v>5461.7728093466239</v>
      </c>
      <c r="BA112" s="74">
        <v>0</v>
      </c>
      <c r="BB112" s="74">
        <v>0</v>
      </c>
      <c r="BC112" s="74">
        <v>0</v>
      </c>
      <c r="BD112" s="74">
        <v>0</v>
      </c>
      <c r="BE112" s="74">
        <v>0</v>
      </c>
      <c r="BF112" s="74">
        <v>0</v>
      </c>
      <c r="BG112" s="74">
        <v>0</v>
      </c>
      <c r="BH112" s="74">
        <v>0</v>
      </c>
      <c r="BI112" s="74">
        <v>0</v>
      </c>
      <c r="BJ112" s="74">
        <v>0</v>
      </c>
      <c r="BK112" s="74">
        <v>0</v>
      </c>
      <c r="BL112" s="74">
        <v>0</v>
      </c>
      <c r="BM112" s="74">
        <v>0</v>
      </c>
      <c r="BN112" s="74">
        <v>0</v>
      </c>
      <c r="BO112" s="74">
        <v>0</v>
      </c>
      <c r="BP112" s="74">
        <v>0</v>
      </c>
      <c r="BQ112" s="74">
        <v>0</v>
      </c>
      <c r="BR112" s="74">
        <v>0</v>
      </c>
      <c r="BS112" s="74">
        <v>0</v>
      </c>
      <c r="BT112" s="74">
        <v>0</v>
      </c>
      <c r="BU112" s="74">
        <v>0</v>
      </c>
      <c r="BV112" s="74">
        <v>0</v>
      </c>
      <c r="BW112" s="74">
        <v>0</v>
      </c>
      <c r="BX112" s="74">
        <v>0</v>
      </c>
      <c r="BY112" s="74">
        <v>0</v>
      </c>
      <c r="BZ112" s="74">
        <v>0</v>
      </c>
      <c r="CA112" s="74">
        <v>0</v>
      </c>
      <c r="CB112" s="74">
        <v>0</v>
      </c>
      <c r="CC112" s="74">
        <v>0</v>
      </c>
      <c r="CD112" s="74">
        <v>0</v>
      </c>
      <c r="CE112" s="74">
        <v>0</v>
      </c>
      <c r="CF112" s="74">
        <v>0</v>
      </c>
      <c r="CG112" s="74">
        <v>0</v>
      </c>
      <c r="CH112" s="74">
        <v>0</v>
      </c>
      <c r="CI112" s="74">
        <v>0</v>
      </c>
      <c r="CJ112" s="74">
        <v>0</v>
      </c>
      <c r="CK112" s="74">
        <v>0</v>
      </c>
      <c r="CL112" s="74">
        <v>0</v>
      </c>
      <c r="CM112" s="74">
        <v>0</v>
      </c>
      <c r="CN112" s="74">
        <v>0</v>
      </c>
      <c r="CO112" s="74">
        <v>0</v>
      </c>
      <c r="CP112" s="74">
        <v>0</v>
      </c>
      <c r="CQ112" s="74">
        <v>0</v>
      </c>
      <c r="CR112" s="74">
        <v>0</v>
      </c>
      <c r="CS112" s="74">
        <v>0</v>
      </c>
      <c r="CT112" s="74">
        <v>0</v>
      </c>
      <c r="CU112" s="74">
        <v>0</v>
      </c>
      <c r="CV112" s="74">
        <v>0</v>
      </c>
      <c r="CW112" s="74">
        <v>0</v>
      </c>
      <c r="CX112" s="74">
        <v>0</v>
      </c>
      <c r="CY112" s="74">
        <v>0</v>
      </c>
      <c r="CZ112" s="74">
        <v>0</v>
      </c>
      <c r="DA112" s="74">
        <v>0</v>
      </c>
      <c r="DB112" s="74">
        <v>0</v>
      </c>
      <c r="DC112" s="74">
        <v>0</v>
      </c>
      <c r="DD112" s="74">
        <v>0</v>
      </c>
      <c r="DE112" s="74">
        <v>0</v>
      </c>
      <c r="DF112" s="74">
        <v>0</v>
      </c>
      <c r="DG112" s="74">
        <v>0</v>
      </c>
      <c r="DH112" s="74">
        <v>0</v>
      </c>
      <c r="DI112" s="74">
        <v>0</v>
      </c>
      <c r="DJ112" s="74">
        <v>0</v>
      </c>
      <c r="DK112" s="74">
        <v>0</v>
      </c>
      <c r="DL112" s="74">
        <v>0</v>
      </c>
      <c r="DM112" s="74">
        <v>0</v>
      </c>
      <c r="DN112" s="74">
        <v>0</v>
      </c>
      <c r="DO112" s="74">
        <v>0</v>
      </c>
      <c r="DP112" s="74">
        <v>0</v>
      </c>
      <c r="DQ112" s="74">
        <v>0</v>
      </c>
      <c r="DR112" s="74">
        <v>0</v>
      </c>
      <c r="DS112" s="74">
        <v>0</v>
      </c>
      <c r="DT112" s="74">
        <v>0</v>
      </c>
      <c r="DU112" s="74">
        <v>0</v>
      </c>
      <c r="DV112" s="74">
        <v>0</v>
      </c>
      <c r="DW112" s="74">
        <v>0</v>
      </c>
      <c r="DX112" s="74">
        <v>0</v>
      </c>
      <c r="DY112" s="74">
        <v>0</v>
      </c>
      <c r="DZ112" s="74">
        <v>0</v>
      </c>
      <c r="EA112" s="74">
        <v>0</v>
      </c>
      <c r="EB112" s="74">
        <v>0</v>
      </c>
      <c r="EC112" s="74">
        <v>0</v>
      </c>
      <c r="ED112" s="74"/>
      <c r="EE112" s="68">
        <v>46009</v>
      </c>
      <c r="EF112" s="81">
        <v>46009.521181944445</v>
      </c>
      <c r="EG112" s="2" t="s">
        <v>69</v>
      </c>
      <c r="EH112" s="76">
        <v>1</v>
      </c>
      <c r="EI112" s="76" t="s">
        <v>32</v>
      </c>
      <c r="EJ112" s="74" t="s">
        <v>244</v>
      </c>
      <c r="EK112" s="78"/>
      <c r="EL112" s="74"/>
      <c r="EM112" s="74"/>
      <c r="EN112" s="68"/>
      <c r="ER112" s="73"/>
      <c r="ES112" s="74"/>
      <c r="ET112" s="74"/>
      <c r="EU112" s="74"/>
      <c r="EV112" s="74"/>
      <c r="EW112" s="74"/>
      <c r="EX112" s="74"/>
      <c r="EY112" s="74"/>
      <c r="EZ112" s="74"/>
      <c r="FA112" s="74"/>
      <c r="FB112" s="74"/>
      <c r="FC112" s="74"/>
      <c r="FD112" s="74"/>
      <c r="FE112" s="74"/>
      <c r="FF112" s="74"/>
      <c r="FG112" s="74"/>
      <c r="FH112" s="74"/>
      <c r="FI112" s="74"/>
      <c r="FJ112" s="74"/>
      <c r="FK112" s="68"/>
    </row>
    <row r="113" spans="1:167" s="2" customFormat="1" ht="15" x14ac:dyDescent="0.3">
      <c r="A113" s="73" t="s">
        <v>184</v>
      </c>
      <c r="B113" s="73" t="s">
        <v>166</v>
      </c>
      <c r="C113" s="73" t="s">
        <v>166</v>
      </c>
      <c r="D113" s="73" t="s">
        <v>48</v>
      </c>
      <c r="E113" s="73" t="s">
        <v>178</v>
      </c>
      <c r="F113" s="73" t="s">
        <v>210</v>
      </c>
      <c r="G113" s="73" t="s">
        <v>227</v>
      </c>
      <c r="H113" s="73"/>
      <c r="I113" s="74">
        <v>4415</v>
      </c>
      <c r="J113" s="74">
        <v>5106</v>
      </c>
      <c r="K113" s="74">
        <v>6421</v>
      </c>
      <c r="L113" s="74">
        <v>9234</v>
      </c>
      <c r="M113" s="74">
        <v>11565</v>
      </c>
      <c r="N113" s="74">
        <v>13678</v>
      </c>
      <c r="O113" s="74">
        <v>14285</v>
      </c>
      <c r="P113" s="74">
        <v>0</v>
      </c>
      <c r="Q113" s="74">
        <v>0</v>
      </c>
      <c r="R113" s="74">
        <v>0</v>
      </c>
      <c r="S113" s="74">
        <v>0</v>
      </c>
      <c r="T113" s="74">
        <v>0</v>
      </c>
      <c r="U113" s="74">
        <v>0</v>
      </c>
      <c r="V113" s="74">
        <v>0</v>
      </c>
      <c r="W113" s="74">
        <v>0</v>
      </c>
      <c r="X113" s="74">
        <v>0</v>
      </c>
      <c r="Y113" s="74">
        <v>0</v>
      </c>
      <c r="Z113" s="74">
        <v>0</v>
      </c>
      <c r="AA113" s="74">
        <v>0</v>
      </c>
      <c r="AB113" s="74">
        <v>0</v>
      </c>
      <c r="AC113" s="74">
        <v>0</v>
      </c>
      <c r="AD113" s="74">
        <v>0</v>
      </c>
      <c r="AE113" s="74">
        <v>0</v>
      </c>
      <c r="AF113" s="74">
        <v>0</v>
      </c>
      <c r="AG113" s="74">
        <v>0</v>
      </c>
      <c r="AH113" s="74">
        <v>0</v>
      </c>
      <c r="AI113" s="74">
        <v>0</v>
      </c>
      <c r="AJ113" s="74">
        <v>0</v>
      </c>
      <c r="AK113" s="74"/>
      <c r="AL113" s="74">
        <v>2394.0626799441934</v>
      </c>
      <c r="AM113" s="74">
        <v>2697.5768480000002</v>
      </c>
      <c r="AN113" s="74">
        <v>2711.4819345599999</v>
      </c>
      <c r="AO113" s="74">
        <v>2813.1629165231998</v>
      </c>
      <c r="AP113" s="74">
        <v>2695.8159999999998</v>
      </c>
      <c r="AQ113" s="74">
        <v>2938.6</v>
      </c>
      <c r="AR113" s="74">
        <v>3429.5930684042814</v>
      </c>
      <c r="AS113" s="74">
        <v>3790.0546572695098</v>
      </c>
      <c r="AT113" s="74">
        <v>3263.9862325119611</v>
      </c>
      <c r="AU113" s="74">
        <v>3432.8188138974488</v>
      </c>
      <c r="AV113" s="74">
        <v>3646.6479826172804</v>
      </c>
      <c r="AW113" s="74">
        <v>3941.5469709733097</v>
      </c>
      <c r="AX113" s="74">
        <v>3530</v>
      </c>
      <c r="AY113" s="74">
        <v>3742</v>
      </c>
      <c r="AZ113" s="74">
        <v>4318.6261330661673</v>
      </c>
      <c r="BA113" s="74">
        <v>0</v>
      </c>
      <c r="BB113" s="74">
        <v>0</v>
      </c>
      <c r="BC113" s="74">
        <v>0</v>
      </c>
      <c r="BD113" s="74">
        <v>0</v>
      </c>
      <c r="BE113" s="74">
        <v>0</v>
      </c>
      <c r="BF113" s="74">
        <v>0</v>
      </c>
      <c r="BG113" s="74">
        <v>0</v>
      </c>
      <c r="BH113" s="74">
        <v>0</v>
      </c>
      <c r="BI113" s="74">
        <v>0</v>
      </c>
      <c r="BJ113" s="74">
        <v>0</v>
      </c>
      <c r="BK113" s="74">
        <v>0</v>
      </c>
      <c r="BL113" s="74">
        <v>0</v>
      </c>
      <c r="BM113" s="74">
        <v>0</v>
      </c>
      <c r="BN113" s="74">
        <v>0</v>
      </c>
      <c r="BO113" s="74">
        <v>0</v>
      </c>
      <c r="BP113" s="74">
        <v>0</v>
      </c>
      <c r="BQ113" s="74">
        <v>0</v>
      </c>
      <c r="BR113" s="74">
        <v>0</v>
      </c>
      <c r="BS113" s="74">
        <v>0</v>
      </c>
      <c r="BT113" s="74">
        <v>0</v>
      </c>
      <c r="BU113" s="74">
        <v>0</v>
      </c>
      <c r="BV113" s="74">
        <v>0</v>
      </c>
      <c r="BW113" s="74">
        <v>0</v>
      </c>
      <c r="BX113" s="74">
        <v>0</v>
      </c>
      <c r="BY113" s="74">
        <v>0</v>
      </c>
      <c r="BZ113" s="74">
        <v>0</v>
      </c>
      <c r="CA113" s="74">
        <v>0</v>
      </c>
      <c r="CB113" s="74">
        <v>0</v>
      </c>
      <c r="CC113" s="74">
        <v>0</v>
      </c>
      <c r="CD113" s="74">
        <v>0</v>
      </c>
      <c r="CE113" s="74">
        <v>0</v>
      </c>
      <c r="CF113" s="74">
        <v>0</v>
      </c>
      <c r="CG113" s="74">
        <v>0</v>
      </c>
      <c r="CH113" s="74">
        <v>0</v>
      </c>
      <c r="CI113" s="74">
        <v>0</v>
      </c>
      <c r="CJ113" s="74">
        <v>0</v>
      </c>
      <c r="CK113" s="74">
        <v>0</v>
      </c>
      <c r="CL113" s="74">
        <v>0</v>
      </c>
      <c r="CM113" s="74">
        <v>0</v>
      </c>
      <c r="CN113" s="74">
        <v>0</v>
      </c>
      <c r="CO113" s="74">
        <v>0</v>
      </c>
      <c r="CP113" s="74">
        <v>0</v>
      </c>
      <c r="CQ113" s="74">
        <v>0</v>
      </c>
      <c r="CR113" s="74">
        <v>0</v>
      </c>
      <c r="CS113" s="74">
        <v>0</v>
      </c>
      <c r="CT113" s="74">
        <v>0</v>
      </c>
      <c r="CU113" s="74">
        <v>0</v>
      </c>
      <c r="CV113" s="74">
        <v>0</v>
      </c>
      <c r="CW113" s="74">
        <v>0</v>
      </c>
      <c r="CX113" s="74">
        <v>0</v>
      </c>
      <c r="CY113" s="74">
        <v>0</v>
      </c>
      <c r="CZ113" s="74">
        <v>0</v>
      </c>
      <c r="DA113" s="74">
        <v>0</v>
      </c>
      <c r="DB113" s="74">
        <v>0</v>
      </c>
      <c r="DC113" s="74">
        <v>0</v>
      </c>
      <c r="DD113" s="74">
        <v>0</v>
      </c>
      <c r="DE113" s="74">
        <v>0</v>
      </c>
      <c r="DF113" s="74">
        <v>0</v>
      </c>
      <c r="DG113" s="74">
        <v>0</v>
      </c>
      <c r="DH113" s="74">
        <v>0</v>
      </c>
      <c r="DI113" s="74">
        <v>0</v>
      </c>
      <c r="DJ113" s="74">
        <v>0</v>
      </c>
      <c r="DK113" s="74">
        <v>0</v>
      </c>
      <c r="DL113" s="74">
        <v>0</v>
      </c>
      <c r="DM113" s="74">
        <v>0</v>
      </c>
      <c r="DN113" s="74">
        <v>0</v>
      </c>
      <c r="DO113" s="74">
        <v>0</v>
      </c>
      <c r="DP113" s="74">
        <v>0</v>
      </c>
      <c r="DQ113" s="74">
        <v>0</v>
      </c>
      <c r="DR113" s="74">
        <v>0</v>
      </c>
      <c r="DS113" s="74">
        <v>0</v>
      </c>
      <c r="DT113" s="74">
        <v>0</v>
      </c>
      <c r="DU113" s="74">
        <v>0</v>
      </c>
      <c r="DV113" s="74">
        <v>0</v>
      </c>
      <c r="DW113" s="74">
        <v>0</v>
      </c>
      <c r="DX113" s="74">
        <v>0</v>
      </c>
      <c r="DY113" s="74">
        <v>0</v>
      </c>
      <c r="DZ113" s="74">
        <v>0</v>
      </c>
      <c r="EA113" s="74">
        <v>0</v>
      </c>
      <c r="EB113" s="74">
        <v>0</v>
      </c>
      <c r="EC113" s="74">
        <v>0</v>
      </c>
      <c r="ED113" s="74"/>
      <c r="EE113" s="68">
        <v>46009</v>
      </c>
      <c r="EF113" s="81">
        <v>46009.521181944445</v>
      </c>
      <c r="EG113" s="2" t="s">
        <v>69</v>
      </c>
      <c r="EH113" s="76">
        <v>1</v>
      </c>
      <c r="EI113" s="76" t="s">
        <v>32</v>
      </c>
      <c r="EJ113" s="74" t="s">
        <v>244</v>
      </c>
      <c r="EK113" s="78"/>
      <c r="EL113" s="74"/>
      <c r="EM113" s="74"/>
      <c r="EN113" s="68"/>
      <c r="ER113" s="73"/>
      <c r="ES113" s="74"/>
      <c r="ET113" s="74"/>
      <c r="EU113" s="74"/>
      <c r="EV113" s="74"/>
      <c r="EW113" s="74"/>
      <c r="EX113" s="74"/>
      <c r="EY113" s="74"/>
      <c r="EZ113" s="74"/>
      <c r="FA113" s="74"/>
      <c r="FB113" s="74"/>
      <c r="FC113" s="74"/>
      <c r="FD113" s="74"/>
      <c r="FE113" s="74"/>
      <c r="FF113" s="74"/>
      <c r="FG113" s="74"/>
      <c r="FH113" s="74"/>
      <c r="FI113" s="74"/>
      <c r="FJ113" s="74"/>
      <c r="FK113" s="68"/>
    </row>
    <row r="114" spans="1:167" s="2" customFormat="1" ht="15" x14ac:dyDescent="0.3">
      <c r="A114" s="73" t="s">
        <v>185</v>
      </c>
      <c r="B114" s="73" t="s">
        <v>168</v>
      </c>
      <c r="C114" s="73" t="s">
        <v>168</v>
      </c>
      <c r="D114" s="73" t="s">
        <v>48</v>
      </c>
      <c r="E114" s="73" t="s">
        <v>178</v>
      </c>
      <c r="F114" s="73" t="s">
        <v>210</v>
      </c>
      <c r="G114" s="73" t="s">
        <v>227</v>
      </c>
      <c r="H114" s="73"/>
      <c r="I114" s="74">
        <v>1628</v>
      </c>
      <c r="J114" s="74">
        <v>1886</v>
      </c>
      <c r="K114" s="74">
        <v>2215</v>
      </c>
      <c r="L114" s="74">
        <v>3022</v>
      </c>
      <c r="M114" s="74">
        <v>3483</v>
      </c>
      <c r="N114" s="74">
        <v>4016</v>
      </c>
      <c r="O114" s="74">
        <v>4462</v>
      </c>
      <c r="P114" s="74">
        <v>0</v>
      </c>
      <c r="Q114" s="74">
        <v>0</v>
      </c>
      <c r="R114" s="74">
        <v>0</v>
      </c>
      <c r="S114" s="74">
        <v>0</v>
      </c>
      <c r="T114" s="74">
        <v>0</v>
      </c>
      <c r="U114" s="74">
        <v>0</v>
      </c>
      <c r="V114" s="74">
        <v>0</v>
      </c>
      <c r="W114" s="74">
        <v>0</v>
      </c>
      <c r="X114" s="74">
        <v>0</v>
      </c>
      <c r="Y114" s="74">
        <v>0</v>
      </c>
      <c r="Z114" s="74">
        <v>0</v>
      </c>
      <c r="AA114" s="74">
        <v>0</v>
      </c>
      <c r="AB114" s="74">
        <v>0</v>
      </c>
      <c r="AC114" s="74">
        <v>0</v>
      </c>
      <c r="AD114" s="74">
        <v>0</v>
      </c>
      <c r="AE114" s="74">
        <v>0</v>
      </c>
      <c r="AF114" s="74">
        <v>0</v>
      </c>
      <c r="AG114" s="74">
        <v>0</v>
      </c>
      <c r="AH114" s="74">
        <v>0</v>
      </c>
      <c r="AI114" s="74">
        <v>0</v>
      </c>
      <c r="AJ114" s="74">
        <v>0</v>
      </c>
      <c r="AK114" s="74"/>
      <c r="AL114" s="74">
        <v>792.21538904985596</v>
      </c>
      <c r="AM114" s="74">
        <v>700.55712000000005</v>
      </c>
      <c r="AN114" s="74">
        <v>734.23635151999997</v>
      </c>
      <c r="AO114" s="74">
        <v>937.71136109000008</v>
      </c>
      <c r="AP114" s="74">
        <v>775.37549999999999</v>
      </c>
      <c r="AQ114" s="74">
        <v>833.12022500000012</v>
      </c>
      <c r="AR114" s="74">
        <v>1038.1857013936101</v>
      </c>
      <c r="AS114" s="74">
        <v>1119.2838228463863</v>
      </c>
      <c r="AT114" s="74">
        <v>1042.3601270288939</v>
      </c>
      <c r="AU114" s="74">
        <v>1054.4725426728112</v>
      </c>
      <c r="AV114" s="74">
        <v>1106.4657346335302</v>
      </c>
      <c r="AW114" s="74">
        <v>1258.7015956647647</v>
      </c>
      <c r="AX114" s="74">
        <v>1136</v>
      </c>
      <c r="AY114" s="74">
        <v>1180</v>
      </c>
      <c r="AZ114" s="74">
        <v>1150.2465141868258</v>
      </c>
      <c r="BA114" s="74">
        <v>0</v>
      </c>
      <c r="BB114" s="74">
        <v>0</v>
      </c>
      <c r="BC114" s="74">
        <v>0</v>
      </c>
      <c r="BD114" s="74">
        <v>0</v>
      </c>
      <c r="BE114" s="74">
        <v>0</v>
      </c>
      <c r="BF114" s="74">
        <v>0</v>
      </c>
      <c r="BG114" s="74">
        <v>0</v>
      </c>
      <c r="BH114" s="74">
        <v>0</v>
      </c>
      <c r="BI114" s="74">
        <v>0</v>
      </c>
      <c r="BJ114" s="74">
        <v>0</v>
      </c>
      <c r="BK114" s="74">
        <v>0</v>
      </c>
      <c r="BL114" s="74">
        <v>0</v>
      </c>
      <c r="BM114" s="74">
        <v>0</v>
      </c>
      <c r="BN114" s="74">
        <v>0</v>
      </c>
      <c r="BO114" s="74">
        <v>0</v>
      </c>
      <c r="BP114" s="74">
        <v>0</v>
      </c>
      <c r="BQ114" s="74">
        <v>0</v>
      </c>
      <c r="BR114" s="74">
        <v>0</v>
      </c>
      <c r="BS114" s="74">
        <v>0</v>
      </c>
      <c r="BT114" s="74">
        <v>0</v>
      </c>
      <c r="BU114" s="74">
        <v>0</v>
      </c>
      <c r="BV114" s="74">
        <v>0</v>
      </c>
      <c r="BW114" s="74">
        <v>0</v>
      </c>
      <c r="BX114" s="74">
        <v>0</v>
      </c>
      <c r="BY114" s="74">
        <v>0</v>
      </c>
      <c r="BZ114" s="74">
        <v>0</v>
      </c>
      <c r="CA114" s="74">
        <v>0</v>
      </c>
      <c r="CB114" s="74">
        <v>0</v>
      </c>
      <c r="CC114" s="74">
        <v>0</v>
      </c>
      <c r="CD114" s="74">
        <v>0</v>
      </c>
      <c r="CE114" s="74">
        <v>0</v>
      </c>
      <c r="CF114" s="74">
        <v>0</v>
      </c>
      <c r="CG114" s="74">
        <v>0</v>
      </c>
      <c r="CH114" s="74">
        <v>0</v>
      </c>
      <c r="CI114" s="74">
        <v>0</v>
      </c>
      <c r="CJ114" s="74">
        <v>0</v>
      </c>
      <c r="CK114" s="74">
        <v>0</v>
      </c>
      <c r="CL114" s="74">
        <v>0</v>
      </c>
      <c r="CM114" s="74">
        <v>0</v>
      </c>
      <c r="CN114" s="74">
        <v>0</v>
      </c>
      <c r="CO114" s="74">
        <v>0</v>
      </c>
      <c r="CP114" s="74">
        <v>0</v>
      </c>
      <c r="CQ114" s="74">
        <v>0</v>
      </c>
      <c r="CR114" s="74">
        <v>0</v>
      </c>
      <c r="CS114" s="74">
        <v>0</v>
      </c>
      <c r="CT114" s="74">
        <v>0</v>
      </c>
      <c r="CU114" s="74">
        <v>0</v>
      </c>
      <c r="CV114" s="74">
        <v>0</v>
      </c>
      <c r="CW114" s="74">
        <v>0</v>
      </c>
      <c r="CX114" s="74">
        <v>0</v>
      </c>
      <c r="CY114" s="74">
        <v>0</v>
      </c>
      <c r="CZ114" s="74">
        <v>0</v>
      </c>
      <c r="DA114" s="74">
        <v>0</v>
      </c>
      <c r="DB114" s="74">
        <v>0</v>
      </c>
      <c r="DC114" s="74">
        <v>0</v>
      </c>
      <c r="DD114" s="74">
        <v>0</v>
      </c>
      <c r="DE114" s="74">
        <v>0</v>
      </c>
      <c r="DF114" s="74">
        <v>0</v>
      </c>
      <c r="DG114" s="74">
        <v>0</v>
      </c>
      <c r="DH114" s="74">
        <v>0</v>
      </c>
      <c r="DI114" s="74">
        <v>0</v>
      </c>
      <c r="DJ114" s="74">
        <v>0</v>
      </c>
      <c r="DK114" s="74">
        <v>0</v>
      </c>
      <c r="DL114" s="74">
        <v>0</v>
      </c>
      <c r="DM114" s="74">
        <v>0</v>
      </c>
      <c r="DN114" s="74">
        <v>0</v>
      </c>
      <c r="DO114" s="74">
        <v>0</v>
      </c>
      <c r="DP114" s="74">
        <v>0</v>
      </c>
      <c r="DQ114" s="74">
        <v>0</v>
      </c>
      <c r="DR114" s="74">
        <v>0</v>
      </c>
      <c r="DS114" s="74">
        <v>0</v>
      </c>
      <c r="DT114" s="74">
        <v>0</v>
      </c>
      <c r="DU114" s="74">
        <v>0</v>
      </c>
      <c r="DV114" s="74">
        <v>0</v>
      </c>
      <c r="DW114" s="74">
        <v>0</v>
      </c>
      <c r="DX114" s="74">
        <v>0</v>
      </c>
      <c r="DY114" s="74">
        <v>0</v>
      </c>
      <c r="DZ114" s="74">
        <v>0</v>
      </c>
      <c r="EA114" s="74">
        <v>0</v>
      </c>
      <c r="EB114" s="74">
        <v>0</v>
      </c>
      <c r="EC114" s="74">
        <v>0</v>
      </c>
      <c r="ED114" s="74"/>
      <c r="EE114" s="68">
        <v>46009</v>
      </c>
      <c r="EF114" s="81">
        <v>46009.521181944445</v>
      </c>
      <c r="EG114" s="2" t="s">
        <v>69</v>
      </c>
      <c r="EH114" s="76">
        <v>1</v>
      </c>
      <c r="EI114" s="76" t="s">
        <v>32</v>
      </c>
      <c r="EJ114" s="74" t="s">
        <v>244</v>
      </c>
      <c r="EK114" s="78"/>
      <c r="EL114" s="74"/>
      <c r="EM114" s="74"/>
      <c r="EN114" s="68"/>
      <c r="ER114" s="73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68"/>
    </row>
    <row r="115" spans="1:167" s="2" customFormat="1" ht="15" x14ac:dyDescent="0.3">
      <c r="A115" s="73" t="s">
        <v>186</v>
      </c>
      <c r="B115" s="73" t="s">
        <v>172</v>
      </c>
      <c r="C115" s="73" t="s">
        <v>172</v>
      </c>
      <c r="D115" s="73" t="s">
        <v>48</v>
      </c>
      <c r="E115" s="73" t="s">
        <v>178</v>
      </c>
      <c r="F115" s="73" t="s">
        <v>210</v>
      </c>
      <c r="G115" s="73" t="s">
        <v>227</v>
      </c>
      <c r="H115" s="73"/>
      <c r="I115" s="74">
        <v>6095</v>
      </c>
      <c r="J115" s="74">
        <v>8158</v>
      </c>
      <c r="K115" s="74">
        <v>7603</v>
      </c>
      <c r="L115" s="74">
        <v>10653</v>
      </c>
      <c r="M115" s="74">
        <v>9876</v>
      </c>
      <c r="N115" s="74">
        <v>12531</v>
      </c>
      <c r="O115" s="74">
        <v>13320</v>
      </c>
      <c r="P115" s="74">
        <v>0</v>
      </c>
      <c r="Q115" s="74">
        <v>0</v>
      </c>
      <c r="R115" s="74">
        <v>0</v>
      </c>
      <c r="S115" s="74">
        <v>0</v>
      </c>
      <c r="T115" s="74">
        <v>0</v>
      </c>
      <c r="U115" s="74">
        <v>0</v>
      </c>
      <c r="V115" s="74">
        <v>0</v>
      </c>
      <c r="W115" s="74">
        <v>0</v>
      </c>
      <c r="X115" s="74">
        <v>0</v>
      </c>
      <c r="Y115" s="74">
        <v>0</v>
      </c>
      <c r="Z115" s="74">
        <v>0</v>
      </c>
      <c r="AA115" s="74">
        <v>0</v>
      </c>
      <c r="AB115" s="74">
        <v>0</v>
      </c>
      <c r="AC115" s="74">
        <v>0</v>
      </c>
      <c r="AD115" s="74">
        <v>0</v>
      </c>
      <c r="AE115" s="74">
        <v>0</v>
      </c>
      <c r="AF115" s="74">
        <v>0</v>
      </c>
      <c r="AG115" s="74">
        <v>0</v>
      </c>
      <c r="AH115" s="74">
        <v>0</v>
      </c>
      <c r="AI115" s="74">
        <v>0</v>
      </c>
      <c r="AJ115" s="74">
        <v>0</v>
      </c>
      <c r="AK115" s="74"/>
      <c r="AL115" s="74">
        <v>2735.4406367992078</v>
      </c>
      <c r="AM115" s="74">
        <v>2766.4199404976362</v>
      </c>
      <c r="AN115" s="74">
        <v>2889.3824755987039</v>
      </c>
      <c r="AO115" s="74">
        <v>3004.1437554750278</v>
      </c>
      <c r="AP115" s="74">
        <v>3185.2650443786711</v>
      </c>
      <c r="AQ115" s="74">
        <v>2916.3306013409706</v>
      </c>
      <c r="AR115" s="74">
        <v>3020.3697585056962</v>
      </c>
      <c r="AS115" s="74">
        <v>3328.9863613217344</v>
      </c>
      <c r="AT115" s="74">
        <v>3164.9511861335304</v>
      </c>
      <c r="AU115" s="74">
        <v>3329.0569790118789</v>
      </c>
      <c r="AV115" s="74">
        <v>3525.9008468155916</v>
      </c>
      <c r="AW115" s="74">
        <v>3300.0909880389991</v>
      </c>
      <c r="AX115" s="74">
        <v>4390</v>
      </c>
      <c r="AY115" s="74">
        <v>4844</v>
      </c>
      <c r="AZ115" s="74">
        <v>5865.3545434003836</v>
      </c>
      <c r="BA115" s="74">
        <v>0</v>
      </c>
      <c r="BB115" s="74">
        <v>0</v>
      </c>
      <c r="BC115" s="74">
        <v>0</v>
      </c>
      <c r="BD115" s="74">
        <v>0</v>
      </c>
      <c r="BE115" s="74">
        <v>0</v>
      </c>
      <c r="BF115" s="74">
        <v>0</v>
      </c>
      <c r="BG115" s="74">
        <v>0</v>
      </c>
      <c r="BH115" s="74">
        <v>0</v>
      </c>
      <c r="BI115" s="74">
        <v>0</v>
      </c>
      <c r="BJ115" s="74">
        <v>0</v>
      </c>
      <c r="BK115" s="74">
        <v>0</v>
      </c>
      <c r="BL115" s="74">
        <v>0</v>
      </c>
      <c r="BM115" s="74">
        <v>0</v>
      </c>
      <c r="BN115" s="74">
        <v>0</v>
      </c>
      <c r="BO115" s="74">
        <v>0</v>
      </c>
      <c r="BP115" s="74">
        <v>0</v>
      </c>
      <c r="BQ115" s="74">
        <v>0</v>
      </c>
      <c r="BR115" s="74">
        <v>0</v>
      </c>
      <c r="BS115" s="74">
        <v>0</v>
      </c>
      <c r="BT115" s="74">
        <v>0</v>
      </c>
      <c r="BU115" s="74">
        <v>0</v>
      </c>
      <c r="BV115" s="74">
        <v>0</v>
      </c>
      <c r="BW115" s="74">
        <v>0</v>
      </c>
      <c r="BX115" s="74">
        <v>0</v>
      </c>
      <c r="BY115" s="74">
        <v>0</v>
      </c>
      <c r="BZ115" s="74">
        <v>0</v>
      </c>
      <c r="CA115" s="74">
        <v>0</v>
      </c>
      <c r="CB115" s="74">
        <v>0</v>
      </c>
      <c r="CC115" s="74">
        <v>0</v>
      </c>
      <c r="CD115" s="74">
        <v>0</v>
      </c>
      <c r="CE115" s="74">
        <v>0</v>
      </c>
      <c r="CF115" s="74">
        <v>0</v>
      </c>
      <c r="CG115" s="74">
        <v>0</v>
      </c>
      <c r="CH115" s="74">
        <v>0</v>
      </c>
      <c r="CI115" s="74">
        <v>0</v>
      </c>
      <c r="CJ115" s="74">
        <v>0</v>
      </c>
      <c r="CK115" s="74">
        <v>0</v>
      </c>
      <c r="CL115" s="74">
        <v>0</v>
      </c>
      <c r="CM115" s="74">
        <v>0</v>
      </c>
      <c r="CN115" s="74">
        <v>0</v>
      </c>
      <c r="CO115" s="74">
        <v>0</v>
      </c>
      <c r="CP115" s="74">
        <v>0</v>
      </c>
      <c r="CQ115" s="74">
        <v>0</v>
      </c>
      <c r="CR115" s="74">
        <v>0</v>
      </c>
      <c r="CS115" s="74">
        <v>0</v>
      </c>
      <c r="CT115" s="74">
        <v>0</v>
      </c>
      <c r="CU115" s="74">
        <v>0</v>
      </c>
      <c r="CV115" s="74">
        <v>0</v>
      </c>
      <c r="CW115" s="74">
        <v>0</v>
      </c>
      <c r="CX115" s="74">
        <v>0</v>
      </c>
      <c r="CY115" s="74">
        <v>0</v>
      </c>
      <c r="CZ115" s="74">
        <v>0</v>
      </c>
      <c r="DA115" s="74">
        <v>0</v>
      </c>
      <c r="DB115" s="74">
        <v>0</v>
      </c>
      <c r="DC115" s="74">
        <v>0</v>
      </c>
      <c r="DD115" s="74">
        <v>0</v>
      </c>
      <c r="DE115" s="74">
        <v>0</v>
      </c>
      <c r="DF115" s="74">
        <v>0</v>
      </c>
      <c r="DG115" s="74">
        <v>0</v>
      </c>
      <c r="DH115" s="74">
        <v>0</v>
      </c>
      <c r="DI115" s="74">
        <v>0</v>
      </c>
      <c r="DJ115" s="74">
        <v>0</v>
      </c>
      <c r="DK115" s="74">
        <v>0</v>
      </c>
      <c r="DL115" s="74">
        <v>0</v>
      </c>
      <c r="DM115" s="74">
        <v>0</v>
      </c>
      <c r="DN115" s="74">
        <v>0</v>
      </c>
      <c r="DO115" s="74">
        <v>0</v>
      </c>
      <c r="DP115" s="74">
        <v>0</v>
      </c>
      <c r="DQ115" s="74">
        <v>0</v>
      </c>
      <c r="DR115" s="74">
        <v>0</v>
      </c>
      <c r="DS115" s="74">
        <v>0</v>
      </c>
      <c r="DT115" s="74">
        <v>0</v>
      </c>
      <c r="DU115" s="74">
        <v>0</v>
      </c>
      <c r="DV115" s="74">
        <v>0</v>
      </c>
      <c r="DW115" s="74">
        <v>0</v>
      </c>
      <c r="DX115" s="74">
        <v>0</v>
      </c>
      <c r="DY115" s="74">
        <v>0</v>
      </c>
      <c r="DZ115" s="74">
        <v>0</v>
      </c>
      <c r="EA115" s="74">
        <v>0</v>
      </c>
      <c r="EB115" s="74">
        <v>0</v>
      </c>
      <c r="EC115" s="74">
        <v>0</v>
      </c>
      <c r="ED115" s="74"/>
      <c r="EE115" s="68">
        <v>46009</v>
      </c>
      <c r="EF115" s="81">
        <v>46009.521181944445</v>
      </c>
      <c r="EG115" s="2" t="s">
        <v>69</v>
      </c>
      <c r="EH115" s="76">
        <v>1</v>
      </c>
      <c r="EI115" s="76" t="s">
        <v>32</v>
      </c>
      <c r="EJ115" s="74" t="s">
        <v>244</v>
      </c>
      <c r="EK115" s="78"/>
      <c r="EL115" s="74"/>
      <c r="EM115" s="74"/>
      <c r="EN115" s="68"/>
      <c r="ER115" s="73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68"/>
    </row>
    <row r="116" spans="1:167" s="2" customFormat="1" ht="15" x14ac:dyDescent="0.3">
      <c r="A116" s="73" t="s">
        <v>177</v>
      </c>
      <c r="B116" s="73" t="s">
        <v>203</v>
      </c>
      <c r="C116" s="73" t="s">
        <v>203</v>
      </c>
      <c r="D116" s="73" t="s">
        <v>48</v>
      </c>
      <c r="E116" s="73" t="s">
        <v>178</v>
      </c>
      <c r="F116" s="73" t="s">
        <v>210</v>
      </c>
      <c r="G116" s="73" t="s">
        <v>227</v>
      </c>
      <c r="H116" s="73"/>
      <c r="I116" s="74">
        <v>3203</v>
      </c>
      <c r="J116" s="74">
        <v>6639</v>
      </c>
      <c r="K116" s="74">
        <v>8941</v>
      </c>
      <c r="L116" s="74">
        <v>11524</v>
      </c>
      <c r="M116" s="74">
        <v>16997</v>
      </c>
      <c r="N116" s="74">
        <v>18438</v>
      </c>
      <c r="O116" s="74">
        <v>20728</v>
      </c>
      <c r="P116" s="74">
        <v>0</v>
      </c>
      <c r="Q116" s="74">
        <v>0</v>
      </c>
      <c r="R116" s="74">
        <v>0</v>
      </c>
      <c r="S116" s="74">
        <v>0</v>
      </c>
      <c r="T116" s="74">
        <v>0</v>
      </c>
      <c r="U116" s="74">
        <v>0</v>
      </c>
      <c r="V116" s="74">
        <v>0</v>
      </c>
      <c r="W116" s="74">
        <v>0</v>
      </c>
      <c r="X116" s="74">
        <v>0</v>
      </c>
      <c r="Y116" s="74">
        <v>0</v>
      </c>
      <c r="Z116" s="74">
        <v>0</v>
      </c>
      <c r="AA116" s="74">
        <v>0</v>
      </c>
      <c r="AB116" s="74">
        <v>0</v>
      </c>
      <c r="AC116" s="74">
        <v>0</v>
      </c>
      <c r="AD116" s="74">
        <v>0</v>
      </c>
      <c r="AE116" s="74">
        <v>0</v>
      </c>
      <c r="AF116" s="74">
        <v>0</v>
      </c>
      <c r="AG116" s="74">
        <v>0</v>
      </c>
      <c r="AH116" s="74">
        <v>0</v>
      </c>
      <c r="AI116" s="74">
        <v>0</v>
      </c>
      <c r="AJ116" s="74">
        <v>0</v>
      </c>
      <c r="AK116" s="74"/>
      <c r="AL116" s="74">
        <v>3056.281294206743</v>
      </c>
      <c r="AM116" s="74">
        <v>3429.4460915023628</v>
      </c>
      <c r="AN116" s="74">
        <v>3868.8992383212958</v>
      </c>
      <c r="AO116" s="74">
        <v>5929.9819669117715</v>
      </c>
      <c r="AP116" s="74">
        <v>4466.5434556213295</v>
      </c>
      <c r="AQ116" s="74">
        <v>4900.949173659028</v>
      </c>
      <c r="AR116" s="74">
        <v>4642.8514716964128</v>
      </c>
      <c r="AS116" s="74">
        <v>5581.6751585623697</v>
      </c>
      <c r="AT116" s="74">
        <v>4212.7024543256148</v>
      </c>
      <c r="AU116" s="74">
        <v>4221.651664417861</v>
      </c>
      <c r="AV116" s="74">
        <v>5162.9854359335986</v>
      </c>
      <c r="AW116" s="74">
        <v>7130.6604453229265</v>
      </c>
      <c r="AX116" s="74">
        <v>5206</v>
      </c>
      <c r="AY116" s="74">
        <v>5461</v>
      </c>
      <c r="AZ116" s="74">
        <v>5461.7728093466239</v>
      </c>
      <c r="BA116" s="74">
        <v>0</v>
      </c>
      <c r="BB116" s="74">
        <v>0</v>
      </c>
      <c r="BC116" s="74">
        <v>0</v>
      </c>
      <c r="BD116" s="74">
        <v>0</v>
      </c>
      <c r="BE116" s="74">
        <v>0</v>
      </c>
      <c r="BF116" s="74">
        <v>0</v>
      </c>
      <c r="BG116" s="74">
        <v>0</v>
      </c>
      <c r="BH116" s="74">
        <v>0</v>
      </c>
      <c r="BI116" s="74">
        <v>0</v>
      </c>
      <c r="BJ116" s="74">
        <v>0</v>
      </c>
      <c r="BK116" s="74">
        <v>0</v>
      </c>
      <c r="BL116" s="74">
        <v>0</v>
      </c>
      <c r="BM116" s="74">
        <v>0</v>
      </c>
      <c r="BN116" s="74">
        <v>0</v>
      </c>
      <c r="BO116" s="74">
        <v>0</v>
      </c>
      <c r="BP116" s="74">
        <v>0</v>
      </c>
      <c r="BQ116" s="74">
        <v>0</v>
      </c>
      <c r="BR116" s="74">
        <v>0</v>
      </c>
      <c r="BS116" s="74">
        <v>0</v>
      </c>
      <c r="BT116" s="74">
        <v>0</v>
      </c>
      <c r="BU116" s="74">
        <v>0</v>
      </c>
      <c r="BV116" s="74">
        <v>0</v>
      </c>
      <c r="BW116" s="74">
        <v>0</v>
      </c>
      <c r="BX116" s="74">
        <v>0</v>
      </c>
      <c r="BY116" s="74">
        <v>0</v>
      </c>
      <c r="BZ116" s="74">
        <v>0</v>
      </c>
      <c r="CA116" s="74">
        <v>0</v>
      </c>
      <c r="CB116" s="74">
        <v>0</v>
      </c>
      <c r="CC116" s="74">
        <v>0</v>
      </c>
      <c r="CD116" s="74">
        <v>0</v>
      </c>
      <c r="CE116" s="74">
        <v>0</v>
      </c>
      <c r="CF116" s="74">
        <v>0</v>
      </c>
      <c r="CG116" s="74">
        <v>0</v>
      </c>
      <c r="CH116" s="74">
        <v>0</v>
      </c>
      <c r="CI116" s="74">
        <v>0</v>
      </c>
      <c r="CJ116" s="74">
        <v>0</v>
      </c>
      <c r="CK116" s="74">
        <v>0</v>
      </c>
      <c r="CL116" s="74">
        <v>0</v>
      </c>
      <c r="CM116" s="74">
        <v>0</v>
      </c>
      <c r="CN116" s="74">
        <v>0</v>
      </c>
      <c r="CO116" s="74">
        <v>0</v>
      </c>
      <c r="CP116" s="74">
        <v>0</v>
      </c>
      <c r="CQ116" s="74">
        <v>0</v>
      </c>
      <c r="CR116" s="74">
        <v>0</v>
      </c>
      <c r="CS116" s="74">
        <v>0</v>
      </c>
      <c r="CT116" s="74">
        <v>0</v>
      </c>
      <c r="CU116" s="74">
        <v>0</v>
      </c>
      <c r="CV116" s="74">
        <v>0</v>
      </c>
      <c r="CW116" s="74">
        <v>0</v>
      </c>
      <c r="CX116" s="74">
        <v>0</v>
      </c>
      <c r="CY116" s="74">
        <v>0</v>
      </c>
      <c r="CZ116" s="74">
        <v>0</v>
      </c>
      <c r="DA116" s="74">
        <v>0</v>
      </c>
      <c r="DB116" s="74">
        <v>0</v>
      </c>
      <c r="DC116" s="74">
        <v>0</v>
      </c>
      <c r="DD116" s="74">
        <v>0</v>
      </c>
      <c r="DE116" s="74">
        <v>0</v>
      </c>
      <c r="DF116" s="74">
        <v>0</v>
      </c>
      <c r="DG116" s="74">
        <v>0</v>
      </c>
      <c r="DH116" s="74">
        <v>0</v>
      </c>
      <c r="DI116" s="74">
        <v>0</v>
      </c>
      <c r="DJ116" s="74">
        <v>0</v>
      </c>
      <c r="DK116" s="74">
        <v>0</v>
      </c>
      <c r="DL116" s="74">
        <v>0</v>
      </c>
      <c r="DM116" s="74">
        <v>0</v>
      </c>
      <c r="DN116" s="74">
        <v>0</v>
      </c>
      <c r="DO116" s="74">
        <v>0</v>
      </c>
      <c r="DP116" s="74">
        <v>0</v>
      </c>
      <c r="DQ116" s="74">
        <v>0</v>
      </c>
      <c r="DR116" s="74">
        <v>0</v>
      </c>
      <c r="DS116" s="74">
        <v>0</v>
      </c>
      <c r="DT116" s="74">
        <v>0</v>
      </c>
      <c r="DU116" s="74">
        <v>0</v>
      </c>
      <c r="DV116" s="74">
        <v>0</v>
      </c>
      <c r="DW116" s="74">
        <v>0</v>
      </c>
      <c r="DX116" s="74">
        <v>0</v>
      </c>
      <c r="DY116" s="74">
        <v>0</v>
      </c>
      <c r="DZ116" s="74">
        <v>0</v>
      </c>
      <c r="EA116" s="74">
        <v>0</v>
      </c>
      <c r="EB116" s="74">
        <v>0</v>
      </c>
      <c r="EC116" s="74">
        <v>0</v>
      </c>
      <c r="ED116" s="74"/>
      <c r="EE116" s="68">
        <v>46009</v>
      </c>
      <c r="EF116" s="81">
        <v>46009.521181944445</v>
      </c>
      <c r="EG116" s="2" t="s">
        <v>69</v>
      </c>
      <c r="EH116" s="76">
        <v>1</v>
      </c>
      <c r="EI116" s="76" t="s">
        <v>32</v>
      </c>
      <c r="EJ116" s="74" t="s">
        <v>244</v>
      </c>
      <c r="EK116" s="78"/>
      <c r="EL116" s="74"/>
      <c r="EM116" s="74"/>
      <c r="EN116" s="68"/>
      <c r="ER116" s="73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68"/>
    </row>
    <row r="117" spans="1:167" s="2" customFormat="1" ht="15" x14ac:dyDescent="0.3">
      <c r="A117" s="73" t="s">
        <v>187</v>
      </c>
      <c r="B117" s="73" t="s">
        <v>167</v>
      </c>
      <c r="C117" s="73" t="s">
        <v>167</v>
      </c>
      <c r="D117" s="73" t="s">
        <v>48</v>
      </c>
      <c r="E117" s="73" t="s">
        <v>178</v>
      </c>
      <c r="F117" s="73" t="s">
        <v>210</v>
      </c>
      <c r="G117" s="73" t="s">
        <v>227</v>
      </c>
      <c r="H117" s="73"/>
      <c r="I117" s="74">
        <v>-10749</v>
      </c>
      <c r="J117" s="74">
        <v>-11752</v>
      </c>
      <c r="K117" s="74">
        <v>-29889</v>
      </c>
      <c r="L117" s="74">
        <v>-37397</v>
      </c>
      <c r="M117" s="74">
        <v>-23682</v>
      </c>
      <c r="N117" s="74">
        <v>-17529</v>
      </c>
      <c r="O117" s="74">
        <v>-24348</v>
      </c>
      <c r="P117" s="74">
        <v>0</v>
      </c>
      <c r="Q117" s="74">
        <v>0</v>
      </c>
      <c r="R117" s="74">
        <v>0</v>
      </c>
      <c r="S117" s="74">
        <v>0</v>
      </c>
      <c r="T117" s="74">
        <v>0</v>
      </c>
      <c r="U117" s="74">
        <v>0</v>
      </c>
      <c r="V117" s="74">
        <v>0</v>
      </c>
      <c r="W117" s="74">
        <v>0</v>
      </c>
      <c r="X117" s="74">
        <v>0</v>
      </c>
      <c r="Y117" s="74">
        <v>0</v>
      </c>
      <c r="Z117" s="74">
        <v>0</v>
      </c>
      <c r="AA117" s="74">
        <v>0</v>
      </c>
      <c r="AB117" s="74">
        <v>0</v>
      </c>
      <c r="AC117" s="74">
        <v>0</v>
      </c>
      <c r="AD117" s="74">
        <v>0</v>
      </c>
      <c r="AE117" s="74">
        <v>0</v>
      </c>
      <c r="AF117" s="74">
        <v>0</v>
      </c>
      <c r="AG117" s="74">
        <v>0</v>
      </c>
      <c r="AH117" s="74">
        <v>0</v>
      </c>
      <c r="AI117" s="74">
        <v>0</v>
      </c>
      <c r="AJ117" s="74">
        <v>0</v>
      </c>
      <c r="AK117" s="74"/>
      <c r="AL117" s="74">
        <v>-5195.3526451327116</v>
      </c>
      <c r="AM117" s="74">
        <v>-5442.2743729425392</v>
      </c>
      <c r="AN117" s="74">
        <v>-5584.7737087640326</v>
      </c>
      <c r="AO117" s="74">
        <v>-6005.4082870480697</v>
      </c>
      <c r="AP117" s="74">
        <v>-5171.0272153080141</v>
      </c>
      <c r="AQ117" s="74">
        <v>-5377.187825179989</v>
      </c>
      <c r="AR117" s="74">
        <v>-4322.7891991569095</v>
      </c>
      <c r="AS117" s="74">
        <v>-5730.4988980681055</v>
      </c>
      <c r="AT117" s="74">
        <v>-4256.550856049811</v>
      </c>
      <c r="AU117" s="74">
        <v>-4411.9062220349551</v>
      </c>
      <c r="AV117" s="74">
        <v>-5589.817626643211</v>
      </c>
      <c r="AW117" s="74">
        <v>-6168.4261942653393</v>
      </c>
      <c r="AX117" s="74">
        <v>-5096</v>
      </c>
      <c r="AY117" s="74">
        <v>-11272</v>
      </c>
      <c r="AZ117" s="74">
        <v>-7566.1601129095043</v>
      </c>
      <c r="BA117" s="74">
        <v>0</v>
      </c>
      <c r="BB117" s="74">
        <v>0</v>
      </c>
      <c r="BC117" s="74">
        <v>0</v>
      </c>
      <c r="BD117" s="74">
        <v>0</v>
      </c>
      <c r="BE117" s="74">
        <v>0</v>
      </c>
      <c r="BF117" s="74">
        <v>0</v>
      </c>
      <c r="BG117" s="74">
        <v>0</v>
      </c>
      <c r="BH117" s="74">
        <v>0</v>
      </c>
      <c r="BI117" s="74">
        <v>0</v>
      </c>
      <c r="BJ117" s="74">
        <v>0</v>
      </c>
      <c r="BK117" s="74">
        <v>0</v>
      </c>
      <c r="BL117" s="74">
        <v>0</v>
      </c>
      <c r="BM117" s="74">
        <v>0</v>
      </c>
      <c r="BN117" s="74">
        <v>0</v>
      </c>
      <c r="BO117" s="74">
        <v>0</v>
      </c>
      <c r="BP117" s="74">
        <v>0</v>
      </c>
      <c r="BQ117" s="74">
        <v>0</v>
      </c>
      <c r="BR117" s="74">
        <v>0</v>
      </c>
      <c r="BS117" s="74">
        <v>0</v>
      </c>
      <c r="BT117" s="74">
        <v>0</v>
      </c>
      <c r="BU117" s="74">
        <v>0</v>
      </c>
      <c r="BV117" s="74">
        <v>0</v>
      </c>
      <c r="BW117" s="74">
        <v>0</v>
      </c>
      <c r="BX117" s="74">
        <v>0</v>
      </c>
      <c r="BY117" s="74">
        <v>0</v>
      </c>
      <c r="BZ117" s="74">
        <v>0</v>
      </c>
      <c r="CA117" s="74">
        <v>0</v>
      </c>
      <c r="CB117" s="74">
        <v>0</v>
      </c>
      <c r="CC117" s="74">
        <v>0</v>
      </c>
      <c r="CD117" s="74">
        <v>0</v>
      </c>
      <c r="CE117" s="74">
        <v>0</v>
      </c>
      <c r="CF117" s="74">
        <v>0</v>
      </c>
      <c r="CG117" s="74">
        <v>0</v>
      </c>
      <c r="CH117" s="74">
        <v>0</v>
      </c>
      <c r="CI117" s="74">
        <v>0</v>
      </c>
      <c r="CJ117" s="74">
        <v>0</v>
      </c>
      <c r="CK117" s="74">
        <v>0</v>
      </c>
      <c r="CL117" s="74">
        <v>0</v>
      </c>
      <c r="CM117" s="74">
        <v>0</v>
      </c>
      <c r="CN117" s="74">
        <v>0</v>
      </c>
      <c r="CO117" s="74">
        <v>0</v>
      </c>
      <c r="CP117" s="74">
        <v>0</v>
      </c>
      <c r="CQ117" s="74">
        <v>0</v>
      </c>
      <c r="CR117" s="74">
        <v>0</v>
      </c>
      <c r="CS117" s="74">
        <v>0</v>
      </c>
      <c r="CT117" s="74">
        <v>0</v>
      </c>
      <c r="CU117" s="74">
        <v>0</v>
      </c>
      <c r="CV117" s="74">
        <v>0</v>
      </c>
      <c r="CW117" s="74">
        <v>0</v>
      </c>
      <c r="CX117" s="74">
        <v>0</v>
      </c>
      <c r="CY117" s="74">
        <v>0</v>
      </c>
      <c r="CZ117" s="74">
        <v>0</v>
      </c>
      <c r="DA117" s="74">
        <v>0</v>
      </c>
      <c r="DB117" s="74">
        <v>0</v>
      </c>
      <c r="DC117" s="74">
        <v>0</v>
      </c>
      <c r="DD117" s="74">
        <v>0</v>
      </c>
      <c r="DE117" s="74">
        <v>0</v>
      </c>
      <c r="DF117" s="74">
        <v>0</v>
      </c>
      <c r="DG117" s="74">
        <v>0</v>
      </c>
      <c r="DH117" s="74">
        <v>0</v>
      </c>
      <c r="DI117" s="74">
        <v>0</v>
      </c>
      <c r="DJ117" s="74">
        <v>0</v>
      </c>
      <c r="DK117" s="74">
        <v>0</v>
      </c>
      <c r="DL117" s="74">
        <v>0</v>
      </c>
      <c r="DM117" s="74">
        <v>0</v>
      </c>
      <c r="DN117" s="74">
        <v>0</v>
      </c>
      <c r="DO117" s="74">
        <v>0</v>
      </c>
      <c r="DP117" s="74">
        <v>0</v>
      </c>
      <c r="DQ117" s="74">
        <v>0</v>
      </c>
      <c r="DR117" s="74">
        <v>0</v>
      </c>
      <c r="DS117" s="74">
        <v>0</v>
      </c>
      <c r="DT117" s="74">
        <v>0</v>
      </c>
      <c r="DU117" s="74">
        <v>0</v>
      </c>
      <c r="DV117" s="74">
        <v>0</v>
      </c>
      <c r="DW117" s="74">
        <v>0</v>
      </c>
      <c r="DX117" s="74">
        <v>0</v>
      </c>
      <c r="DY117" s="74">
        <v>0</v>
      </c>
      <c r="DZ117" s="74">
        <v>0</v>
      </c>
      <c r="EA117" s="74">
        <v>0</v>
      </c>
      <c r="EB117" s="74">
        <v>0</v>
      </c>
      <c r="EC117" s="74">
        <v>0</v>
      </c>
      <c r="ED117" s="74"/>
      <c r="EE117" s="68">
        <v>46009</v>
      </c>
      <c r="EF117" s="81">
        <v>46009.521181944445</v>
      </c>
      <c r="EG117" s="2" t="s">
        <v>69</v>
      </c>
      <c r="EH117" s="76">
        <v>1</v>
      </c>
      <c r="EI117" s="76" t="s">
        <v>32</v>
      </c>
      <c r="EJ117" s="74" t="s">
        <v>244</v>
      </c>
      <c r="EK117" s="78"/>
      <c r="EL117" s="74"/>
      <c r="EM117" s="74"/>
      <c r="EN117" s="68"/>
      <c r="ER117" s="73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68"/>
    </row>
    <row r="118" spans="1:167" x14ac:dyDescent="0.3">
      <c r="A118" s="73" t="s">
        <v>188</v>
      </c>
      <c r="B118" s="73" t="s">
        <v>169</v>
      </c>
      <c r="C118" s="73" t="s">
        <v>169</v>
      </c>
      <c r="D118" s="73" t="s">
        <v>48</v>
      </c>
      <c r="E118" s="73" t="s">
        <v>178</v>
      </c>
      <c r="F118" s="73" t="s">
        <v>210</v>
      </c>
      <c r="G118" s="73" t="s">
        <v>227</v>
      </c>
      <c r="H118" s="73"/>
      <c r="I118" s="74">
        <v>-2476</v>
      </c>
      <c r="J118" s="74">
        <v>-3298</v>
      </c>
      <c r="K118" s="74">
        <v>-8072</v>
      </c>
      <c r="L118" s="74">
        <v>-10259</v>
      </c>
      <c r="M118" s="74">
        <v>-6711</v>
      </c>
      <c r="N118" s="74">
        <v>-4144</v>
      </c>
      <c r="O118" s="74">
        <v>-6643</v>
      </c>
      <c r="P118" s="74">
        <v>0</v>
      </c>
      <c r="Q118" s="74">
        <v>0</v>
      </c>
      <c r="R118" s="74">
        <v>0</v>
      </c>
      <c r="S118" s="74">
        <v>0</v>
      </c>
      <c r="T118" s="74">
        <v>0</v>
      </c>
      <c r="U118" s="74">
        <v>0</v>
      </c>
      <c r="V118" s="74">
        <v>0</v>
      </c>
      <c r="W118" s="74">
        <v>0</v>
      </c>
      <c r="X118" s="74">
        <v>0</v>
      </c>
      <c r="Y118" s="74">
        <v>0</v>
      </c>
      <c r="Z118" s="74">
        <v>0</v>
      </c>
      <c r="AA118" s="74">
        <v>0</v>
      </c>
      <c r="AB118" s="74">
        <v>0</v>
      </c>
      <c r="AC118" s="74">
        <v>0</v>
      </c>
      <c r="AD118" s="74">
        <v>0</v>
      </c>
      <c r="AE118" s="74">
        <v>0</v>
      </c>
      <c r="AF118" s="74">
        <v>0</v>
      </c>
      <c r="AG118" s="74">
        <v>0</v>
      </c>
      <c r="AH118" s="74">
        <v>0</v>
      </c>
      <c r="AI118" s="74">
        <v>0</v>
      </c>
      <c r="AJ118" s="74">
        <v>0</v>
      </c>
      <c r="AL118" s="74">
        <v>889.67847683870468</v>
      </c>
      <c r="AM118" s="74">
        <v>373.45551217435218</v>
      </c>
      <c r="AN118" s="74">
        <v>360.84792672445462</v>
      </c>
      <c r="AO118" s="74">
        <v>-3130.0544750602062</v>
      </c>
      <c r="AP118" s="74">
        <v>-2307.7163769557978</v>
      </c>
      <c r="AQ118" s="74">
        <v>-2120.1321594832257</v>
      </c>
      <c r="AR118" s="74">
        <v>-1707.6339431109236</v>
      </c>
      <c r="AS118" s="74">
        <v>-2330.3945601678488</v>
      </c>
      <c r="AT118" s="74">
        <v>-1835.9862074211899</v>
      </c>
      <c r="AU118" s="74">
        <v>-1873.7785873751441</v>
      </c>
      <c r="AV118" s="74">
        <v>-2066.4797358752476</v>
      </c>
      <c r="AW118" s="74">
        <v>-2768.7877941477859</v>
      </c>
      <c r="AX118" s="74">
        <v>-1506</v>
      </c>
      <c r="AY118" s="74">
        <v>-2531</v>
      </c>
      <c r="AZ118" s="74">
        <v>-2884.4130006057617</v>
      </c>
      <c r="BA118" s="74">
        <v>0</v>
      </c>
      <c r="BB118" s="74">
        <v>0</v>
      </c>
      <c r="BC118" s="74">
        <v>0</v>
      </c>
      <c r="BD118" s="74">
        <v>0</v>
      </c>
      <c r="BE118" s="74">
        <v>0</v>
      </c>
      <c r="BF118" s="74">
        <v>0</v>
      </c>
      <c r="BG118" s="74">
        <v>0</v>
      </c>
      <c r="BH118" s="74">
        <v>0</v>
      </c>
      <c r="BI118" s="74">
        <v>0</v>
      </c>
      <c r="BJ118" s="74">
        <v>0</v>
      </c>
      <c r="BK118" s="74">
        <v>0</v>
      </c>
      <c r="BL118" s="74">
        <v>0</v>
      </c>
      <c r="BM118" s="74">
        <v>0</v>
      </c>
      <c r="BN118" s="74">
        <v>0</v>
      </c>
      <c r="BO118" s="74">
        <v>0</v>
      </c>
      <c r="BP118" s="74">
        <v>0</v>
      </c>
      <c r="BQ118" s="74">
        <v>0</v>
      </c>
      <c r="BR118" s="74">
        <v>0</v>
      </c>
      <c r="BS118" s="74">
        <v>0</v>
      </c>
      <c r="BT118" s="74">
        <v>0</v>
      </c>
      <c r="BU118" s="74">
        <v>0</v>
      </c>
      <c r="BV118" s="74">
        <v>0</v>
      </c>
      <c r="BW118" s="74">
        <v>0</v>
      </c>
      <c r="BX118" s="74">
        <v>0</v>
      </c>
      <c r="BY118" s="74">
        <v>0</v>
      </c>
      <c r="BZ118" s="74">
        <v>0</v>
      </c>
      <c r="CA118" s="74">
        <v>0</v>
      </c>
      <c r="CB118" s="74">
        <v>0</v>
      </c>
      <c r="CC118" s="74">
        <v>0</v>
      </c>
      <c r="CD118" s="74">
        <v>0</v>
      </c>
      <c r="CE118" s="74">
        <v>0</v>
      </c>
      <c r="CF118" s="74">
        <v>0</v>
      </c>
      <c r="CG118" s="74">
        <v>0</v>
      </c>
      <c r="CH118" s="74">
        <v>0</v>
      </c>
      <c r="CI118" s="74">
        <v>0</v>
      </c>
      <c r="CJ118" s="74">
        <v>0</v>
      </c>
      <c r="CK118" s="74">
        <v>0</v>
      </c>
      <c r="CL118" s="74">
        <v>0</v>
      </c>
      <c r="CM118" s="74">
        <v>0</v>
      </c>
      <c r="CN118" s="74">
        <v>0</v>
      </c>
      <c r="CO118" s="74">
        <v>0</v>
      </c>
      <c r="CP118" s="74">
        <v>0</v>
      </c>
      <c r="CQ118" s="74">
        <v>0</v>
      </c>
      <c r="CR118" s="74">
        <v>0</v>
      </c>
      <c r="CS118" s="74">
        <v>0</v>
      </c>
      <c r="CT118" s="74">
        <v>0</v>
      </c>
      <c r="CU118" s="74">
        <v>0</v>
      </c>
      <c r="CV118" s="74">
        <v>0</v>
      </c>
      <c r="CW118" s="74">
        <v>0</v>
      </c>
      <c r="CX118" s="74">
        <v>0</v>
      </c>
      <c r="CY118" s="74">
        <v>0</v>
      </c>
      <c r="CZ118" s="74">
        <v>0</v>
      </c>
      <c r="DA118" s="74">
        <v>0</v>
      </c>
      <c r="DB118" s="74">
        <v>0</v>
      </c>
      <c r="DC118" s="74">
        <v>0</v>
      </c>
      <c r="DD118" s="74">
        <v>0</v>
      </c>
      <c r="DE118" s="74">
        <v>0</v>
      </c>
      <c r="DF118" s="74">
        <v>0</v>
      </c>
      <c r="DG118" s="74">
        <v>0</v>
      </c>
      <c r="DH118" s="74">
        <v>0</v>
      </c>
      <c r="DI118" s="74">
        <v>0</v>
      </c>
      <c r="DJ118" s="74">
        <v>0</v>
      </c>
      <c r="DK118" s="74">
        <v>0</v>
      </c>
      <c r="DL118" s="74">
        <v>0</v>
      </c>
      <c r="DM118" s="74">
        <v>0</v>
      </c>
      <c r="DN118" s="74">
        <v>0</v>
      </c>
      <c r="DO118" s="74">
        <v>0</v>
      </c>
      <c r="DP118" s="74">
        <v>0</v>
      </c>
      <c r="DQ118" s="74">
        <v>0</v>
      </c>
      <c r="DR118" s="74">
        <v>0</v>
      </c>
      <c r="DS118" s="74">
        <v>0</v>
      </c>
      <c r="DT118" s="74">
        <v>0</v>
      </c>
      <c r="DU118" s="74">
        <v>0</v>
      </c>
      <c r="DV118" s="74">
        <v>0</v>
      </c>
      <c r="DW118" s="74">
        <v>0</v>
      </c>
      <c r="DX118" s="74">
        <v>0</v>
      </c>
      <c r="DY118" s="74">
        <v>0</v>
      </c>
      <c r="DZ118" s="74">
        <v>0</v>
      </c>
      <c r="EA118" s="74">
        <v>0</v>
      </c>
      <c r="EB118" s="74">
        <v>0</v>
      </c>
      <c r="EC118" s="74">
        <v>0</v>
      </c>
      <c r="EE118" s="68">
        <v>46009</v>
      </c>
      <c r="EF118" s="81">
        <v>46009.521181944445</v>
      </c>
      <c r="EG118" s="2" t="s">
        <v>69</v>
      </c>
      <c r="EH118" s="76">
        <v>1</v>
      </c>
      <c r="EI118" s="76" t="s">
        <v>32</v>
      </c>
      <c r="EJ118" s="74" t="s">
        <v>244</v>
      </c>
    </row>
    <row r="119" spans="1:167" x14ac:dyDescent="0.3">
      <c r="A119" s="73" t="s">
        <v>189</v>
      </c>
      <c r="B119" s="73" t="s">
        <v>173</v>
      </c>
      <c r="C119" s="73" t="s">
        <v>173</v>
      </c>
      <c r="D119" s="73" t="s">
        <v>48</v>
      </c>
      <c r="E119" s="73" t="s">
        <v>178</v>
      </c>
      <c r="F119" s="73" t="s">
        <v>210</v>
      </c>
      <c r="G119" s="73" t="s">
        <v>227</v>
      </c>
      <c r="H119" s="73"/>
      <c r="I119" s="74">
        <v>-9783</v>
      </c>
      <c r="J119" s="74">
        <v>-13058</v>
      </c>
      <c r="K119" s="74">
        <v>-16530</v>
      </c>
      <c r="L119" s="74">
        <v>-22047</v>
      </c>
      <c r="M119" s="74">
        <v>-27755</v>
      </c>
      <c r="N119" s="74">
        <v>-24843</v>
      </c>
      <c r="O119" s="74">
        <v>-53267</v>
      </c>
      <c r="P119" s="74">
        <v>0</v>
      </c>
      <c r="Q119" s="74">
        <v>0</v>
      </c>
      <c r="R119" s="74">
        <v>0</v>
      </c>
      <c r="S119" s="74">
        <v>0</v>
      </c>
      <c r="T119" s="74">
        <v>0</v>
      </c>
      <c r="U119" s="74">
        <v>0</v>
      </c>
      <c r="V119" s="74">
        <v>0</v>
      </c>
      <c r="W119" s="74">
        <v>0</v>
      </c>
      <c r="X119" s="74">
        <v>0</v>
      </c>
      <c r="Y119" s="74">
        <v>0</v>
      </c>
      <c r="Z119" s="74">
        <v>0</v>
      </c>
      <c r="AA119" s="74">
        <v>0</v>
      </c>
      <c r="AB119" s="74">
        <v>0</v>
      </c>
      <c r="AC119" s="74">
        <v>0</v>
      </c>
      <c r="AD119" s="74">
        <v>0</v>
      </c>
      <c r="AE119" s="74">
        <v>0</v>
      </c>
      <c r="AF119" s="74">
        <v>0</v>
      </c>
      <c r="AG119" s="74">
        <v>0</v>
      </c>
      <c r="AH119" s="74">
        <v>0</v>
      </c>
      <c r="AI119" s="74">
        <v>0</v>
      </c>
      <c r="AJ119" s="74">
        <v>0</v>
      </c>
      <c r="AL119" s="74">
        <v>-5606.1925996360042</v>
      </c>
      <c r="AM119" s="74">
        <v>-6206.4558502203445</v>
      </c>
      <c r="AN119" s="74">
        <v>-7990.3705058318892</v>
      </c>
      <c r="AO119" s="74">
        <v>-8372.6961964135007</v>
      </c>
      <c r="AP119" s="74">
        <v>-6438.2491502584835</v>
      </c>
      <c r="AQ119" s="74">
        <v>-7213.356537665054</v>
      </c>
      <c r="AR119" s="74">
        <v>-6942.0354018767148</v>
      </c>
      <c r="AS119" s="74">
        <v>-7603.8497639778461</v>
      </c>
      <c r="AT119" s="74">
        <v>-8851.210037202085</v>
      </c>
      <c r="AU119" s="74">
        <v>-9013.9924009921779</v>
      </c>
      <c r="AV119" s="74">
        <v>-11177.473580437472</v>
      </c>
      <c r="AW119" s="74">
        <v>-14510.007196366143</v>
      </c>
      <c r="AX119" s="74">
        <v>-20464</v>
      </c>
      <c r="AY119" s="74">
        <v>-16043</v>
      </c>
      <c r="AZ119" s="74">
        <v>-22076.0077306065</v>
      </c>
      <c r="BA119" s="74">
        <v>0</v>
      </c>
      <c r="BB119" s="74">
        <v>0</v>
      </c>
      <c r="BC119" s="74">
        <v>0</v>
      </c>
      <c r="BD119" s="74">
        <v>0</v>
      </c>
      <c r="BE119" s="74">
        <v>0</v>
      </c>
      <c r="BF119" s="74">
        <v>0</v>
      </c>
      <c r="BG119" s="74">
        <v>0</v>
      </c>
      <c r="BH119" s="74">
        <v>0</v>
      </c>
      <c r="BI119" s="74">
        <v>0</v>
      </c>
      <c r="BJ119" s="74">
        <v>0</v>
      </c>
      <c r="BK119" s="74">
        <v>0</v>
      </c>
      <c r="BL119" s="74">
        <v>0</v>
      </c>
      <c r="BM119" s="74">
        <v>0</v>
      </c>
      <c r="BN119" s="74">
        <v>0</v>
      </c>
      <c r="BO119" s="74">
        <v>0</v>
      </c>
      <c r="BP119" s="74">
        <v>0</v>
      </c>
      <c r="BQ119" s="74">
        <v>0</v>
      </c>
      <c r="BR119" s="74">
        <v>0</v>
      </c>
      <c r="BS119" s="74">
        <v>0</v>
      </c>
      <c r="BT119" s="74">
        <v>0</v>
      </c>
      <c r="BU119" s="74">
        <v>0</v>
      </c>
      <c r="BV119" s="74">
        <v>0</v>
      </c>
      <c r="BW119" s="74">
        <v>0</v>
      </c>
      <c r="BX119" s="74">
        <v>0</v>
      </c>
      <c r="BY119" s="74">
        <v>0</v>
      </c>
      <c r="BZ119" s="74">
        <v>0</v>
      </c>
      <c r="CA119" s="74">
        <v>0</v>
      </c>
      <c r="CB119" s="74">
        <v>0</v>
      </c>
      <c r="CC119" s="74">
        <v>0</v>
      </c>
      <c r="CD119" s="74">
        <v>0</v>
      </c>
      <c r="CE119" s="74">
        <v>0</v>
      </c>
      <c r="CF119" s="74">
        <v>0</v>
      </c>
      <c r="CG119" s="74">
        <v>0</v>
      </c>
      <c r="CH119" s="74">
        <v>0</v>
      </c>
      <c r="CI119" s="74">
        <v>0</v>
      </c>
      <c r="CJ119" s="74">
        <v>0</v>
      </c>
      <c r="CK119" s="74">
        <v>0</v>
      </c>
      <c r="CL119" s="74">
        <v>0</v>
      </c>
      <c r="CM119" s="74">
        <v>0</v>
      </c>
      <c r="CN119" s="74">
        <v>0</v>
      </c>
      <c r="CO119" s="74">
        <v>0</v>
      </c>
      <c r="CP119" s="74">
        <v>0</v>
      </c>
      <c r="CQ119" s="74">
        <v>0</v>
      </c>
      <c r="CR119" s="74">
        <v>0</v>
      </c>
      <c r="CS119" s="74">
        <v>0</v>
      </c>
      <c r="CT119" s="74">
        <v>0</v>
      </c>
      <c r="CU119" s="74">
        <v>0</v>
      </c>
      <c r="CV119" s="74">
        <v>0</v>
      </c>
      <c r="CW119" s="74">
        <v>0</v>
      </c>
      <c r="CX119" s="74">
        <v>0</v>
      </c>
      <c r="CY119" s="74">
        <v>0</v>
      </c>
      <c r="CZ119" s="74">
        <v>0</v>
      </c>
      <c r="DA119" s="74">
        <v>0</v>
      </c>
      <c r="DB119" s="74">
        <v>0</v>
      </c>
      <c r="DC119" s="74">
        <v>0</v>
      </c>
      <c r="DD119" s="74">
        <v>0</v>
      </c>
      <c r="DE119" s="74">
        <v>0</v>
      </c>
      <c r="DF119" s="74">
        <v>0</v>
      </c>
      <c r="DG119" s="74">
        <v>0</v>
      </c>
      <c r="DH119" s="74">
        <v>0</v>
      </c>
      <c r="DI119" s="74">
        <v>0</v>
      </c>
      <c r="DJ119" s="74">
        <v>0</v>
      </c>
      <c r="DK119" s="74">
        <v>0</v>
      </c>
      <c r="DL119" s="74">
        <v>0</v>
      </c>
      <c r="DM119" s="74">
        <v>0</v>
      </c>
      <c r="DN119" s="74">
        <v>0</v>
      </c>
      <c r="DO119" s="74">
        <v>0</v>
      </c>
      <c r="DP119" s="74">
        <v>0</v>
      </c>
      <c r="DQ119" s="74">
        <v>0</v>
      </c>
      <c r="DR119" s="74">
        <v>0</v>
      </c>
      <c r="DS119" s="74">
        <v>0</v>
      </c>
      <c r="DT119" s="74">
        <v>0</v>
      </c>
      <c r="DU119" s="74">
        <v>0</v>
      </c>
      <c r="DV119" s="74">
        <v>0</v>
      </c>
      <c r="DW119" s="74">
        <v>0</v>
      </c>
      <c r="DX119" s="74">
        <v>0</v>
      </c>
      <c r="DY119" s="74">
        <v>0</v>
      </c>
      <c r="DZ119" s="74">
        <v>0</v>
      </c>
      <c r="EA119" s="74">
        <v>0</v>
      </c>
      <c r="EB119" s="74">
        <v>0</v>
      </c>
      <c r="EC119" s="74">
        <v>0</v>
      </c>
      <c r="EE119" s="68">
        <v>46009</v>
      </c>
      <c r="EF119" s="81">
        <v>46009.521181944445</v>
      </c>
      <c r="EG119" s="2" t="s">
        <v>69</v>
      </c>
      <c r="EH119" s="76">
        <v>1</v>
      </c>
      <c r="EI119" s="76" t="s">
        <v>32</v>
      </c>
      <c r="EJ119" s="74" t="s">
        <v>244</v>
      </c>
    </row>
    <row r="120" spans="1:167" x14ac:dyDescent="0.3">
      <c r="A120" s="73" t="s">
        <v>198</v>
      </c>
      <c r="B120" s="73" t="s">
        <v>175</v>
      </c>
      <c r="C120" s="73" t="s">
        <v>175</v>
      </c>
      <c r="D120" s="73" t="s">
        <v>48</v>
      </c>
      <c r="E120" s="73" t="s">
        <v>178</v>
      </c>
      <c r="F120" s="73" t="s">
        <v>210</v>
      </c>
      <c r="G120" s="73" t="s">
        <v>227</v>
      </c>
      <c r="H120" s="73"/>
      <c r="I120" s="74">
        <v>-2060</v>
      </c>
      <c r="J120" s="74">
        <v>-1910</v>
      </c>
      <c r="K120" s="74">
        <v>-3485</v>
      </c>
      <c r="L120" s="74">
        <v>-2622</v>
      </c>
      <c r="M120" s="74">
        <v>-2688</v>
      </c>
      <c r="N120" s="74">
        <v>-1828</v>
      </c>
      <c r="O120" s="74">
        <v>-1494</v>
      </c>
      <c r="P120" s="74">
        <v>0</v>
      </c>
      <c r="Q120" s="74">
        <v>0</v>
      </c>
      <c r="R120" s="74">
        <v>0</v>
      </c>
      <c r="S120" s="74">
        <v>0</v>
      </c>
      <c r="T120" s="74">
        <v>0</v>
      </c>
      <c r="U120" s="74">
        <v>0</v>
      </c>
      <c r="V120" s="74">
        <v>0</v>
      </c>
      <c r="W120" s="74">
        <v>0</v>
      </c>
      <c r="X120" s="74">
        <v>0</v>
      </c>
      <c r="Y120" s="74">
        <v>0</v>
      </c>
      <c r="Z120" s="74">
        <v>0</v>
      </c>
      <c r="AA120" s="74">
        <v>0</v>
      </c>
      <c r="AB120" s="74">
        <v>0</v>
      </c>
      <c r="AC120" s="74">
        <v>0</v>
      </c>
      <c r="AD120" s="74">
        <v>0</v>
      </c>
      <c r="AE120" s="74">
        <v>0</v>
      </c>
      <c r="AF120" s="74">
        <v>0</v>
      </c>
      <c r="AG120" s="74">
        <v>0</v>
      </c>
      <c r="AH120" s="74">
        <v>0</v>
      </c>
      <c r="AI120" s="74">
        <v>0</v>
      </c>
      <c r="AJ120" s="74">
        <v>0</v>
      </c>
      <c r="AL120" s="74">
        <v>-926.36751999613853</v>
      </c>
      <c r="AM120" s="74">
        <v>-949.62349296393859</v>
      </c>
      <c r="AN120" s="74">
        <v>-895.77690574081282</v>
      </c>
      <c r="AO120" s="74">
        <v>-717.17522286171231</v>
      </c>
      <c r="AP120" s="74">
        <v>-244.94026367600088</v>
      </c>
      <c r="AQ120" s="74">
        <v>-263.49755094360097</v>
      </c>
      <c r="AR120" s="74">
        <v>-856.85432351001123</v>
      </c>
      <c r="AS120" s="74">
        <v>-911.88619693639794</v>
      </c>
      <c r="AT120" s="74">
        <v>-783.06897430450726</v>
      </c>
      <c r="AU120" s="74">
        <v>-890.11736759744053</v>
      </c>
      <c r="AV120" s="74">
        <v>-941.79224689037665</v>
      </c>
      <c r="AW120" s="74">
        <v>-1034.0075505410994</v>
      </c>
      <c r="AX120" s="74">
        <v>-383</v>
      </c>
      <c r="AY120" s="74">
        <v>-915</v>
      </c>
      <c r="AZ120" s="74">
        <v>-276.21535237834308</v>
      </c>
      <c r="BA120" s="74">
        <v>0</v>
      </c>
      <c r="BB120" s="74">
        <v>0</v>
      </c>
      <c r="BC120" s="74">
        <v>0</v>
      </c>
      <c r="BD120" s="74">
        <v>0</v>
      </c>
      <c r="BE120" s="74">
        <v>0</v>
      </c>
      <c r="BF120" s="74">
        <v>0</v>
      </c>
      <c r="BG120" s="74">
        <v>0</v>
      </c>
      <c r="BH120" s="74">
        <v>0</v>
      </c>
      <c r="BI120" s="74">
        <v>0</v>
      </c>
      <c r="BJ120" s="74">
        <v>0</v>
      </c>
      <c r="BK120" s="74">
        <v>0</v>
      </c>
      <c r="BL120" s="74">
        <v>0</v>
      </c>
      <c r="BM120" s="74">
        <v>0</v>
      </c>
      <c r="BN120" s="74">
        <v>0</v>
      </c>
      <c r="BO120" s="74">
        <v>0</v>
      </c>
      <c r="BP120" s="74">
        <v>0</v>
      </c>
      <c r="BQ120" s="74">
        <v>0</v>
      </c>
      <c r="BR120" s="74">
        <v>0</v>
      </c>
      <c r="BS120" s="74">
        <v>0</v>
      </c>
      <c r="BT120" s="74">
        <v>0</v>
      </c>
      <c r="BU120" s="74">
        <v>0</v>
      </c>
      <c r="BV120" s="74">
        <v>0</v>
      </c>
      <c r="BW120" s="74">
        <v>0</v>
      </c>
      <c r="BX120" s="74">
        <v>0</v>
      </c>
      <c r="BY120" s="74">
        <v>0</v>
      </c>
      <c r="BZ120" s="74">
        <v>0</v>
      </c>
      <c r="CA120" s="74">
        <v>0</v>
      </c>
      <c r="CB120" s="74">
        <v>0</v>
      </c>
      <c r="CC120" s="74">
        <v>0</v>
      </c>
      <c r="CD120" s="74">
        <v>0</v>
      </c>
      <c r="CE120" s="74">
        <v>0</v>
      </c>
      <c r="CF120" s="74">
        <v>0</v>
      </c>
      <c r="CG120" s="74">
        <v>0</v>
      </c>
      <c r="CH120" s="74">
        <v>0</v>
      </c>
      <c r="CI120" s="74">
        <v>0</v>
      </c>
      <c r="CJ120" s="74">
        <v>0</v>
      </c>
      <c r="CK120" s="74">
        <v>0</v>
      </c>
      <c r="CL120" s="74">
        <v>0</v>
      </c>
      <c r="CM120" s="74">
        <v>0</v>
      </c>
      <c r="CN120" s="74">
        <v>0</v>
      </c>
      <c r="CO120" s="74">
        <v>0</v>
      </c>
      <c r="CP120" s="74">
        <v>0</v>
      </c>
      <c r="CQ120" s="74">
        <v>0</v>
      </c>
      <c r="CR120" s="74">
        <v>0</v>
      </c>
      <c r="CS120" s="74">
        <v>0</v>
      </c>
      <c r="CT120" s="74">
        <v>0</v>
      </c>
      <c r="CU120" s="74">
        <v>0</v>
      </c>
      <c r="CV120" s="74">
        <v>0</v>
      </c>
      <c r="CW120" s="74">
        <v>0</v>
      </c>
      <c r="CX120" s="74">
        <v>0</v>
      </c>
      <c r="CY120" s="74">
        <v>0</v>
      </c>
      <c r="CZ120" s="74">
        <v>0</v>
      </c>
      <c r="DA120" s="74">
        <v>0</v>
      </c>
      <c r="DB120" s="74">
        <v>0</v>
      </c>
      <c r="DC120" s="74">
        <v>0</v>
      </c>
      <c r="DD120" s="74">
        <v>0</v>
      </c>
      <c r="DE120" s="74">
        <v>0</v>
      </c>
      <c r="DF120" s="74">
        <v>0</v>
      </c>
      <c r="DG120" s="74">
        <v>0</v>
      </c>
      <c r="DH120" s="74">
        <v>0</v>
      </c>
      <c r="DI120" s="74">
        <v>0</v>
      </c>
      <c r="DJ120" s="74">
        <v>0</v>
      </c>
      <c r="DK120" s="74">
        <v>0</v>
      </c>
      <c r="DL120" s="74">
        <v>0</v>
      </c>
      <c r="DM120" s="74">
        <v>0</v>
      </c>
      <c r="DN120" s="74">
        <v>0</v>
      </c>
      <c r="DO120" s="74">
        <v>0</v>
      </c>
      <c r="DP120" s="74">
        <v>0</v>
      </c>
      <c r="DQ120" s="74">
        <v>0</v>
      </c>
      <c r="DR120" s="74">
        <v>0</v>
      </c>
      <c r="DS120" s="74">
        <v>0</v>
      </c>
      <c r="DT120" s="74">
        <v>0</v>
      </c>
      <c r="DU120" s="74">
        <v>0</v>
      </c>
      <c r="DV120" s="74">
        <v>0</v>
      </c>
      <c r="DW120" s="74">
        <v>0</v>
      </c>
      <c r="DX120" s="74">
        <v>0</v>
      </c>
      <c r="DY120" s="74">
        <v>0</v>
      </c>
      <c r="DZ120" s="74">
        <v>0</v>
      </c>
      <c r="EA120" s="74">
        <v>0</v>
      </c>
      <c r="EB120" s="74">
        <v>0</v>
      </c>
      <c r="EC120" s="74">
        <v>0</v>
      </c>
      <c r="EE120" s="68">
        <v>46009</v>
      </c>
      <c r="EF120" s="81">
        <v>46009.521181944445</v>
      </c>
      <c r="EG120" s="2" t="s">
        <v>69</v>
      </c>
      <c r="EH120" s="76">
        <v>1</v>
      </c>
      <c r="EI120" s="76" t="s">
        <v>32</v>
      </c>
      <c r="EJ120" s="74" t="s">
        <v>244</v>
      </c>
    </row>
    <row r="121" spans="1:167" x14ac:dyDescent="0.3">
      <c r="A121" s="73" t="s">
        <v>199</v>
      </c>
      <c r="B121" s="73" t="s">
        <v>202</v>
      </c>
      <c r="C121" s="73" t="s">
        <v>202</v>
      </c>
      <c r="D121" s="73" t="s">
        <v>48</v>
      </c>
      <c r="E121" s="73" t="s">
        <v>178</v>
      </c>
      <c r="F121" s="73" t="s">
        <v>210</v>
      </c>
      <c r="G121" s="73" t="s">
        <v>227</v>
      </c>
      <c r="H121" s="73"/>
      <c r="I121" s="74">
        <v>11642</v>
      </c>
      <c r="J121" s="74">
        <v>13157</v>
      </c>
      <c r="K121" s="74">
        <v>17835</v>
      </c>
      <c r="L121" s="74">
        <v>11272</v>
      </c>
      <c r="M121" s="74">
        <v>-2809</v>
      </c>
      <c r="N121" s="74">
        <v>-4385</v>
      </c>
      <c r="O121" s="74">
        <v>2753</v>
      </c>
      <c r="P121" s="74">
        <v>0</v>
      </c>
      <c r="Q121" s="74">
        <v>0</v>
      </c>
      <c r="R121" s="74">
        <v>0</v>
      </c>
      <c r="S121" s="74">
        <v>0</v>
      </c>
      <c r="T121" s="74">
        <v>0</v>
      </c>
      <c r="U121" s="74">
        <v>0</v>
      </c>
      <c r="V121" s="74">
        <v>0</v>
      </c>
      <c r="W121" s="74">
        <v>0</v>
      </c>
      <c r="X121" s="74">
        <v>0</v>
      </c>
      <c r="Y121" s="74">
        <v>0</v>
      </c>
      <c r="Z121" s="74">
        <v>0</v>
      </c>
      <c r="AA121" s="74">
        <v>0</v>
      </c>
      <c r="AB121" s="74">
        <v>0</v>
      </c>
      <c r="AC121" s="74">
        <v>0</v>
      </c>
      <c r="AD121" s="74">
        <v>0</v>
      </c>
      <c r="AE121" s="74">
        <v>0</v>
      </c>
      <c r="AF121" s="74">
        <v>0</v>
      </c>
      <c r="AG121" s="74">
        <v>0</v>
      </c>
      <c r="AH121" s="74">
        <v>0</v>
      </c>
      <c r="AI121" s="74">
        <v>0</v>
      </c>
      <c r="AJ121" s="74">
        <v>0</v>
      </c>
      <c r="AL121" s="74">
        <v>-4112.7657120738495</v>
      </c>
      <c r="AM121" s="74">
        <v>-3499.101796047531</v>
      </c>
      <c r="AN121" s="74">
        <v>-2267.9268063877203</v>
      </c>
      <c r="AO121" s="74">
        <v>1633.3341813834895</v>
      </c>
      <c r="AP121" s="74">
        <v>-45.066993801703234</v>
      </c>
      <c r="AQ121" s="74">
        <v>3519.1740732718695</v>
      </c>
      <c r="AR121" s="74">
        <v>1350.3128676545591</v>
      </c>
      <c r="AS121" s="74">
        <v>1988.6294191501975</v>
      </c>
      <c r="AT121" s="74">
        <v>801.81607497759387</v>
      </c>
      <c r="AU121" s="74">
        <v>-1430.2054220002829</v>
      </c>
      <c r="AV121" s="74">
        <v>-2844.4368101536907</v>
      </c>
      <c r="AW121" s="74">
        <v>-3352.7712646796326</v>
      </c>
      <c r="AX121" s="74">
        <v>2430</v>
      </c>
      <c r="AY121" s="74">
        <v>-1422</v>
      </c>
      <c r="AZ121" s="74">
        <v>-2292.2038034998936</v>
      </c>
      <c r="BA121" s="74">
        <v>0</v>
      </c>
      <c r="BB121" s="74">
        <v>0</v>
      </c>
      <c r="BC121" s="74">
        <v>0</v>
      </c>
      <c r="BD121" s="74">
        <v>0</v>
      </c>
      <c r="BE121" s="74">
        <v>0</v>
      </c>
      <c r="BF121" s="74">
        <v>0</v>
      </c>
      <c r="BG121" s="74">
        <v>0</v>
      </c>
      <c r="BH121" s="74">
        <v>0</v>
      </c>
      <c r="BI121" s="74">
        <v>0</v>
      </c>
      <c r="BJ121" s="74">
        <v>0</v>
      </c>
      <c r="BK121" s="74">
        <v>0</v>
      </c>
      <c r="BL121" s="74">
        <v>0</v>
      </c>
      <c r="BM121" s="74">
        <v>0</v>
      </c>
      <c r="BN121" s="74">
        <v>0</v>
      </c>
      <c r="BO121" s="74">
        <v>0</v>
      </c>
      <c r="BP121" s="74">
        <v>0</v>
      </c>
      <c r="BQ121" s="74">
        <v>0</v>
      </c>
      <c r="BR121" s="74">
        <v>0</v>
      </c>
      <c r="BS121" s="74">
        <v>0</v>
      </c>
      <c r="BT121" s="74">
        <v>0</v>
      </c>
      <c r="BU121" s="74">
        <v>0</v>
      </c>
      <c r="BV121" s="74">
        <v>0</v>
      </c>
      <c r="BW121" s="74">
        <v>0</v>
      </c>
      <c r="BX121" s="74">
        <v>0</v>
      </c>
      <c r="BY121" s="74">
        <v>0</v>
      </c>
      <c r="BZ121" s="74">
        <v>0</v>
      </c>
      <c r="CA121" s="74">
        <v>0</v>
      </c>
      <c r="CB121" s="74">
        <v>0</v>
      </c>
      <c r="CC121" s="74">
        <v>0</v>
      </c>
      <c r="CD121" s="74">
        <v>0</v>
      </c>
      <c r="CE121" s="74">
        <v>0</v>
      </c>
      <c r="CF121" s="74">
        <v>0</v>
      </c>
      <c r="CG121" s="74">
        <v>0</v>
      </c>
      <c r="CH121" s="74">
        <v>0</v>
      </c>
      <c r="CI121" s="74">
        <v>0</v>
      </c>
      <c r="CJ121" s="74">
        <v>0</v>
      </c>
      <c r="CK121" s="74">
        <v>0</v>
      </c>
      <c r="CL121" s="74">
        <v>0</v>
      </c>
      <c r="CM121" s="74">
        <v>0</v>
      </c>
      <c r="CN121" s="74">
        <v>0</v>
      </c>
      <c r="CO121" s="74">
        <v>0</v>
      </c>
      <c r="CP121" s="74">
        <v>0</v>
      </c>
      <c r="CQ121" s="74">
        <v>0</v>
      </c>
      <c r="CR121" s="74">
        <v>0</v>
      </c>
      <c r="CS121" s="74">
        <v>0</v>
      </c>
      <c r="CT121" s="74">
        <v>0</v>
      </c>
      <c r="CU121" s="74">
        <v>0</v>
      </c>
      <c r="CV121" s="74">
        <v>0</v>
      </c>
      <c r="CW121" s="74">
        <v>0</v>
      </c>
      <c r="CX121" s="74">
        <v>0</v>
      </c>
      <c r="CY121" s="74">
        <v>0</v>
      </c>
      <c r="CZ121" s="74">
        <v>0</v>
      </c>
      <c r="DA121" s="74">
        <v>0</v>
      </c>
      <c r="DB121" s="74">
        <v>0</v>
      </c>
      <c r="DC121" s="74">
        <v>0</v>
      </c>
      <c r="DD121" s="74">
        <v>0</v>
      </c>
      <c r="DE121" s="74">
        <v>0</v>
      </c>
      <c r="DF121" s="74">
        <v>0</v>
      </c>
      <c r="DG121" s="74">
        <v>0</v>
      </c>
      <c r="DH121" s="74">
        <v>0</v>
      </c>
      <c r="DI121" s="74">
        <v>0</v>
      </c>
      <c r="DJ121" s="74">
        <v>0</v>
      </c>
      <c r="DK121" s="74">
        <v>0</v>
      </c>
      <c r="DL121" s="74">
        <v>0</v>
      </c>
      <c r="DM121" s="74">
        <v>0</v>
      </c>
      <c r="DN121" s="74">
        <v>0</v>
      </c>
      <c r="DO121" s="74">
        <v>0</v>
      </c>
      <c r="DP121" s="74">
        <v>0</v>
      </c>
      <c r="DQ121" s="74">
        <v>0</v>
      </c>
      <c r="DR121" s="74">
        <v>0</v>
      </c>
      <c r="DS121" s="74">
        <v>0</v>
      </c>
      <c r="DT121" s="74">
        <v>0</v>
      </c>
      <c r="DU121" s="74">
        <v>0</v>
      </c>
      <c r="DV121" s="74">
        <v>0</v>
      </c>
      <c r="DW121" s="74">
        <v>0</v>
      </c>
      <c r="DX121" s="74">
        <v>0</v>
      </c>
      <c r="DY121" s="74">
        <v>0</v>
      </c>
      <c r="DZ121" s="74">
        <v>0</v>
      </c>
      <c r="EA121" s="74">
        <v>0</v>
      </c>
      <c r="EB121" s="74">
        <v>0</v>
      </c>
      <c r="EC121" s="74">
        <v>0</v>
      </c>
      <c r="EE121" s="68">
        <v>46009</v>
      </c>
      <c r="EF121" s="81">
        <v>46009.521181944445</v>
      </c>
      <c r="EG121" s="2" t="s">
        <v>69</v>
      </c>
      <c r="EH121" s="76">
        <v>1</v>
      </c>
      <c r="EI121" s="76" t="s">
        <v>32</v>
      </c>
      <c r="EJ121" s="74" t="s">
        <v>244</v>
      </c>
    </row>
    <row r="122" spans="1:167" x14ac:dyDescent="0.3">
      <c r="A122" s="73" t="s">
        <v>190</v>
      </c>
      <c r="B122" s="73" t="s">
        <v>171</v>
      </c>
      <c r="C122" s="73" t="s">
        <v>171</v>
      </c>
      <c r="D122" s="73" t="s">
        <v>48</v>
      </c>
      <c r="E122" s="73" t="s">
        <v>178</v>
      </c>
      <c r="F122" s="73" t="s">
        <v>210</v>
      </c>
      <c r="G122" s="73" t="s">
        <v>227</v>
      </c>
      <c r="H122" s="73"/>
      <c r="I122" s="74">
        <v>0</v>
      </c>
      <c r="J122" s="74">
        <v>31719</v>
      </c>
      <c r="K122" s="74">
        <v>54912</v>
      </c>
      <c r="L122" s="74">
        <v>83640</v>
      </c>
      <c r="M122" s="74">
        <v>90076</v>
      </c>
      <c r="N122" s="74">
        <v>93632</v>
      </c>
      <c r="O122" s="74">
        <v>103041</v>
      </c>
      <c r="P122" s="74">
        <v>0</v>
      </c>
      <c r="Q122" s="74">
        <v>0</v>
      </c>
      <c r="R122" s="74">
        <v>0</v>
      </c>
      <c r="S122" s="74">
        <v>0</v>
      </c>
      <c r="T122" s="74">
        <v>0</v>
      </c>
      <c r="U122" s="74">
        <v>0</v>
      </c>
      <c r="V122" s="74">
        <v>0</v>
      </c>
      <c r="W122" s="74">
        <v>0</v>
      </c>
      <c r="X122" s="74">
        <v>0</v>
      </c>
      <c r="Y122" s="74">
        <v>0</v>
      </c>
      <c r="Z122" s="74">
        <v>0</v>
      </c>
      <c r="AA122" s="74">
        <v>0</v>
      </c>
      <c r="AB122" s="74">
        <v>0</v>
      </c>
      <c r="AC122" s="74">
        <v>0</v>
      </c>
      <c r="AD122" s="74">
        <v>0</v>
      </c>
      <c r="AE122" s="74">
        <v>0</v>
      </c>
      <c r="AF122" s="74">
        <v>0</v>
      </c>
      <c r="AG122" s="74">
        <v>0</v>
      </c>
      <c r="AH122" s="74">
        <v>0</v>
      </c>
      <c r="AI122" s="74">
        <v>0</v>
      </c>
      <c r="AJ122" s="74">
        <v>0</v>
      </c>
      <c r="AL122" s="74">
        <v>81438.431016598595</v>
      </c>
      <c r="AM122" s="74">
        <v>90849.69266612707</v>
      </c>
      <c r="AN122" s="74">
        <v>93813.719428234152</v>
      </c>
      <c r="AO122" s="74">
        <v>90076</v>
      </c>
      <c r="AP122" s="74">
        <v>92398.548603115021</v>
      </c>
      <c r="AQ122" s="74">
        <v>93899.103467928406</v>
      </c>
      <c r="AR122" s="74">
        <v>90528.109203593704</v>
      </c>
      <c r="AS122" s="74">
        <v>93632</v>
      </c>
      <c r="AT122" s="74">
        <v>95287.373845827038</v>
      </c>
      <c r="AU122" s="74">
        <v>96729.441512186357</v>
      </c>
      <c r="AV122" s="74">
        <v>98632.656715115532</v>
      </c>
      <c r="AW122" s="74">
        <v>103041</v>
      </c>
      <c r="AX122" s="74">
        <v>105398.00808539479</v>
      </c>
      <c r="AY122" s="74">
        <v>113249</v>
      </c>
      <c r="AZ122" s="74">
        <v>111888.54103238831</v>
      </c>
      <c r="BA122" s="74">
        <v>0</v>
      </c>
      <c r="BB122" s="74">
        <v>0</v>
      </c>
      <c r="BC122" s="74">
        <v>0</v>
      </c>
      <c r="BD122" s="74">
        <v>0</v>
      </c>
      <c r="BE122" s="74">
        <v>0</v>
      </c>
      <c r="BF122" s="74">
        <v>0</v>
      </c>
      <c r="BG122" s="74">
        <v>0</v>
      </c>
      <c r="BH122" s="74">
        <v>0</v>
      </c>
      <c r="BI122" s="74">
        <v>0</v>
      </c>
      <c r="BJ122" s="74">
        <v>0</v>
      </c>
      <c r="BK122" s="74">
        <v>0</v>
      </c>
      <c r="BL122" s="74">
        <v>0</v>
      </c>
      <c r="BM122" s="74">
        <v>0</v>
      </c>
      <c r="BN122" s="74">
        <v>0</v>
      </c>
      <c r="BO122" s="74">
        <v>0</v>
      </c>
      <c r="BP122" s="74">
        <v>0</v>
      </c>
      <c r="BQ122" s="74">
        <v>0</v>
      </c>
      <c r="BR122" s="74">
        <v>0</v>
      </c>
      <c r="BS122" s="74">
        <v>0</v>
      </c>
      <c r="BT122" s="74">
        <v>0</v>
      </c>
      <c r="BU122" s="74">
        <v>0</v>
      </c>
      <c r="BV122" s="74">
        <v>0</v>
      </c>
      <c r="BW122" s="74">
        <v>0</v>
      </c>
      <c r="BX122" s="74">
        <v>0</v>
      </c>
      <c r="BY122" s="74">
        <v>0</v>
      </c>
      <c r="BZ122" s="74">
        <v>0</v>
      </c>
      <c r="CA122" s="74">
        <v>0</v>
      </c>
      <c r="CB122" s="74">
        <v>0</v>
      </c>
      <c r="CC122" s="74">
        <v>0</v>
      </c>
      <c r="CD122" s="74">
        <v>0</v>
      </c>
      <c r="CE122" s="74">
        <v>0</v>
      </c>
      <c r="CF122" s="74">
        <v>0</v>
      </c>
      <c r="CG122" s="74">
        <v>0</v>
      </c>
      <c r="CH122" s="74">
        <v>0</v>
      </c>
      <c r="CI122" s="74">
        <v>0</v>
      </c>
      <c r="CJ122" s="74">
        <v>0</v>
      </c>
      <c r="CK122" s="74">
        <v>0</v>
      </c>
      <c r="CL122" s="74">
        <v>0</v>
      </c>
      <c r="CM122" s="74">
        <v>0</v>
      </c>
      <c r="CN122" s="74">
        <v>0</v>
      </c>
      <c r="CO122" s="74">
        <v>0</v>
      </c>
      <c r="CP122" s="74">
        <v>0</v>
      </c>
      <c r="CQ122" s="74">
        <v>0</v>
      </c>
      <c r="CR122" s="74">
        <v>0</v>
      </c>
      <c r="CS122" s="74">
        <v>0</v>
      </c>
      <c r="CT122" s="74">
        <v>0</v>
      </c>
      <c r="CU122" s="74">
        <v>0</v>
      </c>
      <c r="CV122" s="74">
        <v>0</v>
      </c>
      <c r="CW122" s="74">
        <v>0</v>
      </c>
      <c r="CX122" s="74">
        <v>0</v>
      </c>
      <c r="CY122" s="74">
        <v>0</v>
      </c>
      <c r="CZ122" s="74">
        <v>0</v>
      </c>
      <c r="DA122" s="74">
        <v>0</v>
      </c>
      <c r="DB122" s="74">
        <v>0</v>
      </c>
      <c r="DC122" s="74">
        <v>0</v>
      </c>
      <c r="DD122" s="74">
        <v>0</v>
      </c>
      <c r="DE122" s="74">
        <v>0</v>
      </c>
      <c r="DF122" s="74">
        <v>0</v>
      </c>
      <c r="DG122" s="74">
        <v>0</v>
      </c>
      <c r="DH122" s="74">
        <v>0</v>
      </c>
      <c r="DI122" s="74">
        <v>0</v>
      </c>
      <c r="DJ122" s="74">
        <v>0</v>
      </c>
      <c r="DK122" s="74">
        <v>0</v>
      </c>
      <c r="DL122" s="74">
        <v>0</v>
      </c>
      <c r="DM122" s="74">
        <v>0</v>
      </c>
      <c r="DN122" s="74">
        <v>0</v>
      </c>
      <c r="DO122" s="74">
        <v>0</v>
      </c>
      <c r="DP122" s="74">
        <v>0</v>
      </c>
      <c r="DQ122" s="74">
        <v>0</v>
      </c>
      <c r="DR122" s="74">
        <v>0</v>
      </c>
      <c r="DS122" s="74">
        <v>0</v>
      </c>
      <c r="DT122" s="74">
        <v>0</v>
      </c>
      <c r="DU122" s="74">
        <v>0</v>
      </c>
      <c r="DV122" s="74">
        <v>0</v>
      </c>
      <c r="DW122" s="74">
        <v>0</v>
      </c>
      <c r="DX122" s="74">
        <v>0</v>
      </c>
      <c r="DY122" s="74">
        <v>0</v>
      </c>
      <c r="DZ122" s="74">
        <v>0</v>
      </c>
      <c r="EA122" s="74">
        <v>0</v>
      </c>
      <c r="EB122" s="74">
        <v>0</v>
      </c>
      <c r="EC122" s="74">
        <v>0</v>
      </c>
      <c r="EE122" s="68">
        <v>46009</v>
      </c>
      <c r="EF122" s="81">
        <v>46009.521181944445</v>
      </c>
      <c r="EG122" s="2" t="s">
        <v>69</v>
      </c>
      <c r="EH122" s="76">
        <v>1</v>
      </c>
      <c r="EI122" s="76" t="s">
        <v>32</v>
      </c>
      <c r="EJ122" s="74" t="s">
        <v>244</v>
      </c>
    </row>
    <row r="123" spans="1:167" x14ac:dyDescent="0.3">
      <c r="A123" s="73" t="s">
        <v>191</v>
      </c>
      <c r="B123" s="73" t="s">
        <v>170</v>
      </c>
      <c r="C123" s="73" t="s">
        <v>170</v>
      </c>
      <c r="D123" s="73" t="s">
        <v>48</v>
      </c>
      <c r="E123" s="73" t="s">
        <v>178</v>
      </c>
      <c r="F123" s="73" t="s">
        <v>210</v>
      </c>
      <c r="G123" s="73" t="s">
        <v>227</v>
      </c>
      <c r="H123" s="73"/>
      <c r="I123" s="74">
        <v>0</v>
      </c>
      <c r="J123" s="74">
        <v>9566</v>
      </c>
      <c r="K123" s="74">
        <v>15375</v>
      </c>
      <c r="L123" s="74">
        <v>21718</v>
      </c>
      <c r="M123" s="74">
        <v>23347</v>
      </c>
      <c r="N123" s="74">
        <v>24357</v>
      </c>
      <c r="O123" s="74">
        <v>25618</v>
      </c>
      <c r="P123" s="74">
        <v>0</v>
      </c>
      <c r="Q123" s="74">
        <v>0</v>
      </c>
      <c r="R123" s="74">
        <v>0</v>
      </c>
      <c r="S123" s="74">
        <v>0</v>
      </c>
      <c r="T123" s="74">
        <v>0</v>
      </c>
      <c r="U123" s="74">
        <v>0</v>
      </c>
      <c r="V123" s="74">
        <v>0</v>
      </c>
      <c r="W123" s="74">
        <v>0</v>
      </c>
      <c r="X123" s="74">
        <v>0</v>
      </c>
      <c r="Y123" s="74">
        <v>0</v>
      </c>
      <c r="Z123" s="74">
        <v>0</v>
      </c>
      <c r="AA123" s="74">
        <v>0</v>
      </c>
      <c r="AB123" s="74">
        <v>0</v>
      </c>
      <c r="AC123" s="74">
        <v>0</v>
      </c>
      <c r="AD123" s="74">
        <v>0</v>
      </c>
      <c r="AE123" s="74">
        <v>0</v>
      </c>
      <c r="AF123" s="74">
        <v>0</v>
      </c>
      <c r="AG123" s="74">
        <v>0</v>
      </c>
      <c r="AH123" s="74">
        <v>0</v>
      </c>
      <c r="AI123" s="74">
        <v>0</v>
      </c>
      <c r="AJ123" s="74">
        <v>0</v>
      </c>
      <c r="AL123" s="74">
        <v>26973.753257510012</v>
      </c>
      <c r="AM123" s="74">
        <v>25322.16295396108</v>
      </c>
      <c r="AN123" s="74">
        <v>27015.652986919351</v>
      </c>
      <c r="AO123" s="74">
        <v>23347</v>
      </c>
      <c r="AP123" s="74">
        <v>24046.190582056002</v>
      </c>
      <c r="AQ123" s="74">
        <v>24287.802529718003</v>
      </c>
      <c r="AR123" s="74">
        <v>23306.402776310009</v>
      </c>
      <c r="AS123" s="74">
        <v>24357</v>
      </c>
      <c r="AT123" s="74">
        <v>24318.460740023918</v>
      </c>
      <c r="AU123" s="74">
        <v>24317.512966697013</v>
      </c>
      <c r="AV123" s="74">
        <v>16727.717511825671</v>
      </c>
      <c r="AW123" s="74">
        <v>25618</v>
      </c>
      <c r="AX123" s="74">
        <v>18518.786699241784</v>
      </c>
      <c r="AY123" s="74">
        <v>29679</v>
      </c>
      <c r="AZ123" s="74">
        <v>24014.254064464869</v>
      </c>
      <c r="BA123" s="74">
        <v>0</v>
      </c>
      <c r="BB123" s="74">
        <v>0</v>
      </c>
      <c r="BC123" s="74">
        <v>0</v>
      </c>
      <c r="BD123" s="74">
        <v>0</v>
      </c>
      <c r="BE123" s="74">
        <v>0</v>
      </c>
      <c r="BF123" s="74">
        <v>0</v>
      </c>
      <c r="BG123" s="74">
        <v>0</v>
      </c>
      <c r="BH123" s="74">
        <v>0</v>
      </c>
      <c r="BI123" s="74">
        <v>0</v>
      </c>
      <c r="BJ123" s="74">
        <v>0</v>
      </c>
      <c r="BK123" s="74">
        <v>0</v>
      </c>
      <c r="BL123" s="74">
        <v>0</v>
      </c>
      <c r="BM123" s="74">
        <v>0</v>
      </c>
      <c r="BN123" s="74">
        <v>0</v>
      </c>
      <c r="BO123" s="74">
        <v>0</v>
      </c>
      <c r="BP123" s="74">
        <v>0</v>
      </c>
      <c r="BQ123" s="74">
        <v>0</v>
      </c>
      <c r="BR123" s="74">
        <v>0</v>
      </c>
      <c r="BS123" s="74">
        <v>0</v>
      </c>
      <c r="BT123" s="74">
        <v>0</v>
      </c>
      <c r="BU123" s="74">
        <v>0</v>
      </c>
      <c r="BV123" s="74">
        <v>0</v>
      </c>
      <c r="BW123" s="74">
        <v>0</v>
      </c>
      <c r="BX123" s="74">
        <v>0</v>
      </c>
      <c r="BY123" s="74">
        <v>0</v>
      </c>
      <c r="BZ123" s="74">
        <v>0</v>
      </c>
      <c r="CA123" s="74">
        <v>0</v>
      </c>
      <c r="CB123" s="74">
        <v>0</v>
      </c>
      <c r="CC123" s="74">
        <v>0</v>
      </c>
      <c r="CD123" s="74">
        <v>0</v>
      </c>
      <c r="CE123" s="74">
        <v>0</v>
      </c>
      <c r="CF123" s="74">
        <v>0</v>
      </c>
      <c r="CG123" s="74">
        <v>0</v>
      </c>
      <c r="CH123" s="74">
        <v>0</v>
      </c>
      <c r="CI123" s="74">
        <v>0</v>
      </c>
      <c r="CJ123" s="74">
        <v>0</v>
      </c>
      <c r="CK123" s="74">
        <v>0</v>
      </c>
      <c r="CL123" s="74">
        <v>0</v>
      </c>
      <c r="CM123" s="74">
        <v>0</v>
      </c>
      <c r="CN123" s="74">
        <v>0</v>
      </c>
      <c r="CO123" s="74">
        <v>0</v>
      </c>
      <c r="CP123" s="74">
        <v>0</v>
      </c>
      <c r="CQ123" s="74">
        <v>0</v>
      </c>
      <c r="CR123" s="74">
        <v>0</v>
      </c>
      <c r="CS123" s="74">
        <v>0</v>
      </c>
      <c r="CT123" s="74">
        <v>0</v>
      </c>
      <c r="CU123" s="74">
        <v>0</v>
      </c>
      <c r="CV123" s="74">
        <v>0</v>
      </c>
      <c r="CW123" s="74">
        <v>0</v>
      </c>
      <c r="CX123" s="74">
        <v>0</v>
      </c>
      <c r="CY123" s="74">
        <v>0</v>
      </c>
      <c r="CZ123" s="74">
        <v>0</v>
      </c>
      <c r="DA123" s="74">
        <v>0</v>
      </c>
      <c r="DB123" s="74">
        <v>0</v>
      </c>
      <c r="DC123" s="74">
        <v>0</v>
      </c>
      <c r="DD123" s="74">
        <v>0</v>
      </c>
      <c r="DE123" s="74">
        <v>0</v>
      </c>
      <c r="DF123" s="74">
        <v>0</v>
      </c>
      <c r="DG123" s="74">
        <v>0</v>
      </c>
      <c r="DH123" s="74">
        <v>0</v>
      </c>
      <c r="DI123" s="74">
        <v>0</v>
      </c>
      <c r="DJ123" s="74">
        <v>0</v>
      </c>
      <c r="DK123" s="74">
        <v>0</v>
      </c>
      <c r="DL123" s="74">
        <v>0</v>
      </c>
      <c r="DM123" s="74">
        <v>0</v>
      </c>
      <c r="DN123" s="74">
        <v>0</v>
      </c>
      <c r="DO123" s="74">
        <v>0</v>
      </c>
      <c r="DP123" s="74">
        <v>0</v>
      </c>
      <c r="DQ123" s="74">
        <v>0</v>
      </c>
      <c r="DR123" s="74">
        <v>0</v>
      </c>
      <c r="DS123" s="74">
        <v>0</v>
      </c>
      <c r="DT123" s="74">
        <v>0</v>
      </c>
      <c r="DU123" s="74">
        <v>0</v>
      </c>
      <c r="DV123" s="74">
        <v>0</v>
      </c>
      <c r="DW123" s="74">
        <v>0</v>
      </c>
      <c r="DX123" s="74">
        <v>0</v>
      </c>
      <c r="DY123" s="74">
        <v>0</v>
      </c>
      <c r="DZ123" s="74">
        <v>0</v>
      </c>
      <c r="EA123" s="74">
        <v>0</v>
      </c>
      <c r="EB123" s="74">
        <v>0</v>
      </c>
      <c r="EC123" s="74">
        <v>0</v>
      </c>
      <c r="EE123" s="68">
        <v>46009</v>
      </c>
      <c r="EF123" s="81">
        <v>46009.521181944445</v>
      </c>
      <c r="EG123" s="2" t="s">
        <v>69</v>
      </c>
      <c r="EH123" s="76">
        <v>1</v>
      </c>
      <c r="EI123" s="76" t="s">
        <v>32</v>
      </c>
      <c r="EJ123" s="74" t="s">
        <v>244</v>
      </c>
    </row>
    <row r="124" spans="1:167" x14ac:dyDescent="0.3">
      <c r="A124" s="73" t="s">
        <v>192</v>
      </c>
      <c r="B124" s="73" t="s">
        <v>174</v>
      </c>
      <c r="C124" s="73" t="s">
        <v>174</v>
      </c>
      <c r="D124" s="73" t="s">
        <v>48</v>
      </c>
      <c r="E124" s="73" t="s">
        <v>178</v>
      </c>
      <c r="F124" s="73" t="s">
        <v>210</v>
      </c>
      <c r="G124" s="73" t="s">
        <v>227</v>
      </c>
      <c r="H124" s="73"/>
      <c r="I124" s="74">
        <v>0</v>
      </c>
      <c r="J124" s="74">
        <v>23481</v>
      </c>
      <c r="K124" s="74">
        <v>32151</v>
      </c>
      <c r="L124" s="74">
        <v>43245</v>
      </c>
      <c r="M124" s="74">
        <v>60324</v>
      </c>
      <c r="N124" s="74">
        <v>72701</v>
      </c>
      <c r="O124" s="74">
        <v>110683</v>
      </c>
      <c r="P124" s="74">
        <v>0</v>
      </c>
      <c r="Q124" s="74">
        <v>0</v>
      </c>
      <c r="R124" s="74">
        <v>0</v>
      </c>
      <c r="S124" s="74">
        <v>0</v>
      </c>
      <c r="T124" s="74">
        <v>0</v>
      </c>
      <c r="U124" s="74">
        <v>0</v>
      </c>
      <c r="V124" s="74">
        <v>0</v>
      </c>
      <c r="W124" s="74">
        <v>0</v>
      </c>
      <c r="X124" s="74">
        <v>0</v>
      </c>
      <c r="Y124" s="74">
        <v>0</v>
      </c>
      <c r="Z124" s="74">
        <v>0</v>
      </c>
      <c r="AA124" s="74">
        <v>0</v>
      </c>
      <c r="AB124" s="74">
        <v>0</v>
      </c>
      <c r="AC124" s="74">
        <v>0</v>
      </c>
      <c r="AD124" s="74">
        <v>0</v>
      </c>
      <c r="AE124" s="74">
        <v>0</v>
      </c>
      <c r="AF124" s="74">
        <v>0</v>
      </c>
      <c r="AG124" s="74">
        <v>0</v>
      </c>
      <c r="AH124" s="74">
        <v>0</v>
      </c>
      <c r="AI124" s="74">
        <v>0</v>
      </c>
      <c r="AJ124" s="74">
        <v>0</v>
      </c>
      <c r="AL124" s="74">
        <v>49096.927508596476</v>
      </c>
      <c r="AM124" s="74">
        <v>49123.720206012011</v>
      </c>
      <c r="AN124" s="74">
        <v>54266.707648397562</v>
      </c>
      <c r="AO124" s="74">
        <v>60324</v>
      </c>
      <c r="AP124" s="74">
        <v>65081.956427303056</v>
      </c>
      <c r="AQ124" s="74">
        <v>70742.49362268085</v>
      </c>
      <c r="AR124" s="74">
        <v>72174.384365426726</v>
      </c>
      <c r="AS124" s="74">
        <v>72701</v>
      </c>
      <c r="AT124" s="74">
        <v>45947.508105803121</v>
      </c>
      <c r="AU124" s="74">
        <v>81581.462307976544</v>
      </c>
      <c r="AV124" s="74">
        <v>53683.431384846204</v>
      </c>
      <c r="AW124" s="74">
        <v>110683</v>
      </c>
      <c r="AX124" s="74">
        <v>130000</v>
      </c>
      <c r="AY124" s="74">
        <v>140636</v>
      </c>
      <c r="AZ124" s="74">
        <v>158739.45797150678</v>
      </c>
      <c r="BA124" s="74">
        <v>0</v>
      </c>
      <c r="BB124" s="74">
        <v>0</v>
      </c>
      <c r="BC124" s="74">
        <v>0</v>
      </c>
      <c r="BD124" s="74">
        <v>0</v>
      </c>
      <c r="BE124" s="74">
        <v>0</v>
      </c>
      <c r="BF124" s="74">
        <v>0</v>
      </c>
      <c r="BG124" s="74">
        <v>0</v>
      </c>
      <c r="BH124" s="74">
        <v>0</v>
      </c>
      <c r="BI124" s="74">
        <v>0</v>
      </c>
      <c r="BJ124" s="74">
        <v>0</v>
      </c>
      <c r="BK124" s="74">
        <v>0</v>
      </c>
      <c r="BL124" s="74">
        <v>0</v>
      </c>
      <c r="BM124" s="74">
        <v>0</v>
      </c>
      <c r="BN124" s="74">
        <v>0</v>
      </c>
      <c r="BO124" s="74">
        <v>0</v>
      </c>
      <c r="BP124" s="74">
        <v>0</v>
      </c>
      <c r="BQ124" s="74">
        <v>0</v>
      </c>
      <c r="BR124" s="74">
        <v>0</v>
      </c>
      <c r="BS124" s="74">
        <v>0</v>
      </c>
      <c r="BT124" s="74">
        <v>0</v>
      </c>
      <c r="BU124" s="74">
        <v>0</v>
      </c>
      <c r="BV124" s="74">
        <v>0</v>
      </c>
      <c r="BW124" s="74">
        <v>0</v>
      </c>
      <c r="BX124" s="74">
        <v>0</v>
      </c>
      <c r="BY124" s="74">
        <v>0</v>
      </c>
      <c r="BZ124" s="74">
        <v>0</v>
      </c>
      <c r="CA124" s="74">
        <v>0</v>
      </c>
      <c r="CB124" s="74">
        <v>0</v>
      </c>
      <c r="CC124" s="74">
        <v>0</v>
      </c>
      <c r="CD124" s="74">
        <v>0</v>
      </c>
      <c r="CE124" s="74">
        <v>0</v>
      </c>
      <c r="CF124" s="74">
        <v>0</v>
      </c>
      <c r="CG124" s="74">
        <v>0</v>
      </c>
      <c r="CH124" s="74">
        <v>0</v>
      </c>
      <c r="CI124" s="74">
        <v>0</v>
      </c>
      <c r="CJ124" s="74">
        <v>0</v>
      </c>
      <c r="CK124" s="74">
        <v>0</v>
      </c>
      <c r="CL124" s="74">
        <v>0</v>
      </c>
      <c r="CM124" s="74">
        <v>0</v>
      </c>
      <c r="CN124" s="74">
        <v>0</v>
      </c>
      <c r="CO124" s="74">
        <v>0</v>
      </c>
      <c r="CP124" s="74">
        <v>0</v>
      </c>
      <c r="CQ124" s="74">
        <v>0</v>
      </c>
      <c r="CR124" s="74">
        <v>0</v>
      </c>
      <c r="CS124" s="74">
        <v>0</v>
      </c>
      <c r="CT124" s="74">
        <v>0</v>
      </c>
      <c r="CU124" s="74">
        <v>0</v>
      </c>
      <c r="CV124" s="74">
        <v>0</v>
      </c>
      <c r="CW124" s="74">
        <v>0</v>
      </c>
      <c r="CX124" s="74">
        <v>0</v>
      </c>
      <c r="CY124" s="74">
        <v>0</v>
      </c>
      <c r="CZ124" s="74">
        <v>0</v>
      </c>
      <c r="DA124" s="74">
        <v>0</v>
      </c>
      <c r="DB124" s="74">
        <v>0</v>
      </c>
      <c r="DC124" s="74">
        <v>0</v>
      </c>
      <c r="DD124" s="74">
        <v>0</v>
      </c>
      <c r="DE124" s="74">
        <v>0</v>
      </c>
      <c r="DF124" s="74">
        <v>0</v>
      </c>
      <c r="DG124" s="74">
        <v>0</v>
      </c>
      <c r="DH124" s="74">
        <v>0</v>
      </c>
      <c r="DI124" s="74">
        <v>0</v>
      </c>
      <c r="DJ124" s="74">
        <v>0</v>
      </c>
      <c r="DK124" s="74">
        <v>0</v>
      </c>
      <c r="DL124" s="74">
        <v>0</v>
      </c>
      <c r="DM124" s="74">
        <v>0</v>
      </c>
      <c r="DN124" s="74">
        <v>0</v>
      </c>
      <c r="DO124" s="74">
        <v>0</v>
      </c>
      <c r="DP124" s="74">
        <v>0</v>
      </c>
      <c r="DQ124" s="74">
        <v>0</v>
      </c>
      <c r="DR124" s="74">
        <v>0</v>
      </c>
      <c r="DS124" s="74">
        <v>0</v>
      </c>
      <c r="DT124" s="74">
        <v>0</v>
      </c>
      <c r="DU124" s="74">
        <v>0</v>
      </c>
      <c r="DV124" s="74">
        <v>0</v>
      </c>
      <c r="DW124" s="74">
        <v>0</v>
      </c>
      <c r="DX124" s="74">
        <v>0</v>
      </c>
      <c r="DY124" s="74">
        <v>0</v>
      </c>
      <c r="DZ124" s="74">
        <v>0</v>
      </c>
      <c r="EA124" s="74">
        <v>0</v>
      </c>
      <c r="EB124" s="74">
        <v>0</v>
      </c>
      <c r="EC124" s="74">
        <v>0</v>
      </c>
      <c r="EE124" s="68">
        <v>46009</v>
      </c>
      <c r="EF124" s="81">
        <v>46009.521181944445</v>
      </c>
      <c r="EG124" s="2" t="s">
        <v>69</v>
      </c>
      <c r="EH124" s="76">
        <v>1</v>
      </c>
      <c r="EI124" s="76" t="s">
        <v>32</v>
      </c>
      <c r="EJ124" s="74" t="s">
        <v>244</v>
      </c>
    </row>
    <row r="125" spans="1:167" x14ac:dyDescent="0.3">
      <c r="A125" s="73" t="s">
        <v>200</v>
      </c>
      <c r="B125" s="73" t="s">
        <v>176</v>
      </c>
      <c r="C125" s="73" t="s">
        <v>176</v>
      </c>
      <c r="D125" s="73" t="s">
        <v>48</v>
      </c>
      <c r="E125" s="73" t="s">
        <v>178</v>
      </c>
      <c r="F125" s="73" t="s">
        <v>210</v>
      </c>
      <c r="G125" s="73" t="s">
        <v>227</v>
      </c>
      <c r="H125" s="73"/>
      <c r="I125" s="74">
        <v>0</v>
      </c>
      <c r="J125" s="74">
        <v>7939</v>
      </c>
      <c r="K125" s="74">
        <v>10676</v>
      </c>
      <c r="L125" s="74">
        <v>11678</v>
      </c>
      <c r="M125" s="74">
        <v>12968</v>
      </c>
      <c r="N125" s="74">
        <v>13487</v>
      </c>
      <c r="O125" s="74">
        <v>13323</v>
      </c>
      <c r="P125" s="74">
        <v>0</v>
      </c>
      <c r="Q125" s="74">
        <v>0</v>
      </c>
      <c r="R125" s="74">
        <v>0</v>
      </c>
      <c r="S125" s="74">
        <v>0</v>
      </c>
      <c r="T125" s="74">
        <v>0</v>
      </c>
      <c r="U125" s="74">
        <v>0</v>
      </c>
      <c r="V125" s="74">
        <v>0</v>
      </c>
      <c r="W125" s="74">
        <v>0</v>
      </c>
      <c r="X125" s="74">
        <v>0</v>
      </c>
      <c r="Y125" s="74">
        <v>0</v>
      </c>
      <c r="Z125" s="74">
        <v>0</v>
      </c>
      <c r="AA125" s="74">
        <v>0</v>
      </c>
      <c r="AB125" s="74">
        <v>0</v>
      </c>
      <c r="AC125" s="74">
        <v>0</v>
      </c>
      <c r="AD125" s="74">
        <v>0</v>
      </c>
      <c r="AE125" s="74">
        <v>0</v>
      </c>
      <c r="AF125" s="74">
        <v>0</v>
      </c>
      <c r="AG125" s="74">
        <v>0</v>
      </c>
      <c r="AH125" s="74">
        <v>0</v>
      </c>
      <c r="AI125" s="74">
        <v>0</v>
      </c>
      <c r="AJ125" s="74">
        <v>0</v>
      </c>
      <c r="AL125" s="74">
        <v>2487.1965300314555</v>
      </c>
      <c r="AM125" s="74">
        <v>9299.7610529639369</v>
      </c>
      <c r="AN125" s="74">
        <v>11126.626654700824</v>
      </c>
      <c r="AO125" s="74">
        <v>12968</v>
      </c>
      <c r="AP125" s="74">
        <v>13212.940263676001</v>
      </c>
      <c r="AQ125" s="74">
        <v>10802.252550943602</v>
      </c>
      <c r="AR125" s="74">
        <v>11341.204526510021</v>
      </c>
      <c r="AS125" s="74">
        <v>13487</v>
      </c>
      <c r="AT125" s="74">
        <v>14270.068974304506</v>
      </c>
      <c r="AU125" s="74">
        <v>14315.07886759744</v>
      </c>
      <c r="AV125" s="74">
        <v>19065.709552390348</v>
      </c>
      <c r="AW125" s="74">
        <v>13323</v>
      </c>
      <c r="AX125" s="74">
        <v>13670.035786053457</v>
      </c>
      <c r="AY125" s="74">
        <v>14052</v>
      </c>
      <c r="AZ125" s="74">
        <v>16482.717704756687</v>
      </c>
      <c r="BA125" s="74">
        <v>0</v>
      </c>
      <c r="BB125" s="74">
        <v>0</v>
      </c>
      <c r="BC125" s="74">
        <v>0</v>
      </c>
      <c r="BD125" s="74">
        <v>0</v>
      </c>
      <c r="BE125" s="74">
        <v>0</v>
      </c>
      <c r="BF125" s="74">
        <v>0</v>
      </c>
      <c r="BG125" s="74">
        <v>0</v>
      </c>
      <c r="BH125" s="74">
        <v>0</v>
      </c>
      <c r="BI125" s="74">
        <v>0</v>
      </c>
      <c r="BJ125" s="74">
        <v>0</v>
      </c>
      <c r="BK125" s="74">
        <v>0</v>
      </c>
      <c r="BL125" s="74">
        <v>0</v>
      </c>
      <c r="BM125" s="74">
        <v>0</v>
      </c>
      <c r="BN125" s="74">
        <v>0</v>
      </c>
      <c r="BO125" s="74">
        <v>0</v>
      </c>
      <c r="BP125" s="74">
        <v>0</v>
      </c>
      <c r="BQ125" s="74">
        <v>0</v>
      </c>
      <c r="BR125" s="74">
        <v>0</v>
      </c>
      <c r="BS125" s="74">
        <v>0</v>
      </c>
      <c r="BT125" s="74">
        <v>0</v>
      </c>
      <c r="BU125" s="74">
        <v>0</v>
      </c>
      <c r="BV125" s="74">
        <v>0</v>
      </c>
      <c r="BW125" s="74">
        <v>0</v>
      </c>
      <c r="BX125" s="74">
        <v>0</v>
      </c>
      <c r="BY125" s="74">
        <v>0</v>
      </c>
      <c r="BZ125" s="74">
        <v>0</v>
      </c>
      <c r="CA125" s="74">
        <v>0</v>
      </c>
      <c r="CB125" s="74">
        <v>0</v>
      </c>
      <c r="CC125" s="74">
        <v>0</v>
      </c>
      <c r="CD125" s="74">
        <v>0</v>
      </c>
      <c r="CE125" s="74">
        <v>0</v>
      </c>
      <c r="CF125" s="74">
        <v>0</v>
      </c>
      <c r="CG125" s="74">
        <v>0</v>
      </c>
      <c r="CH125" s="74">
        <v>0</v>
      </c>
      <c r="CI125" s="74">
        <v>0</v>
      </c>
      <c r="CJ125" s="74">
        <v>0</v>
      </c>
      <c r="CK125" s="74">
        <v>0</v>
      </c>
      <c r="CL125" s="74">
        <v>0</v>
      </c>
      <c r="CM125" s="74">
        <v>0</v>
      </c>
      <c r="CN125" s="74">
        <v>0</v>
      </c>
      <c r="CO125" s="74">
        <v>0</v>
      </c>
      <c r="CP125" s="74">
        <v>0</v>
      </c>
      <c r="CQ125" s="74">
        <v>0</v>
      </c>
      <c r="CR125" s="74">
        <v>0</v>
      </c>
      <c r="CS125" s="74">
        <v>0</v>
      </c>
      <c r="CT125" s="74">
        <v>0</v>
      </c>
      <c r="CU125" s="74">
        <v>0</v>
      </c>
      <c r="CV125" s="74">
        <v>0</v>
      </c>
      <c r="CW125" s="74">
        <v>0</v>
      </c>
      <c r="CX125" s="74">
        <v>0</v>
      </c>
      <c r="CY125" s="74">
        <v>0</v>
      </c>
      <c r="CZ125" s="74">
        <v>0</v>
      </c>
      <c r="DA125" s="74">
        <v>0</v>
      </c>
      <c r="DB125" s="74">
        <v>0</v>
      </c>
      <c r="DC125" s="74">
        <v>0</v>
      </c>
      <c r="DD125" s="74">
        <v>0</v>
      </c>
      <c r="DE125" s="74">
        <v>0</v>
      </c>
      <c r="DF125" s="74">
        <v>0</v>
      </c>
      <c r="DG125" s="74">
        <v>0</v>
      </c>
      <c r="DH125" s="74">
        <v>0</v>
      </c>
      <c r="DI125" s="74">
        <v>0</v>
      </c>
      <c r="DJ125" s="74">
        <v>0</v>
      </c>
      <c r="DK125" s="74">
        <v>0</v>
      </c>
      <c r="DL125" s="74">
        <v>0</v>
      </c>
      <c r="DM125" s="74">
        <v>0</v>
      </c>
      <c r="DN125" s="74">
        <v>0</v>
      </c>
      <c r="DO125" s="74">
        <v>0</v>
      </c>
      <c r="DP125" s="74">
        <v>0</v>
      </c>
      <c r="DQ125" s="74">
        <v>0</v>
      </c>
      <c r="DR125" s="74">
        <v>0</v>
      </c>
      <c r="DS125" s="74">
        <v>0</v>
      </c>
      <c r="DT125" s="74">
        <v>0</v>
      </c>
      <c r="DU125" s="74">
        <v>0</v>
      </c>
      <c r="DV125" s="74">
        <v>0</v>
      </c>
      <c r="DW125" s="74">
        <v>0</v>
      </c>
      <c r="DX125" s="74">
        <v>0</v>
      </c>
      <c r="DY125" s="74">
        <v>0</v>
      </c>
      <c r="DZ125" s="74">
        <v>0</v>
      </c>
      <c r="EA125" s="74">
        <v>0</v>
      </c>
      <c r="EB125" s="74">
        <v>0</v>
      </c>
      <c r="EC125" s="74">
        <v>0</v>
      </c>
      <c r="EE125" s="68">
        <v>46009</v>
      </c>
      <c r="EF125" s="81">
        <v>46009.521181944445</v>
      </c>
      <c r="EG125" s="2" t="s">
        <v>69</v>
      </c>
      <c r="EH125" s="76">
        <v>1</v>
      </c>
      <c r="EI125" s="76" t="s">
        <v>32</v>
      </c>
      <c r="EJ125" s="74" t="s">
        <v>244</v>
      </c>
    </row>
    <row r="126" spans="1:167" x14ac:dyDescent="0.3">
      <c r="A126" s="73" t="s">
        <v>201</v>
      </c>
      <c r="B126" s="73" t="s">
        <v>206</v>
      </c>
      <c r="C126" s="73" t="s">
        <v>206</v>
      </c>
      <c r="D126" s="73" t="s">
        <v>48</v>
      </c>
      <c r="E126" s="73" t="s">
        <v>178</v>
      </c>
      <c r="F126" s="73" t="s">
        <v>210</v>
      </c>
      <c r="G126" s="73" t="s">
        <v>227</v>
      </c>
      <c r="H126" s="73"/>
      <c r="I126" s="74">
        <v>0</v>
      </c>
      <c r="J126" s="74">
        <v>25141</v>
      </c>
      <c r="K126" s="74">
        <v>37553</v>
      </c>
      <c r="L126" s="74">
        <v>56082</v>
      </c>
      <c r="M126" s="74">
        <v>66123</v>
      </c>
      <c r="N126" s="74">
        <v>72513</v>
      </c>
      <c r="O126" s="74">
        <v>76141</v>
      </c>
      <c r="P126" s="74">
        <v>0</v>
      </c>
      <c r="Q126" s="74">
        <v>0</v>
      </c>
      <c r="R126" s="74">
        <v>0</v>
      </c>
      <c r="S126" s="74">
        <v>0</v>
      </c>
      <c r="T126" s="74">
        <v>0</v>
      </c>
      <c r="U126" s="74">
        <v>0</v>
      </c>
      <c r="V126" s="74">
        <v>0</v>
      </c>
      <c r="W126" s="74">
        <v>0</v>
      </c>
      <c r="X126" s="74">
        <v>0</v>
      </c>
      <c r="Y126" s="74">
        <v>0</v>
      </c>
      <c r="Z126" s="74">
        <v>0</v>
      </c>
      <c r="AA126" s="74">
        <v>0</v>
      </c>
      <c r="AB126" s="74">
        <v>0</v>
      </c>
      <c r="AC126" s="74">
        <v>0</v>
      </c>
      <c r="AD126" s="74">
        <v>0</v>
      </c>
      <c r="AE126" s="74">
        <v>0</v>
      </c>
      <c r="AF126" s="74">
        <v>0</v>
      </c>
      <c r="AG126" s="74">
        <v>0</v>
      </c>
      <c r="AH126" s="74">
        <v>0</v>
      </c>
      <c r="AI126" s="74">
        <v>0</v>
      </c>
      <c r="AJ126" s="74">
        <v>0</v>
      </c>
      <c r="AL126" s="74">
        <v>64632.691687263454</v>
      </c>
      <c r="AM126" s="74">
        <v>57540.663120935904</v>
      </c>
      <c r="AN126" s="74">
        <v>53005.29328174812</v>
      </c>
      <c r="AO126" s="74">
        <v>66123</v>
      </c>
      <c r="AP126" s="74">
        <v>64276.364123849919</v>
      </c>
      <c r="AQ126" s="74">
        <v>64384.347828729129</v>
      </c>
      <c r="AR126" s="74">
        <v>69875.899128159552</v>
      </c>
      <c r="AS126" s="74">
        <v>72513</v>
      </c>
      <c r="AT126" s="74">
        <v>103439.58833404143</v>
      </c>
      <c r="AU126" s="74">
        <v>78348.504345542635</v>
      </c>
      <c r="AV126" s="74">
        <v>126334.48483582222</v>
      </c>
      <c r="AW126" s="74">
        <v>76141</v>
      </c>
      <c r="AX126" s="74">
        <v>83689.169429309957</v>
      </c>
      <c r="AY126" s="74">
        <v>82125</v>
      </c>
      <c r="AZ126" s="74">
        <v>96766.029226883315</v>
      </c>
      <c r="BA126" s="74">
        <v>0</v>
      </c>
      <c r="BB126" s="74">
        <v>0</v>
      </c>
      <c r="BC126" s="74">
        <v>0</v>
      </c>
      <c r="BD126" s="74">
        <v>0</v>
      </c>
      <c r="BE126" s="74">
        <v>0</v>
      </c>
      <c r="BF126" s="74">
        <v>0</v>
      </c>
      <c r="BG126" s="74">
        <v>0</v>
      </c>
      <c r="BH126" s="74">
        <v>0</v>
      </c>
      <c r="BI126" s="74">
        <v>0</v>
      </c>
      <c r="BJ126" s="74">
        <v>0</v>
      </c>
      <c r="BK126" s="74">
        <v>0</v>
      </c>
      <c r="BL126" s="74">
        <v>0</v>
      </c>
      <c r="BM126" s="74">
        <v>0</v>
      </c>
      <c r="BN126" s="74">
        <v>0</v>
      </c>
      <c r="BO126" s="74">
        <v>0</v>
      </c>
      <c r="BP126" s="74">
        <v>0</v>
      </c>
      <c r="BQ126" s="74">
        <v>0</v>
      </c>
      <c r="BR126" s="74">
        <v>0</v>
      </c>
      <c r="BS126" s="74">
        <v>0</v>
      </c>
      <c r="BT126" s="74">
        <v>0</v>
      </c>
      <c r="BU126" s="74">
        <v>0</v>
      </c>
      <c r="BV126" s="74">
        <v>0</v>
      </c>
      <c r="BW126" s="74">
        <v>0</v>
      </c>
      <c r="BX126" s="74">
        <v>0</v>
      </c>
      <c r="BY126" s="74">
        <v>0</v>
      </c>
      <c r="BZ126" s="74">
        <v>0</v>
      </c>
      <c r="CA126" s="74">
        <v>0</v>
      </c>
      <c r="CB126" s="74">
        <v>0</v>
      </c>
      <c r="CC126" s="74">
        <v>0</v>
      </c>
      <c r="CD126" s="74">
        <v>0</v>
      </c>
      <c r="CE126" s="74">
        <v>0</v>
      </c>
      <c r="CF126" s="74">
        <v>0</v>
      </c>
      <c r="CG126" s="74">
        <v>0</v>
      </c>
      <c r="CH126" s="74">
        <v>0</v>
      </c>
      <c r="CI126" s="74">
        <v>0</v>
      </c>
      <c r="CJ126" s="74">
        <v>0</v>
      </c>
      <c r="CK126" s="74">
        <v>0</v>
      </c>
      <c r="CL126" s="74">
        <v>0</v>
      </c>
      <c r="CM126" s="74">
        <v>0</v>
      </c>
      <c r="CN126" s="74">
        <v>0</v>
      </c>
      <c r="CO126" s="74">
        <v>0</v>
      </c>
      <c r="CP126" s="74">
        <v>0</v>
      </c>
      <c r="CQ126" s="74">
        <v>0</v>
      </c>
      <c r="CR126" s="74">
        <v>0</v>
      </c>
      <c r="CS126" s="74">
        <v>0</v>
      </c>
      <c r="CT126" s="74">
        <v>0</v>
      </c>
      <c r="CU126" s="74">
        <v>0</v>
      </c>
      <c r="CV126" s="74">
        <v>0</v>
      </c>
      <c r="CW126" s="74">
        <v>0</v>
      </c>
      <c r="CX126" s="74">
        <v>0</v>
      </c>
      <c r="CY126" s="74">
        <v>0</v>
      </c>
      <c r="CZ126" s="74">
        <v>0</v>
      </c>
      <c r="DA126" s="74">
        <v>0</v>
      </c>
      <c r="DB126" s="74">
        <v>0</v>
      </c>
      <c r="DC126" s="74">
        <v>0</v>
      </c>
      <c r="DD126" s="74">
        <v>0</v>
      </c>
      <c r="DE126" s="74">
        <v>0</v>
      </c>
      <c r="DF126" s="74">
        <v>0</v>
      </c>
      <c r="DG126" s="74">
        <v>0</v>
      </c>
      <c r="DH126" s="74">
        <v>0</v>
      </c>
      <c r="DI126" s="74">
        <v>0</v>
      </c>
      <c r="DJ126" s="74">
        <v>0</v>
      </c>
      <c r="DK126" s="74">
        <v>0</v>
      </c>
      <c r="DL126" s="74">
        <v>0</v>
      </c>
      <c r="DM126" s="74">
        <v>0</v>
      </c>
      <c r="DN126" s="74">
        <v>0</v>
      </c>
      <c r="DO126" s="74">
        <v>0</v>
      </c>
      <c r="DP126" s="74">
        <v>0</v>
      </c>
      <c r="DQ126" s="74">
        <v>0</v>
      </c>
      <c r="DR126" s="74">
        <v>0</v>
      </c>
      <c r="DS126" s="74">
        <v>0</v>
      </c>
      <c r="DT126" s="74">
        <v>0</v>
      </c>
      <c r="DU126" s="74">
        <v>0</v>
      </c>
      <c r="DV126" s="74">
        <v>0</v>
      </c>
      <c r="DW126" s="74">
        <v>0</v>
      </c>
      <c r="DX126" s="74">
        <v>0</v>
      </c>
      <c r="DY126" s="74">
        <v>0</v>
      </c>
      <c r="DZ126" s="74">
        <v>0</v>
      </c>
      <c r="EA126" s="74">
        <v>0</v>
      </c>
      <c r="EB126" s="74">
        <v>0</v>
      </c>
      <c r="EC126" s="74">
        <v>0</v>
      </c>
      <c r="EE126" s="68">
        <v>46009</v>
      </c>
      <c r="EF126" s="81">
        <v>46009.521181944445</v>
      </c>
      <c r="EG126" s="2" t="s">
        <v>69</v>
      </c>
      <c r="EH126" s="76">
        <v>1</v>
      </c>
      <c r="EI126" s="76" t="s">
        <v>32</v>
      </c>
      <c r="EJ126" s="74" t="s">
        <v>244</v>
      </c>
    </row>
    <row r="127" spans="1:167" x14ac:dyDescent="0.3">
      <c r="A127" s="1" t="s">
        <v>26</v>
      </c>
    </row>
  </sheetData>
  <conditionalFormatting sqref="C86:F126">
    <cfRule type="cellIs" dxfId="2" priority="3" operator="equal">
      <formula>""</formula>
    </cfRule>
  </conditionalFormatting>
  <conditionalFormatting sqref="C45:F85">
    <cfRule type="cellIs" dxfId="1" priority="2" operator="equal">
      <formula>""</formula>
    </cfRule>
  </conditionalFormatting>
  <conditionalFormatting sqref="C4:F44">
    <cfRule type="cellIs" dxfId="0" priority="1" operator="equal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Amortization</vt:lpstr>
      <vt:lpstr>Projection History</vt:lpstr>
      <vt:lpstr>Actuals History</vt:lpstr>
      <vt:lpstr>Amortization!AVG_USEFUL_LIFE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2016-01-12T21:54:11Z</dcterms:created>
  <dcterms:modified xsi:type="dcterms:W3CDTF">2026-07-27T21:16:13Z</dcterms:modified>
</cp:coreProperties>
</file>